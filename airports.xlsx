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CU\MA 5853 Data Science Project 1\JetBlue Data\"/>
    </mc:Choice>
  </mc:AlternateContent>
  <xr:revisionPtr revIDLastSave="0" documentId="13_ncr:1_{110C2714-802F-4F89-A95A-E32DDFE3DD5F}" xr6:coauthVersionLast="47" xr6:coauthVersionMax="47" xr10:uidLastSave="{00000000-0000-0000-0000-000000000000}"/>
  <bookViews>
    <workbookView xWindow="52680" yWindow="1560" windowWidth="24240" windowHeight="13140" xr2:uid="{00000000-000D-0000-FFFF-FFFF00000000}"/>
  </bookViews>
  <sheets>
    <sheet name="airports" sheetId="1" r:id="rId1"/>
    <sheet name="L_AIRPORT" sheetId="4" state="hidden" r:id="rId2"/>
    <sheet name="Distance Calc" sheetId="2" state="hidden" r:id="rId3"/>
    <sheet name="Routes" sheetId="3" r:id="rId4"/>
  </sheets>
  <definedNames>
    <definedName name="_xlnm._FilterDatabase" localSheetId="0" hidden="1">airports!$A$1:$J$404</definedName>
    <definedName name="_xlnm._FilterDatabase" localSheetId="1" hidden="1">L_AIRPORT!$A$1:$B$6660</definedName>
    <definedName name="_xlnm._FilterDatabase" localSheetId="3" hidden="1">Routes!$A$1:$I$8286</definedName>
    <definedName name="difflat">airports!#REF!</definedName>
    <definedName name="difflong">airports!#REF!</definedName>
    <definedName name="lat_1">airports!#REF!</definedName>
    <definedName name="lat_2">airports!#REF!</definedName>
    <definedName name="long_1">airports!#REF!</definedName>
    <definedName name="long_2">airports!#REF!</definedName>
    <definedName name="R_">airports!#REF!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3" i="1" l="1"/>
  <c r="G144" i="3"/>
  <c r="F403" i="1"/>
  <c r="F402" i="1"/>
  <c r="F400" i="1"/>
  <c r="F393" i="1"/>
  <c r="F392" i="1"/>
  <c r="F391" i="1"/>
  <c r="F376" i="1"/>
  <c r="F374" i="1"/>
  <c r="F368" i="1"/>
  <c r="F358" i="1"/>
  <c r="F351" i="1"/>
  <c r="F343" i="1"/>
  <c r="F340" i="1"/>
  <c r="F329" i="1"/>
  <c r="F324" i="1"/>
  <c r="F315" i="1"/>
  <c r="F306" i="1"/>
  <c r="F305" i="1"/>
  <c r="F292" i="1"/>
  <c r="F287" i="1"/>
  <c r="F285" i="1"/>
  <c r="F273" i="1"/>
  <c r="F271" i="1"/>
  <c r="F251" i="1"/>
  <c r="F238" i="1"/>
  <c r="F227" i="1"/>
  <c r="F218" i="1"/>
  <c r="F216" i="1"/>
  <c r="F214" i="1"/>
  <c r="F205" i="1"/>
  <c r="F201" i="1"/>
  <c r="F191" i="1"/>
  <c r="F184" i="1"/>
  <c r="F180" i="1"/>
  <c r="F176" i="1"/>
  <c r="F166" i="1"/>
  <c r="F165" i="1"/>
  <c r="F140" i="1"/>
  <c r="F119" i="1"/>
  <c r="F116" i="1"/>
  <c r="F114" i="1"/>
  <c r="F103" i="1"/>
  <c r="F102" i="1"/>
  <c r="F78" i="1"/>
  <c r="F71" i="1"/>
  <c r="F67" i="1"/>
  <c r="F45" i="1"/>
  <c r="F41" i="1"/>
  <c r="F346" i="1"/>
  <c r="F310" i="1"/>
  <c r="F117" i="1"/>
  <c r="F37" i="1"/>
  <c r="F215" i="1"/>
  <c r="F35" i="1"/>
  <c r="F47" i="1"/>
  <c r="F31" i="1"/>
  <c r="F27" i="1"/>
  <c r="F313" i="1"/>
  <c r="F19" i="1"/>
  <c r="F18" i="1"/>
  <c r="F291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F12" i="3"/>
  <c r="F16" i="3"/>
  <c r="F43" i="3"/>
  <c r="F78" i="3"/>
  <c r="F115" i="3"/>
  <c r="F121" i="3"/>
  <c r="F126" i="3"/>
  <c r="F129" i="3"/>
  <c r="F144" i="3"/>
  <c r="F150" i="3"/>
  <c r="F237" i="3"/>
  <c r="F263" i="3"/>
  <c r="F364" i="3"/>
  <c r="F375" i="3"/>
  <c r="F379" i="3"/>
  <c r="F410" i="3"/>
  <c r="F427" i="3"/>
  <c r="F447" i="3"/>
  <c r="F455" i="3"/>
  <c r="F462" i="3"/>
  <c r="F500" i="3"/>
  <c r="F503" i="3"/>
  <c r="F515" i="3"/>
  <c r="F521" i="3"/>
  <c r="F555" i="3"/>
  <c r="F561" i="3"/>
  <c r="F567" i="3"/>
  <c r="F618" i="3"/>
  <c r="F645" i="3"/>
  <c r="F667" i="3"/>
  <c r="F676" i="3"/>
  <c r="F692" i="3"/>
  <c r="F701" i="3"/>
  <c r="F707" i="3"/>
  <c r="F719" i="3"/>
  <c r="F725" i="3"/>
  <c r="F728" i="3"/>
  <c r="F740" i="3"/>
  <c r="F767" i="3"/>
  <c r="F805" i="3"/>
  <c r="F812" i="3"/>
  <c r="F826" i="3"/>
  <c r="F843" i="3"/>
  <c r="F860" i="3"/>
  <c r="F864" i="3"/>
  <c r="F902" i="3"/>
  <c r="F1054" i="3"/>
  <c r="F1074" i="3"/>
  <c r="F1105" i="3"/>
  <c r="F1134" i="3"/>
  <c r="F1187" i="3"/>
  <c r="F1199" i="3"/>
  <c r="F1203" i="3"/>
  <c r="F1218" i="3"/>
  <c r="F1228" i="3"/>
  <c r="F1249" i="3"/>
  <c r="F1258" i="3"/>
  <c r="F1267" i="3"/>
  <c r="F1280" i="3"/>
  <c r="F1284" i="3"/>
  <c r="F1290" i="3"/>
  <c r="F1294" i="3"/>
  <c r="F1314" i="3"/>
  <c r="F1335" i="3"/>
  <c r="F1347" i="3"/>
  <c r="F1397" i="3"/>
  <c r="F1416" i="3"/>
  <c r="F1422" i="3"/>
  <c r="F1427" i="3"/>
  <c r="F1465" i="3"/>
  <c r="F1485" i="3"/>
  <c r="F1524" i="3"/>
  <c r="F1528" i="3"/>
  <c r="F1621" i="3"/>
  <c r="F1637" i="3"/>
  <c r="F1660" i="3"/>
  <c r="F1674" i="3"/>
  <c r="F1718" i="3"/>
  <c r="F1792" i="3"/>
  <c r="F1795" i="3"/>
  <c r="F1828" i="3"/>
  <c r="F1836" i="3"/>
  <c r="F1899" i="3"/>
  <c r="F1900" i="3"/>
  <c r="F1903" i="3"/>
  <c r="F1907" i="3"/>
  <c r="F1913" i="3"/>
  <c r="F1917" i="3"/>
  <c r="F1919" i="3"/>
  <c r="F1921" i="3"/>
  <c r="F1924" i="3"/>
  <c r="F1952" i="3"/>
  <c r="F1959" i="3"/>
  <c r="F1960" i="3"/>
  <c r="F1971" i="3"/>
  <c r="F2007" i="3"/>
  <c r="F2008" i="3"/>
  <c r="F2043" i="3"/>
  <c r="F2052" i="3"/>
  <c r="F2057" i="3"/>
  <c r="F2063" i="3"/>
  <c r="F2081" i="3"/>
  <c r="F2085" i="3"/>
  <c r="F2090" i="3"/>
  <c r="F2105" i="3"/>
  <c r="F2123" i="3"/>
  <c r="F2159" i="3"/>
  <c r="F2189" i="3"/>
  <c r="F2287" i="3"/>
  <c r="F2290" i="3"/>
  <c r="F2323" i="3"/>
  <c r="F2346" i="3"/>
  <c r="F2353" i="3"/>
  <c r="F2493" i="3"/>
  <c r="F2496" i="3"/>
  <c r="F2539" i="3"/>
  <c r="F2540" i="3"/>
  <c r="F2542" i="3"/>
  <c r="F2560" i="3"/>
  <c r="F2572" i="3"/>
  <c r="F2595" i="3"/>
  <c r="F2638" i="3"/>
  <c r="F2676" i="3"/>
  <c r="F2729" i="3"/>
  <c r="F2741" i="3"/>
  <c r="F2755" i="3"/>
  <c r="F2772" i="3"/>
  <c r="F2805" i="3"/>
  <c r="F2835" i="3"/>
  <c r="F2843" i="3"/>
  <c r="F2844" i="3"/>
  <c r="F2863" i="3"/>
  <c r="F2891" i="3"/>
  <c r="F2895" i="3"/>
  <c r="F2907" i="3"/>
  <c r="F2911" i="3"/>
  <c r="F2915" i="3"/>
  <c r="F2919" i="3"/>
  <c r="F2930" i="3"/>
  <c r="F2934" i="3"/>
  <c r="F2939" i="3"/>
  <c r="F2949" i="3"/>
  <c r="F2952" i="3"/>
  <c r="F2955" i="3"/>
  <c r="F2958" i="3"/>
  <c r="F2969" i="3"/>
  <c r="F2979" i="3"/>
  <c r="F2985" i="3"/>
  <c r="F2989" i="3"/>
  <c r="F3011" i="3"/>
  <c r="F3024" i="3"/>
  <c r="F3032" i="3"/>
  <c r="F3056" i="3"/>
  <c r="F3063" i="3"/>
  <c r="F3085" i="3"/>
  <c r="F3108" i="3"/>
  <c r="F3111" i="3"/>
  <c r="F3117" i="3"/>
  <c r="F3132" i="3"/>
  <c r="F3155" i="3"/>
  <c r="F3194" i="3"/>
  <c r="F3200" i="3"/>
  <c r="F3202" i="3"/>
  <c r="F3225" i="3"/>
  <c r="F3244" i="3"/>
  <c r="F3278" i="3"/>
  <c r="F3283" i="3"/>
  <c r="F3342" i="3"/>
  <c r="F3344" i="3"/>
  <c r="F3349" i="3"/>
  <c r="F3351" i="3"/>
  <c r="F3368" i="3"/>
  <c r="F3372" i="3"/>
  <c r="F3383" i="3"/>
  <c r="F3396" i="3"/>
  <c r="F3405" i="3"/>
  <c r="F3422" i="3"/>
  <c r="F3426" i="3"/>
  <c r="F3433" i="3"/>
  <c r="F3463" i="3"/>
  <c r="F3466" i="3"/>
  <c r="F3506" i="3"/>
  <c r="F3599" i="3"/>
  <c r="F3604" i="3"/>
  <c r="F3620" i="3"/>
  <c r="F3623" i="3"/>
  <c r="F3654" i="3"/>
  <c r="F3665" i="3"/>
  <c r="F3669" i="3"/>
  <c r="F3690" i="3"/>
  <c r="F3704" i="3"/>
  <c r="F3744" i="3"/>
  <c r="F3779" i="3"/>
  <c r="F3803" i="3"/>
  <c r="F3918" i="3"/>
  <c r="F3948" i="3"/>
  <c r="F3958" i="3"/>
  <c r="F3964" i="3"/>
  <c r="F4039" i="3"/>
  <c r="F4046" i="3"/>
  <c r="F4054" i="3"/>
  <c r="F4066" i="3"/>
  <c r="F4069" i="3"/>
  <c r="F4093" i="3"/>
  <c r="F4163" i="3"/>
  <c r="F4168" i="3"/>
  <c r="F4174" i="3"/>
  <c r="F4177" i="3"/>
  <c r="F4191" i="3"/>
  <c r="F4202" i="3"/>
  <c r="F4221" i="3"/>
  <c r="F4223" i="3"/>
  <c r="F4224" i="3"/>
  <c r="F4236" i="3"/>
  <c r="F4239" i="3"/>
  <c r="F4257" i="3"/>
  <c r="F4261" i="3"/>
  <c r="F4307" i="3"/>
  <c r="F4416" i="3"/>
  <c r="F4427" i="3"/>
  <c r="F4457" i="3"/>
  <c r="F4470" i="3"/>
  <c r="F4492" i="3"/>
  <c r="F4502" i="3"/>
  <c r="F4517" i="3"/>
  <c r="F4567" i="3"/>
  <c r="F4595" i="3"/>
  <c r="F4620" i="3"/>
  <c r="F4636" i="3"/>
  <c r="F4640" i="3"/>
  <c r="F4669" i="3"/>
  <c r="F4699" i="3"/>
  <c r="F4737" i="3"/>
  <c r="F4763" i="3"/>
  <c r="F4769" i="3"/>
  <c r="F4773" i="3"/>
  <c r="F4780" i="3"/>
  <c r="F4782" i="3"/>
  <c r="F4911" i="3"/>
  <c r="F4943" i="3"/>
  <c r="F4954" i="3"/>
  <c r="F4973" i="3"/>
  <c r="F4975" i="3"/>
  <c r="F4982" i="3"/>
  <c r="F4984" i="3"/>
  <c r="F4998" i="3"/>
  <c r="F5046" i="3"/>
  <c r="F5071" i="3"/>
  <c r="F5165" i="3"/>
  <c r="F5207" i="3"/>
  <c r="F5235" i="3"/>
  <c r="F5256" i="3"/>
  <c r="F5263" i="3"/>
  <c r="F5293" i="3"/>
  <c r="F5299" i="3"/>
  <c r="F5315" i="3"/>
  <c r="F5318" i="3"/>
  <c r="F5322" i="3"/>
  <c r="F5323" i="3"/>
  <c r="F5335" i="3"/>
  <c r="F5338" i="3"/>
  <c r="F5352" i="3"/>
  <c r="F5395" i="3"/>
  <c r="F5406" i="3"/>
  <c r="F5416" i="3"/>
  <c r="F5422" i="3"/>
  <c r="F5435" i="3"/>
  <c r="F5437" i="3"/>
  <c r="F5470" i="3"/>
  <c r="F5479" i="3"/>
  <c r="F5499" i="3"/>
  <c r="F5507" i="3"/>
  <c r="F5550" i="3"/>
  <c r="F5556" i="3"/>
  <c r="F5561" i="3"/>
  <c r="F5573" i="3"/>
  <c r="F5578" i="3"/>
  <c r="F5594" i="3"/>
  <c r="F5601" i="3"/>
  <c r="F5603" i="3"/>
  <c r="F5617" i="3"/>
  <c r="F5628" i="3"/>
  <c r="F5645" i="3"/>
  <c r="F5660" i="3"/>
  <c r="F5681" i="3"/>
  <c r="F5721" i="3"/>
  <c r="F5731" i="3"/>
  <c r="F5739" i="3"/>
  <c r="F5761" i="3"/>
  <c r="F5768" i="3"/>
  <c r="F5775" i="3"/>
  <c r="F5789" i="3"/>
  <c r="F5803" i="3"/>
  <c r="F5807" i="3"/>
  <c r="F5809" i="3"/>
  <c r="F5810" i="3"/>
  <c r="F5812" i="3"/>
  <c r="F5844" i="3"/>
  <c r="F5852" i="3"/>
  <c r="F5904" i="3"/>
  <c r="F5922" i="3"/>
  <c r="F5931" i="3"/>
  <c r="F5949" i="3"/>
  <c r="F5951" i="3"/>
  <c r="F5962" i="3"/>
  <c r="F5965" i="3"/>
  <c r="F5983" i="3"/>
  <c r="F6026" i="3"/>
  <c r="F6036" i="3"/>
  <c r="F6038" i="3"/>
  <c r="F6043" i="3"/>
  <c r="F6089" i="3"/>
  <c r="F6155" i="3"/>
  <c r="F6187" i="3"/>
  <c r="F6192" i="3"/>
  <c r="F6204" i="3"/>
  <c r="F6214" i="3"/>
  <c r="F6221" i="3"/>
  <c r="F6231" i="3"/>
  <c r="F6234" i="3"/>
  <c r="F6246" i="3"/>
  <c r="F6248" i="3"/>
  <c r="F6254" i="3"/>
  <c r="F6268" i="3"/>
  <c r="F6270" i="3"/>
  <c r="F6273" i="3"/>
  <c r="F6282" i="3"/>
  <c r="F6285" i="3"/>
  <c r="F6288" i="3"/>
  <c r="F6290" i="3"/>
  <c r="F6307" i="3"/>
  <c r="F6309" i="3"/>
  <c r="F6311" i="3"/>
  <c r="F6312" i="3"/>
  <c r="F6317" i="3"/>
  <c r="F6333" i="3"/>
  <c r="F6341" i="3"/>
  <c r="F6354" i="3"/>
  <c r="F6366" i="3"/>
  <c r="F6412" i="3"/>
  <c r="F6431" i="3"/>
  <c r="F6434" i="3"/>
  <c r="F6458" i="3"/>
  <c r="F6462" i="3"/>
  <c r="F6470" i="3"/>
  <c r="F6471" i="3"/>
  <c r="F6495" i="3"/>
  <c r="F6505" i="3"/>
  <c r="F6548" i="3"/>
  <c r="F6564" i="3"/>
  <c r="F6569" i="3"/>
  <c r="F657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D125" i="3"/>
  <c r="D126" i="3"/>
  <c r="D127" i="3"/>
  <c r="D381" i="3"/>
  <c r="D382" i="3"/>
  <c r="D383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616" i="3"/>
  <c r="D617" i="3"/>
  <c r="D618" i="3"/>
  <c r="D619" i="3"/>
  <c r="D625" i="3"/>
  <c r="D626" i="3"/>
  <c r="D627" i="3"/>
  <c r="D673" i="3"/>
  <c r="D674" i="3"/>
  <c r="D675" i="3"/>
  <c r="D703" i="3"/>
  <c r="D704" i="3"/>
  <c r="D705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1194" i="3"/>
  <c r="D1195" i="3"/>
  <c r="D1199" i="3"/>
  <c r="D1200" i="3"/>
  <c r="D1201" i="3"/>
  <c r="D1202" i="3"/>
  <c r="D1203" i="3"/>
  <c r="D1288" i="3"/>
  <c r="D1289" i="3"/>
  <c r="D1290" i="3"/>
  <c r="D1291" i="3"/>
  <c r="D1292" i="3"/>
  <c r="D1293" i="3"/>
  <c r="D1294" i="3"/>
  <c r="D1295" i="3"/>
  <c r="D1898" i="3"/>
  <c r="D1899" i="3"/>
  <c r="D1900" i="3"/>
  <c r="D1901" i="3"/>
  <c r="D1902" i="3"/>
  <c r="D1903" i="3"/>
  <c r="D2489" i="3"/>
  <c r="D2492" i="3"/>
  <c r="D2493" i="3"/>
  <c r="D2494" i="3"/>
  <c r="D2495" i="3"/>
  <c r="D2496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914" i="3"/>
  <c r="D2915" i="3"/>
  <c r="D2916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346" i="3"/>
  <c r="D3347" i="3"/>
  <c r="D3461" i="3"/>
  <c r="D3462" i="3"/>
  <c r="D3463" i="3"/>
  <c r="D3464" i="3"/>
  <c r="D3465" i="3"/>
  <c r="D3466" i="3"/>
  <c r="D3638" i="3"/>
  <c r="D3714" i="3"/>
  <c r="D3715" i="3"/>
  <c r="D3903" i="3"/>
  <c r="D3904" i="3"/>
  <c r="D3918" i="3"/>
  <c r="D3919" i="3"/>
  <c r="D3920" i="3"/>
  <c r="D4216" i="3"/>
  <c r="D4217" i="3"/>
  <c r="D4218" i="3"/>
  <c r="D4219" i="3"/>
  <c r="D4220" i="3"/>
  <c r="D4221" i="3"/>
  <c r="D4222" i="3"/>
  <c r="D4223" i="3"/>
  <c r="D4224" i="3"/>
  <c r="D4225" i="3"/>
  <c r="D4226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426" i="3"/>
  <c r="D4427" i="3"/>
  <c r="D4620" i="3"/>
  <c r="D4621" i="3"/>
  <c r="D4963" i="3"/>
  <c r="D4964" i="3"/>
  <c r="D5406" i="3"/>
  <c r="D5407" i="3"/>
  <c r="D5408" i="3"/>
  <c r="D5433" i="3"/>
  <c r="D5434" i="3"/>
  <c r="D5435" i="3"/>
  <c r="D5436" i="3"/>
  <c r="D5437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4" i="3"/>
  <c r="D5805" i="3"/>
  <c r="D5806" i="3"/>
  <c r="D5807" i="3"/>
  <c r="D5808" i="3"/>
  <c r="D5809" i="3"/>
  <c r="D5810" i="3"/>
  <c r="D5811" i="3"/>
  <c r="D5812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6108" i="3"/>
  <c r="D6116" i="3"/>
  <c r="D6140" i="3"/>
  <c r="D6147" i="3"/>
  <c r="D6156" i="3"/>
  <c r="D6163" i="3"/>
  <c r="D6172" i="3"/>
  <c r="D6179" i="3"/>
  <c r="D6188" i="3"/>
  <c r="D6195" i="3"/>
  <c r="D6204" i="3"/>
  <c r="D6211" i="3"/>
  <c r="D6220" i="3"/>
  <c r="D6227" i="3"/>
  <c r="D6236" i="3"/>
  <c r="D6379" i="3"/>
  <c r="D6388" i="3"/>
  <c r="D6395" i="3"/>
  <c r="D6403" i="3"/>
  <c r="D6404" i="3"/>
  <c r="D6408" i="3"/>
  <c r="D6409" i="3"/>
  <c r="D6410" i="3"/>
  <c r="D6411" i="3"/>
  <c r="D6419" i="3"/>
  <c r="D6420" i="3"/>
  <c r="D6428" i="3"/>
  <c r="D6429" i="3"/>
  <c r="D6430" i="3"/>
  <c r="D6431" i="3"/>
  <c r="D6432" i="3"/>
  <c r="D6433" i="3"/>
  <c r="D6434" i="3"/>
  <c r="D6471" i="3"/>
  <c r="D6472" i="3"/>
  <c r="D647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24" i="3"/>
  <c r="D6525" i="3"/>
  <c r="D6532" i="3"/>
  <c r="D6533" i="3"/>
  <c r="D6540" i="3"/>
  <c r="D6541" i="3"/>
  <c r="D6548" i="3"/>
  <c r="D6549" i="3"/>
  <c r="D6556" i="3"/>
  <c r="D6557" i="3"/>
  <c r="D6564" i="3"/>
  <c r="D6565" i="3"/>
  <c r="D6572" i="3"/>
  <c r="D6573" i="3"/>
  <c r="D6597" i="3"/>
  <c r="D6612" i="3"/>
  <c r="D6613" i="3"/>
  <c r="G2" i="3"/>
  <c r="E2" i="3"/>
  <c r="F131" i="1"/>
  <c r="F132" i="1"/>
  <c r="F133" i="1"/>
  <c r="F134" i="1"/>
  <c r="F135" i="1"/>
  <c r="F136" i="1"/>
  <c r="F137" i="1"/>
  <c r="D2841" i="3" s="1"/>
  <c r="F138" i="1"/>
  <c r="F139" i="1"/>
  <c r="F141" i="1"/>
  <c r="F142" i="1"/>
  <c r="F143" i="1"/>
  <c r="F144" i="1"/>
  <c r="D2940" i="3" s="1"/>
  <c r="F145" i="1"/>
  <c r="F146" i="1"/>
  <c r="F2176" i="3" s="1"/>
  <c r="F147" i="1"/>
  <c r="D2972" i="3" s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7" i="1"/>
  <c r="F168" i="1"/>
  <c r="F169" i="1"/>
  <c r="F170" i="1"/>
  <c r="F171" i="1"/>
  <c r="D3259" i="3" s="1"/>
  <c r="F172" i="1"/>
  <c r="D3307" i="3" s="1"/>
  <c r="F173" i="1"/>
  <c r="F174" i="1"/>
  <c r="F175" i="1"/>
  <c r="F177" i="1"/>
  <c r="F178" i="1"/>
  <c r="F179" i="1"/>
  <c r="D3433" i="3" s="1"/>
  <c r="F181" i="1"/>
  <c r="D3467" i="3" s="1"/>
  <c r="F182" i="1"/>
  <c r="F183" i="1"/>
  <c r="F185" i="1"/>
  <c r="F186" i="1"/>
  <c r="F187" i="1"/>
  <c r="F188" i="1"/>
  <c r="F189" i="1"/>
  <c r="F190" i="1"/>
  <c r="F192" i="1"/>
  <c r="F193" i="1"/>
  <c r="F194" i="1"/>
  <c r="F195" i="1"/>
  <c r="F196" i="1"/>
  <c r="F197" i="1"/>
  <c r="F198" i="1"/>
  <c r="D3767" i="3" s="1"/>
  <c r="F199" i="1"/>
  <c r="D3815" i="3" s="1"/>
  <c r="F200" i="1"/>
  <c r="D3823" i="3" s="1"/>
  <c r="F202" i="1"/>
  <c r="F203" i="1"/>
  <c r="F204" i="1"/>
  <c r="F206" i="1"/>
  <c r="F207" i="1"/>
  <c r="F208" i="1"/>
  <c r="D3943" i="3" s="1"/>
  <c r="F209" i="1"/>
  <c r="F210" i="1"/>
  <c r="D3991" i="3" s="1"/>
  <c r="F211" i="1"/>
  <c r="F212" i="1"/>
  <c r="F213" i="1"/>
  <c r="F217" i="1"/>
  <c r="F219" i="1"/>
  <c r="F220" i="1"/>
  <c r="D4266" i="3" s="1"/>
  <c r="F221" i="1"/>
  <c r="D4271" i="3" s="1"/>
  <c r="F222" i="1"/>
  <c r="D4377" i="3" s="1"/>
  <c r="F223" i="1"/>
  <c r="D4399" i="3" s="1"/>
  <c r="F224" i="1"/>
  <c r="F225" i="1"/>
  <c r="F226" i="1"/>
  <c r="F228" i="1"/>
  <c r="F229" i="1"/>
  <c r="D4431" i="3" s="1"/>
  <c r="F230" i="1"/>
  <c r="F231" i="1"/>
  <c r="F232" i="1"/>
  <c r="F1439" i="3" s="1"/>
  <c r="F233" i="1"/>
  <c r="F234" i="1"/>
  <c r="F235" i="1"/>
  <c r="F236" i="1"/>
  <c r="F237" i="1"/>
  <c r="D4519" i="3" s="1"/>
  <c r="F239" i="1"/>
  <c r="D4622" i="3" s="1"/>
  <c r="F240" i="1"/>
  <c r="D4645" i="3" s="1"/>
  <c r="F241" i="1"/>
  <c r="D4733" i="3" s="1"/>
  <c r="F242" i="1"/>
  <c r="F243" i="1"/>
  <c r="F244" i="1"/>
  <c r="F245" i="1"/>
  <c r="F246" i="1"/>
  <c r="F247" i="1"/>
  <c r="D4801" i="3" s="1"/>
  <c r="F248" i="1"/>
  <c r="D4818" i="3" s="1"/>
  <c r="F249" i="1"/>
  <c r="D4915" i="3" s="1"/>
  <c r="F250" i="1"/>
  <c r="F252" i="1"/>
  <c r="F253" i="1"/>
  <c r="F254" i="1"/>
  <c r="F255" i="1"/>
  <c r="D4988" i="3" s="1"/>
  <c r="F256" i="1"/>
  <c r="D4993" i="3" s="1"/>
  <c r="F257" i="1"/>
  <c r="F258" i="1"/>
  <c r="F259" i="1"/>
  <c r="F260" i="1"/>
  <c r="F261" i="1"/>
  <c r="F262" i="1"/>
  <c r="F263" i="1"/>
  <c r="D5064" i="3" s="1"/>
  <c r="F264" i="1"/>
  <c r="D5209" i="3" s="1"/>
  <c r="F265" i="1"/>
  <c r="D5266" i="3" s="1"/>
  <c r="F266" i="1"/>
  <c r="D5283" i="3" s="1"/>
  <c r="F267" i="1"/>
  <c r="F268" i="1"/>
  <c r="F269" i="1"/>
  <c r="F270" i="1"/>
  <c r="F272" i="1"/>
  <c r="D5416" i="3" s="1"/>
  <c r="F274" i="1"/>
  <c r="D5441" i="3" s="1"/>
  <c r="F275" i="1"/>
  <c r="D5482" i="3" s="1"/>
  <c r="F276" i="1"/>
  <c r="F277" i="1"/>
  <c r="F278" i="1"/>
  <c r="D5676" i="3" s="1"/>
  <c r="F279" i="1"/>
  <c r="D5748" i="3" s="1"/>
  <c r="F280" i="1"/>
  <c r="D5780" i="3" s="1"/>
  <c r="F281" i="1"/>
  <c r="D5785" i="3" s="1"/>
  <c r="F282" i="1"/>
  <c r="D5787" i="3" s="1"/>
  <c r="F284" i="1"/>
  <c r="F286" i="1"/>
  <c r="D5803" i="3" s="1"/>
  <c r="F288" i="1"/>
  <c r="F289" i="1"/>
  <c r="D5900" i="3" s="1"/>
  <c r="F290" i="1"/>
  <c r="F293" i="1"/>
  <c r="F294" i="1"/>
  <c r="D5992" i="3" s="1"/>
  <c r="F295" i="1"/>
  <c r="D6113" i="3" s="1"/>
  <c r="F296" i="1"/>
  <c r="D6226" i="3" s="1"/>
  <c r="F297" i="1"/>
  <c r="F298" i="1"/>
  <c r="F299" i="1"/>
  <c r="D6310" i="3" s="1"/>
  <c r="F300" i="1"/>
  <c r="F301" i="1"/>
  <c r="D6331" i="3" s="1"/>
  <c r="F302" i="1"/>
  <c r="D6376" i="3" s="1"/>
  <c r="F303" i="1"/>
  <c r="D6377" i="3" s="1"/>
  <c r="F304" i="1"/>
  <c r="F3210" i="3" s="1"/>
  <c r="F307" i="1"/>
  <c r="D6412" i="3" s="1"/>
  <c r="F308" i="1"/>
  <c r="F309" i="1"/>
  <c r="F311" i="1"/>
  <c r="D6443" i="3" s="1"/>
  <c r="F312" i="1"/>
  <c r="F314" i="1"/>
  <c r="D6480" i="3" s="1"/>
  <c r="F316" i="1"/>
  <c r="D6521" i="3" s="1"/>
  <c r="F317" i="1"/>
  <c r="D6546" i="3" s="1"/>
  <c r="F318" i="1"/>
  <c r="F4179" i="3" s="1"/>
  <c r="F319" i="1"/>
  <c r="D6581" i="3" s="1"/>
  <c r="F320" i="1"/>
  <c r="D6595" i="3" s="1"/>
  <c r="F321" i="1"/>
  <c r="F322" i="1"/>
  <c r="F323" i="1"/>
  <c r="F325" i="1"/>
  <c r="F2064" i="3" s="1"/>
  <c r="F326" i="1"/>
  <c r="F327" i="1"/>
  <c r="F328" i="1"/>
  <c r="F330" i="1"/>
  <c r="F331" i="1"/>
  <c r="F332" i="1"/>
  <c r="F333" i="1"/>
  <c r="F334" i="1"/>
  <c r="F335" i="1"/>
  <c r="F336" i="1"/>
  <c r="F337" i="1"/>
  <c r="F338" i="1"/>
  <c r="F339" i="1"/>
  <c r="F341" i="1"/>
  <c r="F342" i="1"/>
  <c r="F344" i="1"/>
  <c r="F345" i="1"/>
  <c r="F347" i="1"/>
  <c r="F348" i="1"/>
  <c r="F349" i="1"/>
  <c r="F350" i="1"/>
  <c r="F352" i="1"/>
  <c r="F353" i="1"/>
  <c r="F354" i="1"/>
  <c r="F355" i="1"/>
  <c r="F356" i="1"/>
  <c r="F357" i="1"/>
  <c r="F359" i="1"/>
  <c r="F360" i="1"/>
  <c r="F361" i="1"/>
  <c r="F362" i="1"/>
  <c r="F363" i="1"/>
  <c r="F3134" i="3" s="1"/>
  <c r="F364" i="1"/>
  <c r="F2284" i="3" s="1"/>
  <c r="F365" i="1"/>
  <c r="F366" i="1"/>
  <c r="F367" i="1"/>
  <c r="F369" i="1"/>
  <c r="F370" i="1"/>
  <c r="F371" i="1"/>
  <c r="F372" i="1"/>
  <c r="F373" i="1"/>
  <c r="F375" i="1"/>
  <c r="F377" i="1"/>
  <c r="F378" i="1"/>
  <c r="F379" i="1"/>
  <c r="F380" i="1"/>
  <c r="F381" i="1"/>
  <c r="F382" i="1"/>
  <c r="F383" i="1"/>
  <c r="F384" i="1"/>
  <c r="F385" i="1"/>
  <c r="F386" i="1"/>
  <c r="F387" i="1"/>
  <c r="F2098" i="3" s="1"/>
  <c r="F388" i="1"/>
  <c r="F389" i="1"/>
  <c r="F390" i="1"/>
  <c r="F394" i="1"/>
  <c r="F395" i="1"/>
  <c r="F360" i="3" s="1"/>
  <c r="F396" i="1"/>
  <c r="F397" i="1"/>
  <c r="F398" i="1"/>
  <c r="F2103" i="3" s="1"/>
  <c r="F399" i="1"/>
  <c r="F401" i="1"/>
  <c r="F404" i="1"/>
  <c r="F2" i="1"/>
  <c r="D2" i="3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0" i="1"/>
  <c r="F21" i="1"/>
  <c r="F22" i="1"/>
  <c r="F23" i="1"/>
  <c r="F24" i="1"/>
  <c r="F25" i="1"/>
  <c r="F26" i="1"/>
  <c r="F28" i="1"/>
  <c r="F29" i="1"/>
  <c r="F30" i="1"/>
  <c r="F32" i="1"/>
  <c r="F33" i="1"/>
  <c r="F34" i="1"/>
  <c r="F36" i="1"/>
  <c r="F38" i="1"/>
  <c r="F39" i="1"/>
  <c r="F40" i="1"/>
  <c r="F42" i="1"/>
  <c r="F43" i="1"/>
  <c r="F44" i="1"/>
  <c r="F46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8" i="1"/>
  <c r="D1196" i="3" s="1"/>
  <c r="F69" i="1"/>
  <c r="F70" i="1"/>
  <c r="F72" i="1"/>
  <c r="F73" i="1"/>
  <c r="F74" i="1"/>
  <c r="F75" i="1"/>
  <c r="F76" i="1"/>
  <c r="F77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D1857" i="3" s="1"/>
  <c r="F104" i="1"/>
  <c r="D1933" i="3" s="1"/>
  <c r="F105" i="1"/>
  <c r="D2299" i="3" s="1"/>
  <c r="F106" i="1"/>
  <c r="F107" i="1"/>
  <c r="F108" i="1"/>
  <c r="F109" i="1"/>
  <c r="F110" i="1"/>
  <c r="F111" i="1"/>
  <c r="F112" i="1"/>
  <c r="D2346" i="3" s="1"/>
  <c r="F113" i="1"/>
  <c r="D2389" i="3" s="1"/>
  <c r="F115" i="1"/>
  <c r="F118" i="1"/>
  <c r="F120" i="1"/>
  <c r="F121" i="1"/>
  <c r="D2534" i="3" s="1"/>
  <c r="F122" i="1"/>
  <c r="F123" i="1"/>
  <c r="F124" i="1"/>
  <c r="F125" i="1"/>
  <c r="F126" i="1"/>
  <c r="F127" i="1"/>
  <c r="F128" i="1"/>
  <c r="F129" i="1"/>
  <c r="F130" i="1"/>
  <c r="F3" i="1"/>
  <c r="B3" i="2"/>
  <c r="D3" i="2" s="1"/>
  <c r="B2" i="2"/>
  <c r="D2" i="2" s="1"/>
  <c r="D6547" i="3" l="1"/>
  <c r="D6494" i="3"/>
  <c r="D6398" i="3"/>
  <c r="D6203" i="3"/>
  <c r="D6132" i="3"/>
  <c r="D6004" i="3"/>
  <c r="D6020" i="3"/>
  <c r="D6012" i="3"/>
  <c r="D6563" i="3"/>
  <c r="D6531" i="3"/>
  <c r="D6478" i="3"/>
  <c r="D6235" i="3"/>
  <c r="D6171" i="3"/>
  <c r="D6068" i="3"/>
  <c r="D6574" i="3"/>
  <c r="D6558" i="3"/>
  <c r="D6542" i="3"/>
  <c r="D6526" i="3"/>
  <c r="D6493" i="3"/>
  <c r="D6477" i="3"/>
  <c r="D6396" i="3"/>
  <c r="D6228" i="3"/>
  <c r="D6196" i="3"/>
  <c r="D6164" i="3"/>
  <c r="D6124" i="3"/>
  <c r="D6060" i="3"/>
  <c r="D5996" i="3"/>
  <c r="D6500" i="3"/>
  <c r="D6499" i="3"/>
  <c r="D6492" i="3"/>
  <c r="D6491" i="3"/>
  <c r="D6044" i="3"/>
  <c r="D6076" i="3"/>
  <c r="D6052" i="3"/>
  <c r="D6475" i="3"/>
  <c r="D6571" i="3"/>
  <c r="D6555" i="3"/>
  <c r="D6539" i="3"/>
  <c r="D6523" i="3"/>
  <c r="D6502" i="3"/>
  <c r="D6486" i="3"/>
  <c r="D6387" i="3"/>
  <c r="D6219" i="3"/>
  <c r="D6187" i="3"/>
  <c r="D6155" i="3"/>
  <c r="D6100" i="3"/>
  <c r="D6036" i="3"/>
  <c r="D6483" i="3"/>
  <c r="D6476" i="3"/>
  <c r="D6566" i="3"/>
  <c r="D6550" i="3"/>
  <c r="D6534" i="3"/>
  <c r="D6518" i="3"/>
  <c r="D6501" i="3"/>
  <c r="D6485" i="3"/>
  <c r="D6406" i="3"/>
  <c r="D6380" i="3"/>
  <c r="D6212" i="3"/>
  <c r="D6180" i="3"/>
  <c r="D6148" i="3"/>
  <c r="D6092" i="3"/>
  <c r="D6028" i="3"/>
  <c r="D5788" i="3"/>
  <c r="D6084" i="3"/>
  <c r="D6484" i="3"/>
  <c r="F239" i="3"/>
  <c r="F2630" i="3"/>
  <c r="F2399" i="3"/>
  <c r="F3385" i="3"/>
  <c r="F6259" i="3"/>
  <c r="F5941" i="3"/>
  <c r="D2537" i="3"/>
  <c r="D2540" i="3"/>
  <c r="D2542" i="3"/>
  <c r="D2535" i="3"/>
  <c r="D2541" i="3"/>
  <c r="D2536" i="3"/>
  <c r="D2538" i="3"/>
  <c r="D2539" i="3"/>
  <c r="I2539" i="3" s="1"/>
  <c r="F215" i="3"/>
  <c r="F649" i="3"/>
  <c r="F1812" i="3"/>
  <c r="F2136" i="3"/>
  <c r="F1377" i="3"/>
  <c r="F3366" i="3"/>
  <c r="F3486" i="3"/>
  <c r="F4829" i="3"/>
  <c r="F4283" i="3"/>
  <c r="F6008" i="3"/>
  <c r="F5571" i="3"/>
  <c r="D1167" i="3"/>
  <c r="D1171" i="3"/>
  <c r="D1165" i="3"/>
  <c r="D1169" i="3"/>
  <c r="D1172" i="3"/>
  <c r="D1173" i="3"/>
  <c r="D1164" i="3"/>
  <c r="D1174" i="3"/>
  <c r="D1168" i="3"/>
  <c r="D1170" i="3"/>
  <c r="D1166" i="3"/>
  <c r="F2372" i="3"/>
  <c r="D628" i="3"/>
  <c r="F194" i="3"/>
  <c r="F744" i="3"/>
  <c r="F1056" i="3"/>
  <c r="F1361" i="3"/>
  <c r="F1906" i="3"/>
  <c r="F2362" i="3"/>
  <c r="F1800" i="3"/>
  <c r="F2601" i="3"/>
  <c r="F2797" i="3"/>
  <c r="F3354" i="3"/>
  <c r="F3951" i="3"/>
  <c r="F4271" i="3"/>
  <c r="F4512" i="3"/>
  <c r="F5290" i="3"/>
  <c r="F4644" i="3"/>
  <c r="F4817" i="3"/>
  <c r="F5927" i="3"/>
  <c r="F5992" i="3"/>
  <c r="F6241" i="3"/>
  <c r="F5544" i="3"/>
  <c r="F5064" i="3"/>
  <c r="F6589" i="3"/>
  <c r="D103" i="3"/>
  <c r="D111" i="3"/>
  <c r="D119" i="3"/>
  <c r="D97" i="3"/>
  <c r="D105" i="3"/>
  <c r="D113" i="3"/>
  <c r="D121" i="3"/>
  <c r="D99" i="3"/>
  <c r="D107" i="3"/>
  <c r="D115" i="3"/>
  <c r="I115" i="3" s="1"/>
  <c r="D123" i="3"/>
  <c r="D106" i="3"/>
  <c r="D118" i="3"/>
  <c r="D98" i="3"/>
  <c r="D110" i="3"/>
  <c r="D101" i="3"/>
  <c r="D114" i="3"/>
  <c r="D102" i="3"/>
  <c r="D116" i="3"/>
  <c r="D104" i="3"/>
  <c r="D117" i="3"/>
  <c r="D122" i="3"/>
  <c r="D100" i="3"/>
  <c r="D109" i="3"/>
  <c r="D112" i="3"/>
  <c r="D120" i="3"/>
  <c r="D96" i="3"/>
  <c r="D108" i="3"/>
  <c r="F104" i="3"/>
  <c r="F243" i="3"/>
  <c r="F151" i="3"/>
  <c r="F54" i="3"/>
  <c r="F1011" i="3"/>
  <c r="F636" i="3"/>
  <c r="F768" i="3"/>
  <c r="F992" i="3"/>
  <c r="F486" i="3"/>
  <c r="F510" i="3"/>
  <c r="F594" i="3"/>
  <c r="F895" i="3"/>
  <c r="F1143" i="3"/>
  <c r="F1312" i="3"/>
  <c r="F412" i="3"/>
  <c r="F1209" i="3"/>
  <c r="F1241" i="3"/>
  <c r="F1402" i="3"/>
  <c r="F1179" i="3"/>
  <c r="F964" i="3"/>
  <c r="F1075" i="3"/>
  <c r="F1526" i="3"/>
  <c r="F1830" i="3"/>
  <c r="F1783" i="3"/>
  <c r="F1633" i="3"/>
  <c r="F2164" i="3"/>
  <c r="F2537" i="3"/>
  <c r="F2522" i="3"/>
  <c r="F1964" i="3"/>
  <c r="F2403" i="3"/>
  <c r="F2716" i="3"/>
  <c r="F2944" i="3"/>
  <c r="F3096" i="3"/>
  <c r="F3041" i="3"/>
  <c r="F2331" i="3"/>
  <c r="F3140" i="3"/>
  <c r="F3164" i="3"/>
  <c r="F3188" i="3"/>
  <c r="F3509" i="3"/>
  <c r="F3645" i="3"/>
  <c r="F3989" i="3"/>
  <c r="F3387" i="3"/>
  <c r="F3750" i="3"/>
  <c r="F2824" i="3"/>
  <c r="F4247" i="3"/>
  <c r="F4471" i="3"/>
  <c r="F3792" i="3"/>
  <c r="F4120" i="3"/>
  <c r="F3075" i="3"/>
  <c r="F3737" i="3"/>
  <c r="F5027" i="3"/>
  <c r="F5283" i="3"/>
  <c r="F4748" i="3"/>
  <c r="F4804" i="3"/>
  <c r="F4844" i="3"/>
  <c r="F4629" i="3"/>
  <c r="F4925" i="3"/>
  <c r="F5413" i="3"/>
  <c r="F4670" i="3"/>
  <c r="F5270" i="3"/>
  <c r="F5366" i="3"/>
  <c r="F3666" i="3"/>
  <c r="F5223" i="3"/>
  <c r="F5311" i="3"/>
  <c r="F5105" i="3"/>
  <c r="F5449" i="3"/>
  <c r="F5609" i="3"/>
  <c r="F6391" i="3"/>
  <c r="F6607" i="3"/>
  <c r="F6408" i="3"/>
  <c r="F6528" i="3"/>
  <c r="F4542" i="3"/>
  <c r="F5754" i="3"/>
  <c r="F5874" i="3"/>
  <c r="F6330" i="3"/>
  <c r="F6483" i="3"/>
  <c r="F6555" i="3"/>
  <c r="F6140" i="3"/>
  <c r="F6029" i="3"/>
  <c r="F5487" i="3"/>
  <c r="F5830" i="3"/>
  <c r="F6446" i="3"/>
  <c r="D2601" i="3"/>
  <c r="D2609" i="3"/>
  <c r="D2617" i="3"/>
  <c r="D2625" i="3"/>
  <c r="D2633" i="3"/>
  <c r="D2641" i="3"/>
  <c r="D2649" i="3"/>
  <c r="D2657" i="3"/>
  <c r="D2665" i="3"/>
  <c r="D2673" i="3"/>
  <c r="D2681" i="3"/>
  <c r="D2689" i="3"/>
  <c r="D2697" i="3"/>
  <c r="D2705" i="3"/>
  <c r="D2604" i="3"/>
  <c r="D2612" i="3"/>
  <c r="D2620" i="3"/>
  <c r="D2628" i="3"/>
  <c r="D2636" i="3"/>
  <c r="D2644" i="3"/>
  <c r="D2652" i="3"/>
  <c r="D2660" i="3"/>
  <c r="D2668" i="3"/>
  <c r="D2676" i="3"/>
  <c r="D2684" i="3"/>
  <c r="D2692" i="3"/>
  <c r="D2700" i="3"/>
  <c r="D2606" i="3"/>
  <c r="D2614" i="3"/>
  <c r="D2622" i="3"/>
  <c r="D2630" i="3"/>
  <c r="D2607" i="3"/>
  <c r="D2615" i="3"/>
  <c r="D2623" i="3"/>
  <c r="D2631" i="3"/>
  <c r="D2639" i="3"/>
  <c r="D2647" i="3"/>
  <c r="D2655" i="3"/>
  <c r="D2663" i="3"/>
  <c r="D2605" i="3"/>
  <c r="D2621" i="3"/>
  <c r="D2637" i="3"/>
  <c r="D2650" i="3"/>
  <c r="D2662" i="3"/>
  <c r="D2674" i="3"/>
  <c r="D2685" i="3"/>
  <c r="D2695" i="3"/>
  <c r="D2706" i="3"/>
  <c r="D2611" i="3"/>
  <c r="D2627" i="3"/>
  <c r="D2642" i="3"/>
  <c r="D2654" i="3"/>
  <c r="D2667" i="3"/>
  <c r="D2678" i="3"/>
  <c r="D2688" i="3"/>
  <c r="D2699" i="3"/>
  <c r="D2613" i="3"/>
  <c r="D2629" i="3"/>
  <c r="D2643" i="3"/>
  <c r="D2656" i="3"/>
  <c r="D2669" i="3"/>
  <c r="D2679" i="3"/>
  <c r="D2690" i="3"/>
  <c r="D2701" i="3"/>
  <c r="D2600" i="3"/>
  <c r="D2616" i="3"/>
  <c r="D2632" i="3"/>
  <c r="D2645" i="3"/>
  <c r="D2658" i="3"/>
  <c r="D2670" i="3"/>
  <c r="D2680" i="3"/>
  <c r="D2691" i="3"/>
  <c r="D2702" i="3"/>
  <c r="D2602" i="3"/>
  <c r="D2618" i="3"/>
  <c r="D2634" i="3"/>
  <c r="D2646" i="3"/>
  <c r="D2659" i="3"/>
  <c r="D2671" i="3"/>
  <c r="D2682" i="3"/>
  <c r="D2693" i="3"/>
  <c r="D2703" i="3"/>
  <c r="D2624" i="3"/>
  <c r="D2661" i="3"/>
  <c r="D2687" i="3"/>
  <c r="D2626" i="3"/>
  <c r="D2664" i="3"/>
  <c r="D2694" i="3"/>
  <c r="D2635" i="3"/>
  <c r="D2666" i="3"/>
  <c r="D2696" i="3"/>
  <c r="D2638" i="3"/>
  <c r="D2672" i="3"/>
  <c r="D2698" i="3"/>
  <c r="D2603" i="3"/>
  <c r="D2640" i="3"/>
  <c r="D2675" i="3"/>
  <c r="D2704" i="3"/>
  <c r="D2608" i="3"/>
  <c r="D2648" i="3"/>
  <c r="D2677" i="3"/>
  <c r="D2707" i="3"/>
  <c r="D2610" i="3"/>
  <c r="D2651" i="3"/>
  <c r="D2683" i="3"/>
  <c r="D2619" i="3"/>
  <c r="D2653" i="3"/>
  <c r="D2686" i="3"/>
  <c r="F204" i="3"/>
  <c r="F1926" i="3"/>
  <c r="F2375" i="3"/>
  <c r="F2124" i="3"/>
  <c r="F3965" i="3"/>
  <c r="F4519" i="3"/>
  <c r="F5562" i="3"/>
  <c r="F5077" i="3"/>
  <c r="F6249" i="3"/>
  <c r="D735" i="3"/>
  <c r="D731" i="3"/>
  <c r="D739" i="3"/>
  <c r="D738" i="3"/>
  <c r="D732" i="3"/>
  <c r="D742" i="3"/>
  <c r="D734" i="3"/>
  <c r="D736" i="3"/>
  <c r="D737" i="3"/>
  <c r="D733" i="3"/>
  <c r="D741" i="3"/>
  <c r="D740" i="3"/>
  <c r="F139" i="3"/>
  <c r="F2306" i="3"/>
  <c r="D95" i="3"/>
  <c r="D94" i="3"/>
  <c r="F241" i="3"/>
  <c r="F1400" i="3"/>
  <c r="F2402" i="3"/>
  <c r="F2163" i="3"/>
  <c r="F5608" i="3"/>
  <c r="D2593" i="3"/>
  <c r="D2596" i="3"/>
  <c r="D2590" i="3"/>
  <c r="D2591" i="3"/>
  <c r="D2595" i="3"/>
  <c r="D2592" i="3"/>
  <c r="D2594" i="3"/>
  <c r="F1565" i="3"/>
  <c r="F5602" i="3"/>
  <c r="D2497" i="3"/>
  <c r="D2498" i="3"/>
  <c r="F1954" i="3"/>
  <c r="D2305" i="3"/>
  <c r="F228" i="3"/>
  <c r="F1389" i="3"/>
  <c r="F1821" i="3"/>
  <c r="F2151" i="3"/>
  <c r="F2392" i="3"/>
  <c r="F4292" i="3"/>
  <c r="F3843" i="3"/>
  <c r="F6018" i="3"/>
  <c r="D1697" i="3"/>
  <c r="D1692" i="3"/>
  <c r="D1694" i="3"/>
  <c r="D1695" i="3"/>
  <c r="D1691" i="3"/>
  <c r="D1696" i="3"/>
  <c r="D1690" i="3"/>
  <c r="D1693" i="3"/>
  <c r="F2146" i="3"/>
  <c r="F1945" i="3"/>
  <c r="F5586" i="3"/>
  <c r="D1593" i="3"/>
  <c r="D1595" i="3"/>
  <c r="D1594" i="3"/>
  <c r="F650" i="3"/>
  <c r="F2141" i="3"/>
  <c r="F3491" i="3"/>
  <c r="F6383" i="3"/>
  <c r="D1355" i="3"/>
  <c r="D1354" i="3"/>
  <c r="D1356" i="3"/>
  <c r="F217" i="3"/>
  <c r="F1814" i="3"/>
  <c r="F1379" i="3"/>
  <c r="F2617" i="3"/>
  <c r="F2137" i="3"/>
  <c r="F2383" i="3"/>
  <c r="F4285" i="3"/>
  <c r="F3488" i="3"/>
  <c r="F3369" i="3"/>
  <c r="F4830" i="3"/>
  <c r="F5086" i="3"/>
  <c r="F5574" i="3"/>
  <c r="F6010" i="3"/>
  <c r="F6252" i="3"/>
  <c r="D1207" i="3"/>
  <c r="D1215" i="3"/>
  <c r="D1211" i="3"/>
  <c r="D1204" i="3"/>
  <c r="D1214" i="3"/>
  <c r="D1208" i="3"/>
  <c r="D1218" i="3"/>
  <c r="D1210" i="3"/>
  <c r="D1212" i="3"/>
  <c r="D1213" i="3"/>
  <c r="D1209" i="3"/>
  <c r="D1205" i="3"/>
  <c r="D1206" i="3"/>
  <c r="D1216" i="3"/>
  <c r="D1217" i="3"/>
  <c r="F212" i="3"/>
  <c r="F22" i="3"/>
  <c r="F752" i="3"/>
  <c r="F845" i="3"/>
  <c r="F882" i="3"/>
  <c r="F1706" i="3"/>
  <c r="F396" i="3"/>
  <c r="F1934" i="3"/>
  <c r="F2133" i="3"/>
  <c r="F3229" i="3"/>
  <c r="F3970" i="3"/>
  <c r="F3835" i="3"/>
  <c r="F5357" i="3"/>
  <c r="F5517" i="3"/>
  <c r="F4654" i="3"/>
  <c r="F6121" i="3"/>
  <c r="F5861" i="3"/>
  <c r="D1039" i="3"/>
  <c r="D1047" i="3"/>
  <c r="D1035" i="3"/>
  <c r="D1043" i="3"/>
  <c r="D1051" i="3"/>
  <c r="D1037" i="3"/>
  <c r="D1048" i="3"/>
  <c r="D1041" i="3"/>
  <c r="D1052" i="3"/>
  <c r="D1033" i="3"/>
  <c r="D1044" i="3"/>
  <c r="D1054" i="3"/>
  <c r="I1054" i="3" s="1"/>
  <c r="D1034" i="3"/>
  <c r="D1045" i="3"/>
  <c r="D1036" i="3"/>
  <c r="D1046" i="3"/>
  <c r="D1038" i="3"/>
  <c r="D1049" i="3"/>
  <c r="D1053" i="3"/>
  <c r="D1032" i="3"/>
  <c r="D1040" i="3"/>
  <c r="D1042" i="3"/>
  <c r="D1050" i="3"/>
  <c r="F2611" i="3"/>
  <c r="F2808" i="3"/>
  <c r="F3832" i="3"/>
  <c r="F4522" i="3"/>
  <c r="F6003" i="3"/>
  <c r="D967" i="3"/>
  <c r="D966" i="3"/>
  <c r="D964" i="3"/>
  <c r="D968" i="3"/>
  <c r="D965" i="3"/>
  <c r="F5076" i="3"/>
  <c r="D702" i="3"/>
  <c r="F97" i="3"/>
  <c r="F748" i="3"/>
  <c r="F201" i="3"/>
  <c r="F1060" i="3"/>
  <c r="F1299" i="3"/>
  <c r="F1622" i="3"/>
  <c r="F1367" i="3"/>
  <c r="F1804" i="3"/>
  <c r="F2607" i="3"/>
  <c r="F1916" i="3"/>
  <c r="F2802" i="3"/>
  <c r="F2371" i="3"/>
  <c r="F2117" i="3"/>
  <c r="F3477" i="3"/>
  <c r="F3959" i="3"/>
  <c r="F4092" i="3"/>
  <c r="F4516" i="3"/>
  <c r="F3359" i="3"/>
  <c r="F4821" i="3"/>
  <c r="F4274" i="3"/>
  <c r="F5073" i="3"/>
  <c r="F4648" i="3"/>
  <c r="F5555" i="3"/>
  <c r="F6592" i="3"/>
  <c r="F5817" i="3"/>
  <c r="F5292" i="3"/>
  <c r="F5998" i="3"/>
  <c r="D583" i="3"/>
  <c r="D591" i="3"/>
  <c r="D599" i="3"/>
  <c r="D607" i="3"/>
  <c r="D587" i="3"/>
  <c r="D595" i="3"/>
  <c r="D603" i="3"/>
  <c r="D611" i="3"/>
  <c r="D588" i="3"/>
  <c r="D598" i="3"/>
  <c r="D609" i="3"/>
  <c r="D592" i="3"/>
  <c r="D602" i="3"/>
  <c r="D613" i="3"/>
  <c r="D584" i="3"/>
  <c r="D594" i="3"/>
  <c r="D605" i="3"/>
  <c r="D585" i="3"/>
  <c r="D596" i="3"/>
  <c r="D606" i="3"/>
  <c r="D586" i="3"/>
  <c r="D597" i="3"/>
  <c r="D608" i="3"/>
  <c r="D590" i="3"/>
  <c r="D601" i="3"/>
  <c r="D610" i="3"/>
  <c r="D612" i="3"/>
  <c r="D589" i="3"/>
  <c r="D614" i="3"/>
  <c r="D604" i="3"/>
  <c r="D593" i="3"/>
  <c r="D600" i="3"/>
  <c r="F5993" i="3"/>
  <c r="D174" i="3"/>
  <c r="F192" i="3"/>
  <c r="F1359" i="3"/>
  <c r="F2109" i="3"/>
  <c r="F3470" i="3"/>
  <c r="D81" i="3"/>
  <c r="D83" i="3"/>
  <c r="D80" i="3"/>
  <c r="D82" i="3"/>
  <c r="F4997" i="3"/>
  <c r="F5063" i="3"/>
  <c r="D48" i="3"/>
  <c r="F475" i="3"/>
  <c r="F506" i="3"/>
  <c r="F742" i="3"/>
  <c r="F730" i="3"/>
  <c r="F361" i="3"/>
  <c r="F839" i="3"/>
  <c r="F961" i="3"/>
  <c r="F1295" i="3"/>
  <c r="F1353" i="3"/>
  <c r="F1683" i="3"/>
  <c r="F1131" i="3"/>
  <c r="F1509" i="3"/>
  <c r="F1776" i="3"/>
  <c r="F2102" i="3"/>
  <c r="F2301" i="3"/>
  <c r="F1796" i="3"/>
  <c r="F1896" i="3"/>
  <c r="F2706" i="3"/>
  <c r="F2359" i="3"/>
  <c r="F3304" i="3"/>
  <c r="F2596" i="3"/>
  <c r="F4509" i="3"/>
  <c r="F3622" i="3"/>
  <c r="F4262" i="3"/>
  <c r="F3067" i="3"/>
  <c r="F4359" i="3"/>
  <c r="F3600" i="3"/>
  <c r="F3712" i="3"/>
  <c r="F4241" i="3"/>
  <c r="F3345" i="3"/>
  <c r="F4730" i="3"/>
  <c r="F4083" i="3"/>
  <c r="F4418" i="3"/>
  <c r="F4772" i="3"/>
  <c r="F5205" i="3"/>
  <c r="F4960" i="3"/>
  <c r="F6105" i="3"/>
  <c r="F5476" i="3"/>
  <c r="F5512" i="3"/>
  <c r="F5740" i="3"/>
  <c r="F6236" i="3"/>
  <c r="F6374" i="3"/>
  <c r="F357" i="3"/>
  <c r="F718" i="3"/>
  <c r="F1506" i="3"/>
  <c r="F577" i="3"/>
  <c r="F1775" i="3"/>
  <c r="F2096" i="3"/>
  <c r="F2296" i="3"/>
  <c r="F2486" i="3"/>
  <c r="F3302" i="3"/>
  <c r="F3710" i="3"/>
  <c r="F4206" i="3"/>
  <c r="F4081" i="3"/>
  <c r="F3596" i="3"/>
  <c r="F5202" i="3"/>
  <c r="F5405" i="3"/>
  <c r="F5736" i="3"/>
  <c r="F6217" i="3"/>
  <c r="F5802" i="3"/>
  <c r="F4728" i="3"/>
  <c r="F6516" i="3"/>
  <c r="F5925" i="3"/>
  <c r="F574" i="3"/>
  <c r="F5976" i="3"/>
  <c r="F467" i="3"/>
  <c r="F691" i="3"/>
  <c r="F343" i="3"/>
  <c r="F170" i="3"/>
  <c r="F186" i="3"/>
  <c r="F46" i="3"/>
  <c r="F952" i="3"/>
  <c r="F977" i="3"/>
  <c r="F870" i="3"/>
  <c r="F1162" i="3"/>
  <c r="F1123" i="3"/>
  <c r="F1572" i="3"/>
  <c r="F1493" i="3"/>
  <c r="F1557" i="3"/>
  <c r="F830" i="3"/>
  <c r="F1678" i="3"/>
  <c r="F1052" i="3"/>
  <c r="F1196" i="3"/>
  <c r="F1591" i="3"/>
  <c r="F1887" i="3"/>
  <c r="F1600" i="3"/>
  <c r="F2280" i="3"/>
  <c r="F1349" i="3"/>
  <c r="F1568" i="3"/>
  <c r="F2534" i="3"/>
  <c r="F2766" i="3"/>
  <c r="F2084" i="3"/>
  <c r="F2355" i="3"/>
  <c r="F2562" i="3"/>
  <c r="F2533" i="3"/>
  <c r="F2789" i="3"/>
  <c r="F2588" i="3"/>
  <c r="F3215" i="3"/>
  <c r="F3295" i="3"/>
  <c r="F2319" i="3"/>
  <c r="F2696" i="3"/>
  <c r="F2976" i="3"/>
  <c r="F3000" i="3"/>
  <c r="F2739" i="3"/>
  <c r="F1768" i="3"/>
  <c r="F2476" i="3"/>
  <c r="F3126" i="3"/>
  <c r="F3179" i="3"/>
  <c r="F4199" i="3"/>
  <c r="F4383" i="3"/>
  <c r="F3896" i="3"/>
  <c r="F4440" i="3"/>
  <c r="F4504" i="3"/>
  <c r="F3450" i="3"/>
  <c r="F2882" i="3"/>
  <c r="F3636" i="3"/>
  <c r="F3764" i="3"/>
  <c r="F4770" i="3"/>
  <c r="F5538" i="3"/>
  <c r="F3706" i="3"/>
  <c r="F5043" i="3"/>
  <c r="F5259" i="3"/>
  <c r="F4956" i="3"/>
  <c r="F5060" i="3"/>
  <c r="F5509" i="3"/>
  <c r="F3587" i="3"/>
  <c r="F4791" i="3"/>
  <c r="F5279" i="3"/>
  <c r="F4609" i="3"/>
  <c r="F5401" i="3"/>
  <c r="F5473" i="3"/>
  <c r="F6095" i="3"/>
  <c r="F6423" i="3"/>
  <c r="F5720" i="3"/>
  <c r="F6369" i="3"/>
  <c r="F4074" i="3"/>
  <c r="F4720" i="3"/>
  <c r="F6210" i="3"/>
  <c r="F6467" i="3"/>
  <c r="F6571" i="3"/>
  <c r="F6588" i="3"/>
  <c r="F5192" i="3"/>
  <c r="F5917" i="3"/>
  <c r="F4896" i="3"/>
  <c r="F5431" i="3"/>
  <c r="F6310" i="3"/>
  <c r="F339" i="3"/>
  <c r="F464" i="3"/>
  <c r="F569" i="3"/>
  <c r="F1489" i="3"/>
  <c r="F2079" i="3"/>
  <c r="F2274" i="3"/>
  <c r="F3292" i="3"/>
  <c r="F3582" i="3"/>
  <c r="F4071" i="3"/>
  <c r="F4195" i="3"/>
  <c r="F6298" i="3"/>
  <c r="F5716" i="3"/>
  <c r="F5974" i="3"/>
  <c r="F623" i="3"/>
  <c r="F2268" i="3"/>
  <c r="F2073" i="3"/>
  <c r="F4064" i="3"/>
  <c r="F4188" i="3"/>
  <c r="F5399" i="3"/>
  <c r="F5912" i="3"/>
  <c r="F6202" i="3"/>
  <c r="F5710" i="3"/>
  <c r="F328" i="3"/>
  <c r="F1113" i="3"/>
  <c r="F1479" i="3"/>
  <c r="F1879" i="3"/>
  <c r="F2464" i="3"/>
  <c r="F941" i="3"/>
  <c r="F2066" i="3"/>
  <c r="F2684" i="3"/>
  <c r="F2874" i="3"/>
  <c r="F3439" i="3"/>
  <c r="F3887" i="3"/>
  <c r="F5180" i="3"/>
  <c r="F4710" i="3"/>
  <c r="F4886" i="3"/>
  <c r="F4600" i="3"/>
  <c r="F5704" i="3"/>
  <c r="F4346" i="3"/>
  <c r="F5971" i="3"/>
  <c r="F6084" i="3"/>
  <c r="F563" i="3"/>
  <c r="F2060" i="3"/>
  <c r="F4056" i="3"/>
  <c r="F4180" i="3"/>
  <c r="F5698" i="3"/>
  <c r="F6194" i="3"/>
  <c r="F5909" i="3"/>
  <c r="D6583" i="3"/>
  <c r="D6584" i="3"/>
  <c r="D6577" i="3"/>
  <c r="D6585" i="3"/>
  <c r="D6578" i="3"/>
  <c r="D6586" i="3"/>
  <c r="F3881" i="3"/>
  <c r="F4594" i="3"/>
  <c r="D6424" i="3"/>
  <c r="D6425" i="3"/>
  <c r="F739" i="3"/>
  <c r="F117" i="3"/>
  <c r="I117" i="3" s="1"/>
  <c r="F450" i="3"/>
  <c r="F502" i="3"/>
  <c r="F14" i="3"/>
  <c r="F558" i="3"/>
  <c r="F726" i="3"/>
  <c r="F1189" i="3"/>
  <c r="F376" i="3"/>
  <c r="F809" i="3"/>
  <c r="F644" i="3"/>
  <c r="F1217" i="3"/>
  <c r="F514" i="3"/>
  <c r="F1282" i="3"/>
  <c r="F1338" i="3"/>
  <c r="F1794" i="3"/>
  <c r="F1663" i="3"/>
  <c r="F1293" i="3"/>
  <c r="F2726" i="3"/>
  <c r="F2754" i="3"/>
  <c r="F2541" i="3"/>
  <c r="F2951" i="3"/>
  <c r="F3343" i="3"/>
  <c r="F3154" i="3"/>
  <c r="F2908" i="3"/>
  <c r="F2932" i="3"/>
  <c r="F3084" i="3"/>
  <c r="F3110" i="3"/>
  <c r="F3693" i="3"/>
  <c r="F4237" i="3"/>
  <c r="F2350" i="3"/>
  <c r="F4415" i="3"/>
  <c r="F4495" i="3"/>
  <c r="F3464" i="3"/>
  <c r="F3059" i="3"/>
  <c r="F4259" i="3"/>
  <c r="F4946" i="3"/>
  <c r="F4638" i="3"/>
  <c r="F4766" i="3"/>
  <c r="F5502" i="3"/>
  <c r="F3618" i="3"/>
  <c r="F4983" i="3"/>
  <c r="F5247" i="3"/>
  <c r="F6232" i="3"/>
  <c r="F6432" i="3"/>
  <c r="F6512" i="3"/>
  <c r="F5436" i="3"/>
  <c r="F6497" i="3"/>
  <c r="F5771" i="3"/>
  <c r="F5811" i="3"/>
  <c r="I5811" i="3" s="1"/>
  <c r="F6357" i="3"/>
  <c r="D6245" i="3"/>
  <c r="D6253" i="3"/>
  <c r="D6261" i="3"/>
  <c r="D6269" i="3"/>
  <c r="D6277" i="3"/>
  <c r="D6285" i="3"/>
  <c r="D6293" i="3"/>
  <c r="D6301" i="3"/>
  <c r="D6309" i="3"/>
  <c r="D6246" i="3"/>
  <c r="I6246" i="3" s="1"/>
  <c r="D6254" i="3"/>
  <c r="D6262" i="3"/>
  <c r="D6270" i="3"/>
  <c r="D6278" i="3"/>
  <c r="D6286" i="3"/>
  <c r="D6294" i="3"/>
  <c r="D6302" i="3"/>
  <c r="D6247" i="3"/>
  <c r="D6255" i="3"/>
  <c r="D6263" i="3"/>
  <c r="D6271" i="3"/>
  <c r="D6279" i="3"/>
  <c r="D6287" i="3"/>
  <c r="D6295" i="3"/>
  <c r="D6303" i="3"/>
  <c r="D6240" i="3"/>
  <c r="D6248" i="3"/>
  <c r="D6256" i="3"/>
  <c r="D6264" i="3"/>
  <c r="D6272" i="3"/>
  <c r="D6280" i="3"/>
  <c r="D6288" i="3"/>
  <c r="H6288" i="3" s="1"/>
  <c r="D6296" i="3"/>
  <c r="D6304" i="3"/>
  <c r="D6241" i="3"/>
  <c r="D6249" i="3"/>
  <c r="D6257" i="3"/>
  <c r="D6265" i="3"/>
  <c r="D6273" i="3"/>
  <c r="H6273" i="3" s="1"/>
  <c r="D6281" i="3"/>
  <c r="D6289" i="3"/>
  <c r="D6297" i="3"/>
  <c r="D6305" i="3"/>
  <c r="D6242" i="3"/>
  <c r="D6250" i="3"/>
  <c r="D6258" i="3"/>
  <c r="D6266" i="3"/>
  <c r="D6274" i="3"/>
  <c r="D6282" i="3"/>
  <c r="D6290" i="3"/>
  <c r="D6298" i="3"/>
  <c r="D6306" i="3"/>
  <c r="F73" i="3"/>
  <c r="F499" i="3"/>
  <c r="F445" i="3"/>
  <c r="F607" i="3"/>
  <c r="F804" i="3"/>
  <c r="F932" i="3"/>
  <c r="F312" i="3"/>
  <c r="F1103" i="3"/>
  <c r="F1546" i="3"/>
  <c r="F1659" i="3"/>
  <c r="F1870" i="3"/>
  <c r="F1333" i="3"/>
  <c r="F1463" i="3"/>
  <c r="F1751" i="3"/>
  <c r="F2248" i="3"/>
  <c r="F2670" i="3"/>
  <c r="F2452" i="3"/>
  <c r="F2044" i="3"/>
  <c r="F3314" i="3"/>
  <c r="F3276" i="3"/>
  <c r="F4335" i="3"/>
  <c r="F3689" i="3"/>
  <c r="F3729" i="3"/>
  <c r="F4169" i="3"/>
  <c r="F3876" i="3"/>
  <c r="F4762" i="3"/>
  <c r="F5163" i="3"/>
  <c r="F4877" i="3"/>
  <c r="F4697" i="3"/>
  <c r="F5687" i="3"/>
  <c r="F5783" i="3"/>
  <c r="F6072" i="3"/>
  <c r="F6353" i="3"/>
  <c r="F3427" i="3"/>
  <c r="F3563" i="3"/>
  <c r="F6494" i="3"/>
  <c r="D5813" i="3"/>
  <c r="D5821" i="3"/>
  <c r="D5829" i="3"/>
  <c r="D5837" i="3"/>
  <c r="D5845" i="3"/>
  <c r="D5814" i="3"/>
  <c r="D5822" i="3"/>
  <c r="D5830" i="3"/>
  <c r="D5838" i="3"/>
  <c r="D5846" i="3"/>
  <c r="D5815" i="3"/>
  <c r="D5823" i="3"/>
  <c r="D5831" i="3"/>
  <c r="D5839" i="3"/>
  <c r="D5847" i="3"/>
  <c r="D5816" i="3"/>
  <c r="D5824" i="3"/>
  <c r="D5832" i="3"/>
  <c r="D5840" i="3"/>
  <c r="D5848" i="3"/>
  <c r="D5817" i="3"/>
  <c r="D5825" i="3"/>
  <c r="D5833" i="3"/>
  <c r="D5841" i="3"/>
  <c r="D5849" i="3"/>
  <c r="D5818" i="3"/>
  <c r="D5826" i="3"/>
  <c r="D5834" i="3"/>
  <c r="D5842" i="3"/>
  <c r="D5850" i="3"/>
  <c r="D5819" i="3"/>
  <c r="D5827" i="3"/>
  <c r="D5835" i="3"/>
  <c r="D5843" i="3"/>
  <c r="D5851" i="3"/>
  <c r="F443" i="3"/>
  <c r="F309" i="3"/>
  <c r="F1460" i="3"/>
  <c r="F1748" i="3"/>
  <c r="F2039" i="3"/>
  <c r="F2245" i="3"/>
  <c r="F3206" i="3"/>
  <c r="F3560" i="3"/>
  <c r="F3872" i="3"/>
  <c r="F4585" i="3"/>
  <c r="F5389" i="3"/>
  <c r="F4043" i="3"/>
  <c r="F4695" i="3"/>
  <c r="F3275" i="3"/>
  <c r="F6184" i="3"/>
  <c r="F5684" i="3"/>
  <c r="F5902" i="3"/>
  <c r="D5517" i="3"/>
  <c r="D5525" i="3"/>
  <c r="D5533" i="3"/>
  <c r="D5518" i="3"/>
  <c r="D5526" i="3"/>
  <c r="D5534" i="3"/>
  <c r="D5519" i="3"/>
  <c r="D5527" i="3"/>
  <c r="D5535" i="3"/>
  <c r="D5520" i="3"/>
  <c r="D5528" i="3"/>
  <c r="D5536" i="3"/>
  <c r="D5521" i="3"/>
  <c r="D5529" i="3"/>
  <c r="D5537" i="3"/>
  <c r="D5522" i="3"/>
  <c r="D5530" i="3"/>
  <c r="D5538" i="3"/>
  <c r="D5515" i="3"/>
  <c r="D5523" i="3"/>
  <c r="D5531" i="3"/>
  <c r="D5539" i="3"/>
  <c r="D5516" i="3"/>
  <c r="D5524" i="3"/>
  <c r="D5532" i="3"/>
  <c r="F2441" i="3"/>
  <c r="F2570" i="3"/>
  <c r="F3019" i="3"/>
  <c r="F4938" i="3"/>
  <c r="F5153" i="3"/>
  <c r="F5671" i="3"/>
  <c r="D5005" i="3"/>
  <c r="D5003" i="3"/>
  <c r="D5004" i="3"/>
  <c r="F5668" i="3"/>
  <c r="D4961" i="3"/>
  <c r="D4962" i="3"/>
  <c r="F290" i="3"/>
  <c r="F920" i="3"/>
  <c r="F546" i="3"/>
  <c r="F433" i="3"/>
  <c r="F1650" i="3"/>
  <c r="F1738" i="3"/>
  <c r="F1092" i="3"/>
  <c r="F1444" i="3"/>
  <c r="F1855" i="3"/>
  <c r="F2224" i="3"/>
  <c r="F2021" i="3"/>
  <c r="F2654" i="3"/>
  <c r="F2852" i="3"/>
  <c r="F3266" i="3"/>
  <c r="F2436" i="3"/>
  <c r="F2341" i="3"/>
  <c r="F4150" i="3"/>
  <c r="F4320" i="3"/>
  <c r="F3546" i="3"/>
  <c r="F4867" i="3"/>
  <c r="F3682" i="3"/>
  <c r="F5148" i="3"/>
  <c r="F4686" i="3"/>
  <c r="F4574" i="3"/>
  <c r="F6056" i="3"/>
  <c r="F5841" i="3"/>
  <c r="F6345" i="3"/>
  <c r="F5384" i="3"/>
  <c r="F4026" i="3"/>
  <c r="F5663" i="3"/>
  <c r="F6171" i="3"/>
  <c r="I6171" i="3" s="1"/>
  <c r="F5956" i="3"/>
  <c r="F6278" i="3"/>
  <c r="D4739" i="3"/>
  <c r="D4747" i="3"/>
  <c r="D4755" i="3"/>
  <c r="D4763" i="3"/>
  <c r="D4740" i="3"/>
  <c r="D4748" i="3"/>
  <c r="D4756" i="3"/>
  <c r="D4744" i="3"/>
  <c r="D4754" i="3"/>
  <c r="D4765" i="3"/>
  <c r="D4735" i="3"/>
  <c r="D4745" i="3"/>
  <c r="D4757" i="3"/>
  <c r="D4766" i="3"/>
  <c r="D4736" i="3"/>
  <c r="D4746" i="3"/>
  <c r="D4758" i="3"/>
  <c r="D4767" i="3"/>
  <c r="D4737" i="3"/>
  <c r="D4749" i="3"/>
  <c r="D4759" i="3"/>
  <c r="D4768" i="3"/>
  <c r="D4738" i="3"/>
  <c r="D4750" i="3"/>
  <c r="D4760" i="3"/>
  <c r="D4769" i="3"/>
  <c r="D4741" i="3"/>
  <c r="D4751" i="3"/>
  <c r="D4761" i="3"/>
  <c r="D4770" i="3"/>
  <c r="D4742" i="3"/>
  <c r="D4752" i="3"/>
  <c r="D4762" i="3"/>
  <c r="D4771" i="3"/>
  <c r="D4743" i="3"/>
  <c r="D4753" i="3"/>
  <c r="D4764" i="3"/>
  <c r="D4772" i="3"/>
  <c r="F429" i="3"/>
  <c r="F1734" i="3"/>
  <c r="F2016" i="3"/>
  <c r="F2218" i="3"/>
  <c r="F3262" i="3"/>
  <c r="F3541" i="3"/>
  <c r="F4022" i="3"/>
  <c r="F6167" i="3"/>
  <c r="D4443" i="3"/>
  <c r="D4444" i="3"/>
  <c r="D4445" i="3"/>
  <c r="D4446" i="3"/>
  <c r="D4448" i="3"/>
  <c r="D4449" i="3"/>
  <c r="D4442" i="3"/>
  <c r="D4447" i="3"/>
  <c r="F283" i="3"/>
  <c r="F1851" i="3"/>
  <c r="F1733" i="3"/>
  <c r="F1438" i="3"/>
  <c r="F2216" i="3"/>
  <c r="F2338" i="3"/>
  <c r="F2013" i="3"/>
  <c r="F2428" i="3"/>
  <c r="F3176" i="3"/>
  <c r="F3261" i="3"/>
  <c r="F4020" i="3"/>
  <c r="F3539" i="3"/>
  <c r="F5458" i="3"/>
  <c r="F4146" i="3"/>
  <c r="F4570" i="3"/>
  <c r="F4863" i="3"/>
  <c r="F6275" i="3"/>
  <c r="F5653" i="3"/>
  <c r="F6166" i="3"/>
  <c r="D4403" i="3"/>
  <c r="D4411" i="3"/>
  <c r="D4404" i="3"/>
  <c r="D4412" i="3"/>
  <c r="D4405" i="3"/>
  <c r="D4413" i="3"/>
  <c r="D4406" i="3"/>
  <c r="D4414" i="3"/>
  <c r="D4401" i="3"/>
  <c r="D4417" i="3"/>
  <c r="D4402" i="3"/>
  <c r="D4418" i="3"/>
  <c r="D4407" i="3"/>
  <c r="D4408" i="3"/>
  <c r="D4409" i="3"/>
  <c r="D4410" i="3"/>
  <c r="D4415" i="3"/>
  <c r="D4400" i="3"/>
  <c r="D4416" i="3"/>
  <c r="F683" i="3"/>
  <c r="F31" i="3"/>
  <c r="F63" i="3"/>
  <c r="F159" i="3"/>
  <c r="F279" i="3"/>
  <c r="F599" i="3"/>
  <c r="F711" i="3"/>
  <c r="F180" i="3"/>
  <c r="F1149" i="3"/>
  <c r="F674" i="3"/>
  <c r="F1087" i="3"/>
  <c r="F1248" i="3"/>
  <c r="F1321" i="3"/>
  <c r="F913" i="3"/>
  <c r="F1434" i="3"/>
  <c r="F785" i="3"/>
  <c r="F1581" i="3"/>
  <c r="F1645" i="3"/>
  <c r="F1534" i="3"/>
  <c r="F1017" i="3"/>
  <c r="F1275" i="3"/>
  <c r="F854" i="3"/>
  <c r="F985" i="3"/>
  <c r="F1729" i="3"/>
  <c r="F2208" i="3"/>
  <c r="F2336" i="3"/>
  <c r="F2005" i="3"/>
  <c r="F2526" i="3"/>
  <c r="F2759" i="3"/>
  <c r="F2316" i="3"/>
  <c r="F2577" i="3"/>
  <c r="F2793" i="3"/>
  <c r="F425" i="3"/>
  <c r="F2749" i="3"/>
  <c r="F1848" i="3"/>
  <c r="F3047" i="3"/>
  <c r="F3256" i="3"/>
  <c r="F2552" i="3"/>
  <c r="F2780" i="3"/>
  <c r="F2994" i="3"/>
  <c r="F3146" i="3"/>
  <c r="F2842" i="3"/>
  <c r="F2648" i="3"/>
  <c r="F2926" i="3"/>
  <c r="F3533" i="3"/>
  <c r="F3629" i="3"/>
  <c r="F3677" i="3"/>
  <c r="F3741" i="3"/>
  <c r="F3862" i="3"/>
  <c r="F2963" i="3"/>
  <c r="F3407" i="3"/>
  <c r="F3927" i="3"/>
  <c r="F4391" i="3"/>
  <c r="F4016" i="3"/>
  <c r="F4480" i="3"/>
  <c r="F2425" i="3"/>
  <c r="F3197" i="3"/>
  <c r="F3612" i="3"/>
  <c r="F4754" i="3"/>
  <c r="F5234" i="3"/>
  <c r="F5274" i="3"/>
  <c r="F5378" i="3"/>
  <c r="F4779" i="3"/>
  <c r="F5051" i="3"/>
  <c r="F5139" i="3"/>
  <c r="F5419" i="3"/>
  <c r="F5491" i="3"/>
  <c r="F3802" i="3"/>
  <c r="F4566" i="3"/>
  <c r="F4860" i="3"/>
  <c r="F4933" i="3"/>
  <c r="F4989" i="3"/>
  <c r="F5031" i="3"/>
  <c r="F4315" i="3"/>
  <c r="F4681" i="3"/>
  <c r="F4785" i="3"/>
  <c r="F5009" i="3"/>
  <c r="F5888" i="3"/>
  <c r="F6560" i="3"/>
  <c r="F5649" i="3"/>
  <c r="F6049" i="3"/>
  <c r="F6161" i="3"/>
  <c r="F6417" i="3"/>
  <c r="F5456" i="3"/>
  <c r="F5794" i="3"/>
  <c r="F4410" i="3"/>
  <c r="F6411" i="3"/>
  <c r="F3754" i="3"/>
  <c r="F6340" i="3"/>
  <c r="F6452" i="3"/>
  <c r="F6580" i="3"/>
  <c r="F5408" i="3"/>
  <c r="F5838" i="3"/>
  <c r="F6509" i="3"/>
  <c r="F6574" i="3"/>
  <c r="D4088" i="3"/>
  <c r="D4096" i="3"/>
  <c r="D4104" i="3"/>
  <c r="D4112" i="3"/>
  <c r="D4120" i="3"/>
  <c r="D4128" i="3"/>
  <c r="D4136" i="3"/>
  <c r="D4144" i="3"/>
  <c r="D4152" i="3"/>
  <c r="D4160" i="3"/>
  <c r="D4168" i="3"/>
  <c r="D4176" i="3"/>
  <c r="D4184" i="3"/>
  <c r="D4192" i="3"/>
  <c r="D4200" i="3"/>
  <c r="D4089" i="3"/>
  <c r="D4097" i="3"/>
  <c r="D4105" i="3"/>
  <c r="D4113" i="3"/>
  <c r="D4121" i="3"/>
  <c r="D4129" i="3"/>
  <c r="D4137" i="3"/>
  <c r="D4145" i="3"/>
  <c r="D4153" i="3"/>
  <c r="D4161" i="3"/>
  <c r="D4169" i="3"/>
  <c r="D4177" i="3"/>
  <c r="D4185" i="3"/>
  <c r="D4193" i="3"/>
  <c r="D4201" i="3"/>
  <c r="D4091" i="3"/>
  <c r="D4099" i="3"/>
  <c r="D4107" i="3"/>
  <c r="D4115" i="3"/>
  <c r="D4123" i="3"/>
  <c r="D4131" i="3"/>
  <c r="D4139" i="3"/>
  <c r="D4147" i="3"/>
  <c r="D4155" i="3"/>
  <c r="D4163" i="3"/>
  <c r="D4171" i="3"/>
  <c r="D4179" i="3"/>
  <c r="I4179" i="3" s="1"/>
  <c r="D4187" i="3"/>
  <c r="D4195" i="3"/>
  <c r="D4203" i="3"/>
  <c r="D4092" i="3"/>
  <c r="D4100" i="3"/>
  <c r="D4108" i="3"/>
  <c r="D4116" i="3"/>
  <c r="D4124" i="3"/>
  <c r="D4132" i="3"/>
  <c r="D4140" i="3"/>
  <c r="D4148" i="3"/>
  <c r="D4156" i="3"/>
  <c r="D4164" i="3"/>
  <c r="D4172" i="3"/>
  <c r="D4180" i="3"/>
  <c r="D4188" i="3"/>
  <c r="D4196" i="3"/>
  <c r="D4204" i="3"/>
  <c r="D4093" i="3"/>
  <c r="D4101" i="3"/>
  <c r="D4109" i="3"/>
  <c r="D4117" i="3"/>
  <c r="D4125" i="3"/>
  <c r="D4133" i="3"/>
  <c r="D4141" i="3"/>
  <c r="D4149" i="3"/>
  <c r="D4157" i="3"/>
  <c r="D4165" i="3"/>
  <c r="D4173" i="3"/>
  <c r="D4181" i="3"/>
  <c r="D4189" i="3"/>
  <c r="D4197" i="3"/>
  <c r="D4205" i="3"/>
  <c r="D4086" i="3"/>
  <c r="D4094" i="3"/>
  <c r="D4102" i="3"/>
  <c r="D4110" i="3"/>
  <c r="D4118" i="3"/>
  <c r="D4126" i="3"/>
  <c r="D4134" i="3"/>
  <c r="D4142" i="3"/>
  <c r="D4150" i="3"/>
  <c r="D4158" i="3"/>
  <c r="D4166" i="3"/>
  <c r="D4174" i="3"/>
  <c r="D4182" i="3"/>
  <c r="D4190" i="3"/>
  <c r="D4198" i="3"/>
  <c r="D4206" i="3"/>
  <c r="D4103" i="3"/>
  <c r="D4135" i="3"/>
  <c r="D4167" i="3"/>
  <c r="D4199" i="3"/>
  <c r="D4106" i="3"/>
  <c r="D4138" i="3"/>
  <c r="D4170" i="3"/>
  <c r="D4202" i="3"/>
  <c r="H4202" i="3" s="1"/>
  <c r="D4111" i="3"/>
  <c r="D4143" i="3"/>
  <c r="D4175" i="3"/>
  <c r="D4207" i="3"/>
  <c r="D4114" i="3"/>
  <c r="D4146" i="3"/>
  <c r="D4178" i="3"/>
  <c r="D4087" i="3"/>
  <c r="D4119" i="3"/>
  <c r="D4151" i="3"/>
  <c r="D4183" i="3"/>
  <c r="D4090" i="3"/>
  <c r="D4122" i="3"/>
  <c r="D4154" i="3"/>
  <c r="D4186" i="3"/>
  <c r="D4095" i="3"/>
  <c r="D4127" i="3"/>
  <c r="D4159" i="3"/>
  <c r="D4191" i="3"/>
  <c r="D4098" i="3"/>
  <c r="D4130" i="3"/>
  <c r="D4162" i="3"/>
  <c r="D4194" i="3"/>
  <c r="F2001" i="3"/>
  <c r="F2491" i="3"/>
  <c r="F2747" i="3"/>
  <c r="F5000" i="3"/>
  <c r="D3909" i="3"/>
  <c r="D3910" i="3"/>
  <c r="F1428" i="3"/>
  <c r="F2566" i="3"/>
  <c r="F2419" i="3"/>
  <c r="F2644" i="3"/>
  <c r="F3402" i="3"/>
  <c r="F6045" i="3"/>
  <c r="D3736" i="3"/>
  <c r="D3737" i="3"/>
  <c r="D3738" i="3"/>
  <c r="D3739" i="3"/>
  <c r="D3735" i="3"/>
  <c r="F4559" i="3"/>
  <c r="D3639" i="3"/>
  <c r="F267" i="3"/>
  <c r="F1420" i="3"/>
  <c r="F1839" i="3"/>
  <c r="F1988" i="3"/>
  <c r="F2413" i="3"/>
  <c r="F2193" i="3"/>
  <c r="F3398" i="3"/>
  <c r="F3671" i="3"/>
  <c r="F4851" i="3"/>
  <c r="F5124" i="3"/>
  <c r="F3523" i="3"/>
  <c r="F4556" i="3"/>
  <c r="F5632" i="3"/>
  <c r="D3330" i="3"/>
  <c r="D3338" i="3"/>
  <c r="D3327" i="3"/>
  <c r="D3335" i="3"/>
  <c r="D3328" i="3"/>
  <c r="D3336" i="3"/>
  <c r="D3333" i="3"/>
  <c r="D3334" i="3"/>
  <c r="D3337" i="3"/>
  <c r="D3339" i="3"/>
  <c r="D3329" i="3"/>
  <c r="D3331" i="3"/>
  <c r="D3332" i="3"/>
  <c r="F262" i="3"/>
  <c r="F901" i="3"/>
  <c r="F1722" i="3"/>
  <c r="F1982" i="3"/>
  <c r="F2831" i="3"/>
  <c r="F2188" i="3"/>
  <c r="F2637" i="3"/>
  <c r="F3248" i="3"/>
  <c r="F3395" i="3"/>
  <c r="F3519" i="3"/>
  <c r="F4368" i="3"/>
  <c r="F3852" i="3"/>
  <c r="F5118" i="3"/>
  <c r="F4130" i="3"/>
  <c r="F5627" i="3"/>
  <c r="D3138" i="3"/>
  <c r="D3146" i="3"/>
  <c r="D3142" i="3"/>
  <c r="D3150" i="3"/>
  <c r="D3135" i="3"/>
  <c r="D3143" i="3"/>
  <c r="D3151" i="3"/>
  <c r="D3136" i="3"/>
  <c r="D3144" i="3"/>
  <c r="D3152" i="3"/>
  <c r="D3149" i="3"/>
  <c r="D3137" i="3"/>
  <c r="D3139" i="3"/>
  <c r="D3140" i="3"/>
  <c r="D3141" i="3"/>
  <c r="D3145" i="3"/>
  <c r="D3147" i="3"/>
  <c r="D3148" i="3"/>
  <c r="F415" i="3"/>
  <c r="F899" i="3"/>
  <c r="F537" i="3"/>
  <c r="F258" i="3"/>
  <c r="F776" i="3"/>
  <c r="F1077" i="3"/>
  <c r="F1413" i="3"/>
  <c r="F1833" i="3"/>
  <c r="F2184" i="3"/>
  <c r="F1977" i="3"/>
  <c r="F2407" i="3"/>
  <c r="F2634" i="3"/>
  <c r="F2828" i="3"/>
  <c r="F4549" i="3"/>
  <c r="F4304" i="3"/>
  <c r="F4001" i="3"/>
  <c r="F4129" i="3"/>
  <c r="F3392" i="3"/>
  <c r="F4674" i="3"/>
  <c r="F3795" i="3"/>
  <c r="F3515" i="3"/>
  <c r="F5116" i="3"/>
  <c r="F4847" i="3"/>
  <c r="F5225" i="3"/>
  <c r="F5879" i="3"/>
  <c r="F5623" i="3"/>
  <c r="F5945" i="3"/>
  <c r="F6033" i="3"/>
  <c r="F6265" i="3"/>
  <c r="F6148" i="3"/>
  <c r="F6556" i="3"/>
  <c r="D3034" i="3"/>
  <c r="D3042" i="3"/>
  <c r="D3050" i="3"/>
  <c r="D3058" i="3"/>
  <c r="D3066" i="3"/>
  <c r="D3030" i="3"/>
  <c r="D3038" i="3"/>
  <c r="D3046" i="3"/>
  <c r="D3054" i="3"/>
  <c r="D3062" i="3"/>
  <c r="D3031" i="3"/>
  <c r="D3039" i="3"/>
  <c r="D3047" i="3"/>
  <c r="D3055" i="3"/>
  <c r="D3063" i="3"/>
  <c r="D3032" i="3"/>
  <c r="D3040" i="3"/>
  <c r="D3048" i="3"/>
  <c r="D3056" i="3"/>
  <c r="I3056" i="3" s="1"/>
  <c r="D3064" i="3"/>
  <c r="D3037" i="3"/>
  <c r="D3053" i="3"/>
  <c r="D3041" i="3"/>
  <c r="D3057" i="3"/>
  <c r="D3043" i="3"/>
  <c r="D3059" i="3"/>
  <c r="D3044" i="3"/>
  <c r="D3060" i="3"/>
  <c r="D3045" i="3"/>
  <c r="D3061" i="3"/>
  <c r="D3033" i="3"/>
  <c r="D3049" i="3"/>
  <c r="D3065" i="3"/>
  <c r="D3035" i="3"/>
  <c r="D3051" i="3"/>
  <c r="D3067" i="3"/>
  <c r="I3067" i="3" s="1"/>
  <c r="D3036" i="3"/>
  <c r="D3052" i="3"/>
  <c r="F695" i="3"/>
  <c r="F534" i="3"/>
  <c r="F774" i="3"/>
  <c r="F2745" i="3"/>
  <c r="F3998" i="3"/>
  <c r="F5114" i="3"/>
  <c r="D2982" i="3"/>
  <c r="D2983" i="3"/>
  <c r="D2984" i="3"/>
  <c r="D2979" i="3"/>
  <c r="D2980" i="3"/>
  <c r="D2981" i="3"/>
  <c r="D2985" i="3"/>
  <c r="I2985" i="3" s="1"/>
  <c r="F772" i="3"/>
  <c r="F249" i="3"/>
  <c r="F530" i="3"/>
  <c r="F898" i="3"/>
  <c r="F1408" i="3"/>
  <c r="F2825" i="3"/>
  <c r="F3794" i="3"/>
  <c r="F5110" i="3"/>
  <c r="F4546" i="3"/>
  <c r="F5313" i="3"/>
  <c r="F3994" i="3"/>
  <c r="F4672" i="3"/>
  <c r="F5616" i="3"/>
  <c r="F5942" i="3"/>
  <c r="F6262" i="3"/>
  <c r="D2898" i="3"/>
  <c r="D2906" i="3"/>
  <c r="D2901" i="3"/>
  <c r="D2909" i="3"/>
  <c r="D2894" i="3"/>
  <c r="D2902" i="3"/>
  <c r="D2910" i="3"/>
  <c r="D2895" i="3"/>
  <c r="D2903" i="3"/>
  <c r="D2911" i="3"/>
  <c r="H2911" i="3" s="1"/>
  <c r="D2896" i="3"/>
  <c r="D2904" i="3"/>
  <c r="D2912" i="3"/>
  <c r="D2907" i="3"/>
  <c r="D2908" i="3"/>
  <c r="D2913" i="3"/>
  <c r="D2897" i="3"/>
  <c r="D2899" i="3"/>
  <c r="D2900" i="3"/>
  <c r="D2905" i="3"/>
  <c r="F152" i="3"/>
  <c r="F975" i="3"/>
  <c r="F2166" i="3"/>
  <c r="F1965" i="3"/>
  <c r="F5106" i="3"/>
  <c r="F5611" i="3"/>
  <c r="D2738" i="3"/>
  <c r="D2733" i="3"/>
  <c r="D2734" i="3"/>
  <c r="D2735" i="3"/>
  <c r="D2736" i="3"/>
  <c r="D2737" i="3"/>
  <c r="D2739" i="3"/>
  <c r="D2731" i="3"/>
  <c r="D2732" i="3"/>
  <c r="D6605" i="3"/>
  <c r="D6589" i="3"/>
  <c r="D6460" i="3"/>
  <c r="D6347" i="3"/>
  <c r="D6315" i="3"/>
  <c r="D6283" i="3"/>
  <c r="D6251" i="3"/>
  <c r="D5884" i="3"/>
  <c r="D5820" i="3"/>
  <c r="D5724" i="3"/>
  <c r="F1955" i="3"/>
  <c r="F2155" i="3"/>
  <c r="F3503" i="3"/>
  <c r="F3984" i="3"/>
  <c r="F4114" i="3"/>
  <c r="H4114" i="3" s="1"/>
  <c r="F5598" i="3"/>
  <c r="F6134" i="3"/>
  <c r="D2313" i="3"/>
  <c r="D2316" i="3"/>
  <c r="D2318" i="3"/>
  <c r="D2311" i="3"/>
  <c r="D2319" i="3"/>
  <c r="I2319" i="3" s="1"/>
  <c r="D2312" i="3"/>
  <c r="D2317" i="3"/>
  <c r="D2314" i="3"/>
  <c r="D2315" i="3"/>
  <c r="F197" i="3"/>
  <c r="F517" i="3"/>
  <c r="F746" i="3"/>
  <c r="F1363" i="3"/>
  <c r="F1912" i="3"/>
  <c r="F2799" i="3"/>
  <c r="F2366" i="3"/>
  <c r="F3777" i="3"/>
  <c r="F3603" i="3"/>
  <c r="F5068" i="3"/>
  <c r="F3955" i="3"/>
  <c r="F4909" i="3"/>
  <c r="F5549" i="3"/>
  <c r="F5928" i="3"/>
  <c r="F6242" i="3"/>
  <c r="F6547" i="3"/>
  <c r="D367" i="3"/>
  <c r="D375" i="3"/>
  <c r="D369" i="3"/>
  <c r="D377" i="3"/>
  <c r="D363" i="3"/>
  <c r="D371" i="3"/>
  <c r="D379" i="3"/>
  <c r="I379" i="3" s="1"/>
  <c r="D373" i="3"/>
  <c r="D365" i="3"/>
  <c r="D378" i="3"/>
  <c r="D368" i="3"/>
  <c r="D370" i="3"/>
  <c r="D372" i="3"/>
  <c r="D364" i="3"/>
  <c r="D374" i="3"/>
  <c r="D376" i="3"/>
  <c r="D380" i="3"/>
  <c r="D366" i="3"/>
  <c r="F230" i="3"/>
  <c r="F1391" i="3"/>
  <c r="F1823" i="3"/>
  <c r="F1950" i="3"/>
  <c r="F2152" i="3"/>
  <c r="F2394" i="3"/>
  <c r="F2623" i="3"/>
  <c r="F3605" i="3"/>
  <c r="F4294" i="3"/>
  <c r="F4535" i="3"/>
  <c r="F3379" i="3"/>
  <c r="F5306" i="3"/>
  <c r="F4837" i="3"/>
  <c r="F5097" i="3"/>
  <c r="F3499" i="3"/>
  <c r="F6257" i="3"/>
  <c r="F5939" i="3"/>
  <c r="F6020" i="3"/>
  <c r="F5591" i="3"/>
  <c r="D1777" i="3"/>
  <c r="D1785" i="3"/>
  <c r="D1793" i="3"/>
  <c r="D1780" i="3"/>
  <c r="D1788" i="3"/>
  <c r="D1796" i="3"/>
  <c r="D1782" i="3"/>
  <c r="D1790" i="3"/>
  <c r="D1783" i="3"/>
  <c r="D1795" i="3"/>
  <c r="D1787" i="3"/>
  <c r="D1778" i="3"/>
  <c r="D1791" i="3"/>
  <c r="D1779" i="3"/>
  <c r="D1792" i="3"/>
  <c r="H1792" i="3" s="1"/>
  <c r="D1781" i="3"/>
  <c r="D1794" i="3"/>
  <c r="D1786" i="3"/>
  <c r="D1784" i="3"/>
  <c r="D1789" i="3"/>
  <c r="F223" i="3"/>
  <c r="F367" i="3"/>
  <c r="F402" i="3"/>
  <c r="F888" i="3"/>
  <c r="F759" i="3"/>
  <c r="F1305" i="3"/>
  <c r="F1234" i="3"/>
  <c r="F1818" i="3"/>
  <c r="F1068" i="3"/>
  <c r="F1384" i="3"/>
  <c r="F2143" i="3"/>
  <c r="F1712" i="3"/>
  <c r="F1941" i="3"/>
  <c r="F2389" i="3"/>
  <c r="F2573" i="3"/>
  <c r="F2621" i="3"/>
  <c r="F2816" i="3"/>
  <c r="F3160" i="3"/>
  <c r="F3234" i="3"/>
  <c r="F2504" i="3"/>
  <c r="F3493" i="3"/>
  <c r="F3375" i="3"/>
  <c r="F3976" i="3"/>
  <c r="F3841" i="3"/>
  <c r="F4420" i="3"/>
  <c r="F4107" i="3"/>
  <c r="F4290" i="3"/>
  <c r="F4834" i="3"/>
  <c r="F4660" i="3"/>
  <c r="F5092" i="3"/>
  <c r="F5021" i="3"/>
  <c r="F5581" i="3"/>
  <c r="F5302" i="3"/>
  <c r="F4530" i="3"/>
  <c r="F5823" i="3"/>
  <c r="F6015" i="3"/>
  <c r="F6127" i="3"/>
  <c r="F6600" i="3"/>
  <c r="F5216" i="3"/>
  <c r="F5360" i="3"/>
  <c r="F6385" i="3"/>
  <c r="F5866" i="3"/>
  <c r="F6522" i="3"/>
  <c r="D1513" i="3"/>
  <c r="D1521" i="3"/>
  <c r="D1529" i="3"/>
  <c r="D1537" i="3"/>
  <c r="D1545" i="3"/>
  <c r="D1553" i="3"/>
  <c r="D1516" i="3"/>
  <c r="D1524" i="3"/>
  <c r="H1524" i="3" s="1"/>
  <c r="D1532" i="3"/>
  <c r="D1540" i="3"/>
  <c r="D1548" i="3"/>
  <c r="D1556" i="3"/>
  <c r="D1518" i="3"/>
  <c r="D1526" i="3"/>
  <c r="D1534" i="3"/>
  <c r="D1542" i="3"/>
  <c r="D1550" i="3"/>
  <c r="D1558" i="3"/>
  <c r="D1511" i="3"/>
  <c r="D1519" i="3"/>
  <c r="D1527" i="3"/>
  <c r="D1535" i="3"/>
  <c r="D1543" i="3"/>
  <c r="D1551" i="3"/>
  <c r="D1559" i="3"/>
  <c r="D1512" i="3"/>
  <c r="D1520" i="3"/>
  <c r="D1528" i="3"/>
  <c r="D1536" i="3"/>
  <c r="D1544" i="3"/>
  <c r="D1552" i="3"/>
  <c r="D1560" i="3"/>
  <c r="D1517" i="3"/>
  <c r="D1539" i="3"/>
  <c r="D1525" i="3"/>
  <c r="D1547" i="3"/>
  <c r="D1531" i="3"/>
  <c r="D1554" i="3"/>
  <c r="D1514" i="3"/>
  <c r="D1533" i="3"/>
  <c r="D1555" i="3"/>
  <c r="D1515" i="3"/>
  <c r="D1538" i="3"/>
  <c r="D1557" i="3"/>
  <c r="D1523" i="3"/>
  <c r="D1530" i="3"/>
  <c r="D1541" i="3"/>
  <c r="D1546" i="3"/>
  <c r="H1546" i="3" s="1"/>
  <c r="D1522" i="3"/>
  <c r="D1549" i="3"/>
  <c r="F523" i="3"/>
  <c r="I523" i="3" s="1"/>
  <c r="F677" i="3"/>
  <c r="F884" i="3"/>
  <c r="F214" i="3"/>
  <c r="F398" i="3"/>
  <c r="F754" i="3"/>
  <c r="F1708" i="3"/>
  <c r="F1376" i="3"/>
  <c r="F2135" i="3"/>
  <c r="F1936" i="3"/>
  <c r="F2615" i="3"/>
  <c r="F2381" i="3"/>
  <c r="F2811" i="3"/>
  <c r="F3118" i="3"/>
  <c r="F3485" i="3"/>
  <c r="F3837" i="3"/>
  <c r="F4102" i="3"/>
  <c r="F3365" i="3"/>
  <c r="F3625" i="3"/>
  <c r="F3972" i="3"/>
  <c r="F5570" i="3"/>
  <c r="F4363" i="3"/>
  <c r="F5085" i="3"/>
  <c r="F5047" i="3"/>
  <c r="F5863" i="3"/>
  <c r="F6007" i="3"/>
  <c r="F4656" i="3"/>
  <c r="F5359" i="3"/>
  <c r="F6123" i="3"/>
  <c r="F4282" i="3"/>
  <c r="D1135" i="3"/>
  <c r="D1143" i="3"/>
  <c r="D1151" i="3"/>
  <c r="D1159" i="3"/>
  <c r="F6414" i="3"/>
  <c r="D1139" i="3"/>
  <c r="D1147" i="3"/>
  <c r="D1155" i="3"/>
  <c r="D1163" i="3"/>
  <c r="D1133" i="3"/>
  <c r="D1144" i="3"/>
  <c r="D1154" i="3"/>
  <c r="D1137" i="3"/>
  <c r="D1148" i="3"/>
  <c r="D1158" i="3"/>
  <c r="D1140" i="3"/>
  <c r="D1150" i="3"/>
  <c r="D1161" i="3"/>
  <c r="D1141" i="3"/>
  <c r="D1152" i="3"/>
  <c r="D1162" i="3"/>
  <c r="D1132" i="3"/>
  <c r="D1142" i="3"/>
  <c r="D1153" i="3"/>
  <c r="D1149" i="3"/>
  <c r="D1134" i="3"/>
  <c r="D1160" i="3"/>
  <c r="D1138" i="3"/>
  <c r="D1145" i="3"/>
  <c r="D1146" i="3"/>
  <c r="D1136" i="3"/>
  <c r="D1156" i="3"/>
  <c r="D1157" i="3"/>
  <c r="F1918" i="3"/>
  <c r="F2118" i="3"/>
  <c r="F6114" i="3"/>
  <c r="D623" i="3"/>
  <c r="D622" i="3"/>
  <c r="D621" i="3"/>
  <c r="D624" i="3"/>
  <c r="D620" i="3"/>
  <c r="F629" i="3"/>
  <c r="F873" i="3"/>
  <c r="F1798" i="3"/>
  <c r="F1358" i="3"/>
  <c r="F3306" i="3"/>
  <c r="F4269" i="3"/>
  <c r="F3353" i="3"/>
  <c r="F3824" i="3"/>
  <c r="F2600" i="3"/>
  <c r="F5542" i="3"/>
  <c r="F5990" i="3"/>
  <c r="D55" i="3"/>
  <c r="D57" i="3"/>
  <c r="D51" i="3"/>
  <c r="D59" i="3"/>
  <c r="D52" i="3"/>
  <c r="D54" i="3"/>
  <c r="D60" i="3"/>
  <c r="D50" i="3"/>
  <c r="D53" i="3"/>
  <c r="D56" i="3"/>
  <c r="D58" i="3"/>
  <c r="F527" i="3"/>
  <c r="F1525" i="3"/>
  <c r="F2162" i="3"/>
  <c r="F1963" i="3"/>
  <c r="F4119" i="3"/>
  <c r="F3988" i="3"/>
  <c r="F5365" i="3"/>
  <c r="F5607" i="3"/>
  <c r="F5873" i="3"/>
  <c r="F6139" i="3"/>
  <c r="F6445" i="3"/>
  <c r="D2577" i="3"/>
  <c r="D2585" i="3"/>
  <c r="D2572" i="3"/>
  <c r="D2580" i="3"/>
  <c r="D2588" i="3"/>
  <c r="D2574" i="3"/>
  <c r="D2582" i="3"/>
  <c r="D2575" i="3"/>
  <c r="D2583" i="3"/>
  <c r="D2573" i="3"/>
  <c r="D2589" i="3"/>
  <c r="D2579" i="3"/>
  <c r="D2581" i="3"/>
  <c r="D2584" i="3"/>
  <c r="D2586" i="3"/>
  <c r="D2578" i="3"/>
  <c r="D2587" i="3"/>
  <c r="D2576" i="3"/>
  <c r="F2150" i="3"/>
  <c r="F1948" i="3"/>
  <c r="D1689" i="3"/>
  <c r="D1688" i="3"/>
  <c r="F224" i="3"/>
  <c r="F1713" i="3"/>
  <c r="F1944" i="3"/>
  <c r="F2145" i="3"/>
  <c r="F3376" i="3"/>
  <c r="F3494" i="3"/>
  <c r="F3235" i="3"/>
  <c r="F3977" i="3"/>
  <c r="F4108" i="3"/>
  <c r="F4531" i="3"/>
  <c r="F4661" i="3"/>
  <c r="F5093" i="3"/>
  <c r="F5585" i="3"/>
  <c r="F6128" i="3"/>
  <c r="D1577" i="3"/>
  <c r="D1585" i="3"/>
  <c r="D1580" i="3"/>
  <c r="D1588" i="3"/>
  <c r="D1574" i="3"/>
  <c r="D1582" i="3"/>
  <c r="D1590" i="3"/>
  <c r="D1575" i="3"/>
  <c r="D1583" i="3"/>
  <c r="D1591" i="3"/>
  <c r="D1576" i="3"/>
  <c r="D1584" i="3"/>
  <c r="D1592" i="3"/>
  <c r="D1581" i="3"/>
  <c r="D1589" i="3"/>
  <c r="D1573" i="3"/>
  <c r="D1578" i="3"/>
  <c r="D1579" i="3"/>
  <c r="D1586" i="3"/>
  <c r="D1587" i="3"/>
  <c r="F211" i="3"/>
  <c r="F395" i="3"/>
  <c r="F881" i="3"/>
  <c r="F1064" i="3"/>
  <c r="F1811" i="3"/>
  <c r="F1374" i="3"/>
  <c r="F751" i="3"/>
  <c r="F1933" i="3"/>
  <c r="F2379" i="3"/>
  <c r="F2809" i="3"/>
  <c r="F2132" i="3"/>
  <c r="F2613" i="3"/>
  <c r="F3364" i="3"/>
  <c r="F3782" i="3"/>
  <c r="F4280" i="3"/>
  <c r="F3969" i="3"/>
  <c r="F4100" i="3"/>
  <c r="F4460" i="3"/>
  <c r="F4827" i="3"/>
  <c r="F5083" i="3"/>
  <c r="F3834" i="3"/>
  <c r="F4653" i="3"/>
  <c r="F4524" i="3"/>
  <c r="F5296" i="3"/>
  <c r="F5568" i="3"/>
  <c r="F6120" i="3"/>
  <c r="F6595" i="3"/>
  <c r="F6005" i="3"/>
  <c r="D1007" i="3"/>
  <c r="D1015" i="3"/>
  <c r="D1023" i="3"/>
  <c r="D1031" i="3"/>
  <c r="D1003" i="3"/>
  <c r="D1011" i="3"/>
  <c r="D1019" i="3"/>
  <c r="D1027" i="3"/>
  <c r="D1005" i="3"/>
  <c r="D1016" i="3"/>
  <c r="D1026" i="3"/>
  <c r="D1009" i="3"/>
  <c r="D1020" i="3"/>
  <c r="D1030" i="3"/>
  <c r="D1001" i="3"/>
  <c r="D1012" i="3"/>
  <c r="D1022" i="3"/>
  <c r="D1002" i="3"/>
  <c r="D1013" i="3"/>
  <c r="D1024" i="3"/>
  <c r="D1004" i="3"/>
  <c r="D1014" i="3"/>
  <c r="D1025" i="3"/>
  <c r="D1008" i="3"/>
  <c r="D1018" i="3"/>
  <c r="D1028" i="3"/>
  <c r="D1029" i="3"/>
  <c r="D1006" i="3"/>
  <c r="D1017" i="3"/>
  <c r="D1021" i="3"/>
  <c r="D1010" i="3"/>
  <c r="F208" i="3"/>
  <c r="D963" i="3"/>
  <c r="D6604" i="3"/>
  <c r="D6588" i="3"/>
  <c r="D6459" i="3"/>
  <c r="D6372" i="3"/>
  <c r="D6340" i="3"/>
  <c r="D6308" i="3"/>
  <c r="D6276" i="3"/>
  <c r="D6244" i="3"/>
  <c r="D5876" i="3"/>
  <c r="D5716" i="3"/>
  <c r="F1958" i="3"/>
  <c r="F3910" i="3"/>
  <c r="D2491" i="3"/>
  <c r="D2490" i="3"/>
  <c r="F234" i="3"/>
  <c r="D2304" i="3"/>
  <c r="F587" i="3"/>
  <c r="H587" i="3" s="1"/>
  <c r="F221" i="3"/>
  <c r="F400" i="3"/>
  <c r="F757" i="3"/>
  <c r="F1232" i="3"/>
  <c r="F886" i="3"/>
  <c r="F1066" i="3"/>
  <c r="F1627" i="3"/>
  <c r="F1383" i="3"/>
  <c r="F1710" i="3"/>
  <c r="F1939" i="3"/>
  <c r="F2140" i="3"/>
  <c r="F2814" i="3"/>
  <c r="F2387" i="3"/>
  <c r="F1816" i="3"/>
  <c r="F3232" i="3"/>
  <c r="F2619" i="3"/>
  <c r="I2619" i="3" s="1"/>
  <c r="F3158" i="3"/>
  <c r="F3373" i="3"/>
  <c r="F3974" i="3"/>
  <c r="F3839" i="3"/>
  <c r="F3784" i="3"/>
  <c r="F4288" i="3"/>
  <c r="F4528" i="3"/>
  <c r="F4105" i="3"/>
  <c r="F4658" i="3"/>
  <c r="F5090" i="3"/>
  <c r="F5019" i="3"/>
  <c r="F4916" i="3"/>
  <c r="F3490" i="3"/>
  <c r="F5214" i="3"/>
  <c r="F5579" i="3"/>
  <c r="F6255" i="3"/>
  <c r="H6255" i="3" s="1"/>
  <c r="F5864" i="3"/>
  <c r="F6520" i="3"/>
  <c r="F5300" i="3"/>
  <c r="F5937" i="3"/>
  <c r="F5746" i="3"/>
  <c r="F6322" i="3"/>
  <c r="F5821" i="3"/>
  <c r="F6013" i="3"/>
  <c r="F4832" i="3"/>
  <c r="F6125" i="3"/>
  <c r="D1303" i="3"/>
  <c r="D1311" i="3"/>
  <c r="D1319" i="3"/>
  <c r="D1327" i="3"/>
  <c r="D1335" i="3"/>
  <c r="D1343" i="3"/>
  <c r="D1351" i="3"/>
  <c r="F6382" i="3"/>
  <c r="F6598" i="3"/>
  <c r="D1299" i="3"/>
  <c r="D1307" i="3"/>
  <c r="D1315" i="3"/>
  <c r="D1323" i="3"/>
  <c r="D1331" i="3"/>
  <c r="D1339" i="3"/>
  <c r="D1347" i="3"/>
  <c r="D1297" i="3"/>
  <c r="D1308" i="3"/>
  <c r="D1318" i="3"/>
  <c r="D1329" i="3"/>
  <c r="D1340" i="3"/>
  <c r="D1350" i="3"/>
  <c r="D1301" i="3"/>
  <c r="D1312" i="3"/>
  <c r="D1322" i="3"/>
  <c r="D1333" i="3"/>
  <c r="D1344" i="3"/>
  <c r="D1304" i="3"/>
  <c r="D1314" i="3"/>
  <c r="D1325" i="3"/>
  <c r="D1336" i="3"/>
  <c r="D1346" i="3"/>
  <c r="D1305" i="3"/>
  <c r="D1316" i="3"/>
  <c r="D1326" i="3"/>
  <c r="D1337" i="3"/>
  <c r="D1348" i="3"/>
  <c r="D1296" i="3"/>
  <c r="D1306" i="3"/>
  <c r="D1317" i="3"/>
  <c r="D1328" i="3"/>
  <c r="D1338" i="3"/>
  <c r="D1349" i="3"/>
  <c r="D1302" i="3"/>
  <c r="D1332" i="3"/>
  <c r="D1313" i="3"/>
  <c r="D1342" i="3"/>
  <c r="D1321" i="3"/>
  <c r="D1352" i="3"/>
  <c r="D1298" i="3"/>
  <c r="D1324" i="3"/>
  <c r="D1353" i="3"/>
  <c r="D1300" i="3"/>
  <c r="D1330" i="3"/>
  <c r="D1310" i="3"/>
  <c r="D1341" i="3"/>
  <c r="D1345" i="3"/>
  <c r="D1309" i="3"/>
  <c r="D1320" i="3"/>
  <c r="D1334" i="3"/>
  <c r="D6603" i="3"/>
  <c r="D6587" i="3"/>
  <c r="D6452" i="3"/>
  <c r="D6371" i="3"/>
  <c r="D6339" i="3"/>
  <c r="D6307" i="3"/>
  <c r="D6275" i="3"/>
  <c r="D6243" i="3"/>
  <c r="D5868" i="3"/>
  <c r="D5772" i="3"/>
  <c r="D5708" i="3"/>
  <c r="D6614" i="3"/>
  <c r="D6598" i="3"/>
  <c r="I6598" i="3" s="1"/>
  <c r="D6582" i="3"/>
  <c r="D6451" i="3"/>
  <c r="D6364" i="3"/>
  <c r="D6332" i="3"/>
  <c r="D6300" i="3"/>
  <c r="D6268" i="3"/>
  <c r="H6268" i="3" s="1"/>
  <c r="D5924" i="3"/>
  <c r="D5860" i="3"/>
  <c r="D5764" i="3"/>
  <c r="D5700" i="3"/>
  <c r="D6444" i="3"/>
  <c r="D6363" i="3"/>
  <c r="D6299" i="3"/>
  <c r="D6267" i="3"/>
  <c r="D5916" i="3"/>
  <c r="D5852" i="3"/>
  <c r="H5852" i="3" s="1"/>
  <c r="D5756" i="3"/>
  <c r="D5692" i="3"/>
  <c r="F5592" i="3"/>
  <c r="D1797" i="3"/>
  <c r="F1385" i="3"/>
  <c r="F2144" i="3"/>
  <c r="F5582" i="3"/>
  <c r="D1561" i="3"/>
  <c r="D1562" i="3"/>
  <c r="D1563" i="3"/>
  <c r="F3" i="3"/>
  <c r="F205" i="3"/>
  <c r="F365" i="3"/>
  <c r="F391" i="3"/>
  <c r="F98" i="3"/>
  <c r="F584" i="3"/>
  <c r="F1003" i="3"/>
  <c r="F844" i="3"/>
  <c r="F880" i="3"/>
  <c r="F1229" i="3"/>
  <c r="F1062" i="3"/>
  <c r="F1136" i="3"/>
  <c r="F1370" i="3"/>
  <c r="F1035" i="3"/>
  <c r="F1268" i="3"/>
  <c r="F1300" i="3"/>
  <c r="F1623" i="3"/>
  <c r="F1703" i="3"/>
  <c r="F1807" i="3"/>
  <c r="F1513" i="3"/>
  <c r="F1927" i="3"/>
  <c r="F2376" i="3"/>
  <c r="F2710" i="3"/>
  <c r="F2742" i="3"/>
  <c r="F2806" i="3"/>
  <c r="F2324" i="3"/>
  <c r="F2125" i="3"/>
  <c r="F2609" i="3"/>
  <c r="F2501" i="3"/>
  <c r="F3007" i="3"/>
  <c r="F2896" i="3"/>
  <c r="F2920" i="3"/>
  <c r="F3033" i="3"/>
  <c r="F2940" i="3"/>
  <c r="F2981" i="3"/>
  <c r="F3829" i="3"/>
  <c r="F4277" i="3"/>
  <c r="F3227" i="3"/>
  <c r="F3966" i="3"/>
  <c r="F3479" i="3"/>
  <c r="F3719" i="3"/>
  <c r="F3069" i="3"/>
  <c r="F4096" i="3"/>
  <c r="F4520" i="3"/>
  <c r="F3361" i="3"/>
  <c r="F3780" i="3"/>
  <c r="F4650" i="3"/>
  <c r="F5354" i="3"/>
  <c r="F5211" i="3"/>
  <c r="F4774" i="3"/>
  <c r="F4966" i="3"/>
  <c r="F5078" i="3"/>
  <c r="F5294" i="3"/>
  <c r="F4623" i="3"/>
  <c r="F5017" i="3"/>
  <c r="F5441" i="3"/>
  <c r="F5743" i="3"/>
  <c r="F4458" i="3"/>
  <c r="F4912" i="3"/>
  <c r="F6001" i="3"/>
  <c r="F6593" i="3"/>
  <c r="F5818" i="3"/>
  <c r="F6250" i="3"/>
  <c r="F6379" i="3"/>
  <c r="F5480" i="3"/>
  <c r="F5932" i="3"/>
  <c r="F6428" i="3"/>
  <c r="F6476" i="3"/>
  <c r="F4824" i="3"/>
  <c r="F5563" i="3"/>
  <c r="F6222" i="3"/>
  <c r="F6318" i="3"/>
  <c r="D743" i="3"/>
  <c r="D751" i="3"/>
  <c r="D759" i="3"/>
  <c r="D767" i="3"/>
  <c r="I767" i="3" s="1"/>
  <c r="D775" i="3"/>
  <c r="D783" i="3"/>
  <c r="D791" i="3"/>
  <c r="D799" i="3"/>
  <c r="D807" i="3"/>
  <c r="D815" i="3"/>
  <c r="D823" i="3"/>
  <c r="D831" i="3"/>
  <c r="D839" i="3"/>
  <c r="F6438" i="3"/>
  <c r="F6518" i="3"/>
  <c r="F6549" i="3"/>
  <c r="D747" i="3"/>
  <c r="D755" i="3"/>
  <c r="D763" i="3"/>
  <c r="D771" i="3"/>
  <c r="D779" i="3"/>
  <c r="D787" i="3"/>
  <c r="D795" i="3"/>
  <c r="D803" i="3"/>
  <c r="D811" i="3"/>
  <c r="D819" i="3"/>
  <c r="D827" i="3"/>
  <c r="D835" i="3"/>
  <c r="F6117" i="3"/>
  <c r="D749" i="3"/>
  <c r="D760" i="3"/>
  <c r="D770" i="3"/>
  <c r="D781" i="3"/>
  <c r="D792" i="3"/>
  <c r="D802" i="3"/>
  <c r="D813" i="3"/>
  <c r="D824" i="3"/>
  <c r="D834" i="3"/>
  <c r="D753" i="3"/>
  <c r="D764" i="3"/>
  <c r="D774" i="3"/>
  <c r="D785" i="3"/>
  <c r="D796" i="3"/>
  <c r="D806" i="3"/>
  <c r="D817" i="3"/>
  <c r="D828" i="3"/>
  <c r="D838" i="3"/>
  <c r="D745" i="3"/>
  <c r="D756" i="3"/>
  <c r="D766" i="3"/>
  <c r="D777" i="3"/>
  <c r="D788" i="3"/>
  <c r="D798" i="3"/>
  <c r="D809" i="3"/>
  <c r="D820" i="3"/>
  <c r="D830" i="3"/>
  <c r="D746" i="3"/>
  <c r="D757" i="3"/>
  <c r="D768" i="3"/>
  <c r="D778" i="3"/>
  <c r="D789" i="3"/>
  <c r="D800" i="3"/>
  <c r="D810" i="3"/>
  <c r="D821" i="3"/>
  <c r="D832" i="3"/>
  <c r="D748" i="3"/>
  <c r="D758" i="3"/>
  <c r="D769" i="3"/>
  <c r="D780" i="3"/>
  <c r="D790" i="3"/>
  <c r="D801" i="3"/>
  <c r="D812" i="3"/>
  <c r="D822" i="3"/>
  <c r="D833" i="3"/>
  <c r="D752" i="3"/>
  <c r="D782" i="3"/>
  <c r="D808" i="3"/>
  <c r="D837" i="3"/>
  <c r="D762" i="3"/>
  <c r="D793" i="3"/>
  <c r="D818" i="3"/>
  <c r="D772" i="3"/>
  <c r="D797" i="3"/>
  <c r="D826" i="3"/>
  <c r="H826" i="3" s="1"/>
  <c r="D744" i="3"/>
  <c r="D773" i="3"/>
  <c r="D804" i="3"/>
  <c r="D829" i="3"/>
  <c r="D750" i="3"/>
  <c r="D776" i="3"/>
  <c r="D805" i="3"/>
  <c r="D836" i="3"/>
  <c r="D761" i="3"/>
  <c r="D840" i="3"/>
  <c r="D786" i="3"/>
  <c r="D794" i="3"/>
  <c r="D814" i="3"/>
  <c r="D816" i="3"/>
  <c r="D754" i="3"/>
  <c r="H754" i="3" s="1"/>
  <c r="D765" i="3"/>
  <c r="D784" i="3"/>
  <c r="D825" i="3"/>
  <c r="F2108" i="3"/>
  <c r="D61" i="3"/>
  <c r="F579" i="3"/>
  <c r="F476" i="3"/>
  <c r="F362" i="3"/>
  <c r="F840" i="3"/>
  <c r="F1684" i="3"/>
  <c r="F1510" i="3"/>
  <c r="F2104" i="3"/>
  <c r="F1897" i="3"/>
  <c r="F2302" i="3"/>
  <c r="F3305" i="3"/>
  <c r="F2707" i="3"/>
  <c r="H2707" i="3" s="1"/>
  <c r="F2892" i="3"/>
  <c r="F4207" i="3"/>
  <c r="F4360" i="3"/>
  <c r="F3601" i="3"/>
  <c r="F4084" i="3"/>
  <c r="F4619" i="3"/>
  <c r="F4907" i="3"/>
  <c r="F5206" i="3"/>
  <c r="F5984" i="3"/>
  <c r="F6106" i="3"/>
  <c r="F6308" i="3"/>
  <c r="F5741" i="3"/>
  <c r="F2298" i="3"/>
  <c r="F3597" i="3"/>
  <c r="F123" i="3"/>
  <c r="F76" i="3"/>
  <c r="F836" i="3"/>
  <c r="F353" i="3"/>
  <c r="F741" i="3"/>
  <c r="F672" i="3"/>
  <c r="F614" i="3"/>
  <c r="F1031" i="3"/>
  <c r="F505" i="3"/>
  <c r="F958" i="3"/>
  <c r="F1128" i="3"/>
  <c r="F1352" i="3"/>
  <c r="F1193" i="3"/>
  <c r="F1773" i="3"/>
  <c r="F1502" i="3"/>
  <c r="F472" i="3"/>
  <c r="F1681" i="3"/>
  <c r="F2094" i="3"/>
  <c r="F1592" i="3"/>
  <c r="F1892" i="3"/>
  <c r="F2703" i="3"/>
  <c r="F1560" i="3"/>
  <c r="F2293" i="3"/>
  <c r="F2730" i="3"/>
  <c r="F3023" i="3"/>
  <c r="F2888" i="3"/>
  <c r="F2913" i="3"/>
  <c r="F3066" i="3"/>
  <c r="F3300" i="3"/>
  <c r="F3316" i="3"/>
  <c r="F3086" i="3"/>
  <c r="F3115" i="3"/>
  <c r="F3709" i="3"/>
  <c r="F3821" i="3"/>
  <c r="F3734" i="3"/>
  <c r="F3902" i="3"/>
  <c r="F4079" i="3"/>
  <c r="F3456" i="3"/>
  <c r="F2483" i="3"/>
  <c r="F4204" i="3"/>
  <c r="F4220" i="3"/>
  <c r="F4356" i="3"/>
  <c r="F4771" i="3"/>
  <c r="I4771" i="3" s="1"/>
  <c r="F5475" i="3"/>
  <c r="F4725" i="3"/>
  <c r="F4508" i="3"/>
  <c r="F4814" i="3"/>
  <c r="F5262" i="3"/>
  <c r="F3594" i="3"/>
  <c r="F4903" i="3"/>
  <c r="F4959" i="3"/>
  <c r="F5199" i="3"/>
  <c r="F6215" i="3"/>
  <c r="F6503" i="3"/>
  <c r="F5511" i="3"/>
  <c r="F5777" i="3"/>
  <c r="F6545" i="3"/>
  <c r="F5924" i="3"/>
  <c r="F6372" i="3"/>
  <c r="F5733" i="3"/>
  <c r="F6101" i="3"/>
  <c r="F349" i="3"/>
  <c r="H349" i="3" s="1"/>
  <c r="F1498" i="3"/>
  <c r="F2885" i="3"/>
  <c r="F4899" i="3"/>
  <c r="F187" i="3"/>
  <c r="F469" i="3"/>
  <c r="F47" i="3"/>
  <c r="F572" i="3"/>
  <c r="H572" i="3" s="1"/>
  <c r="F345" i="3"/>
  <c r="F832" i="3"/>
  <c r="F872" i="3"/>
  <c r="F1770" i="3"/>
  <c r="F1163" i="3"/>
  <c r="F2087" i="3"/>
  <c r="F2282" i="3"/>
  <c r="F2478" i="3"/>
  <c r="F2790" i="3"/>
  <c r="F2356" i="3"/>
  <c r="F2698" i="3"/>
  <c r="F2589" i="3"/>
  <c r="F2935" i="3"/>
  <c r="F3001" i="3"/>
  <c r="F3217" i="3"/>
  <c r="F3297" i="3"/>
  <c r="F2978" i="3"/>
  <c r="F3589" i="3"/>
  <c r="F3637" i="3"/>
  <c r="F4077" i="3"/>
  <c r="F4505" i="3"/>
  <c r="F4722" i="3"/>
  <c r="F5194" i="3"/>
  <c r="F5403" i="3"/>
  <c r="F3898" i="3"/>
  <c r="F5061" i="3"/>
  <c r="F5920" i="3"/>
  <c r="F4792" i="3"/>
  <c r="F5801" i="3"/>
  <c r="F5723" i="3"/>
  <c r="F6515" i="3"/>
  <c r="F6212" i="3"/>
  <c r="H6212" i="3" s="1"/>
  <c r="F340" i="3"/>
  <c r="F1490" i="3"/>
  <c r="F2082" i="3"/>
  <c r="F2276" i="3"/>
  <c r="F3339" i="3"/>
  <c r="I3339" i="3" s="1"/>
  <c r="F4197" i="3"/>
  <c r="F3583" i="3"/>
  <c r="F4072" i="3"/>
  <c r="F167" i="3"/>
  <c r="F2736" i="3"/>
  <c r="F119" i="3"/>
  <c r="F330" i="3"/>
  <c r="F610" i="3"/>
  <c r="F820" i="3"/>
  <c r="F74" i="3"/>
  <c r="F1029" i="3"/>
  <c r="F1190" i="3"/>
  <c r="F458" i="3"/>
  <c r="F1114" i="3"/>
  <c r="F1587" i="3"/>
  <c r="F1342" i="3"/>
  <c r="F1669" i="3"/>
  <c r="F942" i="3"/>
  <c r="F1553" i="3"/>
  <c r="F1880" i="3"/>
  <c r="F2263" i="3"/>
  <c r="F1760" i="3"/>
  <c r="F1480" i="3"/>
  <c r="F2068" i="3"/>
  <c r="F2465" i="3"/>
  <c r="F2685" i="3"/>
  <c r="F2728" i="3"/>
  <c r="F3286" i="3"/>
  <c r="F3061" i="3"/>
  <c r="F4061" i="3"/>
  <c r="F3315" i="3"/>
  <c r="F3575" i="3"/>
  <c r="F3440" i="3"/>
  <c r="F3816" i="3"/>
  <c r="F3888" i="3"/>
  <c r="F4184" i="3"/>
  <c r="F2909" i="3"/>
  <c r="F3732" i="3"/>
  <c r="F4219" i="3"/>
  <c r="F4813" i="3"/>
  <c r="F4950" i="3"/>
  <c r="F5182" i="3"/>
  <c r="F4711" i="3"/>
  <c r="F4887" i="3"/>
  <c r="F3699" i="3"/>
  <c r="F4347" i="3"/>
  <c r="F4601" i="3"/>
  <c r="F6544" i="3"/>
  <c r="F5706" i="3"/>
  <c r="F6362" i="3"/>
  <c r="F4498" i="3"/>
  <c r="F6500" i="3"/>
  <c r="H6500" i="3" s="1"/>
  <c r="F5503" i="3"/>
  <c r="F6198" i="3"/>
  <c r="F6085" i="3"/>
  <c r="F5177" i="3"/>
  <c r="F5700" i="3"/>
  <c r="F2055" i="3"/>
  <c r="F4226" i="3"/>
  <c r="D6469" i="3"/>
  <c r="F451" i="3"/>
  <c r="F559" i="3"/>
  <c r="F318" i="3"/>
  <c r="F936" i="3"/>
  <c r="F810" i="3"/>
  <c r="I810" i="3" s="1"/>
  <c r="F1874" i="3"/>
  <c r="F1260" i="3"/>
  <c r="F1755" i="3"/>
  <c r="F1470" i="3"/>
  <c r="F1108" i="3"/>
  <c r="F2050" i="3"/>
  <c r="F2727" i="3"/>
  <c r="F2674" i="3"/>
  <c r="F2868" i="3"/>
  <c r="F2457" i="3"/>
  <c r="F2254" i="3"/>
  <c r="F3281" i="3"/>
  <c r="F3170" i="3"/>
  <c r="F4173" i="3"/>
  <c r="F3814" i="3"/>
  <c r="F3431" i="3"/>
  <c r="F3568" i="3"/>
  <c r="F3880" i="3"/>
  <c r="F4592" i="3"/>
  <c r="F5170" i="3"/>
  <c r="F4972" i="3"/>
  <c r="F4338" i="3"/>
  <c r="F4702" i="3"/>
  <c r="F4767" i="3"/>
  <c r="I4767" i="3" s="1"/>
  <c r="F4051" i="3"/>
  <c r="F5337" i="3"/>
  <c r="F6287" i="3"/>
  <c r="H6287" i="3" s="1"/>
  <c r="F6568" i="3"/>
  <c r="F5248" i="3"/>
  <c r="F4880" i="3"/>
  <c r="F5692" i="3"/>
  <c r="F5772" i="3"/>
  <c r="F5964" i="3"/>
  <c r="F6076" i="3"/>
  <c r="H6076" i="3" s="1"/>
  <c r="F6404" i="3"/>
  <c r="F5846" i="3"/>
  <c r="F6190" i="3"/>
  <c r="F6542" i="3"/>
  <c r="D6317" i="3"/>
  <c r="I6317" i="3" s="1"/>
  <c r="D6325" i="3"/>
  <c r="D6333" i="3"/>
  <c r="D6341" i="3"/>
  <c r="D6349" i="3"/>
  <c r="D6357" i="3"/>
  <c r="D6365" i="3"/>
  <c r="D6373" i="3"/>
  <c r="D6318" i="3"/>
  <c r="D6326" i="3"/>
  <c r="D6334" i="3"/>
  <c r="D6342" i="3"/>
  <c r="D6350" i="3"/>
  <c r="H6350" i="3" s="1"/>
  <c r="D6358" i="3"/>
  <c r="D6366" i="3"/>
  <c r="D6374" i="3"/>
  <c r="D6319" i="3"/>
  <c r="D6327" i="3"/>
  <c r="D6335" i="3"/>
  <c r="D6343" i="3"/>
  <c r="D6351" i="3"/>
  <c r="D6359" i="3"/>
  <c r="D6367" i="3"/>
  <c r="D6320" i="3"/>
  <c r="D6328" i="3"/>
  <c r="D6336" i="3"/>
  <c r="D6344" i="3"/>
  <c r="D6352" i="3"/>
  <c r="D6360" i="3"/>
  <c r="D6368" i="3"/>
  <c r="D6321" i="3"/>
  <c r="D6329" i="3"/>
  <c r="D6337" i="3"/>
  <c r="D6345" i="3"/>
  <c r="D6353" i="3"/>
  <c r="D6361" i="3"/>
  <c r="D6369" i="3"/>
  <c r="D6314" i="3"/>
  <c r="D6322" i="3"/>
  <c r="D6330" i="3"/>
  <c r="D6338" i="3"/>
  <c r="D6346" i="3"/>
  <c r="D6354" i="3"/>
  <c r="D6362" i="3"/>
  <c r="D6370" i="3"/>
  <c r="F314" i="3"/>
  <c r="F1466" i="3"/>
  <c r="F6074" i="3"/>
  <c r="D5986" i="3"/>
  <c r="D5987" i="3"/>
  <c r="F2451" i="3"/>
  <c r="F2862" i="3"/>
  <c r="F4334" i="3"/>
  <c r="F3875" i="3"/>
  <c r="F6071" i="3"/>
  <c r="F4588" i="3"/>
  <c r="D5781" i="3"/>
  <c r="D5782" i="3"/>
  <c r="D5783" i="3"/>
  <c r="D5784" i="3"/>
  <c r="D5778" i="3"/>
  <c r="D5779" i="3"/>
  <c r="F36" i="3"/>
  <c r="F440" i="3"/>
  <c r="F306" i="3"/>
  <c r="F1045" i="3"/>
  <c r="F858" i="3"/>
  <c r="F712" i="3"/>
  <c r="F554" i="3"/>
  <c r="F1154" i="3"/>
  <c r="F1099" i="3"/>
  <c r="F799" i="3"/>
  <c r="F929" i="3"/>
  <c r="F1745" i="3"/>
  <c r="F1544" i="3"/>
  <c r="F2035" i="3"/>
  <c r="F2783" i="3"/>
  <c r="F2578" i="3"/>
  <c r="F2241" i="3"/>
  <c r="F2446" i="3"/>
  <c r="F2967" i="3"/>
  <c r="F3272" i="3"/>
  <c r="F2664" i="3"/>
  <c r="F3204" i="3"/>
  <c r="F3557" i="3"/>
  <c r="F2858" i="3"/>
  <c r="F4038" i="3"/>
  <c r="F4374" i="3"/>
  <c r="F3631" i="3"/>
  <c r="F3687" i="3"/>
  <c r="F3871" i="3"/>
  <c r="F4392" i="3"/>
  <c r="F3929" i="3"/>
  <c r="F4489" i="3"/>
  <c r="F5242" i="3"/>
  <c r="F5530" i="3"/>
  <c r="F4692" i="3"/>
  <c r="F4582" i="3"/>
  <c r="F5053" i="3"/>
  <c r="F5158" i="3"/>
  <c r="F4162" i="3"/>
  <c r="F5679" i="3"/>
  <c r="F4760" i="3"/>
  <c r="F6456" i="3"/>
  <c r="F6066" i="3"/>
  <c r="F5423" i="3"/>
  <c r="F5899" i="3"/>
  <c r="F6180" i="3"/>
  <c r="I6180" i="3" s="1"/>
  <c r="F6510" i="3"/>
  <c r="D5349" i="3"/>
  <c r="D5357" i="3"/>
  <c r="D5365" i="3"/>
  <c r="D5373" i="3"/>
  <c r="D5381" i="3"/>
  <c r="D5389" i="3"/>
  <c r="D5397" i="3"/>
  <c r="D5405" i="3"/>
  <c r="D5350" i="3"/>
  <c r="D5358" i="3"/>
  <c r="D5366" i="3"/>
  <c r="D5374" i="3"/>
  <c r="D5382" i="3"/>
  <c r="D5390" i="3"/>
  <c r="D5398" i="3"/>
  <c r="D5351" i="3"/>
  <c r="D5359" i="3"/>
  <c r="D5367" i="3"/>
  <c r="D5375" i="3"/>
  <c r="D5383" i="3"/>
  <c r="D5391" i="3"/>
  <c r="D5399" i="3"/>
  <c r="D5352" i="3"/>
  <c r="H5352" i="3" s="1"/>
  <c r="D5360" i="3"/>
  <c r="D5368" i="3"/>
  <c r="D5376" i="3"/>
  <c r="D5384" i="3"/>
  <c r="D5392" i="3"/>
  <c r="D5400" i="3"/>
  <c r="D5353" i="3"/>
  <c r="D5361" i="3"/>
  <c r="D5369" i="3"/>
  <c r="D5377" i="3"/>
  <c r="D5385" i="3"/>
  <c r="D5393" i="3"/>
  <c r="D5401" i="3"/>
  <c r="I5401" i="3" s="1"/>
  <c r="D5354" i="3"/>
  <c r="H5354" i="3" s="1"/>
  <c r="D5362" i="3"/>
  <c r="D5370" i="3"/>
  <c r="D5378" i="3"/>
  <c r="D5386" i="3"/>
  <c r="D5394" i="3"/>
  <c r="D5402" i="3"/>
  <c r="D5355" i="3"/>
  <c r="D5363" i="3"/>
  <c r="D5371" i="3"/>
  <c r="D5379" i="3"/>
  <c r="D5387" i="3"/>
  <c r="D5395" i="3"/>
  <c r="D5403" i="3"/>
  <c r="D5356" i="3"/>
  <c r="D5364" i="3"/>
  <c r="D5372" i="3"/>
  <c r="D5380" i="3"/>
  <c r="D5388" i="3"/>
  <c r="D5396" i="3"/>
  <c r="D5404" i="3"/>
  <c r="F552" i="3"/>
  <c r="F300" i="3"/>
  <c r="F2030" i="3"/>
  <c r="F2236" i="3"/>
  <c r="F4158" i="3"/>
  <c r="F4035" i="3"/>
  <c r="F5155" i="3"/>
  <c r="F5385" i="3"/>
  <c r="F5897" i="3"/>
  <c r="F5673" i="3"/>
  <c r="D5045" i="3"/>
  <c r="D5053" i="3"/>
  <c r="D5061" i="3"/>
  <c r="D5046" i="3"/>
  <c r="I5046" i="3" s="1"/>
  <c r="D5054" i="3"/>
  <c r="I5054" i="3" s="1"/>
  <c r="D5047" i="3"/>
  <c r="D5055" i="3"/>
  <c r="D5048" i="3"/>
  <c r="D5056" i="3"/>
  <c r="D5049" i="3"/>
  <c r="D5057" i="3"/>
  <c r="D5050" i="3"/>
  <c r="D5058" i="3"/>
  <c r="D5051" i="3"/>
  <c r="D5059" i="3"/>
  <c r="D5052" i="3"/>
  <c r="D5060" i="3"/>
  <c r="F297" i="3"/>
  <c r="F2232" i="3"/>
  <c r="F3550" i="3"/>
  <c r="D4985" i="3"/>
  <c r="D4986" i="3"/>
  <c r="D4987" i="3"/>
  <c r="F291" i="3"/>
  <c r="F1445" i="3"/>
  <c r="F2226" i="3"/>
  <c r="F1856" i="3"/>
  <c r="D4793" i="3"/>
  <c r="D4794" i="3"/>
  <c r="D4795" i="3"/>
  <c r="D4796" i="3"/>
  <c r="F2217" i="3"/>
  <c r="F4021" i="3"/>
  <c r="F3540" i="3"/>
  <c r="D4428" i="3"/>
  <c r="D4429" i="3"/>
  <c r="D4430" i="3"/>
  <c r="F280" i="3"/>
  <c r="F1435" i="3"/>
  <c r="F1849" i="3"/>
  <c r="F2426" i="3"/>
  <c r="F2211" i="3"/>
  <c r="F2649" i="3"/>
  <c r="F2845" i="3"/>
  <c r="F3258" i="3"/>
  <c r="F3408" i="3"/>
  <c r="F3536" i="3"/>
  <c r="F4316" i="3"/>
  <c r="F5650" i="3"/>
  <c r="F5140" i="3"/>
  <c r="F4861" i="3"/>
  <c r="F5952" i="3"/>
  <c r="F6050" i="3"/>
  <c r="F6274" i="3"/>
  <c r="F5324" i="3"/>
  <c r="D4248" i="3"/>
  <c r="D4256" i="3"/>
  <c r="D4249" i="3"/>
  <c r="D4257" i="3"/>
  <c r="D4243" i="3"/>
  <c r="D4251" i="3"/>
  <c r="D4259" i="3"/>
  <c r="D4244" i="3"/>
  <c r="D4252" i="3"/>
  <c r="D4260" i="3"/>
  <c r="D4245" i="3"/>
  <c r="D4253" i="3"/>
  <c r="D4261" i="3"/>
  <c r="D4246" i="3"/>
  <c r="D4254" i="3"/>
  <c r="D4262" i="3"/>
  <c r="D4255" i="3"/>
  <c r="D4258" i="3"/>
  <c r="D4242" i="3"/>
  <c r="D4247" i="3"/>
  <c r="D4250" i="3"/>
  <c r="F3913" i="3"/>
  <c r="D3939" i="3"/>
  <c r="D3940" i="3"/>
  <c r="D3941" i="3"/>
  <c r="D3942" i="3"/>
  <c r="F543" i="3"/>
  <c r="F274" i="3"/>
  <c r="F909" i="3"/>
  <c r="F1429" i="3"/>
  <c r="H1429" i="3" s="1"/>
  <c r="F2200" i="3"/>
  <c r="F2420" i="3"/>
  <c r="F2645" i="3"/>
  <c r="F1996" i="3"/>
  <c r="F3527" i="3"/>
  <c r="F4313" i="3"/>
  <c r="F4012" i="3"/>
  <c r="F4139" i="3"/>
  <c r="I4139" i="3" s="1"/>
  <c r="F3859" i="3"/>
  <c r="F5134" i="3"/>
  <c r="F5640" i="3"/>
  <c r="F6157" i="3"/>
  <c r="D3744" i="3"/>
  <c r="I3744" i="3" s="1"/>
  <c r="D3752" i="3"/>
  <c r="D3760" i="3"/>
  <c r="D3745" i="3"/>
  <c r="D3753" i="3"/>
  <c r="D3761" i="3"/>
  <c r="D3746" i="3"/>
  <c r="D3754" i="3"/>
  <c r="D3762" i="3"/>
  <c r="D3747" i="3"/>
  <c r="D3755" i="3"/>
  <c r="D3763" i="3"/>
  <c r="D3748" i="3"/>
  <c r="D3756" i="3"/>
  <c r="D3764" i="3"/>
  <c r="D3749" i="3"/>
  <c r="D3757" i="3"/>
  <c r="D3750" i="3"/>
  <c r="D3758" i="3"/>
  <c r="D3743" i="3"/>
  <c r="D3751" i="3"/>
  <c r="D3759" i="3"/>
  <c r="F421" i="3"/>
  <c r="F908" i="3"/>
  <c r="F272" i="3"/>
  <c r="F542" i="3"/>
  <c r="F1246" i="3"/>
  <c r="F660" i="3"/>
  <c r="F1081" i="3"/>
  <c r="F1426" i="3"/>
  <c r="F1842" i="3"/>
  <c r="F1726" i="3"/>
  <c r="F2199" i="3"/>
  <c r="F1994" i="3"/>
  <c r="F2417" i="3"/>
  <c r="F2719" i="3"/>
  <c r="F2837" i="3"/>
  <c r="F3335" i="3"/>
  <c r="F2512" i="3"/>
  <c r="F2643" i="3"/>
  <c r="I2643" i="3" s="1"/>
  <c r="F3166" i="3"/>
  <c r="F3251" i="3"/>
  <c r="F3526" i="3"/>
  <c r="F3799" i="3"/>
  <c r="F4312" i="3"/>
  <c r="F4560" i="3"/>
  <c r="F4137" i="3"/>
  <c r="F3401" i="3"/>
  <c r="F3858" i="3"/>
  <c r="F5130" i="3"/>
  <c r="F4011" i="3"/>
  <c r="F4678" i="3"/>
  <c r="F4854" i="3"/>
  <c r="F5230" i="3"/>
  <c r="F5374" i="3"/>
  <c r="F5638" i="3"/>
  <c r="F4476" i="3"/>
  <c r="F4752" i="3"/>
  <c r="F5320" i="3"/>
  <c r="F6272" i="3"/>
  <c r="H6272" i="3" s="1"/>
  <c r="F6449" i="3"/>
  <c r="F6042" i="3"/>
  <c r="F5835" i="3"/>
  <c r="F6395" i="3"/>
  <c r="I6395" i="3" s="1"/>
  <c r="F6531" i="3"/>
  <c r="I6531" i="3" s="1"/>
  <c r="F6156" i="3"/>
  <c r="F6612" i="3"/>
  <c r="I6612" i="3" s="1"/>
  <c r="F5950" i="3"/>
  <c r="F6558" i="3"/>
  <c r="D3658" i="3"/>
  <c r="D3666" i="3"/>
  <c r="D3674" i="3"/>
  <c r="D3682" i="3"/>
  <c r="H3682" i="3" s="1"/>
  <c r="D3690" i="3"/>
  <c r="D3698" i="3"/>
  <c r="D3659" i="3"/>
  <c r="D3668" i="3"/>
  <c r="D3677" i="3"/>
  <c r="D3686" i="3"/>
  <c r="D3695" i="3"/>
  <c r="D3704" i="3"/>
  <c r="D3712" i="3"/>
  <c r="D3660" i="3"/>
  <c r="D3669" i="3"/>
  <c r="H3669" i="3" s="1"/>
  <c r="D3678" i="3"/>
  <c r="D3687" i="3"/>
  <c r="D3696" i="3"/>
  <c r="D3705" i="3"/>
  <c r="D3652" i="3"/>
  <c r="D3661" i="3"/>
  <c r="D3670" i="3"/>
  <c r="D3679" i="3"/>
  <c r="I3679" i="3" s="1"/>
  <c r="D3688" i="3"/>
  <c r="D3697" i="3"/>
  <c r="D3706" i="3"/>
  <c r="D3653" i="3"/>
  <c r="D3662" i="3"/>
  <c r="D3671" i="3"/>
  <c r="D3680" i="3"/>
  <c r="D3689" i="3"/>
  <c r="I3689" i="3" s="1"/>
  <c r="D3699" i="3"/>
  <c r="D3707" i="3"/>
  <c r="D3654" i="3"/>
  <c r="D3663" i="3"/>
  <c r="D3672" i="3"/>
  <c r="D3681" i="3"/>
  <c r="D3691" i="3"/>
  <c r="D3700" i="3"/>
  <c r="D3708" i="3"/>
  <c r="D3655" i="3"/>
  <c r="D3664" i="3"/>
  <c r="D3673" i="3"/>
  <c r="D3683" i="3"/>
  <c r="D3692" i="3"/>
  <c r="D3701" i="3"/>
  <c r="D3709" i="3"/>
  <c r="H3709" i="3" s="1"/>
  <c r="D3656" i="3"/>
  <c r="D3665" i="3"/>
  <c r="D3675" i="3"/>
  <c r="D3684" i="3"/>
  <c r="D3693" i="3"/>
  <c r="I3693" i="3" s="1"/>
  <c r="D3702" i="3"/>
  <c r="D3710" i="3"/>
  <c r="D3667" i="3"/>
  <c r="D3676" i="3"/>
  <c r="D3685" i="3"/>
  <c r="D3694" i="3"/>
  <c r="D3703" i="3"/>
  <c r="D3711" i="3"/>
  <c r="D3657" i="3"/>
  <c r="F1989" i="3"/>
  <c r="F3609" i="3"/>
  <c r="F5633" i="3"/>
  <c r="D3351" i="3"/>
  <c r="D3349" i="3"/>
  <c r="D3350" i="3"/>
  <c r="F416" i="3"/>
  <c r="F153" i="3"/>
  <c r="F264" i="3"/>
  <c r="F903" i="3"/>
  <c r="F1417" i="3"/>
  <c r="F1984" i="3"/>
  <c r="F2410" i="3"/>
  <c r="F2639" i="3"/>
  <c r="F3853" i="3"/>
  <c r="F3925" i="3"/>
  <c r="F3397" i="3"/>
  <c r="F3903" i="3"/>
  <c r="F2190" i="3"/>
  <c r="F3520" i="3"/>
  <c r="F4552" i="3"/>
  <c r="F3131" i="3"/>
  <c r="F4369" i="3"/>
  <c r="F3740" i="3"/>
  <c r="F4004" i="3"/>
  <c r="F4388" i="3"/>
  <c r="F5370" i="3"/>
  <c r="F5522" i="3"/>
  <c r="F4963" i="3"/>
  <c r="F4426" i="3"/>
  <c r="H4426" i="3" s="1"/>
  <c r="F5629" i="3"/>
  <c r="F5414" i="3"/>
  <c r="F5121" i="3"/>
  <c r="F6407" i="3"/>
  <c r="F5880" i="3"/>
  <c r="F4131" i="3"/>
  <c r="F6149" i="3"/>
  <c r="D3186" i="3"/>
  <c r="D3194" i="3"/>
  <c r="H3194" i="3" s="1"/>
  <c r="D3202" i="3"/>
  <c r="D3210" i="3"/>
  <c r="D3182" i="3"/>
  <c r="D3190" i="3"/>
  <c r="D3198" i="3"/>
  <c r="D3206" i="3"/>
  <c r="D3214" i="3"/>
  <c r="D3183" i="3"/>
  <c r="D3191" i="3"/>
  <c r="D3199" i="3"/>
  <c r="D3207" i="3"/>
  <c r="D3215" i="3"/>
  <c r="D3184" i="3"/>
  <c r="D3192" i="3"/>
  <c r="D3200" i="3"/>
  <c r="H3200" i="3" s="1"/>
  <c r="D3208" i="3"/>
  <c r="D3216" i="3"/>
  <c r="D3180" i="3"/>
  <c r="D3196" i="3"/>
  <c r="D3212" i="3"/>
  <c r="D3181" i="3"/>
  <c r="D3197" i="3"/>
  <c r="D3213" i="3"/>
  <c r="D3185" i="3"/>
  <c r="D3201" i="3"/>
  <c r="D3217" i="3"/>
  <c r="D3187" i="3"/>
  <c r="D3203" i="3"/>
  <c r="D3188" i="3"/>
  <c r="D3204" i="3"/>
  <c r="D3189" i="3"/>
  <c r="D3205" i="3"/>
  <c r="D3193" i="3"/>
  <c r="D3209" i="3"/>
  <c r="D3195" i="3"/>
  <c r="D3211" i="3"/>
  <c r="F3912" i="3"/>
  <c r="D3116" i="3"/>
  <c r="F254" i="3"/>
  <c r="F1411" i="3"/>
  <c r="F2180" i="3"/>
  <c r="F4846" i="3"/>
  <c r="D3002" i="3"/>
  <c r="I3002" i="3" s="1"/>
  <c r="D3005" i="3"/>
  <c r="D3003" i="3"/>
  <c r="D3004" i="3"/>
  <c r="F251" i="3"/>
  <c r="F2174" i="3"/>
  <c r="D2936" i="3"/>
  <c r="D2937" i="3"/>
  <c r="F246" i="3"/>
  <c r="F1404" i="3"/>
  <c r="F2169" i="3"/>
  <c r="F3389" i="3"/>
  <c r="D2770" i="3"/>
  <c r="D2767" i="3"/>
  <c r="D2768" i="3"/>
  <c r="D2769" i="3"/>
  <c r="D6596" i="3"/>
  <c r="I6596" i="3" s="1"/>
  <c r="D6580" i="3"/>
  <c r="D6470" i="3"/>
  <c r="D6356" i="3"/>
  <c r="D6324" i="3"/>
  <c r="D6292" i="3"/>
  <c r="D6260" i="3"/>
  <c r="D5908" i="3"/>
  <c r="D5844" i="3"/>
  <c r="H5844" i="3" s="1"/>
  <c r="D5684" i="3"/>
  <c r="F487" i="3"/>
  <c r="F244" i="3"/>
  <c r="F896" i="3"/>
  <c r="F1634" i="3"/>
  <c r="F769" i="3"/>
  <c r="F1403" i="3"/>
  <c r="F1831" i="3"/>
  <c r="F2631" i="3"/>
  <c r="F2165" i="3"/>
  <c r="F4301" i="3"/>
  <c r="F3510" i="3"/>
  <c r="F3388" i="3"/>
  <c r="F4543" i="3"/>
  <c r="F3849" i="3"/>
  <c r="F5610" i="3"/>
  <c r="F4845" i="3"/>
  <c r="F6331" i="3"/>
  <c r="F6260" i="3"/>
  <c r="F3667" i="3"/>
  <c r="F6030" i="3"/>
  <c r="D2714" i="3"/>
  <c r="D2722" i="3"/>
  <c r="D2730" i="3"/>
  <c r="D2709" i="3"/>
  <c r="D2717" i="3"/>
  <c r="D2725" i="3"/>
  <c r="D2710" i="3"/>
  <c r="D2718" i="3"/>
  <c r="D2726" i="3"/>
  <c r="D2711" i="3"/>
  <c r="D2719" i="3"/>
  <c r="D2727" i="3"/>
  <c r="D2712" i="3"/>
  <c r="D2720" i="3"/>
  <c r="D2728" i="3"/>
  <c r="H2728" i="3" s="1"/>
  <c r="D2715" i="3"/>
  <c r="D2716" i="3"/>
  <c r="D2721" i="3"/>
  <c r="D2723" i="3"/>
  <c r="D2724" i="3"/>
  <c r="D2729" i="3"/>
  <c r="D2708" i="3"/>
  <c r="D2713" i="3"/>
  <c r="F225" i="3"/>
  <c r="F1386" i="3"/>
  <c r="F1819" i="3"/>
  <c r="F3377" i="3"/>
  <c r="F3496" i="3"/>
  <c r="F4532" i="3"/>
  <c r="F5303" i="3"/>
  <c r="F6016" i="3"/>
  <c r="F5587" i="3"/>
  <c r="F6324" i="3"/>
  <c r="D1609" i="3"/>
  <c r="D1612" i="3"/>
  <c r="D1606" i="3"/>
  <c r="D1614" i="3"/>
  <c r="D1607" i="3"/>
  <c r="D1608" i="3"/>
  <c r="D1611" i="3"/>
  <c r="D1613" i="3"/>
  <c r="D1610" i="3"/>
  <c r="F143" i="3"/>
  <c r="D975" i="3"/>
  <c r="D974" i="3"/>
  <c r="F575" i="3"/>
  <c r="F1501" i="3"/>
  <c r="F5979" i="3"/>
  <c r="I5979" i="3" s="1"/>
  <c r="F5732" i="3"/>
  <c r="F6301" i="3"/>
  <c r="F348" i="3"/>
  <c r="F956" i="3"/>
  <c r="F1497" i="3"/>
  <c r="F2288" i="3"/>
  <c r="F2701" i="3"/>
  <c r="I2701" i="3" s="1"/>
  <c r="F2884" i="3"/>
  <c r="F3454" i="3"/>
  <c r="F3592" i="3"/>
  <c r="F3900" i="3"/>
  <c r="F4898" i="3"/>
  <c r="F4613" i="3"/>
  <c r="F5197" i="3"/>
  <c r="F5727" i="3"/>
  <c r="F6098" i="3"/>
  <c r="F571" i="3"/>
  <c r="F4076" i="3"/>
  <c r="F5919" i="3"/>
  <c r="F3448" i="3"/>
  <c r="F4436" i="3"/>
  <c r="F5717" i="3"/>
  <c r="F2075" i="3"/>
  <c r="F2270" i="3"/>
  <c r="F4190" i="3"/>
  <c r="F5913" i="3"/>
  <c r="F6203" i="3"/>
  <c r="I6203" i="3" s="1"/>
  <c r="F329" i="3"/>
  <c r="F2067" i="3"/>
  <c r="F5181" i="3"/>
  <c r="F5705" i="3"/>
  <c r="F564" i="3"/>
  <c r="F4058" i="3"/>
  <c r="F5969" i="3"/>
  <c r="I5969" i="3" s="1"/>
  <c r="F6292" i="3"/>
  <c r="F715" i="3"/>
  <c r="F453" i="3"/>
  <c r="F320" i="3"/>
  <c r="F813" i="3"/>
  <c r="F863" i="3"/>
  <c r="F938" i="3"/>
  <c r="F1757" i="3"/>
  <c r="F2054" i="3"/>
  <c r="F2256" i="3"/>
  <c r="F2583" i="3"/>
  <c r="F2351" i="3"/>
  <c r="F2677" i="3"/>
  <c r="H2677" i="3" s="1"/>
  <c r="F2869" i="3"/>
  <c r="F4053" i="3"/>
  <c r="F3695" i="3"/>
  <c r="F4176" i="3"/>
  <c r="H4176" i="3" s="1"/>
  <c r="F5394" i="3"/>
  <c r="F5172" i="3"/>
  <c r="F3570" i="3"/>
  <c r="F6191" i="3"/>
  <c r="F4704" i="3"/>
  <c r="F6513" i="3"/>
  <c r="F3882" i="3"/>
  <c r="F4378" i="3"/>
  <c r="F5908" i="3"/>
  <c r="F5797" i="3"/>
  <c r="F5694" i="3"/>
  <c r="F6078" i="3"/>
  <c r="D6437" i="3"/>
  <c r="D6445" i="3"/>
  <c r="D6453" i="3"/>
  <c r="D6461" i="3"/>
  <c r="D6438" i="3"/>
  <c r="D6446" i="3"/>
  <c r="D6454" i="3"/>
  <c r="D6462" i="3"/>
  <c r="D6439" i="3"/>
  <c r="D6447" i="3"/>
  <c r="D6455" i="3"/>
  <c r="D6463" i="3"/>
  <c r="D6440" i="3"/>
  <c r="D6448" i="3"/>
  <c r="D6456" i="3"/>
  <c r="D6464" i="3"/>
  <c r="D6441" i="3"/>
  <c r="D6449" i="3"/>
  <c r="D6457" i="3"/>
  <c r="D6465" i="3"/>
  <c r="D6442" i="3"/>
  <c r="D6450" i="3"/>
  <c r="D6458" i="3"/>
  <c r="D6466" i="3"/>
  <c r="F619" i="3"/>
  <c r="I619" i="3" s="1"/>
  <c r="F383" i="3"/>
  <c r="F2049" i="3"/>
  <c r="F5169" i="3"/>
  <c r="F6567" i="3"/>
  <c r="D6311" i="3"/>
  <c r="D6312" i="3"/>
  <c r="D6313" i="3"/>
  <c r="F311" i="3"/>
  <c r="F803" i="3"/>
  <c r="F931" i="3"/>
  <c r="F1102" i="3"/>
  <c r="F1658" i="3"/>
  <c r="F1869" i="3"/>
  <c r="F1332" i="3"/>
  <c r="F1462" i="3"/>
  <c r="F1750" i="3"/>
  <c r="F2247" i="3"/>
  <c r="F2450" i="3"/>
  <c r="F2041" i="3"/>
  <c r="F2669" i="3"/>
  <c r="F2861" i="3"/>
  <c r="F4045" i="3"/>
  <c r="F4333" i="3"/>
  <c r="F3425" i="3"/>
  <c r="F3812" i="3"/>
  <c r="F5162" i="3"/>
  <c r="F4876" i="3"/>
  <c r="F3874" i="3"/>
  <c r="F3562" i="3"/>
  <c r="F4587" i="3"/>
  <c r="F4235" i="3"/>
  <c r="H4235" i="3" s="1"/>
  <c r="F6352" i="3"/>
  <c r="I6352" i="3" s="1"/>
  <c r="F5961" i="3"/>
  <c r="F6186" i="3"/>
  <c r="F6284" i="3"/>
  <c r="F5685" i="3"/>
  <c r="F4696" i="3"/>
  <c r="F6070" i="3"/>
  <c r="D5749" i="3"/>
  <c r="D5757" i="3"/>
  <c r="D5765" i="3"/>
  <c r="D5773" i="3"/>
  <c r="D5742" i="3"/>
  <c r="D5750" i="3"/>
  <c r="D5758" i="3"/>
  <c r="D5766" i="3"/>
  <c r="D5774" i="3"/>
  <c r="D5743" i="3"/>
  <c r="I5743" i="3" s="1"/>
  <c r="D5751" i="3"/>
  <c r="D5759" i="3"/>
  <c r="D5767" i="3"/>
  <c r="I5767" i="3" s="1"/>
  <c r="D5775" i="3"/>
  <c r="D5744" i="3"/>
  <c r="D5752" i="3"/>
  <c r="D5760" i="3"/>
  <c r="D5768" i="3"/>
  <c r="H5768" i="3" s="1"/>
  <c r="D5776" i="3"/>
  <c r="D5745" i="3"/>
  <c r="D5753" i="3"/>
  <c r="D5761" i="3"/>
  <c r="D5769" i="3"/>
  <c r="D5777" i="3"/>
  <c r="D5746" i="3"/>
  <c r="D5754" i="3"/>
  <c r="H5754" i="3" s="1"/>
  <c r="D5762" i="3"/>
  <c r="D5770" i="3"/>
  <c r="D5747" i="3"/>
  <c r="H5747" i="3" s="1"/>
  <c r="D5755" i="3"/>
  <c r="D5763" i="3"/>
  <c r="D5771" i="3"/>
  <c r="F305" i="3"/>
  <c r="F1457" i="3"/>
  <c r="D5347" i="3"/>
  <c r="D5348" i="3"/>
  <c r="F299" i="3"/>
  <c r="F437" i="3"/>
  <c r="F795" i="3"/>
  <c r="F923" i="3"/>
  <c r="F1451" i="3"/>
  <c r="F1327" i="3"/>
  <c r="H1327" i="3" s="1"/>
  <c r="F1540" i="3"/>
  <c r="F1653" i="3"/>
  <c r="F1861" i="3"/>
  <c r="F2442" i="3"/>
  <c r="F2235" i="3"/>
  <c r="F2029" i="3"/>
  <c r="F2658" i="3"/>
  <c r="H2658" i="3" s="1"/>
  <c r="F4157" i="3"/>
  <c r="F3552" i="3"/>
  <c r="F3418" i="3"/>
  <c r="F4324" i="3"/>
  <c r="F4034" i="3"/>
  <c r="F4578" i="3"/>
  <c r="F5154" i="3"/>
  <c r="F4869" i="3"/>
  <c r="F6176" i="3"/>
  <c r="F5672" i="3"/>
  <c r="F6061" i="3"/>
  <c r="D5021" i="3"/>
  <c r="I5021" i="3" s="1"/>
  <c r="D5029" i="3"/>
  <c r="D5037" i="3"/>
  <c r="D5022" i="3"/>
  <c r="D5030" i="3"/>
  <c r="D5038" i="3"/>
  <c r="D5015" i="3"/>
  <c r="D5023" i="3"/>
  <c r="D5031" i="3"/>
  <c r="D5039" i="3"/>
  <c r="D5016" i="3"/>
  <c r="D5024" i="3"/>
  <c r="D5032" i="3"/>
  <c r="D5040" i="3"/>
  <c r="D5017" i="3"/>
  <c r="D5025" i="3"/>
  <c r="D5033" i="3"/>
  <c r="D5041" i="3"/>
  <c r="D5018" i="3"/>
  <c r="D5026" i="3"/>
  <c r="D5034" i="3"/>
  <c r="D5042" i="3"/>
  <c r="D5019" i="3"/>
  <c r="D5027" i="3"/>
  <c r="I5027" i="3" s="1"/>
  <c r="D5035" i="3"/>
  <c r="D5043" i="3"/>
  <c r="D5020" i="3"/>
  <c r="D5028" i="3"/>
  <c r="D5036" i="3"/>
  <c r="D5044" i="3"/>
  <c r="F550" i="3"/>
  <c r="F1277" i="3"/>
  <c r="F296" i="3"/>
  <c r="F2231" i="3"/>
  <c r="F2440" i="3"/>
  <c r="F2025" i="3"/>
  <c r="F4031" i="3"/>
  <c r="F5151" i="3"/>
  <c r="F5669" i="3"/>
  <c r="F6280" i="3"/>
  <c r="F5958" i="3"/>
  <c r="H5958" i="3" s="1"/>
  <c r="D4981" i="3"/>
  <c r="D4974" i="3"/>
  <c r="D4982" i="3"/>
  <c r="D4975" i="3"/>
  <c r="D4983" i="3"/>
  <c r="D4976" i="3"/>
  <c r="D4984" i="3"/>
  <c r="D4977" i="3"/>
  <c r="D4978" i="3"/>
  <c r="D4979" i="3"/>
  <c r="D4980" i="3"/>
  <c r="F548" i="3"/>
  <c r="H548" i="3" s="1"/>
  <c r="F2022" i="3"/>
  <c r="F4152" i="3"/>
  <c r="F4028" i="3"/>
  <c r="F6172" i="3"/>
  <c r="F5894" i="3"/>
  <c r="F6581" i="3"/>
  <c r="D4781" i="3"/>
  <c r="D4789" i="3"/>
  <c r="D4782" i="3"/>
  <c r="D4790" i="3"/>
  <c r="D4783" i="3"/>
  <c r="D4791" i="3"/>
  <c r="D4784" i="3"/>
  <c r="D4792" i="3"/>
  <c r="D4785" i="3"/>
  <c r="D4786" i="3"/>
  <c r="D4787" i="3"/>
  <c r="D4788" i="3"/>
  <c r="F32" i="3"/>
  <c r="F787" i="3"/>
  <c r="F1019" i="3"/>
  <c r="F916" i="3"/>
  <c r="F430" i="3"/>
  <c r="F286" i="3"/>
  <c r="F545" i="3"/>
  <c r="F1089" i="3"/>
  <c r="F1251" i="3"/>
  <c r="F1647" i="3"/>
  <c r="F1735" i="3"/>
  <c r="F1440" i="3"/>
  <c r="F2432" i="3"/>
  <c r="F1852" i="3"/>
  <c r="F2219" i="3"/>
  <c r="F2513" i="3"/>
  <c r="F2650" i="3"/>
  <c r="F2017" i="3"/>
  <c r="H2017" i="3" s="1"/>
  <c r="F2848" i="3"/>
  <c r="F3263" i="3"/>
  <c r="F3805" i="3"/>
  <c r="F4317" i="3"/>
  <c r="F3542" i="3"/>
  <c r="F3679" i="3"/>
  <c r="F4023" i="3"/>
  <c r="F3864" i="3"/>
  <c r="I3864" i="3" s="1"/>
  <c r="F5658" i="3"/>
  <c r="F3411" i="3"/>
  <c r="F4147" i="3"/>
  <c r="F4684" i="3"/>
  <c r="F5237" i="3"/>
  <c r="F5381" i="3"/>
  <c r="F5326" i="3"/>
  <c r="F4571" i="3"/>
  <c r="F4935" i="3"/>
  <c r="F5145" i="3"/>
  <c r="F6168" i="3"/>
  <c r="F5953" i="3"/>
  <c r="I5953" i="3" s="1"/>
  <c r="F4864" i="3"/>
  <c r="F5891" i="3"/>
  <c r="F6052" i="3"/>
  <c r="H6052" i="3" s="1"/>
  <c r="F6276" i="3"/>
  <c r="F6397" i="3"/>
  <c r="D4459" i="3"/>
  <c r="D4467" i="3"/>
  <c r="D4475" i="3"/>
  <c r="D4483" i="3"/>
  <c r="D4491" i="3"/>
  <c r="D4499" i="3"/>
  <c r="D4507" i="3"/>
  <c r="D4460" i="3"/>
  <c r="D4468" i="3"/>
  <c r="D4476" i="3"/>
  <c r="D4484" i="3"/>
  <c r="D4492" i="3"/>
  <c r="D4500" i="3"/>
  <c r="D4508" i="3"/>
  <c r="D4461" i="3"/>
  <c r="D4469" i="3"/>
  <c r="D4477" i="3"/>
  <c r="D4485" i="3"/>
  <c r="D4493" i="3"/>
  <c r="D4501" i="3"/>
  <c r="D4509" i="3"/>
  <c r="D4454" i="3"/>
  <c r="D4462" i="3"/>
  <c r="I4462" i="3" s="1"/>
  <c r="D4470" i="3"/>
  <c r="D4478" i="3"/>
  <c r="D4486" i="3"/>
  <c r="D4494" i="3"/>
  <c r="D4502" i="3"/>
  <c r="D4464" i="3"/>
  <c r="D4480" i="3"/>
  <c r="D4496" i="3"/>
  <c r="D4465" i="3"/>
  <c r="D4481" i="3"/>
  <c r="D4497" i="3"/>
  <c r="D4466" i="3"/>
  <c r="D4482" i="3"/>
  <c r="D4498" i="3"/>
  <c r="D4455" i="3"/>
  <c r="D4471" i="3"/>
  <c r="D4487" i="3"/>
  <c r="D4503" i="3"/>
  <c r="D4456" i="3"/>
  <c r="D4472" i="3"/>
  <c r="D4488" i="3"/>
  <c r="D4504" i="3"/>
  <c r="D4457" i="3"/>
  <c r="H4457" i="3" s="1"/>
  <c r="D4473" i="3"/>
  <c r="D4489" i="3"/>
  <c r="D4505" i="3"/>
  <c r="D4458" i="3"/>
  <c r="D4474" i="3"/>
  <c r="D4490" i="3"/>
  <c r="D4506" i="3"/>
  <c r="D4463" i="3"/>
  <c r="D4479" i="3"/>
  <c r="D4495" i="3"/>
  <c r="F284" i="3"/>
  <c r="F1536" i="3"/>
  <c r="F2014" i="3"/>
  <c r="F2429" i="3"/>
  <c r="F2308" i="3"/>
  <c r="F3945" i="3"/>
  <c r="F5142" i="3"/>
  <c r="F5654" i="3"/>
  <c r="D4419" i="3"/>
  <c r="D4420" i="3"/>
  <c r="D4421" i="3"/>
  <c r="D4422" i="3"/>
  <c r="D4423" i="3"/>
  <c r="D4424" i="3"/>
  <c r="D4425" i="3"/>
  <c r="H4425" i="3" s="1"/>
  <c r="F2210" i="3"/>
  <c r="F3535" i="3"/>
  <c r="D4227" i="3"/>
  <c r="D4228" i="3"/>
  <c r="F157" i="3"/>
  <c r="F709" i="3"/>
  <c r="F2002" i="3"/>
  <c r="F2205" i="3"/>
  <c r="H2205" i="3" s="1"/>
  <c r="F4389" i="3"/>
  <c r="F4142" i="3"/>
  <c r="F4015" i="3"/>
  <c r="F3195" i="3"/>
  <c r="F5646" i="3"/>
  <c r="F5417" i="3"/>
  <c r="F5376" i="3"/>
  <c r="F6159" i="3"/>
  <c r="F5886" i="3"/>
  <c r="D3928" i="3"/>
  <c r="D3936" i="3"/>
  <c r="D3921" i="3"/>
  <c r="D3929" i="3"/>
  <c r="D3937" i="3"/>
  <c r="D3922" i="3"/>
  <c r="D3930" i="3"/>
  <c r="D3938" i="3"/>
  <c r="D3923" i="3"/>
  <c r="D3931" i="3"/>
  <c r="D3924" i="3"/>
  <c r="D3932" i="3"/>
  <c r="D3925" i="3"/>
  <c r="D3933" i="3"/>
  <c r="D3926" i="3"/>
  <c r="D3934" i="3"/>
  <c r="D3927" i="3"/>
  <c r="D3935" i="3"/>
  <c r="F2416" i="3"/>
  <c r="F5129" i="3"/>
  <c r="D3650" i="3"/>
  <c r="D3651" i="3"/>
  <c r="F3855" i="3"/>
  <c r="D3348" i="3"/>
  <c r="F1983" i="3"/>
  <c r="F2776" i="3"/>
  <c r="F3120" i="3"/>
  <c r="F5120" i="3"/>
  <c r="D3178" i="3"/>
  <c r="D3174" i="3"/>
  <c r="D3175" i="3"/>
  <c r="D3176" i="3"/>
  <c r="D3177" i="3"/>
  <c r="D3179" i="3"/>
  <c r="F900" i="3"/>
  <c r="F260" i="3"/>
  <c r="F1078" i="3"/>
  <c r="F1835" i="3"/>
  <c r="F1415" i="3"/>
  <c r="I1415" i="3" s="1"/>
  <c r="F1721" i="3"/>
  <c r="F2186" i="3"/>
  <c r="F1979" i="3"/>
  <c r="F2830" i="3"/>
  <c r="F2409" i="3"/>
  <c r="F3247" i="3"/>
  <c r="F2636" i="3"/>
  <c r="F3517" i="3"/>
  <c r="F4551" i="3"/>
  <c r="F3394" i="3"/>
  <c r="F4002" i="3"/>
  <c r="F5226" i="3"/>
  <c r="F4306" i="3"/>
  <c r="F4849" i="3"/>
  <c r="F5625" i="3"/>
  <c r="F5946" i="3"/>
  <c r="H5946" i="3" s="1"/>
  <c r="F6035" i="3"/>
  <c r="F6267" i="3"/>
  <c r="D3090" i="3"/>
  <c r="D3098" i="3"/>
  <c r="D3106" i="3"/>
  <c r="D3114" i="3"/>
  <c r="D3094" i="3"/>
  <c r="D3102" i="3"/>
  <c r="D3110" i="3"/>
  <c r="D3087" i="3"/>
  <c r="D3095" i="3"/>
  <c r="D3103" i="3"/>
  <c r="D3111" i="3"/>
  <c r="D3088" i="3"/>
  <c r="D3096" i="3"/>
  <c r="D3104" i="3"/>
  <c r="D3112" i="3"/>
  <c r="D3101" i="3"/>
  <c r="D3089" i="3"/>
  <c r="D3105" i="3"/>
  <c r="D3091" i="3"/>
  <c r="D3107" i="3"/>
  <c r="D3092" i="3"/>
  <c r="D3108" i="3"/>
  <c r="D3093" i="3"/>
  <c r="D3109" i="3"/>
  <c r="D3097" i="3"/>
  <c r="D3113" i="3"/>
  <c r="D3099" i="3"/>
  <c r="D3115" i="3"/>
  <c r="D3100" i="3"/>
  <c r="F535" i="3"/>
  <c r="H535" i="3" s="1"/>
  <c r="F1975" i="3"/>
  <c r="F2179" i="3"/>
  <c r="F3999" i="3"/>
  <c r="F4128" i="3"/>
  <c r="I4128" i="3" s="1"/>
  <c r="F5621" i="3"/>
  <c r="F5271" i="3"/>
  <c r="F6147" i="3"/>
  <c r="I6147" i="3" s="1"/>
  <c r="D2994" i="3"/>
  <c r="I2994" i="3" s="1"/>
  <c r="D2990" i="3"/>
  <c r="D2998" i="3"/>
  <c r="D2991" i="3"/>
  <c r="D2999" i="3"/>
  <c r="D2992" i="3"/>
  <c r="D3000" i="3"/>
  <c r="D2989" i="3"/>
  <c r="H2989" i="3" s="1"/>
  <c r="D2993" i="3"/>
  <c r="D2995" i="3"/>
  <c r="D2996" i="3"/>
  <c r="D2997" i="3"/>
  <c r="D3001" i="3"/>
  <c r="D2987" i="3"/>
  <c r="D2988" i="3"/>
  <c r="F531" i="3"/>
  <c r="I531" i="3" s="1"/>
  <c r="F414" i="3"/>
  <c r="F250" i="3"/>
  <c r="F773" i="3"/>
  <c r="F1273" i="3"/>
  <c r="F1409" i="3"/>
  <c r="F1972" i="3"/>
  <c r="F2826" i="3"/>
  <c r="F2173" i="3"/>
  <c r="F4126" i="3"/>
  <c r="F4547" i="3"/>
  <c r="F5618" i="3"/>
  <c r="F5111" i="3"/>
  <c r="F3995" i="3"/>
  <c r="F5943" i="3"/>
  <c r="F6263" i="3"/>
  <c r="F6145" i="3"/>
  <c r="D2922" i="3"/>
  <c r="H2922" i="3" s="1"/>
  <c r="D2930" i="3"/>
  <c r="D2917" i="3"/>
  <c r="D2925" i="3"/>
  <c r="D2918" i="3"/>
  <c r="D2926" i="3"/>
  <c r="H2926" i="3" s="1"/>
  <c r="D2934" i="3"/>
  <c r="D2919" i="3"/>
  <c r="D2927" i="3"/>
  <c r="D2935" i="3"/>
  <c r="D2920" i="3"/>
  <c r="D2928" i="3"/>
  <c r="D2924" i="3"/>
  <c r="D2929" i="3"/>
  <c r="D2931" i="3"/>
  <c r="D2932" i="3"/>
  <c r="D2933" i="3"/>
  <c r="H2933" i="3" s="1"/>
  <c r="D2921" i="3"/>
  <c r="D2923" i="3"/>
  <c r="F1967" i="3"/>
  <c r="F2168" i="3"/>
  <c r="F3991" i="3"/>
  <c r="F4122" i="3"/>
  <c r="F5613" i="3"/>
  <c r="F5875" i="3"/>
  <c r="F6142" i="3"/>
  <c r="D2762" i="3"/>
  <c r="D2757" i="3"/>
  <c r="D2765" i="3"/>
  <c r="D2758" i="3"/>
  <c r="D2766" i="3"/>
  <c r="D2759" i="3"/>
  <c r="D2760" i="3"/>
  <c r="D2756" i="3"/>
  <c r="D2761" i="3"/>
  <c r="D2763" i="3"/>
  <c r="D2764" i="3"/>
  <c r="D6611" i="3"/>
  <c r="D6579" i="3"/>
  <c r="D6468" i="3"/>
  <c r="D6436" i="3"/>
  <c r="H6436" i="3" s="1"/>
  <c r="D6355" i="3"/>
  <c r="D6323" i="3"/>
  <c r="D6291" i="3"/>
  <c r="D6259" i="3"/>
  <c r="I6259" i="3" s="1"/>
  <c r="D5988" i="3"/>
  <c r="D5836" i="3"/>
  <c r="D5740" i="3"/>
  <c r="F1564" i="3"/>
  <c r="F5101" i="3"/>
  <c r="F5597" i="3"/>
  <c r="D2308" i="3"/>
  <c r="D2310" i="3"/>
  <c r="D2309" i="3"/>
  <c r="F1714" i="3"/>
  <c r="F2147" i="3"/>
  <c r="F3236" i="3"/>
  <c r="F3495" i="3"/>
  <c r="D1601" i="3"/>
  <c r="D1604" i="3"/>
  <c r="D1603" i="3"/>
  <c r="D1602" i="3"/>
  <c r="D1605" i="3"/>
  <c r="F219" i="3"/>
  <c r="F399" i="3"/>
  <c r="F755" i="3"/>
  <c r="F885" i="3"/>
  <c r="F1065" i="3"/>
  <c r="F720" i="3"/>
  <c r="I720" i="3" s="1"/>
  <c r="F1626" i="3"/>
  <c r="F1381" i="3"/>
  <c r="F1516" i="3"/>
  <c r="I1516" i="3" s="1"/>
  <c r="F1709" i="3"/>
  <c r="I1709" i="3" s="1"/>
  <c r="F1303" i="3"/>
  <c r="F1815" i="3"/>
  <c r="F2384" i="3"/>
  <c r="F2138" i="3"/>
  <c r="F1937" i="3"/>
  <c r="F2618" i="3"/>
  <c r="F2813" i="3"/>
  <c r="F3231" i="3"/>
  <c r="F3838" i="3"/>
  <c r="F4230" i="3"/>
  <c r="F4462" i="3"/>
  <c r="F4103" i="3"/>
  <c r="I4103" i="3" s="1"/>
  <c r="F4287" i="3"/>
  <c r="F3489" i="3"/>
  <c r="F4915" i="3"/>
  <c r="I4915" i="3" s="1"/>
  <c r="F3658" i="3"/>
  <c r="I3658" i="3" s="1"/>
  <c r="F3371" i="3"/>
  <c r="F4831" i="3"/>
  <c r="F5087" i="3"/>
  <c r="F4657" i="3"/>
  <c r="F5935" i="3"/>
  <c r="H5935" i="3" s="1"/>
  <c r="F6321" i="3"/>
  <c r="F6012" i="3"/>
  <c r="F5576" i="3"/>
  <c r="D1231" i="3"/>
  <c r="D1239" i="3"/>
  <c r="D1247" i="3"/>
  <c r="D1255" i="3"/>
  <c r="D1263" i="3"/>
  <c r="F6597" i="3"/>
  <c r="D1227" i="3"/>
  <c r="D1235" i="3"/>
  <c r="H1235" i="3" s="1"/>
  <c r="D1243" i="3"/>
  <c r="D1251" i="3"/>
  <c r="D1259" i="3"/>
  <c r="D1236" i="3"/>
  <c r="D1246" i="3"/>
  <c r="D1257" i="3"/>
  <c r="D1229" i="3"/>
  <c r="D1240" i="3"/>
  <c r="D1250" i="3"/>
  <c r="D1261" i="3"/>
  <c r="D1232" i="3"/>
  <c r="D1242" i="3"/>
  <c r="D1253" i="3"/>
  <c r="D1264" i="3"/>
  <c r="D1233" i="3"/>
  <c r="D1244" i="3"/>
  <c r="D1254" i="3"/>
  <c r="D1265" i="3"/>
  <c r="D1234" i="3"/>
  <c r="D1245" i="3"/>
  <c r="D1256" i="3"/>
  <c r="D1238" i="3"/>
  <c r="D1249" i="3"/>
  <c r="H1249" i="3" s="1"/>
  <c r="D1228" i="3"/>
  <c r="H1228" i="3" s="1"/>
  <c r="D1258" i="3"/>
  <c r="D1230" i="3"/>
  <c r="D1260" i="3"/>
  <c r="D1237" i="3"/>
  <c r="D1262" i="3"/>
  <c r="D1226" i="3"/>
  <c r="D1252" i="3"/>
  <c r="D1241" i="3"/>
  <c r="H1241" i="3" s="1"/>
  <c r="D1248" i="3"/>
  <c r="F1601" i="3"/>
  <c r="F1930" i="3"/>
  <c r="F2129" i="3"/>
  <c r="F3482" i="3"/>
  <c r="F5566" i="3"/>
  <c r="F4775" i="3"/>
  <c r="D971" i="3"/>
  <c r="D973" i="3"/>
  <c r="D970" i="3"/>
  <c r="D972" i="3"/>
  <c r="F80" i="3"/>
  <c r="H80" i="3" s="1"/>
  <c r="F96" i="3"/>
  <c r="F49" i="3"/>
  <c r="F363" i="3"/>
  <c r="F507" i="3"/>
  <c r="F731" i="3"/>
  <c r="F389" i="3"/>
  <c r="F477" i="3"/>
  <c r="F175" i="3"/>
  <c r="F583" i="3"/>
  <c r="I583" i="3" s="1"/>
  <c r="F646" i="3"/>
  <c r="F963" i="3"/>
  <c r="I963" i="3" s="1"/>
  <c r="F876" i="3"/>
  <c r="F20" i="3"/>
  <c r="F84" i="3"/>
  <c r="F66" i="3"/>
  <c r="F140" i="3"/>
  <c r="F630" i="3"/>
  <c r="F986" i="3"/>
  <c r="F978" i="3"/>
  <c r="F1175" i="3"/>
  <c r="F745" i="3"/>
  <c r="F1001" i="3"/>
  <c r="F1033" i="3"/>
  <c r="F1057" i="3"/>
  <c r="F1297" i="3"/>
  <c r="F841" i="3"/>
  <c r="F1226" i="3"/>
  <c r="F1266" i="3"/>
  <c r="F1362" i="3"/>
  <c r="F1204" i="3"/>
  <c r="F1690" i="3"/>
  <c r="F1619" i="3"/>
  <c r="F1700" i="3"/>
  <c r="F1573" i="3"/>
  <c r="F1132" i="3"/>
  <c r="F1219" i="3"/>
  <c r="H1219" i="3" s="1"/>
  <c r="F1606" i="3"/>
  <c r="F1164" i="3"/>
  <c r="F1511" i="3"/>
  <c r="F1615" i="3"/>
  <c r="F1777" i="3"/>
  <c r="F1801" i="3"/>
  <c r="F1911" i="3"/>
  <c r="F2304" i="3"/>
  <c r="H2304" i="3" s="1"/>
  <c r="F2114" i="3"/>
  <c r="F2590" i="3"/>
  <c r="F2798" i="3"/>
  <c r="F2365" i="3"/>
  <c r="F2519" i="3"/>
  <c r="F2535" i="3"/>
  <c r="F2543" i="3"/>
  <c r="F2767" i="3"/>
  <c r="F2321" i="3"/>
  <c r="F2597" i="3"/>
  <c r="F3087" i="3"/>
  <c r="F3127" i="3"/>
  <c r="F3135" i="3"/>
  <c r="F3327" i="3"/>
  <c r="F2936" i="3"/>
  <c r="F2740" i="3"/>
  <c r="F2938" i="3"/>
  <c r="F3002" i="3"/>
  <c r="F2499" i="3"/>
  <c r="F2603" i="3"/>
  <c r="I2603" i="3" s="1"/>
  <c r="F2988" i="3"/>
  <c r="F3012" i="3"/>
  <c r="F3068" i="3"/>
  <c r="F3156" i="3"/>
  <c r="F2771" i="3"/>
  <c r="F2894" i="3"/>
  <c r="F3006" i="3"/>
  <c r="F3030" i="3"/>
  <c r="F3222" i="3"/>
  <c r="F2957" i="3"/>
  <c r="F3765" i="3"/>
  <c r="F3718" i="3"/>
  <c r="F2917" i="3"/>
  <c r="F3181" i="3"/>
  <c r="F3743" i="3"/>
  <c r="F4263" i="3"/>
  <c r="F4455" i="3"/>
  <c r="F3355" i="3"/>
  <c r="F3640" i="3"/>
  <c r="F3776" i="3"/>
  <c r="F4272" i="3"/>
  <c r="F4400" i="3"/>
  <c r="F2708" i="3"/>
  <c r="F4513" i="3"/>
  <c r="F3027" i="3"/>
  <c r="F3307" i="3"/>
  <c r="F3652" i="3"/>
  <c r="F3475" i="3"/>
  <c r="H3475" i="3" s="1"/>
  <c r="F3602" i="3"/>
  <c r="F3826" i="3"/>
  <c r="F4818" i="3"/>
  <c r="F5067" i="3"/>
  <c r="F5291" i="3"/>
  <c r="F5347" i="3"/>
  <c r="F3954" i="3"/>
  <c r="F4090" i="3"/>
  <c r="H4090" i="3" s="1"/>
  <c r="F4242" i="3"/>
  <c r="F4419" i="3"/>
  <c r="F4908" i="3"/>
  <c r="F4645" i="3"/>
  <c r="F4965" i="3"/>
  <c r="F5045" i="3"/>
  <c r="F5477" i="3"/>
  <c r="F4622" i="3"/>
  <c r="H4622" i="3" s="1"/>
  <c r="F4974" i="3"/>
  <c r="F5350" i="3"/>
  <c r="F4735" i="3"/>
  <c r="F4799" i="3"/>
  <c r="F5015" i="3"/>
  <c r="F4793" i="3"/>
  <c r="F4985" i="3"/>
  <c r="F5209" i="3"/>
  <c r="H5209" i="3" s="1"/>
  <c r="F5855" i="3"/>
  <c r="F4992" i="3"/>
  <c r="F6112" i="3"/>
  <c r="F6377" i="3"/>
  <c r="H6377" i="3" s="1"/>
  <c r="F5986" i="3"/>
  <c r="F5994" i="3"/>
  <c r="F6474" i="3"/>
  <c r="F6546" i="3"/>
  <c r="H6546" i="3" s="1"/>
  <c r="F5439" i="3"/>
  <c r="F5515" i="3"/>
  <c r="F6315" i="3"/>
  <c r="F6435" i="3"/>
  <c r="F5548" i="3"/>
  <c r="F6220" i="3"/>
  <c r="F5264" i="3"/>
  <c r="F5742" i="3"/>
  <c r="F5814" i="3"/>
  <c r="D191" i="3"/>
  <c r="D199" i="3"/>
  <c r="D207" i="3"/>
  <c r="D215" i="3"/>
  <c r="D223" i="3"/>
  <c r="D231" i="3"/>
  <c r="D239" i="3"/>
  <c r="I239" i="3" s="1"/>
  <c r="D247" i="3"/>
  <c r="D255" i="3"/>
  <c r="D263" i="3"/>
  <c r="D271" i="3"/>
  <c r="D279" i="3"/>
  <c r="D287" i="3"/>
  <c r="D295" i="3"/>
  <c r="D303" i="3"/>
  <c r="I303" i="3" s="1"/>
  <c r="D311" i="3"/>
  <c r="D319" i="3"/>
  <c r="D327" i="3"/>
  <c r="D335" i="3"/>
  <c r="D343" i="3"/>
  <c r="I343" i="3" s="1"/>
  <c r="D351" i="3"/>
  <c r="D359" i="3"/>
  <c r="F6590" i="3"/>
  <c r="F6517" i="3"/>
  <c r="D193" i="3"/>
  <c r="D201" i="3"/>
  <c r="D209" i="3"/>
  <c r="D217" i="3"/>
  <c r="D225" i="3"/>
  <c r="D233" i="3"/>
  <c r="D241" i="3"/>
  <c r="H241" i="3" s="1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I361" i="3" s="1"/>
  <c r="D195" i="3"/>
  <c r="D203" i="3"/>
  <c r="D211" i="3"/>
  <c r="D219" i="3"/>
  <c r="D227" i="3"/>
  <c r="D235" i="3"/>
  <c r="D243" i="3"/>
  <c r="D251" i="3"/>
  <c r="D259" i="3"/>
  <c r="I259" i="3" s="1"/>
  <c r="D267" i="3"/>
  <c r="D275" i="3"/>
  <c r="D283" i="3"/>
  <c r="D291" i="3"/>
  <c r="I291" i="3" s="1"/>
  <c r="D299" i="3"/>
  <c r="D307" i="3"/>
  <c r="D315" i="3"/>
  <c r="D323" i="3"/>
  <c r="D331" i="3"/>
  <c r="D339" i="3"/>
  <c r="D347" i="3"/>
  <c r="D355" i="3"/>
  <c r="D194" i="3"/>
  <c r="D206" i="3"/>
  <c r="D220" i="3"/>
  <c r="D232" i="3"/>
  <c r="D245" i="3"/>
  <c r="D258" i="3"/>
  <c r="D270" i="3"/>
  <c r="D284" i="3"/>
  <c r="I284" i="3" s="1"/>
  <c r="D296" i="3"/>
  <c r="D309" i="3"/>
  <c r="D322" i="3"/>
  <c r="D334" i="3"/>
  <c r="D348" i="3"/>
  <c r="D360" i="3"/>
  <c r="D198" i="3"/>
  <c r="D212" i="3"/>
  <c r="H212" i="3" s="1"/>
  <c r="D224" i="3"/>
  <c r="D237" i="3"/>
  <c r="D250" i="3"/>
  <c r="D262" i="3"/>
  <c r="I262" i="3" s="1"/>
  <c r="D276" i="3"/>
  <c r="D288" i="3"/>
  <c r="D301" i="3"/>
  <c r="D314" i="3"/>
  <c r="D326" i="3"/>
  <c r="D340" i="3"/>
  <c r="D352" i="3"/>
  <c r="D189" i="3"/>
  <c r="D202" i="3"/>
  <c r="D214" i="3"/>
  <c r="D228" i="3"/>
  <c r="D240" i="3"/>
  <c r="D253" i="3"/>
  <c r="D266" i="3"/>
  <c r="D278" i="3"/>
  <c r="D292" i="3"/>
  <c r="D304" i="3"/>
  <c r="D317" i="3"/>
  <c r="D330" i="3"/>
  <c r="D342" i="3"/>
  <c r="D356" i="3"/>
  <c r="D190" i="3"/>
  <c r="D204" i="3"/>
  <c r="D216" i="3"/>
  <c r="D229" i="3"/>
  <c r="D242" i="3"/>
  <c r="D254" i="3"/>
  <c r="D268" i="3"/>
  <c r="D280" i="3"/>
  <c r="D293" i="3"/>
  <c r="D306" i="3"/>
  <c r="D318" i="3"/>
  <c r="I318" i="3" s="1"/>
  <c r="D332" i="3"/>
  <c r="D344" i="3"/>
  <c r="D357" i="3"/>
  <c r="D192" i="3"/>
  <c r="D205" i="3"/>
  <c r="D218" i="3"/>
  <c r="D230" i="3"/>
  <c r="D244" i="3"/>
  <c r="I244" i="3" s="1"/>
  <c r="D256" i="3"/>
  <c r="D269" i="3"/>
  <c r="D282" i="3"/>
  <c r="D294" i="3"/>
  <c r="D308" i="3"/>
  <c r="D320" i="3"/>
  <c r="D333" i="3"/>
  <c r="D346" i="3"/>
  <c r="D358" i="3"/>
  <c r="D213" i="3"/>
  <c r="D248" i="3"/>
  <c r="D285" i="3"/>
  <c r="D316" i="3"/>
  <c r="D350" i="3"/>
  <c r="D196" i="3"/>
  <c r="D226" i="3"/>
  <c r="D261" i="3"/>
  <c r="D298" i="3"/>
  <c r="D328" i="3"/>
  <c r="D200" i="3"/>
  <c r="D236" i="3"/>
  <c r="D272" i="3"/>
  <c r="D302" i="3"/>
  <c r="D338" i="3"/>
  <c r="H338" i="3" s="1"/>
  <c r="D208" i="3"/>
  <c r="D238" i="3"/>
  <c r="D274" i="3"/>
  <c r="D310" i="3"/>
  <c r="D341" i="3"/>
  <c r="D210" i="3"/>
  <c r="D246" i="3"/>
  <c r="D277" i="3"/>
  <c r="D312" i="3"/>
  <c r="D349" i="3"/>
  <c r="D188" i="3"/>
  <c r="D286" i="3"/>
  <c r="D222" i="3"/>
  <c r="D324" i="3"/>
  <c r="D234" i="3"/>
  <c r="D325" i="3"/>
  <c r="D252" i="3"/>
  <c r="D336" i="3"/>
  <c r="D260" i="3"/>
  <c r="D354" i="3"/>
  <c r="D221" i="3"/>
  <c r="D264" i="3"/>
  <c r="D290" i="3"/>
  <c r="D300" i="3"/>
  <c r="H300" i="3" s="1"/>
  <c r="D362" i="3"/>
  <c r="D197" i="3"/>
  <c r="F2" i="3"/>
  <c r="F242" i="3"/>
  <c r="H242" i="3" s="1"/>
  <c r="F1401" i="3"/>
  <c r="F1829" i="3"/>
  <c r="D2598" i="3"/>
  <c r="D2599" i="3"/>
  <c r="H2599" i="3" s="1"/>
  <c r="D2597" i="3"/>
  <c r="F238" i="3"/>
  <c r="F2160" i="3"/>
  <c r="F1961" i="3"/>
  <c r="F2629" i="3"/>
  <c r="F4117" i="3"/>
  <c r="F3848" i="3"/>
  <c r="F3384" i="3"/>
  <c r="F4300" i="3"/>
  <c r="F3507" i="3"/>
  <c r="F4843" i="3"/>
  <c r="F6137" i="3"/>
  <c r="F6027" i="3"/>
  <c r="F5604" i="3"/>
  <c r="D2521" i="3"/>
  <c r="D2529" i="3"/>
  <c r="H2529" i="3" s="1"/>
  <c r="D2524" i="3"/>
  <c r="D2532" i="3"/>
  <c r="D2518" i="3"/>
  <c r="D2526" i="3"/>
  <c r="D2519" i="3"/>
  <c r="D2527" i="3"/>
  <c r="D2525" i="3"/>
  <c r="D2531" i="3"/>
  <c r="D2533" i="3"/>
  <c r="D2520" i="3"/>
  <c r="D2522" i="3"/>
  <c r="D2523" i="3"/>
  <c r="D2528" i="3"/>
  <c r="D2530" i="3"/>
  <c r="F95" i="3"/>
  <c r="F148" i="3"/>
  <c r="D2306" i="3"/>
  <c r="D2307" i="3"/>
  <c r="F24" i="3"/>
  <c r="F229" i="3"/>
  <c r="F404" i="3"/>
  <c r="F130" i="3"/>
  <c r="F652" i="3"/>
  <c r="F846" i="3"/>
  <c r="F1038" i="3"/>
  <c r="F1070" i="3"/>
  <c r="F761" i="3"/>
  <c r="F1602" i="3"/>
  <c r="F1236" i="3"/>
  <c r="F1390" i="3"/>
  <c r="F1574" i="3"/>
  <c r="H1574" i="3" s="1"/>
  <c r="F1822" i="3"/>
  <c r="F1519" i="3"/>
  <c r="F890" i="3"/>
  <c r="F1139" i="3"/>
  <c r="F1949" i="3"/>
  <c r="F2505" i="3"/>
  <c r="F1307" i="3"/>
  <c r="F2546" i="3"/>
  <c r="F2818" i="3"/>
  <c r="H2818" i="3" s="1"/>
  <c r="F3137" i="3"/>
  <c r="F2393" i="3"/>
  <c r="F3238" i="3"/>
  <c r="F3318" i="3"/>
  <c r="F3091" i="3"/>
  <c r="F4293" i="3"/>
  <c r="F4110" i="3"/>
  <c r="H4110" i="3" s="1"/>
  <c r="F4209" i="3"/>
  <c r="I4209" i="3" s="1"/>
  <c r="F4465" i="3"/>
  <c r="F3660" i="3"/>
  <c r="F3980" i="3"/>
  <c r="F4364" i="3"/>
  <c r="F4443" i="3"/>
  <c r="F5218" i="3"/>
  <c r="F5482" i="3"/>
  <c r="F5267" i="3"/>
  <c r="H5267" i="3" s="1"/>
  <c r="F4534" i="3"/>
  <c r="F4836" i="3"/>
  <c r="F4402" i="3"/>
  <c r="F4742" i="3"/>
  <c r="H4742" i="3" s="1"/>
  <c r="F5590" i="3"/>
  <c r="F3498" i="3"/>
  <c r="F4663" i="3"/>
  <c r="F4919" i="3"/>
  <c r="F3787" i="3"/>
  <c r="F5305" i="3"/>
  <c r="F5361" i="3"/>
  <c r="F5096" i="3"/>
  <c r="F5825" i="3"/>
  <c r="F6441" i="3"/>
  <c r="F6130" i="3"/>
  <c r="F6602" i="3"/>
  <c r="F5867" i="3"/>
  <c r="F6019" i="3"/>
  <c r="F6387" i="3"/>
  <c r="F5444" i="3"/>
  <c r="F5519" i="3"/>
  <c r="H5519" i="3" s="1"/>
  <c r="F5749" i="3"/>
  <c r="F6325" i="3"/>
  <c r="D1705" i="3"/>
  <c r="D1713" i="3"/>
  <c r="D1721" i="3"/>
  <c r="D1729" i="3"/>
  <c r="D1737" i="3"/>
  <c r="D1745" i="3"/>
  <c r="D1753" i="3"/>
  <c r="D1761" i="3"/>
  <c r="D1769" i="3"/>
  <c r="I1769" i="3" s="1"/>
  <c r="D1700" i="3"/>
  <c r="D1708" i="3"/>
  <c r="D1716" i="3"/>
  <c r="D1724" i="3"/>
  <c r="D1732" i="3"/>
  <c r="D1740" i="3"/>
  <c r="D1748" i="3"/>
  <c r="D1756" i="3"/>
  <c r="D1764" i="3"/>
  <c r="D1772" i="3"/>
  <c r="D1702" i="3"/>
  <c r="D1710" i="3"/>
  <c r="D1718" i="3"/>
  <c r="D1726" i="3"/>
  <c r="D1734" i="3"/>
  <c r="D1742" i="3"/>
  <c r="D1750" i="3"/>
  <c r="D1758" i="3"/>
  <c r="D1766" i="3"/>
  <c r="D1774" i="3"/>
  <c r="D1703" i="3"/>
  <c r="D1711" i="3"/>
  <c r="D1719" i="3"/>
  <c r="D1701" i="3"/>
  <c r="D1717" i="3"/>
  <c r="D1731" i="3"/>
  <c r="D1744" i="3"/>
  <c r="D1757" i="3"/>
  <c r="H1757" i="3" s="1"/>
  <c r="D1770" i="3"/>
  <c r="H1770" i="3" s="1"/>
  <c r="D1707" i="3"/>
  <c r="D1723" i="3"/>
  <c r="D1736" i="3"/>
  <c r="D1749" i="3"/>
  <c r="D1762" i="3"/>
  <c r="D1775" i="3"/>
  <c r="D1712" i="3"/>
  <c r="D1727" i="3"/>
  <c r="D1739" i="3"/>
  <c r="D1752" i="3"/>
  <c r="D1765" i="3"/>
  <c r="D1698" i="3"/>
  <c r="D1714" i="3"/>
  <c r="D1728" i="3"/>
  <c r="D1741" i="3"/>
  <c r="D1754" i="3"/>
  <c r="D1767" i="3"/>
  <c r="D1699" i="3"/>
  <c r="D1715" i="3"/>
  <c r="I1715" i="3" s="1"/>
  <c r="D1730" i="3"/>
  <c r="D1743" i="3"/>
  <c r="D1755" i="3"/>
  <c r="D1768" i="3"/>
  <c r="H1768" i="3" s="1"/>
  <c r="D1720" i="3"/>
  <c r="D1751" i="3"/>
  <c r="D1733" i="3"/>
  <c r="D1763" i="3"/>
  <c r="H1763" i="3" s="1"/>
  <c r="D1735" i="3"/>
  <c r="D1771" i="3"/>
  <c r="D1704" i="3"/>
  <c r="D1738" i="3"/>
  <c r="I1738" i="3" s="1"/>
  <c r="D1773" i="3"/>
  <c r="D1706" i="3"/>
  <c r="D1746" i="3"/>
  <c r="D1776" i="3"/>
  <c r="H1776" i="3" s="1"/>
  <c r="D1709" i="3"/>
  <c r="D1722" i="3"/>
  <c r="D1725" i="3"/>
  <c r="D1747" i="3"/>
  <c r="D1759" i="3"/>
  <c r="D1760" i="3"/>
  <c r="F1946" i="3"/>
  <c r="F2311" i="3"/>
  <c r="I2311" i="3" s="1"/>
  <c r="F3978" i="3"/>
  <c r="D1596" i="3"/>
  <c r="D1598" i="3"/>
  <c r="D1599" i="3"/>
  <c r="D1600" i="3"/>
  <c r="D1597" i="3"/>
  <c r="F81" i="3"/>
  <c r="F651" i="3"/>
  <c r="F87" i="3"/>
  <c r="F987" i="3"/>
  <c r="F100" i="3"/>
  <c r="F4" i="3"/>
  <c r="F52" i="3"/>
  <c r="F366" i="3"/>
  <c r="F401" i="3"/>
  <c r="F632" i="3"/>
  <c r="F1205" i="3"/>
  <c r="F1269" i="3"/>
  <c r="F758" i="3"/>
  <c r="F1166" i="3"/>
  <c r="F481" i="3"/>
  <c r="F588" i="3"/>
  <c r="F1176" i="3"/>
  <c r="F1304" i="3"/>
  <c r="H1304" i="3" s="1"/>
  <c r="F508" i="3"/>
  <c r="F981" i="3"/>
  <c r="F1233" i="3"/>
  <c r="F887" i="3"/>
  <c r="F1138" i="3"/>
  <c r="F1778" i="3"/>
  <c r="F1067" i="3"/>
  <c r="F1691" i="3"/>
  <c r="F1628" i="3"/>
  <c r="F1006" i="3"/>
  <c r="F1517" i="3"/>
  <c r="F1220" i="3"/>
  <c r="F1607" i="3"/>
  <c r="I1607" i="3" s="1"/>
  <c r="F1711" i="3"/>
  <c r="F1561" i="3"/>
  <c r="I1561" i="3" s="1"/>
  <c r="F1817" i="3"/>
  <c r="F2142" i="3"/>
  <c r="F1616" i="3"/>
  <c r="F2598" i="3"/>
  <c r="F2503" i="3"/>
  <c r="F2591" i="3"/>
  <c r="H2591" i="3" s="1"/>
  <c r="F2815" i="3"/>
  <c r="F2388" i="3"/>
  <c r="F2326" i="3"/>
  <c r="F2545" i="3"/>
  <c r="F1940" i="3"/>
  <c r="F2773" i="3"/>
  <c r="F3159" i="3"/>
  <c r="H3159" i="3" s="1"/>
  <c r="F3008" i="3"/>
  <c r="F3184" i="3"/>
  <c r="F3328" i="3"/>
  <c r="F2921" i="3"/>
  <c r="H2921" i="3" s="1"/>
  <c r="F3233" i="3"/>
  <c r="F2898" i="3"/>
  <c r="F3090" i="3"/>
  <c r="F3346" i="3"/>
  <c r="F3036" i="3"/>
  <c r="F3308" i="3"/>
  <c r="F2712" i="3"/>
  <c r="F3070" i="3"/>
  <c r="F3374" i="3"/>
  <c r="F2620" i="3"/>
  <c r="F3340" i="3"/>
  <c r="F2563" i="3"/>
  <c r="F2893" i="3"/>
  <c r="F3735" i="3"/>
  <c r="F3767" i="3"/>
  <c r="F3975" i="3"/>
  <c r="F4463" i="3"/>
  <c r="F2768" i="3"/>
  <c r="F2941" i="3"/>
  <c r="F3840" i="3"/>
  <c r="F4264" i="3"/>
  <c r="F3785" i="3"/>
  <c r="F4289" i="3"/>
  <c r="F4401" i="3"/>
  <c r="I4401" i="3" s="1"/>
  <c r="F4441" i="3"/>
  <c r="F4529" i="3"/>
  <c r="F3492" i="3"/>
  <c r="F4794" i="3"/>
  <c r="F5266" i="3"/>
  <c r="F4659" i="3"/>
  <c r="F5091" i="3"/>
  <c r="F5443" i="3"/>
  <c r="F4740" i="3"/>
  <c r="F5020" i="3"/>
  <c r="F3659" i="3"/>
  <c r="F3714" i="3"/>
  <c r="H3714" i="3" s="1"/>
  <c r="F4243" i="3"/>
  <c r="H4243" i="3" s="1"/>
  <c r="F4917" i="3"/>
  <c r="F5301" i="3"/>
  <c r="F3746" i="3"/>
  <c r="I3746" i="3" s="1"/>
  <c r="F5518" i="3"/>
  <c r="F3642" i="3"/>
  <c r="F4967" i="3"/>
  <c r="F5215" i="3"/>
  <c r="F3003" i="3"/>
  <c r="I3003" i="3" s="1"/>
  <c r="F4106" i="3"/>
  <c r="I4106" i="3" s="1"/>
  <c r="F4625" i="3"/>
  <c r="F4801" i="3"/>
  <c r="H4801" i="3" s="1"/>
  <c r="F4833" i="3"/>
  <c r="F4993" i="3"/>
  <c r="F5281" i="3"/>
  <c r="F5481" i="3"/>
  <c r="F6223" i="3"/>
  <c r="F6599" i="3"/>
  <c r="F5580" i="3"/>
  <c r="F6384" i="3"/>
  <c r="F5865" i="3"/>
  <c r="F5985" i="3"/>
  <c r="F6521" i="3"/>
  <c r="F5747" i="3"/>
  <c r="F5987" i="3"/>
  <c r="F6323" i="3"/>
  <c r="I6323" i="3" s="1"/>
  <c r="F5348" i="3"/>
  <c r="F222" i="3"/>
  <c r="F5822" i="3"/>
  <c r="F6014" i="3"/>
  <c r="F6126" i="3"/>
  <c r="D1359" i="3"/>
  <c r="D1367" i="3"/>
  <c r="D1375" i="3"/>
  <c r="D1383" i="3"/>
  <c r="D1391" i="3"/>
  <c r="F6550" i="3"/>
  <c r="D1363" i="3"/>
  <c r="D1371" i="3"/>
  <c r="D1379" i="3"/>
  <c r="H1379" i="3" s="1"/>
  <c r="D1387" i="3"/>
  <c r="F6478" i="3"/>
  <c r="I6478" i="3" s="1"/>
  <c r="D1361" i="3"/>
  <c r="H1361" i="3" s="1"/>
  <c r="D1372" i="3"/>
  <c r="D1382" i="3"/>
  <c r="D1393" i="3"/>
  <c r="D1401" i="3"/>
  <c r="D1409" i="3"/>
  <c r="H1409" i="3" s="1"/>
  <c r="D1417" i="3"/>
  <c r="D1425" i="3"/>
  <c r="D1433" i="3"/>
  <c r="D1441" i="3"/>
  <c r="D1449" i="3"/>
  <c r="D1457" i="3"/>
  <c r="D1465" i="3"/>
  <c r="D1473" i="3"/>
  <c r="D1481" i="3"/>
  <c r="D1489" i="3"/>
  <c r="D1497" i="3"/>
  <c r="H1497" i="3" s="1"/>
  <c r="D1505" i="3"/>
  <c r="D1365" i="3"/>
  <c r="D1376" i="3"/>
  <c r="D1386" i="3"/>
  <c r="D1396" i="3"/>
  <c r="D1404" i="3"/>
  <c r="D1412" i="3"/>
  <c r="D1420" i="3"/>
  <c r="D1428" i="3"/>
  <c r="I1428" i="3" s="1"/>
  <c r="D1436" i="3"/>
  <c r="D1444" i="3"/>
  <c r="D1452" i="3"/>
  <c r="D1460" i="3"/>
  <c r="H1460" i="3" s="1"/>
  <c r="D1468" i="3"/>
  <c r="D1476" i="3"/>
  <c r="D1484" i="3"/>
  <c r="D1492" i="3"/>
  <c r="D1500" i="3"/>
  <c r="D1508" i="3"/>
  <c r="D1357" i="3"/>
  <c r="D1368" i="3"/>
  <c r="D1378" i="3"/>
  <c r="D1389" i="3"/>
  <c r="H1389" i="3" s="1"/>
  <c r="D1398" i="3"/>
  <c r="D1406" i="3"/>
  <c r="D1414" i="3"/>
  <c r="D1422" i="3"/>
  <c r="D1430" i="3"/>
  <c r="D1438" i="3"/>
  <c r="D1446" i="3"/>
  <c r="D1454" i="3"/>
  <c r="D1462" i="3"/>
  <c r="D1470" i="3"/>
  <c r="I1470" i="3" s="1"/>
  <c r="D1478" i="3"/>
  <c r="D1486" i="3"/>
  <c r="D1494" i="3"/>
  <c r="D1502" i="3"/>
  <c r="D1510" i="3"/>
  <c r="H1510" i="3" s="1"/>
  <c r="D1358" i="3"/>
  <c r="I1358" i="3" s="1"/>
  <c r="D1369" i="3"/>
  <c r="D1380" i="3"/>
  <c r="I1380" i="3" s="1"/>
  <c r="D1390" i="3"/>
  <c r="D1399" i="3"/>
  <c r="D1407" i="3"/>
  <c r="D1415" i="3"/>
  <c r="D1423" i="3"/>
  <c r="D1431" i="3"/>
  <c r="D1439" i="3"/>
  <c r="D1447" i="3"/>
  <c r="D1455" i="3"/>
  <c r="D1463" i="3"/>
  <c r="D1471" i="3"/>
  <c r="D1479" i="3"/>
  <c r="H1479" i="3" s="1"/>
  <c r="D1487" i="3"/>
  <c r="D1495" i="3"/>
  <c r="D1503" i="3"/>
  <c r="D1360" i="3"/>
  <c r="D1370" i="3"/>
  <c r="D1381" i="3"/>
  <c r="D1392" i="3"/>
  <c r="D1400" i="3"/>
  <c r="H1400" i="3" s="1"/>
  <c r="D1408" i="3"/>
  <c r="D1416" i="3"/>
  <c r="I1416" i="3" s="1"/>
  <c r="D1424" i="3"/>
  <c r="D1432" i="3"/>
  <c r="D1440" i="3"/>
  <c r="D1448" i="3"/>
  <c r="D1456" i="3"/>
  <c r="D1464" i="3"/>
  <c r="D1472" i="3"/>
  <c r="D1480" i="3"/>
  <c r="I1480" i="3" s="1"/>
  <c r="D1488" i="3"/>
  <c r="D1496" i="3"/>
  <c r="I1496" i="3" s="1"/>
  <c r="D1504" i="3"/>
  <c r="D1362" i="3"/>
  <c r="D1388" i="3"/>
  <c r="D1411" i="3"/>
  <c r="D1434" i="3"/>
  <c r="D1453" i="3"/>
  <c r="D1475" i="3"/>
  <c r="D1498" i="3"/>
  <c r="H1498" i="3" s="1"/>
  <c r="D1373" i="3"/>
  <c r="D1397" i="3"/>
  <c r="D1419" i="3"/>
  <c r="D1442" i="3"/>
  <c r="D1461" i="3"/>
  <c r="D1483" i="3"/>
  <c r="D1506" i="3"/>
  <c r="D1377" i="3"/>
  <c r="I1377" i="3" s="1"/>
  <c r="D1403" i="3"/>
  <c r="D1426" i="3"/>
  <c r="D1445" i="3"/>
  <c r="D1467" i="3"/>
  <c r="D1490" i="3"/>
  <c r="H1490" i="3" s="1"/>
  <c r="D1509" i="3"/>
  <c r="H1509" i="3" s="1"/>
  <c r="D1384" i="3"/>
  <c r="I1384" i="3" s="1"/>
  <c r="D1405" i="3"/>
  <c r="D1427" i="3"/>
  <c r="D1450" i="3"/>
  <c r="D1469" i="3"/>
  <c r="D1491" i="3"/>
  <c r="D1385" i="3"/>
  <c r="D1410" i="3"/>
  <c r="D1429" i="3"/>
  <c r="D1451" i="3"/>
  <c r="D1474" i="3"/>
  <c r="D1493" i="3"/>
  <c r="D1394" i="3"/>
  <c r="D1443" i="3"/>
  <c r="D1501" i="3"/>
  <c r="D1413" i="3"/>
  <c r="H1413" i="3" s="1"/>
  <c r="D1466" i="3"/>
  <c r="D1418" i="3"/>
  <c r="D1477" i="3"/>
  <c r="D1364" i="3"/>
  <c r="D1421" i="3"/>
  <c r="D1482" i="3"/>
  <c r="D1366" i="3"/>
  <c r="D1435" i="3"/>
  <c r="D1485" i="3"/>
  <c r="D1374" i="3"/>
  <c r="D1395" i="3"/>
  <c r="D1402" i="3"/>
  <c r="D1437" i="3"/>
  <c r="D1458" i="3"/>
  <c r="D1459" i="3"/>
  <c r="D1499" i="3"/>
  <c r="D1507" i="3"/>
  <c r="F218" i="3"/>
  <c r="H218" i="3" s="1"/>
  <c r="F1380" i="3"/>
  <c r="F3370" i="3"/>
  <c r="F4286" i="3"/>
  <c r="F6011" i="3"/>
  <c r="F5575" i="3"/>
  <c r="D1223" i="3"/>
  <c r="D1219" i="3"/>
  <c r="D1225" i="3"/>
  <c r="D1221" i="3"/>
  <c r="D1222" i="3"/>
  <c r="D1224" i="3"/>
  <c r="D1220" i="3"/>
  <c r="F99" i="3"/>
  <c r="I99" i="3" s="1"/>
  <c r="F213" i="3"/>
  <c r="I213" i="3" s="1"/>
  <c r="F397" i="3"/>
  <c r="F23" i="3"/>
  <c r="I23" i="3" s="1"/>
  <c r="F883" i="3"/>
  <c r="F648" i="3"/>
  <c r="F480" i="3"/>
  <c r="F586" i="3"/>
  <c r="F1302" i="3"/>
  <c r="F1231" i="3"/>
  <c r="F1515" i="3"/>
  <c r="F1707" i="3"/>
  <c r="F1005" i="3"/>
  <c r="F1375" i="3"/>
  <c r="F753" i="3"/>
  <c r="F1625" i="3"/>
  <c r="F2134" i="3"/>
  <c r="F1935" i="3"/>
  <c r="F2502" i="3"/>
  <c r="F2614" i="3"/>
  <c r="I2614" i="3" s="1"/>
  <c r="F2380" i="3"/>
  <c r="F2810" i="3"/>
  <c r="F3089" i="3"/>
  <c r="F3230" i="3"/>
  <c r="F3035" i="3"/>
  <c r="I3035" i="3" s="1"/>
  <c r="F4101" i="3"/>
  <c r="I4101" i="3" s="1"/>
  <c r="F4461" i="3"/>
  <c r="F4525" i="3"/>
  <c r="F3766" i="3"/>
  <c r="F3783" i="3"/>
  <c r="F3720" i="3"/>
  <c r="F3657" i="3"/>
  <c r="I3657" i="3" s="1"/>
  <c r="F4281" i="3"/>
  <c r="F3484" i="3"/>
  <c r="F3836" i="3"/>
  <c r="F4914" i="3"/>
  <c r="H4914" i="3" s="1"/>
  <c r="F5442" i="3"/>
  <c r="F3971" i="3"/>
  <c r="F4739" i="3"/>
  <c r="F4828" i="3"/>
  <c r="F5084" i="3"/>
  <c r="F5213" i="3"/>
  <c r="F5358" i="3"/>
  <c r="F4655" i="3"/>
  <c r="F5297" i="3"/>
  <c r="F5569" i="3"/>
  <c r="F6519" i="3"/>
  <c r="F6320" i="3"/>
  <c r="H6320" i="3" s="1"/>
  <c r="F5745" i="3"/>
  <c r="F4800" i="3"/>
  <c r="F6122" i="3"/>
  <c r="F5820" i="3"/>
  <c r="I5820" i="3" s="1"/>
  <c r="F6596" i="3"/>
  <c r="F5933" i="3"/>
  <c r="F5862" i="3"/>
  <c r="F6006" i="3"/>
  <c r="D1055" i="3"/>
  <c r="D1063" i="3"/>
  <c r="D1071" i="3"/>
  <c r="D1079" i="3"/>
  <c r="D1087" i="3"/>
  <c r="D1095" i="3"/>
  <c r="D1103" i="3"/>
  <c r="D1111" i="3"/>
  <c r="D1119" i="3"/>
  <c r="D1127" i="3"/>
  <c r="F6381" i="3"/>
  <c r="D1059" i="3"/>
  <c r="D1067" i="3"/>
  <c r="D1075" i="3"/>
  <c r="D1083" i="3"/>
  <c r="D1091" i="3"/>
  <c r="D1099" i="3"/>
  <c r="I1099" i="3" s="1"/>
  <c r="D1107" i="3"/>
  <c r="D1115" i="3"/>
  <c r="D1123" i="3"/>
  <c r="I1123" i="3" s="1"/>
  <c r="D1131" i="3"/>
  <c r="F6477" i="3"/>
  <c r="D1058" i="3"/>
  <c r="D1069" i="3"/>
  <c r="D1080" i="3"/>
  <c r="D1090" i="3"/>
  <c r="D1101" i="3"/>
  <c r="D1112" i="3"/>
  <c r="H1112" i="3" s="1"/>
  <c r="D1122" i="3"/>
  <c r="D1062" i="3"/>
  <c r="D1073" i="3"/>
  <c r="D1084" i="3"/>
  <c r="D1094" i="3"/>
  <c r="D1105" i="3"/>
  <c r="I1105" i="3" s="1"/>
  <c r="D1116" i="3"/>
  <c r="D1126" i="3"/>
  <c r="D1065" i="3"/>
  <c r="D1076" i="3"/>
  <c r="D1086" i="3"/>
  <c r="D1097" i="3"/>
  <c r="D1108" i="3"/>
  <c r="D1118" i="3"/>
  <c r="D1129" i="3"/>
  <c r="D1056" i="3"/>
  <c r="H1056" i="3" s="1"/>
  <c r="D1066" i="3"/>
  <c r="D1077" i="3"/>
  <c r="D1088" i="3"/>
  <c r="D1098" i="3"/>
  <c r="D1109" i="3"/>
  <c r="D1120" i="3"/>
  <c r="D1130" i="3"/>
  <c r="D1057" i="3"/>
  <c r="D1068" i="3"/>
  <c r="D1078" i="3"/>
  <c r="D1089" i="3"/>
  <c r="D1100" i="3"/>
  <c r="D1110" i="3"/>
  <c r="D1121" i="3"/>
  <c r="D1064" i="3"/>
  <c r="D1093" i="3"/>
  <c r="D1124" i="3"/>
  <c r="D1074" i="3"/>
  <c r="D1104" i="3"/>
  <c r="D1082" i="3"/>
  <c r="D1113" i="3"/>
  <c r="D1060" i="3"/>
  <c r="H1060" i="3" s="1"/>
  <c r="D1085" i="3"/>
  <c r="D1114" i="3"/>
  <c r="I1114" i="3" s="1"/>
  <c r="D1061" i="3"/>
  <c r="D1092" i="3"/>
  <c r="D1117" i="3"/>
  <c r="D1070" i="3"/>
  <c r="D1096" i="3"/>
  <c r="D1102" i="3"/>
  <c r="D1106" i="3"/>
  <c r="D1125" i="3"/>
  <c r="D1128" i="3"/>
  <c r="D1072" i="3"/>
  <c r="D1081" i="3"/>
  <c r="F5081" i="3"/>
  <c r="D969" i="3"/>
  <c r="F142" i="3"/>
  <c r="F520" i="3"/>
  <c r="F1925" i="3"/>
  <c r="F4095" i="3"/>
  <c r="F5410" i="3"/>
  <c r="F3922" i="3"/>
  <c r="F5353" i="3"/>
  <c r="F3963" i="3"/>
  <c r="F5858" i="3"/>
  <c r="D711" i="3"/>
  <c r="F6413" i="3"/>
  <c r="F6437" i="3"/>
  <c r="D707" i="3"/>
  <c r="D715" i="3"/>
  <c r="D710" i="3"/>
  <c r="D714" i="3"/>
  <c r="D706" i="3"/>
  <c r="D717" i="3"/>
  <c r="D708" i="3"/>
  <c r="H708" i="3" s="1"/>
  <c r="D718" i="3"/>
  <c r="D709" i="3"/>
  <c r="D713" i="3"/>
  <c r="D716" i="3"/>
  <c r="D712" i="3"/>
  <c r="F141" i="3"/>
  <c r="D615" i="3"/>
  <c r="F196" i="3"/>
  <c r="F388" i="3"/>
  <c r="F1910" i="3"/>
  <c r="F2518" i="3"/>
  <c r="F2113" i="3"/>
  <c r="F2987" i="3"/>
  <c r="F4089" i="3"/>
  <c r="I4089" i="3" s="1"/>
  <c r="F5066" i="3"/>
  <c r="F5438" i="3"/>
  <c r="F3474" i="3"/>
  <c r="F6111" i="3"/>
  <c r="F5547" i="3"/>
  <c r="D175" i="3"/>
  <c r="H175" i="3" s="1"/>
  <c r="D183" i="3"/>
  <c r="D177" i="3"/>
  <c r="D185" i="3"/>
  <c r="D179" i="3"/>
  <c r="D187" i="3"/>
  <c r="D181" i="3"/>
  <c r="D186" i="3"/>
  <c r="D176" i="3"/>
  <c r="D178" i="3"/>
  <c r="D180" i="3"/>
  <c r="I180" i="3" s="1"/>
  <c r="D182" i="3"/>
  <c r="D184" i="3"/>
  <c r="F875" i="3"/>
  <c r="F193" i="3"/>
  <c r="F386" i="3"/>
  <c r="F1799" i="3"/>
  <c r="F1360" i="3"/>
  <c r="F2110" i="3"/>
  <c r="F4270" i="3"/>
  <c r="F3471" i="3"/>
  <c r="F5991" i="3"/>
  <c r="F5543" i="3"/>
  <c r="F4816" i="3"/>
  <c r="D87" i="3"/>
  <c r="D89" i="3"/>
  <c r="D91" i="3"/>
  <c r="D93" i="3"/>
  <c r="D85" i="3"/>
  <c r="D88" i="3"/>
  <c r="D90" i="3"/>
  <c r="D92" i="3"/>
  <c r="D86" i="3"/>
  <c r="D84" i="3"/>
  <c r="F190" i="3"/>
  <c r="H190" i="3" s="1"/>
  <c r="D49" i="3"/>
  <c r="F3942" i="3"/>
  <c r="F6427" i="3"/>
  <c r="F358" i="3"/>
  <c r="F578" i="3"/>
  <c r="F959" i="3"/>
  <c r="F1507" i="3"/>
  <c r="F1894" i="3"/>
  <c r="F2487" i="3"/>
  <c r="F2097" i="3"/>
  <c r="F2297" i="3"/>
  <c r="F4357" i="3"/>
  <c r="F2704" i="3"/>
  <c r="F5203" i="3"/>
  <c r="F3459" i="3"/>
  <c r="F6103" i="3"/>
  <c r="F5737" i="3"/>
  <c r="F6305" i="3"/>
  <c r="H6305" i="3" s="1"/>
  <c r="F5981" i="3"/>
  <c r="F352" i="3"/>
  <c r="F1500" i="3"/>
  <c r="F2292" i="3"/>
  <c r="F1891" i="3"/>
  <c r="F3593" i="3"/>
  <c r="F4902" i="3"/>
  <c r="F347" i="3"/>
  <c r="I347" i="3" s="1"/>
  <c r="F613" i="3"/>
  <c r="F471" i="3"/>
  <c r="F955" i="3"/>
  <c r="F834" i="3"/>
  <c r="H834" i="3" s="1"/>
  <c r="F1126" i="3"/>
  <c r="F1264" i="3"/>
  <c r="H1264" i="3" s="1"/>
  <c r="F1351" i="3"/>
  <c r="F1559" i="3"/>
  <c r="F1889" i="3"/>
  <c r="F1496" i="3"/>
  <c r="F1772" i="3"/>
  <c r="F1680" i="3"/>
  <c r="F2480" i="3"/>
  <c r="F2089" i="3"/>
  <c r="F2358" i="3"/>
  <c r="F2517" i="3"/>
  <c r="H2517" i="3" s="1"/>
  <c r="F3065" i="3"/>
  <c r="F2700" i="3"/>
  <c r="F2883" i="3"/>
  <c r="F3172" i="3"/>
  <c r="H3172" i="3" s="1"/>
  <c r="F3453" i="3"/>
  <c r="F3621" i="3"/>
  <c r="F4078" i="3"/>
  <c r="F3591" i="3"/>
  <c r="F2286" i="3"/>
  <c r="F4201" i="3"/>
  <c r="F4385" i="3"/>
  <c r="F4417" i="3"/>
  <c r="F3299" i="3"/>
  <c r="F3708" i="3"/>
  <c r="F3820" i="3"/>
  <c r="F4354" i="3"/>
  <c r="F5474" i="3"/>
  <c r="F4612" i="3"/>
  <c r="F4724" i="3"/>
  <c r="F5044" i="3"/>
  <c r="F5196" i="3"/>
  <c r="F4507" i="3"/>
  <c r="F5261" i="3"/>
  <c r="F4958" i="3"/>
  <c r="F5342" i="3"/>
  <c r="F5510" i="3"/>
  <c r="F4897" i="3"/>
  <c r="F5776" i="3"/>
  <c r="H5776" i="3" s="1"/>
  <c r="F5849" i="3"/>
  <c r="F5921" i="3"/>
  <c r="F6097" i="3"/>
  <c r="F5404" i="3"/>
  <c r="F6371" i="3"/>
  <c r="F5726" i="3"/>
  <c r="F6406" i="3"/>
  <c r="F6502" i="3"/>
  <c r="I6502" i="3" s="1"/>
  <c r="F6213" i="3"/>
  <c r="F344" i="3"/>
  <c r="H344" i="3" s="1"/>
  <c r="F831" i="3"/>
  <c r="F1053" i="3"/>
  <c r="F871" i="3"/>
  <c r="F953" i="3"/>
  <c r="F1124" i="3"/>
  <c r="F468" i="3"/>
  <c r="F1494" i="3"/>
  <c r="F1769" i="3"/>
  <c r="F2086" i="3"/>
  <c r="F2281" i="3"/>
  <c r="I2281" i="3" s="1"/>
  <c r="F2697" i="3"/>
  <c r="F2477" i="3"/>
  <c r="F3216" i="3"/>
  <c r="F3296" i="3"/>
  <c r="F2977" i="3"/>
  <c r="F4200" i="3"/>
  <c r="I4200" i="3" s="1"/>
  <c r="F4384" i="3"/>
  <c r="F3897" i="3"/>
  <c r="F3588" i="3"/>
  <c r="F4610" i="3"/>
  <c r="F5402" i="3"/>
  <c r="F3451" i="3"/>
  <c r="F3938" i="3"/>
  <c r="F4075" i="3"/>
  <c r="F4721" i="3"/>
  <c r="F5193" i="3"/>
  <c r="F5432" i="3"/>
  <c r="F5539" i="3"/>
  <c r="F5722" i="3"/>
  <c r="F6211" i="3"/>
  <c r="I6211" i="3" s="1"/>
  <c r="F5260" i="3"/>
  <c r="F6468" i="3"/>
  <c r="F5918" i="3"/>
  <c r="F570" i="3"/>
  <c r="H570" i="3" s="1"/>
  <c r="F2080" i="3"/>
  <c r="F2275" i="3"/>
  <c r="F4196" i="3"/>
  <c r="F6208" i="3"/>
  <c r="F566" i="3"/>
  <c r="F946" i="3"/>
  <c r="F1225" i="3"/>
  <c r="F334" i="3"/>
  <c r="F1882" i="3"/>
  <c r="F1484" i="3"/>
  <c r="F2074" i="3"/>
  <c r="F2469" i="3"/>
  <c r="F2689" i="3"/>
  <c r="F2269" i="3"/>
  <c r="F4189" i="3"/>
  <c r="H4189" i="3" s="1"/>
  <c r="F3702" i="3"/>
  <c r="H3702" i="3" s="1"/>
  <c r="F4350" i="3"/>
  <c r="F4065" i="3"/>
  <c r="F5186" i="3"/>
  <c r="F5711" i="3"/>
  <c r="F6295" i="3"/>
  <c r="F5972" i="3"/>
  <c r="H5972" i="3" s="1"/>
  <c r="F2262" i="3"/>
  <c r="F6197" i="3"/>
  <c r="F609" i="3"/>
  <c r="F939" i="3"/>
  <c r="F118" i="3"/>
  <c r="F324" i="3"/>
  <c r="H324" i="3" s="1"/>
  <c r="F817" i="3"/>
  <c r="F1261" i="3"/>
  <c r="H1261" i="3" s="1"/>
  <c r="F456" i="3"/>
  <c r="F1112" i="3"/>
  <c r="F1341" i="3"/>
  <c r="F1475" i="3"/>
  <c r="F1667" i="3"/>
  <c r="F1758" i="3"/>
  <c r="F1028" i="3"/>
  <c r="F1552" i="3"/>
  <c r="I1552" i="3" s="1"/>
  <c r="F2259" i="3"/>
  <c r="F1878" i="3"/>
  <c r="F2061" i="3"/>
  <c r="F2462" i="3"/>
  <c r="F2681" i="3"/>
  <c r="F2872" i="3"/>
  <c r="F3284" i="3"/>
  <c r="F4181" i="3"/>
  <c r="H4181" i="3" s="1"/>
  <c r="F3815" i="3"/>
  <c r="F4343" i="3"/>
  <c r="F4057" i="3"/>
  <c r="F4497" i="3"/>
  <c r="F3436" i="3"/>
  <c r="F3572" i="3"/>
  <c r="F3884" i="3"/>
  <c r="F3731" i="3"/>
  <c r="F4707" i="3"/>
  <c r="F5251" i="3"/>
  <c r="F4884" i="3"/>
  <c r="F4949" i="3"/>
  <c r="F4598" i="3"/>
  <c r="F4639" i="3"/>
  <c r="F5040" i="3"/>
  <c r="F6543" i="3"/>
  <c r="F3698" i="3"/>
  <c r="F5848" i="3"/>
  <c r="H5848" i="3" s="1"/>
  <c r="F5968" i="3"/>
  <c r="F6081" i="3"/>
  <c r="F6361" i="3"/>
  <c r="F5176" i="3"/>
  <c r="F5699" i="3"/>
  <c r="F6195" i="3"/>
  <c r="H6195" i="3" s="1"/>
  <c r="F6291" i="3"/>
  <c r="F6499" i="3"/>
  <c r="H6499" i="3" s="1"/>
  <c r="F5773" i="3"/>
  <c r="D6591" i="3"/>
  <c r="D6599" i="3"/>
  <c r="D6607" i="3"/>
  <c r="D6592" i="3"/>
  <c r="H6592" i="3" s="1"/>
  <c r="D6600" i="3"/>
  <c r="D6608" i="3"/>
  <c r="D6593" i="3"/>
  <c r="I6593" i="3" s="1"/>
  <c r="D6601" i="3"/>
  <c r="D6609" i="3"/>
  <c r="D6594" i="3"/>
  <c r="D6602" i="3"/>
  <c r="D6610" i="3"/>
  <c r="F3914" i="3"/>
  <c r="D6426" i="3"/>
  <c r="F165" i="3"/>
  <c r="F38" i="3"/>
  <c r="F714" i="3"/>
  <c r="F686" i="3"/>
  <c r="F313" i="3"/>
  <c r="F933" i="3"/>
  <c r="F1046" i="3"/>
  <c r="H1046" i="3" s="1"/>
  <c r="F1334" i="3"/>
  <c r="F861" i="3"/>
  <c r="F1104" i="3"/>
  <c r="F446" i="3"/>
  <c r="F1547" i="3"/>
  <c r="F1156" i="3"/>
  <c r="H1156" i="3" s="1"/>
  <c r="F1871" i="3"/>
  <c r="F1752" i="3"/>
  <c r="F1464" i="3"/>
  <c r="F2045" i="3"/>
  <c r="F2345" i="3"/>
  <c r="F2671" i="3"/>
  <c r="F2249" i="3"/>
  <c r="F2453" i="3"/>
  <c r="F2761" i="3"/>
  <c r="F2785" i="3"/>
  <c r="F2581" i="3"/>
  <c r="H2581" i="3" s="1"/>
  <c r="F3055" i="3"/>
  <c r="H3055" i="3" s="1"/>
  <c r="F3208" i="3"/>
  <c r="F2970" i="3"/>
  <c r="F3877" i="3"/>
  <c r="F4589" i="3"/>
  <c r="F4047" i="3"/>
  <c r="F2864" i="3"/>
  <c r="F3632" i="3"/>
  <c r="F4376" i="3"/>
  <c r="F3277" i="3"/>
  <c r="F3428" i="3"/>
  <c r="F3564" i="3"/>
  <c r="F3932" i="3"/>
  <c r="F4170" i="3"/>
  <c r="F4698" i="3"/>
  <c r="F4786" i="3"/>
  <c r="F5010" i="3"/>
  <c r="F5498" i="3"/>
  <c r="F4394" i="3"/>
  <c r="F5164" i="3"/>
  <c r="F4491" i="3"/>
  <c r="I4491" i="3" s="1"/>
  <c r="F4942" i="3"/>
  <c r="F5055" i="3"/>
  <c r="H5055" i="3" s="1"/>
  <c r="F5425" i="3"/>
  <c r="F6583" i="3"/>
  <c r="H6583" i="3" s="1"/>
  <c r="F5688" i="3"/>
  <c r="F6073" i="3"/>
  <c r="F5795" i="3"/>
  <c r="F6419" i="3"/>
  <c r="I6419" i="3" s="1"/>
  <c r="F6459" i="3"/>
  <c r="F5391" i="3"/>
  <c r="F5532" i="3"/>
  <c r="I5532" i="3" s="1"/>
  <c r="F6188" i="3"/>
  <c r="H6188" i="3" s="1"/>
  <c r="D5853" i="3"/>
  <c r="D5861" i="3"/>
  <c r="D5869" i="3"/>
  <c r="D5877" i="3"/>
  <c r="D5885" i="3"/>
  <c r="D5893" i="3"/>
  <c r="D5901" i="3"/>
  <c r="D5909" i="3"/>
  <c r="H5909" i="3" s="1"/>
  <c r="D5917" i="3"/>
  <c r="D5925" i="3"/>
  <c r="D5854" i="3"/>
  <c r="D5862" i="3"/>
  <c r="D5870" i="3"/>
  <c r="D5878" i="3"/>
  <c r="D5886" i="3"/>
  <c r="D5894" i="3"/>
  <c r="H5894" i="3" s="1"/>
  <c r="D5902" i="3"/>
  <c r="D5910" i="3"/>
  <c r="D5918" i="3"/>
  <c r="D5855" i="3"/>
  <c r="D5863" i="3"/>
  <c r="D5871" i="3"/>
  <c r="D5879" i="3"/>
  <c r="H5879" i="3" s="1"/>
  <c r="D5887" i="3"/>
  <c r="D5895" i="3"/>
  <c r="D5903" i="3"/>
  <c r="D5911" i="3"/>
  <c r="D5919" i="3"/>
  <c r="D5856" i="3"/>
  <c r="D5864" i="3"/>
  <c r="D5872" i="3"/>
  <c r="D5880" i="3"/>
  <c r="H5880" i="3" s="1"/>
  <c r="D5888" i="3"/>
  <c r="D5896" i="3"/>
  <c r="D5904" i="3"/>
  <c r="D5912" i="3"/>
  <c r="I5912" i="3" s="1"/>
  <c r="D5920" i="3"/>
  <c r="I5920" i="3" s="1"/>
  <c r="D5857" i="3"/>
  <c r="D5865" i="3"/>
  <c r="D5873" i="3"/>
  <c r="D5881" i="3"/>
  <c r="D5889" i="3"/>
  <c r="D5897" i="3"/>
  <c r="D5905" i="3"/>
  <c r="D5913" i="3"/>
  <c r="D5921" i="3"/>
  <c r="H5921" i="3" s="1"/>
  <c r="D5858" i="3"/>
  <c r="D5866" i="3"/>
  <c r="I5866" i="3" s="1"/>
  <c r="D5874" i="3"/>
  <c r="D5882" i="3"/>
  <c r="D5890" i="3"/>
  <c r="D5898" i="3"/>
  <c r="D5906" i="3"/>
  <c r="D5914" i="3"/>
  <c r="D5922" i="3"/>
  <c r="H5922" i="3" s="1"/>
  <c r="D5859" i="3"/>
  <c r="D5867" i="3"/>
  <c r="D5875" i="3"/>
  <c r="D5883" i="3"/>
  <c r="D5891" i="3"/>
  <c r="I5891" i="3" s="1"/>
  <c r="D5899" i="3"/>
  <c r="D5907" i="3"/>
  <c r="D5915" i="3"/>
  <c r="D5923" i="3"/>
  <c r="F11" i="3"/>
  <c r="F59" i="3"/>
  <c r="F163" i="3"/>
  <c r="F627" i="3"/>
  <c r="I627" i="3" s="1"/>
  <c r="F699" i="3"/>
  <c r="F37" i="3"/>
  <c r="F183" i="3"/>
  <c r="F512" i="3"/>
  <c r="F738" i="3"/>
  <c r="F859" i="3"/>
  <c r="F124" i="3"/>
  <c r="F642" i="3"/>
  <c r="F705" i="3"/>
  <c r="F498" i="3"/>
  <c r="F582" i="3"/>
  <c r="F666" i="3"/>
  <c r="F802" i="3"/>
  <c r="F310" i="3"/>
  <c r="F606" i="3"/>
  <c r="F930" i="3"/>
  <c r="F1101" i="3"/>
  <c r="H1101" i="3" s="1"/>
  <c r="F1173" i="3"/>
  <c r="I1173" i="3" s="1"/>
  <c r="F92" i="3"/>
  <c r="F999" i="3"/>
  <c r="F1215" i="3"/>
  <c r="F1223" i="3"/>
  <c r="F114" i="3"/>
  <c r="F382" i="3"/>
  <c r="F444" i="3"/>
  <c r="F1201" i="3"/>
  <c r="H1201" i="3" s="1"/>
  <c r="F1257" i="3"/>
  <c r="F1025" i="3"/>
  <c r="I1025" i="3" s="1"/>
  <c r="F1186" i="3"/>
  <c r="F685" i="3"/>
  <c r="F1563" i="3"/>
  <c r="F1571" i="3"/>
  <c r="F1595" i="3"/>
  <c r="F1155" i="3"/>
  <c r="F1331" i="3"/>
  <c r="F1461" i="3"/>
  <c r="F1613" i="3"/>
  <c r="F1749" i="3"/>
  <c r="F1797" i="3"/>
  <c r="F973" i="3"/>
  <c r="F1566" i="3"/>
  <c r="F1687" i="3"/>
  <c r="F1791" i="3"/>
  <c r="F374" i="3"/>
  <c r="H374" i="3" s="1"/>
  <c r="F1279" i="3"/>
  <c r="F1545" i="3"/>
  <c r="F1585" i="3"/>
  <c r="F1657" i="3"/>
  <c r="F1868" i="3"/>
  <c r="F2040" i="3"/>
  <c r="F2344" i="3"/>
  <c r="F1292" i="3"/>
  <c r="H1292" i="3" s="1"/>
  <c r="F1901" i="3"/>
  <c r="F2449" i="3"/>
  <c r="F2494" i="3"/>
  <c r="F2567" i="3"/>
  <c r="F2735" i="3"/>
  <c r="F2246" i="3"/>
  <c r="F2529" i="3"/>
  <c r="F2317" i="3"/>
  <c r="H2317" i="3" s="1"/>
  <c r="F2498" i="3"/>
  <c r="F2594" i="3"/>
  <c r="F2310" i="3"/>
  <c r="F2752" i="3"/>
  <c r="F2860" i="3"/>
  <c r="F3207" i="3"/>
  <c r="F2968" i="3"/>
  <c r="F3168" i="3"/>
  <c r="H3168" i="3" s="1"/>
  <c r="F2929" i="3"/>
  <c r="F3313" i="3"/>
  <c r="F2515" i="3"/>
  <c r="F2555" i="3"/>
  <c r="F2760" i="3"/>
  <c r="F2906" i="3"/>
  <c r="F3082" i="3"/>
  <c r="F3338" i="3"/>
  <c r="I3338" i="3" s="1"/>
  <c r="F2916" i="3"/>
  <c r="F2948" i="3"/>
  <c r="F3124" i="3"/>
  <c r="F2668" i="3"/>
  <c r="H2668" i="3" s="1"/>
  <c r="F3054" i="3"/>
  <c r="F3326" i="3"/>
  <c r="F3757" i="3"/>
  <c r="F4413" i="3"/>
  <c r="I4413" i="3" s="1"/>
  <c r="F4453" i="3"/>
  <c r="F3149" i="3"/>
  <c r="F3775" i="3"/>
  <c r="F4167" i="3"/>
  <c r="I4167" i="3" s="1"/>
  <c r="F3021" i="3"/>
  <c r="F3424" i="3"/>
  <c r="F3616" i="3"/>
  <c r="F3648" i="3"/>
  <c r="F3688" i="3"/>
  <c r="F3728" i="3"/>
  <c r="F3920" i="3"/>
  <c r="F4256" i="3"/>
  <c r="F2579" i="3"/>
  <c r="I2579" i="3" s="1"/>
  <c r="F3107" i="3"/>
  <c r="I3107" i="3" s="1"/>
  <c r="F3561" i="3"/>
  <c r="F3873" i="3"/>
  <c r="F4425" i="3"/>
  <c r="F4433" i="3"/>
  <c r="F2724" i="3"/>
  <c r="F2784" i="3"/>
  <c r="F2997" i="3"/>
  <c r="F3908" i="3"/>
  <c r="F4044" i="3"/>
  <c r="F4332" i="3"/>
  <c r="F3947" i="3"/>
  <c r="F4962" i="3"/>
  <c r="F5434" i="3"/>
  <c r="F4635" i="3"/>
  <c r="F4811" i="3"/>
  <c r="F4875" i="3"/>
  <c r="F4996" i="3"/>
  <c r="F4490" i="3"/>
  <c r="F4621" i="3"/>
  <c r="F4733" i="3"/>
  <c r="F4941" i="3"/>
  <c r="F4981" i="3"/>
  <c r="F5005" i="3"/>
  <c r="F5037" i="3"/>
  <c r="I5037" i="3" s="1"/>
  <c r="F3931" i="3"/>
  <c r="F4586" i="3"/>
  <c r="F4798" i="3"/>
  <c r="F5054" i="3"/>
  <c r="F5286" i="3"/>
  <c r="F5334" i="3"/>
  <c r="F5390" i="3"/>
  <c r="F3811" i="3"/>
  <c r="F4761" i="3"/>
  <c r="F5161" i="3"/>
  <c r="F5497" i="3"/>
  <c r="F5767" i="3"/>
  <c r="F5903" i="3"/>
  <c r="F6351" i="3"/>
  <c r="F5244" i="3"/>
  <c r="F5276" i="3"/>
  <c r="F6185" i="3"/>
  <c r="F6457" i="3"/>
  <c r="H6457" i="3" s="1"/>
  <c r="F6402" i="3"/>
  <c r="F5531" i="3"/>
  <c r="F5843" i="3"/>
  <c r="F6563" i="3"/>
  <c r="I6563" i="3" s="1"/>
  <c r="F5424" i="3"/>
  <c r="F5804" i="3"/>
  <c r="H5804" i="3" s="1"/>
  <c r="F6540" i="3"/>
  <c r="F5464" i="3"/>
  <c r="F6069" i="3"/>
  <c r="F4435" i="3"/>
  <c r="F6230" i="3"/>
  <c r="F6493" i="3"/>
  <c r="I6493" i="3" s="1"/>
  <c r="F6582" i="3"/>
  <c r="D5541" i="3"/>
  <c r="D5549" i="3"/>
  <c r="D5557" i="3"/>
  <c r="I5557" i="3" s="1"/>
  <c r="D5565" i="3"/>
  <c r="D5573" i="3"/>
  <c r="D5581" i="3"/>
  <c r="D5589" i="3"/>
  <c r="D5597" i="3"/>
  <c r="H5597" i="3" s="1"/>
  <c r="D5605" i="3"/>
  <c r="D5613" i="3"/>
  <c r="D5621" i="3"/>
  <c r="D5629" i="3"/>
  <c r="D5637" i="3"/>
  <c r="D5645" i="3"/>
  <c r="D5653" i="3"/>
  <c r="D5661" i="3"/>
  <c r="D5669" i="3"/>
  <c r="H5669" i="3" s="1"/>
  <c r="D5677" i="3"/>
  <c r="D5685" i="3"/>
  <c r="D5693" i="3"/>
  <c r="D5701" i="3"/>
  <c r="D5709" i="3"/>
  <c r="D5717" i="3"/>
  <c r="D5725" i="3"/>
  <c r="D5733" i="3"/>
  <c r="H5733" i="3" s="1"/>
  <c r="D5741" i="3"/>
  <c r="D5542" i="3"/>
  <c r="D5550" i="3"/>
  <c r="D5558" i="3"/>
  <c r="D5566" i="3"/>
  <c r="D5574" i="3"/>
  <c r="D5582" i="3"/>
  <c r="D5590" i="3"/>
  <c r="D5598" i="3"/>
  <c r="D5606" i="3"/>
  <c r="D5614" i="3"/>
  <c r="D5622" i="3"/>
  <c r="D5630" i="3"/>
  <c r="D5638" i="3"/>
  <c r="D5646" i="3"/>
  <c r="D5654" i="3"/>
  <c r="D5662" i="3"/>
  <c r="D5670" i="3"/>
  <c r="D5678" i="3"/>
  <c r="D5686" i="3"/>
  <c r="D5694" i="3"/>
  <c r="D5702" i="3"/>
  <c r="D5710" i="3"/>
  <c r="I5710" i="3" s="1"/>
  <c r="D5718" i="3"/>
  <c r="D5726" i="3"/>
  <c r="D5734" i="3"/>
  <c r="D5543" i="3"/>
  <c r="D5551" i="3"/>
  <c r="D5559" i="3"/>
  <c r="D5567" i="3"/>
  <c r="D5575" i="3"/>
  <c r="D5583" i="3"/>
  <c r="D5591" i="3"/>
  <c r="D5599" i="3"/>
  <c r="D5607" i="3"/>
  <c r="D5615" i="3"/>
  <c r="D5623" i="3"/>
  <c r="D5631" i="3"/>
  <c r="D5639" i="3"/>
  <c r="D5647" i="3"/>
  <c r="D5655" i="3"/>
  <c r="D5663" i="3"/>
  <c r="D5671" i="3"/>
  <c r="D5679" i="3"/>
  <c r="D5687" i="3"/>
  <c r="D5695" i="3"/>
  <c r="D5703" i="3"/>
  <c r="D5711" i="3"/>
  <c r="D5719" i="3"/>
  <c r="D5727" i="3"/>
  <c r="D5735" i="3"/>
  <c r="D5544" i="3"/>
  <c r="D5552" i="3"/>
  <c r="D5560" i="3"/>
  <c r="D5568" i="3"/>
  <c r="H5568" i="3" s="1"/>
  <c r="D5576" i="3"/>
  <c r="D5584" i="3"/>
  <c r="D5592" i="3"/>
  <c r="H5592" i="3" s="1"/>
  <c r="D5600" i="3"/>
  <c r="D5608" i="3"/>
  <c r="D5616" i="3"/>
  <c r="D5624" i="3"/>
  <c r="D5632" i="3"/>
  <c r="D5640" i="3"/>
  <c r="H5640" i="3" s="1"/>
  <c r="D5648" i="3"/>
  <c r="D5656" i="3"/>
  <c r="D5664" i="3"/>
  <c r="D5672" i="3"/>
  <c r="D5680" i="3"/>
  <c r="D5688" i="3"/>
  <c r="D5696" i="3"/>
  <c r="D5704" i="3"/>
  <c r="H5704" i="3" s="1"/>
  <c r="D5712" i="3"/>
  <c r="D5720" i="3"/>
  <c r="D5728" i="3"/>
  <c r="D5736" i="3"/>
  <c r="D5545" i="3"/>
  <c r="D5553" i="3"/>
  <c r="D5561" i="3"/>
  <c r="D5569" i="3"/>
  <c r="H5569" i="3" s="1"/>
  <c r="D5577" i="3"/>
  <c r="D5585" i="3"/>
  <c r="I5585" i="3" s="1"/>
  <c r="D5593" i="3"/>
  <c r="D5601" i="3"/>
  <c r="D5609" i="3"/>
  <c r="D5617" i="3"/>
  <c r="H5617" i="3" s="1"/>
  <c r="D5625" i="3"/>
  <c r="H5625" i="3" s="1"/>
  <c r="D5633" i="3"/>
  <c r="D5641" i="3"/>
  <c r="D5649" i="3"/>
  <c r="H5649" i="3" s="1"/>
  <c r="D5657" i="3"/>
  <c r="D5665" i="3"/>
  <c r="D5673" i="3"/>
  <c r="D5681" i="3"/>
  <c r="D5689" i="3"/>
  <c r="D5697" i="3"/>
  <c r="D5705" i="3"/>
  <c r="D5713" i="3"/>
  <c r="I5713" i="3" s="1"/>
  <c r="D5721" i="3"/>
  <c r="D5729" i="3"/>
  <c r="D5737" i="3"/>
  <c r="D5546" i="3"/>
  <c r="D5554" i="3"/>
  <c r="D5562" i="3"/>
  <c r="D5570" i="3"/>
  <c r="D5578" i="3"/>
  <c r="H5578" i="3" s="1"/>
  <c r="D5586" i="3"/>
  <c r="D5594" i="3"/>
  <c r="D5602" i="3"/>
  <c r="D5610" i="3"/>
  <c r="D5618" i="3"/>
  <c r="H5618" i="3" s="1"/>
  <c r="D5626" i="3"/>
  <c r="D5634" i="3"/>
  <c r="D5642" i="3"/>
  <c r="D5650" i="3"/>
  <c r="D5658" i="3"/>
  <c r="D5666" i="3"/>
  <c r="D5674" i="3"/>
  <c r="D5682" i="3"/>
  <c r="D5690" i="3"/>
  <c r="D5698" i="3"/>
  <c r="D5706" i="3"/>
  <c r="D5714" i="3"/>
  <c r="D5722" i="3"/>
  <c r="D5730" i="3"/>
  <c r="D5738" i="3"/>
  <c r="D5547" i="3"/>
  <c r="I5547" i="3" s="1"/>
  <c r="D5555" i="3"/>
  <c r="D5563" i="3"/>
  <c r="I5563" i="3" s="1"/>
  <c r="D5571" i="3"/>
  <c r="I5571" i="3" s="1"/>
  <c r="D5579" i="3"/>
  <c r="D5587" i="3"/>
  <c r="D5595" i="3"/>
  <c r="D5603" i="3"/>
  <c r="D5611" i="3"/>
  <c r="I5611" i="3" s="1"/>
  <c r="D5619" i="3"/>
  <c r="D5627" i="3"/>
  <c r="I5627" i="3" s="1"/>
  <c r="D5635" i="3"/>
  <c r="D5643" i="3"/>
  <c r="D5651" i="3"/>
  <c r="D5659" i="3"/>
  <c r="D5667" i="3"/>
  <c r="D5675" i="3"/>
  <c r="D5683" i="3"/>
  <c r="D5691" i="3"/>
  <c r="D5699" i="3"/>
  <c r="D5707" i="3"/>
  <c r="D5715" i="3"/>
  <c r="D5723" i="3"/>
  <c r="D5731" i="3"/>
  <c r="D5739" i="3"/>
  <c r="I5739" i="3" s="1"/>
  <c r="D5540" i="3"/>
  <c r="D5548" i="3"/>
  <c r="D5556" i="3"/>
  <c r="H5556" i="3" s="1"/>
  <c r="D5564" i="3"/>
  <c r="D5572" i="3"/>
  <c r="D5580" i="3"/>
  <c r="D5588" i="3"/>
  <c r="D5596" i="3"/>
  <c r="D5604" i="3"/>
  <c r="H5604" i="3" s="1"/>
  <c r="D5612" i="3"/>
  <c r="D5620" i="3"/>
  <c r="I5620" i="3" s="1"/>
  <c r="D5628" i="3"/>
  <c r="D5636" i="3"/>
  <c r="D5644" i="3"/>
  <c r="D5652" i="3"/>
  <c r="D5660" i="3"/>
  <c r="D5668" i="3"/>
  <c r="F72" i="3"/>
  <c r="F113" i="3"/>
  <c r="H113" i="3" s="1"/>
  <c r="F605" i="3"/>
  <c r="F304" i="3"/>
  <c r="F10" i="3"/>
  <c r="F724" i="3"/>
  <c r="F928" i="3"/>
  <c r="F1024" i="3"/>
  <c r="F1256" i="3"/>
  <c r="F1185" i="3"/>
  <c r="F798" i="3"/>
  <c r="F1098" i="3"/>
  <c r="F1330" i="3"/>
  <c r="F1612" i="3"/>
  <c r="F1790" i="3"/>
  <c r="F1291" i="3"/>
  <c r="I1291" i="3" s="1"/>
  <c r="F1543" i="3"/>
  <c r="F1865" i="3"/>
  <c r="F1744" i="3"/>
  <c r="F1656" i="3"/>
  <c r="F2240" i="3"/>
  <c r="F1456" i="3"/>
  <c r="F2034" i="3"/>
  <c r="F2663" i="3"/>
  <c r="H2663" i="3" s="1"/>
  <c r="F2857" i="3"/>
  <c r="F2445" i="3"/>
  <c r="F2905" i="3"/>
  <c r="F3153" i="3"/>
  <c r="F3421" i="3"/>
  <c r="F4581" i="3"/>
  <c r="F3462" i="3"/>
  <c r="F3686" i="3"/>
  <c r="I3686" i="3" s="1"/>
  <c r="F3341" i="3"/>
  <c r="F3727" i="3"/>
  <c r="F4255" i="3"/>
  <c r="F4488" i="3"/>
  <c r="F2947" i="3"/>
  <c r="F4329" i="3"/>
  <c r="F3556" i="3"/>
  <c r="F4634" i="3"/>
  <c r="F4810" i="3"/>
  <c r="F4691" i="3"/>
  <c r="F4940" i="3"/>
  <c r="F5157" i="3"/>
  <c r="F5678" i="3"/>
  <c r="F4218" i="3"/>
  <c r="F5808" i="3"/>
  <c r="H5808" i="3" s="1"/>
  <c r="F4234" i="3"/>
  <c r="I4234" i="3" s="1"/>
  <c r="F6065" i="3"/>
  <c r="F4872" i="3"/>
  <c r="F6539" i="3"/>
  <c r="F6492" i="3"/>
  <c r="F6350" i="3"/>
  <c r="F6430" i="3"/>
  <c r="D5293" i="3"/>
  <c r="H5293" i="3" s="1"/>
  <c r="D5301" i="3"/>
  <c r="D5309" i="3"/>
  <c r="D5317" i="3"/>
  <c r="D5325" i="3"/>
  <c r="D5333" i="3"/>
  <c r="D5341" i="3"/>
  <c r="D5294" i="3"/>
  <c r="D5302" i="3"/>
  <c r="D5310" i="3"/>
  <c r="D5318" i="3"/>
  <c r="D5326" i="3"/>
  <c r="D5334" i="3"/>
  <c r="D5342" i="3"/>
  <c r="D5295" i="3"/>
  <c r="D5303" i="3"/>
  <c r="D5311" i="3"/>
  <c r="D5319" i="3"/>
  <c r="D5327" i="3"/>
  <c r="D5335" i="3"/>
  <c r="H5335" i="3" s="1"/>
  <c r="D5343" i="3"/>
  <c r="D5288" i="3"/>
  <c r="D5296" i="3"/>
  <c r="D5304" i="3"/>
  <c r="D5312" i="3"/>
  <c r="D5320" i="3"/>
  <c r="H5320" i="3" s="1"/>
  <c r="D5328" i="3"/>
  <c r="D5336" i="3"/>
  <c r="D5344" i="3"/>
  <c r="D5289" i="3"/>
  <c r="D5297" i="3"/>
  <c r="D5305" i="3"/>
  <c r="H5305" i="3" s="1"/>
  <c r="D5313" i="3"/>
  <c r="D5321" i="3"/>
  <c r="D5329" i="3"/>
  <c r="D5337" i="3"/>
  <c r="I5337" i="3" s="1"/>
  <c r="D5345" i="3"/>
  <c r="D5290" i="3"/>
  <c r="D5298" i="3"/>
  <c r="D5306" i="3"/>
  <c r="D5314" i="3"/>
  <c r="D5322" i="3"/>
  <c r="H5322" i="3" s="1"/>
  <c r="D5330" i="3"/>
  <c r="D5338" i="3"/>
  <c r="D5346" i="3"/>
  <c r="D5291" i="3"/>
  <c r="D5299" i="3"/>
  <c r="D5307" i="3"/>
  <c r="D5315" i="3"/>
  <c r="I5315" i="3" s="1"/>
  <c r="D5323" i="3"/>
  <c r="I5323" i="3" s="1"/>
  <c r="D5331" i="3"/>
  <c r="D5339" i="3"/>
  <c r="D5292" i="3"/>
  <c r="D5300" i="3"/>
  <c r="D5308" i="3"/>
  <c r="D5316" i="3"/>
  <c r="D5324" i="3"/>
  <c r="D5332" i="3"/>
  <c r="D5340" i="3"/>
  <c r="F2234" i="3"/>
  <c r="F2028" i="3"/>
  <c r="F4033" i="3"/>
  <c r="F4156" i="3"/>
  <c r="F6175" i="3"/>
  <c r="F5896" i="3"/>
  <c r="D5013" i="3"/>
  <c r="D5006" i="3"/>
  <c r="D5014" i="3"/>
  <c r="D5007" i="3"/>
  <c r="D5008" i="3"/>
  <c r="D5009" i="3"/>
  <c r="D5010" i="3"/>
  <c r="D5011" i="3"/>
  <c r="D5012" i="3"/>
  <c r="F295" i="3"/>
  <c r="H295" i="3" s="1"/>
  <c r="F794" i="3"/>
  <c r="I794" i="3" s="1"/>
  <c r="F1449" i="3"/>
  <c r="F1860" i="3"/>
  <c r="F2230" i="3"/>
  <c r="F6347" i="3"/>
  <c r="F6060" i="3"/>
  <c r="H6060" i="3" s="1"/>
  <c r="D4965" i="3"/>
  <c r="D4973" i="3"/>
  <c r="D4966" i="3"/>
  <c r="D4967" i="3"/>
  <c r="D4968" i="3"/>
  <c r="D4969" i="3"/>
  <c r="D4970" i="3"/>
  <c r="D4971" i="3"/>
  <c r="D4972" i="3"/>
  <c r="I4972" i="3" s="1"/>
  <c r="F547" i="3"/>
  <c r="I547" i="3" s="1"/>
  <c r="F434" i="3"/>
  <c r="F791" i="3"/>
  <c r="F2225" i="3"/>
  <c r="F4151" i="3"/>
  <c r="F3547" i="3"/>
  <c r="F4027" i="3"/>
  <c r="D4773" i="3"/>
  <c r="H4773" i="3" s="1"/>
  <c r="D4774" i="3"/>
  <c r="D4775" i="3"/>
  <c r="I4775" i="3" s="1"/>
  <c r="D4776" i="3"/>
  <c r="D4777" i="3"/>
  <c r="D4778" i="3"/>
  <c r="D4779" i="3"/>
  <c r="H4779" i="3" s="1"/>
  <c r="D4780" i="3"/>
  <c r="H4780" i="3" s="1"/>
  <c r="F285" i="3"/>
  <c r="F172" i="3"/>
  <c r="F2431" i="3"/>
  <c r="H2431" i="3" s="1"/>
  <c r="F4961" i="3"/>
  <c r="F5657" i="3"/>
  <c r="F5144" i="3"/>
  <c r="D4451" i="3"/>
  <c r="D4452" i="3"/>
  <c r="D4453" i="3"/>
  <c r="D4450" i="3"/>
  <c r="F426" i="3"/>
  <c r="F1730" i="3"/>
  <c r="F2006" i="3"/>
  <c r="F2209" i="3"/>
  <c r="F3257" i="3"/>
  <c r="F3534" i="3"/>
  <c r="F4017" i="3"/>
  <c r="F6162" i="3"/>
  <c r="D4208" i="3"/>
  <c r="D4209" i="3"/>
  <c r="D4211" i="3"/>
  <c r="D4212" i="3"/>
  <c r="D4213" i="3"/>
  <c r="D4214" i="3"/>
  <c r="D4210" i="3"/>
  <c r="D4215" i="3"/>
  <c r="F156" i="3"/>
  <c r="F3116" i="3"/>
  <c r="F6426" i="3"/>
  <c r="F3939" i="3"/>
  <c r="D3912" i="3"/>
  <c r="H3912" i="3" s="1"/>
  <c r="D3913" i="3"/>
  <c r="D3914" i="3"/>
  <c r="H3914" i="3" s="1"/>
  <c r="D3915" i="3"/>
  <c r="D3916" i="3"/>
  <c r="D3917" i="3"/>
  <c r="D3911" i="3"/>
  <c r="F3192" i="3"/>
  <c r="F4138" i="3"/>
  <c r="I4138" i="3" s="1"/>
  <c r="F5415" i="3"/>
  <c r="D3740" i="3"/>
  <c r="H3740" i="3" s="1"/>
  <c r="D3741" i="3"/>
  <c r="D3742" i="3"/>
  <c r="F271" i="3"/>
  <c r="F907" i="3"/>
  <c r="F1425" i="3"/>
  <c r="F1841" i="3"/>
  <c r="F2198" i="3"/>
  <c r="F2642" i="3"/>
  <c r="F4311" i="3"/>
  <c r="F3400" i="3"/>
  <c r="F5637" i="3"/>
  <c r="F6041" i="3"/>
  <c r="D3642" i="3"/>
  <c r="D3647" i="3"/>
  <c r="D3649" i="3"/>
  <c r="D3640" i="3"/>
  <c r="D3641" i="3"/>
  <c r="D3643" i="3"/>
  <c r="D3644" i="3"/>
  <c r="D3645" i="3"/>
  <c r="D3646" i="3"/>
  <c r="D3648" i="3"/>
  <c r="F1421" i="3"/>
  <c r="F1639" i="3"/>
  <c r="F5948" i="3"/>
  <c r="F5316" i="3"/>
  <c r="F6269" i="3"/>
  <c r="D3343" i="3"/>
  <c r="D3344" i="3"/>
  <c r="D3340" i="3"/>
  <c r="D3341" i="3"/>
  <c r="D3342" i="3"/>
  <c r="I3342" i="3" s="1"/>
  <c r="D3345" i="3"/>
  <c r="F5119" i="3"/>
  <c r="D3173" i="3"/>
  <c r="F259" i="3"/>
  <c r="F489" i="3"/>
  <c r="F777" i="3"/>
  <c r="H777" i="3" s="1"/>
  <c r="F1834" i="3"/>
  <c r="F2408" i="3"/>
  <c r="F1414" i="3"/>
  <c r="F1978" i="3"/>
  <c r="F2185" i="3"/>
  <c r="F2829" i="3"/>
  <c r="F2635" i="3"/>
  <c r="F4305" i="3"/>
  <c r="F3516" i="3"/>
  <c r="F4550" i="3"/>
  <c r="F4848" i="3"/>
  <c r="F5624" i="3"/>
  <c r="F6034" i="3"/>
  <c r="F6266" i="3"/>
  <c r="F3393" i="3"/>
  <c r="D3074" i="3"/>
  <c r="D3082" i="3"/>
  <c r="D3070" i="3"/>
  <c r="D3078" i="3"/>
  <c r="D3086" i="3"/>
  <c r="H3086" i="3" s="1"/>
  <c r="D3071" i="3"/>
  <c r="D3079" i="3"/>
  <c r="D3072" i="3"/>
  <c r="D3080" i="3"/>
  <c r="D3069" i="3"/>
  <c r="D3085" i="3"/>
  <c r="I3085" i="3" s="1"/>
  <c r="D3073" i="3"/>
  <c r="D3075" i="3"/>
  <c r="I3075" i="3" s="1"/>
  <c r="D3076" i="3"/>
  <c r="D3077" i="3"/>
  <c r="D3081" i="3"/>
  <c r="D3083" i="3"/>
  <c r="D3068" i="3"/>
  <c r="D3084" i="3"/>
  <c r="F2178" i="3"/>
  <c r="D2986" i="3"/>
  <c r="F245" i="3"/>
  <c r="F770" i="3"/>
  <c r="F528" i="3"/>
  <c r="H528" i="3" s="1"/>
  <c r="F1966" i="3"/>
  <c r="F2167" i="3"/>
  <c r="F3990" i="3"/>
  <c r="F4544" i="3"/>
  <c r="F4121" i="3"/>
  <c r="H4121" i="3" s="1"/>
  <c r="F5107" i="3"/>
  <c r="F5612" i="3"/>
  <c r="F6141" i="3"/>
  <c r="F6261" i="3"/>
  <c r="I6261" i="3" s="1"/>
  <c r="D2746" i="3"/>
  <c r="D2754" i="3"/>
  <c r="I2754" i="3" s="1"/>
  <c r="D2741" i="3"/>
  <c r="D2749" i="3"/>
  <c r="D2742" i="3"/>
  <c r="I2742" i="3" s="1"/>
  <c r="D2750" i="3"/>
  <c r="D2743" i="3"/>
  <c r="D2751" i="3"/>
  <c r="D2744" i="3"/>
  <c r="D2752" i="3"/>
  <c r="D2740" i="3"/>
  <c r="D2745" i="3"/>
  <c r="I2745" i="3" s="1"/>
  <c r="D2747" i="3"/>
  <c r="D2748" i="3"/>
  <c r="D2753" i="3"/>
  <c r="D2755" i="3"/>
  <c r="I2755" i="3" s="1"/>
  <c r="D6606" i="3"/>
  <c r="D6590" i="3"/>
  <c r="D6467" i="3"/>
  <c r="I6467" i="3" s="1"/>
  <c r="D6435" i="3"/>
  <c r="D6427" i="3"/>
  <c r="I6427" i="3" s="1"/>
  <c r="D6348" i="3"/>
  <c r="D6316" i="3"/>
  <c r="D6284" i="3"/>
  <c r="D6252" i="3"/>
  <c r="D5892" i="3"/>
  <c r="D5828" i="3"/>
  <c r="D5732" i="3"/>
  <c r="D5508" i="3"/>
  <c r="D5500" i="3"/>
  <c r="D5492" i="3"/>
  <c r="D5484" i="3"/>
  <c r="D5476" i="3"/>
  <c r="D5468" i="3"/>
  <c r="D5460" i="3"/>
  <c r="D5452" i="3"/>
  <c r="D5444" i="3"/>
  <c r="D5428" i="3"/>
  <c r="D5420" i="3"/>
  <c r="D5412" i="3"/>
  <c r="D5284" i="3"/>
  <c r="D5276" i="3"/>
  <c r="H5276" i="3" s="1"/>
  <c r="D5268" i="3"/>
  <c r="D5260" i="3"/>
  <c r="D5252" i="3"/>
  <c r="D5244" i="3"/>
  <c r="D5236" i="3"/>
  <c r="D5228" i="3"/>
  <c r="D5220" i="3"/>
  <c r="D5212" i="3"/>
  <c r="D5204" i="3"/>
  <c r="D5196" i="3"/>
  <c r="D5188" i="3"/>
  <c r="D5180" i="3"/>
  <c r="D5172" i="3"/>
  <c r="D5164" i="3"/>
  <c r="D5156" i="3"/>
  <c r="D5148" i="3"/>
  <c r="D5140" i="3"/>
  <c r="D5132" i="3"/>
  <c r="D5124" i="3"/>
  <c r="H5124" i="3" s="1"/>
  <c r="D5116" i="3"/>
  <c r="D5108" i="3"/>
  <c r="D5100" i="3"/>
  <c r="D5092" i="3"/>
  <c r="I5092" i="3" s="1"/>
  <c r="D5084" i="3"/>
  <c r="D5076" i="3"/>
  <c r="D5068" i="3"/>
  <c r="I5068" i="3" s="1"/>
  <c r="D4996" i="3"/>
  <c r="D4956" i="3"/>
  <c r="D4948" i="3"/>
  <c r="D4940" i="3"/>
  <c r="D4932" i="3"/>
  <c r="D4924" i="3"/>
  <c r="D4916" i="3"/>
  <c r="D4908" i="3"/>
  <c r="D4900" i="3"/>
  <c r="D4892" i="3"/>
  <c r="D4884" i="3"/>
  <c r="D4876" i="3"/>
  <c r="D4868" i="3"/>
  <c r="D4860" i="3"/>
  <c r="H4860" i="3" s="1"/>
  <c r="D4852" i="3"/>
  <c r="D4844" i="3"/>
  <c r="H4844" i="3" s="1"/>
  <c r="D4836" i="3"/>
  <c r="D4828" i="3"/>
  <c r="D4820" i="3"/>
  <c r="D4812" i="3"/>
  <c r="D4804" i="3"/>
  <c r="D4721" i="3"/>
  <c r="D4711" i="3"/>
  <c r="D4701" i="3"/>
  <c r="D4689" i="3"/>
  <c r="D4679" i="3"/>
  <c r="D4669" i="3"/>
  <c r="H4669" i="3" s="1"/>
  <c r="D4657" i="3"/>
  <c r="H4657" i="3" s="1"/>
  <c r="D4647" i="3"/>
  <c r="D4637" i="3"/>
  <c r="D4625" i="3"/>
  <c r="I4625" i="3" s="1"/>
  <c r="D4616" i="3"/>
  <c r="D4606" i="3"/>
  <c r="D4594" i="3"/>
  <c r="D4584" i="3"/>
  <c r="D4574" i="3"/>
  <c r="D4562" i="3"/>
  <c r="D4551" i="3"/>
  <c r="D4537" i="3"/>
  <c r="D4525" i="3"/>
  <c r="H4525" i="3" s="1"/>
  <c r="D4511" i="3"/>
  <c r="D4383" i="3"/>
  <c r="D4361" i="3"/>
  <c r="D4338" i="3"/>
  <c r="H4338" i="3" s="1"/>
  <c r="D4314" i="3"/>
  <c r="D4282" i="3"/>
  <c r="D4066" i="3"/>
  <c r="D4007" i="3"/>
  <c r="D3839" i="3"/>
  <c r="D3775" i="3"/>
  <c r="D3584" i="3"/>
  <c r="D3499" i="3"/>
  <c r="I3499" i="3" s="1"/>
  <c r="D3381" i="3"/>
  <c r="D2883" i="3"/>
  <c r="I2883" i="3" s="1"/>
  <c r="D2427" i="3"/>
  <c r="D2090" i="3"/>
  <c r="D14" i="3"/>
  <c r="H14" i="3" s="1"/>
  <c r="D6139" i="3"/>
  <c r="D6131" i="3"/>
  <c r="D6123" i="3"/>
  <c r="I6123" i="3" s="1"/>
  <c r="D6115" i="3"/>
  <c r="D6107" i="3"/>
  <c r="D6099" i="3"/>
  <c r="D6091" i="3"/>
  <c r="D6083" i="3"/>
  <c r="D6075" i="3"/>
  <c r="D6067" i="3"/>
  <c r="D6059" i="3"/>
  <c r="D6051" i="3"/>
  <c r="D6043" i="3"/>
  <c r="I6043" i="3" s="1"/>
  <c r="D6035" i="3"/>
  <c r="D6027" i="3"/>
  <c r="D6019" i="3"/>
  <c r="I6019" i="3" s="1"/>
  <c r="D6011" i="3"/>
  <c r="D6003" i="3"/>
  <c r="D5995" i="3"/>
  <c r="D5507" i="3"/>
  <c r="I5507" i="3" s="1"/>
  <c r="D5499" i="3"/>
  <c r="I5499" i="3" s="1"/>
  <c r="D5491" i="3"/>
  <c r="D5483" i="3"/>
  <c r="D5475" i="3"/>
  <c r="I5475" i="3" s="1"/>
  <c r="D5467" i="3"/>
  <c r="D5459" i="3"/>
  <c r="D5451" i="3"/>
  <c r="D5443" i="3"/>
  <c r="D5427" i="3"/>
  <c r="D5419" i="3"/>
  <c r="D5411" i="3"/>
  <c r="D5275" i="3"/>
  <c r="D5267" i="3"/>
  <c r="D5259" i="3"/>
  <c r="I5259" i="3" s="1"/>
  <c r="D5251" i="3"/>
  <c r="D5243" i="3"/>
  <c r="D5235" i="3"/>
  <c r="I5235" i="3" s="1"/>
  <c r="D5227" i="3"/>
  <c r="D5219" i="3"/>
  <c r="D5211" i="3"/>
  <c r="D5203" i="3"/>
  <c r="D5195" i="3"/>
  <c r="D5187" i="3"/>
  <c r="D5179" i="3"/>
  <c r="D5171" i="3"/>
  <c r="D5163" i="3"/>
  <c r="D5155" i="3"/>
  <c r="D5147" i="3"/>
  <c r="I5147" i="3" s="1"/>
  <c r="D5139" i="3"/>
  <c r="D5131" i="3"/>
  <c r="D5123" i="3"/>
  <c r="D5115" i="3"/>
  <c r="D5107" i="3"/>
  <c r="D5099" i="3"/>
  <c r="D5091" i="3"/>
  <c r="H5091" i="3" s="1"/>
  <c r="D5083" i="3"/>
  <c r="D5075" i="3"/>
  <c r="D5067" i="3"/>
  <c r="D4995" i="3"/>
  <c r="D4955" i="3"/>
  <c r="D4947" i="3"/>
  <c r="D4939" i="3"/>
  <c r="D4931" i="3"/>
  <c r="H4931" i="3" s="1"/>
  <c r="D4923" i="3"/>
  <c r="D4907" i="3"/>
  <c r="I4907" i="3" s="1"/>
  <c r="D4899" i="3"/>
  <c r="D4891" i="3"/>
  <c r="D4883" i="3"/>
  <c r="D4875" i="3"/>
  <c r="I4875" i="3" s="1"/>
  <c r="D4867" i="3"/>
  <c r="I4867" i="3" s="1"/>
  <c r="D4859" i="3"/>
  <c r="D4851" i="3"/>
  <c r="D4843" i="3"/>
  <c r="D4835" i="3"/>
  <c r="D4827" i="3"/>
  <c r="I4827" i="3" s="1"/>
  <c r="D4819" i="3"/>
  <c r="D4811" i="3"/>
  <c r="D4803" i="3"/>
  <c r="D4730" i="3"/>
  <c r="D4720" i="3"/>
  <c r="D4710" i="3"/>
  <c r="H4710" i="3" s="1"/>
  <c r="D4698" i="3"/>
  <c r="D4688" i="3"/>
  <c r="D4678" i="3"/>
  <c r="D4666" i="3"/>
  <c r="D4656" i="3"/>
  <c r="H4656" i="3" s="1"/>
  <c r="D4646" i="3"/>
  <c r="D4634" i="3"/>
  <c r="D4624" i="3"/>
  <c r="D4615" i="3"/>
  <c r="D4605" i="3"/>
  <c r="D4593" i="3"/>
  <c r="D4583" i="3"/>
  <c r="D4573" i="3"/>
  <c r="D4561" i="3"/>
  <c r="D4549" i="3"/>
  <c r="I4549" i="3" s="1"/>
  <c r="D4536" i="3"/>
  <c r="D4522" i="3"/>
  <c r="D4378" i="3"/>
  <c r="D4359" i="3"/>
  <c r="D4337" i="3"/>
  <c r="D4311" i="3"/>
  <c r="H4311" i="3" s="1"/>
  <c r="D4279" i="3"/>
  <c r="D4063" i="3"/>
  <c r="D3999" i="3"/>
  <c r="D3895" i="3"/>
  <c r="D3831" i="3"/>
  <c r="D3573" i="3"/>
  <c r="D3488" i="3"/>
  <c r="D3369" i="3"/>
  <c r="D3291" i="3"/>
  <c r="D2956" i="3"/>
  <c r="D2860" i="3"/>
  <c r="D2043" i="3"/>
  <c r="F519" i="3"/>
  <c r="H519" i="3" s="1"/>
  <c r="F2122" i="3"/>
  <c r="F1923" i="3"/>
  <c r="F2980" i="3"/>
  <c r="F5075" i="3"/>
  <c r="I5075" i="3" s="1"/>
  <c r="F3962" i="3"/>
  <c r="F5560" i="3"/>
  <c r="F6116" i="3"/>
  <c r="D695" i="3"/>
  <c r="D699" i="3"/>
  <c r="I699" i="3" s="1"/>
  <c r="D701" i="3"/>
  <c r="I701" i="3" s="1"/>
  <c r="D694" i="3"/>
  <c r="D697" i="3"/>
  <c r="D698" i="3"/>
  <c r="D700" i="3"/>
  <c r="D692" i="3"/>
  <c r="I692" i="3" s="1"/>
  <c r="D693" i="3"/>
  <c r="D696" i="3"/>
  <c r="F1296" i="3"/>
  <c r="F2364" i="3"/>
  <c r="F4450" i="3"/>
  <c r="I4450" i="3" s="1"/>
  <c r="F6375" i="3"/>
  <c r="D171" i="3"/>
  <c r="D173" i="3"/>
  <c r="D172" i="3"/>
  <c r="F189" i="3"/>
  <c r="F1055" i="3"/>
  <c r="F1032" i="3"/>
  <c r="F384" i="3"/>
  <c r="F1698" i="3"/>
  <c r="F1904" i="3"/>
  <c r="F2107" i="3"/>
  <c r="F3220" i="3"/>
  <c r="F3950" i="3"/>
  <c r="F4086" i="3"/>
  <c r="F4454" i="3"/>
  <c r="F3823" i="3"/>
  <c r="H3823" i="3" s="1"/>
  <c r="F3468" i="3"/>
  <c r="F4643" i="3"/>
  <c r="F5349" i="3"/>
  <c r="F5541" i="3"/>
  <c r="F5062" i="3"/>
  <c r="F4510" i="3"/>
  <c r="F6107" i="3"/>
  <c r="F5853" i="3"/>
  <c r="H5853" i="3" s="1"/>
  <c r="D23" i="3"/>
  <c r="D31" i="3"/>
  <c r="D39" i="3"/>
  <c r="D47" i="3"/>
  <c r="D25" i="3"/>
  <c r="D33" i="3"/>
  <c r="D41" i="3"/>
  <c r="D27" i="3"/>
  <c r="D35" i="3"/>
  <c r="D43" i="3"/>
  <c r="D20" i="3"/>
  <c r="D28" i="3"/>
  <c r="D36" i="3"/>
  <c r="D44" i="3"/>
  <c r="D22" i="3"/>
  <c r="D38" i="3"/>
  <c r="H38" i="3" s="1"/>
  <c r="D29" i="3"/>
  <c r="D45" i="3"/>
  <c r="D32" i="3"/>
  <c r="D34" i="3"/>
  <c r="D21" i="3"/>
  <c r="D37" i="3"/>
  <c r="I37" i="3" s="1"/>
  <c r="D26" i="3"/>
  <c r="D40" i="3"/>
  <c r="D42" i="3"/>
  <c r="D46" i="3"/>
  <c r="D24" i="3"/>
  <c r="H24" i="3" s="1"/>
  <c r="D30" i="3"/>
  <c r="F120" i="3"/>
  <c r="F333" i="3"/>
  <c r="F15" i="3"/>
  <c r="F727" i="3"/>
  <c r="F378" i="3"/>
  <c r="F1117" i="3"/>
  <c r="F945" i="3"/>
  <c r="F1191" i="3"/>
  <c r="F823" i="3"/>
  <c r="F1345" i="3"/>
  <c r="F1483" i="3"/>
  <c r="F1763" i="3"/>
  <c r="F1881" i="3"/>
  <c r="F2072" i="3"/>
  <c r="F1672" i="3"/>
  <c r="F2267" i="3"/>
  <c r="F2468" i="3"/>
  <c r="F3289" i="3"/>
  <c r="F2910" i="3"/>
  <c r="F3062" i="3"/>
  <c r="I3062" i="3" s="1"/>
  <c r="F3701" i="3"/>
  <c r="I3701" i="3" s="1"/>
  <c r="F4349" i="3"/>
  <c r="F4238" i="3"/>
  <c r="H4238" i="3" s="1"/>
  <c r="F2688" i="3"/>
  <c r="I2688" i="3" s="1"/>
  <c r="F3465" i="3"/>
  <c r="F3171" i="3"/>
  <c r="I3171" i="3" s="1"/>
  <c r="F4260" i="3"/>
  <c r="F4714" i="3"/>
  <c r="F4890" i="3"/>
  <c r="F3443" i="3"/>
  <c r="F3578" i="3"/>
  <c r="F3891" i="3"/>
  <c r="F5185" i="3"/>
  <c r="F4952" i="3"/>
  <c r="F6088" i="3"/>
  <c r="F6433" i="3"/>
  <c r="I6433" i="3" s="1"/>
  <c r="F6364" i="3"/>
  <c r="F5709" i="3"/>
  <c r="F6501" i="3"/>
  <c r="F327" i="3"/>
  <c r="F819" i="3"/>
  <c r="I819" i="3" s="1"/>
  <c r="F1668" i="3"/>
  <c r="F1478" i="3"/>
  <c r="F3438" i="3"/>
  <c r="F4345" i="3"/>
  <c r="F5703" i="3"/>
  <c r="F6083" i="3"/>
  <c r="F6294" i="3"/>
  <c r="F560" i="3"/>
  <c r="F2053" i="3"/>
  <c r="F4175" i="3"/>
  <c r="H4175" i="3" s="1"/>
  <c r="F4052" i="3"/>
  <c r="I4052" i="3" s="1"/>
  <c r="F5171" i="3"/>
  <c r="F5907" i="3"/>
  <c r="F2253" i="3"/>
  <c r="F3567" i="3"/>
  <c r="F4734" i="3"/>
  <c r="F162" i="3"/>
  <c r="F5788" i="3"/>
  <c r="F927" i="3"/>
  <c r="F1455" i="3"/>
  <c r="F1864" i="3"/>
  <c r="F2662" i="3"/>
  <c r="F3870" i="3"/>
  <c r="F4328" i="3"/>
  <c r="F6064" i="3"/>
  <c r="F5677" i="3"/>
  <c r="I5677" i="3" s="1"/>
  <c r="F551" i="3"/>
  <c r="I551" i="3" s="1"/>
  <c r="F697" i="3"/>
  <c r="F2027" i="3"/>
  <c r="F4032" i="3"/>
  <c r="F5152" i="3"/>
  <c r="F549" i="3"/>
  <c r="F294" i="3"/>
  <c r="F1254" i="3"/>
  <c r="F1326" i="3"/>
  <c r="I1326" i="3" s="1"/>
  <c r="F1095" i="3"/>
  <c r="I1095" i="3" s="1"/>
  <c r="F436" i="3"/>
  <c r="F793" i="3"/>
  <c r="I793" i="3" s="1"/>
  <c r="F922" i="3"/>
  <c r="F1652" i="3"/>
  <c r="F1448" i="3"/>
  <c r="F2024" i="3"/>
  <c r="F1740" i="3"/>
  <c r="H1740" i="3" s="1"/>
  <c r="F2854" i="3"/>
  <c r="F2229" i="3"/>
  <c r="F2439" i="3"/>
  <c r="F2657" i="3"/>
  <c r="I2657" i="3" s="1"/>
  <c r="F1859" i="3"/>
  <c r="F3268" i="3"/>
  <c r="F3549" i="3"/>
  <c r="F4485" i="3"/>
  <c r="I4485" i="3" s="1"/>
  <c r="F4030" i="3"/>
  <c r="F3417" i="3"/>
  <c r="F3809" i="3"/>
  <c r="F4577" i="3"/>
  <c r="F4323" i="3"/>
  <c r="F5035" i="3"/>
  <c r="F4868" i="3"/>
  <c r="F3867" i="3"/>
  <c r="F4154" i="3"/>
  <c r="H4154" i="3" s="1"/>
  <c r="F5150" i="3"/>
  <c r="F5895" i="3"/>
  <c r="F6279" i="3"/>
  <c r="I6279" i="3" s="1"/>
  <c r="F6401" i="3"/>
  <c r="F6537" i="3"/>
  <c r="F6059" i="3"/>
  <c r="F5332" i="3"/>
  <c r="F5957" i="3"/>
  <c r="F5667" i="3"/>
  <c r="F6174" i="3"/>
  <c r="F2223" i="3"/>
  <c r="F3545" i="3"/>
  <c r="F5662" i="3"/>
  <c r="F6239" i="3"/>
  <c r="D4731" i="3"/>
  <c r="D4732" i="3"/>
  <c r="F2215" i="3"/>
  <c r="F2012" i="3"/>
  <c r="F3199" i="3"/>
  <c r="I3199" i="3" s="1"/>
  <c r="F3928" i="3"/>
  <c r="F4145" i="3"/>
  <c r="F5421" i="3"/>
  <c r="F4019" i="3"/>
  <c r="F5380" i="3"/>
  <c r="F5890" i="3"/>
  <c r="F6165" i="3"/>
  <c r="D4387" i="3"/>
  <c r="D4395" i="3"/>
  <c r="D4388" i="3"/>
  <c r="D4396" i="3"/>
  <c r="D4389" i="3"/>
  <c r="H4389" i="3" s="1"/>
  <c r="D4397" i="3"/>
  <c r="D4390" i="3"/>
  <c r="D4398" i="3"/>
  <c r="F2207" i="3"/>
  <c r="D4085" i="3"/>
  <c r="F2000" i="3"/>
  <c r="F2204" i="3"/>
  <c r="F3531" i="3"/>
  <c r="F5644" i="3"/>
  <c r="D3905" i="3"/>
  <c r="D3906" i="3"/>
  <c r="D3907" i="3"/>
  <c r="D3908" i="3"/>
  <c r="F273" i="3"/>
  <c r="F781" i="3"/>
  <c r="I781" i="3" s="1"/>
  <c r="F1082" i="3"/>
  <c r="F2418" i="3"/>
  <c r="F2838" i="3"/>
  <c r="F4561" i="3"/>
  <c r="F5133" i="3"/>
  <c r="F4855" i="3"/>
  <c r="F5231" i="3"/>
  <c r="F5321" i="3"/>
  <c r="F5639" i="3"/>
  <c r="F5836" i="3"/>
  <c r="H5836" i="3" s="1"/>
  <c r="F6044" i="3"/>
  <c r="F6613" i="3"/>
  <c r="D3720" i="3"/>
  <c r="H3720" i="3" s="1"/>
  <c r="D3728" i="3"/>
  <c r="D3721" i="3"/>
  <c r="D3729" i="3"/>
  <c r="D3722" i="3"/>
  <c r="D3730" i="3"/>
  <c r="D3723" i="3"/>
  <c r="D3731" i="3"/>
  <c r="D3724" i="3"/>
  <c r="D3732" i="3"/>
  <c r="D3725" i="3"/>
  <c r="D3733" i="3"/>
  <c r="D3718" i="3"/>
  <c r="H3718" i="3" s="1"/>
  <c r="D3726" i="3"/>
  <c r="D3734" i="3"/>
  <c r="F541" i="3"/>
  <c r="H541" i="3" s="1"/>
  <c r="F851" i="3"/>
  <c r="F2197" i="3"/>
  <c r="F1993" i="3"/>
  <c r="F3121" i="3"/>
  <c r="F4136" i="3"/>
  <c r="H4136" i="3" s="1"/>
  <c r="F4010" i="3"/>
  <c r="F5373" i="3"/>
  <c r="F6154" i="3"/>
  <c r="F5128" i="3"/>
  <c r="F5884" i="3"/>
  <c r="D3626" i="3"/>
  <c r="D3634" i="3"/>
  <c r="D3623" i="3"/>
  <c r="I3623" i="3" s="1"/>
  <c r="D3631" i="3"/>
  <c r="D3628" i="3"/>
  <c r="D3629" i="3"/>
  <c r="D3630" i="3"/>
  <c r="D3632" i="3"/>
  <c r="D3633" i="3"/>
  <c r="D3624" i="3"/>
  <c r="D3635" i="3"/>
  <c r="D3625" i="3"/>
  <c r="D3636" i="3"/>
  <c r="F418" i="3"/>
  <c r="F1724" i="3"/>
  <c r="F2192" i="3"/>
  <c r="F1987" i="3"/>
  <c r="F3249" i="3"/>
  <c r="F4006" i="3"/>
  <c r="F5123" i="3"/>
  <c r="F3522" i="3"/>
  <c r="F4555" i="3"/>
  <c r="F5631" i="3"/>
  <c r="D3322" i="3"/>
  <c r="D3319" i="3"/>
  <c r="D3320" i="3"/>
  <c r="D3321" i="3"/>
  <c r="D3323" i="3"/>
  <c r="D3324" i="3"/>
  <c r="D3325" i="3"/>
  <c r="D3326" i="3"/>
  <c r="D3317" i="3"/>
  <c r="F3189" i="3"/>
  <c r="D3134" i="3"/>
  <c r="D3133" i="3"/>
  <c r="H3133" i="3" s="1"/>
  <c r="D3131" i="3"/>
  <c r="F257" i="3"/>
  <c r="F2183" i="3"/>
  <c r="F3514" i="3"/>
  <c r="D3027" i="3"/>
  <c r="I3027" i="3" s="1"/>
  <c r="D3028" i="3"/>
  <c r="D3029" i="3"/>
  <c r="F253" i="3"/>
  <c r="F533" i="3"/>
  <c r="I533" i="3" s="1"/>
  <c r="F849" i="3"/>
  <c r="F1974" i="3"/>
  <c r="F2177" i="3"/>
  <c r="F3997" i="3"/>
  <c r="F4127" i="3"/>
  <c r="H4127" i="3" s="1"/>
  <c r="F4673" i="3"/>
  <c r="F5113" i="3"/>
  <c r="F5369" i="3"/>
  <c r="F5620" i="3"/>
  <c r="F5792" i="3"/>
  <c r="F6146" i="3"/>
  <c r="F5878" i="3"/>
  <c r="D2962" i="3"/>
  <c r="D2970" i="3"/>
  <c r="H2970" i="3" s="1"/>
  <c r="D2978" i="3"/>
  <c r="H2978" i="3" s="1"/>
  <c r="D2958" i="3"/>
  <c r="I2958" i="3" s="1"/>
  <c r="D2966" i="3"/>
  <c r="D2974" i="3"/>
  <c r="D2959" i="3"/>
  <c r="D2967" i="3"/>
  <c r="D2975" i="3"/>
  <c r="D2960" i="3"/>
  <c r="D2968" i="3"/>
  <c r="I2968" i="3" s="1"/>
  <c r="D2976" i="3"/>
  <c r="D2957" i="3"/>
  <c r="D2973" i="3"/>
  <c r="D2961" i="3"/>
  <c r="D2977" i="3"/>
  <c r="D2963" i="3"/>
  <c r="D2964" i="3"/>
  <c r="D2965" i="3"/>
  <c r="D2969" i="3"/>
  <c r="I2969" i="3" s="1"/>
  <c r="D2971" i="3"/>
  <c r="F1407" i="3"/>
  <c r="D2893" i="3"/>
  <c r="D6570" i="3"/>
  <c r="D6562" i="3"/>
  <c r="D6554" i="3"/>
  <c r="D6538" i="3"/>
  <c r="D6530" i="3"/>
  <c r="D6522" i="3"/>
  <c r="D6498" i="3"/>
  <c r="D6490" i="3"/>
  <c r="D6482" i="3"/>
  <c r="D6474" i="3"/>
  <c r="H6474" i="3" s="1"/>
  <c r="D6418" i="3"/>
  <c r="D6402" i="3"/>
  <c r="I6402" i="3" s="1"/>
  <c r="D6394" i="3"/>
  <c r="D6386" i="3"/>
  <c r="D6378" i="3"/>
  <c r="D6234" i="3"/>
  <c r="H6234" i="3" s="1"/>
  <c r="D6218" i="3"/>
  <c r="D6210" i="3"/>
  <c r="I6210" i="3" s="1"/>
  <c r="D6202" i="3"/>
  <c r="D6194" i="3"/>
  <c r="H6194" i="3" s="1"/>
  <c r="D6186" i="3"/>
  <c r="H6186" i="3" s="1"/>
  <c r="D6178" i="3"/>
  <c r="D6170" i="3"/>
  <c r="D6162" i="3"/>
  <c r="I6162" i="3" s="1"/>
  <c r="D6154" i="3"/>
  <c r="D6146" i="3"/>
  <c r="D6138" i="3"/>
  <c r="D6130" i="3"/>
  <c r="I6130" i="3" s="1"/>
  <c r="D6122" i="3"/>
  <c r="H6122" i="3" s="1"/>
  <c r="D6114" i="3"/>
  <c r="D6106" i="3"/>
  <c r="D6098" i="3"/>
  <c r="D6090" i="3"/>
  <c r="D6082" i="3"/>
  <c r="D6074" i="3"/>
  <c r="I6074" i="3" s="1"/>
  <c r="D6066" i="3"/>
  <c r="D6058" i="3"/>
  <c r="D6050" i="3"/>
  <c r="D6042" i="3"/>
  <c r="D6034" i="3"/>
  <c r="D6026" i="3"/>
  <c r="I6026" i="3" s="1"/>
  <c r="D6018" i="3"/>
  <c r="H6018" i="3" s="1"/>
  <c r="D6010" i="3"/>
  <c r="H6010" i="3" s="1"/>
  <c r="D6002" i="3"/>
  <c r="H6002" i="3" s="1"/>
  <c r="D5994" i="3"/>
  <c r="D5786" i="3"/>
  <c r="D5514" i="3"/>
  <c r="D5506" i="3"/>
  <c r="D5498" i="3"/>
  <c r="D5490" i="3"/>
  <c r="D5474" i="3"/>
  <c r="D5466" i="3"/>
  <c r="D5458" i="3"/>
  <c r="D5450" i="3"/>
  <c r="D5442" i="3"/>
  <c r="D5426" i="3"/>
  <c r="D5418" i="3"/>
  <c r="D5410" i="3"/>
  <c r="H5410" i="3" s="1"/>
  <c r="D5282" i="3"/>
  <c r="D5274" i="3"/>
  <c r="I5274" i="3" s="1"/>
  <c r="D5258" i="3"/>
  <c r="D5250" i="3"/>
  <c r="D5242" i="3"/>
  <c r="D5234" i="3"/>
  <c r="D5226" i="3"/>
  <c r="D5218" i="3"/>
  <c r="I5218" i="3" s="1"/>
  <c r="D5210" i="3"/>
  <c r="D5202" i="3"/>
  <c r="I5202" i="3" s="1"/>
  <c r="D5194" i="3"/>
  <c r="D5186" i="3"/>
  <c r="D5178" i="3"/>
  <c r="D5170" i="3"/>
  <c r="H5170" i="3" s="1"/>
  <c r="D5162" i="3"/>
  <c r="D5154" i="3"/>
  <c r="H5154" i="3" s="1"/>
  <c r="D5146" i="3"/>
  <c r="D5138" i="3"/>
  <c r="D5130" i="3"/>
  <c r="D5122" i="3"/>
  <c r="D5114" i="3"/>
  <c r="D5106" i="3"/>
  <c r="H5106" i="3" s="1"/>
  <c r="D5098" i="3"/>
  <c r="D5090" i="3"/>
  <c r="I5090" i="3" s="1"/>
  <c r="D5082" i="3"/>
  <c r="D5074" i="3"/>
  <c r="D5066" i="3"/>
  <c r="D5002" i="3"/>
  <c r="D4994" i="3"/>
  <c r="D4954" i="3"/>
  <c r="H4954" i="3" s="1"/>
  <c r="D4946" i="3"/>
  <c r="I4946" i="3" s="1"/>
  <c r="D4938" i="3"/>
  <c r="I4938" i="3" s="1"/>
  <c r="D4930" i="3"/>
  <c r="D4922" i="3"/>
  <c r="D4914" i="3"/>
  <c r="D4906" i="3"/>
  <c r="D4898" i="3"/>
  <c r="D4890" i="3"/>
  <c r="D4882" i="3"/>
  <c r="D4874" i="3"/>
  <c r="D4866" i="3"/>
  <c r="D4858" i="3"/>
  <c r="D4850" i="3"/>
  <c r="D4842" i="3"/>
  <c r="D4834" i="3"/>
  <c r="D4826" i="3"/>
  <c r="D4810" i="3"/>
  <c r="D4802" i="3"/>
  <c r="D4729" i="3"/>
  <c r="D4719" i="3"/>
  <c r="D4709" i="3"/>
  <c r="H4709" i="3" s="1"/>
  <c r="D4697" i="3"/>
  <c r="D4687" i="3"/>
  <c r="D4677" i="3"/>
  <c r="D4665" i="3"/>
  <c r="D4655" i="3"/>
  <c r="D4633" i="3"/>
  <c r="D4623" i="3"/>
  <c r="H4623" i="3" s="1"/>
  <c r="D4614" i="3"/>
  <c r="D4602" i="3"/>
  <c r="D4592" i="3"/>
  <c r="D4582" i="3"/>
  <c r="D4570" i="3"/>
  <c r="D4560" i="3"/>
  <c r="I4560" i="3" s="1"/>
  <c r="D4546" i="3"/>
  <c r="D4535" i="3"/>
  <c r="D4521" i="3"/>
  <c r="D4441" i="3"/>
  <c r="D4394" i="3"/>
  <c r="D4354" i="3"/>
  <c r="D4335" i="3"/>
  <c r="I4335" i="3" s="1"/>
  <c r="D4306" i="3"/>
  <c r="D4274" i="3"/>
  <c r="H4274" i="3" s="1"/>
  <c r="D4055" i="3"/>
  <c r="D3887" i="3"/>
  <c r="H3887" i="3" s="1"/>
  <c r="D3563" i="3"/>
  <c r="D3477" i="3"/>
  <c r="D3459" i="3"/>
  <c r="D3356" i="3"/>
  <c r="D3275" i="3"/>
  <c r="I3275" i="3" s="1"/>
  <c r="D1994" i="3"/>
  <c r="F2370" i="3"/>
  <c r="F5554" i="3"/>
  <c r="F5072" i="3"/>
  <c r="D581" i="3"/>
  <c r="D580" i="3"/>
  <c r="D582" i="3"/>
  <c r="F138" i="3"/>
  <c r="D79" i="3"/>
  <c r="F17" i="3"/>
  <c r="F729" i="3"/>
  <c r="H729" i="3" s="1"/>
  <c r="F380" i="3"/>
  <c r="H380" i="3" s="1"/>
  <c r="F470" i="3"/>
  <c r="F346" i="3"/>
  <c r="F954" i="3"/>
  <c r="F1125" i="3"/>
  <c r="F1285" i="3"/>
  <c r="F833" i="3"/>
  <c r="H833" i="3" s="1"/>
  <c r="F504" i="3"/>
  <c r="F1192" i="3"/>
  <c r="F1771" i="3"/>
  <c r="F1558" i="3"/>
  <c r="F1495" i="3"/>
  <c r="F1679" i="3"/>
  <c r="F1350" i="3"/>
  <c r="F2088" i="3"/>
  <c r="F1888" i="3"/>
  <c r="F2479" i="3"/>
  <c r="F2357" i="3"/>
  <c r="F2285" i="3"/>
  <c r="F2912" i="3"/>
  <c r="H2912" i="3" s="1"/>
  <c r="F3064" i="3"/>
  <c r="F2699" i="3"/>
  <c r="I2699" i="3" s="1"/>
  <c r="F2953" i="3"/>
  <c r="F3298" i="3"/>
  <c r="F3590" i="3"/>
  <c r="F4240" i="3"/>
  <c r="F4353" i="3"/>
  <c r="F3452" i="3"/>
  <c r="F4611" i="3"/>
  <c r="F4723" i="3"/>
  <c r="F5195" i="3"/>
  <c r="I5195" i="3" s="1"/>
  <c r="F3707" i="3"/>
  <c r="F4506" i="3"/>
  <c r="F3899" i="3"/>
  <c r="F4957" i="3"/>
  <c r="F4641" i="3"/>
  <c r="F6096" i="3"/>
  <c r="F6370" i="3"/>
  <c r="F6235" i="3"/>
  <c r="I6235" i="3" s="1"/>
  <c r="F5725" i="3"/>
  <c r="F2278" i="3"/>
  <c r="F3585" i="3"/>
  <c r="F41" i="3"/>
  <c r="F332" i="3"/>
  <c r="F944" i="3"/>
  <c r="F822" i="3"/>
  <c r="F1344" i="3"/>
  <c r="H1344" i="3" s="1"/>
  <c r="F1116" i="3"/>
  <c r="F1482" i="3"/>
  <c r="F1554" i="3"/>
  <c r="F1762" i="3"/>
  <c r="H1762" i="3" s="1"/>
  <c r="F1589" i="3"/>
  <c r="F1671" i="3"/>
  <c r="F2071" i="3"/>
  <c r="F2266" i="3"/>
  <c r="F2558" i="3"/>
  <c r="F2687" i="3"/>
  <c r="F3288" i="3"/>
  <c r="F2467" i="3"/>
  <c r="F2876" i="3"/>
  <c r="F4063" i="3"/>
  <c r="F3577" i="3"/>
  <c r="F3817" i="3"/>
  <c r="F3442" i="3"/>
  <c r="F4348" i="3"/>
  <c r="F3890" i="3"/>
  <c r="F4500" i="3"/>
  <c r="I4500" i="3" s="1"/>
  <c r="F4603" i="3"/>
  <c r="F5253" i="3"/>
  <c r="F5398" i="3"/>
  <c r="F5534" i="3"/>
  <c r="F4187" i="3"/>
  <c r="F4713" i="3"/>
  <c r="F4889" i="3"/>
  <c r="F5505" i="3"/>
  <c r="F6087" i="3"/>
  <c r="F6201" i="3"/>
  <c r="F4768" i="3"/>
  <c r="F5184" i="3"/>
  <c r="F5708" i="3"/>
  <c r="F5468" i="3"/>
  <c r="F457" i="3"/>
  <c r="F1048" i="3"/>
  <c r="I1048" i="3" s="1"/>
  <c r="F326" i="3"/>
  <c r="F865" i="3"/>
  <c r="F1477" i="3"/>
  <c r="F1759" i="3"/>
  <c r="F2261" i="3"/>
  <c r="F2065" i="3"/>
  <c r="F2683" i="3"/>
  <c r="F3574" i="3"/>
  <c r="F3886" i="3"/>
  <c r="F3285" i="3"/>
  <c r="F3759" i="3"/>
  <c r="H3759" i="3" s="1"/>
  <c r="F4183" i="3"/>
  <c r="I4183" i="3" s="1"/>
  <c r="F4060" i="3"/>
  <c r="F5179" i="3"/>
  <c r="F4709" i="3"/>
  <c r="F4379" i="3"/>
  <c r="F5396" i="3"/>
  <c r="F6463" i="3"/>
  <c r="F6196" i="3"/>
  <c r="F5702" i="3"/>
  <c r="F5910" i="3"/>
  <c r="F323" i="3"/>
  <c r="F688" i="3"/>
  <c r="F816" i="3"/>
  <c r="I816" i="3" s="1"/>
  <c r="F377" i="3"/>
  <c r="F562" i="3"/>
  <c r="H562" i="3" s="1"/>
  <c r="F1474" i="3"/>
  <c r="F1599" i="3"/>
  <c r="F2258" i="3"/>
  <c r="F2059" i="3"/>
  <c r="F2461" i="3"/>
  <c r="F2680" i="3"/>
  <c r="F3060" i="3"/>
  <c r="F4342" i="3"/>
  <c r="F4055" i="3"/>
  <c r="F3697" i="3"/>
  <c r="F3571" i="3"/>
  <c r="F4178" i="3"/>
  <c r="F5175" i="3"/>
  <c r="F5967" i="3"/>
  <c r="F6360" i="3"/>
  <c r="F5697" i="3"/>
  <c r="I5697" i="3" s="1"/>
  <c r="F6193" i="3"/>
  <c r="F6233" i="3"/>
  <c r="F317" i="3"/>
  <c r="H317" i="3" s="1"/>
  <c r="F557" i="3"/>
  <c r="F808" i="3"/>
  <c r="F1469" i="3"/>
  <c r="I1469" i="3" s="1"/>
  <c r="F2048" i="3"/>
  <c r="F2456" i="3"/>
  <c r="F2252" i="3"/>
  <c r="F2349" i="3"/>
  <c r="F2867" i="3"/>
  <c r="H2867" i="3" s="1"/>
  <c r="F5168" i="3"/>
  <c r="F5691" i="3"/>
  <c r="F5963" i="3"/>
  <c r="I5963" i="3" s="1"/>
  <c r="F4050" i="3"/>
  <c r="F6286" i="3"/>
  <c r="F6566" i="3"/>
  <c r="F442" i="3"/>
  <c r="F556" i="3"/>
  <c r="H556" i="3" s="1"/>
  <c r="F1459" i="3"/>
  <c r="F1747" i="3"/>
  <c r="F308" i="3"/>
  <c r="F801" i="3"/>
  <c r="F2038" i="3"/>
  <c r="F1867" i="3"/>
  <c r="F2448" i="3"/>
  <c r="F2244" i="3"/>
  <c r="F3274" i="3"/>
  <c r="F4166" i="3"/>
  <c r="H4166" i="3" s="1"/>
  <c r="F3559" i="3"/>
  <c r="F4584" i="3"/>
  <c r="F2667" i="3"/>
  <c r="H2667" i="3" s="1"/>
  <c r="F4874" i="3"/>
  <c r="F4042" i="3"/>
  <c r="I4042" i="3" s="1"/>
  <c r="F4331" i="3"/>
  <c r="F4694" i="3"/>
  <c r="F6183" i="3"/>
  <c r="F5160" i="3"/>
  <c r="F5960" i="3"/>
  <c r="H5960" i="3" s="1"/>
  <c r="F5683" i="3"/>
  <c r="H5683" i="3" s="1"/>
  <c r="F6283" i="3"/>
  <c r="F6068" i="3"/>
  <c r="I6068" i="3" s="1"/>
  <c r="F5901" i="3"/>
  <c r="F303" i="3"/>
  <c r="F182" i="3"/>
  <c r="F926" i="3"/>
  <c r="F1454" i="3"/>
  <c r="F1743" i="3"/>
  <c r="H1743" i="3" s="1"/>
  <c r="F2239" i="3"/>
  <c r="F2033" i="3"/>
  <c r="F2661" i="3"/>
  <c r="F3271" i="3"/>
  <c r="F2996" i="3"/>
  <c r="I2996" i="3" s="1"/>
  <c r="F4327" i="3"/>
  <c r="F4161" i="3"/>
  <c r="F3555" i="3"/>
  <c r="F6179" i="3"/>
  <c r="I6179" i="3" s="1"/>
  <c r="F5676" i="3"/>
  <c r="H5676" i="3" s="1"/>
  <c r="F91" i="3"/>
  <c r="I91" i="3" s="1"/>
  <c r="F435" i="3"/>
  <c r="F603" i="3"/>
  <c r="F293" i="3"/>
  <c r="I293" i="3" s="1"/>
  <c r="F111" i="3"/>
  <c r="F496" i="3"/>
  <c r="F792" i="3"/>
  <c r="F70" i="3"/>
  <c r="F997" i="3"/>
  <c r="F1213" i="3"/>
  <c r="F1253" i="3"/>
  <c r="F1094" i="3"/>
  <c r="F921" i="3"/>
  <c r="F641" i="3"/>
  <c r="F1022" i="3"/>
  <c r="F665" i="3"/>
  <c r="F1858" i="3"/>
  <c r="F1325" i="3"/>
  <c r="F1539" i="3"/>
  <c r="F1651" i="3"/>
  <c r="F1739" i="3"/>
  <c r="F1447" i="3"/>
  <c r="F1172" i="3"/>
  <c r="F2023" i="3"/>
  <c r="F2228" i="3"/>
  <c r="F2438" i="3"/>
  <c r="F1788" i="3"/>
  <c r="H1788" i="3" s="1"/>
  <c r="F2342" i="3"/>
  <c r="F2528" i="3"/>
  <c r="F2656" i="3"/>
  <c r="F3081" i="3"/>
  <c r="F3105" i="3"/>
  <c r="F3337" i="3"/>
  <c r="F2723" i="3"/>
  <c r="F4029" i="3"/>
  <c r="F4253" i="3"/>
  <c r="F3774" i="3"/>
  <c r="F3416" i="3"/>
  <c r="F3808" i="3"/>
  <c r="F4576" i="3"/>
  <c r="F3051" i="3"/>
  <c r="F3267" i="3"/>
  <c r="F4153" i="3"/>
  <c r="I4153" i="3" s="1"/>
  <c r="F3005" i="3"/>
  <c r="F3548" i="3"/>
  <c r="F3724" i="3"/>
  <c r="F4412" i="3"/>
  <c r="F4322" i="3"/>
  <c r="F5034" i="3"/>
  <c r="F5666" i="3"/>
  <c r="F5331" i="3"/>
  <c r="F3866" i="3"/>
  <c r="F4484" i="3"/>
  <c r="F3683" i="3"/>
  <c r="F5149" i="3"/>
  <c r="F5461" i="3"/>
  <c r="F4758" i="3"/>
  <c r="F4937" i="3"/>
  <c r="F5240" i="3"/>
  <c r="F6400" i="3"/>
  <c r="F6536" i="3"/>
  <c r="F5495" i="3"/>
  <c r="F6489" i="3"/>
  <c r="F6058" i="3"/>
  <c r="F6346" i="3"/>
  <c r="F4688" i="3"/>
  <c r="F5765" i="3"/>
  <c r="F6173" i="3"/>
  <c r="F9" i="3"/>
  <c r="F495" i="3"/>
  <c r="F110" i="3"/>
  <c r="F664" i="3"/>
  <c r="F856" i="3"/>
  <c r="F34" i="3"/>
  <c r="F289" i="3"/>
  <c r="F432" i="3"/>
  <c r="F790" i="3"/>
  <c r="H790" i="3" s="1"/>
  <c r="F919" i="3"/>
  <c r="F1021" i="3"/>
  <c r="F1152" i="3"/>
  <c r="I1152" i="3" s="1"/>
  <c r="F1091" i="3"/>
  <c r="F1324" i="3"/>
  <c r="F1538" i="3"/>
  <c r="I1538" i="3" s="1"/>
  <c r="F1443" i="3"/>
  <c r="F1044" i="3"/>
  <c r="F1854" i="3"/>
  <c r="F1583" i="3"/>
  <c r="F1649" i="3"/>
  <c r="F1737" i="3"/>
  <c r="F602" i="3"/>
  <c r="F1252" i="3"/>
  <c r="F2514" i="3"/>
  <c r="H2514" i="3" s="1"/>
  <c r="F2340" i="3"/>
  <c r="F2435" i="3"/>
  <c r="F2653" i="3"/>
  <c r="F2222" i="3"/>
  <c r="F2903" i="3"/>
  <c r="F2851" i="3"/>
  <c r="F3265" i="3"/>
  <c r="F2020" i="3"/>
  <c r="F3050" i="3"/>
  <c r="I3050" i="3" s="1"/>
  <c r="F4149" i="3"/>
  <c r="H4149" i="3" s="1"/>
  <c r="F4373" i="3"/>
  <c r="F4573" i="3"/>
  <c r="F3414" i="3"/>
  <c r="F3807" i="3"/>
  <c r="F4319" i="3"/>
  <c r="F2965" i="3"/>
  <c r="F3544" i="3"/>
  <c r="F3681" i="3"/>
  <c r="F4025" i="3"/>
  <c r="F4866" i="3"/>
  <c r="I4866" i="3" s="1"/>
  <c r="F4483" i="3"/>
  <c r="F5147" i="3"/>
  <c r="F4757" i="3"/>
  <c r="F5494" i="3"/>
  <c r="F5239" i="3"/>
  <c r="F4809" i="3"/>
  <c r="F5329" i="3"/>
  <c r="F5529" i="3"/>
  <c r="I5529" i="3" s="1"/>
  <c r="F6055" i="3"/>
  <c r="F6399" i="3"/>
  <c r="F6535" i="3"/>
  <c r="F5840" i="3"/>
  <c r="F6344" i="3"/>
  <c r="F6488" i="3"/>
  <c r="F5383" i="3"/>
  <c r="F6170" i="3"/>
  <c r="H6170" i="3" s="1"/>
  <c r="F5460" i="3"/>
  <c r="F5955" i="3"/>
  <c r="F5764" i="3"/>
  <c r="I5764" i="3" s="1"/>
  <c r="F5893" i="3"/>
  <c r="H5893" i="3" s="1"/>
  <c r="F6454" i="3"/>
  <c r="D4643" i="3"/>
  <c r="H4643" i="3" s="1"/>
  <c r="D4651" i="3"/>
  <c r="D4659" i="3"/>
  <c r="D4667" i="3"/>
  <c r="D4675" i="3"/>
  <c r="D4683" i="3"/>
  <c r="D4691" i="3"/>
  <c r="D4699" i="3"/>
  <c r="I4699" i="3" s="1"/>
  <c r="D4707" i="3"/>
  <c r="H4707" i="3" s="1"/>
  <c r="D4715" i="3"/>
  <c r="D4723" i="3"/>
  <c r="D4644" i="3"/>
  <c r="H4644" i="3" s="1"/>
  <c r="D4652" i="3"/>
  <c r="D4660" i="3"/>
  <c r="D4668" i="3"/>
  <c r="D4676" i="3"/>
  <c r="D4684" i="3"/>
  <c r="D4692" i="3"/>
  <c r="D4700" i="3"/>
  <c r="D4708" i="3"/>
  <c r="D4716" i="3"/>
  <c r="D4724" i="3"/>
  <c r="I4724" i="3" s="1"/>
  <c r="F855" i="3"/>
  <c r="F2015" i="3"/>
  <c r="F2964" i="3"/>
  <c r="D4437" i="3"/>
  <c r="D4438" i="3"/>
  <c r="F915" i="3"/>
  <c r="F428" i="3"/>
  <c r="F1151" i="3"/>
  <c r="F1732" i="3"/>
  <c r="F2011" i="3"/>
  <c r="F2847" i="3"/>
  <c r="F2214" i="3"/>
  <c r="F3260" i="3"/>
  <c r="F3198" i="3"/>
  <c r="H3198" i="3" s="1"/>
  <c r="F3147" i="3"/>
  <c r="F3863" i="3"/>
  <c r="F4683" i="3"/>
  <c r="F5379" i="3"/>
  <c r="H5379" i="3" s="1"/>
  <c r="F4018" i="3"/>
  <c r="F5420" i="3"/>
  <c r="F5527" i="3"/>
  <c r="H5527" i="3" s="1"/>
  <c r="F5889" i="3"/>
  <c r="H5889" i="3" s="1"/>
  <c r="F6164" i="3"/>
  <c r="F6453" i="3"/>
  <c r="H6453" i="3" s="1"/>
  <c r="D4368" i="3"/>
  <c r="D4376" i="3"/>
  <c r="D4384" i="3"/>
  <c r="D4363" i="3"/>
  <c r="D4371" i="3"/>
  <c r="D4379" i="3"/>
  <c r="I4379" i="3" s="1"/>
  <c r="D4364" i="3"/>
  <c r="D4372" i="3"/>
  <c r="D4380" i="3"/>
  <c r="D4365" i="3"/>
  <c r="D4373" i="3"/>
  <c r="D4381" i="3"/>
  <c r="D4366" i="3"/>
  <c r="D4374" i="3"/>
  <c r="I4374" i="3" s="1"/>
  <c r="D4382" i="3"/>
  <c r="F107" i="3"/>
  <c r="F723" i="3"/>
  <c r="F135" i="3"/>
  <c r="F735" i="3"/>
  <c r="H735" i="3" s="1"/>
  <c r="F278" i="3"/>
  <c r="I278" i="3" s="1"/>
  <c r="F598" i="3"/>
  <c r="H598" i="3" s="1"/>
  <c r="F424" i="3"/>
  <c r="F544" i="3"/>
  <c r="H544" i="3" s="1"/>
  <c r="F784" i="3"/>
  <c r="F912" i="3"/>
  <c r="F1016" i="3"/>
  <c r="F710" i="3"/>
  <c r="F1086" i="3"/>
  <c r="F158" i="3"/>
  <c r="F661" i="3"/>
  <c r="F696" i="3"/>
  <c r="F1320" i="3"/>
  <c r="I1320" i="3" s="1"/>
  <c r="F30" i="3"/>
  <c r="H30" i="3" s="1"/>
  <c r="F492" i="3"/>
  <c r="F853" i="3"/>
  <c r="F1274" i="3"/>
  <c r="F682" i="3"/>
  <c r="F1148" i="3"/>
  <c r="F1043" i="3"/>
  <c r="F1580" i="3"/>
  <c r="F1644" i="3"/>
  <c r="F1533" i="3"/>
  <c r="F1598" i="3"/>
  <c r="F1847" i="3"/>
  <c r="F1433" i="3"/>
  <c r="F372" i="3"/>
  <c r="F2424" i="3"/>
  <c r="F1728" i="3"/>
  <c r="F2004" i="3"/>
  <c r="F2758" i="3"/>
  <c r="F2551" i="3"/>
  <c r="F2647" i="3"/>
  <c r="I2647" i="3" s="1"/>
  <c r="F2315" i="3"/>
  <c r="I2315" i="3" s="1"/>
  <c r="F2335" i="3"/>
  <c r="F2841" i="3"/>
  <c r="F2983" i="3"/>
  <c r="I2983" i="3" s="1"/>
  <c r="F3255" i="3"/>
  <c r="F2779" i="3"/>
  <c r="F2945" i="3"/>
  <c r="F2993" i="3"/>
  <c r="F2576" i="3"/>
  <c r="H2576" i="3" s="1"/>
  <c r="F2962" i="3"/>
  <c r="F3026" i="3"/>
  <c r="F3122" i="3"/>
  <c r="F3196" i="3"/>
  <c r="F2206" i="3"/>
  <c r="F2748" i="3"/>
  <c r="F3046" i="3"/>
  <c r="F3102" i="3"/>
  <c r="F3406" i="3"/>
  <c r="F3861" i="3"/>
  <c r="F4565" i="3"/>
  <c r="F3926" i="3"/>
  <c r="F4214" i="3"/>
  <c r="F4390" i="3"/>
  <c r="F4430" i="3"/>
  <c r="F4143" i="3"/>
  <c r="I4143" i="3" s="1"/>
  <c r="F4479" i="3"/>
  <c r="F3323" i="3"/>
  <c r="F4448" i="3"/>
  <c r="I4448" i="3" s="1"/>
  <c r="F3753" i="3"/>
  <c r="F3801" i="3"/>
  <c r="F4409" i="3"/>
  <c r="F2901" i="3"/>
  <c r="F2925" i="3"/>
  <c r="H2925" i="3" s="1"/>
  <c r="F3532" i="3"/>
  <c r="F3628" i="3"/>
  <c r="F3676" i="3"/>
  <c r="F4372" i="3"/>
  <c r="F4778" i="3"/>
  <c r="F5050" i="3"/>
  <c r="H5050" i="3" s="1"/>
  <c r="F5138" i="3"/>
  <c r="F5418" i="3"/>
  <c r="F5490" i="3"/>
  <c r="F4859" i="3"/>
  <c r="F4979" i="3"/>
  <c r="F4932" i="3"/>
  <c r="F3611" i="3"/>
  <c r="F5030" i="3"/>
  <c r="F5526" i="3"/>
  <c r="F4753" i="3"/>
  <c r="H4753" i="3" s="1"/>
  <c r="F5001" i="3"/>
  <c r="F5233" i="3"/>
  <c r="F5377" i="3"/>
  <c r="I5377" i="3" s="1"/>
  <c r="F5887" i="3"/>
  <c r="F6559" i="3"/>
  <c r="F4784" i="3"/>
  <c r="F5648" i="3"/>
  <c r="I5648" i="3" s="1"/>
  <c r="F5760" i="3"/>
  <c r="F6048" i="3"/>
  <c r="F6160" i="3"/>
  <c r="F6416" i="3"/>
  <c r="F5455" i="3"/>
  <c r="F5793" i="3"/>
  <c r="F5008" i="3"/>
  <c r="F6339" i="3"/>
  <c r="H6339" i="3" s="1"/>
  <c r="F6451" i="3"/>
  <c r="I6451" i="3" s="1"/>
  <c r="F6579" i="3"/>
  <c r="F4680" i="3"/>
  <c r="F5407" i="3"/>
  <c r="F6228" i="3"/>
  <c r="F6508" i="3"/>
  <c r="D3952" i="3"/>
  <c r="D3960" i="3"/>
  <c r="D3968" i="3"/>
  <c r="D3976" i="3"/>
  <c r="H3976" i="3" s="1"/>
  <c r="D3984" i="3"/>
  <c r="D3992" i="3"/>
  <c r="D4000" i="3"/>
  <c r="D4008" i="3"/>
  <c r="D4016" i="3"/>
  <c r="D4024" i="3"/>
  <c r="D4032" i="3"/>
  <c r="D4040" i="3"/>
  <c r="D4048" i="3"/>
  <c r="D4056" i="3"/>
  <c r="D4064" i="3"/>
  <c r="I4064" i="3" s="1"/>
  <c r="D4072" i="3"/>
  <c r="H4072" i="3" s="1"/>
  <c r="D4080" i="3"/>
  <c r="D3953" i="3"/>
  <c r="D3961" i="3"/>
  <c r="D3969" i="3"/>
  <c r="H3969" i="3" s="1"/>
  <c r="D3977" i="3"/>
  <c r="D3985" i="3"/>
  <c r="D3993" i="3"/>
  <c r="D4001" i="3"/>
  <c r="D4009" i="3"/>
  <c r="D4017" i="3"/>
  <c r="D4025" i="3"/>
  <c r="D4033" i="3"/>
  <c r="D4041" i="3"/>
  <c r="D4049" i="3"/>
  <c r="D4057" i="3"/>
  <c r="D4065" i="3"/>
  <c r="D4073" i="3"/>
  <c r="D4081" i="3"/>
  <c r="D3954" i="3"/>
  <c r="I3954" i="3" s="1"/>
  <c r="D3962" i="3"/>
  <c r="I3962" i="3" s="1"/>
  <c r="D3970" i="3"/>
  <c r="D3978" i="3"/>
  <c r="D3986" i="3"/>
  <c r="D3994" i="3"/>
  <c r="D4002" i="3"/>
  <c r="I4002" i="3" s="1"/>
  <c r="D4010" i="3"/>
  <c r="D4018" i="3"/>
  <c r="D4026" i="3"/>
  <c r="H4026" i="3" s="1"/>
  <c r="D4034" i="3"/>
  <c r="D4042" i="3"/>
  <c r="D4050" i="3"/>
  <c r="D4058" i="3"/>
  <c r="D3955" i="3"/>
  <c r="I3955" i="3" s="1"/>
  <c r="D3963" i="3"/>
  <c r="D3971" i="3"/>
  <c r="H3971" i="3" s="1"/>
  <c r="D3979" i="3"/>
  <c r="D3987" i="3"/>
  <c r="D3995" i="3"/>
  <c r="D4003" i="3"/>
  <c r="D4011" i="3"/>
  <c r="I4011" i="3" s="1"/>
  <c r="D4019" i="3"/>
  <c r="D4027" i="3"/>
  <c r="D4035" i="3"/>
  <c r="D4043" i="3"/>
  <c r="D4051" i="3"/>
  <c r="D4059" i="3"/>
  <c r="D4067" i="3"/>
  <c r="D4075" i="3"/>
  <c r="D4083" i="3"/>
  <c r="I4083" i="3" s="1"/>
  <c r="D3956" i="3"/>
  <c r="D3964" i="3"/>
  <c r="H3964" i="3" s="1"/>
  <c r="D3972" i="3"/>
  <c r="H3972" i="3" s="1"/>
  <c r="D3980" i="3"/>
  <c r="D3988" i="3"/>
  <c r="D3996" i="3"/>
  <c r="D4004" i="3"/>
  <c r="D4012" i="3"/>
  <c r="I4012" i="3" s="1"/>
  <c r="D4020" i="3"/>
  <c r="D4028" i="3"/>
  <c r="D4036" i="3"/>
  <c r="D4044" i="3"/>
  <c r="D4052" i="3"/>
  <c r="D4060" i="3"/>
  <c r="D4068" i="3"/>
  <c r="D4076" i="3"/>
  <c r="D4084" i="3"/>
  <c r="D3957" i="3"/>
  <c r="D3965" i="3"/>
  <c r="I3965" i="3" s="1"/>
  <c r="D3973" i="3"/>
  <c r="D3981" i="3"/>
  <c r="D3989" i="3"/>
  <c r="H3989" i="3" s="1"/>
  <c r="D3997" i="3"/>
  <c r="D4005" i="3"/>
  <c r="D4013" i="3"/>
  <c r="D4021" i="3"/>
  <c r="D4029" i="3"/>
  <c r="D4037" i="3"/>
  <c r="D4045" i="3"/>
  <c r="H4045" i="3" s="1"/>
  <c r="D4053" i="3"/>
  <c r="I4053" i="3" s="1"/>
  <c r="D4061" i="3"/>
  <c r="D4069" i="3"/>
  <c r="D4077" i="3"/>
  <c r="D3950" i="3"/>
  <c r="D3958" i="3"/>
  <c r="I3958" i="3" s="1"/>
  <c r="D3966" i="3"/>
  <c r="I3966" i="3" s="1"/>
  <c r="D3974" i="3"/>
  <c r="D3982" i="3"/>
  <c r="D3990" i="3"/>
  <c r="D3998" i="3"/>
  <c r="D4006" i="3"/>
  <c r="D4014" i="3"/>
  <c r="H4014" i="3" s="1"/>
  <c r="D4022" i="3"/>
  <c r="D4030" i="3"/>
  <c r="D4038" i="3"/>
  <c r="I4038" i="3" s="1"/>
  <c r="D4046" i="3"/>
  <c r="D4054" i="3"/>
  <c r="D4062" i="3"/>
  <c r="D4070" i="3"/>
  <c r="D4078" i="3"/>
  <c r="F57" i="3"/>
  <c r="H57" i="3" s="1"/>
  <c r="F155" i="3"/>
  <c r="F29" i="3"/>
  <c r="F277" i="3"/>
  <c r="F423" i="3"/>
  <c r="F639" i="3"/>
  <c r="F852" i="3"/>
  <c r="F1085" i="3"/>
  <c r="H1085" i="3" s="1"/>
  <c r="F966" i="3"/>
  <c r="H966" i="3" s="1"/>
  <c r="F1247" i="3"/>
  <c r="F911" i="3"/>
  <c r="F1042" i="3"/>
  <c r="I1042" i="3" s="1"/>
  <c r="F994" i="3"/>
  <c r="F1147" i="3"/>
  <c r="I1147" i="3" s="1"/>
  <c r="F1643" i="3"/>
  <c r="F783" i="3"/>
  <c r="H783" i="3" s="1"/>
  <c r="F1532" i="3"/>
  <c r="F1845" i="3"/>
  <c r="F1015" i="3"/>
  <c r="F1695" i="3"/>
  <c r="F1319" i="3"/>
  <c r="F1432" i="3"/>
  <c r="F1999" i="3"/>
  <c r="F2203" i="3"/>
  <c r="F2422" i="3"/>
  <c r="F2778" i="3"/>
  <c r="F2525" i="3"/>
  <c r="F2720" i="3"/>
  <c r="F3145" i="3"/>
  <c r="F3193" i="3"/>
  <c r="F3254" i="3"/>
  <c r="F3404" i="3"/>
  <c r="F4141" i="3"/>
  <c r="F4014" i="3"/>
  <c r="F4478" i="3"/>
  <c r="H4478" i="3" s="1"/>
  <c r="F3752" i="3"/>
  <c r="H3752" i="3" s="1"/>
  <c r="F3800" i="3"/>
  <c r="F2840" i="3"/>
  <c r="F3348" i="3"/>
  <c r="F4858" i="3"/>
  <c r="F3675" i="3"/>
  <c r="I3675" i="3" s="1"/>
  <c r="F4564" i="3"/>
  <c r="F4931" i="3"/>
  <c r="F5525" i="3"/>
  <c r="I5525" i="3" s="1"/>
  <c r="F3530" i="3"/>
  <c r="F4371" i="3"/>
  <c r="F5759" i="3"/>
  <c r="I5759" i="3" s="1"/>
  <c r="F6047" i="3"/>
  <c r="F6424" i="3"/>
  <c r="H6424" i="3" s="1"/>
  <c r="F6338" i="3"/>
  <c r="F6450" i="3"/>
  <c r="F5284" i="3"/>
  <c r="F5232" i="3"/>
  <c r="F5643" i="3"/>
  <c r="F5780" i="3"/>
  <c r="F6532" i="3"/>
  <c r="H6532" i="3" s="1"/>
  <c r="F5136" i="3"/>
  <c r="F5837" i="3"/>
  <c r="F5885" i="3"/>
  <c r="F5375" i="3"/>
  <c r="F6158" i="3"/>
  <c r="D3824" i="3"/>
  <c r="D3832" i="3"/>
  <c r="D3840" i="3"/>
  <c r="D3848" i="3"/>
  <c r="I3848" i="3" s="1"/>
  <c r="D3856" i="3"/>
  <c r="D3864" i="3"/>
  <c r="D3872" i="3"/>
  <c r="D3880" i="3"/>
  <c r="D3888" i="3"/>
  <c r="D3896" i="3"/>
  <c r="D3825" i="3"/>
  <c r="D3833" i="3"/>
  <c r="D3841" i="3"/>
  <c r="D3849" i="3"/>
  <c r="D3857" i="3"/>
  <c r="D3865" i="3"/>
  <c r="D3873" i="3"/>
  <c r="D3881" i="3"/>
  <c r="D3889" i="3"/>
  <c r="D3897" i="3"/>
  <c r="D3826" i="3"/>
  <c r="D3834" i="3"/>
  <c r="D3842" i="3"/>
  <c r="D3850" i="3"/>
  <c r="D3858" i="3"/>
  <c r="D3866" i="3"/>
  <c r="D3874" i="3"/>
  <c r="I3874" i="3" s="1"/>
  <c r="D3882" i="3"/>
  <c r="H3882" i="3" s="1"/>
  <c r="D3890" i="3"/>
  <c r="D3898" i="3"/>
  <c r="D3827" i="3"/>
  <c r="D3835" i="3"/>
  <c r="I3835" i="3" s="1"/>
  <c r="D3843" i="3"/>
  <c r="I3843" i="3" s="1"/>
  <c r="D3851" i="3"/>
  <c r="D3859" i="3"/>
  <c r="H3859" i="3" s="1"/>
  <c r="D3867" i="3"/>
  <c r="D3875" i="3"/>
  <c r="D3883" i="3"/>
  <c r="D3891" i="3"/>
  <c r="I3891" i="3" s="1"/>
  <c r="D3899" i="3"/>
  <c r="D3828" i="3"/>
  <c r="D3836" i="3"/>
  <c r="D3844" i="3"/>
  <c r="D3852" i="3"/>
  <c r="D3860" i="3"/>
  <c r="D3868" i="3"/>
  <c r="D3876" i="3"/>
  <c r="D3884" i="3"/>
  <c r="D3892" i="3"/>
  <c r="D3900" i="3"/>
  <c r="D3829" i="3"/>
  <c r="D3837" i="3"/>
  <c r="H3837" i="3" s="1"/>
  <c r="D3845" i="3"/>
  <c r="D3853" i="3"/>
  <c r="D3861" i="3"/>
  <c r="I3861" i="3" s="1"/>
  <c r="D3869" i="3"/>
  <c r="D3877" i="3"/>
  <c r="D3885" i="3"/>
  <c r="D3893" i="3"/>
  <c r="D3901" i="3"/>
  <c r="D3830" i="3"/>
  <c r="D3838" i="3"/>
  <c r="D3846" i="3"/>
  <c r="D3854" i="3"/>
  <c r="D3862" i="3"/>
  <c r="D3870" i="3"/>
  <c r="D3878" i="3"/>
  <c r="D3886" i="3"/>
  <c r="D3894" i="3"/>
  <c r="D3902" i="3"/>
  <c r="F1995" i="3"/>
  <c r="F2982" i="3"/>
  <c r="F5132" i="3"/>
  <c r="D3716" i="3"/>
  <c r="D3717" i="3"/>
  <c r="F270" i="3"/>
  <c r="F540" i="3"/>
  <c r="H540" i="3" s="1"/>
  <c r="F1992" i="3"/>
  <c r="F2196" i="3"/>
  <c r="F3250" i="3"/>
  <c r="F3525" i="3"/>
  <c r="F4135" i="3"/>
  <c r="I4135" i="3" s="1"/>
  <c r="F4009" i="3"/>
  <c r="F5454" i="3"/>
  <c r="F5127" i="3"/>
  <c r="F5636" i="3"/>
  <c r="I5636" i="3" s="1"/>
  <c r="F6271" i="3"/>
  <c r="F6153" i="3"/>
  <c r="D3602" i="3"/>
  <c r="D3610" i="3"/>
  <c r="D3618" i="3"/>
  <c r="I3618" i="3" s="1"/>
  <c r="D3607" i="3"/>
  <c r="D3615" i="3"/>
  <c r="D3606" i="3"/>
  <c r="D3617" i="3"/>
  <c r="D3608" i="3"/>
  <c r="D3619" i="3"/>
  <c r="D3609" i="3"/>
  <c r="D3620" i="3"/>
  <c r="I3620" i="3" s="1"/>
  <c r="D3611" i="3"/>
  <c r="D3621" i="3"/>
  <c r="D3612" i="3"/>
  <c r="D3622" i="3"/>
  <c r="D3603" i="3"/>
  <c r="I3603" i="3" s="1"/>
  <c r="D3613" i="3"/>
  <c r="D3604" i="3"/>
  <c r="D3614" i="3"/>
  <c r="F55" i="3"/>
  <c r="H55" i="3" s="1"/>
  <c r="F266" i="3"/>
  <c r="F1419" i="3"/>
  <c r="F1838" i="3"/>
  <c r="F2833" i="3"/>
  <c r="F2412" i="3"/>
  <c r="F4554" i="3"/>
  <c r="F5630" i="3"/>
  <c r="H5630" i="3" s="1"/>
  <c r="F4631" i="3"/>
  <c r="F5832" i="3"/>
  <c r="D3306" i="3"/>
  <c r="D3314" i="3"/>
  <c r="I3314" i="3" s="1"/>
  <c r="D3311" i="3"/>
  <c r="D3312" i="3"/>
  <c r="D3308" i="3"/>
  <c r="D3309" i="3"/>
  <c r="D3310" i="3"/>
  <c r="D3313" i="3"/>
  <c r="I3313" i="3" s="1"/>
  <c r="D3315" i="3"/>
  <c r="D3316" i="3"/>
  <c r="F2187" i="3"/>
  <c r="F1981" i="3"/>
  <c r="F3518" i="3"/>
  <c r="D3130" i="3"/>
  <c r="D3128" i="3"/>
  <c r="D3129" i="3"/>
  <c r="F536" i="3"/>
  <c r="F2182" i="3"/>
  <c r="F4000" i="3"/>
  <c r="D3026" i="3"/>
  <c r="D3024" i="3"/>
  <c r="D3025" i="3"/>
  <c r="I3025" i="3" s="1"/>
  <c r="F105" i="3"/>
  <c r="F595" i="3"/>
  <c r="I595" i="3" s="1"/>
  <c r="F413" i="3"/>
  <c r="F637" i="3"/>
  <c r="F488" i="3"/>
  <c r="F657" i="3"/>
  <c r="F771" i="3"/>
  <c r="F370" i="3"/>
  <c r="F6" i="3"/>
  <c r="F248" i="3"/>
  <c r="I248" i="3" s="1"/>
  <c r="F68" i="3"/>
  <c r="F965" i="3"/>
  <c r="I965" i="3" s="1"/>
  <c r="F897" i="3"/>
  <c r="F1012" i="3"/>
  <c r="F1144" i="3"/>
  <c r="F1313" i="3"/>
  <c r="F1242" i="3"/>
  <c r="F721" i="3"/>
  <c r="I721" i="3" s="1"/>
  <c r="F1180" i="3"/>
  <c r="F1635" i="3"/>
  <c r="F1076" i="3"/>
  <c r="F1527" i="3"/>
  <c r="F1406" i="3"/>
  <c r="F1720" i="3"/>
  <c r="F1970" i="3"/>
  <c r="F1832" i="3"/>
  <c r="F2172" i="3"/>
  <c r="F2332" i="3"/>
  <c r="F2632" i="3"/>
  <c r="H2632" i="3" s="1"/>
  <c r="F3311" i="3"/>
  <c r="F3016" i="3"/>
  <c r="F3097" i="3"/>
  <c r="H3097" i="3" s="1"/>
  <c r="F3042" i="3"/>
  <c r="H3042" i="3" s="1"/>
  <c r="F2924" i="3"/>
  <c r="F3076" i="3"/>
  <c r="F3246" i="3"/>
  <c r="F3390" i="3"/>
  <c r="F3141" i="3"/>
  <c r="F3461" i="3"/>
  <c r="F4125" i="3"/>
  <c r="H4125" i="3" s="1"/>
  <c r="F4231" i="3"/>
  <c r="I4231" i="3" s="1"/>
  <c r="F4303" i="3"/>
  <c r="F4367" i="3"/>
  <c r="F3512" i="3"/>
  <c r="F4216" i="3"/>
  <c r="H4216" i="3" s="1"/>
  <c r="F4248" i="3"/>
  <c r="I4248" i="3" s="1"/>
  <c r="F4472" i="3"/>
  <c r="F2404" i="3"/>
  <c r="F2899" i="3"/>
  <c r="F3793" i="3"/>
  <c r="F3993" i="3"/>
  <c r="F4545" i="3"/>
  <c r="F3668" i="3"/>
  <c r="F5450" i="3"/>
  <c r="F4749" i="3"/>
  <c r="F4805" i="3"/>
  <c r="F5109" i="3"/>
  <c r="F4630" i="3"/>
  <c r="F4926" i="3"/>
  <c r="F3722" i="3"/>
  <c r="F4671" i="3"/>
  <c r="F3851" i="3"/>
  <c r="F6031" i="3"/>
  <c r="F6447" i="3"/>
  <c r="F6144" i="3"/>
  <c r="F6608" i="3"/>
  <c r="F6529" i="3"/>
  <c r="F5224" i="3"/>
  <c r="F5615" i="3"/>
  <c r="F5755" i="3"/>
  <c r="I5755" i="3" s="1"/>
  <c r="F5779" i="3"/>
  <c r="I5779" i="3" s="1"/>
  <c r="F6227" i="3"/>
  <c r="H6227" i="3" s="1"/>
  <c r="F5312" i="3"/>
  <c r="F5368" i="3"/>
  <c r="F6332" i="3"/>
  <c r="F6484" i="3"/>
  <c r="F5805" i="3"/>
  <c r="F5877" i="3"/>
  <c r="D2802" i="3"/>
  <c r="H2802" i="3" s="1"/>
  <c r="D2810" i="3"/>
  <c r="I2810" i="3" s="1"/>
  <c r="D2818" i="3"/>
  <c r="D2826" i="3"/>
  <c r="D2834" i="3"/>
  <c r="D2842" i="3"/>
  <c r="D2850" i="3"/>
  <c r="D2858" i="3"/>
  <c r="D2866" i="3"/>
  <c r="D2874" i="3"/>
  <c r="H2874" i="3" s="1"/>
  <c r="D2882" i="3"/>
  <c r="H2882" i="3" s="1"/>
  <c r="D2890" i="3"/>
  <c r="D2797" i="3"/>
  <c r="I2797" i="3" s="1"/>
  <c r="D2805" i="3"/>
  <c r="D2813" i="3"/>
  <c r="I2813" i="3" s="1"/>
  <c r="D2821" i="3"/>
  <c r="D2829" i="3"/>
  <c r="D2837" i="3"/>
  <c r="H2837" i="3" s="1"/>
  <c r="D2845" i="3"/>
  <c r="H2845" i="3" s="1"/>
  <c r="D2853" i="3"/>
  <c r="D2861" i="3"/>
  <c r="I2861" i="3" s="1"/>
  <c r="D2869" i="3"/>
  <c r="D2877" i="3"/>
  <c r="D2885" i="3"/>
  <c r="H2885" i="3" s="1"/>
  <c r="D2798" i="3"/>
  <c r="D2806" i="3"/>
  <c r="D2814" i="3"/>
  <c r="H2814" i="3" s="1"/>
  <c r="D2822" i="3"/>
  <c r="D2830" i="3"/>
  <c r="D2838" i="3"/>
  <c r="D2846" i="3"/>
  <c r="D2854" i="3"/>
  <c r="D2862" i="3"/>
  <c r="D2870" i="3"/>
  <c r="D2878" i="3"/>
  <c r="D2886" i="3"/>
  <c r="D2799" i="3"/>
  <c r="D2807" i="3"/>
  <c r="D2815" i="3"/>
  <c r="D2823" i="3"/>
  <c r="D2831" i="3"/>
  <c r="I2831" i="3" s="1"/>
  <c r="D2839" i="3"/>
  <c r="D2847" i="3"/>
  <c r="D2855" i="3"/>
  <c r="D2863" i="3"/>
  <c r="H2863" i="3" s="1"/>
  <c r="D2871" i="3"/>
  <c r="D2879" i="3"/>
  <c r="D2887" i="3"/>
  <c r="D2800" i="3"/>
  <c r="D2808" i="3"/>
  <c r="I2808" i="3" s="1"/>
  <c r="D2816" i="3"/>
  <c r="D2824" i="3"/>
  <c r="D2832" i="3"/>
  <c r="D2840" i="3"/>
  <c r="D2848" i="3"/>
  <c r="I2848" i="3" s="1"/>
  <c r="D2856" i="3"/>
  <c r="D2864" i="3"/>
  <c r="D2872" i="3"/>
  <c r="H2872" i="3" s="1"/>
  <c r="D2880" i="3"/>
  <c r="D2888" i="3"/>
  <c r="D2801" i="3"/>
  <c r="D2820" i="3"/>
  <c r="D2843" i="3"/>
  <c r="I2843" i="3" s="1"/>
  <c r="D2865" i="3"/>
  <c r="D2884" i="3"/>
  <c r="D2803" i="3"/>
  <c r="D2825" i="3"/>
  <c r="D2844" i="3"/>
  <c r="H2844" i="3" s="1"/>
  <c r="D2867" i="3"/>
  <c r="D2889" i="3"/>
  <c r="D2804" i="3"/>
  <c r="D2827" i="3"/>
  <c r="D2849" i="3"/>
  <c r="D2868" i="3"/>
  <c r="H2868" i="3" s="1"/>
  <c r="D2891" i="3"/>
  <c r="I2891" i="3" s="1"/>
  <c r="D2809" i="3"/>
  <c r="H2809" i="3" s="1"/>
  <c r="D2828" i="3"/>
  <c r="H2828" i="3" s="1"/>
  <c r="D2851" i="3"/>
  <c r="I2851" i="3" s="1"/>
  <c r="D2873" i="3"/>
  <c r="D2892" i="3"/>
  <c r="D2811" i="3"/>
  <c r="I2811" i="3" s="1"/>
  <c r="D2833" i="3"/>
  <c r="D2852" i="3"/>
  <c r="D2875" i="3"/>
  <c r="D2812" i="3"/>
  <c r="D2835" i="3"/>
  <c r="I2835" i="3" s="1"/>
  <c r="D2857" i="3"/>
  <c r="D2876" i="3"/>
  <c r="D2795" i="3"/>
  <c r="D2817" i="3"/>
  <c r="D2836" i="3"/>
  <c r="D2859" i="3"/>
  <c r="D2881" i="3"/>
  <c r="D6569" i="3"/>
  <c r="H6569" i="3" s="1"/>
  <c r="D6561" i="3"/>
  <c r="D6553" i="3"/>
  <c r="D6545" i="3"/>
  <c r="D6537" i="3"/>
  <c r="D6529" i="3"/>
  <c r="D6497" i="3"/>
  <c r="I6497" i="3" s="1"/>
  <c r="D6489" i="3"/>
  <c r="D6481" i="3"/>
  <c r="D6417" i="3"/>
  <c r="D6401" i="3"/>
  <c r="D6393" i="3"/>
  <c r="D6385" i="3"/>
  <c r="H6385" i="3" s="1"/>
  <c r="D6233" i="3"/>
  <c r="D6225" i="3"/>
  <c r="D6217" i="3"/>
  <c r="D6209" i="3"/>
  <c r="D6201" i="3"/>
  <c r="D6193" i="3"/>
  <c r="D6185" i="3"/>
  <c r="D6177" i="3"/>
  <c r="D6169" i="3"/>
  <c r="D6161" i="3"/>
  <c r="D6153" i="3"/>
  <c r="D6145" i="3"/>
  <c r="D6137" i="3"/>
  <c r="D6129" i="3"/>
  <c r="D6121" i="3"/>
  <c r="D6105" i="3"/>
  <c r="D6097" i="3"/>
  <c r="D6089" i="3"/>
  <c r="I6089" i="3" s="1"/>
  <c r="D6081" i="3"/>
  <c r="D6073" i="3"/>
  <c r="H6073" i="3" s="1"/>
  <c r="D6065" i="3"/>
  <c r="D6057" i="3"/>
  <c r="D6049" i="3"/>
  <c r="D6041" i="3"/>
  <c r="H6041" i="3" s="1"/>
  <c r="D6033" i="3"/>
  <c r="I6033" i="3" s="1"/>
  <c r="D6025" i="3"/>
  <c r="D6017" i="3"/>
  <c r="D6009" i="3"/>
  <c r="D6001" i="3"/>
  <c r="D5993" i="3"/>
  <c r="D5513" i="3"/>
  <c r="D5505" i="3"/>
  <c r="D5497" i="3"/>
  <c r="H5497" i="3" s="1"/>
  <c r="D5489" i="3"/>
  <c r="D5481" i="3"/>
  <c r="D5473" i="3"/>
  <c r="D5465" i="3"/>
  <c r="D5457" i="3"/>
  <c r="D5449" i="3"/>
  <c r="D5425" i="3"/>
  <c r="D5417" i="3"/>
  <c r="H5417" i="3" s="1"/>
  <c r="D5409" i="3"/>
  <c r="D5281" i="3"/>
  <c r="H5281" i="3" s="1"/>
  <c r="D5273" i="3"/>
  <c r="D5265" i="3"/>
  <c r="D5257" i="3"/>
  <c r="D5249" i="3"/>
  <c r="D5241" i="3"/>
  <c r="D5233" i="3"/>
  <c r="D5225" i="3"/>
  <c r="I5225" i="3" s="1"/>
  <c r="D5217" i="3"/>
  <c r="D5201" i="3"/>
  <c r="D5193" i="3"/>
  <c r="D5185" i="3"/>
  <c r="D5177" i="3"/>
  <c r="D5169" i="3"/>
  <c r="H5169" i="3" s="1"/>
  <c r="D5161" i="3"/>
  <c r="D5153" i="3"/>
  <c r="I5153" i="3" s="1"/>
  <c r="D5145" i="3"/>
  <c r="I5145" i="3" s="1"/>
  <c r="D5137" i="3"/>
  <c r="D5129" i="3"/>
  <c r="I5129" i="3" s="1"/>
  <c r="D5121" i="3"/>
  <c r="D5113" i="3"/>
  <c r="D5105" i="3"/>
  <c r="H5105" i="3" s="1"/>
  <c r="D5097" i="3"/>
  <c r="I5097" i="3" s="1"/>
  <c r="D5089" i="3"/>
  <c r="D5081" i="3"/>
  <c r="D5073" i="3"/>
  <c r="H5073" i="3" s="1"/>
  <c r="D5065" i="3"/>
  <c r="D5001" i="3"/>
  <c r="D4953" i="3"/>
  <c r="D4945" i="3"/>
  <c r="D4937" i="3"/>
  <c r="D4929" i="3"/>
  <c r="D4921" i="3"/>
  <c r="D4913" i="3"/>
  <c r="D4905" i="3"/>
  <c r="D4897" i="3"/>
  <c r="H4897" i="3" s="1"/>
  <c r="D4889" i="3"/>
  <c r="D4881" i="3"/>
  <c r="D4873" i="3"/>
  <c r="D4865" i="3"/>
  <c r="D4857" i="3"/>
  <c r="D4849" i="3"/>
  <c r="H4849" i="3" s="1"/>
  <c r="D4841" i="3"/>
  <c r="D4833" i="3"/>
  <c r="D4825" i="3"/>
  <c r="D4817" i="3"/>
  <c r="D4809" i="3"/>
  <c r="D4728" i="3"/>
  <c r="D4718" i="3"/>
  <c r="D4706" i="3"/>
  <c r="D4696" i="3"/>
  <c r="I4696" i="3" s="1"/>
  <c r="D4686" i="3"/>
  <c r="D4674" i="3"/>
  <c r="D4664" i="3"/>
  <c r="D4654" i="3"/>
  <c r="H4654" i="3" s="1"/>
  <c r="D4642" i="3"/>
  <c r="D4632" i="3"/>
  <c r="D4613" i="3"/>
  <c r="H4613" i="3" s="1"/>
  <c r="D4601" i="3"/>
  <c r="D4591" i="3"/>
  <c r="D4581" i="3"/>
  <c r="D4569" i="3"/>
  <c r="D4559" i="3"/>
  <c r="H4559" i="3" s="1"/>
  <c r="D4545" i="3"/>
  <c r="D4533" i="3"/>
  <c r="D4520" i="3"/>
  <c r="D4440" i="3"/>
  <c r="D4393" i="3"/>
  <c r="D4375" i="3"/>
  <c r="D4353" i="3"/>
  <c r="D4330" i="3"/>
  <c r="D4303" i="3"/>
  <c r="I4303" i="3" s="1"/>
  <c r="D4047" i="3"/>
  <c r="D3983" i="3"/>
  <c r="D3879" i="3"/>
  <c r="D3637" i="3"/>
  <c r="H3637" i="3" s="1"/>
  <c r="D3552" i="3"/>
  <c r="H3552" i="3" s="1"/>
  <c r="D3445" i="3"/>
  <c r="D2819" i="3"/>
  <c r="F351" i="3"/>
  <c r="F835" i="3"/>
  <c r="F122" i="3"/>
  <c r="F957" i="3"/>
  <c r="F1127" i="3"/>
  <c r="I1127" i="3" s="1"/>
  <c r="F1890" i="3"/>
  <c r="F1499" i="3"/>
  <c r="F2291" i="3"/>
  <c r="F2702" i="3"/>
  <c r="I2702" i="3" s="1"/>
  <c r="F2887" i="3"/>
  <c r="F2482" i="3"/>
  <c r="F3114" i="3"/>
  <c r="F2093" i="3"/>
  <c r="F3901" i="3"/>
  <c r="F3455" i="3"/>
  <c r="F4355" i="3"/>
  <c r="F4901" i="3"/>
  <c r="F5198" i="3"/>
  <c r="F4615" i="3"/>
  <c r="I4615" i="3" s="1"/>
  <c r="F5730" i="3"/>
  <c r="F5978" i="3"/>
  <c r="H5978" i="3" s="1"/>
  <c r="F5344" i="3"/>
  <c r="F6100" i="3"/>
  <c r="H6100" i="3" s="1"/>
  <c r="F6300" i="3"/>
  <c r="F75" i="3"/>
  <c r="F342" i="3"/>
  <c r="F612" i="3"/>
  <c r="F1030" i="3"/>
  <c r="F466" i="3"/>
  <c r="F1122" i="3"/>
  <c r="F951" i="3"/>
  <c r="F1492" i="3"/>
  <c r="F829" i="3"/>
  <c r="I829" i="3" s="1"/>
  <c r="F1677" i="3"/>
  <c r="F2279" i="3"/>
  <c r="F1886" i="3"/>
  <c r="F2695" i="3"/>
  <c r="H2695" i="3" s="1"/>
  <c r="F2881" i="3"/>
  <c r="F3294" i="3"/>
  <c r="F3733" i="3"/>
  <c r="F3895" i="3"/>
  <c r="F4352" i="3"/>
  <c r="F3449" i="3"/>
  <c r="F3586" i="3"/>
  <c r="F4719" i="3"/>
  <c r="F4895" i="3"/>
  <c r="F5191" i="3"/>
  <c r="F3819" i="3"/>
  <c r="F5719" i="3"/>
  <c r="F4608" i="3"/>
  <c r="F6368" i="3"/>
  <c r="H6368" i="3" s="1"/>
  <c r="F2475" i="3"/>
  <c r="F6094" i="3"/>
  <c r="F65" i="3"/>
  <c r="F611" i="3"/>
  <c r="H611" i="3" s="1"/>
  <c r="F675" i="3"/>
  <c r="F463" i="3"/>
  <c r="F827" i="3"/>
  <c r="F624" i="3"/>
  <c r="F868" i="3"/>
  <c r="F169" i="3"/>
  <c r="F185" i="3"/>
  <c r="F44" i="3"/>
  <c r="F670" i="3"/>
  <c r="F1120" i="3"/>
  <c r="F949" i="3"/>
  <c r="F1161" i="3"/>
  <c r="F1050" i="3"/>
  <c r="F1675" i="3"/>
  <c r="F1556" i="3"/>
  <c r="F338" i="3"/>
  <c r="F1766" i="3"/>
  <c r="F1348" i="3"/>
  <c r="F2078" i="3"/>
  <c r="F1488" i="3"/>
  <c r="H1488" i="3" s="1"/>
  <c r="F2354" i="3"/>
  <c r="F2879" i="3"/>
  <c r="F1885" i="3"/>
  <c r="F2473" i="3"/>
  <c r="F2586" i="3"/>
  <c r="F2738" i="3"/>
  <c r="F2273" i="3"/>
  <c r="F2693" i="3"/>
  <c r="H2693" i="3" s="1"/>
  <c r="F2765" i="3"/>
  <c r="F2999" i="3"/>
  <c r="F3112" i="3"/>
  <c r="F3152" i="3"/>
  <c r="F2532" i="3"/>
  <c r="H2532" i="3" s="1"/>
  <c r="F2974" i="3"/>
  <c r="F3022" i="3"/>
  <c r="F3581" i="3"/>
  <c r="F3893" i="3"/>
  <c r="F4381" i="3"/>
  <c r="F4070" i="3"/>
  <c r="F4398" i="3"/>
  <c r="F3447" i="3"/>
  <c r="F4503" i="3"/>
  <c r="F3936" i="3"/>
  <c r="F3705" i="3"/>
  <c r="I3705" i="3" s="1"/>
  <c r="F3213" i="3"/>
  <c r="F3762" i="3"/>
  <c r="F5042" i="3"/>
  <c r="F5058" i="3"/>
  <c r="I5058" i="3" s="1"/>
  <c r="F4194" i="3"/>
  <c r="F4955" i="3"/>
  <c r="F4717" i="3"/>
  <c r="F4893" i="3"/>
  <c r="F5189" i="3"/>
  <c r="F5429" i="3"/>
  <c r="F4606" i="3"/>
  <c r="F4790" i="3"/>
  <c r="F5014" i="3"/>
  <c r="F5278" i="3"/>
  <c r="F3133" i="3"/>
  <c r="F4991" i="3"/>
  <c r="F5257" i="3"/>
  <c r="F5799" i="3"/>
  <c r="F6207" i="3"/>
  <c r="F6367" i="3"/>
  <c r="F5471" i="3"/>
  <c r="F5508" i="3"/>
  <c r="F6576" i="3"/>
  <c r="F6465" i="3"/>
  <c r="F5786" i="3"/>
  <c r="F6570" i="3"/>
  <c r="F5715" i="3"/>
  <c r="F5915" i="3"/>
  <c r="H5915" i="3" s="1"/>
  <c r="F6587" i="3"/>
  <c r="F2788" i="3"/>
  <c r="F5536" i="3"/>
  <c r="F6093" i="3"/>
  <c r="F6422" i="3"/>
  <c r="F2401" i="3"/>
  <c r="F4924" i="3"/>
  <c r="F5104" i="3"/>
  <c r="D2569" i="3"/>
  <c r="D2570" i="3"/>
  <c r="D2571" i="3"/>
  <c r="F89" i="3"/>
  <c r="F147" i="3"/>
  <c r="F61" i="3"/>
  <c r="F621" i="3"/>
  <c r="I621" i="3" s="1"/>
  <c r="F407" i="3"/>
  <c r="F655" i="3"/>
  <c r="F132" i="3"/>
  <c r="F178" i="3"/>
  <c r="F634" i="3"/>
  <c r="F971" i="3"/>
  <c r="F18" i="3"/>
  <c r="F764" i="3"/>
  <c r="F82" i="3"/>
  <c r="I82" i="3" s="1"/>
  <c r="F233" i="3"/>
  <c r="F26" i="3"/>
  <c r="F592" i="3"/>
  <c r="F694" i="3"/>
  <c r="F848" i="3"/>
  <c r="F893" i="3"/>
  <c r="F1141" i="3"/>
  <c r="H1141" i="3" s="1"/>
  <c r="F1009" i="3"/>
  <c r="H1009" i="3" s="1"/>
  <c r="F1310" i="3"/>
  <c r="F1207" i="3"/>
  <c r="F1239" i="3"/>
  <c r="F484" i="3"/>
  <c r="F990" i="3"/>
  <c r="F1040" i="3"/>
  <c r="F1072" i="3"/>
  <c r="F1168" i="3"/>
  <c r="I1168" i="3" s="1"/>
  <c r="F680" i="3"/>
  <c r="F733" i="3"/>
  <c r="I733" i="3" s="1"/>
  <c r="F1394" i="3"/>
  <c r="H1394" i="3" s="1"/>
  <c r="F1522" i="3"/>
  <c r="F1562" i="3"/>
  <c r="H1562" i="3" s="1"/>
  <c r="F1594" i="3"/>
  <c r="H1594" i="3" s="1"/>
  <c r="F1603" i="3"/>
  <c r="F962" i="3"/>
  <c r="F1355" i="3"/>
  <c r="I1355" i="3" s="1"/>
  <c r="F1693" i="3"/>
  <c r="I1693" i="3" s="1"/>
  <c r="F1781" i="3"/>
  <c r="F704" i="3"/>
  <c r="F1271" i="3"/>
  <c r="F1631" i="3"/>
  <c r="F1617" i="3"/>
  <c r="F1689" i="3"/>
  <c r="I1689" i="3" s="1"/>
  <c r="F1825" i="3"/>
  <c r="F2320" i="3"/>
  <c r="F983" i="3"/>
  <c r="F1576" i="3"/>
  <c r="F1953" i="3"/>
  <c r="F2313" i="3"/>
  <c r="I2313" i="3" s="1"/>
  <c r="F2397" i="3"/>
  <c r="F2575" i="3"/>
  <c r="I2575" i="3" s="1"/>
  <c r="F2775" i="3"/>
  <c r="F2521" i="3"/>
  <c r="F2769" i="3"/>
  <c r="F2626" i="3"/>
  <c r="F2329" i="3"/>
  <c r="F2733" i="3"/>
  <c r="F2757" i="3"/>
  <c r="F2821" i="3"/>
  <c r="F2715" i="3"/>
  <c r="F2991" i="3"/>
  <c r="F3039" i="3"/>
  <c r="F2508" i="3"/>
  <c r="I2508" i="3" s="1"/>
  <c r="F2548" i="3"/>
  <c r="F2592" i="3"/>
  <c r="F3320" i="3"/>
  <c r="I3320" i="3" s="1"/>
  <c r="F2937" i="3"/>
  <c r="I2937" i="3" s="1"/>
  <c r="F2961" i="3"/>
  <c r="H2961" i="3" s="1"/>
  <c r="F3009" i="3"/>
  <c r="F3025" i="3"/>
  <c r="F3073" i="3"/>
  <c r="F3129" i="3"/>
  <c r="F3241" i="3"/>
  <c r="F2986" i="3"/>
  <c r="F3186" i="3"/>
  <c r="H3186" i="3" s="1"/>
  <c r="F2744" i="3"/>
  <c r="F2956" i="3"/>
  <c r="F3004" i="3"/>
  <c r="H3004" i="3" s="1"/>
  <c r="F3028" i="3"/>
  <c r="F2792" i="3"/>
  <c r="F2942" i="3"/>
  <c r="F3094" i="3"/>
  <c r="F4085" i="3"/>
  <c r="F4245" i="3"/>
  <c r="F4405" i="3"/>
  <c r="F4445" i="3"/>
  <c r="F3502" i="3"/>
  <c r="F3790" i="3"/>
  <c r="F3846" i="3"/>
  <c r="F4366" i="3"/>
  <c r="F3607" i="3"/>
  <c r="F3663" i="3"/>
  <c r="F3983" i="3"/>
  <c r="F2923" i="3"/>
  <c r="F4113" i="3"/>
  <c r="F4297" i="3"/>
  <c r="F3163" i="3"/>
  <c r="I3163" i="3" s="1"/>
  <c r="F3331" i="3"/>
  <c r="I3331" i="3" s="1"/>
  <c r="F3381" i="3"/>
  <c r="F3139" i="3"/>
  <c r="F3644" i="3"/>
  <c r="F3748" i="3"/>
  <c r="I3748" i="3" s="1"/>
  <c r="F3924" i="3"/>
  <c r="H3924" i="3" s="1"/>
  <c r="F4428" i="3"/>
  <c r="F4666" i="3"/>
  <c r="F4922" i="3"/>
  <c r="F4986" i="3"/>
  <c r="H4986" i="3" s="1"/>
  <c r="F4994" i="3"/>
  <c r="I4994" i="3" s="1"/>
  <c r="F4387" i="3"/>
  <c r="F4627" i="3"/>
  <c r="F4731" i="3"/>
  <c r="F5363" i="3"/>
  <c r="F3627" i="3"/>
  <c r="F3770" i="3"/>
  <c r="F4266" i="3"/>
  <c r="I4266" i="3" s="1"/>
  <c r="F4796" i="3"/>
  <c r="F5100" i="3"/>
  <c r="F4468" i="3"/>
  <c r="F4538" i="3"/>
  <c r="F4797" i="3"/>
  <c r="F5221" i="3"/>
  <c r="F5269" i="3"/>
  <c r="F5309" i="3"/>
  <c r="F5485" i="3"/>
  <c r="F3906" i="3"/>
  <c r="F4227" i="3"/>
  <c r="F5007" i="3"/>
  <c r="F4745" i="3"/>
  <c r="F4969" i="3"/>
  <c r="F4977" i="3"/>
  <c r="F5025" i="3"/>
  <c r="F5049" i="3"/>
  <c r="F5521" i="3"/>
  <c r="I5521" i="3" s="1"/>
  <c r="F4840" i="3"/>
  <c r="F6023" i="3"/>
  <c r="F5752" i="3"/>
  <c r="F6328" i="3"/>
  <c r="F6552" i="3"/>
  <c r="F5596" i="3"/>
  <c r="F6225" i="3"/>
  <c r="H6225" i="3" s="1"/>
  <c r="F6443" i="3"/>
  <c r="I6443" i="3" s="1"/>
  <c r="F5828" i="3"/>
  <c r="F4211" i="3"/>
  <c r="F4776" i="3"/>
  <c r="F5412" i="3"/>
  <c r="F5447" i="3"/>
  <c r="F5870" i="3"/>
  <c r="F6133" i="3"/>
  <c r="F6390" i="3"/>
  <c r="F6605" i="3"/>
  <c r="F6237" i="3"/>
  <c r="F6526" i="3"/>
  <c r="D2113" i="3"/>
  <c r="D2121" i="3"/>
  <c r="D2129" i="3"/>
  <c r="D2137" i="3"/>
  <c r="D2145" i="3"/>
  <c r="I2145" i="3" s="1"/>
  <c r="D2153" i="3"/>
  <c r="D2161" i="3"/>
  <c r="D2169" i="3"/>
  <c r="D2177" i="3"/>
  <c r="D2185" i="3"/>
  <c r="D2193" i="3"/>
  <c r="D2201" i="3"/>
  <c r="D2209" i="3"/>
  <c r="H2209" i="3" s="1"/>
  <c r="D2217" i="3"/>
  <c r="H2217" i="3" s="1"/>
  <c r="D2225" i="3"/>
  <c r="I2225" i="3" s="1"/>
  <c r="D2233" i="3"/>
  <c r="D2241" i="3"/>
  <c r="D2249" i="3"/>
  <c r="D2257" i="3"/>
  <c r="D2265" i="3"/>
  <c r="D2273" i="3"/>
  <c r="D2281" i="3"/>
  <c r="D2289" i="3"/>
  <c r="D2297" i="3"/>
  <c r="D2108" i="3"/>
  <c r="D2116" i="3"/>
  <c r="D2124" i="3"/>
  <c r="D2132" i="3"/>
  <c r="D2140" i="3"/>
  <c r="I2140" i="3" s="1"/>
  <c r="D2148" i="3"/>
  <c r="D2156" i="3"/>
  <c r="D2164" i="3"/>
  <c r="D2172" i="3"/>
  <c r="D2180" i="3"/>
  <c r="D2188" i="3"/>
  <c r="D2196" i="3"/>
  <c r="D2204" i="3"/>
  <c r="D2212" i="3"/>
  <c r="D2220" i="3"/>
  <c r="D2228" i="3"/>
  <c r="D2236" i="3"/>
  <c r="D2244" i="3"/>
  <c r="D2252" i="3"/>
  <c r="D2260" i="3"/>
  <c r="D2268" i="3"/>
  <c r="D2276" i="3"/>
  <c r="D2284" i="3"/>
  <c r="D2292" i="3"/>
  <c r="D2300" i="3"/>
  <c r="D2110" i="3"/>
  <c r="D2118" i="3"/>
  <c r="D2126" i="3"/>
  <c r="D2134" i="3"/>
  <c r="D2142" i="3"/>
  <c r="D2150" i="3"/>
  <c r="D2158" i="3"/>
  <c r="D2166" i="3"/>
  <c r="D2174" i="3"/>
  <c r="D2182" i="3"/>
  <c r="D2190" i="3"/>
  <c r="I2190" i="3" s="1"/>
  <c r="D2198" i="3"/>
  <c r="D2206" i="3"/>
  <c r="D2214" i="3"/>
  <c r="D2222" i="3"/>
  <c r="D2230" i="3"/>
  <c r="D2238" i="3"/>
  <c r="D2246" i="3"/>
  <c r="D2254" i="3"/>
  <c r="I2254" i="3" s="1"/>
  <c r="D2262" i="3"/>
  <c r="D2270" i="3"/>
  <c r="D2278" i="3"/>
  <c r="D2286" i="3"/>
  <c r="D2294" i="3"/>
  <c r="D2302" i="3"/>
  <c r="D2111" i="3"/>
  <c r="H2111" i="3" s="1"/>
  <c r="D2119" i="3"/>
  <c r="D2127" i="3"/>
  <c r="D2135" i="3"/>
  <c r="D2143" i="3"/>
  <c r="I2143" i="3" s="1"/>
  <c r="D2151" i="3"/>
  <c r="H2151" i="3" s="1"/>
  <c r="D2159" i="3"/>
  <c r="H2159" i="3" s="1"/>
  <c r="D2167" i="3"/>
  <c r="D2175" i="3"/>
  <c r="D2183" i="3"/>
  <c r="I2183" i="3" s="1"/>
  <c r="D2191" i="3"/>
  <c r="D2199" i="3"/>
  <c r="D2207" i="3"/>
  <c r="D2215" i="3"/>
  <c r="I2215" i="3" s="1"/>
  <c r="D2223" i="3"/>
  <c r="D2231" i="3"/>
  <c r="D2239" i="3"/>
  <c r="D2247" i="3"/>
  <c r="D2255" i="3"/>
  <c r="D2263" i="3"/>
  <c r="D2271" i="3"/>
  <c r="D2279" i="3"/>
  <c r="D2287" i="3"/>
  <c r="H2287" i="3" s="1"/>
  <c r="D2295" i="3"/>
  <c r="D2303" i="3"/>
  <c r="D2120" i="3"/>
  <c r="D2136" i="3"/>
  <c r="D2152" i="3"/>
  <c r="D2168" i="3"/>
  <c r="H2168" i="3" s="1"/>
  <c r="D2184" i="3"/>
  <c r="D2200" i="3"/>
  <c r="H2200" i="3" s="1"/>
  <c r="D2216" i="3"/>
  <c r="D2232" i="3"/>
  <c r="H2232" i="3" s="1"/>
  <c r="D2248" i="3"/>
  <c r="I2248" i="3" s="1"/>
  <c r="D2264" i="3"/>
  <c r="D2280" i="3"/>
  <c r="D2296" i="3"/>
  <c r="H2296" i="3" s="1"/>
  <c r="D2109" i="3"/>
  <c r="D2125" i="3"/>
  <c r="D2141" i="3"/>
  <c r="D2157" i="3"/>
  <c r="D2173" i="3"/>
  <c r="I2173" i="3" s="1"/>
  <c r="D2189" i="3"/>
  <c r="I2189" i="3" s="1"/>
  <c r="D2205" i="3"/>
  <c r="D2221" i="3"/>
  <c r="D2237" i="3"/>
  <c r="D2253" i="3"/>
  <c r="D2269" i="3"/>
  <c r="D2285" i="3"/>
  <c r="D2301" i="3"/>
  <c r="D2112" i="3"/>
  <c r="D2128" i="3"/>
  <c r="D2144" i="3"/>
  <c r="D2160" i="3"/>
  <c r="D2176" i="3"/>
  <c r="D2192" i="3"/>
  <c r="D2208" i="3"/>
  <c r="D2224" i="3"/>
  <c r="I2224" i="3" s="1"/>
  <c r="D2240" i="3"/>
  <c r="D2256" i="3"/>
  <c r="I2256" i="3" s="1"/>
  <c r="D2272" i="3"/>
  <c r="D2288" i="3"/>
  <c r="D2114" i="3"/>
  <c r="D2130" i="3"/>
  <c r="D2146" i="3"/>
  <c r="H2146" i="3" s="1"/>
  <c r="D2162" i="3"/>
  <c r="D2178" i="3"/>
  <c r="D2194" i="3"/>
  <c r="D2210" i="3"/>
  <c r="D2226" i="3"/>
  <c r="H2226" i="3" s="1"/>
  <c r="D2242" i="3"/>
  <c r="D2258" i="3"/>
  <c r="D2274" i="3"/>
  <c r="I2274" i="3" s="1"/>
  <c r="D2290" i="3"/>
  <c r="H2290" i="3" s="1"/>
  <c r="D2115" i="3"/>
  <c r="D2131" i="3"/>
  <c r="D2147" i="3"/>
  <c r="H2147" i="3" s="1"/>
  <c r="D2163" i="3"/>
  <c r="H2163" i="3" s="1"/>
  <c r="D2179" i="3"/>
  <c r="H2179" i="3" s="1"/>
  <c r="D2195" i="3"/>
  <c r="D2211" i="3"/>
  <c r="D2227" i="3"/>
  <c r="D2243" i="3"/>
  <c r="D2259" i="3"/>
  <c r="D2275" i="3"/>
  <c r="I2275" i="3" s="1"/>
  <c r="D2291" i="3"/>
  <c r="D2138" i="3"/>
  <c r="D2181" i="3"/>
  <c r="D2219" i="3"/>
  <c r="D2266" i="3"/>
  <c r="I2266" i="3" s="1"/>
  <c r="D2139" i="3"/>
  <c r="D2186" i="3"/>
  <c r="D2229" i="3"/>
  <c r="I2229" i="3" s="1"/>
  <c r="D2267" i="3"/>
  <c r="D2106" i="3"/>
  <c r="D2149" i="3"/>
  <c r="D2187" i="3"/>
  <c r="D2234" i="3"/>
  <c r="D2277" i="3"/>
  <c r="D2107" i="3"/>
  <c r="I2107" i="3" s="1"/>
  <c r="D2154" i="3"/>
  <c r="D2197" i="3"/>
  <c r="D2235" i="3"/>
  <c r="I2235" i="3" s="1"/>
  <c r="D2282" i="3"/>
  <c r="H2282" i="3" s="1"/>
  <c r="D2117" i="3"/>
  <c r="H2117" i="3" s="1"/>
  <c r="D2155" i="3"/>
  <c r="I2155" i="3" s="1"/>
  <c r="D2202" i="3"/>
  <c r="D2245" i="3"/>
  <c r="I2245" i="3" s="1"/>
  <c r="D2283" i="3"/>
  <c r="D2122" i="3"/>
  <c r="H2122" i="3" s="1"/>
  <c r="D2165" i="3"/>
  <c r="H2165" i="3" s="1"/>
  <c r="D2203" i="3"/>
  <c r="D2250" i="3"/>
  <c r="D2293" i="3"/>
  <c r="D2123" i="3"/>
  <c r="D2170" i="3"/>
  <c r="D2213" i="3"/>
  <c r="D2251" i="3"/>
  <c r="D2298" i="3"/>
  <c r="I2298" i="3" s="1"/>
  <c r="F678" i="3"/>
  <c r="F1596" i="3"/>
  <c r="H1596" i="3" s="1"/>
  <c r="F1943" i="3"/>
  <c r="F5584" i="3"/>
  <c r="D1572" i="3"/>
  <c r="D1570" i="3"/>
  <c r="D1571" i="3"/>
  <c r="F145" i="3"/>
  <c r="D1198" i="3"/>
  <c r="D1197" i="3"/>
  <c r="H1197" i="3" s="1"/>
  <c r="F518" i="3"/>
  <c r="I518" i="3" s="1"/>
  <c r="F1135" i="3"/>
  <c r="F1922" i="3"/>
  <c r="F2121" i="3"/>
  <c r="F4094" i="3"/>
  <c r="F3961" i="3"/>
  <c r="F5074" i="3"/>
  <c r="F5857" i="3"/>
  <c r="F5559" i="3"/>
  <c r="F6115" i="3"/>
  <c r="D679" i="3"/>
  <c r="D687" i="3"/>
  <c r="D683" i="3"/>
  <c r="D691" i="3"/>
  <c r="I691" i="3" s="1"/>
  <c r="D680" i="3"/>
  <c r="D690" i="3"/>
  <c r="D684" i="3"/>
  <c r="D676" i="3"/>
  <c r="I676" i="3" s="1"/>
  <c r="D686" i="3"/>
  <c r="H686" i="3" s="1"/>
  <c r="D677" i="3"/>
  <c r="D688" i="3"/>
  <c r="D678" i="3"/>
  <c r="D689" i="3"/>
  <c r="D682" i="3"/>
  <c r="I682" i="3" s="1"/>
  <c r="D681" i="3"/>
  <c r="D685" i="3"/>
  <c r="F195" i="3"/>
  <c r="F77" i="3"/>
  <c r="F79" i="3"/>
  <c r="F615" i="3"/>
  <c r="H615" i="3" s="1"/>
  <c r="F94" i="3"/>
  <c r="F1197" i="3"/>
  <c r="F1195" i="3"/>
  <c r="F706" i="3"/>
  <c r="F974" i="3"/>
  <c r="H974" i="3" s="1"/>
  <c r="F2112" i="3"/>
  <c r="F1909" i="3"/>
  <c r="F2489" i="3"/>
  <c r="I2489" i="3" s="1"/>
  <c r="F2307" i="3"/>
  <c r="H2307" i="3" s="1"/>
  <c r="F2602" i="3"/>
  <c r="H2602" i="3" s="1"/>
  <c r="F2363" i="3"/>
  <c r="F3180" i="3"/>
  <c r="F2731" i="3"/>
  <c r="F3911" i="3"/>
  <c r="F4088" i="3"/>
  <c r="F3473" i="3"/>
  <c r="F3825" i="3"/>
  <c r="F3921" i="3"/>
  <c r="F3953" i="3"/>
  <c r="F5546" i="3"/>
  <c r="F5065" i="3"/>
  <c r="F5409" i="3"/>
  <c r="F5513" i="3"/>
  <c r="F5787" i="3"/>
  <c r="I5787" i="3" s="1"/>
  <c r="F5854" i="3"/>
  <c r="F6110" i="3"/>
  <c r="D143" i="3"/>
  <c r="D151" i="3"/>
  <c r="D159" i="3"/>
  <c r="H159" i="3" s="1"/>
  <c r="D167" i="3"/>
  <c r="D137" i="3"/>
  <c r="D145" i="3"/>
  <c r="D153" i="3"/>
  <c r="I153" i="3" s="1"/>
  <c r="D161" i="3"/>
  <c r="D169" i="3"/>
  <c r="D139" i="3"/>
  <c r="I139" i="3" s="1"/>
  <c r="D147" i="3"/>
  <c r="D155" i="3"/>
  <c r="H155" i="3" s="1"/>
  <c r="D163" i="3"/>
  <c r="D142" i="3"/>
  <c r="D156" i="3"/>
  <c r="D168" i="3"/>
  <c r="D148" i="3"/>
  <c r="D160" i="3"/>
  <c r="D138" i="3"/>
  <c r="D150" i="3"/>
  <c r="D164" i="3"/>
  <c r="D140" i="3"/>
  <c r="D152" i="3"/>
  <c r="D165" i="3"/>
  <c r="I165" i="3" s="1"/>
  <c r="D141" i="3"/>
  <c r="D154" i="3"/>
  <c r="D166" i="3"/>
  <c r="D146" i="3"/>
  <c r="D158" i="3"/>
  <c r="D170" i="3"/>
  <c r="H170" i="3" s="1"/>
  <c r="D144" i="3"/>
  <c r="D149" i="3"/>
  <c r="D157" i="3"/>
  <c r="D162" i="3"/>
  <c r="F137" i="3"/>
  <c r="F1194" i="3"/>
  <c r="D77" i="3"/>
  <c r="D78" i="3"/>
  <c r="H78" i="3" s="1"/>
  <c r="F188" i="3"/>
  <c r="F743" i="3"/>
  <c r="H743" i="3" s="1"/>
  <c r="F1618" i="3"/>
  <c r="F1357" i="3"/>
  <c r="I1357" i="3" s="1"/>
  <c r="F2360" i="3"/>
  <c r="F2795" i="3"/>
  <c r="F3352" i="3"/>
  <c r="F4642" i="3"/>
  <c r="I4642" i="3" s="1"/>
  <c r="F5540" i="3"/>
  <c r="F6240" i="3"/>
  <c r="H6240" i="3" s="1"/>
  <c r="F6314" i="3"/>
  <c r="H6314" i="3" s="1"/>
  <c r="F5288" i="3"/>
  <c r="F5989" i="3"/>
  <c r="F5926" i="3"/>
  <c r="D7" i="3"/>
  <c r="D15" i="3"/>
  <c r="D9" i="3"/>
  <c r="D17" i="3"/>
  <c r="H17" i="3" s="1"/>
  <c r="D3" i="3"/>
  <c r="D11" i="3"/>
  <c r="D4" i="3"/>
  <c r="D12" i="3"/>
  <c r="H12" i="3" s="1"/>
  <c r="D6" i="3"/>
  <c r="D13" i="3"/>
  <c r="D16" i="3"/>
  <c r="H16" i="3" s="1"/>
  <c r="D5" i="3"/>
  <c r="D10" i="3"/>
  <c r="I10" i="3" s="1"/>
  <c r="D8" i="3"/>
  <c r="F235" i="3"/>
  <c r="F408" i="3"/>
  <c r="F526" i="3"/>
  <c r="F765" i="3"/>
  <c r="F1826" i="3"/>
  <c r="F1395" i="3"/>
  <c r="H1395" i="3" s="1"/>
  <c r="F2822" i="3"/>
  <c r="F1956" i="3"/>
  <c r="F2398" i="3"/>
  <c r="F2157" i="3"/>
  <c r="F3242" i="3"/>
  <c r="F2627" i="3"/>
  <c r="I2627" i="3" s="1"/>
  <c r="F3504" i="3"/>
  <c r="F3985" i="3"/>
  <c r="H3985" i="3" s="1"/>
  <c r="F4746" i="3"/>
  <c r="H4746" i="3" s="1"/>
  <c r="F4667" i="3"/>
  <c r="F4115" i="3"/>
  <c r="F4298" i="3"/>
  <c r="F4539" i="3"/>
  <c r="F5102" i="3"/>
  <c r="F4841" i="3"/>
  <c r="F5871" i="3"/>
  <c r="F6135" i="3"/>
  <c r="F6024" i="3"/>
  <c r="F6553" i="3"/>
  <c r="F5599" i="3"/>
  <c r="F6258" i="3"/>
  <c r="F5940" i="3"/>
  <c r="F6444" i="3"/>
  <c r="D2321" i="3"/>
  <c r="H2321" i="3" s="1"/>
  <c r="D2329" i="3"/>
  <c r="D2337" i="3"/>
  <c r="D2345" i="3"/>
  <c r="D2353" i="3"/>
  <c r="I2353" i="3" s="1"/>
  <c r="D2324" i="3"/>
  <c r="D2332" i="3"/>
  <c r="D2340" i="3"/>
  <c r="D2348" i="3"/>
  <c r="D2356" i="3"/>
  <c r="D2326" i="3"/>
  <c r="D2334" i="3"/>
  <c r="D2342" i="3"/>
  <c r="D2350" i="3"/>
  <c r="D2358" i="3"/>
  <c r="D2327" i="3"/>
  <c r="D2335" i="3"/>
  <c r="I2335" i="3" s="1"/>
  <c r="D2343" i="3"/>
  <c r="D2351" i="3"/>
  <c r="H2351" i="3" s="1"/>
  <c r="D2359" i="3"/>
  <c r="D2328" i="3"/>
  <c r="D2344" i="3"/>
  <c r="D2333" i="3"/>
  <c r="D2349" i="3"/>
  <c r="D2336" i="3"/>
  <c r="D2352" i="3"/>
  <c r="D2322" i="3"/>
  <c r="D2338" i="3"/>
  <c r="D2354" i="3"/>
  <c r="D2323" i="3"/>
  <c r="D2339" i="3"/>
  <c r="D2355" i="3"/>
  <c r="H2355" i="3" s="1"/>
  <c r="D2347" i="3"/>
  <c r="D2357" i="3"/>
  <c r="H2357" i="3" s="1"/>
  <c r="D2325" i="3"/>
  <c r="D2330" i="3"/>
  <c r="D2331" i="3"/>
  <c r="I2331" i="3" s="1"/>
  <c r="D2341" i="3"/>
  <c r="F232" i="3"/>
  <c r="F25" i="3"/>
  <c r="F131" i="3"/>
  <c r="F483" i="3"/>
  <c r="F125" i="3"/>
  <c r="H125" i="3" s="1"/>
  <c r="F381" i="3"/>
  <c r="I381" i="3" s="1"/>
  <c r="F591" i="3"/>
  <c r="F679" i="3"/>
  <c r="F703" i="3"/>
  <c r="H703" i="3" s="1"/>
  <c r="F146" i="3"/>
  <c r="F368" i="3"/>
  <c r="H368" i="3" s="1"/>
  <c r="F708" i="3"/>
  <c r="F763" i="3"/>
  <c r="F892" i="3"/>
  <c r="F102" i="3"/>
  <c r="F406" i="3"/>
  <c r="F62" i="3"/>
  <c r="F673" i="3"/>
  <c r="F976" i="3"/>
  <c r="F1008" i="3"/>
  <c r="F177" i="3"/>
  <c r="F620" i="3"/>
  <c r="F654" i="3"/>
  <c r="F1238" i="3"/>
  <c r="F1270" i="3"/>
  <c r="F693" i="3"/>
  <c r="F847" i="3"/>
  <c r="F989" i="3"/>
  <c r="F1039" i="3"/>
  <c r="F1071" i="3"/>
  <c r="F616" i="3"/>
  <c r="H616" i="3" s="1"/>
  <c r="F732" i="3"/>
  <c r="F970" i="3"/>
  <c r="H970" i="3" s="1"/>
  <c r="F625" i="3"/>
  <c r="F1309" i="3"/>
  <c r="I1309" i="3" s="1"/>
  <c r="F1570" i="3"/>
  <c r="F1898" i="3"/>
  <c r="H1898" i="3" s="1"/>
  <c r="F1716" i="3"/>
  <c r="H1716" i="3" s="1"/>
  <c r="F1597" i="3"/>
  <c r="H1597" i="3" s="1"/>
  <c r="F1393" i="3"/>
  <c r="F1630" i="3"/>
  <c r="F1567" i="3"/>
  <c r="F1575" i="3"/>
  <c r="H1575" i="3" s="1"/>
  <c r="F1140" i="3"/>
  <c r="F1521" i="3"/>
  <c r="F1593" i="3"/>
  <c r="F1780" i="3"/>
  <c r="I1780" i="3" s="1"/>
  <c r="F2312" i="3"/>
  <c r="F2328" i="3"/>
  <c r="F2154" i="3"/>
  <c r="F1824" i="3"/>
  <c r="F1688" i="3"/>
  <c r="H1688" i="3" s="1"/>
  <c r="F2396" i="3"/>
  <c r="F2574" i="3"/>
  <c r="F2774" i="3"/>
  <c r="F2743" i="3"/>
  <c r="H2743" i="3" s="1"/>
  <c r="F2791" i="3"/>
  <c r="F2305" i="3"/>
  <c r="F2625" i="3"/>
  <c r="F2490" i="3"/>
  <c r="H2490" i="3" s="1"/>
  <c r="F2507" i="3"/>
  <c r="F2547" i="3"/>
  <c r="F2732" i="3"/>
  <c r="F3119" i="3"/>
  <c r="F3319" i="3"/>
  <c r="I3319" i="3" s="1"/>
  <c r="F2960" i="3"/>
  <c r="I2960" i="3" s="1"/>
  <c r="F3072" i="3"/>
  <c r="H3072" i="3" s="1"/>
  <c r="F3128" i="3"/>
  <c r="F3240" i="3"/>
  <c r="F2492" i="3"/>
  <c r="F2756" i="3"/>
  <c r="F3185" i="3"/>
  <c r="F2820" i="3"/>
  <c r="F2914" i="3"/>
  <c r="I2914" i="3" s="1"/>
  <c r="F2922" i="3"/>
  <c r="F2954" i="3"/>
  <c r="F3138" i="3"/>
  <c r="H3138" i="3" s="1"/>
  <c r="F3218" i="3"/>
  <c r="F3330" i="3"/>
  <c r="F2520" i="3"/>
  <c r="F2990" i="3"/>
  <c r="F3014" i="3"/>
  <c r="F3038" i="3"/>
  <c r="H3038" i="3" s="1"/>
  <c r="F3174" i="3"/>
  <c r="F3350" i="3"/>
  <c r="F3501" i="3"/>
  <c r="F3789" i="3"/>
  <c r="F3845" i="3"/>
  <c r="H3845" i="3" s="1"/>
  <c r="F3909" i="3"/>
  <c r="H3909" i="3" s="1"/>
  <c r="F3949" i="3"/>
  <c r="F4365" i="3"/>
  <c r="F4421" i="3"/>
  <c r="F3093" i="3"/>
  <c r="F3606" i="3"/>
  <c r="F3662" i="3"/>
  <c r="F3982" i="3"/>
  <c r="I3982" i="3" s="1"/>
  <c r="F4222" i="3"/>
  <c r="F4438" i="3"/>
  <c r="F4112" i="3"/>
  <c r="I4112" i="3" s="1"/>
  <c r="F4296" i="3"/>
  <c r="F3380" i="3"/>
  <c r="F3769" i="3"/>
  <c r="F3905" i="3"/>
  <c r="F4225" i="3"/>
  <c r="F4265" i="3"/>
  <c r="F4537" i="3"/>
  <c r="F3716" i="3"/>
  <c r="F4404" i="3"/>
  <c r="F4386" i="3"/>
  <c r="F4626" i="3"/>
  <c r="F5362" i="3"/>
  <c r="I5362" i="3" s="1"/>
  <c r="F3626" i="3"/>
  <c r="F4444" i="3"/>
  <c r="I4444" i="3" s="1"/>
  <c r="F5099" i="3"/>
  <c r="H5099" i="3" s="1"/>
  <c r="F5411" i="3"/>
  <c r="I5411" i="3" s="1"/>
  <c r="F3923" i="3"/>
  <c r="I3923" i="3" s="1"/>
  <c r="F4467" i="3"/>
  <c r="F4988" i="3"/>
  <c r="F5220" i="3"/>
  <c r="F5006" i="3"/>
  <c r="F5446" i="3"/>
  <c r="F3747" i="3"/>
  <c r="I3747" i="3" s="1"/>
  <c r="F4210" i="3"/>
  <c r="F4783" i="3"/>
  <c r="H4783" i="3" s="1"/>
  <c r="F4839" i="3"/>
  <c r="F4999" i="3"/>
  <c r="F4665" i="3"/>
  <c r="F4921" i="3"/>
  <c r="F5268" i="3"/>
  <c r="F5751" i="3"/>
  <c r="I5751" i="3" s="1"/>
  <c r="F5791" i="3"/>
  <c r="H5791" i="3" s="1"/>
  <c r="F6327" i="3"/>
  <c r="F6415" i="3"/>
  <c r="F6551" i="3"/>
  <c r="F5595" i="3"/>
  <c r="H5595" i="3" s="1"/>
  <c r="F6224" i="3"/>
  <c r="F5048" i="3"/>
  <c r="H5048" i="3" s="1"/>
  <c r="F5785" i="3"/>
  <c r="F6313" i="3"/>
  <c r="F6481" i="3"/>
  <c r="F6410" i="3"/>
  <c r="F6442" i="3"/>
  <c r="H6442" i="3" s="1"/>
  <c r="F6506" i="3"/>
  <c r="H6506" i="3" s="1"/>
  <c r="F6578" i="3"/>
  <c r="I6578" i="3" s="1"/>
  <c r="F5308" i="3"/>
  <c r="F5827" i="3"/>
  <c r="F6132" i="3"/>
  <c r="F6604" i="3"/>
  <c r="F4976" i="3"/>
  <c r="F5024" i="3"/>
  <c r="H5024" i="3" s="1"/>
  <c r="F5484" i="3"/>
  <c r="H5484" i="3" s="1"/>
  <c r="F5869" i="3"/>
  <c r="F4744" i="3"/>
  <c r="F5520" i="3"/>
  <c r="H5520" i="3" s="1"/>
  <c r="F6022" i="3"/>
  <c r="F6389" i="3"/>
  <c r="F6469" i="3"/>
  <c r="F6525" i="3"/>
  <c r="D1905" i="3"/>
  <c r="D1913" i="3"/>
  <c r="D1921" i="3"/>
  <c r="H1921" i="3" s="1"/>
  <c r="D1929" i="3"/>
  <c r="D1937" i="3"/>
  <c r="D1945" i="3"/>
  <c r="D1953" i="3"/>
  <c r="D1961" i="3"/>
  <c r="D1969" i="3"/>
  <c r="D1977" i="3"/>
  <c r="D1985" i="3"/>
  <c r="D1993" i="3"/>
  <c r="D2001" i="3"/>
  <c r="D2009" i="3"/>
  <c r="D2017" i="3"/>
  <c r="D2025" i="3"/>
  <c r="I2025" i="3" s="1"/>
  <c r="D2033" i="3"/>
  <c r="D2041" i="3"/>
  <c r="D2049" i="3"/>
  <c r="H2049" i="3" s="1"/>
  <c r="D2057" i="3"/>
  <c r="D2065" i="3"/>
  <c r="D2073" i="3"/>
  <c r="H2073" i="3" s="1"/>
  <c r="D2081" i="3"/>
  <c r="I2081" i="3" s="1"/>
  <c r="D2089" i="3"/>
  <c r="D2097" i="3"/>
  <c r="D2105" i="3"/>
  <c r="D1908" i="3"/>
  <c r="D1916" i="3"/>
  <c r="D1924" i="3"/>
  <c r="I1924" i="3" s="1"/>
  <c r="D1932" i="3"/>
  <c r="D1940" i="3"/>
  <c r="I1940" i="3" s="1"/>
  <c r="D1948" i="3"/>
  <c r="H1948" i="3" s="1"/>
  <c r="D1956" i="3"/>
  <c r="D1964" i="3"/>
  <c r="D1972" i="3"/>
  <c r="D1980" i="3"/>
  <c r="D1988" i="3"/>
  <c r="D1996" i="3"/>
  <c r="H1996" i="3" s="1"/>
  <c r="D2004" i="3"/>
  <c r="D2012" i="3"/>
  <c r="I2012" i="3" s="1"/>
  <c r="D2020" i="3"/>
  <c r="D2028" i="3"/>
  <c r="D2036" i="3"/>
  <c r="D2044" i="3"/>
  <c r="D2052" i="3"/>
  <c r="H2052" i="3" s="1"/>
  <c r="D2060" i="3"/>
  <c r="D2068" i="3"/>
  <c r="D2076" i="3"/>
  <c r="D2084" i="3"/>
  <c r="D2092" i="3"/>
  <c r="D2100" i="3"/>
  <c r="D1910" i="3"/>
  <c r="D1918" i="3"/>
  <c r="D1926" i="3"/>
  <c r="H1926" i="3" s="1"/>
  <c r="D1934" i="3"/>
  <c r="D1942" i="3"/>
  <c r="D1950" i="3"/>
  <c r="D1958" i="3"/>
  <c r="D1966" i="3"/>
  <c r="D1974" i="3"/>
  <c r="D1982" i="3"/>
  <c r="D1990" i="3"/>
  <c r="D1998" i="3"/>
  <c r="D2006" i="3"/>
  <c r="H2006" i="3" s="1"/>
  <c r="D2014" i="3"/>
  <c r="D2022" i="3"/>
  <c r="D2030" i="3"/>
  <c r="D2038" i="3"/>
  <c r="D2046" i="3"/>
  <c r="D2054" i="3"/>
  <c r="D2062" i="3"/>
  <c r="D2070" i="3"/>
  <c r="D2078" i="3"/>
  <c r="D2086" i="3"/>
  <c r="D2094" i="3"/>
  <c r="D2102" i="3"/>
  <c r="D1911" i="3"/>
  <c r="H1911" i="3" s="1"/>
  <c r="D1919" i="3"/>
  <c r="H1919" i="3" s="1"/>
  <c r="D1927" i="3"/>
  <c r="D1935" i="3"/>
  <c r="D1943" i="3"/>
  <c r="D1951" i="3"/>
  <c r="D1959" i="3"/>
  <c r="H1959" i="3" s="1"/>
  <c r="D1967" i="3"/>
  <c r="H1967" i="3" s="1"/>
  <c r="D1975" i="3"/>
  <c r="I1975" i="3" s="1"/>
  <c r="D1983" i="3"/>
  <c r="H1983" i="3" s="1"/>
  <c r="D1991" i="3"/>
  <c r="D1999" i="3"/>
  <c r="D2007" i="3"/>
  <c r="H2007" i="3" s="1"/>
  <c r="D2015" i="3"/>
  <c r="D2023" i="3"/>
  <c r="D2031" i="3"/>
  <c r="D2039" i="3"/>
  <c r="D2047" i="3"/>
  <c r="D2055" i="3"/>
  <c r="D2063" i="3"/>
  <c r="D2071" i="3"/>
  <c r="D2079" i="3"/>
  <c r="D2087" i="3"/>
  <c r="D2095" i="3"/>
  <c r="D2103" i="3"/>
  <c r="D1904" i="3"/>
  <c r="D1912" i="3"/>
  <c r="D1920" i="3"/>
  <c r="D1928" i="3"/>
  <c r="D1936" i="3"/>
  <c r="D1944" i="3"/>
  <c r="H1944" i="3" s="1"/>
  <c r="D1952" i="3"/>
  <c r="H1952" i="3" s="1"/>
  <c r="D1960" i="3"/>
  <c r="H1960" i="3" s="1"/>
  <c r="D1968" i="3"/>
  <c r="D1976" i="3"/>
  <c r="D1984" i="3"/>
  <c r="H1984" i="3" s="1"/>
  <c r="D1992" i="3"/>
  <c r="H1992" i="3" s="1"/>
  <c r="D2000" i="3"/>
  <c r="D2008" i="3"/>
  <c r="I2008" i="3" s="1"/>
  <c r="D2016" i="3"/>
  <c r="D2024" i="3"/>
  <c r="D2032" i="3"/>
  <c r="D2040" i="3"/>
  <c r="D1909" i="3"/>
  <c r="D1931" i="3"/>
  <c r="D1954" i="3"/>
  <c r="D1973" i="3"/>
  <c r="D1995" i="3"/>
  <c r="D2018" i="3"/>
  <c r="D2037" i="3"/>
  <c r="D2056" i="3"/>
  <c r="D2072" i="3"/>
  <c r="I2072" i="3" s="1"/>
  <c r="D2088" i="3"/>
  <c r="D2104" i="3"/>
  <c r="D1917" i="3"/>
  <c r="D1939" i="3"/>
  <c r="H1939" i="3" s="1"/>
  <c r="D1962" i="3"/>
  <c r="D1981" i="3"/>
  <c r="D2003" i="3"/>
  <c r="D2026" i="3"/>
  <c r="D2045" i="3"/>
  <c r="D2061" i="3"/>
  <c r="D2077" i="3"/>
  <c r="D2093" i="3"/>
  <c r="D1922" i="3"/>
  <c r="D1941" i="3"/>
  <c r="D1963" i="3"/>
  <c r="D1986" i="3"/>
  <c r="D2005" i="3"/>
  <c r="I2005" i="3" s="1"/>
  <c r="D2027" i="3"/>
  <c r="D2048" i="3"/>
  <c r="D2064" i="3"/>
  <c r="H2064" i="3" s="1"/>
  <c r="D2080" i="3"/>
  <c r="D2096" i="3"/>
  <c r="I2096" i="3" s="1"/>
  <c r="D1923" i="3"/>
  <c r="D1946" i="3"/>
  <c r="H1946" i="3" s="1"/>
  <c r="D1965" i="3"/>
  <c r="D1987" i="3"/>
  <c r="D2010" i="3"/>
  <c r="D2029" i="3"/>
  <c r="D2050" i="3"/>
  <c r="H2050" i="3" s="1"/>
  <c r="D2066" i="3"/>
  <c r="D2082" i="3"/>
  <c r="D2098" i="3"/>
  <c r="I2098" i="3" s="1"/>
  <c r="D1906" i="3"/>
  <c r="H1906" i="3" s="1"/>
  <c r="D1925" i="3"/>
  <c r="D1947" i="3"/>
  <c r="D1970" i="3"/>
  <c r="D1989" i="3"/>
  <c r="H1989" i="3" s="1"/>
  <c r="D2011" i="3"/>
  <c r="D2034" i="3"/>
  <c r="D2051" i="3"/>
  <c r="D2067" i="3"/>
  <c r="I2067" i="3" s="1"/>
  <c r="D2083" i="3"/>
  <c r="D2099" i="3"/>
  <c r="D1938" i="3"/>
  <c r="D1997" i="3"/>
  <c r="D2053" i="3"/>
  <c r="D2091" i="3"/>
  <c r="D1949" i="3"/>
  <c r="D2002" i="3"/>
  <c r="D2058" i="3"/>
  <c r="D2101" i="3"/>
  <c r="D1955" i="3"/>
  <c r="D2013" i="3"/>
  <c r="D2059" i="3"/>
  <c r="H2059" i="3" s="1"/>
  <c r="D1907" i="3"/>
  <c r="D1957" i="3"/>
  <c r="D2019" i="3"/>
  <c r="D2069" i="3"/>
  <c r="D1914" i="3"/>
  <c r="D1971" i="3"/>
  <c r="D2021" i="3"/>
  <c r="I2021" i="3" s="1"/>
  <c r="D2074" i="3"/>
  <c r="I2074" i="3" s="1"/>
  <c r="D1915" i="3"/>
  <c r="D1978" i="3"/>
  <c r="D2035" i="3"/>
  <c r="I2035" i="3" s="1"/>
  <c r="D2075" i="3"/>
  <c r="H2075" i="3" s="1"/>
  <c r="D1930" i="3"/>
  <c r="H1930" i="3" s="1"/>
  <c r="D1979" i="3"/>
  <c r="D2042" i="3"/>
  <c r="D2085" i="3"/>
  <c r="I2085" i="3" s="1"/>
  <c r="F227" i="3"/>
  <c r="F403" i="3"/>
  <c r="F525" i="3"/>
  <c r="I525" i="3" s="1"/>
  <c r="F589" i="3"/>
  <c r="F760" i="3"/>
  <c r="F1069" i="3"/>
  <c r="F1306" i="3"/>
  <c r="F1235" i="3"/>
  <c r="F1518" i="3"/>
  <c r="I1518" i="3" s="1"/>
  <c r="F1388" i="3"/>
  <c r="F889" i="3"/>
  <c r="F1820" i="3"/>
  <c r="F1947" i="3"/>
  <c r="F2622" i="3"/>
  <c r="F2713" i="3"/>
  <c r="F2817" i="3"/>
  <c r="F2149" i="3"/>
  <c r="F2390" i="3"/>
  <c r="F3161" i="3"/>
  <c r="I3161" i="3" s="1"/>
  <c r="F3378" i="3"/>
  <c r="F4109" i="3"/>
  <c r="H4109" i="3" s="1"/>
  <c r="F4533" i="3"/>
  <c r="F4464" i="3"/>
  <c r="I4464" i="3" s="1"/>
  <c r="F3237" i="3"/>
  <c r="F3497" i="3"/>
  <c r="F4291" i="3"/>
  <c r="F4835" i="3"/>
  <c r="F3979" i="3"/>
  <c r="F4741" i="3"/>
  <c r="I4741" i="3" s="1"/>
  <c r="F3842" i="3"/>
  <c r="F4662" i="3"/>
  <c r="F4918" i="3"/>
  <c r="F5022" i="3"/>
  <c r="I5022" i="3" s="1"/>
  <c r="F5094" i="3"/>
  <c r="F5217" i="3"/>
  <c r="F6479" i="3"/>
  <c r="F5824" i="3"/>
  <c r="F6256" i="3"/>
  <c r="F6017" i="3"/>
  <c r="F6129" i="3"/>
  <c r="F6601" i="3"/>
  <c r="F5304" i="3"/>
  <c r="F5938" i="3"/>
  <c r="F6386" i="3"/>
  <c r="F6523" i="3"/>
  <c r="F5588" i="3"/>
  <c r="F5748" i="3"/>
  <c r="I5748" i="3" s="1"/>
  <c r="F3786" i="3"/>
  <c r="I3786" i="3" s="1"/>
  <c r="D1625" i="3"/>
  <c r="D1633" i="3"/>
  <c r="I1633" i="3" s="1"/>
  <c r="D1641" i="3"/>
  <c r="D1649" i="3"/>
  <c r="D1657" i="3"/>
  <c r="D1665" i="3"/>
  <c r="D1673" i="3"/>
  <c r="D1681" i="3"/>
  <c r="D1620" i="3"/>
  <c r="D1628" i="3"/>
  <c r="D1636" i="3"/>
  <c r="D1644" i="3"/>
  <c r="D1652" i="3"/>
  <c r="D1660" i="3"/>
  <c r="D1668" i="3"/>
  <c r="D1676" i="3"/>
  <c r="D1684" i="3"/>
  <c r="D1622" i="3"/>
  <c r="D1630" i="3"/>
  <c r="D1638" i="3"/>
  <c r="D1646" i="3"/>
  <c r="D1654" i="3"/>
  <c r="D1662" i="3"/>
  <c r="D1670" i="3"/>
  <c r="D1678" i="3"/>
  <c r="I1678" i="3" s="1"/>
  <c r="D1623" i="3"/>
  <c r="I1623" i="3" s="1"/>
  <c r="D1631" i="3"/>
  <c r="D1639" i="3"/>
  <c r="D1647" i="3"/>
  <c r="D1655" i="3"/>
  <c r="D1663" i="3"/>
  <c r="I1663" i="3" s="1"/>
  <c r="D1671" i="3"/>
  <c r="D1679" i="3"/>
  <c r="D1624" i="3"/>
  <c r="D1632" i="3"/>
  <c r="D1640" i="3"/>
  <c r="D1648" i="3"/>
  <c r="D1656" i="3"/>
  <c r="D1664" i="3"/>
  <c r="D1672" i="3"/>
  <c r="H1672" i="3" s="1"/>
  <c r="D1626" i="3"/>
  <c r="D1645" i="3"/>
  <c r="D1667" i="3"/>
  <c r="I1667" i="3" s="1"/>
  <c r="D1634" i="3"/>
  <c r="I1634" i="3" s="1"/>
  <c r="D1653" i="3"/>
  <c r="D1675" i="3"/>
  <c r="D1618" i="3"/>
  <c r="D1637" i="3"/>
  <c r="H1637" i="3" s="1"/>
  <c r="D1659" i="3"/>
  <c r="D1680" i="3"/>
  <c r="D1619" i="3"/>
  <c r="H1619" i="3" s="1"/>
  <c r="D1642" i="3"/>
  <c r="D1661" i="3"/>
  <c r="D1682" i="3"/>
  <c r="D1621" i="3"/>
  <c r="H1621" i="3" s="1"/>
  <c r="D1643" i="3"/>
  <c r="D1666" i="3"/>
  <c r="D1683" i="3"/>
  <c r="D1674" i="3"/>
  <c r="H1674" i="3" s="1"/>
  <c r="D1635" i="3"/>
  <c r="D1650" i="3"/>
  <c r="D1651" i="3"/>
  <c r="D1658" i="3"/>
  <c r="I1658" i="3" s="1"/>
  <c r="D1677" i="3"/>
  <c r="H1677" i="3" s="1"/>
  <c r="D1627" i="3"/>
  <c r="D1629" i="3"/>
  <c r="F1942" i="3"/>
  <c r="D1569" i="3"/>
  <c r="D1567" i="3"/>
  <c r="D1568" i="3"/>
  <c r="F2386" i="3"/>
  <c r="F5089" i="3"/>
  <c r="H5089" i="3" s="1"/>
  <c r="D1287" i="3"/>
  <c r="D1286" i="3"/>
  <c r="F203" i="3"/>
  <c r="F1061" i="3"/>
  <c r="F1165" i="3"/>
  <c r="F980" i="3"/>
  <c r="F1354" i="3"/>
  <c r="F1702" i="3"/>
  <c r="H1702" i="3" s="1"/>
  <c r="F1806" i="3"/>
  <c r="F1369" i="3"/>
  <c r="F1920" i="3"/>
  <c r="F2120" i="3"/>
  <c r="I2120" i="3" s="1"/>
  <c r="F2374" i="3"/>
  <c r="F3226" i="3"/>
  <c r="F3478" i="3"/>
  <c r="F3655" i="3"/>
  <c r="F3960" i="3"/>
  <c r="F2804" i="3"/>
  <c r="F4276" i="3"/>
  <c r="F4518" i="3"/>
  <c r="F5558" i="3"/>
  <c r="F4823" i="3"/>
  <c r="F4649" i="3"/>
  <c r="F6000" i="3"/>
  <c r="D647" i="3"/>
  <c r="D655" i="3"/>
  <c r="D663" i="3"/>
  <c r="D671" i="3"/>
  <c r="D651" i="3"/>
  <c r="D659" i="3"/>
  <c r="D667" i="3"/>
  <c r="I667" i="3" s="1"/>
  <c r="D649" i="3"/>
  <c r="H649" i="3" s="1"/>
  <c r="D660" i="3"/>
  <c r="D670" i="3"/>
  <c r="D653" i="3"/>
  <c r="D664" i="3"/>
  <c r="D656" i="3"/>
  <c r="D666" i="3"/>
  <c r="D646" i="3"/>
  <c r="H646" i="3" s="1"/>
  <c r="D657" i="3"/>
  <c r="D668" i="3"/>
  <c r="D648" i="3"/>
  <c r="D658" i="3"/>
  <c r="D669" i="3"/>
  <c r="D650" i="3"/>
  <c r="D661" i="3"/>
  <c r="D665" i="3"/>
  <c r="I665" i="3" s="1"/>
  <c r="D672" i="3"/>
  <c r="I672" i="3" s="1"/>
  <c r="D662" i="3"/>
  <c r="D652" i="3"/>
  <c r="D654" i="3"/>
  <c r="H654" i="3" s="1"/>
  <c r="F387" i="3"/>
  <c r="F1699" i="3"/>
  <c r="H1699" i="3" s="1"/>
  <c r="F516" i="3"/>
  <c r="F2111" i="3"/>
  <c r="F1908" i="3"/>
  <c r="F3472" i="3"/>
  <c r="F3952" i="3"/>
  <c r="F3221" i="3"/>
  <c r="D135" i="3"/>
  <c r="D129" i="3"/>
  <c r="D131" i="3"/>
  <c r="F6109" i="3"/>
  <c r="D130" i="3"/>
  <c r="H130" i="3" s="1"/>
  <c r="D134" i="3"/>
  <c r="D128" i="3"/>
  <c r="D133" i="3"/>
  <c r="D136" i="3"/>
  <c r="D132" i="3"/>
  <c r="F191" i="3"/>
  <c r="F385" i="3"/>
  <c r="F874" i="3"/>
  <c r="F2361" i="3"/>
  <c r="F2796" i="3"/>
  <c r="F3469" i="3"/>
  <c r="F4511" i="3"/>
  <c r="F4815" i="3"/>
  <c r="F5289" i="3"/>
  <c r="F5208" i="3"/>
  <c r="F5813" i="3"/>
  <c r="D71" i="3"/>
  <c r="D73" i="3"/>
  <c r="D67" i="3"/>
  <c r="D75" i="3"/>
  <c r="I75" i="3" s="1"/>
  <c r="D68" i="3"/>
  <c r="D72" i="3"/>
  <c r="D76" i="3"/>
  <c r="D66" i="3"/>
  <c r="H66" i="3" s="1"/>
  <c r="D69" i="3"/>
  <c r="D74" i="3"/>
  <c r="D70" i="3"/>
  <c r="F2303" i="3"/>
  <c r="F6219" i="3"/>
  <c r="I6219" i="3" s="1"/>
  <c r="F359" i="3"/>
  <c r="F474" i="3"/>
  <c r="F960" i="3"/>
  <c r="F1130" i="3"/>
  <c r="F1682" i="3"/>
  <c r="F1508" i="3"/>
  <c r="F1895" i="3"/>
  <c r="F2100" i="3"/>
  <c r="F2705" i="3"/>
  <c r="F2300" i="3"/>
  <c r="F2488" i="3"/>
  <c r="F3303" i="3"/>
  <c r="F2890" i="3"/>
  <c r="I2890" i="3" s="1"/>
  <c r="F3598" i="3"/>
  <c r="F4358" i="3"/>
  <c r="F3711" i="3"/>
  <c r="F3460" i="3"/>
  <c r="F4082" i="3"/>
  <c r="F4618" i="3"/>
  <c r="F4906" i="3"/>
  <c r="H4906" i="3" s="1"/>
  <c r="F5346" i="3"/>
  <c r="F5204" i="3"/>
  <c r="F4729" i="3"/>
  <c r="F6104" i="3"/>
  <c r="F5738" i="3"/>
  <c r="F6218" i="3"/>
  <c r="F6306" i="3"/>
  <c r="H6306" i="3" s="1"/>
  <c r="F5851" i="3"/>
  <c r="I5851" i="3" s="1"/>
  <c r="F6572" i="3"/>
  <c r="F5982" i="3"/>
  <c r="F6373" i="3"/>
  <c r="F355" i="3"/>
  <c r="F837" i="3"/>
  <c r="H837" i="3" s="1"/>
  <c r="F1265" i="3"/>
  <c r="H1265" i="3" s="1"/>
  <c r="F1504" i="3"/>
  <c r="I1504" i="3" s="1"/>
  <c r="F2889" i="3"/>
  <c r="F2484" i="3"/>
  <c r="F3822" i="3"/>
  <c r="F3457" i="3"/>
  <c r="F4726" i="3"/>
  <c r="F5345" i="3"/>
  <c r="F4904" i="3"/>
  <c r="F6303" i="3"/>
  <c r="I6303" i="3" s="1"/>
  <c r="F4616" i="3"/>
  <c r="F5850" i="3"/>
  <c r="I5850" i="3" s="1"/>
  <c r="F5980" i="3"/>
  <c r="F5200" i="3"/>
  <c r="F5734" i="3"/>
  <c r="F6102" i="3"/>
  <c r="F2289" i="3"/>
  <c r="I2289" i="3" s="1"/>
  <c r="F2092" i="3"/>
  <c r="F5729" i="3"/>
  <c r="I5729" i="3" s="1"/>
  <c r="F45" i="3"/>
  <c r="I45" i="3" s="1"/>
  <c r="F341" i="3"/>
  <c r="F671" i="3"/>
  <c r="F828" i="3"/>
  <c r="I828" i="3" s="1"/>
  <c r="F869" i="3"/>
  <c r="F465" i="3"/>
  <c r="F1121" i="3"/>
  <c r="F950" i="3"/>
  <c r="F1491" i="3"/>
  <c r="F1676" i="3"/>
  <c r="F1051" i="3"/>
  <c r="F1767" i="3"/>
  <c r="H1767" i="3" s="1"/>
  <c r="F2083" i="3"/>
  <c r="F2694" i="3"/>
  <c r="F2277" i="3"/>
  <c r="H2277" i="3" s="1"/>
  <c r="F2561" i="3"/>
  <c r="F2474" i="3"/>
  <c r="F2975" i="3"/>
  <c r="F2880" i="3"/>
  <c r="F3113" i="3"/>
  <c r="F2587" i="3"/>
  <c r="F3214" i="3"/>
  <c r="F3894" i="3"/>
  <c r="H3894" i="3" s="1"/>
  <c r="F4198" i="3"/>
  <c r="F4382" i="3"/>
  <c r="I4382" i="3" s="1"/>
  <c r="F4399" i="3"/>
  <c r="I4399" i="3" s="1"/>
  <c r="F3584" i="3"/>
  <c r="F3293" i="3"/>
  <c r="F3937" i="3"/>
  <c r="F4073" i="3"/>
  <c r="F5258" i="3"/>
  <c r="F3763" i="3"/>
  <c r="F5059" i="3"/>
  <c r="I5059" i="3" s="1"/>
  <c r="F4718" i="3"/>
  <c r="F4894" i="3"/>
  <c r="F5190" i="3"/>
  <c r="F5430" i="3"/>
  <c r="F4607" i="3"/>
  <c r="F5537" i="3"/>
  <c r="I5537" i="3" s="1"/>
  <c r="F5800" i="3"/>
  <c r="F5472" i="3"/>
  <c r="F6209" i="3"/>
  <c r="H6209" i="3" s="1"/>
  <c r="F6466" i="3"/>
  <c r="F5916" i="3"/>
  <c r="F5718" i="3"/>
  <c r="F947" i="3"/>
  <c r="F460" i="3"/>
  <c r="F1118" i="3"/>
  <c r="F1262" i="3"/>
  <c r="F568" i="3"/>
  <c r="F336" i="3"/>
  <c r="F1486" i="3"/>
  <c r="F1883" i="3"/>
  <c r="F2271" i="3"/>
  <c r="F1764" i="3"/>
  <c r="F2471" i="3"/>
  <c r="F2877" i="3"/>
  <c r="F2076" i="3"/>
  <c r="F3290" i="3"/>
  <c r="F2691" i="3"/>
  <c r="I2691" i="3" s="1"/>
  <c r="F3445" i="3"/>
  <c r="F4351" i="3"/>
  <c r="F4192" i="3"/>
  <c r="I4192" i="3" s="1"/>
  <c r="F4715" i="3"/>
  <c r="F4891" i="3"/>
  <c r="F5187" i="3"/>
  <c r="I5187" i="3" s="1"/>
  <c r="F3579" i="3"/>
  <c r="F4604" i="3"/>
  <c r="F5341" i="3"/>
  <c r="F4067" i="3"/>
  <c r="H4067" i="3" s="1"/>
  <c r="F5254" i="3"/>
  <c r="F3818" i="3"/>
  <c r="F5713" i="3"/>
  <c r="F6297" i="3"/>
  <c r="F6091" i="3"/>
  <c r="F5973" i="3"/>
  <c r="H5973" i="3" s="1"/>
  <c r="F6205" i="3"/>
  <c r="F6405" i="3"/>
  <c r="F40" i="3"/>
  <c r="F331" i="3"/>
  <c r="F459" i="3"/>
  <c r="F565" i="3"/>
  <c r="I565" i="3" s="1"/>
  <c r="F689" i="3"/>
  <c r="F866" i="3"/>
  <c r="F943" i="3"/>
  <c r="F821" i="3"/>
  <c r="F1159" i="3"/>
  <c r="H1159" i="3" s="1"/>
  <c r="F716" i="3"/>
  <c r="F1588" i="3"/>
  <c r="H1588" i="3" s="1"/>
  <c r="F1343" i="3"/>
  <c r="H1343" i="3" s="1"/>
  <c r="F1670" i="3"/>
  <c r="F1115" i="3"/>
  <c r="H1115" i="3" s="1"/>
  <c r="F1481" i="3"/>
  <c r="F1761" i="3"/>
  <c r="F2070" i="3"/>
  <c r="F2352" i="3"/>
  <c r="F2686" i="3"/>
  <c r="F2265" i="3"/>
  <c r="F2786" i="3"/>
  <c r="F2557" i="3"/>
  <c r="F3287" i="3"/>
  <c r="F2466" i="3"/>
  <c r="F2972" i="3"/>
  <c r="H2972" i="3" s="1"/>
  <c r="F3150" i="3"/>
  <c r="F2933" i="3"/>
  <c r="F3934" i="3"/>
  <c r="I3934" i="3" s="1"/>
  <c r="F4062" i="3"/>
  <c r="F2763" i="3"/>
  <c r="I2763" i="3" s="1"/>
  <c r="F3576" i="3"/>
  <c r="F3760" i="3"/>
  <c r="I3760" i="3" s="1"/>
  <c r="F3211" i="3"/>
  <c r="I3211" i="3" s="1"/>
  <c r="F3441" i="3"/>
  <c r="F3889" i="3"/>
  <c r="F2584" i="3"/>
  <c r="H2584" i="3" s="1"/>
  <c r="F3700" i="3"/>
  <c r="F4396" i="3"/>
  <c r="F4602" i="3"/>
  <c r="F5427" i="3"/>
  <c r="F5467" i="3"/>
  <c r="H5467" i="3" s="1"/>
  <c r="F4788" i="3"/>
  <c r="F5012" i="3"/>
  <c r="F3634" i="3"/>
  <c r="F5397" i="3"/>
  <c r="F2875" i="3"/>
  <c r="F4990" i="3"/>
  <c r="F4951" i="3"/>
  <c r="F5183" i="3"/>
  <c r="F4499" i="3"/>
  <c r="H4499" i="3" s="1"/>
  <c r="F5911" i="3"/>
  <c r="I5911" i="3" s="1"/>
  <c r="F6200" i="3"/>
  <c r="F4712" i="3"/>
  <c r="F6585" i="3"/>
  <c r="F4186" i="3"/>
  <c r="F5056" i="3"/>
  <c r="F5252" i="3"/>
  <c r="F6514" i="3"/>
  <c r="H6514" i="3" s="1"/>
  <c r="F5707" i="3"/>
  <c r="F6363" i="3"/>
  <c r="I6363" i="3" s="1"/>
  <c r="F6420" i="3"/>
  <c r="F4888" i="3"/>
  <c r="F5504" i="3"/>
  <c r="F5774" i="3"/>
  <c r="F5798" i="3"/>
  <c r="I5798" i="3" s="1"/>
  <c r="F6086" i="3"/>
  <c r="F1111" i="3"/>
  <c r="F322" i="3"/>
  <c r="H322" i="3" s="1"/>
  <c r="F1340" i="3"/>
  <c r="F1666" i="3"/>
  <c r="F815" i="3"/>
  <c r="F1551" i="3"/>
  <c r="F1473" i="3"/>
  <c r="F2058" i="3"/>
  <c r="F2460" i="3"/>
  <c r="F1877" i="3"/>
  <c r="F2679" i="3"/>
  <c r="F2871" i="3"/>
  <c r="F2257" i="3"/>
  <c r="F4341" i="3"/>
  <c r="I4341" i="3" s="1"/>
  <c r="F3696" i="3"/>
  <c r="H3696" i="3" s="1"/>
  <c r="F3435" i="3"/>
  <c r="F4706" i="3"/>
  <c r="F4883" i="3"/>
  <c r="F4948" i="3"/>
  <c r="F4597" i="3"/>
  <c r="F5174" i="3"/>
  <c r="F3883" i="3"/>
  <c r="F6359" i="3"/>
  <c r="H6359" i="3" s="1"/>
  <c r="F5696" i="3"/>
  <c r="F6080" i="3"/>
  <c r="F5340" i="3"/>
  <c r="F6498" i="3"/>
  <c r="H6498" i="3" s="1"/>
  <c r="F319" i="3"/>
  <c r="F811" i="3"/>
  <c r="F452" i="3"/>
  <c r="F1109" i="3"/>
  <c r="F937" i="3"/>
  <c r="F1550" i="3"/>
  <c r="F1471" i="3"/>
  <c r="H1471" i="3" s="1"/>
  <c r="F1339" i="3"/>
  <c r="F2255" i="3"/>
  <c r="F1875" i="3"/>
  <c r="F2051" i="3"/>
  <c r="H2051" i="3" s="1"/>
  <c r="F1664" i="3"/>
  <c r="F1756" i="3"/>
  <c r="F2675" i="3"/>
  <c r="H2675" i="3" s="1"/>
  <c r="F3282" i="3"/>
  <c r="F3694" i="3"/>
  <c r="F3432" i="3"/>
  <c r="F4496" i="3"/>
  <c r="F3569" i="3"/>
  <c r="F4593" i="3"/>
  <c r="F4947" i="3"/>
  <c r="F4339" i="3"/>
  <c r="F4703" i="3"/>
  <c r="F4881" i="3"/>
  <c r="F5249" i="3"/>
  <c r="F5693" i="3"/>
  <c r="F6077" i="3"/>
  <c r="F6358" i="3"/>
  <c r="F64" i="3"/>
  <c r="F136" i="3"/>
  <c r="F184" i="3"/>
  <c r="F39" i="3"/>
  <c r="F687" i="3"/>
  <c r="F316" i="3"/>
  <c r="F622" i="3"/>
  <c r="I622" i="3" s="1"/>
  <c r="F1027" i="3"/>
  <c r="H1027" i="3" s="1"/>
  <c r="F700" i="3"/>
  <c r="F166" i="3"/>
  <c r="F449" i="3"/>
  <c r="F1158" i="3"/>
  <c r="F807" i="3"/>
  <c r="H807" i="3" s="1"/>
  <c r="F1047" i="3"/>
  <c r="F935" i="3"/>
  <c r="F862" i="3"/>
  <c r="F1281" i="3"/>
  <c r="F1337" i="3"/>
  <c r="F1586" i="3"/>
  <c r="F1754" i="3"/>
  <c r="F1468" i="3"/>
  <c r="F1549" i="3"/>
  <c r="F1662" i="3"/>
  <c r="F1107" i="3"/>
  <c r="F1873" i="3"/>
  <c r="F2047" i="3"/>
  <c r="F2251" i="3"/>
  <c r="F2582" i="3"/>
  <c r="F2673" i="3"/>
  <c r="F2753" i="3"/>
  <c r="F2348" i="3"/>
  <c r="H2348" i="3" s="1"/>
  <c r="F2762" i="3"/>
  <c r="F2794" i="3"/>
  <c r="F2318" i="3"/>
  <c r="H2318" i="3" s="1"/>
  <c r="F2455" i="3"/>
  <c r="F2531" i="3"/>
  <c r="F3280" i="3"/>
  <c r="F3209" i="3"/>
  <c r="F3058" i="3"/>
  <c r="F2998" i="3"/>
  <c r="H2998" i="3" s="1"/>
  <c r="F2556" i="3"/>
  <c r="F3933" i="3"/>
  <c r="F3430" i="3"/>
  <c r="F3566" i="3"/>
  <c r="F3638" i="3"/>
  <c r="F3758" i="3"/>
  <c r="F4414" i="3"/>
  <c r="F4494" i="3"/>
  <c r="F3879" i="3"/>
  <c r="F4215" i="3"/>
  <c r="I4215" i="3" s="1"/>
  <c r="F4591" i="3"/>
  <c r="F2866" i="3"/>
  <c r="F3617" i="3"/>
  <c r="F3633" i="3"/>
  <c r="F4049" i="3"/>
  <c r="F4337" i="3"/>
  <c r="F4377" i="3"/>
  <c r="I4377" i="3" s="1"/>
  <c r="F4449" i="3"/>
  <c r="H4449" i="3" s="1"/>
  <c r="F2971" i="3"/>
  <c r="F2931" i="3"/>
  <c r="I2931" i="3" s="1"/>
  <c r="F3692" i="3"/>
  <c r="F4172" i="3"/>
  <c r="F5426" i="3"/>
  <c r="F5466" i="3"/>
  <c r="F4787" i="3"/>
  <c r="F5011" i="3"/>
  <c r="F4395" i="3"/>
  <c r="F4701" i="3"/>
  <c r="F4765" i="3"/>
  <c r="F5277" i="3"/>
  <c r="F5501" i="3"/>
  <c r="F5533" i="3"/>
  <c r="H5533" i="3" s="1"/>
  <c r="F5246" i="3"/>
  <c r="F4879" i="3"/>
  <c r="F5039" i="3"/>
  <c r="H5039" i="3" s="1"/>
  <c r="F5167" i="3"/>
  <c r="F4945" i="3"/>
  <c r="F5393" i="3"/>
  <c r="F6511" i="3"/>
  <c r="F6584" i="3"/>
  <c r="H6584" i="3" s="1"/>
  <c r="F5690" i="3"/>
  <c r="F5770" i="3"/>
  <c r="I5770" i="3" s="1"/>
  <c r="F5906" i="3"/>
  <c r="F6075" i="3"/>
  <c r="I6075" i="3" s="1"/>
  <c r="F5796" i="3"/>
  <c r="F6356" i="3"/>
  <c r="F6565" i="3"/>
  <c r="I6565" i="3" s="1"/>
  <c r="F6461" i="3"/>
  <c r="I6461" i="3" s="1"/>
  <c r="F164" i="3"/>
  <c r="F5514" i="3"/>
  <c r="H5514" i="3" s="1"/>
  <c r="F307" i="3"/>
  <c r="I307" i="3" s="1"/>
  <c r="F441" i="3"/>
  <c r="F800" i="3"/>
  <c r="F1458" i="3"/>
  <c r="F1746" i="3"/>
  <c r="I1746" i="3" s="1"/>
  <c r="F1866" i="3"/>
  <c r="F1100" i="3"/>
  <c r="F2243" i="3"/>
  <c r="I2243" i="3" s="1"/>
  <c r="F2037" i="3"/>
  <c r="F2554" i="3"/>
  <c r="F2666" i="3"/>
  <c r="F2447" i="3"/>
  <c r="F3273" i="3"/>
  <c r="F2859" i="3"/>
  <c r="H2859" i="3" s="1"/>
  <c r="F4165" i="3"/>
  <c r="H4165" i="3" s="1"/>
  <c r="F3558" i="3"/>
  <c r="F3423" i="3"/>
  <c r="F3615" i="3"/>
  <c r="F4583" i="3"/>
  <c r="H4583" i="3" s="1"/>
  <c r="F4041" i="3"/>
  <c r="F5243" i="3"/>
  <c r="F4330" i="3"/>
  <c r="F4693" i="3"/>
  <c r="F5159" i="3"/>
  <c r="F4873" i="3"/>
  <c r="F5682" i="3"/>
  <c r="F6067" i="3"/>
  <c r="F6182" i="3"/>
  <c r="F71" i="3"/>
  <c r="H71" i="3" s="1"/>
  <c r="F439" i="3"/>
  <c r="F302" i="3"/>
  <c r="F797" i="3"/>
  <c r="F925" i="3"/>
  <c r="F1097" i="3"/>
  <c r="F1329" i="3"/>
  <c r="F1453" i="3"/>
  <c r="F1542" i="3"/>
  <c r="F1742" i="3"/>
  <c r="F1655" i="3"/>
  <c r="F1863" i="3"/>
  <c r="F2032" i="3"/>
  <c r="F2444" i="3"/>
  <c r="F2238" i="3"/>
  <c r="F3106" i="3"/>
  <c r="F2856" i="3"/>
  <c r="F3270" i="3"/>
  <c r="F3685" i="3"/>
  <c r="H3685" i="3" s="1"/>
  <c r="F3869" i="3"/>
  <c r="F4037" i="3"/>
  <c r="F3726" i="3"/>
  <c r="F4326" i="3"/>
  <c r="F4487" i="3"/>
  <c r="F4160" i="3"/>
  <c r="F4233" i="3"/>
  <c r="F3053" i="3"/>
  <c r="I3053" i="3" s="1"/>
  <c r="F3420" i="3"/>
  <c r="F2660" i="3"/>
  <c r="I2660" i="3" s="1"/>
  <c r="F4690" i="3"/>
  <c r="F5387" i="3"/>
  <c r="F4580" i="3"/>
  <c r="F5156" i="3"/>
  <c r="F3554" i="3"/>
  <c r="F4871" i="3"/>
  <c r="F6063" i="3"/>
  <c r="F6281" i="3"/>
  <c r="F6178" i="3"/>
  <c r="I6178" i="3" s="1"/>
  <c r="F6491" i="3"/>
  <c r="F5463" i="3"/>
  <c r="F5675" i="3"/>
  <c r="F6349" i="3"/>
  <c r="I6349" i="3" s="1"/>
  <c r="F298" i="3"/>
  <c r="F1450" i="3"/>
  <c r="I1450" i="3" s="1"/>
  <c r="F2233" i="3"/>
  <c r="F3551" i="3"/>
  <c r="F5670" i="3"/>
  <c r="F292" i="3"/>
  <c r="F1093" i="3"/>
  <c r="F1446" i="3"/>
  <c r="F1857" i="3"/>
  <c r="I1857" i="3" s="1"/>
  <c r="F2655" i="3"/>
  <c r="I2655" i="3" s="1"/>
  <c r="F2437" i="3"/>
  <c r="F2853" i="3"/>
  <c r="F3415" i="3"/>
  <c r="F4575" i="3"/>
  <c r="F4321" i="3"/>
  <c r="I4321" i="3" s="1"/>
  <c r="F5330" i="3"/>
  <c r="H5330" i="3" s="1"/>
  <c r="F4687" i="3"/>
  <c r="F6057" i="3"/>
  <c r="F5665" i="3"/>
  <c r="F8" i="3"/>
  <c r="F789" i="3"/>
  <c r="F918" i="3"/>
  <c r="F288" i="3"/>
  <c r="F1442" i="3"/>
  <c r="I1442" i="3" s="1"/>
  <c r="F2434" i="3"/>
  <c r="F2019" i="3"/>
  <c r="F2221" i="3"/>
  <c r="F2652" i="3"/>
  <c r="F2850" i="3"/>
  <c r="F3413" i="3"/>
  <c r="F5661" i="3"/>
  <c r="F5954" i="3"/>
  <c r="I5954" i="3" s="1"/>
  <c r="F4572" i="3"/>
  <c r="F5328" i="3"/>
  <c r="F6054" i="3"/>
  <c r="F6277" i="3"/>
  <c r="D4627" i="3"/>
  <c r="H4627" i="3" s="1"/>
  <c r="D4635" i="3"/>
  <c r="D4628" i="3"/>
  <c r="D4636" i="3"/>
  <c r="I4636" i="3" s="1"/>
  <c r="F3410" i="3"/>
  <c r="F5656" i="3"/>
  <c r="D4435" i="3"/>
  <c r="D4436" i="3"/>
  <c r="F493" i="3"/>
  <c r="F995" i="3"/>
  <c r="F58" i="3"/>
  <c r="H58" i="3" s="1"/>
  <c r="F108" i="3"/>
  <c r="H108" i="3" s="1"/>
  <c r="F90" i="3"/>
  <c r="H90" i="3" s="1"/>
  <c r="F786" i="3"/>
  <c r="I786" i="3" s="1"/>
  <c r="F1018" i="3"/>
  <c r="H1018" i="3" s="1"/>
  <c r="F1150" i="3"/>
  <c r="I1150" i="3" s="1"/>
  <c r="F1222" i="3"/>
  <c r="F640" i="3"/>
  <c r="F1183" i="3"/>
  <c r="F282" i="3"/>
  <c r="I282" i="3" s="1"/>
  <c r="F1088" i="3"/>
  <c r="H1088" i="3" s="1"/>
  <c r="F662" i="3"/>
  <c r="F600" i="3"/>
  <c r="F1250" i="3"/>
  <c r="F1322" i="3"/>
  <c r="H1322" i="3" s="1"/>
  <c r="F1786" i="3"/>
  <c r="F1850" i="3"/>
  <c r="H1850" i="3" s="1"/>
  <c r="F1731" i="3"/>
  <c r="H1731" i="3" s="1"/>
  <c r="F914" i="3"/>
  <c r="F1212" i="3"/>
  <c r="F1437" i="3"/>
  <c r="F1646" i="3"/>
  <c r="F1535" i="3"/>
  <c r="H1535" i="3" s="1"/>
  <c r="F1696" i="3"/>
  <c r="F2010" i="3"/>
  <c r="F1171" i="3"/>
  <c r="F2846" i="3"/>
  <c r="F2213" i="3"/>
  <c r="F2527" i="3"/>
  <c r="I2527" i="3" s="1"/>
  <c r="F2337" i="3"/>
  <c r="F2721" i="3"/>
  <c r="F2427" i="3"/>
  <c r="F2781" i="3"/>
  <c r="F3079" i="3"/>
  <c r="I3079" i="3" s="1"/>
  <c r="F3103" i="3"/>
  <c r="F3167" i="3"/>
  <c r="I3167" i="3" s="1"/>
  <c r="F3048" i="3"/>
  <c r="I3048" i="3" s="1"/>
  <c r="F3678" i="3"/>
  <c r="F3259" i="3"/>
  <c r="I3259" i="3" s="1"/>
  <c r="F3647" i="3"/>
  <c r="F4144" i="3"/>
  <c r="H4144" i="3" s="1"/>
  <c r="F3409" i="3"/>
  <c r="F4481" i="3"/>
  <c r="H4481" i="3" s="1"/>
  <c r="F4569" i="3"/>
  <c r="F3804" i="3"/>
  <c r="F4252" i="3"/>
  <c r="F4682" i="3"/>
  <c r="F4755" i="3"/>
  <c r="F5275" i="3"/>
  <c r="F5141" i="3"/>
  <c r="F5285" i="3"/>
  <c r="F5325" i="3"/>
  <c r="F4862" i="3"/>
  <c r="F4934" i="3"/>
  <c r="F4807" i="3"/>
  <c r="F3538" i="3"/>
  <c r="F3755" i="3"/>
  <c r="H3755" i="3" s="1"/>
  <c r="F5457" i="3"/>
  <c r="F5839" i="3"/>
  <c r="H5839" i="3" s="1"/>
  <c r="F5492" i="3"/>
  <c r="H5492" i="3" s="1"/>
  <c r="F6561" i="3"/>
  <c r="F5762" i="3"/>
  <c r="F5652" i="3"/>
  <c r="F6051" i="3"/>
  <c r="F6163" i="3"/>
  <c r="I6163" i="3" s="1"/>
  <c r="F6396" i="3"/>
  <c r="I6396" i="3" s="1"/>
  <c r="F5781" i="3"/>
  <c r="F5032" i="3"/>
  <c r="F5236" i="3"/>
  <c r="F6486" i="3"/>
  <c r="F6533" i="3"/>
  <c r="F6342" i="3"/>
  <c r="H6342" i="3" s="1"/>
  <c r="D4272" i="3"/>
  <c r="H4272" i="3" s="1"/>
  <c r="D4280" i="3"/>
  <c r="D4288" i="3"/>
  <c r="D4296" i="3"/>
  <c r="D4304" i="3"/>
  <c r="H4304" i="3" s="1"/>
  <c r="D4312" i="3"/>
  <c r="D4320" i="3"/>
  <c r="I4320" i="3" s="1"/>
  <c r="D4328" i="3"/>
  <c r="D4336" i="3"/>
  <c r="D4344" i="3"/>
  <c r="D4352" i="3"/>
  <c r="I4352" i="3" s="1"/>
  <c r="D4360" i="3"/>
  <c r="D4273" i="3"/>
  <c r="D4281" i="3"/>
  <c r="D4289" i="3"/>
  <c r="I4289" i="3" s="1"/>
  <c r="D4297" i="3"/>
  <c r="D4305" i="3"/>
  <c r="D4313" i="3"/>
  <c r="I4313" i="3" s="1"/>
  <c r="D4321" i="3"/>
  <c r="D4275" i="3"/>
  <c r="D4283" i="3"/>
  <c r="I4283" i="3" s="1"/>
  <c r="D4291" i="3"/>
  <c r="D4299" i="3"/>
  <c r="D4307" i="3"/>
  <c r="D4315" i="3"/>
  <c r="D4323" i="3"/>
  <c r="D4331" i="3"/>
  <c r="D4339" i="3"/>
  <c r="I4339" i="3" s="1"/>
  <c r="D4347" i="3"/>
  <c r="I4347" i="3" s="1"/>
  <c r="D4355" i="3"/>
  <c r="I4355" i="3" s="1"/>
  <c r="D4276" i="3"/>
  <c r="D4284" i="3"/>
  <c r="D4292" i="3"/>
  <c r="D4300" i="3"/>
  <c r="D4308" i="3"/>
  <c r="D4316" i="3"/>
  <c r="D4324" i="3"/>
  <c r="D4332" i="3"/>
  <c r="D4340" i="3"/>
  <c r="D4348" i="3"/>
  <c r="D4356" i="3"/>
  <c r="D4269" i="3"/>
  <c r="I4269" i="3" s="1"/>
  <c r="D4277" i="3"/>
  <c r="D4285" i="3"/>
  <c r="D4293" i="3"/>
  <c r="D4301" i="3"/>
  <c r="D4309" i="3"/>
  <c r="D4317" i="3"/>
  <c r="D4325" i="3"/>
  <c r="D4333" i="3"/>
  <c r="D4341" i="3"/>
  <c r="D4349" i="3"/>
  <c r="I4349" i="3" s="1"/>
  <c r="D4357" i="3"/>
  <c r="D4270" i="3"/>
  <c r="D4278" i="3"/>
  <c r="D4286" i="3"/>
  <c r="D4294" i="3"/>
  <c r="D4302" i="3"/>
  <c r="D4310" i="3"/>
  <c r="D4318" i="3"/>
  <c r="D4326" i="3"/>
  <c r="D4334" i="3"/>
  <c r="I4334" i="3" s="1"/>
  <c r="D4342" i="3"/>
  <c r="D4350" i="3"/>
  <c r="D4358" i="3"/>
  <c r="F617" i="3"/>
  <c r="H617" i="3" s="1"/>
  <c r="F2003" i="3"/>
  <c r="H2003" i="3" s="1"/>
  <c r="D3948" i="3"/>
  <c r="I3948" i="3" s="1"/>
  <c r="D3949" i="3"/>
  <c r="F371" i="3"/>
  <c r="F276" i="3"/>
  <c r="F722" i="3"/>
  <c r="F1318" i="3"/>
  <c r="F910" i="3"/>
  <c r="F782" i="3"/>
  <c r="F1014" i="3"/>
  <c r="F1642" i="3"/>
  <c r="F422" i="3"/>
  <c r="F1431" i="3"/>
  <c r="F1727" i="3"/>
  <c r="F1084" i="3"/>
  <c r="F1998" i="3"/>
  <c r="F1844" i="3"/>
  <c r="F2202" i="3"/>
  <c r="H2202" i="3" s="1"/>
  <c r="F2646" i="3"/>
  <c r="F2839" i="3"/>
  <c r="F2421" i="3"/>
  <c r="F2900" i="3"/>
  <c r="F4013" i="3"/>
  <c r="F4477" i="3"/>
  <c r="F3253" i="3"/>
  <c r="F3045" i="3"/>
  <c r="I3045" i="3" s="1"/>
  <c r="F4232" i="3"/>
  <c r="F3529" i="3"/>
  <c r="F3403" i="3"/>
  <c r="F3860" i="3"/>
  <c r="F4140" i="3"/>
  <c r="H4140" i="3" s="1"/>
  <c r="F3674" i="3"/>
  <c r="F4563" i="3"/>
  <c r="F4930" i="3"/>
  <c r="F5642" i="3"/>
  <c r="F4679" i="3"/>
  <c r="F5135" i="3"/>
  <c r="F4857" i="3"/>
  <c r="F4314" i="3"/>
  <c r="F6337" i="3"/>
  <c r="F5758" i="3"/>
  <c r="F6046" i="3"/>
  <c r="F6614" i="3"/>
  <c r="D3776" i="3"/>
  <c r="D3784" i="3"/>
  <c r="H3784" i="3" s="1"/>
  <c r="D3792" i="3"/>
  <c r="D3800" i="3"/>
  <c r="D3808" i="3"/>
  <c r="D3816" i="3"/>
  <c r="H3816" i="3" s="1"/>
  <c r="D3777" i="3"/>
  <c r="I3777" i="3" s="1"/>
  <c r="D3785" i="3"/>
  <c r="D3793" i="3"/>
  <c r="D3801" i="3"/>
  <c r="D3809" i="3"/>
  <c r="D3817" i="3"/>
  <c r="I3817" i="3" s="1"/>
  <c r="D3778" i="3"/>
  <c r="D3786" i="3"/>
  <c r="D3794" i="3"/>
  <c r="D3802" i="3"/>
  <c r="I3802" i="3" s="1"/>
  <c r="D3810" i="3"/>
  <c r="D3818" i="3"/>
  <c r="D3779" i="3"/>
  <c r="D3787" i="3"/>
  <c r="I3787" i="3" s="1"/>
  <c r="D3795" i="3"/>
  <c r="I3795" i="3" s="1"/>
  <c r="D3803" i="3"/>
  <c r="H3803" i="3" s="1"/>
  <c r="D3811" i="3"/>
  <c r="D3819" i="3"/>
  <c r="D3780" i="3"/>
  <c r="H3780" i="3" s="1"/>
  <c r="D3788" i="3"/>
  <c r="D3796" i="3"/>
  <c r="D3804" i="3"/>
  <c r="D3812" i="3"/>
  <c r="H3812" i="3" s="1"/>
  <c r="D3820" i="3"/>
  <c r="D3781" i="3"/>
  <c r="D3789" i="3"/>
  <c r="D3797" i="3"/>
  <c r="D3805" i="3"/>
  <c r="D3813" i="3"/>
  <c r="D3821" i="3"/>
  <c r="I3821" i="3" s="1"/>
  <c r="D3782" i="3"/>
  <c r="D3790" i="3"/>
  <c r="D3798" i="3"/>
  <c r="D3806" i="3"/>
  <c r="D3814" i="3"/>
  <c r="H3814" i="3" s="1"/>
  <c r="D3822" i="3"/>
  <c r="F19" i="3"/>
  <c r="F83" i="3"/>
  <c r="I83" i="3" s="1"/>
  <c r="F179" i="3"/>
  <c r="I179" i="3" s="1"/>
  <c r="F659" i="3"/>
  <c r="F269" i="3"/>
  <c r="I269" i="3" s="1"/>
  <c r="F597" i="3"/>
  <c r="H597" i="3" s="1"/>
  <c r="F134" i="3"/>
  <c r="F780" i="3"/>
  <c r="F154" i="3"/>
  <c r="F28" i="3"/>
  <c r="F984" i="3"/>
  <c r="F1245" i="3"/>
  <c r="F906" i="3"/>
  <c r="F1182" i="3"/>
  <c r="F1080" i="3"/>
  <c r="F850" i="3"/>
  <c r="F420" i="3"/>
  <c r="F972" i="3"/>
  <c r="H972" i="3" s="1"/>
  <c r="F1146" i="3"/>
  <c r="F1170" i="3"/>
  <c r="H1170" i="3" s="1"/>
  <c r="F1610" i="3"/>
  <c r="F1211" i="3"/>
  <c r="I1211" i="3" s="1"/>
  <c r="F1531" i="3"/>
  <c r="F1579" i="3"/>
  <c r="F1356" i="3"/>
  <c r="F1605" i="3"/>
  <c r="F1725" i="3"/>
  <c r="F1317" i="3"/>
  <c r="F1424" i="3"/>
  <c r="F1641" i="3"/>
  <c r="I1641" i="3" s="1"/>
  <c r="F1785" i="3"/>
  <c r="F1840" i="3"/>
  <c r="F1991" i="3"/>
  <c r="F2314" i="3"/>
  <c r="H2314" i="3" s="1"/>
  <c r="F2195" i="3"/>
  <c r="I2195" i="3" s="1"/>
  <c r="F2550" i="3"/>
  <c r="F2718" i="3"/>
  <c r="F2334" i="3"/>
  <c r="F2511" i="3"/>
  <c r="F2641" i="3"/>
  <c r="F2777" i="3"/>
  <c r="F2415" i="3"/>
  <c r="F3191" i="3"/>
  <c r="H3191" i="3" s="1"/>
  <c r="F2992" i="3"/>
  <c r="F3144" i="3"/>
  <c r="H3144" i="3" s="1"/>
  <c r="F2836" i="3"/>
  <c r="F3010" i="3"/>
  <c r="F3130" i="3"/>
  <c r="F3322" i="3"/>
  <c r="F3044" i="3"/>
  <c r="F2524" i="3"/>
  <c r="F3078" i="3"/>
  <c r="F3334" i="3"/>
  <c r="F4213" i="3"/>
  <c r="F4429" i="3"/>
  <c r="F3798" i="3"/>
  <c r="F4134" i="3"/>
  <c r="F4310" i="3"/>
  <c r="F3751" i="3"/>
  <c r="H3751" i="3" s="1"/>
  <c r="F4447" i="3"/>
  <c r="F3101" i="3"/>
  <c r="H3101" i="3" s="1"/>
  <c r="F3399" i="3"/>
  <c r="F4008" i="3"/>
  <c r="F4408" i="3"/>
  <c r="F3673" i="3"/>
  <c r="F3857" i="3"/>
  <c r="F3772" i="3"/>
  <c r="F4228" i="3"/>
  <c r="F4987" i="3"/>
  <c r="H4987" i="3" s="1"/>
  <c r="F4995" i="3"/>
  <c r="I4995" i="3" s="1"/>
  <c r="F3029" i="3"/>
  <c r="F4732" i="3"/>
  <c r="F3610" i="3"/>
  <c r="F4267" i="3"/>
  <c r="F4677" i="3"/>
  <c r="F4853" i="3"/>
  <c r="F5029" i="3"/>
  <c r="F5229" i="3"/>
  <c r="F5453" i="3"/>
  <c r="F3219" i="3"/>
  <c r="F5126" i="3"/>
  <c r="F3907" i="3"/>
  <c r="F4251" i="3"/>
  <c r="I4251" i="3" s="1"/>
  <c r="F4751" i="3"/>
  <c r="H4751" i="3" s="1"/>
  <c r="F5319" i="3"/>
  <c r="F4777" i="3"/>
  <c r="F4929" i="3"/>
  <c r="F5273" i="3"/>
  <c r="F5489" i="3"/>
  <c r="F5524" i="3"/>
  <c r="I5524" i="3" s="1"/>
  <c r="F6040" i="3"/>
  <c r="F6152" i="3"/>
  <c r="F6336" i="3"/>
  <c r="F6448" i="3"/>
  <c r="F4475" i="3"/>
  <c r="F4558" i="3"/>
  <c r="F5834" i="3"/>
  <c r="F6394" i="3"/>
  <c r="H6394" i="3" s="1"/>
  <c r="F5883" i="3"/>
  <c r="F6611" i="3"/>
  <c r="F5372" i="3"/>
  <c r="F5757" i="3"/>
  <c r="F5635" i="3"/>
  <c r="F6238" i="3"/>
  <c r="F6557" i="3"/>
  <c r="D3474" i="3"/>
  <c r="I3474" i="3" s="1"/>
  <c r="D3482" i="3"/>
  <c r="D3490" i="3"/>
  <c r="H3490" i="3" s="1"/>
  <c r="D3498" i="3"/>
  <c r="D3506" i="3"/>
  <c r="D3514" i="3"/>
  <c r="D3522" i="3"/>
  <c r="D3530" i="3"/>
  <c r="D3538" i="3"/>
  <c r="D3546" i="3"/>
  <c r="H3546" i="3" s="1"/>
  <c r="D3554" i="3"/>
  <c r="D3562" i="3"/>
  <c r="H3562" i="3" s="1"/>
  <c r="D3570" i="3"/>
  <c r="I3570" i="3" s="1"/>
  <c r="D3578" i="3"/>
  <c r="D3586" i="3"/>
  <c r="D3594" i="3"/>
  <c r="H3594" i="3" s="1"/>
  <c r="D3471" i="3"/>
  <c r="I3471" i="3" s="1"/>
  <c r="D3479" i="3"/>
  <c r="D3487" i="3"/>
  <c r="D3495" i="3"/>
  <c r="H3495" i="3" s="1"/>
  <c r="D3503" i="3"/>
  <c r="H3503" i="3" s="1"/>
  <c r="D3511" i="3"/>
  <c r="D3519" i="3"/>
  <c r="D3527" i="3"/>
  <c r="D3535" i="3"/>
  <c r="I3535" i="3" s="1"/>
  <c r="D3543" i="3"/>
  <c r="D3551" i="3"/>
  <c r="D3559" i="3"/>
  <c r="D3567" i="3"/>
  <c r="D3575" i="3"/>
  <c r="D3583" i="3"/>
  <c r="H3583" i="3" s="1"/>
  <c r="D3591" i="3"/>
  <c r="D3599" i="3"/>
  <c r="H3599" i="3" s="1"/>
  <c r="D3468" i="3"/>
  <c r="H3468" i="3" s="1"/>
  <c r="D3478" i="3"/>
  <c r="D3489" i="3"/>
  <c r="D3500" i="3"/>
  <c r="D3510" i="3"/>
  <c r="D3521" i="3"/>
  <c r="D3532" i="3"/>
  <c r="D3542" i="3"/>
  <c r="D3553" i="3"/>
  <c r="D3564" i="3"/>
  <c r="D3574" i="3"/>
  <c r="D3585" i="3"/>
  <c r="D3596" i="3"/>
  <c r="D3469" i="3"/>
  <c r="D3480" i="3"/>
  <c r="D3491" i="3"/>
  <c r="I3491" i="3" s="1"/>
  <c r="D3501" i="3"/>
  <c r="D3512" i="3"/>
  <c r="D3523" i="3"/>
  <c r="I3523" i="3" s="1"/>
  <c r="D3533" i="3"/>
  <c r="H3533" i="3" s="1"/>
  <c r="D3544" i="3"/>
  <c r="D3555" i="3"/>
  <c r="I3555" i="3" s="1"/>
  <c r="D3565" i="3"/>
  <c r="D3576" i="3"/>
  <c r="D3587" i="3"/>
  <c r="H3587" i="3" s="1"/>
  <c r="D3597" i="3"/>
  <c r="H3597" i="3" s="1"/>
  <c r="D3470" i="3"/>
  <c r="I3470" i="3" s="1"/>
  <c r="D3481" i="3"/>
  <c r="D3492" i="3"/>
  <c r="D3502" i="3"/>
  <c r="D3513" i="3"/>
  <c r="D3524" i="3"/>
  <c r="D3534" i="3"/>
  <c r="D3545" i="3"/>
  <c r="D3556" i="3"/>
  <c r="D3566" i="3"/>
  <c r="D3577" i="3"/>
  <c r="D3588" i="3"/>
  <c r="D3598" i="3"/>
  <c r="D3472" i="3"/>
  <c r="I3472" i="3" s="1"/>
  <c r="D3483" i="3"/>
  <c r="D3493" i="3"/>
  <c r="D3504" i="3"/>
  <c r="D3515" i="3"/>
  <c r="I3515" i="3" s="1"/>
  <c r="D3525" i="3"/>
  <c r="D3536" i="3"/>
  <c r="D3547" i="3"/>
  <c r="D3557" i="3"/>
  <c r="I3557" i="3" s="1"/>
  <c r="D3568" i="3"/>
  <c r="I3568" i="3" s="1"/>
  <c r="D3579" i="3"/>
  <c r="D3589" i="3"/>
  <c r="H3589" i="3" s="1"/>
  <c r="D3600" i="3"/>
  <c r="D3473" i="3"/>
  <c r="D3484" i="3"/>
  <c r="D3494" i="3"/>
  <c r="D3505" i="3"/>
  <c r="D3516" i="3"/>
  <c r="D3526" i="3"/>
  <c r="D3537" i="3"/>
  <c r="D3548" i="3"/>
  <c r="D3558" i="3"/>
  <c r="D3569" i="3"/>
  <c r="D3580" i="3"/>
  <c r="D3590" i="3"/>
  <c r="D3601" i="3"/>
  <c r="D3475" i="3"/>
  <c r="D3485" i="3"/>
  <c r="D3496" i="3"/>
  <c r="D3507" i="3"/>
  <c r="D3517" i="3"/>
  <c r="D3528" i="3"/>
  <c r="D3539" i="3"/>
  <c r="H3539" i="3" s="1"/>
  <c r="D3549" i="3"/>
  <c r="D3560" i="3"/>
  <c r="H3560" i="3" s="1"/>
  <c r="D3571" i="3"/>
  <c r="D3581" i="3"/>
  <c r="I3581" i="3" s="1"/>
  <c r="D3592" i="3"/>
  <c r="D3476" i="3"/>
  <c r="D3486" i="3"/>
  <c r="D3497" i="3"/>
  <c r="D3508" i="3"/>
  <c r="D3518" i="3"/>
  <c r="D3529" i="3"/>
  <c r="D3540" i="3"/>
  <c r="D3550" i="3"/>
  <c r="H3550" i="3" s="1"/>
  <c r="D3561" i="3"/>
  <c r="H3561" i="3" s="1"/>
  <c r="D3572" i="3"/>
  <c r="D3582" i="3"/>
  <c r="D3593" i="3"/>
  <c r="F27" i="3"/>
  <c r="F539" i="3"/>
  <c r="I539" i="3" s="1"/>
  <c r="F133" i="3"/>
  <c r="F265" i="3"/>
  <c r="F417" i="3"/>
  <c r="F658" i="3"/>
  <c r="F904" i="3"/>
  <c r="F778" i="3"/>
  <c r="F1079" i="3"/>
  <c r="F490" i="3"/>
  <c r="F1041" i="3"/>
  <c r="F1418" i="3"/>
  <c r="H1418" i="3" s="1"/>
  <c r="F1723" i="3"/>
  <c r="H1723" i="3" s="1"/>
  <c r="F1243" i="3"/>
  <c r="F1604" i="3"/>
  <c r="F1315" i="3"/>
  <c r="I1315" i="3" s="1"/>
  <c r="F1837" i="3"/>
  <c r="F1638" i="3"/>
  <c r="F1529" i="3"/>
  <c r="F1577" i="3"/>
  <c r="F2191" i="3"/>
  <c r="F1986" i="3"/>
  <c r="F2333" i="3"/>
  <c r="F2411" i="3"/>
  <c r="F2509" i="3"/>
  <c r="I2509" i="3" s="1"/>
  <c r="F2549" i="3"/>
  <c r="F2832" i="3"/>
  <c r="F3321" i="3"/>
  <c r="F3142" i="3"/>
  <c r="F4005" i="3"/>
  <c r="F3670" i="3"/>
  <c r="F3854" i="3"/>
  <c r="F4446" i="3"/>
  <c r="F3099" i="3"/>
  <c r="F4407" i="3"/>
  <c r="F3608" i="3"/>
  <c r="F4249" i="3"/>
  <c r="F4473" i="3"/>
  <c r="F4553" i="3"/>
  <c r="F3796" i="3"/>
  <c r="F4132" i="3"/>
  <c r="F4212" i="3"/>
  <c r="I4212" i="3" s="1"/>
  <c r="F4308" i="3"/>
  <c r="F4850" i="3"/>
  <c r="F5122" i="3"/>
  <c r="I5122" i="3" s="1"/>
  <c r="F4675" i="3"/>
  <c r="F5227" i="3"/>
  <c r="H5227" i="3" s="1"/>
  <c r="F5371" i="3"/>
  <c r="F5451" i="3"/>
  <c r="F3771" i="3"/>
  <c r="F4370" i="3"/>
  <c r="F4750" i="3"/>
  <c r="F4927" i="3"/>
  <c r="F5488" i="3"/>
  <c r="F5523" i="3"/>
  <c r="F5831" i="3"/>
  <c r="F5272" i="3"/>
  <c r="F6392" i="3"/>
  <c r="F5881" i="3"/>
  <c r="F6609" i="3"/>
  <c r="F5947" i="3"/>
  <c r="I5947" i="3" s="1"/>
  <c r="F6507" i="3"/>
  <c r="F6037" i="3"/>
  <c r="F6150" i="3"/>
  <c r="F6334" i="3"/>
  <c r="D3226" i="3"/>
  <c r="D3234" i="3"/>
  <c r="H3234" i="3" s="1"/>
  <c r="D3242" i="3"/>
  <c r="D3250" i="3"/>
  <c r="D3258" i="3"/>
  <c r="D3266" i="3"/>
  <c r="D3274" i="3"/>
  <c r="D3282" i="3"/>
  <c r="D3290" i="3"/>
  <c r="D3298" i="3"/>
  <c r="D3222" i="3"/>
  <c r="H3222" i="3" s="1"/>
  <c r="D3230" i="3"/>
  <c r="D3238" i="3"/>
  <c r="D3246" i="3"/>
  <c r="D3254" i="3"/>
  <c r="D3262" i="3"/>
  <c r="I3262" i="3" s="1"/>
  <c r="D3270" i="3"/>
  <c r="D3278" i="3"/>
  <c r="D3286" i="3"/>
  <c r="H3286" i="3" s="1"/>
  <c r="D3294" i="3"/>
  <c r="D3302" i="3"/>
  <c r="D3223" i="3"/>
  <c r="D3231" i="3"/>
  <c r="D3239" i="3"/>
  <c r="D3247" i="3"/>
  <c r="D3255" i="3"/>
  <c r="H3255" i="3" s="1"/>
  <c r="D3263" i="3"/>
  <c r="D3271" i="3"/>
  <c r="D3279" i="3"/>
  <c r="D3287" i="3"/>
  <c r="D3295" i="3"/>
  <c r="D3303" i="3"/>
  <c r="H3303" i="3" s="1"/>
  <c r="D3224" i="3"/>
  <c r="D3232" i="3"/>
  <c r="H3232" i="3" s="1"/>
  <c r="D3240" i="3"/>
  <c r="D3248" i="3"/>
  <c r="D3256" i="3"/>
  <c r="D3264" i="3"/>
  <c r="D3272" i="3"/>
  <c r="D3280" i="3"/>
  <c r="D3288" i="3"/>
  <c r="I3288" i="3" s="1"/>
  <c r="D3296" i="3"/>
  <c r="I3296" i="3" s="1"/>
  <c r="D3304" i="3"/>
  <c r="D3228" i="3"/>
  <c r="D3244" i="3"/>
  <c r="D3260" i="3"/>
  <c r="H3260" i="3" s="1"/>
  <c r="D3276" i="3"/>
  <c r="D3292" i="3"/>
  <c r="D3229" i="3"/>
  <c r="D3245" i="3"/>
  <c r="D3261" i="3"/>
  <c r="D3277" i="3"/>
  <c r="D3293" i="3"/>
  <c r="D3233" i="3"/>
  <c r="I3233" i="3" s="1"/>
  <c r="D3249" i="3"/>
  <c r="D3265" i="3"/>
  <c r="H3265" i="3" s="1"/>
  <c r="D3281" i="3"/>
  <c r="I3281" i="3" s="1"/>
  <c r="D3297" i="3"/>
  <c r="D3235" i="3"/>
  <c r="D3251" i="3"/>
  <c r="I3251" i="3" s="1"/>
  <c r="D3267" i="3"/>
  <c r="D3283" i="3"/>
  <c r="I3283" i="3" s="1"/>
  <c r="D3299" i="3"/>
  <c r="D3220" i="3"/>
  <c r="D3236" i="3"/>
  <c r="D3252" i="3"/>
  <c r="D3268" i="3"/>
  <c r="D3284" i="3"/>
  <c r="D3300" i="3"/>
  <c r="D3221" i="3"/>
  <c r="D3237" i="3"/>
  <c r="D3253" i="3"/>
  <c r="H3253" i="3" s="1"/>
  <c r="D3269" i="3"/>
  <c r="D3285" i="3"/>
  <c r="D3301" i="3"/>
  <c r="D3225" i="3"/>
  <c r="D3241" i="3"/>
  <c r="D3257" i="3"/>
  <c r="D3273" i="3"/>
  <c r="D3289" i="3"/>
  <c r="D3305" i="3"/>
  <c r="H3305" i="3" s="1"/>
  <c r="F261" i="3"/>
  <c r="D3127" i="3"/>
  <c r="F256" i="3"/>
  <c r="F1976" i="3"/>
  <c r="F2406" i="3"/>
  <c r="F2827" i="3"/>
  <c r="F3391" i="3"/>
  <c r="F4548" i="3"/>
  <c r="F5115" i="3"/>
  <c r="F5622" i="3"/>
  <c r="I5622" i="3" s="1"/>
  <c r="D3018" i="3"/>
  <c r="D3014" i="3"/>
  <c r="D3022" i="3"/>
  <c r="D3015" i="3"/>
  <c r="D3023" i="3"/>
  <c r="I3023" i="3" s="1"/>
  <c r="D3016" i="3"/>
  <c r="D3021" i="3"/>
  <c r="D3012" i="3"/>
  <c r="I3012" i="3" s="1"/>
  <c r="D3013" i="3"/>
  <c r="D3017" i="3"/>
  <c r="D3019" i="3"/>
  <c r="F1973" i="3"/>
  <c r="D2954" i="3"/>
  <c r="D2955" i="3"/>
  <c r="I2955" i="3" s="1"/>
  <c r="F2171" i="3"/>
  <c r="F1969" i="3"/>
  <c r="I1969" i="3" s="1"/>
  <c r="F4124" i="3"/>
  <c r="F6143" i="3"/>
  <c r="D2794" i="3"/>
  <c r="I2794" i="3" s="1"/>
  <c r="D2791" i="3"/>
  <c r="D2792" i="3"/>
  <c r="D2793" i="3"/>
  <c r="I2793" i="3" s="1"/>
  <c r="D6576" i="3"/>
  <c r="D6568" i="3"/>
  <c r="D6560" i="3"/>
  <c r="H6560" i="3" s="1"/>
  <c r="D6552" i="3"/>
  <c r="D6544" i="3"/>
  <c r="D6536" i="3"/>
  <c r="D6528" i="3"/>
  <c r="I6528" i="3" s="1"/>
  <c r="D6520" i="3"/>
  <c r="H6520" i="3" s="1"/>
  <c r="D6496" i="3"/>
  <c r="D6488" i="3"/>
  <c r="D6416" i="3"/>
  <c r="D6400" i="3"/>
  <c r="D6392" i="3"/>
  <c r="D6384" i="3"/>
  <c r="D6232" i="3"/>
  <c r="D6224" i="3"/>
  <c r="D6216" i="3"/>
  <c r="D6208" i="3"/>
  <c r="H6208" i="3" s="1"/>
  <c r="D6200" i="3"/>
  <c r="D6192" i="3"/>
  <c r="D6184" i="3"/>
  <c r="D6176" i="3"/>
  <c r="D6168" i="3"/>
  <c r="H6168" i="3" s="1"/>
  <c r="D6160" i="3"/>
  <c r="I6160" i="3" s="1"/>
  <c r="D6152" i="3"/>
  <c r="D6144" i="3"/>
  <c r="D6136" i="3"/>
  <c r="D6128" i="3"/>
  <c r="D6120" i="3"/>
  <c r="D6112" i="3"/>
  <c r="I6112" i="3" s="1"/>
  <c r="D6104" i="3"/>
  <c r="D6096" i="3"/>
  <c r="D6088" i="3"/>
  <c r="D6080" i="3"/>
  <c r="D6072" i="3"/>
  <c r="D6064" i="3"/>
  <c r="D6056" i="3"/>
  <c r="H6056" i="3" s="1"/>
  <c r="D6048" i="3"/>
  <c r="I6048" i="3" s="1"/>
  <c r="D6040" i="3"/>
  <c r="D6032" i="3"/>
  <c r="D6024" i="3"/>
  <c r="D6016" i="3"/>
  <c r="D6008" i="3"/>
  <c r="D6000" i="3"/>
  <c r="D5512" i="3"/>
  <c r="D5504" i="3"/>
  <c r="D5496" i="3"/>
  <c r="D5488" i="3"/>
  <c r="D5480" i="3"/>
  <c r="D5472" i="3"/>
  <c r="D5464" i="3"/>
  <c r="D5456" i="3"/>
  <c r="H5456" i="3" s="1"/>
  <c r="D5448" i="3"/>
  <c r="D5440" i="3"/>
  <c r="D5432" i="3"/>
  <c r="D5424" i="3"/>
  <c r="D5280" i="3"/>
  <c r="D5272" i="3"/>
  <c r="D5264" i="3"/>
  <c r="I5264" i="3" s="1"/>
  <c r="D5256" i="3"/>
  <c r="D5248" i="3"/>
  <c r="H5248" i="3" s="1"/>
  <c r="D5240" i="3"/>
  <c r="I5240" i="3" s="1"/>
  <c r="D5232" i="3"/>
  <c r="D5224" i="3"/>
  <c r="D5216" i="3"/>
  <c r="D5208" i="3"/>
  <c r="D5200" i="3"/>
  <c r="D5192" i="3"/>
  <c r="D5184" i="3"/>
  <c r="D5176" i="3"/>
  <c r="D5168" i="3"/>
  <c r="D5160" i="3"/>
  <c r="D5152" i="3"/>
  <c r="D5144" i="3"/>
  <c r="D5136" i="3"/>
  <c r="D5128" i="3"/>
  <c r="D5120" i="3"/>
  <c r="D5112" i="3"/>
  <c r="D5104" i="3"/>
  <c r="D5096" i="3"/>
  <c r="D5088" i="3"/>
  <c r="D5080" i="3"/>
  <c r="D5072" i="3"/>
  <c r="D5000" i="3"/>
  <c r="D4992" i="3"/>
  <c r="H4992" i="3" s="1"/>
  <c r="D4960" i="3"/>
  <c r="D4952" i="3"/>
  <c r="D4944" i="3"/>
  <c r="D4936" i="3"/>
  <c r="D4928" i="3"/>
  <c r="D4920" i="3"/>
  <c r="D4912" i="3"/>
  <c r="D4904" i="3"/>
  <c r="H4904" i="3" s="1"/>
  <c r="D4896" i="3"/>
  <c r="D4888" i="3"/>
  <c r="D4880" i="3"/>
  <c r="H4880" i="3" s="1"/>
  <c r="D4872" i="3"/>
  <c r="D4864" i="3"/>
  <c r="D4856" i="3"/>
  <c r="D4848" i="3"/>
  <c r="H4848" i="3" s="1"/>
  <c r="D4840" i="3"/>
  <c r="D4832" i="3"/>
  <c r="D4824" i="3"/>
  <c r="H4824" i="3" s="1"/>
  <c r="D4816" i="3"/>
  <c r="H4816" i="3" s="1"/>
  <c r="D4808" i="3"/>
  <c r="D4800" i="3"/>
  <c r="D4727" i="3"/>
  <c r="D4717" i="3"/>
  <c r="D4705" i="3"/>
  <c r="D4695" i="3"/>
  <c r="D4685" i="3"/>
  <c r="D4673" i="3"/>
  <c r="D4663" i="3"/>
  <c r="I4663" i="3" s="1"/>
  <c r="D4653" i="3"/>
  <c r="D4641" i="3"/>
  <c r="D4631" i="3"/>
  <c r="D4610" i="3"/>
  <c r="H4610" i="3" s="1"/>
  <c r="D4600" i="3"/>
  <c r="D4590" i="3"/>
  <c r="D4578" i="3"/>
  <c r="H4578" i="3" s="1"/>
  <c r="D4568" i="3"/>
  <c r="D4557" i="3"/>
  <c r="D4544" i="3"/>
  <c r="D4530" i="3"/>
  <c r="D4439" i="3"/>
  <c r="D4392" i="3"/>
  <c r="I4392" i="3" s="1"/>
  <c r="D4370" i="3"/>
  <c r="D4351" i="3"/>
  <c r="D4329" i="3"/>
  <c r="D4298" i="3"/>
  <c r="D4082" i="3"/>
  <c r="D4039" i="3"/>
  <c r="D3975" i="3"/>
  <c r="D3871" i="3"/>
  <c r="H3871" i="3" s="1"/>
  <c r="D3807" i="3"/>
  <c r="I3807" i="3" s="1"/>
  <c r="D3627" i="3"/>
  <c r="D3541" i="3"/>
  <c r="D3243" i="3"/>
  <c r="D2796" i="3"/>
  <c r="D2261" i="3"/>
  <c r="D1669" i="3"/>
  <c r="F1202" i="3"/>
  <c r="H1202" i="3" s="1"/>
  <c r="F5686" i="3"/>
  <c r="F171" i="3"/>
  <c r="H171" i="3" s="1"/>
  <c r="F635" i="3"/>
  <c r="F5" i="3"/>
  <c r="F149" i="3"/>
  <c r="F485" i="3"/>
  <c r="F509" i="3"/>
  <c r="F103" i="3"/>
  <c r="F369" i="3"/>
  <c r="I369" i="3" s="1"/>
  <c r="F236" i="3"/>
  <c r="F734" i="3"/>
  <c r="F656" i="3"/>
  <c r="F580" i="3"/>
  <c r="F894" i="3"/>
  <c r="F1142" i="3"/>
  <c r="F1286" i="3"/>
  <c r="F409" i="3"/>
  <c r="F1010" i="3"/>
  <c r="I1010" i="3" s="1"/>
  <c r="F1208" i="3"/>
  <c r="F1240" i="3"/>
  <c r="F1272" i="3"/>
  <c r="F593" i="3"/>
  <c r="F991" i="3"/>
  <c r="F1073" i="3"/>
  <c r="F766" i="3"/>
  <c r="I766" i="3" s="1"/>
  <c r="F1178" i="3"/>
  <c r="F628" i="3"/>
  <c r="F1311" i="3"/>
  <c r="F1523" i="3"/>
  <c r="H1523" i="3" s="1"/>
  <c r="F1827" i="3"/>
  <c r="F1685" i="3"/>
  <c r="F1717" i="3"/>
  <c r="I1717" i="3" s="1"/>
  <c r="F1694" i="3"/>
  <c r="F1782" i="3"/>
  <c r="F1396" i="3"/>
  <c r="F2158" i="3"/>
  <c r="I2158" i="3" s="1"/>
  <c r="F2330" i="3"/>
  <c r="F1632" i="3"/>
  <c r="F1957" i="3"/>
  <c r="H1957" i="3" s="1"/>
  <c r="F2823" i="3"/>
  <c r="F2569" i="3"/>
  <c r="F2593" i="3"/>
  <c r="I2593" i="3" s="1"/>
  <c r="F2943" i="3"/>
  <c r="F3015" i="3"/>
  <c r="F3095" i="3"/>
  <c r="I3095" i="3" s="1"/>
  <c r="F3040" i="3"/>
  <c r="F2536" i="3"/>
  <c r="I2536" i="3" s="1"/>
  <c r="F3074" i="3"/>
  <c r="F2564" i="3"/>
  <c r="F2628" i="3"/>
  <c r="H2628" i="3" s="1"/>
  <c r="F3310" i="3"/>
  <c r="F3382" i="3"/>
  <c r="F3749" i="3"/>
  <c r="F4469" i="3"/>
  <c r="F4246" i="3"/>
  <c r="I4246" i="3" s="1"/>
  <c r="F4406" i="3"/>
  <c r="I4406" i="3" s="1"/>
  <c r="F4422" i="3"/>
  <c r="F3791" i="3"/>
  <c r="F3847" i="3"/>
  <c r="F4431" i="3"/>
  <c r="F3187" i="3"/>
  <c r="F3664" i="3"/>
  <c r="F3736" i="3"/>
  <c r="H3736" i="3" s="1"/>
  <c r="F3944" i="3"/>
  <c r="F3505" i="3"/>
  <c r="F3721" i="3"/>
  <c r="F3243" i="3"/>
  <c r="F4116" i="3"/>
  <c r="F4842" i="3"/>
  <c r="H4842" i="3" s="1"/>
  <c r="F4970" i="3"/>
  <c r="F4978" i="3"/>
  <c r="H4978" i="3" s="1"/>
  <c r="F5026" i="3"/>
  <c r="F4747" i="3"/>
  <c r="I4747" i="3" s="1"/>
  <c r="F4803" i="3"/>
  <c r="H4803" i="3" s="1"/>
  <c r="F4923" i="3"/>
  <c r="F5003" i="3"/>
  <c r="F4628" i="3"/>
  <c r="F4668" i="3"/>
  <c r="F3332" i="3"/>
  <c r="F4299" i="3"/>
  <c r="F4451" i="3"/>
  <c r="F3986" i="3"/>
  <c r="F5222" i="3"/>
  <c r="F5310" i="3"/>
  <c r="F5486" i="3"/>
  <c r="F4540" i="3"/>
  <c r="F5103" i="3"/>
  <c r="F3650" i="3"/>
  <c r="H3650" i="3" s="1"/>
  <c r="F5448" i="3"/>
  <c r="F6527" i="3"/>
  <c r="F5872" i="3"/>
  <c r="I5872" i="3" s="1"/>
  <c r="F6136" i="3"/>
  <c r="F6376" i="3"/>
  <c r="F5753" i="3"/>
  <c r="F6025" i="3"/>
  <c r="H6025" i="3" s="1"/>
  <c r="F6329" i="3"/>
  <c r="F5364" i="3"/>
  <c r="F5778" i="3"/>
  <c r="F6226" i="3"/>
  <c r="F6482" i="3"/>
  <c r="F6554" i="3"/>
  <c r="F5600" i="3"/>
  <c r="F5829" i="3"/>
  <c r="H5829" i="3" s="1"/>
  <c r="F6606" i="3"/>
  <c r="D2361" i="3"/>
  <c r="I2361" i="3" s="1"/>
  <c r="D2369" i="3"/>
  <c r="D2377" i="3"/>
  <c r="D2385" i="3"/>
  <c r="D2393" i="3"/>
  <c r="D2401" i="3"/>
  <c r="D2409" i="3"/>
  <c r="D2417" i="3"/>
  <c r="D2425" i="3"/>
  <c r="I2425" i="3" s="1"/>
  <c r="D2433" i="3"/>
  <c r="D2441" i="3"/>
  <c r="D2449" i="3"/>
  <c r="D2457" i="3"/>
  <c r="D2465" i="3"/>
  <c r="D2473" i="3"/>
  <c r="I2473" i="3" s="1"/>
  <c r="D2481" i="3"/>
  <c r="D2364" i="3"/>
  <c r="D2372" i="3"/>
  <c r="D2380" i="3"/>
  <c r="D2388" i="3"/>
  <c r="D2396" i="3"/>
  <c r="D2404" i="3"/>
  <c r="D2412" i="3"/>
  <c r="D2420" i="3"/>
  <c r="H2420" i="3" s="1"/>
  <c r="D2428" i="3"/>
  <c r="D2436" i="3"/>
  <c r="D2444" i="3"/>
  <c r="D2452" i="3"/>
  <c r="D2460" i="3"/>
  <c r="D2468" i="3"/>
  <c r="D2476" i="3"/>
  <c r="H2476" i="3" s="1"/>
  <c r="D2484" i="3"/>
  <c r="D2366" i="3"/>
  <c r="H2366" i="3" s="1"/>
  <c r="D2374" i="3"/>
  <c r="D2382" i="3"/>
  <c r="D2390" i="3"/>
  <c r="D2398" i="3"/>
  <c r="D2406" i="3"/>
  <c r="D2414" i="3"/>
  <c r="D2422" i="3"/>
  <c r="H2422" i="3" s="1"/>
  <c r="D2430" i="3"/>
  <c r="D2438" i="3"/>
  <c r="D2446" i="3"/>
  <c r="D2454" i="3"/>
  <c r="D2462" i="3"/>
  <c r="D2470" i="3"/>
  <c r="D2478" i="3"/>
  <c r="H2478" i="3" s="1"/>
  <c r="D2486" i="3"/>
  <c r="D2367" i="3"/>
  <c r="D2375" i="3"/>
  <c r="I2375" i="3" s="1"/>
  <c r="D2383" i="3"/>
  <c r="H2383" i="3" s="1"/>
  <c r="D2391" i="3"/>
  <c r="D2399" i="3"/>
  <c r="D2407" i="3"/>
  <c r="D2415" i="3"/>
  <c r="H2415" i="3" s="1"/>
  <c r="D2423" i="3"/>
  <c r="D2431" i="3"/>
  <c r="D2439" i="3"/>
  <c r="I2439" i="3" s="1"/>
  <c r="D2447" i="3"/>
  <c r="D2455" i="3"/>
  <c r="D2463" i="3"/>
  <c r="D2471" i="3"/>
  <c r="D2479" i="3"/>
  <c r="I2479" i="3" s="1"/>
  <c r="D2487" i="3"/>
  <c r="D2360" i="3"/>
  <c r="D2376" i="3"/>
  <c r="H2376" i="3" s="1"/>
  <c r="D2392" i="3"/>
  <c r="D2408" i="3"/>
  <c r="D2424" i="3"/>
  <c r="D2440" i="3"/>
  <c r="D2456" i="3"/>
  <c r="D2472" i="3"/>
  <c r="D2488" i="3"/>
  <c r="D2365" i="3"/>
  <c r="D2381" i="3"/>
  <c r="D2397" i="3"/>
  <c r="D2413" i="3"/>
  <c r="D2429" i="3"/>
  <c r="D2445" i="3"/>
  <c r="D2461" i="3"/>
  <c r="I2461" i="3" s="1"/>
  <c r="D2477" i="3"/>
  <c r="D2368" i="3"/>
  <c r="D2384" i="3"/>
  <c r="D2400" i="3"/>
  <c r="D2416" i="3"/>
  <c r="D2432" i="3"/>
  <c r="D2448" i="3"/>
  <c r="D2464" i="3"/>
  <c r="I2464" i="3" s="1"/>
  <c r="D2480" i="3"/>
  <c r="D2370" i="3"/>
  <c r="D2386" i="3"/>
  <c r="D2402" i="3"/>
  <c r="D2418" i="3"/>
  <c r="D2434" i="3"/>
  <c r="D2450" i="3"/>
  <c r="H2450" i="3" s="1"/>
  <c r="D2466" i="3"/>
  <c r="D2482" i="3"/>
  <c r="D2371" i="3"/>
  <c r="I2371" i="3" s="1"/>
  <c r="D2387" i="3"/>
  <c r="I2387" i="3" s="1"/>
  <c r="D2403" i="3"/>
  <c r="D2419" i="3"/>
  <c r="D2435" i="3"/>
  <c r="D2451" i="3"/>
  <c r="H2451" i="3" s="1"/>
  <c r="D2467" i="3"/>
  <c r="D2483" i="3"/>
  <c r="H2483" i="3" s="1"/>
  <c r="D2394" i="3"/>
  <c r="H2394" i="3" s="1"/>
  <c r="D2437" i="3"/>
  <c r="D2475" i="3"/>
  <c r="D2395" i="3"/>
  <c r="D2442" i="3"/>
  <c r="D2485" i="3"/>
  <c r="D2362" i="3"/>
  <c r="H2362" i="3" s="1"/>
  <c r="D2405" i="3"/>
  <c r="D2443" i="3"/>
  <c r="D2363" i="3"/>
  <c r="D2410" i="3"/>
  <c r="D2453" i="3"/>
  <c r="D2373" i="3"/>
  <c r="D2411" i="3"/>
  <c r="D2458" i="3"/>
  <c r="D2378" i="3"/>
  <c r="D2421" i="3"/>
  <c r="D2459" i="3"/>
  <c r="D2379" i="3"/>
  <c r="D2426" i="3"/>
  <c r="D2469" i="3"/>
  <c r="F2391" i="3"/>
  <c r="F5589" i="3"/>
  <c r="F5095" i="3"/>
  <c r="D1686" i="3"/>
  <c r="D1687" i="3"/>
  <c r="D1685" i="3"/>
  <c r="F210" i="3"/>
  <c r="H210" i="3" s="1"/>
  <c r="F585" i="3"/>
  <c r="F1810" i="3"/>
  <c r="F1373" i="3"/>
  <c r="F2378" i="3"/>
  <c r="F2131" i="3"/>
  <c r="H2131" i="3" s="1"/>
  <c r="F1932" i="3"/>
  <c r="F2612" i="3"/>
  <c r="F3363" i="3"/>
  <c r="F4279" i="3"/>
  <c r="F3833" i="3"/>
  <c r="F4826" i="3"/>
  <c r="F5082" i="3"/>
  <c r="F4523" i="3"/>
  <c r="F5567" i="3"/>
  <c r="F6004" i="3"/>
  <c r="D991" i="3"/>
  <c r="D999" i="3"/>
  <c r="D987" i="3"/>
  <c r="I987" i="3" s="1"/>
  <c r="D995" i="3"/>
  <c r="D994" i="3"/>
  <c r="D988" i="3"/>
  <c r="D998" i="3"/>
  <c r="D990" i="3"/>
  <c r="D992" i="3"/>
  <c r="H992" i="3" s="1"/>
  <c r="D993" i="3"/>
  <c r="D989" i="3"/>
  <c r="D997" i="3"/>
  <c r="D1000" i="3"/>
  <c r="D986" i="3"/>
  <c r="I986" i="3" s="1"/>
  <c r="D996" i="3"/>
  <c r="F2128" i="3"/>
  <c r="D962" i="3"/>
  <c r="F200" i="3"/>
  <c r="F1366" i="3"/>
  <c r="F2606" i="3"/>
  <c r="F2369" i="3"/>
  <c r="F3358" i="3"/>
  <c r="F5553" i="3"/>
  <c r="F5997" i="3"/>
  <c r="D511" i="3"/>
  <c r="D507" i="3"/>
  <c r="D515" i="3"/>
  <c r="I515" i="3" s="1"/>
  <c r="F6245" i="3"/>
  <c r="D513" i="3"/>
  <c r="D509" i="3"/>
  <c r="D510" i="3"/>
  <c r="D512" i="3"/>
  <c r="D508" i="3"/>
  <c r="I508" i="3" s="1"/>
  <c r="D514" i="3"/>
  <c r="F1569" i="3"/>
  <c r="F2101" i="3"/>
  <c r="F356" i="3"/>
  <c r="F473" i="3"/>
  <c r="F838" i="3"/>
  <c r="F1129" i="3"/>
  <c r="F576" i="3"/>
  <c r="F1774" i="3"/>
  <c r="F1505" i="3"/>
  <c r="F1893" i="3"/>
  <c r="F2095" i="3"/>
  <c r="F2295" i="3"/>
  <c r="F2485" i="3"/>
  <c r="F4205" i="3"/>
  <c r="F4080" i="3"/>
  <c r="F3458" i="3"/>
  <c r="F3301" i="3"/>
  <c r="F4727" i="3"/>
  <c r="F4617" i="3"/>
  <c r="F4905" i="3"/>
  <c r="F5201" i="3"/>
  <c r="I5201" i="3" s="1"/>
  <c r="F5735" i="3"/>
  <c r="F6216" i="3"/>
  <c r="F6304" i="3"/>
  <c r="F3595" i="3"/>
  <c r="F350" i="3"/>
  <c r="I350" i="3" s="1"/>
  <c r="F2481" i="3"/>
  <c r="F2886" i="3"/>
  <c r="H2886" i="3" s="1"/>
  <c r="F4900" i="3"/>
  <c r="F4614" i="3"/>
  <c r="F5977" i="3"/>
  <c r="F5343" i="3"/>
  <c r="F6099" i="3"/>
  <c r="H6099" i="3" s="1"/>
  <c r="F6299" i="3"/>
  <c r="F168" i="3"/>
  <c r="F461" i="3"/>
  <c r="F127" i="3"/>
  <c r="H127" i="3" s="1"/>
  <c r="F867" i="3"/>
  <c r="F42" i="3"/>
  <c r="F337" i="3"/>
  <c r="F717" i="3"/>
  <c r="H717" i="3" s="1"/>
  <c r="F690" i="3"/>
  <c r="I690" i="3" s="1"/>
  <c r="F1119" i="3"/>
  <c r="F1263" i="3"/>
  <c r="F948" i="3"/>
  <c r="F1160" i="3"/>
  <c r="F825" i="3"/>
  <c r="H825" i="3" s="1"/>
  <c r="F1049" i="3"/>
  <c r="F1346" i="3"/>
  <c r="H1346" i="3" s="1"/>
  <c r="F1555" i="3"/>
  <c r="F1765" i="3"/>
  <c r="F1590" i="3"/>
  <c r="I1590" i="3" s="1"/>
  <c r="F1487" i="3"/>
  <c r="F1673" i="3"/>
  <c r="F1884" i="3"/>
  <c r="F2272" i="3"/>
  <c r="F2472" i="3"/>
  <c r="F2495" i="3"/>
  <c r="I2495" i="3" s="1"/>
  <c r="F2559" i="3"/>
  <c r="F2585" i="3"/>
  <c r="H2585" i="3" s="1"/>
  <c r="F2737" i="3"/>
  <c r="F2077" i="3"/>
  <c r="F2692" i="3"/>
  <c r="F3151" i="3"/>
  <c r="F2878" i="3"/>
  <c r="F3178" i="3"/>
  <c r="F2764" i="3"/>
  <c r="F2787" i="3"/>
  <c r="F3212" i="3"/>
  <c r="F4397" i="3"/>
  <c r="F4501" i="3"/>
  <c r="F3446" i="3"/>
  <c r="F3703" i="3"/>
  <c r="F3935" i="3"/>
  <c r="I3935" i="3" s="1"/>
  <c r="F4439" i="3"/>
  <c r="F3125" i="3"/>
  <c r="F3291" i="3"/>
  <c r="F3761" i="3"/>
  <c r="F4193" i="3"/>
  <c r="F3580" i="3"/>
  <c r="F3892" i="3"/>
  <c r="F3940" i="3"/>
  <c r="I3940" i="3" s="1"/>
  <c r="F4068" i="3"/>
  <c r="F4380" i="3"/>
  <c r="F5506" i="3"/>
  <c r="H5506" i="3" s="1"/>
  <c r="F4716" i="3"/>
  <c r="F4892" i="3"/>
  <c r="F5188" i="3"/>
  <c r="F2973" i="3"/>
  <c r="H2973" i="3" s="1"/>
  <c r="F4605" i="3"/>
  <c r="F4789" i="3"/>
  <c r="F5013" i="3"/>
  <c r="F5469" i="3"/>
  <c r="F3635" i="3"/>
  <c r="F5255" i="3"/>
  <c r="F3915" i="3"/>
  <c r="H3915" i="3" s="1"/>
  <c r="F4953" i="3"/>
  <c r="F5041" i="3"/>
  <c r="H5041" i="3" s="1"/>
  <c r="F5057" i="3"/>
  <c r="I5057" i="3" s="1"/>
  <c r="F3619" i="3"/>
  <c r="F6575" i="3"/>
  <c r="F6464" i="3"/>
  <c r="F5400" i="3"/>
  <c r="F6473" i="3"/>
  <c r="F5714" i="3"/>
  <c r="H5714" i="3" s="1"/>
  <c r="F5914" i="3"/>
  <c r="F6586" i="3"/>
  <c r="I6586" i="3" s="1"/>
  <c r="F6092" i="3"/>
  <c r="H6092" i="3" s="1"/>
  <c r="F5428" i="3"/>
  <c r="F5535" i="3"/>
  <c r="F6206" i="3"/>
  <c r="F6421" i="3"/>
  <c r="F6365" i="3"/>
  <c r="F1399" i="3"/>
  <c r="F2400" i="3"/>
  <c r="F3386" i="3"/>
  <c r="F5606" i="3"/>
  <c r="F6028" i="3"/>
  <c r="D2564" i="3"/>
  <c r="D2566" i="3"/>
  <c r="D2567" i="3"/>
  <c r="D2563" i="3"/>
  <c r="I2563" i="3" s="1"/>
  <c r="D2565" i="3"/>
  <c r="D2568" i="3"/>
  <c r="F647" i="3"/>
  <c r="F209" i="3"/>
  <c r="F1372" i="3"/>
  <c r="F394" i="3"/>
  <c r="F1809" i="3"/>
  <c r="F2130" i="3"/>
  <c r="F3483" i="3"/>
  <c r="F4099" i="3"/>
  <c r="I4099" i="3" s="1"/>
  <c r="D983" i="3"/>
  <c r="D979" i="3"/>
  <c r="D984" i="3"/>
  <c r="D980" i="3"/>
  <c r="D981" i="3"/>
  <c r="I981" i="3" s="1"/>
  <c r="D982" i="3"/>
  <c r="D978" i="3"/>
  <c r="H978" i="3" s="1"/>
  <c r="D985" i="3"/>
  <c r="I985" i="3" s="1"/>
  <c r="F51" i="3"/>
  <c r="I51" i="3" s="1"/>
  <c r="F67" i="3"/>
  <c r="F207" i="3"/>
  <c r="F479" i="3"/>
  <c r="F631" i="3"/>
  <c r="F393" i="3"/>
  <c r="F86" i="3"/>
  <c r="F1037" i="3"/>
  <c r="I1037" i="3" s="1"/>
  <c r="F1230" i="3"/>
  <c r="F1063" i="3"/>
  <c r="F1137" i="3"/>
  <c r="F750" i="3"/>
  <c r="F1004" i="3"/>
  <c r="F1371" i="3"/>
  <c r="I1371" i="3" s="1"/>
  <c r="F1514" i="3"/>
  <c r="F1301" i="3"/>
  <c r="F1705" i="3"/>
  <c r="F1808" i="3"/>
  <c r="F2127" i="3"/>
  <c r="F1624" i="3"/>
  <c r="F1929" i="3"/>
  <c r="F2711" i="3"/>
  <c r="I2711" i="3" s="1"/>
  <c r="F2807" i="3"/>
  <c r="F2377" i="3"/>
  <c r="F2610" i="3"/>
  <c r="H2610" i="3" s="1"/>
  <c r="F3183" i="3"/>
  <c r="F3088" i="3"/>
  <c r="I3088" i="3" s="1"/>
  <c r="F3136" i="3"/>
  <c r="F2897" i="3"/>
  <c r="F3034" i="3"/>
  <c r="H3034" i="3" s="1"/>
  <c r="F3362" i="3"/>
  <c r="F3228" i="3"/>
  <c r="F3781" i="3"/>
  <c r="F4278" i="3"/>
  <c r="F3831" i="3"/>
  <c r="F3656" i="3"/>
  <c r="F3968" i="3"/>
  <c r="H3968" i="3" s="1"/>
  <c r="F3157" i="3"/>
  <c r="F3481" i="3"/>
  <c r="F3641" i="3"/>
  <c r="F3745" i="3"/>
  <c r="F4521" i="3"/>
  <c r="I4521" i="3" s="1"/>
  <c r="F4738" i="3"/>
  <c r="H4738" i="3" s="1"/>
  <c r="F5018" i="3"/>
  <c r="H5018" i="3" s="1"/>
  <c r="F4362" i="3"/>
  <c r="F4652" i="3"/>
  <c r="F5212" i="3"/>
  <c r="F5565" i="3"/>
  <c r="F4098" i="3"/>
  <c r="I4098" i="3" s="1"/>
  <c r="F5295" i="3"/>
  <c r="F4459" i="3"/>
  <c r="I4459" i="3" s="1"/>
  <c r="F4825" i="3"/>
  <c r="F4913" i="3"/>
  <c r="F5265" i="3"/>
  <c r="F5356" i="3"/>
  <c r="F6119" i="3"/>
  <c r="F6319" i="3"/>
  <c r="F5744" i="3"/>
  <c r="F6440" i="3"/>
  <c r="F5280" i="3"/>
  <c r="F6002" i="3"/>
  <c r="I6002" i="3" s="1"/>
  <c r="F6594" i="3"/>
  <c r="F4624" i="3"/>
  <c r="F5819" i="3"/>
  <c r="F5860" i="3"/>
  <c r="I5860" i="3" s="1"/>
  <c r="F6380" i="3"/>
  <c r="F5080" i="3"/>
  <c r="D879" i="3"/>
  <c r="D887" i="3"/>
  <c r="D895" i="3"/>
  <c r="D903" i="3"/>
  <c r="D911" i="3"/>
  <c r="H911" i="3" s="1"/>
  <c r="D919" i="3"/>
  <c r="D927" i="3"/>
  <c r="D935" i="3"/>
  <c r="D943" i="3"/>
  <c r="H943" i="3" s="1"/>
  <c r="D951" i="3"/>
  <c r="D959" i="3"/>
  <c r="H959" i="3" s="1"/>
  <c r="D875" i="3"/>
  <c r="D883" i="3"/>
  <c r="I883" i="3" s="1"/>
  <c r="D891" i="3"/>
  <c r="D899" i="3"/>
  <c r="D907" i="3"/>
  <c r="D915" i="3"/>
  <c r="D923" i="3"/>
  <c r="I923" i="3" s="1"/>
  <c r="D931" i="3"/>
  <c r="H931" i="3" s="1"/>
  <c r="D939" i="3"/>
  <c r="I939" i="3" s="1"/>
  <c r="D947" i="3"/>
  <c r="D955" i="3"/>
  <c r="I955" i="3" s="1"/>
  <c r="D877" i="3"/>
  <c r="D888" i="3"/>
  <c r="D898" i="3"/>
  <c r="D909" i="3"/>
  <c r="H909" i="3" s="1"/>
  <c r="D920" i="3"/>
  <c r="I920" i="3" s="1"/>
  <c r="D930" i="3"/>
  <c r="D941" i="3"/>
  <c r="D952" i="3"/>
  <c r="D881" i="3"/>
  <c r="D892" i="3"/>
  <c r="D902" i="3"/>
  <c r="I902" i="3" s="1"/>
  <c r="D913" i="3"/>
  <c r="H913" i="3" s="1"/>
  <c r="D924" i="3"/>
  <c r="D934" i="3"/>
  <c r="D945" i="3"/>
  <c r="H945" i="3" s="1"/>
  <c r="D956" i="3"/>
  <c r="D873" i="3"/>
  <c r="D884" i="3"/>
  <c r="D894" i="3"/>
  <c r="H894" i="3" s="1"/>
  <c r="D905" i="3"/>
  <c r="D916" i="3"/>
  <c r="H916" i="3" s="1"/>
  <c r="D926" i="3"/>
  <c r="D937" i="3"/>
  <c r="I937" i="3" s="1"/>
  <c r="D948" i="3"/>
  <c r="D958" i="3"/>
  <c r="D874" i="3"/>
  <c r="D885" i="3"/>
  <c r="D896" i="3"/>
  <c r="D906" i="3"/>
  <c r="H906" i="3" s="1"/>
  <c r="D917" i="3"/>
  <c r="D928" i="3"/>
  <c r="D938" i="3"/>
  <c r="D949" i="3"/>
  <c r="D960" i="3"/>
  <c r="D876" i="3"/>
  <c r="D886" i="3"/>
  <c r="D897" i="3"/>
  <c r="D908" i="3"/>
  <c r="D918" i="3"/>
  <c r="D929" i="3"/>
  <c r="D940" i="3"/>
  <c r="D950" i="3"/>
  <c r="D961" i="3"/>
  <c r="D893" i="3"/>
  <c r="D922" i="3"/>
  <c r="D953" i="3"/>
  <c r="D878" i="3"/>
  <c r="D904" i="3"/>
  <c r="D933" i="3"/>
  <c r="D882" i="3"/>
  <c r="H882" i="3" s="1"/>
  <c r="D912" i="3"/>
  <c r="D942" i="3"/>
  <c r="I942" i="3" s="1"/>
  <c r="D889" i="3"/>
  <c r="D914" i="3"/>
  <c r="I914" i="3" s="1"/>
  <c r="D944" i="3"/>
  <c r="D890" i="3"/>
  <c r="D921" i="3"/>
  <c r="D946" i="3"/>
  <c r="D910" i="3"/>
  <c r="D936" i="3"/>
  <c r="D954" i="3"/>
  <c r="D880" i="3"/>
  <c r="D957" i="3"/>
  <c r="D900" i="3"/>
  <c r="D925" i="3"/>
  <c r="D932" i="3"/>
  <c r="F199" i="3"/>
  <c r="I199" i="3" s="1"/>
  <c r="F390" i="3"/>
  <c r="F1288" i="3"/>
  <c r="I1288" i="3" s="1"/>
  <c r="F1803" i="3"/>
  <c r="F1365" i="3"/>
  <c r="I1365" i="3" s="1"/>
  <c r="F878" i="3"/>
  <c r="F1059" i="3"/>
  <c r="I1059" i="3" s="1"/>
  <c r="F2368" i="3"/>
  <c r="F1915" i="3"/>
  <c r="F2801" i="3"/>
  <c r="I2801" i="3" s="1"/>
  <c r="F2605" i="3"/>
  <c r="F2709" i="3"/>
  <c r="F3224" i="3"/>
  <c r="F2116" i="3"/>
  <c r="F3957" i="3"/>
  <c r="F4273" i="3"/>
  <c r="F3357" i="3"/>
  <c r="F4820" i="3"/>
  <c r="H4820" i="3" s="1"/>
  <c r="F5070" i="3"/>
  <c r="F4647" i="3"/>
  <c r="F4515" i="3"/>
  <c r="F5552" i="3"/>
  <c r="F5816" i="3"/>
  <c r="F5930" i="3"/>
  <c r="I5930" i="3" s="1"/>
  <c r="F5996" i="3"/>
  <c r="F6244" i="3"/>
  <c r="H6244" i="3" s="1"/>
  <c r="D479" i="3"/>
  <c r="D487" i="3"/>
  <c r="I487" i="3" s="1"/>
  <c r="D495" i="3"/>
  <c r="D503" i="3"/>
  <c r="H503" i="3" s="1"/>
  <c r="D483" i="3"/>
  <c r="D491" i="3"/>
  <c r="D499" i="3"/>
  <c r="D481" i="3"/>
  <c r="D492" i="3"/>
  <c r="D502" i="3"/>
  <c r="H502" i="3" s="1"/>
  <c r="D485" i="3"/>
  <c r="D496" i="3"/>
  <c r="D506" i="3"/>
  <c r="D477" i="3"/>
  <c r="D488" i="3"/>
  <c r="D498" i="3"/>
  <c r="D478" i="3"/>
  <c r="D489" i="3"/>
  <c r="I489" i="3" s="1"/>
  <c r="D500" i="3"/>
  <c r="H500" i="3" s="1"/>
  <c r="D480" i="3"/>
  <c r="D490" i="3"/>
  <c r="D501" i="3"/>
  <c r="D497" i="3"/>
  <c r="D482" i="3"/>
  <c r="D486" i="3"/>
  <c r="D493" i="3"/>
  <c r="D494" i="3"/>
  <c r="D484" i="3"/>
  <c r="D504" i="3"/>
  <c r="I504" i="3" s="1"/>
  <c r="D505" i="3"/>
  <c r="F2106" i="3"/>
  <c r="F3467" i="3"/>
  <c r="I3467" i="3" s="1"/>
  <c r="D19" i="3"/>
  <c r="D18" i="3"/>
  <c r="F240" i="3"/>
  <c r="F411" i="3"/>
  <c r="F1398" i="3"/>
  <c r="F1719" i="3"/>
  <c r="H1719" i="3" s="1"/>
  <c r="F1962" i="3"/>
  <c r="F2161" i="3"/>
  <c r="F4541" i="3"/>
  <c r="F4118" i="3"/>
  <c r="F3245" i="3"/>
  <c r="F3508" i="3"/>
  <c r="F5605" i="3"/>
  <c r="F3987" i="3"/>
  <c r="F6138" i="3"/>
  <c r="I6138" i="3" s="1"/>
  <c r="D2545" i="3"/>
  <c r="I2545" i="3" s="1"/>
  <c r="D2553" i="3"/>
  <c r="D2561" i="3"/>
  <c r="I2561" i="3" s="1"/>
  <c r="D2548" i="3"/>
  <c r="D2556" i="3"/>
  <c r="D2550" i="3"/>
  <c r="D2558" i="3"/>
  <c r="D2543" i="3"/>
  <c r="D2551" i="3"/>
  <c r="D2559" i="3"/>
  <c r="D2557" i="3"/>
  <c r="D2547" i="3"/>
  <c r="I2547" i="3" s="1"/>
  <c r="D2549" i="3"/>
  <c r="D2552" i="3"/>
  <c r="I2552" i="3" s="1"/>
  <c r="D2554" i="3"/>
  <c r="D2544" i="3"/>
  <c r="D2546" i="3"/>
  <c r="D2555" i="3"/>
  <c r="I2555" i="3" s="1"/>
  <c r="D2560" i="3"/>
  <c r="D2562" i="3"/>
  <c r="F2156" i="3"/>
  <c r="D2320" i="3"/>
  <c r="F88" i="3"/>
  <c r="F53" i="3"/>
  <c r="F101" i="3"/>
  <c r="F405" i="3"/>
  <c r="F231" i="3"/>
  <c r="F891" i="3"/>
  <c r="F482" i="3"/>
  <c r="F653" i="3"/>
  <c r="F633" i="3"/>
  <c r="F762" i="3"/>
  <c r="F1007" i="3"/>
  <c r="H1007" i="3" s="1"/>
  <c r="F1237" i="3"/>
  <c r="F988" i="3"/>
  <c r="F1206" i="3"/>
  <c r="F1167" i="3"/>
  <c r="F590" i="3"/>
  <c r="F1177" i="3"/>
  <c r="F982" i="3"/>
  <c r="F1715" i="3"/>
  <c r="F1779" i="3"/>
  <c r="H1779" i="3" s="1"/>
  <c r="F1692" i="3"/>
  <c r="F1392" i="3"/>
  <c r="F1629" i="3"/>
  <c r="F1308" i="3"/>
  <c r="F1608" i="3"/>
  <c r="F1951" i="3"/>
  <c r="F1520" i="3"/>
  <c r="I1520" i="3" s="1"/>
  <c r="F2599" i="3"/>
  <c r="I2599" i="3" s="1"/>
  <c r="F2327" i="3"/>
  <c r="F2506" i="3"/>
  <c r="I2506" i="3" s="1"/>
  <c r="F2714" i="3"/>
  <c r="H2714" i="3" s="1"/>
  <c r="F2153" i="3"/>
  <c r="F2395" i="3"/>
  <c r="F3071" i="3"/>
  <c r="F3239" i="3"/>
  <c r="F2819" i="3"/>
  <c r="I2819" i="3" s="1"/>
  <c r="F3329" i="3"/>
  <c r="F3162" i="3"/>
  <c r="H3162" i="3" s="1"/>
  <c r="F2624" i="3"/>
  <c r="F3092" i="3"/>
  <c r="F3309" i="3"/>
  <c r="F3661" i="3"/>
  <c r="F3981" i="3"/>
  <c r="H3981" i="3" s="1"/>
  <c r="F3037" i="3"/>
  <c r="H3037" i="3" s="1"/>
  <c r="F3943" i="3"/>
  <c r="F4111" i="3"/>
  <c r="H4111" i="3" s="1"/>
  <c r="F4295" i="3"/>
  <c r="F3768" i="3"/>
  <c r="F4536" i="3"/>
  <c r="F3500" i="3"/>
  <c r="F3788" i="3"/>
  <c r="F3844" i="3"/>
  <c r="F4244" i="3"/>
  <c r="H4244" i="3" s="1"/>
  <c r="F4802" i="3"/>
  <c r="F5098" i="3"/>
  <c r="F5282" i="3"/>
  <c r="F4466" i="3"/>
  <c r="F4795" i="3"/>
  <c r="F5219" i="3"/>
  <c r="I5219" i="3" s="1"/>
  <c r="F5307" i="3"/>
  <c r="F5483" i="3"/>
  <c r="F5445" i="3"/>
  <c r="F4838" i="3"/>
  <c r="F4403" i="3"/>
  <c r="F4743" i="3"/>
  <c r="H4743" i="3" s="1"/>
  <c r="F5023" i="3"/>
  <c r="I5023" i="3" s="1"/>
  <c r="F5593" i="3"/>
  <c r="F6480" i="3"/>
  <c r="F4664" i="3"/>
  <c r="F3643" i="3"/>
  <c r="F4920" i="3"/>
  <c r="F4968" i="3"/>
  <c r="F5826" i="3"/>
  <c r="H5826" i="3" s="1"/>
  <c r="F6131" i="3"/>
  <c r="F6603" i="3"/>
  <c r="F5868" i="3"/>
  <c r="H5868" i="3" s="1"/>
  <c r="F6388" i="3"/>
  <c r="F6524" i="3"/>
  <c r="F6021" i="3"/>
  <c r="F5750" i="3"/>
  <c r="F6326" i="3"/>
  <c r="D1801" i="3"/>
  <c r="D1809" i="3"/>
  <c r="H1809" i="3" s="1"/>
  <c r="D1817" i="3"/>
  <c r="D1825" i="3"/>
  <c r="D1833" i="3"/>
  <c r="D1841" i="3"/>
  <c r="D1804" i="3"/>
  <c r="D1812" i="3"/>
  <c r="D1820" i="3"/>
  <c r="D1828" i="3"/>
  <c r="D1836" i="3"/>
  <c r="D1844" i="3"/>
  <c r="I1844" i="3" s="1"/>
  <c r="D1798" i="3"/>
  <c r="D1806" i="3"/>
  <c r="D1814" i="3"/>
  <c r="D1822" i="3"/>
  <c r="D1830" i="3"/>
  <c r="D1838" i="3"/>
  <c r="D1846" i="3"/>
  <c r="D1854" i="3"/>
  <c r="D1862" i="3"/>
  <c r="D1808" i="3"/>
  <c r="D1821" i="3"/>
  <c r="D1834" i="3"/>
  <c r="D1847" i="3"/>
  <c r="D1856" i="3"/>
  <c r="H1856" i="3" s="1"/>
  <c r="D1865" i="3"/>
  <c r="I1865" i="3" s="1"/>
  <c r="D1873" i="3"/>
  <c r="D1881" i="3"/>
  <c r="D1889" i="3"/>
  <c r="D1897" i="3"/>
  <c r="I1897" i="3" s="1"/>
  <c r="D1800" i="3"/>
  <c r="D1813" i="3"/>
  <c r="D1826" i="3"/>
  <c r="D1839" i="3"/>
  <c r="I1839" i="3" s="1"/>
  <c r="D1850" i="3"/>
  <c r="D1859" i="3"/>
  <c r="D1868" i="3"/>
  <c r="D1876" i="3"/>
  <c r="D1884" i="3"/>
  <c r="D1892" i="3"/>
  <c r="D1803" i="3"/>
  <c r="H1803" i="3" s="1"/>
  <c r="D1816" i="3"/>
  <c r="I1816" i="3" s="1"/>
  <c r="D1829" i="3"/>
  <c r="D1842" i="3"/>
  <c r="H1842" i="3" s="1"/>
  <c r="D1852" i="3"/>
  <c r="D1861" i="3"/>
  <c r="D1870" i="3"/>
  <c r="D1878" i="3"/>
  <c r="D1886" i="3"/>
  <c r="D1894" i="3"/>
  <c r="D1805" i="3"/>
  <c r="D1818" i="3"/>
  <c r="I1818" i="3" s="1"/>
  <c r="D1831" i="3"/>
  <c r="D1843" i="3"/>
  <c r="D1853" i="3"/>
  <c r="D1863" i="3"/>
  <c r="D1871" i="3"/>
  <c r="D1879" i="3"/>
  <c r="D1887" i="3"/>
  <c r="H1887" i="3" s="1"/>
  <c r="D1895" i="3"/>
  <c r="D1807" i="3"/>
  <c r="H1807" i="3" s="1"/>
  <c r="D1819" i="3"/>
  <c r="D1832" i="3"/>
  <c r="D1845" i="3"/>
  <c r="D1855" i="3"/>
  <c r="I1855" i="3" s="1"/>
  <c r="D1864" i="3"/>
  <c r="D1872" i="3"/>
  <c r="D1880" i="3"/>
  <c r="D1888" i="3"/>
  <c r="D1896" i="3"/>
  <c r="D1823" i="3"/>
  <c r="D1851" i="3"/>
  <c r="D1875" i="3"/>
  <c r="D1799" i="3"/>
  <c r="D1835" i="3"/>
  <c r="I1835" i="3" s="1"/>
  <c r="D1860" i="3"/>
  <c r="D1883" i="3"/>
  <c r="D1802" i="3"/>
  <c r="D1837" i="3"/>
  <c r="D1866" i="3"/>
  <c r="D1885" i="3"/>
  <c r="D1810" i="3"/>
  <c r="I1810" i="3" s="1"/>
  <c r="D1840" i="3"/>
  <c r="D1867" i="3"/>
  <c r="D1890" i="3"/>
  <c r="D1811" i="3"/>
  <c r="D1848" i="3"/>
  <c r="H1848" i="3" s="1"/>
  <c r="D1869" i="3"/>
  <c r="D1891" i="3"/>
  <c r="D1858" i="3"/>
  <c r="D1874" i="3"/>
  <c r="I1874" i="3" s="1"/>
  <c r="D1877" i="3"/>
  <c r="D1815" i="3"/>
  <c r="H1815" i="3" s="1"/>
  <c r="D1882" i="3"/>
  <c r="D1824" i="3"/>
  <c r="D1893" i="3"/>
  <c r="D1827" i="3"/>
  <c r="D1849" i="3"/>
  <c r="I1849" i="3" s="1"/>
  <c r="F226" i="3"/>
  <c r="F1387" i="3"/>
  <c r="F2148" i="3"/>
  <c r="D1617" i="3"/>
  <c r="D1615" i="3"/>
  <c r="D1616" i="3"/>
  <c r="F2497" i="3"/>
  <c r="F3013" i="3"/>
  <c r="F5583" i="3"/>
  <c r="D1564" i="3"/>
  <c r="D1566" i="3"/>
  <c r="D1565" i="3"/>
  <c r="F524" i="3"/>
  <c r="F756" i="3"/>
  <c r="F220" i="3"/>
  <c r="F1382" i="3"/>
  <c r="F1938" i="3"/>
  <c r="F2139" i="3"/>
  <c r="I2139" i="3" s="1"/>
  <c r="F2385" i="3"/>
  <c r="F2325" i="3"/>
  <c r="F3973" i="3"/>
  <c r="H3973" i="3" s="1"/>
  <c r="F4527" i="3"/>
  <c r="F4104" i="3"/>
  <c r="F5577" i="3"/>
  <c r="F5088" i="3"/>
  <c r="F5936" i="3"/>
  <c r="H5936" i="3" s="1"/>
  <c r="F6124" i="3"/>
  <c r="D1271" i="3"/>
  <c r="H1271" i="3" s="1"/>
  <c r="D1279" i="3"/>
  <c r="H1279" i="3" s="1"/>
  <c r="F6253" i="3"/>
  <c r="H6253" i="3" s="1"/>
  <c r="D1267" i="3"/>
  <c r="I1267" i="3" s="1"/>
  <c r="D1275" i="3"/>
  <c r="I1275" i="3" s="1"/>
  <c r="D1283" i="3"/>
  <c r="D1268" i="3"/>
  <c r="D1278" i="3"/>
  <c r="D1272" i="3"/>
  <c r="D1282" i="3"/>
  <c r="H1282" i="3" s="1"/>
  <c r="D1274" i="3"/>
  <c r="D1285" i="3"/>
  <c r="D1276" i="3"/>
  <c r="D1266" i="3"/>
  <c r="D1277" i="3"/>
  <c r="I1277" i="3" s="1"/>
  <c r="D1269" i="3"/>
  <c r="D1280" i="3"/>
  <c r="D1284" i="3"/>
  <c r="D1270" i="3"/>
  <c r="D1273" i="3"/>
  <c r="D1281" i="3"/>
  <c r="F216" i="3"/>
  <c r="F1378" i="3"/>
  <c r="F1813" i="3"/>
  <c r="F2812" i="3"/>
  <c r="F2382" i="3"/>
  <c r="F2616" i="3"/>
  <c r="F3487" i="3"/>
  <c r="F3367" i="3"/>
  <c r="F4284" i="3"/>
  <c r="F5298" i="3"/>
  <c r="H5298" i="3" s="1"/>
  <c r="F4526" i="3"/>
  <c r="F6009" i="3"/>
  <c r="F5572" i="3"/>
  <c r="F6251" i="3"/>
  <c r="F5934" i="3"/>
  <c r="I5934" i="3" s="1"/>
  <c r="D1175" i="3"/>
  <c r="I1175" i="3" s="1"/>
  <c r="D1183" i="3"/>
  <c r="D1191" i="3"/>
  <c r="D1179" i="3"/>
  <c r="I1179" i="3" s="1"/>
  <c r="D1187" i="3"/>
  <c r="D1176" i="3"/>
  <c r="D1186" i="3"/>
  <c r="D1180" i="3"/>
  <c r="D1190" i="3"/>
  <c r="H1190" i="3" s="1"/>
  <c r="D1182" i="3"/>
  <c r="D1193" i="3"/>
  <c r="I1193" i="3" s="1"/>
  <c r="D1184" i="3"/>
  <c r="D1185" i="3"/>
  <c r="D1178" i="3"/>
  <c r="D1189" i="3"/>
  <c r="D1177" i="3"/>
  <c r="D1181" i="3"/>
  <c r="D1188" i="3"/>
  <c r="D1192" i="3"/>
  <c r="H1192" i="3" s="1"/>
  <c r="F1931" i="3"/>
  <c r="I1931" i="3" s="1"/>
  <c r="D977" i="3"/>
  <c r="D976" i="3"/>
  <c r="F522" i="3"/>
  <c r="H522" i="3" s="1"/>
  <c r="F392" i="3"/>
  <c r="F749" i="3"/>
  <c r="H749" i="3" s="1"/>
  <c r="F206" i="3"/>
  <c r="F1036" i="3"/>
  <c r="F2126" i="3"/>
  <c r="F1704" i="3"/>
  <c r="F1928" i="3"/>
  <c r="F2959" i="3"/>
  <c r="F4437" i="3"/>
  <c r="F3830" i="3"/>
  <c r="I3830" i="3" s="1"/>
  <c r="F3967" i="3"/>
  <c r="F3480" i="3"/>
  <c r="F3624" i="3"/>
  <c r="F4097" i="3"/>
  <c r="F4651" i="3"/>
  <c r="F5355" i="3"/>
  <c r="F5079" i="3"/>
  <c r="F6439" i="3"/>
  <c r="F6472" i="3"/>
  <c r="F5859" i="3"/>
  <c r="F5564" i="3"/>
  <c r="F5790" i="3"/>
  <c r="F6118" i="3"/>
  <c r="D847" i="3"/>
  <c r="D855" i="3"/>
  <c r="D863" i="3"/>
  <c r="D871" i="3"/>
  <c r="H871" i="3" s="1"/>
  <c r="D843" i="3"/>
  <c r="I843" i="3" s="1"/>
  <c r="D851" i="3"/>
  <c r="I851" i="3" s="1"/>
  <c r="D859" i="3"/>
  <c r="D867" i="3"/>
  <c r="D845" i="3"/>
  <c r="D856" i="3"/>
  <c r="D866" i="3"/>
  <c r="D849" i="3"/>
  <c r="D860" i="3"/>
  <c r="H860" i="3" s="1"/>
  <c r="D870" i="3"/>
  <c r="D841" i="3"/>
  <c r="D852" i="3"/>
  <c r="D862" i="3"/>
  <c r="D842" i="3"/>
  <c r="D853" i="3"/>
  <c r="D864" i="3"/>
  <c r="I864" i="3" s="1"/>
  <c r="D844" i="3"/>
  <c r="H844" i="3" s="1"/>
  <c r="D854" i="3"/>
  <c r="D865" i="3"/>
  <c r="D868" i="3"/>
  <c r="D848" i="3"/>
  <c r="D857" i="3"/>
  <c r="D858" i="3"/>
  <c r="I858" i="3" s="1"/>
  <c r="D861" i="3"/>
  <c r="D869" i="3"/>
  <c r="D872" i="3"/>
  <c r="D846" i="3"/>
  <c r="D850" i="3"/>
  <c r="F202" i="3"/>
  <c r="F879" i="3"/>
  <c r="F1805" i="3"/>
  <c r="F2119" i="3"/>
  <c r="F1368" i="3"/>
  <c r="F2373" i="3"/>
  <c r="F3360" i="3"/>
  <c r="F2803" i="3"/>
  <c r="F2608" i="3"/>
  <c r="F3828" i="3"/>
  <c r="F5557" i="3"/>
  <c r="H5557" i="3" s="1"/>
  <c r="F4822" i="3"/>
  <c r="F4275" i="3"/>
  <c r="I4275" i="3" s="1"/>
  <c r="F5999" i="3"/>
  <c r="F6247" i="3"/>
  <c r="F50" i="3"/>
  <c r="D631" i="3"/>
  <c r="D639" i="3"/>
  <c r="D635" i="3"/>
  <c r="D643" i="3"/>
  <c r="D638" i="3"/>
  <c r="D632" i="3"/>
  <c r="D642" i="3"/>
  <c r="D634" i="3"/>
  <c r="D645" i="3"/>
  <c r="D636" i="3"/>
  <c r="D637" i="3"/>
  <c r="D630" i="3"/>
  <c r="D640" i="3"/>
  <c r="D641" i="3"/>
  <c r="D644" i="3"/>
  <c r="D629" i="3"/>
  <c r="I629" i="3" s="1"/>
  <c r="D633" i="3"/>
  <c r="F128" i="3"/>
  <c r="F176" i="3"/>
  <c r="F21" i="3"/>
  <c r="F85" i="3"/>
  <c r="F747" i="3"/>
  <c r="I747" i="3" s="1"/>
  <c r="F979" i="3"/>
  <c r="F198" i="3"/>
  <c r="F478" i="3"/>
  <c r="F1133" i="3"/>
  <c r="H1133" i="3" s="1"/>
  <c r="F1002" i="3"/>
  <c r="I1002" i="3" s="1"/>
  <c r="F1034" i="3"/>
  <c r="F1058" i="3"/>
  <c r="H1058" i="3" s="1"/>
  <c r="F1298" i="3"/>
  <c r="F1802" i="3"/>
  <c r="F1364" i="3"/>
  <c r="F1620" i="3"/>
  <c r="F1701" i="3"/>
  <c r="F877" i="3"/>
  <c r="F842" i="3"/>
  <c r="F1227" i="3"/>
  <c r="H1227" i="3" s="1"/>
  <c r="F1512" i="3"/>
  <c r="F1914" i="3"/>
  <c r="F2322" i="3"/>
  <c r="H2322" i="3" s="1"/>
  <c r="F2115" i="3"/>
  <c r="F2367" i="3"/>
  <c r="F3031" i="3"/>
  <c r="F3223" i="3"/>
  <c r="F2800" i="3"/>
  <c r="F2544" i="3"/>
  <c r="F2918" i="3"/>
  <c r="F3182" i="3"/>
  <c r="F2604" i="3"/>
  <c r="F3653" i="3"/>
  <c r="F4229" i="3"/>
  <c r="I4229" i="3" s="1"/>
  <c r="F2500" i="3"/>
  <c r="F3317" i="3"/>
  <c r="F4208" i="3"/>
  <c r="F4456" i="3"/>
  <c r="F3356" i="3"/>
  <c r="F4361" i="3"/>
  <c r="F3476" i="3"/>
  <c r="F3956" i="3"/>
  <c r="F5210" i="3"/>
  <c r="I5210" i="3" s="1"/>
  <c r="F3827" i="3"/>
  <c r="F4819" i="3"/>
  <c r="F4091" i="3"/>
  <c r="F5069" i="3"/>
  <c r="F3778" i="3"/>
  <c r="F4646" i="3"/>
  <c r="I4646" i="3" s="1"/>
  <c r="F4910" i="3"/>
  <c r="F5478" i="3"/>
  <c r="F4442" i="3"/>
  <c r="F5815" i="3"/>
  <c r="I5815" i="3" s="1"/>
  <c r="F6591" i="3"/>
  <c r="F5856" i="3"/>
  <c r="F6504" i="3"/>
  <c r="F5929" i="3"/>
  <c r="I5929" i="3" s="1"/>
  <c r="F6113" i="3"/>
  <c r="H6113" i="3" s="1"/>
  <c r="F6378" i="3"/>
  <c r="I6378" i="3" s="1"/>
  <c r="F5995" i="3"/>
  <c r="F6243" i="3"/>
  <c r="I6243" i="3" s="1"/>
  <c r="F6475" i="3"/>
  <c r="F4736" i="3"/>
  <c r="F5016" i="3"/>
  <c r="F5440" i="3"/>
  <c r="F5516" i="3"/>
  <c r="H5516" i="3" s="1"/>
  <c r="F6316" i="3"/>
  <c r="H6316" i="3" s="1"/>
  <c r="F6436" i="3"/>
  <c r="F5351" i="3"/>
  <c r="F4514" i="3"/>
  <c r="F5551" i="3"/>
  <c r="D391" i="3"/>
  <c r="D399" i="3"/>
  <c r="I399" i="3" s="1"/>
  <c r="D407" i="3"/>
  <c r="H407" i="3" s="1"/>
  <c r="D415" i="3"/>
  <c r="D423" i="3"/>
  <c r="D431" i="3"/>
  <c r="D439" i="3"/>
  <c r="D447" i="3"/>
  <c r="H447" i="3" s="1"/>
  <c r="D455" i="3"/>
  <c r="D463" i="3"/>
  <c r="D471" i="3"/>
  <c r="I471" i="3" s="1"/>
  <c r="D385" i="3"/>
  <c r="D393" i="3"/>
  <c r="D401" i="3"/>
  <c r="D409" i="3"/>
  <c r="D417" i="3"/>
  <c r="D425" i="3"/>
  <c r="D433" i="3"/>
  <c r="I433" i="3" s="1"/>
  <c r="D441" i="3"/>
  <c r="D449" i="3"/>
  <c r="D387" i="3"/>
  <c r="D395" i="3"/>
  <c r="I395" i="3" s="1"/>
  <c r="D403" i="3"/>
  <c r="I403" i="3" s="1"/>
  <c r="D411" i="3"/>
  <c r="D419" i="3"/>
  <c r="D427" i="3"/>
  <c r="I427" i="3" s="1"/>
  <c r="D435" i="3"/>
  <c r="I435" i="3" s="1"/>
  <c r="D443" i="3"/>
  <c r="D451" i="3"/>
  <c r="I451" i="3" s="1"/>
  <c r="D459" i="3"/>
  <c r="D467" i="3"/>
  <c r="D475" i="3"/>
  <c r="I475" i="3" s="1"/>
  <c r="D384" i="3"/>
  <c r="D397" i="3"/>
  <c r="D410" i="3"/>
  <c r="D422" i="3"/>
  <c r="D436" i="3"/>
  <c r="D448" i="3"/>
  <c r="D460" i="3"/>
  <c r="D470" i="3"/>
  <c r="D389" i="3"/>
  <c r="D402" i="3"/>
  <c r="D414" i="3"/>
  <c r="I414" i="3" s="1"/>
  <c r="D428" i="3"/>
  <c r="D440" i="3"/>
  <c r="I440" i="3" s="1"/>
  <c r="D453" i="3"/>
  <c r="D464" i="3"/>
  <c r="D474" i="3"/>
  <c r="D392" i="3"/>
  <c r="D405" i="3"/>
  <c r="D418" i="3"/>
  <c r="I418" i="3" s="1"/>
  <c r="D430" i="3"/>
  <c r="D444" i="3"/>
  <c r="D456" i="3"/>
  <c r="D466" i="3"/>
  <c r="D394" i="3"/>
  <c r="D406" i="3"/>
  <c r="D420" i="3"/>
  <c r="D432" i="3"/>
  <c r="D445" i="3"/>
  <c r="D457" i="3"/>
  <c r="H457" i="3" s="1"/>
  <c r="D468" i="3"/>
  <c r="D396" i="3"/>
  <c r="D408" i="3"/>
  <c r="D421" i="3"/>
  <c r="I421" i="3" s="1"/>
  <c r="D434" i="3"/>
  <c r="D446" i="3"/>
  <c r="I446" i="3" s="1"/>
  <c r="D458" i="3"/>
  <c r="D469" i="3"/>
  <c r="D404" i="3"/>
  <c r="D438" i="3"/>
  <c r="D472" i="3"/>
  <c r="D386" i="3"/>
  <c r="D416" i="3"/>
  <c r="D452" i="3"/>
  <c r="D390" i="3"/>
  <c r="D426" i="3"/>
  <c r="D461" i="3"/>
  <c r="D398" i="3"/>
  <c r="I398" i="3" s="1"/>
  <c r="D429" i="3"/>
  <c r="I429" i="3" s="1"/>
  <c r="D462" i="3"/>
  <c r="H462" i="3" s="1"/>
  <c r="D400" i="3"/>
  <c r="D437" i="3"/>
  <c r="D465" i="3"/>
  <c r="D442" i="3"/>
  <c r="D473" i="3"/>
  <c r="D388" i="3"/>
  <c r="D476" i="3"/>
  <c r="D412" i="3"/>
  <c r="D413" i="3"/>
  <c r="D424" i="3"/>
  <c r="I424" i="3" s="1"/>
  <c r="D450" i="3"/>
  <c r="D454" i="3"/>
  <c r="F5545" i="3"/>
  <c r="D124" i="3"/>
  <c r="F1905" i="3"/>
  <c r="F4087" i="3"/>
  <c r="F4781" i="3"/>
  <c r="F6108" i="3"/>
  <c r="D63" i="3"/>
  <c r="I63" i="3" s="1"/>
  <c r="D65" i="3"/>
  <c r="F6573" i="3"/>
  <c r="I6573" i="3" s="1"/>
  <c r="D62" i="3"/>
  <c r="D64" i="3"/>
  <c r="F1198" i="3"/>
  <c r="I1198" i="3" s="1"/>
  <c r="F3917" i="3"/>
  <c r="F2099" i="3"/>
  <c r="F2299" i="3"/>
  <c r="H2299" i="3" s="1"/>
  <c r="F354" i="3"/>
  <c r="F1503" i="3"/>
  <c r="I1503" i="3" s="1"/>
  <c r="F2294" i="3"/>
  <c r="F6302" i="3"/>
  <c r="F2091" i="3"/>
  <c r="F4203" i="3"/>
  <c r="I4203" i="3" s="1"/>
  <c r="F5728" i="3"/>
  <c r="H5728" i="3" s="1"/>
  <c r="F5923" i="3"/>
  <c r="F573" i="3"/>
  <c r="F1902" i="3"/>
  <c r="F2283" i="3"/>
  <c r="F5975" i="3"/>
  <c r="F5724" i="3"/>
  <c r="F3941" i="3"/>
  <c r="F3916" i="3"/>
  <c r="F335" i="3"/>
  <c r="F824" i="3"/>
  <c r="I824" i="3" s="1"/>
  <c r="F1283" i="3"/>
  <c r="F669" i="3"/>
  <c r="I669" i="3" s="1"/>
  <c r="F2470" i="3"/>
  <c r="F2690" i="3"/>
  <c r="F3444" i="3"/>
  <c r="F5712" i="3"/>
  <c r="I5712" i="3" s="1"/>
  <c r="F6296" i="3"/>
  <c r="H6296" i="3" s="1"/>
  <c r="F6090" i="3"/>
  <c r="F2264" i="3"/>
  <c r="F2069" i="3"/>
  <c r="F4185" i="3"/>
  <c r="H4185" i="3" s="1"/>
  <c r="F6199" i="3"/>
  <c r="F325" i="3"/>
  <c r="I325" i="3" s="1"/>
  <c r="F940" i="3"/>
  <c r="F818" i="3"/>
  <c r="H818" i="3" s="1"/>
  <c r="F1476" i="3"/>
  <c r="F2062" i="3"/>
  <c r="F2260" i="3"/>
  <c r="F2463" i="3"/>
  <c r="H2463" i="3" s="1"/>
  <c r="F2682" i="3"/>
  <c r="F3437" i="3"/>
  <c r="F3573" i="3"/>
  <c r="F3885" i="3"/>
  <c r="F4182" i="3"/>
  <c r="F4344" i="3"/>
  <c r="F2873" i="3"/>
  <c r="F5178" i="3"/>
  <c r="I5178" i="3" s="1"/>
  <c r="F4059" i="3"/>
  <c r="F4708" i="3"/>
  <c r="F4885" i="3"/>
  <c r="F4599" i="3"/>
  <c r="F5970" i="3"/>
  <c r="I5970" i="3" s="1"/>
  <c r="F6082" i="3"/>
  <c r="F5701" i="3"/>
  <c r="F6293" i="3"/>
  <c r="F454" i="3"/>
  <c r="F1110" i="3"/>
  <c r="F321" i="3"/>
  <c r="I321" i="3" s="1"/>
  <c r="F814" i="3"/>
  <c r="F1665" i="3"/>
  <c r="F2056" i="3"/>
  <c r="F1876" i="3"/>
  <c r="F2678" i="3"/>
  <c r="H2678" i="3" s="1"/>
  <c r="F1472" i="3"/>
  <c r="F2459" i="3"/>
  <c r="F2870" i="3"/>
  <c r="F3434" i="3"/>
  <c r="F4340" i="3"/>
  <c r="F4882" i="3"/>
  <c r="F5250" i="3"/>
  <c r="F5339" i="3"/>
  <c r="F4596" i="3"/>
  <c r="F5173" i="3"/>
  <c r="F4705" i="3"/>
  <c r="F5695" i="3"/>
  <c r="F5847" i="3"/>
  <c r="F6079" i="3"/>
  <c r="F6289" i="3"/>
  <c r="F5966" i="3"/>
  <c r="F173" i="3"/>
  <c r="F2458" i="3"/>
  <c r="F315" i="3"/>
  <c r="H315" i="3" s="1"/>
  <c r="F643" i="3"/>
  <c r="I643" i="3" s="1"/>
  <c r="F13" i="3"/>
  <c r="F93" i="3"/>
  <c r="F501" i="3"/>
  <c r="F116" i="3"/>
  <c r="F513" i="3"/>
  <c r="F668" i="3"/>
  <c r="F60" i="3"/>
  <c r="I60" i="3" s="1"/>
  <c r="F968" i="3"/>
  <c r="F1000" i="3"/>
  <c r="F608" i="3"/>
  <c r="F1157" i="3"/>
  <c r="F806" i="3"/>
  <c r="F1174" i="3"/>
  <c r="H1174" i="3" s="1"/>
  <c r="F934" i="3"/>
  <c r="F174" i="3"/>
  <c r="H174" i="3" s="1"/>
  <c r="F1216" i="3"/>
  <c r="F1224" i="3"/>
  <c r="F1336" i="3"/>
  <c r="F1106" i="3"/>
  <c r="F1259" i="3"/>
  <c r="I1259" i="3" s="1"/>
  <c r="F448" i="3"/>
  <c r="F1467" i="3"/>
  <c r="F1548" i="3"/>
  <c r="I1548" i="3" s="1"/>
  <c r="F1188" i="3"/>
  <c r="F1661" i="3"/>
  <c r="F1614" i="3"/>
  <c r="F1697" i="3"/>
  <c r="F1753" i="3"/>
  <c r="F1793" i="3"/>
  <c r="F2046" i="3"/>
  <c r="I2046" i="3" s="1"/>
  <c r="F2250" i="3"/>
  <c r="F1026" i="3"/>
  <c r="F1872" i="3"/>
  <c r="F2347" i="3"/>
  <c r="F2454" i="3"/>
  <c r="F2530" i="3"/>
  <c r="F2725" i="3"/>
  <c r="F2568" i="3"/>
  <c r="F2672" i="3"/>
  <c r="F3279" i="3"/>
  <c r="F3057" i="3"/>
  <c r="I3057" i="3" s="1"/>
  <c r="F3169" i="3"/>
  <c r="F2865" i="3"/>
  <c r="F2950" i="3"/>
  <c r="F3429" i="3"/>
  <c r="F3565" i="3"/>
  <c r="F3813" i="3"/>
  <c r="F4493" i="3"/>
  <c r="F3878" i="3"/>
  <c r="F2516" i="3"/>
  <c r="F4048" i="3"/>
  <c r="F4336" i="3"/>
  <c r="F3649" i="3"/>
  <c r="F3109" i="3"/>
  <c r="H3109" i="3" s="1"/>
  <c r="F4171" i="3"/>
  <c r="I4171" i="3" s="1"/>
  <c r="F4971" i="3"/>
  <c r="F3739" i="3"/>
  <c r="F4700" i="3"/>
  <c r="F4764" i="3"/>
  <c r="F4812" i="3"/>
  <c r="F4637" i="3"/>
  <c r="F5245" i="3"/>
  <c r="F3715" i="3"/>
  <c r="F4878" i="3"/>
  <c r="F5038" i="3"/>
  <c r="F5166" i="3"/>
  <c r="F3691" i="3"/>
  <c r="H3691" i="3" s="1"/>
  <c r="F5287" i="3"/>
  <c r="F3730" i="3"/>
  <c r="F4258" i="3"/>
  <c r="F4590" i="3"/>
  <c r="F5465" i="3"/>
  <c r="F5336" i="3"/>
  <c r="F3083" i="3"/>
  <c r="I3083" i="3" s="1"/>
  <c r="F3347" i="3"/>
  <c r="F5784" i="3"/>
  <c r="F6496" i="3"/>
  <c r="F5689" i="3"/>
  <c r="F5769" i="3"/>
  <c r="H5769" i="3" s="1"/>
  <c r="F5905" i="3"/>
  <c r="F6355" i="3"/>
  <c r="I6355" i="3" s="1"/>
  <c r="F6403" i="3"/>
  <c r="I6403" i="3" s="1"/>
  <c r="F5500" i="3"/>
  <c r="F5988" i="3"/>
  <c r="F6460" i="3"/>
  <c r="F5392" i="3"/>
  <c r="F5845" i="3"/>
  <c r="F4944" i="3"/>
  <c r="F6541" i="3"/>
  <c r="I6541" i="3" s="1"/>
  <c r="F6189" i="3"/>
  <c r="F2042" i="3"/>
  <c r="F2580" i="3"/>
  <c r="F161" i="3"/>
  <c r="F713" i="3"/>
  <c r="F2242" i="3"/>
  <c r="F2036" i="3"/>
  <c r="F2665" i="3"/>
  <c r="I2665" i="3" s="1"/>
  <c r="F3742" i="3"/>
  <c r="F4375" i="3"/>
  <c r="F3205" i="3"/>
  <c r="F3904" i="3"/>
  <c r="F4040" i="3"/>
  <c r="F4393" i="3"/>
  <c r="F4164" i="3"/>
  <c r="F4964" i="3"/>
  <c r="I4964" i="3" s="1"/>
  <c r="F3930" i="3"/>
  <c r="F5680" i="3"/>
  <c r="F5388" i="3"/>
  <c r="F5900" i="3"/>
  <c r="F6181" i="3"/>
  <c r="F48" i="3"/>
  <c r="F112" i="3"/>
  <c r="F160" i="3"/>
  <c r="I160" i="3" s="1"/>
  <c r="F35" i="3"/>
  <c r="F181" i="3"/>
  <c r="F301" i="3"/>
  <c r="F373" i="3"/>
  <c r="F581" i="3"/>
  <c r="F698" i="3"/>
  <c r="I698" i="3" s="1"/>
  <c r="F796" i="3"/>
  <c r="F924" i="3"/>
  <c r="F604" i="3"/>
  <c r="F684" i="3"/>
  <c r="F438" i="3"/>
  <c r="F737" i="3"/>
  <c r="F857" i="3"/>
  <c r="I857" i="3" s="1"/>
  <c r="F998" i="3"/>
  <c r="F1214" i="3"/>
  <c r="F1278" i="3"/>
  <c r="F1255" i="3"/>
  <c r="H1255" i="3" s="1"/>
  <c r="F553" i="3"/>
  <c r="F969" i="3"/>
  <c r="F1096" i="3"/>
  <c r="F1328" i="3"/>
  <c r="H1328" i="3" s="1"/>
  <c r="F1023" i="3"/>
  <c r="F1153" i="3"/>
  <c r="F702" i="3"/>
  <c r="H702" i="3" s="1"/>
  <c r="F1452" i="3"/>
  <c r="F1287" i="3"/>
  <c r="F1541" i="3"/>
  <c r="F1741" i="3"/>
  <c r="F1789" i="3"/>
  <c r="F1654" i="3"/>
  <c r="F1686" i="3"/>
  <c r="F1862" i="3"/>
  <c r="H1862" i="3" s="1"/>
  <c r="F497" i="3"/>
  <c r="F2031" i="3"/>
  <c r="F2343" i="3"/>
  <c r="F2734" i="3"/>
  <c r="F2782" i="3"/>
  <c r="F2751" i="3"/>
  <c r="F2855" i="3"/>
  <c r="H2855" i="3" s="1"/>
  <c r="F2443" i="3"/>
  <c r="F1584" i="3"/>
  <c r="F2237" i="3"/>
  <c r="F2309" i="3"/>
  <c r="F2571" i="3"/>
  <c r="F2904" i="3"/>
  <c r="F2928" i="3"/>
  <c r="F2984" i="3"/>
  <c r="I2984" i="3" s="1"/>
  <c r="F3177" i="3"/>
  <c r="I3177" i="3" s="1"/>
  <c r="F2659" i="3"/>
  <c r="I2659" i="3" s="1"/>
  <c r="F2946" i="3"/>
  <c r="F3020" i="3"/>
  <c r="F3052" i="3"/>
  <c r="F3148" i="3"/>
  <c r="H3148" i="3" s="1"/>
  <c r="F2966" i="3"/>
  <c r="H2966" i="3" s="1"/>
  <c r="F3173" i="3"/>
  <c r="F3717" i="3"/>
  <c r="F3725" i="3"/>
  <c r="F4325" i="3"/>
  <c r="F3614" i="3"/>
  <c r="F3630" i="3"/>
  <c r="F4254" i="3"/>
  <c r="I4254" i="3" s="1"/>
  <c r="F4486" i="3"/>
  <c r="F3123" i="3"/>
  <c r="F3203" i="3"/>
  <c r="I3203" i="3" s="1"/>
  <c r="F4159" i="3"/>
  <c r="I4159" i="3" s="1"/>
  <c r="F4424" i="3"/>
  <c r="F4432" i="3"/>
  <c r="F2995" i="3"/>
  <c r="F3325" i="3"/>
  <c r="I3325" i="3" s="1"/>
  <c r="F3553" i="3"/>
  <c r="I3553" i="3" s="1"/>
  <c r="F3713" i="3"/>
  <c r="F3269" i="3"/>
  <c r="F3684" i="3"/>
  <c r="F3756" i="3"/>
  <c r="F3868" i="3"/>
  <c r="F4036" i="3"/>
  <c r="F3651" i="3"/>
  <c r="F5002" i="3"/>
  <c r="H5002" i="3" s="1"/>
  <c r="F5386" i="3"/>
  <c r="F5674" i="3"/>
  <c r="F4579" i="3"/>
  <c r="F4939" i="3"/>
  <c r="H4939" i="3" s="1"/>
  <c r="F4980" i="3"/>
  <c r="F5004" i="3"/>
  <c r="F5036" i="3"/>
  <c r="F5052" i="3"/>
  <c r="F3419" i="3"/>
  <c r="F5333" i="3"/>
  <c r="I5333" i="3" s="1"/>
  <c r="F3810" i="3"/>
  <c r="F4452" i="3"/>
  <c r="H4452" i="3" s="1"/>
  <c r="F4870" i="3"/>
  <c r="F5462" i="3"/>
  <c r="F4759" i="3"/>
  <c r="F3946" i="3"/>
  <c r="F4689" i="3"/>
  <c r="F5241" i="3"/>
  <c r="F5959" i="3"/>
  <c r="F6455" i="3"/>
  <c r="F6177" i="3"/>
  <c r="F5496" i="3"/>
  <c r="F5842" i="3"/>
  <c r="F5898" i="3"/>
  <c r="F6418" i="3"/>
  <c r="F6490" i="3"/>
  <c r="F6538" i="3"/>
  <c r="F6562" i="3"/>
  <c r="F6348" i="3"/>
  <c r="F5766" i="3"/>
  <c r="F6062" i="3"/>
  <c r="F6229" i="3"/>
  <c r="F2026" i="3"/>
  <c r="F4155" i="3"/>
  <c r="F2227" i="3"/>
  <c r="F3613" i="3"/>
  <c r="F5664" i="3"/>
  <c r="F33" i="3"/>
  <c r="F69" i="3"/>
  <c r="F109" i="3"/>
  <c r="F287" i="3"/>
  <c r="F431" i="3"/>
  <c r="F663" i="3"/>
  <c r="H663" i="3" s="1"/>
  <c r="F788" i="3"/>
  <c r="F1020" i="3"/>
  <c r="I1020" i="3" s="1"/>
  <c r="F967" i="3"/>
  <c r="I967" i="3" s="1"/>
  <c r="F1184" i="3"/>
  <c r="F1090" i="3"/>
  <c r="F626" i="3"/>
  <c r="F996" i="3"/>
  <c r="F1611" i="3"/>
  <c r="F1787" i="3"/>
  <c r="I1787" i="3" s="1"/>
  <c r="F917" i="3"/>
  <c r="F1853" i="3"/>
  <c r="F736" i="3"/>
  <c r="F1582" i="3"/>
  <c r="F601" i="3"/>
  <c r="F1323" i="3"/>
  <c r="I1323" i="3" s="1"/>
  <c r="F1441" i="3"/>
  <c r="F1537" i="3"/>
  <c r="F1276" i="3"/>
  <c r="F1648" i="3"/>
  <c r="F494" i="3"/>
  <c r="F2018" i="3"/>
  <c r="F2750" i="3"/>
  <c r="F2553" i="3"/>
  <c r="F2849" i="3"/>
  <c r="F1736" i="3"/>
  <c r="F2220" i="3"/>
  <c r="F2339" i="3"/>
  <c r="F2433" i="3"/>
  <c r="F2722" i="3"/>
  <c r="I2722" i="3" s="1"/>
  <c r="F2651" i="3"/>
  <c r="H2651" i="3" s="1"/>
  <c r="F2927" i="3"/>
  <c r="I2927" i="3" s="1"/>
  <c r="F3080" i="3"/>
  <c r="F3104" i="3"/>
  <c r="F3264" i="3"/>
  <c r="F3312" i="3"/>
  <c r="F3336" i="3"/>
  <c r="I3336" i="3" s="1"/>
  <c r="F3049" i="3"/>
  <c r="I3049" i="3" s="1"/>
  <c r="F3201" i="3"/>
  <c r="F3018" i="3"/>
  <c r="F3324" i="3"/>
  <c r="F2902" i="3"/>
  <c r="F3773" i="3"/>
  <c r="F3806" i="3"/>
  <c r="F4318" i="3"/>
  <c r="F3543" i="3"/>
  <c r="I3543" i="3" s="1"/>
  <c r="F3639" i="3"/>
  <c r="F3680" i="3"/>
  <c r="F4024" i="3"/>
  <c r="F3865" i="3"/>
  <c r="F4217" i="3"/>
  <c r="F3412" i="3"/>
  <c r="F4148" i="3"/>
  <c r="I4148" i="3" s="1"/>
  <c r="F4268" i="3"/>
  <c r="F4482" i="3"/>
  <c r="F5146" i="3"/>
  <c r="F5459" i="3"/>
  <c r="F4756" i="3"/>
  <c r="F4685" i="3"/>
  <c r="F5493" i="3"/>
  <c r="F5238" i="3"/>
  <c r="F5382" i="3"/>
  <c r="F5327" i="3"/>
  <c r="F4411" i="3"/>
  <c r="I4411" i="3" s="1"/>
  <c r="F4633" i="3"/>
  <c r="F4865" i="3"/>
  <c r="F5033" i="3"/>
  <c r="F6343" i="3"/>
  <c r="H6343" i="3" s="1"/>
  <c r="F6487" i="3"/>
  <c r="F5659" i="3"/>
  <c r="I5659" i="3" s="1"/>
  <c r="F6169" i="3"/>
  <c r="F6425" i="3"/>
  <c r="F3723" i="3"/>
  <c r="F5528" i="3"/>
  <c r="F4808" i="3"/>
  <c r="F5763" i="3"/>
  <c r="I5763" i="3" s="1"/>
  <c r="F4936" i="3"/>
  <c r="F5892" i="3"/>
  <c r="F6053" i="3"/>
  <c r="F5782" i="3"/>
  <c r="F6398" i="3"/>
  <c r="F6429" i="3"/>
  <c r="H6429" i="3" s="1"/>
  <c r="F6534" i="3"/>
  <c r="D4515" i="3"/>
  <c r="D4523" i="3"/>
  <c r="D4531" i="3"/>
  <c r="I4531" i="3" s="1"/>
  <c r="D4539" i="3"/>
  <c r="D4547" i="3"/>
  <c r="D4555" i="3"/>
  <c r="D4563" i="3"/>
  <c r="D4571" i="3"/>
  <c r="D4579" i="3"/>
  <c r="D4587" i="3"/>
  <c r="I4587" i="3" s="1"/>
  <c r="D4595" i="3"/>
  <c r="H4595" i="3" s="1"/>
  <c r="D4603" i="3"/>
  <c r="D4611" i="3"/>
  <c r="D4619" i="3"/>
  <c r="I4619" i="3" s="1"/>
  <c r="D4516" i="3"/>
  <c r="D4524" i="3"/>
  <c r="D4532" i="3"/>
  <c r="D4540" i="3"/>
  <c r="D4548" i="3"/>
  <c r="D4556" i="3"/>
  <c r="H4556" i="3" s="1"/>
  <c r="D4564" i="3"/>
  <c r="D4572" i="3"/>
  <c r="D4580" i="3"/>
  <c r="D4588" i="3"/>
  <c r="D4596" i="3"/>
  <c r="D4604" i="3"/>
  <c r="D4612" i="3"/>
  <c r="H4612" i="3" s="1"/>
  <c r="D4517" i="3"/>
  <c r="H4517" i="3" s="1"/>
  <c r="D4510" i="3"/>
  <c r="D4518" i="3"/>
  <c r="D4526" i="3"/>
  <c r="D4534" i="3"/>
  <c r="D4542" i="3"/>
  <c r="D4550" i="3"/>
  <c r="D4558" i="3"/>
  <c r="F2430" i="3"/>
  <c r="I2430" i="3" s="1"/>
  <c r="F5143" i="3"/>
  <c r="F5655" i="3"/>
  <c r="I5655" i="3" s="1"/>
  <c r="F281" i="3"/>
  <c r="F1436" i="3"/>
  <c r="F2212" i="3"/>
  <c r="F2009" i="3"/>
  <c r="F4568" i="3"/>
  <c r="F3537" i="3"/>
  <c r="F5651" i="3"/>
  <c r="I5651" i="3" s="1"/>
  <c r="D4264" i="3"/>
  <c r="D4265" i="3"/>
  <c r="D4267" i="3"/>
  <c r="D4268" i="3"/>
  <c r="F1846" i="3"/>
  <c r="F2423" i="3"/>
  <c r="I2423" i="3" s="1"/>
  <c r="F4423" i="3"/>
  <c r="H4423" i="3" s="1"/>
  <c r="F5137" i="3"/>
  <c r="F5647" i="3"/>
  <c r="D3944" i="3"/>
  <c r="D3945" i="3"/>
  <c r="H3945" i="3" s="1"/>
  <c r="D3946" i="3"/>
  <c r="D3947" i="3"/>
  <c r="F275" i="3"/>
  <c r="I275" i="3" s="1"/>
  <c r="F1843" i="3"/>
  <c r="F1430" i="3"/>
  <c r="F1083" i="3"/>
  <c r="I1083" i="3" s="1"/>
  <c r="F1997" i="3"/>
  <c r="F2201" i="3"/>
  <c r="F3252" i="3"/>
  <c r="F3528" i="3"/>
  <c r="F4562" i="3"/>
  <c r="F4856" i="3"/>
  <c r="F5641" i="3"/>
  <c r="D3768" i="3"/>
  <c r="D3769" i="3"/>
  <c r="D3770" i="3"/>
  <c r="D3771" i="3"/>
  <c r="D3772" i="3"/>
  <c r="D3765" i="3"/>
  <c r="H3765" i="3" s="1"/>
  <c r="D3773" i="3"/>
  <c r="D3766" i="3"/>
  <c r="H3766" i="3" s="1"/>
  <c r="D3774" i="3"/>
  <c r="F2746" i="3"/>
  <c r="F5131" i="3"/>
  <c r="H5131" i="3" s="1"/>
  <c r="D3713" i="3"/>
  <c r="F56" i="3"/>
  <c r="F419" i="3"/>
  <c r="F491" i="3"/>
  <c r="F7" i="3"/>
  <c r="F511" i="3"/>
  <c r="F596" i="3"/>
  <c r="H596" i="3" s="1"/>
  <c r="F779" i="3"/>
  <c r="I779" i="3" s="1"/>
  <c r="F268" i="3"/>
  <c r="F106" i="3"/>
  <c r="H106" i="3" s="1"/>
  <c r="F905" i="3"/>
  <c r="F1181" i="3"/>
  <c r="F1221" i="3"/>
  <c r="I1221" i="3" s="1"/>
  <c r="F638" i="3"/>
  <c r="F1200" i="3"/>
  <c r="F1013" i="3"/>
  <c r="F1145" i="3"/>
  <c r="F1169" i="3"/>
  <c r="H1169" i="3" s="1"/>
  <c r="F1289" i="3"/>
  <c r="F993" i="3"/>
  <c r="F1210" i="3"/>
  <c r="H1210" i="3" s="1"/>
  <c r="F1530" i="3"/>
  <c r="F1578" i="3"/>
  <c r="F1244" i="3"/>
  <c r="F1316" i="3"/>
  <c r="F1609" i="3"/>
  <c r="I1609" i="3" s="1"/>
  <c r="F1990" i="3"/>
  <c r="H1990" i="3" s="1"/>
  <c r="F1784" i="3"/>
  <c r="H1784" i="3" s="1"/>
  <c r="F2194" i="3"/>
  <c r="H2194" i="3" s="1"/>
  <c r="F1640" i="3"/>
  <c r="F2510" i="3"/>
  <c r="H2510" i="3" s="1"/>
  <c r="F1423" i="3"/>
  <c r="F2538" i="3"/>
  <c r="F2770" i="3"/>
  <c r="F2565" i="3"/>
  <c r="F2717" i="3"/>
  <c r="H2717" i="3" s="1"/>
  <c r="F3143" i="3"/>
  <c r="H3143" i="3" s="1"/>
  <c r="F2834" i="3"/>
  <c r="F3017" i="3"/>
  <c r="F2414" i="3"/>
  <c r="F3100" i="3"/>
  <c r="F3190" i="3"/>
  <c r="F3797" i="3"/>
  <c r="F4133" i="3"/>
  <c r="F4309" i="3"/>
  <c r="F4557" i="3"/>
  <c r="F3646" i="3"/>
  <c r="F3043" i="3"/>
  <c r="I3043" i="3" s="1"/>
  <c r="F3919" i="3"/>
  <c r="F4007" i="3"/>
  <c r="I4007" i="3" s="1"/>
  <c r="F3672" i="3"/>
  <c r="F3856" i="3"/>
  <c r="I3856" i="3" s="1"/>
  <c r="F2523" i="3"/>
  <c r="F2640" i="3"/>
  <c r="H2640" i="3" s="1"/>
  <c r="F3077" i="3"/>
  <c r="F3333" i="3"/>
  <c r="H3333" i="3" s="1"/>
  <c r="F3524" i="3"/>
  <c r="F5634" i="3"/>
  <c r="F3738" i="3"/>
  <c r="F4676" i="3"/>
  <c r="F4852" i="3"/>
  <c r="F5028" i="3"/>
  <c r="F5125" i="3"/>
  <c r="F5317" i="3"/>
  <c r="F4250" i="3"/>
  <c r="F4806" i="3"/>
  <c r="F4434" i="3"/>
  <c r="F4474" i="3"/>
  <c r="F3165" i="3"/>
  <c r="I3165" i="3" s="1"/>
  <c r="F5433" i="3"/>
  <c r="F6039" i="3"/>
  <c r="F6151" i="3"/>
  <c r="F6335" i="3"/>
  <c r="F5452" i="3"/>
  <c r="H5452" i="3" s="1"/>
  <c r="F5833" i="3"/>
  <c r="F6393" i="3"/>
  <c r="F6409" i="3"/>
  <c r="F5882" i="3"/>
  <c r="F6530" i="3"/>
  <c r="F6610" i="3"/>
  <c r="F4928" i="3"/>
  <c r="F5228" i="3"/>
  <c r="F4632" i="3"/>
  <c r="F5756" i="3"/>
  <c r="F5806" i="3"/>
  <c r="F6485" i="3"/>
  <c r="D3354" i="3"/>
  <c r="D3362" i="3"/>
  <c r="D3370" i="3"/>
  <c r="D3378" i="3"/>
  <c r="D3386" i="3"/>
  <c r="D3394" i="3"/>
  <c r="H3394" i="3" s="1"/>
  <c r="D3402" i="3"/>
  <c r="H3402" i="3" s="1"/>
  <c r="D3410" i="3"/>
  <c r="D3418" i="3"/>
  <c r="D3426" i="3"/>
  <c r="D3434" i="3"/>
  <c r="D3442" i="3"/>
  <c r="D3450" i="3"/>
  <c r="I3450" i="3" s="1"/>
  <c r="D3458" i="3"/>
  <c r="D3359" i="3"/>
  <c r="H3359" i="3" s="1"/>
  <c r="D3367" i="3"/>
  <c r="D3375" i="3"/>
  <c r="D3383" i="3"/>
  <c r="D3391" i="3"/>
  <c r="D3399" i="3"/>
  <c r="D3407" i="3"/>
  <c r="D3415" i="3"/>
  <c r="D3423" i="3"/>
  <c r="D3431" i="3"/>
  <c r="D3439" i="3"/>
  <c r="H3439" i="3" s="1"/>
  <c r="D3447" i="3"/>
  <c r="D3455" i="3"/>
  <c r="D3352" i="3"/>
  <c r="D3360" i="3"/>
  <c r="D3368" i="3"/>
  <c r="D3376" i="3"/>
  <c r="I3376" i="3" s="1"/>
  <c r="D3384" i="3"/>
  <c r="D3392" i="3"/>
  <c r="D3400" i="3"/>
  <c r="D3408" i="3"/>
  <c r="D3416" i="3"/>
  <c r="D3424" i="3"/>
  <c r="D3432" i="3"/>
  <c r="D3440" i="3"/>
  <c r="D3448" i="3"/>
  <c r="D3456" i="3"/>
  <c r="D3357" i="3"/>
  <c r="D3371" i="3"/>
  <c r="D3382" i="3"/>
  <c r="D3396" i="3"/>
  <c r="I3396" i="3" s="1"/>
  <c r="D3409" i="3"/>
  <c r="D3421" i="3"/>
  <c r="D3435" i="3"/>
  <c r="D3446" i="3"/>
  <c r="D3460" i="3"/>
  <c r="D3358" i="3"/>
  <c r="D3372" i="3"/>
  <c r="H3372" i="3" s="1"/>
  <c r="D3385" i="3"/>
  <c r="I3385" i="3" s="1"/>
  <c r="D3397" i="3"/>
  <c r="D3411" i="3"/>
  <c r="I3411" i="3" s="1"/>
  <c r="D3422" i="3"/>
  <c r="D3436" i="3"/>
  <c r="H3436" i="3" s="1"/>
  <c r="D3449" i="3"/>
  <c r="D3361" i="3"/>
  <c r="D3373" i="3"/>
  <c r="H3373" i="3" s="1"/>
  <c r="D3387" i="3"/>
  <c r="I3387" i="3" s="1"/>
  <c r="D3398" i="3"/>
  <c r="D3412" i="3"/>
  <c r="D3425" i="3"/>
  <c r="D3437" i="3"/>
  <c r="D3451" i="3"/>
  <c r="D3363" i="3"/>
  <c r="D3374" i="3"/>
  <c r="D3388" i="3"/>
  <c r="D3401" i="3"/>
  <c r="D3413" i="3"/>
  <c r="D3427" i="3"/>
  <c r="I3427" i="3" s="1"/>
  <c r="D3438" i="3"/>
  <c r="D3452" i="3"/>
  <c r="D3364" i="3"/>
  <c r="D3377" i="3"/>
  <c r="I3377" i="3" s="1"/>
  <c r="D3389" i="3"/>
  <c r="I3389" i="3" s="1"/>
  <c r="D3403" i="3"/>
  <c r="D3414" i="3"/>
  <c r="D3428" i="3"/>
  <c r="D3441" i="3"/>
  <c r="H3441" i="3" s="1"/>
  <c r="D3453" i="3"/>
  <c r="D3353" i="3"/>
  <c r="D3365" i="3"/>
  <c r="H3365" i="3" s="1"/>
  <c r="D3379" i="3"/>
  <c r="D3390" i="3"/>
  <c r="D3404" i="3"/>
  <c r="D3417" i="3"/>
  <c r="D3429" i="3"/>
  <c r="D3443" i="3"/>
  <c r="H3443" i="3" s="1"/>
  <c r="D3454" i="3"/>
  <c r="I3454" i="3" s="1"/>
  <c r="D3355" i="3"/>
  <c r="I3355" i="3" s="1"/>
  <c r="D3366" i="3"/>
  <c r="I3366" i="3" s="1"/>
  <c r="D3380" i="3"/>
  <c r="H3380" i="3" s="1"/>
  <c r="D3393" i="3"/>
  <c r="H3393" i="3" s="1"/>
  <c r="D3405" i="3"/>
  <c r="D3419" i="3"/>
  <c r="D3430" i="3"/>
  <c r="D3444" i="3"/>
  <c r="D3457" i="3"/>
  <c r="F1985" i="3"/>
  <c r="F3521" i="3"/>
  <c r="D3218" i="3"/>
  <c r="I3218" i="3" s="1"/>
  <c r="D3219" i="3"/>
  <c r="F681" i="3"/>
  <c r="F538" i="3"/>
  <c r="H538" i="3" s="1"/>
  <c r="F1980" i="3"/>
  <c r="H1980" i="3" s="1"/>
  <c r="F3175" i="3"/>
  <c r="H3175" i="3" s="1"/>
  <c r="F5626" i="3"/>
  <c r="F4003" i="3"/>
  <c r="F5117" i="3"/>
  <c r="D3122" i="3"/>
  <c r="D3118" i="3"/>
  <c r="I3118" i="3" s="1"/>
  <c r="D3126" i="3"/>
  <c r="D3119" i="3"/>
  <c r="D3120" i="3"/>
  <c r="D3117" i="3"/>
  <c r="D3121" i="3"/>
  <c r="D3123" i="3"/>
  <c r="D3124" i="3"/>
  <c r="D3125" i="3"/>
  <c r="F255" i="3"/>
  <c r="F775" i="3"/>
  <c r="F1412" i="3"/>
  <c r="F2181" i="3"/>
  <c r="F3513" i="3"/>
  <c r="D3010" i="3"/>
  <c r="D3006" i="3"/>
  <c r="D3007" i="3"/>
  <c r="D3008" i="3"/>
  <c r="D3009" i="3"/>
  <c r="D3011" i="3"/>
  <c r="I3011" i="3" s="1"/>
  <c r="F252" i="3"/>
  <c r="I252" i="3" s="1"/>
  <c r="F532" i="3"/>
  <c r="I532" i="3" s="1"/>
  <c r="F1410" i="3"/>
  <c r="F1636" i="3"/>
  <c r="H1636" i="3" s="1"/>
  <c r="F2175" i="3"/>
  <c r="I2175" i="3" s="1"/>
  <c r="F2633" i="3"/>
  <c r="F2405" i="3"/>
  <c r="F3098" i="3"/>
  <c r="F3996" i="3"/>
  <c r="F5314" i="3"/>
  <c r="F5944" i="3"/>
  <c r="H5944" i="3" s="1"/>
  <c r="F6032" i="3"/>
  <c r="F6264" i="3"/>
  <c r="F5112" i="3"/>
  <c r="F5619" i="3"/>
  <c r="D2938" i="3"/>
  <c r="H2938" i="3" s="1"/>
  <c r="D2946" i="3"/>
  <c r="D2942" i="3"/>
  <c r="D2950" i="3"/>
  <c r="D2943" i="3"/>
  <c r="H2943" i="3" s="1"/>
  <c r="D2951" i="3"/>
  <c r="D2944" i="3"/>
  <c r="H2944" i="3" s="1"/>
  <c r="D2952" i="3"/>
  <c r="H2952" i="3" s="1"/>
  <c r="D2941" i="3"/>
  <c r="I2941" i="3" s="1"/>
  <c r="D2945" i="3"/>
  <c r="D2947" i="3"/>
  <c r="D2948" i="3"/>
  <c r="D2949" i="3"/>
  <c r="D2953" i="3"/>
  <c r="D2939" i="3"/>
  <c r="I2939" i="3" s="1"/>
  <c r="F247" i="3"/>
  <c r="F529" i="3"/>
  <c r="I529" i="3" s="1"/>
  <c r="F1405" i="3"/>
  <c r="F1968" i="3"/>
  <c r="F2170" i="3"/>
  <c r="H2170" i="3" s="1"/>
  <c r="F4302" i="3"/>
  <c r="F3511" i="3"/>
  <c r="F3992" i="3"/>
  <c r="F5108" i="3"/>
  <c r="F4123" i="3"/>
  <c r="F5614" i="3"/>
  <c r="H5614" i="3" s="1"/>
  <c r="F3850" i="3"/>
  <c r="F5367" i="3"/>
  <c r="I5367" i="3" s="1"/>
  <c r="F5876" i="3"/>
  <c r="D2778" i="3"/>
  <c r="D2786" i="3"/>
  <c r="D2773" i="3"/>
  <c r="D2781" i="3"/>
  <c r="I2781" i="3" s="1"/>
  <c r="D2789" i="3"/>
  <c r="I2789" i="3" s="1"/>
  <c r="D2774" i="3"/>
  <c r="D2782" i="3"/>
  <c r="D2790" i="3"/>
  <c r="D2775" i="3"/>
  <c r="D2783" i="3"/>
  <c r="D2776" i="3"/>
  <c r="D2784" i="3"/>
  <c r="D2779" i="3"/>
  <c r="D2780" i="3"/>
  <c r="D2785" i="3"/>
  <c r="D2787" i="3"/>
  <c r="D2788" i="3"/>
  <c r="D2771" i="3"/>
  <c r="I2771" i="3" s="1"/>
  <c r="D2772" i="3"/>
  <c r="D6575" i="3"/>
  <c r="D6567" i="3"/>
  <c r="H6567" i="3" s="1"/>
  <c r="D6559" i="3"/>
  <c r="D6551" i="3"/>
  <c r="D6543" i="3"/>
  <c r="D6535" i="3"/>
  <c r="D6527" i="3"/>
  <c r="D6519" i="3"/>
  <c r="D6503" i="3"/>
  <c r="H6503" i="3" s="1"/>
  <c r="D6495" i="3"/>
  <c r="I6495" i="3" s="1"/>
  <c r="D6487" i="3"/>
  <c r="D6479" i="3"/>
  <c r="D6423" i="3"/>
  <c r="H6423" i="3" s="1"/>
  <c r="D6415" i="3"/>
  <c r="D6407" i="3"/>
  <c r="D6399" i="3"/>
  <c r="D6391" i="3"/>
  <c r="H6391" i="3" s="1"/>
  <c r="D6383" i="3"/>
  <c r="D6375" i="3"/>
  <c r="D6239" i="3"/>
  <c r="I6239" i="3" s="1"/>
  <c r="D6231" i="3"/>
  <c r="I6231" i="3" s="1"/>
  <c r="D6223" i="3"/>
  <c r="D6215" i="3"/>
  <c r="I6215" i="3" s="1"/>
  <c r="D6207" i="3"/>
  <c r="D6199" i="3"/>
  <c r="D6191" i="3"/>
  <c r="D6183" i="3"/>
  <c r="H6183" i="3" s="1"/>
  <c r="D6175" i="3"/>
  <c r="D6167" i="3"/>
  <c r="D6159" i="3"/>
  <c r="D6151" i="3"/>
  <c r="H6151" i="3" s="1"/>
  <c r="D6143" i="3"/>
  <c r="H6143" i="3" s="1"/>
  <c r="D6135" i="3"/>
  <c r="D6127" i="3"/>
  <c r="I6127" i="3" s="1"/>
  <c r="D6119" i="3"/>
  <c r="D6111" i="3"/>
  <c r="I6111" i="3" s="1"/>
  <c r="D6103" i="3"/>
  <c r="D6095" i="3"/>
  <c r="D6087" i="3"/>
  <c r="D6079" i="3"/>
  <c r="D6071" i="3"/>
  <c r="I6071" i="3" s="1"/>
  <c r="D6063" i="3"/>
  <c r="D6055" i="3"/>
  <c r="D6047" i="3"/>
  <c r="D6039" i="3"/>
  <c r="D6031" i="3"/>
  <c r="D6023" i="3"/>
  <c r="D6015" i="3"/>
  <c r="D6007" i="3"/>
  <c r="H6007" i="3" s="1"/>
  <c r="D5999" i="3"/>
  <c r="D5991" i="3"/>
  <c r="H5991" i="3" s="1"/>
  <c r="D5511" i="3"/>
  <c r="I5511" i="3" s="1"/>
  <c r="D5503" i="3"/>
  <c r="D5495" i="3"/>
  <c r="D5487" i="3"/>
  <c r="I5487" i="3" s="1"/>
  <c r="D5479" i="3"/>
  <c r="D5471" i="3"/>
  <c r="D5463" i="3"/>
  <c r="D5455" i="3"/>
  <c r="D5447" i="3"/>
  <c r="D5439" i="3"/>
  <c r="D5431" i="3"/>
  <c r="D5423" i="3"/>
  <c r="D5415" i="3"/>
  <c r="D5287" i="3"/>
  <c r="D5279" i="3"/>
  <c r="D5271" i="3"/>
  <c r="D5263" i="3"/>
  <c r="H5263" i="3" s="1"/>
  <c r="D5255" i="3"/>
  <c r="D5247" i="3"/>
  <c r="D5239" i="3"/>
  <c r="D5231" i="3"/>
  <c r="D5223" i="3"/>
  <c r="I5223" i="3" s="1"/>
  <c r="D5215" i="3"/>
  <c r="D5207" i="3"/>
  <c r="I5207" i="3" s="1"/>
  <c r="D5199" i="3"/>
  <c r="H5199" i="3" s="1"/>
  <c r="D5191" i="3"/>
  <c r="D5183" i="3"/>
  <c r="D5175" i="3"/>
  <c r="D5167" i="3"/>
  <c r="D5159" i="3"/>
  <c r="D5151" i="3"/>
  <c r="D5143" i="3"/>
  <c r="D5135" i="3"/>
  <c r="D5127" i="3"/>
  <c r="D5119" i="3"/>
  <c r="D5111" i="3"/>
  <c r="D5103" i="3"/>
  <c r="D5095" i="3"/>
  <c r="D5087" i="3"/>
  <c r="H5087" i="3" s="1"/>
  <c r="D5079" i="3"/>
  <c r="D5071" i="3"/>
  <c r="I5071" i="3" s="1"/>
  <c r="D5063" i="3"/>
  <c r="D4999" i="3"/>
  <c r="D4991" i="3"/>
  <c r="D4959" i="3"/>
  <c r="D4951" i="3"/>
  <c r="D4943" i="3"/>
  <c r="I4943" i="3" s="1"/>
  <c r="D4935" i="3"/>
  <c r="I4935" i="3" s="1"/>
  <c r="D4927" i="3"/>
  <c r="D4919" i="3"/>
  <c r="D4911" i="3"/>
  <c r="D4903" i="3"/>
  <c r="D4895" i="3"/>
  <c r="D4887" i="3"/>
  <c r="D4879" i="3"/>
  <c r="I4879" i="3" s="1"/>
  <c r="D4871" i="3"/>
  <c r="H4871" i="3" s="1"/>
  <c r="D4863" i="3"/>
  <c r="D4855" i="3"/>
  <c r="D4847" i="3"/>
  <c r="D4839" i="3"/>
  <c r="D4831" i="3"/>
  <c r="D4823" i="3"/>
  <c r="D4815" i="3"/>
  <c r="D4807" i="3"/>
  <c r="D4799" i="3"/>
  <c r="D4726" i="3"/>
  <c r="D4714" i="3"/>
  <c r="D4704" i="3"/>
  <c r="D4694" i="3"/>
  <c r="D4682" i="3"/>
  <c r="D4672" i="3"/>
  <c r="I4672" i="3" s="1"/>
  <c r="D4662" i="3"/>
  <c r="D4650" i="3"/>
  <c r="I4650" i="3" s="1"/>
  <c r="D4640" i="3"/>
  <c r="H4640" i="3" s="1"/>
  <c r="D4630" i="3"/>
  <c r="D4609" i="3"/>
  <c r="D4599" i="3"/>
  <c r="D4589" i="3"/>
  <c r="D4577" i="3"/>
  <c r="D4567" i="3"/>
  <c r="D4554" i="3"/>
  <c r="D4543" i="3"/>
  <c r="D4529" i="3"/>
  <c r="D4514" i="3"/>
  <c r="D4434" i="3"/>
  <c r="D4391" i="3"/>
  <c r="H4391" i="3" s="1"/>
  <c r="D4369" i="3"/>
  <c r="D4346" i="3"/>
  <c r="H4346" i="3" s="1"/>
  <c r="D4327" i="3"/>
  <c r="D4295" i="3"/>
  <c r="H4295" i="3" s="1"/>
  <c r="D4263" i="3"/>
  <c r="D4079" i="3"/>
  <c r="H4079" i="3" s="1"/>
  <c r="D4031" i="3"/>
  <c r="D3967" i="3"/>
  <c r="D3863" i="3"/>
  <c r="H3863" i="3" s="1"/>
  <c r="D3799" i="3"/>
  <c r="D3616" i="3"/>
  <c r="I3616" i="3" s="1"/>
  <c r="D3531" i="3"/>
  <c r="D3420" i="3"/>
  <c r="D3227" i="3"/>
  <c r="I3227" i="3" s="1"/>
  <c r="D3020" i="3"/>
  <c r="D2777" i="3"/>
  <c r="D2218" i="3"/>
  <c r="H2218" i="3" s="1"/>
  <c r="D6422" i="3"/>
  <c r="D6414" i="3"/>
  <c r="D6390" i="3"/>
  <c r="D6382" i="3"/>
  <c r="D6238" i="3"/>
  <c r="D6230" i="3"/>
  <c r="D6222" i="3"/>
  <c r="D6214" i="3"/>
  <c r="D6206" i="3"/>
  <c r="D6198" i="3"/>
  <c r="D6190" i="3"/>
  <c r="D6182" i="3"/>
  <c r="D6174" i="3"/>
  <c r="D6166" i="3"/>
  <c r="D6158" i="3"/>
  <c r="D6150" i="3"/>
  <c r="I6150" i="3" s="1"/>
  <c r="D6142" i="3"/>
  <c r="I6142" i="3" s="1"/>
  <c r="D6134" i="3"/>
  <c r="H6134" i="3" s="1"/>
  <c r="D6126" i="3"/>
  <c r="D6118" i="3"/>
  <c r="D6110" i="3"/>
  <c r="D6102" i="3"/>
  <c r="I6102" i="3" s="1"/>
  <c r="D6094" i="3"/>
  <c r="D6086" i="3"/>
  <c r="D6078" i="3"/>
  <c r="D6070" i="3"/>
  <c r="I6070" i="3" s="1"/>
  <c r="D6062" i="3"/>
  <c r="D6054" i="3"/>
  <c r="D6046" i="3"/>
  <c r="D6038" i="3"/>
  <c r="D6030" i="3"/>
  <c r="D6022" i="3"/>
  <c r="D6014" i="3"/>
  <c r="D6006" i="3"/>
  <c r="D5998" i="3"/>
  <c r="D5990" i="3"/>
  <c r="D5510" i="3"/>
  <c r="D5502" i="3"/>
  <c r="D5494" i="3"/>
  <c r="D5486" i="3"/>
  <c r="D5478" i="3"/>
  <c r="I5478" i="3" s="1"/>
  <c r="D5470" i="3"/>
  <c r="I5470" i="3" s="1"/>
  <c r="D5462" i="3"/>
  <c r="D5454" i="3"/>
  <c r="D5446" i="3"/>
  <c r="D5438" i="3"/>
  <c r="D5430" i="3"/>
  <c r="D5422" i="3"/>
  <c r="H5422" i="3" s="1"/>
  <c r="D5414" i="3"/>
  <c r="I5414" i="3" s="1"/>
  <c r="D5286" i="3"/>
  <c r="D5278" i="3"/>
  <c r="D5270" i="3"/>
  <c r="D5262" i="3"/>
  <c r="D5254" i="3"/>
  <c r="D5246" i="3"/>
  <c r="D5238" i="3"/>
  <c r="D5230" i="3"/>
  <c r="I5230" i="3" s="1"/>
  <c r="D5222" i="3"/>
  <c r="D5214" i="3"/>
  <c r="D5206" i="3"/>
  <c r="D5198" i="3"/>
  <c r="D5190" i="3"/>
  <c r="D5182" i="3"/>
  <c r="I5182" i="3" s="1"/>
  <c r="D5174" i="3"/>
  <c r="D5166" i="3"/>
  <c r="D5158" i="3"/>
  <c r="D5150" i="3"/>
  <c r="D5142" i="3"/>
  <c r="D5134" i="3"/>
  <c r="D5126" i="3"/>
  <c r="D5118" i="3"/>
  <c r="D5110" i="3"/>
  <c r="D5102" i="3"/>
  <c r="D5094" i="3"/>
  <c r="I5094" i="3" s="1"/>
  <c r="D5086" i="3"/>
  <c r="D5078" i="3"/>
  <c r="D5070" i="3"/>
  <c r="D5062" i="3"/>
  <c r="D4998" i="3"/>
  <c r="H4998" i="3" s="1"/>
  <c r="D4990" i="3"/>
  <c r="D4958" i="3"/>
  <c r="D4950" i="3"/>
  <c r="D4942" i="3"/>
  <c r="D4934" i="3"/>
  <c r="D4926" i="3"/>
  <c r="D4918" i="3"/>
  <c r="D4910" i="3"/>
  <c r="D4902" i="3"/>
  <c r="D4894" i="3"/>
  <c r="D4886" i="3"/>
  <c r="D4878" i="3"/>
  <c r="D4870" i="3"/>
  <c r="D4862" i="3"/>
  <c r="D4854" i="3"/>
  <c r="I4854" i="3" s="1"/>
  <c r="D4846" i="3"/>
  <c r="D4838" i="3"/>
  <c r="D4830" i="3"/>
  <c r="I4830" i="3" s="1"/>
  <c r="D4822" i="3"/>
  <c r="D4814" i="3"/>
  <c r="D4806" i="3"/>
  <c r="D4798" i="3"/>
  <c r="D4725" i="3"/>
  <c r="D4713" i="3"/>
  <c r="D4703" i="3"/>
  <c r="D4693" i="3"/>
  <c r="I4693" i="3" s="1"/>
  <c r="D4681" i="3"/>
  <c r="H4681" i="3" s="1"/>
  <c r="D4671" i="3"/>
  <c r="D4661" i="3"/>
  <c r="D4649" i="3"/>
  <c r="D4639" i="3"/>
  <c r="D4629" i="3"/>
  <c r="H4629" i="3" s="1"/>
  <c r="D4618" i="3"/>
  <c r="I4618" i="3" s="1"/>
  <c r="D4608" i="3"/>
  <c r="H4608" i="3" s="1"/>
  <c r="D4598" i="3"/>
  <c r="D4586" i="3"/>
  <c r="D4576" i="3"/>
  <c r="D4566" i="3"/>
  <c r="H4566" i="3" s="1"/>
  <c r="D4553" i="3"/>
  <c r="D4541" i="3"/>
  <c r="D4528" i="3"/>
  <c r="D4513" i="3"/>
  <c r="D4433" i="3"/>
  <c r="I4433" i="3" s="1"/>
  <c r="D4386" i="3"/>
  <c r="D4367" i="3"/>
  <c r="H4367" i="3" s="1"/>
  <c r="D4345" i="3"/>
  <c r="D4322" i="3"/>
  <c r="D4290" i="3"/>
  <c r="D4074" i="3"/>
  <c r="H4074" i="3" s="1"/>
  <c r="D4023" i="3"/>
  <c r="I4023" i="3" s="1"/>
  <c r="D3959" i="3"/>
  <c r="D3855" i="3"/>
  <c r="D3791" i="3"/>
  <c r="I3791" i="3" s="1"/>
  <c r="D3727" i="3"/>
  <c r="D3605" i="3"/>
  <c r="D3520" i="3"/>
  <c r="D3406" i="3"/>
  <c r="I3406" i="3" s="1"/>
  <c r="D3132" i="3"/>
  <c r="D2171" i="3"/>
  <c r="D6421" i="3"/>
  <c r="D6413" i="3"/>
  <c r="D6405" i="3"/>
  <c r="D6397" i="3"/>
  <c r="D6389" i="3"/>
  <c r="D6381" i="3"/>
  <c r="H6381" i="3" s="1"/>
  <c r="D6237" i="3"/>
  <c r="D6229" i="3"/>
  <c r="D6221" i="3"/>
  <c r="H6221" i="3" s="1"/>
  <c r="D6213" i="3"/>
  <c r="D6205" i="3"/>
  <c r="D6197" i="3"/>
  <c r="D6189" i="3"/>
  <c r="D6181" i="3"/>
  <c r="D6173" i="3"/>
  <c r="D6165" i="3"/>
  <c r="H6165" i="3" s="1"/>
  <c r="D6157" i="3"/>
  <c r="D6149" i="3"/>
  <c r="D6141" i="3"/>
  <c r="D6133" i="3"/>
  <c r="D6125" i="3"/>
  <c r="D6117" i="3"/>
  <c r="I6117" i="3" s="1"/>
  <c r="D6109" i="3"/>
  <c r="D6101" i="3"/>
  <c r="H6101" i="3" s="1"/>
  <c r="D6093" i="3"/>
  <c r="D6085" i="3"/>
  <c r="D6077" i="3"/>
  <c r="D6069" i="3"/>
  <c r="D6061" i="3"/>
  <c r="D6053" i="3"/>
  <c r="D6045" i="3"/>
  <c r="H6045" i="3" s="1"/>
  <c r="D6037" i="3"/>
  <c r="D6029" i="3"/>
  <c r="D6021" i="3"/>
  <c r="D6013" i="3"/>
  <c r="D6005" i="3"/>
  <c r="D5997" i="3"/>
  <c r="D5989" i="3"/>
  <c r="D5509" i="3"/>
  <c r="H5509" i="3" s="1"/>
  <c r="D5501" i="3"/>
  <c r="D5493" i="3"/>
  <c r="D5485" i="3"/>
  <c r="D5477" i="3"/>
  <c r="D5469" i="3"/>
  <c r="D5461" i="3"/>
  <c r="I5461" i="3" s="1"/>
  <c r="D5453" i="3"/>
  <c r="D5445" i="3"/>
  <c r="D5429" i="3"/>
  <c r="D5421" i="3"/>
  <c r="H5421" i="3" s="1"/>
  <c r="D5413" i="3"/>
  <c r="D5285" i="3"/>
  <c r="D5277" i="3"/>
  <c r="D5269" i="3"/>
  <c r="D5261" i="3"/>
  <c r="I5261" i="3" s="1"/>
  <c r="D5253" i="3"/>
  <c r="D5245" i="3"/>
  <c r="D5237" i="3"/>
  <c r="D5229" i="3"/>
  <c r="D5221" i="3"/>
  <c r="D5213" i="3"/>
  <c r="D5205" i="3"/>
  <c r="H5205" i="3" s="1"/>
  <c r="D5197" i="3"/>
  <c r="D5189" i="3"/>
  <c r="D5181" i="3"/>
  <c r="H5181" i="3" s="1"/>
  <c r="D5173" i="3"/>
  <c r="D5165" i="3"/>
  <c r="D5157" i="3"/>
  <c r="D5149" i="3"/>
  <c r="D5141" i="3"/>
  <c r="D5133" i="3"/>
  <c r="D5125" i="3"/>
  <c r="D5117" i="3"/>
  <c r="D5109" i="3"/>
  <c r="D5101" i="3"/>
  <c r="D5093" i="3"/>
  <c r="H5093" i="3" s="1"/>
  <c r="D5085" i="3"/>
  <c r="D5077" i="3"/>
  <c r="D5069" i="3"/>
  <c r="D4997" i="3"/>
  <c r="D4989" i="3"/>
  <c r="I4989" i="3" s="1"/>
  <c r="D4957" i="3"/>
  <c r="D4949" i="3"/>
  <c r="D4941" i="3"/>
  <c r="D4933" i="3"/>
  <c r="I4933" i="3" s="1"/>
  <c r="D4925" i="3"/>
  <c r="D4917" i="3"/>
  <c r="D4909" i="3"/>
  <c r="D4901" i="3"/>
  <c r="D4893" i="3"/>
  <c r="H4893" i="3" s="1"/>
  <c r="D4885" i="3"/>
  <c r="D4877" i="3"/>
  <c r="D4869" i="3"/>
  <c r="D4861" i="3"/>
  <c r="H4861" i="3" s="1"/>
  <c r="D4853" i="3"/>
  <c r="H4853" i="3" s="1"/>
  <c r="D4845" i="3"/>
  <c r="D4837" i="3"/>
  <c r="I4837" i="3" s="1"/>
  <c r="D4829" i="3"/>
  <c r="D4821" i="3"/>
  <c r="D4813" i="3"/>
  <c r="D4805" i="3"/>
  <c r="D4797" i="3"/>
  <c r="D4734" i="3"/>
  <c r="D4722" i="3"/>
  <c r="D4712" i="3"/>
  <c r="D4702" i="3"/>
  <c r="D4690" i="3"/>
  <c r="D4680" i="3"/>
  <c r="D4670" i="3"/>
  <c r="D4658" i="3"/>
  <c r="D4648" i="3"/>
  <c r="D4638" i="3"/>
  <c r="D4626" i="3"/>
  <c r="I4626" i="3" s="1"/>
  <c r="D4617" i="3"/>
  <c r="D4607" i="3"/>
  <c r="D4597" i="3"/>
  <c r="D4585" i="3"/>
  <c r="D4575" i="3"/>
  <c r="D4565" i="3"/>
  <c r="D4552" i="3"/>
  <c r="I4552" i="3" s="1"/>
  <c r="D4538" i="3"/>
  <c r="D4527" i="3"/>
  <c r="D4512" i="3"/>
  <c r="H4512" i="3" s="1"/>
  <c r="D4432" i="3"/>
  <c r="I4432" i="3" s="1"/>
  <c r="D4385" i="3"/>
  <c r="D4362" i="3"/>
  <c r="H4362" i="3" s="1"/>
  <c r="D4343" i="3"/>
  <c r="D4319" i="3"/>
  <c r="I4319" i="3" s="1"/>
  <c r="D4287" i="3"/>
  <c r="D4071" i="3"/>
  <c r="H4071" i="3" s="1"/>
  <c r="D4015" i="3"/>
  <c r="D3951" i="3"/>
  <c r="H3951" i="3" s="1"/>
  <c r="D3847" i="3"/>
  <c r="D3783" i="3"/>
  <c r="H3783" i="3" s="1"/>
  <c r="D3719" i="3"/>
  <c r="D3595" i="3"/>
  <c r="D3509" i="3"/>
  <c r="H3509" i="3" s="1"/>
  <c r="D3395" i="3"/>
  <c r="I3395" i="3" s="1"/>
  <c r="D3318" i="3"/>
  <c r="D2474" i="3"/>
  <c r="D2133" i="3"/>
  <c r="D901" i="3"/>
  <c r="C3" i="2"/>
  <c r="C2" i="2"/>
  <c r="I2006" i="3"/>
  <c r="I4742" i="3"/>
  <c r="I105" i="3"/>
  <c r="H249" i="3"/>
  <c r="H521" i="3"/>
  <c r="I5742" i="3"/>
  <c r="I4125" i="3"/>
  <c r="I1749" i="3"/>
  <c r="I1117" i="3"/>
  <c r="I1077" i="3"/>
  <c r="I1528" i="3"/>
  <c r="H1104" i="3"/>
  <c r="I312" i="3"/>
  <c r="I24" i="3"/>
  <c r="I1005" i="3"/>
  <c r="I805" i="3"/>
  <c r="I757" i="3"/>
  <c r="I725" i="3"/>
  <c r="I709" i="3"/>
  <c r="I605" i="3"/>
  <c r="I557" i="3"/>
  <c r="I365" i="3"/>
  <c r="I309" i="3"/>
  <c r="I245" i="3"/>
  <c r="I237" i="3"/>
  <c r="I5366" i="3"/>
  <c r="I6550" i="3"/>
  <c r="I6518" i="3"/>
  <c r="I5902" i="3"/>
  <c r="H4470" i="3"/>
  <c r="I6558" i="3"/>
  <c r="I6366" i="3"/>
  <c r="H5742" i="3"/>
  <c r="H5550" i="3"/>
  <c r="H4038" i="3"/>
  <c r="H5350" i="3"/>
  <c r="H5022" i="3"/>
  <c r="H4982" i="3"/>
  <c r="H2742" i="3"/>
  <c r="I2534" i="3"/>
  <c r="I4710" i="3"/>
  <c r="I5758" i="3"/>
  <c r="I5838" i="3"/>
  <c r="I5342" i="3"/>
  <c r="I4622" i="3"/>
  <c r="H3902" i="3"/>
  <c r="H3654" i="3"/>
  <c r="I3654" i="3"/>
  <c r="H2630" i="3"/>
  <c r="H2518" i="3"/>
  <c r="I2518" i="3"/>
  <c r="I1534" i="3"/>
  <c r="H1422" i="3"/>
  <c r="I1422" i="3"/>
  <c r="I774" i="3"/>
  <c r="I614" i="3"/>
  <c r="H614" i="3"/>
  <c r="I542" i="3"/>
  <c r="H542" i="3"/>
  <c r="H4262" i="3"/>
  <c r="I2934" i="3"/>
  <c r="I2814" i="3"/>
  <c r="I1294" i="3"/>
  <c r="H1294" i="3"/>
  <c r="H1054" i="3"/>
  <c r="H1006" i="3"/>
  <c r="H798" i="3"/>
  <c r="I798" i="3"/>
  <c r="H742" i="3"/>
  <c r="I742" i="3"/>
  <c r="H726" i="3"/>
  <c r="I726" i="3"/>
  <c r="I598" i="3"/>
  <c r="H558" i="3"/>
  <c r="I558" i="3"/>
  <c r="I190" i="3"/>
  <c r="H118" i="3"/>
  <c r="I118" i="3"/>
  <c r="I3702" i="3"/>
  <c r="I1606" i="3"/>
  <c r="H1606" i="3"/>
  <c r="H1470" i="3"/>
  <c r="H1326" i="3"/>
  <c r="H1134" i="3"/>
  <c r="I1134" i="3"/>
  <c r="I1078" i="3"/>
  <c r="H830" i="3"/>
  <c r="I830" i="3"/>
  <c r="H718" i="3"/>
  <c r="I718" i="3"/>
  <c r="H622" i="3"/>
  <c r="H574" i="3"/>
  <c r="I574" i="3"/>
  <c r="H534" i="3"/>
  <c r="I534" i="3"/>
  <c r="H358" i="3"/>
  <c r="H262" i="3"/>
  <c r="H238" i="3"/>
  <c r="I238" i="3"/>
  <c r="H214" i="3"/>
  <c r="I214" i="3"/>
  <c r="I126" i="3"/>
  <c r="H126" i="3"/>
  <c r="H5678" i="3"/>
  <c r="I5350" i="3"/>
  <c r="I4190" i="3"/>
  <c r="I2318" i="3"/>
  <c r="H1390" i="3"/>
  <c r="I1390" i="3"/>
  <c r="I1062" i="3"/>
  <c r="I550" i="3"/>
  <c r="H366" i="3"/>
  <c r="I366" i="3"/>
  <c r="H54" i="3"/>
  <c r="I54" i="3"/>
  <c r="I349" i="3"/>
  <c r="I229" i="3"/>
  <c r="H793" i="3"/>
  <c r="I785" i="3"/>
  <c r="I6374" i="3"/>
  <c r="I6270" i="3"/>
  <c r="I541" i="3"/>
  <c r="H517" i="3"/>
  <c r="I517" i="3"/>
  <c r="I357" i="3"/>
  <c r="H357" i="3"/>
  <c r="I317" i="3"/>
  <c r="H269" i="3"/>
  <c r="H197" i="3"/>
  <c r="I197" i="3"/>
  <c r="I5649" i="3"/>
  <c r="I1006" i="3"/>
  <c r="I358" i="3"/>
  <c r="I753" i="3"/>
  <c r="I609" i="3"/>
  <c r="I569" i="3"/>
  <c r="H561" i="3"/>
  <c r="I561" i="3"/>
  <c r="I521" i="3"/>
  <c r="H353" i="3"/>
  <c r="I353" i="3"/>
  <c r="I257" i="3"/>
  <c r="H193" i="3"/>
  <c r="I193" i="3"/>
  <c r="I177" i="3"/>
  <c r="I57" i="3"/>
  <c r="I6542" i="3"/>
  <c r="I6470" i="3"/>
  <c r="I6310" i="3"/>
  <c r="I5942" i="3"/>
  <c r="I5894" i="3"/>
  <c r="I5814" i="3"/>
  <c r="I5678" i="3"/>
  <c r="I4262" i="3"/>
  <c r="I3918" i="3"/>
  <c r="I761" i="3"/>
  <c r="I745" i="3"/>
  <c r="I729" i="3"/>
  <c r="I577" i="3"/>
  <c r="H329" i="3"/>
  <c r="I329" i="3"/>
  <c r="I289" i="3"/>
  <c r="I249" i="3"/>
  <c r="I201" i="3"/>
  <c r="I121" i="3"/>
  <c r="I113" i="3"/>
  <c r="I6510" i="3"/>
  <c r="I6446" i="3"/>
  <c r="I6406" i="3"/>
  <c r="I6278" i="3"/>
  <c r="I6254" i="3"/>
  <c r="I5910" i="3"/>
  <c r="H5685" i="3"/>
  <c r="I5958" i="3"/>
  <c r="I5550" i="3"/>
  <c r="H5406" i="3"/>
  <c r="I5406" i="3"/>
  <c r="I5326" i="3"/>
  <c r="I4982" i="3"/>
  <c r="I4974" i="3"/>
  <c r="I4758" i="3"/>
  <c r="I4654" i="3"/>
  <c r="I4470" i="3"/>
  <c r="I4398" i="3"/>
  <c r="H4230" i="3"/>
  <c r="I4230" i="3"/>
  <c r="I4174" i="3"/>
  <c r="H4174" i="3"/>
  <c r="H3974" i="3"/>
  <c r="H3966" i="3"/>
  <c r="H3918" i="3"/>
  <c r="I3838" i="3"/>
  <c r="I3750" i="3"/>
  <c r="I3718" i="3"/>
  <c r="I3110" i="3"/>
  <c r="I5694" i="3"/>
  <c r="H3110" i="3"/>
  <c r="I3086" i="3"/>
  <c r="H2894" i="3"/>
  <c r="I2894" i="3"/>
  <c r="H2766" i="3"/>
  <c r="I2766" i="3"/>
  <c r="H2702" i="3"/>
  <c r="I2670" i="3"/>
  <c r="I2630" i="3"/>
  <c r="H2590" i="3"/>
  <c r="I2590" i="3"/>
  <c r="I2542" i="3"/>
  <c r="H2534" i="3"/>
  <c r="H2494" i="3"/>
  <c r="I2494" i="3"/>
  <c r="H2326" i="3"/>
  <c r="H1518" i="3"/>
  <c r="H1038" i="3"/>
  <c r="H774" i="3"/>
  <c r="H550" i="3"/>
  <c r="H318" i="3"/>
  <c r="H6580" i="3"/>
  <c r="H6564" i="3"/>
  <c r="H6556" i="3"/>
  <c r="H6548" i="3"/>
  <c r="H6492" i="3"/>
  <c r="H6412" i="3"/>
  <c r="H6364" i="3"/>
  <c r="H6260" i="3"/>
  <c r="H6236" i="3"/>
  <c r="H6220" i="3"/>
  <c r="H6204" i="3"/>
  <c r="I6164" i="3"/>
  <c r="H6156" i="3"/>
  <c r="H6148" i="3"/>
  <c r="H6116" i="3"/>
  <c r="I6084" i="3"/>
  <c r="H6044" i="3"/>
  <c r="I5964" i="3"/>
  <c r="H5956" i="3"/>
  <c r="H5932" i="3"/>
  <c r="H5812" i="3"/>
  <c r="H5644" i="3"/>
  <c r="H5628" i="3"/>
  <c r="H5292" i="3"/>
  <c r="H5180" i="3"/>
  <c r="H5172" i="3"/>
  <c r="I4460" i="3"/>
  <c r="H4236" i="3"/>
  <c r="H4204" i="3"/>
  <c r="H4156" i="3"/>
  <c r="H4092" i="3"/>
  <c r="H3980" i="3"/>
  <c r="H3764" i="3"/>
  <c r="H3636" i="3"/>
  <c r="H3620" i="3"/>
  <c r="H3204" i="3"/>
  <c r="I6555" i="3"/>
  <c r="H3164" i="3"/>
  <c r="H3140" i="3"/>
  <c r="H3116" i="3"/>
  <c r="H2940" i="3"/>
  <c r="H2916" i="3"/>
  <c r="H2908" i="3"/>
  <c r="H2716" i="3"/>
  <c r="H2708" i="3"/>
  <c r="H2700" i="3"/>
  <c r="H2684" i="3"/>
  <c r="H2676" i="3"/>
  <c r="I6387" i="3"/>
  <c r="I5931" i="3"/>
  <c r="I5875" i="3"/>
  <c r="I5803" i="3"/>
  <c r="I5771" i="3"/>
  <c r="I5539" i="3"/>
  <c r="I5299" i="3"/>
  <c r="I5267" i="3"/>
  <c r="I5083" i="3"/>
  <c r="I5051" i="3"/>
  <c r="I5019" i="3"/>
  <c r="I4899" i="3"/>
  <c r="I4843" i="3"/>
  <c r="I4219" i="3"/>
  <c r="I4147" i="3"/>
  <c r="I3971" i="3"/>
  <c r="I3939" i="3"/>
  <c r="I2907" i="3"/>
  <c r="I1203" i="3"/>
  <c r="I1139" i="3"/>
  <c r="I1131" i="3"/>
  <c r="I1075" i="3"/>
  <c r="I1043" i="3"/>
  <c r="I1019" i="3"/>
  <c r="I1011" i="3"/>
  <c r="I1003" i="3"/>
  <c r="I803" i="3"/>
  <c r="I795" i="3"/>
  <c r="I755" i="3"/>
  <c r="I739" i="3"/>
  <c r="I731" i="3"/>
  <c r="I715" i="3"/>
  <c r="I707" i="3"/>
  <c r="I603" i="3"/>
  <c r="I579" i="3"/>
  <c r="I571" i="3"/>
  <c r="I563" i="3"/>
  <c r="I555" i="3"/>
  <c r="I339" i="3"/>
  <c r="I283" i="3"/>
  <c r="I267" i="3"/>
  <c r="I243" i="3"/>
  <c r="I211" i="3"/>
  <c r="I123" i="3"/>
  <c r="I107" i="3"/>
  <c r="I43" i="3"/>
  <c r="H2620" i="3"/>
  <c r="H2588" i="3"/>
  <c r="H2572" i="3"/>
  <c r="H2540" i="3"/>
  <c r="H2316" i="3"/>
  <c r="H2308" i="3"/>
  <c r="H1940" i="3"/>
  <c r="H1900" i="3"/>
  <c r="H1796" i="3"/>
  <c r="H1540" i="3"/>
  <c r="H1516" i="3"/>
  <c r="I1444" i="3"/>
  <c r="H1324" i="3"/>
  <c r="H1300" i="3"/>
  <c r="H1204" i="3"/>
  <c r="H1196" i="3"/>
  <c r="H1052" i="3"/>
  <c r="H964" i="3"/>
  <c r="H812" i="3"/>
  <c r="H748" i="3"/>
  <c r="H740" i="3"/>
  <c r="H588" i="3"/>
  <c r="H364" i="3"/>
  <c r="H6512" i="3"/>
  <c r="H6456" i="3"/>
  <c r="H6432" i="3"/>
  <c r="I6595" i="3"/>
  <c r="I6571" i="3"/>
  <c r="I6547" i="3"/>
  <c r="I6539" i="3"/>
  <c r="I6515" i="3"/>
  <c r="I6556" i="3"/>
  <c r="I5804" i="3"/>
  <c r="H4220" i="3"/>
  <c r="I4220" i="3"/>
  <c r="I6483" i="3"/>
  <c r="I6411" i="3"/>
  <c r="I6379" i="3"/>
  <c r="I6371" i="3"/>
  <c r="I6331" i="3"/>
  <c r="I6315" i="3"/>
  <c r="I6307" i="3"/>
  <c r="I6275" i="3"/>
  <c r="I6187" i="3"/>
  <c r="I6155" i="3"/>
  <c r="I6003" i="3"/>
  <c r="I5971" i="3"/>
  <c r="I5955" i="3"/>
  <c r="I5939" i="3"/>
  <c r="I5867" i="3"/>
  <c r="I5843" i="3"/>
  <c r="I5835" i="3"/>
  <c r="I5795" i="3"/>
  <c r="I5579" i="3"/>
  <c r="I5531" i="3"/>
  <c r="I5435" i="3"/>
  <c r="I5403" i="3"/>
  <c r="I5395" i="3"/>
  <c r="I5347" i="3"/>
  <c r="I5283" i="3"/>
  <c r="I5211" i="3"/>
  <c r="I5155" i="3"/>
  <c r="I5043" i="3"/>
  <c r="I4979" i="3"/>
  <c r="I4963" i="3"/>
  <c r="I4859" i="3"/>
  <c r="I4851" i="3"/>
  <c r="I4763" i="3"/>
  <c r="I4739" i="3"/>
  <c r="I4419" i="3"/>
  <c r="I4195" i="3"/>
  <c r="I4163" i="3"/>
  <c r="I4131" i="3"/>
  <c r="I4107" i="3"/>
  <c r="I3875" i="3"/>
  <c r="I3803" i="3"/>
  <c r="I3539" i="3"/>
  <c r="I3155" i="3"/>
  <c r="H6312" i="3"/>
  <c r="H6248" i="3"/>
  <c r="H5992" i="3"/>
  <c r="H5976" i="3"/>
  <c r="H5968" i="3"/>
  <c r="H5928" i="3"/>
  <c r="H5904" i="3"/>
  <c r="H5800" i="3"/>
  <c r="H5736" i="3"/>
  <c r="H5672" i="3"/>
  <c r="H5608" i="3"/>
  <c r="H5544" i="3"/>
  <c r="H5416" i="3"/>
  <c r="H5288" i="3"/>
  <c r="H3936" i="3"/>
  <c r="H6593" i="3"/>
  <c r="H6577" i="3"/>
  <c r="H6513" i="3"/>
  <c r="I6361" i="3"/>
  <c r="H6353" i="3"/>
  <c r="I6257" i="3"/>
  <c r="H6089" i="3"/>
  <c r="H5985" i="3"/>
  <c r="H5817" i="3"/>
  <c r="H5777" i="3"/>
  <c r="H5673" i="3"/>
  <c r="H5609" i="3"/>
  <c r="I5601" i="3"/>
  <c r="H5529" i="3"/>
  <c r="I5441" i="3"/>
  <c r="H5425" i="3"/>
  <c r="H5385" i="3"/>
  <c r="H5369" i="3"/>
  <c r="I2979" i="3"/>
  <c r="I2707" i="3"/>
  <c r="H6598" i="3"/>
  <c r="H6446" i="3"/>
  <c r="H6366" i="3"/>
  <c r="H5910" i="3"/>
  <c r="H1528" i="3"/>
  <c r="H1352" i="3"/>
  <c r="I1112" i="3"/>
  <c r="I1104" i="3"/>
  <c r="H832" i="3"/>
  <c r="H552" i="3"/>
  <c r="I536" i="3"/>
  <c r="H376" i="3"/>
  <c r="H360" i="3"/>
  <c r="H320" i="3"/>
  <c r="H312" i="3"/>
  <c r="H248" i="3"/>
  <c r="I5836" i="3"/>
  <c r="H5009" i="3"/>
  <c r="H4993" i="3"/>
  <c r="H4785" i="3"/>
  <c r="H4737" i="3"/>
  <c r="H4697" i="3"/>
  <c r="H4489" i="3"/>
  <c r="H4129" i="3"/>
  <c r="H201" i="3"/>
  <c r="I1784" i="3"/>
  <c r="H1744" i="3"/>
  <c r="I1744" i="3"/>
  <c r="H1480" i="3"/>
  <c r="H1440" i="3"/>
  <c r="I1440" i="3"/>
  <c r="H1416" i="3"/>
  <c r="H1376" i="3"/>
  <c r="I1376" i="3"/>
  <c r="I1344" i="3"/>
  <c r="H1320" i="3"/>
  <c r="H1248" i="3"/>
  <c r="I1248" i="3"/>
  <c r="H1232" i="3"/>
  <c r="I1232" i="3"/>
  <c r="I1088" i="3"/>
  <c r="I808" i="3"/>
  <c r="I784" i="3"/>
  <c r="H776" i="3"/>
  <c r="I776" i="3"/>
  <c r="H744" i="3"/>
  <c r="I744" i="3"/>
  <c r="H728" i="3"/>
  <c r="I728" i="3"/>
  <c r="H584" i="3"/>
  <c r="I584" i="3"/>
  <c r="I328" i="3"/>
  <c r="H328" i="3"/>
  <c r="H304" i="3"/>
  <c r="I304" i="3"/>
  <c r="I264" i="3"/>
  <c r="H208" i="3"/>
  <c r="I208" i="3"/>
  <c r="H104" i="3"/>
  <c r="I104" i="3"/>
  <c r="I40" i="3"/>
  <c r="I6364" i="3"/>
  <c r="I6308" i="3"/>
  <c r="I6260" i="3"/>
  <c r="H6084" i="3"/>
  <c r="H5964" i="3"/>
  <c r="I5844" i="3"/>
  <c r="I5812" i="3"/>
  <c r="I5676" i="3"/>
  <c r="H5300" i="3"/>
  <c r="I5172" i="3"/>
  <c r="I5124" i="3"/>
  <c r="H4420" i="3"/>
  <c r="I4236" i="3"/>
  <c r="I4204" i="3"/>
  <c r="I4156" i="3"/>
  <c r="I4100" i="3"/>
  <c r="H228" i="3"/>
  <c r="I228" i="3"/>
  <c r="H100" i="3"/>
  <c r="I100" i="3"/>
  <c r="I3699" i="3"/>
  <c r="I3659" i="3"/>
  <c r="I3315" i="3"/>
  <c r="I3307" i="3"/>
  <c r="I3179" i="3"/>
  <c r="I3147" i="3"/>
  <c r="I3115" i="3"/>
  <c r="I2923" i="3"/>
  <c r="I2915" i="3"/>
  <c r="I2867" i="3"/>
  <c r="I2747" i="3"/>
  <c r="I2739" i="3"/>
  <c r="I2723" i="3"/>
  <c r="I1596" i="3"/>
  <c r="H20" i="3"/>
  <c r="I20" i="3"/>
  <c r="I4235" i="3"/>
  <c r="I2868" i="3"/>
  <c r="I2676" i="3"/>
  <c r="I964" i="3"/>
  <c r="I552" i="3"/>
  <c r="H536" i="3"/>
  <c r="H1772" i="3"/>
  <c r="I1772" i="3"/>
  <c r="I4227" i="3"/>
  <c r="I1204" i="3"/>
  <c r="H2012" i="3"/>
  <c r="H1380" i="3"/>
  <c r="I3707" i="3"/>
  <c r="I360" i="3"/>
  <c r="H3748" i="3"/>
  <c r="H1500" i="3"/>
  <c r="I1500" i="3"/>
  <c r="H1332" i="3"/>
  <c r="I1332" i="3"/>
  <c r="I6412" i="3"/>
  <c r="I6312" i="3"/>
  <c r="I3764" i="3"/>
  <c r="I832" i="3"/>
  <c r="I376" i="3"/>
  <c r="I320" i="3"/>
  <c r="H6607" i="3"/>
  <c r="H6471" i="3"/>
  <c r="H6447" i="3"/>
  <c r="H6311" i="3"/>
  <c r="H6263" i="3"/>
  <c r="H1124" i="3"/>
  <c r="I1124" i="3"/>
  <c r="H804" i="3"/>
  <c r="I804" i="3"/>
  <c r="I4427" i="3"/>
  <c r="I6248" i="3"/>
  <c r="I740" i="3"/>
  <c r="I544" i="3"/>
  <c r="H1924" i="3"/>
  <c r="I5956" i="3"/>
  <c r="I5852" i="3"/>
  <c r="I4467" i="3"/>
  <c r="I4259" i="3"/>
  <c r="I5992" i="3"/>
  <c r="I1307" i="3"/>
  <c r="I1299" i="3"/>
  <c r="H5983" i="3"/>
  <c r="H5927" i="3"/>
  <c r="H5903" i="3"/>
  <c r="H5895" i="3"/>
  <c r="H5775" i="3"/>
  <c r="H5767" i="3"/>
  <c r="H5407" i="3"/>
  <c r="H4183" i="3"/>
  <c r="H4151" i="3"/>
  <c r="H4119" i="3"/>
  <c r="I3812" i="3"/>
  <c r="I3660" i="3"/>
  <c r="I3644" i="3"/>
  <c r="I3636" i="3"/>
  <c r="I4457" i="3"/>
  <c r="H3777" i="3"/>
  <c r="H2607" i="3"/>
  <c r="I3204" i="3"/>
  <c r="I3164" i="3"/>
  <c r="I3140" i="3"/>
  <c r="I3116" i="3"/>
  <c r="I3076" i="3"/>
  <c r="I3004" i="3"/>
  <c r="I2956" i="3"/>
  <c r="I2940" i="3"/>
  <c r="I2916" i="3"/>
  <c r="I2908" i="3"/>
  <c r="I2844" i="3"/>
  <c r="I2828" i="3"/>
  <c r="H2724" i="3"/>
  <c r="I2716" i="3"/>
  <c r="I2708" i="3"/>
  <c r="I2700" i="3"/>
  <c r="I2684" i="3"/>
  <c r="I2620" i="3"/>
  <c r="I2588" i="3"/>
  <c r="I2572" i="3"/>
  <c r="I2540" i="3"/>
  <c r="I2316" i="3"/>
  <c r="I2308" i="3"/>
  <c r="I2068" i="3"/>
  <c r="I1900" i="3"/>
  <c r="I1796" i="3"/>
  <c r="I1740" i="3"/>
  <c r="I1716" i="3"/>
  <c r="I1540" i="3"/>
  <c r="H1444" i="3"/>
  <c r="I1324" i="3"/>
  <c r="I1300" i="3"/>
  <c r="I1260" i="3"/>
  <c r="I1196" i="3"/>
  <c r="I812" i="3"/>
  <c r="I748" i="3"/>
  <c r="H676" i="3"/>
  <c r="I588" i="3"/>
  <c r="I572" i="3"/>
  <c r="I556" i="3"/>
  <c r="I380" i="3"/>
  <c r="I364" i="3"/>
  <c r="H5965" i="3"/>
  <c r="H5949" i="3"/>
  <c r="H5837" i="3"/>
  <c r="H5821" i="3"/>
  <c r="H5709" i="3"/>
  <c r="H5645" i="3"/>
  <c r="H5437" i="3"/>
  <c r="H5389" i="3"/>
  <c r="H5365" i="3"/>
  <c r="H5061" i="3"/>
  <c r="H4733" i="3"/>
  <c r="H105" i="3"/>
  <c r="I3433" i="3"/>
  <c r="I1081" i="3"/>
  <c r="H1065" i="3"/>
  <c r="H785" i="3"/>
  <c r="H761" i="3"/>
  <c r="H753" i="3"/>
  <c r="H745" i="3"/>
  <c r="H721" i="3"/>
  <c r="H697" i="3"/>
  <c r="H609" i="3"/>
  <c r="H577" i="3"/>
  <c r="H569" i="3"/>
  <c r="H289" i="3"/>
  <c r="H257" i="3"/>
  <c r="H6558" i="3"/>
  <c r="H6550" i="3"/>
  <c r="H6542" i="3"/>
  <c r="H6510" i="3"/>
  <c r="H6470" i="3"/>
  <c r="H6438" i="3"/>
  <c r="H6310" i="3"/>
  <c r="H6254" i="3"/>
  <c r="H6246" i="3"/>
  <c r="H5942" i="3"/>
  <c r="H5902" i="3"/>
  <c r="H5838" i="3"/>
  <c r="H5814" i="3"/>
  <c r="H5758" i="3"/>
  <c r="H5566" i="3"/>
  <c r="H5366" i="3"/>
  <c r="H5342" i="3"/>
  <c r="H5046" i="3"/>
  <c r="H4974" i="3"/>
  <c r="H4758" i="3"/>
  <c r="H4374" i="3"/>
  <c r="H4101" i="3"/>
  <c r="H3925" i="3"/>
  <c r="H3645" i="3"/>
  <c r="H3349" i="3"/>
  <c r="H2637" i="3"/>
  <c r="H1749" i="3"/>
  <c r="H121" i="3"/>
  <c r="H97" i="3"/>
  <c r="H4190" i="3"/>
  <c r="H3750" i="3"/>
  <c r="H2934" i="3"/>
  <c r="H2670" i="3"/>
  <c r="H2542" i="3"/>
  <c r="H1534" i="3"/>
  <c r="H1078" i="3"/>
  <c r="H758" i="3"/>
  <c r="H6262" i="3"/>
  <c r="I6262" i="3"/>
  <c r="H6518" i="3"/>
  <c r="H6406" i="3"/>
  <c r="H6374" i="3"/>
  <c r="H6270" i="3"/>
  <c r="H5694" i="3"/>
  <c r="H6434" i="3"/>
  <c r="H6410" i="3"/>
  <c r="H6354" i="3"/>
  <c r="H6322" i="3"/>
  <c r="H6250" i="3"/>
  <c r="H3170" i="3"/>
  <c r="H6601" i="3"/>
  <c r="H6361" i="3"/>
  <c r="H6257" i="3"/>
  <c r="H5969" i="3"/>
  <c r="H5601" i="3"/>
  <c r="H5441" i="3"/>
  <c r="H5401" i="3"/>
  <c r="H5361" i="3"/>
  <c r="H6521" i="3"/>
  <c r="I6521" i="3"/>
  <c r="H6449" i="3"/>
  <c r="I6449" i="3"/>
  <c r="H5017" i="3"/>
  <c r="I5017" i="3"/>
  <c r="H4257" i="3"/>
  <c r="I4257" i="3"/>
  <c r="H4241" i="3"/>
  <c r="I4241" i="3"/>
  <c r="H4153" i="3"/>
  <c r="H4137" i="3"/>
  <c r="I4137" i="3"/>
  <c r="I2809" i="3"/>
  <c r="I2617" i="3"/>
  <c r="H2617" i="3"/>
  <c r="H2577" i="3"/>
  <c r="I2577" i="3"/>
  <c r="H2513" i="3"/>
  <c r="I2513" i="3"/>
  <c r="I4697" i="3"/>
  <c r="I4489" i="3"/>
  <c r="I6377" i="3"/>
  <c r="H6433" i="3"/>
  <c r="H6249" i="3"/>
  <c r="I6249" i="3"/>
  <c r="H5657" i="3"/>
  <c r="I5657" i="3"/>
  <c r="H5297" i="3"/>
  <c r="I5297" i="3"/>
  <c r="H3089" i="3"/>
  <c r="I3089" i="3"/>
  <c r="I2921" i="3"/>
  <c r="H2729" i="3"/>
  <c r="I2729" i="3"/>
  <c r="I2273" i="3"/>
  <c r="I2217" i="3"/>
  <c r="I2209" i="3"/>
  <c r="H2145" i="3"/>
  <c r="H1729" i="3"/>
  <c r="I1729" i="3"/>
  <c r="H1721" i="3"/>
  <c r="I1721" i="3"/>
  <c r="H1713" i="3"/>
  <c r="I1713" i="3"/>
  <c r="H1689" i="3"/>
  <c r="H1601" i="3"/>
  <c r="I1601" i="3"/>
  <c r="H1561" i="3"/>
  <c r="H1553" i="3"/>
  <c r="I1553" i="3"/>
  <c r="H1545" i="3"/>
  <c r="I1545" i="3"/>
  <c r="H1521" i="3"/>
  <c r="I1497" i="3"/>
  <c r="H1465" i="3"/>
  <c r="I1465" i="3"/>
  <c r="H1449" i="3"/>
  <c r="I1449" i="3"/>
  <c r="H1377" i="3"/>
  <c r="H1353" i="3"/>
  <c r="I1353" i="3"/>
  <c r="I1265" i="3"/>
  <c r="H1257" i="3"/>
  <c r="I1249" i="3"/>
  <c r="I1241" i="3"/>
  <c r="I1233" i="3"/>
  <c r="H1217" i="3"/>
  <c r="I1217" i="3"/>
  <c r="H1209" i="3"/>
  <c r="I1209" i="3"/>
  <c r="H1105" i="3"/>
  <c r="H1089" i="3"/>
  <c r="I1089" i="3"/>
  <c r="H1025" i="3"/>
  <c r="H1017" i="3"/>
  <c r="I1017" i="3"/>
  <c r="I1009" i="3"/>
  <c r="H1001" i="3"/>
  <c r="I1001" i="3"/>
  <c r="H985" i="3"/>
  <c r="H6321" i="3"/>
  <c r="I6321" i="3"/>
  <c r="I6305" i="3"/>
  <c r="H6265" i="3"/>
  <c r="I6265" i="3"/>
  <c r="H5761" i="3"/>
  <c r="I5761" i="3"/>
  <c r="H5729" i="3"/>
  <c r="H5153" i="3"/>
  <c r="I5105" i="3"/>
  <c r="I4481" i="3"/>
  <c r="H3841" i="3"/>
  <c r="I3841" i="3"/>
  <c r="H2985" i="3"/>
  <c r="H2905" i="3"/>
  <c r="I2905" i="3"/>
  <c r="H1321" i="3"/>
  <c r="I1321" i="3"/>
  <c r="I5369" i="3"/>
  <c r="H1081" i="3"/>
  <c r="I6041" i="3"/>
  <c r="H5961" i="3"/>
  <c r="I5961" i="3"/>
  <c r="I5937" i="3"/>
  <c r="H5937" i="3"/>
  <c r="H5377" i="3"/>
  <c r="H2745" i="3"/>
  <c r="H2681" i="3"/>
  <c r="I2681" i="3"/>
  <c r="H2593" i="3"/>
  <c r="H2545" i="3"/>
  <c r="I6513" i="3"/>
  <c r="I5985" i="3"/>
  <c r="I4737" i="3"/>
  <c r="H6505" i="3"/>
  <c r="I6505" i="3"/>
  <c r="H4985" i="3"/>
  <c r="I4985" i="3"/>
  <c r="I4753" i="3"/>
  <c r="H4497" i="3"/>
  <c r="I4497" i="3"/>
  <c r="H3737" i="3"/>
  <c r="I3737" i="3"/>
  <c r="H3065" i="3"/>
  <c r="I3065" i="3"/>
  <c r="H3041" i="3"/>
  <c r="I3041" i="3"/>
  <c r="H2841" i="3"/>
  <c r="I2841" i="3"/>
  <c r="I5777" i="3"/>
  <c r="I5673" i="3"/>
  <c r="I5281" i="3"/>
  <c r="I3097" i="3"/>
  <c r="I1065" i="3"/>
  <c r="I5417" i="3"/>
  <c r="H4561" i="3"/>
  <c r="H3849" i="3"/>
  <c r="I3849" i="3"/>
  <c r="H3313" i="3"/>
  <c r="H2697" i="3"/>
  <c r="I2697" i="3"/>
  <c r="H2649" i="3"/>
  <c r="I2649" i="3"/>
  <c r="H2561" i="3"/>
  <c r="H2537" i="3"/>
  <c r="I2537" i="3"/>
  <c r="I5817" i="3"/>
  <c r="I5609" i="3"/>
  <c r="I5385" i="3"/>
  <c r="I4993" i="3"/>
  <c r="I4785" i="3"/>
  <c r="H3433" i="3"/>
  <c r="H6241" i="3"/>
  <c r="I6241" i="3"/>
  <c r="H5897" i="3"/>
  <c r="I5897" i="3"/>
  <c r="H5809" i="3"/>
  <c r="I5809" i="3"/>
  <c r="H4465" i="3"/>
  <c r="I4465" i="3"/>
  <c r="H4441" i="3"/>
  <c r="I4441" i="3"/>
  <c r="I4425" i="3"/>
  <c r="H3689" i="3"/>
  <c r="H3665" i="3"/>
  <c r="I3665" i="3"/>
  <c r="H3625" i="3"/>
  <c r="I3625" i="3"/>
  <c r="I3137" i="3"/>
  <c r="H3033" i="3"/>
  <c r="I3033" i="3"/>
  <c r="H2969" i="3"/>
  <c r="H2345" i="3"/>
  <c r="H1305" i="3"/>
  <c r="I1305" i="3"/>
  <c r="I6577" i="3"/>
  <c r="I2065" i="3"/>
  <c r="H5721" i="3"/>
  <c r="I5721" i="3"/>
  <c r="H5145" i="3"/>
  <c r="H4769" i="3"/>
  <c r="I4769" i="3"/>
  <c r="H4201" i="3"/>
  <c r="I4201" i="3"/>
  <c r="I3497" i="3"/>
  <c r="H3217" i="3"/>
  <c r="I3217" i="3"/>
  <c r="H3153" i="3"/>
  <c r="I3153" i="3"/>
  <c r="H2657" i="3"/>
  <c r="I6353" i="3"/>
  <c r="I5009" i="3"/>
  <c r="H4793" i="3"/>
  <c r="I2724" i="3"/>
  <c r="I1292" i="3"/>
  <c r="H1164" i="3"/>
  <c r="I1164" i="3"/>
  <c r="H1068" i="3"/>
  <c r="I1068" i="3"/>
  <c r="H340" i="3"/>
  <c r="I340" i="3"/>
  <c r="I300" i="3"/>
  <c r="I212" i="3"/>
  <c r="I4420" i="3"/>
  <c r="I6450" i="3"/>
  <c r="H6362" i="3"/>
  <c r="H6298" i="3"/>
  <c r="H6290" i="3"/>
  <c r="H6282" i="3"/>
  <c r="H5764" i="3"/>
  <c r="I6492" i="3"/>
  <c r="I6116" i="3"/>
  <c r="I6052" i="3"/>
  <c r="H6164" i="3"/>
  <c r="I6580" i="3"/>
  <c r="I6204" i="3"/>
  <c r="I6156" i="3"/>
  <c r="I6564" i="3"/>
  <c r="I6236" i="3"/>
  <c r="I6188" i="3"/>
  <c r="I5628" i="3"/>
  <c r="I6076" i="3"/>
  <c r="I6044" i="3"/>
  <c r="I6012" i="3"/>
  <c r="I5644" i="3"/>
  <c r="I5180" i="3"/>
  <c r="I6548" i="3"/>
  <c r="I6500" i="3"/>
  <c r="I6220" i="3"/>
  <c r="I5292" i="3"/>
  <c r="I5932" i="3"/>
  <c r="H6180" i="3"/>
  <c r="H5732" i="3"/>
  <c r="I5732" i="3"/>
  <c r="I5684" i="3"/>
  <c r="H5684" i="3"/>
  <c r="H5508" i="3"/>
  <c r="I5508" i="3"/>
  <c r="I5116" i="3"/>
  <c r="H5116" i="3"/>
  <c r="H5068" i="3"/>
  <c r="H5020" i="3"/>
  <c r="I5020" i="3"/>
  <c r="I4956" i="3"/>
  <c r="H4956" i="3"/>
  <c r="H4884" i="3"/>
  <c r="I4884" i="3"/>
  <c r="H4836" i="3"/>
  <c r="I4836" i="3"/>
  <c r="I4788" i="3"/>
  <c r="H4724" i="3"/>
  <c r="H4660" i="3"/>
  <c r="I4644" i="3"/>
  <c r="H4620" i="3"/>
  <c r="I4620" i="3"/>
  <c r="I5556" i="3"/>
  <c r="H5436" i="3"/>
  <c r="I5436" i="3"/>
  <c r="H5380" i="3"/>
  <c r="I5380" i="3"/>
  <c r="H5348" i="3"/>
  <c r="I5348" i="3"/>
  <c r="I6212" i="3"/>
  <c r="I6148" i="3"/>
  <c r="H4460" i="3"/>
  <c r="I4092" i="3"/>
  <c r="I4028" i="3"/>
  <c r="I3980" i="3"/>
  <c r="I3964" i="3"/>
  <c r="I4244" i="3"/>
  <c r="H4503" i="3"/>
  <c r="I4503" i="3"/>
  <c r="H5517" i="3"/>
  <c r="I5517" i="3"/>
  <c r="H4461" i="3"/>
  <c r="I4045" i="3"/>
  <c r="I4029" i="3"/>
  <c r="I3685" i="3"/>
  <c r="H3629" i="3"/>
  <c r="I3629" i="3"/>
  <c r="H3149" i="3"/>
  <c r="I3149" i="3"/>
  <c r="H2245" i="3"/>
  <c r="I3349" i="3"/>
  <c r="I2989" i="3"/>
  <c r="H4247" i="3"/>
  <c r="I4247" i="3"/>
  <c r="H6402" i="3"/>
  <c r="I5909" i="3"/>
  <c r="H4621" i="3"/>
  <c r="I4621" i="3"/>
  <c r="H4549" i="3"/>
  <c r="H4485" i="3"/>
  <c r="H4237" i="3"/>
  <c r="I4237" i="3"/>
  <c r="I3101" i="3"/>
  <c r="H2957" i="3"/>
  <c r="I2957" i="3"/>
  <c r="H2917" i="3"/>
  <c r="I2917" i="3"/>
  <c r="H1613" i="3"/>
  <c r="I1613" i="3"/>
  <c r="I2925" i="3"/>
  <c r="I3645" i="3"/>
  <c r="H6330" i="3"/>
  <c r="I6330" i="3"/>
  <c r="I3709" i="3"/>
  <c r="H3701" i="3"/>
  <c r="I3589" i="3"/>
  <c r="H3181" i="3"/>
  <c r="I3181" i="3"/>
  <c r="H3061" i="3"/>
  <c r="I3061" i="3"/>
  <c r="I2837" i="3"/>
  <c r="H2493" i="3"/>
  <c r="I2493" i="3"/>
  <c r="H1933" i="3"/>
  <c r="I1933" i="3"/>
  <c r="H1733" i="3"/>
  <c r="I1733" i="3"/>
  <c r="I1413" i="3"/>
  <c r="H1381" i="3"/>
  <c r="I1381" i="3"/>
  <c r="H1357" i="3"/>
  <c r="H1349" i="3"/>
  <c r="I1349" i="3"/>
  <c r="H1341" i="3"/>
  <c r="I1341" i="3"/>
  <c r="H1309" i="3"/>
  <c r="H1229" i="3"/>
  <c r="I1229" i="3"/>
  <c r="H1205" i="3"/>
  <c r="I1205" i="3"/>
  <c r="H1173" i="3"/>
  <c r="I6311" i="3"/>
  <c r="I4165" i="3"/>
  <c r="I3477" i="3"/>
  <c r="H6431" i="3"/>
  <c r="I6431" i="3"/>
  <c r="H2703" i="3"/>
  <c r="I2703" i="3"/>
  <c r="H5581" i="3"/>
  <c r="I5581" i="3"/>
  <c r="H4981" i="3"/>
  <c r="H4413" i="3"/>
  <c r="H4221" i="3"/>
  <c r="I4221" i="3"/>
  <c r="H4117" i="3"/>
  <c r="I4117" i="3"/>
  <c r="H4093" i="3"/>
  <c r="I4093" i="3"/>
  <c r="H3965" i="3"/>
  <c r="H3053" i="3"/>
  <c r="H2909" i="3"/>
  <c r="I2909" i="3"/>
  <c r="H2621" i="3"/>
  <c r="I2621" i="3"/>
  <c r="H2589" i="3"/>
  <c r="I2589" i="3"/>
  <c r="H2541" i="3"/>
  <c r="I2541" i="3"/>
  <c r="H2501" i="3"/>
  <c r="I2501" i="3"/>
  <c r="H1901" i="3"/>
  <c r="I1901" i="3"/>
  <c r="H1573" i="3"/>
  <c r="I1573" i="3"/>
  <c r="H1397" i="3"/>
  <c r="I1397" i="3"/>
  <c r="I1197" i="3"/>
  <c r="I1133" i="3"/>
  <c r="I5301" i="3"/>
  <c r="I4733" i="3"/>
  <c r="I3925" i="3"/>
  <c r="H6586" i="3"/>
  <c r="H2613" i="3"/>
  <c r="I2613" i="3"/>
  <c r="H2389" i="3"/>
  <c r="I2389" i="3"/>
  <c r="I2357" i="3"/>
  <c r="H2189" i="3"/>
  <c r="I1829" i="3"/>
  <c r="H1797" i="3"/>
  <c r="I1797" i="3"/>
  <c r="H1709" i="3"/>
  <c r="I1509" i="3"/>
  <c r="I1485" i="3"/>
  <c r="H1485" i="3"/>
  <c r="I1429" i="3"/>
  <c r="I2525" i="3"/>
  <c r="I5061" i="3"/>
  <c r="I3669" i="3"/>
  <c r="H6458" i="3"/>
  <c r="I6458" i="3"/>
  <c r="H4261" i="3"/>
  <c r="I4261" i="3"/>
  <c r="H4173" i="3"/>
  <c r="I4173" i="3"/>
  <c r="I4109" i="3"/>
  <c r="H3677" i="3"/>
  <c r="I3677" i="3"/>
  <c r="I3597" i="3"/>
  <c r="H3045" i="3"/>
  <c r="H2861" i="3"/>
  <c r="H2797" i="3"/>
  <c r="H2701" i="3"/>
  <c r="H2685" i="3"/>
  <c r="I2685" i="3"/>
  <c r="H2669" i="3"/>
  <c r="I2669" i="3"/>
  <c r="H2597" i="3"/>
  <c r="I2597" i="3"/>
  <c r="H2573" i="3"/>
  <c r="I2573" i="3"/>
  <c r="H2021" i="3"/>
  <c r="I1989" i="3"/>
  <c r="H1693" i="3"/>
  <c r="I1389" i="3"/>
  <c r="H1365" i="3"/>
  <c r="H1293" i="3"/>
  <c r="I1293" i="3"/>
  <c r="I4669" i="3"/>
  <c r="I4189" i="3"/>
  <c r="I2637" i="3"/>
  <c r="I1792" i="3"/>
  <c r="H1760" i="3"/>
  <c r="I1760" i="3"/>
  <c r="I1752" i="3"/>
  <c r="H1728" i="3"/>
  <c r="I1728" i="3"/>
  <c r="I1688" i="3"/>
  <c r="H1544" i="3"/>
  <c r="I1544" i="3"/>
  <c r="H1536" i="3"/>
  <c r="I1536" i="3"/>
  <c r="I5592" i="3"/>
  <c r="H1117" i="3"/>
  <c r="H1077" i="3"/>
  <c r="H1005" i="3"/>
  <c r="H829" i="3"/>
  <c r="H805" i="3"/>
  <c r="H757" i="3"/>
  <c r="H733" i="3"/>
  <c r="H725" i="3"/>
  <c r="H709" i="3"/>
  <c r="H605" i="3"/>
  <c r="H557" i="3"/>
  <c r="H533" i="3"/>
  <c r="H309" i="3"/>
  <c r="H245" i="3"/>
  <c r="H237" i="3"/>
  <c r="H117" i="3"/>
  <c r="H37" i="3"/>
  <c r="H2696" i="3"/>
  <c r="I2696" i="3"/>
  <c r="I5880" i="3"/>
  <c r="I5320" i="3"/>
  <c r="H4792" i="3"/>
  <c r="I4792" i="3"/>
  <c r="H4752" i="3"/>
  <c r="I4752" i="3"/>
  <c r="H4592" i="3"/>
  <c r="I4592" i="3"/>
  <c r="H2704" i="3"/>
  <c r="I2704" i="3"/>
  <c r="H5792" i="3"/>
  <c r="I5792" i="3"/>
  <c r="H5616" i="3"/>
  <c r="I5616" i="3"/>
  <c r="H5384" i="3"/>
  <c r="I5384" i="3"/>
  <c r="H5376" i="3"/>
  <c r="I5376" i="3"/>
  <c r="H4448" i="3"/>
  <c r="H3096" i="3"/>
  <c r="I3096" i="3"/>
  <c r="H3032" i="3"/>
  <c r="I3032" i="3"/>
  <c r="H2976" i="3"/>
  <c r="I2976" i="3"/>
  <c r="H2256" i="3"/>
  <c r="H2152" i="3"/>
  <c r="I2152" i="3"/>
  <c r="H2080" i="3"/>
  <c r="I2080" i="3"/>
  <c r="H1880" i="3"/>
  <c r="H5607" i="3"/>
  <c r="I5607" i="3"/>
  <c r="H5543" i="3"/>
  <c r="I5543" i="3"/>
  <c r="I5335" i="3"/>
  <c r="H5047" i="3"/>
  <c r="I5047" i="3"/>
  <c r="H5031" i="3"/>
  <c r="I4751" i="3"/>
  <c r="H4415" i="3"/>
  <c r="I4415" i="3"/>
  <c r="I3887" i="3"/>
  <c r="H3679" i="3"/>
  <c r="H3327" i="3"/>
  <c r="I3327" i="3"/>
  <c r="H3199" i="3"/>
  <c r="H2991" i="3"/>
  <c r="I2991" i="3"/>
  <c r="H2919" i="3"/>
  <c r="I2919" i="3"/>
  <c r="H2623" i="3"/>
  <c r="I2623" i="3"/>
  <c r="H2583" i="3"/>
  <c r="I2583" i="3"/>
  <c r="H2535" i="3"/>
  <c r="I2535" i="3"/>
  <c r="I2351" i="3"/>
  <c r="H2263" i="3"/>
  <c r="I2263" i="3"/>
  <c r="I1911" i="3"/>
  <c r="H1623" i="3"/>
  <c r="H1519" i="3"/>
  <c r="I1519" i="3"/>
  <c r="I1383" i="3"/>
  <c r="H1095" i="3"/>
  <c r="H1039" i="3"/>
  <c r="H839" i="3"/>
  <c r="H791" i="3"/>
  <c r="I791" i="3"/>
  <c r="I759" i="3"/>
  <c r="H727" i="3"/>
  <c r="I727" i="3"/>
  <c r="H383" i="3"/>
  <c r="I383" i="3"/>
  <c r="I351" i="3"/>
  <c r="H223" i="3"/>
  <c r="I223" i="3"/>
  <c r="I6234" i="3"/>
  <c r="I6186" i="3"/>
  <c r="H6130" i="3"/>
  <c r="H5994" i="3"/>
  <c r="I5994" i="3"/>
  <c r="H5962" i="3"/>
  <c r="I5962" i="3"/>
  <c r="H5794" i="3"/>
  <c r="I5794" i="3"/>
  <c r="H5722" i="3"/>
  <c r="I5722" i="3"/>
  <c r="I5578" i="3"/>
  <c r="H5530" i="3"/>
  <c r="I5530" i="3"/>
  <c r="H5186" i="3"/>
  <c r="I5186" i="3"/>
  <c r="H4762" i="3"/>
  <c r="I4762" i="3"/>
  <c r="H4522" i="3"/>
  <c r="I4522" i="3"/>
  <c r="I4346" i="3"/>
  <c r="H4266" i="3"/>
  <c r="H4234" i="3"/>
  <c r="H4130" i="3"/>
  <c r="I4130" i="3"/>
  <c r="I4090" i="3"/>
  <c r="H3890" i="3"/>
  <c r="I3890" i="3"/>
  <c r="H3346" i="3"/>
  <c r="I3346" i="3"/>
  <c r="I3138" i="3"/>
  <c r="H3002" i="3"/>
  <c r="H2706" i="3"/>
  <c r="I2706" i="3"/>
  <c r="I2658" i="3"/>
  <c r="H2498" i="3"/>
  <c r="I2498" i="3"/>
  <c r="H2346" i="3"/>
  <c r="I2346" i="3"/>
  <c r="H2082" i="3"/>
  <c r="I2082" i="3"/>
  <c r="I1946" i="3"/>
  <c r="I1898" i="3"/>
  <c r="H1714" i="3"/>
  <c r="I1714" i="3"/>
  <c r="H1554" i="3"/>
  <c r="I1554" i="3"/>
  <c r="H1338" i="3"/>
  <c r="I1338" i="3"/>
  <c r="H1258" i="3"/>
  <c r="I1258" i="3"/>
  <c r="H1162" i="3"/>
  <c r="I1162" i="3"/>
  <c r="H1114" i="3"/>
  <c r="H1066" i="3"/>
  <c r="I1066" i="3"/>
  <c r="H802" i="3"/>
  <c r="I802" i="3"/>
  <c r="H530" i="3"/>
  <c r="I530" i="3"/>
  <c r="H250" i="3"/>
  <c r="I250" i="3"/>
  <c r="H6613" i="3"/>
  <c r="I6613" i="3"/>
  <c r="H6509" i="3"/>
  <c r="I6509" i="3"/>
  <c r="H6341" i="3"/>
  <c r="I6341" i="3"/>
  <c r="H5741" i="3"/>
  <c r="I5741" i="3"/>
  <c r="I2" i="3"/>
  <c r="H2" i="3"/>
  <c r="I6456" i="3"/>
  <c r="I6447" i="3"/>
  <c r="I6410" i="3"/>
  <c r="I6282" i="3"/>
  <c r="I5839" i="3"/>
  <c r="I5365" i="3"/>
  <c r="I5352" i="3"/>
  <c r="I2607" i="3"/>
  <c r="H6261" i="3"/>
  <c r="H5952" i="3"/>
  <c r="I5952" i="3"/>
  <c r="H4616" i="3"/>
  <c r="H4504" i="3"/>
  <c r="I4504" i="3"/>
  <c r="H4400" i="3"/>
  <c r="I4400" i="3"/>
  <c r="H4352" i="3"/>
  <c r="H4224" i="3"/>
  <c r="I4224" i="3"/>
  <c r="H4128" i="3"/>
  <c r="H4064" i="3"/>
  <c r="H3920" i="3"/>
  <c r="I3920" i="3"/>
  <c r="H3712" i="3"/>
  <c r="I3712" i="3"/>
  <c r="H3216" i="3"/>
  <c r="I3216" i="3"/>
  <c r="H3192" i="3"/>
  <c r="I3192" i="3"/>
  <c r="H3160" i="3"/>
  <c r="I3160" i="3"/>
  <c r="H2664" i="3"/>
  <c r="I2664" i="3"/>
  <c r="I2304" i="3"/>
  <c r="H2136" i="3"/>
  <c r="I2136" i="3"/>
  <c r="H2072" i="3"/>
  <c r="H5807" i="3"/>
  <c r="I5807" i="3"/>
  <c r="H4519" i="3"/>
  <c r="I4519" i="3"/>
  <c r="I3823" i="3"/>
  <c r="H3623" i="3"/>
  <c r="H3463" i="3"/>
  <c r="I3463" i="3"/>
  <c r="H3087" i="3"/>
  <c r="I3087" i="3"/>
  <c r="I2863" i="3"/>
  <c r="H2719" i="3"/>
  <c r="I2719" i="3"/>
  <c r="H2687" i="3"/>
  <c r="I2687" i="3"/>
  <c r="H2655" i="3"/>
  <c r="H2615" i="3"/>
  <c r="I2615" i="3"/>
  <c r="H2103" i="3"/>
  <c r="I2103" i="3"/>
  <c r="I1927" i="3"/>
  <c r="H1791" i="3"/>
  <c r="I1791" i="3"/>
  <c r="H1679" i="3"/>
  <c r="H1455" i="3"/>
  <c r="I1455" i="3"/>
  <c r="H1407" i="3"/>
  <c r="I1407" i="3"/>
  <c r="H1335" i="3"/>
  <c r="I1335" i="3"/>
  <c r="H1247" i="3"/>
  <c r="I1247" i="3"/>
  <c r="H1199" i="3"/>
  <c r="I1199" i="3"/>
  <c r="I1159" i="3"/>
  <c r="H1087" i="3"/>
  <c r="I1087" i="3"/>
  <c r="H975" i="3"/>
  <c r="I975" i="3"/>
  <c r="I783" i="3"/>
  <c r="H623" i="3"/>
  <c r="I623" i="3"/>
  <c r="H567" i="3"/>
  <c r="I567" i="3"/>
  <c r="H367" i="3"/>
  <c r="I367" i="3"/>
  <c r="H263" i="3"/>
  <c r="I263" i="3"/>
  <c r="H151" i="3"/>
  <c r="I151" i="3"/>
  <c r="H119" i="3"/>
  <c r="I119" i="3"/>
  <c r="H6050" i="3"/>
  <c r="I6050" i="3"/>
  <c r="H5890" i="3"/>
  <c r="I5890" i="3"/>
  <c r="H5850" i="3"/>
  <c r="H5818" i="3"/>
  <c r="I5818" i="3"/>
  <c r="I5778" i="3"/>
  <c r="H5522" i="3"/>
  <c r="I5522" i="3"/>
  <c r="H5434" i="3"/>
  <c r="I5434" i="3"/>
  <c r="H4962" i="3"/>
  <c r="I4962" i="3"/>
  <c r="I4914" i="3"/>
  <c r="I4746" i="3"/>
  <c r="H4506" i="3"/>
  <c r="I4506" i="3"/>
  <c r="H4458" i="3"/>
  <c r="I4458" i="3"/>
  <c r="I4154" i="3"/>
  <c r="H4122" i="3"/>
  <c r="I4122" i="3"/>
  <c r="H3874" i="3"/>
  <c r="H3826" i="3"/>
  <c r="I3826" i="3"/>
  <c r="H3706" i="3"/>
  <c r="I3706" i="3"/>
  <c r="H3658" i="3"/>
  <c r="H3338" i="3"/>
  <c r="H3066" i="3"/>
  <c r="I3066" i="3"/>
  <c r="I2738" i="3"/>
  <c r="H2650" i="3"/>
  <c r="I2650" i="3"/>
  <c r="H2594" i="3"/>
  <c r="I2594" i="3"/>
  <c r="H2098" i="3"/>
  <c r="H1922" i="3"/>
  <c r="H1794" i="3"/>
  <c r="I1794" i="3"/>
  <c r="H1698" i="3"/>
  <c r="I1698" i="3"/>
  <c r="H1450" i="3"/>
  <c r="H1402" i="3"/>
  <c r="I1402" i="3"/>
  <c r="H1362" i="3"/>
  <c r="I1362" i="3"/>
  <c r="H1314" i="3"/>
  <c r="I1314" i="3"/>
  <c r="H1226" i="3"/>
  <c r="I1226" i="3"/>
  <c r="H1098" i="3"/>
  <c r="I1098" i="3"/>
  <c r="H794" i="3"/>
  <c r="H682" i="3"/>
  <c r="H594" i="3"/>
  <c r="I594" i="3"/>
  <c r="H274" i="3"/>
  <c r="I274" i="3"/>
  <c r="H186" i="3"/>
  <c r="I186" i="3"/>
  <c r="H74" i="3"/>
  <c r="I6453" i="3"/>
  <c r="H6285" i="3"/>
  <c r="I6285" i="3"/>
  <c r="H5861" i="3"/>
  <c r="I5861" i="3"/>
  <c r="I5853" i="3"/>
  <c r="H5789" i="3"/>
  <c r="I5789" i="3"/>
  <c r="H5637" i="3"/>
  <c r="I5637" i="3"/>
  <c r="H5349" i="3"/>
  <c r="I5349" i="3"/>
  <c r="I6354" i="3"/>
  <c r="I6290" i="3"/>
  <c r="I6272" i="3"/>
  <c r="I6263" i="3"/>
  <c r="I5976" i="3"/>
  <c r="I5800" i="3"/>
  <c r="I5775" i="3"/>
  <c r="I5389" i="3"/>
  <c r="I5288" i="3"/>
  <c r="I6240" i="3"/>
  <c r="H4760" i="3"/>
  <c r="I4760" i="3"/>
  <c r="H4720" i="3"/>
  <c r="I4720" i="3"/>
  <c r="H4056" i="3"/>
  <c r="I4056" i="3"/>
  <c r="H3848" i="3"/>
  <c r="H3760" i="3"/>
  <c r="H3688" i="3"/>
  <c r="I3688" i="3"/>
  <c r="H3176" i="3"/>
  <c r="I3176" i="3"/>
  <c r="H2920" i="3"/>
  <c r="I2920" i="3"/>
  <c r="H2896" i="3"/>
  <c r="I2896" i="3"/>
  <c r="H2648" i="3"/>
  <c r="H5359" i="3"/>
  <c r="I5359" i="3"/>
  <c r="H4735" i="3"/>
  <c r="I4735" i="3"/>
  <c r="H4303" i="3"/>
  <c r="H4271" i="3"/>
  <c r="I4271" i="3"/>
  <c r="H4239" i="3"/>
  <c r="I4239" i="3"/>
  <c r="H4207" i="3"/>
  <c r="I4207" i="3"/>
  <c r="H3815" i="3"/>
  <c r="I3815" i="3"/>
  <c r="H3351" i="3"/>
  <c r="I3351" i="3"/>
  <c r="H2759" i="3"/>
  <c r="I2759" i="3"/>
  <c r="H2183" i="3"/>
  <c r="H2135" i="3"/>
  <c r="I2135" i="3"/>
  <c r="H1751" i="3"/>
  <c r="I1751" i="3"/>
  <c r="H1663" i="3"/>
  <c r="H1439" i="3"/>
  <c r="I1439" i="3"/>
  <c r="H1295" i="3"/>
  <c r="I1295" i="3"/>
  <c r="H1207" i="3"/>
  <c r="I1207" i="3"/>
  <c r="H799" i="3"/>
  <c r="I799" i="3"/>
  <c r="I535" i="3"/>
  <c r="H487" i="3"/>
  <c r="H6074" i="3"/>
  <c r="H6058" i="3"/>
  <c r="I5946" i="3"/>
  <c r="H5658" i="3"/>
  <c r="I5658" i="3"/>
  <c r="H5594" i="3"/>
  <c r="I5594" i="3"/>
  <c r="H5482" i="3"/>
  <c r="I5482" i="3"/>
  <c r="H5130" i="3"/>
  <c r="I5130" i="3"/>
  <c r="I4906" i="3"/>
  <c r="H4858" i="3"/>
  <c r="I4858" i="3"/>
  <c r="I4794" i="3"/>
  <c r="H4402" i="3"/>
  <c r="I4402" i="3"/>
  <c r="H4226" i="3"/>
  <c r="I4226" i="3"/>
  <c r="H4162" i="3"/>
  <c r="I4162" i="3"/>
  <c r="H4042" i="3"/>
  <c r="H3690" i="3"/>
  <c r="I3690" i="3"/>
  <c r="H3642" i="3"/>
  <c r="I3642" i="3"/>
  <c r="I3490" i="3"/>
  <c r="H3306" i="3"/>
  <c r="I3306" i="3"/>
  <c r="I3042" i="3"/>
  <c r="H2994" i="3"/>
  <c r="H2810" i="3"/>
  <c r="H2698" i="3"/>
  <c r="I2698" i="3"/>
  <c r="H2618" i="3"/>
  <c r="I2618" i="3"/>
  <c r="H2338" i="3"/>
  <c r="I2338" i="3"/>
  <c r="H2274" i="3"/>
  <c r="H1730" i="3"/>
  <c r="I1730" i="3"/>
  <c r="H1506" i="3"/>
  <c r="I1506" i="3"/>
  <c r="I1394" i="3"/>
  <c r="H1290" i="3"/>
  <c r="I1290" i="3"/>
  <c r="H1234" i="3"/>
  <c r="I1234" i="3"/>
  <c r="H618" i="3"/>
  <c r="I618" i="3"/>
  <c r="H602" i="3"/>
  <c r="I602" i="3"/>
  <c r="I570" i="3"/>
  <c r="H282" i="3"/>
  <c r="H234" i="3"/>
  <c r="I234" i="3"/>
  <c r="H6605" i="3"/>
  <c r="I6605" i="3"/>
  <c r="H6597" i="3"/>
  <c r="I6597" i="3"/>
  <c r="H6589" i="3"/>
  <c r="I6589" i="3"/>
  <c r="H6309" i="3"/>
  <c r="I6309" i="3"/>
  <c r="H5677" i="3"/>
  <c r="I6426" i="3"/>
  <c r="I6362" i="3"/>
  <c r="I6298" i="3"/>
  <c r="I6280" i="3"/>
  <c r="I5965" i="3"/>
  <c r="I5928" i="3"/>
  <c r="I5895" i="3"/>
  <c r="I5837" i="3"/>
  <c r="I5736" i="3"/>
  <c r="I5437" i="3"/>
  <c r="I4119" i="3"/>
  <c r="I3936" i="3"/>
  <c r="H5770" i="3"/>
  <c r="H5888" i="3"/>
  <c r="I5888" i="3"/>
  <c r="H5408" i="3"/>
  <c r="I5408" i="3"/>
  <c r="H5064" i="3"/>
  <c r="I5064" i="3"/>
  <c r="H4984" i="3"/>
  <c r="I4984" i="3"/>
  <c r="H4480" i="3"/>
  <c r="I4480" i="3"/>
  <c r="H4288" i="3"/>
  <c r="I4288" i="3"/>
  <c r="H4200" i="3"/>
  <c r="I4136" i="3"/>
  <c r="H3344" i="3"/>
  <c r="I3344" i="3"/>
  <c r="H3184" i="3"/>
  <c r="I3184" i="3"/>
  <c r="H3152" i="3"/>
  <c r="I3152" i="3"/>
  <c r="H2824" i="3"/>
  <c r="I2824" i="3"/>
  <c r="H2712" i="3"/>
  <c r="I2712" i="3"/>
  <c r="H2600" i="3"/>
  <c r="I2600" i="3"/>
  <c r="I2576" i="3"/>
  <c r="H2496" i="3"/>
  <c r="I2496" i="3"/>
  <c r="H2240" i="3"/>
  <c r="I2240" i="3"/>
  <c r="I1984" i="3"/>
  <c r="H5951" i="3"/>
  <c r="I5951" i="3"/>
  <c r="H5719" i="3"/>
  <c r="I5719" i="3"/>
  <c r="H5679" i="3"/>
  <c r="I5679" i="3"/>
  <c r="I5527" i="3"/>
  <c r="I4623" i="3"/>
  <c r="H4495" i="3"/>
  <c r="I4495" i="3"/>
  <c r="H4463" i="3"/>
  <c r="I4463" i="3"/>
  <c r="H3895" i="3"/>
  <c r="I3895" i="3"/>
  <c r="H3839" i="3"/>
  <c r="I3839" i="3"/>
  <c r="H3671" i="3"/>
  <c r="I3671" i="3"/>
  <c r="H3335" i="3"/>
  <c r="I3335" i="3"/>
  <c r="H3063" i="3"/>
  <c r="I3063" i="3"/>
  <c r="H2671" i="3"/>
  <c r="I2671" i="3"/>
  <c r="H2631" i="3"/>
  <c r="I2631" i="3"/>
  <c r="H2575" i="3"/>
  <c r="H2439" i="3"/>
  <c r="H2311" i="3"/>
  <c r="H1903" i="3"/>
  <c r="I1903" i="3"/>
  <c r="H1543" i="3"/>
  <c r="I1543" i="3"/>
  <c r="H1511" i="3"/>
  <c r="I1511" i="3"/>
  <c r="H1463" i="3"/>
  <c r="I1463" i="3"/>
  <c r="H1303" i="3"/>
  <c r="I1303" i="3"/>
  <c r="H1143" i="3"/>
  <c r="I1143" i="3"/>
  <c r="H1103" i="3"/>
  <c r="I1103" i="3"/>
  <c r="H1071" i="3"/>
  <c r="I1071" i="3"/>
  <c r="H1031" i="3"/>
  <c r="I1031" i="3"/>
  <c r="H551" i="3"/>
  <c r="H23" i="3"/>
  <c r="H6242" i="3"/>
  <c r="I6242" i="3"/>
  <c r="I6194" i="3"/>
  <c r="I6122" i="3"/>
  <c r="H6106" i="3"/>
  <c r="I6106" i="3"/>
  <c r="H5874" i="3"/>
  <c r="I5874" i="3"/>
  <c r="H5802" i="3"/>
  <c r="I5802" i="3"/>
  <c r="H5666" i="3"/>
  <c r="I5666" i="3"/>
  <c r="H5586" i="3"/>
  <c r="I5586" i="3"/>
  <c r="H5442" i="3"/>
  <c r="I5442" i="3"/>
  <c r="H5402" i="3"/>
  <c r="I5402" i="3"/>
  <c r="H5370" i="3"/>
  <c r="I5370" i="3"/>
  <c r="H5274" i="3"/>
  <c r="H5242" i="3"/>
  <c r="I5242" i="3"/>
  <c r="H5194" i="3"/>
  <c r="I5194" i="3"/>
  <c r="H4938" i="3"/>
  <c r="H4754" i="3"/>
  <c r="I4754" i="3"/>
  <c r="I4610" i="3"/>
  <c r="H4394" i="3"/>
  <c r="I4394" i="3"/>
  <c r="H4146" i="3"/>
  <c r="I4146" i="3"/>
  <c r="H4106" i="3"/>
  <c r="I3898" i="3"/>
  <c r="I3546" i="3"/>
  <c r="H3210" i="3"/>
  <c r="I3210" i="3"/>
  <c r="I2922" i="3"/>
  <c r="H2890" i="3"/>
  <c r="H2754" i="3"/>
  <c r="H2578" i="3"/>
  <c r="I2578" i="3"/>
  <c r="H2522" i="3"/>
  <c r="I2522" i="3"/>
  <c r="I2362" i="3"/>
  <c r="H2306" i="3"/>
  <c r="I2306" i="3"/>
  <c r="H2090" i="3"/>
  <c r="I2090" i="3"/>
  <c r="H1690" i="3"/>
  <c r="I1690" i="3"/>
  <c r="H1426" i="3"/>
  <c r="I1426" i="3"/>
  <c r="H1386" i="3"/>
  <c r="I1386" i="3"/>
  <c r="H1354" i="3"/>
  <c r="H1154" i="3"/>
  <c r="I1154" i="3"/>
  <c r="H1074" i="3"/>
  <c r="I1074" i="3"/>
  <c r="H770" i="3"/>
  <c r="I770" i="3"/>
  <c r="H738" i="3"/>
  <c r="I738" i="3"/>
  <c r="H546" i="3"/>
  <c r="I546" i="3"/>
  <c r="I338" i="3"/>
  <c r="H290" i="3"/>
  <c r="I290" i="3"/>
  <c r="H114" i="3"/>
  <c r="I114" i="3"/>
  <c r="H6517" i="3"/>
  <c r="I6517" i="3"/>
  <c r="I6469" i="3"/>
  <c r="H6317" i="3"/>
  <c r="H6269" i="3"/>
  <c r="I6269" i="3"/>
  <c r="H5981" i="3"/>
  <c r="I5981" i="3"/>
  <c r="H5957" i="3"/>
  <c r="I5957" i="3"/>
  <c r="H5797" i="3"/>
  <c r="I5797" i="3"/>
  <c r="H5765" i="3"/>
  <c r="I5765" i="3"/>
  <c r="H5613" i="3"/>
  <c r="I5613" i="3"/>
  <c r="H5573" i="3"/>
  <c r="I5573" i="3"/>
  <c r="H5357" i="3"/>
  <c r="I5357" i="3"/>
  <c r="I6600" i="3"/>
  <c r="I6608" i="3"/>
  <c r="I6471" i="3"/>
  <c r="I6434" i="3"/>
  <c r="I6101" i="3"/>
  <c r="I5927" i="3"/>
  <c r="I5904" i="3"/>
  <c r="I5773" i="3"/>
  <c r="I5685" i="3"/>
  <c r="I5672" i="3"/>
  <c r="I5584" i="3"/>
  <c r="H6450" i="3"/>
  <c r="H5832" i="3"/>
  <c r="I5832" i="3"/>
  <c r="H5760" i="3"/>
  <c r="I5552" i="3"/>
  <c r="H5368" i="3"/>
  <c r="I5368" i="3"/>
  <c r="H5360" i="3"/>
  <c r="I5360" i="3"/>
  <c r="H4240" i="3"/>
  <c r="I4240" i="3"/>
  <c r="I4176" i="3"/>
  <c r="I4144" i="3"/>
  <c r="H4032" i="3"/>
  <c r="I4032" i="3"/>
  <c r="H3328" i="3"/>
  <c r="I3328" i="3"/>
  <c r="H2936" i="3"/>
  <c r="I2936" i="3"/>
  <c r="H2808" i="3"/>
  <c r="H2768" i="3"/>
  <c r="I2768" i="3"/>
  <c r="H2736" i="3"/>
  <c r="I2736" i="3"/>
  <c r="H2688" i="3"/>
  <c r="I6512" i="3"/>
  <c r="H5911" i="3"/>
  <c r="H5671" i="3"/>
  <c r="I5671" i="3"/>
  <c r="H4967" i="3"/>
  <c r="I4967" i="3"/>
  <c r="H4255" i="3"/>
  <c r="I4255" i="3"/>
  <c r="H4223" i="3"/>
  <c r="I4223" i="3"/>
  <c r="H4191" i="3"/>
  <c r="I4191" i="3"/>
  <c r="H4103" i="3"/>
  <c r="H3927" i="3"/>
  <c r="I3927" i="3"/>
  <c r="H3767" i="3"/>
  <c r="I3767" i="3"/>
  <c r="H3215" i="3"/>
  <c r="I3215" i="3"/>
  <c r="I3055" i="3"/>
  <c r="H2983" i="3"/>
  <c r="H1231" i="3"/>
  <c r="H711" i="3"/>
  <c r="I711" i="3"/>
  <c r="H559" i="3"/>
  <c r="I559" i="3"/>
  <c r="I175" i="3"/>
  <c r="I159" i="3"/>
  <c r="H5866" i="3"/>
  <c r="H5810" i="3"/>
  <c r="I5810" i="3"/>
  <c r="I5746" i="3"/>
  <c r="H5698" i="3"/>
  <c r="I5698" i="3"/>
  <c r="H5570" i="3"/>
  <c r="I5570" i="3"/>
  <c r="H5458" i="3"/>
  <c r="I5458" i="3"/>
  <c r="H5394" i="3"/>
  <c r="I5394" i="3"/>
  <c r="H5338" i="3"/>
  <c r="I5338" i="3"/>
  <c r="H5290" i="3"/>
  <c r="I5290" i="3"/>
  <c r="H5066" i="3"/>
  <c r="I5066" i="3"/>
  <c r="H4898" i="3"/>
  <c r="I4898" i="3"/>
  <c r="H4626" i="3"/>
  <c r="H4450" i="3"/>
  <c r="H4410" i="3"/>
  <c r="I4410" i="3"/>
  <c r="H4138" i="3"/>
  <c r="H4034" i="3"/>
  <c r="I4034" i="3"/>
  <c r="H3962" i="3"/>
  <c r="H3906" i="3"/>
  <c r="I3906" i="3"/>
  <c r="H3746" i="3"/>
  <c r="H3618" i="3"/>
  <c r="H3466" i="3"/>
  <c r="I3466" i="3"/>
  <c r="H3202" i="3"/>
  <c r="I3202" i="3"/>
  <c r="H3154" i="3"/>
  <c r="I3154" i="3"/>
  <c r="H3090" i="3"/>
  <c r="I3090" i="3"/>
  <c r="H2930" i="3"/>
  <c r="I2930" i="3"/>
  <c r="H2298" i="3"/>
  <c r="H2178" i="3"/>
  <c r="I2178" i="3"/>
  <c r="I2050" i="3"/>
  <c r="H1778" i="3"/>
  <c r="I1778" i="3"/>
  <c r="H1722" i="3"/>
  <c r="I1722" i="3"/>
  <c r="I1498" i="3"/>
  <c r="H1466" i="3"/>
  <c r="I1466" i="3"/>
  <c r="H1330" i="3"/>
  <c r="I1330" i="3"/>
  <c r="H730" i="3"/>
  <c r="I730" i="3"/>
  <c r="H586" i="3"/>
  <c r="I586" i="3"/>
  <c r="H266" i="3"/>
  <c r="I266" i="3"/>
  <c r="I90" i="3"/>
  <c r="H6581" i="3"/>
  <c r="I6581" i="3"/>
  <c r="H6565" i="3"/>
  <c r="H6549" i="3"/>
  <c r="I6549" i="3"/>
  <c r="H6501" i="3"/>
  <c r="I6501" i="3"/>
  <c r="H6333" i="3"/>
  <c r="I6333" i="3"/>
  <c r="I6296" i="3"/>
  <c r="I6287" i="3"/>
  <c r="I6250" i="3"/>
  <c r="I5983" i="3"/>
  <c r="I5949" i="3"/>
  <c r="I5903" i="3"/>
  <c r="I5821" i="3"/>
  <c r="I5720" i="3"/>
  <c r="I5709" i="3"/>
  <c r="I5608" i="3"/>
  <c r="I5407" i="3"/>
  <c r="I4311" i="3"/>
  <c r="H5296" i="3"/>
  <c r="I5296" i="3"/>
  <c r="I5024" i="3"/>
  <c r="H4976" i="3"/>
  <c r="I4976" i="3"/>
  <c r="H4728" i="3"/>
  <c r="I4728" i="3"/>
  <c r="H4416" i="3"/>
  <c r="I4416" i="3"/>
  <c r="H4360" i="3"/>
  <c r="I4360" i="3"/>
  <c r="H4184" i="3"/>
  <c r="I4184" i="3"/>
  <c r="H4152" i="3"/>
  <c r="I4152" i="3"/>
  <c r="H4120" i="3"/>
  <c r="I4120" i="3"/>
  <c r="H3640" i="3"/>
  <c r="H3464" i="3"/>
  <c r="I3464" i="3"/>
  <c r="H3288" i="3"/>
  <c r="I3168" i="3"/>
  <c r="H2512" i="3"/>
  <c r="I2512" i="3"/>
  <c r="H2248" i="3"/>
  <c r="I5968" i="3"/>
  <c r="I5416" i="3"/>
  <c r="H5783" i="3"/>
  <c r="I5783" i="3"/>
  <c r="H5687" i="3"/>
  <c r="I5687" i="3"/>
  <c r="H5399" i="3"/>
  <c r="I5399" i="3"/>
  <c r="H4975" i="3"/>
  <c r="I4975" i="3"/>
  <c r="H4711" i="3"/>
  <c r="I4711" i="3"/>
  <c r="H4687" i="3"/>
  <c r="I4687" i="3"/>
  <c r="H4383" i="3"/>
  <c r="I4383" i="3"/>
  <c r="H4199" i="3"/>
  <c r="I4199" i="3"/>
  <c r="H4143" i="3"/>
  <c r="H3999" i="3"/>
  <c r="I3999" i="3"/>
  <c r="H3903" i="3"/>
  <c r="I3903" i="3"/>
  <c r="H3807" i="3"/>
  <c r="H3775" i="3"/>
  <c r="I3775" i="3"/>
  <c r="H3743" i="3"/>
  <c r="I3743" i="3"/>
  <c r="H3343" i="3"/>
  <c r="I3343" i="3"/>
  <c r="H3047" i="3"/>
  <c r="I3047" i="3"/>
  <c r="H2935" i="3"/>
  <c r="H2895" i="3"/>
  <c r="I2895" i="3"/>
  <c r="I2111" i="3"/>
  <c r="H2063" i="3"/>
  <c r="I2063" i="3"/>
  <c r="I1887" i="3"/>
  <c r="H1783" i="3"/>
  <c r="I1783" i="3"/>
  <c r="H1735" i="3"/>
  <c r="I1735" i="3"/>
  <c r="H1711" i="3"/>
  <c r="I1711" i="3"/>
  <c r="I1575" i="3"/>
  <c r="H1415" i="3"/>
  <c r="H1375" i="3"/>
  <c r="H1239" i="3"/>
  <c r="I1239" i="3"/>
  <c r="H1151" i="3"/>
  <c r="I1151" i="3"/>
  <c r="H951" i="3"/>
  <c r="I951" i="3"/>
  <c r="I871" i="3"/>
  <c r="H719" i="3"/>
  <c r="I719" i="3"/>
  <c r="H575" i="3"/>
  <c r="I575" i="3"/>
  <c r="H527" i="3"/>
  <c r="I527" i="3"/>
  <c r="H375" i="3"/>
  <c r="I375" i="3"/>
  <c r="H303" i="3"/>
  <c r="I271" i="3"/>
  <c r="I71" i="3"/>
  <c r="H6114" i="3"/>
  <c r="I6114" i="3"/>
  <c r="H6042" i="3"/>
  <c r="I6042" i="3"/>
  <c r="H5858" i="3"/>
  <c r="H5602" i="3"/>
  <c r="I5602" i="3"/>
  <c r="I5514" i="3"/>
  <c r="H5378" i="3"/>
  <c r="I5378" i="3"/>
  <c r="H5258" i="3"/>
  <c r="H5090" i="3"/>
  <c r="H4818" i="3"/>
  <c r="I4818" i="3"/>
  <c r="H4594" i="3"/>
  <c r="I4594" i="3"/>
  <c r="H4498" i="3"/>
  <c r="I4498" i="3"/>
  <c r="H4066" i="3"/>
  <c r="I4066" i="3"/>
  <c r="H4018" i="3"/>
  <c r="H3978" i="3"/>
  <c r="I3978" i="3"/>
  <c r="H3922" i="3"/>
  <c r="I3922" i="3"/>
  <c r="I3882" i="3"/>
  <c r="H3834" i="3"/>
  <c r="I3834" i="3"/>
  <c r="H3698" i="3"/>
  <c r="I3698" i="3"/>
  <c r="H3218" i="3"/>
  <c r="I3162" i="3"/>
  <c r="I2978" i="3"/>
  <c r="I2874" i="3"/>
  <c r="H2826" i="3"/>
  <c r="I2826" i="3"/>
  <c r="H2730" i="3"/>
  <c r="I2730" i="3"/>
  <c r="I2642" i="3"/>
  <c r="H2570" i="3"/>
  <c r="I2570" i="3"/>
  <c r="I2146" i="3"/>
  <c r="H1874" i="3"/>
  <c r="H1706" i="3"/>
  <c r="I1706" i="3"/>
  <c r="H1538" i="3"/>
  <c r="H1370" i="3"/>
  <c r="I1370" i="3"/>
  <c r="H1218" i="3"/>
  <c r="I1218" i="3"/>
  <c r="I1170" i="3"/>
  <c r="H1130" i="3"/>
  <c r="I1130" i="3"/>
  <c r="H746" i="3"/>
  <c r="I746" i="3"/>
  <c r="H578" i="3"/>
  <c r="I578" i="3"/>
  <c r="H554" i="3"/>
  <c r="I554" i="3"/>
  <c r="I426" i="3"/>
  <c r="H378" i="3"/>
  <c r="I378" i="3"/>
  <c r="H330" i="3"/>
  <c r="I330" i="3"/>
  <c r="H258" i="3"/>
  <c r="I258" i="3"/>
  <c r="I218" i="3"/>
  <c r="H98" i="3"/>
  <c r="I98" i="3"/>
  <c r="H6477" i="3"/>
  <c r="I6477" i="3"/>
  <c r="H6445" i="3"/>
  <c r="I6445" i="3"/>
  <c r="H5933" i="3"/>
  <c r="I5933" i="3"/>
  <c r="H5405" i="3"/>
  <c r="I5405" i="3"/>
  <c r="I6607" i="3"/>
  <c r="I6442" i="3"/>
  <c r="I6514" i="3"/>
  <c r="I6432" i="3"/>
  <c r="I6322" i="3"/>
  <c r="I5645" i="3"/>
  <c r="I5544" i="3"/>
  <c r="I4151" i="3"/>
  <c r="I3170" i="3"/>
  <c r="I2490" i="3"/>
  <c r="H6595" i="3"/>
  <c r="H6571" i="3"/>
  <c r="H6563" i="3"/>
  <c r="H6555" i="3"/>
  <c r="H6547" i="3"/>
  <c r="H6539" i="3"/>
  <c r="H6515" i="3"/>
  <c r="H6483" i="3"/>
  <c r="H6467" i="3"/>
  <c r="H6451" i="3"/>
  <c r="H6443" i="3"/>
  <c r="H6427" i="3"/>
  <c r="H6411" i="3"/>
  <c r="H6387" i="3"/>
  <c r="H6379" i="3"/>
  <c r="H6371" i="3"/>
  <c r="H6331" i="3"/>
  <c r="H6323" i="3"/>
  <c r="H6315" i="3"/>
  <c r="H6307" i="3"/>
  <c r="H6291" i="3"/>
  <c r="H6275" i="3"/>
  <c r="H6259" i="3"/>
  <c r="H6235" i="3"/>
  <c r="H6203" i="3"/>
  <c r="H6187" i="3"/>
  <c r="H6155" i="3"/>
  <c r="H6147" i="3"/>
  <c r="H6083" i="3"/>
  <c r="H6035" i="3"/>
  <c r="H6019" i="3"/>
  <c r="H6003" i="3"/>
  <c r="H5971" i="3"/>
  <c r="H5955" i="3"/>
  <c r="H5939" i="3"/>
  <c r="H5931" i="3"/>
  <c r="H5875" i="3"/>
  <c r="H5867" i="3"/>
  <c r="H5851" i="3"/>
  <c r="H5843" i="3"/>
  <c r="H5835" i="3"/>
  <c r="H5811" i="3"/>
  <c r="H5803" i="3"/>
  <c r="H5795" i="3"/>
  <c r="H5771" i="3"/>
  <c r="H5707" i="3"/>
  <c r="H5691" i="3"/>
  <c r="H5627" i="3"/>
  <c r="H5579" i="3"/>
  <c r="H5571" i="3"/>
  <c r="H5563" i="3"/>
  <c r="H5539" i="3"/>
  <c r="H5531" i="3"/>
  <c r="H5515" i="3"/>
  <c r="H5491" i="3"/>
  <c r="H5475" i="3"/>
  <c r="H5435" i="3"/>
  <c r="H5411" i="3"/>
  <c r="H5403" i="3"/>
  <c r="H5395" i="3"/>
  <c r="H5347" i="3"/>
  <c r="H5331" i="3"/>
  <c r="H5323" i="3"/>
  <c r="H5299" i="3"/>
  <c r="H5283" i="3"/>
  <c r="H5275" i="3"/>
  <c r="H5259" i="3"/>
  <c r="H5211" i="3"/>
  <c r="H5163" i="3"/>
  <c r="H5155" i="3"/>
  <c r="H5147" i="3"/>
  <c r="H5083" i="3"/>
  <c r="H5059" i="3"/>
  <c r="H5051" i="3"/>
  <c r="H5043" i="3"/>
  <c r="H5027" i="3"/>
  <c r="H5019" i="3"/>
  <c r="H4979" i="3"/>
  <c r="H4963" i="3"/>
  <c r="H4915" i="3"/>
  <c r="H4907" i="3"/>
  <c r="H4899" i="3"/>
  <c r="H4867" i="3"/>
  <c r="H4859" i="3"/>
  <c r="H4851" i="3"/>
  <c r="H4843" i="3"/>
  <c r="H4763" i="3"/>
  <c r="H4739" i="3"/>
  <c r="H4667" i="3"/>
  <c r="H4467" i="3"/>
  <c r="H4427" i="3"/>
  <c r="H4419" i="3"/>
  <c r="H4379" i="3"/>
  <c r="H4339" i="3"/>
  <c r="H4259" i="3"/>
  <c r="H4251" i="3"/>
  <c r="H4227" i="3"/>
  <c r="H4219" i="3"/>
  <c r="H4195" i="3"/>
  <c r="H4179" i="3"/>
  <c r="H4163" i="3"/>
  <c r="H4147" i="3"/>
  <c r="H4139" i="3"/>
  <c r="H4131" i="3"/>
  <c r="H4107" i="3"/>
  <c r="I2683" i="3"/>
  <c r="I2675" i="3"/>
  <c r="I2651" i="3"/>
  <c r="I2635" i="3"/>
  <c r="I2611" i="3"/>
  <c r="I2595" i="3"/>
  <c r="I2515" i="3"/>
  <c r="I2507" i="3"/>
  <c r="I2499" i="3"/>
  <c r="I2491" i="3"/>
  <c r="I2259" i="3"/>
  <c r="I2131" i="3"/>
  <c r="I2123" i="3"/>
  <c r="I2051" i="3"/>
  <c r="I2043" i="3"/>
  <c r="I2003" i="3"/>
  <c r="I1963" i="3"/>
  <c r="I1907" i="3"/>
  <c r="I1899" i="3"/>
  <c r="I1795" i="3"/>
  <c r="I1771" i="3"/>
  <c r="I1763" i="3"/>
  <c r="I1755" i="3"/>
  <c r="I1731" i="3"/>
  <c r="I1707" i="3"/>
  <c r="I1683" i="3"/>
  <c r="I1659" i="3"/>
  <c r="I1627" i="3"/>
  <c r="I1587" i="3"/>
  <c r="I1563" i="3"/>
  <c r="I1547" i="3"/>
  <c r="I1539" i="3"/>
  <c r="I1515" i="3"/>
  <c r="I1491" i="3"/>
  <c r="I1475" i="3"/>
  <c r="I1435" i="3"/>
  <c r="I1427" i="3"/>
  <c r="I1419" i="3"/>
  <c r="I1403" i="3"/>
  <c r="I1347" i="3"/>
  <c r="H803" i="3"/>
  <c r="H795" i="3"/>
  <c r="H787" i="3"/>
  <c r="H755" i="3"/>
  <c r="H739" i="3"/>
  <c r="H731" i="3"/>
  <c r="H715" i="3"/>
  <c r="H707" i="3"/>
  <c r="H4051" i="3"/>
  <c r="H4043" i="3"/>
  <c r="H4035" i="3"/>
  <c r="H3939" i="3"/>
  <c r="H3931" i="3"/>
  <c r="H3883" i="3"/>
  <c r="H3875" i="3"/>
  <c r="H3795" i="3"/>
  <c r="H3787" i="3"/>
  <c r="H3763" i="3"/>
  <c r="H3707" i="3"/>
  <c r="H3699" i="3"/>
  <c r="H3667" i="3"/>
  <c r="H3659" i="3"/>
  <c r="H3651" i="3"/>
  <c r="H3563" i="3"/>
  <c r="H603" i="3"/>
  <c r="H595" i="3"/>
  <c r="H579" i="3"/>
  <c r="H571" i="3"/>
  <c r="H563" i="3"/>
  <c r="H555" i="3"/>
  <c r="H547" i="3"/>
  <c r="H531" i="3"/>
  <c r="H523" i="3"/>
  <c r="H515" i="3"/>
  <c r="H379" i="3"/>
  <c r="H347" i="3"/>
  <c r="H339" i="3"/>
  <c r="H331" i="3"/>
  <c r="H323" i="3"/>
  <c r="H291" i="3"/>
  <c r="H283" i="3"/>
  <c r="H267" i="3"/>
  <c r="H243" i="3"/>
  <c r="H219" i="3"/>
  <c r="H211" i="3"/>
  <c r="H195" i="3"/>
  <c r="H179" i="3"/>
  <c r="H139" i="3"/>
  <c r="H123" i="3"/>
  <c r="H107" i="3"/>
  <c r="H83" i="3"/>
  <c r="H59" i="3"/>
  <c r="H43" i="3"/>
  <c r="H27" i="3"/>
  <c r="H11" i="3"/>
  <c r="H3323" i="3"/>
  <c r="H3315" i="3"/>
  <c r="H3307" i="3"/>
  <c r="H3179" i="3"/>
  <c r="H3155" i="3"/>
  <c r="H3147" i="3"/>
  <c r="H3131" i="3"/>
  <c r="H3115" i="3"/>
  <c r="H3075" i="3"/>
  <c r="H2979" i="3"/>
  <c r="H2955" i="3"/>
  <c r="H2923" i="3"/>
  <c r="H2915" i="3"/>
  <c r="H2907" i="3"/>
  <c r="H2747" i="3"/>
  <c r="H2739" i="3"/>
  <c r="H2723" i="3"/>
  <c r="H2699" i="3"/>
  <c r="H2683" i="3"/>
  <c r="H2635" i="3"/>
  <c r="H2619" i="3"/>
  <c r="H2611" i="3"/>
  <c r="H2595" i="3"/>
  <c r="H2515" i="3"/>
  <c r="H2507" i="3"/>
  <c r="H2499" i="3"/>
  <c r="H2491" i="3"/>
  <c r="H2315" i="3"/>
  <c r="H2259" i="3"/>
  <c r="H2243" i="3"/>
  <c r="H2155" i="3"/>
  <c r="H2123" i="3"/>
  <c r="H2107" i="3"/>
  <c r="H2043" i="3"/>
  <c r="H1963" i="3"/>
  <c r="H1907" i="3"/>
  <c r="H1899" i="3"/>
  <c r="H1795" i="3"/>
  <c r="H1771" i="3"/>
  <c r="H1755" i="3"/>
  <c r="H1715" i="3"/>
  <c r="H1707" i="3"/>
  <c r="H1683" i="3"/>
  <c r="H1659" i="3"/>
  <c r="H1627" i="3"/>
  <c r="H1587" i="3"/>
  <c r="H1563" i="3"/>
  <c r="H1547" i="3"/>
  <c r="H1539" i="3"/>
  <c r="H1515" i="3"/>
  <c r="H1475" i="3"/>
  <c r="H1435" i="3"/>
  <c r="H1427" i="3"/>
  <c r="H1419" i="3"/>
  <c r="H1403" i="3"/>
  <c r="H1355" i="3"/>
  <c r="H1347" i="3"/>
  <c r="H1307" i="3"/>
  <c r="H1299" i="3"/>
  <c r="H1251" i="3"/>
  <c r="H1203" i="3"/>
  <c r="H1139" i="3"/>
  <c r="H1131" i="3"/>
  <c r="H1123" i="3"/>
  <c r="H1091" i="3"/>
  <c r="H1075" i="3"/>
  <c r="H1067" i="3"/>
  <c r="H1043" i="3"/>
  <c r="H1035" i="3"/>
  <c r="H1019" i="3"/>
  <c r="H1011" i="3"/>
  <c r="H1003" i="3"/>
  <c r="H963" i="3"/>
  <c r="H939" i="3"/>
  <c r="H2445" i="3" l="1"/>
  <c r="I2445" i="3"/>
  <c r="H3582" i="3"/>
  <c r="I3582" i="3"/>
  <c r="H2188" i="3"/>
  <c r="I2188" i="3"/>
  <c r="I4790" i="3"/>
  <c r="H4790" i="3"/>
  <c r="I6105" i="3"/>
  <c r="H6105" i="3"/>
  <c r="H3697" i="3"/>
  <c r="I3697" i="3"/>
  <c r="I3942" i="3"/>
  <c r="H3942" i="3"/>
  <c r="H1093" i="3"/>
  <c r="I1093" i="3"/>
  <c r="I3156" i="3"/>
  <c r="H3156" i="3"/>
  <c r="H3102" i="3"/>
  <c r="I3102" i="3"/>
  <c r="H6172" i="3"/>
  <c r="I6172" i="3"/>
  <c r="H3211" i="3"/>
  <c r="H667" i="3"/>
  <c r="H5195" i="3"/>
  <c r="H82" i="3"/>
  <c r="I3143" i="3"/>
  <c r="H3079" i="3"/>
  <c r="H2968" i="3"/>
  <c r="H4112" i="3"/>
  <c r="H4464" i="3"/>
  <c r="H6349" i="3"/>
  <c r="H3954" i="3"/>
  <c r="I6583" i="3"/>
  <c r="I1346" i="3"/>
  <c r="H2711" i="3"/>
  <c r="I4783" i="3"/>
  <c r="H1658" i="3"/>
  <c r="H239" i="3"/>
  <c r="I2232" i="3"/>
  <c r="H5202" i="3"/>
  <c r="H4392" i="3"/>
  <c r="H5021" i="3"/>
  <c r="I2317" i="3"/>
  <c r="I6532" i="3"/>
  <c r="H5748" i="3"/>
  <c r="I4121" i="3"/>
  <c r="H1428" i="3"/>
  <c r="H1168" i="3"/>
  <c r="I6457" i="3"/>
  <c r="I6227" i="3"/>
  <c r="H5054" i="3"/>
  <c r="H1789" i="3"/>
  <c r="I1789" i="3"/>
  <c r="I1142" i="3"/>
  <c r="H1142" i="3"/>
  <c r="H6120" i="3"/>
  <c r="I6120" i="3"/>
  <c r="I2973" i="3"/>
  <c r="I1809" i="3"/>
  <c r="H3015" i="3"/>
  <c r="H987" i="3"/>
  <c r="H1267" i="3"/>
  <c r="H259" i="3"/>
  <c r="I1395" i="3"/>
  <c r="H5075" i="3"/>
  <c r="I2602" i="3"/>
  <c r="I743" i="3"/>
  <c r="I4904" i="3"/>
  <c r="I6306" i="3"/>
  <c r="I2450" i="3"/>
  <c r="I4986" i="3"/>
  <c r="H2536" i="3"/>
  <c r="I130" i="3"/>
  <c r="I5330" i="3"/>
  <c r="I6546" i="3"/>
  <c r="I6170" i="3"/>
  <c r="I4992" i="3"/>
  <c r="H4775" i="3"/>
  <c r="I2517" i="3"/>
  <c r="I2117" i="3"/>
  <c r="I4389" i="3"/>
  <c r="H244" i="3"/>
  <c r="I1228" i="3"/>
  <c r="H5337" i="3"/>
  <c r="I3985" i="3"/>
  <c r="I6385" i="3"/>
  <c r="I5209" i="3"/>
  <c r="H4209" i="3"/>
  <c r="I5169" i="3"/>
  <c r="I6499" i="3"/>
  <c r="H6068" i="3"/>
  <c r="H2254" i="3"/>
  <c r="H4462" i="3"/>
  <c r="H2614" i="3"/>
  <c r="H3467" i="3"/>
  <c r="I58" i="3"/>
  <c r="I972" i="3"/>
  <c r="H3491" i="3"/>
  <c r="I2451" i="3"/>
  <c r="H3472" i="3"/>
  <c r="I1960" i="3"/>
  <c r="I5630" i="3"/>
  <c r="I106" i="3"/>
  <c r="H427" i="3"/>
  <c r="H3543" i="3"/>
  <c r="H2479" i="3"/>
  <c r="I3072" i="3"/>
  <c r="I6056" i="3"/>
  <c r="I4272" i="3"/>
  <c r="I5248" i="3"/>
  <c r="H1975" i="3"/>
  <c r="H3557" i="3"/>
  <c r="I2321" i="3"/>
  <c r="I368" i="3"/>
  <c r="I3038" i="3"/>
  <c r="H3717" i="3"/>
  <c r="H3355" i="3"/>
  <c r="H435" i="3"/>
  <c r="H1746" i="3"/>
  <c r="I3696" i="3"/>
  <c r="I66" i="3"/>
  <c r="H3935" i="3"/>
  <c r="I5848" i="3"/>
  <c r="I1856" i="3"/>
  <c r="I1776" i="3"/>
  <c r="I1621" i="3"/>
  <c r="H2085" i="3"/>
  <c r="I6100" i="3"/>
  <c r="H2937" i="3"/>
  <c r="H4401" i="3"/>
  <c r="I4801" i="3"/>
  <c r="H3062" i="3"/>
  <c r="I3148" i="3"/>
  <c r="I3859" i="3"/>
  <c r="I1304" i="3"/>
  <c r="H5585" i="3"/>
  <c r="I611" i="3"/>
  <c r="H6596" i="3"/>
  <c r="I4014" i="3"/>
  <c r="H6329" i="3"/>
  <c r="I6329" i="3"/>
  <c r="I1073" i="3"/>
  <c r="H1073" i="3"/>
  <c r="H3273" i="3"/>
  <c r="H2411" i="3"/>
  <c r="I1725" i="3"/>
  <c r="H1725" i="3"/>
  <c r="I4233" i="3"/>
  <c r="H4233" i="3"/>
  <c r="H5466" i="3"/>
  <c r="H40" i="3"/>
  <c r="H1681" i="3"/>
  <c r="I1681" i="3"/>
  <c r="I2817" i="3"/>
  <c r="I1235" i="3"/>
  <c r="H2060" i="3"/>
  <c r="I2060" i="3"/>
  <c r="I1945" i="3"/>
  <c r="H1945" i="3"/>
  <c r="I1008" i="3"/>
  <c r="H1008" i="3"/>
  <c r="I708" i="3"/>
  <c r="I2234" i="3"/>
  <c r="H2266" i="3"/>
  <c r="I2137" i="3"/>
  <c r="H2137" i="3"/>
  <c r="I1766" i="3"/>
  <c r="H1766" i="3"/>
  <c r="H1492" i="3"/>
  <c r="H4330" i="3"/>
  <c r="H5161" i="3"/>
  <c r="I5161" i="3"/>
  <c r="H2825" i="3"/>
  <c r="I2825" i="3"/>
  <c r="I1605" i="3"/>
  <c r="H1605" i="3"/>
  <c r="H6511" i="3"/>
  <c r="I6511" i="3"/>
  <c r="H821" i="3"/>
  <c r="I821" i="3"/>
  <c r="H2046" i="3"/>
  <c r="H1918" i="3"/>
  <c r="I1918" i="3"/>
  <c r="H1988" i="3"/>
  <c r="I1988" i="3"/>
  <c r="H6132" i="3"/>
  <c r="I6132" i="3"/>
  <c r="H2124" i="3"/>
  <c r="I2124" i="3"/>
  <c r="I5025" i="3"/>
  <c r="H5025" i="3"/>
  <c r="I5404" i="3"/>
  <c r="H5404" i="3"/>
  <c r="I334" i="3"/>
  <c r="I4126" i="3"/>
  <c r="H4126" i="3"/>
  <c r="I348" i="3"/>
  <c r="H348" i="3"/>
  <c r="I5950" i="3"/>
  <c r="H5950" i="3"/>
  <c r="H5058" i="3"/>
  <c r="H6404" i="3"/>
  <c r="I6404" i="3"/>
  <c r="I4292" i="3"/>
  <c r="H4292" i="3"/>
  <c r="I4414" i="3"/>
  <c r="H4414" i="3"/>
  <c r="H2694" i="3"/>
  <c r="I2694" i="3"/>
  <c r="H1662" i="3"/>
  <c r="H6367" i="3"/>
  <c r="I6367" i="3"/>
  <c r="I2806" i="3"/>
  <c r="H2806" i="3"/>
  <c r="H4908" i="3"/>
  <c r="I4908" i="3"/>
  <c r="H1053" i="3"/>
  <c r="I1053" i="3"/>
  <c r="H3108" i="3"/>
  <c r="I3108" i="3"/>
  <c r="I6276" i="3"/>
  <c r="H6276" i="3"/>
  <c r="H923" i="3"/>
  <c r="H3203" i="3"/>
  <c r="H6163" i="3"/>
  <c r="H2234" i="3"/>
  <c r="I2290" i="3"/>
  <c r="I5791" i="3"/>
  <c r="I4525" i="3"/>
  <c r="I4844" i="3"/>
  <c r="H5620" i="3"/>
  <c r="I2532" i="3"/>
  <c r="I2972" i="3"/>
  <c r="I3468" i="3"/>
  <c r="I2052" i="3"/>
  <c r="I1056" i="3"/>
  <c r="H1152" i="3"/>
  <c r="H1496" i="3"/>
  <c r="I833" i="3"/>
  <c r="I38" i="3"/>
  <c r="H334" i="3"/>
  <c r="H518" i="3"/>
  <c r="H2783" i="3"/>
  <c r="H3400" i="3"/>
  <c r="H5317" i="3"/>
  <c r="I4571" i="3"/>
  <c r="I3614" i="3"/>
  <c r="I2343" i="3"/>
  <c r="I5339" i="3"/>
  <c r="I3187" i="3"/>
  <c r="H5464" i="3"/>
  <c r="I5387" i="3"/>
  <c r="I651" i="3"/>
  <c r="H1647" i="3"/>
  <c r="H1447" i="3"/>
  <c r="H6463" i="3"/>
  <c r="I1125" i="3"/>
  <c r="H4655" i="3"/>
  <c r="I5035" i="3"/>
  <c r="H6590" i="3"/>
  <c r="I3070" i="3"/>
  <c r="H5576" i="3"/>
  <c r="H3207" i="3"/>
  <c r="H4507" i="3"/>
  <c r="I1102" i="3"/>
  <c r="H4376" i="3"/>
  <c r="H6360" i="3"/>
  <c r="I5443" i="3"/>
  <c r="H2760" i="3"/>
  <c r="I299" i="3"/>
  <c r="H3855" i="3"/>
  <c r="H4586" i="3"/>
  <c r="I3531" i="3"/>
  <c r="H4919" i="3"/>
  <c r="I2347" i="3"/>
  <c r="H5351" i="3"/>
  <c r="H4208" i="3"/>
  <c r="I3291" i="3"/>
  <c r="I4872" i="3"/>
  <c r="H5642" i="3"/>
  <c r="I70" i="3"/>
  <c r="H2045" i="3"/>
  <c r="H2088" i="3"/>
  <c r="I2097" i="3"/>
  <c r="I2157" i="3"/>
  <c r="I4731" i="3"/>
  <c r="H5887" i="3"/>
  <c r="I3926" i="3"/>
  <c r="H3196" i="3"/>
  <c r="I4691" i="3"/>
  <c r="I346" i="3"/>
  <c r="I4354" i="3"/>
  <c r="H4378" i="3"/>
  <c r="I4876" i="3"/>
  <c r="I3648" i="3"/>
  <c r="I5010" i="3"/>
  <c r="I5610" i="3"/>
  <c r="I6351" i="3"/>
  <c r="H6602" i="3"/>
  <c r="I5747" i="3"/>
  <c r="H4794" i="3"/>
  <c r="I3195" i="3"/>
  <c r="H426" i="3"/>
  <c r="I6436" i="3"/>
  <c r="H5859" i="3"/>
  <c r="I1880" i="3"/>
  <c r="H3643" i="3"/>
  <c r="I2370" i="3"/>
  <c r="H5778" i="3"/>
  <c r="H3236" i="3"/>
  <c r="H5656" i="3"/>
  <c r="I2933" i="3"/>
  <c r="H5713" i="3"/>
  <c r="I195" i="3"/>
  <c r="I2205" i="3"/>
  <c r="H2281" i="3"/>
  <c r="H3898" i="3"/>
  <c r="H3864" i="3"/>
  <c r="I6350" i="3"/>
  <c r="I4958" i="3"/>
  <c r="I5923" i="3"/>
  <c r="H1266" i="3"/>
  <c r="I226" i="3"/>
  <c r="H5483" i="3"/>
  <c r="I2431" i="3"/>
  <c r="H1079" i="3"/>
  <c r="I27" i="3"/>
  <c r="I3475" i="3"/>
  <c r="I3763" i="3"/>
  <c r="I4616" i="3"/>
  <c r="I2017" i="3"/>
  <c r="H6469" i="3"/>
  <c r="I2326" i="3"/>
  <c r="I323" i="3"/>
  <c r="I2818" i="3"/>
  <c r="H3607" i="3"/>
  <c r="I3867" i="3"/>
  <c r="I3897" i="3"/>
  <c r="I3833" i="3"/>
  <c r="H2335" i="3"/>
  <c r="I6058" i="3"/>
  <c r="I697" i="3"/>
  <c r="H6197" i="3"/>
  <c r="H161" i="3"/>
  <c r="H2986" i="3"/>
  <c r="H6370" i="3"/>
  <c r="H1371" i="3"/>
  <c r="I3191" i="3"/>
  <c r="I3034" i="3"/>
  <c r="H2495" i="3"/>
  <c r="I1637" i="3"/>
  <c r="I3751" i="3"/>
  <c r="H5240" i="3"/>
  <c r="H2891" i="3"/>
  <c r="H3675" i="3"/>
  <c r="H3867" i="3"/>
  <c r="H2224" i="3"/>
  <c r="I6314" i="3"/>
  <c r="H858" i="3"/>
  <c r="H2074" i="3"/>
  <c r="H3568" i="3"/>
  <c r="I6584" i="3"/>
  <c r="I3837" i="3"/>
  <c r="I5516" i="3"/>
  <c r="H3897" i="3"/>
  <c r="I5497" i="3"/>
  <c r="H1504" i="3"/>
  <c r="H5097" i="3"/>
  <c r="I1027" i="3"/>
  <c r="I3198" i="3"/>
  <c r="I966" i="3"/>
  <c r="H2819" i="3"/>
  <c r="H418" i="3"/>
  <c r="H4192" i="3"/>
  <c r="H6461" i="3"/>
  <c r="H4269" i="3"/>
  <c r="H6303" i="3"/>
  <c r="H3049" i="3"/>
  <c r="H1275" i="3"/>
  <c r="H275" i="3"/>
  <c r="I1779" i="3"/>
  <c r="I2059" i="3"/>
  <c r="I6359" i="3"/>
  <c r="I3650" i="3"/>
  <c r="I5466" i="3"/>
  <c r="I6424" i="3"/>
  <c r="H10" i="3"/>
  <c r="H1175" i="3"/>
  <c r="H2464" i="3"/>
  <c r="I55" i="3"/>
  <c r="H2096" i="3"/>
  <c r="I1202" i="3"/>
  <c r="H2173" i="3"/>
  <c r="I2845" i="3"/>
  <c r="I5889" i="3"/>
  <c r="H5537" i="3"/>
  <c r="I3972" i="3"/>
  <c r="H4632" i="3"/>
  <c r="I4632" i="3"/>
  <c r="I6594" i="3"/>
  <c r="H6594" i="3"/>
  <c r="I4960" i="3"/>
  <c r="H4960" i="3"/>
  <c r="H6384" i="3"/>
  <c r="I6384" i="3"/>
  <c r="H5831" i="3"/>
  <c r="I5831" i="3"/>
  <c r="H3479" i="3"/>
  <c r="I3479" i="3"/>
  <c r="I5883" i="3"/>
  <c r="H5883" i="3"/>
  <c r="I6358" i="3"/>
  <c r="H6358" i="3"/>
  <c r="H1764" i="3"/>
  <c r="I1764" i="3"/>
  <c r="H1941" i="3"/>
  <c r="I1941" i="3"/>
  <c r="H1904" i="3"/>
  <c r="I1904" i="3"/>
  <c r="H4404" i="3"/>
  <c r="I4404" i="3"/>
  <c r="H1618" i="3"/>
  <c r="I1618" i="3"/>
  <c r="I148" i="3"/>
  <c r="H148" i="3"/>
  <c r="I1195" i="3"/>
  <c r="H1195" i="3"/>
  <c r="H5559" i="3"/>
  <c r="I5559" i="3"/>
  <c r="H2247" i="3"/>
  <c r="I2247" i="3"/>
  <c r="H4796" i="3"/>
  <c r="I4796" i="3"/>
  <c r="H5014" i="3"/>
  <c r="I5014" i="3"/>
  <c r="H675" i="3"/>
  <c r="I675" i="3"/>
  <c r="H4937" i="3"/>
  <c r="I4937" i="3"/>
  <c r="H5233" i="3"/>
  <c r="I5233" i="3"/>
  <c r="I270" i="3"/>
  <c r="H270" i="3"/>
  <c r="H4033" i="3"/>
  <c r="I4033" i="3"/>
  <c r="H6579" i="3"/>
  <c r="I6579" i="3"/>
  <c r="H4479" i="3"/>
  <c r="I4479" i="3"/>
  <c r="I1148" i="3"/>
  <c r="H1148" i="3"/>
  <c r="I5258" i="3"/>
  <c r="I3715" i="3"/>
  <c r="H3715" i="3"/>
  <c r="H2672" i="3"/>
  <c r="I2672" i="3"/>
  <c r="H6245" i="3"/>
  <c r="I6245" i="3"/>
  <c r="I5026" i="3"/>
  <c r="H5026" i="3"/>
  <c r="H3237" i="3"/>
  <c r="I3237" i="3"/>
  <c r="H3231" i="3"/>
  <c r="I3231" i="3"/>
  <c r="H3601" i="3"/>
  <c r="I3601" i="3"/>
  <c r="H1146" i="3"/>
  <c r="I1146" i="3"/>
  <c r="H4477" i="3"/>
  <c r="I4477" i="3"/>
  <c r="I1171" i="3"/>
  <c r="H1171" i="3"/>
  <c r="H3655" i="3"/>
  <c r="I3655" i="3"/>
  <c r="H2356" i="3"/>
  <c r="I2356" i="3"/>
  <c r="H2132" i="3"/>
  <c r="I2132" i="3"/>
  <c r="I4330" i="3"/>
  <c r="H6529" i="3"/>
  <c r="I6529" i="3"/>
  <c r="I2852" i="3"/>
  <c r="H2852" i="3"/>
  <c r="H3128" i="3"/>
  <c r="H3923" i="3"/>
  <c r="I1919" i="3"/>
  <c r="I2882" i="3"/>
  <c r="H5954" i="3"/>
  <c r="I3607" i="3"/>
  <c r="H4231" i="3"/>
  <c r="I4026" i="3"/>
  <c r="I4559" i="3"/>
  <c r="I3976" i="3"/>
  <c r="H2461" i="3"/>
  <c r="I3969" i="3"/>
  <c r="H6033" i="3"/>
  <c r="H672" i="3"/>
  <c r="I895" i="3"/>
  <c r="H895" i="3"/>
  <c r="H1399" i="3"/>
  <c r="I1399" i="3"/>
  <c r="H3178" i="3"/>
  <c r="I3178" i="3"/>
  <c r="I997" i="3"/>
  <c r="H997" i="3"/>
  <c r="H2487" i="3"/>
  <c r="I2487" i="3"/>
  <c r="I4896" i="3"/>
  <c r="H4896" i="3"/>
  <c r="H3274" i="3"/>
  <c r="I3274" i="3"/>
  <c r="I5371" i="3"/>
  <c r="H5371" i="3"/>
  <c r="H2762" i="3"/>
  <c r="I2762" i="3"/>
  <c r="H1664" i="3"/>
  <c r="I1664" i="3"/>
  <c r="I5252" i="3"/>
  <c r="H5252" i="3"/>
  <c r="H5813" i="3"/>
  <c r="I5813" i="3"/>
  <c r="I3" i="3"/>
  <c r="H3" i="3"/>
  <c r="H143" i="3"/>
  <c r="I143" i="3"/>
  <c r="H2293" i="3"/>
  <c r="I2293" i="3"/>
  <c r="H2162" i="3"/>
  <c r="I2162" i="3"/>
  <c r="H655" i="3"/>
  <c r="I655" i="3"/>
  <c r="I6233" i="3"/>
  <c r="H6233" i="3"/>
  <c r="H2816" i="3"/>
  <c r="I2816" i="3"/>
  <c r="H1315" i="3"/>
  <c r="H4994" i="3"/>
  <c r="H1839" i="3"/>
  <c r="H6112" i="3"/>
  <c r="H1810" i="3"/>
  <c r="I1983" i="3"/>
  <c r="I3128" i="3"/>
  <c r="I3871" i="3"/>
  <c r="I2073" i="3"/>
  <c r="H2817" i="3"/>
  <c r="I1492" i="3"/>
  <c r="I2998" i="3"/>
  <c r="H2190" i="3"/>
  <c r="H3958" i="3"/>
  <c r="H874" i="3"/>
  <c r="H42" i="3"/>
  <c r="H2114" i="3"/>
  <c r="I5643" i="3"/>
  <c r="H4784" i="3"/>
  <c r="H4551" i="3"/>
  <c r="H5633" i="3"/>
  <c r="H5654" i="3"/>
  <c r="I35" i="3"/>
  <c r="I1888" i="3"/>
  <c r="H2392" i="3"/>
  <c r="I4923" i="3"/>
  <c r="I203" i="3"/>
  <c r="I1943" i="3"/>
  <c r="I2210" i="3"/>
  <c r="H2271" i="3"/>
  <c r="H2161" i="3"/>
  <c r="H5007" i="3"/>
  <c r="I3983" i="3"/>
  <c r="I4545" i="3"/>
  <c r="I2196" i="3"/>
  <c r="I3857" i="3"/>
  <c r="H3986" i="3"/>
  <c r="H3993" i="3"/>
  <c r="I4372" i="3"/>
  <c r="H4683" i="3"/>
  <c r="I4890" i="3"/>
  <c r="H6034" i="3"/>
  <c r="I2961" i="3"/>
  <c r="H4387" i="3"/>
  <c r="I34" i="3"/>
  <c r="H4688" i="3"/>
  <c r="I5123" i="3"/>
  <c r="H6059" i="3"/>
  <c r="I4940" i="3"/>
  <c r="I5316" i="3"/>
  <c r="I5667" i="3"/>
  <c r="I5624" i="3"/>
  <c r="I4981" i="3"/>
  <c r="H2752" i="3"/>
  <c r="H5746" i="3"/>
  <c r="H759" i="3"/>
  <c r="I5823" i="3"/>
  <c r="I1881" i="3"/>
  <c r="I5565" i="3"/>
  <c r="I3571" i="3"/>
  <c r="I5325" i="3"/>
  <c r="I5707" i="3"/>
  <c r="I5346" i="3"/>
  <c r="H1628" i="3"/>
  <c r="I2345" i="3"/>
  <c r="H3076" i="3"/>
  <c r="H3838" i="3"/>
  <c r="I4709" i="3"/>
  <c r="H2958" i="3"/>
  <c r="H6375" i="3"/>
  <c r="H1968" i="3"/>
  <c r="H3409" i="3"/>
  <c r="H2488" i="3"/>
  <c r="H2569" i="3"/>
  <c r="H2954" i="3"/>
  <c r="I4331" i="3"/>
  <c r="I331" i="3"/>
  <c r="I6601" i="3"/>
  <c r="I3093" i="3"/>
  <c r="I11" i="3"/>
  <c r="H3644" i="3"/>
  <c r="H2956" i="3"/>
  <c r="I6389" i="3"/>
  <c r="H5471" i="3"/>
  <c r="H6135" i="3"/>
  <c r="I3442" i="3"/>
  <c r="I3947" i="3"/>
  <c r="I2009" i="3"/>
  <c r="H4708" i="3"/>
  <c r="H3917" i="3"/>
  <c r="I5440" i="3"/>
  <c r="I856" i="3"/>
  <c r="H5593" i="3"/>
  <c r="I5714" i="3"/>
  <c r="H989" i="3"/>
  <c r="H3833" i="3"/>
  <c r="H3474" i="3"/>
  <c r="I6394" i="3"/>
  <c r="I5275" i="3"/>
  <c r="I4350" i="3"/>
  <c r="H2258" i="3"/>
  <c r="I2231" i="3"/>
  <c r="H1122" i="3"/>
  <c r="H1474" i="3"/>
  <c r="H5474" i="3"/>
  <c r="I6035" i="3"/>
  <c r="H4100" i="3"/>
  <c r="H4063" i="3"/>
  <c r="H5107" i="3"/>
  <c r="H4453" i="3"/>
  <c r="H1769" i="3"/>
  <c r="H3708" i="3"/>
  <c r="I1231" i="3"/>
  <c r="H2467" i="3"/>
  <c r="H4826" i="3"/>
  <c r="I6490" i="3"/>
  <c r="I3907" i="3"/>
  <c r="H922" i="3"/>
  <c r="I5995" i="3"/>
  <c r="H5100" i="3"/>
  <c r="I3074" i="3"/>
  <c r="H5546" i="3"/>
  <c r="I5702" i="3"/>
  <c r="I5589" i="3"/>
  <c r="I5334" i="3"/>
  <c r="H2555" i="3"/>
  <c r="I313" i="3"/>
  <c r="H5176" i="3"/>
  <c r="I2872" i="3"/>
  <c r="H1680" i="3"/>
  <c r="I5203" i="3"/>
  <c r="I959" i="3"/>
  <c r="H1082" i="3"/>
  <c r="I1084" i="3"/>
  <c r="I1091" i="3"/>
  <c r="H1625" i="3"/>
  <c r="I6011" i="3"/>
  <c r="I1443" i="3"/>
  <c r="H1491" i="3"/>
  <c r="I1467" i="3"/>
  <c r="H1442" i="3"/>
  <c r="H1473" i="3"/>
  <c r="I5481" i="3"/>
  <c r="H3840" i="3"/>
  <c r="H2563" i="3"/>
  <c r="H1599" i="3"/>
  <c r="I1747" i="3"/>
  <c r="H1737" i="3"/>
  <c r="H4364" i="3"/>
  <c r="H229" i="3"/>
  <c r="I1961" i="3"/>
  <c r="I342" i="3"/>
  <c r="I314" i="3"/>
  <c r="H227" i="3"/>
  <c r="I335" i="3"/>
  <c r="H271" i="3"/>
  <c r="I6435" i="3"/>
  <c r="I5067" i="3"/>
  <c r="H2129" i="3"/>
  <c r="H4296" i="3"/>
  <c r="I4667" i="3"/>
  <c r="I1906" i="3"/>
  <c r="I2411" i="3"/>
  <c r="I1237" i="3"/>
  <c r="I1245" i="3"/>
  <c r="H3995" i="3"/>
  <c r="I3103" i="3"/>
  <c r="I2830" i="3"/>
  <c r="H4494" i="3"/>
  <c r="I5036" i="3"/>
  <c r="I1451" i="3"/>
  <c r="I5760" i="3"/>
  <c r="I4333" i="3"/>
  <c r="H2713" i="3"/>
  <c r="I3667" i="3"/>
  <c r="H251" i="3"/>
  <c r="I254" i="3"/>
  <c r="I3214" i="3"/>
  <c r="I3186" i="3"/>
  <c r="I3131" i="3"/>
  <c r="H3695" i="3"/>
  <c r="H3674" i="3"/>
  <c r="I1996" i="3"/>
  <c r="I5364" i="3"/>
  <c r="I5374" i="3"/>
  <c r="I6066" i="3"/>
  <c r="I3631" i="3"/>
  <c r="H306" i="3"/>
  <c r="I5781" i="3"/>
  <c r="I6338" i="3"/>
  <c r="H5692" i="3"/>
  <c r="H2727" i="3"/>
  <c r="I6544" i="3"/>
  <c r="H4505" i="3"/>
  <c r="I2935" i="3"/>
  <c r="I187" i="3"/>
  <c r="H4356" i="3"/>
  <c r="I2888" i="3"/>
  <c r="I758" i="3"/>
  <c r="I827" i="3"/>
  <c r="H763" i="3"/>
  <c r="H1062" i="3"/>
  <c r="H365" i="3"/>
  <c r="H6299" i="3"/>
  <c r="I6300" i="3"/>
  <c r="I6587" i="3"/>
  <c r="H1331" i="3"/>
  <c r="H1383" i="3"/>
  <c r="I1015" i="3"/>
  <c r="H1585" i="3"/>
  <c r="I59" i="3"/>
  <c r="H1140" i="3"/>
  <c r="H6522" i="3"/>
  <c r="I402" i="3"/>
  <c r="H4535" i="3"/>
  <c r="H370" i="3"/>
  <c r="H1363" i="3"/>
  <c r="I3984" i="3"/>
  <c r="I2903" i="3"/>
  <c r="H2898" i="3"/>
  <c r="I3051" i="3"/>
  <c r="H3137" i="3"/>
  <c r="H4194" i="3"/>
  <c r="H4178" i="3"/>
  <c r="H4198" i="3"/>
  <c r="H4115" i="3"/>
  <c r="H4105" i="3"/>
  <c r="I5031" i="3"/>
  <c r="H5139" i="3"/>
  <c r="H2208" i="3"/>
  <c r="H1581" i="3"/>
  <c r="I2013" i="3"/>
  <c r="H4757" i="3"/>
  <c r="H4740" i="3"/>
  <c r="I5663" i="3"/>
  <c r="H3266" i="3"/>
  <c r="I5515" i="3"/>
  <c r="I4043" i="3"/>
  <c r="I6266" i="3"/>
  <c r="H6280" i="3"/>
  <c r="H809" i="3"/>
  <c r="H5720" i="3"/>
  <c r="I3587" i="3"/>
  <c r="I839" i="3"/>
  <c r="I1038" i="3"/>
  <c r="I1052" i="3"/>
  <c r="H4285" i="3"/>
  <c r="I1354" i="3"/>
  <c r="I6271" i="3"/>
  <c r="H6271" i="3"/>
  <c r="H5251" i="3"/>
  <c r="I5251" i="3"/>
  <c r="H5731" i="3"/>
  <c r="I5731" i="3"/>
  <c r="H973" i="3"/>
  <c r="I973" i="3"/>
  <c r="I5862" i="3"/>
  <c r="H5862" i="3"/>
  <c r="H5353" i="3"/>
  <c r="I5353" i="3"/>
  <c r="H192" i="3"/>
  <c r="I192" i="3"/>
  <c r="H1242" i="3"/>
  <c r="I1242" i="3"/>
  <c r="H3105" i="3"/>
  <c r="I3105" i="3"/>
  <c r="H5749" i="3"/>
  <c r="I5749" i="3"/>
  <c r="H5727" i="3"/>
  <c r="I5727" i="3"/>
  <c r="I1726" i="3"/>
  <c r="H1726" i="3"/>
  <c r="H4021" i="3"/>
  <c r="I4021" i="3"/>
  <c r="H2643" i="3"/>
  <c r="H3339" i="3"/>
  <c r="H2851" i="3"/>
  <c r="I1363" i="3"/>
  <c r="H2067" i="3"/>
  <c r="H2603" i="3"/>
  <c r="H3907" i="3"/>
  <c r="I1379" i="3"/>
  <c r="I1619" i="3"/>
  <c r="H4691" i="3"/>
  <c r="H6123" i="3"/>
  <c r="H6435" i="3"/>
  <c r="H4167" i="3"/>
  <c r="H2888" i="3"/>
  <c r="H6066" i="3"/>
  <c r="H3296" i="3"/>
  <c r="H1943" i="3"/>
  <c r="H2319" i="3"/>
  <c r="I6255" i="3"/>
  <c r="H3984" i="3"/>
  <c r="I1757" i="3"/>
  <c r="H6266" i="3"/>
  <c r="H4333" i="3"/>
  <c r="I5617" i="3"/>
  <c r="H6279" i="3"/>
  <c r="I80" i="3"/>
  <c r="I548" i="3"/>
  <c r="I1524" i="3"/>
  <c r="I587" i="3"/>
  <c r="H4000" i="3"/>
  <c r="H2967" i="3"/>
  <c r="I823" i="3"/>
  <c r="H5653" i="3"/>
  <c r="I5653" i="3"/>
  <c r="H310" i="3"/>
  <c r="I310" i="3"/>
  <c r="H6462" i="3"/>
  <c r="I6462" i="3"/>
  <c r="H5801" i="3"/>
  <c r="I5801" i="3"/>
  <c r="H5924" i="3"/>
  <c r="I5924" i="3"/>
  <c r="I777" i="3"/>
  <c r="H2981" i="3"/>
  <c r="I2981" i="3"/>
  <c r="H3977" i="3"/>
  <c r="I3977" i="3"/>
  <c r="I4188" i="3"/>
  <c r="H4188" i="3"/>
  <c r="H4169" i="3"/>
  <c r="I4169" i="3"/>
  <c r="I4105" i="3"/>
  <c r="H4418" i="3"/>
  <c r="I4418" i="3"/>
  <c r="I4022" i="3"/>
  <c r="H4022" i="3"/>
  <c r="I5822" i="3"/>
  <c r="H5822" i="3"/>
  <c r="H1493" i="3"/>
  <c r="I1493" i="3"/>
  <c r="H6516" i="3"/>
  <c r="I6516" i="3"/>
  <c r="H4509" i="3"/>
  <c r="I4509" i="3"/>
  <c r="H599" i="3"/>
  <c r="I599" i="3"/>
  <c r="H3146" i="3"/>
  <c r="I3146" i="3"/>
  <c r="H1443" i="3"/>
  <c r="H1747" i="3"/>
  <c r="H2755" i="3"/>
  <c r="H307" i="3"/>
  <c r="H827" i="3"/>
  <c r="H4827" i="3"/>
  <c r="H5067" i="3"/>
  <c r="I4338" i="3"/>
  <c r="I1479" i="3"/>
  <c r="I3503" i="3"/>
  <c r="I6320" i="3"/>
  <c r="H346" i="3"/>
  <c r="I754" i="3"/>
  <c r="I4178" i="3"/>
  <c r="H2210" i="3"/>
  <c r="H5010" i="3"/>
  <c r="I5692" i="3"/>
  <c r="H5316" i="3"/>
  <c r="I4505" i="3"/>
  <c r="I2129" i="3"/>
  <c r="H2353" i="3"/>
  <c r="I6273" i="3"/>
  <c r="H4057" i="3"/>
  <c r="I4057" i="3"/>
  <c r="I4353" i="3"/>
  <c r="H4353" i="3"/>
  <c r="H47" i="3"/>
  <c r="I47" i="3"/>
  <c r="I5681" i="3"/>
  <c r="H5681" i="3"/>
  <c r="H87" i="3"/>
  <c r="I87" i="3"/>
  <c r="I4828" i="3"/>
  <c r="H4828" i="3"/>
  <c r="H1220" i="3"/>
  <c r="I1220" i="3"/>
  <c r="H2503" i="3"/>
  <c r="I2503" i="3"/>
  <c r="H1057" i="3"/>
  <c r="I1057" i="3"/>
  <c r="H4421" i="3"/>
  <c r="I4421" i="3"/>
  <c r="H3663" i="3"/>
  <c r="I3663" i="3"/>
  <c r="H3754" i="3"/>
  <c r="I3754" i="3"/>
  <c r="H5650" i="3"/>
  <c r="I5650" i="3"/>
  <c r="H5045" i="3"/>
  <c r="I5045" i="3"/>
  <c r="H6604" i="3"/>
  <c r="I6604" i="3"/>
  <c r="I1156" i="3"/>
  <c r="H5623" i="3"/>
  <c r="I5623" i="3"/>
  <c r="H4096" i="3"/>
  <c r="I4096" i="3"/>
  <c r="H6011" i="3"/>
  <c r="H34" i="3"/>
  <c r="H2143" i="3"/>
  <c r="I5106" i="3"/>
  <c r="H3631" i="3"/>
  <c r="I5039" i="3"/>
  <c r="H3648" i="3"/>
  <c r="H5823" i="3"/>
  <c r="I1546" i="3"/>
  <c r="I1762" i="3"/>
  <c r="I3714" i="3"/>
  <c r="H3056" i="3"/>
  <c r="I1473" i="3"/>
  <c r="H3657" i="3"/>
  <c r="H5187" i="3"/>
  <c r="H5560" i="3"/>
  <c r="I5560" i="3"/>
  <c r="H5919" i="3"/>
  <c r="I5919" i="3"/>
  <c r="H716" i="3"/>
  <c r="I716" i="3"/>
  <c r="I1502" i="3"/>
  <c r="H1502" i="3"/>
  <c r="I5060" i="3"/>
  <c r="H5060" i="3"/>
  <c r="H610" i="3"/>
  <c r="I610" i="3"/>
  <c r="H362" i="3"/>
  <c r="I362" i="3"/>
  <c r="H6428" i="3"/>
  <c r="I6428" i="3"/>
  <c r="I6340" i="3"/>
  <c r="H6340" i="3"/>
  <c r="H6395" i="3"/>
  <c r="I4378" i="3"/>
  <c r="H2835" i="3"/>
  <c r="H5203" i="3"/>
  <c r="H5891" i="3"/>
  <c r="H6587" i="3"/>
  <c r="I306" i="3"/>
  <c r="I2168" i="3"/>
  <c r="I2728" i="3"/>
  <c r="H314" i="3"/>
  <c r="I1082" i="3"/>
  <c r="I3159" i="3"/>
  <c r="I242" i="3"/>
  <c r="H1738" i="3"/>
  <c r="H2903" i="3"/>
  <c r="I5887" i="3"/>
  <c r="I4194" i="3"/>
  <c r="H5525" i="3"/>
  <c r="I4826" i="3"/>
  <c r="I1599" i="3"/>
  <c r="I1581" i="3"/>
  <c r="I4613" i="3"/>
  <c r="I4740" i="3"/>
  <c r="H284" i="3"/>
  <c r="I3172" i="3"/>
  <c r="H5953" i="3"/>
  <c r="I1585" i="3"/>
  <c r="H3926" i="3"/>
  <c r="H5374" i="3"/>
  <c r="H5599" i="3"/>
  <c r="I5599" i="3"/>
  <c r="H2720" i="3"/>
  <c r="I2720" i="3"/>
  <c r="H327" i="3"/>
  <c r="I327" i="3"/>
  <c r="H5603" i="3"/>
  <c r="I5603" i="3"/>
  <c r="H1758" i="3"/>
  <c r="I1758" i="3"/>
  <c r="H4417" i="3"/>
  <c r="I4417" i="3"/>
  <c r="H1438" i="3"/>
  <c r="I1438" i="3"/>
  <c r="H4645" i="3"/>
  <c r="I4645" i="3"/>
  <c r="I6324" i="3"/>
  <c r="H6324" i="3"/>
  <c r="H6318" i="3"/>
  <c r="I6318" i="3"/>
  <c r="I4966" i="3"/>
  <c r="H4966" i="3"/>
  <c r="I1325" i="3"/>
  <c r="H1325" i="3"/>
  <c r="H1591" i="3"/>
  <c r="I1591" i="3"/>
  <c r="H5873" i="3"/>
  <c r="I5873" i="3"/>
  <c r="H1560" i="3"/>
  <c r="I1560" i="3"/>
  <c r="H1451" i="3"/>
  <c r="I2467" i="3"/>
  <c r="H3195" i="3"/>
  <c r="H6211" i="3"/>
  <c r="H6419" i="3"/>
  <c r="I2898" i="3"/>
  <c r="I4426" i="3"/>
  <c r="I5176" i="3"/>
  <c r="I370" i="3"/>
  <c r="I2727" i="3"/>
  <c r="I2208" i="3"/>
  <c r="I3200" i="3"/>
  <c r="I3840" i="3"/>
  <c r="H4354" i="3"/>
  <c r="I4535" i="3"/>
  <c r="I834" i="3"/>
  <c r="I3695" i="3"/>
  <c r="I2693" i="3"/>
  <c r="H5663" i="3"/>
  <c r="I4574" i="3"/>
  <c r="H4574" i="3"/>
  <c r="H5688" i="3"/>
  <c r="I5688" i="3"/>
  <c r="I5855" i="3"/>
  <c r="H5855" i="3"/>
  <c r="H1482" i="3"/>
  <c r="I1482" i="3"/>
  <c r="H5444" i="3"/>
  <c r="I5444" i="3"/>
  <c r="H286" i="3"/>
  <c r="I286" i="3"/>
  <c r="H2924" i="3"/>
  <c r="I2924" i="3"/>
  <c r="H3921" i="3"/>
  <c r="I3921" i="3"/>
  <c r="H4786" i="3"/>
  <c r="I4786" i="3"/>
  <c r="H5034" i="3"/>
  <c r="I5034" i="3"/>
  <c r="I305" i="3"/>
  <c r="H305" i="3"/>
  <c r="H2710" i="3"/>
  <c r="I2710" i="3"/>
  <c r="H1445" i="3"/>
  <c r="I1445" i="3"/>
  <c r="I5373" i="3"/>
  <c r="H5373" i="3"/>
  <c r="I6337" i="3"/>
  <c r="H6337" i="3"/>
  <c r="H768" i="3"/>
  <c r="I768" i="3"/>
  <c r="H1313" i="3"/>
  <c r="I1313" i="3"/>
  <c r="H1374" i="3"/>
  <c r="I1374" i="3"/>
  <c r="H1391" i="3"/>
  <c r="I1391" i="3"/>
  <c r="I3197" i="3"/>
  <c r="H3197" i="3"/>
  <c r="H1667" i="3"/>
  <c r="I2147" i="3"/>
  <c r="H2331" i="3"/>
  <c r="H3051" i="3"/>
  <c r="H187" i="3"/>
  <c r="H627" i="3"/>
  <c r="H3891" i="3"/>
  <c r="H5123" i="3"/>
  <c r="H5667" i="3"/>
  <c r="H3802" i="3"/>
  <c r="I5007" i="3"/>
  <c r="H6493" i="3"/>
  <c r="H5610" i="3"/>
  <c r="I2677" i="3"/>
  <c r="I6522" i="3"/>
  <c r="H254" i="3"/>
  <c r="I4364" i="3"/>
  <c r="H720" i="3"/>
  <c r="H5171" i="3"/>
  <c r="H5632" i="3"/>
  <c r="H4170" i="3"/>
  <c r="H1501" i="3"/>
  <c r="I1600" i="3"/>
  <c r="I4983" i="3"/>
  <c r="I5757" i="3"/>
  <c r="H1306" i="3"/>
  <c r="H4770" i="3"/>
  <c r="I3739" i="3"/>
  <c r="H5847" i="3"/>
  <c r="I5819" i="3"/>
  <c r="H4997" i="3"/>
  <c r="H445" i="3"/>
  <c r="H4589" i="3"/>
  <c r="H2784" i="3"/>
  <c r="H3098" i="3"/>
  <c r="H5228" i="3"/>
  <c r="I4759" i="3"/>
  <c r="H5036" i="3"/>
  <c r="H1467" i="3"/>
  <c r="H402" i="3"/>
  <c r="H3653" i="3"/>
  <c r="I896" i="3"/>
  <c r="H2897" i="3"/>
  <c r="H6544" i="3"/>
  <c r="I3266" i="3"/>
  <c r="H4310" i="3"/>
  <c r="H3044" i="3"/>
  <c r="H3821" i="3"/>
  <c r="I4356" i="3"/>
  <c r="H4305" i="3"/>
  <c r="I1850" i="3"/>
  <c r="H1551" i="3"/>
  <c r="I5774" i="3"/>
  <c r="H5056" i="3"/>
  <c r="H3214" i="3"/>
  <c r="H76" i="3"/>
  <c r="I2713" i="3"/>
  <c r="H2013" i="3"/>
  <c r="I6313" i="3"/>
  <c r="I2348" i="3"/>
  <c r="H4232" i="3"/>
  <c r="I4232" i="3"/>
  <c r="H2002" i="3"/>
  <c r="I2002" i="3"/>
  <c r="I2014" i="3"/>
  <c r="H2014" i="3"/>
  <c r="H591" i="3"/>
  <c r="I591" i="3"/>
  <c r="I6465" i="3"/>
  <c r="H6465" i="3"/>
  <c r="H612" i="3"/>
  <c r="I612" i="3"/>
  <c r="I6209" i="3"/>
  <c r="H2805" i="3"/>
  <c r="I2805" i="3"/>
  <c r="H3722" i="3"/>
  <c r="I3722" i="3"/>
  <c r="H3876" i="3"/>
  <c r="I3876" i="3"/>
  <c r="H1695" i="3"/>
  <c r="I1695" i="3"/>
  <c r="H4368" i="3"/>
  <c r="I4368" i="3"/>
  <c r="H5505" i="3"/>
  <c r="I5505" i="3"/>
  <c r="H5426" i="3"/>
  <c r="I5426" i="3"/>
  <c r="H695" i="3"/>
  <c r="I695" i="3"/>
  <c r="H5303" i="3"/>
  <c r="I5303" i="3"/>
  <c r="I5294" i="3"/>
  <c r="H5294" i="3"/>
  <c r="I6430" i="3"/>
  <c r="H6430" i="3"/>
  <c r="H4218" i="3"/>
  <c r="I4218" i="3"/>
  <c r="H1456" i="3"/>
  <c r="I1456" i="3"/>
  <c r="H1612" i="3"/>
  <c r="I1612" i="3"/>
  <c r="H724" i="3"/>
  <c r="I724" i="3"/>
  <c r="H5631" i="3"/>
  <c r="H5638" i="3"/>
  <c r="I5638" i="3"/>
  <c r="I5574" i="3"/>
  <c r="H5574" i="3"/>
  <c r="H5717" i="3"/>
  <c r="I5717" i="3"/>
  <c r="H4256" i="3"/>
  <c r="I4256" i="3"/>
  <c r="I382" i="3"/>
  <c r="H382" i="3"/>
  <c r="H1084" i="3"/>
  <c r="I5938" i="3"/>
  <c r="H5938" i="3"/>
  <c r="I122" i="3"/>
  <c r="H122" i="3"/>
  <c r="H6484" i="3"/>
  <c r="I6484" i="3"/>
  <c r="H5375" i="3"/>
  <c r="I5375" i="3"/>
  <c r="H4046" i="3"/>
  <c r="I4046" i="3"/>
  <c r="H5840" i="3"/>
  <c r="I5840" i="3"/>
  <c r="H4253" i="3"/>
  <c r="I4253" i="3"/>
  <c r="H2680" i="3"/>
  <c r="I2680" i="3"/>
  <c r="H5234" i="3"/>
  <c r="I5234" i="3"/>
  <c r="I5164" i="3"/>
  <c r="H5164" i="3"/>
  <c r="I6284" i="3"/>
  <c r="H6284" i="3"/>
  <c r="I3340" i="3"/>
  <c r="H3340" i="3"/>
  <c r="I6347" i="3"/>
  <c r="H6347" i="3"/>
  <c r="H4587" i="3"/>
  <c r="I2415" i="3"/>
  <c r="I4688" i="3"/>
  <c r="I1674" i="3"/>
  <c r="H399" i="3"/>
  <c r="I3912" i="3"/>
  <c r="I322" i="3"/>
  <c r="H1042" i="3"/>
  <c r="I2784" i="3"/>
  <c r="H4890" i="3"/>
  <c r="I3720" i="3"/>
  <c r="I3653" i="3"/>
  <c r="I4305" i="3"/>
  <c r="H3161" i="3"/>
  <c r="I2668" i="3"/>
  <c r="I3044" i="3"/>
  <c r="I3260" i="3"/>
  <c r="I4140" i="3"/>
  <c r="H4876" i="3"/>
  <c r="H5334" i="3"/>
  <c r="I4779" i="3"/>
  <c r="H3930" i="3"/>
  <c r="I3930" i="3"/>
  <c r="I1965" i="3"/>
  <c r="H1965" i="3"/>
  <c r="H3316" i="3"/>
  <c r="I3316" i="3"/>
  <c r="H3872" i="3"/>
  <c r="I3872" i="3"/>
  <c r="H3753" i="3"/>
  <c r="I3753" i="3"/>
  <c r="I723" i="3"/>
  <c r="H723" i="3"/>
  <c r="H5967" i="3"/>
  <c r="I5967" i="3"/>
  <c r="H2285" i="3"/>
  <c r="I2285" i="3"/>
  <c r="H4677" i="3"/>
  <c r="I4677" i="3"/>
  <c r="I5506" i="3"/>
  <c r="H28" i="3"/>
  <c r="I28" i="3"/>
  <c r="H5306" i="3"/>
  <c r="I5306" i="3"/>
  <c r="H3499" i="3"/>
  <c r="H3947" i="3"/>
  <c r="I5170" i="3"/>
  <c r="H6162" i="3"/>
  <c r="I1992" i="3"/>
  <c r="I6506" i="3"/>
  <c r="I6034" i="3"/>
  <c r="H4399" i="3"/>
  <c r="I3736" i="3"/>
  <c r="I2007" i="3"/>
  <c r="I2296" i="3"/>
  <c r="I3968" i="3"/>
  <c r="H1855" i="3"/>
  <c r="I5829" i="3"/>
  <c r="I3783" i="3"/>
  <c r="I2314" i="3"/>
  <c r="I4978" i="3"/>
  <c r="I519" i="3"/>
  <c r="H3471" i="3"/>
  <c r="I5631" i="3"/>
  <c r="H981" i="3"/>
  <c r="I3917" i="3"/>
  <c r="H5524" i="3"/>
  <c r="I4708" i="3"/>
  <c r="I4820" i="3"/>
  <c r="H3817" i="3"/>
  <c r="I4657" i="3"/>
  <c r="I913" i="3"/>
  <c r="H2473" i="3"/>
  <c r="H4246" i="3"/>
  <c r="H5912" i="3"/>
  <c r="I1194" i="3"/>
  <c r="H1194" i="3"/>
  <c r="H167" i="3"/>
  <c r="I167" i="3"/>
  <c r="H1570" i="3"/>
  <c r="I1570" i="3"/>
  <c r="H2207" i="3"/>
  <c r="I2207" i="3"/>
  <c r="I2626" i="3"/>
  <c r="H2626" i="3"/>
  <c r="I5473" i="3"/>
  <c r="H5473" i="3"/>
  <c r="H6228" i="3"/>
  <c r="I6228" i="3"/>
  <c r="H2965" i="3"/>
  <c r="I2965" i="3"/>
  <c r="H3005" i="3"/>
  <c r="I3005" i="3"/>
  <c r="I30" i="3"/>
  <c r="H3283" i="3"/>
  <c r="H5963" i="3"/>
  <c r="I2514" i="3"/>
  <c r="I2088" i="3"/>
  <c r="I2584" i="3"/>
  <c r="H5624" i="3"/>
  <c r="H3314" i="3"/>
  <c r="I4954" i="3"/>
  <c r="H3535" i="3"/>
  <c r="H5362" i="3"/>
  <c r="I3599" i="3"/>
  <c r="I6244" i="3"/>
  <c r="H4940" i="3"/>
  <c r="I5305" i="3"/>
  <c r="H3233" i="3"/>
  <c r="I2897" i="3"/>
  <c r="H5702" i="3"/>
  <c r="I2476" i="3"/>
  <c r="H6351" i="3"/>
  <c r="H816" i="3"/>
  <c r="H1048" i="3"/>
  <c r="I4290" i="3"/>
  <c r="H4290" i="3"/>
  <c r="H4951" i="3"/>
  <c r="I4951" i="3"/>
  <c r="H736" i="3"/>
  <c r="I736" i="3"/>
  <c r="H5842" i="3"/>
  <c r="I5842" i="3"/>
  <c r="H4040" i="3"/>
  <c r="I4040" i="3"/>
  <c r="H4258" i="3"/>
  <c r="I4258" i="3"/>
  <c r="H3941" i="3"/>
  <c r="I3941" i="3"/>
  <c r="H4781" i="3"/>
  <c r="I4781" i="3"/>
  <c r="H463" i="3"/>
  <c r="I463" i="3"/>
  <c r="H1701" i="3"/>
  <c r="I1701" i="3"/>
  <c r="H1273" i="3"/>
  <c r="I1273" i="3"/>
  <c r="H1828" i="3"/>
  <c r="I1828" i="3"/>
  <c r="I6603" i="3"/>
  <c r="H6603" i="3"/>
  <c r="H2546" i="3"/>
  <c r="I2546" i="3"/>
  <c r="H936" i="3"/>
  <c r="I936" i="3"/>
  <c r="I886" i="3"/>
  <c r="H886" i="3"/>
  <c r="H887" i="3"/>
  <c r="I887" i="3"/>
  <c r="H1004" i="3"/>
  <c r="I1004" i="3"/>
  <c r="H2567" i="3"/>
  <c r="I2567" i="3"/>
  <c r="H6365" i="3"/>
  <c r="I6365" i="3"/>
  <c r="H3703" i="3"/>
  <c r="I3703" i="3"/>
  <c r="H1505" i="3"/>
  <c r="I1505" i="3"/>
  <c r="H2448" i="3"/>
  <c r="I2448" i="3"/>
  <c r="H3332" i="3"/>
  <c r="I3332" i="3"/>
  <c r="H3975" i="3"/>
  <c r="I3975" i="3"/>
  <c r="H5184" i="3"/>
  <c r="I5184" i="3"/>
  <c r="H6184" i="3"/>
  <c r="I6184" i="3"/>
  <c r="I3257" i="3"/>
  <c r="H3257" i="3"/>
  <c r="H1604" i="3"/>
  <c r="I1604" i="3"/>
  <c r="H3590" i="3"/>
  <c r="I3590" i="3"/>
  <c r="H1318" i="3"/>
  <c r="I1318" i="3"/>
  <c r="H4294" i="3"/>
  <c r="I4294" i="3"/>
  <c r="I288" i="3"/>
  <c r="H288" i="3"/>
  <c r="H4160" i="3"/>
  <c r="I4160" i="3"/>
  <c r="I1542" i="3"/>
  <c r="H1542" i="3"/>
  <c r="I4887" i="3"/>
  <c r="H4887" i="3"/>
  <c r="H3120" i="3"/>
  <c r="I3120" i="3"/>
  <c r="I5634" i="3"/>
  <c r="H5634" i="3"/>
  <c r="I2770" i="3"/>
  <c r="H2770" i="3"/>
  <c r="I2904" i="3"/>
  <c r="H2904" i="3"/>
  <c r="H434" i="3"/>
  <c r="I434" i="3"/>
  <c r="H855" i="3"/>
  <c r="I855" i="3"/>
  <c r="H2275" i="3"/>
  <c r="H203" i="3"/>
  <c r="H4203" i="3"/>
  <c r="H4731" i="3"/>
  <c r="H5219" i="3"/>
  <c r="H6363" i="3"/>
  <c r="I6368" i="3"/>
  <c r="H5223" i="3"/>
  <c r="I1007" i="3"/>
  <c r="I4629" i="3"/>
  <c r="H1469" i="3"/>
  <c r="I3989" i="3"/>
  <c r="I3109" i="3"/>
  <c r="H3705" i="3"/>
  <c r="I5593" i="3"/>
  <c r="I6569" i="3"/>
  <c r="I3924" i="3"/>
  <c r="H4491" i="3"/>
  <c r="I5776" i="3"/>
  <c r="H6313" i="3"/>
  <c r="H5774" i="3"/>
  <c r="H6502" i="3"/>
  <c r="I1768" i="3"/>
  <c r="H1070" i="3"/>
  <c r="I1070" i="3"/>
  <c r="I1166" i="3"/>
  <c r="H1166" i="3"/>
  <c r="H1724" i="3"/>
  <c r="H2310" i="3"/>
  <c r="I2310" i="3"/>
  <c r="I6602" i="3"/>
  <c r="I1409" i="3"/>
  <c r="I1737" i="3"/>
  <c r="H5481" i="3"/>
  <c r="I76" i="3"/>
  <c r="I1460" i="3"/>
  <c r="I1400" i="3"/>
  <c r="I17" i="3"/>
  <c r="I646" i="3"/>
  <c r="I5056" i="3"/>
  <c r="I1551" i="3"/>
  <c r="H665" i="3"/>
  <c r="I324" i="3"/>
  <c r="H313" i="3"/>
  <c r="I1724" i="3"/>
  <c r="H165" i="3"/>
  <c r="I1662" i="3"/>
  <c r="H6077" i="3"/>
  <c r="H6405" i="3"/>
  <c r="H4649" i="3"/>
  <c r="I3451" i="3"/>
  <c r="I4267" i="3"/>
  <c r="H474" i="3"/>
  <c r="I2803" i="3"/>
  <c r="H1928" i="3"/>
  <c r="I976" i="3"/>
  <c r="H4466" i="3"/>
  <c r="H1608" i="3"/>
  <c r="H962" i="3"/>
  <c r="I4082" i="3"/>
  <c r="I3130" i="3"/>
  <c r="I1579" i="3"/>
  <c r="H6491" i="3"/>
  <c r="I2871" i="3"/>
  <c r="I355" i="3"/>
  <c r="I2099" i="3"/>
  <c r="I2030" i="3"/>
  <c r="H1631" i="3"/>
  <c r="H2999" i="3"/>
  <c r="H2856" i="3"/>
  <c r="H4371" i="3"/>
  <c r="H4019" i="3"/>
  <c r="I4018" i="3"/>
  <c r="I1671" i="3"/>
  <c r="I1679" i="3"/>
  <c r="H138" i="3"/>
  <c r="H5490" i="3"/>
  <c r="H6146" i="3"/>
  <c r="H2975" i="3"/>
  <c r="H2962" i="3"/>
  <c r="H162" i="3"/>
  <c r="I2053" i="3"/>
  <c r="I1923" i="3"/>
  <c r="H4947" i="3"/>
  <c r="H6107" i="3"/>
  <c r="H4282" i="3"/>
  <c r="H5148" i="3"/>
  <c r="I5468" i="3"/>
  <c r="I2752" i="3"/>
  <c r="I3640" i="3"/>
  <c r="H2642" i="3"/>
  <c r="H5332" i="3"/>
  <c r="H4634" i="3"/>
  <c r="I5668" i="3"/>
  <c r="H5562" i="3"/>
  <c r="I5711" i="3"/>
  <c r="H5541" i="3"/>
  <c r="H1155" i="3"/>
  <c r="I5907" i="3"/>
  <c r="I5893" i="3"/>
  <c r="H4698" i="3"/>
  <c r="H1752" i="3"/>
  <c r="H3731" i="3"/>
  <c r="H3621" i="3"/>
  <c r="I5858" i="3"/>
  <c r="H1223" i="3"/>
  <c r="I1483" i="3"/>
  <c r="H1489" i="3"/>
  <c r="H1425" i="3"/>
  <c r="I1375" i="3"/>
  <c r="H6599" i="3"/>
  <c r="H5245" i="3"/>
  <c r="H5501" i="3"/>
  <c r="I6006" i="3"/>
  <c r="H4327" i="3"/>
  <c r="I4799" i="3"/>
  <c r="I4863" i="3"/>
  <c r="I6175" i="3"/>
  <c r="H3423" i="3"/>
  <c r="I2523" i="3"/>
  <c r="H6490" i="3"/>
  <c r="H3878" i="3"/>
  <c r="H354" i="3"/>
  <c r="H5995" i="3"/>
  <c r="I3827" i="3"/>
  <c r="I1191" i="3"/>
  <c r="I240" i="3"/>
  <c r="I947" i="3"/>
  <c r="H509" i="3"/>
  <c r="H2365" i="3"/>
  <c r="I3986" i="3"/>
  <c r="H1782" i="3"/>
  <c r="I4351" i="3"/>
  <c r="H5096" i="3"/>
  <c r="I5160" i="3"/>
  <c r="I5224" i="3"/>
  <c r="I6392" i="3"/>
  <c r="I3559" i="3"/>
  <c r="I4285" i="3"/>
  <c r="H5032" i="3"/>
  <c r="I4706" i="3"/>
  <c r="I1680" i="3"/>
  <c r="I1949" i="3"/>
  <c r="H1961" i="3"/>
  <c r="I1593" i="3"/>
  <c r="I4115" i="3"/>
  <c r="H4" i="3"/>
  <c r="I3133" i="3"/>
  <c r="H342" i="3"/>
  <c r="I5081" i="3"/>
  <c r="H2830" i="3"/>
  <c r="H1015" i="3"/>
  <c r="I3995" i="3"/>
  <c r="I4757" i="3"/>
  <c r="H3477" i="3"/>
  <c r="I6109" i="3"/>
  <c r="I6173" i="3"/>
  <c r="H6237" i="3"/>
  <c r="I4513" i="3"/>
  <c r="I6078" i="3"/>
  <c r="H4003" i="3"/>
  <c r="I4493" i="3"/>
  <c r="H5695" i="3"/>
  <c r="H335" i="3"/>
  <c r="I450" i="3"/>
  <c r="I465" i="3"/>
  <c r="H926" i="3"/>
  <c r="H2807" i="3"/>
  <c r="H86" i="3"/>
  <c r="I168" i="3"/>
  <c r="H5364" i="3"/>
  <c r="I4451" i="3"/>
  <c r="H5104" i="3"/>
  <c r="I3220" i="3"/>
  <c r="H5451" i="3"/>
  <c r="H4228" i="3"/>
  <c r="H1245" i="3"/>
  <c r="H5781" i="3"/>
  <c r="H3103" i="3"/>
  <c r="I1100" i="3"/>
  <c r="I4198" i="3"/>
  <c r="I1625" i="3"/>
  <c r="I227" i="3"/>
  <c r="H2068" i="3"/>
  <c r="H3350" i="3"/>
  <c r="I1039" i="3"/>
  <c r="I763" i="3"/>
  <c r="I5546" i="3"/>
  <c r="I5100" i="3"/>
  <c r="I4387" i="3"/>
  <c r="H6338" i="3"/>
  <c r="H4044" i="3"/>
  <c r="I3563" i="3"/>
  <c r="I5139" i="3"/>
  <c r="H6181" i="3"/>
  <c r="H6022" i="3"/>
  <c r="H6191" i="3"/>
  <c r="I3996" i="3"/>
  <c r="H2018" i="3"/>
  <c r="H5898" i="3"/>
  <c r="I4705" i="3"/>
  <c r="H452" i="3"/>
  <c r="I432" i="3"/>
  <c r="I407" i="3"/>
  <c r="H1002" i="3"/>
  <c r="I176" i="3"/>
  <c r="H1237" i="3"/>
  <c r="H2553" i="3"/>
  <c r="I922" i="3"/>
  <c r="I4605" i="3"/>
  <c r="H690" i="3"/>
  <c r="I6299" i="3"/>
  <c r="H5589" i="3"/>
  <c r="I2466" i="3"/>
  <c r="H3074" i="3"/>
  <c r="I3273" i="3"/>
  <c r="I3674" i="3"/>
  <c r="I5533" i="3"/>
  <c r="I4494" i="3"/>
  <c r="I6481" i="3"/>
  <c r="I1140" i="3"/>
  <c r="H6300" i="3"/>
  <c r="I4363" i="3"/>
  <c r="H5383" i="3"/>
  <c r="I6283" i="3"/>
  <c r="I2071" i="3"/>
  <c r="I5163" i="3"/>
  <c r="I1331" i="3"/>
  <c r="H4350" i="3"/>
  <c r="I1739" i="3"/>
  <c r="I5899" i="3"/>
  <c r="I6459" i="3"/>
  <c r="I4443" i="3"/>
  <c r="I215" i="3"/>
  <c r="H5015" i="3"/>
  <c r="I2674" i="3"/>
  <c r="I1597" i="3"/>
  <c r="I4849" i="3"/>
  <c r="I3752" i="3"/>
  <c r="H4053" i="3"/>
  <c r="I1558" i="3"/>
  <c r="H1127" i="3"/>
  <c r="I4802" i="3"/>
  <c r="I3247" i="3"/>
  <c r="H3270" i="3"/>
  <c r="H2019" i="3"/>
  <c r="I74" i="3"/>
  <c r="I2799" i="3"/>
  <c r="I3993" i="3"/>
  <c r="I3902" i="3"/>
  <c r="H784" i="3"/>
  <c r="I4660" i="3"/>
  <c r="H808" i="3"/>
  <c r="H4002" i="3"/>
  <c r="I1944" i="3"/>
  <c r="H4560" i="3"/>
  <c r="H1923" i="3"/>
  <c r="H3387" i="3"/>
  <c r="H4642" i="3"/>
  <c r="I2218" i="3"/>
  <c r="I3740" i="3"/>
  <c r="H6070" i="3"/>
  <c r="H206" i="3"/>
  <c r="H1829" i="3"/>
  <c r="H3786" i="3"/>
  <c r="H4788" i="3"/>
  <c r="H2889" i="3"/>
  <c r="I1684" i="3"/>
  <c r="H2055" i="3"/>
  <c r="H1927" i="3"/>
  <c r="I1521" i="3"/>
  <c r="H2738" i="3"/>
  <c r="H351" i="3"/>
  <c r="I4051" i="3"/>
  <c r="I2064" i="3"/>
  <c r="H4837" i="3"/>
  <c r="I5491" i="3"/>
  <c r="H5886" i="3"/>
  <c r="H6012" i="3"/>
  <c r="H2395" i="3"/>
  <c r="H2099" i="3"/>
  <c r="H2827" i="3"/>
  <c r="H2823" i="3"/>
  <c r="H3619" i="3"/>
  <c r="I3892" i="3"/>
  <c r="I2551" i="3"/>
  <c r="H2456" i="3"/>
  <c r="H3319" i="3"/>
  <c r="I4583" i="3"/>
  <c r="H5427" i="3"/>
  <c r="H4210" i="3"/>
  <c r="I2040" i="3"/>
  <c r="H498" i="3"/>
  <c r="H5914" i="3"/>
  <c r="H5857" i="3"/>
  <c r="H5871" i="3"/>
  <c r="H2089" i="3"/>
  <c r="I3593" i="3"/>
  <c r="H91" i="3"/>
  <c r="H141" i="3"/>
  <c r="H706" i="3"/>
  <c r="I1121" i="3"/>
  <c r="H1120" i="3"/>
  <c r="H1090" i="3"/>
  <c r="H1107" i="3"/>
  <c r="I1499" i="3"/>
  <c r="H1410" i="3"/>
  <c r="I4659" i="3"/>
  <c r="H3227" i="3"/>
  <c r="I2322" i="3"/>
  <c r="I4362" i="3"/>
  <c r="H3167" i="3"/>
  <c r="H3336" i="3"/>
  <c r="H1816" i="3"/>
  <c r="I3037" i="3"/>
  <c r="I945" i="3"/>
  <c r="H1881" i="3"/>
  <c r="H3377" i="3"/>
  <c r="I500" i="3"/>
  <c r="I844" i="3"/>
  <c r="I5859" i="3"/>
  <c r="H2033" i="3"/>
  <c r="H4060" i="3"/>
  <c r="H293" i="3"/>
  <c r="H4500" i="3"/>
  <c r="H3025" i="3"/>
  <c r="I4931" i="3"/>
  <c r="H4052" i="3"/>
  <c r="I5566" i="3"/>
  <c r="H2139" i="3"/>
  <c r="H2371" i="3"/>
  <c r="H2523" i="3"/>
  <c r="H3523" i="3"/>
  <c r="H3827" i="3"/>
  <c r="H4171" i="3"/>
  <c r="I2938" i="3"/>
  <c r="H5461" i="3"/>
  <c r="I6007" i="3"/>
  <c r="I5847" i="3"/>
  <c r="H4007" i="3"/>
  <c r="I3359" i="3"/>
  <c r="H2941" i="3"/>
  <c r="H5929" i="3"/>
  <c r="H3366" i="3"/>
  <c r="I3643" i="3"/>
  <c r="I5868" i="3"/>
  <c r="H350" i="3"/>
  <c r="I6487" i="3"/>
  <c r="H3223" i="3"/>
  <c r="H3483" i="3"/>
  <c r="H3505" i="3"/>
  <c r="I3554" i="3"/>
  <c r="I3323" i="3"/>
  <c r="I6165" i="3"/>
  <c r="H440" i="3"/>
  <c r="I457" i="3"/>
  <c r="I4327" i="3"/>
  <c r="H3165" i="3"/>
  <c r="H5565" i="3"/>
  <c r="H1323" i="3"/>
  <c r="H6355" i="3"/>
  <c r="I5298" i="3"/>
  <c r="H5970" i="3"/>
  <c r="H3011" i="3"/>
  <c r="H3739" i="3"/>
  <c r="I2019" i="3"/>
  <c r="I4296" i="3"/>
  <c r="I4578" i="3"/>
  <c r="I2170" i="3"/>
  <c r="H2506" i="3"/>
  <c r="H4351" i="3"/>
  <c r="H1010" i="3"/>
  <c r="I6391" i="3"/>
  <c r="H471" i="3"/>
  <c r="I6113" i="3"/>
  <c r="H4646" i="3"/>
  <c r="I3236" i="3"/>
  <c r="I452" i="3"/>
  <c r="H5074" i="3"/>
  <c r="H2203" i="3"/>
  <c r="H4922" i="3"/>
  <c r="I5138" i="3"/>
  <c r="I2529" i="3"/>
  <c r="I4461" i="3"/>
  <c r="H1147" i="3"/>
  <c r="H1499" i="3"/>
  <c r="H2627" i="3"/>
  <c r="H3275" i="3"/>
  <c r="H3843" i="3"/>
  <c r="I2395" i="3"/>
  <c r="H4875" i="3"/>
  <c r="H5235" i="3"/>
  <c r="H5907" i="3"/>
  <c r="I4698" i="3"/>
  <c r="I162" i="3"/>
  <c r="I498" i="3"/>
  <c r="I4551" i="3"/>
  <c r="I5055" i="3"/>
  <c r="I562" i="3"/>
  <c r="I5562" i="3"/>
  <c r="I5576" i="3"/>
  <c r="I4453" i="3"/>
  <c r="H6478" i="3"/>
  <c r="I4507" i="3"/>
  <c r="H5495" i="3"/>
  <c r="I6562" i="3"/>
  <c r="H5310" i="3"/>
  <c r="I4800" i="3"/>
  <c r="I6488" i="3"/>
  <c r="H3990" i="3"/>
  <c r="I4075" i="3"/>
  <c r="H1454" i="3"/>
  <c r="H1495" i="3"/>
  <c r="I5878" i="3"/>
  <c r="H3908" i="3"/>
  <c r="I6474" i="3"/>
  <c r="I5148" i="3"/>
  <c r="H6543" i="3"/>
  <c r="H3219" i="3"/>
  <c r="H5647" i="3"/>
  <c r="H919" i="3"/>
  <c r="I3285" i="3"/>
  <c r="I2975" i="3"/>
  <c r="H701" i="3"/>
  <c r="I6195" i="3"/>
  <c r="I1523" i="3"/>
  <c r="H4659" i="3"/>
  <c r="I4282" i="3"/>
  <c r="H2008" i="3"/>
  <c r="I3914" i="3"/>
  <c r="I4127" i="3"/>
  <c r="H3088" i="3"/>
  <c r="H3085" i="3"/>
  <c r="H4972" i="3"/>
  <c r="I5604" i="3"/>
  <c r="H2313" i="3"/>
  <c r="H1121" i="3"/>
  <c r="H2489" i="3"/>
  <c r="H3686" i="3"/>
  <c r="H5037" i="3"/>
  <c r="H1552" i="3"/>
  <c r="I5972" i="3"/>
  <c r="I1264" i="3"/>
  <c r="H4089" i="3"/>
  <c r="I5427" i="3"/>
  <c r="I1155" i="3"/>
  <c r="H1358" i="3"/>
  <c r="I2785" i="3"/>
  <c r="I1410" i="3"/>
  <c r="H4611" i="3"/>
  <c r="I1661" i="3"/>
  <c r="H4802" i="3"/>
  <c r="H495" i="3"/>
  <c r="I5013" i="3"/>
  <c r="I6096" i="3"/>
  <c r="H6392" i="3"/>
  <c r="I5319" i="3"/>
  <c r="H3811" i="3"/>
  <c r="I5012" i="3"/>
  <c r="I2089" i="3"/>
  <c r="I4561" i="3"/>
  <c r="I6083" i="3"/>
  <c r="I874" i="3"/>
  <c r="H4320" i="3"/>
  <c r="I138" i="3"/>
  <c r="H1291" i="3"/>
  <c r="I2667" i="3"/>
  <c r="I882" i="3"/>
  <c r="I5050" i="3"/>
  <c r="I5914" i="3"/>
  <c r="I5871" i="3"/>
  <c r="I5733" i="3"/>
  <c r="H3955" i="3"/>
  <c r="H4083" i="3"/>
  <c r="H5499" i="3"/>
  <c r="H5218" i="3"/>
  <c r="H5930" i="3"/>
  <c r="H6210" i="3"/>
  <c r="I615" i="3"/>
  <c r="H1671" i="3"/>
  <c r="I2287" i="3"/>
  <c r="I210" i="3"/>
  <c r="H4082" i="3"/>
  <c r="I807" i="3"/>
  <c r="I2962" i="3"/>
  <c r="I4210" i="3"/>
  <c r="I4634" i="3"/>
  <c r="H2053" i="3"/>
  <c r="I4181" i="3"/>
  <c r="I5332" i="3"/>
  <c r="I1425" i="3"/>
  <c r="I1489" i="3"/>
  <c r="I1060" i="3"/>
  <c r="I344" i="3"/>
  <c r="I3432" i="3"/>
  <c r="I4856" i="3"/>
  <c r="I1805" i="3"/>
  <c r="I4952" i="3"/>
  <c r="H3280" i="3"/>
  <c r="I4310" i="3"/>
  <c r="H4321" i="3"/>
  <c r="H2040" i="3"/>
  <c r="H177" i="3"/>
  <c r="I706" i="3"/>
  <c r="I1120" i="3"/>
  <c r="I3621" i="3"/>
  <c r="H5035" i="3"/>
  <c r="H3107" i="3"/>
  <c r="H691" i="3"/>
  <c r="I2179" i="3"/>
  <c r="H5755" i="3"/>
  <c r="H5947" i="3"/>
  <c r="H6043" i="3"/>
  <c r="I1447" i="3"/>
  <c r="I2456" i="3"/>
  <c r="I2856" i="3"/>
  <c r="I5541" i="3"/>
  <c r="I2114" i="3"/>
  <c r="I6599" i="3"/>
  <c r="I4842" i="3"/>
  <c r="I5154" i="3"/>
  <c r="I5322" i="3"/>
  <c r="I5490" i="3"/>
  <c r="I1223" i="3"/>
  <c r="I4655" i="3"/>
  <c r="I6463" i="3"/>
  <c r="I5669" i="3"/>
  <c r="I4063" i="3"/>
  <c r="I5640" i="3"/>
  <c r="I4773" i="3"/>
  <c r="I4860" i="3"/>
  <c r="H180" i="3"/>
  <c r="I1201" i="3"/>
  <c r="I3708" i="3"/>
  <c r="H3593" i="3"/>
  <c r="H4917" i="3"/>
  <c r="I5626" i="3"/>
  <c r="I1090" i="3"/>
  <c r="I1107" i="3"/>
  <c r="H3163" i="3"/>
  <c r="H6219" i="3"/>
  <c r="H3614" i="3"/>
  <c r="H3171" i="3"/>
  <c r="H4267" i="3"/>
  <c r="H5643" i="3"/>
  <c r="I3207" i="3"/>
  <c r="I4738" i="3"/>
  <c r="I5410" i="3"/>
  <c r="I6146" i="3"/>
  <c r="I2663" i="3"/>
  <c r="H4248" i="3"/>
  <c r="H429" i="3"/>
  <c r="H5468" i="3"/>
  <c r="I5857" i="3"/>
  <c r="I5921" i="3"/>
  <c r="H5711" i="3"/>
  <c r="I3731" i="3"/>
  <c r="H3342" i="3"/>
  <c r="H1102" i="3"/>
  <c r="H6189" i="3"/>
  <c r="H4682" i="3"/>
  <c r="I1261" i="3"/>
  <c r="I5633" i="3"/>
  <c r="H2883" i="3"/>
  <c r="H2691" i="3"/>
  <c r="H651" i="3"/>
  <c r="I2999" i="3"/>
  <c r="I4784" i="3"/>
  <c r="H3130" i="3"/>
  <c r="I5704" i="3"/>
  <c r="I6018" i="3"/>
  <c r="I703" i="3"/>
  <c r="H1483" i="3"/>
  <c r="H6231" i="3"/>
  <c r="H5668" i="3"/>
  <c r="I78" i="3"/>
  <c r="I1046" i="3"/>
  <c r="H5190" i="3"/>
  <c r="H33" i="3"/>
  <c r="I1862" i="3"/>
  <c r="H2568" i="3"/>
  <c r="I3386" i="3"/>
  <c r="I988" i="3"/>
  <c r="H4523" i="3"/>
  <c r="I2443" i="3"/>
  <c r="I2433" i="3"/>
  <c r="I2369" i="3"/>
  <c r="I3269" i="3"/>
  <c r="I3224" i="3"/>
  <c r="H4275" i="3"/>
  <c r="H1286" i="3"/>
  <c r="I1957" i="3"/>
  <c r="I2076" i="3"/>
  <c r="I3501" i="3"/>
  <c r="I1922" i="3"/>
  <c r="I1677" i="3"/>
  <c r="H6017" i="3"/>
  <c r="H2801" i="3"/>
  <c r="I3883" i="3"/>
  <c r="I3981" i="3"/>
  <c r="H4029" i="3"/>
  <c r="H4398" i="3"/>
  <c r="H2565" i="3"/>
  <c r="I5095" i="3"/>
  <c r="I2367" i="3"/>
  <c r="I3239" i="3"/>
  <c r="I3487" i="3"/>
  <c r="H2794" i="3"/>
  <c r="H3497" i="3"/>
  <c r="I2277" i="3"/>
  <c r="I5089" i="3"/>
  <c r="I6025" i="3"/>
  <c r="I6225" i="3"/>
  <c r="I2859" i="3"/>
  <c r="H2822" i="3"/>
  <c r="I3894" i="3"/>
  <c r="H2065" i="3"/>
  <c r="H2458" i="3"/>
  <c r="I6198" i="3"/>
  <c r="H6198" i="3"/>
  <c r="I4547" i="3"/>
  <c r="H4547" i="3"/>
  <c r="I1476" i="3"/>
  <c r="H1476" i="3"/>
  <c r="H1268" i="3"/>
  <c r="I1268" i="3"/>
  <c r="I1564" i="3"/>
  <c r="H1564" i="3"/>
  <c r="H1833" i="3"/>
  <c r="I1833" i="3"/>
  <c r="I2562" i="3"/>
  <c r="H2562" i="3"/>
  <c r="H824" i="3"/>
  <c r="I3329" i="3"/>
  <c r="H3329" i="3"/>
  <c r="I2709" i="3"/>
  <c r="H2709" i="3"/>
  <c r="H2477" i="3"/>
  <c r="I2477" i="3"/>
  <c r="H2360" i="3"/>
  <c r="I2360" i="3"/>
  <c r="I495" i="3"/>
  <c r="I1210" i="3"/>
  <c r="H2793" i="3"/>
  <c r="H1193" i="3"/>
  <c r="H4493" i="3"/>
  <c r="H6175" i="3"/>
  <c r="I3811" i="3"/>
  <c r="H6160" i="3"/>
  <c r="H4964" i="3"/>
  <c r="I3878" i="3"/>
  <c r="I3719" i="3"/>
  <c r="H3719" i="3"/>
  <c r="I5133" i="3"/>
  <c r="H5133" i="3"/>
  <c r="H5989" i="3"/>
  <c r="I5989" i="3"/>
  <c r="I5215" i="3"/>
  <c r="H5215" i="3"/>
  <c r="H3424" i="3"/>
  <c r="I3424" i="3"/>
  <c r="H3407" i="3"/>
  <c r="I3407" i="3"/>
  <c r="H109" i="3"/>
  <c r="I109" i="3"/>
  <c r="H3411" i="3"/>
  <c r="H4099" i="3"/>
  <c r="H883" i="3"/>
  <c r="H539" i="3"/>
  <c r="H4331" i="3"/>
  <c r="H4451" i="3"/>
  <c r="H5659" i="3"/>
  <c r="I4880" i="3"/>
  <c r="I5936" i="3"/>
  <c r="I5032" i="3"/>
  <c r="H3487" i="3"/>
  <c r="H5367" i="3"/>
  <c r="H698" i="3"/>
  <c r="H986" i="3"/>
  <c r="H4319" i="3"/>
  <c r="I5695" i="3"/>
  <c r="I5263" i="3"/>
  <c r="I818" i="3"/>
  <c r="H5207" i="3"/>
  <c r="I5944" i="3"/>
  <c r="H3247" i="3"/>
  <c r="H1277" i="3"/>
  <c r="H5325" i="3"/>
  <c r="H4349" i="3"/>
  <c r="H3948" i="3"/>
  <c r="I4612" i="3"/>
  <c r="I5492" i="3"/>
  <c r="H4377" i="3"/>
  <c r="H937" i="3"/>
  <c r="H1857" i="3"/>
  <c r="H3057" i="3"/>
  <c r="H5511" i="3"/>
  <c r="I4595" i="3"/>
  <c r="H1835" i="3"/>
  <c r="I2299" i="3"/>
  <c r="I2483" i="3"/>
  <c r="I2394" i="3"/>
  <c r="I1058" i="3"/>
  <c r="H2927" i="3"/>
  <c r="I3863" i="3"/>
  <c r="H1818" i="3"/>
  <c r="I2365" i="3"/>
  <c r="I3509" i="3"/>
  <c r="I6092" i="3"/>
  <c r="H6378" i="3"/>
  <c r="I2569" i="3"/>
  <c r="H2785" i="3"/>
  <c r="H1593" i="3"/>
  <c r="I3393" i="3"/>
  <c r="H5333" i="3"/>
  <c r="I860" i="3"/>
  <c r="H168" i="3"/>
  <c r="I4987" i="3"/>
  <c r="I974" i="3"/>
  <c r="I6047" i="3"/>
  <c r="H6047" i="3"/>
  <c r="H6551" i="3"/>
  <c r="I6551" i="3"/>
  <c r="I3421" i="3"/>
  <c r="H3421" i="3"/>
  <c r="I5806" i="3"/>
  <c r="H5806" i="3"/>
  <c r="I5674" i="3"/>
  <c r="H5674" i="3"/>
  <c r="H85" i="3"/>
  <c r="I85" i="3"/>
  <c r="H1036" i="3"/>
  <c r="I1036" i="3"/>
  <c r="I1392" i="3"/>
  <c r="H1392" i="3"/>
  <c r="H2438" i="3"/>
  <c r="I2438" i="3"/>
  <c r="H3269" i="3"/>
  <c r="I3229" i="3"/>
  <c r="H3229" i="3"/>
  <c r="H3224" i="3"/>
  <c r="I3489" i="3"/>
  <c r="H3489" i="3"/>
  <c r="I3498" i="3"/>
  <c r="H3498" i="3"/>
  <c r="I5029" i="3"/>
  <c r="H5029" i="3"/>
  <c r="H3334" i="3"/>
  <c r="I3334" i="3"/>
  <c r="I1610" i="3"/>
  <c r="H1610" i="3"/>
  <c r="I3794" i="3"/>
  <c r="H3794" i="3"/>
  <c r="I1014" i="3"/>
  <c r="H1014" i="3"/>
  <c r="I4316" i="3"/>
  <c r="H4316" i="3"/>
  <c r="H4569" i="3"/>
  <c r="I4569" i="3"/>
  <c r="H1212" i="3"/>
  <c r="I1212" i="3"/>
  <c r="I797" i="3"/>
  <c r="H797" i="3"/>
  <c r="H3933" i="3"/>
  <c r="I3933" i="3"/>
  <c r="H2047" i="3"/>
  <c r="I2047" i="3"/>
  <c r="H1337" i="3"/>
  <c r="I1337" i="3"/>
  <c r="H1111" i="3"/>
  <c r="I1111" i="3"/>
  <c r="H3889" i="3"/>
  <c r="I3889" i="3"/>
  <c r="I4891" i="3"/>
  <c r="H4891" i="3"/>
  <c r="H6572" i="3"/>
  <c r="I6572" i="3"/>
  <c r="I73" i="3"/>
  <c r="H73" i="3"/>
  <c r="I648" i="3"/>
  <c r="H648" i="3"/>
  <c r="H670" i="3"/>
  <c r="I670" i="3"/>
  <c r="I1622" i="3"/>
  <c r="H1622" i="3"/>
  <c r="I5304" i="3"/>
  <c r="H5304" i="3"/>
  <c r="H1388" i="3"/>
  <c r="I1388" i="3"/>
  <c r="H1978" i="3"/>
  <c r="I1978" i="3"/>
  <c r="H1935" i="3"/>
  <c r="I1935" i="3"/>
  <c r="H2070" i="3"/>
  <c r="I2070" i="3"/>
  <c r="I6525" i="3"/>
  <c r="H6525" i="3"/>
  <c r="I4988" i="3"/>
  <c r="H4988" i="3"/>
  <c r="I2492" i="3"/>
  <c r="H2492" i="3"/>
  <c r="I2574" i="3"/>
  <c r="H2574" i="3"/>
  <c r="I2359" i="3"/>
  <c r="H2359" i="3"/>
  <c r="H166" i="3"/>
  <c r="I166" i="3"/>
  <c r="I1572" i="3"/>
  <c r="H1572" i="3"/>
  <c r="H2186" i="3"/>
  <c r="I2186" i="3"/>
  <c r="I2142" i="3"/>
  <c r="H2142" i="3"/>
  <c r="H2276" i="3"/>
  <c r="I2276" i="3"/>
  <c r="H4840" i="3"/>
  <c r="I4840" i="3"/>
  <c r="H4468" i="3"/>
  <c r="I4468" i="3"/>
  <c r="I4445" i="3"/>
  <c r="H4445" i="3"/>
  <c r="I2769" i="3"/>
  <c r="H2769" i="3"/>
  <c r="H4538" i="3"/>
  <c r="I4538" i="3"/>
  <c r="H5117" i="3"/>
  <c r="I5117" i="3"/>
  <c r="H5286" i="3"/>
  <c r="I5286" i="3"/>
  <c r="I6414" i="3"/>
  <c r="H6414" i="3"/>
  <c r="I6409" i="3"/>
  <c r="H6409" i="3"/>
  <c r="I4564" i="3"/>
  <c r="H4564" i="3"/>
  <c r="H6425" i="3"/>
  <c r="I6425" i="3"/>
  <c r="I5241" i="3"/>
  <c r="H5241" i="3"/>
  <c r="I1224" i="3"/>
  <c r="H1224" i="3"/>
  <c r="H4442" i="3"/>
  <c r="I4442" i="3"/>
  <c r="I1206" i="3"/>
  <c r="H1206" i="3"/>
  <c r="H2547" i="3"/>
  <c r="I911" i="3"/>
  <c r="H5445" i="3"/>
  <c r="H988" i="3"/>
  <c r="I880" i="3"/>
  <c r="H880" i="3"/>
  <c r="H903" i="3"/>
  <c r="I903" i="3"/>
  <c r="I1765" i="3"/>
  <c r="H1765" i="3"/>
  <c r="I5686" i="3"/>
  <c r="H5686" i="3"/>
  <c r="I5432" i="3"/>
  <c r="H5432" i="3"/>
  <c r="I6040" i="3"/>
  <c r="H6040" i="3"/>
  <c r="H6232" i="3"/>
  <c r="I6232" i="3"/>
  <c r="I3292" i="3"/>
  <c r="H3292" i="3"/>
  <c r="I4446" i="3"/>
  <c r="H4446" i="3"/>
  <c r="H3493" i="3"/>
  <c r="I3493" i="3"/>
  <c r="I3512" i="3"/>
  <c r="H3512" i="3"/>
  <c r="H3564" i="3"/>
  <c r="I3564" i="3"/>
  <c r="H1317" i="3"/>
  <c r="I1317" i="3"/>
  <c r="H4277" i="3"/>
  <c r="I4277" i="3"/>
  <c r="H298" i="3"/>
  <c r="I298" i="3"/>
  <c r="I5690" i="3"/>
  <c r="H5690" i="3"/>
  <c r="H700" i="3"/>
  <c r="I700" i="3"/>
  <c r="H1756" i="3"/>
  <c r="I1756" i="3"/>
  <c r="I3150" i="3"/>
  <c r="H3150" i="3"/>
  <c r="I2352" i="3"/>
  <c r="H2352" i="3"/>
  <c r="H3404" i="3"/>
  <c r="I3404" i="3"/>
  <c r="I573" i="3"/>
  <c r="H573" i="3"/>
  <c r="H436" i="3"/>
  <c r="I436" i="3"/>
  <c r="I1368" i="3"/>
  <c r="H1368" i="3"/>
  <c r="H1860" i="3"/>
  <c r="I1860" i="3"/>
  <c r="I6524" i="3"/>
  <c r="H6524" i="3"/>
  <c r="I2372" i="3"/>
  <c r="H2372" i="3"/>
  <c r="H3132" i="3"/>
  <c r="I3132" i="3"/>
  <c r="H6119" i="3"/>
  <c r="H643" i="3"/>
  <c r="H4439" i="3"/>
  <c r="I4439" i="3"/>
  <c r="H2369" i="3"/>
  <c r="I1694" i="3"/>
  <c r="H1694" i="3"/>
  <c r="H4411" i="3"/>
  <c r="I5656" i="3"/>
  <c r="H4650" i="3"/>
  <c r="I3223" i="3"/>
  <c r="I354" i="3"/>
  <c r="I978" i="3"/>
  <c r="H1037" i="3"/>
  <c r="I2585" i="3"/>
  <c r="I1782" i="3"/>
  <c r="H4528" i="3"/>
  <c r="I4528" i="3"/>
  <c r="I5110" i="3"/>
  <c r="H5110" i="3"/>
  <c r="H4879" i="3"/>
  <c r="H6063" i="3"/>
  <c r="I3738" i="3"/>
  <c r="H3738" i="3"/>
  <c r="H4548" i="3"/>
  <c r="H5052" i="3"/>
  <c r="I5052" i="3"/>
  <c r="H2928" i="3"/>
  <c r="I2928" i="3"/>
  <c r="H2751" i="3"/>
  <c r="I2751" i="3"/>
  <c r="I5845" i="3"/>
  <c r="H5845" i="3"/>
  <c r="H2250" i="3"/>
  <c r="I2250" i="3"/>
  <c r="H2870" i="3"/>
  <c r="I2870" i="3"/>
  <c r="I3916" i="3"/>
  <c r="H3916" i="3"/>
  <c r="H410" i="3"/>
  <c r="I410" i="3"/>
  <c r="H3031" i="3"/>
  <c r="I3031" i="3"/>
  <c r="I1281" i="3"/>
  <c r="I1382" i="3"/>
  <c r="H1382" i="3"/>
  <c r="H1858" i="3"/>
  <c r="I1858" i="3"/>
  <c r="H1799" i="3"/>
  <c r="I1799" i="3"/>
  <c r="H1864" i="3"/>
  <c r="I1864" i="3"/>
  <c r="H1879" i="3"/>
  <c r="I1879" i="3"/>
  <c r="H1836" i="3"/>
  <c r="I1836" i="3"/>
  <c r="H6480" i="3"/>
  <c r="I6480" i="3"/>
  <c r="I5307" i="3"/>
  <c r="H5307" i="3"/>
  <c r="I3844" i="3"/>
  <c r="H3844" i="3"/>
  <c r="H2559" i="3"/>
  <c r="I2553" i="3"/>
  <c r="I4901" i="3"/>
  <c r="H4901" i="3"/>
  <c r="I6037" i="3"/>
  <c r="H6037" i="3"/>
  <c r="I2948" i="3"/>
  <c r="H2948" i="3"/>
  <c r="H5336" i="3"/>
  <c r="I5336" i="3"/>
  <c r="H451" i="3"/>
  <c r="I2376" i="3"/>
  <c r="H6541" i="3"/>
  <c r="H4799" i="3"/>
  <c r="H4989" i="3"/>
  <c r="H6111" i="3"/>
  <c r="I171" i="3"/>
  <c r="H5143" i="3"/>
  <c r="H3173" i="3"/>
  <c r="I3173" i="3"/>
  <c r="I443" i="3"/>
  <c r="H443" i="3"/>
  <c r="I5181" i="3"/>
  <c r="H3177" i="3"/>
  <c r="I3305" i="3"/>
  <c r="H4577" i="3"/>
  <c r="I4577" i="3"/>
  <c r="H3117" i="3"/>
  <c r="I3117" i="3"/>
  <c r="H3386" i="3"/>
  <c r="H1289" i="3"/>
  <c r="I1289" i="3"/>
  <c r="I1582" i="3"/>
  <c r="H1582" i="3"/>
  <c r="H914" i="3"/>
  <c r="I2194" i="3"/>
  <c r="I4111" i="3"/>
  <c r="H2722" i="3"/>
  <c r="I3562" i="3"/>
  <c r="I5002" i="3"/>
  <c r="I4816" i="3"/>
  <c r="I3495" i="3"/>
  <c r="H3559" i="3"/>
  <c r="I3816" i="3"/>
  <c r="I1842" i="3"/>
  <c r="H2370" i="3"/>
  <c r="I3402" i="3"/>
  <c r="H5346" i="3"/>
  <c r="H2375" i="3"/>
  <c r="I6063" i="3"/>
  <c r="H3376" i="3"/>
  <c r="I5199" i="3"/>
  <c r="H45" i="3"/>
  <c r="H1221" i="3"/>
  <c r="I2717" i="3"/>
  <c r="H1949" i="3"/>
  <c r="I3717" i="3"/>
  <c r="H5319" i="3"/>
  <c r="I4681" i="3"/>
  <c r="I5769" i="3"/>
  <c r="H3281" i="3"/>
  <c r="H5057" i="3"/>
  <c r="I4449" i="3"/>
  <c r="H2433" i="3"/>
  <c r="H1633" i="3"/>
  <c r="H2665" i="3"/>
  <c r="I3380" i="3"/>
  <c r="I1628" i="3"/>
  <c r="I4228" i="3"/>
  <c r="H381" i="3"/>
  <c r="H414" i="3"/>
  <c r="I686" i="3"/>
  <c r="H3414" i="3"/>
  <c r="I3414" i="3"/>
  <c r="I1430" i="3"/>
  <c r="H1430" i="3"/>
  <c r="I4155" i="3"/>
  <c r="H4155" i="3"/>
  <c r="I4182" i="3"/>
  <c r="H4182" i="3"/>
  <c r="H442" i="3"/>
  <c r="I442" i="3"/>
  <c r="I1798" i="3"/>
  <c r="H1798" i="3"/>
  <c r="I941" i="3"/>
  <c r="H941" i="3"/>
  <c r="I4380" i="3"/>
  <c r="H4380" i="3"/>
  <c r="H947" i="3"/>
  <c r="H2443" i="3"/>
  <c r="H5819" i="3"/>
  <c r="I2568" i="3"/>
  <c r="I5096" i="3"/>
  <c r="I3595" i="3"/>
  <c r="H3595" i="3"/>
  <c r="I3639" i="3"/>
  <c r="H3639" i="3"/>
  <c r="I385" i="3"/>
  <c r="H385" i="3"/>
  <c r="I930" i="3"/>
  <c r="H930" i="3"/>
  <c r="H1514" i="3"/>
  <c r="I1514" i="3"/>
  <c r="I2482" i="3"/>
  <c r="H2482" i="3"/>
  <c r="I5448" i="3"/>
  <c r="H5448" i="3"/>
  <c r="H5168" i="3"/>
  <c r="I5168" i="3"/>
  <c r="H786" i="3"/>
  <c r="H63" i="3"/>
  <c r="H5071" i="3"/>
  <c r="H240" i="3"/>
  <c r="H4565" i="3"/>
  <c r="I4565" i="3"/>
  <c r="H843" i="3"/>
  <c r="H3571" i="3"/>
  <c r="H5651" i="3"/>
  <c r="H5923" i="3"/>
  <c r="I1266" i="3"/>
  <c r="H1191" i="3"/>
  <c r="H6127" i="3"/>
  <c r="I1968" i="3"/>
  <c r="H3450" i="3"/>
  <c r="I3144" i="3"/>
  <c r="H226" i="3"/>
  <c r="H3554" i="3"/>
  <c r="I6520" i="3"/>
  <c r="H2984" i="3"/>
  <c r="H5013" i="3"/>
  <c r="H2789" i="3"/>
  <c r="I3765" i="3"/>
  <c r="H1100" i="3"/>
  <c r="H2361" i="3"/>
  <c r="H2025" i="3"/>
  <c r="I1588" i="3"/>
  <c r="I1948" i="3"/>
  <c r="I2628" i="3"/>
  <c r="I4" i="3"/>
  <c r="I1192" i="3"/>
  <c r="H1590" i="3"/>
  <c r="I2055" i="3"/>
  <c r="H3093" i="3"/>
  <c r="H1717" i="3"/>
  <c r="H5521" i="3"/>
  <c r="H1684" i="3"/>
  <c r="I125" i="3"/>
  <c r="I3022" i="3"/>
  <c r="H3022" i="3"/>
  <c r="H6081" i="3"/>
  <c r="I6081" i="3"/>
  <c r="H6217" i="3"/>
  <c r="I6217" i="3"/>
  <c r="I6332" i="3"/>
  <c r="H6332" i="3"/>
  <c r="I3606" i="3"/>
  <c r="H3606" i="3"/>
  <c r="H29" i="3"/>
  <c r="I29" i="3"/>
  <c r="H3988" i="3"/>
  <c r="I3988" i="3"/>
  <c r="H4049" i="3"/>
  <c r="I4049" i="3"/>
  <c r="H3676" i="3"/>
  <c r="I3676" i="3"/>
  <c r="H662" i="3"/>
  <c r="I662" i="3"/>
  <c r="H660" i="3"/>
  <c r="I660" i="3"/>
  <c r="I1998" i="3"/>
  <c r="H1998" i="3"/>
  <c r="I1934" i="3"/>
  <c r="H1934" i="3"/>
  <c r="H160" i="3"/>
  <c r="I685" i="3"/>
  <c r="H685" i="3"/>
  <c r="I2202" i="3"/>
  <c r="H2268" i="3"/>
  <c r="I2268" i="3"/>
  <c r="H2273" i="3"/>
  <c r="H1348" i="3"/>
  <c r="I1348" i="3"/>
  <c r="I2886" i="3"/>
  <c r="H3830" i="3"/>
  <c r="H2605" i="3"/>
  <c r="I2605" i="3"/>
  <c r="I906" i="3"/>
  <c r="H4652" i="3"/>
  <c r="I4652" i="3"/>
  <c r="I3157" i="3"/>
  <c r="H3157" i="3"/>
  <c r="H1373" i="3"/>
  <c r="I1373" i="3"/>
  <c r="H2423" i="3"/>
  <c r="I2486" i="3"/>
  <c r="H2486" i="3"/>
  <c r="H2417" i="3"/>
  <c r="I2417" i="3"/>
  <c r="I1286" i="3"/>
  <c r="I103" i="3"/>
  <c r="H103" i="3"/>
  <c r="I3295" i="3"/>
  <c r="H3295" i="3"/>
  <c r="H3501" i="3"/>
  <c r="H3553" i="3"/>
  <c r="H2524" i="3"/>
  <c r="I2524" i="3"/>
  <c r="H3782" i="3"/>
  <c r="I3782" i="3"/>
  <c r="H2466" i="3"/>
  <c r="H2799" i="3"/>
  <c r="H6048" i="3"/>
  <c r="H5636" i="3"/>
  <c r="I5041" i="3"/>
  <c r="H2081" i="3"/>
  <c r="H5081" i="3"/>
  <c r="H4605" i="3"/>
  <c r="I2420" i="3"/>
  <c r="I6017" i="3"/>
  <c r="I3350" i="3"/>
  <c r="I4478" i="3"/>
  <c r="H5798" i="3"/>
  <c r="I2474" i="3"/>
  <c r="H4680" i="3"/>
  <c r="I540" i="3"/>
  <c r="I1788" i="3"/>
  <c r="I108" i="3"/>
  <c r="H2996" i="3"/>
  <c r="H6396" i="3"/>
  <c r="I2822" i="3"/>
  <c r="I2974" i="3"/>
  <c r="H2974" i="3"/>
  <c r="H4030" i="3"/>
  <c r="I4030" i="3"/>
  <c r="H3628" i="3"/>
  <c r="I3628" i="3"/>
  <c r="H4382" i="3"/>
  <c r="I4300" i="3"/>
  <c r="H4300" i="3"/>
  <c r="I1742" i="3"/>
  <c r="H1742" i="3"/>
  <c r="I1672" i="3"/>
  <c r="H2054" i="3"/>
  <c r="I2054" i="3"/>
  <c r="H4636" i="3"/>
  <c r="H5225" i="3"/>
  <c r="H6497" i="3"/>
  <c r="H692" i="3"/>
  <c r="I4238" i="3"/>
  <c r="I617" i="3"/>
  <c r="I4166" i="3"/>
  <c r="I1702" i="3"/>
  <c r="H4212" i="3"/>
  <c r="I5467" i="3"/>
  <c r="I528" i="3"/>
  <c r="I5141" i="3"/>
  <c r="H4918" i="3"/>
  <c r="I5254" i="3"/>
  <c r="I4694" i="3"/>
  <c r="H5285" i="3"/>
  <c r="I3992" i="3"/>
  <c r="I3443" i="3"/>
  <c r="I5131" i="3"/>
  <c r="H2343" i="3"/>
  <c r="H5178" i="3"/>
  <c r="I3973" i="3"/>
  <c r="I3987" i="3"/>
  <c r="I907" i="3"/>
  <c r="H2127" i="3"/>
  <c r="H2424" i="3"/>
  <c r="H5072" i="3"/>
  <c r="H5136" i="3"/>
  <c r="H3271" i="3"/>
  <c r="H5122" i="3"/>
  <c r="H2191" i="3"/>
  <c r="H3522" i="3"/>
  <c r="I4627" i="3"/>
  <c r="I6067" i="3"/>
  <c r="H1666" i="3"/>
  <c r="I2875" i="3"/>
  <c r="H3026" i="3"/>
  <c r="H2748" i="3"/>
  <c r="I4643" i="3"/>
  <c r="I3899" i="3"/>
  <c r="H4778" i="3"/>
  <c r="H4584" i="3"/>
  <c r="H6154" i="3"/>
  <c r="H3728" i="3"/>
  <c r="H5127" i="3"/>
  <c r="I2787" i="3"/>
  <c r="H6032" i="3"/>
  <c r="H3122" i="3"/>
  <c r="I3435" i="3"/>
  <c r="I3367" i="3"/>
  <c r="H3410" i="3"/>
  <c r="H2834" i="3"/>
  <c r="H638" i="3"/>
  <c r="I4555" i="3"/>
  <c r="I3723" i="3"/>
  <c r="I5459" i="3"/>
  <c r="I2227" i="3"/>
  <c r="H2056" i="3"/>
  <c r="I459" i="3"/>
  <c r="H2549" i="3"/>
  <c r="H5552" i="3"/>
  <c r="H983" i="3"/>
  <c r="H647" i="3"/>
  <c r="I2363" i="3"/>
  <c r="H2832" i="3"/>
  <c r="I3819" i="3"/>
  <c r="I4435" i="3"/>
  <c r="H5665" i="3"/>
  <c r="H2032" i="3"/>
  <c r="H4873" i="3"/>
  <c r="I2037" i="3"/>
  <c r="I2971" i="3"/>
  <c r="H1920" i="3"/>
  <c r="I4835" i="3"/>
  <c r="I5595" i="3"/>
  <c r="H3905" i="3"/>
  <c r="I155" i="3"/>
  <c r="H3911" i="3"/>
  <c r="H2229" i="3"/>
  <c r="H2225" i="3"/>
  <c r="I4211" i="3"/>
  <c r="H4615" i="3"/>
  <c r="H4372" i="3"/>
  <c r="H6389" i="3"/>
  <c r="H4713" i="3"/>
  <c r="H5246" i="3"/>
  <c r="H5159" i="3"/>
  <c r="I5471" i="3"/>
  <c r="I6135" i="3"/>
  <c r="I4523" i="3"/>
  <c r="I4318" i="3"/>
  <c r="I494" i="3"/>
  <c r="I69" i="3"/>
  <c r="H3325" i="3"/>
  <c r="H581" i="3"/>
  <c r="H668" i="3"/>
  <c r="I128" i="3"/>
  <c r="H5496" i="3"/>
  <c r="I2571" i="3"/>
  <c r="H862" i="3"/>
  <c r="I4675" i="3"/>
  <c r="H1991" i="3"/>
  <c r="I5715" i="3"/>
  <c r="H2647" i="3"/>
  <c r="I6053" i="3"/>
  <c r="H4822" i="3"/>
  <c r="H3967" i="3"/>
  <c r="H1283" i="3"/>
  <c r="I1803" i="3"/>
  <c r="I2559" i="3"/>
  <c r="H1000" i="3"/>
  <c r="H5095" i="3"/>
  <c r="H2378" i="3"/>
  <c r="H2367" i="3"/>
  <c r="H3239" i="3"/>
  <c r="H3282" i="3"/>
  <c r="H857" i="3"/>
  <c r="I6119" i="3"/>
  <c r="I4556" i="3"/>
  <c r="I4003" i="3"/>
  <c r="H4552" i="3"/>
  <c r="I6237" i="3"/>
  <c r="H6173" i="3"/>
  <c r="I6045" i="3"/>
  <c r="H6109" i="3"/>
  <c r="I5991" i="3"/>
  <c r="I3394" i="3"/>
  <c r="I6375" i="3"/>
  <c r="H532" i="3"/>
  <c r="I3409" i="3"/>
  <c r="H465" i="3"/>
  <c r="I5445" i="3"/>
  <c r="I5143" i="3"/>
  <c r="I2855" i="3"/>
  <c r="I4871" i="3"/>
  <c r="I6183" i="3"/>
  <c r="H1844" i="3"/>
  <c r="H489" i="3"/>
  <c r="H864" i="3"/>
  <c r="I5483" i="3"/>
  <c r="H4845" i="3"/>
  <c r="I4845" i="3"/>
  <c r="H4909" i="3"/>
  <c r="I4909" i="3"/>
  <c r="I6014" i="3"/>
  <c r="H6014" i="3"/>
  <c r="H3799" i="3"/>
  <c r="I3799" i="3"/>
  <c r="H4567" i="3"/>
  <c r="I4567" i="3"/>
  <c r="H5079" i="3"/>
  <c r="I5079" i="3"/>
  <c r="H5271" i="3"/>
  <c r="I5271" i="3"/>
  <c r="H5455" i="3"/>
  <c r="I5455" i="3"/>
  <c r="H6055" i="3"/>
  <c r="I6055" i="3"/>
  <c r="I2947" i="3"/>
  <c r="H2947" i="3"/>
  <c r="H3401" i="3"/>
  <c r="I3401" i="3"/>
  <c r="H3397" i="3"/>
  <c r="I3397" i="3"/>
  <c r="H3368" i="3"/>
  <c r="I3368" i="3"/>
  <c r="H5756" i="3"/>
  <c r="I5756" i="3"/>
  <c r="H4474" i="3"/>
  <c r="I4474" i="3"/>
  <c r="I4133" i="3"/>
  <c r="H4133" i="3"/>
  <c r="H3537" i="3"/>
  <c r="I3537" i="3"/>
  <c r="I6169" i="3"/>
  <c r="H6169" i="3"/>
  <c r="H3201" i="3"/>
  <c r="I3201" i="3"/>
  <c r="I601" i="3"/>
  <c r="H601" i="3"/>
  <c r="H626" i="3"/>
  <c r="I626" i="3"/>
  <c r="H287" i="3"/>
  <c r="I287" i="3"/>
  <c r="H2026" i="3"/>
  <c r="I2026" i="3"/>
  <c r="H4689" i="3"/>
  <c r="I4689" i="3"/>
  <c r="H5386" i="3"/>
  <c r="I5386" i="3"/>
  <c r="H3123" i="3"/>
  <c r="I3123" i="3"/>
  <c r="H1153" i="3"/>
  <c r="I1153" i="3"/>
  <c r="H796" i="3"/>
  <c r="I796" i="3"/>
  <c r="H112" i="3"/>
  <c r="I112" i="3"/>
  <c r="I4164" i="3"/>
  <c r="H4164" i="3"/>
  <c r="I4944" i="3"/>
  <c r="H4944" i="3"/>
  <c r="H5905" i="3"/>
  <c r="I5905" i="3"/>
  <c r="H1216" i="3"/>
  <c r="I1216" i="3"/>
  <c r="I968" i="3"/>
  <c r="H968" i="3"/>
  <c r="H458" i="3"/>
  <c r="I458" i="3"/>
  <c r="H428" i="3"/>
  <c r="I428" i="3"/>
  <c r="I415" i="3"/>
  <c r="H415" i="3"/>
  <c r="H2500" i="3"/>
  <c r="I2500" i="3"/>
  <c r="H842" i="3"/>
  <c r="I842" i="3"/>
  <c r="H1034" i="3"/>
  <c r="I1034" i="3"/>
  <c r="H2119" i="3"/>
  <c r="I2119" i="3"/>
  <c r="I861" i="3"/>
  <c r="H861" i="3"/>
  <c r="H849" i="3"/>
  <c r="I849" i="3"/>
  <c r="H6472" i="3"/>
  <c r="I6472" i="3"/>
  <c r="H1188" i="3"/>
  <c r="I1188" i="3"/>
  <c r="H1183" i="3"/>
  <c r="I1183" i="3"/>
  <c r="I216" i="3"/>
  <c r="H216" i="3"/>
  <c r="I5583" i="3"/>
  <c r="H5583" i="3"/>
  <c r="H1872" i="3"/>
  <c r="I1872" i="3"/>
  <c r="H1873" i="3"/>
  <c r="I1873" i="3"/>
  <c r="H1825" i="3"/>
  <c r="I1825" i="3"/>
  <c r="H6388" i="3"/>
  <c r="I6388" i="3"/>
  <c r="H4664" i="3"/>
  <c r="I4664" i="3"/>
  <c r="H3943" i="3"/>
  <c r="I3943" i="3"/>
  <c r="H1692" i="3"/>
  <c r="I1692" i="3"/>
  <c r="H231" i="3"/>
  <c r="I231" i="3"/>
  <c r="H2560" i="3"/>
  <c r="I2560" i="3"/>
  <c r="I4118" i="3"/>
  <c r="H4118" i="3"/>
  <c r="I953" i="3"/>
  <c r="H953" i="3"/>
  <c r="I908" i="3"/>
  <c r="H908" i="3"/>
  <c r="I875" i="3"/>
  <c r="H875" i="3"/>
  <c r="H4624" i="3"/>
  <c r="I4624" i="3"/>
  <c r="H5356" i="3"/>
  <c r="I5356" i="3"/>
  <c r="H4789" i="3"/>
  <c r="I4789" i="3"/>
  <c r="H2764" i="3"/>
  <c r="I2764" i="3"/>
  <c r="H2481" i="3"/>
  <c r="I2481" i="3"/>
  <c r="I4608" i="3"/>
  <c r="I5509" i="3"/>
  <c r="H4693" i="3"/>
  <c r="H5230" i="3"/>
  <c r="I4423" i="3"/>
  <c r="H3856" i="3"/>
  <c r="I4517" i="3"/>
  <c r="H4925" i="3"/>
  <c r="I4925" i="3"/>
  <c r="I6061" i="3"/>
  <c r="H6061" i="3"/>
  <c r="H6125" i="3"/>
  <c r="I6125" i="3"/>
  <c r="H3520" i="3"/>
  <c r="I3520" i="3"/>
  <c r="I3967" i="3"/>
  <c r="I3505" i="3"/>
  <c r="H3023" i="3"/>
  <c r="H3362" i="3"/>
  <c r="H917" i="3"/>
  <c r="H1837" i="3"/>
  <c r="I2488" i="3"/>
  <c r="I3560" i="3"/>
  <c r="H6528" i="3"/>
  <c r="H3220" i="3"/>
  <c r="H4806" i="3"/>
  <c r="H3419" i="3"/>
  <c r="I1685" i="3"/>
  <c r="I4810" i="3"/>
  <c r="H3082" i="3"/>
  <c r="I4824" i="3"/>
  <c r="I2378" i="3"/>
  <c r="I5104" i="3"/>
  <c r="H4747" i="3"/>
  <c r="I1079" i="3"/>
  <c r="I2954" i="3"/>
  <c r="I3303" i="3"/>
  <c r="I5159" i="3"/>
  <c r="I3253" i="3"/>
  <c r="I5452" i="3"/>
  <c r="I1169" i="3"/>
  <c r="I3265" i="3"/>
  <c r="H4759" i="3"/>
  <c r="H128" i="3"/>
  <c r="I1000" i="3"/>
  <c r="H942" i="3"/>
  <c r="H766" i="3"/>
  <c r="H5173" i="3"/>
  <c r="H2157" i="3"/>
  <c r="I6168" i="3"/>
  <c r="I3175" i="3"/>
  <c r="H2781" i="3"/>
  <c r="H369" i="3"/>
  <c r="H2425" i="3"/>
  <c r="I668" i="3"/>
  <c r="I5245" i="3"/>
  <c r="I3098" i="3"/>
  <c r="H3442" i="3"/>
  <c r="H2509" i="3"/>
  <c r="H433" i="3"/>
  <c r="H6053" i="3"/>
  <c r="I6181" i="3"/>
  <c r="I2565" i="3"/>
  <c r="H4590" i="3"/>
  <c r="H4705" i="3"/>
  <c r="H1805" i="3"/>
  <c r="I4997" i="3"/>
  <c r="H4455" i="3"/>
  <c r="H6372" i="3"/>
  <c r="I6022" i="3"/>
  <c r="H6495" i="3"/>
  <c r="I1990" i="3"/>
  <c r="H6229" i="3"/>
  <c r="H5414" i="3"/>
  <c r="I940" i="3"/>
  <c r="H877" i="3"/>
  <c r="H3800" i="3"/>
  <c r="I3611" i="3"/>
  <c r="I2011" i="3"/>
  <c r="I5312" i="3"/>
  <c r="H5906" i="3"/>
  <c r="I1507" i="3"/>
  <c r="H183" i="3"/>
  <c r="H5291" i="3"/>
  <c r="H1602" i="3"/>
  <c r="I5621" i="3"/>
  <c r="H3858" i="3"/>
  <c r="H4245" i="3"/>
  <c r="H1339" i="3"/>
  <c r="I4280" i="3"/>
  <c r="I3039" i="3"/>
  <c r="H4141" i="3"/>
  <c r="H5536" i="3"/>
  <c r="H6357" i="3"/>
  <c r="I5917" i="3"/>
  <c r="I6189" i="3"/>
  <c r="I2171" i="3"/>
  <c r="I3423" i="3"/>
  <c r="H4703" i="3"/>
  <c r="I3282" i="3"/>
  <c r="I1877" i="3"/>
  <c r="H889" i="3"/>
  <c r="I2271" i="3"/>
  <c r="H2289" i="3"/>
  <c r="I2161" i="3"/>
  <c r="H3983" i="3"/>
  <c r="H4706" i="3"/>
  <c r="I4913" i="3"/>
  <c r="I5137" i="3"/>
  <c r="H6481" i="3"/>
  <c r="I2889" i="3"/>
  <c r="I2807" i="3"/>
  <c r="H5224" i="3"/>
  <c r="H4545" i="3"/>
  <c r="H3246" i="3"/>
  <c r="I2182" i="3"/>
  <c r="H3857" i="3"/>
  <c r="I4067" i="3"/>
  <c r="H2004" i="3"/>
  <c r="H5160" i="3"/>
  <c r="I3574" i="3"/>
  <c r="H1181" i="3"/>
  <c r="I3483" i="3"/>
  <c r="H1607" i="3"/>
  <c r="H2674" i="3"/>
  <c r="I6077" i="3"/>
  <c r="H5920" i="3"/>
  <c r="I4671" i="3"/>
  <c r="H767" i="3"/>
  <c r="H2005" i="3"/>
  <c r="H2035" i="3"/>
  <c r="H2971" i="3"/>
  <c r="H3723" i="3"/>
  <c r="I6229" i="3"/>
  <c r="I1920" i="3"/>
  <c r="H6117" i="3"/>
  <c r="H525" i="3"/>
  <c r="H1877" i="3"/>
  <c r="H4254" i="3"/>
  <c r="H3389" i="3"/>
  <c r="H529" i="3"/>
  <c r="H3385" i="3"/>
  <c r="I3196" i="3"/>
  <c r="H4943" i="3"/>
  <c r="I616" i="3"/>
  <c r="I6073" i="3"/>
  <c r="H252" i="3"/>
  <c r="H325" i="3"/>
  <c r="I2383" i="3"/>
  <c r="I3232" i="3"/>
  <c r="I1471" i="3"/>
  <c r="H432" i="3"/>
  <c r="H4910" i="3"/>
  <c r="H637" i="3"/>
  <c r="I4541" i="3"/>
  <c r="I889" i="3"/>
  <c r="I924" i="3"/>
  <c r="I393" i="3"/>
  <c r="I2458" i="3"/>
  <c r="H5440" i="3"/>
  <c r="I3270" i="3"/>
  <c r="H3395" i="3"/>
  <c r="I4703" i="3"/>
  <c r="I2151" i="3"/>
  <c r="I2392" i="3"/>
  <c r="I5285" i="3"/>
  <c r="I127" i="3"/>
  <c r="I2032" i="3"/>
  <c r="H2037" i="3"/>
  <c r="H851" i="3"/>
  <c r="H3451" i="3"/>
  <c r="H4211" i="3"/>
  <c r="H4435" i="3"/>
  <c r="H4835" i="3"/>
  <c r="I3255" i="3"/>
  <c r="I6381" i="3"/>
  <c r="I5501" i="3"/>
  <c r="I3911" i="3"/>
  <c r="I2944" i="3"/>
  <c r="H965" i="3"/>
  <c r="I5087" i="3"/>
  <c r="H6006" i="3"/>
  <c r="I12" i="3"/>
  <c r="H1520" i="3"/>
  <c r="H3406" i="3"/>
  <c r="I5103" i="3"/>
  <c r="I3946" i="3"/>
  <c r="I478" i="3"/>
  <c r="I1863" i="3"/>
  <c r="H1458" i="3"/>
  <c r="H5738" i="3"/>
  <c r="I131" i="3"/>
  <c r="H1995" i="3"/>
  <c r="H1603" i="3"/>
  <c r="H4472" i="3"/>
  <c r="I3081" i="3"/>
  <c r="I4055" i="3"/>
  <c r="I3931" i="3"/>
  <c r="I6291" i="3"/>
  <c r="I1225" i="3"/>
  <c r="I1219" i="3"/>
  <c r="H6308" i="3"/>
  <c r="H4102" i="3"/>
  <c r="H4283" i="3"/>
  <c r="H4531" i="3"/>
  <c r="I1815" i="3"/>
  <c r="H3050" i="3"/>
  <c r="H4800" i="3"/>
  <c r="I2018" i="3"/>
  <c r="I5728" i="3"/>
  <c r="H1281" i="3"/>
  <c r="I3905" i="3"/>
  <c r="H4229" i="3"/>
  <c r="H321" i="3"/>
  <c r="I4548" i="3"/>
  <c r="H920" i="3"/>
  <c r="I5614" i="3"/>
  <c r="I174" i="3"/>
  <c r="I1190" i="3"/>
  <c r="H5216" i="3"/>
  <c r="I5216" i="3"/>
  <c r="I2265" i="3"/>
  <c r="H2265" i="3"/>
  <c r="H5980" i="3"/>
  <c r="I5980" i="3"/>
  <c r="H3221" i="3"/>
  <c r="I3221" i="3"/>
  <c r="I2084" i="3"/>
  <c r="H2084" i="3"/>
  <c r="H2342" i="3"/>
  <c r="I2342" i="3"/>
  <c r="I5409" i="3"/>
  <c r="H5409" i="3"/>
  <c r="H2112" i="3"/>
  <c r="I2112" i="3"/>
  <c r="I677" i="3"/>
  <c r="H677" i="3"/>
  <c r="H2213" i="3"/>
  <c r="I2213" i="3"/>
  <c r="H2284" i="3"/>
  <c r="I2284" i="3"/>
  <c r="H704" i="3"/>
  <c r="I704" i="3"/>
  <c r="H1161" i="3"/>
  <c r="I1161" i="3"/>
  <c r="I624" i="3"/>
  <c r="H624" i="3"/>
  <c r="H3996" i="3"/>
  <c r="I6429" i="3"/>
  <c r="H3083" i="3"/>
  <c r="H403" i="3"/>
  <c r="H3435" i="3"/>
  <c r="H5507" i="3"/>
  <c r="H3570" i="3"/>
  <c r="I5898" i="3"/>
  <c r="I2967" i="3"/>
  <c r="I983" i="3"/>
  <c r="H6573" i="3"/>
  <c r="H5751" i="3"/>
  <c r="I1807" i="3"/>
  <c r="H4672" i="3"/>
  <c r="I2549" i="3"/>
  <c r="I6567" i="3"/>
  <c r="I4917" i="3"/>
  <c r="I1181" i="3"/>
  <c r="H2813" i="3"/>
  <c r="H1849" i="3"/>
  <c r="H2097" i="3"/>
  <c r="H393" i="3"/>
  <c r="H2508" i="3"/>
  <c r="H176" i="3"/>
  <c r="H424" i="3"/>
  <c r="H699" i="3"/>
  <c r="I5237" i="3"/>
  <c r="H5439" i="3"/>
  <c r="I5439" i="3"/>
  <c r="H5443" i="3"/>
  <c r="H6075" i="3"/>
  <c r="I3122" i="3"/>
  <c r="I6154" i="3"/>
  <c r="I5632" i="3"/>
  <c r="I5484" i="3"/>
  <c r="H3396" i="3"/>
  <c r="I2033" i="3"/>
  <c r="H3934" i="3"/>
  <c r="H6150" i="3"/>
  <c r="I916" i="3"/>
  <c r="H1780" i="3"/>
  <c r="H3940" i="3"/>
  <c r="I2422" i="3"/>
  <c r="H446" i="3"/>
  <c r="I2966" i="3"/>
  <c r="H5197" i="3"/>
  <c r="I5197" i="3"/>
  <c r="H1405" i="3"/>
  <c r="I1405" i="3"/>
  <c r="H5833" i="3"/>
  <c r="I5833" i="3"/>
  <c r="I4486" i="3"/>
  <c r="H4486" i="3"/>
  <c r="H48" i="3"/>
  <c r="I48" i="3"/>
  <c r="I6108" i="3"/>
  <c r="H6108" i="3"/>
  <c r="H437" i="3"/>
  <c r="I437" i="3"/>
  <c r="I1817" i="3"/>
  <c r="H1817" i="3"/>
  <c r="H486" i="3"/>
  <c r="I486" i="3"/>
  <c r="H2472" i="3"/>
  <c r="I2472" i="3"/>
  <c r="I2484" i="3"/>
  <c r="H2484" i="3"/>
  <c r="I5615" i="3"/>
  <c r="H5615" i="3"/>
  <c r="I6498" i="3"/>
  <c r="H4343" i="3"/>
  <c r="I4343" i="3"/>
  <c r="H4648" i="3"/>
  <c r="I4648" i="3"/>
  <c r="I6086" i="3"/>
  <c r="H6086" i="3"/>
  <c r="I6214" i="3"/>
  <c r="H6214" i="3"/>
  <c r="H5279" i="3"/>
  <c r="I5279" i="3"/>
  <c r="H6383" i="3"/>
  <c r="I6383" i="3"/>
  <c r="H905" i="3"/>
  <c r="I905" i="3"/>
  <c r="I5642" i="3"/>
  <c r="I4778" i="3"/>
  <c r="H6178" i="3"/>
  <c r="H4159" i="3"/>
  <c r="I4074" i="3"/>
  <c r="H4618" i="3"/>
  <c r="H5626" i="3"/>
  <c r="I6191" i="3"/>
  <c r="I2045" i="3"/>
  <c r="I4853" i="3"/>
  <c r="I5665" i="3"/>
  <c r="H1865" i="3"/>
  <c r="H1288" i="3"/>
  <c r="H924" i="3"/>
  <c r="I5112" i="3"/>
  <c r="I1276" i="3"/>
  <c r="H5001" i="3"/>
  <c r="H4384" i="3"/>
  <c r="I5107" i="3"/>
  <c r="H5137" i="3"/>
  <c r="H1558" i="3"/>
  <c r="I5073" i="3"/>
  <c r="I2004" i="3"/>
  <c r="H3574" i="3"/>
  <c r="I4060" i="3"/>
  <c r="H4313" i="3"/>
  <c r="H5141" i="3"/>
  <c r="H4541" i="3"/>
  <c r="I4910" i="3"/>
  <c r="H1846" i="3"/>
  <c r="H2009" i="3"/>
  <c r="H405" i="3"/>
  <c r="I2878" i="3"/>
  <c r="I989" i="3"/>
  <c r="H3768" i="3"/>
  <c r="I2400" i="3"/>
  <c r="I891" i="3"/>
  <c r="H6152" i="3"/>
  <c r="H2076" i="3"/>
  <c r="H3861" i="3"/>
  <c r="I4683" i="3"/>
  <c r="H4433" i="3"/>
  <c r="H6078" i="3"/>
  <c r="H5470" i="3"/>
  <c r="I934" i="3"/>
  <c r="I509" i="3"/>
  <c r="I3412" i="3"/>
  <c r="H513" i="3"/>
  <c r="H454" i="3"/>
  <c r="I3538" i="3"/>
  <c r="H3576" i="3"/>
  <c r="I1655" i="3"/>
  <c r="H1938" i="3"/>
  <c r="I2327" i="3"/>
  <c r="H3504" i="3"/>
  <c r="H2195" i="3"/>
  <c r="H1867" i="3"/>
  <c r="H6278" i="3"/>
  <c r="H3747" i="3"/>
  <c r="I3770" i="3"/>
  <c r="I2258" i="3"/>
  <c r="I422" i="3"/>
  <c r="I3579" i="3"/>
  <c r="H3790" i="3"/>
  <c r="H2187" i="3"/>
  <c r="H4810" i="3"/>
  <c r="H5418" i="3"/>
  <c r="I5179" i="3"/>
  <c r="I5699" i="3"/>
  <c r="I183" i="3"/>
  <c r="I311" i="3"/>
  <c r="H3687" i="3"/>
  <c r="H1029" i="3"/>
  <c r="I1163" i="3"/>
  <c r="H2231" i="3"/>
  <c r="I6253" i="3"/>
  <c r="H4135" i="3"/>
  <c r="H2914" i="3"/>
  <c r="I3504" i="3"/>
  <c r="H621" i="3"/>
  <c r="I5205" i="3"/>
  <c r="I4713" i="3"/>
  <c r="H4055" i="3"/>
  <c r="I1283" i="3"/>
  <c r="I1939" i="3"/>
  <c r="H2831" i="3"/>
  <c r="I5074" i="3"/>
  <c r="H131" i="3"/>
  <c r="I4472" i="3"/>
  <c r="H5138" i="3"/>
  <c r="H867" i="3"/>
  <c r="H3797" i="3"/>
  <c r="H441" i="3"/>
  <c r="I2786" i="3"/>
  <c r="H4894" i="3"/>
  <c r="H4539" i="3"/>
  <c r="I7" i="3"/>
  <c r="I4797" i="3"/>
  <c r="H1886" i="3"/>
  <c r="H4671" i="3"/>
  <c r="H3850" i="3"/>
  <c r="I3800" i="3"/>
  <c r="I423" i="3"/>
  <c r="H6559" i="3"/>
  <c r="I2779" i="3"/>
  <c r="H2011" i="3"/>
  <c r="I4603" i="3"/>
  <c r="H954" i="3"/>
  <c r="H6218" i="3"/>
  <c r="I2192" i="3"/>
  <c r="H4395" i="3"/>
  <c r="I4323" i="3"/>
  <c r="I1859" i="3"/>
  <c r="H21" i="3"/>
  <c r="I4819" i="3"/>
  <c r="I4883" i="3"/>
  <c r="I4955" i="3"/>
  <c r="I5115" i="3"/>
  <c r="I5243" i="3"/>
  <c r="I6115" i="3"/>
  <c r="I4562" i="3"/>
  <c r="I4647" i="3"/>
  <c r="I4214" i="3"/>
  <c r="H3534" i="3"/>
  <c r="H4971" i="3"/>
  <c r="I5011" i="3"/>
  <c r="H5312" i="3"/>
  <c r="H2034" i="3"/>
  <c r="I5675" i="3"/>
  <c r="H5554" i="3"/>
  <c r="H5725" i="3"/>
  <c r="I5661" i="3"/>
  <c r="I5424" i="3"/>
  <c r="H4811" i="3"/>
  <c r="I5906" i="3"/>
  <c r="I1871" i="3"/>
  <c r="I3299" i="3"/>
  <c r="H2480" i="3"/>
  <c r="H1891" i="3"/>
  <c r="I3459" i="3"/>
  <c r="H1110" i="3"/>
  <c r="H1119" i="3"/>
  <c r="I1459" i="3"/>
  <c r="I1387" i="3"/>
  <c r="H481" i="3"/>
  <c r="H1759" i="3"/>
  <c r="I6027" i="3"/>
  <c r="H308" i="3"/>
  <c r="I235" i="3"/>
  <c r="I5291" i="3"/>
  <c r="I630" i="3"/>
  <c r="H3482" i="3"/>
  <c r="H1263" i="3"/>
  <c r="I6611" i="3"/>
  <c r="H2992" i="3"/>
  <c r="H5621" i="3"/>
  <c r="I3099" i="3"/>
  <c r="H3091" i="3"/>
  <c r="H4306" i="3"/>
  <c r="I4483" i="3"/>
  <c r="I2219" i="3"/>
  <c r="I4787" i="3"/>
  <c r="H5040" i="3"/>
  <c r="H5757" i="3"/>
  <c r="H863" i="3"/>
  <c r="H6098" i="3"/>
  <c r="I1611" i="3"/>
  <c r="I5587" i="3"/>
  <c r="I2715" i="3"/>
  <c r="H2767" i="3"/>
  <c r="H1411" i="3"/>
  <c r="H416" i="3"/>
  <c r="H431" i="3"/>
  <c r="I5999" i="3"/>
  <c r="I1278" i="3"/>
  <c r="H4838" i="3"/>
  <c r="I6575" i="3"/>
  <c r="I2459" i="3"/>
  <c r="I635" i="3"/>
  <c r="H4808" i="3"/>
  <c r="H2171" i="3"/>
  <c r="I3399" i="3"/>
  <c r="I3246" i="3"/>
  <c r="I637" i="3"/>
  <c r="H2182" i="3"/>
  <c r="H2196" i="3"/>
  <c r="H2095" i="3"/>
  <c r="H1999" i="3"/>
  <c r="I4723" i="3"/>
  <c r="H4866" i="3"/>
  <c r="I1484" i="3"/>
  <c r="I1067" i="3"/>
  <c r="I196" i="3"/>
  <c r="H352" i="3"/>
  <c r="H1233" i="3"/>
  <c r="I219" i="3"/>
  <c r="H3683" i="3"/>
  <c r="I3652" i="3"/>
  <c r="I4242" i="3"/>
  <c r="I4245" i="3"/>
  <c r="I2211" i="3"/>
  <c r="I5381" i="3"/>
  <c r="H3272" i="3"/>
  <c r="H5987" i="3"/>
  <c r="H6336" i="3"/>
  <c r="H3440" i="3"/>
  <c r="I5723" i="3"/>
  <c r="I4722" i="3"/>
  <c r="H469" i="3"/>
  <c r="I778" i="3"/>
  <c r="I835" i="3"/>
  <c r="H831" i="3"/>
  <c r="I2144" i="3"/>
  <c r="I6267" i="3"/>
  <c r="I1306" i="3"/>
  <c r="I1351" i="3"/>
  <c r="H4832" i="3"/>
  <c r="H5864" i="3"/>
  <c r="H4658" i="3"/>
  <c r="H4280" i="3"/>
  <c r="I6139" i="3"/>
  <c r="I1522" i="3"/>
  <c r="I1555" i="3"/>
  <c r="H4834" i="3"/>
  <c r="I3379" i="3"/>
  <c r="H1823" i="3"/>
  <c r="H363" i="3"/>
  <c r="I2731" i="3"/>
  <c r="I2899" i="3"/>
  <c r="H2906" i="3"/>
  <c r="H5114" i="3"/>
  <c r="H3039" i="3"/>
  <c r="I3139" i="3"/>
  <c r="I3330" i="3"/>
  <c r="H4095" i="3"/>
  <c r="I4141" i="3"/>
  <c r="I4187" i="3"/>
  <c r="I4123" i="3"/>
  <c r="H4104" i="3"/>
  <c r="I4315" i="3"/>
  <c r="H5419" i="3"/>
  <c r="H3612" i="3"/>
  <c r="H2963" i="3"/>
  <c r="H2336" i="3"/>
  <c r="H4407" i="3"/>
  <c r="H4863" i="3"/>
  <c r="I2436" i="3"/>
  <c r="I3019" i="3"/>
  <c r="I5523" i="3"/>
  <c r="I5536" i="3"/>
  <c r="H4695" i="3"/>
  <c r="I2039" i="3"/>
  <c r="H5827" i="3"/>
  <c r="I6357" i="3"/>
  <c r="I3059" i="3"/>
  <c r="H450" i="3"/>
  <c r="H2066" i="3"/>
  <c r="H5917" i="3"/>
  <c r="H4791" i="3"/>
  <c r="H5538" i="3"/>
  <c r="H2280" i="3"/>
  <c r="H5512" i="3"/>
  <c r="H4730" i="3"/>
  <c r="I5063" i="3"/>
  <c r="H5555" i="3"/>
  <c r="I3959" i="3"/>
  <c r="I3832" i="3"/>
  <c r="H3970" i="3"/>
  <c r="I1215" i="3"/>
  <c r="I3488" i="3"/>
  <c r="H1595" i="3"/>
  <c r="H1691" i="3"/>
  <c r="H95" i="3"/>
  <c r="I2648" i="3"/>
  <c r="H2634" i="3"/>
  <c r="H2656" i="3"/>
  <c r="H2639" i="3"/>
  <c r="H2689" i="3"/>
  <c r="H3666" i="3"/>
  <c r="H4471" i="3"/>
  <c r="H111" i="3"/>
  <c r="I1251" i="3"/>
  <c r="H4949" i="3"/>
  <c r="I4949" i="3"/>
  <c r="H6085" i="3"/>
  <c r="I6085" i="3"/>
  <c r="I4367" i="3"/>
  <c r="H4607" i="3"/>
  <c r="I4607" i="3"/>
  <c r="H5101" i="3"/>
  <c r="I5101" i="3"/>
  <c r="I6149" i="3"/>
  <c r="H6149" i="3"/>
  <c r="H4661" i="3"/>
  <c r="I4661" i="3"/>
  <c r="I4847" i="3"/>
  <c r="H4847" i="3"/>
  <c r="H5183" i="3"/>
  <c r="I5183" i="3"/>
  <c r="H6159" i="3"/>
  <c r="I6159" i="3"/>
  <c r="I2775" i="3"/>
  <c r="H2775" i="3"/>
  <c r="I2951" i="3"/>
  <c r="H2951" i="3"/>
  <c r="H3125" i="3"/>
  <c r="I3125" i="3"/>
  <c r="H3456" i="3"/>
  <c r="I3456" i="3"/>
  <c r="H6530" i="3"/>
  <c r="I6530" i="3"/>
  <c r="H3769" i="3"/>
  <c r="I3769" i="3"/>
  <c r="I4865" i="3"/>
  <c r="H4865" i="3"/>
  <c r="I181" i="3"/>
  <c r="H181" i="3"/>
  <c r="I3347" i="3"/>
  <c r="H3347" i="3"/>
  <c r="H6289" i="3"/>
  <c r="I6289" i="3"/>
  <c r="H2283" i="3"/>
  <c r="I2283" i="3"/>
  <c r="H396" i="3"/>
  <c r="I396" i="3"/>
  <c r="I409" i="3"/>
  <c r="H409" i="3"/>
  <c r="I4091" i="3"/>
  <c r="H4091" i="3"/>
  <c r="H846" i="3"/>
  <c r="I846" i="3"/>
  <c r="I859" i="3"/>
  <c r="H859" i="3"/>
  <c r="H6009" i="3"/>
  <c r="I6009" i="3"/>
  <c r="H2325" i="3"/>
  <c r="I2325" i="3"/>
  <c r="H1802" i="3"/>
  <c r="I1802" i="3"/>
  <c r="H1861" i="3"/>
  <c r="I1861" i="3"/>
  <c r="H1308" i="3"/>
  <c r="I1308" i="3"/>
  <c r="I5605" i="3"/>
  <c r="H5605" i="3"/>
  <c r="I483" i="3"/>
  <c r="H483" i="3"/>
  <c r="I921" i="3"/>
  <c r="H921" i="3"/>
  <c r="H958" i="3"/>
  <c r="I958" i="3"/>
  <c r="I927" i="3"/>
  <c r="H927" i="3"/>
  <c r="H6464" i="3"/>
  <c r="I6464" i="3"/>
  <c r="H1673" i="3"/>
  <c r="I1673" i="3"/>
  <c r="I990" i="3"/>
  <c r="H990" i="3"/>
  <c r="I2410" i="3"/>
  <c r="H2410" i="3"/>
  <c r="I2390" i="3"/>
  <c r="H2390" i="3"/>
  <c r="I3243" i="3"/>
  <c r="H3243" i="3"/>
  <c r="H4864" i="3"/>
  <c r="I4864" i="3"/>
  <c r="H5472" i="3"/>
  <c r="I5472" i="3"/>
  <c r="I3127" i="3"/>
  <c r="H3127" i="3"/>
  <c r="I3558" i="3"/>
  <c r="H3558" i="3"/>
  <c r="H3596" i="3"/>
  <c r="I3596" i="3"/>
  <c r="H3578" i="3"/>
  <c r="I3578" i="3"/>
  <c r="I4929" i="3"/>
  <c r="H4929" i="3"/>
  <c r="I3010" i="3"/>
  <c r="H3010" i="3"/>
  <c r="H4679" i="3"/>
  <c r="I4679" i="3"/>
  <c r="I371" i="3"/>
  <c r="H371" i="3"/>
  <c r="I4291" i="3"/>
  <c r="H4291" i="3"/>
  <c r="I1250" i="3"/>
  <c r="H1250" i="3"/>
  <c r="H8" i="3"/>
  <c r="I8" i="3"/>
  <c r="H3726" i="3"/>
  <c r="I3726" i="3"/>
  <c r="H39" i="3"/>
  <c r="I39" i="3"/>
  <c r="I6420" i="3"/>
  <c r="H6420" i="3"/>
  <c r="I6091" i="3"/>
  <c r="H6091" i="3"/>
  <c r="I1051" i="3"/>
  <c r="H1051" i="3"/>
  <c r="I6373" i="3"/>
  <c r="H6373" i="3"/>
  <c r="I688" i="3"/>
  <c r="H688" i="3"/>
  <c r="H2184" i="3"/>
  <c r="I2184" i="3"/>
  <c r="I5786" i="3"/>
  <c r="H5786" i="3"/>
  <c r="I957" i="3"/>
  <c r="H957" i="3"/>
  <c r="H2175" i="3"/>
  <c r="I3439" i="3"/>
  <c r="H2400" i="3"/>
  <c r="I6208" i="3"/>
  <c r="I3845" i="3"/>
  <c r="H4690" i="3"/>
  <c r="I4690" i="3"/>
  <c r="H5413" i="3"/>
  <c r="I5413" i="3"/>
  <c r="H6413" i="3"/>
  <c r="I6413" i="3"/>
  <c r="H4263" i="3"/>
  <c r="I4263" i="3"/>
  <c r="H4999" i="3"/>
  <c r="I4999" i="3"/>
  <c r="I5431" i="3"/>
  <c r="H5431" i="3"/>
  <c r="H6223" i="3"/>
  <c r="I6223" i="3"/>
  <c r="H2778" i="3"/>
  <c r="I2778" i="3"/>
  <c r="H6264" i="3"/>
  <c r="I6264" i="3"/>
  <c r="I3437" i="3"/>
  <c r="H3437" i="3"/>
  <c r="H3418" i="3"/>
  <c r="I3418" i="3"/>
  <c r="H3077" i="3"/>
  <c r="I3077" i="3"/>
  <c r="H1578" i="3"/>
  <c r="I1578" i="3"/>
  <c r="H1997" i="3"/>
  <c r="I1997" i="3"/>
  <c r="H4756" i="3"/>
  <c r="I4756" i="3"/>
  <c r="I1736" i="3"/>
  <c r="H1736" i="3"/>
  <c r="H4424" i="3"/>
  <c r="I4424" i="3"/>
  <c r="H1106" i="3"/>
  <c r="I1106" i="3"/>
  <c r="I124" i="3"/>
  <c r="H124" i="3"/>
  <c r="I467" i="3"/>
  <c r="H467" i="3"/>
  <c r="I6475" i="3"/>
  <c r="H6475" i="3"/>
  <c r="I3360" i="3"/>
  <c r="H3360" i="3"/>
  <c r="H1704" i="3"/>
  <c r="I1704" i="3"/>
  <c r="I1187" i="3"/>
  <c r="H1187" i="3"/>
  <c r="H1811" i="3"/>
  <c r="I1811" i="3"/>
  <c r="H1819" i="3"/>
  <c r="I1819" i="3"/>
  <c r="I1804" i="3"/>
  <c r="H1804" i="3"/>
  <c r="I653" i="3"/>
  <c r="H653" i="3"/>
  <c r="I899" i="3"/>
  <c r="H899" i="3"/>
  <c r="H5744" i="3"/>
  <c r="I5744" i="3"/>
  <c r="H979" i="3"/>
  <c r="H6028" i="3"/>
  <c r="I6028" i="3"/>
  <c r="H4397" i="3"/>
  <c r="I4397" i="3"/>
  <c r="I4614" i="3"/>
  <c r="H4614" i="3"/>
  <c r="H2128" i="3"/>
  <c r="I2128" i="3"/>
  <c r="H2612" i="3"/>
  <c r="I2612" i="3"/>
  <c r="I2475" i="3"/>
  <c r="H2475" i="3"/>
  <c r="I2408" i="3"/>
  <c r="H2408" i="3"/>
  <c r="H2452" i="3"/>
  <c r="I2452" i="3"/>
  <c r="H4431" i="3"/>
  <c r="I4431" i="3"/>
  <c r="H1240" i="3"/>
  <c r="I1240" i="3"/>
  <c r="H5272" i="3"/>
  <c r="I5272" i="3"/>
  <c r="H3301" i="3"/>
  <c r="I3301" i="3"/>
  <c r="H3304" i="3"/>
  <c r="I3304" i="3"/>
  <c r="H6609" i="3"/>
  <c r="I6609" i="3"/>
  <c r="I265" i="3"/>
  <c r="H265" i="3"/>
  <c r="I3510" i="3"/>
  <c r="H3510" i="3"/>
  <c r="I4475" i="3"/>
  <c r="H4475" i="3"/>
  <c r="H3776" i="3"/>
  <c r="I3776" i="3"/>
  <c r="H4281" i="3"/>
  <c r="I4281" i="3"/>
  <c r="I4252" i="3"/>
  <c r="H4252" i="3"/>
  <c r="H4436" i="3"/>
  <c r="I4436" i="3"/>
  <c r="H2853" i="3"/>
  <c r="I2853" i="3"/>
  <c r="H2679" i="3"/>
  <c r="I2679" i="3"/>
  <c r="H5397" i="3"/>
  <c r="I5397" i="3"/>
  <c r="H1670" i="3"/>
  <c r="I1670" i="3"/>
  <c r="H3290" i="3"/>
  <c r="I3290" i="3"/>
  <c r="H3584" i="3"/>
  <c r="I3584" i="3"/>
  <c r="H2303" i="3"/>
  <c r="I2303" i="3"/>
  <c r="H136" i="3"/>
  <c r="I136" i="3"/>
  <c r="I387" i="3"/>
  <c r="H387" i="3"/>
  <c r="H664" i="3"/>
  <c r="I664" i="3"/>
  <c r="I1061" i="3"/>
  <c r="H1061" i="3"/>
  <c r="I1635" i="3"/>
  <c r="H1635" i="3"/>
  <c r="H1638" i="3"/>
  <c r="I1638" i="3"/>
  <c r="H6386" i="3"/>
  <c r="I6386" i="3"/>
  <c r="H1958" i="3"/>
  <c r="I1958" i="3"/>
  <c r="I2105" i="3"/>
  <c r="H2105" i="3"/>
  <c r="H4921" i="3"/>
  <c r="I4921" i="3"/>
  <c r="H2520" i="3"/>
  <c r="I2520" i="3"/>
  <c r="I137" i="3"/>
  <c r="H137" i="3"/>
  <c r="H1909" i="3"/>
  <c r="I1909" i="3"/>
  <c r="I2251" i="3"/>
  <c r="H2251" i="3"/>
  <c r="I2291" i="3"/>
  <c r="H2291" i="3"/>
  <c r="H2228" i="3"/>
  <c r="I2228" i="3"/>
  <c r="I1953" i="3"/>
  <c r="H1953" i="3"/>
  <c r="H2765" i="3"/>
  <c r="I2765" i="3"/>
  <c r="H4440" i="3"/>
  <c r="I4440" i="3"/>
  <c r="I3183" i="3"/>
  <c r="I2075" i="3"/>
  <c r="I5495" i="3"/>
  <c r="I2226" i="3"/>
  <c r="I3015" i="3"/>
  <c r="H2215" i="3"/>
  <c r="I4015" i="3"/>
  <c r="H4015" i="3"/>
  <c r="H4885" i="3"/>
  <c r="I4885" i="3"/>
  <c r="H6021" i="3"/>
  <c r="I6021" i="3"/>
  <c r="H6535" i="3"/>
  <c r="I6535" i="3"/>
  <c r="I3007" i="3"/>
  <c r="H3007" i="3"/>
  <c r="H5125" i="3"/>
  <c r="I5125" i="3"/>
  <c r="I4563" i="3"/>
  <c r="H4563" i="3"/>
  <c r="H6455" i="3"/>
  <c r="I6455" i="3"/>
  <c r="H2946" i="3"/>
  <c r="I2946" i="3"/>
  <c r="I684" i="3"/>
  <c r="H684" i="3"/>
  <c r="H2042" i="3"/>
  <c r="I2042" i="3"/>
  <c r="H6591" i="3"/>
  <c r="I6591" i="3"/>
  <c r="I6247" i="3"/>
  <c r="H6247" i="3"/>
  <c r="I4097" i="3"/>
  <c r="H4097" i="3"/>
  <c r="H1882" i="3"/>
  <c r="I1882" i="3"/>
  <c r="H1843" i="3"/>
  <c r="I1843" i="3"/>
  <c r="I4403" i="3"/>
  <c r="H4403" i="3"/>
  <c r="H490" i="3"/>
  <c r="I490" i="3"/>
  <c r="I3957" i="3"/>
  <c r="H3957" i="3"/>
  <c r="H5295" i="3"/>
  <c r="I5295" i="3"/>
  <c r="H5535" i="3"/>
  <c r="I5535" i="3"/>
  <c r="H3761" i="3"/>
  <c r="I3761" i="3"/>
  <c r="H5735" i="3"/>
  <c r="I5735" i="3"/>
  <c r="H5997" i="3"/>
  <c r="I5997" i="3"/>
  <c r="I2379" i="3"/>
  <c r="H2379" i="3"/>
  <c r="H2402" i="3"/>
  <c r="I2402" i="3"/>
  <c r="I2455" i="3"/>
  <c r="H2455" i="3"/>
  <c r="I5003" i="3"/>
  <c r="H5003" i="3"/>
  <c r="H4557" i="3"/>
  <c r="I4557" i="3"/>
  <c r="H5144" i="3"/>
  <c r="I5144" i="3"/>
  <c r="H6080" i="3"/>
  <c r="I6080" i="3"/>
  <c r="I3235" i="3"/>
  <c r="H3235" i="3"/>
  <c r="H3263" i="3"/>
  <c r="I3263" i="3"/>
  <c r="H4850" i="3"/>
  <c r="I4850" i="3"/>
  <c r="H3575" i="3"/>
  <c r="I3575" i="3"/>
  <c r="I5635" i="3"/>
  <c r="H5635" i="3"/>
  <c r="H4429" i="3"/>
  <c r="I4429" i="3"/>
  <c r="I3810" i="3"/>
  <c r="H3810" i="3"/>
  <c r="H3529" i="3"/>
  <c r="I3529" i="3"/>
  <c r="H4312" i="3"/>
  <c r="I4312" i="3"/>
  <c r="H2337" i="3"/>
  <c r="I2337" i="3"/>
  <c r="H6277" i="3"/>
  <c r="I6277" i="3"/>
  <c r="H3551" i="3"/>
  <c r="I3551" i="3"/>
  <c r="H1097" i="3"/>
  <c r="I1097" i="3"/>
  <c r="H4881" i="3"/>
  <c r="I4881" i="3"/>
  <c r="H4948" i="3"/>
  <c r="I4948" i="3"/>
  <c r="H4712" i="3"/>
  <c r="I4712" i="3"/>
  <c r="I6466" i="3"/>
  <c r="H6466" i="3"/>
  <c r="H135" i="3"/>
  <c r="I135" i="3"/>
  <c r="H1639" i="3"/>
  <c r="I1639" i="3"/>
  <c r="I1649" i="3"/>
  <c r="H1649" i="3"/>
  <c r="H6479" i="3"/>
  <c r="I6479" i="3"/>
  <c r="H3378" i="3"/>
  <c r="I3378" i="3"/>
  <c r="H2058" i="3"/>
  <c r="I2058" i="3"/>
  <c r="I1987" i="3"/>
  <c r="H1987" i="3"/>
  <c r="H2027" i="3"/>
  <c r="I2027" i="3"/>
  <c r="H1954" i="3"/>
  <c r="I1954" i="3"/>
  <c r="H2079" i="3"/>
  <c r="I2079" i="3"/>
  <c r="I2022" i="3"/>
  <c r="H2022" i="3"/>
  <c r="H1964" i="3"/>
  <c r="I1964" i="3"/>
  <c r="H679" i="3"/>
  <c r="I679" i="3"/>
  <c r="I2344" i="3"/>
  <c r="H2344" i="3"/>
  <c r="I158" i="3"/>
  <c r="H158" i="3"/>
  <c r="I163" i="3"/>
  <c r="H163" i="3"/>
  <c r="H4088" i="3"/>
  <c r="I4088" i="3"/>
  <c r="I683" i="3"/>
  <c r="H683" i="3"/>
  <c r="H2197" i="3"/>
  <c r="I2197" i="3"/>
  <c r="I2288" i="3"/>
  <c r="H2288" i="3"/>
  <c r="H2292" i="3"/>
  <c r="I2292" i="3"/>
  <c r="I4776" i="3"/>
  <c r="H4776" i="3"/>
  <c r="H4745" i="3"/>
  <c r="I4745" i="3"/>
  <c r="I5189" i="3"/>
  <c r="H5189" i="3"/>
  <c r="H1050" i="3"/>
  <c r="I1050" i="3"/>
  <c r="H1030" i="3"/>
  <c r="I1030" i="3"/>
  <c r="I3879" i="3"/>
  <c r="H3879" i="3"/>
  <c r="H5363" i="3"/>
  <c r="I2163" i="3"/>
  <c r="H75" i="3"/>
  <c r="H2552" i="3"/>
  <c r="I2122" i="3"/>
  <c r="H4821" i="3"/>
  <c r="I4821" i="3"/>
  <c r="H5229" i="3"/>
  <c r="I5229" i="3"/>
  <c r="H6054" i="3"/>
  <c r="I6054" i="3"/>
  <c r="H3420" i="3"/>
  <c r="I3420" i="3"/>
  <c r="I4714" i="3"/>
  <c r="H4714" i="3"/>
  <c r="H5119" i="3"/>
  <c r="I5119" i="3"/>
  <c r="I6095" i="3"/>
  <c r="H6095" i="3"/>
  <c r="H3354" i="3"/>
  <c r="I3354" i="3"/>
  <c r="H1200" i="3"/>
  <c r="I1200" i="3"/>
  <c r="H3944" i="3"/>
  <c r="I3944" i="3"/>
  <c r="H4516" i="3"/>
  <c r="I4516" i="3"/>
  <c r="I1537" i="3"/>
  <c r="H1537" i="3"/>
  <c r="H5680" i="3"/>
  <c r="I5680" i="3"/>
  <c r="H5500" i="3"/>
  <c r="I5500" i="3"/>
  <c r="I1697" i="3"/>
  <c r="H1697" i="3"/>
  <c r="H5250" i="3"/>
  <c r="I5250" i="3"/>
  <c r="H2260" i="3"/>
  <c r="I2260" i="3"/>
  <c r="H460" i="3"/>
  <c r="I460" i="3"/>
  <c r="I2918" i="3"/>
  <c r="H2918" i="3"/>
  <c r="I642" i="3"/>
  <c r="H642" i="3"/>
  <c r="H841" i="3"/>
  <c r="I841" i="3"/>
  <c r="H1185" i="3"/>
  <c r="I1185" i="3"/>
  <c r="H1280" i="3"/>
  <c r="I1280" i="3"/>
  <c r="I1876" i="3"/>
  <c r="I506" i="3"/>
  <c r="H506" i="3"/>
  <c r="I949" i="3"/>
  <c r="H949" i="3"/>
  <c r="I3635" i="3"/>
  <c r="H3635" i="3"/>
  <c r="H6004" i="3"/>
  <c r="I6004" i="3"/>
  <c r="H2449" i="3"/>
  <c r="I2449" i="3"/>
  <c r="H4116" i="3"/>
  <c r="I4116" i="3"/>
  <c r="H1311" i="3"/>
  <c r="I1311" i="3"/>
  <c r="I4298" i="3"/>
  <c r="H4298" i="3"/>
  <c r="I6016" i="3"/>
  <c r="H6016" i="3"/>
  <c r="H6568" i="3"/>
  <c r="I6568" i="3"/>
  <c r="H3240" i="3"/>
  <c r="I3240" i="3"/>
  <c r="I4750" i="3"/>
  <c r="H4750" i="3"/>
  <c r="I1577" i="3"/>
  <c r="H1577" i="3"/>
  <c r="I3507" i="3"/>
  <c r="H3507" i="3"/>
  <c r="I3544" i="3"/>
  <c r="H3544" i="3"/>
  <c r="H3514" i="3"/>
  <c r="I3514" i="3"/>
  <c r="H2511" i="3"/>
  <c r="I2511" i="3"/>
  <c r="H134" i="3"/>
  <c r="I134" i="3"/>
  <c r="I3793" i="3"/>
  <c r="H3793" i="3"/>
  <c r="I2839" i="3"/>
  <c r="H2839" i="3"/>
  <c r="H4301" i="3"/>
  <c r="I4301" i="3"/>
  <c r="I6486" i="3"/>
  <c r="H6486" i="3"/>
  <c r="H2652" i="3"/>
  <c r="I2652" i="3"/>
  <c r="H3615" i="3"/>
  <c r="I3615" i="3"/>
  <c r="I4701" i="3"/>
  <c r="H4701" i="3"/>
  <c r="I2531" i="3"/>
  <c r="H2531" i="3"/>
  <c r="I1158" i="3"/>
  <c r="H1158" i="3"/>
  <c r="H1340" i="3"/>
  <c r="I1340" i="3"/>
  <c r="I3700" i="3"/>
  <c r="H3700" i="3"/>
  <c r="I336" i="3"/>
  <c r="H336" i="3"/>
  <c r="I2880" i="3"/>
  <c r="H2880" i="3"/>
  <c r="H1895" i="3"/>
  <c r="I1895" i="3"/>
  <c r="H669" i="3"/>
  <c r="H671" i="3"/>
  <c r="I671" i="3"/>
  <c r="H1569" i="3"/>
  <c r="I1569" i="3"/>
  <c r="H1640" i="3"/>
  <c r="I1640" i="3"/>
  <c r="I1644" i="3"/>
  <c r="H1644" i="3"/>
  <c r="H2000" i="3"/>
  <c r="I2000" i="3"/>
  <c r="H1936" i="3"/>
  <c r="I1936" i="3"/>
  <c r="I2092" i="3"/>
  <c r="H2092" i="3"/>
  <c r="I2041" i="3"/>
  <c r="H2041" i="3"/>
  <c r="H5869" i="3"/>
  <c r="I5869" i="3"/>
  <c r="H4225" i="3"/>
  <c r="I4225" i="3"/>
  <c r="I1238" i="3"/>
  <c r="H1238" i="3"/>
  <c r="H2324" i="3"/>
  <c r="I2324" i="3"/>
  <c r="H526" i="3"/>
  <c r="I526" i="3"/>
  <c r="H6" i="3"/>
  <c r="I6" i="3"/>
  <c r="H3352" i="3"/>
  <c r="I3352" i="3"/>
  <c r="H1571" i="3"/>
  <c r="I1571" i="3"/>
  <c r="H2237" i="3"/>
  <c r="I2237" i="3"/>
  <c r="H2286" i="3"/>
  <c r="I2286" i="3"/>
  <c r="H2297" i="3"/>
  <c r="I2297" i="3"/>
  <c r="H2233" i="3"/>
  <c r="I2233" i="3"/>
  <c r="H2792" i="3"/>
  <c r="I2792" i="3"/>
  <c r="I3129" i="3"/>
  <c r="H3129" i="3"/>
  <c r="I147" i="3"/>
  <c r="H147" i="3"/>
  <c r="H3893" i="3"/>
  <c r="I3893" i="3"/>
  <c r="H3114" i="3"/>
  <c r="I3114" i="3"/>
  <c r="H3608" i="3"/>
  <c r="I5816" i="3"/>
  <c r="H6578" i="3"/>
  <c r="H1787" i="3"/>
  <c r="H3579" i="3"/>
  <c r="H1634" i="3"/>
  <c r="I1271" i="3"/>
  <c r="H3791" i="3"/>
  <c r="H1897" i="3"/>
  <c r="H5485" i="3"/>
  <c r="I5485" i="3"/>
  <c r="H4529" i="3"/>
  <c r="I4529" i="3"/>
  <c r="I681" i="3"/>
  <c r="H681" i="3"/>
  <c r="H3375" i="3"/>
  <c r="I3375" i="3"/>
  <c r="I4325" i="3"/>
  <c r="H4325" i="3"/>
  <c r="H4764" i="3"/>
  <c r="I4764" i="3"/>
  <c r="H464" i="3"/>
  <c r="I464" i="3"/>
  <c r="I5790" i="3"/>
  <c r="H5790" i="3"/>
  <c r="H2320" i="3"/>
  <c r="I2320" i="3"/>
  <c r="H881" i="3"/>
  <c r="I881" i="3"/>
  <c r="H1063" i="3"/>
  <c r="I1063" i="3"/>
  <c r="I1160" i="3"/>
  <c r="H1160" i="3"/>
  <c r="I512" i="3"/>
  <c r="H512" i="3"/>
  <c r="I3242" i="3"/>
  <c r="H3242" i="3"/>
  <c r="I1531" i="3"/>
  <c r="H1531" i="3"/>
  <c r="I3678" i="3"/>
  <c r="H3678" i="3"/>
  <c r="H3694" i="3"/>
  <c r="I3694" i="3"/>
  <c r="H4358" i="3"/>
  <c r="I4358" i="3"/>
  <c r="H4511" i="3"/>
  <c r="I4511" i="3"/>
  <c r="H1642" i="3"/>
  <c r="I1642" i="3"/>
  <c r="H1977" i="3"/>
  <c r="I1977" i="3"/>
  <c r="I1913" i="3"/>
  <c r="H1913" i="3"/>
  <c r="H3626" i="3"/>
  <c r="I3626" i="3"/>
  <c r="H732" i="3"/>
  <c r="I732" i="3"/>
  <c r="H2350" i="3"/>
  <c r="I2350" i="3"/>
  <c r="I2160" i="3"/>
  <c r="H2160" i="3"/>
  <c r="I2222" i="3"/>
  <c r="H2222" i="3"/>
  <c r="H2164" i="3"/>
  <c r="I2164" i="3"/>
  <c r="I2169" i="3"/>
  <c r="H2169" i="3"/>
  <c r="I2548" i="3"/>
  <c r="H2548" i="3"/>
  <c r="I971" i="3"/>
  <c r="H971" i="3"/>
  <c r="I3213" i="3"/>
  <c r="H3213" i="3"/>
  <c r="I5730" i="3"/>
  <c r="H5730" i="3"/>
  <c r="H4355" i="3"/>
  <c r="I1418" i="3"/>
  <c r="I2743" i="3"/>
  <c r="H4521" i="3"/>
  <c r="H5165" i="3"/>
  <c r="I5165" i="3"/>
  <c r="H6213" i="3"/>
  <c r="I6213" i="3"/>
  <c r="H4576" i="3"/>
  <c r="I4576" i="3"/>
  <c r="H4911" i="3"/>
  <c r="I4911" i="3"/>
  <c r="H5247" i="3"/>
  <c r="I5247" i="3"/>
  <c r="H6415" i="3"/>
  <c r="I6415" i="3"/>
  <c r="H2953" i="3"/>
  <c r="I2953" i="3"/>
  <c r="H3392" i="3"/>
  <c r="I3392" i="3"/>
  <c r="H5528" i="3"/>
  <c r="I5528" i="3"/>
  <c r="H3104" i="3"/>
  <c r="I3104" i="3"/>
  <c r="I1287" i="3"/>
  <c r="H1287" i="3"/>
  <c r="H4048" i="3"/>
  <c r="I4048" i="3"/>
  <c r="H5701" i="3"/>
  <c r="I5701" i="3"/>
  <c r="H439" i="3"/>
  <c r="I439" i="3"/>
  <c r="H4456" i="3"/>
  <c r="I4456" i="3"/>
  <c r="I644" i="3"/>
  <c r="H644" i="3"/>
  <c r="H977" i="3"/>
  <c r="I977" i="3"/>
  <c r="H2812" i="3"/>
  <c r="I2812" i="3"/>
  <c r="H1565" i="3"/>
  <c r="I1565" i="3"/>
  <c r="H1896" i="3"/>
  <c r="I1896" i="3"/>
  <c r="H1821" i="3"/>
  <c r="I1821" i="3"/>
  <c r="H4968" i="3"/>
  <c r="I4968" i="3"/>
  <c r="H2153" i="3"/>
  <c r="I2153" i="3"/>
  <c r="H2550" i="3"/>
  <c r="I2550" i="3"/>
  <c r="I933" i="3"/>
  <c r="H933" i="3"/>
  <c r="I873" i="3"/>
  <c r="H873" i="3"/>
  <c r="H6380" i="3"/>
  <c r="I6380" i="3"/>
  <c r="I67" i="3"/>
  <c r="H67" i="3"/>
  <c r="I209" i="3"/>
  <c r="H209" i="3"/>
  <c r="H4716" i="3"/>
  <c r="I4716" i="3"/>
  <c r="I2403" i="3"/>
  <c r="H2403" i="3"/>
  <c r="I2391" i="3"/>
  <c r="H2391" i="3"/>
  <c r="H2385" i="3"/>
  <c r="I2385" i="3"/>
  <c r="I5" i="3"/>
  <c r="H5" i="3"/>
  <c r="I4653" i="3"/>
  <c r="H4653" i="3"/>
  <c r="H5208" i="3"/>
  <c r="I5208" i="3"/>
  <c r="H6144" i="3"/>
  <c r="I6144" i="3"/>
  <c r="H3261" i="3"/>
  <c r="I3261" i="3"/>
  <c r="H3321" i="3"/>
  <c r="I3321" i="3"/>
  <c r="H3592" i="3"/>
  <c r="I3592" i="3"/>
  <c r="H3492" i="3"/>
  <c r="I3492" i="3"/>
  <c r="H3511" i="3"/>
  <c r="I3511" i="3"/>
  <c r="H5453" i="3"/>
  <c r="I5453" i="3"/>
  <c r="H1785" i="3"/>
  <c r="I1785" i="3"/>
  <c r="H4332" i="3"/>
  <c r="I4332" i="3"/>
  <c r="I5762" i="3"/>
  <c r="H5762" i="3"/>
  <c r="I3979" i="3"/>
  <c r="H3979" i="3"/>
  <c r="H2069" i="3"/>
  <c r="I2069" i="3"/>
  <c r="H1925" i="3"/>
  <c r="I1925" i="3"/>
  <c r="H2061" i="3"/>
  <c r="I2061" i="3"/>
  <c r="H2104" i="3"/>
  <c r="I2104" i="3"/>
  <c r="H2015" i="3"/>
  <c r="I2015" i="3"/>
  <c r="H2028" i="3"/>
  <c r="I2028" i="3"/>
  <c r="H6224" i="3"/>
  <c r="I6224" i="3"/>
  <c r="H1393" i="3"/>
  <c r="I1393" i="3"/>
  <c r="H2341" i="3"/>
  <c r="I2341" i="3"/>
  <c r="I2323" i="3"/>
  <c r="H2323" i="3"/>
  <c r="H6258" i="3"/>
  <c r="I6258" i="3"/>
  <c r="I77" i="3"/>
  <c r="H77" i="3"/>
  <c r="I164" i="3"/>
  <c r="H164" i="3"/>
  <c r="I2267" i="3"/>
  <c r="H2267" i="3"/>
  <c r="I2109" i="3"/>
  <c r="H2109" i="3"/>
  <c r="H2279" i="3"/>
  <c r="I2279" i="3"/>
  <c r="H2158" i="3"/>
  <c r="I6526" i="3"/>
  <c r="H6526" i="3"/>
  <c r="H5752" i="3"/>
  <c r="I5752" i="3"/>
  <c r="H4428" i="3"/>
  <c r="I4428" i="3"/>
  <c r="H2329" i="3"/>
  <c r="I2329" i="3"/>
  <c r="H2354" i="3"/>
  <c r="I2354" i="3"/>
  <c r="I4601" i="3"/>
  <c r="H4601" i="3"/>
  <c r="I1339" i="3"/>
  <c r="H2120" i="3"/>
  <c r="H1059" i="3"/>
  <c r="H2931" i="3"/>
  <c r="H7" i="3"/>
  <c r="I3768" i="3"/>
  <c r="I4512" i="3"/>
  <c r="I1562" i="3"/>
  <c r="H5193" i="3"/>
  <c r="I5193" i="3"/>
  <c r="H2815" i="3"/>
  <c r="I2815" i="3"/>
  <c r="H2833" i="3"/>
  <c r="I2833" i="3"/>
  <c r="H5232" i="3"/>
  <c r="I5232" i="3"/>
  <c r="H3997" i="3"/>
  <c r="I3997" i="3"/>
  <c r="H3994" i="3"/>
  <c r="I3994" i="3"/>
  <c r="I2206" i="3"/>
  <c r="H2206" i="3"/>
  <c r="I6454" i="3"/>
  <c r="H6454" i="3"/>
  <c r="I1589" i="3"/>
  <c r="H1589" i="3"/>
  <c r="H4570" i="3"/>
  <c r="I4570" i="3"/>
  <c r="H6482" i="3"/>
  <c r="I6482" i="3"/>
  <c r="I3545" i="3"/>
  <c r="H3545" i="3"/>
  <c r="H560" i="3"/>
  <c r="I560" i="3"/>
  <c r="H36" i="3"/>
  <c r="I36" i="3"/>
  <c r="H3950" i="3"/>
  <c r="I3950" i="3"/>
  <c r="I4678" i="3"/>
  <c r="H4678" i="3"/>
  <c r="H5156" i="3"/>
  <c r="I5156" i="3"/>
  <c r="H5324" i="3"/>
  <c r="I5324" i="3"/>
  <c r="I5005" i="3"/>
  <c r="H5005" i="3"/>
  <c r="H2735" i="3"/>
  <c r="I2735" i="3"/>
  <c r="H444" i="3"/>
  <c r="I444" i="3"/>
  <c r="H5260" i="3"/>
  <c r="I5260" i="3"/>
  <c r="H1094" i="3"/>
  <c r="I1094" i="3"/>
  <c r="I1385" i="3"/>
  <c r="H1385" i="3"/>
  <c r="H1434" i="3"/>
  <c r="I1434" i="3"/>
  <c r="H1487" i="3"/>
  <c r="I1487" i="3"/>
  <c r="H5266" i="3"/>
  <c r="I5266" i="3"/>
  <c r="H3036" i="3"/>
  <c r="I3036" i="3"/>
  <c r="H1754" i="3"/>
  <c r="H1745" i="3"/>
  <c r="I1745" i="3"/>
  <c r="I341" i="3"/>
  <c r="H341" i="3"/>
  <c r="H279" i="3"/>
  <c r="I279" i="3"/>
  <c r="H5986" i="3"/>
  <c r="I5986" i="3"/>
  <c r="H96" i="3"/>
  <c r="I96" i="3"/>
  <c r="I1253" i="3"/>
  <c r="H1253" i="3"/>
  <c r="H1937" i="3"/>
  <c r="I1937" i="3"/>
  <c r="I2929" i="3"/>
  <c r="H2929" i="3"/>
  <c r="H3111" i="3"/>
  <c r="I3111" i="3"/>
  <c r="H3932" i="3"/>
  <c r="I3932" i="3"/>
  <c r="H4488" i="3"/>
  <c r="I4488" i="3"/>
  <c r="I4782" i="3"/>
  <c r="H4782" i="3"/>
  <c r="I1457" i="3"/>
  <c r="H1457" i="3"/>
  <c r="H6439" i="3"/>
  <c r="I6439" i="3"/>
  <c r="H564" i="3"/>
  <c r="I564" i="3"/>
  <c r="I225" i="3"/>
  <c r="H225" i="3"/>
  <c r="H3388" i="3"/>
  <c r="I3388" i="3"/>
  <c r="I3166" i="3"/>
  <c r="H3166" i="3"/>
  <c r="H5782" i="3"/>
  <c r="I5782" i="3"/>
  <c r="H6327" i="3"/>
  <c r="I6327" i="3"/>
  <c r="I5700" i="3"/>
  <c r="H5700" i="3"/>
  <c r="H820" i="3"/>
  <c r="I820" i="3"/>
  <c r="H5984" i="3"/>
  <c r="I5984" i="3"/>
  <c r="H836" i="3"/>
  <c r="I836" i="3"/>
  <c r="I788" i="3"/>
  <c r="H788" i="3"/>
  <c r="H4520" i="3"/>
  <c r="I4520" i="3"/>
  <c r="H6452" i="3"/>
  <c r="I6452" i="3"/>
  <c r="H1525" i="3"/>
  <c r="I1525" i="3"/>
  <c r="H1712" i="3"/>
  <c r="I1712" i="3"/>
  <c r="H1790" i="3"/>
  <c r="I1790" i="3"/>
  <c r="I2312" i="3"/>
  <c r="H2312" i="3"/>
  <c r="I1982" i="3"/>
  <c r="H1982" i="3"/>
  <c r="H4142" i="3"/>
  <c r="I4142" i="3"/>
  <c r="I4177" i="3"/>
  <c r="H4177" i="3"/>
  <c r="H2842" i="3"/>
  <c r="I2842" i="3"/>
  <c r="H31" i="3"/>
  <c r="I31" i="3"/>
  <c r="I4772" i="3"/>
  <c r="H4772" i="3"/>
  <c r="I5518" i="3"/>
  <c r="H5518" i="3"/>
  <c r="H4180" i="3"/>
  <c r="I4180" i="3"/>
  <c r="H2533" i="3"/>
  <c r="I2533" i="3"/>
  <c r="I2686" i="3"/>
  <c r="H2686" i="3"/>
  <c r="H2606" i="3"/>
  <c r="I2606" i="3"/>
  <c r="I1312" i="3"/>
  <c r="H1312" i="3"/>
  <c r="H5941" i="3"/>
  <c r="I5941" i="3"/>
  <c r="I6574" i="3"/>
  <c r="H6574" i="3"/>
  <c r="I4306" i="3"/>
  <c r="I4730" i="3"/>
  <c r="I2912" i="3"/>
  <c r="I1759" i="3"/>
  <c r="H5424" i="3"/>
  <c r="H2436" i="3"/>
  <c r="I6268" i="3"/>
  <c r="H6157" i="3"/>
  <c r="I6157" i="3"/>
  <c r="I5150" i="3"/>
  <c r="H5150" i="3"/>
  <c r="I6390" i="3"/>
  <c r="H6390" i="3"/>
  <c r="H5063" i="3"/>
  <c r="I5503" i="3"/>
  <c r="H5503" i="3"/>
  <c r="H2790" i="3"/>
  <c r="I2790" i="3"/>
  <c r="I3006" i="3"/>
  <c r="H3006" i="3"/>
  <c r="H3431" i="3"/>
  <c r="I3431" i="3"/>
  <c r="H5433" i="3"/>
  <c r="I5433" i="3"/>
  <c r="H1530" i="3"/>
  <c r="I1530" i="3"/>
  <c r="H6538" i="3"/>
  <c r="I6538" i="3"/>
  <c r="I4700" i="3"/>
  <c r="H4700" i="3"/>
  <c r="H2264" i="3"/>
  <c r="I2264" i="3"/>
  <c r="H404" i="3"/>
  <c r="I404" i="3"/>
  <c r="H2148" i="3"/>
  <c r="I2148" i="3"/>
  <c r="H1852" i="3"/>
  <c r="I1852" i="3"/>
  <c r="I484" i="3"/>
  <c r="H484" i="3"/>
  <c r="H998" i="3"/>
  <c r="I998" i="3"/>
  <c r="H1208" i="3"/>
  <c r="I1208" i="3"/>
  <c r="H5152" i="3"/>
  <c r="I5152" i="3"/>
  <c r="H6576" i="3"/>
  <c r="I6576" i="3"/>
  <c r="H3548" i="3"/>
  <c r="I3548" i="3"/>
  <c r="H3481" i="3"/>
  <c r="I3481" i="3"/>
  <c r="I2646" i="3"/>
  <c r="H2646" i="3"/>
  <c r="H1099" i="3"/>
  <c r="H1507" i="3"/>
  <c r="H1931" i="3"/>
  <c r="H891" i="3"/>
  <c r="H1179" i="3"/>
  <c r="H1387" i="3"/>
  <c r="H835" i="3"/>
  <c r="H1459" i="3"/>
  <c r="H1611" i="3"/>
  <c r="H1859" i="3"/>
  <c r="H2227" i="3"/>
  <c r="H2387" i="3"/>
  <c r="H2539" i="3"/>
  <c r="H3003" i="3"/>
  <c r="H3139" i="3"/>
  <c r="H3299" i="3"/>
  <c r="H395" i="3"/>
  <c r="H635" i="3"/>
  <c r="H3427" i="3"/>
  <c r="H4011" i="3"/>
  <c r="I1411" i="3"/>
  <c r="I1891" i="3"/>
  <c r="H4347" i="3"/>
  <c r="H4955" i="3"/>
  <c r="H5699" i="3"/>
  <c r="H6139" i="3"/>
  <c r="H5381" i="3"/>
  <c r="H4335" i="3"/>
  <c r="H4647" i="3"/>
  <c r="H4767" i="3"/>
  <c r="H4983" i="3"/>
  <c r="H5815" i="3"/>
  <c r="H4872" i="3"/>
  <c r="H5816" i="3"/>
  <c r="H4722" i="3"/>
  <c r="H4946" i="3"/>
  <c r="H4696" i="3"/>
  <c r="H810" i="3"/>
  <c r="H1522" i="3"/>
  <c r="H4242" i="3"/>
  <c r="H4562" i="3"/>
  <c r="I2336" i="3"/>
  <c r="H2848" i="3"/>
  <c r="H4098" i="3"/>
  <c r="H6026" i="3"/>
  <c r="H3183" i="3"/>
  <c r="H3399" i="3"/>
  <c r="I4295" i="3"/>
  <c r="I4791" i="3"/>
  <c r="I5768" i="3"/>
  <c r="H3048" i="3"/>
  <c r="I6559" i="3"/>
  <c r="I3612" i="3"/>
  <c r="H3744" i="3"/>
  <c r="I4395" i="3"/>
  <c r="H6561" i="3"/>
  <c r="I6561" i="3"/>
  <c r="H5805" i="3"/>
  <c r="I5805" i="3"/>
  <c r="H6536" i="3"/>
  <c r="I6536" i="3"/>
  <c r="H5162" i="3"/>
  <c r="I5162" i="3"/>
  <c r="H3632" i="3"/>
  <c r="I3632" i="3"/>
  <c r="H4593" i="3"/>
  <c r="I4593" i="3"/>
  <c r="H5896" i="3"/>
  <c r="I5896" i="3"/>
  <c r="H5660" i="3"/>
  <c r="I5660" i="3"/>
  <c r="H1113" i="3"/>
  <c r="I1113" i="3"/>
  <c r="H2409" i="3"/>
  <c r="I2409" i="3"/>
  <c r="H4492" i="3"/>
  <c r="I4492" i="3"/>
  <c r="I6176" i="3"/>
  <c r="H6176" i="3"/>
  <c r="H2869" i="3"/>
  <c r="I2869" i="3"/>
  <c r="I2718" i="3"/>
  <c r="H2718" i="3"/>
  <c r="H1592" i="3"/>
  <c r="I1592" i="3"/>
  <c r="H2609" i="3"/>
  <c r="I2609" i="3"/>
  <c r="I1336" i="3"/>
  <c r="H1336" i="3"/>
  <c r="H4108" i="3"/>
  <c r="I4108" i="3"/>
  <c r="H5945" i="3"/>
  <c r="I5945" i="3"/>
  <c r="H674" i="3"/>
  <c r="I674" i="3"/>
  <c r="I1092" i="3"/>
  <c r="H1092" i="3"/>
  <c r="I5974" i="3"/>
  <c r="H5974" i="3"/>
  <c r="I589" i="3"/>
  <c r="H589" i="3"/>
  <c r="H1033" i="3"/>
  <c r="I1033" i="3"/>
  <c r="H2661" i="3"/>
  <c r="I2661" i="3"/>
  <c r="H6485" i="3"/>
  <c r="I6485" i="3"/>
  <c r="I6126" i="3"/>
  <c r="H6126" i="3"/>
  <c r="I6167" i="3"/>
  <c r="I2062" i="3"/>
  <c r="H2062" i="3"/>
  <c r="I453" i="3"/>
  <c r="H453" i="3"/>
  <c r="H854" i="3"/>
  <c r="I854" i="3"/>
  <c r="H1167" i="3"/>
  <c r="I1167" i="3"/>
  <c r="H900" i="3"/>
  <c r="I900" i="3"/>
  <c r="H2446" i="3"/>
  <c r="I2446" i="3"/>
  <c r="I5088" i="3"/>
  <c r="H5088" i="3"/>
  <c r="H4370" i="3"/>
  <c r="I4370" i="3"/>
  <c r="H3804" i="3"/>
  <c r="I3804" i="3"/>
  <c r="I2221" i="3"/>
  <c r="H2221" i="3"/>
  <c r="H6001" i="3"/>
  <c r="I6001" i="3"/>
  <c r="H2804" i="3"/>
  <c r="I2804" i="3"/>
  <c r="H3668" i="3"/>
  <c r="I3668" i="3"/>
  <c r="H6153" i="3"/>
  <c r="I6153" i="3"/>
  <c r="I1319" i="3"/>
  <c r="H1319" i="3"/>
  <c r="H4065" i="3"/>
  <c r="I4065" i="3"/>
  <c r="H5793" i="3"/>
  <c r="I5793" i="3"/>
  <c r="I4365" i="3"/>
  <c r="H4365" i="3"/>
  <c r="H4484" i="3"/>
  <c r="I4484" i="3"/>
  <c r="I4161" i="3"/>
  <c r="H4161" i="3"/>
  <c r="H5498" i="3"/>
  <c r="I5498" i="3"/>
  <c r="H3732" i="3"/>
  <c r="I3732" i="3"/>
  <c r="I4804" i="3"/>
  <c r="H4804" i="3"/>
  <c r="H5284" i="3"/>
  <c r="I5284" i="3"/>
  <c r="H3069" i="3"/>
  <c r="I3069" i="3"/>
  <c r="I1421" i="3"/>
  <c r="H1421" i="3"/>
  <c r="I4452" i="3"/>
  <c r="H5311" i="3"/>
  <c r="I5311" i="3"/>
  <c r="H5561" i="3"/>
  <c r="I5561" i="3"/>
  <c r="H5639" i="3"/>
  <c r="I5639" i="3"/>
  <c r="H5863" i="3"/>
  <c r="I5863" i="3"/>
  <c r="H4047" i="3"/>
  <c r="I4047" i="3"/>
  <c r="I566" i="3"/>
  <c r="H566" i="3"/>
  <c r="I1494" i="3"/>
  <c r="H1494" i="3"/>
  <c r="I1126" i="3"/>
  <c r="H1126" i="3"/>
  <c r="H714" i="3"/>
  <c r="I714" i="3"/>
  <c r="I5084" i="3"/>
  <c r="H5084" i="3"/>
  <c r="I1417" i="3"/>
  <c r="H1417" i="3"/>
  <c r="I1720" i="3"/>
  <c r="H1720" i="3"/>
  <c r="H5825" i="3"/>
  <c r="I5825" i="3"/>
  <c r="H2505" i="3"/>
  <c r="I2505" i="3"/>
  <c r="H1401" i="3"/>
  <c r="I1401" i="3"/>
  <c r="H326" i="3"/>
  <c r="I326" i="3"/>
  <c r="H194" i="3"/>
  <c r="I194" i="3"/>
  <c r="I345" i="3"/>
  <c r="H345" i="3"/>
  <c r="H260" i="3"/>
  <c r="I260" i="3"/>
  <c r="H3929" i="3"/>
  <c r="I3929" i="3"/>
  <c r="H4482" i="3"/>
  <c r="I4482" i="3"/>
  <c r="H5044" i="3"/>
  <c r="I5044" i="3"/>
  <c r="H5629" i="3"/>
  <c r="I5629" i="3"/>
  <c r="I3853" i="3"/>
  <c r="H3853" i="3"/>
  <c r="H3704" i="3"/>
  <c r="I3704" i="3"/>
  <c r="H2199" i="3"/>
  <c r="I2199" i="3"/>
  <c r="I5363" i="3"/>
  <c r="I1045" i="3"/>
  <c r="H1045" i="3"/>
  <c r="H6325" i="3"/>
  <c r="I6325" i="3"/>
  <c r="H1669" i="3"/>
  <c r="I1669" i="3"/>
  <c r="I769" i="3"/>
  <c r="H769" i="3"/>
  <c r="H3829" i="3"/>
  <c r="I3829" i="3"/>
  <c r="H5708" i="3"/>
  <c r="I5708" i="3"/>
  <c r="H6588" i="3"/>
  <c r="I6588" i="3"/>
  <c r="H1157" i="3"/>
  <c r="I1157" i="3"/>
  <c r="H1708" i="3"/>
  <c r="I1708" i="3"/>
  <c r="H1912" i="3"/>
  <c r="I1912" i="3"/>
  <c r="H3337" i="3"/>
  <c r="I3337" i="3"/>
  <c r="I4205" i="3"/>
  <c r="H4205" i="3"/>
  <c r="H4113" i="3"/>
  <c r="I4113" i="3"/>
  <c r="I6161" i="3"/>
  <c r="H6161" i="3"/>
  <c r="H2749" i="3"/>
  <c r="I2749" i="3"/>
  <c r="H4405" i="3"/>
  <c r="I4405" i="3"/>
  <c r="H5830" i="3"/>
  <c r="I5830" i="3"/>
  <c r="H6281" i="3"/>
  <c r="I6281" i="3"/>
  <c r="H4600" i="3"/>
  <c r="I4600" i="3"/>
  <c r="H607" i="3"/>
  <c r="I607" i="3"/>
  <c r="H752" i="3"/>
  <c r="I752" i="3"/>
  <c r="I5077" i="3"/>
  <c r="H5077" i="3"/>
  <c r="H6036" i="3"/>
  <c r="I6036" i="3"/>
  <c r="H3019" i="3"/>
  <c r="H4771" i="3"/>
  <c r="I2280" i="3"/>
  <c r="I2760" i="3"/>
  <c r="I3082" i="3"/>
  <c r="I5618" i="3"/>
  <c r="H215" i="3"/>
  <c r="I5960" i="3"/>
  <c r="H4829" i="3"/>
  <c r="I4829" i="3"/>
  <c r="H4957" i="3"/>
  <c r="I4957" i="3"/>
  <c r="H6029" i="3"/>
  <c r="I6029" i="3"/>
  <c r="H5086" i="3"/>
  <c r="I5086" i="3"/>
  <c r="H5998" i="3"/>
  <c r="I5998" i="3"/>
  <c r="I6190" i="3"/>
  <c r="H6190" i="3"/>
  <c r="H4302" i="3"/>
  <c r="I4302" i="3"/>
  <c r="H3124" i="3"/>
  <c r="I3124" i="3"/>
  <c r="H3417" i="3"/>
  <c r="I3417" i="3"/>
  <c r="H5028" i="3"/>
  <c r="I5028" i="3"/>
  <c r="I4264" i="3"/>
  <c r="H4264" i="3"/>
  <c r="H1441" i="3"/>
  <c r="I1441" i="3"/>
  <c r="H1584" i="3"/>
  <c r="I1584" i="3"/>
  <c r="H608" i="3"/>
  <c r="I608" i="3"/>
  <c r="I5545" i="3"/>
  <c r="H5545" i="3"/>
  <c r="H1298" i="3"/>
  <c r="I1298" i="3"/>
  <c r="I870" i="3"/>
  <c r="H870" i="3"/>
  <c r="H1566" i="3"/>
  <c r="I1566" i="3"/>
  <c r="H2624" i="3"/>
  <c r="I2624" i="3"/>
  <c r="H3781" i="3"/>
  <c r="I3781" i="3"/>
  <c r="I1230" i="3"/>
  <c r="H1230" i="3"/>
  <c r="H2485" i="3"/>
  <c r="I2485" i="3"/>
  <c r="I5553" i="3"/>
  <c r="H5553" i="3"/>
  <c r="H2441" i="3"/>
  <c r="I2441" i="3"/>
  <c r="I261" i="3"/>
  <c r="H261" i="3"/>
  <c r="H4308" i="3"/>
  <c r="I4308" i="3"/>
  <c r="H3600" i="3"/>
  <c r="I3600" i="3"/>
  <c r="H6448" i="3"/>
  <c r="I6448" i="3"/>
  <c r="H2836" i="3"/>
  <c r="I2836" i="3"/>
  <c r="H1211" i="3"/>
  <c r="H1555" i="3"/>
  <c r="H1739" i="3"/>
  <c r="H2787" i="3"/>
  <c r="H3027" i="3"/>
  <c r="H3099" i="3"/>
  <c r="H3515" i="3"/>
  <c r="H4443" i="3"/>
  <c r="H4603" i="3"/>
  <c r="H5115" i="3"/>
  <c r="H5179" i="3"/>
  <c r="H5243" i="3"/>
  <c r="H5459" i="3"/>
  <c r="H5523" i="3"/>
  <c r="H5587" i="3"/>
  <c r="I2767" i="3"/>
  <c r="I5421" i="3"/>
  <c r="H778" i="3"/>
  <c r="H3330" i="3"/>
  <c r="H423" i="3"/>
  <c r="H823" i="3"/>
  <c r="I4071" i="3"/>
  <c r="H2144" i="3"/>
  <c r="I4584" i="3"/>
  <c r="I4808" i="3"/>
  <c r="I3234" i="3"/>
  <c r="I3682" i="3"/>
  <c r="I4202" i="3"/>
  <c r="I4834" i="3"/>
  <c r="H311" i="3"/>
  <c r="I863" i="3"/>
  <c r="I4376" i="3"/>
  <c r="I6288" i="3"/>
  <c r="I1770" i="3"/>
  <c r="I4658" i="3"/>
  <c r="I831" i="3"/>
  <c r="H1871" i="3"/>
  <c r="H2527" i="3"/>
  <c r="I4919" i="3"/>
  <c r="H1888" i="3"/>
  <c r="I4072" i="3"/>
  <c r="I1495" i="3"/>
  <c r="I2992" i="3"/>
  <c r="I6336" i="3"/>
  <c r="I1754" i="3"/>
  <c r="I3970" i="3"/>
  <c r="H1215" i="3"/>
  <c r="I1501" i="3"/>
  <c r="I308" i="3"/>
  <c r="I549" i="3"/>
  <c r="H549" i="3"/>
  <c r="I3465" i="3"/>
  <c r="H3465" i="3"/>
  <c r="H3573" i="3"/>
  <c r="I3573" i="3"/>
  <c r="I4932" i="3"/>
  <c r="H4932" i="3"/>
  <c r="I6606" i="3"/>
  <c r="H6606" i="3"/>
  <c r="H3516" i="3"/>
  <c r="I3516" i="3"/>
  <c r="H5314" i="3"/>
  <c r="I5314" i="3"/>
  <c r="I3462" i="3"/>
  <c r="H3462" i="3"/>
  <c r="H2997" i="3"/>
  <c r="I2997" i="3"/>
  <c r="I705" i="3"/>
  <c r="H705" i="3"/>
  <c r="I5849" i="3"/>
  <c r="H5849" i="3"/>
  <c r="I84" i="3"/>
  <c r="H84" i="3"/>
  <c r="I1109" i="3"/>
  <c r="H1109" i="3"/>
  <c r="H1446" i="3"/>
  <c r="I1446" i="3"/>
  <c r="H1138" i="3"/>
  <c r="I1138" i="3"/>
  <c r="H1773" i="3"/>
  <c r="I1773" i="3"/>
  <c r="H2528" i="3"/>
  <c r="I2528" i="3"/>
  <c r="H222" i="3"/>
  <c r="I222" i="3"/>
  <c r="H217" i="3"/>
  <c r="I217" i="3"/>
  <c r="H2988" i="3"/>
  <c r="I2988" i="3"/>
  <c r="I1777" i="3"/>
  <c r="H1777" i="3"/>
  <c r="I1262" i="3"/>
  <c r="H1262" i="3"/>
  <c r="H5120" i="3"/>
  <c r="I5120" i="3"/>
  <c r="I4502" i="3"/>
  <c r="H4502" i="3"/>
  <c r="I3542" i="3"/>
  <c r="H3542" i="3"/>
  <c r="H4157" i="3"/>
  <c r="I4157" i="3"/>
  <c r="H6441" i="3"/>
  <c r="I6441" i="3"/>
  <c r="H4476" i="3"/>
  <c r="I4476" i="3"/>
  <c r="I272" i="3"/>
  <c r="H272" i="3"/>
  <c r="H543" i="3"/>
  <c r="I543" i="3"/>
  <c r="I5382" i="3"/>
  <c r="H5382" i="3"/>
  <c r="I5987" i="3"/>
  <c r="H5706" i="3"/>
  <c r="I5706" i="3"/>
  <c r="I4197" i="3"/>
  <c r="H4197" i="3"/>
  <c r="H840" i="3"/>
  <c r="I840" i="3"/>
  <c r="I813" i="3"/>
  <c r="H813" i="3"/>
  <c r="H6476" i="3"/>
  <c r="I6476" i="3"/>
  <c r="H1136" i="3"/>
  <c r="I1136" i="3"/>
  <c r="H1710" i="3"/>
  <c r="I1710" i="3"/>
  <c r="I1026" i="3"/>
  <c r="H1026" i="3"/>
  <c r="I2582" i="3"/>
  <c r="H2582" i="3"/>
  <c r="H620" i="3"/>
  <c r="I620" i="3"/>
  <c r="H1149" i="3"/>
  <c r="I1149" i="3"/>
  <c r="I3485" i="3"/>
  <c r="H3485" i="3"/>
  <c r="H1559" i="3"/>
  <c r="I1559" i="3"/>
  <c r="H1781" i="3"/>
  <c r="I1781" i="3"/>
  <c r="H3064" i="3"/>
  <c r="I3064" i="3"/>
  <c r="I3852" i="3"/>
  <c r="H3852" i="3"/>
  <c r="H4168" i="3"/>
  <c r="I4168" i="3"/>
  <c r="H1645" i="3"/>
  <c r="I1645" i="3"/>
  <c r="H4766" i="3"/>
  <c r="I4766" i="3"/>
  <c r="H4961" i="3"/>
  <c r="I4961" i="3"/>
  <c r="I6494" i="3"/>
  <c r="H6494" i="3"/>
  <c r="H6295" i="3"/>
  <c r="H2726" i="3"/>
  <c r="I2726" i="3"/>
  <c r="H1557" i="3"/>
  <c r="I1557" i="3"/>
  <c r="I3622" i="3"/>
  <c r="H3622" i="3"/>
  <c r="I120" i="3"/>
  <c r="H120" i="3"/>
  <c r="H6020" i="3"/>
  <c r="I6020" i="3"/>
  <c r="H4855" i="3"/>
  <c r="H5191" i="3"/>
  <c r="I5191" i="3"/>
  <c r="H6039" i="3"/>
  <c r="I6039" i="3"/>
  <c r="H2949" i="3"/>
  <c r="I2949" i="3"/>
  <c r="H3080" i="3"/>
  <c r="I3080" i="3"/>
  <c r="H604" i="3"/>
  <c r="I604" i="3"/>
  <c r="I473" i="3"/>
  <c r="H473" i="3"/>
  <c r="H468" i="3"/>
  <c r="I468" i="3"/>
  <c r="H1512" i="3"/>
  <c r="I1512" i="3"/>
  <c r="H632" i="3"/>
  <c r="I632" i="3"/>
  <c r="H5564" i="3"/>
  <c r="I5564" i="3"/>
  <c r="I1184" i="3"/>
  <c r="H1184" i="3"/>
  <c r="H1868" i="3"/>
  <c r="I1868" i="3"/>
  <c r="I1806" i="3"/>
  <c r="H1806" i="3"/>
  <c r="H3508" i="3"/>
  <c r="I3508" i="3"/>
  <c r="I929" i="3"/>
  <c r="H929" i="3"/>
  <c r="H948" i="3"/>
  <c r="I948" i="3"/>
  <c r="H2737" i="3"/>
  <c r="I2737" i="3"/>
  <c r="H4900" i="3"/>
  <c r="I4900" i="3"/>
  <c r="H510" i="3"/>
  <c r="I510" i="3"/>
  <c r="I1932" i="3"/>
  <c r="H1932" i="3"/>
  <c r="H2386" i="3"/>
  <c r="I2386" i="3"/>
  <c r="H2444" i="3"/>
  <c r="I2444" i="3"/>
  <c r="H6226" i="3"/>
  <c r="I6226" i="3"/>
  <c r="I3310" i="3"/>
  <c r="H3310" i="3"/>
  <c r="H3245" i="3"/>
  <c r="I3245" i="3"/>
  <c r="H5881" i="3"/>
  <c r="I5881" i="3"/>
  <c r="H1529" i="3"/>
  <c r="I1529" i="3"/>
  <c r="I3567" i="3"/>
  <c r="H3567" i="3"/>
  <c r="H4777" i="3"/>
  <c r="I4777" i="3"/>
  <c r="H2334" i="3"/>
  <c r="I2334" i="3"/>
  <c r="H3789" i="3"/>
  <c r="I3789" i="3"/>
  <c r="H1083" i="3"/>
  <c r="H2347" i="3"/>
  <c r="H2579" i="3"/>
  <c r="H2715" i="3"/>
  <c r="H3035" i="3"/>
  <c r="H35" i="3"/>
  <c r="H99" i="3"/>
  <c r="H3459" i="3"/>
  <c r="H3603" i="3"/>
  <c r="H3819" i="3"/>
  <c r="I2187" i="3"/>
  <c r="H4315" i="3"/>
  <c r="H4699" i="3"/>
  <c r="H4787" i="3"/>
  <c r="H4923" i="3"/>
  <c r="H5315" i="3"/>
  <c r="H5739" i="3"/>
  <c r="H6171" i="3"/>
  <c r="H6243" i="3"/>
  <c r="H6531" i="3"/>
  <c r="I5519" i="3"/>
  <c r="I6423" i="3"/>
  <c r="I826" i="3"/>
  <c r="I2066" i="3"/>
  <c r="I3410" i="3"/>
  <c r="I4114" i="3"/>
  <c r="I4770" i="3"/>
  <c r="I5354" i="3"/>
  <c r="I111" i="3"/>
  <c r="I663" i="3"/>
  <c r="I1119" i="3"/>
  <c r="I1327" i="3"/>
  <c r="I2480" i="3"/>
  <c r="I2640" i="3"/>
  <c r="I2832" i="3"/>
  <c r="I3440" i="3"/>
  <c r="I3608" i="3"/>
  <c r="I647" i="3"/>
  <c r="I4471" i="3"/>
  <c r="I6032" i="3"/>
  <c r="I6592" i="3"/>
  <c r="I2634" i="3"/>
  <c r="I1255" i="3"/>
  <c r="H2039" i="3"/>
  <c r="H5999" i="3"/>
  <c r="I5418" i="3"/>
  <c r="I2591" i="3"/>
  <c r="H6167" i="3"/>
  <c r="I954" i="3"/>
  <c r="I3482" i="3"/>
  <c r="I4000" i="3"/>
  <c r="I4304" i="3"/>
  <c r="I1263" i="3"/>
  <c r="I4893" i="3"/>
  <c r="I2689" i="3"/>
  <c r="H5129" i="3"/>
  <c r="I3534" i="3"/>
  <c r="H3581" i="3"/>
  <c r="H4905" i="3"/>
  <c r="I4905" i="3"/>
  <c r="H5465" i="3"/>
  <c r="I5465" i="3"/>
  <c r="H6417" i="3"/>
  <c r="I6417" i="3"/>
  <c r="I897" i="3"/>
  <c r="H897" i="3"/>
  <c r="H3869" i="3"/>
  <c r="I3869" i="3"/>
  <c r="H3880" i="3"/>
  <c r="I3880" i="3"/>
  <c r="H3145" i="3"/>
  <c r="I3145" i="3"/>
  <c r="H4054" i="3"/>
  <c r="I4054" i="3"/>
  <c r="H4068" i="3"/>
  <c r="I4068" i="3"/>
  <c r="H4001" i="3"/>
  <c r="I4001" i="3"/>
  <c r="I6508" i="3"/>
  <c r="H6508" i="3"/>
  <c r="H492" i="3"/>
  <c r="I492" i="3"/>
  <c r="I4676" i="3"/>
  <c r="H4676" i="3"/>
  <c r="H1044" i="3"/>
  <c r="I1044" i="3"/>
  <c r="I801" i="3"/>
  <c r="H801" i="3"/>
  <c r="H5396" i="3"/>
  <c r="I5396" i="3"/>
  <c r="H4882" i="3"/>
  <c r="I4882" i="3"/>
  <c r="H6252" i="3"/>
  <c r="I6252" i="3"/>
  <c r="H2746" i="3"/>
  <c r="I2746" i="3"/>
  <c r="H2198" i="3"/>
  <c r="I2198" i="3"/>
  <c r="H3913" i="3"/>
  <c r="I3913" i="3"/>
  <c r="H5302" i="3"/>
  <c r="I5302" i="3"/>
  <c r="H5596" i="3"/>
  <c r="I5596" i="3"/>
  <c r="H5646" i="3"/>
  <c r="I5646" i="3"/>
  <c r="H5244" i="3"/>
  <c r="I5244" i="3"/>
  <c r="H2860" i="3"/>
  <c r="I2860" i="3"/>
  <c r="H5885" i="3"/>
  <c r="I5885" i="3"/>
  <c r="I817" i="3"/>
  <c r="H817" i="3"/>
  <c r="H5196" i="3"/>
  <c r="I5196" i="3"/>
  <c r="I89" i="3"/>
  <c r="H89" i="3"/>
  <c r="H178" i="3"/>
  <c r="I178" i="3"/>
  <c r="I712" i="3"/>
  <c r="H712" i="3"/>
  <c r="H1080" i="3"/>
  <c r="I1080" i="3"/>
  <c r="I5745" i="3"/>
  <c r="H5745" i="3"/>
  <c r="I1302" i="3"/>
  <c r="H1302" i="3"/>
  <c r="I1366" i="3"/>
  <c r="H1366" i="3"/>
  <c r="H1461" i="3"/>
  <c r="I1461" i="3"/>
  <c r="H1404" i="3"/>
  <c r="I1404" i="3"/>
  <c r="H1703" i="3"/>
  <c r="I1703" i="3"/>
  <c r="H1732" i="3"/>
  <c r="I1732" i="3"/>
  <c r="H2519" i="3"/>
  <c r="I2519" i="3"/>
  <c r="H221" i="3"/>
  <c r="I221" i="3"/>
  <c r="I280" i="3"/>
  <c r="H280" i="3"/>
  <c r="I356" i="3"/>
  <c r="H356" i="3"/>
  <c r="I224" i="3"/>
  <c r="H224" i="3"/>
  <c r="I4287" i="3"/>
  <c r="H4287" i="3"/>
  <c r="H3991" i="3"/>
  <c r="I3991" i="3"/>
  <c r="I3091" i="3"/>
  <c r="I545" i="3"/>
  <c r="H545" i="3"/>
  <c r="H3662" i="3"/>
  <c r="I3662" i="3"/>
  <c r="H5053" i="3"/>
  <c r="I5053" i="3"/>
  <c r="I5391" i="3"/>
  <c r="H5391" i="3"/>
  <c r="I6345" i="3"/>
  <c r="H6345" i="3"/>
  <c r="I3001" i="3"/>
  <c r="H3001" i="3"/>
  <c r="H1128" i="3"/>
  <c r="I1128" i="3"/>
  <c r="I1342" i="3"/>
  <c r="H1342" i="3"/>
  <c r="H1301" i="3"/>
  <c r="I1301" i="3"/>
  <c r="H751" i="3"/>
  <c r="I751" i="3"/>
  <c r="H1580" i="3"/>
  <c r="I1580" i="3"/>
  <c r="H1513" i="3"/>
  <c r="I1513" i="3"/>
  <c r="H537" i="3"/>
  <c r="I537" i="3"/>
  <c r="I2193" i="3"/>
  <c r="H2193" i="3"/>
  <c r="H2001" i="3"/>
  <c r="I2001" i="3"/>
  <c r="H6274" i="3"/>
  <c r="I6274" i="3"/>
  <c r="I46" i="3"/>
  <c r="H46" i="3"/>
  <c r="H2301" i="3"/>
  <c r="I2301" i="3"/>
  <c r="H1359" i="3"/>
  <c r="I1359" i="3"/>
  <c r="I592" i="3"/>
  <c r="H592" i="3"/>
  <c r="H2596" i="3"/>
  <c r="I2596" i="3"/>
  <c r="I734" i="3"/>
  <c r="H734" i="3"/>
  <c r="H2654" i="3"/>
  <c r="I2654" i="3"/>
  <c r="H6408" i="3"/>
  <c r="I6408" i="3"/>
  <c r="H636" i="3"/>
  <c r="I636" i="3"/>
  <c r="H2779" i="3"/>
  <c r="I5109" i="3"/>
  <c r="H5109" i="3"/>
  <c r="I4814" i="3"/>
  <c r="H4814" i="3"/>
  <c r="H4942" i="3"/>
  <c r="I4942" i="3"/>
  <c r="I6062" i="3"/>
  <c r="H6062" i="3"/>
  <c r="I3425" i="3"/>
  <c r="H3425" i="3"/>
  <c r="H3384" i="3"/>
  <c r="I3384" i="3"/>
  <c r="H1452" i="3"/>
  <c r="I1452" i="3"/>
  <c r="I1614" i="3"/>
  <c r="H1614" i="3"/>
  <c r="H6082" i="3"/>
  <c r="I6082" i="3"/>
  <c r="I872" i="3"/>
  <c r="H872" i="3"/>
  <c r="H6124" i="3"/>
  <c r="I6124" i="3"/>
  <c r="H1629" i="3"/>
  <c r="I1629" i="3"/>
  <c r="H482" i="3"/>
  <c r="I482" i="3"/>
  <c r="H904" i="3"/>
  <c r="I904" i="3"/>
  <c r="I3745" i="3"/>
  <c r="H3745" i="3"/>
  <c r="H996" i="3"/>
  <c r="I996" i="3"/>
  <c r="I2381" i="3"/>
  <c r="H2381" i="3"/>
  <c r="I1396" i="3"/>
  <c r="H1396" i="3"/>
  <c r="H4329" i="3"/>
  <c r="I4329" i="3"/>
  <c r="I3297" i="3"/>
  <c r="H3297" i="3"/>
  <c r="H3278" i="3"/>
  <c r="I3278" i="3"/>
  <c r="H3506" i="3"/>
  <c r="I3506" i="3"/>
  <c r="H4213" i="3"/>
  <c r="I4213" i="3"/>
  <c r="I4324" i="3"/>
  <c r="H4324" i="3"/>
  <c r="H1437" i="3"/>
  <c r="I1437" i="3"/>
  <c r="H2363" i="3"/>
  <c r="H2659" i="3"/>
  <c r="H2899" i="3"/>
  <c r="H235" i="3"/>
  <c r="H299" i="3"/>
  <c r="H3531" i="3"/>
  <c r="H3611" i="3"/>
  <c r="H3899" i="3"/>
  <c r="H819" i="3"/>
  <c r="H4323" i="3"/>
  <c r="H4619" i="3"/>
  <c r="H4995" i="3"/>
  <c r="H5675" i="3"/>
  <c r="H5899" i="3"/>
  <c r="H6027" i="3"/>
  <c r="H6459" i="3"/>
  <c r="I3687" i="3"/>
  <c r="I3855" i="3"/>
  <c r="I4095" i="3"/>
  <c r="I4216" i="3"/>
  <c r="I4640" i="3"/>
  <c r="I4832" i="3"/>
  <c r="I5808" i="3"/>
  <c r="I5127" i="3"/>
  <c r="I1018" i="3"/>
  <c r="I1490" i="3"/>
  <c r="I2834" i="3"/>
  <c r="I2911" i="3"/>
  <c r="I4208" i="3"/>
  <c r="I5647" i="3"/>
  <c r="I5597" i="3"/>
  <c r="I1602" i="3"/>
  <c r="I2034" i="3"/>
  <c r="I3666" i="3"/>
  <c r="I2943" i="3"/>
  <c r="H3367" i="3"/>
  <c r="I5015" i="3"/>
  <c r="H5743" i="3"/>
  <c r="I2632" i="3"/>
  <c r="I4104" i="3"/>
  <c r="I3728" i="3"/>
  <c r="H1600" i="3"/>
  <c r="I3533" i="3"/>
  <c r="H5710" i="3"/>
  <c r="H5265" i="3"/>
  <c r="I5265" i="3"/>
  <c r="H2873" i="3"/>
  <c r="I2873" i="3"/>
  <c r="I2846" i="3"/>
  <c r="H2846" i="3"/>
  <c r="I2982" i="3"/>
  <c r="H2982" i="3"/>
  <c r="H3884" i="3"/>
  <c r="I3884" i="3"/>
  <c r="H4008" i="3"/>
  <c r="I4008" i="3"/>
  <c r="H1533" i="3"/>
  <c r="I1533" i="3"/>
  <c r="H1016" i="3"/>
  <c r="I1016" i="3"/>
  <c r="H6344" i="3"/>
  <c r="I6344" i="3"/>
  <c r="H4050" i="3"/>
  <c r="I4050" i="3"/>
  <c r="H3886" i="3"/>
  <c r="I3886" i="3"/>
  <c r="H4665" i="3"/>
  <c r="I4665" i="3"/>
  <c r="H5098" i="3"/>
  <c r="I5098" i="3"/>
  <c r="H5884" i="3"/>
  <c r="I5884" i="3"/>
  <c r="H3928" i="3"/>
  <c r="I3928" i="3"/>
  <c r="H189" i="3"/>
  <c r="I189" i="3"/>
  <c r="H4359" i="3"/>
  <c r="I4359" i="3"/>
  <c r="I3381" i="3"/>
  <c r="H3381" i="3"/>
  <c r="H5476" i="3"/>
  <c r="I5476" i="3"/>
  <c r="H2744" i="3"/>
  <c r="I2744" i="3"/>
  <c r="H5689" i="3"/>
  <c r="I5689" i="3"/>
  <c r="I5703" i="3"/>
  <c r="H5703" i="3"/>
  <c r="I5582" i="3"/>
  <c r="H5582" i="3"/>
  <c r="I5390" i="3"/>
  <c r="H5390" i="3"/>
  <c r="I3054" i="3"/>
  <c r="H3054" i="3"/>
  <c r="I5913" i="3"/>
  <c r="H5913" i="3"/>
  <c r="I1028" i="3"/>
  <c r="H1028" i="3"/>
  <c r="H3938" i="3"/>
  <c r="I3938" i="3"/>
  <c r="H1360" i="3"/>
  <c r="I1360" i="3"/>
  <c r="H1055" i="3"/>
  <c r="I1055" i="3"/>
  <c r="H2134" i="3"/>
  <c r="I2134" i="3"/>
  <c r="H1718" i="3"/>
  <c r="I1718" i="3"/>
  <c r="H1236" i="3"/>
  <c r="I1236" i="3"/>
  <c r="H2629" i="3"/>
  <c r="I2629" i="3"/>
  <c r="I205" i="3"/>
  <c r="H205" i="3"/>
  <c r="I253" i="3"/>
  <c r="H253" i="3"/>
  <c r="H4965" i="3"/>
  <c r="I4965" i="3"/>
  <c r="H1700" i="3"/>
  <c r="I1700" i="3"/>
  <c r="H1626" i="3"/>
  <c r="I1626" i="3"/>
  <c r="H2758" i="3"/>
  <c r="I2758" i="3"/>
  <c r="I157" i="3"/>
  <c r="H157" i="3"/>
  <c r="H4490" i="3"/>
  <c r="I4490" i="3"/>
  <c r="I5038" i="3"/>
  <c r="H5038" i="3"/>
  <c r="H6437" i="3"/>
  <c r="I6437" i="3"/>
  <c r="H6292" i="3"/>
  <c r="I6292" i="3"/>
  <c r="H3208" i="3"/>
  <c r="I3208" i="3"/>
  <c r="H3672" i="3"/>
  <c r="I3672" i="3"/>
  <c r="H5049" i="3"/>
  <c r="I5049" i="3"/>
  <c r="H3734" i="3"/>
  <c r="I3734" i="3"/>
  <c r="I2913" i="3"/>
  <c r="H2913" i="3"/>
  <c r="H1310" i="3"/>
  <c r="I1310" i="3"/>
  <c r="H5716" i="3"/>
  <c r="I5716" i="3"/>
  <c r="H1023" i="3"/>
  <c r="I1023" i="3"/>
  <c r="H1586" i="3"/>
  <c r="I1586" i="3"/>
  <c r="H2586" i="3"/>
  <c r="I2586" i="3"/>
  <c r="H1135" i="3"/>
  <c r="I1135" i="3"/>
  <c r="I1517" i="3"/>
  <c r="H1517" i="3"/>
  <c r="H1532" i="3"/>
  <c r="I1532" i="3"/>
  <c r="H2504" i="3"/>
  <c r="I2504" i="3"/>
  <c r="I372" i="3"/>
  <c r="H372" i="3"/>
  <c r="I772" i="3"/>
  <c r="H772" i="3"/>
  <c r="H3058" i="3"/>
  <c r="I3058" i="3"/>
  <c r="H3735" i="3"/>
  <c r="I3735" i="3"/>
  <c r="I4132" i="3"/>
  <c r="H4132" i="3"/>
  <c r="H4447" i="3"/>
  <c r="I4447" i="3"/>
  <c r="H4748" i="3"/>
  <c r="I4748" i="3"/>
  <c r="H5841" i="3"/>
  <c r="I5841" i="3"/>
  <c r="H1333" i="3"/>
  <c r="I1333" i="3"/>
  <c r="H6301" i="3"/>
  <c r="I6301" i="3"/>
  <c r="H6369" i="3"/>
  <c r="I6369" i="3"/>
  <c r="H5925" i="3"/>
  <c r="I5925" i="3"/>
  <c r="I606" i="3"/>
  <c r="H606" i="3"/>
  <c r="I2645" i="3"/>
  <c r="H2645" i="3"/>
  <c r="I2644" i="3"/>
  <c r="H2644" i="3"/>
  <c r="H6140" i="3"/>
  <c r="I6140" i="3"/>
  <c r="H1526" i="3"/>
  <c r="I1526" i="3"/>
  <c r="H102" i="3"/>
  <c r="I102" i="3"/>
  <c r="H4817" i="3"/>
  <c r="I4817" i="3"/>
  <c r="H2601" i="3"/>
  <c r="I2601" i="3"/>
  <c r="H5723" i="3"/>
  <c r="H4617" i="3"/>
  <c r="I4617" i="3"/>
  <c r="H5237" i="3"/>
  <c r="I5278" i="3"/>
  <c r="H5278" i="3"/>
  <c r="H4543" i="3"/>
  <c r="I4543" i="3"/>
  <c r="H6103" i="3"/>
  <c r="I6103" i="3"/>
  <c r="H5876" i="3"/>
  <c r="I5876" i="3"/>
  <c r="H3428" i="3"/>
  <c r="I3428" i="3"/>
  <c r="H3448" i="3"/>
  <c r="I3448" i="3"/>
  <c r="H5882" i="3"/>
  <c r="I5882" i="3"/>
  <c r="I3774" i="3"/>
  <c r="H3774" i="3"/>
  <c r="H4518" i="3"/>
  <c r="I4518" i="3"/>
  <c r="I6398" i="3"/>
  <c r="H6398" i="3"/>
  <c r="I3324" i="3"/>
  <c r="H3324" i="3"/>
  <c r="H5959" i="3"/>
  <c r="I5959" i="3"/>
  <c r="H3169" i="3"/>
  <c r="I3169" i="3"/>
  <c r="H4344" i="3"/>
  <c r="I4344" i="3"/>
  <c r="H1831" i="3"/>
  <c r="I1831" i="3"/>
  <c r="H890" i="3"/>
  <c r="I890" i="3"/>
  <c r="H952" i="3"/>
  <c r="I952" i="3"/>
  <c r="I5428" i="3"/>
  <c r="H5428" i="3"/>
  <c r="H5567" i="3"/>
  <c r="I5567" i="3"/>
  <c r="H2437" i="3"/>
  <c r="I2437" i="3"/>
  <c r="H2377" i="3"/>
  <c r="I2377" i="3"/>
  <c r="H3541" i="3"/>
  <c r="I3541" i="3"/>
  <c r="H4936" i="3"/>
  <c r="I4936" i="3"/>
  <c r="H6024" i="3"/>
  <c r="I6024" i="3"/>
  <c r="H3021" i="3"/>
  <c r="I3021" i="3"/>
  <c r="H3298" i="3"/>
  <c r="I3298" i="3"/>
  <c r="H1041" i="3"/>
  <c r="I1041" i="3"/>
  <c r="I3496" i="3"/>
  <c r="H3496" i="3"/>
  <c r="H3585" i="3"/>
  <c r="I3585" i="3"/>
  <c r="H3785" i="3"/>
  <c r="I3785" i="3"/>
  <c r="I4357" i="3"/>
  <c r="H4357" i="3"/>
  <c r="H4293" i="3"/>
  <c r="I4293" i="3"/>
  <c r="H5236" i="3"/>
  <c r="I5236" i="3"/>
  <c r="H600" i="3"/>
  <c r="I600" i="3"/>
  <c r="H2211" i="3"/>
  <c r="H2459" i="3"/>
  <c r="H2731" i="3"/>
  <c r="H3059" i="3"/>
  <c r="H51" i="3"/>
  <c r="H115" i="3"/>
  <c r="H459" i="3"/>
  <c r="H619" i="3"/>
  <c r="H3835" i="3"/>
  <c r="H4075" i="3"/>
  <c r="I1595" i="3"/>
  <c r="I1691" i="3"/>
  <c r="H4123" i="3"/>
  <c r="H4187" i="3"/>
  <c r="H5547" i="3"/>
  <c r="H5611" i="3"/>
  <c r="H6115" i="3"/>
  <c r="H6267" i="3"/>
  <c r="H6403" i="3"/>
  <c r="H6611" i="3"/>
  <c r="I3194" i="3"/>
  <c r="I4170" i="3"/>
  <c r="I5554" i="3"/>
  <c r="I6218" i="3"/>
  <c r="I919" i="3"/>
  <c r="I6543" i="3"/>
  <c r="I2610" i="3"/>
  <c r="I503" i="3"/>
  <c r="I5351" i="3"/>
  <c r="I5935" i="3"/>
  <c r="I3272" i="3"/>
  <c r="I5040" i="3"/>
  <c r="I5512" i="3"/>
  <c r="I6152" i="3"/>
  <c r="I2714" i="3"/>
  <c r="I5538" i="3"/>
  <c r="H5655" i="3"/>
  <c r="I5114" i="3"/>
  <c r="I95" i="3"/>
  <c r="I2639" i="3"/>
  <c r="H343" i="3"/>
  <c r="I4455" i="3"/>
  <c r="I4695" i="3"/>
  <c r="I6098" i="3"/>
  <c r="I5568" i="3"/>
  <c r="I5864" i="3"/>
  <c r="I6372" i="3"/>
  <c r="I6060" i="3"/>
  <c r="I5065" i="3"/>
  <c r="H5065" i="3"/>
  <c r="H6137" i="3"/>
  <c r="I6137" i="3"/>
  <c r="I2877" i="3"/>
  <c r="H2877" i="3"/>
  <c r="H1076" i="3"/>
  <c r="I1076" i="3"/>
  <c r="I3854" i="3"/>
  <c r="H3854" i="3"/>
  <c r="H3865" i="3"/>
  <c r="I3865" i="3"/>
  <c r="H994" i="3"/>
  <c r="I994" i="3"/>
  <c r="H4061" i="3"/>
  <c r="I4061" i="3"/>
  <c r="I4058" i="3"/>
  <c r="H4058" i="3"/>
  <c r="H377" i="3"/>
  <c r="I377" i="3"/>
  <c r="H332" i="3"/>
  <c r="I332" i="3"/>
  <c r="H5226" i="3"/>
  <c r="I5226" i="3"/>
  <c r="H6090" i="3"/>
  <c r="I6090" i="3"/>
  <c r="H2977" i="3"/>
  <c r="I2977" i="3"/>
  <c r="H3317" i="3"/>
  <c r="I3317" i="3"/>
  <c r="H4085" i="3"/>
  <c r="I4085" i="3"/>
  <c r="I696" i="3"/>
  <c r="H696" i="3"/>
  <c r="H4314" i="3"/>
  <c r="I4314" i="3"/>
  <c r="H5220" i="3"/>
  <c r="I5220" i="3"/>
  <c r="H4214" i="3"/>
  <c r="H5313" i="3"/>
  <c r="I5313" i="3"/>
  <c r="H3556" i="3"/>
  <c r="I3556" i="3"/>
  <c r="H928" i="3"/>
  <c r="I928" i="3"/>
  <c r="H5682" i="3"/>
  <c r="I5682" i="3"/>
  <c r="I5696" i="3"/>
  <c r="H5696" i="3"/>
  <c r="H5575" i="3"/>
  <c r="I5575" i="3"/>
  <c r="I6582" i="3"/>
  <c r="H6582" i="3"/>
  <c r="I5870" i="3"/>
  <c r="H5870" i="3"/>
  <c r="I2761" i="3"/>
  <c r="H2761" i="3"/>
  <c r="I1108" i="3"/>
  <c r="H1108" i="3"/>
  <c r="H1408" i="3"/>
  <c r="I1408" i="3"/>
  <c r="H1378" i="3"/>
  <c r="I1378" i="3"/>
  <c r="I1367" i="3"/>
  <c r="H1367" i="3"/>
  <c r="H2893" i="3"/>
  <c r="I2893" i="3"/>
  <c r="I236" i="3"/>
  <c r="H236" i="3"/>
  <c r="H296" i="3"/>
  <c r="I296" i="3"/>
  <c r="H1297" i="3"/>
  <c r="I1297" i="3"/>
  <c r="H5943" i="3"/>
  <c r="I5943" i="3"/>
  <c r="I2987" i="3"/>
  <c r="H5151" i="3"/>
  <c r="I5151" i="3"/>
  <c r="I1750" i="3"/>
  <c r="H1750" i="3"/>
  <c r="H2270" i="3"/>
  <c r="I2270" i="3"/>
  <c r="I3185" i="3"/>
  <c r="H3185" i="3"/>
  <c r="H4369" i="3"/>
  <c r="I4369" i="3"/>
  <c r="H5372" i="3"/>
  <c r="I5372" i="3"/>
  <c r="H4582" i="3"/>
  <c r="I4582" i="3"/>
  <c r="H6346" i="3"/>
  <c r="I6346" i="3"/>
  <c r="H5772" i="3"/>
  <c r="I5772" i="3"/>
  <c r="I3158" i="3"/>
  <c r="H3158" i="3"/>
  <c r="H1576" i="3"/>
  <c r="I1576" i="3"/>
  <c r="I52" i="3"/>
  <c r="H52" i="3"/>
  <c r="H1150" i="3"/>
  <c r="H1550" i="3"/>
  <c r="I1550" i="3"/>
  <c r="H3060" i="3"/>
  <c r="I3060" i="3"/>
  <c r="H3135" i="3"/>
  <c r="I3135" i="3"/>
  <c r="H4206" i="3"/>
  <c r="I4206" i="3"/>
  <c r="I4196" i="3"/>
  <c r="H4196" i="3"/>
  <c r="H2428" i="3"/>
  <c r="I2428" i="3"/>
  <c r="I3276" i="3"/>
  <c r="H3276" i="3"/>
  <c r="I6294" i="3"/>
  <c r="H6294" i="3"/>
  <c r="H3000" i="3"/>
  <c r="I3000" i="3"/>
  <c r="H1775" i="3"/>
  <c r="I1775" i="3"/>
  <c r="H1213" i="3"/>
  <c r="I1213" i="3"/>
  <c r="I2497" i="3"/>
  <c r="H2497" i="3"/>
  <c r="I2638" i="3"/>
  <c r="H2638" i="3"/>
  <c r="I2662" i="3"/>
  <c r="H2662" i="3"/>
  <c r="I2625" i="3"/>
  <c r="H2625" i="3"/>
  <c r="H3188" i="3"/>
  <c r="I3188" i="3"/>
  <c r="I628" i="3"/>
  <c r="H628" i="3"/>
  <c r="I6360" i="3"/>
  <c r="H583" i="3"/>
  <c r="I3850" i="3"/>
  <c r="I4702" i="3"/>
  <c r="H4702" i="3"/>
  <c r="H6093" i="3"/>
  <c r="I6093" i="3"/>
  <c r="H4386" i="3"/>
  <c r="I4386" i="3"/>
  <c r="I5214" i="3"/>
  <c r="H5214" i="3"/>
  <c r="H3405" i="3"/>
  <c r="I3405" i="3"/>
  <c r="I3422" i="3"/>
  <c r="H3422" i="3"/>
  <c r="I4572" i="3"/>
  <c r="H4572" i="3"/>
  <c r="H3684" i="3"/>
  <c r="I3684" i="3"/>
  <c r="I3742" i="3"/>
  <c r="H3742" i="3"/>
  <c r="H2516" i="3"/>
  <c r="I2516" i="3"/>
  <c r="H1902" i="3"/>
  <c r="I1902" i="3"/>
  <c r="I461" i="3"/>
  <c r="H461" i="3"/>
  <c r="I2126" i="3"/>
  <c r="H2126" i="3"/>
  <c r="H1269" i="3"/>
  <c r="I1269" i="3"/>
  <c r="I1889" i="3"/>
  <c r="H1889" i="3"/>
  <c r="H1841" i="3"/>
  <c r="I1841" i="3"/>
  <c r="H2556" i="3"/>
  <c r="I2556" i="3"/>
  <c r="H480" i="3"/>
  <c r="I480" i="3"/>
  <c r="I878" i="3"/>
  <c r="H878" i="3"/>
  <c r="H938" i="3"/>
  <c r="I938" i="3"/>
  <c r="H956" i="3"/>
  <c r="I956" i="3"/>
  <c r="H6319" i="3"/>
  <c r="I6319" i="3"/>
  <c r="H1705" i="3"/>
  <c r="I1705" i="3"/>
  <c r="I5606" i="3"/>
  <c r="H5606" i="3"/>
  <c r="H3212" i="3"/>
  <c r="I3212" i="3"/>
  <c r="I838" i="3"/>
  <c r="H838" i="3"/>
  <c r="H1687" i="3"/>
  <c r="I1687" i="3"/>
  <c r="H2384" i="3"/>
  <c r="I2384" i="3"/>
  <c r="H2380" i="3"/>
  <c r="I2380" i="3"/>
  <c r="H4568" i="3"/>
  <c r="I4568" i="3"/>
  <c r="H5480" i="3"/>
  <c r="I5480" i="3"/>
  <c r="H3540" i="3"/>
  <c r="I3540" i="3"/>
  <c r="I3566" i="3"/>
  <c r="H6614" i="3"/>
  <c r="I6614" i="3"/>
  <c r="H955" i="3"/>
  <c r="H1163" i="3"/>
  <c r="H2219" i="3"/>
  <c r="H2843" i="3"/>
  <c r="H2987" i="3"/>
  <c r="H3067" i="3"/>
  <c r="H3291" i="3"/>
  <c r="H3379" i="3"/>
  <c r="H747" i="3"/>
  <c r="H4483" i="3"/>
  <c r="H4555" i="3"/>
  <c r="H4819" i="3"/>
  <c r="H4883" i="3"/>
  <c r="H5011" i="3"/>
  <c r="H5979" i="3"/>
  <c r="I5293" i="3"/>
  <c r="I4407" i="3"/>
  <c r="I6295" i="3"/>
  <c r="I431" i="3"/>
  <c r="H1351" i="3"/>
  <c r="I2656" i="3"/>
  <c r="I6221" i="3"/>
  <c r="I4586" i="3"/>
  <c r="I4855" i="3"/>
  <c r="H5661" i="3"/>
  <c r="I2906" i="3"/>
  <c r="H3959" i="3"/>
  <c r="I5725" i="3"/>
  <c r="I5754" i="3"/>
  <c r="I2056" i="3"/>
  <c r="I4780" i="3"/>
  <c r="I4037" i="3"/>
  <c r="H4037" i="3"/>
  <c r="H449" i="3"/>
  <c r="I449" i="3"/>
  <c r="H184" i="3"/>
  <c r="I184" i="3"/>
  <c r="I1636" i="3"/>
  <c r="H1641" i="3"/>
  <c r="H2660" i="3"/>
  <c r="I901" i="3"/>
  <c r="H901" i="3"/>
  <c r="H4797" i="3"/>
  <c r="I5118" i="3"/>
  <c r="H5118" i="3"/>
  <c r="I5494" i="3"/>
  <c r="H5494" i="3"/>
  <c r="I6030" i="3"/>
  <c r="H6030" i="3"/>
  <c r="H6158" i="3"/>
  <c r="H3457" i="3"/>
  <c r="I4873" i="3"/>
  <c r="H6297" i="3"/>
  <c r="I6297" i="3"/>
  <c r="H568" i="3"/>
  <c r="I568" i="3"/>
  <c r="I4718" i="3"/>
  <c r="H4718" i="3"/>
  <c r="H1676" i="3"/>
  <c r="I1676" i="3"/>
  <c r="I5982" i="3"/>
  <c r="H5982" i="3"/>
  <c r="H1508" i="3"/>
  <c r="I1508" i="3"/>
  <c r="I133" i="3"/>
  <c r="H133" i="3"/>
  <c r="I1942" i="3"/>
  <c r="H1942" i="3"/>
  <c r="I5217" i="3"/>
  <c r="H5217" i="3"/>
  <c r="I2078" i="3"/>
  <c r="H2078" i="3"/>
  <c r="I1950" i="3"/>
  <c r="H1950" i="3"/>
  <c r="H2020" i="3"/>
  <c r="I2020" i="3"/>
  <c r="H1956" i="3"/>
  <c r="I1956" i="3"/>
  <c r="H1969" i="3"/>
  <c r="H2756" i="3"/>
  <c r="I2756" i="3"/>
  <c r="I2732" i="3"/>
  <c r="H2732" i="3"/>
  <c r="I5926" i="3"/>
  <c r="H5926" i="3"/>
  <c r="H150" i="3"/>
  <c r="I150" i="3"/>
  <c r="H2156" i="3"/>
  <c r="H6071" i="3"/>
  <c r="H565" i="3"/>
  <c r="I3373" i="3"/>
  <c r="I3365" i="3"/>
  <c r="H494" i="3"/>
  <c r="I1343" i="3"/>
  <c r="I4391" i="3"/>
  <c r="I4589" i="3"/>
  <c r="I6503" i="3"/>
  <c r="I3457" i="3"/>
  <c r="I3372" i="3"/>
  <c r="H70" i="3"/>
  <c r="I654" i="3"/>
  <c r="I5228" i="3"/>
  <c r="H1609" i="3"/>
  <c r="H4318" i="3"/>
  <c r="I6158" i="3"/>
  <c r="I6222" i="3"/>
  <c r="H6222" i="3"/>
  <c r="H6575" i="3"/>
  <c r="H1412" i="3"/>
  <c r="I1412" i="3"/>
  <c r="I3374" i="3"/>
  <c r="H3374" i="3"/>
  <c r="I3190" i="3"/>
  <c r="H3190" i="3"/>
  <c r="I56" i="3"/>
  <c r="H56" i="3"/>
  <c r="H3772" i="3"/>
  <c r="I3772" i="3"/>
  <c r="I2782" i="3"/>
  <c r="H2782" i="3"/>
  <c r="H713" i="3"/>
  <c r="I713" i="3"/>
  <c r="H5392" i="3"/>
  <c r="I5392" i="3"/>
  <c r="I5062" i="3"/>
  <c r="H5167" i="3"/>
  <c r="I5415" i="3"/>
  <c r="I6015" i="3"/>
  <c r="H2278" i="3"/>
  <c r="I2278" i="3"/>
  <c r="I2150" i="3"/>
  <c r="H2150" i="3"/>
  <c r="I2156" i="3"/>
  <c r="H856" i="3"/>
  <c r="H5934" i="3"/>
  <c r="I1110" i="3"/>
  <c r="I413" i="3"/>
  <c r="H413" i="3"/>
  <c r="H400" i="3"/>
  <c r="I400" i="3"/>
  <c r="I416" i="3"/>
  <c r="H1180" i="3"/>
  <c r="I1180" i="3"/>
  <c r="I1886" i="3"/>
  <c r="I1838" i="3"/>
  <c r="H1838" i="3"/>
  <c r="I101" i="3"/>
  <c r="H101" i="3"/>
  <c r="I481" i="3"/>
  <c r="H2878" i="3"/>
  <c r="H4913" i="3"/>
  <c r="H5201" i="3"/>
  <c r="H2838" i="3"/>
  <c r="I2838" i="3"/>
  <c r="H896" i="3"/>
  <c r="H406" i="3"/>
  <c r="H391" i="3"/>
  <c r="H1951" i="3"/>
  <c r="H4877" i="3"/>
  <c r="I277" i="3"/>
  <c r="H277" i="3"/>
  <c r="H3982" i="3"/>
  <c r="I3446" i="3"/>
  <c r="H2373" i="3"/>
  <c r="H6400" i="3"/>
  <c r="H4514" i="3"/>
  <c r="I4704" i="3"/>
  <c r="I5423" i="3"/>
  <c r="H2786" i="3"/>
  <c r="H3205" i="3"/>
  <c r="I411" i="3"/>
  <c r="H6118" i="3"/>
  <c r="I1928" i="3"/>
  <c r="I1823" i="3"/>
  <c r="H1834" i="3"/>
  <c r="H501" i="3"/>
  <c r="H491" i="3"/>
  <c r="H4273" i="3"/>
  <c r="H5080" i="3"/>
  <c r="H3831" i="3"/>
  <c r="H6216" i="3"/>
  <c r="I991" i="3"/>
  <c r="I2419" i="3"/>
  <c r="H1272" i="3"/>
  <c r="H4856" i="3"/>
  <c r="H5200" i="3"/>
  <c r="H6200" i="3"/>
  <c r="H3469" i="3"/>
  <c r="I4558" i="3"/>
  <c r="I4299" i="3"/>
  <c r="H493" i="3"/>
  <c r="H2850" i="3"/>
  <c r="I6491" i="3"/>
  <c r="I3280" i="3"/>
  <c r="H2871" i="3"/>
  <c r="I4888" i="3"/>
  <c r="H6104" i="3"/>
  <c r="H1646" i="3"/>
  <c r="I6523" i="3"/>
  <c r="H2010" i="3"/>
  <c r="H2048" i="3"/>
  <c r="H2023" i="3"/>
  <c r="H2333" i="3"/>
  <c r="I15" i="3"/>
  <c r="H2223" i="3"/>
  <c r="I1631" i="3"/>
  <c r="H6570" i="3"/>
  <c r="H2879" i="3"/>
  <c r="I2892" i="3"/>
  <c r="H2887" i="3"/>
  <c r="H5877" i="3"/>
  <c r="I3858" i="3"/>
  <c r="H3824" i="3"/>
  <c r="I4371" i="3"/>
  <c r="I4019" i="3"/>
  <c r="H4009" i="3"/>
  <c r="H2847" i="3"/>
  <c r="I3683" i="3"/>
  <c r="H6201" i="3"/>
  <c r="I2963" i="3"/>
  <c r="H3189" i="3"/>
  <c r="H294" i="3"/>
  <c r="H3488" i="3"/>
  <c r="I4811" i="3"/>
  <c r="I5171" i="3"/>
  <c r="H3084" i="3"/>
  <c r="H285" i="3"/>
  <c r="I5555" i="3"/>
  <c r="I3908" i="3"/>
  <c r="H1278" i="3"/>
  <c r="I469" i="3"/>
  <c r="I4894" i="3"/>
  <c r="I6422" i="3"/>
  <c r="H6487" i="3"/>
  <c r="I4539" i="3"/>
  <c r="I4971" i="3"/>
  <c r="H422" i="3"/>
  <c r="I21" i="3"/>
  <c r="H630" i="3"/>
  <c r="H1182" i="3"/>
  <c r="I926" i="3"/>
  <c r="I5451" i="3"/>
  <c r="I3478" i="3"/>
  <c r="I3790" i="3"/>
  <c r="H4341" i="3"/>
  <c r="H5094" i="3"/>
  <c r="I4838" i="3"/>
  <c r="H658" i="3"/>
  <c r="I3527" i="3"/>
  <c r="H4328" i="3"/>
  <c r="H1047" i="3"/>
  <c r="H1875" i="3"/>
  <c r="I1995" i="3"/>
  <c r="I5827" i="3"/>
  <c r="H2154" i="3"/>
  <c r="H146" i="3"/>
  <c r="H2192" i="3"/>
  <c r="I2167" i="3"/>
  <c r="H5042" i="3"/>
  <c r="H4674" i="3"/>
  <c r="H2795" i="3"/>
  <c r="I771" i="3"/>
  <c r="H3866" i="3"/>
  <c r="H3896" i="3"/>
  <c r="H3832" i="3"/>
  <c r="I4027" i="3"/>
  <c r="I3963" i="3"/>
  <c r="H4768" i="3"/>
  <c r="H4546" i="3"/>
  <c r="H6202" i="3"/>
  <c r="I6059" i="3"/>
  <c r="I5419" i="3"/>
  <c r="H5140" i="3"/>
  <c r="I3341" i="3"/>
  <c r="I5591" i="3"/>
  <c r="I1101" i="3"/>
  <c r="I251" i="3"/>
  <c r="H3652" i="3"/>
  <c r="I363" i="3"/>
  <c r="I1029" i="3"/>
  <c r="I809" i="3"/>
  <c r="I4580" i="3"/>
  <c r="I1938" i="3"/>
  <c r="H2031" i="3"/>
  <c r="H2327" i="3"/>
  <c r="H1826" i="3"/>
  <c r="I2130" i="3"/>
  <c r="H2295" i="3"/>
  <c r="H2116" i="3"/>
  <c r="H5447" i="3"/>
  <c r="H5269" i="3"/>
  <c r="I2397" i="3"/>
  <c r="I1885" i="3"/>
  <c r="H1890" i="3"/>
  <c r="H4375" i="3"/>
  <c r="H2800" i="3"/>
  <c r="H2866" i="3"/>
  <c r="H3016" i="3"/>
  <c r="H3254" i="3"/>
  <c r="H1643" i="3"/>
  <c r="H3960" i="3"/>
  <c r="I4715" i="3"/>
  <c r="H2239" i="3"/>
  <c r="H2071" i="3"/>
  <c r="H79" i="3"/>
  <c r="H3634" i="3"/>
  <c r="H2024" i="3"/>
  <c r="I5331" i="3"/>
  <c r="I5691" i="3"/>
  <c r="I4044" i="3"/>
  <c r="H5901" i="3"/>
  <c r="I5425" i="3"/>
  <c r="H6426" i="3"/>
  <c r="H6608" i="3"/>
  <c r="H5737" i="3"/>
  <c r="I182" i="3"/>
  <c r="H1116" i="3"/>
  <c r="H5580" i="3"/>
  <c r="I5091" i="3"/>
  <c r="I5625" i="3"/>
  <c r="H5326" i="3"/>
  <c r="H32" i="3"/>
  <c r="H5773" i="3"/>
  <c r="H3660" i="3"/>
  <c r="I4243" i="3"/>
  <c r="I5361" i="3"/>
  <c r="H6352" i="3"/>
  <c r="H1260" i="3"/>
  <c r="H773" i="3"/>
  <c r="I787" i="3"/>
  <c r="I6438" i="3"/>
  <c r="I4129" i="3"/>
  <c r="H5846" i="3"/>
  <c r="I2463" i="3"/>
  <c r="H4927" i="3"/>
  <c r="I3219" i="3"/>
  <c r="I3403" i="3"/>
  <c r="I4682" i="3"/>
  <c r="H3432" i="3"/>
  <c r="I4815" i="3"/>
  <c r="H1661" i="3"/>
  <c r="H1947" i="3"/>
  <c r="I2036" i="3"/>
  <c r="H2242" i="3"/>
  <c r="I3627" i="3"/>
  <c r="H18" i="3"/>
  <c r="I5429" i="3"/>
  <c r="H1675" i="3"/>
  <c r="H466" i="3"/>
  <c r="I2827" i="3"/>
  <c r="I2823" i="3"/>
  <c r="I3619" i="3"/>
  <c r="H3892" i="3"/>
  <c r="H2551" i="3"/>
  <c r="I853" i="3"/>
  <c r="H6488" i="3"/>
  <c r="H3416" i="3"/>
  <c r="H3285" i="3"/>
  <c r="H5253" i="3"/>
  <c r="H6096" i="3"/>
  <c r="I4611" i="3"/>
  <c r="H6562" i="3"/>
  <c r="H3028" i="3"/>
  <c r="H3725" i="3"/>
  <c r="H1668" i="3"/>
  <c r="H4952" i="3"/>
  <c r="H4510" i="3"/>
  <c r="I4947" i="3"/>
  <c r="I5212" i="3"/>
  <c r="I3990" i="3"/>
  <c r="H4550" i="3"/>
  <c r="H5012" i="3"/>
  <c r="H5878" i="3"/>
  <c r="H1894" i="3"/>
  <c r="I141" i="3"/>
  <c r="H1118" i="3"/>
  <c r="I1454" i="3"/>
  <c r="H390" i="3"/>
  <c r="H4704" i="3"/>
  <c r="I5093" i="3"/>
  <c r="I4877" i="3"/>
  <c r="H1276" i="3"/>
  <c r="I5262" i="3"/>
  <c r="H5262" i="3"/>
  <c r="I6174" i="3"/>
  <c r="H6174" i="3"/>
  <c r="H4839" i="3"/>
  <c r="I4839" i="3"/>
  <c r="H4991" i="3"/>
  <c r="I4991" i="3"/>
  <c r="H6023" i="3"/>
  <c r="I6023" i="3"/>
  <c r="H1436" i="3"/>
  <c r="I1436" i="3"/>
  <c r="I4524" i="3"/>
  <c r="H4524" i="3"/>
  <c r="I4217" i="3"/>
  <c r="H4217" i="3"/>
  <c r="I301" i="3"/>
  <c r="H301" i="3"/>
  <c r="H5287" i="3"/>
  <c r="I5287" i="3"/>
  <c r="H6293" i="3"/>
  <c r="I6293" i="3"/>
  <c r="H472" i="3"/>
  <c r="I472" i="3"/>
  <c r="H417" i="3"/>
  <c r="I417" i="3"/>
  <c r="H4736" i="3"/>
  <c r="I4736" i="3"/>
  <c r="H50" i="3"/>
  <c r="I50" i="3"/>
  <c r="H524" i="3"/>
  <c r="I524" i="3"/>
  <c r="H1870" i="3"/>
  <c r="I1870" i="3"/>
  <c r="H6326" i="3"/>
  <c r="I6326" i="3"/>
  <c r="H3309" i="3"/>
  <c r="I3309" i="3"/>
  <c r="I88" i="3"/>
  <c r="H88" i="3"/>
  <c r="H960" i="3"/>
  <c r="I960" i="3"/>
  <c r="H884" i="3"/>
  <c r="I884" i="3"/>
  <c r="H207" i="3"/>
  <c r="I207" i="3"/>
  <c r="H5255" i="3"/>
  <c r="I5255" i="3"/>
  <c r="I2462" i="3"/>
  <c r="H2462" i="3"/>
  <c r="H2457" i="3"/>
  <c r="I2457" i="3"/>
  <c r="H3225" i="3"/>
  <c r="I3225" i="3"/>
  <c r="H3536" i="3"/>
  <c r="I3536" i="3"/>
  <c r="H1840" i="3"/>
  <c r="I1840" i="3"/>
  <c r="I3788" i="3"/>
  <c r="H3788" i="3"/>
  <c r="H2421" i="3"/>
  <c r="I2421" i="3"/>
  <c r="H6533" i="3"/>
  <c r="I6533" i="3"/>
  <c r="H4326" i="3"/>
  <c r="I4326" i="3"/>
  <c r="H5796" i="3"/>
  <c r="I5796" i="3"/>
  <c r="H319" i="3"/>
  <c r="I319" i="3"/>
  <c r="H6585" i="3"/>
  <c r="I6585" i="3"/>
  <c r="H866" i="3"/>
  <c r="I866" i="3"/>
  <c r="H3113" i="3"/>
  <c r="I3113" i="3"/>
  <c r="I760" i="3"/>
  <c r="H760" i="3"/>
  <c r="H1973" i="3"/>
  <c r="I1973" i="3"/>
  <c r="I2094" i="3"/>
  <c r="H2094" i="3"/>
  <c r="H1908" i="3"/>
  <c r="I1908" i="3"/>
  <c r="I4265" i="3"/>
  <c r="H4265" i="3"/>
  <c r="I765" i="3"/>
  <c r="H765" i="3"/>
  <c r="I145" i="3"/>
  <c r="H145" i="3"/>
  <c r="H2172" i="3"/>
  <c r="I2172" i="3"/>
  <c r="H5412" i="3"/>
  <c r="I5412" i="3"/>
  <c r="H4666" i="3"/>
  <c r="I4666" i="3"/>
  <c r="H5799" i="3"/>
  <c r="I5799" i="3"/>
  <c r="H169" i="3"/>
  <c r="I169" i="3"/>
  <c r="H4719" i="3"/>
  <c r="I4719" i="3"/>
  <c r="I4686" i="3"/>
  <c r="H4686" i="3"/>
  <c r="I5121" i="3"/>
  <c r="H5121" i="3"/>
  <c r="H5185" i="3"/>
  <c r="I5185" i="3"/>
  <c r="I5257" i="3"/>
  <c r="H5257" i="3"/>
  <c r="I5457" i="3"/>
  <c r="H5457" i="3"/>
  <c r="H5993" i="3"/>
  <c r="I5993" i="3"/>
  <c r="H6057" i="3"/>
  <c r="I6057" i="3"/>
  <c r="H6129" i="3"/>
  <c r="I6129" i="3"/>
  <c r="I6401" i="3"/>
  <c r="H6401" i="3"/>
  <c r="H6553" i="3"/>
  <c r="I6553" i="3"/>
  <c r="H2876" i="3"/>
  <c r="I2876" i="3"/>
  <c r="H2865" i="3"/>
  <c r="I2865" i="3"/>
  <c r="I2854" i="3"/>
  <c r="H2854" i="3"/>
  <c r="H2821" i="3"/>
  <c r="I2821" i="3"/>
  <c r="H2858" i="3"/>
  <c r="I2858" i="3"/>
  <c r="H5450" i="3"/>
  <c r="I5450" i="3"/>
  <c r="H3141" i="3"/>
  <c r="I3141" i="3"/>
  <c r="H3311" i="3"/>
  <c r="I3311" i="3"/>
  <c r="H1527" i="3"/>
  <c r="I1527" i="3"/>
  <c r="I1012" i="3"/>
  <c r="H1012" i="3"/>
  <c r="I657" i="3"/>
  <c r="H657" i="3"/>
  <c r="H1981" i="3"/>
  <c r="I1981" i="3"/>
  <c r="I2412" i="3"/>
  <c r="H2412" i="3"/>
  <c r="H3613" i="3"/>
  <c r="I3613" i="3"/>
  <c r="H3602" i="3"/>
  <c r="I3602" i="3"/>
  <c r="H3525" i="3"/>
  <c r="I3525" i="3"/>
  <c r="H5132" i="3"/>
  <c r="I5132" i="3"/>
  <c r="H3862" i="3"/>
  <c r="I3862" i="3"/>
  <c r="H3877" i="3"/>
  <c r="I3877" i="3"/>
  <c r="H3828" i="3"/>
  <c r="I3828" i="3"/>
  <c r="H3873" i="3"/>
  <c r="I3873" i="3"/>
  <c r="H3888" i="3"/>
  <c r="I3888" i="3"/>
  <c r="H2840" i="3"/>
  <c r="I2840" i="3"/>
  <c r="H3193" i="3"/>
  <c r="I3193" i="3"/>
  <c r="H1432" i="3"/>
  <c r="I1432" i="3"/>
  <c r="H639" i="3"/>
  <c r="I639" i="3"/>
  <c r="H4062" i="3"/>
  <c r="I4062" i="3"/>
  <c r="I3998" i="3"/>
  <c r="H3998" i="3"/>
  <c r="H4069" i="3"/>
  <c r="I4069" i="3"/>
  <c r="I4073" i="3"/>
  <c r="H4073" i="3"/>
  <c r="H4080" i="3"/>
  <c r="I4080" i="3"/>
  <c r="H4016" i="3"/>
  <c r="I4016" i="3"/>
  <c r="H3952" i="3"/>
  <c r="I3952" i="3"/>
  <c r="H5008" i="3"/>
  <c r="I5008" i="3"/>
  <c r="H5030" i="3"/>
  <c r="I5030" i="3"/>
  <c r="H4409" i="3"/>
  <c r="I4409" i="3"/>
  <c r="H4390" i="3"/>
  <c r="I4390" i="3"/>
  <c r="H2945" i="3"/>
  <c r="I2945" i="3"/>
  <c r="I4941" i="3"/>
  <c r="H4941" i="3"/>
  <c r="H5477" i="3"/>
  <c r="I5477" i="3"/>
  <c r="I5134" i="3"/>
  <c r="H5134" i="3"/>
  <c r="I6110" i="3"/>
  <c r="H6110" i="3"/>
  <c r="H5239" i="3"/>
  <c r="I5239" i="3"/>
  <c r="H2633" i="3"/>
  <c r="I2633" i="3"/>
  <c r="H3449" i="3"/>
  <c r="I3449" i="3"/>
  <c r="H3426" i="3"/>
  <c r="I3426" i="3"/>
  <c r="I4588" i="3"/>
  <c r="H4588" i="3"/>
  <c r="H4685" i="3"/>
  <c r="I4685" i="3"/>
  <c r="H4336" i="3"/>
  <c r="I4336" i="3"/>
  <c r="H634" i="3"/>
  <c r="I634" i="3"/>
  <c r="H1178" i="3"/>
  <c r="I1178" i="3"/>
  <c r="H1800" i="3"/>
  <c r="I1800" i="3"/>
  <c r="H1177" i="3"/>
  <c r="I1177" i="3"/>
  <c r="H2558" i="3"/>
  <c r="I2558" i="3"/>
  <c r="I477" i="3"/>
  <c r="H477" i="3"/>
  <c r="H946" i="3"/>
  <c r="I946" i="3"/>
  <c r="H888" i="3"/>
  <c r="I888" i="3"/>
  <c r="H4193" i="3"/>
  <c r="I4193" i="3"/>
  <c r="H2413" i="3"/>
  <c r="I2413" i="3"/>
  <c r="H2460" i="3"/>
  <c r="I2460" i="3"/>
  <c r="H2330" i="3"/>
  <c r="I2330" i="3"/>
  <c r="H6008" i="3"/>
  <c r="I6008" i="3"/>
  <c r="I3013" i="3"/>
  <c r="H3013" i="3"/>
  <c r="H3277" i="3"/>
  <c r="I3277" i="3"/>
  <c r="I3230" i="3"/>
  <c r="H3230" i="3"/>
  <c r="H3142" i="3"/>
  <c r="I3142" i="3"/>
  <c r="H3517" i="3"/>
  <c r="I3517" i="3"/>
  <c r="H3588" i="3"/>
  <c r="I3588" i="3"/>
  <c r="H3519" i="3"/>
  <c r="I3519" i="3"/>
  <c r="I5273" i="3"/>
  <c r="H5273" i="3"/>
  <c r="H2641" i="3"/>
  <c r="I2641" i="3"/>
  <c r="H3805" i="3"/>
  <c r="I3805" i="3"/>
  <c r="H5135" i="3"/>
  <c r="I5135" i="3"/>
  <c r="H2666" i="3"/>
  <c r="I2666" i="3"/>
  <c r="H3617" i="3"/>
  <c r="I3617" i="3"/>
  <c r="H687" i="3"/>
  <c r="I687" i="3"/>
  <c r="H5308" i="3"/>
  <c r="I5308" i="3"/>
  <c r="H2125" i="3"/>
  <c r="I2125" i="3"/>
  <c r="I2166" i="3"/>
  <c r="H2166" i="3"/>
  <c r="H2177" i="3"/>
  <c r="I2177" i="3"/>
  <c r="H2592" i="3"/>
  <c r="I2592" i="3"/>
  <c r="H1040" i="3"/>
  <c r="I1040" i="3"/>
  <c r="H61" i="3"/>
  <c r="I61" i="3"/>
  <c r="H2763" i="3"/>
  <c r="H3043" i="3"/>
  <c r="I1699" i="3"/>
  <c r="H5339" i="3"/>
  <c r="I5317" i="3"/>
  <c r="I466" i="3"/>
  <c r="I1666" i="3"/>
  <c r="I1930" i="3"/>
  <c r="I4466" i="3"/>
  <c r="I5826" i="3"/>
  <c r="I5978" i="3"/>
  <c r="I1279" i="3"/>
  <c r="I2424" i="3"/>
  <c r="I42" i="3"/>
  <c r="I474" i="3"/>
  <c r="I970" i="3"/>
  <c r="I1834" i="3"/>
  <c r="I2695" i="3"/>
  <c r="I5973" i="3"/>
  <c r="H5423" i="3"/>
  <c r="I2223" i="3"/>
  <c r="I2887" i="3"/>
  <c r="I1837" i="3"/>
  <c r="I2165" i="3"/>
  <c r="I3637" i="3"/>
  <c r="I3469" i="3"/>
  <c r="H1486" i="3"/>
  <c r="I1486" i="3"/>
  <c r="H132" i="3"/>
  <c r="I132" i="3"/>
  <c r="H656" i="3"/>
  <c r="I656" i="3"/>
  <c r="H2374" i="3"/>
  <c r="I2374" i="3"/>
  <c r="H1653" i="3"/>
  <c r="I1653" i="3"/>
  <c r="H1657" i="3"/>
  <c r="I1657" i="3"/>
  <c r="H1917" i="3"/>
  <c r="I1917" i="3"/>
  <c r="H1972" i="3"/>
  <c r="I1972" i="3"/>
  <c r="H4744" i="3"/>
  <c r="I4744" i="3"/>
  <c r="I4222" i="3"/>
  <c r="H4222" i="3"/>
  <c r="I5940" i="3"/>
  <c r="H5940" i="3"/>
  <c r="H2176" i="3"/>
  <c r="I2176" i="3"/>
  <c r="I2113" i="3"/>
  <c r="H2113" i="3"/>
  <c r="H4393" i="3"/>
  <c r="I4393" i="3"/>
  <c r="H2419" i="3"/>
  <c r="H2771" i="3"/>
  <c r="H3403" i="3"/>
  <c r="H779" i="3"/>
  <c r="I1947" i="3"/>
  <c r="H4571" i="3"/>
  <c r="H6523" i="3"/>
  <c r="I6570" i="3"/>
  <c r="I4927" i="3"/>
  <c r="I4514" i="3"/>
  <c r="I447" i="3"/>
  <c r="I5200" i="3"/>
  <c r="I5048" i="3"/>
  <c r="I5072" i="3"/>
  <c r="I2159" i="3"/>
  <c r="I2010" i="3"/>
  <c r="I1719" i="3"/>
  <c r="I18" i="3"/>
  <c r="I3362" i="3"/>
  <c r="I3522" i="3"/>
  <c r="I2879" i="3"/>
  <c r="I4185" i="3"/>
  <c r="I4649" i="3"/>
  <c r="I4897" i="3"/>
  <c r="I5001" i="3"/>
  <c r="I4009" i="3"/>
  <c r="H4813" i="3"/>
  <c r="I4813" i="3"/>
  <c r="H5221" i="3"/>
  <c r="I5221" i="3"/>
  <c r="H3727" i="3"/>
  <c r="I3727" i="3"/>
  <c r="I5070" i="3"/>
  <c r="H5070" i="3"/>
  <c r="H6046" i="3"/>
  <c r="I6046" i="3"/>
  <c r="H4609" i="3"/>
  <c r="I4609" i="3"/>
  <c r="H5175" i="3"/>
  <c r="I5175" i="3"/>
  <c r="H3126" i="3"/>
  <c r="I3126" i="3"/>
  <c r="H3452" i="3"/>
  <c r="I3452" i="3"/>
  <c r="H3383" i="3"/>
  <c r="I3383" i="3"/>
  <c r="H1244" i="3"/>
  <c r="I1244" i="3"/>
  <c r="H6534" i="3"/>
  <c r="I6534" i="3"/>
  <c r="H3773" i="3"/>
  <c r="I3773" i="3"/>
  <c r="H6348" i="3"/>
  <c r="I6348" i="3"/>
  <c r="H1541" i="3"/>
  <c r="I1541" i="3"/>
  <c r="H2580" i="3"/>
  <c r="I2580" i="3"/>
  <c r="H806" i="3"/>
  <c r="I806" i="3"/>
  <c r="H476" i="3"/>
  <c r="I476" i="3"/>
  <c r="H470" i="3"/>
  <c r="I470" i="3"/>
  <c r="H5069" i="3"/>
  <c r="I5069" i="3"/>
  <c r="I3182" i="3"/>
  <c r="H3182" i="3"/>
  <c r="I198" i="3"/>
  <c r="H198" i="3"/>
  <c r="H868" i="3"/>
  <c r="I868" i="3"/>
  <c r="H1284" i="3"/>
  <c r="I1284" i="3"/>
  <c r="I1884" i="3"/>
  <c r="H1884" i="3"/>
  <c r="H2554" i="3"/>
  <c r="I2554" i="3"/>
  <c r="I505" i="3"/>
  <c r="H505" i="3"/>
  <c r="H2368" i="3"/>
  <c r="I2368" i="3"/>
  <c r="H935" i="3"/>
  <c r="I935" i="3"/>
  <c r="I6440" i="3"/>
  <c r="H6440" i="3"/>
  <c r="I2564" i="3"/>
  <c r="H2564" i="3"/>
  <c r="H4501" i="3"/>
  <c r="I4501" i="3"/>
  <c r="H511" i="3"/>
  <c r="I511" i="3"/>
  <c r="H2453" i="3"/>
  <c r="I2453" i="3"/>
  <c r="I2396" i="3"/>
  <c r="H2396" i="3"/>
  <c r="H4727" i="3"/>
  <c r="I4727" i="3"/>
  <c r="H4920" i="3"/>
  <c r="I4920" i="3"/>
  <c r="H6136" i="3"/>
  <c r="I6136" i="3"/>
  <c r="I4124" i="3"/>
  <c r="H4124" i="3"/>
  <c r="I3284" i="3"/>
  <c r="H3284" i="3"/>
  <c r="I3294" i="3"/>
  <c r="H3294" i="3"/>
  <c r="H4249" i="3"/>
  <c r="I4249" i="3"/>
  <c r="H3476" i="3"/>
  <c r="I3476" i="3"/>
  <c r="H4408" i="3"/>
  <c r="I4408" i="3"/>
  <c r="H780" i="3"/>
  <c r="I780" i="3"/>
  <c r="H276" i="3"/>
  <c r="I276" i="3"/>
  <c r="H4807" i="3"/>
  <c r="I4807" i="3"/>
  <c r="I5670" i="3"/>
  <c r="H5670" i="3"/>
  <c r="H1329" i="3"/>
  <c r="I1329" i="3"/>
  <c r="H4765" i="3"/>
  <c r="I4765" i="3"/>
  <c r="H2673" i="3"/>
  <c r="I2673" i="3"/>
  <c r="H2255" i="3"/>
  <c r="I2255" i="3"/>
  <c r="H2557" i="3"/>
  <c r="I2557" i="3"/>
  <c r="H5916" i="3"/>
  <c r="I5916" i="3"/>
  <c r="H68" i="3"/>
  <c r="I68" i="3"/>
  <c r="I129" i="3"/>
  <c r="H129" i="3"/>
  <c r="H5558" i="3"/>
  <c r="I5558" i="3"/>
  <c r="H1650" i="3"/>
  <c r="I1650" i="3"/>
  <c r="H1652" i="3"/>
  <c r="I1652" i="3"/>
  <c r="H2101" i="3"/>
  <c r="I2101" i="3"/>
  <c r="H2077" i="3"/>
  <c r="I2077" i="3"/>
  <c r="I2990" i="3"/>
  <c r="H2990" i="3"/>
  <c r="H2328" i="3"/>
  <c r="I2328" i="3"/>
  <c r="H232" i="3"/>
  <c r="I232" i="3"/>
  <c r="H2332" i="3"/>
  <c r="I2332" i="3"/>
  <c r="I13" i="3"/>
  <c r="H13" i="3"/>
  <c r="H142" i="3"/>
  <c r="I142" i="3"/>
  <c r="H2108" i="3"/>
  <c r="I2108" i="3"/>
  <c r="I893" i="3"/>
  <c r="H893" i="3"/>
  <c r="H3762" i="3"/>
  <c r="I3762" i="3"/>
  <c r="H3187" i="3"/>
  <c r="H3251" i="3"/>
  <c r="H475" i="3"/>
  <c r="H4299" i="3"/>
  <c r="I5080" i="3"/>
  <c r="I170" i="3"/>
  <c r="I962" i="3"/>
  <c r="I1322" i="3"/>
  <c r="I1647" i="3"/>
  <c r="I1959" i="3"/>
  <c r="I2200" i="3"/>
  <c r="I538" i="3"/>
  <c r="I4079" i="3"/>
  <c r="I2850" i="3"/>
  <c r="H3095" i="3"/>
  <c r="H5112" i="3"/>
  <c r="H991" i="3"/>
  <c r="I3784" i="3"/>
  <c r="H5487" i="3"/>
  <c r="I2885" i="3"/>
  <c r="I3205" i="3"/>
  <c r="I2333" i="3"/>
  <c r="H508" i="3"/>
  <c r="I2748" i="3"/>
  <c r="H4888" i="3"/>
  <c r="H6013" i="3"/>
  <c r="I6013" i="3"/>
  <c r="H4798" i="3"/>
  <c r="I4798" i="3"/>
  <c r="I5198" i="3"/>
  <c r="H5198" i="3"/>
  <c r="I6238" i="3"/>
  <c r="H6238" i="3"/>
  <c r="H5111" i="3"/>
  <c r="I5111" i="3"/>
  <c r="H6087" i="3"/>
  <c r="I6087" i="3"/>
  <c r="H255" i="3"/>
  <c r="I255" i="3"/>
  <c r="I3453" i="3"/>
  <c r="H3453" i="3"/>
  <c r="I1013" i="3"/>
  <c r="H1013" i="3"/>
  <c r="H2201" i="3"/>
  <c r="I2201" i="3"/>
  <c r="H2220" i="3"/>
  <c r="I2220" i="3"/>
  <c r="H6177" i="3"/>
  <c r="I6177" i="3"/>
  <c r="H5784" i="3"/>
  <c r="I5784" i="3"/>
  <c r="H2530" i="3"/>
  <c r="I2530" i="3"/>
  <c r="H116" i="3"/>
  <c r="I116" i="3"/>
  <c r="I6302" i="3"/>
  <c r="H6302" i="3"/>
  <c r="H5551" i="3"/>
  <c r="I5551" i="3"/>
  <c r="I1822" i="3"/>
  <c r="H1822" i="3"/>
  <c r="H4536" i="3"/>
  <c r="I4536" i="3"/>
  <c r="I950" i="3"/>
  <c r="H950" i="3"/>
  <c r="H984" i="3"/>
  <c r="I984" i="3"/>
  <c r="I4892" i="3"/>
  <c r="H4892" i="3"/>
  <c r="H5977" i="3"/>
  <c r="I5977" i="3"/>
  <c r="H2418" i="3"/>
  <c r="I2418" i="3"/>
  <c r="H2399" i="3"/>
  <c r="I2399" i="3"/>
  <c r="H2393" i="3"/>
  <c r="I2393" i="3"/>
  <c r="H4628" i="3"/>
  <c r="I4628" i="3"/>
  <c r="H580" i="3"/>
  <c r="I580" i="3"/>
  <c r="I4641" i="3"/>
  <c r="H4641" i="3"/>
  <c r="H6416" i="3"/>
  <c r="I6416" i="3"/>
  <c r="H3484" i="3"/>
  <c r="I3484" i="3"/>
  <c r="H3502" i="3"/>
  <c r="I3502" i="3"/>
  <c r="I3822" i="3"/>
  <c r="H3822" i="3"/>
  <c r="H4309" i="3"/>
  <c r="I4309" i="3"/>
  <c r="H2721" i="3"/>
  <c r="I2721" i="3"/>
  <c r="H3638" i="3"/>
  <c r="I3638" i="3"/>
  <c r="H4604" i="3"/>
  <c r="I4604" i="3"/>
  <c r="H1165" i="3"/>
  <c r="I1165" i="3"/>
  <c r="H1914" i="3"/>
  <c r="I1914" i="3"/>
  <c r="H1966" i="3"/>
  <c r="I1966" i="3"/>
  <c r="H1985" i="3"/>
  <c r="I1985" i="3"/>
  <c r="H2791" i="3"/>
  <c r="I2791" i="3"/>
  <c r="H2138" i="3"/>
  <c r="I2138" i="3"/>
  <c r="H2236" i="3"/>
  <c r="I2236" i="3"/>
  <c r="I4969" i="3"/>
  <c r="H4969" i="3"/>
  <c r="H3846" i="3"/>
  <c r="I3846" i="3"/>
  <c r="H2733" i="3"/>
  <c r="I2733" i="3"/>
  <c r="H4591" i="3"/>
  <c r="I4591" i="3"/>
  <c r="H907" i="3"/>
  <c r="H3259" i="3"/>
  <c r="H411" i="3"/>
  <c r="H3555" i="3"/>
  <c r="I1723" i="3"/>
  <c r="H5787" i="3"/>
  <c r="I5136" i="3"/>
  <c r="I5877" i="3"/>
  <c r="I6560" i="3"/>
  <c r="I2783" i="3"/>
  <c r="I3271" i="3"/>
  <c r="I3583" i="3"/>
  <c r="I3951" i="3"/>
  <c r="I4743" i="3"/>
  <c r="H15" i="3"/>
  <c r="I1767" i="3"/>
  <c r="I3831" i="3"/>
  <c r="I3824" i="3"/>
  <c r="I6405" i="3"/>
  <c r="I2048" i="3"/>
  <c r="I6216" i="3"/>
  <c r="I5464" i="3"/>
  <c r="I2127" i="3"/>
  <c r="H5429" i="3"/>
  <c r="I3333" i="3"/>
  <c r="H2892" i="3"/>
  <c r="I1921" i="3"/>
  <c r="H4597" i="3"/>
  <c r="I4597" i="3"/>
  <c r="I4862" i="3"/>
  <c r="H4862" i="3"/>
  <c r="H5446" i="3"/>
  <c r="I5446" i="3"/>
  <c r="H4903" i="3"/>
  <c r="I4903" i="3"/>
  <c r="H6527" i="3"/>
  <c r="I6527" i="3"/>
  <c r="I3430" i="3"/>
  <c r="H3430" i="3"/>
  <c r="H2414" i="3"/>
  <c r="I2414" i="3"/>
  <c r="I4534" i="3"/>
  <c r="H4534" i="3"/>
  <c r="H5033" i="3"/>
  <c r="I5033" i="3"/>
  <c r="H4980" i="3"/>
  <c r="I4980" i="3"/>
  <c r="H2309" i="3"/>
  <c r="I2309" i="3"/>
  <c r="I4812" i="3"/>
  <c r="H4812" i="3"/>
  <c r="H64" i="3"/>
  <c r="I64" i="3"/>
  <c r="H3356" i="3"/>
  <c r="I3356" i="3"/>
  <c r="I1364" i="3"/>
  <c r="H1364" i="3"/>
  <c r="H5572" i="3"/>
  <c r="I5572" i="3"/>
  <c r="H1615" i="3"/>
  <c r="I1615" i="3"/>
  <c r="I892" i="3"/>
  <c r="H892" i="3"/>
  <c r="H5400" i="3"/>
  <c r="I5400" i="3"/>
  <c r="H256" i="3"/>
  <c r="I256" i="3"/>
  <c r="H3248" i="3"/>
  <c r="I3248" i="3"/>
  <c r="H3586" i="3"/>
  <c r="I3586" i="3"/>
  <c r="H4732" i="3"/>
  <c r="I4732" i="3"/>
  <c r="H3818" i="3"/>
  <c r="I3818" i="3"/>
  <c r="H1431" i="3"/>
  <c r="I1431" i="3"/>
  <c r="H4276" i="3"/>
  <c r="I4276" i="3"/>
  <c r="H1222" i="3"/>
  <c r="I1222" i="3"/>
  <c r="I789" i="3"/>
  <c r="H789" i="3"/>
  <c r="H3692" i="3"/>
  <c r="I3692" i="3"/>
  <c r="I4726" i="3"/>
  <c r="H4726" i="3"/>
  <c r="H2820" i="3"/>
  <c r="I2820" i="3"/>
  <c r="H3473" i="3"/>
  <c r="I3473" i="3"/>
  <c r="H3961" i="3"/>
  <c r="I3961" i="3"/>
  <c r="I2300" i="3"/>
  <c r="H2300" i="3"/>
  <c r="H6328" i="3"/>
  <c r="I6328" i="3"/>
  <c r="H1259" i="3"/>
  <c r="H1579" i="3"/>
  <c r="H2803" i="3"/>
  <c r="H2875" i="3"/>
  <c r="H2939" i="3"/>
  <c r="H355" i="3"/>
  <c r="H3627" i="3"/>
  <c r="H3987" i="3"/>
  <c r="H4459" i="3"/>
  <c r="I1594" i="3"/>
  <c r="I2242" i="3"/>
  <c r="I3026" i="3"/>
  <c r="I1535" i="3"/>
  <c r="I2023" i="3"/>
  <c r="I2191" i="3"/>
  <c r="I3400" i="3"/>
  <c r="I6200" i="3"/>
  <c r="I1282" i="3"/>
  <c r="H4432" i="3"/>
  <c r="I6151" i="3"/>
  <c r="I1848" i="3"/>
  <c r="I6104" i="3"/>
  <c r="I1608" i="3"/>
  <c r="I4273" i="3"/>
  <c r="H4558" i="3"/>
  <c r="H2030" i="3"/>
  <c r="H5157" i="3"/>
  <c r="I5157" i="3"/>
  <c r="H6141" i="3"/>
  <c r="I6141" i="3"/>
  <c r="H4345" i="3"/>
  <c r="I4345" i="3"/>
  <c r="I4926" i="3"/>
  <c r="H4926" i="3"/>
  <c r="I5510" i="3"/>
  <c r="H5510" i="3"/>
  <c r="H6407" i="3"/>
  <c r="I6407" i="3"/>
  <c r="H3008" i="3"/>
  <c r="I3008" i="3"/>
  <c r="H3447" i="3"/>
  <c r="I3447" i="3"/>
  <c r="H6610" i="3"/>
  <c r="I6610" i="3"/>
  <c r="H1423" i="3"/>
  <c r="I1423" i="3"/>
  <c r="H3264" i="3"/>
  <c r="I3264" i="3"/>
  <c r="H5664" i="3"/>
  <c r="I5664" i="3"/>
  <c r="H3868" i="3"/>
  <c r="I3868" i="3"/>
  <c r="H969" i="3"/>
  <c r="I969" i="3"/>
  <c r="I5988" i="3"/>
  <c r="H5988" i="3"/>
  <c r="I1753" i="3"/>
  <c r="H1753" i="3"/>
  <c r="I5966" i="3"/>
  <c r="H5966" i="3"/>
  <c r="H5975" i="3"/>
  <c r="I5975" i="3"/>
  <c r="H1905" i="3"/>
  <c r="I1905" i="3"/>
  <c r="H408" i="3"/>
  <c r="I408" i="3"/>
  <c r="H5856" i="3"/>
  <c r="I5856" i="3"/>
  <c r="H850" i="3"/>
  <c r="I850" i="3"/>
  <c r="H2382" i="3"/>
  <c r="I2382" i="3"/>
  <c r="H1824" i="3"/>
  <c r="I1824" i="3"/>
  <c r="H1832" i="3"/>
  <c r="I1832" i="3"/>
  <c r="H1812" i="3"/>
  <c r="I1812" i="3"/>
  <c r="H932" i="3"/>
  <c r="I932" i="3"/>
  <c r="H1137" i="3"/>
  <c r="I1137" i="3"/>
  <c r="H1372" i="3"/>
  <c r="I1372" i="3"/>
  <c r="H2692" i="3"/>
  <c r="I2692" i="3"/>
  <c r="I576" i="3"/>
  <c r="H576" i="3"/>
  <c r="H2426" i="3"/>
  <c r="I2426" i="3"/>
  <c r="H2416" i="3"/>
  <c r="I2416" i="3"/>
  <c r="I2398" i="3"/>
  <c r="H2398" i="3"/>
  <c r="H6376" i="3"/>
  <c r="I6376" i="3"/>
  <c r="H3749" i="3"/>
  <c r="I3749" i="3"/>
  <c r="I149" i="3"/>
  <c r="H149" i="3"/>
  <c r="H2796" i="3"/>
  <c r="I2796" i="3"/>
  <c r="H6072" i="3"/>
  <c r="I6072" i="3"/>
  <c r="H3018" i="3"/>
  <c r="I3018" i="3"/>
  <c r="H3228" i="3"/>
  <c r="I3228" i="3"/>
  <c r="H3250" i="3"/>
  <c r="I3250" i="3"/>
  <c r="H3569" i="3"/>
  <c r="I3569" i="3"/>
  <c r="H3521" i="3"/>
  <c r="I3521" i="3"/>
  <c r="H3798" i="3"/>
  <c r="I3798" i="3"/>
  <c r="I3801" i="3"/>
  <c r="H3801" i="3"/>
  <c r="H4342" i="3"/>
  <c r="I4342" i="3"/>
  <c r="I4340" i="3"/>
  <c r="H4340" i="3"/>
  <c r="H5652" i="3"/>
  <c r="I5652" i="3"/>
  <c r="H3415" i="3"/>
  <c r="I3415" i="3"/>
  <c r="I4945" i="3"/>
  <c r="H4945" i="3"/>
  <c r="I1468" i="3"/>
  <c r="H1468" i="3"/>
  <c r="I5734" i="3"/>
  <c r="H5734" i="3"/>
  <c r="H3711" i="3"/>
  <c r="I3711" i="3"/>
  <c r="H650" i="3"/>
  <c r="I650" i="3"/>
  <c r="H5824" i="3"/>
  <c r="I5824" i="3"/>
  <c r="H2087" i="3"/>
  <c r="I2087" i="3"/>
  <c r="H2100" i="3"/>
  <c r="I2100" i="3"/>
  <c r="I1630" i="3"/>
  <c r="H1630" i="3"/>
  <c r="H140" i="3"/>
  <c r="I140" i="3"/>
  <c r="H2253" i="3"/>
  <c r="I2253" i="3"/>
  <c r="I2230" i="3"/>
  <c r="H2230" i="3"/>
  <c r="H2241" i="3"/>
  <c r="I2241" i="3"/>
  <c r="H4833" i="3"/>
  <c r="I4833" i="3"/>
  <c r="H2235" i="3"/>
  <c r="H5387" i="3"/>
  <c r="H6067" i="3"/>
  <c r="H2474" i="3"/>
  <c r="H4815" i="3"/>
  <c r="H3992" i="3"/>
  <c r="I4680" i="3"/>
  <c r="H629" i="3"/>
  <c r="I3909" i="3"/>
  <c r="H4741" i="3"/>
  <c r="H976" i="3"/>
  <c r="I1598" i="3"/>
  <c r="H1598" i="3"/>
  <c r="I710" i="3"/>
  <c r="H710" i="3"/>
  <c r="H4684" i="3"/>
  <c r="I4684" i="3"/>
  <c r="H4809" i="3"/>
  <c r="I4809" i="3"/>
  <c r="H3681" i="3"/>
  <c r="I3681" i="3"/>
  <c r="I1854" i="3"/>
  <c r="H1854" i="3"/>
  <c r="H3724" i="3"/>
  <c r="I3724" i="3"/>
  <c r="I641" i="3"/>
  <c r="H641" i="3"/>
  <c r="H496" i="3"/>
  <c r="I496" i="3"/>
  <c r="I6286" i="3"/>
  <c r="H6286" i="3"/>
  <c r="H865" i="3"/>
  <c r="I865" i="3"/>
  <c r="H944" i="3"/>
  <c r="I944" i="3"/>
  <c r="H3721" i="3"/>
  <c r="I3721" i="3"/>
  <c r="I273" i="3"/>
  <c r="H273" i="3"/>
  <c r="H4388" i="3"/>
  <c r="I4388" i="3"/>
  <c r="H4145" i="3"/>
  <c r="I4145" i="3"/>
  <c r="H6537" i="3"/>
  <c r="I6537" i="3"/>
  <c r="H3268" i="3"/>
  <c r="I3268" i="3"/>
  <c r="I1448" i="3"/>
  <c r="H1448" i="3"/>
  <c r="I3289" i="3"/>
  <c r="H3289" i="3"/>
  <c r="H1345" i="3"/>
  <c r="I1345" i="3"/>
  <c r="H44" i="3"/>
  <c r="I44" i="3"/>
  <c r="I4086" i="3"/>
  <c r="H4086" i="3"/>
  <c r="H1296" i="3"/>
  <c r="I1296" i="3"/>
  <c r="H4337" i="3"/>
  <c r="I4337" i="3"/>
  <c r="H5697" i="3"/>
  <c r="I735" i="3"/>
  <c r="I4149" i="3"/>
  <c r="I5253" i="3"/>
  <c r="I6201" i="3"/>
  <c r="I3189" i="3"/>
  <c r="I4384" i="3"/>
  <c r="H853" i="3"/>
  <c r="I3028" i="3"/>
  <c r="I1743" i="3"/>
  <c r="I3416" i="3"/>
  <c r="I2847" i="3"/>
  <c r="H1125" i="3"/>
  <c r="I1668" i="3"/>
  <c r="I294" i="3"/>
  <c r="I3725" i="3"/>
  <c r="H5892" i="3"/>
  <c r="I5892" i="3"/>
  <c r="H1024" i="3"/>
  <c r="I1024" i="3"/>
  <c r="I5683" i="3"/>
  <c r="I5590" i="3"/>
  <c r="H5590" i="3"/>
  <c r="I3326" i="3"/>
  <c r="H3326" i="3"/>
  <c r="I2246" i="3"/>
  <c r="H2246" i="3"/>
  <c r="I285" i="3"/>
  <c r="H3070" i="3"/>
  <c r="I3084" i="3"/>
  <c r="I6590" i="3"/>
  <c r="I5569" i="3"/>
  <c r="I5654" i="3"/>
  <c r="I5486" i="3"/>
  <c r="I5276" i="3"/>
  <c r="I1675" i="3"/>
  <c r="H1567" i="3"/>
  <c r="H3770" i="3"/>
  <c r="H5249" i="3"/>
  <c r="H2864" i="3"/>
  <c r="I6031" i="3"/>
  <c r="H4554" i="3"/>
  <c r="I3851" i="3"/>
  <c r="H4024" i="3"/>
  <c r="I4651" i="3"/>
  <c r="I4373" i="3"/>
  <c r="H3808" i="3"/>
  <c r="H4874" i="3"/>
  <c r="I1867" i="3"/>
  <c r="H1994" i="3"/>
  <c r="H5082" i="3"/>
  <c r="H5146" i="3"/>
  <c r="H5210" i="3"/>
  <c r="H6418" i="3"/>
  <c r="H6554" i="3"/>
  <c r="I3121" i="3"/>
  <c r="H4396" i="3"/>
  <c r="H6239" i="3"/>
  <c r="I6107" i="3"/>
  <c r="I2364" i="3"/>
  <c r="I4803" i="3"/>
  <c r="I4939" i="3"/>
  <c r="I5227" i="3"/>
  <c r="I6099" i="3"/>
  <c r="H4544" i="3"/>
  <c r="H4215" i="3"/>
  <c r="H5327" i="3"/>
  <c r="H5641" i="3"/>
  <c r="H5712" i="3"/>
  <c r="H5584" i="3"/>
  <c r="I5598" i="3"/>
  <c r="I3561" i="3"/>
  <c r="I1257" i="3"/>
  <c r="I5915" i="3"/>
  <c r="H5872" i="3"/>
  <c r="I4707" i="3"/>
  <c r="H4721" i="3"/>
  <c r="H6097" i="3"/>
  <c r="H4270" i="3"/>
  <c r="I717" i="3"/>
  <c r="I1085" i="3"/>
  <c r="I1129" i="3"/>
  <c r="I1115" i="3"/>
  <c r="I1488" i="3"/>
  <c r="H1369" i="3"/>
  <c r="H1433" i="3"/>
  <c r="H5301" i="3"/>
  <c r="H4289" i="3"/>
  <c r="H2388" i="3"/>
  <c r="H1761" i="3"/>
  <c r="H4663" i="3"/>
  <c r="H2525" i="3"/>
  <c r="H5264" i="3"/>
  <c r="I4499" i="3"/>
  <c r="H4028" i="3"/>
  <c r="I2049" i="3"/>
  <c r="H4076" i="3"/>
  <c r="H3180" i="3"/>
  <c r="H4004" i="3"/>
  <c r="H264" i="3"/>
  <c r="H4012" i="3"/>
  <c r="I4793" i="3"/>
  <c r="I4035" i="3"/>
  <c r="I5379" i="3"/>
  <c r="I1510" i="3"/>
  <c r="I790" i="3"/>
  <c r="I1035" i="3"/>
  <c r="I1352" i="3"/>
  <c r="I5300" i="3"/>
  <c r="I3974" i="3"/>
  <c r="H6600" i="3"/>
  <c r="H5092" i="3"/>
  <c r="I374" i="3"/>
  <c r="H5820" i="3"/>
  <c r="I2926" i="3"/>
  <c r="H5534" i="3"/>
  <c r="H3693" i="3"/>
  <c r="I14" i="3"/>
  <c r="I613" i="3"/>
  <c r="I241" i="3"/>
  <c r="I6118" i="3"/>
  <c r="I501" i="3"/>
  <c r="H2294" i="3"/>
  <c r="I1272" i="3"/>
  <c r="I5310" i="3"/>
  <c r="H3012" i="3"/>
  <c r="I1646" i="3"/>
  <c r="I5422" i="3"/>
  <c r="H213" i="3"/>
  <c r="I1118" i="3"/>
  <c r="I1894" i="3"/>
  <c r="H2950" i="3"/>
  <c r="I4510" i="3"/>
  <c r="I6206" i="3"/>
  <c r="I491" i="3"/>
  <c r="H2036" i="3"/>
  <c r="I206" i="3"/>
  <c r="I493" i="3"/>
  <c r="H5212" i="3"/>
  <c r="H5486" i="3"/>
  <c r="H6094" i="3"/>
  <c r="I4550" i="3"/>
  <c r="H2960" i="3"/>
  <c r="H3616" i="3"/>
  <c r="H5261" i="3"/>
  <c r="I4902" i="3"/>
  <c r="H1503" i="3"/>
  <c r="H1176" i="3"/>
  <c r="I315" i="3"/>
  <c r="I1227" i="3"/>
  <c r="I3651" i="3"/>
  <c r="I3945" i="3"/>
  <c r="H4023" i="3"/>
  <c r="I931" i="3"/>
  <c r="H4846" i="3"/>
  <c r="I3691" i="3"/>
  <c r="I3755" i="3"/>
  <c r="I909" i="3"/>
  <c r="I3550" i="3"/>
  <c r="I5158" i="3"/>
  <c r="I2478" i="3"/>
  <c r="H6215" i="3"/>
  <c r="I825" i="3"/>
  <c r="H800" i="3"/>
  <c r="H828" i="3"/>
  <c r="I749" i="3"/>
  <c r="I3780" i="3"/>
  <c r="H5860" i="3"/>
  <c r="I1328" i="3"/>
  <c r="H2140" i="3"/>
  <c r="H1020" i="3"/>
  <c r="H60" i="3"/>
  <c r="H1548" i="3"/>
  <c r="H4148" i="3"/>
  <c r="H4406" i="3"/>
  <c r="H4444" i="3"/>
  <c r="H1678" i="3"/>
  <c r="H3470" i="3"/>
  <c r="I597" i="3"/>
  <c r="I1926" i="3"/>
  <c r="I2678" i="3"/>
  <c r="I992" i="3"/>
  <c r="I649" i="3"/>
  <c r="I3419" i="3"/>
  <c r="H438" i="3"/>
  <c r="H940" i="3"/>
  <c r="I877" i="3"/>
  <c r="H1808" i="3"/>
  <c r="I867" i="3"/>
  <c r="H1685" i="3"/>
  <c r="I3797" i="3"/>
  <c r="I441" i="3"/>
  <c r="H3566" i="3"/>
  <c r="H967" i="3"/>
  <c r="I638" i="3"/>
  <c r="H4878" i="3"/>
  <c r="I917" i="3"/>
  <c r="H934" i="3"/>
  <c r="I4590" i="3"/>
  <c r="H4639" i="3"/>
  <c r="I4639" i="3"/>
  <c r="I5502" i="3"/>
  <c r="H5502" i="3"/>
  <c r="H4434" i="3"/>
  <c r="I4434" i="3"/>
  <c r="H4831" i="3"/>
  <c r="I4831" i="3"/>
  <c r="H5479" i="3"/>
  <c r="I5479" i="3"/>
  <c r="H6519" i="3"/>
  <c r="I6519" i="3"/>
  <c r="H5108" i="3"/>
  <c r="I5108" i="3"/>
  <c r="I3009" i="3"/>
  <c r="H3009" i="3"/>
  <c r="H3353" i="3"/>
  <c r="I3353" i="3"/>
  <c r="H3391" i="3"/>
  <c r="I3391" i="3"/>
  <c r="H6335" i="3"/>
  <c r="I6335" i="3"/>
  <c r="H3713" i="3"/>
  <c r="I3713" i="3"/>
  <c r="H3252" i="3"/>
  <c r="I3252" i="3"/>
  <c r="H4532" i="3"/>
  <c r="I4532" i="3"/>
  <c r="I5493" i="3"/>
  <c r="H5493" i="3"/>
  <c r="H1853" i="3"/>
  <c r="I1853" i="3"/>
  <c r="H5462" i="3"/>
  <c r="I5462" i="3"/>
  <c r="H3630" i="3"/>
  <c r="I3630" i="3"/>
  <c r="H5900" i="3"/>
  <c r="I5900" i="3"/>
  <c r="I4637" i="3"/>
  <c r="H4637" i="3"/>
  <c r="H1793" i="3"/>
  <c r="I1793" i="3"/>
  <c r="H2682" i="3"/>
  <c r="I2682" i="3"/>
  <c r="I389" i="3"/>
  <c r="H389" i="3"/>
  <c r="H455" i="3"/>
  <c r="I455" i="3"/>
  <c r="I633" i="3"/>
  <c r="H633" i="3"/>
  <c r="H2959" i="3"/>
  <c r="I2959" i="3"/>
  <c r="I6251" i="3"/>
  <c r="H6251" i="3"/>
  <c r="H4527" i="3"/>
  <c r="I4527" i="3"/>
  <c r="H1616" i="3"/>
  <c r="I1616" i="3"/>
  <c r="H1813" i="3"/>
  <c r="I1813" i="3"/>
  <c r="I6131" i="3"/>
  <c r="H6131" i="3"/>
  <c r="I4795" i="3"/>
  <c r="H4795" i="3"/>
  <c r="I912" i="3"/>
  <c r="H912" i="3"/>
  <c r="H876" i="3"/>
  <c r="I876" i="3"/>
  <c r="H5280" i="3"/>
  <c r="I5280" i="3"/>
  <c r="H3136" i="3"/>
  <c r="I3136" i="3"/>
  <c r="H479" i="3"/>
  <c r="I479" i="3"/>
  <c r="H394" i="3"/>
  <c r="I394" i="3"/>
  <c r="I1774" i="3"/>
  <c r="H1774" i="3"/>
  <c r="H2434" i="3"/>
  <c r="I2434" i="3"/>
  <c r="I2470" i="3"/>
  <c r="H2470" i="3"/>
  <c r="H2404" i="3"/>
  <c r="I2404" i="3"/>
  <c r="H1632" i="3"/>
  <c r="I1632" i="3"/>
  <c r="H2261" i="3"/>
  <c r="I2261" i="3"/>
  <c r="H5256" i="3"/>
  <c r="I5256" i="3"/>
  <c r="H6552" i="3"/>
  <c r="I6552" i="3"/>
  <c r="H1976" i="3"/>
  <c r="I1976" i="3"/>
  <c r="I3238" i="3"/>
  <c r="H3238" i="3"/>
  <c r="H5488" i="3"/>
  <c r="I5488" i="3"/>
  <c r="H3580" i="3"/>
  <c r="I3580" i="3"/>
  <c r="I3513" i="3"/>
  <c r="H3513" i="3"/>
  <c r="I5834" i="3"/>
  <c r="H5834" i="3"/>
  <c r="H3673" i="3"/>
  <c r="I3673" i="3"/>
  <c r="H3796" i="3"/>
  <c r="I3796" i="3"/>
  <c r="I4307" i="3"/>
  <c r="H4307" i="3"/>
  <c r="H3647" i="3"/>
  <c r="I3647" i="3"/>
  <c r="H3413" i="3"/>
  <c r="I3413" i="3"/>
  <c r="H3106" i="3"/>
  <c r="I3106" i="3"/>
  <c r="I5393" i="3"/>
  <c r="H5393" i="3"/>
  <c r="H4172" i="3"/>
  <c r="I4172" i="3"/>
  <c r="H4496" i="3"/>
  <c r="I4496" i="3"/>
  <c r="I2257" i="3"/>
  <c r="H2257" i="3"/>
  <c r="H5504" i="3"/>
  <c r="I5504" i="3"/>
  <c r="I4990" i="3"/>
  <c r="H4990" i="3"/>
  <c r="H4602" i="3"/>
  <c r="I4602" i="3"/>
  <c r="H3287" i="3"/>
  <c r="I3287" i="3"/>
  <c r="H6205" i="3"/>
  <c r="I6205" i="3"/>
  <c r="H5341" i="3"/>
  <c r="I5341" i="3"/>
  <c r="H3445" i="3"/>
  <c r="I3445" i="3"/>
  <c r="H2083" i="3"/>
  <c r="I2083" i="3"/>
  <c r="I869" i="3"/>
  <c r="H869" i="3"/>
  <c r="H5345" i="3"/>
  <c r="I5345" i="3"/>
  <c r="H3460" i="3"/>
  <c r="I3460" i="3"/>
  <c r="H2705" i="3"/>
  <c r="I2705" i="3"/>
  <c r="H359" i="3"/>
  <c r="I359" i="3"/>
  <c r="I72" i="3"/>
  <c r="H72" i="3"/>
  <c r="I5289" i="3"/>
  <c r="H5289" i="3"/>
  <c r="H191" i="3"/>
  <c r="I191" i="3"/>
  <c r="I516" i="3"/>
  <c r="H516" i="3"/>
  <c r="I661" i="3"/>
  <c r="H661" i="3"/>
  <c r="H666" i="3"/>
  <c r="I666" i="3"/>
  <c r="I659" i="3"/>
  <c r="H659" i="3"/>
  <c r="H4823" i="3"/>
  <c r="I4823" i="3"/>
  <c r="H3226" i="3"/>
  <c r="I3226" i="3"/>
  <c r="H1568" i="3"/>
  <c r="I1568" i="3"/>
  <c r="H1651" i="3"/>
  <c r="I1651" i="3"/>
  <c r="H1682" i="3"/>
  <c r="I1682" i="3"/>
  <c r="I1656" i="3"/>
  <c r="H1656" i="3"/>
  <c r="H1654" i="3"/>
  <c r="I1654" i="3"/>
  <c r="H1660" i="3"/>
  <c r="I1660" i="3"/>
  <c r="H1665" i="3"/>
  <c r="I1665" i="3"/>
  <c r="I5588" i="3"/>
  <c r="H5588" i="3"/>
  <c r="H6256" i="3"/>
  <c r="I6256" i="3"/>
  <c r="H3842" i="3"/>
  <c r="I3842" i="3"/>
  <c r="H4533" i="3"/>
  <c r="I4533" i="3"/>
  <c r="H2622" i="3"/>
  <c r="I2622" i="3"/>
  <c r="I1069" i="3"/>
  <c r="H1069" i="3"/>
  <c r="H1979" i="3"/>
  <c r="I1979" i="3"/>
  <c r="H1971" i="3"/>
  <c r="I1971" i="3"/>
  <c r="H1955" i="3"/>
  <c r="I1955" i="3"/>
  <c r="H1970" i="3"/>
  <c r="I1970" i="3"/>
  <c r="H2029" i="3"/>
  <c r="I2029" i="3"/>
  <c r="I2093" i="3"/>
  <c r="H2093" i="3"/>
  <c r="H2016" i="3"/>
  <c r="I2016" i="3"/>
  <c r="H3610" i="3"/>
  <c r="H6138" i="3"/>
  <c r="H4385" i="3"/>
  <c r="I4385" i="3"/>
  <c r="H5213" i="3"/>
  <c r="I5213" i="3"/>
  <c r="H6005" i="3"/>
  <c r="I6005" i="3"/>
  <c r="H4322" i="3"/>
  <c r="I4322" i="3"/>
  <c r="I5126" i="3"/>
  <c r="H5126" i="3"/>
  <c r="I5438" i="3"/>
  <c r="H5438" i="3"/>
  <c r="H3020" i="3"/>
  <c r="I3020" i="3"/>
  <c r="H6079" i="3"/>
  <c r="I6079" i="3"/>
  <c r="H775" i="3"/>
  <c r="I775" i="3"/>
  <c r="I3363" i="3"/>
  <c r="H3363" i="3"/>
  <c r="H3408" i="3"/>
  <c r="I3408" i="3"/>
  <c r="I3524" i="3"/>
  <c r="H3524" i="3"/>
  <c r="H268" i="3"/>
  <c r="I268" i="3"/>
  <c r="H2212" i="3"/>
  <c r="I2212" i="3"/>
  <c r="I4515" i="3"/>
  <c r="H4515" i="3"/>
  <c r="H3312" i="3"/>
  <c r="I3312" i="3"/>
  <c r="I5766" i="3"/>
  <c r="H5766" i="3"/>
  <c r="H3052" i="3"/>
  <c r="I3052" i="3"/>
  <c r="H1096" i="3"/>
  <c r="I1096" i="3"/>
  <c r="H3730" i="3"/>
  <c r="I3730" i="3"/>
  <c r="H386" i="3"/>
  <c r="I386" i="3"/>
  <c r="I419" i="3"/>
  <c r="H419" i="3"/>
  <c r="H3778" i="3"/>
  <c r="I3778" i="3"/>
  <c r="H631" i="3"/>
  <c r="I631" i="3"/>
  <c r="I845" i="3"/>
  <c r="H845" i="3"/>
  <c r="H1186" i="3"/>
  <c r="I1186" i="3"/>
  <c r="H1893" i="3"/>
  <c r="I1893" i="3"/>
  <c r="H1845" i="3"/>
  <c r="I1845" i="3"/>
  <c r="I1830" i="3"/>
  <c r="H1830" i="3"/>
  <c r="H3661" i="3"/>
  <c r="I3661" i="3"/>
  <c r="H2543" i="3"/>
  <c r="I2543" i="3"/>
  <c r="H750" i="3"/>
  <c r="I750" i="3"/>
  <c r="H5188" i="3"/>
  <c r="I5188" i="3"/>
  <c r="I337" i="3"/>
  <c r="H337" i="3"/>
  <c r="I507" i="3"/>
  <c r="H507" i="3"/>
  <c r="H4279" i="3"/>
  <c r="I4279" i="3"/>
  <c r="H2432" i="3"/>
  <c r="I2432" i="3"/>
  <c r="I2465" i="3"/>
  <c r="H2465" i="3"/>
  <c r="H3040" i="3"/>
  <c r="I3040" i="3"/>
  <c r="H6064" i="3"/>
  <c r="I6064" i="3"/>
  <c r="I3267" i="3"/>
  <c r="H3267" i="3"/>
  <c r="I3572" i="3"/>
  <c r="H3572" i="3"/>
  <c r="H3480" i="3"/>
  <c r="I3480" i="3"/>
  <c r="H6557" i="3"/>
  <c r="I6557" i="3"/>
  <c r="H2777" i="3"/>
  <c r="I2777" i="3"/>
  <c r="H3813" i="3"/>
  <c r="I3813" i="3"/>
  <c r="H1727" i="3"/>
  <c r="I1727" i="3"/>
  <c r="H1786" i="3"/>
  <c r="I1786" i="3"/>
  <c r="H4487" i="3"/>
  <c r="I4487" i="3"/>
  <c r="H6356" i="3"/>
  <c r="I6356" i="3"/>
  <c r="H1549" i="3"/>
  <c r="I1549" i="3"/>
  <c r="I5174" i="3"/>
  <c r="H5174" i="3"/>
  <c r="H815" i="3"/>
  <c r="I815" i="3"/>
  <c r="H4186" i="3"/>
  <c r="I4186" i="3"/>
  <c r="H1481" i="3"/>
  <c r="I1481" i="3"/>
  <c r="H2571" i="3"/>
  <c r="I5456" i="3"/>
  <c r="I4328" i="3"/>
  <c r="I391" i="3"/>
  <c r="H1655" i="3"/>
  <c r="H4933" i="3"/>
  <c r="I5167" i="3"/>
  <c r="I3576" i="3"/>
  <c r="H3527" i="3"/>
  <c r="I5496" i="3"/>
  <c r="H4670" i="3"/>
  <c r="I4670" i="3"/>
  <c r="H5149" i="3"/>
  <c r="I5149" i="3"/>
  <c r="H6133" i="3"/>
  <c r="I6133" i="3"/>
  <c r="H4725" i="3"/>
  <c r="I4725" i="3"/>
  <c r="I6038" i="3"/>
  <c r="H6038" i="3"/>
  <c r="H4599" i="3"/>
  <c r="I4599" i="3"/>
  <c r="H4959" i="3"/>
  <c r="I4959" i="3"/>
  <c r="H2772" i="3"/>
  <c r="I2772" i="3"/>
  <c r="H247" i="3"/>
  <c r="I247" i="3"/>
  <c r="H3119" i="3"/>
  <c r="I3119" i="3"/>
  <c r="H3364" i="3"/>
  <c r="I3364" i="3"/>
  <c r="H3455" i="3"/>
  <c r="I3455" i="3"/>
  <c r="H4928" i="3"/>
  <c r="I4928" i="3"/>
  <c r="H2538" i="3"/>
  <c r="I2538" i="3"/>
  <c r="I4036" i="3"/>
  <c r="H4036" i="3"/>
  <c r="I2995" i="3"/>
  <c r="H2995" i="3"/>
  <c r="H3904" i="3"/>
  <c r="I3904" i="3"/>
  <c r="H3649" i="3"/>
  <c r="I3649" i="3"/>
  <c r="I448" i="3"/>
  <c r="H448" i="3"/>
  <c r="I173" i="3"/>
  <c r="H173" i="3"/>
  <c r="H6199" i="3"/>
  <c r="I6199" i="3"/>
  <c r="H384" i="3"/>
  <c r="I384" i="3"/>
  <c r="H6504" i="3"/>
  <c r="I6504" i="3"/>
  <c r="H2115" i="3"/>
  <c r="I2115" i="3"/>
  <c r="H1620" i="3"/>
  <c r="I1620" i="3"/>
  <c r="H2616" i="3"/>
  <c r="I2616" i="3"/>
  <c r="H756" i="3"/>
  <c r="I756" i="3"/>
  <c r="H1869" i="3"/>
  <c r="I1869" i="3"/>
  <c r="H3500" i="3"/>
  <c r="I3500" i="3"/>
  <c r="H1962" i="3"/>
  <c r="I1962" i="3"/>
  <c r="I499" i="3"/>
  <c r="H499" i="3"/>
  <c r="H1915" i="3"/>
  <c r="I1915" i="3"/>
  <c r="I910" i="3"/>
  <c r="H910" i="3"/>
  <c r="H961" i="3"/>
  <c r="I961" i="3"/>
  <c r="H879" i="3"/>
  <c r="I879" i="3"/>
  <c r="H3656" i="3"/>
  <c r="I3656" i="3"/>
  <c r="H1624" i="3"/>
  <c r="I1624" i="3"/>
  <c r="H980" i="3"/>
  <c r="I980" i="3"/>
  <c r="I2566" i="3"/>
  <c r="H2566" i="3"/>
  <c r="H3458" i="3"/>
  <c r="I3458" i="3"/>
  <c r="H514" i="3"/>
  <c r="I514" i="3"/>
  <c r="H2435" i="3"/>
  <c r="I2435" i="3"/>
  <c r="I2406" i="3"/>
  <c r="H2406" i="3"/>
  <c r="H2468" i="3"/>
  <c r="I2468" i="3"/>
  <c r="H1827" i="3"/>
  <c r="I1827" i="3"/>
  <c r="I485" i="3"/>
  <c r="H485" i="3"/>
  <c r="H4912" i="3"/>
  <c r="I4912" i="3"/>
  <c r="H6000" i="3"/>
  <c r="I6000" i="3"/>
  <c r="I3014" i="3"/>
  <c r="H3014" i="3"/>
  <c r="I3302" i="3"/>
  <c r="H3302" i="3"/>
  <c r="H3598" i="3"/>
  <c r="I3598" i="3"/>
  <c r="I3532" i="3"/>
  <c r="H3532" i="3"/>
  <c r="H3322" i="3"/>
  <c r="I3322" i="3"/>
  <c r="H3792" i="3"/>
  <c r="I3792" i="3"/>
  <c r="H4286" i="3"/>
  <c r="I4286" i="3"/>
  <c r="H4297" i="3"/>
  <c r="I4297" i="3"/>
  <c r="H2427" i="3"/>
  <c r="I2427" i="3"/>
  <c r="H918" i="3"/>
  <c r="I918" i="3"/>
  <c r="H1453" i="3"/>
  <c r="I1453" i="3"/>
  <c r="H1883" i="3"/>
  <c r="I1883" i="3"/>
  <c r="I1875" i="3"/>
  <c r="I658" i="3"/>
  <c r="I1951" i="3"/>
  <c r="H199" i="3"/>
  <c r="I943" i="3"/>
  <c r="H993" i="3"/>
  <c r="I993" i="3"/>
  <c r="H2442" i="3"/>
  <c r="I2442" i="3"/>
  <c r="H2407" i="3"/>
  <c r="I2407" i="3"/>
  <c r="H4540" i="3"/>
  <c r="I4540" i="3"/>
  <c r="H4469" i="3"/>
  <c r="I4469" i="3"/>
  <c r="H4039" i="3"/>
  <c r="I4039" i="3"/>
  <c r="H5000" i="3"/>
  <c r="I5000" i="3"/>
  <c r="H3293" i="3"/>
  <c r="I3293" i="3"/>
  <c r="H3258" i="3"/>
  <c r="I3258" i="3"/>
  <c r="H1986" i="3"/>
  <c r="I1986" i="3"/>
  <c r="I3494" i="3"/>
  <c r="H3494" i="3"/>
  <c r="I19" i="3"/>
  <c r="H19" i="3"/>
  <c r="H3860" i="3"/>
  <c r="I3860" i="3"/>
  <c r="I4348" i="3"/>
  <c r="H4348" i="3"/>
  <c r="I6051" i="3"/>
  <c r="H6051" i="3"/>
  <c r="I640" i="3"/>
  <c r="H640" i="3"/>
  <c r="H4575" i="3"/>
  <c r="I4575" i="3"/>
  <c r="I2753" i="3"/>
  <c r="H2753" i="3"/>
  <c r="I811" i="3"/>
  <c r="H811" i="3"/>
  <c r="H2587" i="3"/>
  <c r="I2587" i="3"/>
  <c r="I5738" i="3"/>
  <c r="H3946" i="3"/>
  <c r="H3538" i="3"/>
  <c r="H2133" i="3"/>
  <c r="I2133" i="3"/>
  <c r="H4805" i="3"/>
  <c r="I4805" i="3"/>
  <c r="H5277" i="3"/>
  <c r="I5277" i="3"/>
  <c r="H6397" i="3"/>
  <c r="I6397" i="3"/>
  <c r="H4031" i="3"/>
  <c r="I4031" i="3"/>
  <c r="H2776" i="3"/>
  <c r="I2776" i="3"/>
  <c r="H2405" i="3"/>
  <c r="I2405" i="3"/>
  <c r="H3444" i="3"/>
  <c r="I3444" i="3"/>
  <c r="H3361" i="3"/>
  <c r="I3361" i="3"/>
  <c r="H3434" i="3"/>
  <c r="I3434" i="3"/>
  <c r="I3919" i="3"/>
  <c r="H3919" i="3"/>
  <c r="I1145" i="3"/>
  <c r="H1145" i="3"/>
  <c r="H4268" i="3"/>
  <c r="I4268" i="3"/>
  <c r="H2339" i="3"/>
  <c r="I2339" i="3"/>
  <c r="I2734" i="3"/>
  <c r="H2734" i="3"/>
  <c r="I737" i="3"/>
  <c r="H737" i="3"/>
  <c r="H6460" i="3"/>
  <c r="I6460" i="3"/>
  <c r="I4059" i="3"/>
  <c r="H4059" i="3"/>
  <c r="H5724" i="3"/>
  <c r="I5724" i="3"/>
  <c r="H4087" i="3"/>
  <c r="I4087" i="3"/>
  <c r="I2604" i="3"/>
  <c r="H2604" i="3"/>
  <c r="H2608" i="3"/>
  <c r="I2608" i="3"/>
  <c r="H848" i="3"/>
  <c r="I848" i="3"/>
  <c r="I5355" i="3"/>
  <c r="H5355" i="3"/>
  <c r="I1270" i="3"/>
  <c r="H1270" i="3"/>
  <c r="H1847" i="3"/>
  <c r="I1847" i="3"/>
  <c r="I53" i="3"/>
  <c r="H53" i="3"/>
  <c r="H488" i="3"/>
  <c r="I488" i="3"/>
  <c r="I915" i="3"/>
  <c r="H915" i="3"/>
  <c r="H6473" i="3"/>
  <c r="I6473" i="3"/>
  <c r="I3151" i="3"/>
  <c r="H3151" i="3"/>
  <c r="H6304" i="3"/>
  <c r="I6304" i="3"/>
  <c r="H200" i="3"/>
  <c r="I200" i="3"/>
  <c r="I2469" i="3"/>
  <c r="H2469" i="3"/>
  <c r="H2440" i="3"/>
  <c r="I2440" i="3"/>
  <c r="H5600" i="3"/>
  <c r="I5600" i="3"/>
  <c r="H4970" i="3"/>
  <c r="I4970" i="3"/>
  <c r="I593" i="3"/>
  <c r="H593" i="3"/>
  <c r="H4717" i="3"/>
  <c r="I4717" i="3"/>
  <c r="I3017" i="3"/>
  <c r="H3017" i="3"/>
  <c r="H3244" i="3"/>
  <c r="I3244" i="3"/>
  <c r="I6507" i="3"/>
  <c r="H6507" i="3"/>
  <c r="I1243" i="3"/>
  <c r="H1243" i="3"/>
  <c r="I3547" i="3"/>
  <c r="H3547" i="3"/>
  <c r="H3591" i="3"/>
  <c r="I3591" i="3"/>
  <c r="I420" i="3"/>
  <c r="H420" i="3"/>
  <c r="H3809" i="3"/>
  <c r="I3809" i="3"/>
  <c r="H722" i="3"/>
  <c r="I722" i="3"/>
  <c r="H1696" i="3"/>
  <c r="I1696" i="3"/>
  <c r="H2447" i="3"/>
  <c r="I2447" i="3"/>
  <c r="H3209" i="3"/>
  <c r="I3209" i="3"/>
  <c r="H316" i="3"/>
  <c r="I316" i="3"/>
  <c r="I5430" i="3"/>
  <c r="H5430" i="3"/>
  <c r="I1991" i="3"/>
  <c r="I1047" i="3"/>
  <c r="I6143" i="3"/>
  <c r="H5415" i="3"/>
  <c r="I5018" i="3"/>
  <c r="H1863" i="3"/>
  <c r="H6015" i="3"/>
  <c r="I522" i="3"/>
  <c r="H4585" i="3"/>
  <c r="I4585" i="3"/>
  <c r="H5085" i="3"/>
  <c r="I5085" i="3"/>
  <c r="H6069" i="3"/>
  <c r="I6069" i="3"/>
  <c r="H4553" i="3"/>
  <c r="I4553" i="3"/>
  <c r="I6166" i="3"/>
  <c r="H6166" i="3"/>
  <c r="H6207" i="3"/>
  <c r="I6207" i="3"/>
  <c r="H2773" i="3"/>
  <c r="I2773" i="3"/>
  <c r="I3358" i="3"/>
  <c r="H3358" i="3"/>
  <c r="H3370" i="3"/>
  <c r="I3370" i="3"/>
  <c r="I3771" i="3"/>
  <c r="H3771" i="3"/>
  <c r="H4596" i="3"/>
  <c r="I4596" i="3"/>
  <c r="I4579" i="3"/>
  <c r="H4579" i="3"/>
  <c r="I3806" i="3"/>
  <c r="H3806" i="3"/>
  <c r="I373" i="3"/>
  <c r="H373" i="3"/>
  <c r="H6496" i="3"/>
  <c r="I6496" i="3"/>
  <c r="H3429" i="3"/>
  <c r="I3429" i="3"/>
  <c r="H2091" i="3"/>
  <c r="I2091" i="3"/>
  <c r="H412" i="3"/>
  <c r="I412" i="3"/>
  <c r="H392" i="3"/>
  <c r="I392" i="3"/>
  <c r="I425" i="3"/>
  <c r="H425" i="3"/>
  <c r="H4361" i="3"/>
  <c r="I4361" i="3"/>
  <c r="I645" i="3"/>
  <c r="H645" i="3"/>
  <c r="H202" i="3"/>
  <c r="I202" i="3"/>
  <c r="H847" i="3"/>
  <c r="I847" i="3"/>
  <c r="H1851" i="3"/>
  <c r="I1851" i="3"/>
  <c r="I1892" i="3"/>
  <c r="H1892" i="3"/>
  <c r="I1801" i="3"/>
  <c r="H1801" i="3"/>
  <c r="I982" i="3"/>
  <c r="H982" i="3"/>
  <c r="H762" i="3"/>
  <c r="I762" i="3"/>
  <c r="I497" i="3"/>
  <c r="H497" i="3"/>
  <c r="H3357" i="3"/>
  <c r="I3357" i="3"/>
  <c r="H6421" i="3"/>
  <c r="I6421" i="3"/>
  <c r="H2272" i="3"/>
  <c r="I2272" i="3"/>
  <c r="H5343" i="3"/>
  <c r="I5343" i="3"/>
  <c r="H999" i="3"/>
  <c r="I999" i="3"/>
  <c r="I585" i="3"/>
  <c r="H585" i="3"/>
  <c r="H2429" i="3"/>
  <c r="I2429" i="3"/>
  <c r="I2401" i="3"/>
  <c r="H2401" i="3"/>
  <c r="H4668" i="3"/>
  <c r="I4668" i="3"/>
  <c r="H4530" i="3"/>
  <c r="I4530" i="3"/>
  <c r="H5128" i="3"/>
  <c r="I5128" i="3"/>
  <c r="H6192" i="3"/>
  <c r="I6192" i="3"/>
  <c r="H3300" i="3"/>
  <c r="I3300" i="3"/>
  <c r="H3279" i="3"/>
  <c r="I3279" i="3"/>
  <c r="H4005" i="3"/>
  <c r="I4005" i="3"/>
  <c r="H3528" i="3"/>
  <c r="I3528" i="3"/>
  <c r="H5489" i="3"/>
  <c r="I5489" i="3"/>
  <c r="H1356" i="3"/>
  <c r="I1356" i="3"/>
  <c r="I3779" i="3"/>
  <c r="H3779" i="3"/>
  <c r="I2900" i="3"/>
  <c r="H2900" i="3"/>
  <c r="I4284" i="3"/>
  <c r="H4284" i="3"/>
  <c r="I4755" i="3"/>
  <c r="H4755" i="3"/>
  <c r="I4635" i="3"/>
  <c r="H4635" i="3"/>
  <c r="H5463" i="3"/>
  <c r="I5463" i="3"/>
  <c r="H4041" i="3"/>
  <c r="I4041" i="3"/>
  <c r="I5693" i="3"/>
  <c r="H5693" i="3"/>
  <c r="I3937" i="3"/>
  <c r="H3937" i="3"/>
  <c r="H4675" i="3"/>
  <c r="I1458" i="3"/>
  <c r="H5103" i="3"/>
  <c r="I6343" i="3"/>
  <c r="I4848" i="3"/>
  <c r="I2373" i="3"/>
  <c r="H3847" i="3"/>
  <c r="I3847" i="3"/>
  <c r="H4869" i="3"/>
  <c r="I4869" i="3"/>
  <c r="H5469" i="3"/>
  <c r="I5469" i="3"/>
  <c r="H3605" i="3"/>
  <c r="I3605" i="3"/>
  <c r="I6230" i="3"/>
  <c r="H6230" i="3"/>
  <c r="H4895" i="3"/>
  <c r="I4895" i="3"/>
  <c r="H5231" i="3"/>
  <c r="I5231" i="3"/>
  <c r="H6399" i="3"/>
  <c r="I6399" i="3"/>
  <c r="I5619" i="3"/>
  <c r="H5619" i="3"/>
  <c r="I3371" i="3"/>
  <c r="H3371" i="3"/>
  <c r="H4250" i="3"/>
  <c r="I4250" i="3"/>
  <c r="H1316" i="3"/>
  <c r="I1316" i="3"/>
  <c r="I4542" i="3"/>
  <c r="H4542" i="3"/>
  <c r="H1648" i="3"/>
  <c r="I1648" i="3"/>
  <c r="H5004" i="3"/>
  <c r="I5004" i="3"/>
  <c r="H1741" i="3"/>
  <c r="I1741" i="3"/>
  <c r="H2725" i="3"/>
  <c r="I2725" i="3"/>
  <c r="I1472" i="3"/>
  <c r="H1472" i="3"/>
  <c r="H2690" i="3"/>
  <c r="I2690" i="3"/>
  <c r="H5016" i="3"/>
  <c r="I5016" i="3"/>
  <c r="H1189" i="3"/>
  <c r="I1189" i="3"/>
  <c r="H1274" i="3"/>
  <c r="I1274" i="3"/>
  <c r="H1866" i="3"/>
  <c r="I1866" i="3"/>
  <c r="I1878" i="3"/>
  <c r="H1878" i="3"/>
  <c r="I1820" i="3"/>
  <c r="H1820" i="3"/>
  <c r="H3071" i="3"/>
  <c r="I3071" i="3"/>
  <c r="I2544" i="3"/>
  <c r="H2544" i="3"/>
  <c r="H2106" i="3"/>
  <c r="I2106" i="3"/>
  <c r="I5996" i="3"/>
  <c r="H5996" i="3"/>
  <c r="I885" i="3"/>
  <c r="H885" i="3"/>
  <c r="H898" i="3"/>
  <c r="I898" i="3"/>
  <c r="I1049" i="3"/>
  <c r="H1049" i="3"/>
  <c r="H2471" i="3"/>
  <c r="I2471" i="3"/>
  <c r="I5753" i="3"/>
  <c r="H5753" i="3"/>
  <c r="H3664" i="3"/>
  <c r="I3664" i="3"/>
  <c r="H4631" i="3"/>
  <c r="I4631" i="3"/>
  <c r="H5192" i="3"/>
  <c r="I5192" i="3"/>
  <c r="H6128" i="3"/>
  <c r="I6128" i="3"/>
  <c r="H3241" i="3"/>
  <c r="I3241" i="3"/>
  <c r="H3256" i="3"/>
  <c r="I3256" i="3"/>
  <c r="I4473" i="3"/>
  <c r="H4473" i="3"/>
  <c r="I3486" i="3"/>
  <c r="H3486" i="3"/>
  <c r="H3565" i="3"/>
  <c r="I3565" i="3"/>
  <c r="H3530" i="3"/>
  <c r="I3530" i="3"/>
  <c r="H4134" i="3"/>
  <c r="I4134" i="3"/>
  <c r="H154" i="3"/>
  <c r="I154" i="3"/>
  <c r="H4857" i="3"/>
  <c r="I4857" i="3"/>
  <c r="H4317" i="3"/>
  <c r="I4317" i="3"/>
  <c r="I995" i="3"/>
  <c r="H995" i="3"/>
  <c r="I292" i="3"/>
  <c r="H292" i="3"/>
  <c r="H3633" i="3"/>
  <c r="I3633" i="3"/>
  <c r="I5718" i="3"/>
  <c r="H5718" i="3"/>
  <c r="H5763" i="3"/>
  <c r="I2952" i="3"/>
  <c r="I3594" i="3"/>
  <c r="I6197" i="3"/>
  <c r="I6400" i="3"/>
  <c r="H3949" i="3"/>
  <c r="I3949" i="3"/>
  <c r="I5540" i="3"/>
  <c r="H5540" i="3"/>
  <c r="H678" i="3"/>
  <c r="I678" i="3"/>
  <c r="I2181" i="3"/>
  <c r="H2181" i="3"/>
  <c r="I2141" i="3"/>
  <c r="H2141" i="3"/>
  <c r="H2180" i="3"/>
  <c r="I2180" i="3"/>
  <c r="H2185" i="3"/>
  <c r="I2185" i="3"/>
  <c r="H4977" i="3"/>
  <c r="I4977" i="3"/>
  <c r="H1072" i="3"/>
  <c r="I1072" i="3"/>
  <c r="H3112" i="3"/>
  <c r="I3112" i="3"/>
  <c r="H2964" i="3"/>
  <c r="I2964" i="3"/>
  <c r="H4673" i="3"/>
  <c r="I4673" i="3"/>
  <c r="H3029" i="3"/>
  <c r="I3029" i="3"/>
  <c r="I3134" i="3"/>
  <c r="H3134" i="3"/>
  <c r="H3249" i="3"/>
  <c r="I3249" i="3"/>
  <c r="H3624" i="3"/>
  <c r="I3624" i="3"/>
  <c r="I3733" i="3"/>
  <c r="H3733" i="3"/>
  <c r="H3729" i="3"/>
  <c r="I3729" i="3"/>
  <c r="I5321" i="3"/>
  <c r="H5321" i="3"/>
  <c r="H2204" i="3"/>
  <c r="I2204" i="3"/>
  <c r="I4868" i="3"/>
  <c r="H4868" i="3"/>
  <c r="H3549" i="3"/>
  <c r="I3549" i="3"/>
  <c r="H1254" i="3"/>
  <c r="I1254" i="3"/>
  <c r="H5788" i="3"/>
  <c r="I5788" i="3"/>
  <c r="I1478" i="3"/>
  <c r="H1478" i="3"/>
  <c r="H6088" i="3"/>
  <c r="I6088" i="3"/>
  <c r="I4260" i="3"/>
  <c r="H4260" i="3"/>
  <c r="I2910" i="3"/>
  <c r="H2910" i="3"/>
  <c r="H26" i="3"/>
  <c r="I26" i="3"/>
  <c r="I22" i="3"/>
  <c r="H22" i="3"/>
  <c r="H41" i="3"/>
  <c r="I41" i="3"/>
  <c r="H1032" i="3"/>
  <c r="I1032" i="3"/>
  <c r="I694" i="3"/>
  <c r="H694" i="3"/>
  <c r="H2980" i="3"/>
  <c r="I2980" i="3"/>
  <c r="I3369" i="3"/>
  <c r="H3369" i="3"/>
  <c r="H4573" i="3"/>
  <c r="I4573" i="3"/>
  <c r="I5099" i="3"/>
  <c r="I4537" i="3"/>
  <c r="H4852" i="3"/>
  <c r="I4852" i="3"/>
  <c r="H4916" i="3"/>
  <c r="I4916" i="3"/>
  <c r="H5076" i="3"/>
  <c r="I5076" i="3"/>
  <c r="H5204" i="3"/>
  <c r="I5204" i="3"/>
  <c r="H5268" i="3"/>
  <c r="I5268" i="3"/>
  <c r="H5460" i="3"/>
  <c r="I5460" i="3"/>
  <c r="H5828" i="3"/>
  <c r="I5828" i="3"/>
  <c r="I2740" i="3"/>
  <c r="H2740" i="3"/>
  <c r="H2741" i="3"/>
  <c r="I2741" i="3"/>
  <c r="I3073" i="3"/>
  <c r="H3073" i="3"/>
  <c r="H3078" i="3"/>
  <c r="I3078" i="3"/>
  <c r="H1414" i="3"/>
  <c r="I1414" i="3"/>
  <c r="I3345" i="3"/>
  <c r="H3345" i="3"/>
  <c r="H5948" i="3"/>
  <c r="I5948" i="3"/>
  <c r="I3641" i="3"/>
  <c r="H3641" i="3"/>
  <c r="H3741" i="3"/>
  <c r="I3741" i="3"/>
  <c r="I3915" i="3"/>
  <c r="H172" i="3"/>
  <c r="I172" i="3"/>
  <c r="I4774" i="3"/>
  <c r="H4774" i="3"/>
  <c r="H4973" i="3"/>
  <c r="I4973" i="3"/>
  <c r="I5006" i="3"/>
  <c r="H5006" i="3"/>
  <c r="H5340" i="3"/>
  <c r="I5340" i="3"/>
  <c r="H5329" i="3"/>
  <c r="I5329" i="3"/>
  <c r="H5328" i="3"/>
  <c r="I5328" i="3"/>
  <c r="I5318" i="3"/>
  <c r="H5318" i="3"/>
  <c r="H5309" i="3"/>
  <c r="I5309" i="3"/>
  <c r="I6065" i="3"/>
  <c r="H6065" i="3"/>
  <c r="I2857" i="3"/>
  <c r="H2857" i="3"/>
  <c r="H1256" i="3"/>
  <c r="I1256" i="3"/>
  <c r="H5612" i="3"/>
  <c r="I5612" i="3"/>
  <c r="H5548" i="3"/>
  <c r="I5548" i="3"/>
  <c r="I5705" i="3"/>
  <c r="H5705" i="3"/>
  <c r="H5577" i="3"/>
  <c r="I5577" i="3"/>
  <c r="H5648" i="3"/>
  <c r="I5726" i="3"/>
  <c r="H5726" i="3"/>
  <c r="I5662" i="3"/>
  <c r="H5662" i="3"/>
  <c r="H5549" i="3"/>
  <c r="I5549" i="3"/>
  <c r="H6540" i="3"/>
  <c r="I6540" i="3"/>
  <c r="I4761" i="3"/>
  <c r="H4761" i="3"/>
  <c r="H4996" i="3"/>
  <c r="I4996" i="3"/>
  <c r="H3757" i="3"/>
  <c r="I3757" i="3"/>
  <c r="H1910" i="3"/>
  <c r="I1910" i="3"/>
  <c r="I625" i="3"/>
  <c r="H625" i="3"/>
  <c r="H4841" i="3"/>
  <c r="I4841" i="3"/>
  <c r="H188" i="3"/>
  <c r="I188" i="3"/>
  <c r="I156" i="3"/>
  <c r="H156" i="3"/>
  <c r="H2269" i="3"/>
  <c r="I2269" i="3"/>
  <c r="H2302" i="3"/>
  <c r="I2302" i="3"/>
  <c r="H2244" i="3"/>
  <c r="I2244" i="3"/>
  <c r="I4606" i="3"/>
  <c r="H4606" i="3"/>
  <c r="I65" i="3"/>
  <c r="H65" i="3"/>
  <c r="I5177" i="3"/>
  <c r="H5177" i="3"/>
  <c r="I6545" i="3"/>
  <c r="H6545" i="3"/>
  <c r="I2798" i="3"/>
  <c r="H2798" i="3"/>
  <c r="H3308" i="3"/>
  <c r="I3308" i="3"/>
  <c r="H3885" i="3"/>
  <c r="I3885" i="3"/>
  <c r="H3881" i="3"/>
  <c r="I3881" i="3"/>
  <c r="H4077" i="3"/>
  <c r="I4077" i="3"/>
  <c r="I4017" i="3"/>
  <c r="H4017" i="3"/>
  <c r="H2901" i="3"/>
  <c r="I2901" i="3"/>
  <c r="H1583" i="3"/>
  <c r="I1583" i="3"/>
  <c r="I6196" i="3"/>
  <c r="H6196" i="3"/>
  <c r="I2203" i="3"/>
  <c r="H4363" i="3"/>
  <c r="H6283" i="3"/>
  <c r="I6554" i="3"/>
  <c r="I5082" i="3"/>
  <c r="I5146" i="3"/>
  <c r="I3552" i="3"/>
  <c r="I5327" i="3"/>
  <c r="I5140" i="3"/>
  <c r="I5641" i="3"/>
  <c r="H4625" i="3"/>
  <c r="H1916" i="3"/>
  <c r="I1916" i="3"/>
  <c r="H1993" i="3"/>
  <c r="I1993" i="3"/>
  <c r="H693" i="3"/>
  <c r="I693" i="3"/>
  <c r="H680" i="3"/>
  <c r="I680" i="3"/>
  <c r="H2121" i="3"/>
  <c r="I2121" i="3"/>
  <c r="H2881" i="3"/>
  <c r="I2881" i="3"/>
  <c r="I5513" i="3"/>
  <c r="H5513" i="3"/>
  <c r="H3024" i="3"/>
  <c r="I3024" i="3"/>
  <c r="H3609" i="3"/>
  <c r="I3609" i="3"/>
  <c r="H3836" i="3"/>
  <c r="I3836" i="3"/>
  <c r="H4070" i="3"/>
  <c r="I4070" i="3"/>
  <c r="I4020" i="3"/>
  <c r="H4020" i="3"/>
  <c r="H4381" i="3"/>
  <c r="I4381" i="3"/>
  <c r="I2214" i="3"/>
  <c r="H2214" i="3"/>
  <c r="H4412" i="3"/>
  <c r="I4412" i="3"/>
  <c r="H6193" i="3"/>
  <c r="I6193" i="3"/>
  <c r="H3577" i="3"/>
  <c r="I3577" i="3"/>
  <c r="H1285" i="3"/>
  <c r="I1285" i="3"/>
  <c r="H5715" i="3"/>
  <c r="H5779" i="3"/>
  <c r="I2282" i="3"/>
  <c r="I3610" i="3"/>
  <c r="I4874" i="3"/>
  <c r="I5042" i="3"/>
  <c r="H3320" i="3"/>
  <c r="I3808" i="3"/>
  <c r="I6370" i="3"/>
  <c r="I2802" i="3"/>
  <c r="I3634" i="3"/>
  <c r="I2864" i="3"/>
  <c r="I2154" i="3"/>
  <c r="I2970" i="3"/>
  <c r="I4546" i="3"/>
  <c r="I5474" i="3"/>
  <c r="I1967" i="3"/>
  <c r="I2295" i="3"/>
  <c r="I2024" i="3"/>
  <c r="I4024" i="3"/>
  <c r="I4656" i="3"/>
  <c r="I1141" i="3"/>
  <c r="H4537" i="3"/>
  <c r="H5598" i="3"/>
  <c r="I2116" i="3"/>
  <c r="I2102" i="3"/>
  <c r="H2102" i="3"/>
  <c r="I2305" i="3"/>
  <c r="H2305" i="3"/>
  <c r="H2349" i="3"/>
  <c r="I2349" i="3"/>
  <c r="H152" i="3"/>
  <c r="I152" i="3"/>
  <c r="I3825" i="3"/>
  <c r="H3825" i="3"/>
  <c r="H2149" i="3"/>
  <c r="I2149" i="3"/>
  <c r="I2110" i="3"/>
  <c r="H2110" i="3"/>
  <c r="I4924" i="3"/>
  <c r="H4924" i="3"/>
  <c r="H3901" i="3"/>
  <c r="I3901" i="3"/>
  <c r="H5113" i="3"/>
  <c r="I5113" i="3"/>
  <c r="I6121" i="3"/>
  <c r="H6121" i="3"/>
  <c r="H2884" i="3"/>
  <c r="I2884" i="3"/>
  <c r="H3461" i="3"/>
  <c r="I3461" i="3"/>
  <c r="H1144" i="3"/>
  <c r="I1144" i="3"/>
  <c r="I3900" i="3"/>
  <c r="H3900" i="3"/>
  <c r="H4084" i="3"/>
  <c r="I4084" i="3"/>
  <c r="H4081" i="3"/>
  <c r="I4081" i="3"/>
  <c r="I5526" i="3"/>
  <c r="H5526" i="3"/>
  <c r="H2993" i="3"/>
  <c r="I2993" i="3"/>
  <c r="H5420" i="3"/>
  <c r="I5420" i="3"/>
  <c r="H110" i="3"/>
  <c r="I110" i="3"/>
  <c r="I792" i="3"/>
  <c r="H792" i="3"/>
  <c r="I6566" i="3"/>
  <c r="H6566" i="3"/>
  <c r="I822" i="3"/>
  <c r="H822" i="3"/>
  <c r="H4729" i="3"/>
  <c r="I4729" i="3"/>
  <c r="H5282" i="3"/>
  <c r="I5282" i="3"/>
  <c r="H3963" i="3"/>
  <c r="H4027" i="3"/>
  <c r="I1643" i="3"/>
  <c r="I5447" i="3"/>
  <c r="I4674" i="3"/>
  <c r="I79" i="3"/>
  <c r="I2095" i="3"/>
  <c r="I6418" i="3"/>
  <c r="H4373" i="3"/>
  <c r="I2795" i="3"/>
  <c r="I5249" i="3"/>
  <c r="H1974" i="3"/>
  <c r="I1974" i="3"/>
  <c r="H2057" i="3"/>
  <c r="I2057" i="3"/>
  <c r="I6444" i="3"/>
  <c r="H6444" i="3"/>
  <c r="I9" i="3"/>
  <c r="H9" i="3"/>
  <c r="I144" i="3"/>
  <c r="H144" i="3"/>
  <c r="I5854" i="3"/>
  <c r="H5854" i="3"/>
  <c r="H2216" i="3"/>
  <c r="I2216" i="3"/>
  <c r="I2238" i="3"/>
  <c r="H2238" i="3"/>
  <c r="H2757" i="3"/>
  <c r="I2757" i="3"/>
  <c r="H1556" i="3"/>
  <c r="I1556" i="3"/>
  <c r="H6393" i="3"/>
  <c r="I6393" i="3"/>
  <c r="I3716" i="3"/>
  <c r="H3716" i="3"/>
  <c r="H852" i="3"/>
  <c r="I852" i="3"/>
  <c r="H3956" i="3"/>
  <c r="I3956" i="3"/>
  <c r="H3953" i="3"/>
  <c r="I3953" i="3"/>
  <c r="I4430" i="3"/>
  <c r="H4430" i="3"/>
  <c r="H4437" i="3"/>
  <c r="I4437" i="3"/>
  <c r="H4025" i="3"/>
  <c r="I4025" i="3"/>
  <c r="H6489" i="3"/>
  <c r="I6489" i="3"/>
  <c r="H1022" i="3"/>
  <c r="I1022" i="3"/>
  <c r="I2252" i="3"/>
  <c r="H2252" i="3"/>
  <c r="H1477" i="3"/>
  <c r="I1477" i="3"/>
  <c r="I2355" i="3"/>
  <c r="H6179" i="3"/>
  <c r="I4554" i="3"/>
  <c r="I4922" i="3"/>
  <c r="I2239" i="3"/>
  <c r="I4768" i="3"/>
  <c r="I5520" i="3"/>
  <c r="I1122" i="3"/>
  <c r="I1994" i="3"/>
  <c r="I3759" i="3"/>
  <c r="I4375" i="3"/>
  <c r="I3016" i="3"/>
  <c r="I2866" i="3"/>
  <c r="I6202" i="3"/>
  <c r="I295" i="3"/>
  <c r="I1999" i="3"/>
  <c r="I1952" i="3"/>
  <c r="I3960" i="3"/>
  <c r="H3341" i="3"/>
  <c r="H3081" i="3"/>
  <c r="H153" i="3"/>
  <c r="I16" i="3"/>
  <c r="I3254" i="3"/>
  <c r="I1980" i="3"/>
  <c r="H1929" i="3"/>
  <c r="I1929" i="3"/>
  <c r="I4438" i="3"/>
  <c r="H4438" i="3"/>
  <c r="H673" i="3"/>
  <c r="I673" i="3"/>
  <c r="I25" i="3"/>
  <c r="H25" i="3"/>
  <c r="H689" i="3"/>
  <c r="I689" i="3"/>
  <c r="H764" i="3"/>
  <c r="I764" i="3"/>
  <c r="I4825" i="3"/>
  <c r="H4825" i="3"/>
  <c r="H6049" i="3"/>
  <c r="I6049" i="3"/>
  <c r="H2849" i="3"/>
  <c r="I2849" i="3"/>
  <c r="H3604" i="3"/>
  <c r="I3604" i="3"/>
  <c r="H5780" i="3"/>
  <c r="I5780" i="3"/>
  <c r="I4006" i="3"/>
  <c r="H4006" i="3"/>
  <c r="H1350" i="3"/>
  <c r="I1350" i="3"/>
  <c r="H3851" i="3"/>
  <c r="H771" i="3"/>
  <c r="H4651" i="3"/>
  <c r="H4715" i="3"/>
  <c r="I1890" i="3"/>
  <c r="I2986" i="3"/>
  <c r="I3866" i="3"/>
  <c r="I4175" i="3"/>
  <c r="H2167" i="3"/>
  <c r="H5759" i="3"/>
  <c r="I5269" i="3"/>
  <c r="I4396" i="3"/>
  <c r="I2038" i="3"/>
  <c r="H2038" i="3"/>
  <c r="I2044" i="3"/>
  <c r="H2044" i="3"/>
  <c r="I5785" i="3"/>
  <c r="H5785" i="3"/>
  <c r="I2340" i="3"/>
  <c r="H2340" i="3"/>
  <c r="H94" i="3"/>
  <c r="I94" i="3"/>
  <c r="H2174" i="3"/>
  <c r="I2174" i="3"/>
  <c r="H2249" i="3"/>
  <c r="I2249" i="3"/>
  <c r="H4366" i="3"/>
  <c r="I4366" i="3"/>
  <c r="H1617" i="3"/>
  <c r="I1617" i="3"/>
  <c r="H5344" i="3"/>
  <c r="I5344" i="3"/>
  <c r="H4889" i="3"/>
  <c r="I4889" i="3"/>
  <c r="H5449" i="3"/>
  <c r="I5449" i="3"/>
  <c r="H2829" i="3"/>
  <c r="I2829" i="3"/>
  <c r="H1406" i="3"/>
  <c r="I1406" i="3"/>
  <c r="H3518" i="3"/>
  <c r="I3518" i="3"/>
  <c r="I3870" i="3"/>
  <c r="H3870" i="3"/>
  <c r="I3046" i="3"/>
  <c r="H3046" i="3"/>
  <c r="H1086" i="3"/>
  <c r="I1086" i="3"/>
  <c r="H4692" i="3"/>
  <c r="I4692" i="3"/>
  <c r="H2653" i="3"/>
  <c r="I2653" i="3"/>
  <c r="H4633" i="3"/>
  <c r="I4633" i="3"/>
  <c r="H2811" i="3"/>
  <c r="I1603" i="3"/>
  <c r="I2307" i="3"/>
  <c r="H4723" i="3"/>
  <c r="I1474" i="3"/>
  <c r="I1826" i="3"/>
  <c r="I6010" i="3"/>
  <c r="I2800" i="3"/>
  <c r="I4274" i="3"/>
  <c r="I3896" i="3"/>
  <c r="I146" i="3"/>
  <c r="I1567" i="3"/>
  <c r="I2031" i="3"/>
  <c r="H2130" i="3"/>
  <c r="H5591" i="3"/>
  <c r="I4544" i="3"/>
  <c r="H4581" i="3"/>
  <c r="I4581" i="3"/>
  <c r="H4953" i="3"/>
  <c r="I4953" i="3"/>
  <c r="H6185" i="3"/>
  <c r="I6185" i="3"/>
  <c r="I2862" i="3"/>
  <c r="H2862" i="3"/>
  <c r="H4749" i="3"/>
  <c r="I4749" i="3"/>
  <c r="H3348" i="3"/>
  <c r="I3348" i="3"/>
  <c r="H4013" i="3"/>
  <c r="I4013" i="3"/>
  <c r="H4010" i="3"/>
  <c r="I4010" i="3"/>
  <c r="I1021" i="3"/>
  <c r="H1021" i="3"/>
  <c r="H1172" i="3"/>
  <c r="I1172" i="3"/>
  <c r="H4930" i="3"/>
  <c r="I4930" i="3"/>
  <c r="H3331" i="3"/>
  <c r="I5383" i="3"/>
  <c r="H781" i="3"/>
  <c r="H92" i="3"/>
  <c r="I92" i="3"/>
  <c r="H582" i="3"/>
  <c r="I582" i="3"/>
  <c r="H5865" i="3"/>
  <c r="I5865" i="3"/>
  <c r="H1464" i="3"/>
  <c r="I1464" i="3"/>
  <c r="I1334" i="3"/>
  <c r="H1334" i="3"/>
  <c r="I456" i="3"/>
  <c r="H456" i="3"/>
  <c r="I2262" i="3"/>
  <c r="H2262" i="3"/>
  <c r="I5918" i="3"/>
  <c r="H5918" i="3"/>
  <c r="H2086" i="3"/>
  <c r="I2086" i="3"/>
  <c r="H3820" i="3"/>
  <c r="I3820" i="3"/>
  <c r="I4078" i="3"/>
  <c r="H4078" i="3"/>
  <c r="I2358" i="3"/>
  <c r="H2358" i="3"/>
  <c r="I49" i="3"/>
  <c r="H49" i="3"/>
  <c r="H93" i="3"/>
  <c r="I93" i="3"/>
  <c r="I185" i="3"/>
  <c r="H185" i="3"/>
  <c r="I520" i="3"/>
  <c r="H520" i="3"/>
  <c r="H1064" i="3"/>
  <c r="I1064" i="3"/>
  <c r="H5358" i="3"/>
  <c r="I5358" i="3"/>
  <c r="I2502" i="3"/>
  <c r="H2502" i="3"/>
  <c r="H397" i="3"/>
  <c r="I397" i="3"/>
  <c r="H1424" i="3"/>
  <c r="I1424" i="3"/>
  <c r="I1462" i="3"/>
  <c r="H1462" i="3"/>
  <c r="I1398" i="3"/>
  <c r="H1398" i="3"/>
  <c r="H1420" i="3"/>
  <c r="I1420" i="3"/>
  <c r="I401" i="3"/>
  <c r="H401" i="3"/>
  <c r="H81" i="3"/>
  <c r="I81" i="3"/>
  <c r="H1734" i="3"/>
  <c r="I1734" i="3"/>
  <c r="H1748" i="3"/>
  <c r="I1748" i="3"/>
  <c r="I652" i="3"/>
  <c r="H652" i="3"/>
  <c r="I2521" i="3"/>
  <c r="H2521" i="3"/>
  <c r="I2598" i="3"/>
  <c r="H2598" i="3"/>
  <c r="H246" i="3"/>
  <c r="I246" i="3"/>
  <c r="I302" i="3"/>
  <c r="H302" i="3"/>
  <c r="H333" i="3"/>
  <c r="I333" i="3"/>
  <c r="I230" i="3"/>
  <c r="H230" i="3"/>
  <c r="I204" i="3"/>
  <c r="H204" i="3"/>
  <c r="H278" i="3"/>
  <c r="H220" i="3"/>
  <c r="I220" i="3"/>
  <c r="I297" i="3"/>
  <c r="H297" i="3"/>
  <c r="I233" i="3"/>
  <c r="H233" i="3"/>
  <c r="H3068" i="3"/>
  <c r="I3068" i="3"/>
  <c r="H1132" i="3"/>
  <c r="I1132" i="3"/>
  <c r="H1252" i="3"/>
  <c r="I1252" i="3"/>
  <c r="I5740" i="3"/>
  <c r="H5740" i="3"/>
  <c r="H6468" i="3"/>
  <c r="I6468" i="3"/>
  <c r="I2932" i="3"/>
  <c r="H2932" i="3"/>
  <c r="H6145" i="3"/>
  <c r="I6145" i="3"/>
  <c r="H3100" i="3"/>
  <c r="I3100" i="3"/>
  <c r="H3092" i="3"/>
  <c r="I3092" i="3"/>
  <c r="H3094" i="3"/>
  <c r="I3094" i="3"/>
  <c r="H2636" i="3"/>
  <c r="I2636" i="3"/>
  <c r="H3174" i="3"/>
  <c r="I3174" i="3"/>
  <c r="I2581" i="3"/>
  <c r="I352" i="3"/>
  <c r="I6097" i="3"/>
  <c r="I4721" i="3"/>
  <c r="I2388" i="3"/>
  <c r="I1176" i="3"/>
  <c r="I5901" i="3"/>
  <c r="I3318" i="3"/>
  <c r="H3318" i="3"/>
  <c r="I4870" i="3"/>
  <c r="H4870" i="3"/>
  <c r="I4934" i="3"/>
  <c r="H4934" i="3"/>
  <c r="I5078" i="3"/>
  <c r="H5078" i="3"/>
  <c r="I5142" i="3"/>
  <c r="H5142" i="3"/>
  <c r="I5206" i="3"/>
  <c r="H5206" i="3"/>
  <c r="H5270" i="3"/>
  <c r="I5270" i="3"/>
  <c r="I5454" i="3"/>
  <c r="H5454" i="3"/>
  <c r="I5990" i="3"/>
  <c r="H5990" i="3"/>
  <c r="I6182" i="3"/>
  <c r="H6182" i="3"/>
  <c r="H6382" i="3"/>
  <c r="I6382" i="3"/>
  <c r="I4630" i="3"/>
  <c r="H4630" i="3"/>
  <c r="H3446" i="3"/>
  <c r="I5922" i="3"/>
  <c r="I5879" i="3"/>
  <c r="I5580" i="3"/>
  <c r="I5737" i="3"/>
  <c r="H1225" i="3"/>
  <c r="I1361" i="3"/>
  <c r="H361" i="3"/>
  <c r="H1129" i="3"/>
  <c r="I1433" i="3"/>
  <c r="I1116" i="3"/>
  <c r="H5532" i="3"/>
  <c r="I1369" i="3"/>
  <c r="H196" i="3"/>
  <c r="H1384" i="3"/>
  <c r="H182" i="3"/>
  <c r="I1761" i="3"/>
  <c r="H1484" i="3"/>
  <c r="I5886" i="3"/>
  <c r="I4110" i="3"/>
  <c r="H4454" i="3"/>
  <c r="I4454" i="3"/>
  <c r="I4508" i="3"/>
  <c r="H4508" i="3"/>
  <c r="H5023" i="3"/>
  <c r="H5908" i="3"/>
  <c r="I5908" i="3"/>
  <c r="H3710" i="3"/>
  <c r="I3710" i="3"/>
  <c r="I3680" i="3"/>
  <c r="H3680" i="3"/>
  <c r="I3670" i="3"/>
  <c r="H3670" i="3"/>
  <c r="I1246" i="3"/>
  <c r="H1246" i="3"/>
  <c r="H3758" i="3"/>
  <c r="I3758" i="3"/>
  <c r="I5388" i="3"/>
  <c r="H5388" i="3"/>
  <c r="I5398" i="3"/>
  <c r="H5398" i="3"/>
  <c r="I6342" i="3"/>
  <c r="I2510" i="3"/>
  <c r="H6031" i="3"/>
  <c r="I2788" i="3"/>
  <c r="H2788" i="3"/>
  <c r="H3438" i="3"/>
  <c r="I3438" i="3"/>
  <c r="I3646" i="3"/>
  <c r="H3646" i="3"/>
  <c r="H281" i="3"/>
  <c r="I281" i="3"/>
  <c r="H4526" i="3"/>
  <c r="I4526" i="3"/>
  <c r="H4580" i="3"/>
  <c r="I2902" i="3"/>
  <c r="H2902" i="3"/>
  <c r="H3756" i="3"/>
  <c r="I3756" i="3"/>
  <c r="I553" i="3"/>
  <c r="H553" i="3"/>
  <c r="H1876" i="3"/>
  <c r="I3441" i="3"/>
  <c r="H4958" i="3"/>
  <c r="I3180" i="3"/>
  <c r="H5478" i="3"/>
  <c r="H6142" i="3"/>
  <c r="H3118" i="3"/>
  <c r="H6206" i="3"/>
  <c r="H6422" i="3"/>
  <c r="H4935" i="3"/>
  <c r="I4076" i="3"/>
  <c r="H6612" i="3"/>
  <c r="H4513" i="3"/>
  <c r="H5158" i="3"/>
  <c r="H4638" i="3"/>
  <c r="I4638" i="3"/>
  <c r="H5102" i="3"/>
  <c r="I5102" i="3"/>
  <c r="I5166" i="3"/>
  <c r="H5166" i="3"/>
  <c r="I4662" i="3"/>
  <c r="H4662" i="3"/>
  <c r="H2780" i="3"/>
  <c r="I2780" i="3"/>
  <c r="H2774" i="3"/>
  <c r="I2774" i="3"/>
  <c r="H2942" i="3"/>
  <c r="I2942" i="3"/>
  <c r="H3121" i="3"/>
  <c r="I3390" i="3"/>
  <c r="H3390" i="3"/>
  <c r="H3398" i="3"/>
  <c r="I3398" i="3"/>
  <c r="H2750" i="3"/>
  <c r="I2750" i="3"/>
  <c r="I1686" i="3"/>
  <c r="H1686" i="3"/>
  <c r="I32" i="3"/>
  <c r="H4830" i="3"/>
  <c r="I596" i="3"/>
  <c r="I3436" i="3"/>
  <c r="I4004" i="3"/>
  <c r="H741" i="3"/>
  <c r="I741" i="3"/>
  <c r="I837" i="3"/>
  <c r="I6339" i="3"/>
  <c r="H3910" i="3"/>
  <c r="I3910" i="3"/>
  <c r="I1574" i="3"/>
  <c r="H5542" i="3"/>
  <c r="I5542" i="3"/>
  <c r="H2118" i="3"/>
  <c r="I2118" i="3"/>
  <c r="I3030" i="3"/>
  <c r="H3030" i="3"/>
  <c r="H4158" i="3"/>
  <c r="I4158" i="3"/>
  <c r="H4094" i="3"/>
  <c r="I4094" i="3"/>
  <c r="I2526" i="3"/>
  <c r="H2526" i="3"/>
  <c r="H4150" i="3"/>
  <c r="I4150" i="3"/>
  <c r="H504" i="3"/>
  <c r="I62" i="3"/>
  <c r="H62" i="3"/>
  <c r="H388" i="3"/>
  <c r="I388" i="3"/>
  <c r="I1814" i="3"/>
  <c r="H1814" i="3"/>
  <c r="H5750" i="3"/>
  <c r="I5750" i="3"/>
  <c r="H590" i="3"/>
  <c r="I590" i="3"/>
  <c r="I925" i="3"/>
  <c r="H925" i="3"/>
  <c r="I4278" i="3"/>
  <c r="H4278" i="3"/>
  <c r="I979" i="3"/>
  <c r="H2397" i="3"/>
  <c r="I2454" i="3"/>
  <c r="H2454" i="3"/>
  <c r="I438" i="3"/>
  <c r="I86" i="3"/>
  <c r="H5622" i="3"/>
  <c r="I4878" i="3"/>
  <c r="I445" i="3"/>
  <c r="I1182" i="3"/>
  <c r="I2294" i="3"/>
  <c r="I390" i="3"/>
  <c r="I773" i="3"/>
  <c r="I4598" i="3"/>
  <c r="H4598" i="3"/>
  <c r="I4822" i="3"/>
  <c r="H4886" i="3"/>
  <c r="I4886" i="3"/>
  <c r="I4950" i="3"/>
  <c r="H4950" i="3"/>
  <c r="H5222" i="3"/>
  <c r="I5222" i="3"/>
  <c r="I6134" i="3"/>
  <c r="H3412" i="3"/>
  <c r="I1214" i="3"/>
  <c r="H1214" i="3"/>
  <c r="H814" i="3"/>
  <c r="I814" i="3"/>
  <c r="H430" i="3"/>
  <c r="I430" i="3"/>
  <c r="I513" i="3"/>
  <c r="H2430" i="3"/>
  <c r="I2366" i="3"/>
  <c r="H2364" i="3"/>
  <c r="I4422" i="3"/>
  <c r="H4422" i="3"/>
  <c r="I800" i="3"/>
  <c r="I1808" i="3"/>
  <c r="I6316" i="3"/>
  <c r="I4102" i="3"/>
  <c r="H398" i="3"/>
  <c r="I502" i="3"/>
  <c r="H3206" i="3"/>
  <c r="I3206" i="3"/>
  <c r="I97" i="3"/>
  <c r="I5534" i="3"/>
  <c r="I702" i="3"/>
  <c r="I4270" i="3"/>
  <c r="I3286" i="3"/>
  <c r="I3814" i="3"/>
  <c r="H4334" i="3"/>
  <c r="I2950" i="3"/>
  <c r="H613" i="3"/>
  <c r="I454" i="3"/>
  <c r="I6334" i="3"/>
  <c r="H6334" i="3"/>
  <c r="H3526" i="3"/>
  <c r="I3526" i="3"/>
  <c r="I782" i="3"/>
  <c r="H782" i="3"/>
  <c r="I3222" i="3"/>
  <c r="H3262" i="3"/>
  <c r="I3766" i="3"/>
  <c r="I5846" i="3"/>
  <c r="H3478" i="3"/>
  <c r="I4734" i="3"/>
  <c r="H4734" i="3"/>
  <c r="H4902" i="3"/>
  <c r="H5238" i="3"/>
  <c r="I5238" i="3"/>
  <c r="I4846" i="3"/>
  <c r="I5246" i="3"/>
  <c r="I3382" i="3"/>
  <c r="I4806" i="3"/>
  <c r="I1846" i="3"/>
  <c r="H69" i="3"/>
  <c r="I5173" i="3"/>
  <c r="I405" i="3"/>
  <c r="H1885" i="3"/>
  <c r="I33" i="3"/>
  <c r="H4694" i="3"/>
  <c r="H5254" i="3"/>
  <c r="H902" i="3"/>
  <c r="I862" i="3"/>
  <c r="H1198" i="3"/>
  <c r="I1174" i="3"/>
  <c r="I4998" i="3"/>
  <c r="H5062" i="3"/>
  <c r="I5190" i="3"/>
  <c r="I161" i="3"/>
  <c r="H421" i="3"/>
  <c r="I462" i="3"/>
  <c r="I894" i="3"/>
  <c r="H4854" i="3"/>
  <c r="H3382" i="3"/>
  <c r="H5182" i="3"/>
  <c r="I6094" i="3"/>
  <c r="I581" i="3"/>
  <c r="I4861" i="3"/>
  <c r="H6102" i="3"/>
  <c r="H3454" i="3"/>
  <c r="I4918" i="3"/>
  <c r="H478" i="3"/>
  <c r="I406" i="3"/>
  <c r="I4566" i="3"/>
  <c r="E7" i="2"/>
  <c r="F2" i="2"/>
  <c r="F3" i="2" s="1"/>
  <c r="F4" i="2" s="1"/>
  <c r="E8" i="2"/>
</calcChain>
</file>

<file path=xl/sharedStrings.xml><?xml version="1.0" encoding="utf-8"?>
<sst xmlns="http://schemas.openxmlformats.org/spreadsheetml/2006/main" count="41036" uniqueCount="22415">
  <si>
    <t>Destination</t>
  </si>
  <si>
    <t>STATE</t>
  </si>
  <si>
    <t>ABQ</t>
  </si>
  <si>
    <t>NM</t>
  </si>
  <si>
    <t>USA</t>
  </si>
  <si>
    <t>ACK</t>
  </si>
  <si>
    <t>MA</t>
  </si>
  <si>
    <t>ALB</t>
  </si>
  <si>
    <t>NY</t>
  </si>
  <si>
    <t>ANU</t>
  </si>
  <si>
    <t>ATL</t>
  </si>
  <si>
    <t>GA</t>
  </si>
  <si>
    <t>AUA</t>
  </si>
  <si>
    <t>AUS</t>
  </si>
  <si>
    <t>TX</t>
  </si>
  <si>
    <t>BDA</t>
  </si>
  <si>
    <t>BDL</t>
  </si>
  <si>
    <t>CT</t>
  </si>
  <si>
    <t>BGI</t>
  </si>
  <si>
    <t>BNA</t>
  </si>
  <si>
    <t>TN</t>
  </si>
  <si>
    <t>BOG</t>
  </si>
  <si>
    <t>BOI</t>
  </si>
  <si>
    <t>ID</t>
  </si>
  <si>
    <t>BOS</t>
  </si>
  <si>
    <t>BQN</t>
  </si>
  <si>
    <t>PR</t>
  </si>
  <si>
    <t>BTV</t>
  </si>
  <si>
    <t>VT</t>
  </si>
  <si>
    <t>BUF</t>
  </si>
  <si>
    <t>BUR</t>
  </si>
  <si>
    <t>CA</t>
  </si>
  <si>
    <t>BWI</t>
  </si>
  <si>
    <t>MD</t>
  </si>
  <si>
    <t>BZN</t>
  </si>
  <si>
    <t>MT</t>
  </si>
  <si>
    <t>CHS</t>
  </si>
  <si>
    <t>SC</t>
  </si>
  <si>
    <t>CLE</t>
  </si>
  <si>
    <t>OH</t>
  </si>
  <si>
    <t>CLT</t>
  </si>
  <si>
    <t>NC</t>
  </si>
  <si>
    <t>CTG</t>
  </si>
  <si>
    <t>CUN</t>
  </si>
  <si>
    <t>CUR</t>
  </si>
  <si>
    <t>DCA</t>
  </si>
  <si>
    <t>VA</t>
  </si>
  <si>
    <t>DEN</t>
  </si>
  <si>
    <t>CO</t>
  </si>
  <si>
    <t>DFW</t>
  </si>
  <si>
    <t>DTW</t>
  </si>
  <si>
    <t>MI</t>
  </si>
  <si>
    <t>EWR</t>
  </si>
  <si>
    <t>NJ</t>
  </si>
  <si>
    <t>EYW</t>
  </si>
  <si>
    <t>FL</t>
  </si>
  <si>
    <t>FCA</t>
  </si>
  <si>
    <t>FLL</t>
  </si>
  <si>
    <t>GCM</t>
  </si>
  <si>
    <t>GEO</t>
  </si>
  <si>
    <t>GND</t>
  </si>
  <si>
    <t>GUA</t>
  </si>
  <si>
    <t>GYE</t>
  </si>
  <si>
    <t>HAV</t>
  </si>
  <si>
    <t>HDN</t>
  </si>
  <si>
    <t>HPN</t>
  </si>
  <si>
    <t>HYA</t>
  </si>
  <si>
    <t>IAH</t>
  </si>
  <si>
    <t>JAX</t>
  </si>
  <si>
    <t>JFK</t>
  </si>
  <si>
    <t>KIN</t>
  </si>
  <si>
    <t>LAS</t>
  </si>
  <si>
    <t>NV</t>
  </si>
  <si>
    <t>LAX</t>
  </si>
  <si>
    <t>LGA</t>
  </si>
  <si>
    <t>LGW</t>
  </si>
  <si>
    <t>LHR</t>
  </si>
  <si>
    <t>LIM</t>
  </si>
  <si>
    <t>LIR</t>
  </si>
  <si>
    <t>MBJ</t>
  </si>
  <si>
    <t>MCI</t>
  </si>
  <si>
    <t>MO</t>
  </si>
  <si>
    <t>MCO</t>
  </si>
  <si>
    <t>MDE</t>
  </si>
  <si>
    <t>MIA</t>
  </si>
  <si>
    <t>MKE</t>
  </si>
  <si>
    <t>WI</t>
  </si>
  <si>
    <t>MSP</t>
  </si>
  <si>
    <t>MN</t>
  </si>
  <si>
    <t>MSY</t>
  </si>
  <si>
    <t>LA</t>
  </si>
  <si>
    <t>MTJ</t>
  </si>
  <si>
    <t>MVY</t>
  </si>
  <si>
    <t>NAS</t>
  </si>
  <si>
    <t>ONT</t>
  </si>
  <si>
    <t>ORD</t>
  </si>
  <si>
    <t>IL</t>
  </si>
  <si>
    <t>ORH</t>
  </si>
  <si>
    <t>PAP</t>
  </si>
  <si>
    <t>PBI</t>
  </si>
  <si>
    <t>PDX</t>
  </si>
  <si>
    <t>OR</t>
  </si>
  <si>
    <t>PHL</t>
  </si>
  <si>
    <t>PA</t>
  </si>
  <si>
    <t>PHX</t>
  </si>
  <si>
    <t>AZ</t>
  </si>
  <si>
    <t>PIT</t>
  </si>
  <si>
    <t>PLS</t>
  </si>
  <si>
    <t>POP</t>
  </si>
  <si>
    <t>POS</t>
  </si>
  <si>
    <t>PSE</t>
  </si>
  <si>
    <t>PSP</t>
  </si>
  <si>
    <t>PTP</t>
  </si>
  <si>
    <t>PUJ</t>
  </si>
  <si>
    <t>PVD</t>
  </si>
  <si>
    <t>RI</t>
  </si>
  <si>
    <t>PVR</t>
  </si>
  <si>
    <t>PWM</t>
  </si>
  <si>
    <t>ME</t>
  </si>
  <si>
    <t>RDU</t>
  </si>
  <si>
    <t>RIC</t>
  </si>
  <si>
    <t>RNO</t>
  </si>
  <si>
    <t>ROC</t>
  </si>
  <si>
    <t>RSW</t>
  </si>
  <si>
    <t>SAN</t>
  </si>
  <si>
    <t>SAT</t>
  </si>
  <si>
    <t>SAV</t>
  </si>
  <si>
    <t>SDQ</t>
  </si>
  <si>
    <t>SEA</t>
  </si>
  <si>
    <t>WA</t>
  </si>
  <si>
    <t>SFO</t>
  </si>
  <si>
    <t>SJC</t>
  </si>
  <si>
    <t>SJD</t>
  </si>
  <si>
    <t>SJO</t>
  </si>
  <si>
    <t>SJU</t>
  </si>
  <si>
    <t>SLC</t>
  </si>
  <si>
    <t>UT</t>
  </si>
  <si>
    <t>SMF</t>
  </si>
  <si>
    <t>SRQ</t>
  </si>
  <si>
    <t>STI</t>
  </si>
  <si>
    <t>STT</t>
  </si>
  <si>
    <t>VI</t>
  </si>
  <si>
    <t>SWF</t>
  </si>
  <si>
    <t>SXM</t>
  </si>
  <si>
    <t>SYR</t>
  </si>
  <si>
    <t>TPA</t>
  </si>
  <si>
    <t>UIO</t>
  </si>
  <si>
    <t>UVF</t>
  </si>
  <si>
    <t>R</t>
  </si>
  <si>
    <t>d</t>
  </si>
  <si>
    <t>a</t>
  </si>
  <si>
    <t>lat</t>
  </si>
  <si>
    <t>long</t>
  </si>
  <si>
    <t>Origin</t>
  </si>
  <si>
    <t>c</t>
  </si>
  <si>
    <t>Miles</t>
  </si>
  <si>
    <t>Kilometers</t>
  </si>
  <si>
    <t>Routes</t>
  </si>
  <si>
    <t>Orgin</t>
  </si>
  <si>
    <t>Distance</t>
  </si>
  <si>
    <t>LAT1</t>
  </si>
  <si>
    <t>LOG1</t>
  </si>
  <si>
    <t>LAT2</t>
  </si>
  <si>
    <t>LOG2</t>
  </si>
  <si>
    <t>AS</t>
  </si>
  <si>
    <t>Dist(kms)</t>
  </si>
  <si>
    <t>Dist(miles)</t>
  </si>
  <si>
    <t>ORIGIN</t>
  </si>
  <si>
    <t>DEST</t>
  </si>
  <si>
    <t>Flight Route</t>
  </si>
  <si>
    <t>ABE</t>
  </si>
  <si>
    <t>ABE - ATL</t>
  </si>
  <si>
    <t>ABE - BNA</t>
  </si>
  <si>
    <t>ABE - CLT</t>
  </si>
  <si>
    <t>ABE - DTW</t>
  </si>
  <si>
    <t>ABE - FLL</t>
  </si>
  <si>
    <t>IAD</t>
  </si>
  <si>
    <t>ABE - IAD</t>
  </si>
  <si>
    <t>MDT</t>
  </si>
  <si>
    <t>ABE - MDT</t>
  </si>
  <si>
    <t>MDW</t>
  </si>
  <si>
    <t>ABE - MDW</t>
  </si>
  <si>
    <t>MYR</t>
  </si>
  <si>
    <t>ABE - MYR</t>
  </si>
  <si>
    <t>ABE - ORD</t>
  </si>
  <si>
    <t>PGD</t>
  </si>
  <si>
    <t>ABE - PGD</t>
  </si>
  <si>
    <t>ABE - PHL</t>
  </si>
  <si>
    <t>PIE</t>
  </si>
  <si>
    <t>ABE - PIE</t>
  </si>
  <si>
    <t>ABE - SAV</t>
  </si>
  <si>
    <t>SFB</t>
  </si>
  <si>
    <t>ABE - SFB</t>
  </si>
  <si>
    <t>ABE - SRQ</t>
  </si>
  <si>
    <t>ABI</t>
  </si>
  <si>
    <t>ABI - DFW</t>
  </si>
  <si>
    <t>ABI - IAH</t>
  </si>
  <si>
    <t>ABQ - ATL</t>
  </si>
  <si>
    <t>ABQ - AUS</t>
  </si>
  <si>
    <t>ABQ - BUR</t>
  </si>
  <si>
    <t>ABQ - BWI</t>
  </si>
  <si>
    <t>DAL</t>
  </si>
  <si>
    <t>ABQ - DAL</t>
  </si>
  <si>
    <t>ABQ - DEN</t>
  </si>
  <si>
    <t>ABQ - DFW</t>
  </si>
  <si>
    <t>HOU</t>
  </si>
  <si>
    <t>ABQ - HOU</t>
  </si>
  <si>
    <t>ABQ - IAH</t>
  </si>
  <si>
    <t>ABQ - JFK</t>
  </si>
  <si>
    <t>ABQ - LAS</t>
  </si>
  <si>
    <t>ABQ - LAX</t>
  </si>
  <si>
    <t>ABQ - MCI</t>
  </si>
  <si>
    <t>ABQ - MCO</t>
  </si>
  <si>
    <t>ABQ - MDW</t>
  </si>
  <si>
    <t>ABQ - MSP</t>
  </si>
  <si>
    <t>OAK</t>
  </si>
  <si>
    <t>ABQ - OAK</t>
  </si>
  <si>
    <t>ABQ - ORD</t>
  </si>
  <si>
    <t>ABQ - PDX</t>
  </si>
  <si>
    <t>ABQ - PHX</t>
  </si>
  <si>
    <t>ABQ - SAN</t>
  </si>
  <si>
    <t>ABQ - SAT</t>
  </si>
  <si>
    <t>ABQ - SEA</t>
  </si>
  <si>
    <t>ABQ - SFB</t>
  </si>
  <si>
    <t>ABQ - SFO</t>
  </si>
  <si>
    <t>ABQ - SJC</t>
  </si>
  <si>
    <t>ABQ - SLC</t>
  </si>
  <si>
    <t>SNA</t>
  </si>
  <si>
    <t>ABQ - SNA</t>
  </si>
  <si>
    <t>ABR</t>
  </si>
  <si>
    <t>ABR - MSP</t>
  </si>
  <si>
    <t>ABY</t>
  </si>
  <si>
    <t>ABY - ATL</t>
  </si>
  <si>
    <t>BGR</t>
  </si>
  <si>
    <t>ACK - BGR</t>
  </si>
  <si>
    <t>ACK - BOS</t>
  </si>
  <si>
    <t>ACK - CLT</t>
  </si>
  <si>
    <t>ACK - DCA</t>
  </si>
  <si>
    <t>ACK - EWR</t>
  </si>
  <si>
    <t>ACK - HPN</t>
  </si>
  <si>
    <t>ACK - IAD</t>
  </si>
  <si>
    <t>ACK - JFK</t>
  </si>
  <si>
    <t>ACK - LGA</t>
  </si>
  <si>
    <t>ACK - ORD</t>
  </si>
  <si>
    <t>ACK - PHL</t>
  </si>
  <si>
    <t>ACT</t>
  </si>
  <si>
    <t>ACT - DFW</t>
  </si>
  <si>
    <t>ACV</t>
  </si>
  <si>
    <t>ACV - DEN</t>
  </si>
  <si>
    <t>ACV - LAX</t>
  </si>
  <si>
    <t>ACV - PHX</t>
  </si>
  <si>
    <t>ACV - SFO</t>
  </si>
  <si>
    <t>ACY</t>
  </si>
  <si>
    <t>ACY - ATL</t>
  </si>
  <si>
    <t>ACY - BOS</t>
  </si>
  <si>
    <t>ACY - FLL</t>
  </si>
  <si>
    <t>ACY - MCO</t>
  </si>
  <si>
    <t>ACY - MIA</t>
  </si>
  <si>
    <t>ACY - MSY</t>
  </si>
  <si>
    <t>ACY - MYR</t>
  </si>
  <si>
    <t>ACY - PBI</t>
  </si>
  <si>
    <t>ACY - RSW</t>
  </si>
  <si>
    <t>ACY - SJU</t>
  </si>
  <si>
    <t>ACY - TPA</t>
  </si>
  <si>
    <t>ADK</t>
  </si>
  <si>
    <t>ANC</t>
  </si>
  <si>
    <t>ADK - ANC</t>
  </si>
  <si>
    <t>CDB</t>
  </si>
  <si>
    <t>ADK - CDB</t>
  </si>
  <si>
    <t>ADQ</t>
  </si>
  <si>
    <t>ADQ - ANC</t>
  </si>
  <si>
    <t>AEX</t>
  </si>
  <si>
    <t>AEX - ATL</t>
  </si>
  <si>
    <t>AEX - CLT</t>
  </si>
  <si>
    <t>AEX - DFW</t>
  </si>
  <si>
    <t>AEX - IAH</t>
  </si>
  <si>
    <t>AGS</t>
  </si>
  <si>
    <t>AGS - ATL</t>
  </si>
  <si>
    <t>AGS - AUS</t>
  </si>
  <si>
    <t>AGS - BOS</t>
  </si>
  <si>
    <t>AGS - CLT</t>
  </si>
  <si>
    <t>AGS - DCA</t>
  </si>
  <si>
    <t>AGS - DFW</t>
  </si>
  <si>
    <t>AGS - LGA</t>
  </si>
  <si>
    <t>AGS - MIA</t>
  </si>
  <si>
    <t>AGS - ORD</t>
  </si>
  <si>
    <t>AGS - PHL</t>
  </si>
  <si>
    <t>AKN</t>
  </si>
  <si>
    <t>AKN - ANC</t>
  </si>
  <si>
    <t>DLG</t>
  </si>
  <si>
    <t>AKN - DLG</t>
  </si>
  <si>
    <t>ALB - ATL</t>
  </si>
  <si>
    <t>ALB - BDL</t>
  </si>
  <si>
    <t>ALB - BNA</t>
  </si>
  <si>
    <t>ALB - BWI</t>
  </si>
  <si>
    <t>ALB - CLT</t>
  </si>
  <si>
    <t>ALB - DCA</t>
  </si>
  <si>
    <t>ALB - DEN</t>
  </si>
  <si>
    <t>ALB - DTW</t>
  </si>
  <si>
    <t>ALB - EWR</t>
  </si>
  <si>
    <t>ALB - FLL</t>
  </si>
  <si>
    <t>ALB - IAD</t>
  </si>
  <si>
    <t>ALB - LAS</t>
  </si>
  <si>
    <t>ALB - LGA</t>
  </si>
  <si>
    <t>ALB - MCO</t>
  </si>
  <si>
    <t>ALB - MDW</t>
  </si>
  <si>
    <t>ALB - MIA</t>
  </si>
  <si>
    <t>ALB - MSP</t>
  </si>
  <si>
    <t>ALB - MYR</t>
  </si>
  <si>
    <t>ALB - ORD</t>
  </si>
  <si>
    <t>ALB - PGD</t>
  </si>
  <si>
    <t>ALB - PHL</t>
  </si>
  <si>
    <t>ALB - PIE</t>
  </si>
  <si>
    <t>ALB - RDU</t>
  </si>
  <si>
    <t>ALB - RSW</t>
  </si>
  <si>
    <t>ALB - SAV</t>
  </si>
  <si>
    <t>ALB - SFB</t>
  </si>
  <si>
    <t>ALB - SYR</t>
  </si>
  <si>
    <t>ALB - TPA</t>
  </si>
  <si>
    <t>ALO</t>
  </si>
  <si>
    <t>ALO - ORD</t>
  </si>
  <si>
    <t>ALS</t>
  </si>
  <si>
    <t>ALS - DEN</t>
  </si>
  <si>
    <t>ALW</t>
  </si>
  <si>
    <t>PUW</t>
  </si>
  <si>
    <t>ALW - PUW</t>
  </si>
  <si>
    <t>ALW - SEA</t>
  </si>
  <si>
    <t>AMA</t>
  </si>
  <si>
    <t>AMA - AUS</t>
  </si>
  <si>
    <t>AZA</t>
  </si>
  <si>
    <t>AMA - AZA</t>
  </si>
  <si>
    <t>AMA - DAL</t>
  </si>
  <si>
    <t>AMA - DEN</t>
  </si>
  <si>
    <t>AMA - DFW</t>
  </si>
  <si>
    <t>AMA - HOU</t>
  </si>
  <si>
    <t>AMA - IAH</t>
  </si>
  <si>
    <t>AMA - LAS</t>
  </si>
  <si>
    <t>AMA - PHX</t>
  </si>
  <si>
    <t>ANC - ADK</t>
  </si>
  <si>
    <t>ANC - ADQ</t>
  </si>
  <si>
    <t>ANC - AKN</t>
  </si>
  <si>
    <t>ANC - ATL</t>
  </si>
  <si>
    <t>BET</t>
  </si>
  <si>
    <t>ANC - BET</t>
  </si>
  <si>
    <t>BLI</t>
  </si>
  <si>
    <t>ANC - BLI</t>
  </si>
  <si>
    <t>BRW</t>
  </si>
  <si>
    <t>ANC - BRW</t>
  </si>
  <si>
    <t>ANC - CDB</t>
  </si>
  <si>
    <t>CDV</t>
  </si>
  <si>
    <t>ANC - CDV</t>
  </si>
  <si>
    <t>ANC - DEN</t>
  </si>
  <si>
    <t>ANC - DFW</t>
  </si>
  <si>
    <t>ANC - DLG</t>
  </si>
  <si>
    <t>ANC - DTW</t>
  </si>
  <si>
    <t>DUT</t>
  </si>
  <si>
    <t>ANC - DUT</t>
  </si>
  <si>
    <t>ANC - EWR</t>
  </si>
  <si>
    <t>FAI</t>
  </si>
  <si>
    <t>ANC - FAI</t>
  </si>
  <si>
    <t>HNL</t>
  </si>
  <si>
    <t>ANC - HNL</t>
  </si>
  <si>
    <t>ANC - IAH</t>
  </si>
  <si>
    <t>ANC - JFK</t>
  </si>
  <si>
    <t>JNU</t>
  </si>
  <si>
    <t>ANC - JNU</t>
  </si>
  <si>
    <t>KOA</t>
  </si>
  <si>
    <t>ANC - KOA</t>
  </si>
  <si>
    <t>ANC - LAS</t>
  </si>
  <si>
    <t>ANC - LAX</t>
  </si>
  <si>
    <t>ANC - MSP</t>
  </si>
  <si>
    <t>OGG</t>
  </si>
  <si>
    <t>ANC - OGG</t>
  </si>
  <si>
    <t>OME</t>
  </si>
  <si>
    <t>ANC - OME</t>
  </si>
  <si>
    <t>ANC - ORD</t>
  </si>
  <si>
    <t>OTZ</t>
  </si>
  <si>
    <t>ANC - OTZ</t>
  </si>
  <si>
    <t>ANC - PDX</t>
  </si>
  <si>
    <t>ANC - PHX</t>
  </si>
  <si>
    <t>SCC</t>
  </si>
  <si>
    <t>ANC - SCC</t>
  </si>
  <si>
    <t>ANC - SEA</t>
  </si>
  <si>
    <t>ANC - SFO</t>
  </si>
  <si>
    <t>ANC - SLC</t>
  </si>
  <si>
    <t>APN</t>
  </si>
  <si>
    <t>APN - DTW</t>
  </si>
  <si>
    <t>MBS</t>
  </si>
  <si>
    <t>APN - MBS</t>
  </si>
  <si>
    <t>PLN</t>
  </si>
  <si>
    <t>APN - PLN</t>
  </si>
  <si>
    <t>ART</t>
  </si>
  <si>
    <t>ART - PHL</t>
  </si>
  <si>
    <t>ASE</t>
  </si>
  <si>
    <t>ASE - ATL</t>
  </si>
  <si>
    <t>ASE - AUS</t>
  </si>
  <si>
    <t>ASE - DEN</t>
  </si>
  <si>
    <t>ASE - DFW</t>
  </si>
  <si>
    <t>ASE - IAH</t>
  </si>
  <si>
    <t>ASE - LAX</t>
  </si>
  <si>
    <t>ASE - MSP</t>
  </si>
  <si>
    <t>ASE - MTJ</t>
  </si>
  <si>
    <t>ASE - ORD</t>
  </si>
  <si>
    <t>ASE - PHX</t>
  </si>
  <si>
    <t>ASE - SFO</t>
  </si>
  <si>
    <t>ASE - SLC</t>
  </si>
  <si>
    <t>ASE - SNA</t>
  </si>
  <si>
    <t>ATL - ABE</t>
  </si>
  <si>
    <t>ATL - ABQ</t>
  </si>
  <si>
    <t>ATL - ABY</t>
  </si>
  <si>
    <t>ATL - ACY</t>
  </si>
  <si>
    <t>ATL - AEX</t>
  </si>
  <si>
    <t>ATL - AGS</t>
  </si>
  <si>
    <t>ATL - ALB</t>
  </si>
  <si>
    <t>ATL - ANC</t>
  </si>
  <si>
    <t>ATL - ASE</t>
  </si>
  <si>
    <t>ATW</t>
  </si>
  <si>
    <t>ATL - ATW</t>
  </si>
  <si>
    <t>ATL - AUS</t>
  </si>
  <si>
    <t>AVL</t>
  </si>
  <si>
    <t>ATL - AVL</t>
  </si>
  <si>
    <t>AVP</t>
  </si>
  <si>
    <t>ATL - AVP</t>
  </si>
  <si>
    <t>ATL - BDL</t>
  </si>
  <si>
    <t>ATL - BGR</t>
  </si>
  <si>
    <t>BHM</t>
  </si>
  <si>
    <t>ATL - BHM</t>
  </si>
  <si>
    <t>BMI</t>
  </si>
  <si>
    <t>ATL - BMI</t>
  </si>
  <si>
    <t>ATL - BNA</t>
  </si>
  <si>
    <t>ATL - BOI</t>
  </si>
  <si>
    <t>ATL - BOS</t>
  </si>
  <si>
    <t>BQK</t>
  </si>
  <si>
    <t>ATL - BQK</t>
  </si>
  <si>
    <t>BTR</t>
  </si>
  <si>
    <t>ATL - BTR</t>
  </si>
  <si>
    <t>ATL - BTV</t>
  </si>
  <si>
    <t>ATL - BUF</t>
  </si>
  <si>
    <t>ATL - BUR</t>
  </si>
  <si>
    <t>ATL - BWI</t>
  </si>
  <si>
    <t>ATL - BZN</t>
  </si>
  <si>
    <t>CAE</t>
  </si>
  <si>
    <t>ATL - CAE</t>
  </si>
  <si>
    <t>CAK</t>
  </si>
  <si>
    <t>ATL - CAK</t>
  </si>
  <si>
    <t>CHA</t>
  </si>
  <si>
    <t>ATL - CHA</t>
  </si>
  <si>
    <t>CHO</t>
  </si>
  <si>
    <t>ATL - CHO</t>
  </si>
  <si>
    <t>ATL - CHS</t>
  </si>
  <si>
    <t>CID</t>
  </si>
  <si>
    <t>ATL - CID</t>
  </si>
  <si>
    <t>ATL - CLE</t>
  </si>
  <si>
    <t>ATL - CLT</t>
  </si>
  <si>
    <t>CMH</t>
  </si>
  <si>
    <t>ATL - CMH</t>
  </si>
  <si>
    <t>COS</t>
  </si>
  <si>
    <t>ATL - COS</t>
  </si>
  <si>
    <t>CRW</t>
  </si>
  <si>
    <t>ATL - CRW</t>
  </si>
  <si>
    <t>CSG</t>
  </si>
  <si>
    <t>ATL - CSG</t>
  </si>
  <si>
    <t>CVG</t>
  </si>
  <si>
    <t>ATL - CVG</t>
  </si>
  <si>
    <t>DAB</t>
  </si>
  <si>
    <t>ATL - DAB</t>
  </si>
  <si>
    <t>ATL - DAL</t>
  </si>
  <si>
    <t>DAY</t>
  </si>
  <si>
    <t>ATL - DAY</t>
  </si>
  <si>
    <t>ATL - DCA</t>
  </si>
  <si>
    <t>ATL - DEN</t>
  </si>
  <si>
    <t>ATL - DFW</t>
  </si>
  <si>
    <t>DHN</t>
  </si>
  <si>
    <t>ATL - DHN</t>
  </si>
  <si>
    <t>DSM</t>
  </si>
  <si>
    <t>ATL - DSM</t>
  </si>
  <si>
    <t>ATL - DTW</t>
  </si>
  <si>
    <t>ECP</t>
  </si>
  <si>
    <t>ATL - ECP</t>
  </si>
  <si>
    <t>EGE</t>
  </si>
  <si>
    <t>ATL - EGE</t>
  </si>
  <si>
    <t>ELM</t>
  </si>
  <si>
    <t>ATL - ELM</t>
  </si>
  <si>
    <t>ELP</t>
  </si>
  <si>
    <t>ATL - ELP</t>
  </si>
  <si>
    <t>EVV</t>
  </si>
  <si>
    <t>ATL - EVV</t>
  </si>
  <si>
    <t>EWN</t>
  </si>
  <si>
    <t>ATL - EWN</t>
  </si>
  <si>
    <t>ATL - EWR</t>
  </si>
  <si>
    <t>ATL - EYW</t>
  </si>
  <si>
    <t>FAR</t>
  </si>
  <si>
    <t>ATL - FAR</t>
  </si>
  <si>
    <t>FAY</t>
  </si>
  <si>
    <t>ATL - FAY</t>
  </si>
  <si>
    <t>ATL - FCA</t>
  </si>
  <si>
    <t>ATL - FLL</t>
  </si>
  <si>
    <t>FNT</t>
  </si>
  <si>
    <t>ATL - FNT</t>
  </si>
  <si>
    <t>FSD</t>
  </si>
  <si>
    <t>ATL - FSD</t>
  </si>
  <si>
    <t>FSM</t>
  </si>
  <si>
    <t>ATL - FSM</t>
  </si>
  <si>
    <t>FWA</t>
  </si>
  <si>
    <t>ATL - FWA</t>
  </si>
  <si>
    <t>GEG</t>
  </si>
  <si>
    <t>ATL - GEG</t>
  </si>
  <si>
    <t>GNV</t>
  </si>
  <si>
    <t>ATL - GNV</t>
  </si>
  <si>
    <t>GPT</t>
  </si>
  <si>
    <t>ATL - GPT</t>
  </si>
  <si>
    <t>GRB</t>
  </si>
  <si>
    <t>ATL - GRB</t>
  </si>
  <si>
    <t>GRK</t>
  </si>
  <si>
    <t>ATL - GRK</t>
  </si>
  <si>
    <t>GRR</t>
  </si>
  <si>
    <t>ATL - GRR</t>
  </si>
  <si>
    <t>GSO</t>
  </si>
  <si>
    <t>ATL - GSO</t>
  </si>
  <si>
    <t>GSP</t>
  </si>
  <si>
    <t>ATL - GSP</t>
  </si>
  <si>
    <t>GTR</t>
  </si>
  <si>
    <t>ATL - GTR</t>
  </si>
  <si>
    <t>ATL - HDN</t>
  </si>
  <si>
    <t>HHH</t>
  </si>
  <si>
    <t>ATL - HHH</t>
  </si>
  <si>
    <t>ATL - HNL</t>
  </si>
  <si>
    <t>ATL - HOU</t>
  </si>
  <si>
    <t>ATL - HPN</t>
  </si>
  <si>
    <t>HSV</t>
  </si>
  <si>
    <t>ATL - HSV</t>
  </si>
  <si>
    <t>ATL - IAD</t>
  </si>
  <si>
    <t>ATL - IAH</t>
  </si>
  <si>
    <t>ICT</t>
  </si>
  <si>
    <t>ATL - ICT</t>
  </si>
  <si>
    <t>ILM</t>
  </si>
  <si>
    <t>ATL - ILM</t>
  </si>
  <si>
    <t>IND</t>
  </si>
  <si>
    <t>ATL - IND</t>
  </si>
  <si>
    <t>ISP</t>
  </si>
  <si>
    <t>ATL - ISP</t>
  </si>
  <si>
    <t>JAC</t>
  </si>
  <si>
    <t>ATL - JAC</t>
  </si>
  <si>
    <t>JAN</t>
  </si>
  <si>
    <t>ATL - JAN</t>
  </si>
  <si>
    <t>ATL - JAX</t>
  </si>
  <si>
    <t>ATL - JFK</t>
  </si>
  <si>
    <t>ATL - LAS</t>
  </si>
  <si>
    <t>ATL - LAX</t>
  </si>
  <si>
    <t>LEX</t>
  </si>
  <si>
    <t>ATL - LEX</t>
  </si>
  <si>
    <t>LFT</t>
  </si>
  <si>
    <t>ATL - LFT</t>
  </si>
  <si>
    <t>ATL - LGA</t>
  </si>
  <si>
    <t>LIT</t>
  </si>
  <si>
    <t>ATL - LIT</t>
  </si>
  <si>
    <t>LNK</t>
  </si>
  <si>
    <t>ATL - LNK</t>
  </si>
  <si>
    <t>ATL - MBS</t>
  </si>
  <si>
    <t>ATL - MCI</t>
  </si>
  <si>
    <t>ATL - MCO</t>
  </si>
  <si>
    <t>ATL - MDT</t>
  </si>
  <si>
    <t>ATL - MDW</t>
  </si>
  <si>
    <t>MEM</t>
  </si>
  <si>
    <t>ATL - MEM</t>
  </si>
  <si>
    <t>MGM</t>
  </si>
  <si>
    <t>ATL - MGM</t>
  </si>
  <si>
    <t>MHT</t>
  </si>
  <si>
    <t>ATL - MHT</t>
  </si>
  <si>
    <t>ATL - MIA</t>
  </si>
  <si>
    <t>ATL - MKE</t>
  </si>
  <si>
    <t>MLB</t>
  </si>
  <si>
    <t>ATL - MLB</t>
  </si>
  <si>
    <t>MLI</t>
  </si>
  <si>
    <t>ATL - MLI</t>
  </si>
  <si>
    <t>MLU</t>
  </si>
  <si>
    <t>ATL - MLU</t>
  </si>
  <si>
    <t>MOB</t>
  </si>
  <si>
    <t>ATL - MOB</t>
  </si>
  <si>
    <t>MSN</t>
  </si>
  <si>
    <t>ATL - MSN</t>
  </si>
  <si>
    <t>MSO</t>
  </si>
  <si>
    <t>ATL - MSO</t>
  </si>
  <si>
    <t>ATL - MSP</t>
  </si>
  <si>
    <t>ATL - MSY</t>
  </si>
  <si>
    <t>ATL - MTJ</t>
  </si>
  <si>
    <t>ATL - MYR</t>
  </si>
  <si>
    <t>OAJ</t>
  </si>
  <si>
    <t>ATL - OAJ</t>
  </si>
  <si>
    <t>ATL - OAK</t>
  </si>
  <si>
    <t>OKC</t>
  </si>
  <si>
    <t>ATL - OKC</t>
  </si>
  <si>
    <t>OMA</t>
  </si>
  <si>
    <t>ATL - OMA</t>
  </si>
  <si>
    <t>ATL - ONT</t>
  </si>
  <si>
    <t>ATL - ORD</t>
  </si>
  <si>
    <t>ORF</t>
  </si>
  <si>
    <t>ATL - ORF</t>
  </si>
  <si>
    <t>ATL - PBI</t>
  </si>
  <si>
    <t>ATL - PDX</t>
  </si>
  <si>
    <t>PHF</t>
  </si>
  <si>
    <t>ATL - PHF</t>
  </si>
  <si>
    <t>ATL - PHL</t>
  </si>
  <si>
    <t>ATL - PHX</t>
  </si>
  <si>
    <t>PIA</t>
  </si>
  <si>
    <t>ATL - PIA</t>
  </si>
  <si>
    <t>ATL - PIT</t>
  </si>
  <si>
    <t>PNS</t>
  </si>
  <si>
    <t>ATL - PNS</t>
  </si>
  <si>
    <t>ATL - PSP</t>
  </si>
  <si>
    <t>ATL - PVD</t>
  </si>
  <si>
    <t>ATL - PWM</t>
  </si>
  <si>
    <t>RAP</t>
  </si>
  <si>
    <t>ATL - RAP</t>
  </si>
  <si>
    <t>ATL - RDU</t>
  </si>
  <si>
    <t>ATL - RIC</t>
  </si>
  <si>
    <t>ATL - RNO</t>
  </si>
  <si>
    <t>ROA</t>
  </si>
  <si>
    <t>ATL - ROA</t>
  </si>
  <si>
    <t>ATL - ROC</t>
  </si>
  <si>
    <t>RST</t>
  </si>
  <si>
    <t>ATL - RST</t>
  </si>
  <si>
    <t>ATL - RSW</t>
  </si>
  <si>
    <t>ATL - SAN</t>
  </si>
  <si>
    <t>ATL - SAT</t>
  </si>
  <si>
    <t>ATL - SAV</t>
  </si>
  <si>
    <t>SBN</t>
  </si>
  <si>
    <t>ATL - SBN</t>
  </si>
  <si>
    <t>SCE</t>
  </si>
  <si>
    <t>ATL - SCE</t>
  </si>
  <si>
    <t>SDF</t>
  </si>
  <si>
    <t>ATL - SDF</t>
  </si>
  <si>
    <t>ATL - SEA</t>
  </si>
  <si>
    <t>ATL - SFO</t>
  </si>
  <si>
    <t>SGF</t>
  </si>
  <si>
    <t>ATL - SGF</t>
  </si>
  <si>
    <t>SHV</t>
  </si>
  <si>
    <t>ATL - SHV</t>
  </si>
  <si>
    <t>ATL - SJC</t>
  </si>
  <si>
    <t>ATL - SJU</t>
  </si>
  <si>
    <t>ATL - SLC</t>
  </si>
  <si>
    <t>ATL - SMF</t>
  </si>
  <si>
    <t>ATL - SNA</t>
  </si>
  <si>
    <t>ATL - SRQ</t>
  </si>
  <si>
    <t>STL</t>
  </si>
  <si>
    <t>ATL - STL</t>
  </si>
  <si>
    <t>ATL - STT</t>
  </si>
  <si>
    <t>STX</t>
  </si>
  <si>
    <t>ATL - STX</t>
  </si>
  <si>
    <t>ATL - SWF</t>
  </si>
  <si>
    <t>ATL - SYR</t>
  </si>
  <si>
    <t>TLH</t>
  </si>
  <si>
    <t>ATL - TLH</t>
  </si>
  <si>
    <t>ATL - TPA</t>
  </si>
  <si>
    <t>TRI</t>
  </si>
  <si>
    <t>ATL - TRI</t>
  </si>
  <si>
    <t>TTN</t>
  </si>
  <si>
    <t>ATL - TTN</t>
  </si>
  <si>
    <t>TUL</t>
  </si>
  <si>
    <t>ATL - TUL</t>
  </si>
  <si>
    <t>TUS</t>
  </si>
  <si>
    <t>ATL - TUS</t>
  </si>
  <si>
    <t>TVC</t>
  </si>
  <si>
    <t>ATL - TVC</t>
  </si>
  <si>
    <t>TYS</t>
  </si>
  <si>
    <t>ATL - TYS</t>
  </si>
  <si>
    <t>VLD</t>
  </si>
  <si>
    <t>ATL - VLD</t>
  </si>
  <si>
    <t>VPS</t>
  </si>
  <si>
    <t>ATL - VPS</t>
  </si>
  <si>
    <t>XNA</t>
  </si>
  <si>
    <t>ATL - XNA</t>
  </si>
  <si>
    <t>ATW - ATL</t>
  </si>
  <si>
    <t>ATW - AZA</t>
  </si>
  <si>
    <t>ATW - BNA</t>
  </si>
  <si>
    <t>ATW - CLT</t>
  </si>
  <si>
    <t>ATW - CMH</t>
  </si>
  <si>
    <t>ATW - DEN</t>
  </si>
  <si>
    <t>ATW - DTW</t>
  </si>
  <si>
    <t>ATW - FLL</t>
  </si>
  <si>
    <t>ATW - JAX</t>
  </si>
  <si>
    <t>ATW - LAS</t>
  </si>
  <si>
    <t>ATW - MSP</t>
  </si>
  <si>
    <t>ATW - ORD</t>
  </si>
  <si>
    <t>ATW - PGD</t>
  </si>
  <si>
    <t>ATW - PIE</t>
  </si>
  <si>
    <t>ATW - RAP</t>
  </si>
  <si>
    <t>ATW - SAV</t>
  </si>
  <si>
    <t>ATW - SFB</t>
  </si>
  <si>
    <t>ATW - SRQ</t>
  </si>
  <si>
    <t>ATY</t>
  </si>
  <si>
    <t>ATY - DEN</t>
  </si>
  <si>
    <t>ATY - ORD</t>
  </si>
  <si>
    <t>PIR</t>
  </si>
  <si>
    <t>ATY - PIR</t>
  </si>
  <si>
    <t>AUS - ABQ</t>
  </si>
  <si>
    <t>AUS - ACY</t>
  </si>
  <si>
    <t>AUS - AGS</t>
  </si>
  <si>
    <t>AUS - AMA</t>
  </si>
  <si>
    <t>AUS - ASE</t>
  </si>
  <si>
    <t>AUS - ATL</t>
  </si>
  <si>
    <t>AUS - AVL</t>
  </si>
  <si>
    <t>AUS - BNA</t>
  </si>
  <si>
    <t>AUS - BOI</t>
  </si>
  <si>
    <t>AUS - BOS</t>
  </si>
  <si>
    <t>AUS - BTR</t>
  </si>
  <si>
    <t>AUS - BUF</t>
  </si>
  <si>
    <t>AUS - BUR</t>
  </si>
  <si>
    <t>AUS - BWI</t>
  </si>
  <si>
    <t>AUS - BZN</t>
  </si>
  <si>
    <t>AUS - CHS</t>
  </si>
  <si>
    <t>AUS - CLE</t>
  </si>
  <si>
    <t>AUS - CLT</t>
  </si>
  <si>
    <t>AUS - CMH</t>
  </si>
  <si>
    <t>AUS - CVG</t>
  </si>
  <si>
    <t>AUS - DAL</t>
  </si>
  <si>
    <t>AUS - DCA</t>
  </si>
  <si>
    <t>AUS - DEN</t>
  </si>
  <si>
    <t>AUS - DFW</t>
  </si>
  <si>
    <t>AUS - DSM</t>
  </si>
  <si>
    <t>AUS - DTW</t>
  </si>
  <si>
    <t>AUS - ECP</t>
  </si>
  <si>
    <t>AUS - ELP</t>
  </si>
  <si>
    <t>AUS - EWR</t>
  </si>
  <si>
    <t>AUS - FLL</t>
  </si>
  <si>
    <t>AUS - FSD</t>
  </si>
  <si>
    <t>AUS - GRR</t>
  </si>
  <si>
    <t>AUS - HNL</t>
  </si>
  <si>
    <t>AUS - HOU</t>
  </si>
  <si>
    <t>HRL</t>
  </si>
  <si>
    <t>AUS - HRL</t>
  </si>
  <si>
    <t>AUS - IAD</t>
  </si>
  <si>
    <t>AUS - IAH</t>
  </si>
  <si>
    <t>AUS - IND</t>
  </si>
  <si>
    <t>AUS - JAX</t>
  </si>
  <si>
    <t>AUS - JFK</t>
  </si>
  <si>
    <t>AUS - LAS</t>
  </si>
  <si>
    <t>AUS - LAX</t>
  </si>
  <si>
    <t>LBB</t>
  </si>
  <si>
    <t>AUS - LBB</t>
  </si>
  <si>
    <t>LCK</t>
  </si>
  <si>
    <t>AUS - LCK</t>
  </si>
  <si>
    <t>LGB</t>
  </si>
  <si>
    <t>AUS - LGB</t>
  </si>
  <si>
    <t>MAF</t>
  </si>
  <si>
    <t>AUS - MAF</t>
  </si>
  <si>
    <t>AUS - MCI</t>
  </si>
  <si>
    <t>AUS - MCO</t>
  </si>
  <si>
    <t>AUS - MDW</t>
  </si>
  <si>
    <t>AUS - MEM</t>
  </si>
  <si>
    <t>MFE</t>
  </si>
  <si>
    <t>AUS - MFE</t>
  </si>
  <si>
    <t>AUS - MIA</t>
  </si>
  <si>
    <t>AUS - MKE</t>
  </si>
  <si>
    <t>AUS - MSN</t>
  </si>
  <si>
    <t>AUS - MSP</t>
  </si>
  <si>
    <t>AUS - MSY</t>
  </si>
  <si>
    <t>AUS - OAK</t>
  </si>
  <si>
    <t>AUS - OKC</t>
  </si>
  <si>
    <t>AUS - OMA</t>
  </si>
  <si>
    <t>AUS - ONT</t>
  </si>
  <si>
    <t>AUS - ORD</t>
  </si>
  <si>
    <t>AUS - PBI</t>
  </si>
  <si>
    <t>AUS - PDX</t>
  </si>
  <si>
    <t>AUS - PGD</t>
  </si>
  <si>
    <t>AUS - PHL</t>
  </si>
  <si>
    <t>AUS - PHX</t>
  </si>
  <si>
    <t>AUS - PIE</t>
  </si>
  <si>
    <t>AUS - PIT</t>
  </si>
  <si>
    <t>AUS - PNS</t>
  </si>
  <si>
    <t>AUS - PSP</t>
  </si>
  <si>
    <t>AUS - PVD</t>
  </si>
  <si>
    <t>PVU</t>
  </si>
  <si>
    <t>AUS - PVU</t>
  </si>
  <si>
    <t>AUS - RDU</t>
  </si>
  <si>
    <t>AUS - RNO</t>
  </si>
  <si>
    <t>AUS - RSW</t>
  </si>
  <si>
    <t>AUS - SAN</t>
  </si>
  <si>
    <t>AUS - SDF</t>
  </si>
  <si>
    <t>AUS - SEA</t>
  </si>
  <si>
    <t>AUS - SFB</t>
  </si>
  <si>
    <t>AUS - SFO</t>
  </si>
  <si>
    <t>AUS - SGF</t>
  </si>
  <si>
    <t>AUS - SJC</t>
  </si>
  <si>
    <t>AUS - SJU</t>
  </si>
  <si>
    <t>AUS - SLC</t>
  </si>
  <si>
    <t>AUS - SMF</t>
  </si>
  <si>
    <t>AUS - SNA</t>
  </si>
  <si>
    <t>AUS - SRQ</t>
  </si>
  <si>
    <t>AUS - STL</t>
  </si>
  <si>
    <t>AUS - TPA</t>
  </si>
  <si>
    <t>AUS - TUL</t>
  </si>
  <si>
    <t>AUS - TYS</t>
  </si>
  <si>
    <t>AUS - VPS</t>
  </si>
  <si>
    <t>AUS - XNA</t>
  </si>
  <si>
    <t>AVL - ATL</t>
  </si>
  <si>
    <t>AVL - AUS</t>
  </si>
  <si>
    <t>AVL - BOS</t>
  </si>
  <si>
    <t>AVL - BWI</t>
  </si>
  <si>
    <t>AVL - CLT</t>
  </si>
  <si>
    <t>AVL - DCA</t>
  </si>
  <si>
    <t>AVL - DEN</t>
  </si>
  <si>
    <t>AVL - DFW</t>
  </si>
  <si>
    <t>AVL - DTW</t>
  </si>
  <si>
    <t>AVL - EWR</t>
  </si>
  <si>
    <t>AVL - EYW</t>
  </si>
  <si>
    <t>AVL - FLL</t>
  </si>
  <si>
    <t>AVL - GSO</t>
  </si>
  <si>
    <t>AVL - HOU</t>
  </si>
  <si>
    <t>AVL - IAD</t>
  </si>
  <si>
    <t>AVL - LAS</t>
  </si>
  <si>
    <t>AVL - LGA</t>
  </si>
  <si>
    <t>AVL - MCO</t>
  </si>
  <si>
    <t>AVL - MDW</t>
  </si>
  <si>
    <t>AVL - MIA</t>
  </si>
  <si>
    <t>AVL - MSP</t>
  </si>
  <si>
    <t>AVL - ORD</t>
  </si>
  <si>
    <t>AVL - PBI</t>
  </si>
  <si>
    <t>AVL - PGD</t>
  </si>
  <si>
    <t>AVL - PHL</t>
  </si>
  <si>
    <t>AVL - PIE</t>
  </si>
  <si>
    <t>AVL - SFB</t>
  </si>
  <si>
    <t>AVL - SRQ</t>
  </si>
  <si>
    <t>AVL - TPA</t>
  </si>
  <si>
    <t>AVL - VPS</t>
  </si>
  <si>
    <t>AVP - ATL</t>
  </si>
  <si>
    <t>AVP - CLT</t>
  </si>
  <si>
    <t>AVP - DTW</t>
  </si>
  <si>
    <t>AVP - EWR</t>
  </si>
  <si>
    <t>AVP - IAD</t>
  </si>
  <si>
    <t>AVP - ORD</t>
  </si>
  <si>
    <t>AVP - PHL</t>
  </si>
  <si>
    <t>AVP - PIE</t>
  </si>
  <si>
    <t>AVP - SFB</t>
  </si>
  <si>
    <t>AZA - AMA</t>
  </si>
  <si>
    <t>AZA - ATW</t>
  </si>
  <si>
    <t>BIL</t>
  </si>
  <si>
    <t>AZA - BIL</t>
  </si>
  <si>
    <t>BIS</t>
  </si>
  <si>
    <t>AZA - BIS</t>
  </si>
  <si>
    <t>AZA - BLI</t>
  </si>
  <si>
    <t>BLV</t>
  </si>
  <si>
    <t>AZA - BLV</t>
  </si>
  <si>
    <t>AZA - BOI</t>
  </si>
  <si>
    <t>AZA - BZN</t>
  </si>
  <si>
    <t>AZA - CID</t>
  </si>
  <si>
    <t>AZA - CVG</t>
  </si>
  <si>
    <t>AZA - DSM</t>
  </si>
  <si>
    <t>EUG</t>
  </si>
  <si>
    <t>AZA - EUG</t>
  </si>
  <si>
    <t>AZA - FAR</t>
  </si>
  <si>
    <t>AZA - FCA</t>
  </si>
  <si>
    <t>AZA - FNT</t>
  </si>
  <si>
    <t>AZA - FSD</t>
  </si>
  <si>
    <t>AZA - FWA</t>
  </si>
  <si>
    <t>AZA - GEG</t>
  </si>
  <si>
    <t>GFK</t>
  </si>
  <si>
    <t>AZA - GFK</t>
  </si>
  <si>
    <t>GJT</t>
  </si>
  <si>
    <t>AZA - GJT</t>
  </si>
  <si>
    <t>GRI</t>
  </si>
  <si>
    <t>AZA - GRI</t>
  </si>
  <si>
    <t>AZA - GRR</t>
  </si>
  <si>
    <t>GTF</t>
  </si>
  <si>
    <t>AZA - GTF</t>
  </si>
  <si>
    <t>AZA - HOU</t>
  </si>
  <si>
    <t>AZA - ICT</t>
  </si>
  <si>
    <t>IDA</t>
  </si>
  <si>
    <t>AZA - IDA</t>
  </si>
  <si>
    <t>AZA - IND</t>
  </si>
  <si>
    <t>AZA - JAC</t>
  </si>
  <si>
    <t>AZA - LAS</t>
  </si>
  <si>
    <t>AZA - MCI</t>
  </si>
  <si>
    <t>AZA - MEM</t>
  </si>
  <si>
    <t>AZA - MFE</t>
  </si>
  <si>
    <t>MFR</t>
  </si>
  <si>
    <t>AZA - MFR</t>
  </si>
  <si>
    <t>AZA - MKE</t>
  </si>
  <si>
    <t>AZA - MLI</t>
  </si>
  <si>
    <t>MOT</t>
  </si>
  <si>
    <t>AZA - MOT</t>
  </si>
  <si>
    <t>AZA - MSO</t>
  </si>
  <si>
    <t>AZA - MSP</t>
  </si>
  <si>
    <t>AZA - OAK</t>
  </si>
  <si>
    <t>OGD</t>
  </si>
  <si>
    <t>AZA - OGD</t>
  </si>
  <si>
    <t>AZA - OMA</t>
  </si>
  <si>
    <t>AZA - PIA</t>
  </si>
  <si>
    <t>AZA - PIE</t>
  </si>
  <si>
    <t>AZA - PIT</t>
  </si>
  <si>
    <t>PSC</t>
  </si>
  <si>
    <t>AZA - PSC</t>
  </si>
  <si>
    <t>AZA - PVU</t>
  </si>
  <si>
    <t>AZA - RAP</t>
  </si>
  <si>
    <t>RDM</t>
  </si>
  <si>
    <t>AZA - RDM</t>
  </si>
  <si>
    <t>RFD</t>
  </si>
  <si>
    <t>AZA - RFD</t>
  </si>
  <si>
    <t>AZA - SAN</t>
  </si>
  <si>
    <t>AZA - SBN</t>
  </si>
  <si>
    <t>SCK</t>
  </si>
  <si>
    <t>AZA - SCK</t>
  </si>
  <si>
    <t>AZA - SDF</t>
  </si>
  <si>
    <t>AZA - SGF</t>
  </si>
  <si>
    <t>SGU</t>
  </si>
  <si>
    <t>AZA - SGU</t>
  </si>
  <si>
    <t>SMX</t>
  </si>
  <si>
    <t>AZA - SMX</t>
  </si>
  <si>
    <t>AZA - SNA</t>
  </si>
  <si>
    <t>SPI</t>
  </si>
  <si>
    <t>AZA - SPI</t>
  </si>
  <si>
    <t>STC</t>
  </si>
  <si>
    <t>AZA - STC</t>
  </si>
  <si>
    <t>TOL</t>
  </si>
  <si>
    <t>AZA - TOL</t>
  </si>
  <si>
    <t>AZA - TUL</t>
  </si>
  <si>
    <t>AZA - TUS</t>
  </si>
  <si>
    <t>AZA - TVC</t>
  </si>
  <si>
    <t>AZA - XNA</t>
  </si>
  <si>
    <t>AZO</t>
  </si>
  <si>
    <t>AZO - DTW</t>
  </si>
  <si>
    <t>AZO - MSP</t>
  </si>
  <si>
    <t>AZO - ORD</t>
  </si>
  <si>
    <t>BDL - ATL</t>
  </si>
  <si>
    <t>BDL - BNA</t>
  </si>
  <si>
    <t>BDL - BTV</t>
  </si>
  <si>
    <t>BDL - BWI</t>
  </si>
  <si>
    <t>BDL - CLE</t>
  </si>
  <si>
    <t>BDL - CLT</t>
  </si>
  <si>
    <t>BDL - CVG</t>
  </si>
  <si>
    <t>BDL - DCA</t>
  </si>
  <si>
    <t>BDL - DEN</t>
  </si>
  <si>
    <t>BDL - DFW</t>
  </si>
  <si>
    <t>BDL - DTW</t>
  </si>
  <si>
    <t>BDL - EWR</t>
  </si>
  <si>
    <t>BDL - FLL</t>
  </si>
  <si>
    <t>BDL - IAD</t>
  </si>
  <si>
    <t>BDL - IAH</t>
  </si>
  <si>
    <t>BDL - LAS</t>
  </si>
  <si>
    <t>BDL - LAX</t>
  </si>
  <si>
    <t>BDL - LGA</t>
  </si>
  <si>
    <t>BDL - MCO</t>
  </si>
  <si>
    <t>BDL - MDW</t>
  </si>
  <si>
    <t>BDL - MIA</t>
  </si>
  <si>
    <t>BDL - MSP</t>
  </si>
  <si>
    <t>BDL - MYR</t>
  </si>
  <si>
    <t>BDL - ORD</t>
  </si>
  <si>
    <t>BDL - PBI</t>
  </si>
  <si>
    <t>BDL - PHL</t>
  </si>
  <si>
    <t>BDL - RDU</t>
  </si>
  <si>
    <t>BDL - RSW</t>
  </si>
  <si>
    <t>BDL - SFO</t>
  </si>
  <si>
    <t>BDL - SJU</t>
  </si>
  <si>
    <t>BDL - STL</t>
  </si>
  <si>
    <t>BDL - TPA</t>
  </si>
  <si>
    <t>BET - ANC</t>
  </si>
  <si>
    <t>BFF</t>
  </si>
  <si>
    <t>BFF - DEN</t>
  </si>
  <si>
    <t>LAR</t>
  </si>
  <si>
    <t>BFF - LAR</t>
  </si>
  <si>
    <t>LBF</t>
  </si>
  <si>
    <t>BFF - LBF</t>
  </si>
  <si>
    <t>BFF - PIR</t>
  </si>
  <si>
    <t>BFL</t>
  </si>
  <si>
    <t>BFL - DEN</t>
  </si>
  <si>
    <t>BFL - DFW</t>
  </si>
  <si>
    <t>BFL - PHX</t>
  </si>
  <si>
    <t>SBA</t>
  </si>
  <si>
    <t>BFL - SBA</t>
  </si>
  <si>
    <t>BFL - SFO</t>
  </si>
  <si>
    <t>BFM</t>
  </si>
  <si>
    <t>BFM - DEN</t>
  </si>
  <si>
    <t>BFM - MCO</t>
  </si>
  <si>
    <t>BFM - ORD</t>
  </si>
  <si>
    <t>BGM</t>
  </si>
  <si>
    <t>BGM - DTW</t>
  </si>
  <si>
    <t>BGR - ACK</t>
  </si>
  <si>
    <t>BGR - ATL</t>
  </si>
  <si>
    <t>BGR - BOS</t>
  </si>
  <si>
    <t>BGR - CLT</t>
  </si>
  <si>
    <t>BGR - DCA</t>
  </si>
  <si>
    <t>BGR - DFW</t>
  </si>
  <si>
    <t>BGR - DTW</t>
  </si>
  <si>
    <t>BGR - EWR</t>
  </si>
  <si>
    <t>BGR - FLL</t>
  </si>
  <si>
    <t>BGR - IAD</t>
  </si>
  <si>
    <t>BGR - JFK</t>
  </si>
  <si>
    <t>BGR - LGA</t>
  </si>
  <si>
    <t>BGR - MIA</t>
  </si>
  <si>
    <t>BGR - ORD</t>
  </si>
  <si>
    <t>BGR - PHL</t>
  </si>
  <si>
    <t>BGR - PIE</t>
  </si>
  <si>
    <t>BGR - SFB</t>
  </si>
  <si>
    <t>BHM - ATL</t>
  </si>
  <si>
    <t>BHM - BTR</t>
  </si>
  <si>
    <t>BHM - BWI</t>
  </si>
  <si>
    <t>BHM - CAE</t>
  </si>
  <si>
    <t>CLL</t>
  </si>
  <si>
    <t>BHM - CLL</t>
  </si>
  <si>
    <t>BHM - CLT</t>
  </si>
  <si>
    <t>BHM - DAL</t>
  </si>
  <si>
    <t>BHM - DCA</t>
  </si>
  <si>
    <t>BHM - DEN</t>
  </si>
  <si>
    <t>BHM - DFW</t>
  </si>
  <si>
    <t>BHM - DTW</t>
  </si>
  <si>
    <t>BHM - FLL</t>
  </si>
  <si>
    <t>BHM - HOU</t>
  </si>
  <si>
    <t>BHM - IAH</t>
  </si>
  <si>
    <t>BHM - IND</t>
  </si>
  <si>
    <t>BHM - LAS</t>
  </si>
  <si>
    <t>BHM - LGA</t>
  </si>
  <si>
    <t>BHM - MCO</t>
  </si>
  <si>
    <t>BHM - MDW</t>
  </si>
  <si>
    <t>BHM - MIA</t>
  </si>
  <si>
    <t>BHM - ORD</t>
  </si>
  <si>
    <t>BHM - PGD</t>
  </si>
  <si>
    <t>BHM - PHL</t>
  </si>
  <si>
    <t>BHM - SCE</t>
  </si>
  <si>
    <t>BHM - SFO</t>
  </si>
  <si>
    <t>BHM - SJC</t>
  </si>
  <si>
    <t>BHM - TPA</t>
  </si>
  <si>
    <t>BIH</t>
  </si>
  <si>
    <t>BIH - DEN</t>
  </si>
  <si>
    <t>BIH - LAX</t>
  </si>
  <si>
    <t>BIH - SFO</t>
  </si>
  <si>
    <t>BIL - AZA</t>
  </si>
  <si>
    <t>BIL - BZN</t>
  </si>
  <si>
    <t>COD</t>
  </si>
  <si>
    <t>BIL - COD</t>
  </si>
  <si>
    <t>BIL - DEN</t>
  </si>
  <si>
    <t>BIL - DFW</t>
  </si>
  <si>
    <t>BIL - GTF</t>
  </si>
  <si>
    <t>BIL - LAS</t>
  </si>
  <si>
    <t>BIL - LAX</t>
  </si>
  <si>
    <t>BIL - MSP</t>
  </si>
  <si>
    <t>BIL - ORD</t>
  </si>
  <si>
    <t>BIL - PDX</t>
  </si>
  <si>
    <t>BIL - PHX</t>
  </si>
  <si>
    <t>BIL - RAP</t>
  </si>
  <si>
    <t>BIL - SAN</t>
  </si>
  <si>
    <t>BIL - SEA</t>
  </si>
  <si>
    <t>BIL - SLC</t>
  </si>
  <si>
    <t>BIS - AZA</t>
  </si>
  <si>
    <t>BIS - DEN</t>
  </si>
  <si>
    <t>BIS - DFW</t>
  </si>
  <si>
    <t>BIS - GFK</t>
  </si>
  <si>
    <t>BIS - LAS</t>
  </si>
  <si>
    <t>BIS - MOT</t>
  </si>
  <si>
    <t>BIS - MSP</t>
  </si>
  <si>
    <t>BIS - ORD</t>
  </si>
  <si>
    <t>BIS - PHX</t>
  </si>
  <si>
    <t>BIS - SFB</t>
  </si>
  <si>
    <t>BJI</t>
  </si>
  <si>
    <t>BJI - MSP</t>
  </si>
  <si>
    <t>BKG</t>
  </si>
  <si>
    <t>BKG - DEN</t>
  </si>
  <si>
    <t>BKG - DFW</t>
  </si>
  <si>
    <t>BKG - ORD</t>
  </si>
  <si>
    <t>BLI - ANC</t>
  </si>
  <si>
    <t>BLI - AZA</t>
  </si>
  <si>
    <t>BLI - DEN</t>
  </si>
  <si>
    <t>BLI - KOA</t>
  </si>
  <si>
    <t>BLI - LAS</t>
  </si>
  <si>
    <t>BLI - LAX</t>
  </si>
  <si>
    <t>BLI - OAK</t>
  </si>
  <si>
    <t>BLI - OGG</t>
  </si>
  <si>
    <t>BLI - PDX</t>
  </si>
  <si>
    <t>BLI - PSP</t>
  </si>
  <si>
    <t>BLI - SAN</t>
  </si>
  <si>
    <t>BLI - SEA</t>
  </si>
  <si>
    <t>BLI - TUS</t>
  </si>
  <si>
    <t>BLV - AZA</t>
  </si>
  <si>
    <t>BLV - CHS</t>
  </si>
  <si>
    <t>BLV - FLL</t>
  </si>
  <si>
    <t>BLV - JAX</t>
  </si>
  <si>
    <t>BLV - LAS</t>
  </si>
  <si>
    <t>BLV - MYR</t>
  </si>
  <si>
    <t>BLV - PGD</t>
  </si>
  <si>
    <t>BLV - PIE</t>
  </si>
  <si>
    <t>BLV - SAV</t>
  </si>
  <si>
    <t>BLV - SFB</t>
  </si>
  <si>
    <t>BLV - SRQ</t>
  </si>
  <si>
    <t>BLV - VPS</t>
  </si>
  <si>
    <t>BMI - ATL</t>
  </si>
  <si>
    <t>BMI - DEN</t>
  </si>
  <si>
    <t>BMI - DFW</t>
  </si>
  <si>
    <t>BMI - DTW</t>
  </si>
  <si>
    <t>BMI - LAS</t>
  </si>
  <si>
    <t>BMI - MCO</t>
  </si>
  <si>
    <t>BMI - MSP</t>
  </si>
  <si>
    <t>BMI - ORD</t>
  </si>
  <si>
    <t>BMI - PIE</t>
  </si>
  <si>
    <t>BMI - SFB</t>
  </si>
  <si>
    <t>BMI - TPA</t>
  </si>
  <si>
    <t>BMI - VPS</t>
  </si>
  <si>
    <t>BNA - ABE</t>
  </si>
  <si>
    <t>BNA - ALB</t>
  </si>
  <si>
    <t>BNA - ATL</t>
  </si>
  <si>
    <t>BNA - ATW</t>
  </si>
  <si>
    <t>BNA - AUS</t>
  </si>
  <si>
    <t>BNA - BDL</t>
  </si>
  <si>
    <t>BNA - BOI</t>
  </si>
  <si>
    <t>BNA - BOS</t>
  </si>
  <si>
    <t>BNA - BUF</t>
  </si>
  <si>
    <t>BNA - BUR</t>
  </si>
  <si>
    <t>BNA - BWI</t>
  </si>
  <si>
    <t>BNA - BZN</t>
  </si>
  <si>
    <t>BNA - CHS</t>
  </si>
  <si>
    <t>BNA - CID</t>
  </si>
  <si>
    <t>BNA - CLE</t>
  </si>
  <si>
    <t>BNA - CLT</t>
  </si>
  <si>
    <t>BNA - CMH</t>
  </si>
  <si>
    <t>BNA - CVG</t>
  </si>
  <si>
    <t>BNA - DAL</t>
  </si>
  <si>
    <t>BNA - DCA</t>
  </si>
  <si>
    <t>BNA - DEN</t>
  </si>
  <si>
    <t>BNA - DFW</t>
  </si>
  <si>
    <t>BNA - DSM</t>
  </si>
  <si>
    <t>BNA - DTW</t>
  </si>
  <si>
    <t>BNA - ECP</t>
  </si>
  <si>
    <t>BNA - EWR</t>
  </si>
  <si>
    <t>BNA - EYW</t>
  </si>
  <si>
    <t>BNA - FAR</t>
  </si>
  <si>
    <t>BNA - FLL</t>
  </si>
  <si>
    <t>BNA - FNT</t>
  </si>
  <si>
    <t>BNA - FSD</t>
  </si>
  <si>
    <t>BNA - GFK</t>
  </si>
  <si>
    <t>BNA - GPT</t>
  </si>
  <si>
    <t>BNA - GRR</t>
  </si>
  <si>
    <t>BNA - GSO</t>
  </si>
  <si>
    <t>BNA - HOU</t>
  </si>
  <si>
    <t>BNA - IAD</t>
  </si>
  <si>
    <t>BNA - IAH</t>
  </si>
  <si>
    <t>BNA - ISP</t>
  </si>
  <si>
    <t>BNA - JAX</t>
  </si>
  <si>
    <t>BNA - JFK</t>
  </si>
  <si>
    <t>BNA - LAS</t>
  </si>
  <si>
    <t>BNA - LAX</t>
  </si>
  <si>
    <t>BNA - LGA</t>
  </si>
  <si>
    <t>BNA - MCI</t>
  </si>
  <si>
    <t>BNA - MCO</t>
  </si>
  <si>
    <t>BNA - MDT</t>
  </si>
  <si>
    <t>BNA - MDW</t>
  </si>
  <si>
    <t>BNA - MFE</t>
  </si>
  <si>
    <t>BNA - MIA</t>
  </si>
  <si>
    <t>BNA - MKE</t>
  </si>
  <si>
    <t>BNA - MLB</t>
  </si>
  <si>
    <t>BNA - MSN</t>
  </si>
  <si>
    <t>BNA - MSP</t>
  </si>
  <si>
    <t>BNA - MSY</t>
  </si>
  <si>
    <t>BNA - MYR</t>
  </si>
  <si>
    <t>BNA - OAK</t>
  </si>
  <si>
    <t>BNA - OKC</t>
  </si>
  <si>
    <t>BNA - OMA</t>
  </si>
  <si>
    <t>BNA - ORD</t>
  </si>
  <si>
    <t>BNA - ORF</t>
  </si>
  <si>
    <t>BNA - PBI</t>
  </si>
  <si>
    <t>BNA - PGD</t>
  </si>
  <si>
    <t>BNA - PHL</t>
  </si>
  <si>
    <t>BNA - PHX</t>
  </si>
  <si>
    <t>BNA - PIA</t>
  </si>
  <si>
    <t>BNA - PIE</t>
  </si>
  <si>
    <t>BNA - PIT</t>
  </si>
  <si>
    <t>BNA - PNS</t>
  </si>
  <si>
    <t>PSM</t>
  </si>
  <si>
    <t>BNA - PSM</t>
  </si>
  <si>
    <t>BNA - PSP</t>
  </si>
  <si>
    <t>BNA - PVD</t>
  </si>
  <si>
    <t>BNA - PWM</t>
  </si>
  <si>
    <t>BNA - RAP</t>
  </si>
  <si>
    <t>BNA - RDU</t>
  </si>
  <si>
    <t>BNA - RIC</t>
  </si>
  <si>
    <t>BNA - ROA</t>
  </si>
  <si>
    <t>BNA - RSW</t>
  </si>
  <si>
    <t>BNA - SAN</t>
  </si>
  <si>
    <t>BNA - SAT</t>
  </si>
  <si>
    <t>BNA - SAV</t>
  </si>
  <si>
    <t>BNA - SCE</t>
  </si>
  <si>
    <t>BNA - SEA</t>
  </si>
  <si>
    <t>BNA - SFB</t>
  </si>
  <si>
    <t>BNA - SFO</t>
  </si>
  <si>
    <t>BNA - SJC</t>
  </si>
  <si>
    <t>BNA - SJU</t>
  </si>
  <si>
    <t>BNA - SLC</t>
  </si>
  <si>
    <t>BNA - SMF</t>
  </si>
  <si>
    <t>BNA - SNA</t>
  </si>
  <si>
    <t>BNA - SRQ</t>
  </si>
  <si>
    <t>BNA - STL</t>
  </si>
  <si>
    <t>BNA - SYR</t>
  </si>
  <si>
    <t>BNA - TPA</t>
  </si>
  <si>
    <t>BNA - TTN</t>
  </si>
  <si>
    <t>BNA - TUL</t>
  </si>
  <si>
    <t>BNA - VPS</t>
  </si>
  <si>
    <t>BNA - XNA</t>
  </si>
  <si>
    <t>BOI - ATL</t>
  </si>
  <si>
    <t>BOI - AUS</t>
  </si>
  <si>
    <t>BOI - AZA</t>
  </si>
  <si>
    <t>BOI - BNA</t>
  </si>
  <si>
    <t>BOI - BUR</t>
  </si>
  <si>
    <t>BOI - DAL</t>
  </si>
  <si>
    <t>BOI - DEN</t>
  </si>
  <si>
    <t>BOI - DFW</t>
  </si>
  <si>
    <t>BOI - GEG</t>
  </si>
  <si>
    <t>BOI - IAH</t>
  </si>
  <si>
    <t>BOI - IDA</t>
  </si>
  <si>
    <t>BOI - JFK</t>
  </si>
  <si>
    <t>BOI - LAS</t>
  </si>
  <si>
    <t>BOI - LAX</t>
  </si>
  <si>
    <t>LWS</t>
  </si>
  <si>
    <t>BOI - LWS</t>
  </si>
  <si>
    <t>BOI - MDW</t>
  </si>
  <si>
    <t>BOI - MSP</t>
  </si>
  <si>
    <t>BOI - OAK</t>
  </si>
  <si>
    <t>BOI - ORD</t>
  </si>
  <si>
    <t>PAE</t>
  </si>
  <si>
    <t>BOI - PAE</t>
  </si>
  <si>
    <t>BOI - PDX</t>
  </si>
  <si>
    <t>BOI - PHX</t>
  </si>
  <si>
    <t>BOI - PSP</t>
  </si>
  <si>
    <t>BOI - PUW</t>
  </si>
  <si>
    <t>BOI - RNO</t>
  </si>
  <si>
    <t>BOI - SAN</t>
  </si>
  <si>
    <t>BOI - SEA</t>
  </si>
  <si>
    <t>BOI - SFO</t>
  </si>
  <si>
    <t>BOI - SJC</t>
  </si>
  <si>
    <t>BOI - SLC</t>
  </si>
  <si>
    <t>BOI - SMF</t>
  </si>
  <si>
    <t>BOI - SNA</t>
  </si>
  <si>
    <t>BOS - ACK</t>
  </si>
  <si>
    <t>BOS - ACY</t>
  </si>
  <si>
    <t>BOS - AGS</t>
  </si>
  <si>
    <t>BOS - ATL</t>
  </si>
  <si>
    <t>BOS - AUS</t>
  </si>
  <si>
    <t>BOS - AVL</t>
  </si>
  <si>
    <t>BOS - BGR</t>
  </si>
  <si>
    <t>BOS - BNA</t>
  </si>
  <si>
    <t>BOS - BUF</t>
  </si>
  <si>
    <t>BOS - BUR</t>
  </si>
  <si>
    <t>BOS - BWI</t>
  </si>
  <si>
    <t>BOS - BZN</t>
  </si>
  <si>
    <t>BOS - CHS</t>
  </si>
  <si>
    <t>BOS - CLE</t>
  </si>
  <si>
    <t>BOS - CLT</t>
  </si>
  <si>
    <t>BOS - CMH</t>
  </si>
  <si>
    <t>BOS - CVG</t>
  </si>
  <si>
    <t>BOS - DAL</t>
  </si>
  <si>
    <t>BOS - DCA</t>
  </si>
  <si>
    <t>BOS - DEN</t>
  </si>
  <si>
    <t>BOS - DFW</t>
  </si>
  <si>
    <t>BOS - DTW</t>
  </si>
  <si>
    <t>BOS - EWR</t>
  </si>
  <si>
    <t>BOS - EYW</t>
  </si>
  <si>
    <t>BOS - FLL</t>
  </si>
  <si>
    <t>BOS - FNT</t>
  </si>
  <si>
    <t>BOS - GRR</t>
  </si>
  <si>
    <t>BOS - GSP</t>
  </si>
  <si>
    <t>BOS - HDN</t>
  </si>
  <si>
    <t>BOS - HHH</t>
  </si>
  <si>
    <t>BOS - HNL</t>
  </si>
  <si>
    <t>BOS - HOU</t>
  </si>
  <si>
    <t>BOS - IAD</t>
  </si>
  <si>
    <t>BOS - IAH</t>
  </si>
  <si>
    <t>BOS - ILM</t>
  </si>
  <si>
    <t>BOS - IND</t>
  </si>
  <si>
    <t>BOS - JAC</t>
  </si>
  <si>
    <t>BOS - JAX</t>
  </si>
  <si>
    <t>BOS - JFK</t>
  </si>
  <si>
    <t>BOS - LAS</t>
  </si>
  <si>
    <t>BOS - LAX</t>
  </si>
  <si>
    <t>BOS - LGA</t>
  </si>
  <si>
    <t>BOS - LGB</t>
  </si>
  <si>
    <t>BOS - MCI</t>
  </si>
  <si>
    <t>BOS - MCO</t>
  </si>
  <si>
    <t>BOS - MDT</t>
  </si>
  <si>
    <t>BOS - MDW</t>
  </si>
  <si>
    <t>BOS - MEM</t>
  </si>
  <si>
    <t>BOS - MIA</t>
  </si>
  <si>
    <t>BOS - MKE</t>
  </si>
  <si>
    <t>BOS - MSN</t>
  </si>
  <si>
    <t>BOS - MSP</t>
  </si>
  <si>
    <t>BOS - MSY</t>
  </si>
  <si>
    <t>BOS - MTJ</t>
  </si>
  <si>
    <t>BOS - MVY</t>
  </si>
  <si>
    <t>BOS - MYR</t>
  </si>
  <si>
    <t>BOS - OAK</t>
  </si>
  <si>
    <t>BOS - ORD</t>
  </si>
  <si>
    <t>BOS - ORF</t>
  </si>
  <si>
    <t>BOS - PBI</t>
  </si>
  <si>
    <t>BOS - PDX</t>
  </si>
  <si>
    <t>BOS - PHL</t>
  </si>
  <si>
    <t>BOS - PHX</t>
  </si>
  <si>
    <t>BOS - PIT</t>
  </si>
  <si>
    <t>BOS - PNS</t>
  </si>
  <si>
    <t>BOS - PSP</t>
  </si>
  <si>
    <t>BOS - RDU</t>
  </si>
  <si>
    <t>BOS - RIC</t>
  </si>
  <si>
    <t>BOS - ROC</t>
  </si>
  <si>
    <t>BOS - RSW</t>
  </si>
  <si>
    <t>BOS - SAN</t>
  </si>
  <si>
    <t>BOS - SAT</t>
  </si>
  <si>
    <t>BOS - SAV</t>
  </si>
  <si>
    <t>BOS - SBN</t>
  </si>
  <si>
    <t>BOS - SDF</t>
  </si>
  <si>
    <t>BOS - SEA</t>
  </si>
  <si>
    <t>BOS - SFO</t>
  </si>
  <si>
    <t>BOS - SJC</t>
  </si>
  <si>
    <t>BOS - SJU</t>
  </si>
  <si>
    <t>BOS - SLC</t>
  </si>
  <si>
    <t>BOS - SMF</t>
  </si>
  <si>
    <t>BOS - SRQ</t>
  </si>
  <si>
    <t>BOS - STL</t>
  </si>
  <si>
    <t>BOS - STT</t>
  </si>
  <si>
    <t>BOS - SYR</t>
  </si>
  <si>
    <t>BOS - TPA</t>
  </si>
  <si>
    <t>BOS - TVC</t>
  </si>
  <si>
    <t>BOS - TYS</t>
  </si>
  <si>
    <t>BOS - VPS</t>
  </si>
  <si>
    <t>BPT</t>
  </si>
  <si>
    <t>BPT - DFW</t>
  </si>
  <si>
    <t>BQK - ATL</t>
  </si>
  <si>
    <t>BQN - EWR</t>
  </si>
  <si>
    <t>BQN - FLL</t>
  </si>
  <si>
    <t>BQN - JFK</t>
  </si>
  <si>
    <t>BQN - MCO</t>
  </si>
  <si>
    <t>BQN - PHL</t>
  </si>
  <si>
    <t>BRD</t>
  </si>
  <si>
    <t>BRD - MSP</t>
  </si>
  <si>
    <t>BRO</t>
  </si>
  <si>
    <t>BRO - DEN</t>
  </si>
  <si>
    <t>BRO - DFW</t>
  </si>
  <si>
    <t>BRO - IAH</t>
  </si>
  <si>
    <t>BRO - ORD</t>
  </si>
  <si>
    <t>BRW - ANC</t>
  </si>
  <si>
    <t>BRW - FAI</t>
  </si>
  <si>
    <t>BTM</t>
  </si>
  <si>
    <t>BTM - DEN</t>
  </si>
  <si>
    <t>BTM - SLC</t>
  </si>
  <si>
    <t>BTR - ATL</t>
  </si>
  <si>
    <t>BTR - AUS</t>
  </si>
  <si>
    <t>BTR - BHM</t>
  </si>
  <si>
    <t>BTR - CLT</t>
  </si>
  <si>
    <t>BTR - DCA</t>
  </si>
  <si>
    <t>BTR - DFW</t>
  </si>
  <si>
    <t>BTR - IAH</t>
  </si>
  <si>
    <t>BTR - LAX</t>
  </si>
  <si>
    <t>BTV - ATL</t>
  </si>
  <si>
    <t>BTV - CLT</t>
  </si>
  <si>
    <t>BTV - DCA</t>
  </si>
  <si>
    <t>BTV - DEN</t>
  </si>
  <si>
    <t>BTV - DFW</t>
  </si>
  <si>
    <t>BTV - DTW</t>
  </si>
  <si>
    <t>BTV - EWR</t>
  </si>
  <si>
    <t>BTV - IAD</t>
  </si>
  <si>
    <t>BTV - JFK</t>
  </si>
  <si>
    <t>BTV - LGA</t>
  </si>
  <si>
    <t>BTV - MCO</t>
  </si>
  <si>
    <t>BTV - MIA</t>
  </si>
  <si>
    <t>BTV - MSP</t>
  </si>
  <si>
    <t>BTV - ORD</t>
  </si>
  <si>
    <t>BTV - PHL</t>
  </si>
  <si>
    <t>BUF - ATL</t>
  </si>
  <si>
    <t>BUF - AUS</t>
  </si>
  <si>
    <t>BUF - BNA</t>
  </si>
  <si>
    <t>BUF - BOS</t>
  </si>
  <si>
    <t>BUF - BWI</t>
  </si>
  <si>
    <t>BUF - CLT</t>
  </si>
  <si>
    <t>BUF - DCA</t>
  </si>
  <si>
    <t>BUF - DEN</t>
  </si>
  <si>
    <t>BUF - DFW</t>
  </si>
  <si>
    <t>BUF - DTW</t>
  </si>
  <si>
    <t>BUF - EWR</t>
  </si>
  <si>
    <t>BUF - FLL</t>
  </si>
  <si>
    <t>BUF - IAD</t>
  </si>
  <si>
    <t>BUF - JAX</t>
  </si>
  <si>
    <t>BUF - JFK</t>
  </si>
  <si>
    <t>BUF - LAS</t>
  </si>
  <si>
    <t>BUF - LAX</t>
  </si>
  <si>
    <t>BUF - LGA</t>
  </si>
  <si>
    <t>BUF - MCI</t>
  </si>
  <si>
    <t>BUF - MCO</t>
  </si>
  <si>
    <t>BUF - MDW</t>
  </si>
  <si>
    <t>BUF - MIA</t>
  </si>
  <si>
    <t>BUF - MSP</t>
  </si>
  <si>
    <t>BUF - MYR</t>
  </si>
  <si>
    <t>BUF - ORD</t>
  </si>
  <si>
    <t>BUF - PHL</t>
  </si>
  <si>
    <t>BUF - PHX</t>
  </si>
  <si>
    <t>BUF - RDU</t>
  </si>
  <si>
    <t>BUF - RSW</t>
  </si>
  <si>
    <t>BUF - SJU</t>
  </si>
  <si>
    <t>BUF - TPA</t>
  </si>
  <si>
    <t>BUR - ABQ</t>
  </si>
  <si>
    <t>BUR - ATL</t>
  </si>
  <si>
    <t>BUR - AUS</t>
  </si>
  <si>
    <t>BUR - BNA</t>
  </si>
  <si>
    <t>BUR - BOI</t>
  </si>
  <si>
    <t>BUR - BOS</t>
  </si>
  <si>
    <t>BUR - DAL</t>
  </si>
  <si>
    <t>BUR - DEN</t>
  </si>
  <si>
    <t>BUR - DFW</t>
  </si>
  <si>
    <t>BUR - HOU</t>
  </si>
  <si>
    <t>BUR - JFK</t>
  </si>
  <si>
    <t>BUR - LAS</t>
  </si>
  <si>
    <t>BUR - MDW</t>
  </si>
  <si>
    <t>BUR - OAK</t>
  </si>
  <si>
    <t>BUR - PDX</t>
  </si>
  <si>
    <t>BUR - PHX</t>
  </si>
  <si>
    <t>BUR - RNO</t>
  </si>
  <si>
    <t>BUR - SEA</t>
  </si>
  <si>
    <t>BUR - SFO</t>
  </si>
  <si>
    <t>BUR - SJC</t>
  </si>
  <si>
    <t>BUR - SLC</t>
  </si>
  <si>
    <t>BUR - SMF</t>
  </si>
  <si>
    <t>STS</t>
  </si>
  <si>
    <t>BUR - STS</t>
  </si>
  <si>
    <t>BWI - ABQ</t>
  </si>
  <si>
    <t>BWI - ALB</t>
  </si>
  <si>
    <t>BWI - ATL</t>
  </si>
  <si>
    <t>BWI - AUS</t>
  </si>
  <si>
    <t>BWI - AVL</t>
  </si>
  <si>
    <t>BWI - BDL</t>
  </si>
  <si>
    <t>BWI - BHM</t>
  </si>
  <si>
    <t>BWI - BNA</t>
  </si>
  <si>
    <t>BWI - BOS</t>
  </si>
  <si>
    <t>BWI - BUF</t>
  </si>
  <si>
    <t>BWI - CHS</t>
  </si>
  <si>
    <t>BWI - CLE</t>
  </si>
  <si>
    <t>BWI - CLT</t>
  </si>
  <si>
    <t>BWI - CMH</t>
  </si>
  <si>
    <t>BWI - CVG</t>
  </si>
  <si>
    <t>BWI - DAL</t>
  </si>
  <si>
    <t>BWI - DEN</t>
  </si>
  <si>
    <t>BWI - DFW</t>
  </si>
  <si>
    <t>BWI - DTW</t>
  </si>
  <si>
    <t>BWI - ECP</t>
  </si>
  <si>
    <t>BWI - EWR</t>
  </si>
  <si>
    <t>BWI - FLL</t>
  </si>
  <si>
    <t>BWI - GRR</t>
  </si>
  <si>
    <t>BWI - GSP</t>
  </si>
  <si>
    <t>BWI - HOU</t>
  </si>
  <si>
    <t>BWI - IAH</t>
  </si>
  <si>
    <t>BWI - IND</t>
  </si>
  <si>
    <t>BWI - ISP</t>
  </si>
  <si>
    <t>BWI - JAN</t>
  </si>
  <si>
    <t>BWI - JAX</t>
  </si>
  <si>
    <t>BWI - JFK</t>
  </si>
  <si>
    <t>BWI - LAS</t>
  </si>
  <si>
    <t>BWI - LAX</t>
  </si>
  <si>
    <t>BWI - LGA</t>
  </si>
  <si>
    <t>BWI - MCI</t>
  </si>
  <si>
    <t>BWI - MCO</t>
  </si>
  <si>
    <t>BWI - MDW</t>
  </si>
  <si>
    <t>BWI - MEM</t>
  </si>
  <si>
    <t>BWI - MHT</t>
  </si>
  <si>
    <t>BWI - MIA</t>
  </si>
  <si>
    <t>BWI - MKE</t>
  </si>
  <si>
    <t>BWI - MSP</t>
  </si>
  <si>
    <t>BWI - MSY</t>
  </si>
  <si>
    <t>BWI - MYR</t>
  </si>
  <si>
    <t>BWI - OAK</t>
  </si>
  <si>
    <t>BWI - OKC</t>
  </si>
  <si>
    <t>BWI - ORD</t>
  </si>
  <si>
    <t>BWI - ORF</t>
  </si>
  <si>
    <t>BWI - PBI</t>
  </si>
  <si>
    <t>BWI - PDX</t>
  </si>
  <si>
    <t>BWI - PGD</t>
  </si>
  <si>
    <t>BWI - PHL</t>
  </si>
  <si>
    <t>BWI - PHX</t>
  </si>
  <si>
    <t>BWI - PIT</t>
  </si>
  <si>
    <t>BWI - PNS</t>
  </si>
  <si>
    <t>BWI - PVD</t>
  </si>
  <si>
    <t>BWI - PWM</t>
  </si>
  <si>
    <t>BWI - RDU</t>
  </si>
  <si>
    <t>BWI - ROC</t>
  </si>
  <si>
    <t>BWI - RSW</t>
  </si>
  <si>
    <t>BWI - SAN</t>
  </si>
  <si>
    <t>BWI - SAT</t>
  </si>
  <si>
    <t>BWI - SAV</t>
  </si>
  <si>
    <t>BWI - SDF</t>
  </si>
  <si>
    <t>BWI - SEA</t>
  </si>
  <si>
    <t>BWI - SFO</t>
  </si>
  <si>
    <t>BWI - SJC</t>
  </si>
  <si>
    <t>BWI - SJU</t>
  </si>
  <si>
    <t>BWI - SLC</t>
  </si>
  <si>
    <t>BWI - SMF</t>
  </si>
  <si>
    <t>BWI - SRQ</t>
  </si>
  <si>
    <t>BWI - STL</t>
  </si>
  <si>
    <t>BWI - SYR</t>
  </si>
  <si>
    <t>BWI - TPA</t>
  </si>
  <si>
    <t>BWI - TUL</t>
  </si>
  <si>
    <t>BWI - TYS</t>
  </si>
  <si>
    <t>BWI - VPS</t>
  </si>
  <si>
    <t>BZN - ATL</t>
  </si>
  <si>
    <t>BZN - AUS</t>
  </si>
  <si>
    <t>BZN - AZA</t>
  </si>
  <si>
    <t>BZN - BIL</t>
  </si>
  <si>
    <t>BZN - BNA</t>
  </si>
  <si>
    <t>BZN - BOS</t>
  </si>
  <si>
    <t>BZN - CLT</t>
  </si>
  <si>
    <t>BZN - DAL</t>
  </si>
  <si>
    <t>BZN - DEN</t>
  </si>
  <si>
    <t>BZN - DFW</t>
  </si>
  <si>
    <t>BZN - DTW</t>
  </si>
  <si>
    <t>BZN - EWR</t>
  </si>
  <si>
    <t>BZN - FLL</t>
  </si>
  <si>
    <t>BZN - IAD</t>
  </si>
  <si>
    <t>BZN - IAH</t>
  </si>
  <si>
    <t>BZN - JFK</t>
  </si>
  <si>
    <t>BZN - LAS</t>
  </si>
  <si>
    <t>BZN - LAX</t>
  </si>
  <si>
    <t>BZN - LGA</t>
  </si>
  <si>
    <t>BZN - LGB</t>
  </si>
  <si>
    <t>BZN - MDW</t>
  </si>
  <si>
    <t>BZN - MSP</t>
  </si>
  <si>
    <t>BZN - OAK</t>
  </si>
  <si>
    <t>BZN - ORD</t>
  </si>
  <si>
    <t>BZN - PDX</t>
  </si>
  <si>
    <t>BZN - PHL</t>
  </si>
  <si>
    <t>BZN - PHX</t>
  </si>
  <si>
    <t>BZN - SAN</t>
  </si>
  <si>
    <t>BZN - SEA</t>
  </si>
  <si>
    <t>BZN - SFO</t>
  </si>
  <si>
    <t>BZN - SLC</t>
  </si>
  <si>
    <t>BZN - SNA</t>
  </si>
  <si>
    <t>CAE - ATL</t>
  </si>
  <si>
    <t>CAE - BHM</t>
  </si>
  <si>
    <t>CAE - CLT</t>
  </si>
  <si>
    <t>CAE - DCA</t>
  </si>
  <si>
    <t>CAE - DFW</t>
  </si>
  <si>
    <t>CAE - IAD</t>
  </si>
  <si>
    <t>CAE - IAH</t>
  </si>
  <si>
    <t>CAE - LGA</t>
  </si>
  <si>
    <t>CAE - MIA</t>
  </si>
  <si>
    <t>CAE - ORD</t>
  </si>
  <si>
    <t>CAE - PHL</t>
  </si>
  <si>
    <t>CAK - ATL</t>
  </si>
  <si>
    <t>CAK - CLT</t>
  </si>
  <si>
    <t>CAK - DCA</t>
  </si>
  <si>
    <t>CAK - DTW</t>
  </si>
  <si>
    <t>CAK - EWR</t>
  </si>
  <si>
    <t>CAK - FLL</t>
  </si>
  <si>
    <t>CAK - IAD</t>
  </si>
  <si>
    <t>CAK - IAH</t>
  </si>
  <si>
    <t>CAK - LGA</t>
  </si>
  <si>
    <t>CAK - MCO</t>
  </si>
  <si>
    <t>CAK - MYR</t>
  </si>
  <si>
    <t>CAK - ORD</t>
  </si>
  <si>
    <t>CAK - PGD</t>
  </si>
  <si>
    <t>CAK - PHL</t>
  </si>
  <si>
    <t>CAK - PIE</t>
  </si>
  <si>
    <t>CAK - RSW</t>
  </si>
  <si>
    <t>CAK - SAV</t>
  </si>
  <si>
    <t>CAK - SRQ</t>
  </si>
  <si>
    <t>CAK - TPA</t>
  </si>
  <si>
    <t>CDB - ADK</t>
  </si>
  <si>
    <t>CDB - ANC</t>
  </si>
  <si>
    <t>CDC</t>
  </si>
  <si>
    <t>CDC - SLC</t>
  </si>
  <si>
    <t>CDV - ANC</t>
  </si>
  <si>
    <t>YAK</t>
  </si>
  <si>
    <t>CDV - YAK</t>
  </si>
  <si>
    <t>CGI</t>
  </si>
  <si>
    <t>DEC</t>
  </si>
  <si>
    <t>CGI - DEC</t>
  </si>
  <si>
    <t>CGI - IAD</t>
  </si>
  <si>
    <t>CGI - ORD</t>
  </si>
  <si>
    <t>PAH</t>
  </si>
  <si>
    <t>CGI - PAH</t>
  </si>
  <si>
    <t>UIN</t>
  </si>
  <si>
    <t>CGI - UIN</t>
  </si>
  <si>
    <t>CHA - ATL</t>
  </si>
  <si>
    <t>CHA - CLT</t>
  </si>
  <si>
    <t>CHA - DCA</t>
  </si>
  <si>
    <t>CHA - DFW</t>
  </si>
  <si>
    <t>CHA - DTW</t>
  </si>
  <si>
    <t>CHA - EWR</t>
  </si>
  <si>
    <t>CHA - IAD</t>
  </si>
  <si>
    <t>CHA - IAH</t>
  </si>
  <si>
    <t>CHA - LGA</t>
  </si>
  <si>
    <t>CHA - MIA</t>
  </si>
  <si>
    <t>CHA - MSP</t>
  </si>
  <si>
    <t>CHA - ORD</t>
  </si>
  <si>
    <t>CHA - PHL</t>
  </si>
  <si>
    <t>CHA - PIE</t>
  </si>
  <si>
    <t>CHA - SFB</t>
  </si>
  <si>
    <t>CHO - ATL</t>
  </si>
  <si>
    <t>CHO - CLT</t>
  </si>
  <si>
    <t>CHO - IAD</t>
  </si>
  <si>
    <t>CHO - LGA</t>
  </si>
  <si>
    <t>CHO - ORD</t>
  </si>
  <si>
    <t>CHO - PHL</t>
  </si>
  <si>
    <t>CHO - SBN</t>
  </si>
  <si>
    <t>CHS - ATL</t>
  </si>
  <si>
    <t>CHS - AUS</t>
  </si>
  <si>
    <t>CHS - BLV</t>
  </si>
  <si>
    <t>CHS - BNA</t>
  </si>
  <si>
    <t>CHS - BOS</t>
  </si>
  <si>
    <t>CHS - BWI</t>
  </si>
  <si>
    <t>CHS - CLE</t>
  </si>
  <si>
    <t>CHS - CLT</t>
  </si>
  <si>
    <t>CHS - CMH</t>
  </si>
  <si>
    <t>CHS - CVG</t>
  </si>
  <si>
    <t>CHS - DAL</t>
  </si>
  <si>
    <t>CHS - DCA</t>
  </si>
  <si>
    <t>CHS - DEN</t>
  </si>
  <si>
    <t>CHS - DFW</t>
  </si>
  <si>
    <t>CHS - DTW</t>
  </si>
  <si>
    <t>CHS - EWR</t>
  </si>
  <si>
    <t>CHS - FLL</t>
  </si>
  <si>
    <t>CHS - HOU</t>
  </si>
  <si>
    <t>CHS - IAD</t>
  </si>
  <si>
    <t>CHS - IAH</t>
  </si>
  <si>
    <t>CHS - IND</t>
  </si>
  <si>
    <t>CHS - JFK</t>
  </si>
  <si>
    <t>CHS - LAX</t>
  </si>
  <si>
    <t>CHS - LCK</t>
  </si>
  <si>
    <t>CHS - LGA</t>
  </si>
  <si>
    <t>CHS - MCI</t>
  </si>
  <si>
    <t>CHS - MDW</t>
  </si>
  <si>
    <t>CHS - MIA</t>
  </si>
  <si>
    <t>CHS - MKE</t>
  </si>
  <si>
    <t>CHS - MSP</t>
  </si>
  <si>
    <t>CHS - MYR</t>
  </si>
  <si>
    <t>CHS - ORD</t>
  </si>
  <si>
    <t>CHS - PGD</t>
  </si>
  <si>
    <t>CHS - PHL</t>
  </si>
  <si>
    <t>CHS - PIT</t>
  </si>
  <si>
    <t>CHS - RDU</t>
  </si>
  <si>
    <t>CHS - SDF</t>
  </si>
  <si>
    <t>CHS - SEA</t>
  </si>
  <si>
    <t>CHS - STL</t>
  </si>
  <si>
    <t>CHS - TTN</t>
  </si>
  <si>
    <t>CID - ATL</t>
  </si>
  <si>
    <t>CID - AZA</t>
  </si>
  <si>
    <t>CID - BNA</t>
  </si>
  <si>
    <t>CID - CLT</t>
  </si>
  <si>
    <t>CID - DEN</t>
  </si>
  <si>
    <t>CID - DFW</t>
  </si>
  <si>
    <t>CID - DTW</t>
  </si>
  <si>
    <t>CID - FSD</t>
  </si>
  <si>
    <t>CID - LAS</t>
  </si>
  <si>
    <t>CID - LAX</t>
  </si>
  <si>
    <t>CID - MCO</t>
  </si>
  <si>
    <t>CID - MLI</t>
  </si>
  <si>
    <t>CID - MSP</t>
  </si>
  <si>
    <t>CID - ORD</t>
  </si>
  <si>
    <t>CID - PGD</t>
  </si>
  <si>
    <t>CID - PHX</t>
  </si>
  <si>
    <t>CID - PIE</t>
  </si>
  <si>
    <t>CID - SCE</t>
  </si>
  <si>
    <t>CID - SFB</t>
  </si>
  <si>
    <t>CID - SRQ</t>
  </si>
  <si>
    <t>CIU</t>
  </si>
  <si>
    <t>CIU - DTW</t>
  </si>
  <si>
    <t>CIU - MSP</t>
  </si>
  <si>
    <t>CKB</t>
  </si>
  <si>
    <t>CKB - AVL</t>
  </si>
  <si>
    <t>CKB - IAD</t>
  </si>
  <si>
    <t>JST</t>
  </si>
  <si>
    <t>CKB - JST</t>
  </si>
  <si>
    <t>CKB - MYR</t>
  </si>
  <si>
    <t>CKB - ORD</t>
  </si>
  <si>
    <t>CKB - PIE</t>
  </si>
  <si>
    <t>CKB - SFB</t>
  </si>
  <si>
    <t>CKB - VPS</t>
  </si>
  <si>
    <t>CLE - APN</t>
  </si>
  <si>
    <t>CLE - ATL</t>
  </si>
  <si>
    <t>CLE - AUS</t>
  </si>
  <si>
    <t>CLE - BDL</t>
  </si>
  <si>
    <t>CLE - BNA</t>
  </si>
  <si>
    <t>CLE - BOS</t>
  </si>
  <si>
    <t>CLE - BWI</t>
  </si>
  <si>
    <t>CLE - CHS</t>
  </si>
  <si>
    <t>CLE - CLT</t>
  </si>
  <si>
    <t>CLE - CMH</t>
  </si>
  <si>
    <t>CLE - CVG</t>
  </si>
  <si>
    <t>CLE - DAL</t>
  </si>
  <si>
    <t>CLE - DCA</t>
  </si>
  <si>
    <t>CLE - DEN</t>
  </si>
  <si>
    <t>CLE - DFW</t>
  </si>
  <si>
    <t>CLE - DTW</t>
  </si>
  <si>
    <t>CLE - EWR</t>
  </si>
  <si>
    <t>CLE - FLL</t>
  </si>
  <si>
    <t>CLE - HHH</t>
  </si>
  <si>
    <t>CLE - HOU</t>
  </si>
  <si>
    <t>CLE - IAD</t>
  </si>
  <si>
    <t>CLE - IAH</t>
  </si>
  <si>
    <t>CLE - JAX</t>
  </si>
  <si>
    <t>CLE - JFK</t>
  </si>
  <si>
    <t>CLE - LAS</t>
  </si>
  <si>
    <t>CLE - LAX</t>
  </si>
  <si>
    <t>CLE - LGA</t>
  </si>
  <si>
    <t>CLE - MCO</t>
  </si>
  <si>
    <t>CLE - MDW</t>
  </si>
  <si>
    <t>CLE - MIA</t>
  </si>
  <si>
    <t>CLE - MKE</t>
  </si>
  <si>
    <t>CLE - MSN</t>
  </si>
  <si>
    <t>CLE - MSP</t>
  </si>
  <si>
    <t>CLE - MSY</t>
  </si>
  <si>
    <t>CLE - MYR</t>
  </si>
  <si>
    <t>CLE - ORD</t>
  </si>
  <si>
    <t>CLE - ORF</t>
  </si>
  <si>
    <t>CLE - PBI</t>
  </si>
  <si>
    <t>CLE - PDX</t>
  </si>
  <si>
    <t>CLE - PGD</t>
  </si>
  <si>
    <t>CLE - PHL</t>
  </si>
  <si>
    <t>CLE - PHX</t>
  </si>
  <si>
    <t>CLE - PIE</t>
  </si>
  <si>
    <t>CLE - PNS</t>
  </si>
  <si>
    <t>CLE - PWM</t>
  </si>
  <si>
    <t>CLE - RDU</t>
  </si>
  <si>
    <t>CLE - RSW</t>
  </si>
  <si>
    <t>CLE - SAN</t>
  </si>
  <si>
    <t>CLE - SAT</t>
  </si>
  <si>
    <t>CLE - SAV</t>
  </si>
  <si>
    <t>CLE - SEA</t>
  </si>
  <si>
    <t>CLE - SFB</t>
  </si>
  <si>
    <t>CLE - SFO</t>
  </si>
  <si>
    <t>CLE - SLC</t>
  </si>
  <si>
    <t>CLE - SRQ</t>
  </si>
  <si>
    <t>CLE - STL</t>
  </si>
  <si>
    <t>CLE - TPA</t>
  </si>
  <si>
    <t>CLE - VPS</t>
  </si>
  <si>
    <t>CLL - BHM</t>
  </si>
  <si>
    <t>CLL - DFW</t>
  </si>
  <si>
    <t>CLL - IAH</t>
  </si>
  <si>
    <t>CLT - ABE</t>
  </si>
  <si>
    <t>CLT - ACK</t>
  </si>
  <si>
    <t>CLT - AEX</t>
  </si>
  <si>
    <t>CLT - AGS</t>
  </si>
  <si>
    <t>CLT - ALB</t>
  </si>
  <si>
    <t>CLT - ATL</t>
  </si>
  <si>
    <t>CLT - ATW</t>
  </si>
  <si>
    <t>CLT - AUS</t>
  </si>
  <si>
    <t>CLT - AVL</t>
  </si>
  <si>
    <t>CLT - AVP</t>
  </si>
  <si>
    <t>CLT - BDL</t>
  </si>
  <si>
    <t>CLT - BGR</t>
  </si>
  <si>
    <t>CLT - BHM</t>
  </si>
  <si>
    <t>CLT - BNA</t>
  </si>
  <si>
    <t>CLT - BOS</t>
  </si>
  <si>
    <t>CLT - BTR</t>
  </si>
  <si>
    <t>CLT - BTV</t>
  </si>
  <si>
    <t>CLT - BUF</t>
  </si>
  <si>
    <t>CLT - BWI</t>
  </si>
  <si>
    <t>CLT - BZN</t>
  </si>
  <si>
    <t>CLT - CAE</t>
  </si>
  <si>
    <t>CLT - CAK</t>
  </si>
  <si>
    <t>CLT - CHA</t>
  </si>
  <si>
    <t>CLT - CHO</t>
  </si>
  <si>
    <t>CLT - CHS</t>
  </si>
  <si>
    <t>CLT - CID</t>
  </si>
  <si>
    <t>CLT - CLE</t>
  </si>
  <si>
    <t>CLT - CMH</t>
  </si>
  <si>
    <t>CMI</t>
  </si>
  <si>
    <t>CLT - CMI</t>
  </si>
  <si>
    <t>CLT - CRW</t>
  </si>
  <si>
    <t>CLT - CSG</t>
  </si>
  <si>
    <t>CLT - CVG</t>
  </si>
  <si>
    <t>CLT - DAB</t>
  </si>
  <si>
    <t>CLT - DAL</t>
  </si>
  <si>
    <t>CLT - DAY</t>
  </si>
  <si>
    <t>CLT - DCA</t>
  </si>
  <si>
    <t>CLT - DEN</t>
  </si>
  <si>
    <t>CLT - DFW</t>
  </si>
  <si>
    <t>CLT - DSM</t>
  </si>
  <si>
    <t>CLT - DTW</t>
  </si>
  <si>
    <t>CLT - ECP</t>
  </si>
  <si>
    <t>CLT - ELP</t>
  </si>
  <si>
    <t>ERI</t>
  </si>
  <si>
    <t>CLT - ERI</t>
  </si>
  <si>
    <t>CLT - EVV</t>
  </si>
  <si>
    <t>CLT - EWN</t>
  </si>
  <si>
    <t>CLT - EWR</t>
  </si>
  <si>
    <t>CLT - EYW</t>
  </si>
  <si>
    <t>CLT - FAY</t>
  </si>
  <si>
    <t>CLT - FCA</t>
  </si>
  <si>
    <t>CLT - FLL</t>
  </si>
  <si>
    <t>FLO</t>
  </si>
  <si>
    <t>CLT - FLO</t>
  </si>
  <si>
    <t>CLT - FNT</t>
  </si>
  <si>
    <t>CLT - FSD</t>
  </si>
  <si>
    <t>CLT - FWA</t>
  </si>
  <si>
    <t>CLT - GNV</t>
  </si>
  <si>
    <t>CLT - GPT</t>
  </si>
  <si>
    <t>CLT - GRR</t>
  </si>
  <si>
    <t>CLT - GSO</t>
  </si>
  <si>
    <t>CLT - GSP</t>
  </si>
  <si>
    <t>CLT - HHH</t>
  </si>
  <si>
    <t>CLT - HNL</t>
  </si>
  <si>
    <t>CLT - HOU</t>
  </si>
  <si>
    <t>CLT - HPN</t>
  </si>
  <si>
    <t>CLT - HSV</t>
  </si>
  <si>
    <t>HTS</t>
  </si>
  <si>
    <t>CLT - HTS</t>
  </si>
  <si>
    <t>HVN</t>
  </si>
  <si>
    <t>CLT - HVN</t>
  </si>
  <si>
    <t>CLT - IAD</t>
  </si>
  <si>
    <t>CLT - IAH</t>
  </si>
  <si>
    <t>CLT - ILM</t>
  </si>
  <si>
    <t>CLT - IND</t>
  </si>
  <si>
    <t>IPT</t>
  </si>
  <si>
    <t>CLT - IPT</t>
  </si>
  <si>
    <t>ITH</t>
  </si>
  <si>
    <t>CLT - ITH</t>
  </si>
  <si>
    <t>CLT - JAC</t>
  </si>
  <si>
    <t>CLT - JAN</t>
  </si>
  <si>
    <t>CLT - JAX</t>
  </si>
  <si>
    <t>CLT - JFK</t>
  </si>
  <si>
    <t>CLT - LAS</t>
  </si>
  <si>
    <t>CLT - LAX</t>
  </si>
  <si>
    <t>CLT - LEX</t>
  </si>
  <si>
    <t>CLT - LFT</t>
  </si>
  <si>
    <t>CLT - LGA</t>
  </si>
  <si>
    <t>CLT - LIT</t>
  </si>
  <si>
    <t>LYH</t>
  </si>
  <si>
    <t>CLT - LYH</t>
  </si>
  <si>
    <t>CLT - MCI</t>
  </si>
  <si>
    <t>CLT - MCO</t>
  </si>
  <si>
    <t>CLT - MDT</t>
  </si>
  <si>
    <t>CLT - MDW</t>
  </si>
  <si>
    <t>CLT - MEM</t>
  </si>
  <si>
    <t>CLT - MGM</t>
  </si>
  <si>
    <t>CLT - MHT</t>
  </si>
  <si>
    <t>CLT - MIA</t>
  </si>
  <si>
    <t>CLT - MKE</t>
  </si>
  <si>
    <t>CLT - MLB</t>
  </si>
  <si>
    <t>CLT - MOB</t>
  </si>
  <si>
    <t>CLT - MSN</t>
  </si>
  <si>
    <t>CLT - MSP</t>
  </si>
  <si>
    <t>CLT - MSY</t>
  </si>
  <si>
    <t>CLT - MTJ</t>
  </si>
  <si>
    <t>CLT - MVY</t>
  </si>
  <si>
    <t>CLT - MYR</t>
  </si>
  <si>
    <t>CLT - OAJ</t>
  </si>
  <si>
    <t>CLT - OKC</t>
  </si>
  <si>
    <t>CLT - OMA</t>
  </si>
  <si>
    <t>CLT - ONT</t>
  </si>
  <si>
    <t>CLT - ORD</t>
  </si>
  <si>
    <t>CLT - ORF</t>
  </si>
  <si>
    <t>CLT - PBI</t>
  </si>
  <si>
    <t>CLT - PDX</t>
  </si>
  <si>
    <t>PGV</t>
  </si>
  <si>
    <t>CLT - PGV</t>
  </si>
  <si>
    <t>CLT - PHF</t>
  </si>
  <si>
    <t>CLT - PHL</t>
  </si>
  <si>
    <t>CLT - PHX</t>
  </si>
  <si>
    <t>CLT - PIA</t>
  </si>
  <si>
    <t>CLT - PIT</t>
  </si>
  <si>
    <t>CLT - PNS</t>
  </si>
  <si>
    <t>CLT - PVD</t>
  </si>
  <si>
    <t>CLT - PWM</t>
  </si>
  <si>
    <t>CLT - RAP</t>
  </si>
  <si>
    <t>CLT - RDU</t>
  </si>
  <si>
    <t>CLT - RIC</t>
  </si>
  <si>
    <t>CLT - RNO</t>
  </si>
  <si>
    <t>CLT - ROA</t>
  </si>
  <si>
    <t>CLT - ROC</t>
  </si>
  <si>
    <t>CLT - RSW</t>
  </si>
  <si>
    <t>CLT - SAN</t>
  </si>
  <si>
    <t>CLT - SAT</t>
  </si>
  <si>
    <t>CLT - SAV</t>
  </si>
  <si>
    <t>CLT - SBN</t>
  </si>
  <si>
    <t>SBY</t>
  </si>
  <si>
    <t>CLT - SBY</t>
  </si>
  <si>
    <t>CLT - SDF</t>
  </si>
  <si>
    <t>CLT - SEA</t>
  </si>
  <si>
    <t>CLT - SFO</t>
  </si>
  <si>
    <t>CLT - SGF</t>
  </si>
  <si>
    <t>CLT - SHV</t>
  </si>
  <si>
    <t>CLT - SJC</t>
  </si>
  <si>
    <t>CLT - SJU</t>
  </si>
  <si>
    <t>CLT - SLC</t>
  </si>
  <si>
    <t>CLT - SMF</t>
  </si>
  <si>
    <t>CLT - SRQ</t>
  </si>
  <si>
    <t>CLT - STL</t>
  </si>
  <si>
    <t>CLT - STT</t>
  </si>
  <si>
    <t>CLT - STX</t>
  </si>
  <si>
    <t>CLT - SYR</t>
  </si>
  <si>
    <t>CLT - TLH</t>
  </si>
  <si>
    <t>CLT - TOL</t>
  </si>
  <si>
    <t>CLT - TPA</t>
  </si>
  <si>
    <t>CLT - TRI</t>
  </si>
  <si>
    <t>CLT - TTN</t>
  </si>
  <si>
    <t>CLT - TUL</t>
  </si>
  <si>
    <t>CLT - TUS</t>
  </si>
  <si>
    <t>CLT - TVC</t>
  </si>
  <si>
    <t>CLT - TYS</t>
  </si>
  <si>
    <t>CLT - VPS</t>
  </si>
  <si>
    <t>CLT - XNA</t>
  </si>
  <si>
    <t>CMH - ATL</t>
  </si>
  <si>
    <t>CMH - AUS</t>
  </si>
  <si>
    <t>CMH - BNA</t>
  </si>
  <si>
    <t>CMH - BOS</t>
  </si>
  <si>
    <t>CMH - BWI</t>
  </si>
  <si>
    <t>CMH - CHS</t>
  </si>
  <si>
    <t>CMH - CLT</t>
  </si>
  <si>
    <t>CMH - CVG</t>
  </si>
  <si>
    <t>CMH - DAL</t>
  </si>
  <si>
    <t>CMH - DCA</t>
  </si>
  <si>
    <t>CMH - DEN</t>
  </si>
  <si>
    <t>CMH - DFW</t>
  </si>
  <si>
    <t>CMH - DTW</t>
  </si>
  <si>
    <t>CMH - ECP</t>
  </si>
  <si>
    <t>CMH - EUG</t>
  </si>
  <si>
    <t>CMH - EWR</t>
  </si>
  <si>
    <t>CMH - FLL</t>
  </si>
  <si>
    <t>CMH - HHH</t>
  </si>
  <si>
    <t>CMH - HOU</t>
  </si>
  <si>
    <t>CMH - IAD</t>
  </si>
  <si>
    <t>CMH - IAH</t>
  </si>
  <si>
    <t>CMH - JFK</t>
  </si>
  <si>
    <t>CMH - LAS</t>
  </si>
  <si>
    <t>CMH - LAX</t>
  </si>
  <si>
    <t>CMH - LGA</t>
  </si>
  <si>
    <t>CMH - LNK</t>
  </si>
  <si>
    <t>CMH - MCO</t>
  </si>
  <si>
    <t>CMH - MDW</t>
  </si>
  <si>
    <t>CMH - MIA</t>
  </si>
  <si>
    <t>CMH - MSN</t>
  </si>
  <si>
    <t>CMH - MSP</t>
  </si>
  <si>
    <t>CMH - MSY</t>
  </si>
  <si>
    <t>CMH - MYR</t>
  </si>
  <si>
    <t>CMH - OAK</t>
  </si>
  <si>
    <t>CMH - ORD</t>
  </si>
  <si>
    <t>CMH - PBI</t>
  </si>
  <si>
    <t>CMH - PDX</t>
  </si>
  <si>
    <t>CMH - PHL</t>
  </si>
  <si>
    <t>CMH - PHX</t>
  </si>
  <si>
    <t>CMH - PNS</t>
  </si>
  <si>
    <t>CMH - PWM</t>
  </si>
  <si>
    <t>CMH - RDU</t>
  </si>
  <si>
    <t>CMH - RSW</t>
  </si>
  <si>
    <t>CMH - SAT</t>
  </si>
  <si>
    <t>CMH - SEA</t>
  </si>
  <si>
    <t>CMH - SFO</t>
  </si>
  <si>
    <t>CMH - SLC</t>
  </si>
  <si>
    <t>CMH - SRQ</t>
  </si>
  <si>
    <t>CMH - STL</t>
  </si>
  <si>
    <t>CMH - TPA</t>
  </si>
  <si>
    <t>CMI - CLT</t>
  </si>
  <si>
    <t>CMI - DFW</t>
  </si>
  <si>
    <t>CMI - ORD</t>
  </si>
  <si>
    <t>CMX</t>
  </si>
  <si>
    <t>DLH</t>
  </si>
  <si>
    <t>CMX - DLH</t>
  </si>
  <si>
    <t>EAU</t>
  </si>
  <si>
    <t>CMX - EAU</t>
  </si>
  <si>
    <t>CMX - ORD</t>
  </si>
  <si>
    <t>CNY</t>
  </si>
  <si>
    <t>CNY - DEN</t>
  </si>
  <si>
    <t>CNY - SLC</t>
  </si>
  <si>
    <t>VEL</t>
  </si>
  <si>
    <t>CNY - VEL</t>
  </si>
  <si>
    <t>COD - DEN</t>
  </si>
  <si>
    <t>COD - ORD</t>
  </si>
  <si>
    <t>COD - SLC</t>
  </si>
  <si>
    <t>COS - ATL</t>
  </si>
  <si>
    <t>COS - DAL</t>
  </si>
  <si>
    <t>COS - DEN</t>
  </si>
  <si>
    <t>COS - DFW</t>
  </si>
  <si>
    <t>COS - HOU</t>
  </si>
  <si>
    <t>COS - IAD</t>
  </si>
  <si>
    <t>COS - IAH</t>
  </si>
  <si>
    <t>COS - LAS</t>
  </si>
  <si>
    <t>COS - LAX</t>
  </si>
  <si>
    <t>COS - MCO</t>
  </si>
  <si>
    <t>COS - MDW</t>
  </si>
  <si>
    <t>COS - MSP</t>
  </si>
  <si>
    <t>COS - ORD</t>
  </si>
  <si>
    <t>COS - PHX</t>
  </si>
  <si>
    <t>COS - RSW</t>
  </si>
  <si>
    <t>COS - SAN</t>
  </si>
  <si>
    <t>COS - SAT</t>
  </si>
  <si>
    <t>COS - SEA</t>
  </si>
  <si>
    <t>COS - SLC</t>
  </si>
  <si>
    <t>COS - TPA</t>
  </si>
  <si>
    <t>COU</t>
  </si>
  <si>
    <t>COU - DEN</t>
  </si>
  <si>
    <t>COU - DFW</t>
  </si>
  <si>
    <t>COU - ORD</t>
  </si>
  <si>
    <t>CPR</t>
  </si>
  <si>
    <t>CPR - COD</t>
  </si>
  <si>
    <t>CPR - DEN</t>
  </si>
  <si>
    <t>CPR - LAS</t>
  </si>
  <si>
    <t>CPR - RAP</t>
  </si>
  <si>
    <t>CPR - SLC</t>
  </si>
  <si>
    <t>CRP</t>
  </si>
  <si>
    <t>CRP - BRO</t>
  </si>
  <si>
    <t>CRP - DAL</t>
  </si>
  <si>
    <t>CRP - DFW</t>
  </si>
  <si>
    <t>CRP - HOU</t>
  </si>
  <si>
    <t>CRP - IAH</t>
  </si>
  <si>
    <t>CRW - ATL</t>
  </si>
  <si>
    <t>CRW - CLT</t>
  </si>
  <si>
    <t>CRW - DCA</t>
  </si>
  <si>
    <t>CRW - IAD</t>
  </si>
  <si>
    <t>CRW - IAH</t>
  </si>
  <si>
    <t>CRW - MCO</t>
  </si>
  <si>
    <t>CRW - MYR</t>
  </si>
  <si>
    <t>CRW - ORD</t>
  </si>
  <si>
    <t>CRW - PHL</t>
  </si>
  <si>
    <t>CSG - ATL</t>
  </si>
  <si>
    <t>CSG - CLT</t>
  </si>
  <si>
    <t>CSG - DFW</t>
  </si>
  <si>
    <t>CVG - ABE</t>
  </si>
  <si>
    <t>CVG - ATL</t>
  </si>
  <si>
    <t>CVG - AUS</t>
  </si>
  <si>
    <t>CVG - AZA</t>
  </si>
  <si>
    <t>CVG - BDL</t>
  </si>
  <si>
    <t>CVG - BNA</t>
  </si>
  <si>
    <t>CVG - BOS</t>
  </si>
  <si>
    <t>CVG - BWI</t>
  </si>
  <si>
    <t>CVG - CHS</t>
  </si>
  <si>
    <t>CVG - CLE</t>
  </si>
  <si>
    <t>CVG - CLT</t>
  </si>
  <si>
    <t>CVG - DCA</t>
  </si>
  <si>
    <t>CVG - DEN</t>
  </si>
  <si>
    <t>CVG - DFW</t>
  </si>
  <si>
    <t>CVG - DTW</t>
  </si>
  <si>
    <t>CVG - EWR</t>
  </si>
  <si>
    <t>CVG - EYW</t>
  </si>
  <si>
    <t>CVG - FLL</t>
  </si>
  <si>
    <t>CVG - FWA</t>
  </si>
  <si>
    <t>CVG - HHH</t>
  </si>
  <si>
    <t>CVG - HOU</t>
  </si>
  <si>
    <t>CVG - HTS</t>
  </si>
  <si>
    <t>CVG - IAD</t>
  </si>
  <si>
    <t>CVG - IAH</t>
  </si>
  <si>
    <t>CVG - JAX</t>
  </si>
  <si>
    <t>CVG - JFK</t>
  </si>
  <si>
    <t>CVG - LAS</t>
  </si>
  <si>
    <t>CVG - LAX</t>
  </si>
  <si>
    <t>CVG - LGA</t>
  </si>
  <si>
    <t>CVG - MCI</t>
  </si>
  <si>
    <t>CVG - MCO</t>
  </si>
  <si>
    <t>CVG - MDW</t>
  </si>
  <si>
    <t>CVG - MEM</t>
  </si>
  <si>
    <t>CVG - MIA</t>
  </si>
  <si>
    <t>CVG - MKE</t>
  </si>
  <si>
    <t>CVG - MSN</t>
  </si>
  <si>
    <t>CVG - MSP</t>
  </si>
  <si>
    <t>CVG - MSY</t>
  </si>
  <si>
    <t>CVG - MYR</t>
  </si>
  <si>
    <t>CVG - ORD</t>
  </si>
  <si>
    <t>CVG - ORF</t>
  </si>
  <si>
    <t>CVG - PBI</t>
  </si>
  <si>
    <t>CVG - PGD</t>
  </si>
  <si>
    <t>CVG - PHL</t>
  </si>
  <si>
    <t>CVG - PHX</t>
  </si>
  <si>
    <t>CVG - PIE</t>
  </si>
  <si>
    <t>CVG - PNS</t>
  </si>
  <si>
    <t>CVG - PVD</t>
  </si>
  <si>
    <t>CVG - PWM</t>
  </si>
  <si>
    <t>CVG - RDU</t>
  </si>
  <si>
    <t>CVG - ROA</t>
  </si>
  <si>
    <t>CVG - RSW</t>
  </si>
  <si>
    <t>CVG - SAN</t>
  </si>
  <si>
    <t>CVG - SAT</t>
  </si>
  <si>
    <t>CVG - SAV</t>
  </si>
  <si>
    <t>CVG - SEA</t>
  </si>
  <si>
    <t>CVG - SFB</t>
  </si>
  <si>
    <t>CVG - SFO</t>
  </si>
  <si>
    <t>CVG - SJC</t>
  </si>
  <si>
    <t>CVG - SJU</t>
  </si>
  <si>
    <t>CVG - SLC</t>
  </si>
  <si>
    <t>CVG - SRQ</t>
  </si>
  <si>
    <t>CVG - STL</t>
  </si>
  <si>
    <t>CVG - TPA</t>
  </si>
  <si>
    <t>CVG - TYS</t>
  </si>
  <si>
    <t>CVG - VPS</t>
  </si>
  <si>
    <t>CVG - XNA</t>
  </si>
  <si>
    <t>CWA</t>
  </si>
  <si>
    <t>CWA - DTW</t>
  </si>
  <si>
    <t>CWA - MSP</t>
  </si>
  <si>
    <t>CWA - ORD</t>
  </si>
  <si>
    <t>CYS</t>
  </si>
  <si>
    <t>CYS - DEN</t>
  </si>
  <si>
    <t>CYS - DFW</t>
  </si>
  <si>
    <t>DAB - ATL</t>
  </si>
  <si>
    <t>DAB - CLT</t>
  </si>
  <si>
    <t>DAB - DCA</t>
  </si>
  <si>
    <t>DAB - DFW</t>
  </si>
  <si>
    <t>DAB - DTW</t>
  </si>
  <si>
    <t>DAB - JFK</t>
  </si>
  <si>
    <t>DAB - LGA</t>
  </si>
  <si>
    <t>DAB - PHL</t>
  </si>
  <si>
    <t>DAL - ABQ</t>
  </si>
  <si>
    <t>DAL - AMA</t>
  </si>
  <si>
    <t>DAL - ATL</t>
  </si>
  <si>
    <t>DAL - AUS</t>
  </si>
  <si>
    <t>DAL - BHM</t>
  </si>
  <si>
    <t>DAL - BNA</t>
  </si>
  <si>
    <t>DAL - BOI</t>
  </si>
  <si>
    <t>DAL - BOS</t>
  </si>
  <si>
    <t>DAL - BUR</t>
  </si>
  <si>
    <t>DAL - BWI</t>
  </si>
  <si>
    <t>DAL - BZN</t>
  </si>
  <si>
    <t>DAL - CHS</t>
  </si>
  <si>
    <t>DAL - CLE</t>
  </si>
  <si>
    <t>DAL - CLT</t>
  </si>
  <si>
    <t>DAL - CMH</t>
  </si>
  <si>
    <t>DAL - COS</t>
  </si>
  <si>
    <t>DAL - CRP</t>
  </si>
  <si>
    <t>DAL - DCA</t>
  </si>
  <si>
    <t>DAL - DEN</t>
  </si>
  <si>
    <t>DAL - DTW</t>
  </si>
  <si>
    <t>DAL - ECP</t>
  </si>
  <si>
    <t>DAL - ELP</t>
  </si>
  <si>
    <t>DAL - FLL</t>
  </si>
  <si>
    <t>DAL - GSP</t>
  </si>
  <si>
    <t>DAL - HDN</t>
  </si>
  <si>
    <t>DAL - HOU</t>
  </si>
  <si>
    <t>DAL - HRL</t>
  </si>
  <si>
    <t>DAL - IAH</t>
  </si>
  <si>
    <t>DAL - IND</t>
  </si>
  <si>
    <t>DAL - JAX</t>
  </si>
  <si>
    <t>DAL - LAS</t>
  </si>
  <si>
    <t>DAL - LAX</t>
  </si>
  <si>
    <t>DAL - LBB</t>
  </si>
  <si>
    <t>DAL - LGA</t>
  </si>
  <si>
    <t>DAL - LGB</t>
  </si>
  <si>
    <t>DAL - LIT</t>
  </si>
  <si>
    <t>DAL - MAF</t>
  </si>
  <si>
    <t>DAL - MCI</t>
  </si>
  <si>
    <t>DAL - MCO</t>
  </si>
  <si>
    <t>DAL - MDW</t>
  </si>
  <si>
    <t>DAL - MEM</t>
  </si>
  <si>
    <t>DAL - MIA</t>
  </si>
  <si>
    <t>DAL - MKE</t>
  </si>
  <si>
    <t>DAL - MSP</t>
  </si>
  <si>
    <t>DAL - MSY</t>
  </si>
  <si>
    <t>DAL - MTJ</t>
  </si>
  <si>
    <t>DAL - MYR</t>
  </si>
  <si>
    <t>DAL - OAK</t>
  </si>
  <si>
    <t>DAL - OKC</t>
  </si>
  <si>
    <t>DAL - OMA</t>
  </si>
  <si>
    <t>DAL - ONT</t>
  </si>
  <si>
    <t>DAL - ORD</t>
  </si>
  <si>
    <t>DAL - ORF</t>
  </si>
  <si>
    <t>DAL - PBI</t>
  </si>
  <si>
    <t>DAL - PDX</t>
  </si>
  <si>
    <t>DAL - PHL</t>
  </si>
  <si>
    <t>DAL - PHX</t>
  </si>
  <si>
    <t>DAL - PIT</t>
  </si>
  <si>
    <t>DAL - PNS</t>
  </si>
  <si>
    <t>DAL - PSP</t>
  </si>
  <si>
    <t>DAL - RDU</t>
  </si>
  <si>
    <t>DAL - RNO</t>
  </si>
  <si>
    <t>DAL - RSW</t>
  </si>
  <si>
    <t>DAL - SAN</t>
  </si>
  <si>
    <t>DAL - SAT</t>
  </si>
  <si>
    <t>DAL - SAV</t>
  </si>
  <si>
    <t>DAL - SDF</t>
  </si>
  <si>
    <t>DAL - SEA</t>
  </si>
  <si>
    <t>DAL - SFO</t>
  </si>
  <si>
    <t>DAL - SJC</t>
  </si>
  <si>
    <t>DAL - SLC</t>
  </si>
  <si>
    <t>DAL - SMF</t>
  </si>
  <si>
    <t>DAL - SNA</t>
  </si>
  <si>
    <t>DAL - SRQ</t>
  </si>
  <si>
    <t>DAL - STL</t>
  </si>
  <si>
    <t>DAL - TPA</t>
  </si>
  <si>
    <t>DAL - TUL</t>
  </si>
  <si>
    <t>DAL - TUS</t>
  </si>
  <si>
    <t>DAL - VPS</t>
  </si>
  <si>
    <t>DAY - ATL</t>
  </si>
  <si>
    <t>DAY - CLT</t>
  </si>
  <si>
    <t>DAY - DCA</t>
  </si>
  <si>
    <t>DAY - DEN</t>
  </si>
  <si>
    <t>DAY - DFW</t>
  </si>
  <si>
    <t>DAY - DTW</t>
  </si>
  <si>
    <t>DAY - EWR</t>
  </si>
  <si>
    <t>DAY - IAD</t>
  </si>
  <si>
    <t>DAY - IAH</t>
  </si>
  <si>
    <t>DAY - LGA</t>
  </si>
  <si>
    <t>DAY - MCO</t>
  </si>
  <si>
    <t>DAY - MIA</t>
  </si>
  <si>
    <t>DAY - MSP</t>
  </si>
  <si>
    <t>DAY - MYR</t>
  </si>
  <si>
    <t>DAY - ORD</t>
  </si>
  <si>
    <t>DAY - PGD</t>
  </si>
  <si>
    <t>DAY - PHL</t>
  </si>
  <si>
    <t>DAY - PIE</t>
  </si>
  <si>
    <t>DAY - SFB</t>
  </si>
  <si>
    <t>DAY - VPS</t>
  </si>
  <si>
    <t>DBQ</t>
  </si>
  <si>
    <t>DBQ - ORD</t>
  </si>
  <si>
    <t>DCA - ACK</t>
  </si>
  <si>
    <t>DCA - AGS</t>
  </si>
  <si>
    <t>DCA - ALB</t>
  </si>
  <si>
    <t>DCA - ATL</t>
  </si>
  <si>
    <t>DCA - AUS</t>
  </si>
  <si>
    <t>DCA - AVL</t>
  </si>
  <si>
    <t>DCA - BDL</t>
  </si>
  <si>
    <t>DCA - BGR</t>
  </si>
  <si>
    <t>DCA - BHM</t>
  </si>
  <si>
    <t>DCA - BNA</t>
  </si>
  <si>
    <t>DCA - BOS</t>
  </si>
  <si>
    <t>DCA - BTR</t>
  </si>
  <si>
    <t>DCA - BTV</t>
  </si>
  <si>
    <t>DCA - BUF</t>
  </si>
  <si>
    <t>DCA - CAE</t>
  </si>
  <si>
    <t>DCA - CAK</t>
  </si>
  <si>
    <t>DCA - CHA</t>
  </si>
  <si>
    <t>DCA - CHS</t>
  </si>
  <si>
    <t>DCA - CLE</t>
  </si>
  <si>
    <t>DCA - CLT</t>
  </si>
  <si>
    <t>DCA - CMH</t>
  </si>
  <si>
    <t>DCA - CRW</t>
  </si>
  <si>
    <t>DCA - CVG</t>
  </si>
  <si>
    <t>DCA - DAB</t>
  </si>
  <si>
    <t>DCA - DAL</t>
  </si>
  <si>
    <t>DCA - DAY</t>
  </si>
  <si>
    <t>DCA - DEN</t>
  </si>
  <si>
    <t>DCA - DFW</t>
  </si>
  <si>
    <t>DCA - DSM</t>
  </si>
  <si>
    <t>DCA - DTW</t>
  </si>
  <si>
    <t>DCA - ECP</t>
  </si>
  <si>
    <t>DCA - EWN</t>
  </si>
  <si>
    <t>DCA - EWR</t>
  </si>
  <si>
    <t>DCA - EYW</t>
  </si>
  <si>
    <t>DCA - FLL</t>
  </si>
  <si>
    <t>DCA - GRR</t>
  </si>
  <si>
    <t>DCA - GSO</t>
  </si>
  <si>
    <t>DCA - GSP</t>
  </si>
  <si>
    <t>DCA - HHH</t>
  </si>
  <si>
    <t>DCA - HOU</t>
  </si>
  <si>
    <t>DCA - HPN</t>
  </si>
  <si>
    <t>DCA - HSV</t>
  </si>
  <si>
    <t>DCA - IAH</t>
  </si>
  <si>
    <t>DCA - ILM</t>
  </si>
  <si>
    <t>DCA - IND</t>
  </si>
  <si>
    <t>DCA - JAN</t>
  </si>
  <si>
    <t>DCA - JAX</t>
  </si>
  <si>
    <t>DCA - JFK</t>
  </si>
  <si>
    <t>LAN</t>
  </si>
  <si>
    <t>DCA - LAN</t>
  </si>
  <si>
    <t>DCA - LAS</t>
  </si>
  <si>
    <t>DCA - LAX</t>
  </si>
  <si>
    <t>DCA - LEX</t>
  </si>
  <si>
    <t>DCA - LGA</t>
  </si>
  <si>
    <t>DCA - LIT</t>
  </si>
  <si>
    <t>DCA - MCI</t>
  </si>
  <si>
    <t>DCA - MCO</t>
  </si>
  <si>
    <t>DCA - MDW</t>
  </si>
  <si>
    <t>DCA - MEM</t>
  </si>
  <si>
    <t>DCA - MGM</t>
  </si>
  <si>
    <t>DCA - MHT</t>
  </si>
  <si>
    <t>DCA - MIA</t>
  </si>
  <si>
    <t>DCA - MKE</t>
  </si>
  <si>
    <t>DCA - MLB</t>
  </si>
  <si>
    <t>DCA - MSN</t>
  </si>
  <si>
    <t>DCA - MSP</t>
  </si>
  <si>
    <t>DCA - MSY</t>
  </si>
  <si>
    <t>DCA - MVY</t>
  </si>
  <si>
    <t>DCA - MYR</t>
  </si>
  <si>
    <t>DCA - OKC</t>
  </si>
  <si>
    <t>DCA - OMA</t>
  </si>
  <si>
    <t>DCA - ORD</t>
  </si>
  <si>
    <t>DCA - ORF</t>
  </si>
  <si>
    <t>DCA - PBI</t>
  </si>
  <si>
    <t>DCA - PDX</t>
  </si>
  <si>
    <t>DCA - PHL</t>
  </si>
  <si>
    <t>DCA - PHX</t>
  </si>
  <si>
    <t>DCA - PIT</t>
  </si>
  <si>
    <t>DCA - PNS</t>
  </si>
  <si>
    <t>DCA - PVD</t>
  </si>
  <si>
    <t>DCA - PWM</t>
  </si>
  <si>
    <t>DCA - RDU</t>
  </si>
  <si>
    <t>DCA - ROC</t>
  </si>
  <si>
    <t>DCA - RSW</t>
  </si>
  <si>
    <t>DCA - SAV</t>
  </si>
  <si>
    <t>DCA - SBN</t>
  </si>
  <si>
    <t>DCA - SDF</t>
  </si>
  <si>
    <t>DCA - SEA</t>
  </si>
  <si>
    <t>DCA - SFO</t>
  </si>
  <si>
    <t>DCA - SJU</t>
  </si>
  <si>
    <t>DCA - SLC</t>
  </si>
  <si>
    <t>DCA - SRQ</t>
  </si>
  <si>
    <t>DCA - STL</t>
  </si>
  <si>
    <t>DCA - SYR</t>
  </si>
  <si>
    <t>DCA - TLH</t>
  </si>
  <si>
    <t>DCA - TPA</t>
  </si>
  <si>
    <t>DCA - TUL</t>
  </si>
  <si>
    <t>DCA - TVC</t>
  </si>
  <si>
    <t>DCA - TYS</t>
  </si>
  <si>
    <t>DCA - VPS</t>
  </si>
  <si>
    <t>DCA - XNA</t>
  </si>
  <si>
    <t>DDC</t>
  </si>
  <si>
    <t>DDC - DEN</t>
  </si>
  <si>
    <t>LBL</t>
  </si>
  <si>
    <t>DDC - LBL</t>
  </si>
  <si>
    <t>DEC - CGI</t>
  </si>
  <si>
    <t>DEC - ORD</t>
  </si>
  <si>
    <t>DEC - SPI</t>
  </si>
  <si>
    <t>TBN</t>
  </si>
  <si>
    <t>DEC - TBN</t>
  </si>
  <si>
    <t>DEN - ABQ</t>
  </si>
  <si>
    <t>DEN - ACV</t>
  </si>
  <si>
    <t>DEN - ALB</t>
  </si>
  <si>
    <t>DEN - ALS</t>
  </si>
  <si>
    <t>DEN - AMA</t>
  </si>
  <si>
    <t>DEN - ANC</t>
  </si>
  <si>
    <t>DEN - ASE</t>
  </si>
  <si>
    <t>DEN - ATL</t>
  </si>
  <si>
    <t>DEN - ATW</t>
  </si>
  <si>
    <t>DEN - ATY</t>
  </si>
  <si>
    <t>DEN - AUS</t>
  </si>
  <si>
    <t>DEN - AVL</t>
  </si>
  <si>
    <t>DEN - BDL</t>
  </si>
  <si>
    <t>DEN - BFF</t>
  </si>
  <si>
    <t>DEN - BFL</t>
  </si>
  <si>
    <t>DEN - BFM</t>
  </si>
  <si>
    <t>DEN - BHM</t>
  </si>
  <si>
    <t>DEN - BIH</t>
  </si>
  <si>
    <t>DEN - BIL</t>
  </si>
  <si>
    <t>DEN - BIS</t>
  </si>
  <si>
    <t>DEN - BKG</t>
  </si>
  <si>
    <t>DEN - BLI</t>
  </si>
  <si>
    <t>DEN - BMI</t>
  </si>
  <si>
    <t>DEN - BNA</t>
  </si>
  <si>
    <t>DEN - BOI</t>
  </si>
  <si>
    <t>DEN - BOS</t>
  </si>
  <si>
    <t>DEN - BRO</t>
  </si>
  <si>
    <t>DEN - BTM</t>
  </si>
  <si>
    <t>DEN - BTV</t>
  </si>
  <si>
    <t>DEN - BUF</t>
  </si>
  <si>
    <t>DEN - BUR</t>
  </si>
  <si>
    <t>DEN - BWI</t>
  </si>
  <si>
    <t>DEN - BZN</t>
  </si>
  <si>
    <t>DEN - CHS</t>
  </si>
  <si>
    <t>DEN - CID</t>
  </si>
  <si>
    <t>DEN - CLE</t>
  </si>
  <si>
    <t>DEN - CLT</t>
  </si>
  <si>
    <t>DEN - CMH</t>
  </si>
  <si>
    <t>DEN - CNY</t>
  </si>
  <si>
    <t>DEN - COD</t>
  </si>
  <si>
    <t>DEN - COS</t>
  </si>
  <si>
    <t>DEN - COU</t>
  </si>
  <si>
    <t>DEN - CPR</t>
  </si>
  <si>
    <t>DEN - CVG</t>
  </si>
  <si>
    <t>DEN - CYS</t>
  </si>
  <si>
    <t>DEN - DAL</t>
  </si>
  <si>
    <t>DEN - DAY</t>
  </si>
  <si>
    <t>DEN - DCA</t>
  </si>
  <si>
    <t>DEN - DDC</t>
  </si>
  <si>
    <t>DEN - DFW</t>
  </si>
  <si>
    <t>DIK</t>
  </si>
  <si>
    <t>DEN - DIK</t>
  </si>
  <si>
    <t>DRO</t>
  </si>
  <si>
    <t>DEN - DRO</t>
  </si>
  <si>
    <t>DEN - DSM</t>
  </si>
  <si>
    <t>DEN - DTW</t>
  </si>
  <si>
    <t>DVL</t>
  </si>
  <si>
    <t>DEN - DVL</t>
  </si>
  <si>
    <t>EAR</t>
  </si>
  <si>
    <t>DEN - EAR</t>
  </si>
  <si>
    <t>DEN - ECP</t>
  </si>
  <si>
    <t>DEN - EGE</t>
  </si>
  <si>
    <t>DEN - ELP</t>
  </si>
  <si>
    <t>DEN - EUG</t>
  </si>
  <si>
    <t>DEN - EWR</t>
  </si>
  <si>
    <t>DEN - FAI</t>
  </si>
  <si>
    <t>DEN - FAR</t>
  </si>
  <si>
    <t>FAT</t>
  </si>
  <si>
    <t>DEN - FAT</t>
  </si>
  <si>
    <t>DEN - FCA</t>
  </si>
  <si>
    <t>FLG</t>
  </si>
  <si>
    <t>DEN - FLG</t>
  </si>
  <si>
    <t>DEN - FLL</t>
  </si>
  <si>
    <t>FOD</t>
  </si>
  <si>
    <t>DEN - FOD</t>
  </si>
  <si>
    <t>DEN - FSD</t>
  </si>
  <si>
    <t>GCC</t>
  </si>
  <si>
    <t>DEN - GCC</t>
  </si>
  <si>
    <t>DEN - GEG</t>
  </si>
  <si>
    <t>DEN - GJT</t>
  </si>
  <si>
    <t>DEN - GRB</t>
  </si>
  <si>
    <t>DEN - GRR</t>
  </si>
  <si>
    <t>DEN - GSO</t>
  </si>
  <si>
    <t>DEN - GSP</t>
  </si>
  <si>
    <t>DEN - GTF</t>
  </si>
  <si>
    <t>GUC</t>
  </si>
  <si>
    <t>DEN - GUC</t>
  </si>
  <si>
    <t>DEN - HDN</t>
  </si>
  <si>
    <t>HLN</t>
  </si>
  <si>
    <t>DEN - HLN</t>
  </si>
  <si>
    <t>DEN - HNL</t>
  </si>
  <si>
    <t>HOB</t>
  </si>
  <si>
    <t>DEN - HOB</t>
  </si>
  <si>
    <t>DEN - HOU</t>
  </si>
  <si>
    <t>DEN - HRL</t>
  </si>
  <si>
    <t>DEN - HSV</t>
  </si>
  <si>
    <t>HYS</t>
  </si>
  <si>
    <t>DEN - HYS</t>
  </si>
  <si>
    <t>DEN - IAD</t>
  </si>
  <si>
    <t>DEN - IAH</t>
  </si>
  <si>
    <t>DEN - ICT</t>
  </si>
  <si>
    <t>DEN - IDA</t>
  </si>
  <si>
    <t>DEN - IND</t>
  </si>
  <si>
    <t>ISN</t>
  </si>
  <si>
    <t>DEN - ISN</t>
  </si>
  <si>
    <t>DEN - JAC</t>
  </si>
  <si>
    <t>DEN - JAN</t>
  </si>
  <si>
    <t>DEN - JAX</t>
  </si>
  <si>
    <t>DEN - JFK</t>
  </si>
  <si>
    <t>JLN</t>
  </si>
  <si>
    <t>DEN - JLN</t>
  </si>
  <si>
    <t>JMS</t>
  </si>
  <si>
    <t>DEN - JMS</t>
  </si>
  <si>
    <t>DEN - KOA</t>
  </si>
  <si>
    <t>DEN - LAR</t>
  </si>
  <si>
    <t>DEN - LAS</t>
  </si>
  <si>
    <t>DEN - LAX</t>
  </si>
  <si>
    <t>DEN - LBB</t>
  </si>
  <si>
    <t>DEN - LBF</t>
  </si>
  <si>
    <t>DEN - LBL</t>
  </si>
  <si>
    <t>DEN - LFT</t>
  </si>
  <si>
    <t>DEN - LGA</t>
  </si>
  <si>
    <t>DEN - LGB</t>
  </si>
  <si>
    <t>LIH</t>
  </si>
  <si>
    <t>DEN - LIH</t>
  </si>
  <si>
    <t>DEN - LIT</t>
  </si>
  <si>
    <t>DEN - LNK</t>
  </si>
  <si>
    <t>DEN - LWS</t>
  </si>
  <si>
    <t>DEN - MAF</t>
  </si>
  <si>
    <t>DEN - MCI</t>
  </si>
  <si>
    <t>DEN - MCO</t>
  </si>
  <si>
    <t>DEN - MDT</t>
  </si>
  <si>
    <t>DEN - MDW</t>
  </si>
  <si>
    <t>DEN - MEM</t>
  </si>
  <si>
    <t>DEN - MFR</t>
  </si>
  <si>
    <t>DEN - MIA</t>
  </si>
  <si>
    <t>DEN - MKE</t>
  </si>
  <si>
    <t>DEN - MLI</t>
  </si>
  <si>
    <t>MMH</t>
  </si>
  <si>
    <t>DEN - MMH</t>
  </si>
  <si>
    <t>DEN - MOT</t>
  </si>
  <si>
    <t>MRY</t>
  </si>
  <si>
    <t>DEN - MRY</t>
  </si>
  <si>
    <t>DEN - MSN</t>
  </si>
  <si>
    <t>DEN - MSO</t>
  </si>
  <si>
    <t>DEN - MSP</t>
  </si>
  <si>
    <t>DEN - MSY</t>
  </si>
  <si>
    <t>DEN - MTJ</t>
  </si>
  <si>
    <t>DEN - MYR</t>
  </si>
  <si>
    <t>DEN - OAK</t>
  </si>
  <si>
    <t>DEN - OGG</t>
  </si>
  <si>
    <t>DEN - OKC</t>
  </si>
  <si>
    <t>DEN - OMA</t>
  </si>
  <si>
    <t>DEN - ONT</t>
  </si>
  <si>
    <t>DEN - ORD</t>
  </si>
  <si>
    <t>DEN - ORF</t>
  </si>
  <si>
    <t>OTH</t>
  </si>
  <si>
    <t>DEN - OTH</t>
  </si>
  <si>
    <t>DEN - PAE</t>
  </si>
  <si>
    <t>DEN - PBI</t>
  </si>
  <si>
    <t>DEN - PDX</t>
  </si>
  <si>
    <t>DEN - PHL</t>
  </si>
  <si>
    <t>DEN - PHX</t>
  </si>
  <si>
    <t>DEN - PIA</t>
  </si>
  <si>
    <t>DEN - PIR</t>
  </si>
  <si>
    <t>DEN - PIT</t>
  </si>
  <si>
    <t>DEN - PNS</t>
  </si>
  <si>
    <t>PRC</t>
  </si>
  <si>
    <t>DEN - PRC</t>
  </si>
  <si>
    <t>DEN - PSC</t>
  </si>
  <si>
    <t>DEN - PSP</t>
  </si>
  <si>
    <t>PUB</t>
  </si>
  <si>
    <t>DEN - PUB</t>
  </si>
  <si>
    <t>DEN - PVD</t>
  </si>
  <si>
    <t>DEN - PVU</t>
  </si>
  <si>
    <t>DEN - PWM</t>
  </si>
  <si>
    <t>DEN - RAP</t>
  </si>
  <si>
    <t>DEN - RDM</t>
  </si>
  <si>
    <t>DEN - RDU</t>
  </si>
  <si>
    <t>DEN - RIC</t>
  </si>
  <si>
    <t>RIW</t>
  </si>
  <si>
    <t>DEN - RIW</t>
  </si>
  <si>
    <t>RKS</t>
  </si>
  <si>
    <t>DEN - RKS</t>
  </si>
  <si>
    <t>DEN - RNO</t>
  </si>
  <si>
    <t>DEN - ROC</t>
  </si>
  <si>
    <t>DEN - RST</t>
  </si>
  <si>
    <t>DEN - RSW</t>
  </si>
  <si>
    <t>SAF</t>
  </si>
  <si>
    <t>DEN - SAF</t>
  </si>
  <si>
    <t>DEN - SAN</t>
  </si>
  <si>
    <t>DEN - SAT</t>
  </si>
  <si>
    <t>DEN - SAV</t>
  </si>
  <si>
    <t>DEN - SBA</t>
  </si>
  <si>
    <t>DEN - SBN</t>
  </si>
  <si>
    <t>SBP</t>
  </si>
  <si>
    <t>DEN - SBP</t>
  </si>
  <si>
    <t>DEN - SDF</t>
  </si>
  <si>
    <t>DEN - SEA</t>
  </si>
  <si>
    <t>DEN - SFO</t>
  </si>
  <si>
    <t>DEN - SGF</t>
  </si>
  <si>
    <t>DEN - SGU</t>
  </si>
  <si>
    <t>SHR</t>
  </si>
  <si>
    <t>DEN - SHR</t>
  </si>
  <si>
    <t>DEN - SHV</t>
  </si>
  <si>
    <t>DEN - SJC</t>
  </si>
  <si>
    <t>DEN - SLC</t>
  </si>
  <si>
    <t>SLN</t>
  </si>
  <si>
    <t>DEN - SLN</t>
  </si>
  <si>
    <t>DEN - SMF</t>
  </si>
  <si>
    <t>DEN - SNA</t>
  </si>
  <si>
    <t>DEN - SRQ</t>
  </si>
  <si>
    <t>DEN - STL</t>
  </si>
  <si>
    <t>DEN - STS</t>
  </si>
  <si>
    <t>SUN</t>
  </si>
  <si>
    <t>DEN - SUN</t>
  </si>
  <si>
    <t>SUX</t>
  </si>
  <si>
    <t>DEN - SUX</t>
  </si>
  <si>
    <t>DEN - SYR</t>
  </si>
  <si>
    <t>DEN - TPA</t>
  </si>
  <si>
    <t>DEN - TUL</t>
  </si>
  <si>
    <t>DEN - TUS</t>
  </si>
  <si>
    <t>DEN - TVC</t>
  </si>
  <si>
    <t>TWF</t>
  </si>
  <si>
    <t>DEN - TWF</t>
  </si>
  <si>
    <t>TYR</t>
  </si>
  <si>
    <t>DEN - TYR</t>
  </si>
  <si>
    <t>DEN - TYS</t>
  </si>
  <si>
    <t>DEN - VEL</t>
  </si>
  <si>
    <t>DEN - VPS</t>
  </si>
  <si>
    <t>WYS</t>
  </si>
  <si>
    <t>DEN - WYS</t>
  </si>
  <si>
    <t>DEN - XNA</t>
  </si>
  <si>
    <t>XWA</t>
  </si>
  <si>
    <t>DEN - XWA</t>
  </si>
  <si>
    <t>DFW - ABI</t>
  </si>
  <si>
    <t>DFW - ABQ</t>
  </si>
  <si>
    <t>DFW - ACT</t>
  </si>
  <si>
    <t>DFW - AEX</t>
  </si>
  <si>
    <t>DFW - AGS</t>
  </si>
  <si>
    <t>DFW - AMA</t>
  </si>
  <si>
    <t>DFW - ANC</t>
  </si>
  <si>
    <t>DFW - ASE</t>
  </si>
  <si>
    <t>DFW - ATL</t>
  </si>
  <si>
    <t>DFW - AUS</t>
  </si>
  <si>
    <t>DFW - AVL</t>
  </si>
  <si>
    <t>DFW - BDL</t>
  </si>
  <si>
    <t>DFW - BFL</t>
  </si>
  <si>
    <t>DFW - BGR</t>
  </si>
  <si>
    <t>DFW - BHM</t>
  </si>
  <si>
    <t>DFW - BIL</t>
  </si>
  <si>
    <t>DFW - BIS</t>
  </si>
  <si>
    <t>DFW - BKG</t>
  </si>
  <si>
    <t>DFW - BMI</t>
  </si>
  <si>
    <t>DFW - BNA</t>
  </si>
  <si>
    <t>DFW - BOI</t>
  </si>
  <si>
    <t>DFW - BOS</t>
  </si>
  <si>
    <t>DFW - BPT</t>
  </si>
  <si>
    <t>DFW - BRO</t>
  </si>
  <si>
    <t>DFW - BTR</t>
  </si>
  <si>
    <t>DFW - BTV</t>
  </si>
  <si>
    <t>DFW - BUF</t>
  </si>
  <si>
    <t>DFW - BUR</t>
  </si>
  <si>
    <t>DFW - BWI</t>
  </si>
  <si>
    <t>DFW - BZN</t>
  </si>
  <si>
    <t>DFW - CAE</t>
  </si>
  <si>
    <t>DFW - CHA</t>
  </si>
  <si>
    <t>DFW - CHS</t>
  </si>
  <si>
    <t>DFW - CID</t>
  </si>
  <si>
    <t>DFW - CLE</t>
  </si>
  <si>
    <t>DFW - CLL</t>
  </si>
  <si>
    <t>DFW - CLT</t>
  </si>
  <si>
    <t>DFW - CMH</t>
  </si>
  <si>
    <t>DFW - CMI</t>
  </si>
  <si>
    <t>DFW - COS</t>
  </si>
  <si>
    <t>DFW - COU</t>
  </si>
  <si>
    <t>DFW - CRP</t>
  </si>
  <si>
    <t>DFW - CSG</t>
  </si>
  <si>
    <t>DFW - CVG</t>
  </si>
  <si>
    <t>DFW - CYS</t>
  </si>
  <si>
    <t>DFW - DAB</t>
  </si>
  <si>
    <t>DFW - DAY</t>
  </si>
  <si>
    <t>DFW - DCA</t>
  </si>
  <si>
    <t>DFW - DEN</t>
  </si>
  <si>
    <t>DFW - DRO</t>
  </si>
  <si>
    <t>DRT</t>
  </si>
  <si>
    <t>DFW - DRT</t>
  </si>
  <si>
    <t>DFW - DSM</t>
  </si>
  <si>
    <t>DFW - DTW</t>
  </si>
  <si>
    <t>DFW - ECP</t>
  </si>
  <si>
    <t>DFW - EGE</t>
  </si>
  <si>
    <t>DFW - ELP</t>
  </si>
  <si>
    <t>DFW - EUG</t>
  </si>
  <si>
    <t>DFW - EVV</t>
  </si>
  <si>
    <t>DFW - EWR</t>
  </si>
  <si>
    <t>DFW - EYW</t>
  </si>
  <si>
    <t>DFW - FAI</t>
  </si>
  <si>
    <t>DFW - FAR</t>
  </si>
  <si>
    <t>DFW - FAT</t>
  </si>
  <si>
    <t>DFW - FAY</t>
  </si>
  <si>
    <t>DFW - FCA</t>
  </si>
  <si>
    <t>DFW - FLG</t>
  </si>
  <si>
    <t>DFW - FLL</t>
  </si>
  <si>
    <t>DFW - FSD</t>
  </si>
  <si>
    <t>DFW - FSM</t>
  </si>
  <si>
    <t>DFW - FWA</t>
  </si>
  <si>
    <t>GCK</t>
  </si>
  <si>
    <t>DFW - GCK</t>
  </si>
  <si>
    <t>DFW - GEG</t>
  </si>
  <si>
    <t>GGG</t>
  </si>
  <si>
    <t>DFW - GGG</t>
  </si>
  <si>
    <t>DFW - GJT</t>
  </si>
  <si>
    <t>DFW - GNV</t>
  </si>
  <si>
    <t>DFW - GPT</t>
  </si>
  <si>
    <t>DFW - GRI</t>
  </si>
  <si>
    <t>DFW - GRK</t>
  </si>
  <si>
    <t>DFW - GRR</t>
  </si>
  <si>
    <t>DFW - GSO</t>
  </si>
  <si>
    <t>DFW - GSP</t>
  </si>
  <si>
    <t>DFW - GUC</t>
  </si>
  <si>
    <t>DFW - HDN</t>
  </si>
  <si>
    <t>DFW - HHH</t>
  </si>
  <si>
    <t>DFW - HNL</t>
  </si>
  <si>
    <t>DFW - HOU</t>
  </si>
  <si>
    <t>DFW - HRL</t>
  </si>
  <si>
    <t>DFW - HSV</t>
  </si>
  <si>
    <t>DFW - IAD</t>
  </si>
  <si>
    <t>DFW - IAH</t>
  </si>
  <si>
    <t>DFW - ICT</t>
  </si>
  <si>
    <t>DFW - IDA</t>
  </si>
  <si>
    <t>DFW - ILM</t>
  </si>
  <si>
    <t>DFW - IND</t>
  </si>
  <si>
    <t>DFW - JAC</t>
  </si>
  <si>
    <t>DFW - JAN</t>
  </si>
  <si>
    <t>DFW - JAX</t>
  </si>
  <si>
    <t>DFW - JFK</t>
  </si>
  <si>
    <t>DFW - JLN</t>
  </si>
  <si>
    <t>DFW - KOA</t>
  </si>
  <si>
    <t>DFW - LAS</t>
  </si>
  <si>
    <t>LAW</t>
  </si>
  <si>
    <t>DFW - LAW</t>
  </si>
  <si>
    <t>DFW - LAX</t>
  </si>
  <si>
    <t>DFW - LBB</t>
  </si>
  <si>
    <t>LCH</t>
  </si>
  <si>
    <t>DFW - LCH</t>
  </si>
  <si>
    <t>DFW - LEX</t>
  </si>
  <si>
    <t>DFW - LFT</t>
  </si>
  <si>
    <t>DFW - LGA</t>
  </si>
  <si>
    <t>DFW - LGB</t>
  </si>
  <si>
    <t>DFW - LIH</t>
  </si>
  <si>
    <t>DFW - LIT</t>
  </si>
  <si>
    <t>LRD</t>
  </si>
  <si>
    <t>DFW - LRD</t>
  </si>
  <si>
    <t>DFW - MAF</t>
  </si>
  <si>
    <t>DFW - MCI</t>
  </si>
  <si>
    <t>DFW - MCO</t>
  </si>
  <si>
    <t>DFW - MDT</t>
  </si>
  <si>
    <t>DFW - MDW</t>
  </si>
  <si>
    <t>MEI</t>
  </si>
  <si>
    <t>DFW - MEI</t>
  </si>
  <si>
    <t>DFW - MEM</t>
  </si>
  <si>
    <t>DFW - MFE</t>
  </si>
  <si>
    <t>DFW - MGM</t>
  </si>
  <si>
    <t>MHK</t>
  </si>
  <si>
    <t>DFW - MHK</t>
  </si>
  <si>
    <t>DFW - MIA</t>
  </si>
  <si>
    <t>DFW - MKE</t>
  </si>
  <si>
    <t>DFW - MLB</t>
  </si>
  <si>
    <t>DFW - MLI</t>
  </si>
  <si>
    <t>DFW - MLU</t>
  </si>
  <si>
    <t>DFW - MOB</t>
  </si>
  <si>
    <t>DFW - MRY</t>
  </si>
  <si>
    <t>DFW - MSN</t>
  </si>
  <si>
    <t>DFW - MSO</t>
  </si>
  <si>
    <t>DFW - MSP</t>
  </si>
  <si>
    <t>DFW - MSY</t>
  </si>
  <si>
    <t>DFW - MTJ</t>
  </si>
  <si>
    <t>DFW - MYR</t>
  </si>
  <si>
    <t>DFW - OAK</t>
  </si>
  <si>
    <t>DFW - OGG</t>
  </si>
  <si>
    <t>DFW - OKC</t>
  </si>
  <si>
    <t>DFW - OMA</t>
  </si>
  <si>
    <t>DFW - ONT</t>
  </si>
  <si>
    <t>DFW - ORD</t>
  </si>
  <si>
    <t>DFW - ORF</t>
  </si>
  <si>
    <t>DFW - PBI</t>
  </si>
  <si>
    <t>DFW - PDX</t>
  </si>
  <si>
    <t>DFW - PHL</t>
  </si>
  <si>
    <t>DFW - PHX</t>
  </si>
  <si>
    <t>DFW - PIA</t>
  </si>
  <si>
    <t>PIB</t>
  </si>
  <si>
    <t>DFW - PIB</t>
  </si>
  <si>
    <t>DFW - PIT</t>
  </si>
  <si>
    <t>DFW - PNS</t>
  </si>
  <si>
    <t>DFW - PSP</t>
  </si>
  <si>
    <t>DFW - PWM</t>
  </si>
  <si>
    <t>DFW - RAP</t>
  </si>
  <si>
    <t>DFW - RDU</t>
  </si>
  <si>
    <t>DFW - RIC</t>
  </si>
  <si>
    <t>DFW - RNO</t>
  </si>
  <si>
    <t>ROW</t>
  </si>
  <si>
    <t>DFW - ROW</t>
  </si>
  <si>
    <t>DFW - RSW</t>
  </si>
  <si>
    <t>DFW - SAF</t>
  </si>
  <si>
    <t>DFW - SAN</t>
  </si>
  <si>
    <t>DFW - SAT</t>
  </si>
  <si>
    <t>DFW - SAV</t>
  </si>
  <si>
    <t>DFW - SBA</t>
  </si>
  <si>
    <t>DFW - SBN</t>
  </si>
  <si>
    <t>DFW - SBP</t>
  </si>
  <si>
    <t>DFW - SDF</t>
  </si>
  <si>
    <t>DFW - SEA</t>
  </si>
  <si>
    <t>DFW - SFO</t>
  </si>
  <si>
    <t>DFW - SGF</t>
  </si>
  <si>
    <t>DFW - SGU</t>
  </si>
  <si>
    <t>DFW - SHV</t>
  </si>
  <si>
    <t>DFW - SJC</t>
  </si>
  <si>
    <t>SJT</t>
  </si>
  <si>
    <t>DFW - SJT</t>
  </si>
  <si>
    <t>DFW - SJU</t>
  </si>
  <si>
    <t>DFW - SLC</t>
  </si>
  <si>
    <t>DFW - SMF</t>
  </si>
  <si>
    <t>DFW - SNA</t>
  </si>
  <si>
    <t>DFW - SPI</t>
  </si>
  <si>
    <t>SPS</t>
  </si>
  <si>
    <t>DFW - SPS</t>
  </si>
  <si>
    <t>DFW - SRQ</t>
  </si>
  <si>
    <t>DFW - STL</t>
  </si>
  <si>
    <t>DFW - STS</t>
  </si>
  <si>
    <t>DFW - STT</t>
  </si>
  <si>
    <t>DFW - SUX</t>
  </si>
  <si>
    <t>SWO</t>
  </si>
  <si>
    <t>DFW - SWO</t>
  </si>
  <si>
    <t>DFW - SYR</t>
  </si>
  <si>
    <t>DFW - TLH</t>
  </si>
  <si>
    <t>DFW - TPA</t>
  </si>
  <si>
    <t>DFW - TRI</t>
  </si>
  <si>
    <t>DFW - TUL</t>
  </si>
  <si>
    <t>DFW - TUS</t>
  </si>
  <si>
    <t>DFW - TVC</t>
  </si>
  <si>
    <t>TXK</t>
  </si>
  <si>
    <t>DFW - TXK</t>
  </si>
  <si>
    <t>DFW - TYR</t>
  </si>
  <si>
    <t>DFW - TYS</t>
  </si>
  <si>
    <t>DFW - VPS</t>
  </si>
  <si>
    <t>DFW - XNA</t>
  </si>
  <si>
    <t>YUM</t>
  </si>
  <si>
    <t>DFW - YUM</t>
  </si>
  <si>
    <t>DHN - ATL</t>
  </si>
  <si>
    <t>DIK - DEN</t>
  </si>
  <si>
    <t>DLG - AKN</t>
  </si>
  <si>
    <t>DLG - ANC</t>
  </si>
  <si>
    <t>DLH - LNK</t>
  </si>
  <si>
    <t>DLH - MSP</t>
  </si>
  <si>
    <t>DLH - ORD</t>
  </si>
  <si>
    <t>DRO - CPR</t>
  </si>
  <si>
    <t>DRO - DEN</t>
  </si>
  <si>
    <t>DRO - DFW</t>
  </si>
  <si>
    <t>DRO - IAH</t>
  </si>
  <si>
    <t>DRO - LAS</t>
  </si>
  <si>
    <t>DRO - LAX</t>
  </si>
  <si>
    <t>DRO - ORD</t>
  </si>
  <si>
    <t>DRO - PHX</t>
  </si>
  <si>
    <t>DRO - SLC</t>
  </si>
  <si>
    <t>DRT - DFW</t>
  </si>
  <si>
    <t>DSM - ATL</t>
  </si>
  <si>
    <t>DSM - AUS</t>
  </si>
  <si>
    <t>DSM - AZA</t>
  </si>
  <si>
    <t>DSM - BNA</t>
  </si>
  <si>
    <t>DSM - CID</t>
  </si>
  <si>
    <t>DSM - CLT</t>
  </si>
  <si>
    <t>DSM - DCA</t>
  </si>
  <si>
    <t>DSM - DEN</t>
  </si>
  <si>
    <t>DSM - DFW</t>
  </si>
  <si>
    <t>DSM - DTW</t>
  </si>
  <si>
    <t>DSM - EWR</t>
  </si>
  <si>
    <t>DSM - FLL</t>
  </si>
  <si>
    <t>DSM - HOU</t>
  </si>
  <si>
    <t>DSM - IAH</t>
  </si>
  <si>
    <t>DSM - LAS</t>
  </si>
  <si>
    <t>DSM - LAX</t>
  </si>
  <si>
    <t>DSM - LGA</t>
  </si>
  <si>
    <t>DSM - LIT</t>
  </si>
  <si>
    <t>DSM - MCO</t>
  </si>
  <si>
    <t>DSM - MDW</t>
  </si>
  <si>
    <t>DSM - MEM</t>
  </si>
  <si>
    <t>DSM - MIA</t>
  </si>
  <si>
    <t>DSM - MSP</t>
  </si>
  <si>
    <t>DSM - ORD</t>
  </si>
  <si>
    <t>DSM - PDX</t>
  </si>
  <si>
    <t>DSM - PGD</t>
  </si>
  <si>
    <t>DSM - PHL</t>
  </si>
  <si>
    <t>DSM - PHX</t>
  </si>
  <si>
    <t>DSM - PIA</t>
  </si>
  <si>
    <t>DSM - PIE</t>
  </si>
  <si>
    <t>DSM - PSP</t>
  </si>
  <si>
    <t>DSM - SAN</t>
  </si>
  <si>
    <t>DSM - SFB</t>
  </si>
  <si>
    <t>DSM - SFO</t>
  </si>
  <si>
    <t>DSM - SLC</t>
  </si>
  <si>
    <t>DSM - SNA</t>
  </si>
  <si>
    <t>DSM - SRQ</t>
  </si>
  <si>
    <t>DSM - STL</t>
  </si>
  <si>
    <t>DSM - VPS</t>
  </si>
  <si>
    <t>DTW - ABE</t>
  </si>
  <si>
    <t>DTW - ACY</t>
  </si>
  <si>
    <t>DTW - ALB</t>
  </si>
  <si>
    <t>DTW - ANC</t>
  </si>
  <si>
    <t>DTW - APN</t>
  </si>
  <si>
    <t>DTW - ATL</t>
  </si>
  <si>
    <t>DTW - ATW</t>
  </si>
  <si>
    <t>DTW - AUS</t>
  </si>
  <si>
    <t>DTW - AVL</t>
  </si>
  <si>
    <t>DTW - AVP</t>
  </si>
  <si>
    <t>DTW - AZO</t>
  </si>
  <si>
    <t>DTW - BDL</t>
  </si>
  <si>
    <t>DTW - BGM</t>
  </si>
  <si>
    <t>DTW - BGR</t>
  </si>
  <si>
    <t>DTW - BHM</t>
  </si>
  <si>
    <t>DTW - BMI</t>
  </si>
  <si>
    <t>DTW - BNA</t>
  </si>
  <si>
    <t>DTW - BOS</t>
  </si>
  <si>
    <t>DTW - BTV</t>
  </si>
  <si>
    <t>DTW - BUF</t>
  </si>
  <si>
    <t>DTW - BWI</t>
  </si>
  <si>
    <t>DTW - BZN</t>
  </si>
  <si>
    <t>DTW - CAK</t>
  </si>
  <si>
    <t>DTW - CHA</t>
  </si>
  <si>
    <t>DTW - CHS</t>
  </si>
  <si>
    <t>DTW - CID</t>
  </si>
  <si>
    <t>DTW - CIU</t>
  </si>
  <si>
    <t>DTW - CLE</t>
  </si>
  <si>
    <t>DTW - CLT</t>
  </si>
  <si>
    <t>DTW - CMH</t>
  </si>
  <si>
    <t>DTW - CVG</t>
  </si>
  <si>
    <t>DTW - CWA</t>
  </si>
  <si>
    <t>DTW - DAB</t>
  </si>
  <si>
    <t>DTW - DAL</t>
  </si>
  <si>
    <t>DTW - DAY</t>
  </si>
  <si>
    <t>DTW - DCA</t>
  </si>
  <si>
    <t>DTW - DEN</t>
  </si>
  <si>
    <t>DTW - DFW</t>
  </si>
  <si>
    <t>DTW - DSM</t>
  </si>
  <si>
    <t>DTW - ELM</t>
  </si>
  <si>
    <t>DTW - ERI</t>
  </si>
  <si>
    <t>ESC</t>
  </si>
  <si>
    <t>DTW - ESC</t>
  </si>
  <si>
    <t>DTW - EVV</t>
  </si>
  <si>
    <t>DTW - EWR</t>
  </si>
  <si>
    <t>DTW - FLL</t>
  </si>
  <si>
    <t>DTW - FWA</t>
  </si>
  <si>
    <t>DTW - GRB</t>
  </si>
  <si>
    <t>DTW - GRR</t>
  </si>
  <si>
    <t>DTW - GSO</t>
  </si>
  <si>
    <t>DTW - GSP</t>
  </si>
  <si>
    <t>DTW - HNL</t>
  </si>
  <si>
    <t>DTW - HOU</t>
  </si>
  <si>
    <t>DTW - HPN</t>
  </si>
  <si>
    <t>DTW - HSV</t>
  </si>
  <si>
    <t>DTW - IAD</t>
  </si>
  <si>
    <t>DTW - IAH</t>
  </si>
  <si>
    <t>IMT</t>
  </si>
  <si>
    <t>DTW - IMT</t>
  </si>
  <si>
    <t>DTW - IND</t>
  </si>
  <si>
    <t>DTW - ISP</t>
  </si>
  <si>
    <t>DTW - ITH</t>
  </si>
  <si>
    <t>DTW - JAC</t>
  </si>
  <si>
    <t>DTW - JAX</t>
  </si>
  <si>
    <t>DTW - JFK</t>
  </si>
  <si>
    <t>DTW - LAN</t>
  </si>
  <si>
    <t>DTW - LAS</t>
  </si>
  <si>
    <t>DTW - LAX</t>
  </si>
  <si>
    <t>DTW - LEX</t>
  </si>
  <si>
    <t>DTW - LGA</t>
  </si>
  <si>
    <t>DTW - LIT</t>
  </si>
  <si>
    <t>DTW - LNK</t>
  </si>
  <si>
    <t>LSE</t>
  </si>
  <si>
    <t>DTW - LSE</t>
  </si>
  <si>
    <t>DTW - MBS</t>
  </si>
  <si>
    <t>DTW - MCI</t>
  </si>
  <si>
    <t>DTW - MCO</t>
  </si>
  <si>
    <t>DTW - MDT</t>
  </si>
  <si>
    <t>DTW - MDW</t>
  </si>
  <si>
    <t>DTW - MEM</t>
  </si>
  <si>
    <t>DTW - MHT</t>
  </si>
  <si>
    <t>DTW - MIA</t>
  </si>
  <si>
    <t>DTW - MKE</t>
  </si>
  <si>
    <t>DTW - MLI</t>
  </si>
  <si>
    <t>MQT</t>
  </si>
  <si>
    <t>DTW - MQT</t>
  </si>
  <si>
    <t>DTW - MSN</t>
  </si>
  <si>
    <t>DTW - MSP</t>
  </si>
  <si>
    <t>DTW - MSY</t>
  </si>
  <si>
    <t>DTW - MYR</t>
  </si>
  <si>
    <t>DTW - OAK</t>
  </si>
  <si>
    <t>DTW - OKC</t>
  </si>
  <si>
    <t>DTW - OMA</t>
  </si>
  <si>
    <t>DTW - ORD</t>
  </si>
  <si>
    <t>DTW - ORF</t>
  </si>
  <si>
    <t>DTW - ORH</t>
  </si>
  <si>
    <t>DTW - PBI</t>
  </si>
  <si>
    <t>DTW - PDX</t>
  </si>
  <si>
    <t>DTW - PHL</t>
  </si>
  <si>
    <t>DTW - PHX</t>
  </si>
  <si>
    <t>DTW - PIA</t>
  </si>
  <si>
    <t>DTW - PIT</t>
  </si>
  <si>
    <t>DTW - PLN</t>
  </si>
  <si>
    <t>DTW - PVD</t>
  </si>
  <si>
    <t>DTW - PWM</t>
  </si>
  <si>
    <t>DTW - RAP</t>
  </si>
  <si>
    <t>DTW - RDU</t>
  </si>
  <si>
    <t>DTW - RIC</t>
  </si>
  <si>
    <t>DTW - ROC</t>
  </si>
  <si>
    <t>DTW - RSW</t>
  </si>
  <si>
    <t>DTW - SAN</t>
  </si>
  <si>
    <t>DTW - SAT</t>
  </si>
  <si>
    <t>DTW - SAV</t>
  </si>
  <si>
    <t>DTW - SBN</t>
  </si>
  <si>
    <t>DTW - SCE</t>
  </si>
  <si>
    <t>DTW - SDF</t>
  </si>
  <si>
    <t>DTW - SEA</t>
  </si>
  <si>
    <t>DTW - SFO</t>
  </si>
  <si>
    <t>DTW - SJC</t>
  </si>
  <si>
    <t>DTW - SJU</t>
  </si>
  <si>
    <t>DTW - SLC</t>
  </si>
  <si>
    <t>DTW - SMF</t>
  </si>
  <si>
    <t>DTW - SNA</t>
  </si>
  <si>
    <t>DTW - SRQ</t>
  </si>
  <si>
    <t>DTW - STL</t>
  </si>
  <si>
    <t>DTW - SWF</t>
  </si>
  <si>
    <t>DTW - SYR</t>
  </si>
  <si>
    <t>DTW - TPA</t>
  </si>
  <si>
    <t>DTW - TTN</t>
  </si>
  <si>
    <t>DTW - TUL</t>
  </si>
  <si>
    <t>DTW - TUS</t>
  </si>
  <si>
    <t>DTW - TVC</t>
  </si>
  <si>
    <t>DTW - TYS</t>
  </si>
  <si>
    <t>DUT - ANC</t>
  </si>
  <si>
    <t>DVL - DEN</t>
  </si>
  <si>
    <t>DVL - JMS</t>
  </si>
  <si>
    <t>EAR - DEN</t>
  </si>
  <si>
    <t>EAR - LBF</t>
  </si>
  <si>
    <t>EAR - ORD</t>
  </si>
  <si>
    <t>EAT</t>
  </si>
  <si>
    <t>EAT - SEA</t>
  </si>
  <si>
    <t>YKM</t>
  </si>
  <si>
    <t>EAT - YKM</t>
  </si>
  <si>
    <t>EAU - CMX</t>
  </si>
  <si>
    <t>EAU - ORD</t>
  </si>
  <si>
    <t>ECP - ATL</t>
  </si>
  <si>
    <t>ECP - AUS</t>
  </si>
  <si>
    <t>ECP - BNA</t>
  </si>
  <si>
    <t>ECP - BWI</t>
  </si>
  <si>
    <t>ECP - CLT</t>
  </si>
  <si>
    <t>ECP - CMH</t>
  </si>
  <si>
    <t>ECP - DAL</t>
  </si>
  <si>
    <t>ECP - DCA</t>
  </si>
  <si>
    <t>ECP - DEN</t>
  </si>
  <si>
    <t>ECP - DFW</t>
  </si>
  <si>
    <t>ECP - HOU</t>
  </si>
  <si>
    <t>ECP - IAD</t>
  </si>
  <si>
    <t>ECP - IAH</t>
  </si>
  <si>
    <t>ECP - IND</t>
  </si>
  <si>
    <t>ECP - MCI</t>
  </si>
  <si>
    <t>ECP - MDW</t>
  </si>
  <si>
    <t>ECP - ORD</t>
  </si>
  <si>
    <t>ECP - PHL</t>
  </si>
  <si>
    <t>ECP - STL</t>
  </si>
  <si>
    <t>EGE - ASE</t>
  </si>
  <si>
    <t>EGE - ATL</t>
  </si>
  <si>
    <t>EGE - DEN</t>
  </si>
  <si>
    <t>EGE - DFW</t>
  </si>
  <si>
    <t>EGE - EWR</t>
  </si>
  <si>
    <t>EGE - IAD</t>
  </si>
  <si>
    <t>EGE - IAH</t>
  </si>
  <si>
    <t>EGE - JFK</t>
  </si>
  <si>
    <t>EGE - LAX</t>
  </si>
  <si>
    <t>EGE - LGA</t>
  </si>
  <si>
    <t>EGE - MIA</t>
  </si>
  <si>
    <t>EGE - ORD</t>
  </si>
  <si>
    <t>EGE - PHL</t>
  </si>
  <si>
    <t>EGE - PHX</t>
  </si>
  <si>
    <t>EGE - SFO</t>
  </si>
  <si>
    <t>EGE - SLC</t>
  </si>
  <si>
    <t>EKO</t>
  </si>
  <si>
    <t>EKO - SLC</t>
  </si>
  <si>
    <t>ELM - ATL</t>
  </si>
  <si>
    <t>ELM - DTW</t>
  </si>
  <si>
    <t>ELM - EWR</t>
  </si>
  <si>
    <t>ELM - IAD</t>
  </si>
  <si>
    <t>IAG</t>
  </si>
  <si>
    <t>ELM - IAG</t>
  </si>
  <si>
    <t>ELM - PGD</t>
  </si>
  <si>
    <t>ELM - PIE</t>
  </si>
  <si>
    <t>ELM - SFB</t>
  </si>
  <si>
    <t>ELP - ATL</t>
  </si>
  <si>
    <t>ELP - AUS</t>
  </si>
  <si>
    <t>ELP - CLT</t>
  </si>
  <si>
    <t>ELP - DAL</t>
  </si>
  <si>
    <t>ELP - DEN</t>
  </si>
  <si>
    <t>ELP - DFW</t>
  </si>
  <si>
    <t>ELP - HOU</t>
  </si>
  <si>
    <t>ELP - IAH</t>
  </si>
  <si>
    <t>ELP - LAS</t>
  </si>
  <si>
    <t>ELP - LAX</t>
  </si>
  <si>
    <t>ELP - MCO</t>
  </si>
  <si>
    <t>ELP - OKC</t>
  </si>
  <si>
    <t>ELP - ORD</t>
  </si>
  <si>
    <t>ELP - PHX</t>
  </si>
  <si>
    <t>ELP - SAN</t>
  </si>
  <si>
    <t>ELP - SAT</t>
  </si>
  <si>
    <t>ELP - SEA</t>
  </si>
  <si>
    <t>ELP - SFB</t>
  </si>
  <si>
    <t>ELP - SJC</t>
  </si>
  <si>
    <t>ELP - SLC</t>
  </si>
  <si>
    <t>ERI - CLT</t>
  </si>
  <si>
    <t>ERI - DTW</t>
  </si>
  <si>
    <t>ERI - IAD</t>
  </si>
  <si>
    <t>ERI - ITH</t>
  </si>
  <si>
    <t>ERI - ORD</t>
  </si>
  <si>
    <t>ERI - PHL</t>
  </si>
  <si>
    <t>ESC - DTW</t>
  </si>
  <si>
    <t>ESC - MQT</t>
  </si>
  <si>
    <t>ESC - MSP</t>
  </si>
  <si>
    <t>EUG - AZA</t>
  </si>
  <si>
    <t>EUG - CMH</t>
  </si>
  <si>
    <t>EUG - DEN</t>
  </si>
  <si>
    <t>EUG - DFW</t>
  </si>
  <si>
    <t>EUG - LAS</t>
  </si>
  <si>
    <t>EUG - LAX</t>
  </si>
  <si>
    <t>EUG - OAK</t>
  </si>
  <si>
    <t>EUG - ORD</t>
  </si>
  <si>
    <t>EUG - OTH</t>
  </si>
  <si>
    <t>EUG - PDX</t>
  </si>
  <si>
    <t>EUG - PHX</t>
  </si>
  <si>
    <t>EUG - PSP</t>
  </si>
  <si>
    <t>EUG - SAN</t>
  </si>
  <si>
    <t>EUG - SEA</t>
  </si>
  <si>
    <t>EUG - SFO</t>
  </si>
  <si>
    <t>EUG - SJC</t>
  </si>
  <si>
    <t>EUG - SLC</t>
  </si>
  <si>
    <t>EUG - SNA</t>
  </si>
  <si>
    <t>EVV - ATL</t>
  </si>
  <si>
    <t>EVV - CLT</t>
  </si>
  <si>
    <t>EVV - DFW</t>
  </si>
  <si>
    <t>EVV - DTW</t>
  </si>
  <si>
    <t>EVV - ORD</t>
  </si>
  <si>
    <t>EVV - SFB</t>
  </si>
  <si>
    <t>EVV - VPS</t>
  </si>
  <si>
    <t>EWN - ATL</t>
  </si>
  <si>
    <t>EWN - CLT</t>
  </si>
  <si>
    <t>EWN - DCA</t>
  </si>
  <si>
    <t>EWR - ACK</t>
  </si>
  <si>
    <t>EWR - ALB</t>
  </si>
  <si>
    <t>EWR - ANC</t>
  </si>
  <si>
    <t>EWR - ATL</t>
  </si>
  <si>
    <t>EWR - AUS</t>
  </si>
  <si>
    <t>EWR - AVL</t>
  </si>
  <si>
    <t>EWR - AVP</t>
  </si>
  <si>
    <t>EWR - BDL</t>
  </si>
  <si>
    <t>EWR - BGR</t>
  </si>
  <si>
    <t>EWR - BNA</t>
  </si>
  <si>
    <t>EWR - BOS</t>
  </si>
  <si>
    <t>EWR - BQN</t>
  </si>
  <si>
    <t>EWR - BTV</t>
  </si>
  <si>
    <t>EWR - BUF</t>
  </si>
  <si>
    <t>EWR - BWI</t>
  </si>
  <si>
    <t>EWR - BZN</t>
  </si>
  <si>
    <t>EWR - CAK</t>
  </si>
  <si>
    <t>EWR - CHA</t>
  </si>
  <si>
    <t>EWR - CHS</t>
  </si>
  <si>
    <t>EWR - CLE</t>
  </si>
  <si>
    <t>EWR - CLT</t>
  </si>
  <si>
    <t>EWR - CMH</t>
  </si>
  <si>
    <t>EWR - CVG</t>
  </si>
  <si>
    <t>EWR - DAY</t>
  </si>
  <si>
    <t>EWR - DCA</t>
  </si>
  <si>
    <t>EWR - DEN</t>
  </si>
  <si>
    <t>EWR - DFW</t>
  </si>
  <si>
    <t>EWR - DSM</t>
  </si>
  <si>
    <t>EWR - DTW</t>
  </si>
  <si>
    <t>EWR - EGE</t>
  </si>
  <si>
    <t>EWR - ELM</t>
  </si>
  <si>
    <t>EWR - EYW</t>
  </si>
  <si>
    <t>EWR - FLL</t>
  </si>
  <si>
    <t>EWR - FWA</t>
  </si>
  <si>
    <t>EWR - GRR</t>
  </si>
  <si>
    <t>EWR - GSO</t>
  </si>
  <si>
    <t>EWR - GSP</t>
  </si>
  <si>
    <t>EWR - HDN</t>
  </si>
  <si>
    <t>EWR - HHH</t>
  </si>
  <si>
    <t>EWR - HNL</t>
  </si>
  <si>
    <t>EWR - IAD</t>
  </si>
  <si>
    <t>EWR - IAH</t>
  </si>
  <si>
    <t>EWR - ILM</t>
  </si>
  <si>
    <t>EWR - IND</t>
  </si>
  <si>
    <t>EWR - ITH</t>
  </si>
  <si>
    <t>EWR - JAC</t>
  </si>
  <si>
    <t>EWR - JAX</t>
  </si>
  <si>
    <t>EWR - LAS</t>
  </si>
  <si>
    <t>EWR - LAX</t>
  </si>
  <si>
    <t>EWR - LEX</t>
  </si>
  <si>
    <t>EWR - MCI</t>
  </si>
  <si>
    <t>EWR - MCO</t>
  </si>
  <si>
    <t>EWR - MDT</t>
  </si>
  <si>
    <t>EWR - MDW</t>
  </si>
  <si>
    <t>EWR - MEM</t>
  </si>
  <si>
    <t>EWR - MHT</t>
  </si>
  <si>
    <t>EWR - MIA</t>
  </si>
  <si>
    <t>EWR - MKE</t>
  </si>
  <si>
    <t>EWR - MSN</t>
  </si>
  <si>
    <t>EWR - MSP</t>
  </si>
  <si>
    <t>EWR - MSY</t>
  </si>
  <si>
    <t>EWR - MTJ</t>
  </si>
  <si>
    <t>EWR - MVY</t>
  </si>
  <si>
    <t>EWR - MYR</t>
  </si>
  <si>
    <t>EWR - OAK</t>
  </si>
  <si>
    <t>EWR - OGG</t>
  </si>
  <si>
    <t>EWR - OKC</t>
  </si>
  <si>
    <t>EWR - OMA</t>
  </si>
  <si>
    <t>EWR - ORD</t>
  </si>
  <si>
    <t>EWR - ORF</t>
  </si>
  <si>
    <t>EWR - PBI</t>
  </si>
  <si>
    <t>EWR - PDX</t>
  </si>
  <si>
    <t>EWR - PHL</t>
  </si>
  <si>
    <t>EWR - PHX</t>
  </si>
  <si>
    <t>EWR - PIT</t>
  </si>
  <si>
    <t>EWR - PNS</t>
  </si>
  <si>
    <t>PQI</t>
  </si>
  <si>
    <t>EWR - PQI</t>
  </si>
  <si>
    <t>EWR - PSP</t>
  </si>
  <si>
    <t>EWR - PVD</t>
  </si>
  <si>
    <t>EWR - PWM</t>
  </si>
  <si>
    <t>EWR - RAP</t>
  </si>
  <si>
    <t>EWR - RDU</t>
  </si>
  <si>
    <t>EWR - RIC</t>
  </si>
  <si>
    <t>EWR - RNO</t>
  </si>
  <si>
    <t>EWR - ROC</t>
  </si>
  <si>
    <t>EWR - RSW</t>
  </si>
  <si>
    <t>EWR - SAN</t>
  </si>
  <si>
    <t>EWR - SAT</t>
  </si>
  <si>
    <t>EWR - SAV</t>
  </si>
  <si>
    <t>EWR - SBN</t>
  </si>
  <si>
    <t>EWR - SCE</t>
  </si>
  <si>
    <t>EWR - SDF</t>
  </si>
  <si>
    <t>EWR - SEA</t>
  </si>
  <si>
    <t>EWR - SFO</t>
  </si>
  <si>
    <t>EWR - SJC</t>
  </si>
  <si>
    <t>EWR - SJU</t>
  </si>
  <si>
    <t>EWR - SLC</t>
  </si>
  <si>
    <t>EWR - SMF</t>
  </si>
  <si>
    <t>EWR - SNA</t>
  </si>
  <si>
    <t>EWR - SRQ</t>
  </si>
  <si>
    <t>EWR - STL</t>
  </si>
  <si>
    <t>EWR - STT</t>
  </si>
  <si>
    <t>EWR - SYR</t>
  </si>
  <si>
    <t>EWR - TPA</t>
  </si>
  <si>
    <t>EWR - TVC</t>
  </si>
  <si>
    <t>EWR - TYS</t>
  </si>
  <si>
    <t>EWR - VPS</t>
  </si>
  <si>
    <t>EWR - XNA</t>
  </si>
  <si>
    <t>EYW - ATL</t>
  </si>
  <si>
    <t>EYW - AVL</t>
  </si>
  <si>
    <t>EYW - BNA</t>
  </si>
  <si>
    <t>EYW - BOS</t>
  </si>
  <si>
    <t>EYW - CLT</t>
  </si>
  <si>
    <t>EYW - CVG</t>
  </si>
  <si>
    <t>EYW - DCA</t>
  </si>
  <si>
    <t>EYW - DFW</t>
  </si>
  <si>
    <t>EYW - EWR</t>
  </si>
  <si>
    <t>EYW - IAD</t>
  </si>
  <si>
    <t>EYW - IAH</t>
  </si>
  <si>
    <t>EYW - IND</t>
  </si>
  <si>
    <t>EYW - JFK</t>
  </si>
  <si>
    <t>EYW - LGA</t>
  </si>
  <si>
    <t>EYW - MCO</t>
  </si>
  <si>
    <t>EYW - MIA</t>
  </si>
  <si>
    <t>EYW - ORD</t>
  </si>
  <si>
    <t>EYW - PHL</t>
  </si>
  <si>
    <t>EYW - PIE</t>
  </si>
  <si>
    <t>EYW - PIT</t>
  </si>
  <si>
    <t>EYW - RSW</t>
  </si>
  <si>
    <t>EYW - SFB</t>
  </si>
  <si>
    <t>EYW - TPA</t>
  </si>
  <si>
    <t>FAI - ANC</t>
  </si>
  <si>
    <t>FAI - DEN</t>
  </si>
  <si>
    <t>FAI - DFW</t>
  </si>
  <si>
    <t>FAI - MSP</t>
  </si>
  <si>
    <t>FAI - ORD</t>
  </si>
  <si>
    <t>FAI - SCC</t>
  </si>
  <si>
    <t>FAI - SEA</t>
  </si>
  <si>
    <t>FAI - SFO</t>
  </si>
  <si>
    <t>FAI - SLC</t>
  </si>
  <si>
    <t>FAR - ATL</t>
  </si>
  <si>
    <t>FAR - AZA</t>
  </si>
  <si>
    <t>FAR - BNA</t>
  </si>
  <si>
    <t>FAR - DEN</t>
  </si>
  <si>
    <t>FAR - DFW</t>
  </si>
  <si>
    <t>FAR - GFK</t>
  </si>
  <si>
    <t>INL</t>
  </si>
  <si>
    <t>FAR - INL</t>
  </si>
  <si>
    <t>FAR - JMS</t>
  </si>
  <si>
    <t>FAR - LAS</t>
  </si>
  <si>
    <t>FAR - LAX</t>
  </si>
  <si>
    <t>FAR - MCO</t>
  </si>
  <si>
    <t>FAR - MSP</t>
  </si>
  <si>
    <t>FAR - ORD</t>
  </si>
  <si>
    <t>FAR - PHX</t>
  </si>
  <si>
    <t>FAR - PIE</t>
  </si>
  <si>
    <t>FAR - SFB</t>
  </si>
  <si>
    <t>FAT - DEN</t>
  </si>
  <si>
    <t>FAT - DFW</t>
  </si>
  <si>
    <t>FAT - LAS</t>
  </si>
  <si>
    <t>FAT - LAX</t>
  </si>
  <si>
    <t>FAT - ORD</t>
  </si>
  <si>
    <t>FAT - PDX</t>
  </si>
  <si>
    <t>FAT - PHX</t>
  </si>
  <si>
    <t>FAT - SAN</t>
  </si>
  <si>
    <t>FAT - SEA</t>
  </si>
  <si>
    <t>FAT - SFO</t>
  </si>
  <si>
    <t>FAT - SLC</t>
  </si>
  <si>
    <t>FAY - ATL</t>
  </si>
  <si>
    <t>FAY - CLT</t>
  </si>
  <si>
    <t>FAY - DFW</t>
  </si>
  <si>
    <t>FAY - IAD</t>
  </si>
  <si>
    <t>FCA - ATL</t>
  </si>
  <si>
    <t>FCA - AZA</t>
  </si>
  <si>
    <t>FCA - CLT</t>
  </si>
  <si>
    <t>FCA - DEN</t>
  </si>
  <si>
    <t>FCA - DFW</t>
  </si>
  <si>
    <t>FCA - HLN</t>
  </si>
  <si>
    <t>FCA - IAH</t>
  </si>
  <si>
    <t>FCA - JFK</t>
  </si>
  <si>
    <t>FCA - LAS</t>
  </si>
  <si>
    <t>FCA - LAX</t>
  </si>
  <si>
    <t>FCA - LGA</t>
  </si>
  <si>
    <t>FCA - MSP</t>
  </si>
  <si>
    <t>FCA - OAK</t>
  </si>
  <si>
    <t>FCA - ORD</t>
  </si>
  <si>
    <t>FCA - PDX</t>
  </si>
  <si>
    <t>FCA - SAN</t>
  </si>
  <si>
    <t>FCA - SEA</t>
  </si>
  <si>
    <t>FCA - SFO</t>
  </si>
  <si>
    <t>FCA - SLC</t>
  </si>
  <si>
    <t>FCA - SNA</t>
  </si>
  <si>
    <t>FLG - DEN</t>
  </si>
  <si>
    <t>FLG - DFW</t>
  </si>
  <si>
    <t>FLG - LAX</t>
  </si>
  <si>
    <t>FLG - PHX</t>
  </si>
  <si>
    <t>FLL - ABE</t>
  </si>
  <si>
    <t>FLL - ACY</t>
  </si>
  <si>
    <t>FLL - ALB</t>
  </si>
  <si>
    <t>FLL - ATL</t>
  </si>
  <si>
    <t>FLL - ATW</t>
  </si>
  <si>
    <t>FLL - AUS</t>
  </si>
  <si>
    <t>FLL - AVL</t>
  </si>
  <si>
    <t>FLL - BDL</t>
  </si>
  <si>
    <t>FLL - BGR</t>
  </si>
  <si>
    <t>FLL - BHM</t>
  </si>
  <si>
    <t>FLL - BLV</t>
  </si>
  <si>
    <t>FLL - BNA</t>
  </si>
  <si>
    <t>FLL - BOS</t>
  </si>
  <si>
    <t>FLL - BQN</t>
  </si>
  <si>
    <t>FLL - BUF</t>
  </si>
  <si>
    <t>FLL - BWI</t>
  </si>
  <si>
    <t>FLL - BZN</t>
  </si>
  <si>
    <t>FLL - CAK</t>
  </si>
  <si>
    <t>FLL - CHS</t>
  </si>
  <si>
    <t>FLL - CLE</t>
  </si>
  <si>
    <t>FLL - CLT</t>
  </si>
  <si>
    <t>FLL - CMH</t>
  </si>
  <si>
    <t>FLL - CVG</t>
  </si>
  <si>
    <t>FLL - DAL</t>
  </si>
  <si>
    <t>FLL - DCA</t>
  </si>
  <si>
    <t>FLL - DEN</t>
  </si>
  <si>
    <t>FLL - DFW</t>
  </si>
  <si>
    <t>FLL - DSM</t>
  </si>
  <si>
    <t>FLL - DTW</t>
  </si>
  <si>
    <t>FLL - EWR</t>
  </si>
  <si>
    <t>FLL - FNT</t>
  </si>
  <si>
    <t>FLL - FSD</t>
  </si>
  <si>
    <t>FLL - GRB</t>
  </si>
  <si>
    <t>FLL - GRR</t>
  </si>
  <si>
    <t>FLL - GSO</t>
  </si>
  <si>
    <t>FLL - GSP</t>
  </si>
  <si>
    <t>FLL - HDN</t>
  </si>
  <si>
    <t>FLL - HOU</t>
  </si>
  <si>
    <t>FLL - HPN</t>
  </si>
  <si>
    <t>FLL - IAD</t>
  </si>
  <si>
    <t>FLL - IAG</t>
  </si>
  <si>
    <t>FLL - IAH</t>
  </si>
  <si>
    <t>FLL - IND</t>
  </si>
  <si>
    <t>FLL - ISP</t>
  </si>
  <si>
    <t>FLL - JAX</t>
  </si>
  <si>
    <t>FLL - JFK</t>
  </si>
  <si>
    <t>FLL - LAS</t>
  </si>
  <si>
    <t>FLL - LAX</t>
  </si>
  <si>
    <t>LBE</t>
  </si>
  <si>
    <t>FLL - LBE</t>
  </si>
  <si>
    <t>FLL - LCK</t>
  </si>
  <si>
    <t>FLL - LEX</t>
  </si>
  <si>
    <t>FLL - LGA</t>
  </si>
  <si>
    <t>FLL - LGB</t>
  </si>
  <si>
    <t>FLL - MCI</t>
  </si>
  <si>
    <t>FLL - MCO</t>
  </si>
  <si>
    <t>FLL - MDT</t>
  </si>
  <si>
    <t>FLL - MDW</t>
  </si>
  <si>
    <t>FLL - MEM</t>
  </si>
  <si>
    <t>FLL - MHT</t>
  </si>
  <si>
    <t>FLL - MKE</t>
  </si>
  <si>
    <t>FLL - MSP</t>
  </si>
  <si>
    <t>FLL - MSY</t>
  </si>
  <si>
    <t>FLL - MYR</t>
  </si>
  <si>
    <t>FLL - OAK</t>
  </si>
  <si>
    <t>FLL - OKC</t>
  </si>
  <si>
    <t>FLL - ORD</t>
  </si>
  <si>
    <t>FLL - ORF</t>
  </si>
  <si>
    <t>FLL - ORH</t>
  </si>
  <si>
    <t>PBG</t>
  </si>
  <si>
    <t>FLL - PBG</t>
  </si>
  <si>
    <t>FLL - PDX</t>
  </si>
  <si>
    <t>FLL - PHL</t>
  </si>
  <si>
    <t>FLL - PHX</t>
  </si>
  <si>
    <t>FLL - PIA</t>
  </si>
  <si>
    <t>FLL - PIT</t>
  </si>
  <si>
    <t>FLL - PSP</t>
  </si>
  <si>
    <t>FLL - PVD</t>
  </si>
  <si>
    <t>FLL - PWM</t>
  </si>
  <si>
    <t>FLL - RDU</t>
  </si>
  <si>
    <t>FLL - RIC</t>
  </si>
  <si>
    <t>FLL - ROC</t>
  </si>
  <si>
    <t>FLL - SAN</t>
  </si>
  <si>
    <t>FLL - SAT</t>
  </si>
  <si>
    <t>FLL - SDF</t>
  </si>
  <si>
    <t>FLL - SEA</t>
  </si>
  <si>
    <t>FLL - SFO</t>
  </si>
  <si>
    <t>FLL - SJC</t>
  </si>
  <si>
    <t>FLL - SJU</t>
  </si>
  <si>
    <t>FLL - SLC</t>
  </si>
  <si>
    <t>FLL - STL</t>
  </si>
  <si>
    <t>FLL - STT</t>
  </si>
  <si>
    <t>FLL - STX</t>
  </si>
  <si>
    <t>FLL - SWF</t>
  </si>
  <si>
    <t>FLL - SYR</t>
  </si>
  <si>
    <t>FLL - TPA</t>
  </si>
  <si>
    <t>FLL - TTN</t>
  </si>
  <si>
    <t>FLL - TYS</t>
  </si>
  <si>
    <t>FLL - USA</t>
  </si>
  <si>
    <t>FLL - XNA</t>
  </si>
  <si>
    <t>FLO - CLT</t>
  </si>
  <si>
    <t>FNT - ATL</t>
  </si>
  <si>
    <t>FNT - AZA</t>
  </si>
  <si>
    <t>FNT - BNA</t>
  </si>
  <si>
    <t>FNT - BOS</t>
  </si>
  <si>
    <t>FNT - CLT</t>
  </si>
  <si>
    <t>FNT - FLL</t>
  </si>
  <si>
    <t>FNT - JAX</t>
  </si>
  <si>
    <t>FNT - LAS</t>
  </si>
  <si>
    <t>FNT - MCO</t>
  </si>
  <si>
    <t>FNT - MDW</t>
  </si>
  <si>
    <t>FNT - MSP</t>
  </si>
  <si>
    <t>FNT - MYR</t>
  </si>
  <si>
    <t>FNT - ORD</t>
  </si>
  <si>
    <t>FNT - PGD</t>
  </si>
  <si>
    <t>FNT - PIE</t>
  </si>
  <si>
    <t>FNT - RSW</t>
  </si>
  <si>
    <t>FNT - SAV</t>
  </si>
  <si>
    <t>FNT - SFB</t>
  </si>
  <si>
    <t>FNT - SRQ</t>
  </si>
  <si>
    <t>FNT - TPA</t>
  </si>
  <si>
    <t>FOD - DEN</t>
  </si>
  <si>
    <t>MCW</t>
  </si>
  <si>
    <t>FOD - MCW</t>
  </si>
  <si>
    <t>FOD - ORD</t>
  </si>
  <si>
    <t>FSD - ATL</t>
  </si>
  <si>
    <t>FSD - AUS</t>
  </si>
  <si>
    <t>FSD - AZA</t>
  </si>
  <si>
    <t>FSD - BNA</t>
  </si>
  <si>
    <t>FSD - CLT</t>
  </si>
  <si>
    <t>FSD - DEN</t>
  </si>
  <si>
    <t>FSD - DFW</t>
  </si>
  <si>
    <t>FSD - FLL</t>
  </si>
  <si>
    <t>FSD - LAS</t>
  </si>
  <si>
    <t>FSD - LAX</t>
  </si>
  <si>
    <t>FSD - MCO</t>
  </si>
  <si>
    <t>FSD - MSP</t>
  </si>
  <si>
    <t>FSD - ORD</t>
  </si>
  <si>
    <t>FSD - PGD</t>
  </si>
  <si>
    <t>FSD - PHX</t>
  </si>
  <si>
    <t>FSD - PIE</t>
  </si>
  <si>
    <t>FSD - SAN</t>
  </si>
  <si>
    <t>FSD - SFB</t>
  </si>
  <si>
    <t>FSD - SNA</t>
  </si>
  <si>
    <t>FSM - ATL</t>
  </si>
  <si>
    <t>FSM - DFW</t>
  </si>
  <si>
    <t>FWA - ATL</t>
  </si>
  <si>
    <t>FWA - AZA</t>
  </si>
  <si>
    <t>FWA - BNA</t>
  </si>
  <si>
    <t>FWA - CLT</t>
  </si>
  <si>
    <t>FWA - DFW</t>
  </si>
  <si>
    <t>FWA - DTW</t>
  </si>
  <si>
    <t>FWA - EWR</t>
  </si>
  <si>
    <t>FWA - LAS</t>
  </si>
  <si>
    <t>FWA - MSP</t>
  </si>
  <si>
    <t>FWA - MYR</t>
  </si>
  <si>
    <t>FWA - ORD</t>
  </si>
  <si>
    <t>FWA - PGD</t>
  </si>
  <si>
    <t>FWA - PHL</t>
  </si>
  <si>
    <t>FWA - PIE</t>
  </si>
  <si>
    <t>FWA - SFB</t>
  </si>
  <si>
    <t>FWA - SRQ</t>
  </si>
  <si>
    <t>GCC - DEN</t>
  </si>
  <si>
    <t>GCC - SHR</t>
  </si>
  <si>
    <t>GCK - DFW</t>
  </si>
  <si>
    <t>GEG - ATL</t>
  </si>
  <si>
    <t>GEG - AZA</t>
  </si>
  <si>
    <t>GEG - BOI</t>
  </si>
  <si>
    <t>GEG - DEN</t>
  </si>
  <si>
    <t>GEG - DFW</t>
  </si>
  <si>
    <t>GEG - LAS</t>
  </si>
  <si>
    <t>GEG - LAX</t>
  </si>
  <si>
    <t>GEG - LWS</t>
  </si>
  <si>
    <t>GEG - MDW</t>
  </si>
  <si>
    <t>GEG - MSP</t>
  </si>
  <si>
    <t>GEG - OAK</t>
  </si>
  <si>
    <t>GEG - ORD</t>
  </si>
  <si>
    <t>GEG - PAE</t>
  </si>
  <si>
    <t>GEG - PDX</t>
  </si>
  <si>
    <t>GEG - PHX</t>
  </si>
  <si>
    <t>GEG - SAN</t>
  </si>
  <si>
    <t>GEG - SEA</t>
  </si>
  <si>
    <t>GEG - SFO</t>
  </si>
  <si>
    <t>GEG - SJC</t>
  </si>
  <si>
    <t>GEG - SLC</t>
  </si>
  <si>
    <t>GEG - SMF</t>
  </si>
  <si>
    <t>GEG - SNA</t>
  </si>
  <si>
    <t>GFK - AZA</t>
  </si>
  <si>
    <t>GFK - BIS</t>
  </si>
  <si>
    <t>GFK - BNA</t>
  </si>
  <si>
    <t>GFK - ISN</t>
  </si>
  <si>
    <t>GFK - LAS</t>
  </si>
  <si>
    <t>GFK - MSP</t>
  </si>
  <si>
    <t>GFK - SFB</t>
  </si>
  <si>
    <t>GGG - DFW</t>
  </si>
  <si>
    <t>GJT - ASE</t>
  </si>
  <si>
    <t>GJT - ATL</t>
  </si>
  <si>
    <t>GJT - AZA</t>
  </si>
  <si>
    <t>GJT - DEN</t>
  </si>
  <si>
    <t>GJT - DFW</t>
  </si>
  <si>
    <t>GJT - IAH</t>
  </si>
  <si>
    <t>GJT - LAS</t>
  </si>
  <si>
    <t>GJT - LAX</t>
  </si>
  <si>
    <t>GJT - MSP</t>
  </si>
  <si>
    <t>GJT - MTJ</t>
  </si>
  <si>
    <t>GJT - ORD</t>
  </si>
  <si>
    <t>GJT - PHX</t>
  </si>
  <si>
    <t>GJT - SFO</t>
  </si>
  <si>
    <t>GJT - SLC</t>
  </si>
  <si>
    <t>GJT - SNA</t>
  </si>
  <si>
    <t>GNV - ATL</t>
  </si>
  <si>
    <t>GNV - CLT</t>
  </si>
  <si>
    <t>GNV - DFW</t>
  </si>
  <si>
    <t>GNV - MIA</t>
  </si>
  <si>
    <t>GPT - ATL</t>
  </si>
  <si>
    <t>GPT - BNA</t>
  </si>
  <si>
    <t>GPT - CLT</t>
  </si>
  <si>
    <t>GPT - DFW</t>
  </si>
  <si>
    <t>GPT - IAH</t>
  </si>
  <si>
    <t>GPT - SFB</t>
  </si>
  <si>
    <t>GRB - ATL</t>
  </si>
  <si>
    <t>GRB - CMX</t>
  </si>
  <si>
    <t>GRB - DEN</t>
  </si>
  <si>
    <t>GRB - DTW</t>
  </si>
  <si>
    <t>GRB - FLL</t>
  </si>
  <si>
    <t>GRB - IAD</t>
  </si>
  <si>
    <t>GRB - MCO</t>
  </si>
  <si>
    <t>GRB - MQT</t>
  </si>
  <si>
    <t>GRB - MSP</t>
  </si>
  <si>
    <t>GRB - ORD</t>
  </si>
  <si>
    <t>GRB - SFO</t>
  </si>
  <si>
    <t>GRB - TPA</t>
  </si>
  <si>
    <t>GRI - AZA</t>
  </si>
  <si>
    <t>GRI - DFW</t>
  </si>
  <si>
    <t>GRI - LAS</t>
  </si>
  <si>
    <t>GRK - ATL</t>
  </si>
  <si>
    <t>GRK - DFW</t>
  </si>
  <si>
    <t>GRK - IAH</t>
  </si>
  <si>
    <t>GRR - ATL</t>
  </si>
  <si>
    <t>GRR - AUS</t>
  </si>
  <si>
    <t>GRR - AZA</t>
  </si>
  <si>
    <t>GRR - BNA</t>
  </si>
  <si>
    <t>GRR - BOS</t>
  </si>
  <si>
    <t>GRR - BWI</t>
  </si>
  <si>
    <t>GRR - CLT</t>
  </si>
  <si>
    <t>GRR - DCA</t>
  </si>
  <si>
    <t>GRR - DEN</t>
  </si>
  <si>
    <t>GRR - DFW</t>
  </si>
  <si>
    <t>GRR - DTW</t>
  </si>
  <si>
    <t>GRR - EWR</t>
  </si>
  <si>
    <t>GRR - FLL</t>
  </si>
  <si>
    <t>GRR - IAD</t>
  </si>
  <si>
    <t>GRR - IAH</t>
  </si>
  <si>
    <t>GRR - JAX</t>
  </si>
  <si>
    <t>GRR - LAS</t>
  </si>
  <si>
    <t>GRR - LAX</t>
  </si>
  <si>
    <t>GRR - LGA</t>
  </si>
  <si>
    <t>GRR - MCO</t>
  </si>
  <si>
    <t>GRR - MDW</t>
  </si>
  <si>
    <t>GRR - MIA</t>
  </si>
  <si>
    <t>GRR - MSP</t>
  </si>
  <si>
    <t>GRR - MSY</t>
  </si>
  <si>
    <t>GRR - ORD</t>
  </si>
  <si>
    <t>GRR - PDX</t>
  </si>
  <si>
    <t>GRR - PGD</t>
  </si>
  <si>
    <t>GRR - PHL</t>
  </si>
  <si>
    <t>GRR - PHX</t>
  </si>
  <si>
    <t>GRR - PIE</t>
  </si>
  <si>
    <t>GRR - RAP</t>
  </si>
  <si>
    <t>GRR - RSW</t>
  </si>
  <si>
    <t>GRR - SAV</t>
  </si>
  <si>
    <t>GRR - SFB</t>
  </si>
  <si>
    <t>GRR - SRQ</t>
  </si>
  <si>
    <t>GRR - STL</t>
  </si>
  <si>
    <t>GRR - TPA</t>
  </si>
  <si>
    <t>GRR - VPS</t>
  </si>
  <si>
    <t>GSO - ATL</t>
  </si>
  <si>
    <t>GSO - BNA</t>
  </si>
  <si>
    <t>GSO - CLT</t>
  </si>
  <si>
    <t>GSO - DCA</t>
  </si>
  <si>
    <t>GSO - DEN</t>
  </si>
  <si>
    <t>GSO - DFW</t>
  </si>
  <si>
    <t>GSO - DTW</t>
  </si>
  <si>
    <t>GSO - EWR</t>
  </si>
  <si>
    <t>GSO - FLL</t>
  </si>
  <si>
    <t>GSO - IAD</t>
  </si>
  <si>
    <t>GSO - IAH</t>
  </si>
  <si>
    <t>GSO - LGA</t>
  </si>
  <si>
    <t>GSO - MCO</t>
  </si>
  <si>
    <t>GSO - MIA</t>
  </si>
  <si>
    <t>GSO - ORD</t>
  </si>
  <si>
    <t>GSO - PHL</t>
  </si>
  <si>
    <t>GSO - PIE</t>
  </si>
  <si>
    <t>GSO - SFB</t>
  </si>
  <si>
    <t>GSO - TPA</t>
  </si>
  <si>
    <t>GSP - ATL</t>
  </si>
  <si>
    <t>GSP - BOS</t>
  </si>
  <si>
    <t>GSP - BWI</t>
  </si>
  <si>
    <t>GSP - CLT</t>
  </si>
  <si>
    <t>GSP - DAL</t>
  </si>
  <si>
    <t>GSP - DCA</t>
  </si>
  <si>
    <t>GSP - DEN</t>
  </si>
  <si>
    <t>GSP - DFW</t>
  </si>
  <si>
    <t>GSP - DTW</t>
  </si>
  <si>
    <t>GSP - EWR</t>
  </si>
  <si>
    <t>GSP - FLL</t>
  </si>
  <si>
    <t>GSP - FWA</t>
  </si>
  <si>
    <t>GSP - HOU</t>
  </si>
  <si>
    <t>GSP - IAD</t>
  </si>
  <si>
    <t>GSP - IAH</t>
  </si>
  <si>
    <t>GSP - LAS</t>
  </si>
  <si>
    <t>GSP - LGA</t>
  </si>
  <si>
    <t>GSP - MCO</t>
  </si>
  <si>
    <t>GSP - MIA</t>
  </si>
  <si>
    <t>GSP - MSY</t>
  </si>
  <si>
    <t>GSP - ORD</t>
  </si>
  <si>
    <t>GSP - PGD</t>
  </si>
  <si>
    <t>GSP - PHL</t>
  </si>
  <si>
    <t>GSP - PIE</t>
  </si>
  <si>
    <t>GSP - SFB</t>
  </si>
  <si>
    <t>GSP - SFO</t>
  </si>
  <si>
    <t>GSP - SJC</t>
  </si>
  <si>
    <t>GSP - SYR</t>
  </si>
  <si>
    <t>GSP - TPA</t>
  </si>
  <si>
    <t>GST</t>
  </si>
  <si>
    <t>GST - JNU</t>
  </si>
  <si>
    <t>GTF - AZA</t>
  </si>
  <si>
    <t>GTF - BZN</t>
  </si>
  <si>
    <t>GTF - DEN</t>
  </si>
  <si>
    <t>GTF - HLN</t>
  </si>
  <si>
    <t>GTF - IDA</t>
  </si>
  <si>
    <t>GTF - LAS</t>
  </si>
  <si>
    <t>GTF - MSP</t>
  </si>
  <si>
    <t>GTF - ORD</t>
  </si>
  <si>
    <t>GTF - SEA</t>
  </si>
  <si>
    <t>GTF - SLC</t>
  </si>
  <si>
    <t>GTR - ATL</t>
  </si>
  <si>
    <t>GUC - DEN</t>
  </si>
  <si>
    <t>GUC - DFW</t>
  </si>
  <si>
    <t>GUC - IAH</t>
  </si>
  <si>
    <t>GUM</t>
  </si>
  <si>
    <t>GUM - HNL</t>
  </si>
  <si>
    <t>ROP</t>
  </si>
  <si>
    <t>GUM - ROP</t>
  </si>
  <si>
    <t>GUM - SFO</t>
  </si>
  <si>
    <t>SPN</t>
  </si>
  <si>
    <t>GUM - SPN</t>
  </si>
  <si>
    <t>HDN - ATL</t>
  </si>
  <si>
    <t>HDN - BOS</t>
  </si>
  <si>
    <t>HDN - DAL</t>
  </si>
  <si>
    <t>HDN - DEN</t>
  </si>
  <si>
    <t>HDN - DFW</t>
  </si>
  <si>
    <t>HDN - EWR</t>
  </si>
  <si>
    <t>HDN - FLL</t>
  </si>
  <si>
    <t>HDN - HOU</t>
  </si>
  <si>
    <t>HDN - IAD</t>
  </si>
  <si>
    <t>HDN - IAH</t>
  </si>
  <si>
    <t>HDN - JFK</t>
  </si>
  <si>
    <t>HDN - LAX</t>
  </si>
  <si>
    <t>HDN - LGB</t>
  </si>
  <si>
    <t>HDN - MSP</t>
  </si>
  <si>
    <t>HDN - ORD</t>
  </si>
  <si>
    <t>HDN - SAN</t>
  </si>
  <si>
    <t>HDN - SEA</t>
  </si>
  <si>
    <t>HDN - SFO</t>
  </si>
  <si>
    <t>HGR</t>
  </si>
  <si>
    <t>HGR - MYR</t>
  </si>
  <si>
    <t>HGR - PIE</t>
  </si>
  <si>
    <t>HGR - SFB</t>
  </si>
  <si>
    <t>HHH - ATL</t>
  </si>
  <si>
    <t>HHH - BOS</t>
  </si>
  <si>
    <t>HHH - CLE</t>
  </si>
  <si>
    <t>HHH - CLT</t>
  </si>
  <si>
    <t>HHH - CMH</t>
  </si>
  <si>
    <t>HHH - CVG</t>
  </si>
  <si>
    <t>HHH - DCA</t>
  </si>
  <si>
    <t>HHH - DFW</t>
  </si>
  <si>
    <t>HHH - EWR</t>
  </si>
  <si>
    <t>HHH - IAD</t>
  </si>
  <si>
    <t>HHH - IND</t>
  </si>
  <si>
    <t>HHH - LGA</t>
  </si>
  <si>
    <t>HHH - ORD</t>
  </si>
  <si>
    <t>HHH - PHL</t>
  </si>
  <si>
    <t>HHH - PIT</t>
  </si>
  <si>
    <t>HHH - SAV</t>
  </si>
  <si>
    <t>HHH - STL</t>
  </si>
  <si>
    <t>HIB</t>
  </si>
  <si>
    <t>HIB - MSP</t>
  </si>
  <si>
    <t>HLN - DEN</t>
  </si>
  <si>
    <t>HLN - GTF</t>
  </si>
  <si>
    <t>HLN - LIT</t>
  </si>
  <si>
    <t>HLN - MSP</t>
  </si>
  <si>
    <t>HLN - SEA</t>
  </si>
  <si>
    <t>HLN - SLC</t>
  </si>
  <si>
    <t>HNL - ANC</t>
  </si>
  <si>
    <t>HNL - ATL</t>
  </si>
  <si>
    <t>HNL - AUS</t>
  </si>
  <si>
    <t>HNL - BOS</t>
  </si>
  <si>
    <t>HNL - CLT</t>
  </si>
  <si>
    <t>HNL - DEN</t>
  </si>
  <si>
    <t>HNL - DFW</t>
  </si>
  <si>
    <t>HNL - DTW</t>
  </si>
  <si>
    <t>HNL - EWR</t>
  </si>
  <si>
    <t>HNL - GUM</t>
  </si>
  <si>
    <t>HNL - IAD</t>
  </si>
  <si>
    <t>HNL - IAH</t>
  </si>
  <si>
    <t>ITO</t>
  </si>
  <si>
    <t>HNL - ITO</t>
  </si>
  <si>
    <t>HNL - JFK</t>
  </si>
  <si>
    <t>JHM</t>
  </si>
  <si>
    <t>HNL - JHM</t>
  </si>
  <si>
    <t>HNL - KOA</t>
  </si>
  <si>
    <t>HNL - LAS</t>
  </si>
  <si>
    <t>HNL - LAX</t>
  </si>
  <si>
    <t>HNL - LGB</t>
  </si>
  <si>
    <t>HNL - LIH</t>
  </si>
  <si>
    <t>LNY</t>
  </si>
  <si>
    <t>HNL - LNY</t>
  </si>
  <si>
    <t>HNL - MCO</t>
  </si>
  <si>
    <t>MKK</t>
  </si>
  <si>
    <t>HNL - MKK</t>
  </si>
  <si>
    <t>HNL - MSP</t>
  </si>
  <si>
    <t>HNL - OAK</t>
  </si>
  <si>
    <t>HNL - OGG</t>
  </si>
  <si>
    <t>HNL - ONT</t>
  </si>
  <si>
    <t>HNL - ORD</t>
  </si>
  <si>
    <t>HNL - PDX</t>
  </si>
  <si>
    <t>HNL - PHX</t>
  </si>
  <si>
    <t>PPG</t>
  </si>
  <si>
    <t>HNL - PPG</t>
  </si>
  <si>
    <t>HNL - SAN</t>
  </si>
  <si>
    <t>HNL - SEA</t>
  </si>
  <si>
    <t>HNL - SFO</t>
  </si>
  <si>
    <t>HNL - SJC</t>
  </si>
  <si>
    <t>HNL - SLC</t>
  </si>
  <si>
    <t>HNL - SMF</t>
  </si>
  <si>
    <t>HNL - SNA</t>
  </si>
  <si>
    <t>HOB - DEN</t>
  </si>
  <si>
    <t>HOB - IAH</t>
  </si>
  <si>
    <t>HOU - ABQ</t>
  </si>
  <si>
    <t>HOU - AMA</t>
  </si>
  <si>
    <t>HOU - ATL</t>
  </si>
  <si>
    <t>HOU - AUS</t>
  </si>
  <si>
    <t>HOU - AVL</t>
  </si>
  <si>
    <t>HOU - AZA</t>
  </si>
  <si>
    <t>HOU - BHM</t>
  </si>
  <si>
    <t>HOU - BNA</t>
  </si>
  <si>
    <t>HOU - BOS</t>
  </si>
  <si>
    <t>HOU - BUR</t>
  </si>
  <si>
    <t>HOU - BWI</t>
  </si>
  <si>
    <t>HOU - CHS</t>
  </si>
  <si>
    <t>HOU - CLE</t>
  </si>
  <si>
    <t>HOU - CLT</t>
  </si>
  <si>
    <t>HOU - CMH</t>
  </si>
  <si>
    <t>HOU - COS</t>
  </si>
  <si>
    <t>HOU - CRP</t>
  </si>
  <si>
    <t>HOU - CVG</t>
  </si>
  <si>
    <t>HOU - DAL</t>
  </si>
  <si>
    <t>HOU - DCA</t>
  </si>
  <si>
    <t>HOU - DEN</t>
  </si>
  <si>
    <t>HOU - DFW</t>
  </si>
  <si>
    <t>HOU - DSM</t>
  </si>
  <si>
    <t>HOU - DTW</t>
  </si>
  <si>
    <t>HOU - ECP</t>
  </si>
  <si>
    <t>HOU - ELP</t>
  </si>
  <si>
    <t>HOU - FLL</t>
  </si>
  <si>
    <t>HOU - GSP</t>
  </si>
  <si>
    <t>HOU - HDN</t>
  </si>
  <si>
    <t>HOU - HRL</t>
  </si>
  <si>
    <t>HOU - ICT</t>
  </si>
  <si>
    <t>HOU - IND</t>
  </si>
  <si>
    <t>HOU - JAN</t>
  </si>
  <si>
    <t>HOU - JAX</t>
  </si>
  <si>
    <t>HOU - JFK</t>
  </si>
  <si>
    <t>HOU - LAS</t>
  </si>
  <si>
    <t>HOU - LAX</t>
  </si>
  <si>
    <t>HOU - LBB</t>
  </si>
  <si>
    <t>HOU - LEX</t>
  </si>
  <si>
    <t>HOU - LGA</t>
  </si>
  <si>
    <t>HOU - LGB</t>
  </si>
  <si>
    <t>HOU - LIT</t>
  </si>
  <si>
    <t>HOU - MAF</t>
  </si>
  <si>
    <t>HOU - MCI</t>
  </si>
  <si>
    <t>HOU - MCO</t>
  </si>
  <si>
    <t>HOU - MDW</t>
  </si>
  <si>
    <t>HOU - MEM</t>
  </si>
  <si>
    <t>HOU - MIA</t>
  </si>
  <si>
    <t>HOU - MKE</t>
  </si>
  <si>
    <t>HOU - MSP</t>
  </si>
  <si>
    <t>HOU - MSY</t>
  </si>
  <si>
    <t>HOU - MTJ</t>
  </si>
  <si>
    <t>HOU - OAK</t>
  </si>
  <si>
    <t>HOU - OKC</t>
  </si>
  <si>
    <t>HOU - OMA</t>
  </si>
  <si>
    <t>HOU - ONT</t>
  </si>
  <si>
    <t>HOU - PBI</t>
  </si>
  <si>
    <t>HOU - PDX</t>
  </si>
  <si>
    <t>HOU - PGD</t>
  </si>
  <si>
    <t>HOU - PHL</t>
  </si>
  <si>
    <t>HOU - PHX</t>
  </si>
  <si>
    <t>HOU - PIT</t>
  </si>
  <si>
    <t>HOU - PNS</t>
  </si>
  <si>
    <t>HOU - PVU</t>
  </si>
  <si>
    <t>HOU - RDU</t>
  </si>
  <si>
    <t>HOU - RNO</t>
  </si>
  <si>
    <t>HOU - RSW</t>
  </si>
  <si>
    <t>HOU - SAN</t>
  </si>
  <si>
    <t>HOU - SAT</t>
  </si>
  <si>
    <t>HOU - SAV</t>
  </si>
  <si>
    <t>HOU - SDF</t>
  </si>
  <si>
    <t>HOU - SEA</t>
  </si>
  <si>
    <t>HOU - SGF</t>
  </si>
  <si>
    <t>HOU - SJC</t>
  </si>
  <si>
    <t>HOU - SJU</t>
  </si>
  <si>
    <t>HOU - SLC</t>
  </si>
  <si>
    <t>HOU - SMF</t>
  </si>
  <si>
    <t>HOU - SNA</t>
  </si>
  <si>
    <t>HOU - SRQ</t>
  </si>
  <si>
    <t>HOU - STL</t>
  </si>
  <si>
    <t>HOU - TPA</t>
  </si>
  <si>
    <t>HOU - TUL</t>
  </si>
  <si>
    <t>HOU - TUS</t>
  </si>
  <si>
    <t>HOU - TYS</t>
  </si>
  <si>
    <t>HOU - VPS</t>
  </si>
  <si>
    <t>HOU - XNA</t>
  </si>
  <si>
    <t>HPN - ACK</t>
  </si>
  <si>
    <t>HPN - ATL</t>
  </si>
  <si>
    <t>HPN - CLT</t>
  </si>
  <si>
    <t>HPN - DCA</t>
  </si>
  <si>
    <t>HPN - DTW</t>
  </si>
  <si>
    <t>HPN - FLL</t>
  </si>
  <si>
    <t>HPN - MCO</t>
  </si>
  <si>
    <t>HPN - ORD</t>
  </si>
  <si>
    <t>HPN - PBI</t>
  </si>
  <si>
    <t>HPN - RSW</t>
  </si>
  <si>
    <t>HPN - TPA</t>
  </si>
  <si>
    <t>HRL - AUS</t>
  </si>
  <si>
    <t>HRL - DAL</t>
  </si>
  <si>
    <t>HRL - DEN</t>
  </si>
  <si>
    <t>HRL - DFW</t>
  </si>
  <si>
    <t>HRL - HOU</t>
  </si>
  <si>
    <t>HRL - IAH</t>
  </si>
  <si>
    <t>HRL - LAS</t>
  </si>
  <si>
    <t>HRL - MCO</t>
  </si>
  <si>
    <t>HRL - MSP</t>
  </si>
  <si>
    <t>HRL - ORD</t>
  </si>
  <si>
    <t>HSV - ATL</t>
  </si>
  <si>
    <t>HSV - CLT</t>
  </si>
  <si>
    <t>HSV - DCA</t>
  </si>
  <si>
    <t>HSV - DEN</t>
  </si>
  <si>
    <t>HSV - DFW</t>
  </si>
  <si>
    <t>HSV - DTW</t>
  </si>
  <si>
    <t>HSV - IAD</t>
  </si>
  <si>
    <t>HSV - IAH</t>
  </si>
  <si>
    <t>HSV - IND</t>
  </si>
  <si>
    <t>HSV - MCO</t>
  </si>
  <si>
    <t>HSV - MIA</t>
  </si>
  <si>
    <t>HSV - ORD</t>
  </si>
  <si>
    <t>HSV - SHV</t>
  </si>
  <si>
    <t>HTS - CLT</t>
  </si>
  <si>
    <t>HTS - MYR</t>
  </si>
  <si>
    <t>HTS - PGD</t>
  </si>
  <si>
    <t>HTS - PIE</t>
  </si>
  <si>
    <t>HTS - SFB</t>
  </si>
  <si>
    <t>HTS - VPS</t>
  </si>
  <si>
    <t>HVN - CLT</t>
  </si>
  <si>
    <t>HVN - PHL</t>
  </si>
  <si>
    <t>HYA - JFK</t>
  </si>
  <si>
    <t>HYS - DDC</t>
  </si>
  <si>
    <t>HYS - DEN</t>
  </si>
  <si>
    <t>HYS - SLN</t>
  </si>
  <si>
    <t>IAD - ABE</t>
  </si>
  <si>
    <t>IAD - ACK</t>
  </si>
  <si>
    <t>IAD - ALB</t>
  </si>
  <si>
    <t>IAD - ATL</t>
  </si>
  <si>
    <t>IAD - AUS</t>
  </si>
  <si>
    <t>IAD - AVL</t>
  </si>
  <si>
    <t>IAD - AVP</t>
  </si>
  <si>
    <t>IAD - BDL</t>
  </si>
  <si>
    <t>IAD - BGR</t>
  </si>
  <si>
    <t>IAD - BNA</t>
  </si>
  <si>
    <t>IAD - BOS</t>
  </si>
  <si>
    <t>IAD - BTV</t>
  </si>
  <si>
    <t>IAD - BUF</t>
  </si>
  <si>
    <t>IAD - BZN</t>
  </si>
  <si>
    <t>IAD - CAE</t>
  </si>
  <si>
    <t>IAD - CAK</t>
  </si>
  <si>
    <t>IAD - CGI</t>
  </si>
  <si>
    <t>IAD - CHA</t>
  </si>
  <si>
    <t>IAD - CHO</t>
  </si>
  <si>
    <t>IAD - CHS</t>
  </si>
  <si>
    <t>IAD - CKB</t>
  </si>
  <si>
    <t>IAD - CLE</t>
  </si>
  <si>
    <t>IAD - CLT</t>
  </si>
  <si>
    <t>IAD - CMH</t>
  </si>
  <si>
    <t>IAD - COS</t>
  </si>
  <si>
    <t>IAD - CRW</t>
  </si>
  <si>
    <t>IAD - CVG</t>
  </si>
  <si>
    <t>IAD - DAY</t>
  </si>
  <si>
    <t>IAD - DEN</t>
  </si>
  <si>
    <t>IAD - DFW</t>
  </si>
  <si>
    <t>IAD - DTW</t>
  </si>
  <si>
    <t>IAD - ECP</t>
  </si>
  <si>
    <t>IAD - EGE</t>
  </si>
  <si>
    <t>IAD - ELM</t>
  </si>
  <si>
    <t>IAD - ERI</t>
  </si>
  <si>
    <t>IAD - EWR</t>
  </si>
  <si>
    <t>IAD - EYW</t>
  </si>
  <si>
    <t>IAD - FAY</t>
  </si>
  <si>
    <t>IAD - FLL</t>
  </si>
  <si>
    <t>IAD - GRB</t>
  </si>
  <si>
    <t>IAD - GRR</t>
  </si>
  <si>
    <t>IAD - GSO</t>
  </si>
  <si>
    <t>IAD - GSP</t>
  </si>
  <si>
    <t>IAD - HDN</t>
  </si>
  <si>
    <t>IAD - HHH</t>
  </si>
  <si>
    <t>IAD - HNL</t>
  </si>
  <si>
    <t>IAD - HSV</t>
  </si>
  <si>
    <t>IAD - IAH</t>
  </si>
  <si>
    <t>IAD - ILM</t>
  </si>
  <si>
    <t>IAD - IND</t>
  </si>
  <si>
    <t>IAD - ITH</t>
  </si>
  <si>
    <t>IAD - JAX</t>
  </si>
  <si>
    <t>IAD - JFK</t>
  </si>
  <si>
    <t>IAD - JST</t>
  </si>
  <si>
    <t>IAD - LAS</t>
  </si>
  <si>
    <t>IAD - LAX</t>
  </si>
  <si>
    <t>IAD - LEX</t>
  </si>
  <si>
    <t>IAD - LGA</t>
  </si>
  <si>
    <t>LWB</t>
  </si>
  <si>
    <t>IAD - LWB</t>
  </si>
  <si>
    <t>IAD - MCI</t>
  </si>
  <si>
    <t>IAD - MCO</t>
  </si>
  <si>
    <t>IAD - MDT</t>
  </si>
  <si>
    <t>IAD - MDW</t>
  </si>
  <si>
    <t>IAD - MHT</t>
  </si>
  <si>
    <t>IAD - MIA</t>
  </si>
  <si>
    <t>IAD - MKE</t>
  </si>
  <si>
    <t>IAD - MSN</t>
  </si>
  <si>
    <t>IAD - MSP</t>
  </si>
  <si>
    <t>IAD - MSY</t>
  </si>
  <si>
    <t>IAD - MYR</t>
  </si>
  <si>
    <t>OGS</t>
  </si>
  <si>
    <t>IAD - OGS</t>
  </si>
  <si>
    <t>IAD - OKC</t>
  </si>
  <si>
    <t>IAD - ORD</t>
  </si>
  <si>
    <t>IAD - ORF</t>
  </si>
  <si>
    <t>IAD - PBG</t>
  </si>
  <si>
    <t>IAD - PBI</t>
  </si>
  <si>
    <t>IAD - PDX</t>
  </si>
  <si>
    <t>IAD - PHL</t>
  </si>
  <si>
    <t>IAD - PHX</t>
  </si>
  <si>
    <t>IAD - PIT</t>
  </si>
  <si>
    <t>IAD - PNS</t>
  </si>
  <si>
    <t>IAD - PQI</t>
  </si>
  <si>
    <t>IAD - PVD</t>
  </si>
  <si>
    <t>IAD - PWM</t>
  </si>
  <si>
    <t>IAD - RDU</t>
  </si>
  <si>
    <t>IAD - RIC</t>
  </si>
  <si>
    <t>IAD - ROA</t>
  </si>
  <si>
    <t>IAD - ROC</t>
  </si>
  <si>
    <t>IAD - RSW</t>
  </si>
  <si>
    <t>IAD - SAN</t>
  </si>
  <si>
    <t>IAD - SAT</t>
  </si>
  <si>
    <t>IAD - SAV</t>
  </si>
  <si>
    <t>IAD - SCE</t>
  </si>
  <si>
    <t>IAD - SDF</t>
  </si>
  <si>
    <t>IAD - SEA</t>
  </si>
  <si>
    <t>IAD - SFO</t>
  </si>
  <si>
    <t>SHD</t>
  </si>
  <si>
    <t>IAD - SHD</t>
  </si>
  <si>
    <t>IAD - SJU</t>
  </si>
  <si>
    <t>IAD - SLC</t>
  </si>
  <si>
    <t>IAD - SMF</t>
  </si>
  <si>
    <t>IAD - SRQ</t>
  </si>
  <si>
    <t>IAD - STL</t>
  </si>
  <si>
    <t>IAD - STT</t>
  </si>
  <si>
    <t>IAD - SYR</t>
  </si>
  <si>
    <t>IAD - TPA</t>
  </si>
  <si>
    <t>IAD - TTN</t>
  </si>
  <si>
    <t>IAD - TUL</t>
  </si>
  <si>
    <t>IAD - TVC</t>
  </si>
  <si>
    <t>IAD - TYS</t>
  </si>
  <si>
    <t>IAG - FLL</t>
  </si>
  <si>
    <t>IAG - MYR</t>
  </si>
  <si>
    <t>IAG - PGD</t>
  </si>
  <si>
    <t>IAG - PIE</t>
  </si>
  <si>
    <t>IAG - SAV</t>
  </si>
  <si>
    <t>IAG - SFB</t>
  </si>
  <si>
    <t>IAH - ABI</t>
  </si>
  <si>
    <t>IAH - ABQ</t>
  </si>
  <si>
    <t>IAH - ACY</t>
  </si>
  <si>
    <t>IAH - AEX</t>
  </si>
  <si>
    <t>IAH - AGS</t>
  </si>
  <si>
    <t>IAH - AMA</t>
  </si>
  <si>
    <t>IAH - ANC</t>
  </si>
  <si>
    <t>IAH - ASE</t>
  </si>
  <si>
    <t>IAH - ATL</t>
  </si>
  <si>
    <t>IAH - AUS</t>
  </si>
  <si>
    <t>IAH - BDL</t>
  </si>
  <si>
    <t>IAH - BHM</t>
  </si>
  <si>
    <t>IAH - BNA</t>
  </si>
  <si>
    <t>IAH - BOI</t>
  </si>
  <si>
    <t>IAH - BOS</t>
  </si>
  <si>
    <t>IAH - BRO</t>
  </si>
  <si>
    <t>IAH - BTR</t>
  </si>
  <si>
    <t>IAH - BWI</t>
  </si>
  <si>
    <t>IAH - BZN</t>
  </si>
  <si>
    <t>IAH - CAE</t>
  </si>
  <si>
    <t>IAH - CAK</t>
  </si>
  <si>
    <t>IAH - CHA</t>
  </si>
  <si>
    <t>IAH - CHS</t>
  </si>
  <si>
    <t>IAH - CLE</t>
  </si>
  <si>
    <t>IAH - CLL</t>
  </si>
  <si>
    <t>IAH - CLT</t>
  </si>
  <si>
    <t>IAH - CMH</t>
  </si>
  <si>
    <t>IAH - COS</t>
  </si>
  <si>
    <t>IAH - CRP</t>
  </si>
  <si>
    <t>IAH - CRW</t>
  </si>
  <si>
    <t>IAH - CVG</t>
  </si>
  <si>
    <t>IAH - DAL</t>
  </si>
  <si>
    <t>IAH - DAY</t>
  </si>
  <si>
    <t>IAH - DCA</t>
  </si>
  <si>
    <t>IAH - DEN</t>
  </si>
  <si>
    <t>IAH - DFW</t>
  </si>
  <si>
    <t>IAH - DRO</t>
  </si>
  <si>
    <t>IAH - DSM</t>
  </si>
  <si>
    <t>IAH - DTW</t>
  </si>
  <si>
    <t>IAH - ECP</t>
  </si>
  <si>
    <t>IAH - EGE</t>
  </si>
  <si>
    <t>IAH - ELP</t>
  </si>
  <si>
    <t>IAH - EWR</t>
  </si>
  <si>
    <t>IAH - EYW</t>
  </si>
  <si>
    <t>IAH - FCA</t>
  </si>
  <si>
    <t>IAH - FLL</t>
  </si>
  <si>
    <t>IAH - GPT</t>
  </si>
  <si>
    <t>IAH - GRK</t>
  </si>
  <si>
    <t>IAH - GRR</t>
  </si>
  <si>
    <t>IAH - GSO</t>
  </si>
  <si>
    <t>IAH - GSP</t>
  </si>
  <si>
    <t>IAH - GUC</t>
  </si>
  <si>
    <t>IAH - HDN</t>
  </si>
  <si>
    <t>IAH - HNL</t>
  </si>
  <si>
    <t>IAH - HOB</t>
  </si>
  <si>
    <t>IAH - HRL</t>
  </si>
  <si>
    <t>IAH - HSV</t>
  </si>
  <si>
    <t>IAH - IAD</t>
  </si>
  <si>
    <t>IAH - ICT</t>
  </si>
  <si>
    <t>IAH - IND</t>
  </si>
  <si>
    <t>IAH - JAC</t>
  </si>
  <si>
    <t>IAH - JAN</t>
  </si>
  <si>
    <t>IAH - JAX</t>
  </si>
  <si>
    <t>IAH - JFK</t>
  </si>
  <si>
    <t>IAH - JLN</t>
  </si>
  <si>
    <t>IAH - LAS</t>
  </si>
  <si>
    <t>IAH - LAX</t>
  </si>
  <si>
    <t>IAH - LBB</t>
  </si>
  <si>
    <t>IAH - LCH</t>
  </si>
  <si>
    <t>IAH - LEX</t>
  </si>
  <si>
    <t>IAH - LFT</t>
  </si>
  <si>
    <t>IAH - LGA</t>
  </si>
  <si>
    <t>IAH - LIT</t>
  </si>
  <si>
    <t>IAH - LRD</t>
  </si>
  <si>
    <t>IAH - MAF</t>
  </si>
  <si>
    <t>IAH - MCI</t>
  </si>
  <si>
    <t>IAH - MCO</t>
  </si>
  <si>
    <t>IAH - MDW</t>
  </si>
  <si>
    <t>IAH - MEI</t>
  </si>
  <si>
    <t>IAH - MEM</t>
  </si>
  <si>
    <t>IAH - MFE</t>
  </si>
  <si>
    <t>IAH - MIA</t>
  </si>
  <si>
    <t>IAH - MKE</t>
  </si>
  <si>
    <t>IAH - MLU</t>
  </si>
  <si>
    <t>IAH - MOB</t>
  </si>
  <si>
    <t>IAH - MSN</t>
  </si>
  <si>
    <t>IAH - MSP</t>
  </si>
  <si>
    <t>IAH - MSY</t>
  </si>
  <si>
    <t>IAH - MTJ</t>
  </si>
  <si>
    <t>IAH - MYR</t>
  </si>
  <si>
    <t>IAH - OAK</t>
  </si>
  <si>
    <t>IAH - OKC</t>
  </si>
  <si>
    <t>IAH - OMA</t>
  </si>
  <si>
    <t>IAH - ONT</t>
  </si>
  <si>
    <t>IAH - ORD</t>
  </si>
  <si>
    <t>IAH - ORF</t>
  </si>
  <si>
    <t>IAH - PBI</t>
  </si>
  <si>
    <t>IAH - PDX</t>
  </si>
  <si>
    <t>IAH - PHL</t>
  </si>
  <si>
    <t>IAH - PHX</t>
  </si>
  <si>
    <t>IAH - PIB</t>
  </si>
  <si>
    <t>IAH - PIT</t>
  </si>
  <si>
    <t>IAH - PNS</t>
  </si>
  <si>
    <t>IAH - PSP</t>
  </si>
  <si>
    <t>IAH - RAP</t>
  </si>
  <si>
    <t>IAH - RDU</t>
  </si>
  <si>
    <t>IAH - RIC</t>
  </si>
  <si>
    <t>IAH - RNO</t>
  </si>
  <si>
    <t>IAH - RSW</t>
  </si>
  <si>
    <t>IAH - SAN</t>
  </si>
  <si>
    <t>IAH - SAT</t>
  </si>
  <si>
    <t>IAH - SAV</t>
  </si>
  <si>
    <t>IAH - SDF</t>
  </si>
  <si>
    <t>IAH - SEA</t>
  </si>
  <si>
    <t>IAH - SFO</t>
  </si>
  <si>
    <t>IAH - SGF</t>
  </si>
  <si>
    <t>IAH - SHV</t>
  </si>
  <si>
    <t>IAH - SJC</t>
  </si>
  <si>
    <t>IAH - SJT</t>
  </si>
  <si>
    <t>IAH - SJU</t>
  </si>
  <si>
    <t>IAH - SLC</t>
  </si>
  <si>
    <t>IAH - SMF</t>
  </si>
  <si>
    <t>IAH - SNA</t>
  </si>
  <si>
    <t>IAH - SRQ</t>
  </si>
  <si>
    <t>IAH - STL</t>
  </si>
  <si>
    <t>IAH - STT</t>
  </si>
  <si>
    <t>IAH - TLH</t>
  </si>
  <si>
    <t>IAH - TPA</t>
  </si>
  <si>
    <t>IAH - TUL</t>
  </si>
  <si>
    <t>IAH - TUS</t>
  </si>
  <si>
    <t>IAH - TXK</t>
  </si>
  <si>
    <t>IAH - TYS</t>
  </si>
  <si>
    <t>VCT</t>
  </si>
  <si>
    <t>IAH - VCT</t>
  </si>
  <si>
    <t>IAH - VPS</t>
  </si>
  <si>
    <t>IAH - XNA</t>
  </si>
  <si>
    <t>ICT - ATL</t>
  </si>
  <si>
    <t>ICT - ATW</t>
  </si>
  <si>
    <t>ICT - AZA</t>
  </si>
  <si>
    <t>ICT - DAY</t>
  </si>
  <si>
    <t>ICT - DEN</t>
  </si>
  <si>
    <t>ICT - DFW</t>
  </si>
  <si>
    <t>ICT - HOU</t>
  </si>
  <si>
    <t>ICT - HYS</t>
  </si>
  <si>
    <t>ICT - IAH</t>
  </si>
  <si>
    <t>ICT - LAS</t>
  </si>
  <si>
    <t>ICT - LAX</t>
  </si>
  <si>
    <t>ICT - MHK</t>
  </si>
  <si>
    <t>ICT - MSP</t>
  </si>
  <si>
    <t>ICT - OKC</t>
  </si>
  <si>
    <t>ICT - ORD</t>
  </si>
  <si>
    <t>ICT - PHX</t>
  </si>
  <si>
    <t>ICT - PIE</t>
  </si>
  <si>
    <t>ICT - SEA</t>
  </si>
  <si>
    <t>ICT - SFB</t>
  </si>
  <si>
    <t>ICT - STL</t>
  </si>
  <si>
    <t>ICT - VPS</t>
  </si>
  <si>
    <t>IDA - AZA</t>
  </si>
  <si>
    <t>IDA - BOI</t>
  </si>
  <si>
    <t>IDA - BZN</t>
  </si>
  <si>
    <t>IDA - DEN</t>
  </si>
  <si>
    <t>IDA - DFW</t>
  </si>
  <si>
    <t>IDA - LAS</t>
  </si>
  <si>
    <t>IDA - LAX</t>
  </si>
  <si>
    <t>IDA - MSP</t>
  </si>
  <si>
    <t>IDA - OAK</t>
  </si>
  <si>
    <t>IDA - PDX</t>
  </si>
  <si>
    <t>IDA - PHX</t>
  </si>
  <si>
    <t>IDA - SAN</t>
  </si>
  <si>
    <t>IDA - SEA</t>
  </si>
  <si>
    <t>IDA - SLC</t>
  </si>
  <si>
    <t>IDA - SNA</t>
  </si>
  <si>
    <t>IFP</t>
  </si>
  <si>
    <t>IFP - PHX</t>
  </si>
  <si>
    <t>ILG</t>
  </si>
  <si>
    <t>ILG - MCO</t>
  </si>
  <si>
    <t>ILM - ATL</t>
  </si>
  <si>
    <t>ILM - BOS</t>
  </si>
  <si>
    <t>ILM - CLT</t>
  </si>
  <si>
    <t>ILM - DCA</t>
  </si>
  <si>
    <t>ILM - DFW</t>
  </si>
  <si>
    <t>ILM - EWR</t>
  </si>
  <si>
    <t>ILM - IAD</t>
  </si>
  <si>
    <t>ILM - LGA</t>
  </si>
  <si>
    <t>ILM - ORD</t>
  </si>
  <si>
    <t>ILM - PHL</t>
  </si>
  <si>
    <t>IMT - DTW</t>
  </si>
  <si>
    <t>IMT - MSP</t>
  </si>
  <si>
    <t>IND - ATL</t>
  </si>
  <si>
    <t>IND - AUS</t>
  </si>
  <si>
    <t>IND - AZA</t>
  </si>
  <si>
    <t>IND - BHM</t>
  </si>
  <si>
    <t>IND - BOS</t>
  </si>
  <si>
    <t>IND - BWI</t>
  </si>
  <si>
    <t>IND - CHS</t>
  </si>
  <si>
    <t>IND - CLT</t>
  </si>
  <si>
    <t>IND - DAL</t>
  </si>
  <si>
    <t>IND - DCA</t>
  </si>
  <si>
    <t>IND - DEN</t>
  </si>
  <si>
    <t>IND - DFW</t>
  </si>
  <si>
    <t>IND - DTW</t>
  </si>
  <si>
    <t>IND - ECP</t>
  </si>
  <si>
    <t>IND - EWR</t>
  </si>
  <si>
    <t>IND - EYW</t>
  </si>
  <si>
    <t>IND - FLL</t>
  </si>
  <si>
    <t>IND - HHH</t>
  </si>
  <si>
    <t>IND - HOU</t>
  </si>
  <si>
    <t>IND - HSV</t>
  </si>
  <si>
    <t>IND - IAD</t>
  </si>
  <si>
    <t>IND - IAH</t>
  </si>
  <si>
    <t>IND - JAX</t>
  </si>
  <si>
    <t>IND - JFK</t>
  </si>
  <si>
    <t>IND - LAS</t>
  </si>
  <si>
    <t>IND - LAX</t>
  </si>
  <si>
    <t>IND - LGA</t>
  </si>
  <si>
    <t>IND - MCI</t>
  </si>
  <si>
    <t>IND - MCO</t>
  </si>
  <si>
    <t>IND - MDW</t>
  </si>
  <si>
    <t>IND - MEM</t>
  </si>
  <si>
    <t>IND - MIA</t>
  </si>
  <si>
    <t>IND - MSP</t>
  </si>
  <si>
    <t>IND - MSY</t>
  </si>
  <si>
    <t>IND - MYR</t>
  </si>
  <si>
    <t>IND - OAK</t>
  </si>
  <si>
    <t>IND - ORD</t>
  </si>
  <si>
    <t>IND - PBI</t>
  </si>
  <si>
    <t>IND - PGD</t>
  </si>
  <si>
    <t>IND - PHL</t>
  </si>
  <si>
    <t>IND - PHX</t>
  </si>
  <si>
    <t>IND - PIE</t>
  </si>
  <si>
    <t>IND - PNS</t>
  </si>
  <si>
    <t>IND - PSP</t>
  </si>
  <si>
    <t>IND - PWM</t>
  </si>
  <si>
    <t>IND - RAP</t>
  </si>
  <si>
    <t>IND - RDU</t>
  </si>
  <si>
    <t>IND - RSW</t>
  </si>
  <si>
    <t>IND - SAN</t>
  </si>
  <si>
    <t>IND - SAV</t>
  </si>
  <si>
    <t>IND - SBN</t>
  </si>
  <si>
    <t>IND - SEA</t>
  </si>
  <si>
    <t>IND - SFB</t>
  </si>
  <si>
    <t>IND - SFO</t>
  </si>
  <si>
    <t>IND - SLC</t>
  </si>
  <si>
    <t>IND - SRQ</t>
  </si>
  <si>
    <t>IND - STL</t>
  </si>
  <si>
    <t>IND - TPA</t>
  </si>
  <si>
    <t>IND - TUS</t>
  </si>
  <si>
    <t>IND - TYS</t>
  </si>
  <si>
    <t>IND - VPS</t>
  </si>
  <si>
    <t>INL - MSP</t>
  </si>
  <si>
    <t>IPT - CLT</t>
  </si>
  <si>
    <t>IPT - PHL</t>
  </si>
  <si>
    <t>ISN - DEN</t>
  </si>
  <si>
    <t>ISN - MSP</t>
  </si>
  <si>
    <t>ISP - ATL</t>
  </si>
  <si>
    <t>ISP - BNA</t>
  </si>
  <si>
    <t>ISP - BWI</t>
  </si>
  <si>
    <t>ISP - DTW</t>
  </si>
  <si>
    <t>ISP - FLL</t>
  </si>
  <si>
    <t>ISP - MCO</t>
  </si>
  <si>
    <t>ISP - MIA</t>
  </si>
  <si>
    <t>ISP - MSP</t>
  </si>
  <si>
    <t>ISP - MSY</t>
  </si>
  <si>
    <t>ISP - MYR</t>
  </si>
  <si>
    <t>ISP - ORD</t>
  </si>
  <si>
    <t>ISP - PBI</t>
  </si>
  <si>
    <t>ISP - PHL</t>
  </si>
  <si>
    <t>ISP - RDU</t>
  </si>
  <si>
    <t>ISP - RSW</t>
  </si>
  <si>
    <t>ISP - SJU</t>
  </si>
  <si>
    <t>ISP - TPA</t>
  </si>
  <si>
    <t>ITH - CLT</t>
  </si>
  <si>
    <t>ITH - DTW</t>
  </si>
  <si>
    <t>ITH - EWR</t>
  </si>
  <si>
    <t>ITH - IAD</t>
  </si>
  <si>
    <t>ITH - PHL</t>
  </si>
  <si>
    <t>ITO - HNL</t>
  </si>
  <si>
    <t>ITO - LAX</t>
  </si>
  <si>
    <t>ITO - OGG</t>
  </si>
  <si>
    <t>JAC - ATL</t>
  </si>
  <si>
    <t>JAC - AZA</t>
  </si>
  <si>
    <t>JAC - BOS</t>
  </si>
  <si>
    <t>JAC - CLT</t>
  </si>
  <si>
    <t>JAC - DEN</t>
  </si>
  <si>
    <t>JAC - DFW</t>
  </si>
  <si>
    <t>JAC - DTW</t>
  </si>
  <si>
    <t>JAC - EWR</t>
  </si>
  <si>
    <t>JAC - IAH</t>
  </si>
  <si>
    <t>JAC - JFK</t>
  </si>
  <si>
    <t>JAC - LAS</t>
  </si>
  <si>
    <t>JAC - LAX</t>
  </si>
  <si>
    <t>JAC - LGA</t>
  </si>
  <si>
    <t>JAC - MSP</t>
  </si>
  <si>
    <t>JAC - ORD</t>
  </si>
  <si>
    <t>JAC - PHX</t>
  </si>
  <si>
    <t>JAC - RNO</t>
  </si>
  <si>
    <t>JAC - SAN</t>
  </si>
  <si>
    <t>JAC - SEA</t>
  </si>
  <si>
    <t>JAC - SFO</t>
  </si>
  <si>
    <t>JAC - SJC</t>
  </si>
  <si>
    <t>JAC - SLC</t>
  </si>
  <si>
    <t>JAN - ATL</t>
  </si>
  <si>
    <t>JAN - BWI</t>
  </si>
  <si>
    <t>JAN - CLT</t>
  </si>
  <si>
    <t>JAN - DCA</t>
  </si>
  <si>
    <t>JAN - DEN</t>
  </si>
  <si>
    <t>JAN - DFW</t>
  </si>
  <si>
    <t>JAN - HOU</t>
  </si>
  <si>
    <t>JAN - IAH</t>
  </si>
  <si>
    <t>JAN - MCO</t>
  </si>
  <si>
    <t>JAN - MIA</t>
  </si>
  <si>
    <t>JAN - ORD</t>
  </si>
  <si>
    <t>JAX - ATL</t>
  </si>
  <si>
    <t>JAX - ATW</t>
  </si>
  <si>
    <t>JAX - AUS</t>
  </si>
  <si>
    <t>JAX - BLV</t>
  </si>
  <si>
    <t>JAX - BNA</t>
  </si>
  <si>
    <t>JAX - BOS</t>
  </si>
  <si>
    <t>JAX - BUF</t>
  </si>
  <si>
    <t>JAX - BWI</t>
  </si>
  <si>
    <t>JAX - CLE</t>
  </si>
  <si>
    <t>JAX - CLT</t>
  </si>
  <si>
    <t>JAX - CVG</t>
  </si>
  <si>
    <t>JAX - DAL</t>
  </si>
  <si>
    <t>JAX - DCA</t>
  </si>
  <si>
    <t>JAX - DEN</t>
  </si>
  <si>
    <t>JAX - DFW</t>
  </si>
  <si>
    <t>JAX - DTW</t>
  </si>
  <si>
    <t>JAX - EWR</t>
  </si>
  <si>
    <t>JAX - FLL</t>
  </si>
  <si>
    <t>JAX - FNT</t>
  </si>
  <si>
    <t>JAX - GRR</t>
  </si>
  <si>
    <t>JAX - HOU</t>
  </si>
  <si>
    <t>JAX - IAD</t>
  </si>
  <si>
    <t>JAX - IAH</t>
  </si>
  <si>
    <t>JAX - IND</t>
  </si>
  <si>
    <t>JAX - JFK</t>
  </si>
  <si>
    <t>JAX - LAS</t>
  </si>
  <si>
    <t>JAX - LAX</t>
  </si>
  <si>
    <t>JAX - LCK</t>
  </si>
  <si>
    <t>JAX - LGA</t>
  </si>
  <si>
    <t>JAX - MCI</t>
  </si>
  <si>
    <t>JAX - MCO</t>
  </si>
  <si>
    <t>JAX - MDW</t>
  </si>
  <si>
    <t>JAX - MIA</t>
  </si>
  <si>
    <t>JAX - MKE</t>
  </si>
  <si>
    <t>JAX - MSP</t>
  </si>
  <si>
    <t>JAX - ORD</t>
  </si>
  <si>
    <t>JAX - ORF</t>
  </si>
  <si>
    <t>JAX - PHL</t>
  </si>
  <si>
    <t>JAX - PIT</t>
  </si>
  <si>
    <t>JAX - RDU</t>
  </si>
  <si>
    <t>JAX - RSW</t>
  </si>
  <si>
    <t>JAX - SAT</t>
  </si>
  <si>
    <t>JAX - SDF</t>
  </si>
  <si>
    <t>JAX - SJU</t>
  </si>
  <si>
    <t>JAX - STL</t>
  </si>
  <si>
    <t>JAX - TPA</t>
  </si>
  <si>
    <t>JAX - TTN</t>
  </si>
  <si>
    <t>JFK - ABQ</t>
  </si>
  <si>
    <t>JFK - ACK</t>
  </si>
  <si>
    <t>JFK - ANC</t>
  </si>
  <si>
    <t>JFK - ATL</t>
  </si>
  <si>
    <t>JFK - AUS</t>
  </si>
  <si>
    <t>JFK - BGR</t>
  </si>
  <si>
    <t>JFK - BNA</t>
  </si>
  <si>
    <t>JFK - BOI</t>
  </si>
  <si>
    <t>JFK - BOS</t>
  </si>
  <si>
    <t>JFK - BQN</t>
  </si>
  <si>
    <t>JFK - BTV</t>
  </si>
  <si>
    <t>JFK - BUF</t>
  </si>
  <si>
    <t>JFK - BUR</t>
  </si>
  <si>
    <t>JFK - BWI</t>
  </si>
  <si>
    <t>JFK - BZN</t>
  </si>
  <si>
    <t>JFK - CHS</t>
  </si>
  <si>
    <t>JFK - CLE</t>
  </si>
  <si>
    <t>JFK - CLT</t>
  </si>
  <si>
    <t>JFK - CMH</t>
  </si>
  <si>
    <t>JFK - CVG</t>
  </si>
  <si>
    <t>JFK - DAB</t>
  </si>
  <si>
    <t>JFK - DCA</t>
  </si>
  <si>
    <t>JFK - DEN</t>
  </si>
  <si>
    <t>JFK - DFW</t>
  </si>
  <si>
    <t>JFK - DTW</t>
  </si>
  <si>
    <t>JFK - EGE</t>
  </si>
  <si>
    <t>JFK - EYW</t>
  </si>
  <si>
    <t>JFK - FCA</t>
  </si>
  <si>
    <t>JFK - FLL</t>
  </si>
  <si>
    <t>JFK - HDN</t>
  </si>
  <si>
    <t>JFK - HNL</t>
  </si>
  <si>
    <t>JFK - HOU</t>
  </si>
  <si>
    <t>JFK - HYA</t>
  </si>
  <si>
    <t>JFK - IAD</t>
  </si>
  <si>
    <t>JFK - IAH</t>
  </si>
  <si>
    <t>JFK - IND</t>
  </si>
  <si>
    <t>JFK - JAC</t>
  </si>
  <si>
    <t>JFK - JAX</t>
  </si>
  <si>
    <t>JFK - LAS</t>
  </si>
  <si>
    <t>JFK - LAX</t>
  </si>
  <si>
    <t>JFK - LGB</t>
  </si>
  <si>
    <t>JFK - MCI</t>
  </si>
  <si>
    <t>JFK - MCO</t>
  </si>
  <si>
    <t>JFK - MIA</t>
  </si>
  <si>
    <t>JFK - MKE</t>
  </si>
  <si>
    <t>JFK - MSP</t>
  </si>
  <si>
    <t>JFK - MSY</t>
  </si>
  <si>
    <t>JFK - MVY</t>
  </si>
  <si>
    <t>JFK - OAK</t>
  </si>
  <si>
    <t>JFK - ONT</t>
  </si>
  <si>
    <t>JFK - ORD</t>
  </si>
  <si>
    <t>JFK - ORF</t>
  </si>
  <si>
    <t>JFK - ORH</t>
  </si>
  <si>
    <t>JFK - PBI</t>
  </si>
  <si>
    <t>JFK - PDX</t>
  </si>
  <si>
    <t>JFK - PHL</t>
  </si>
  <si>
    <t>JFK - PHX</t>
  </si>
  <si>
    <t>JFK - PIT</t>
  </si>
  <si>
    <t>JFK - PSE</t>
  </si>
  <si>
    <t>JFK - PSP</t>
  </si>
  <si>
    <t>JFK - PWM</t>
  </si>
  <si>
    <t>JFK - RDU</t>
  </si>
  <si>
    <t>JFK - RIC</t>
  </si>
  <si>
    <t>JFK - RNO</t>
  </si>
  <si>
    <t>JFK - ROC</t>
  </si>
  <si>
    <t>JFK - RSW</t>
  </si>
  <si>
    <t>JFK - SAN</t>
  </si>
  <si>
    <t>JFK - SAT</t>
  </si>
  <si>
    <t>JFK - SAV</t>
  </si>
  <si>
    <t>JFK - SEA</t>
  </si>
  <si>
    <t>JFK - SFO</t>
  </si>
  <si>
    <t>JFK - SJC</t>
  </si>
  <si>
    <t>JFK - SJU</t>
  </si>
  <si>
    <t>JFK - SLC</t>
  </si>
  <si>
    <t>JFK - SMF</t>
  </si>
  <si>
    <t>JFK - SNA</t>
  </si>
  <si>
    <t>JFK - SRQ</t>
  </si>
  <si>
    <t>JFK - STT</t>
  </si>
  <si>
    <t>JFK - SYR</t>
  </si>
  <si>
    <t>JFK - TPA</t>
  </si>
  <si>
    <t>JHM - HNL</t>
  </si>
  <si>
    <t>JHM - OGG</t>
  </si>
  <si>
    <t>JLN - DEN</t>
  </si>
  <si>
    <t>JLN - DFW</t>
  </si>
  <si>
    <t>JLN - IAH</t>
  </si>
  <si>
    <t>JLN - ORD</t>
  </si>
  <si>
    <t>JMS - DEN</t>
  </si>
  <si>
    <t>JMS - DVL</t>
  </si>
  <si>
    <t>JNU - ANC</t>
  </si>
  <si>
    <t>JNU - GST</t>
  </si>
  <si>
    <t>KTN</t>
  </si>
  <si>
    <t>JNU - KTN</t>
  </si>
  <si>
    <t>PSG</t>
  </si>
  <si>
    <t>JNU - PSG</t>
  </si>
  <si>
    <t>JNU - SEA</t>
  </si>
  <si>
    <t>SIT</t>
  </si>
  <si>
    <t>JNU - SIT</t>
  </si>
  <si>
    <t>JNU - YAK</t>
  </si>
  <si>
    <t>JST - CKB</t>
  </si>
  <si>
    <t>JST - IAD</t>
  </si>
  <si>
    <t>JST - ORD</t>
  </si>
  <si>
    <t>KOA - ANC</t>
  </si>
  <si>
    <t>KOA - BLI</t>
  </si>
  <si>
    <t>KOA - DEN</t>
  </si>
  <si>
    <t>KOA - DFW</t>
  </si>
  <si>
    <t>KOA - HNL</t>
  </si>
  <si>
    <t>KOA - LAS</t>
  </si>
  <si>
    <t>KOA - LAX</t>
  </si>
  <si>
    <t>KOA - LIH</t>
  </si>
  <si>
    <t>KOA - OAK</t>
  </si>
  <si>
    <t>KOA - OGG</t>
  </si>
  <si>
    <t>KOA - ORD</t>
  </si>
  <si>
    <t>KOA - PDX</t>
  </si>
  <si>
    <t>KOA - PHX</t>
  </si>
  <si>
    <t>KOA - SAN</t>
  </si>
  <si>
    <t>KOA - SEA</t>
  </si>
  <si>
    <t>KOA - SFO</t>
  </si>
  <si>
    <t>KOA - SJC</t>
  </si>
  <si>
    <t>KOA - SMF</t>
  </si>
  <si>
    <t>KTN - JNU</t>
  </si>
  <si>
    <t>KTN - SEA</t>
  </si>
  <si>
    <t>KTN - SIT</t>
  </si>
  <si>
    <t>WRG</t>
  </si>
  <si>
    <t>KTN - WRG</t>
  </si>
  <si>
    <t>LAN - DCA</t>
  </si>
  <si>
    <t>LAN - DTW</t>
  </si>
  <si>
    <t>LAN - LNK</t>
  </si>
  <si>
    <t>LAN - MSP</t>
  </si>
  <si>
    <t>LAN - ORD</t>
  </si>
  <si>
    <t>LAR - BFF</t>
  </si>
  <si>
    <t>LAR - DEN</t>
  </si>
  <si>
    <t>LAS - ABQ</t>
  </si>
  <si>
    <t>LAS - ALB</t>
  </si>
  <si>
    <t>LAS - AMA</t>
  </si>
  <si>
    <t>LAS - ANC</t>
  </si>
  <si>
    <t>LAS - ATL</t>
  </si>
  <si>
    <t>LAS - ATW</t>
  </si>
  <si>
    <t>LAS - AUS</t>
  </si>
  <si>
    <t>LAS - AVL</t>
  </si>
  <si>
    <t>LAS - AZA</t>
  </si>
  <si>
    <t>LAS - BDL</t>
  </si>
  <si>
    <t>LAS - BHM</t>
  </si>
  <si>
    <t>LAS - BIL</t>
  </si>
  <si>
    <t>LAS - BIS</t>
  </si>
  <si>
    <t>LAS - BLI</t>
  </si>
  <si>
    <t>LAS - BLV</t>
  </si>
  <si>
    <t>LAS - BMI</t>
  </si>
  <si>
    <t>LAS - BNA</t>
  </si>
  <si>
    <t>LAS - BOI</t>
  </si>
  <si>
    <t>LAS - BOS</t>
  </si>
  <si>
    <t>LAS - BUF</t>
  </si>
  <si>
    <t>LAS - BUR</t>
  </si>
  <si>
    <t>LAS - BWI</t>
  </si>
  <si>
    <t>LAS - BZN</t>
  </si>
  <si>
    <t>LAS - CID</t>
  </si>
  <si>
    <t>LAS - CLE</t>
  </si>
  <si>
    <t>LAS - CLT</t>
  </si>
  <si>
    <t>LAS - CMH</t>
  </si>
  <si>
    <t>LAS - COS</t>
  </si>
  <si>
    <t>LAS - CPR</t>
  </si>
  <si>
    <t>LAS - CVG</t>
  </si>
  <si>
    <t>LAS - DAL</t>
  </si>
  <si>
    <t>LAS - DCA</t>
  </si>
  <si>
    <t>LAS - DEN</t>
  </si>
  <si>
    <t>LAS - DFW</t>
  </si>
  <si>
    <t>LAS - DRO</t>
  </si>
  <si>
    <t>LAS - DSM</t>
  </si>
  <si>
    <t>LAS - DTW</t>
  </si>
  <si>
    <t>LAS - ELP</t>
  </si>
  <si>
    <t>LAS - EUG</t>
  </si>
  <si>
    <t>LAS - EWR</t>
  </si>
  <si>
    <t>LAS - FAR</t>
  </si>
  <si>
    <t>LAS - FAT</t>
  </si>
  <si>
    <t>LAS - FCA</t>
  </si>
  <si>
    <t>LAS - FLL</t>
  </si>
  <si>
    <t>LAS - FNT</t>
  </si>
  <si>
    <t>LAS - FSD</t>
  </si>
  <si>
    <t>LAS - FWA</t>
  </si>
  <si>
    <t>LAS - GEG</t>
  </si>
  <si>
    <t>LAS - GFK</t>
  </si>
  <si>
    <t>LAS - GJT</t>
  </si>
  <si>
    <t>LAS - GRI</t>
  </si>
  <si>
    <t>LAS - GRR</t>
  </si>
  <si>
    <t>LAS - GSP</t>
  </si>
  <si>
    <t>LAS - GTF</t>
  </si>
  <si>
    <t>LAS - HNL</t>
  </si>
  <si>
    <t>LAS - HOU</t>
  </si>
  <si>
    <t>LAS - HRL</t>
  </si>
  <si>
    <t>LAS - IAD</t>
  </si>
  <si>
    <t>LAS - IAH</t>
  </si>
  <si>
    <t>LAS - ICT</t>
  </si>
  <si>
    <t>LAS - IDA</t>
  </si>
  <si>
    <t>LAS - IND</t>
  </si>
  <si>
    <t>LAS - JAC</t>
  </si>
  <si>
    <t>LAS - JAX</t>
  </si>
  <si>
    <t>LAS - JFK</t>
  </si>
  <si>
    <t>LAS - KOA</t>
  </si>
  <si>
    <t>LAS - LAX</t>
  </si>
  <si>
    <t>LAS - LBB</t>
  </si>
  <si>
    <t>LAS - LGB</t>
  </si>
  <si>
    <t>LAS - LIH</t>
  </si>
  <si>
    <t>LAS - LIT</t>
  </si>
  <si>
    <t>LAS - LRD</t>
  </si>
  <si>
    <t>LAS - MAF</t>
  </si>
  <si>
    <t>LAS - MCI</t>
  </si>
  <si>
    <t>LAS - MCO</t>
  </si>
  <si>
    <t>LAS - MDW</t>
  </si>
  <si>
    <t>LAS - MEM</t>
  </si>
  <si>
    <t>LAS - MFE</t>
  </si>
  <si>
    <t>LAS - MFR</t>
  </si>
  <si>
    <t>LAS - MIA</t>
  </si>
  <si>
    <t>LAS - MKE</t>
  </si>
  <si>
    <t>LAS - MLI</t>
  </si>
  <si>
    <t>LAS - MOT</t>
  </si>
  <si>
    <t>LAS - MRY</t>
  </si>
  <si>
    <t>LAS - MSN</t>
  </si>
  <si>
    <t>LAS - MSO</t>
  </si>
  <si>
    <t>LAS - MSP</t>
  </si>
  <si>
    <t>LAS - MSY</t>
  </si>
  <si>
    <t>LAS - OAK</t>
  </si>
  <si>
    <t>LAS - OGD</t>
  </si>
  <si>
    <t>LAS - OGG</t>
  </si>
  <si>
    <t>LAS - OKC</t>
  </si>
  <si>
    <t>LAS - OMA</t>
  </si>
  <si>
    <t>LAS - ONT</t>
  </si>
  <si>
    <t>LAS - ORD</t>
  </si>
  <si>
    <t>LAS - ORF</t>
  </si>
  <si>
    <t>LAS - PAE</t>
  </si>
  <si>
    <t>LAS - PDX</t>
  </si>
  <si>
    <t>LAS - PHL</t>
  </si>
  <si>
    <t>LAS - PHX</t>
  </si>
  <si>
    <t>LAS - PIA</t>
  </si>
  <si>
    <t>LAS - PIT</t>
  </si>
  <si>
    <t>LAS - PSC</t>
  </si>
  <si>
    <t>LAS - PSP</t>
  </si>
  <si>
    <t>LAS - PVU</t>
  </si>
  <si>
    <t>LAS - RAP</t>
  </si>
  <si>
    <t>LAS - RDM</t>
  </si>
  <si>
    <t>LAS - RDU</t>
  </si>
  <si>
    <t>LAS - RFD</t>
  </si>
  <si>
    <t>LAS - RIC</t>
  </si>
  <si>
    <t>LAS - RNO</t>
  </si>
  <si>
    <t>LAS - RSW</t>
  </si>
  <si>
    <t>LAS - SAN</t>
  </si>
  <si>
    <t>LAS - SAT</t>
  </si>
  <si>
    <t>LAS - SBA</t>
  </si>
  <si>
    <t>LAS - SBN</t>
  </si>
  <si>
    <t>LAS - SCK</t>
  </si>
  <si>
    <t>LAS - SDF</t>
  </si>
  <si>
    <t>LAS - SEA</t>
  </si>
  <si>
    <t>LAS - SFB</t>
  </si>
  <si>
    <t>LAS - SFO</t>
  </si>
  <si>
    <t>LAS - SGF</t>
  </si>
  <si>
    <t>LAS - SHV</t>
  </si>
  <si>
    <t>LAS - SJC</t>
  </si>
  <si>
    <t>LAS - SLC</t>
  </si>
  <si>
    <t>LAS - SMF</t>
  </si>
  <si>
    <t>LAS - SMX</t>
  </si>
  <si>
    <t>LAS - SNA</t>
  </si>
  <si>
    <t>LAS - STL</t>
  </si>
  <si>
    <t>LAS - TPA</t>
  </si>
  <si>
    <t>LAS - TUL</t>
  </si>
  <si>
    <t>LAS - TUS</t>
  </si>
  <si>
    <t>LAS - TYS</t>
  </si>
  <si>
    <t>LAS - VPS</t>
  </si>
  <si>
    <t>LAS - XNA</t>
  </si>
  <si>
    <t>LAW - DFW</t>
  </si>
  <si>
    <t>LAX - ABQ</t>
  </si>
  <si>
    <t>LAX - ACV</t>
  </si>
  <si>
    <t>LAX - ANC</t>
  </si>
  <si>
    <t>LAX - ASE</t>
  </si>
  <si>
    <t>LAX - ATL</t>
  </si>
  <si>
    <t>LAX - AUS</t>
  </si>
  <si>
    <t>LAX - BDL</t>
  </si>
  <si>
    <t>LAX - BIH</t>
  </si>
  <si>
    <t>LAX - BIL</t>
  </si>
  <si>
    <t>LAX - BLI</t>
  </si>
  <si>
    <t>LAX - BNA</t>
  </si>
  <si>
    <t>LAX - BOI</t>
  </si>
  <si>
    <t>LAX - BOS</t>
  </si>
  <si>
    <t>LAX - BTR</t>
  </si>
  <si>
    <t>LAX - BUF</t>
  </si>
  <si>
    <t>LAX - BWI</t>
  </si>
  <si>
    <t>LAX - BZN</t>
  </si>
  <si>
    <t>LAX - CHS</t>
  </si>
  <si>
    <t>LAX - CID</t>
  </si>
  <si>
    <t>LAX - CLE</t>
  </si>
  <si>
    <t>LAX - CLT</t>
  </si>
  <si>
    <t>LAX - CMH</t>
  </si>
  <si>
    <t>LAX - COS</t>
  </si>
  <si>
    <t>LAX - CVG</t>
  </si>
  <si>
    <t>LAX - DAL</t>
  </si>
  <si>
    <t>LAX - DCA</t>
  </si>
  <si>
    <t>LAX - DEN</t>
  </si>
  <si>
    <t>LAX - DFW</t>
  </si>
  <si>
    <t>LAX - DRO</t>
  </si>
  <si>
    <t>LAX - DSM</t>
  </si>
  <si>
    <t>LAX - DTW</t>
  </si>
  <si>
    <t>LAX - EGE</t>
  </si>
  <si>
    <t>LAX - ELP</t>
  </si>
  <si>
    <t>LAX - EUG</t>
  </si>
  <si>
    <t>LAX - EWR</t>
  </si>
  <si>
    <t>LAX - FAR</t>
  </si>
  <si>
    <t>LAX - FAT</t>
  </si>
  <si>
    <t>LAX - FCA</t>
  </si>
  <si>
    <t>LAX - FLG</t>
  </si>
  <si>
    <t>LAX - FLL</t>
  </si>
  <si>
    <t>LAX - FSD</t>
  </si>
  <si>
    <t>LAX - GEG</t>
  </si>
  <si>
    <t>LAX - GJT</t>
  </si>
  <si>
    <t>LAX - GRR</t>
  </si>
  <si>
    <t>LAX - HDN</t>
  </si>
  <si>
    <t>LAX - HNL</t>
  </si>
  <si>
    <t>LAX - HOU</t>
  </si>
  <si>
    <t>LAX - IAD</t>
  </si>
  <si>
    <t>LAX - IAH</t>
  </si>
  <si>
    <t>LAX - ICT</t>
  </si>
  <si>
    <t>LAX - IDA</t>
  </si>
  <si>
    <t>LAX - IND</t>
  </si>
  <si>
    <t>LAX - ITO</t>
  </si>
  <si>
    <t>LAX - JAC</t>
  </si>
  <si>
    <t>LAX - JAX</t>
  </si>
  <si>
    <t>LAX - JFK</t>
  </si>
  <si>
    <t>LAX - KOA</t>
  </si>
  <si>
    <t>LAX - LAS</t>
  </si>
  <si>
    <t>LAX - LGA</t>
  </si>
  <si>
    <t>LAX - LIH</t>
  </si>
  <si>
    <t>LAX - LIT</t>
  </si>
  <si>
    <t>LAX - MCI</t>
  </si>
  <si>
    <t>LAX - MCO</t>
  </si>
  <si>
    <t>LAX - MDW</t>
  </si>
  <si>
    <t>LAX - MEM</t>
  </si>
  <si>
    <t>LAX - MFE</t>
  </si>
  <si>
    <t>LAX - MFR</t>
  </si>
  <si>
    <t>LAX - MIA</t>
  </si>
  <si>
    <t>LAX - MKE</t>
  </si>
  <si>
    <t>LAX - MMH</t>
  </si>
  <si>
    <t>LAX - MRY</t>
  </si>
  <si>
    <t>LAX - MSN</t>
  </si>
  <si>
    <t>LAX - MSO</t>
  </si>
  <si>
    <t>LAX - MSP</t>
  </si>
  <si>
    <t>LAX - MSY</t>
  </si>
  <si>
    <t>LAX - MTJ</t>
  </si>
  <si>
    <t>LAX - OAK</t>
  </si>
  <si>
    <t>LAX - OGD</t>
  </si>
  <si>
    <t>LAX - OGG</t>
  </si>
  <si>
    <t>LAX - OKC</t>
  </si>
  <si>
    <t>LAX - OMA</t>
  </si>
  <si>
    <t>LAX - ORD</t>
  </si>
  <si>
    <t>LAX - PAE</t>
  </si>
  <si>
    <t>LAX - PBI</t>
  </si>
  <si>
    <t>LAX - PDX</t>
  </si>
  <si>
    <t>LAX - PHL</t>
  </si>
  <si>
    <t>LAX - PHX</t>
  </si>
  <si>
    <t>LAX - PIT</t>
  </si>
  <si>
    <t>LAX - PRC</t>
  </si>
  <si>
    <t>LAX - PSC</t>
  </si>
  <si>
    <t>LAX - PSP</t>
  </si>
  <si>
    <t>LAX - PVU</t>
  </si>
  <si>
    <t>LAX - RAP</t>
  </si>
  <si>
    <t>RDD</t>
  </si>
  <si>
    <t>LAX - RDD</t>
  </si>
  <si>
    <t>LAX - RDM</t>
  </si>
  <si>
    <t>LAX - RDU</t>
  </si>
  <si>
    <t>LAX - RIC</t>
  </si>
  <si>
    <t>LAX - RNO</t>
  </si>
  <si>
    <t>LAX - RSW</t>
  </si>
  <si>
    <t>LAX - SAF</t>
  </si>
  <si>
    <t>LAX - SAN</t>
  </si>
  <si>
    <t>LAX - SAT</t>
  </si>
  <si>
    <t>LAX - SBA</t>
  </si>
  <si>
    <t>LAX - SBN</t>
  </si>
  <si>
    <t>LAX - SBP</t>
  </si>
  <si>
    <t>LAX - SCK</t>
  </si>
  <si>
    <t>LAX - SDF</t>
  </si>
  <si>
    <t>LAX - SEA</t>
  </si>
  <si>
    <t>LAX - SFO</t>
  </si>
  <si>
    <t>LAX - SGF</t>
  </si>
  <si>
    <t>LAX - SGU</t>
  </si>
  <si>
    <t>LAX - SHV</t>
  </si>
  <si>
    <t>LAX - SJC</t>
  </si>
  <si>
    <t>LAX - SLC</t>
  </si>
  <si>
    <t>LAX - SMF</t>
  </si>
  <si>
    <t>LAX - STL</t>
  </si>
  <si>
    <t>LAX - STS</t>
  </si>
  <si>
    <t>LAX - SUN</t>
  </si>
  <si>
    <t>LAX - TPA</t>
  </si>
  <si>
    <t>LAX - TUL</t>
  </si>
  <si>
    <t>LAX - TUS</t>
  </si>
  <si>
    <t>LAX - XNA</t>
  </si>
  <si>
    <t>LBB - AUS</t>
  </si>
  <si>
    <t>LBB - DAL</t>
  </si>
  <si>
    <t>LBB - DEN</t>
  </si>
  <si>
    <t>LBB - DFW</t>
  </si>
  <si>
    <t>LBB - HOU</t>
  </si>
  <si>
    <t>LBB - IAH</t>
  </si>
  <si>
    <t>LBB - LAS</t>
  </si>
  <si>
    <t>LBB - PHX</t>
  </si>
  <si>
    <t>LBE - FLL</t>
  </si>
  <si>
    <t>LBE - MCO</t>
  </si>
  <si>
    <t>LBE - MYR</t>
  </si>
  <si>
    <t>LBE - RSW</t>
  </si>
  <si>
    <t>LBE - TPA</t>
  </si>
  <si>
    <t>LBF - BFF</t>
  </si>
  <si>
    <t>LBF - DEN</t>
  </si>
  <si>
    <t>LBF - EAR</t>
  </si>
  <si>
    <t>LBL - DDC</t>
  </si>
  <si>
    <t>LBL - DEN</t>
  </si>
  <si>
    <t>LBL - PUB</t>
  </si>
  <si>
    <t>LCH - DFW</t>
  </si>
  <si>
    <t>LCH - IAH</t>
  </si>
  <si>
    <t>LCK - AUS</t>
  </si>
  <si>
    <t>LCK - CHS</t>
  </si>
  <si>
    <t>LCK - FLL</t>
  </si>
  <si>
    <t>LCK - JAX</t>
  </si>
  <si>
    <t>LCK - MSY</t>
  </si>
  <si>
    <t>LCK - MYR</t>
  </si>
  <si>
    <t>LCK - ORF</t>
  </si>
  <si>
    <t>LCK - PGD</t>
  </si>
  <si>
    <t>LCK - PIE</t>
  </si>
  <si>
    <t>LCK - SAV</t>
  </si>
  <si>
    <t>LCK - SFB</t>
  </si>
  <si>
    <t>LCK - SRQ</t>
  </si>
  <si>
    <t>LCK - VPS</t>
  </si>
  <si>
    <t>LEX - ATL</t>
  </si>
  <si>
    <t>LEX - CLT</t>
  </si>
  <si>
    <t>LEX - DCA</t>
  </si>
  <si>
    <t>LEX - DFW</t>
  </si>
  <si>
    <t>LEX - DTW</t>
  </si>
  <si>
    <t>LEX - EWR</t>
  </si>
  <si>
    <t>LEX - FLL</t>
  </si>
  <si>
    <t>LEX - HOU</t>
  </si>
  <si>
    <t>LEX - IAD</t>
  </si>
  <si>
    <t>LEX - IAH</t>
  </si>
  <si>
    <t>LEX - LGA</t>
  </si>
  <si>
    <t>LEX - MIA</t>
  </si>
  <si>
    <t>LEX - MSP</t>
  </si>
  <si>
    <t>LEX - MYR</t>
  </si>
  <si>
    <t>LEX - ORD</t>
  </si>
  <si>
    <t>LEX - PGD</t>
  </si>
  <si>
    <t>LEX - PHL</t>
  </si>
  <si>
    <t>LEX - PIE</t>
  </si>
  <si>
    <t>LEX - SAV</t>
  </si>
  <si>
    <t>LEX - SFB</t>
  </si>
  <si>
    <t>LEX - VPS</t>
  </si>
  <si>
    <t>LFT - ATL</t>
  </si>
  <si>
    <t>LFT - CLT</t>
  </si>
  <si>
    <t>LFT - DEN</t>
  </si>
  <si>
    <t>LFT - DFW</t>
  </si>
  <si>
    <t>LFT - IAH</t>
  </si>
  <si>
    <t>LFT - MCO</t>
  </si>
  <si>
    <t>LGA - ACK</t>
  </si>
  <si>
    <t>LGA - AGS</t>
  </si>
  <si>
    <t>LGA - ALB</t>
  </si>
  <si>
    <t>LGA - ATL</t>
  </si>
  <si>
    <t>LGA - AVL</t>
  </si>
  <si>
    <t>LGA - BDL</t>
  </si>
  <si>
    <t>LGA - BGR</t>
  </si>
  <si>
    <t>LGA - BHM</t>
  </si>
  <si>
    <t>LGA - BNA</t>
  </si>
  <si>
    <t>LGA - BOS</t>
  </si>
  <si>
    <t>LGA - BTV</t>
  </si>
  <si>
    <t>LGA - BUF</t>
  </si>
  <si>
    <t>LGA - BWI</t>
  </si>
  <si>
    <t>LGA - BZN</t>
  </si>
  <si>
    <t>LGA - CAE</t>
  </si>
  <si>
    <t>LGA - CAK</t>
  </si>
  <si>
    <t>LGA - CHA</t>
  </si>
  <si>
    <t>LGA - CHO</t>
  </si>
  <si>
    <t>LGA - CHS</t>
  </si>
  <si>
    <t>LGA - CLE</t>
  </si>
  <si>
    <t>LGA - CLT</t>
  </si>
  <si>
    <t>LGA - CMH</t>
  </si>
  <si>
    <t>LGA - CVG</t>
  </si>
  <si>
    <t>LGA - DAB</t>
  </si>
  <si>
    <t>LGA - DAL</t>
  </si>
  <si>
    <t>LGA - DAY</t>
  </si>
  <si>
    <t>LGA - DCA</t>
  </si>
  <si>
    <t>LGA - DEN</t>
  </si>
  <si>
    <t>LGA - DFW</t>
  </si>
  <si>
    <t>LGA - DSM</t>
  </si>
  <si>
    <t>LGA - DTW</t>
  </si>
  <si>
    <t>LGA - EGE</t>
  </si>
  <si>
    <t>LGA - EYW</t>
  </si>
  <si>
    <t>LGA - FCA</t>
  </si>
  <si>
    <t>LGA - FLL</t>
  </si>
  <si>
    <t>LGA - GRR</t>
  </si>
  <si>
    <t>LGA - GSO</t>
  </si>
  <si>
    <t>LGA - GSP</t>
  </si>
  <si>
    <t>LGA - HHH</t>
  </si>
  <si>
    <t>LGA - HOU</t>
  </si>
  <si>
    <t>LGA - IAD</t>
  </si>
  <si>
    <t>LGA - IAH</t>
  </si>
  <si>
    <t>LGA - ILM</t>
  </si>
  <si>
    <t>LGA - IND</t>
  </si>
  <si>
    <t>LGA - JAC</t>
  </si>
  <si>
    <t>LGA - JAX</t>
  </si>
  <si>
    <t>LGA - LAX</t>
  </si>
  <si>
    <t>LGA - LEX</t>
  </si>
  <si>
    <t>LGA - MCI</t>
  </si>
  <si>
    <t>LGA - MCO</t>
  </si>
  <si>
    <t>LGA - MDW</t>
  </si>
  <si>
    <t>LGA - MEM</t>
  </si>
  <si>
    <t>LGA - MHT</t>
  </si>
  <si>
    <t>LGA - MIA</t>
  </si>
  <si>
    <t>LGA - MKE</t>
  </si>
  <si>
    <t>LGA - MSN</t>
  </si>
  <si>
    <t>LGA - MSP</t>
  </si>
  <si>
    <t>LGA - MSY</t>
  </si>
  <si>
    <t>LGA - MTJ</t>
  </si>
  <si>
    <t>LGA - MVY</t>
  </si>
  <si>
    <t>LGA - MYR</t>
  </si>
  <si>
    <t>LGA - OKC</t>
  </si>
  <si>
    <t>LGA - OMA</t>
  </si>
  <si>
    <t>LGA - ORD</t>
  </si>
  <si>
    <t>LGA - ORF</t>
  </si>
  <si>
    <t>LGA - ORH</t>
  </si>
  <si>
    <t>LGA - PBI</t>
  </si>
  <si>
    <t>LGA - PHL</t>
  </si>
  <si>
    <t>LGA - PHX</t>
  </si>
  <si>
    <t>LGA - PIT</t>
  </si>
  <si>
    <t>LGA - PNS</t>
  </si>
  <si>
    <t>LGA - PVD</t>
  </si>
  <si>
    <t>LGA - PWM</t>
  </si>
  <si>
    <t>LGA - RAP</t>
  </si>
  <si>
    <t>LGA - RDU</t>
  </si>
  <si>
    <t>LGA - RIC</t>
  </si>
  <si>
    <t>LGA - ROA</t>
  </si>
  <si>
    <t>LGA - ROC</t>
  </si>
  <si>
    <t>LGA - RSW</t>
  </si>
  <si>
    <t>LGA - SAT</t>
  </si>
  <si>
    <t>LGA - SAV</t>
  </si>
  <si>
    <t>LGA - SBN</t>
  </si>
  <si>
    <t>LGA - SDF</t>
  </si>
  <si>
    <t>LGA - SJU</t>
  </si>
  <si>
    <t>LGA - SRQ</t>
  </si>
  <si>
    <t>LGA - STL</t>
  </si>
  <si>
    <t>LGA - SYR</t>
  </si>
  <si>
    <t>LGA - TPA</t>
  </si>
  <si>
    <t>LGA - TVC</t>
  </si>
  <si>
    <t>LGA - TYS</t>
  </si>
  <si>
    <t>LGA - VPS</t>
  </si>
  <si>
    <t>LGA - XNA</t>
  </si>
  <si>
    <t>LGB - AUS</t>
  </si>
  <si>
    <t>LGB - BOS</t>
  </si>
  <si>
    <t>LGB - BZN</t>
  </si>
  <si>
    <t>LGB - DAL</t>
  </si>
  <si>
    <t>LGB - DEN</t>
  </si>
  <si>
    <t>LGB - DFW</t>
  </si>
  <si>
    <t>LGB - FLL</t>
  </si>
  <si>
    <t>LGB - HDN</t>
  </si>
  <si>
    <t>LGB - HNL</t>
  </si>
  <si>
    <t>LGB - HOU</t>
  </si>
  <si>
    <t>LGB - JFK</t>
  </si>
  <si>
    <t>LGB - LAS</t>
  </si>
  <si>
    <t>LGB - MDW</t>
  </si>
  <si>
    <t>LGB - OAK</t>
  </si>
  <si>
    <t>LGB - OGG</t>
  </si>
  <si>
    <t>LGB - PDX</t>
  </si>
  <si>
    <t>LGB - PHX</t>
  </si>
  <si>
    <t>LGB - PSP</t>
  </si>
  <si>
    <t>LGB - RNO</t>
  </si>
  <si>
    <t>LGB - SEA</t>
  </si>
  <si>
    <t>LGB - SFO</t>
  </si>
  <si>
    <t>LGB - SJC</t>
  </si>
  <si>
    <t>LGB - SLC</t>
  </si>
  <si>
    <t>LGB - SMF</t>
  </si>
  <si>
    <t>LGB - STL</t>
  </si>
  <si>
    <t>LIH - DEN</t>
  </si>
  <si>
    <t>LIH - DFW</t>
  </si>
  <si>
    <t>LIH - HNL</t>
  </si>
  <si>
    <t>LIH - KOA</t>
  </si>
  <si>
    <t>LIH - LAS</t>
  </si>
  <si>
    <t>LIH - LAX</t>
  </si>
  <si>
    <t>LIH - OAK</t>
  </si>
  <si>
    <t>LIH - OGG</t>
  </si>
  <si>
    <t>LIH - PDX</t>
  </si>
  <si>
    <t>LIH - PHX</t>
  </si>
  <si>
    <t>LIH - SAN</t>
  </si>
  <si>
    <t>LIH - SEA</t>
  </si>
  <si>
    <t>LIH - SFO</t>
  </si>
  <si>
    <t>LIH - SJC</t>
  </si>
  <si>
    <t>LIT - ATL</t>
  </si>
  <si>
    <t>LIT - CLT</t>
  </si>
  <si>
    <t>LIT - DAL</t>
  </si>
  <si>
    <t>LIT - DCA</t>
  </si>
  <si>
    <t>LIT - DEN</t>
  </si>
  <si>
    <t>LIT - DFW</t>
  </si>
  <si>
    <t>LIT - DTW</t>
  </si>
  <si>
    <t>LIT - HOU</t>
  </si>
  <si>
    <t>LIT - IAH</t>
  </si>
  <si>
    <t>LIT - LAS</t>
  </si>
  <si>
    <t>LIT - LAX</t>
  </si>
  <si>
    <t>LIT - MCO</t>
  </si>
  <si>
    <t>LIT - MIA</t>
  </si>
  <si>
    <t>LIT - ORD</t>
  </si>
  <si>
    <t>LIT - PHX</t>
  </si>
  <si>
    <t>LIT - PIE</t>
  </si>
  <si>
    <t>LIT - SFB</t>
  </si>
  <si>
    <t>LIT - STL</t>
  </si>
  <si>
    <t>LIT - VPS</t>
  </si>
  <si>
    <t>LNK - ATL</t>
  </si>
  <si>
    <t>LNK - CMH</t>
  </si>
  <si>
    <t>LNK - DEN</t>
  </si>
  <si>
    <t>LNK - DTW</t>
  </si>
  <si>
    <t>LNK - LAN</t>
  </si>
  <si>
    <t>LNK - MSP</t>
  </si>
  <si>
    <t>LNK - ORD</t>
  </si>
  <si>
    <t>LNY - HNL</t>
  </si>
  <si>
    <t>LNY - MKK</t>
  </si>
  <si>
    <t>LRD - DFW</t>
  </si>
  <si>
    <t>LRD - IAH</t>
  </si>
  <si>
    <t>LRD - LAS</t>
  </si>
  <si>
    <t>LSE - DTW</t>
  </si>
  <si>
    <t>LSE - MSP</t>
  </si>
  <si>
    <t>LSE - ORD</t>
  </si>
  <si>
    <t>LWB - IAD</t>
  </si>
  <si>
    <t>LWB - ORD</t>
  </si>
  <si>
    <t>LWB - SHD</t>
  </si>
  <si>
    <t>LWS - BOI</t>
  </si>
  <si>
    <t>LWS - DEN</t>
  </si>
  <si>
    <t>LWS - SEA</t>
  </si>
  <si>
    <t>LWS - SLC</t>
  </si>
  <si>
    <t>LYH - CLT</t>
  </si>
  <si>
    <t>MAF - AUS</t>
  </si>
  <si>
    <t>MAF - DAL</t>
  </si>
  <si>
    <t>MAF - DEN</t>
  </si>
  <si>
    <t>MAF - DFW</t>
  </si>
  <si>
    <t>MAF - HOU</t>
  </si>
  <si>
    <t>MAF - IAH</t>
  </si>
  <si>
    <t>MAF - LAS</t>
  </si>
  <si>
    <t>MAF - PHX</t>
  </si>
  <si>
    <t>MBS - APN</t>
  </si>
  <si>
    <t>MBS - DTW</t>
  </si>
  <si>
    <t>MBS - MSP</t>
  </si>
  <si>
    <t>MBS - ORD</t>
  </si>
  <si>
    <t>MCI - ABQ</t>
  </si>
  <si>
    <t>MCI - ATL</t>
  </si>
  <si>
    <t>MCI - AUS</t>
  </si>
  <si>
    <t>MCI - AZA</t>
  </si>
  <si>
    <t>MCI - BNA</t>
  </si>
  <si>
    <t>MCI - BOS</t>
  </si>
  <si>
    <t>MCI - BUF</t>
  </si>
  <si>
    <t>MCI - BWI</t>
  </si>
  <si>
    <t>MCI - CHS</t>
  </si>
  <si>
    <t>MCI - CLT</t>
  </si>
  <si>
    <t>MCI - CVG</t>
  </si>
  <si>
    <t>MCI - DAL</t>
  </si>
  <si>
    <t>MCI - DCA</t>
  </si>
  <si>
    <t>MCI - DEN</t>
  </si>
  <si>
    <t>MCI - DFW</t>
  </si>
  <si>
    <t>MCI - DTW</t>
  </si>
  <si>
    <t>MCI - ECP</t>
  </si>
  <si>
    <t>MCI - EWR</t>
  </si>
  <si>
    <t>MCI - FLL</t>
  </si>
  <si>
    <t>MCI - HOU</t>
  </si>
  <si>
    <t>MCI - IAD</t>
  </si>
  <si>
    <t>MCI - IAH</t>
  </si>
  <si>
    <t>MCI - IND</t>
  </si>
  <si>
    <t>MCI - JAX</t>
  </si>
  <si>
    <t>MCI - JFK</t>
  </si>
  <si>
    <t>MCI - LAS</t>
  </si>
  <si>
    <t>MCI - LAX</t>
  </si>
  <si>
    <t>MCI - LGA</t>
  </si>
  <si>
    <t>MCI - MCO</t>
  </si>
  <si>
    <t>MCI - MDW</t>
  </si>
  <si>
    <t>MCI - MIA</t>
  </si>
  <si>
    <t>MCI - MKE</t>
  </si>
  <si>
    <t>MCI - MSP</t>
  </si>
  <si>
    <t>MCI - MSY</t>
  </si>
  <si>
    <t>MCI - MYR</t>
  </si>
  <si>
    <t>MCI - OAK</t>
  </si>
  <si>
    <t>MCI - ORD</t>
  </si>
  <si>
    <t>MCI - PDX</t>
  </si>
  <si>
    <t>MCI - PGD</t>
  </si>
  <si>
    <t>MCI - PHL</t>
  </si>
  <si>
    <t>MCI - PHX</t>
  </si>
  <si>
    <t>MCI - PIE</t>
  </si>
  <si>
    <t>MCI - PNS</t>
  </si>
  <si>
    <t>MCI - RDU</t>
  </si>
  <si>
    <t>MCI - RSW</t>
  </si>
  <si>
    <t>MCI - SAN</t>
  </si>
  <si>
    <t>MCI - SAT</t>
  </si>
  <si>
    <t>MCI - SEA</t>
  </si>
  <si>
    <t>MCI - SFB</t>
  </si>
  <si>
    <t>MCI - SFO</t>
  </si>
  <si>
    <t>MCI - SLC</t>
  </si>
  <si>
    <t>MCI - SNA</t>
  </si>
  <si>
    <t>MCI - SRQ</t>
  </si>
  <si>
    <t>MCI - STL</t>
  </si>
  <si>
    <t>MCI - TPA</t>
  </si>
  <si>
    <t>MCI - VPS</t>
  </si>
  <si>
    <t>MCO - ABQ</t>
  </si>
  <si>
    <t>MCO - ACY</t>
  </si>
  <si>
    <t>MCO - ALB</t>
  </si>
  <si>
    <t>MCO - ATL</t>
  </si>
  <si>
    <t>MCO - AUS</t>
  </si>
  <si>
    <t>MCO - AVL</t>
  </si>
  <si>
    <t>MCO - BDL</t>
  </si>
  <si>
    <t>MCO - BFM</t>
  </si>
  <si>
    <t>MCO - BHM</t>
  </si>
  <si>
    <t>MCO - BMI</t>
  </si>
  <si>
    <t>MCO - BNA</t>
  </si>
  <si>
    <t>MCO - BOS</t>
  </si>
  <si>
    <t>MCO - BQN</t>
  </si>
  <si>
    <t>MCO - BTV</t>
  </si>
  <si>
    <t>MCO - BUF</t>
  </si>
  <si>
    <t>MCO - BWI</t>
  </si>
  <si>
    <t>MCO - CAK</t>
  </si>
  <si>
    <t>MCO - CID</t>
  </si>
  <si>
    <t>MCO - CLE</t>
  </si>
  <si>
    <t>MCO - CLT</t>
  </si>
  <si>
    <t>MCO - CMH</t>
  </si>
  <si>
    <t>MCO - COS</t>
  </si>
  <si>
    <t>MCO - CRW</t>
  </si>
  <si>
    <t>MCO - CVG</t>
  </si>
  <si>
    <t>MCO - DAL</t>
  </si>
  <si>
    <t>MCO - DAY</t>
  </si>
  <si>
    <t>MCO - DCA</t>
  </si>
  <si>
    <t>MCO - DEN</t>
  </si>
  <si>
    <t>MCO - DFW</t>
  </si>
  <si>
    <t>MCO - DSM</t>
  </si>
  <si>
    <t>MCO - DTW</t>
  </si>
  <si>
    <t>MCO - ELP</t>
  </si>
  <si>
    <t>MCO - EWR</t>
  </si>
  <si>
    <t>MCO - EYW</t>
  </si>
  <si>
    <t>MCO - FAR</t>
  </si>
  <si>
    <t>MCO - FLL</t>
  </si>
  <si>
    <t>MCO - FNT</t>
  </si>
  <si>
    <t>MCO - FSD</t>
  </si>
  <si>
    <t>MCO - GRB</t>
  </si>
  <si>
    <t>MCO - GRR</t>
  </si>
  <si>
    <t>MCO - GSO</t>
  </si>
  <si>
    <t>MCO - GSP</t>
  </si>
  <si>
    <t>MCO - HNL</t>
  </si>
  <si>
    <t>MCO - HOU</t>
  </si>
  <si>
    <t>MCO - HPN</t>
  </si>
  <si>
    <t>MCO - HRL</t>
  </si>
  <si>
    <t>MCO - HSV</t>
  </si>
  <si>
    <t>MCO - IAD</t>
  </si>
  <si>
    <t>MCO - IAH</t>
  </si>
  <si>
    <t>MCO - ILG</t>
  </si>
  <si>
    <t>MCO - IND</t>
  </si>
  <si>
    <t>MCO - ISP</t>
  </si>
  <si>
    <t>MCO - JAN</t>
  </si>
  <si>
    <t>MCO - JAX</t>
  </si>
  <si>
    <t>MCO - JFK</t>
  </si>
  <si>
    <t>MCO - LAS</t>
  </si>
  <si>
    <t>MCO - LAX</t>
  </si>
  <si>
    <t>MCO - LBE</t>
  </si>
  <si>
    <t>MCO - LFT</t>
  </si>
  <si>
    <t>MCO - LGA</t>
  </si>
  <si>
    <t>MCO - LIT</t>
  </si>
  <si>
    <t>MCO - MCI</t>
  </si>
  <si>
    <t>MCO - MDT</t>
  </si>
  <si>
    <t>MCO - MDW</t>
  </si>
  <si>
    <t>MCO - MEM</t>
  </si>
  <si>
    <t>MCO - MHT</t>
  </si>
  <si>
    <t>MCO - MIA</t>
  </si>
  <si>
    <t>MCO - MKE</t>
  </si>
  <si>
    <t>MCO - MSN</t>
  </si>
  <si>
    <t>MCO - MSP</t>
  </si>
  <si>
    <t>MCO - MSY</t>
  </si>
  <si>
    <t>MCO - MYR</t>
  </si>
  <si>
    <t>MCO - OAK</t>
  </si>
  <si>
    <t>MCO - OKC</t>
  </si>
  <si>
    <t>MCO - OMA</t>
  </si>
  <si>
    <t>MCO - ONT</t>
  </si>
  <si>
    <t>MCO - ORD</t>
  </si>
  <si>
    <t>MCO - ORF</t>
  </si>
  <si>
    <t>MCO - ORH</t>
  </si>
  <si>
    <t>MCO - PDX</t>
  </si>
  <si>
    <t>MCO - PHL</t>
  </si>
  <si>
    <t>MCO - PHX</t>
  </si>
  <si>
    <t>MCO - PIT</t>
  </si>
  <si>
    <t>MCO - PNS</t>
  </si>
  <si>
    <t>MCO - PSE</t>
  </si>
  <si>
    <t>MCO - PSM</t>
  </si>
  <si>
    <t>MCO - PVD</t>
  </si>
  <si>
    <t>MCO - PWM</t>
  </si>
  <si>
    <t>MCO - RDU</t>
  </si>
  <si>
    <t>MCO - RIC</t>
  </si>
  <si>
    <t>MCO - ROC</t>
  </si>
  <si>
    <t>MCO - RSW</t>
  </si>
  <si>
    <t>MCO - SAN</t>
  </si>
  <si>
    <t>MCO - SAT</t>
  </si>
  <si>
    <t>MCO - SDF</t>
  </si>
  <si>
    <t>MCO - SEA</t>
  </si>
  <si>
    <t>MCO - SFO</t>
  </si>
  <si>
    <t>MCO - SJC</t>
  </si>
  <si>
    <t>MCO - SJU</t>
  </si>
  <si>
    <t>MCO - SLC</t>
  </si>
  <si>
    <t>MCO - SMF</t>
  </si>
  <si>
    <t>MCO - SRQ</t>
  </si>
  <si>
    <t>MCO - STL</t>
  </si>
  <si>
    <t>MCO - STT</t>
  </si>
  <si>
    <t>MCO - SWF</t>
  </si>
  <si>
    <t>MCO - SYR</t>
  </si>
  <si>
    <t>MCO - TTN</t>
  </si>
  <si>
    <t>MCO - TUL</t>
  </si>
  <si>
    <t>MCO - TYS</t>
  </si>
  <si>
    <t>MCO - XNA</t>
  </si>
  <si>
    <t>MCW - FOD</t>
  </si>
  <si>
    <t>MCW - ORD</t>
  </si>
  <si>
    <t>MDT - ATL</t>
  </si>
  <si>
    <t>MDT - BNA</t>
  </si>
  <si>
    <t>MDT - BOS</t>
  </si>
  <si>
    <t>MDT - CLT</t>
  </si>
  <si>
    <t>MDT - DEN</t>
  </si>
  <si>
    <t>MDT - DFW</t>
  </si>
  <si>
    <t>MDT - DTW</t>
  </si>
  <si>
    <t>MDT - EWR</t>
  </si>
  <si>
    <t>MDT - FLL</t>
  </si>
  <si>
    <t>MDT - HPN</t>
  </si>
  <si>
    <t>MDT - IAD</t>
  </si>
  <si>
    <t>MDT - MCO</t>
  </si>
  <si>
    <t>MDT - MYR</t>
  </si>
  <si>
    <t>MDT - ORD</t>
  </si>
  <si>
    <t>MDT - PGD</t>
  </si>
  <si>
    <t>MDT - PHL</t>
  </si>
  <si>
    <t>MDT - PIE</t>
  </si>
  <si>
    <t>MDT - RDU</t>
  </si>
  <si>
    <t>MDT - SFB</t>
  </si>
  <si>
    <t>MDT - SRQ</t>
  </si>
  <si>
    <t>MDW - ABE</t>
  </si>
  <si>
    <t>MDW - ABQ</t>
  </si>
  <si>
    <t>MDW - ALB</t>
  </si>
  <si>
    <t>MDW - ATL</t>
  </si>
  <si>
    <t>MDW - AUS</t>
  </si>
  <si>
    <t>MDW - AVL</t>
  </si>
  <si>
    <t>MDW - BDL</t>
  </si>
  <si>
    <t>MDW - BHM</t>
  </si>
  <si>
    <t>MDW - BNA</t>
  </si>
  <si>
    <t>MDW - BOI</t>
  </si>
  <si>
    <t>MDW - BOS</t>
  </si>
  <si>
    <t>MDW - BUF</t>
  </si>
  <si>
    <t>MDW - BUR</t>
  </si>
  <si>
    <t>MDW - BWI</t>
  </si>
  <si>
    <t>MDW - BZN</t>
  </si>
  <si>
    <t>MDW - CHS</t>
  </si>
  <si>
    <t>MDW - CLE</t>
  </si>
  <si>
    <t>MDW - CLT</t>
  </si>
  <si>
    <t>MDW - CMH</t>
  </si>
  <si>
    <t>MDW - COS</t>
  </si>
  <si>
    <t>MDW - CVG</t>
  </si>
  <si>
    <t>MDW - DAL</t>
  </si>
  <si>
    <t>MDW - DCA</t>
  </si>
  <si>
    <t>MDW - DEN</t>
  </si>
  <si>
    <t>MDW - DFW</t>
  </si>
  <si>
    <t>MDW - DSM</t>
  </si>
  <si>
    <t>MDW - DTW</t>
  </si>
  <si>
    <t>MDW - ECP</t>
  </si>
  <si>
    <t>MDW - EWR</t>
  </si>
  <si>
    <t>MDW - FLL</t>
  </si>
  <si>
    <t>MDW - FNT</t>
  </si>
  <si>
    <t>MDW - GEG</t>
  </si>
  <si>
    <t>MDW - GRR</t>
  </si>
  <si>
    <t>MDW - HOU</t>
  </si>
  <si>
    <t>MDW - IAD</t>
  </si>
  <si>
    <t>MDW - IAH</t>
  </si>
  <si>
    <t>MDW - IND</t>
  </si>
  <si>
    <t>MDW - JAX</t>
  </si>
  <si>
    <t>MDW - LAS</t>
  </si>
  <si>
    <t>MDW - LAX</t>
  </si>
  <si>
    <t>MDW - LGA</t>
  </si>
  <si>
    <t>MDW - LGB</t>
  </si>
  <si>
    <t>MDW - MCI</t>
  </si>
  <si>
    <t>MDW - MCO</t>
  </si>
  <si>
    <t>MDW - MEM</t>
  </si>
  <si>
    <t>MDW - MHT</t>
  </si>
  <si>
    <t>MDW - MIA</t>
  </si>
  <si>
    <t>MDW - MSP</t>
  </si>
  <si>
    <t>MDW - MSY</t>
  </si>
  <si>
    <t>MDW - MYR</t>
  </si>
  <si>
    <t>MDW - OAK</t>
  </si>
  <si>
    <t>MDW - OKC</t>
  </si>
  <si>
    <t>MDW - OMA</t>
  </si>
  <si>
    <t>MDW - ONT</t>
  </si>
  <si>
    <t>MDW - ORF</t>
  </si>
  <si>
    <t>MDW - PBI</t>
  </si>
  <si>
    <t>MDW - PDX</t>
  </si>
  <si>
    <t>MDW - PGD</t>
  </si>
  <si>
    <t>MDW - PHL</t>
  </si>
  <si>
    <t>MDW - PHX</t>
  </si>
  <si>
    <t>MDW - PIT</t>
  </si>
  <si>
    <t>MDW - PNS</t>
  </si>
  <si>
    <t>MDW - PSP</t>
  </si>
  <si>
    <t>MDW - PVD</t>
  </si>
  <si>
    <t>MDW - PWM</t>
  </si>
  <si>
    <t>MDW - RDU</t>
  </si>
  <si>
    <t>MDW - RIC</t>
  </si>
  <si>
    <t>MDW - RNO</t>
  </si>
  <si>
    <t>MDW - ROC</t>
  </si>
  <si>
    <t>MDW - RSW</t>
  </si>
  <si>
    <t>MDW - SAN</t>
  </si>
  <si>
    <t>MDW - SAT</t>
  </si>
  <si>
    <t>MDW - SAV</t>
  </si>
  <si>
    <t>MDW - SDF</t>
  </si>
  <si>
    <t>MDW - SEA</t>
  </si>
  <si>
    <t>MDW - SFO</t>
  </si>
  <si>
    <t>MDW - SJC</t>
  </si>
  <si>
    <t>MDW - SJU</t>
  </si>
  <si>
    <t>MDW - SLC</t>
  </si>
  <si>
    <t>MDW - SMF</t>
  </si>
  <si>
    <t>MDW - SNA</t>
  </si>
  <si>
    <t>MDW - SRQ</t>
  </si>
  <si>
    <t>MDW - STL</t>
  </si>
  <si>
    <t>MDW - TPA</t>
  </si>
  <si>
    <t>MDW - TTN</t>
  </si>
  <si>
    <t>MDW - TUL</t>
  </si>
  <si>
    <t>MDW - TUS</t>
  </si>
  <si>
    <t>MDW - TYS</t>
  </si>
  <si>
    <t>MDW - VPS</t>
  </si>
  <si>
    <t>MEI - DFW</t>
  </si>
  <si>
    <t>MEI - IAH</t>
  </si>
  <si>
    <t>MEI - ORD</t>
  </si>
  <si>
    <t>MEI - PIB</t>
  </si>
  <si>
    <t>MEM - ATL</t>
  </si>
  <si>
    <t>MEM - AUS</t>
  </si>
  <si>
    <t>MEM - AZA</t>
  </si>
  <si>
    <t>MEM - BOS</t>
  </si>
  <si>
    <t>MEM - BWI</t>
  </si>
  <si>
    <t>MEM - CLT</t>
  </si>
  <si>
    <t>MEM - CVG</t>
  </si>
  <si>
    <t>MEM - DAL</t>
  </si>
  <si>
    <t>MEM - DCA</t>
  </si>
  <si>
    <t>MEM - DEN</t>
  </si>
  <si>
    <t>MEM - DFW</t>
  </si>
  <si>
    <t>MEM - DSM</t>
  </si>
  <si>
    <t>MEM - DTW</t>
  </si>
  <si>
    <t>MEM - EWR</t>
  </si>
  <si>
    <t>MEM - FLL</t>
  </si>
  <si>
    <t>MEM - HOU</t>
  </si>
  <si>
    <t>MEM - IAH</t>
  </si>
  <si>
    <t>MEM - IND</t>
  </si>
  <si>
    <t>MEM - LAS</t>
  </si>
  <si>
    <t>MEM - LAX</t>
  </si>
  <si>
    <t>MEM - LGA</t>
  </si>
  <si>
    <t>MEM - MCO</t>
  </si>
  <si>
    <t>MEM - MDW</t>
  </si>
  <si>
    <t>MEM - MIA</t>
  </si>
  <si>
    <t>MEM - MSP</t>
  </si>
  <si>
    <t>MEM - OAK</t>
  </si>
  <si>
    <t>MEM - ORD</t>
  </si>
  <si>
    <t>MEM - PBI</t>
  </si>
  <si>
    <t>MEM - PGD</t>
  </si>
  <si>
    <t>MEM - PHL</t>
  </si>
  <si>
    <t>MEM - PHX</t>
  </si>
  <si>
    <t>MEM - PIE</t>
  </si>
  <si>
    <t>MEM - PIT</t>
  </si>
  <si>
    <t>MEM - SAT</t>
  </si>
  <si>
    <t>MEM - SFB</t>
  </si>
  <si>
    <t>MEM - SLC</t>
  </si>
  <si>
    <t>MEM - TPA</t>
  </si>
  <si>
    <t>MEM - VPS</t>
  </si>
  <si>
    <t>MFE - AZA</t>
  </si>
  <si>
    <t>MFE - BNA</t>
  </si>
  <si>
    <t>MFE - BRO</t>
  </si>
  <si>
    <t>MFE - DFW</t>
  </si>
  <si>
    <t>MFE - IAH</t>
  </si>
  <si>
    <t>MFE - LAS</t>
  </si>
  <si>
    <t>MFE - LAX</t>
  </si>
  <si>
    <t>MFE - SFB</t>
  </si>
  <si>
    <t>MFR - ACV</t>
  </si>
  <si>
    <t>MFR - AZA</t>
  </si>
  <si>
    <t>MFR - DEN</t>
  </si>
  <si>
    <t>MFR - LAS</t>
  </si>
  <si>
    <t>MFR - LAX</t>
  </si>
  <si>
    <t>MFR - PDX</t>
  </si>
  <si>
    <t>MFR - PHX</t>
  </si>
  <si>
    <t>MFR - SAN</t>
  </si>
  <si>
    <t>MFR - SEA</t>
  </si>
  <si>
    <t>MFR - SFO</t>
  </si>
  <si>
    <t>MFR - SLC</t>
  </si>
  <si>
    <t>MFR - SNA</t>
  </si>
  <si>
    <t>MGM - ATL</t>
  </si>
  <si>
    <t>MGM - CLT</t>
  </si>
  <si>
    <t>MGM - DCA</t>
  </si>
  <si>
    <t>MGM - DFW</t>
  </si>
  <si>
    <t>MHK - DFW</t>
  </si>
  <si>
    <t>MHK - ORD</t>
  </si>
  <si>
    <t>MHT - ATL</t>
  </si>
  <si>
    <t>MHT - BWI</t>
  </si>
  <si>
    <t>MHT - CLT</t>
  </si>
  <si>
    <t>MHT - DCA</t>
  </si>
  <si>
    <t>MHT - DTW</t>
  </si>
  <si>
    <t>MHT - EWR</t>
  </si>
  <si>
    <t>MHT - FLL</t>
  </si>
  <si>
    <t>MHT - IAD</t>
  </si>
  <si>
    <t>MHT - LGA</t>
  </si>
  <si>
    <t>MHT - MCO</t>
  </si>
  <si>
    <t>MHT - MDW</t>
  </si>
  <si>
    <t>MHT - MYR</t>
  </si>
  <si>
    <t>MHT - ORD</t>
  </si>
  <si>
    <t>MHT - PHL</t>
  </si>
  <si>
    <t>MHT - RSW</t>
  </si>
  <si>
    <t>MHT - TPA</t>
  </si>
  <si>
    <t>MIA - ACY</t>
  </si>
  <si>
    <t>MIA - AGS</t>
  </si>
  <si>
    <t>MIA - ALB</t>
  </si>
  <si>
    <t>MIA - ATL</t>
  </si>
  <si>
    <t>MIA - AUS</t>
  </si>
  <si>
    <t>MIA - AVL</t>
  </si>
  <si>
    <t>MIA - BDL</t>
  </si>
  <si>
    <t>MIA - BGR</t>
  </si>
  <si>
    <t>MIA - BHM</t>
  </si>
  <si>
    <t>MIA - BNA</t>
  </si>
  <si>
    <t>MIA - BOS</t>
  </si>
  <si>
    <t>MIA - BTV</t>
  </si>
  <si>
    <t>MIA - BUF</t>
  </si>
  <si>
    <t>MIA - BWI</t>
  </si>
  <si>
    <t>MIA - CAE</t>
  </si>
  <si>
    <t>MIA - CHA</t>
  </si>
  <si>
    <t>MIA - CHS</t>
  </si>
  <si>
    <t>MIA - CLE</t>
  </si>
  <si>
    <t>MIA - CLT</t>
  </si>
  <si>
    <t>MIA - CMH</t>
  </si>
  <si>
    <t>MIA - CVG</t>
  </si>
  <si>
    <t>MIA - DAL</t>
  </si>
  <si>
    <t>MIA - DAY</t>
  </si>
  <si>
    <t>MIA - DCA</t>
  </si>
  <si>
    <t>MIA - DEN</t>
  </si>
  <si>
    <t>MIA - DFW</t>
  </si>
  <si>
    <t>MIA - DSM</t>
  </si>
  <si>
    <t>MIA - DTW</t>
  </si>
  <si>
    <t>MIA - EGE</t>
  </si>
  <si>
    <t>MIA - EWR</t>
  </si>
  <si>
    <t>MIA - EYW</t>
  </si>
  <si>
    <t>MIA - GNV</t>
  </si>
  <si>
    <t>MIA - GRR</t>
  </si>
  <si>
    <t>MIA - GSO</t>
  </si>
  <si>
    <t>MIA - GSP</t>
  </si>
  <si>
    <t>MIA - HOU</t>
  </si>
  <si>
    <t>MIA - HSV</t>
  </si>
  <si>
    <t>MIA - IAD</t>
  </si>
  <si>
    <t>MIA - IAH</t>
  </si>
  <si>
    <t>MIA - IND</t>
  </si>
  <si>
    <t>MIA - ISP</t>
  </si>
  <si>
    <t>MIA - JAN</t>
  </si>
  <si>
    <t>MIA - JAX</t>
  </si>
  <si>
    <t>MIA - JFK</t>
  </si>
  <si>
    <t>MIA - LAS</t>
  </si>
  <si>
    <t>MIA - LAX</t>
  </si>
  <si>
    <t>MIA - LEX</t>
  </si>
  <si>
    <t>MIA - LGA</t>
  </si>
  <si>
    <t>MIA - LIT</t>
  </si>
  <si>
    <t>MIA - MCI</t>
  </si>
  <si>
    <t>MIA - MCO</t>
  </si>
  <si>
    <t>MIA - MDW</t>
  </si>
  <si>
    <t>MIA - MEM</t>
  </si>
  <si>
    <t>MIA - MKE</t>
  </si>
  <si>
    <t>MIA - MSN</t>
  </si>
  <si>
    <t>MIA - MSP</t>
  </si>
  <si>
    <t>MIA - MSY</t>
  </si>
  <si>
    <t>MIA - MYR</t>
  </si>
  <si>
    <t>MIA - OKC</t>
  </si>
  <si>
    <t>MIA - OMA</t>
  </si>
  <si>
    <t>MIA - ORD</t>
  </si>
  <si>
    <t>MIA - ORF</t>
  </si>
  <si>
    <t>MIA - PBI</t>
  </si>
  <si>
    <t>MIA - PHL</t>
  </si>
  <si>
    <t>MIA - PHX</t>
  </si>
  <si>
    <t>MIA - PIT</t>
  </si>
  <si>
    <t>MIA - PNS</t>
  </si>
  <si>
    <t>MIA - PVD</t>
  </si>
  <si>
    <t>MIA - PWM</t>
  </si>
  <si>
    <t>MIA - RDU</t>
  </si>
  <si>
    <t>MIA - RIC</t>
  </si>
  <si>
    <t>MIA - ROC</t>
  </si>
  <si>
    <t>MIA - RSW</t>
  </si>
  <si>
    <t>MIA - SAN</t>
  </si>
  <si>
    <t>MIA - SAT</t>
  </si>
  <si>
    <t>MIA - SAV</t>
  </si>
  <si>
    <t>MIA - SDF</t>
  </si>
  <si>
    <t>MIA - SEA</t>
  </si>
  <si>
    <t>MIA - SFO</t>
  </si>
  <si>
    <t>MIA - SJC</t>
  </si>
  <si>
    <t>MIA - SJU</t>
  </si>
  <si>
    <t>MIA - SLC</t>
  </si>
  <si>
    <t>MIA - STL</t>
  </si>
  <si>
    <t>MIA - STT</t>
  </si>
  <si>
    <t>MIA - STX</t>
  </si>
  <si>
    <t>MIA - SWF</t>
  </si>
  <si>
    <t>MIA - SYR</t>
  </si>
  <si>
    <t>MIA - TLH</t>
  </si>
  <si>
    <t>MIA - TPA</t>
  </si>
  <si>
    <t>MIA - TTN</t>
  </si>
  <si>
    <t>MIA - TUL</t>
  </si>
  <si>
    <t>MIA - TYS</t>
  </si>
  <si>
    <t>MIA - XNA</t>
  </si>
  <si>
    <t>MKE - ATL</t>
  </si>
  <si>
    <t>MKE - ATW</t>
  </si>
  <si>
    <t>MKE - AUS</t>
  </si>
  <si>
    <t>MKE - AZA</t>
  </si>
  <si>
    <t>MKE - BNA</t>
  </si>
  <si>
    <t>MKE - BOS</t>
  </si>
  <si>
    <t>MKE - BWI</t>
  </si>
  <si>
    <t>MKE - CHS</t>
  </si>
  <si>
    <t>MKE - CLE</t>
  </si>
  <si>
    <t>MKE - CLT</t>
  </si>
  <si>
    <t>MKE - CVG</t>
  </si>
  <si>
    <t>MKE - DAL</t>
  </si>
  <si>
    <t>MKE - DCA</t>
  </si>
  <si>
    <t>MKE - DEN</t>
  </si>
  <si>
    <t>MKE - DFW</t>
  </si>
  <si>
    <t>MKE - DTW</t>
  </si>
  <si>
    <t>MKE - ESC</t>
  </si>
  <si>
    <t>MKE - EWR</t>
  </si>
  <si>
    <t>MKE - FLL</t>
  </si>
  <si>
    <t>MKE - HOU</t>
  </si>
  <si>
    <t>MKE - IAD</t>
  </si>
  <si>
    <t>MKE - IAH</t>
  </si>
  <si>
    <t>MKE - JAX</t>
  </si>
  <si>
    <t>MKE - JFK</t>
  </si>
  <si>
    <t>MKE - LAS</t>
  </si>
  <si>
    <t>MKE - LAX</t>
  </si>
  <si>
    <t>MKE - LGA</t>
  </si>
  <si>
    <t>MKE - MCI</t>
  </si>
  <si>
    <t>MKE - MCO</t>
  </si>
  <si>
    <t>MKE - MIA</t>
  </si>
  <si>
    <t>MKE - MQT</t>
  </si>
  <si>
    <t>MKE - MSP</t>
  </si>
  <si>
    <t>MKE - MYR</t>
  </si>
  <si>
    <t>MKE - ORD</t>
  </si>
  <si>
    <t>MKE - PDX</t>
  </si>
  <si>
    <t>MKE - PGD</t>
  </si>
  <si>
    <t>MKE - PHL</t>
  </si>
  <si>
    <t>MKE - PHX</t>
  </si>
  <si>
    <t>MKE - PIE</t>
  </si>
  <si>
    <t>MKE - PNS</t>
  </si>
  <si>
    <t>MKE - PWM</t>
  </si>
  <si>
    <t>MKE - RDU</t>
  </si>
  <si>
    <t>MKE - RSW</t>
  </si>
  <si>
    <t>MKE - SAN</t>
  </si>
  <si>
    <t>MKE - SAV</t>
  </si>
  <si>
    <t>MKE - SEA</t>
  </si>
  <si>
    <t>MKE - SFB</t>
  </si>
  <si>
    <t>MKE - SFO</t>
  </si>
  <si>
    <t>MKE - SLC</t>
  </si>
  <si>
    <t>MKE - SRQ</t>
  </si>
  <si>
    <t>MKE - STL</t>
  </si>
  <si>
    <t>MKE - TPA</t>
  </si>
  <si>
    <t>MKE - VPS</t>
  </si>
  <si>
    <t>MKG</t>
  </si>
  <si>
    <t>MKG - MBS</t>
  </si>
  <si>
    <t>MKG - ORD</t>
  </si>
  <si>
    <t>MKK - HNL</t>
  </si>
  <si>
    <t>MKK - OGG</t>
  </si>
  <si>
    <t>MLB - ATL</t>
  </si>
  <si>
    <t>MLB - BNA</t>
  </si>
  <si>
    <t>MLB - CLT</t>
  </si>
  <si>
    <t>MLB - DCA</t>
  </si>
  <si>
    <t>MLB - DFW</t>
  </si>
  <si>
    <t>MLB - DTW</t>
  </si>
  <si>
    <t>MLB - PHL</t>
  </si>
  <si>
    <t>MLB - PIT</t>
  </si>
  <si>
    <t>MLB - USA</t>
  </si>
  <si>
    <t>MLI - ATL</t>
  </si>
  <si>
    <t>MLI - AZA</t>
  </si>
  <si>
    <t>MLI - DEN</t>
  </si>
  <si>
    <t>MLI - DFW</t>
  </si>
  <si>
    <t>MLI - DTW</t>
  </si>
  <si>
    <t>MLI - LAS</t>
  </si>
  <si>
    <t>MLI - MSP</t>
  </si>
  <si>
    <t>MLI - ORD</t>
  </si>
  <si>
    <t>MLI - PGD</t>
  </si>
  <si>
    <t>MLI - PIE</t>
  </si>
  <si>
    <t>MLI - SFB</t>
  </si>
  <si>
    <t>MLU - ATL</t>
  </si>
  <si>
    <t>MLU - DFW</t>
  </si>
  <si>
    <t>MLU - IAH</t>
  </si>
  <si>
    <t>MMH - DEN</t>
  </si>
  <si>
    <t>MMH - LAX</t>
  </si>
  <si>
    <t>MMH - SAN</t>
  </si>
  <si>
    <t>MMH - SFO</t>
  </si>
  <si>
    <t>MOB - ATL</t>
  </si>
  <si>
    <t>MOB - CLT</t>
  </si>
  <si>
    <t>MOB - DFW</t>
  </si>
  <si>
    <t>MOB - IAH</t>
  </si>
  <si>
    <t>MOB - ORD</t>
  </si>
  <si>
    <t>MOT - ABR</t>
  </si>
  <si>
    <t>MOT - AZA</t>
  </si>
  <si>
    <t>MOT - DEN</t>
  </si>
  <si>
    <t>MOT - JMS</t>
  </si>
  <si>
    <t>MOT - LAS</t>
  </si>
  <si>
    <t>MOT - MSP</t>
  </si>
  <si>
    <t>MQT - DTW</t>
  </si>
  <si>
    <t>MQT - MSP</t>
  </si>
  <si>
    <t>MQT - ORD</t>
  </si>
  <si>
    <t>MRY - DEN</t>
  </si>
  <si>
    <t>MRY - DFW</t>
  </si>
  <si>
    <t>MRY - LAS</t>
  </si>
  <si>
    <t>MRY - LAX</t>
  </si>
  <si>
    <t>MRY - PDX</t>
  </si>
  <si>
    <t>MRY - PHX</t>
  </si>
  <si>
    <t>MRY - SAN</t>
  </si>
  <si>
    <t>MRY - SEA</t>
  </si>
  <si>
    <t>MRY - SFO</t>
  </si>
  <si>
    <t>MSN - ATL</t>
  </si>
  <si>
    <t>MSN - AUS</t>
  </si>
  <si>
    <t>MSN - BNA</t>
  </si>
  <si>
    <t>MSN - BOS</t>
  </si>
  <si>
    <t>MSN - CLE</t>
  </si>
  <si>
    <t>MSN - CLT</t>
  </si>
  <si>
    <t>MSN - CMH</t>
  </si>
  <si>
    <t>MSN - CVG</t>
  </si>
  <si>
    <t>MSN - DCA</t>
  </si>
  <si>
    <t>MSN - DEN</t>
  </si>
  <si>
    <t>MSN - DFW</t>
  </si>
  <si>
    <t>MSN - DTW</t>
  </si>
  <si>
    <t>MSN - EWR</t>
  </si>
  <si>
    <t>MSN - IAD</t>
  </si>
  <si>
    <t>MSN - IAH</t>
  </si>
  <si>
    <t>MSN - LAS</t>
  </si>
  <si>
    <t>MSN - LAX</t>
  </si>
  <si>
    <t>MSN - LGA</t>
  </si>
  <si>
    <t>MSN - MCO</t>
  </si>
  <si>
    <t>MSN - MIA</t>
  </si>
  <si>
    <t>MSN - MKE</t>
  </si>
  <si>
    <t>MSN - MSP</t>
  </si>
  <si>
    <t>MSN - ORD</t>
  </si>
  <si>
    <t>MSN - PHL</t>
  </si>
  <si>
    <t>MSN - PHX</t>
  </si>
  <si>
    <t>MSN - RDU</t>
  </si>
  <si>
    <t>MSN - SEA</t>
  </si>
  <si>
    <t>MSN - SFO</t>
  </si>
  <si>
    <t>MSN - SLC</t>
  </si>
  <si>
    <t>MSN - STL</t>
  </si>
  <si>
    <t>MSO - ATL</t>
  </si>
  <si>
    <t>MSO - AZA</t>
  </si>
  <si>
    <t>MSO - BZN</t>
  </si>
  <si>
    <t>MSO - DEN</t>
  </si>
  <si>
    <t>MSO - DFW</t>
  </si>
  <si>
    <t>MSO - LAS</t>
  </si>
  <si>
    <t>MSO - LAX</t>
  </si>
  <si>
    <t>MSO - MSP</t>
  </si>
  <si>
    <t>MSO - OAK</t>
  </si>
  <si>
    <t>MSO - ORD</t>
  </si>
  <si>
    <t>MSO - PDX</t>
  </si>
  <si>
    <t>MSO - SAN</t>
  </si>
  <si>
    <t>MSO - SEA</t>
  </si>
  <si>
    <t>MSO - SFO</t>
  </si>
  <si>
    <t>MSO - SJC</t>
  </si>
  <si>
    <t>MSO - SLC</t>
  </si>
  <si>
    <t>MSO - SNA</t>
  </si>
  <si>
    <t>MSP - ABQ</t>
  </si>
  <si>
    <t>MSP - ABR</t>
  </si>
  <si>
    <t>MSP - ALB</t>
  </si>
  <si>
    <t>MSP - ANC</t>
  </si>
  <si>
    <t>MSP - ASE</t>
  </si>
  <si>
    <t>MSP - ATL</t>
  </si>
  <si>
    <t>MSP - ATW</t>
  </si>
  <si>
    <t>MSP - AUS</t>
  </si>
  <si>
    <t>MSP - AVL</t>
  </si>
  <si>
    <t>MSP - AZA</t>
  </si>
  <si>
    <t>MSP - AZO</t>
  </si>
  <si>
    <t>MSP - BDL</t>
  </si>
  <si>
    <t>MSP - BIL</t>
  </si>
  <si>
    <t>MSP - BIS</t>
  </si>
  <si>
    <t>MSP - BJI</t>
  </si>
  <si>
    <t>MSP - BMI</t>
  </si>
  <si>
    <t>MSP - BNA</t>
  </si>
  <si>
    <t>MSP - BOI</t>
  </si>
  <si>
    <t>MSP - BOS</t>
  </si>
  <si>
    <t>MSP - BRD</t>
  </si>
  <si>
    <t>MSP - BTV</t>
  </si>
  <si>
    <t>MSP - BUF</t>
  </si>
  <si>
    <t>MSP - BWI</t>
  </si>
  <si>
    <t>MSP - BZN</t>
  </si>
  <si>
    <t>MSP - CHA</t>
  </si>
  <si>
    <t>MSP - CHS</t>
  </si>
  <si>
    <t>MSP - CID</t>
  </si>
  <si>
    <t>MSP - CIU</t>
  </si>
  <si>
    <t>MSP - CLE</t>
  </si>
  <si>
    <t>MSP - CLT</t>
  </si>
  <si>
    <t>MSP - CMH</t>
  </si>
  <si>
    <t>MSP - COS</t>
  </si>
  <si>
    <t>MSP - CVG</t>
  </si>
  <si>
    <t>MSP - CWA</t>
  </si>
  <si>
    <t>MSP - DAL</t>
  </si>
  <si>
    <t>MSP - DAY</t>
  </si>
  <si>
    <t>MSP - DCA</t>
  </si>
  <si>
    <t>MSP - DEN</t>
  </si>
  <si>
    <t>MSP - DFW</t>
  </si>
  <si>
    <t>MSP - DLH</t>
  </si>
  <si>
    <t>MSP - DSM</t>
  </si>
  <si>
    <t>MSP - DTW</t>
  </si>
  <si>
    <t>MSP - ESC</t>
  </si>
  <si>
    <t>MSP - EWR</t>
  </si>
  <si>
    <t>MSP - FAI</t>
  </si>
  <si>
    <t>MSP - FAR</t>
  </si>
  <si>
    <t>MSP - FCA</t>
  </si>
  <si>
    <t>MSP - FLL</t>
  </si>
  <si>
    <t>MSP - FNT</t>
  </si>
  <si>
    <t>MSP - FSD</t>
  </si>
  <si>
    <t>MSP - FWA</t>
  </si>
  <si>
    <t>MSP - GEG</t>
  </si>
  <si>
    <t>MSP - GFK</t>
  </si>
  <si>
    <t>MSP - GRB</t>
  </si>
  <si>
    <t>MSP - GRR</t>
  </si>
  <si>
    <t>MSP - GTF</t>
  </si>
  <si>
    <t>MSP - HDN</t>
  </si>
  <si>
    <t>MSP - HIB</t>
  </si>
  <si>
    <t>MSP - HLN</t>
  </si>
  <si>
    <t>MSP - HNL</t>
  </si>
  <si>
    <t>MSP - HOU</t>
  </si>
  <si>
    <t>MSP - HRL</t>
  </si>
  <si>
    <t>MSP - HSV</t>
  </si>
  <si>
    <t>MSP - IAD</t>
  </si>
  <si>
    <t>MSP - IAH</t>
  </si>
  <si>
    <t>MSP - ICT</t>
  </si>
  <si>
    <t>MSP - IDA</t>
  </si>
  <si>
    <t>MSP - IMT</t>
  </si>
  <si>
    <t>MSP - IND</t>
  </si>
  <si>
    <t>MSP - INL</t>
  </si>
  <si>
    <t>MSP - ISN</t>
  </si>
  <si>
    <t>MSP - ISP</t>
  </si>
  <si>
    <t>MSP - JAC</t>
  </si>
  <si>
    <t>MSP - JAX</t>
  </si>
  <si>
    <t>MSP - JFK</t>
  </si>
  <si>
    <t>MSP - LAN</t>
  </si>
  <si>
    <t>MSP - LAS</t>
  </si>
  <si>
    <t>MSP - LAX</t>
  </si>
  <si>
    <t>MSP - LEX</t>
  </si>
  <si>
    <t>MSP - LGA</t>
  </si>
  <si>
    <t>MSP - LNK</t>
  </si>
  <si>
    <t>MSP - LSE</t>
  </si>
  <si>
    <t>MSP - MBS</t>
  </si>
  <si>
    <t>MSP - MCI</t>
  </si>
  <si>
    <t>MSP - MCO</t>
  </si>
  <si>
    <t>MSP - MDW</t>
  </si>
  <si>
    <t>MSP - MEM</t>
  </si>
  <si>
    <t>MSP - MIA</t>
  </si>
  <si>
    <t>MSP - MKE</t>
  </si>
  <si>
    <t>MSP - MLI</t>
  </si>
  <si>
    <t>MSP - MOT</t>
  </si>
  <si>
    <t>MSP - MQT</t>
  </si>
  <si>
    <t>MSP - MSN</t>
  </si>
  <si>
    <t>MSP - MSO</t>
  </si>
  <si>
    <t>MSP - MSY</t>
  </si>
  <si>
    <t>MSP - MYR</t>
  </si>
  <si>
    <t>MSP - OAK</t>
  </si>
  <si>
    <t>MSP - OKC</t>
  </si>
  <si>
    <t>MSP - OMA</t>
  </si>
  <si>
    <t>MSP - ORD</t>
  </si>
  <si>
    <t>MSP - ORF</t>
  </si>
  <si>
    <t>MSP - PBI</t>
  </si>
  <si>
    <t>MSP - PDX</t>
  </si>
  <si>
    <t>MSP - PGD</t>
  </si>
  <si>
    <t>MSP - PHL</t>
  </si>
  <si>
    <t>MSP - PHX</t>
  </si>
  <si>
    <t>MSP - PIA</t>
  </si>
  <si>
    <t>MSP - PIR</t>
  </si>
  <si>
    <t>MSP - PIT</t>
  </si>
  <si>
    <t>MSP - PSC</t>
  </si>
  <si>
    <t>MSP - PSP</t>
  </si>
  <si>
    <t>MSP - PVD</t>
  </si>
  <si>
    <t>MSP - PWM</t>
  </si>
  <si>
    <t>MSP - RAP</t>
  </si>
  <si>
    <t>MSP - RDU</t>
  </si>
  <si>
    <t>RHI</t>
  </si>
  <si>
    <t>MSP - RHI</t>
  </si>
  <si>
    <t>MSP - RIC</t>
  </si>
  <si>
    <t>MSP - RNO</t>
  </si>
  <si>
    <t>MSP - ROC</t>
  </si>
  <si>
    <t>MSP - RST</t>
  </si>
  <si>
    <t>MSP - RSW</t>
  </si>
  <si>
    <t>MSP - SAN</t>
  </si>
  <si>
    <t>MSP - SAT</t>
  </si>
  <si>
    <t>MSP - SAV</t>
  </si>
  <si>
    <t>MSP - SBN</t>
  </si>
  <si>
    <t>MSP - SDF</t>
  </si>
  <si>
    <t>MSP - SEA</t>
  </si>
  <si>
    <t>MSP - SFO</t>
  </si>
  <si>
    <t>MSP - SJC</t>
  </si>
  <si>
    <t>MSP - SJU</t>
  </si>
  <si>
    <t>MSP - SLC</t>
  </si>
  <si>
    <t>MSP - SMF</t>
  </si>
  <si>
    <t>MSP - SNA</t>
  </si>
  <si>
    <t>MSP - SRQ</t>
  </si>
  <si>
    <t>MSP - STL</t>
  </si>
  <si>
    <t>MSP - STT</t>
  </si>
  <si>
    <t>MSP - SYR</t>
  </si>
  <si>
    <t>MSP - TPA</t>
  </si>
  <si>
    <t>MSP - TTN</t>
  </si>
  <si>
    <t>MSP - TUL</t>
  </si>
  <si>
    <t>MSP - TUS</t>
  </si>
  <si>
    <t>MSP - TVC</t>
  </si>
  <si>
    <t>MSP - TYS</t>
  </si>
  <si>
    <t>MSP - VPS</t>
  </si>
  <si>
    <t>MSP - XNA</t>
  </si>
  <si>
    <t>MSP - XWA</t>
  </si>
  <si>
    <t>MSY - ACY</t>
  </si>
  <si>
    <t>MSY - ATL</t>
  </si>
  <si>
    <t>MSY - AUS</t>
  </si>
  <si>
    <t>MSY - BNA</t>
  </si>
  <si>
    <t>MSY - BOS</t>
  </si>
  <si>
    <t>MSY - BWI</t>
  </si>
  <si>
    <t>MSY - CLE</t>
  </si>
  <si>
    <t>MSY - CLT</t>
  </si>
  <si>
    <t>MSY - CMH</t>
  </si>
  <si>
    <t>MSY - CVG</t>
  </si>
  <si>
    <t>MSY - DAL</t>
  </si>
  <si>
    <t>MSY - DCA</t>
  </si>
  <si>
    <t>MSY - DEN</t>
  </si>
  <si>
    <t>MSY - DFW</t>
  </si>
  <si>
    <t>MSY - DTW</t>
  </si>
  <si>
    <t>MSY - EWR</t>
  </si>
  <si>
    <t>MSY - FLL</t>
  </si>
  <si>
    <t>MSY - GRR</t>
  </si>
  <si>
    <t>MSY - GSP</t>
  </si>
  <si>
    <t>MSY - HOU</t>
  </si>
  <si>
    <t>MSY - IAD</t>
  </si>
  <si>
    <t>MSY - IAH</t>
  </si>
  <si>
    <t>MSY - IND</t>
  </si>
  <si>
    <t>MSY - ISP</t>
  </si>
  <si>
    <t>MSY - JFK</t>
  </si>
  <si>
    <t>MSY - LAS</t>
  </si>
  <si>
    <t>MSY - LAX</t>
  </si>
  <si>
    <t>MSY - LCK</t>
  </si>
  <si>
    <t>MSY - LGA</t>
  </si>
  <si>
    <t>MSY - MCI</t>
  </si>
  <si>
    <t>MSY - MCO</t>
  </si>
  <si>
    <t>MSY - MDW</t>
  </si>
  <si>
    <t>MSY - MIA</t>
  </si>
  <si>
    <t>MSY - MSP</t>
  </si>
  <si>
    <t>MSY - OAK</t>
  </si>
  <si>
    <t>MSY - OKC</t>
  </si>
  <si>
    <t>MSY - ORD</t>
  </si>
  <si>
    <t>MSY - PHL</t>
  </si>
  <si>
    <t>MSY - PHX</t>
  </si>
  <si>
    <t>MSY - PIE</t>
  </si>
  <si>
    <t>MSY - PIT</t>
  </si>
  <si>
    <t>MSY - PNS</t>
  </si>
  <si>
    <t>MSY - PVD</t>
  </si>
  <si>
    <t>MSY - RDU</t>
  </si>
  <si>
    <t>MSY - SAN</t>
  </si>
  <si>
    <t>MSY - SAT</t>
  </si>
  <si>
    <t>MSY - SDF</t>
  </si>
  <si>
    <t>MSY - SEA</t>
  </si>
  <si>
    <t>MSY - SFB</t>
  </si>
  <si>
    <t>MSY - SFO</t>
  </si>
  <si>
    <t>MSY - SJC</t>
  </si>
  <si>
    <t>MSY - SLC</t>
  </si>
  <si>
    <t>MSY - SMF</t>
  </si>
  <si>
    <t>MSY - STL</t>
  </si>
  <si>
    <t>MSY - TPA</t>
  </si>
  <si>
    <t>MSY - USA</t>
  </si>
  <si>
    <t>MTJ - ATL</t>
  </si>
  <si>
    <t>MTJ - BOS</t>
  </si>
  <si>
    <t>MTJ - CLT</t>
  </si>
  <si>
    <t>MTJ - DAL</t>
  </si>
  <si>
    <t>MTJ - DEN</t>
  </si>
  <si>
    <t>MTJ - DFW</t>
  </si>
  <si>
    <t>MTJ - EWR</t>
  </si>
  <si>
    <t>MTJ - GJT</t>
  </si>
  <si>
    <t>MTJ - HOU</t>
  </si>
  <si>
    <t>MTJ - IAH</t>
  </si>
  <si>
    <t>MTJ - LAX</t>
  </si>
  <si>
    <t>MTJ - LGA</t>
  </si>
  <si>
    <t>MTJ - ORD</t>
  </si>
  <si>
    <t>MTJ - PHX</t>
  </si>
  <si>
    <t>MTJ - SFO</t>
  </si>
  <si>
    <t>MTJ - SLC</t>
  </si>
  <si>
    <t>MVY - BOS</t>
  </si>
  <si>
    <t>MVY - CLT</t>
  </si>
  <si>
    <t>MVY - DCA</t>
  </si>
  <si>
    <t>MVY - EWR</t>
  </si>
  <si>
    <t>MVY - JFK</t>
  </si>
  <si>
    <t>MVY - LGA</t>
  </si>
  <si>
    <t>MVY - ORD</t>
  </si>
  <si>
    <t>MVY - PHL</t>
  </si>
  <si>
    <t>MYR - ABE</t>
  </si>
  <si>
    <t>MYR - ACY</t>
  </si>
  <si>
    <t>MYR - ALB</t>
  </si>
  <si>
    <t>MYR - ATL</t>
  </si>
  <si>
    <t>MYR - BDL</t>
  </si>
  <si>
    <t>MYR - BLV</t>
  </si>
  <si>
    <t>MYR - BNA</t>
  </si>
  <si>
    <t>MYR - BOS</t>
  </si>
  <si>
    <t>MYR - BUF</t>
  </si>
  <si>
    <t>MYR - BWI</t>
  </si>
  <si>
    <t>MYR - CAK</t>
  </si>
  <si>
    <t>MYR - CKB</t>
  </si>
  <si>
    <t>MYR - CLE</t>
  </si>
  <si>
    <t>MYR - CLT</t>
  </si>
  <si>
    <t>MYR - CMH</t>
  </si>
  <si>
    <t>MYR - CRW</t>
  </si>
  <si>
    <t>MYR - CVG</t>
  </si>
  <si>
    <t>MYR - DAL</t>
  </si>
  <si>
    <t>MYR - DAY</t>
  </si>
  <si>
    <t>MYR - DCA</t>
  </si>
  <si>
    <t>MYR - DEN</t>
  </si>
  <si>
    <t>MYR - DFW</t>
  </si>
  <si>
    <t>MYR - DTW</t>
  </si>
  <si>
    <t>MYR - EWR</t>
  </si>
  <si>
    <t>MYR - FLL</t>
  </si>
  <si>
    <t>MYR - FNT</t>
  </si>
  <si>
    <t>MYR - FWA</t>
  </si>
  <si>
    <t>MYR - HGR</t>
  </si>
  <si>
    <t>MYR - HTS</t>
  </si>
  <si>
    <t>MYR - IAD</t>
  </si>
  <si>
    <t>MYR - IAG</t>
  </si>
  <si>
    <t>MYR - IAH</t>
  </si>
  <si>
    <t>MYR - IND</t>
  </si>
  <si>
    <t>MYR - ISP</t>
  </si>
  <si>
    <t>MYR - LBE</t>
  </si>
  <si>
    <t>MYR - LCK</t>
  </si>
  <si>
    <t>MYR - LEX</t>
  </si>
  <si>
    <t>MYR - LGA</t>
  </si>
  <si>
    <t>MYR - MCI</t>
  </si>
  <si>
    <t>MYR - MCO</t>
  </si>
  <si>
    <t>MYR - MDT</t>
  </si>
  <si>
    <t>MYR - MDW</t>
  </si>
  <si>
    <t>MYR - MHT</t>
  </si>
  <si>
    <t>MYR - MIA</t>
  </si>
  <si>
    <t>MYR - MKE</t>
  </si>
  <si>
    <t>MYR - MSP</t>
  </si>
  <si>
    <t>MYR - ORD</t>
  </si>
  <si>
    <t>MYR - PBG</t>
  </si>
  <si>
    <t>MYR - PHL</t>
  </si>
  <si>
    <t>MYR - PIT</t>
  </si>
  <si>
    <t>MYR - PSM</t>
  </si>
  <si>
    <t>MYR - PVD</t>
  </si>
  <si>
    <t>MYR - PWM</t>
  </si>
  <si>
    <t>MYR - SDF</t>
  </si>
  <si>
    <t>MYR - STL</t>
  </si>
  <si>
    <t>MYR - SWF</t>
  </si>
  <si>
    <t>MYR - SYR</t>
  </si>
  <si>
    <t>MYR - TTN</t>
  </si>
  <si>
    <t>MYR - TYS</t>
  </si>
  <si>
    <t>OAJ - ATL</t>
  </si>
  <si>
    <t>OAJ - CLT</t>
  </si>
  <si>
    <t>OAK - ABQ</t>
  </si>
  <si>
    <t>OAK - ATL</t>
  </si>
  <si>
    <t>OAK - AUS</t>
  </si>
  <si>
    <t>OAK - AZA</t>
  </si>
  <si>
    <t>OAK - BLI</t>
  </si>
  <si>
    <t>OAK - BNA</t>
  </si>
  <si>
    <t>OAK - BOI</t>
  </si>
  <si>
    <t>OAK - BOS</t>
  </si>
  <si>
    <t>OAK - BUR</t>
  </si>
  <si>
    <t>OAK - BWI</t>
  </si>
  <si>
    <t>OAK - BZN</t>
  </si>
  <si>
    <t>OAK - CMH</t>
  </si>
  <si>
    <t>OAK - DAL</t>
  </si>
  <si>
    <t>OAK - DEN</t>
  </si>
  <si>
    <t>OAK - DFW</t>
  </si>
  <si>
    <t>OAK - DTW</t>
  </si>
  <si>
    <t>OAK - EUG</t>
  </si>
  <si>
    <t>OAK - EWR</t>
  </si>
  <si>
    <t>OAK - FCA</t>
  </si>
  <si>
    <t>OAK - FLL</t>
  </si>
  <si>
    <t>OAK - GEG</t>
  </si>
  <si>
    <t>OAK - HNL</t>
  </si>
  <si>
    <t>OAK - HOU</t>
  </si>
  <si>
    <t>OAK - IAH</t>
  </si>
  <si>
    <t>OAK - IDA</t>
  </si>
  <si>
    <t>OAK - IND</t>
  </si>
  <si>
    <t>OAK - JFK</t>
  </si>
  <si>
    <t>OAK - KOA</t>
  </si>
  <si>
    <t>OAK - LAS</t>
  </si>
  <si>
    <t>OAK - LAX</t>
  </si>
  <si>
    <t>OAK - LGB</t>
  </si>
  <si>
    <t>OAK - LIH</t>
  </si>
  <si>
    <t>OAK - MCI</t>
  </si>
  <si>
    <t>OAK - MCO</t>
  </si>
  <si>
    <t>OAK - MDW</t>
  </si>
  <si>
    <t>OAK - MEM</t>
  </si>
  <si>
    <t>OAK - MSO</t>
  </si>
  <si>
    <t>OAK - MSP</t>
  </si>
  <si>
    <t>OAK - MSY</t>
  </si>
  <si>
    <t>OAK - OGG</t>
  </si>
  <si>
    <t>OAK - ONT</t>
  </si>
  <si>
    <t>OAK - ORD</t>
  </si>
  <si>
    <t>OAK - PDX</t>
  </si>
  <si>
    <t>OAK - PHL</t>
  </si>
  <si>
    <t>OAK - PHX</t>
  </si>
  <si>
    <t>OAK - PSP</t>
  </si>
  <si>
    <t>OAK - PVU</t>
  </si>
  <si>
    <t>OAK - RNO</t>
  </si>
  <si>
    <t>OAK - SAN</t>
  </si>
  <si>
    <t>OAK - SAT</t>
  </si>
  <si>
    <t>OAK - SBA</t>
  </si>
  <si>
    <t>OAK - SEA</t>
  </si>
  <si>
    <t>OAK - SLC</t>
  </si>
  <si>
    <t>OAK - SMF</t>
  </si>
  <si>
    <t>OAK - SNA</t>
  </si>
  <si>
    <t>OAK - STL</t>
  </si>
  <si>
    <t>OAK - TUS</t>
  </si>
  <si>
    <t>OGD - AZA</t>
  </si>
  <si>
    <t>OGD - LAS</t>
  </si>
  <si>
    <t>OGD - LAX</t>
  </si>
  <si>
    <t>OGG - ANC</t>
  </si>
  <si>
    <t>OGG - BLI</t>
  </si>
  <si>
    <t>OGG - DEN</t>
  </si>
  <si>
    <t>OGG - DFW</t>
  </si>
  <si>
    <t>OGG - EWR</t>
  </si>
  <si>
    <t>OGG - HNL</t>
  </si>
  <si>
    <t>OGG - ITO</t>
  </si>
  <si>
    <t>OGG - JHM</t>
  </si>
  <si>
    <t>OGG - KOA</t>
  </si>
  <si>
    <t>OGG - LAS</t>
  </si>
  <si>
    <t>OGG - LAX</t>
  </si>
  <si>
    <t>OGG - LGB</t>
  </si>
  <si>
    <t>OGG - LIH</t>
  </si>
  <si>
    <t>OGG - MKK</t>
  </si>
  <si>
    <t>OGG - OAK</t>
  </si>
  <si>
    <t>OGG - ORD</t>
  </si>
  <si>
    <t>OGG - PDX</t>
  </si>
  <si>
    <t>OGG - PHX</t>
  </si>
  <si>
    <t>OGG - SAN</t>
  </si>
  <si>
    <t>OGG - SEA</t>
  </si>
  <si>
    <t>OGG - SFO</t>
  </si>
  <si>
    <t>OGG - SJC</t>
  </si>
  <si>
    <t>OGG - SLC</t>
  </si>
  <si>
    <t>OGG - SMF</t>
  </si>
  <si>
    <t>OGS - IAD</t>
  </si>
  <si>
    <t>OGS - ORD</t>
  </si>
  <si>
    <t>OGS - PBG</t>
  </si>
  <si>
    <t>OGS - PIE</t>
  </si>
  <si>
    <t>OGS - SFB</t>
  </si>
  <si>
    <t>OKC - ASE</t>
  </si>
  <si>
    <t>OKC - ATL</t>
  </si>
  <si>
    <t>OKC - AUS</t>
  </si>
  <si>
    <t>OKC - BNA</t>
  </si>
  <si>
    <t>OKC - BWI</t>
  </si>
  <si>
    <t>OKC - CLT</t>
  </si>
  <si>
    <t>OKC - DAL</t>
  </si>
  <si>
    <t>OKC - DCA</t>
  </si>
  <si>
    <t>OKC - DEN</t>
  </si>
  <si>
    <t>OKC - DFW</t>
  </si>
  <si>
    <t>OKC - DTW</t>
  </si>
  <si>
    <t>OKC - EWR</t>
  </si>
  <si>
    <t>OKC - FLL</t>
  </si>
  <si>
    <t>OKC - HOU</t>
  </si>
  <si>
    <t>OKC - IAD</t>
  </si>
  <si>
    <t>OKC - IAH</t>
  </si>
  <si>
    <t>OKC - ICT</t>
  </si>
  <si>
    <t>OKC - LAS</t>
  </si>
  <si>
    <t>OKC - LAX</t>
  </si>
  <si>
    <t>OKC - LGA</t>
  </si>
  <si>
    <t>OKC - LIT</t>
  </si>
  <si>
    <t>OKC - MCO</t>
  </si>
  <si>
    <t>OKC - MDW</t>
  </si>
  <si>
    <t>OKC - MIA</t>
  </si>
  <si>
    <t>OKC - MSP</t>
  </si>
  <si>
    <t>OKC - MSY</t>
  </si>
  <si>
    <t>OKC - ORD</t>
  </si>
  <si>
    <t>OKC - PHL</t>
  </si>
  <si>
    <t>OKC - PHX</t>
  </si>
  <si>
    <t>OKC - SAN</t>
  </si>
  <si>
    <t>OKC - SAT</t>
  </si>
  <si>
    <t>OKC - SEA</t>
  </si>
  <si>
    <t>OKC - SFB</t>
  </si>
  <si>
    <t>OKC - SFO</t>
  </si>
  <si>
    <t>OKC - SJC</t>
  </si>
  <si>
    <t>OKC - SLC</t>
  </si>
  <si>
    <t>OKC - STL</t>
  </si>
  <si>
    <t>OKC - TPA</t>
  </si>
  <si>
    <t>OKC - VPS</t>
  </si>
  <si>
    <t>OMA - ATL</t>
  </si>
  <si>
    <t>OMA - AUS</t>
  </si>
  <si>
    <t>OMA - AZA</t>
  </si>
  <si>
    <t>OMA - BNA</t>
  </si>
  <si>
    <t>OMA - CLT</t>
  </si>
  <si>
    <t>OMA - DAL</t>
  </si>
  <si>
    <t>OMA - DCA</t>
  </si>
  <si>
    <t>OMA - DEN</t>
  </si>
  <si>
    <t>OMA - DFW</t>
  </si>
  <si>
    <t>OMA - DTW</t>
  </si>
  <si>
    <t>OMA - EWR</t>
  </si>
  <si>
    <t>OMA - HOU</t>
  </si>
  <si>
    <t>OMA - IAH</t>
  </si>
  <si>
    <t>OMA - LAS</t>
  </si>
  <si>
    <t>OMA - LAX</t>
  </si>
  <si>
    <t>OMA - LGA</t>
  </si>
  <si>
    <t>OMA - MCO</t>
  </si>
  <si>
    <t>OMA - MDW</t>
  </si>
  <si>
    <t>OMA - MIA</t>
  </si>
  <si>
    <t>OMA - MSP</t>
  </si>
  <si>
    <t>OMA - ORD</t>
  </si>
  <si>
    <t>OMA - PDX</t>
  </si>
  <si>
    <t>OMA - PGD</t>
  </si>
  <si>
    <t>OMA - PHL</t>
  </si>
  <si>
    <t>OMA - PHX</t>
  </si>
  <si>
    <t>OMA - PIE</t>
  </si>
  <si>
    <t>OMA - RSW</t>
  </si>
  <si>
    <t>OMA - SAN</t>
  </si>
  <si>
    <t>OMA - SAT</t>
  </si>
  <si>
    <t>OMA - SEA</t>
  </si>
  <si>
    <t>OMA - SFB</t>
  </si>
  <si>
    <t>OMA - SFO</t>
  </si>
  <si>
    <t>OMA - SLC</t>
  </si>
  <si>
    <t>OMA - STL</t>
  </si>
  <si>
    <t>OMA - TPA</t>
  </si>
  <si>
    <t>OMA - VPS</t>
  </si>
  <si>
    <t>OME - ANC</t>
  </si>
  <si>
    <t>OME - OTZ</t>
  </si>
  <si>
    <t>ONT - ATL</t>
  </si>
  <si>
    <t>ONT - AUS</t>
  </si>
  <si>
    <t>ONT - BUR</t>
  </si>
  <si>
    <t>ONT - CLT</t>
  </si>
  <si>
    <t>ONT - DAL</t>
  </si>
  <si>
    <t>ONT - DEN</t>
  </si>
  <si>
    <t>ONT - DFW</t>
  </si>
  <si>
    <t>ONT - HNL</t>
  </si>
  <si>
    <t>ONT - HOU</t>
  </si>
  <si>
    <t>ONT - IAH</t>
  </si>
  <si>
    <t>ONT - JFK</t>
  </si>
  <si>
    <t>ONT - LAS</t>
  </si>
  <si>
    <t>ONT - LGB</t>
  </si>
  <si>
    <t>ONT - MCO</t>
  </si>
  <si>
    <t>ONT - MDW</t>
  </si>
  <si>
    <t>ONT - OAK</t>
  </si>
  <si>
    <t>ONT - ORD</t>
  </si>
  <si>
    <t>ONT - PDX</t>
  </si>
  <si>
    <t>ONT - PHX</t>
  </si>
  <si>
    <t>ONT - SAT</t>
  </si>
  <si>
    <t>ONT - SEA</t>
  </si>
  <si>
    <t>ONT - SFO</t>
  </si>
  <si>
    <t>ONT - SJC</t>
  </si>
  <si>
    <t>ONT - SLC</t>
  </si>
  <si>
    <t>ONT - SMF</t>
  </si>
  <si>
    <t>ORD - ABE</t>
  </si>
  <si>
    <t>ORD - ABQ</t>
  </si>
  <si>
    <t>ORD - ACK</t>
  </si>
  <si>
    <t>ORD - AGS</t>
  </si>
  <si>
    <t>ORD - ALB</t>
  </si>
  <si>
    <t>ORD - ALO</t>
  </si>
  <si>
    <t>ORD - ANC</t>
  </si>
  <si>
    <t>ORD - ASE</t>
  </si>
  <si>
    <t>ORD - ATL</t>
  </si>
  <si>
    <t>ORD - ATW</t>
  </si>
  <si>
    <t>ORD - ATY</t>
  </si>
  <si>
    <t>ORD - AUS</t>
  </si>
  <si>
    <t>ORD - AVL</t>
  </si>
  <si>
    <t>ORD - AVP</t>
  </si>
  <si>
    <t>ORD - AZO</t>
  </si>
  <si>
    <t>ORD - BDL</t>
  </si>
  <si>
    <t>ORD - BFM</t>
  </si>
  <si>
    <t>ORD - BGR</t>
  </si>
  <si>
    <t>ORD - BHM</t>
  </si>
  <si>
    <t>ORD - BIL</t>
  </si>
  <si>
    <t>ORD - BIS</t>
  </si>
  <si>
    <t>ORD - BKG</t>
  </si>
  <si>
    <t>ORD - BMI</t>
  </si>
  <si>
    <t>ORD - BNA</t>
  </si>
  <si>
    <t>ORD - BOI</t>
  </si>
  <si>
    <t>ORD - BOS</t>
  </si>
  <si>
    <t>ORD - BRO</t>
  </si>
  <si>
    <t>ORD - BTV</t>
  </si>
  <si>
    <t>ORD - BUF</t>
  </si>
  <si>
    <t>ORD - BWI</t>
  </si>
  <si>
    <t>ORD - BZN</t>
  </si>
  <si>
    <t>ORD - CAE</t>
  </si>
  <si>
    <t>ORD - CAK</t>
  </si>
  <si>
    <t>ORD - CGI</t>
  </si>
  <si>
    <t>ORD - CHA</t>
  </si>
  <si>
    <t>ORD - CHO</t>
  </si>
  <si>
    <t>ORD - CHS</t>
  </si>
  <si>
    <t>ORD - CID</t>
  </si>
  <si>
    <t>ORD - CKB</t>
  </si>
  <si>
    <t>ORD - CLE</t>
  </si>
  <si>
    <t>ORD - CLT</t>
  </si>
  <si>
    <t>ORD - CMH</t>
  </si>
  <si>
    <t>ORD - CMI</t>
  </si>
  <si>
    <t>ORD - CMX</t>
  </si>
  <si>
    <t>ORD - COD</t>
  </si>
  <si>
    <t>ORD - COS</t>
  </si>
  <si>
    <t>ORD - COU</t>
  </si>
  <si>
    <t>ORD - CRW</t>
  </si>
  <si>
    <t>ORD - CVG</t>
  </si>
  <si>
    <t>ORD - CWA</t>
  </si>
  <si>
    <t>ORD - DAL</t>
  </si>
  <si>
    <t>ORD - DAY</t>
  </si>
  <si>
    <t>ORD - DBQ</t>
  </si>
  <si>
    <t>ORD - DCA</t>
  </si>
  <si>
    <t>ORD - DEC</t>
  </si>
  <si>
    <t>ORD - DEN</t>
  </si>
  <si>
    <t>ORD - DFW</t>
  </si>
  <si>
    <t>ORD - DLH</t>
  </si>
  <si>
    <t>ORD - DRO</t>
  </si>
  <si>
    <t>ORD - DSM</t>
  </si>
  <si>
    <t>ORD - DTW</t>
  </si>
  <si>
    <t>ORD - EAR</t>
  </si>
  <si>
    <t>ORD - EAU</t>
  </si>
  <si>
    <t>ORD - ECP</t>
  </si>
  <si>
    <t>ORD - EGE</t>
  </si>
  <si>
    <t>ORD - ELP</t>
  </si>
  <si>
    <t>ORD - ERI</t>
  </si>
  <si>
    <t>ORD - EUG</t>
  </si>
  <si>
    <t>ORD - EVV</t>
  </si>
  <si>
    <t>ORD - EWR</t>
  </si>
  <si>
    <t>ORD - EYW</t>
  </si>
  <si>
    <t>ORD - FAI</t>
  </si>
  <si>
    <t>ORD - FAR</t>
  </si>
  <si>
    <t>ORD - FAT</t>
  </si>
  <si>
    <t>ORD - FCA</t>
  </si>
  <si>
    <t>ORD - FLL</t>
  </si>
  <si>
    <t>ORD - FNT</t>
  </si>
  <si>
    <t>ORD - FOD</t>
  </si>
  <si>
    <t>ORD - FSD</t>
  </si>
  <si>
    <t>ORD - FWA</t>
  </si>
  <si>
    <t>ORD - GEG</t>
  </si>
  <si>
    <t>ORD - GJT</t>
  </si>
  <si>
    <t>ORD - GRB</t>
  </si>
  <si>
    <t>ORD - GRR</t>
  </si>
  <si>
    <t>ORD - GSO</t>
  </si>
  <si>
    <t>ORD - GSP</t>
  </si>
  <si>
    <t>ORD - GTF</t>
  </si>
  <si>
    <t>ORD - HDN</t>
  </si>
  <si>
    <t>ORD - HHH</t>
  </si>
  <si>
    <t>ORD - HNL</t>
  </si>
  <si>
    <t>ORD - HPN</t>
  </si>
  <si>
    <t>ORD - HRL</t>
  </si>
  <si>
    <t>ORD - HSV</t>
  </si>
  <si>
    <t>ORD - HYS</t>
  </si>
  <si>
    <t>ORD - IAD</t>
  </si>
  <si>
    <t>ORD - IAH</t>
  </si>
  <si>
    <t>ORD - ICT</t>
  </si>
  <si>
    <t>ORD - ILM</t>
  </si>
  <si>
    <t>ORD - IND</t>
  </si>
  <si>
    <t>ORD - ISP</t>
  </si>
  <si>
    <t>ORD - JAC</t>
  </si>
  <si>
    <t>ORD - JAN</t>
  </si>
  <si>
    <t>ORD - JAX</t>
  </si>
  <si>
    <t>ORD - JFK</t>
  </si>
  <si>
    <t>ORD - JLN</t>
  </si>
  <si>
    <t>ORD - JST</t>
  </si>
  <si>
    <t>ORD - KOA</t>
  </si>
  <si>
    <t>ORD - LAN</t>
  </si>
  <si>
    <t>ORD - LAS</t>
  </si>
  <si>
    <t>ORD - LAX</t>
  </si>
  <si>
    <t>ORD - LEX</t>
  </si>
  <si>
    <t>ORD - LFT</t>
  </si>
  <si>
    <t>ORD - LGA</t>
  </si>
  <si>
    <t>ORD - LIT</t>
  </si>
  <si>
    <t>ORD - LNK</t>
  </si>
  <si>
    <t>ORD - LSE</t>
  </si>
  <si>
    <t>ORD - LWB</t>
  </si>
  <si>
    <t>ORD - MBS</t>
  </si>
  <si>
    <t>ORD - MCI</t>
  </si>
  <si>
    <t>ORD - MCO</t>
  </si>
  <si>
    <t>ORD - MCW</t>
  </si>
  <si>
    <t>ORD - MDT</t>
  </si>
  <si>
    <t>ORD - MEI</t>
  </si>
  <si>
    <t>ORD - MEM</t>
  </si>
  <si>
    <t>ORD - MHK</t>
  </si>
  <si>
    <t>ORD - MHT</t>
  </si>
  <si>
    <t>ORD - MIA</t>
  </si>
  <si>
    <t>ORD - MKE</t>
  </si>
  <si>
    <t>ORD - MKG</t>
  </si>
  <si>
    <t>ORD - MLI</t>
  </si>
  <si>
    <t>ORD - MOB</t>
  </si>
  <si>
    <t>ORD - MQT</t>
  </si>
  <si>
    <t>ORD - MSN</t>
  </si>
  <si>
    <t>ORD - MSO</t>
  </si>
  <si>
    <t>ORD - MSP</t>
  </si>
  <si>
    <t>ORD - MSY</t>
  </si>
  <si>
    <t>ORD - MTJ</t>
  </si>
  <si>
    <t>ORD - MVY</t>
  </si>
  <si>
    <t>ORD - MYR</t>
  </si>
  <si>
    <t>ORD - OAK</t>
  </si>
  <si>
    <t>ORD - OGG</t>
  </si>
  <si>
    <t>ORD - OGS</t>
  </si>
  <si>
    <t>ORD - OKC</t>
  </si>
  <si>
    <t>ORD - OMA</t>
  </si>
  <si>
    <t>ORD - ONT</t>
  </si>
  <si>
    <t>ORD - ORF</t>
  </si>
  <si>
    <t>ORD - PAH</t>
  </si>
  <si>
    <t>ORD - PBI</t>
  </si>
  <si>
    <t>ORD - PDX</t>
  </si>
  <si>
    <t>ORD - PHL</t>
  </si>
  <si>
    <t>ORD - PHX</t>
  </si>
  <si>
    <t>ORD - PIA</t>
  </si>
  <si>
    <t>ORD - PIT</t>
  </si>
  <si>
    <t>ORD - PNS</t>
  </si>
  <si>
    <t>ORD - PSP</t>
  </si>
  <si>
    <t>ORD - PVD</t>
  </si>
  <si>
    <t>ORD - PWM</t>
  </si>
  <si>
    <t>ORD - RAP</t>
  </si>
  <si>
    <t>ORD - RDM</t>
  </si>
  <si>
    <t>ORD - RDU</t>
  </si>
  <si>
    <t>ORD - RHI</t>
  </si>
  <si>
    <t>ORD - RIC</t>
  </si>
  <si>
    <t>ORD - RNO</t>
  </si>
  <si>
    <t>ORD - ROA</t>
  </si>
  <si>
    <t>ORD - ROC</t>
  </si>
  <si>
    <t>ORD - RST</t>
  </si>
  <si>
    <t>ORD - RSW</t>
  </si>
  <si>
    <t>ORD - SAN</t>
  </si>
  <si>
    <t>ORD - SAT</t>
  </si>
  <si>
    <t>ORD - SAV</t>
  </si>
  <si>
    <t>ORD - SBA</t>
  </si>
  <si>
    <t>ORD - SBN</t>
  </si>
  <si>
    <t>ORD - SCE</t>
  </si>
  <si>
    <t>ORD - SDF</t>
  </si>
  <si>
    <t>ORD - SEA</t>
  </si>
  <si>
    <t>ORD - SFO</t>
  </si>
  <si>
    <t>ORD - SGF</t>
  </si>
  <si>
    <t>ORD - SHD</t>
  </si>
  <si>
    <t>ORD - SJC</t>
  </si>
  <si>
    <t>ORD - SJU</t>
  </si>
  <si>
    <t>ORD - SLC</t>
  </si>
  <si>
    <t>ORD - SLN</t>
  </si>
  <si>
    <t>ORD - SMF</t>
  </si>
  <si>
    <t>ORD - SNA</t>
  </si>
  <si>
    <t>ORD - SPI</t>
  </si>
  <si>
    <t>ORD - SRQ</t>
  </si>
  <si>
    <t>ORD - STL</t>
  </si>
  <si>
    <t>ORD - STT</t>
  </si>
  <si>
    <t>ORD - SUN</t>
  </si>
  <si>
    <t>ORD - SUX</t>
  </si>
  <si>
    <t>ORD - SYR</t>
  </si>
  <si>
    <t>ORD - TBN</t>
  </si>
  <si>
    <t>ORD - TOL</t>
  </si>
  <si>
    <t>ORD - TPA</t>
  </si>
  <si>
    <t>ORD - TTN</t>
  </si>
  <si>
    <t>ORD - TUL</t>
  </si>
  <si>
    <t>ORD - TUS</t>
  </si>
  <si>
    <t>ORD - TVC</t>
  </si>
  <si>
    <t>ORD - TYS</t>
  </si>
  <si>
    <t>ORD - UIN</t>
  </si>
  <si>
    <t>ORD - VPS</t>
  </si>
  <si>
    <t>ORD - XNA</t>
  </si>
  <si>
    <t>ORF - ATL</t>
  </si>
  <si>
    <t>ORF - BNA</t>
  </si>
  <si>
    <t>ORF - BOS</t>
  </si>
  <si>
    <t>ORF - BWI</t>
  </si>
  <si>
    <t>ORF - CLE</t>
  </si>
  <si>
    <t>ORF - CLT</t>
  </si>
  <si>
    <t>ORF - CVG</t>
  </si>
  <si>
    <t>ORF - DAL</t>
  </si>
  <si>
    <t>ORF - DCA</t>
  </si>
  <si>
    <t>ORF - DEN</t>
  </si>
  <si>
    <t>ORF - DFW</t>
  </si>
  <si>
    <t>ORF - DTW</t>
  </si>
  <si>
    <t>ORF - EWR</t>
  </si>
  <si>
    <t>ORF - FLL</t>
  </si>
  <si>
    <t>ORF - IAD</t>
  </si>
  <si>
    <t>ORF - IAH</t>
  </si>
  <si>
    <t>ORF - JAX</t>
  </si>
  <si>
    <t>ORF - JFK</t>
  </si>
  <si>
    <t>ORF - LAS</t>
  </si>
  <si>
    <t>ORF - LCK</t>
  </si>
  <si>
    <t>ORF - LGA</t>
  </si>
  <si>
    <t>ORF - MCO</t>
  </si>
  <si>
    <t>ORF - MDW</t>
  </si>
  <si>
    <t>ORF - MIA</t>
  </si>
  <si>
    <t>ORF - MSP</t>
  </si>
  <si>
    <t>ORF - ORD</t>
  </si>
  <si>
    <t>ORF - PGD</t>
  </si>
  <si>
    <t>ORF - PHL</t>
  </si>
  <si>
    <t>ORF - PHX</t>
  </si>
  <si>
    <t>ORF - PIE</t>
  </si>
  <si>
    <t>ORF - PIT</t>
  </si>
  <si>
    <t>ORF - RDU</t>
  </si>
  <si>
    <t>ORF - SAN</t>
  </si>
  <si>
    <t>ORF - SFB</t>
  </si>
  <si>
    <t>ORF - STL</t>
  </si>
  <si>
    <t>ORF - TPA</t>
  </si>
  <si>
    <t>ORH - DTW</t>
  </si>
  <si>
    <t>ORH - FLL</t>
  </si>
  <si>
    <t>ORH - JFK</t>
  </si>
  <si>
    <t>ORH - LGA</t>
  </si>
  <si>
    <t>ORH - MCO</t>
  </si>
  <si>
    <t>ORH - PBI</t>
  </si>
  <si>
    <t>ORH - PHL</t>
  </si>
  <si>
    <t>OTH - DEN</t>
  </si>
  <si>
    <t>OTH - SFO</t>
  </si>
  <si>
    <t>OTZ - ANC</t>
  </si>
  <si>
    <t>OTZ - OME</t>
  </si>
  <si>
    <t>OWB</t>
  </si>
  <si>
    <t>OWB - SFB</t>
  </si>
  <si>
    <t>PAE - BOI</t>
  </si>
  <si>
    <t>PAE - DEN</t>
  </si>
  <si>
    <t>PAE - GEG</t>
  </si>
  <si>
    <t>PAE - LAS</t>
  </si>
  <si>
    <t>PAE - LAX</t>
  </si>
  <si>
    <t>PAE - PDX</t>
  </si>
  <si>
    <t>PAE - PHX</t>
  </si>
  <si>
    <t>PAE - PSP</t>
  </si>
  <si>
    <t>PAE - SAN</t>
  </si>
  <si>
    <t>PAE - SFO</t>
  </si>
  <si>
    <t>PAE - SJC</t>
  </si>
  <si>
    <t>PAE - SNA</t>
  </si>
  <si>
    <t>PAE - TUS</t>
  </si>
  <si>
    <t>PAH - CGI</t>
  </si>
  <si>
    <t>PAH - ORD</t>
  </si>
  <si>
    <t>PBG - FLL</t>
  </si>
  <si>
    <t>PBG - IAD</t>
  </si>
  <si>
    <t>PBG - IAG</t>
  </si>
  <si>
    <t>PBG - MYR</t>
  </si>
  <si>
    <t>PBG - OGS</t>
  </si>
  <si>
    <t>PBG - PGD</t>
  </si>
  <si>
    <t>PBG - PIE</t>
  </si>
  <si>
    <t>PBG - SFB</t>
  </si>
  <si>
    <t>PBI - ACY</t>
  </si>
  <si>
    <t>PBI - ATL</t>
  </si>
  <si>
    <t>PBI - AUS</t>
  </si>
  <si>
    <t>PBI - AVL</t>
  </si>
  <si>
    <t>PBI - BDL</t>
  </si>
  <si>
    <t>PBI - BNA</t>
  </si>
  <si>
    <t>PBI - BOS</t>
  </si>
  <si>
    <t>PBI - BWI</t>
  </si>
  <si>
    <t>PBI - CLE</t>
  </si>
  <si>
    <t>PBI - CLT</t>
  </si>
  <si>
    <t>PBI - CMH</t>
  </si>
  <si>
    <t>PBI - CVG</t>
  </si>
  <si>
    <t>PBI - DAL</t>
  </si>
  <si>
    <t>PBI - DCA</t>
  </si>
  <si>
    <t>PBI - DEN</t>
  </si>
  <si>
    <t>PBI - DFW</t>
  </si>
  <si>
    <t>PBI - DTW</t>
  </si>
  <si>
    <t>PBI - EWR</t>
  </si>
  <si>
    <t>PBI - HOU</t>
  </si>
  <si>
    <t>PBI - HPN</t>
  </si>
  <si>
    <t>PBI - IAD</t>
  </si>
  <si>
    <t>PBI - IAH</t>
  </si>
  <si>
    <t>PBI - IND</t>
  </si>
  <si>
    <t>PBI - ISP</t>
  </si>
  <si>
    <t>PBI - JFK</t>
  </si>
  <si>
    <t>PBI - LAX</t>
  </si>
  <si>
    <t>PBI - LGA</t>
  </si>
  <si>
    <t>PBI - MDW</t>
  </si>
  <si>
    <t>PBI - MEM</t>
  </si>
  <si>
    <t>PBI - MSP</t>
  </si>
  <si>
    <t>PBI - ORD</t>
  </si>
  <si>
    <t>PBI - PGD</t>
  </si>
  <si>
    <t>PBI - PHL</t>
  </si>
  <si>
    <t>PBI - PIT</t>
  </si>
  <si>
    <t>PBI - PVD</t>
  </si>
  <si>
    <t>PBI - RDU</t>
  </si>
  <si>
    <t>PBI - STL</t>
  </si>
  <si>
    <t>PBI - TTN</t>
  </si>
  <si>
    <t>PBI - TYS</t>
  </si>
  <si>
    <t>PBI - USA</t>
  </si>
  <si>
    <t>PDX - ABQ</t>
  </si>
  <si>
    <t>PDX - ANC</t>
  </si>
  <si>
    <t>PDX - ATL</t>
  </si>
  <si>
    <t>PDX - AUS</t>
  </si>
  <si>
    <t>PDX - BIL</t>
  </si>
  <si>
    <t>PDX - BLI</t>
  </si>
  <si>
    <t>PDX - BOI</t>
  </si>
  <si>
    <t>PDX - BOS</t>
  </si>
  <si>
    <t>PDX - BUR</t>
  </si>
  <si>
    <t>PDX - BWI</t>
  </si>
  <si>
    <t>PDX - BZN</t>
  </si>
  <si>
    <t>PDX - CLE</t>
  </si>
  <si>
    <t>PDX - CLT</t>
  </si>
  <si>
    <t>PDX - CMH</t>
  </si>
  <si>
    <t>PDX - DAL</t>
  </si>
  <si>
    <t>PDX - DCA</t>
  </si>
  <si>
    <t>PDX - DEN</t>
  </si>
  <si>
    <t>PDX - DFW</t>
  </si>
  <si>
    <t>PDX - DSM</t>
  </si>
  <si>
    <t>PDX - DTW</t>
  </si>
  <si>
    <t>PDX - EUG</t>
  </si>
  <si>
    <t>PDX - EWR</t>
  </si>
  <si>
    <t>PDX - FAT</t>
  </si>
  <si>
    <t>PDX - FCA</t>
  </si>
  <si>
    <t>PDX - FLL</t>
  </si>
  <si>
    <t>PDX - GEG</t>
  </si>
  <si>
    <t>PDX - GRR</t>
  </si>
  <si>
    <t>PDX - HNL</t>
  </si>
  <si>
    <t>PDX - HOU</t>
  </si>
  <si>
    <t>PDX - IAD</t>
  </si>
  <si>
    <t>PDX - IAH</t>
  </si>
  <si>
    <t>PDX - IDA</t>
  </si>
  <si>
    <t>PDX - JFK</t>
  </si>
  <si>
    <t>PDX - KOA</t>
  </si>
  <si>
    <t>PDX - LAS</t>
  </si>
  <si>
    <t>PDX - LAX</t>
  </si>
  <si>
    <t>PDX - LGB</t>
  </si>
  <si>
    <t>PDX - LIH</t>
  </si>
  <si>
    <t>PDX - MCI</t>
  </si>
  <si>
    <t>PDX - MCO</t>
  </si>
  <si>
    <t>PDX - MDW</t>
  </si>
  <si>
    <t>PDX - MFR</t>
  </si>
  <si>
    <t>PDX - MKE</t>
  </si>
  <si>
    <t>PDX - MRY</t>
  </si>
  <si>
    <t>PDX - MSO</t>
  </si>
  <si>
    <t>PDX - MSP</t>
  </si>
  <si>
    <t>PDX - OAK</t>
  </si>
  <si>
    <t>PDX - OGG</t>
  </si>
  <si>
    <t>PDX - OMA</t>
  </si>
  <si>
    <t>PDX - ONT</t>
  </si>
  <si>
    <t>PDX - ORD</t>
  </si>
  <si>
    <t>PDX - PAE</t>
  </si>
  <si>
    <t>PDX - PHL</t>
  </si>
  <si>
    <t>PDX - PHX</t>
  </si>
  <si>
    <t>PDX - PSC</t>
  </si>
  <si>
    <t>PDX - PSP</t>
  </si>
  <si>
    <t>PDX - RDM</t>
  </si>
  <si>
    <t>PDX - RNO</t>
  </si>
  <si>
    <t>PDX - SAN</t>
  </si>
  <si>
    <t>PDX - SBA</t>
  </si>
  <si>
    <t>PDX - SBP</t>
  </si>
  <si>
    <t>PDX - SEA</t>
  </si>
  <si>
    <t>PDX - SFO</t>
  </si>
  <si>
    <t>PDX - SJC</t>
  </si>
  <si>
    <t>PDX - SLC</t>
  </si>
  <si>
    <t>PDX - SMF</t>
  </si>
  <si>
    <t>PDX - SMX</t>
  </si>
  <si>
    <t>PDX - SNA</t>
  </si>
  <si>
    <t>PDX - STL</t>
  </si>
  <si>
    <t>PDX - STS</t>
  </si>
  <si>
    <t>PDX - SUN</t>
  </si>
  <si>
    <t>PDX - TPA</t>
  </si>
  <si>
    <t>PDX - TUS</t>
  </si>
  <si>
    <t>PGD - ABE</t>
  </si>
  <si>
    <t>PGD - ALB</t>
  </si>
  <si>
    <t>PGD - ATW</t>
  </si>
  <si>
    <t>PGD - AUS</t>
  </si>
  <si>
    <t>PGD - AVL</t>
  </si>
  <si>
    <t>PGD - BLV</t>
  </si>
  <si>
    <t>PGD - BNA</t>
  </si>
  <si>
    <t>PGD - BWI</t>
  </si>
  <si>
    <t>PGD - CAK</t>
  </si>
  <si>
    <t>PGD - CHS</t>
  </si>
  <si>
    <t>PGD - CID</t>
  </si>
  <si>
    <t>PGD - CLE</t>
  </si>
  <si>
    <t>PGD - CVG</t>
  </si>
  <si>
    <t>PGD - DAY</t>
  </si>
  <si>
    <t>PGD - DSM</t>
  </si>
  <si>
    <t>PGD - ELM</t>
  </si>
  <si>
    <t>PGD - FNT</t>
  </si>
  <si>
    <t>PGD - FSD</t>
  </si>
  <si>
    <t>PGD - FWA</t>
  </si>
  <si>
    <t>PGD - GRR</t>
  </si>
  <si>
    <t>PGD - GSP</t>
  </si>
  <si>
    <t>PGD - HOU</t>
  </si>
  <si>
    <t>PGD - HTS</t>
  </si>
  <si>
    <t>PGD - IAG</t>
  </si>
  <si>
    <t>PGD - IND</t>
  </si>
  <si>
    <t>PGD - LCK</t>
  </si>
  <si>
    <t>PGD - LEX</t>
  </si>
  <si>
    <t>PGD - MCI</t>
  </si>
  <si>
    <t>PGD - MDT</t>
  </si>
  <si>
    <t>PGD - MDW</t>
  </si>
  <si>
    <t>PGD - MEM</t>
  </si>
  <si>
    <t>PGD - MKE</t>
  </si>
  <si>
    <t>PGD - MLI</t>
  </si>
  <si>
    <t>PGD - MSP</t>
  </si>
  <si>
    <t>PGD - OMA</t>
  </si>
  <si>
    <t>PGD - ORF</t>
  </si>
  <si>
    <t>PGD - PBG</t>
  </si>
  <si>
    <t>PGD - PIA</t>
  </si>
  <si>
    <t>PGD - PIT</t>
  </si>
  <si>
    <t>PGD - PSM</t>
  </si>
  <si>
    <t>PGD - PVD</t>
  </si>
  <si>
    <t>PGD - RAP</t>
  </si>
  <si>
    <t>PGD - RDU</t>
  </si>
  <si>
    <t>PGD - RFD</t>
  </si>
  <si>
    <t>PGD - RIC</t>
  </si>
  <si>
    <t>PGD - ROC</t>
  </si>
  <si>
    <t>PGD - SBN</t>
  </si>
  <si>
    <t>PGD - SDF</t>
  </si>
  <si>
    <t>PGD - SGF</t>
  </si>
  <si>
    <t>PGD - SPI</t>
  </si>
  <si>
    <t>PGD - STC</t>
  </si>
  <si>
    <t>PGD - SWF</t>
  </si>
  <si>
    <t>PGD - SYR</t>
  </si>
  <si>
    <t>PGD - TOL</t>
  </si>
  <si>
    <t>PGD - TTN</t>
  </si>
  <si>
    <t>PGD - TVC</t>
  </si>
  <si>
    <t>PGD - TYS</t>
  </si>
  <si>
    <t>PGD - USA</t>
  </si>
  <si>
    <t>PGD - XNA</t>
  </si>
  <si>
    <t>PGV - CLT</t>
  </si>
  <si>
    <t>PHF - ATL</t>
  </si>
  <si>
    <t>PHF - CLT</t>
  </si>
  <si>
    <t>PHF - PHL</t>
  </si>
  <si>
    <t>PHL - ABE</t>
  </si>
  <si>
    <t>PHL - ACK</t>
  </si>
  <si>
    <t>PHL - AGS</t>
  </si>
  <si>
    <t>PHL - ALB</t>
  </si>
  <si>
    <t>PHL - ART</t>
  </si>
  <si>
    <t>PHL - ATL</t>
  </si>
  <si>
    <t>PHL - AUS</t>
  </si>
  <si>
    <t>PHL - AVL</t>
  </si>
  <si>
    <t>PHL - AVP</t>
  </si>
  <si>
    <t>PHL - BDL</t>
  </si>
  <si>
    <t>PHL - BGR</t>
  </si>
  <si>
    <t>PHL - BHM</t>
  </si>
  <si>
    <t>PHL - BNA</t>
  </si>
  <si>
    <t>PHL - BOS</t>
  </si>
  <si>
    <t>PHL - BQN</t>
  </si>
  <si>
    <t>PHL - BTV</t>
  </si>
  <si>
    <t>PHL - BUF</t>
  </si>
  <si>
    <t>PHL - BWI</t>
  </si>
  <si>
    <t>PHL - BZN</t>
  </si>
  <si>
    <t>PHL - CAE</t>
  </si>
  <si>
    <t>PHL - CAK</t>
  </si>
  <si>
    <t>PHL - CHA</t>
  </si>
  <si>
    <t>PHL - CHO</t>
  </si>
  <si>
    <t>PHL - CHS</t>
  </si>
  <si>
    <t>PHL - CLE</t>
  </si>
  <si>
    <t>PHL - CLT</t>
  </si>
  <si>
    <t>PHL - CMH</t>
  </si>
  <si>
    <t>PHL - CRW</t>
  </si>
  <si>
    <t>PHL - CVG</t>
  </si>
  <si>
    <t>PHL - DAB</t>
  </si>
  <si>
    <t>PHL - DAL</t>
  </si>
  <si>
    <t>PHL - DAY</t>
  </si>
  <si>
    <t>PHL - DCA</t>
  </si>
  <si>
    <t>PHL - DEN</t>
  </si>
  <si>
    <t>PHL - DFW</t>
  </si>
  <si>
    <t>PHL - DSM</t>
  </si>
  <si>
    <t>PHL - DTW</t>
  </si>
  <si>
    <t>PHL - ECP</t>
  </si>
  <si>
    <t>PHL - EGE</t>
  </si>
  <si>
    <t>PHL - ERI</t>
  </si>
  <si>
    <t>PHL - EWR</t>
  </si>
  <si>
    <t>PHL - EYW</t>
  </si>
  <si>
    <t>PHL - FLL</t>
  </si>
  <si>
    <t>PHL - FWA</t>
  </si>
  <si>
    <t>PHL - GRR</t>
  </si>
  <si>
    <t>PHL - GSO</t>
  </si>
  <si>
    <t>PHL - GSP</t>
  </si>
  <si>
    <t>PHL - HHH</t>
  </si>
  <si>
    <t>PHL - HOU</t>
  </si>
  <si>
    <t>PHL - HVN</t>
  </si>
  <si>
    <t>PHL - IAD</t>
  </si>
  <si>
    <t>PHL - IAH</t>
  </si>
  <si>
    <t>PHL - ILM</t>
  </si>
  <si>
    <t>PHL - IND</t>
  </si>
  <si>
    <t>PHL - IPT</t>
  </si>
  <si>
    <t>PHL - ISP</t>
  </si>
  <si>
    <t>PHL - ITH</t>
  </si>
  <si>
    <t>PHL - JAX</t>
  </si>
  <si>
    <t>PHL - JFK</t>
  </si>
  <si>
    <t>PHL - LAS</t>
  </si>
  <si>
    <t>PHL - LAX</t>
  </si>
  <si>
    <t>PHL - LEX</t>
  </si>
  <si>
    <t>PHL - LGA</t>
  </si>
  <si>
    <t>PHL - MCI</t>
  </si>
  <si>
    <t>PHL - MCO</t>
  </si>
  <si>
    <t>PHL - MDT</t>
  </si>
  <si>
    <t>PHL - MDW</t>
  </si>
  <si>
    <t>PHL - MEM</t>
  </si>
  <si>
    <t>PHL - MHT</t>
  </si>
  <si>
    <t>PHL - MIA</t>
  </si>
  <si>
    <t>PHL - MKE</t>
  </si>
  <si>
    <t>PHL - MLB</t>
  </si>
  <si>
    <t>PHL - MSN</t>
  </si>
  <si>
    <t>PHL - MSP</t>
  </si>
  <si>
    <t>PHL - MSY</t>
  </si>
  <si>
    <t>PHL - MVY</t>
  </si>
  <si>
    <t>PHL - MYR</t>
  </si>
  <si>
    <t>PHL - OAK</t>
  </si>
  <si>
    <t>PHL - OKC</t>
  </si>
  <si>
    <t>PHL - OMA</t>
  </si>
  <si>
    <t>PHL - ORD</t>
  </si>
  <si>
    <t>PHL - ORF</t>
  </si>
  <si>
    <t>PHL - ORH</t>
  </si>
  <si>
    <t>PHL - PBI</t>
  </si>
  <si>
    <t>PHL - PDX</t>
  </si>
  <si>
    <t>PHL - PHF</t>
  </si>
  <si>
    <t>PHL - PHX</t>
  </si>
  <si>
    <t>PHL - PIT</t>
  </si>
  <si>
    <t>PHL - PNS</t>
  </si>
  <si>
    <t>PHL - PSP</t>
  </si>
  <si>
    <t>PHL - PVD</t>
  </si>
  <si>
    <t>PHL - PWM</t>
  </si>
  <si>
    <t>PHL - RDU</t>
  </si>
  <si>
    <t>PHL - RIC</t>
  </si>
  <si>
    <t>PHL - ROA</t>
  </si>
  <si>
    <t>PHL - ROC</t>
  </si>
  <si>
    <t>PHL - RSW</t>
  </si>
  <si>
    <t>PHL - SAN</t>
  </si>
  <si>
    <t>PHL - SAT</t>
  </si>
  <si>
    <t>PHL - SAV</t>
  </si>
  <si>
    <t>PHL - SBY</t>
  </si>
  <si>
    <t>PHL - SCE</t>
  </si>
  <si>
    <t>PHL - SDF</t>
  </si>
  <si>
    <t>PHL - SEA</t>
  </si>
  <si>
    <t>PHL - SFO</t>
  </si>
  <si>
    <t>PHL - SJU</t>
  </si>
  <si>
    <t>PHL - SLC</t>
  </si>
  <si>
    <t>PHL - SRQ</t>
  </si>
  <si>
    <t>PHL - STL</t>
  </si>
  <si>
    <t>PHL - STT</t>
  </si>
  <si>
    <t>PHL - SWF</t>
  </si>
  <si>
    <t>PHL - SYR</t>
  </si>
  <si>
    <t>PHL - TPA</t>
  </si>
  <si>
    <t>PHL - TTN</t>
  </si>
  <si>
    <t>PHL - TVC</t>
  </si>
  <si>
    <t>PHL - TYS</t>
  </si>
  <si>
    <t>PHL - VPS</t>
  </si>
  <si>
    <t>PHL - XNA</t>
  </si>
  <si>
    <t>PHX - ABQ</t>
  </si>
  <si>
    <t>PHX - ACV</t>
  </si>
  <si>
    <t>PHX - AMA</t>
  </si>
  <si>
    <t>PHX - ANC</t>
  </si>
  <si>
    <t>PHX - ASE</t>
  </si>
  <si>
    <t>PHX - ATL</t>
  </si>
  <si>
    <t>PHX - AUS</t>
  </si>
  <si>
    <t>PHX - BFL</t>
  </si>
  <si>
    <t>PHX - BIL</t>
  </si>
  <si>
    <t>PHX - BIS</t>
  </si>
  <si>
    <t>PHX - BNA</t>
  </si>
  <si>
    <t>PHX - BOI</t>
  </si>
  <si>
    <t>PHX - BOS</t>
  </si>
  <si>
    <t>PHX - BUF</t>
  </si>
  <si>
    <t>PHX - BUR</t>
  </si>
  <si>
    <t>PHX - BWI</t>
  </si>
  <si>
    <t>PHX - BZN</t>
  </si>
  <si>
    <t>PHX - CID</t>
  </si>
  <si>
    <t>PHX - CLE</t>
  </si>
  <si>
    <t>PHX - CLT</t>
  </si>
  <si>
    <t>PHX - CMH</t>
  </si>
  <si>
    <t>PHX - COS</t>
  </si>
  <si>
    <t>PHX - CVG</t>
  </si>
  <si>
    <t>PHX - DAL</t>
  </si>
  <si>
    <t>PHX - DCA</t>
  </si>
  <si>
    <t>PHX - DEN</t>
  </si>
  <si>
    <t>PHX - DFW</t>
  </si>
  <si>
    <t>PHX - DRO</t>
  </si>
  <si>
    <t>PHX - DSM</t>
  </si>
  <si>
    <t>PHX - DTW</t>
  </si>
  <si>
    <t>PHX - EGE</t>
  </si>
  <si>
    <t>PHX - ELP</t>
  </si>
  <si>
    <t>PHX - EUG</t>
  </si>
  <si>
    <t>PHX - EWR</t>
  </si>
  <si>
    <t>PHX - FAR</t>
  </si>
  <si>
    <t>PHX - FAT</t>
  </si>
  <si>
    <t>PHX - FLG</t>
  </si>
  <si>
    <t>PHX - FLL</t>
  </si>
  <si>
    <t>PHX - FSD</t>
  </si>
  <si>
    <t>PHX - GEG</t>
  </si>
  <si>
    <t>PHX - GJT</t>
  </si>
  <si>
    <t>PHX - GRR</t>
  </si>
  <si>
    <t>PHX - HNL</t>
  </si>
  <si>
    <t>PHX - HOU</t>
  </si>
  <si>
    <t>PHX - IAD</t>
  </si>
  <si>
    <t>PHX - IAH</t>
  </si>
  <si>
    <t>PHX - ICT</t>
  </si>
  <si>
    <t>PHX - IDA</t>
  </si>
  <si>
    <t>PHX - IFP</t>
  </si>
  <si>
    <t>PHX - IND</t>
  </si>
  <si>
    <t>PHX - JAC</t>
  </si>
  <si>
    <t>PHX - JFK</t>
  </si>
  <si>
    <t>PHX - KOA</t>
  </si>
  <si>
    <t>PHX - LAS</t>
  </si>
  <si>
    <t>PHX - LAX</t>
  </si>
  <si>
    <t>PHX - LBB</t>
  </si>
  <si>
    <t>PHX - LGA</t>
  </si>
  <si>
    <t>PHX - LGB</t>
  </si>
  <si>
    <t>PHX - LIH</t>
  </si>
  <si>
    <t>PHX - LIT</t>
  </si>
  <si>
    <t>PHX - MAF</t>
  </si>
  <si>
    <t>PHX - MCI</t>
  </si>
  <si>
    <t>PHX - MCO</t>
  </si>
  <si>
    <t>PHX - MDW</t>
  </si>
  <si>
    <t>PHX - MEM</t>
  </si>
  <si>
    <t>PHX - MFR</t>
  </si>
  <si>
    <t>PHX - MIA</t>
  </si>
  <si>
    <t>PHX - MKE</t>
  </si>
  <si>
    <t>PHX - MRY</t>
  </si>
  <si>
    <t>PHX - MSN</t>
  </si>
  <si>
    <t>PHX - MSP</t>
  </si>
  <si>
    <t>PHX - MSY</t>
  </si>
  <si>
    <t>PHX - MTJ</t>
  </si>
  <si>
    <t>PHX - OAK</t>
  </si>
  <si>
    <t>PHX - OGG</t>
  </si>
  <si>
    <t>PHX - OKC</t>
  </si>
  <si>
    <t>PHX - OMA</t>
  </si>
  <si>
    <t>PHX - ONT</t>
  </si>
  <si>
    <t>PHX - ORD</t>
  </si>
  <si>
    <t>PHX - ORF</t>
  </si>
  <si>
    <t>PHX - PAE</t>
  </si>
  <si>
    <t>PHX - PDX</t>
  </si>
  <si>
    <t>PHX - PHL</t>
  </si>
  <si>
    <t>PHX - PIT</t>
  </si>
  <si>
    <t>PHX - PSP</t>
  </si>
  <si>
    <t>PHX - PVU</t>
  </si>
  <si>
    <t>PHX - RAP</t>
  </si>
  <si>
    <t>PHX - RDM</t>
  </si>
  <si>
    <t>PHX - RDU</t>
  </si>
  <si>
    <t>PHX - RNO</t>
  </si>
  <si>
    <t>PHX - ROW</t>
  </si>
  <si>
    <t>PHX - RSW</t>
  </si>
  <si>
    <t>PHX - SAF</t>
  </si>
  <si>
    <t>PHX - SAN</t>
  </si>
  <si>
    <t>PHX - SAT</t>
  </si>
  <si>
    <t>PHX - SBA</t>
  </si>
  <si>
    <t>PHX - SBP</t>
  </si>
  <si>
    <t>PHX - SCK</t>
  </si>
  <si>
    <t>PHX - SDF</t>
  </si>
  <si>
    <t>PHX - SEA</t>
  </si>
  <si>
    <t>PHX - SFO</t>
  </si>
  <si>
    <t>PHX - SGU</t>
  </si>
  <si>
    <t>PHX - SJC</t>
  </si>
  <si>
    <t>PHX - SLC</t>
  </si>
  <si>
    <t>PHX - SMF</t>
  </si>
  <si>
    <t>PHX - SNA</t>
  </si>
  <si>
    <t>PHX - STL</t>
  </si>
  <si>
    <t>PHX - STS</t>
  </si>
  <si>
    <t>PHX - TPA</t>
  </si>
  <si>
    <t>PHX - TUL</t>
  </si>
  <si>
    <t>PHX - TUS</t>
  </si>
  <si>
    <t>PHX - TYS</t>
  </si>
  <si>
    <t>PHX - YUM</t>
  </si>
  <si>
    <t>PIA - ATL</t>
  </si>
  <si>
    <t>PIA - AZA</t>
  </si>
  <si>
    <t>PIA - BNA</t>
  </si>
  <si>
    <t>PIA - CLT</t>
  </si>
  <si>
    <t>PIA - DEN</t>
  </si>
  <si>
    <t>PIA - DFW</t>
  </si>
  <si>
    <t>PIA - DTW</t>
  </si>
  <si>
    <t>PIA - FLL</t>
  </si>
  <si>
    <t>PIA - LAS</t>
  </si>
  <si>
    <t>PIA - MSP</t>
  </si>
  <si>
    <t>PIA - ORD</t>
  </si>
  <si>
    <t>PIA - PGD</t>
  </si>
  <si>
    <t>PIA - PIE</t>
  </si>
  <si>
    <t>PIA - RAP</t>
  </si>
  <si>
    <t>PIA - SFB</t>
  </si>
  <si>
    <t>PIA - SRQ</t>
  </si>
  <si>
    <t>PIA - VPS</t>
  </si>
  <si>
    <t>PIB - DFW</t>
  </si>
  <si>
    <t>PIB - IAH</t>
  </si>
  <si>
    <t>PIB - MEI</t>
  </si>
  <si>
    <t>PIE - ABE</t>
  </si>
  <si>
    <t>PIE - ALB</t>
  </si>
  <si>
    <t>PIE - ATW</t>
  </si>
  <si>
    <t>PIE - AUS</t>
  </si>
  <si>
    <t>PIE - AVL</t>
  </si>
  <si>
    <t>PIE - AVP</t>
  </si>
  <si>
    <t>PIE - AZA</t>
  </si>
  <si>
    <t>PIE - BGR</t>
  </si>
  <si>
    <t>PIE - BLV</t>
  </si>
  <si>
    <t>PIE - BMI</t>
  </si>
  <si>
    <t>PIE - BNA</t>
  </si>
  <si>
    <t>PIE - CAK</t>
  </si>
  <si>
    <t>PIE - CHA</t>
  </si>
  <si>
    <t>PIE - CID</t>
  </si>
  <si>
    <t>PIE - CKB</t>
  </si>
  <si>
    <t>PIE - CLE</t>
  </si>
  <si>
    <t>PIE - CVG</t>
  </si>
  <si>
    <t>PIE - DAY</t>
  </si>
  <si>
    <t>PIE - DSM</t>
  </si>
  <si>
    <t>PIE - ELM</t>
  </si>
  <si>
    <t>PIE - EYW</t>
  </si>
  <si>
    <t>PIE - FAR</t>
  </si>
  <si>
    <t>PIE - FNT</t>
  </si>
  <si>
    <t>PIE - FSD</t>
  </si>
  <si>
    <t>PIE - FWA</t>
  </si>
  <si>
    <t>PIE - GRR</t>
  </si>
  <si>
    <t>PIE - GSO</t>
  </si>
  <si>
    <t>PIE - GSP</t>
  </si>
  <si>
    <t>PIE - HGR</t>
  </si>
  <si>
    <t>PIE - HTS</t>
  </si>
  <si>
    <t>PIE - IAG</t>
  </si>
  <si>
    <t>PIE - ICT</t>
  </si>
  <si>
    <t>PIE - IND</t>
  </si>
  <si>
    <t>PIE - LCK</t>
  </si>
  <si>
    <t>PIE - LEX</t>
  </si>
  <si>
    <t>PIE - LIT</t>
  </si>
  <si>
    <t>PIE - MCI</t>
  </si>
  <si>
    <t>PIE - MDT</t>
  </si>
  <si>
    <t>PIE - MEM</t>
  </si>
  <si>
    <t>PIE - MKE</t>
  </si>
  <si>
    <t>PIE - MLI</t>
  </si>
  <si>
    <t>PIE - MSY</t>
  </si>
  <si>
    <t>PIE - OGS</t>
  </si>
  <si>
    <t>PIE - OMA</t>
  </si>
  <si>
    <t>PIE - ORF</t>
  </si>
  <si>
    <t>PIE - PBG</t>
  </si>
  <si>
    <t>PIE - PIA</t>
  </si>
  <si>
    <t>PIE - PIT</t>
  </si>
  <si>
    <t>PIE - PSM</t>
  </si>
  <si>
    <t>PIE - PVD</t>
  </si>
  <si>
    <t>PIE - PVU</t>
  </si>
  <si>
    <t>PIE - RDU</t>
  </si>
  <si>
    <t>PIE - RFD</t>
  </si>
  <si>
    <t>PIE - RIC</t>
  </si>
  <si>
    <t>PIE - ROA</t>
  </si>
  <si>
    <t>PIE - SBN</t>
  </si>
  <si>
    <t>PIE - SCE</t>
  </si>
  <si>
    <t>PIE - SDF</t>
  </si>
  <si>
    <t>PIE - SGF</t>
  </si>
  <si>
    <t>PIE - SWF</t>
  </si>
  <si>
    <t>PIE - SYR</t>
  </si>
  <si>
    <t>PIE - TOL</t>
  </si>
  <si>
    <t>PIE - TRI</t>
  </si>
  <si>
    <t>PIE - TTN</t>
  </si>
  <si>
    <t>PIE - TUL</t>
  </si>
  <si>
    <t>PIE - TVC</t>
  </si>
  <si>
    <t>PIE - TYS</t>
  </si>
  <si>
    <t>PIE - USA</t>
  </si>
  <si>
    <t>PIE - XNA</t>
  </si>
  <si>
    <t>YNG</t>
  </si>
  <si>
    <t>PIE - YNG</t>
  </si>
  <si>
    <t>PIH</t>
  </si>
  <si>
    <t>PIH - SLC</t>
  </si>
  <si>
    <t>PIR - ATY</t>
  </si>
  <si>
    <t>PIR - BFF</t>
  </si>
  <si>
    <t>PIR - DEN</t>
  </si>
  <si>
    <t>PIT - ABE</t>
  </si>
  <si>
    <t>PIT - ATL</t>
  </si>
  <si>
    <t>PIT - AUS</t>
  </si>
  <si>
    <t>PIT - AZA</t>
  </si>
  <si>
    <t>PIT - BNA</t>
  </si>
  <si>
    <t>PIT - BOS</t>
  </si>
  <si>
    <t>PIT - BWI</t>
  </si>
  <si>
    <t>PIT - CHS</t>
  </si>
  <si>
    <t>PIT - CLE</t>
  </si>
  <si>
    <t>PIT - CLT</t>
  </si>
  <si>
    <t>PIT - CRW</t>
  </si>
  <si>
    <t>PIT - DAL</t>
  </si>
  <si>
    <t>PIT - DCA</t>
  </si>
  <si>
    <t>PIT - DEN</t>
  </si>
  <si>
    <t>PIT - DFW</t>
  </si>
  <si>
    <t>PIT - DTW</t>
  </si>
  <si>
    <t>PIT - EWR</t>
  </si>
  <si>
    <t>PIT - EYW</t>
  </si>
  <si>
    <t>PIT - FLL</t>
  </si>
  <si>
    <t>PIT - HHH</t>
  </si>
  <si>
    <t>PIT - HOU</t>
  </si>
  <si>
    <t>PIT - IAD</t>
  </si>
  <si>
    <t>PIT - IAH</t>
  </si>
  <si>
    <t>PIT - JAX</t>
  </si>
  <si>
    <t>PIT - JFK</t>
  </si>
  <si>
    <t>PIT - LAS</t>
  </si>
  <si>
    <t>PIT - LAX</t>
  </si>
  <si>
    <t>PIT - LBE</t>
  </si>
  <si>
    <t>PIT - LGA</t>
  </si>
  <si>
    <t>PIT - MCO</t>
  </si>
  <si>
    <t>PIT - MDW</t>
  </si>
  <si>
    <t>PIT - MEM</t>
  </si>
  <si>
    <t>PIT - MIA</t>
  </si>
  <si>
    <t>PIT - MLB</t>
  </si>
  <si>
    <t>PIT - MSP</t>
  </si>
  <si>
    <t>PIT - MSY</t>
  </si>
  <si>
    <t>PIT - MYR</t>
  </si>
  <si>
    <t>PIT - ORD</t>
  </si>
  <si>
    <t>PIT - ORF</t>
  </si>
  <si>
    <t>PIT - PBI</t>
  </si>
  <si>
    <t>PIT - PGD</t>
  </si>
  <si>
    <t>PIT - PHL</t>
  </si>
  <si>
    <t>PIT - PHX</t>
  </si>
  <si>
    <t>PIT - PIE</t>
  </si>
  <si>
    <t>PIT - PNS</t>
  </si>
  <si>
    <t>PIT - PWM</t>
  </si>
  <si>
    <t>PIT - RAP</t>
  </si>
  <si>
    <t>PIT - RDU</t>
  </si>
  <si>
    <t>PIT - RSW</t>
  </si>
  <si>
    <t>PIT - SAN</t>
  </si>
  <si>
    <t>PIT - SAV</t>
  </si>
  <si>
    <t>PIT - SEA</t>
  </si>
  <si>
    <t>PIT - SFB</t>
  </si>
  <si>
    <t>PIT - SFO</t>
  </si>
  <si>
    <t>PIT - SJU</t>
  </si>
  <si>
    <t>PIT - SLC</t>
  </si>
  <si>
    <t>PIT - SRQ</t>
  </si>
  <si>
    <t>PIT - STL</t>
  </si>
  <si>
    <t>PIT - TPA</t>
  </si>
  <si>
    <t>PIT - TYS</t>
  </si>
  <si>
    <t>PIT - VPS</t>
  </si>
  <si>
    <t>PLN - APN</t>
  </si>
  <si>
    <t>PLN - DTW</t>
  </si>
  <si>
    <t>PNS - ATL</t>
  </si>
  <si>
    <t>PNS - AUS</t>
  </si>
  <si>
    <t>PNS - BNA</t>
  </si>
  <si>
    <t>PNS - BOS</t>
  </si>
  <si>
    <t>PNS - BWI</t>
  </si>
  <si>
    <t>PNS - CLE</t>
  </si>
  <si>
    <t>PNS - CLL</t>
  </si>
  <si>
    <t>PNS - CLT</t>
  </si>
  <si>
    <t>PNS - CMH</t>
  </si>
  <si>
    <t>PNS - CVG</t>
  </si>
  <si>
    <t>PNS - DAL</t>
  </si>
  <si>
    <t>PNS - DCA</t>
  </si>
  <si>
    <t>PNS - DEN</t>
  </si>
  <si>
    <t>PNS - DFW</t>
  </si>
  <si>
    <t>PNS - EWR</t>
  </si>
  <si>
    <t>PNS - HOU</t>
  </si>
  <si>
    <t>PNS - IAD</t>
  </si>
  <si>
    <t>PNS - IAH</t>
  </si>
  <si>
    <t>PNS - IND</t>
  </si>
  <si>
    <t>PNS - LGA</t>
  </si>
  <si>
    <t>PNS - MCI</t>
  </si>
  <si>
    <t>PNS - MCO</t>
  </si>
  <si>
    <t>PNS - MDW</t>
  </si>
  <si>
    <t>PNS - MIA</t>
  </si>
  <si>
    <t>PNS - MKE</t>
  </si>
  <si>
    <t>PNS - ORD</t>
  </si>
  <si>
    <t>PNS - PHL</t>
  </si>
  <si>
    <t>PNS - PIT</t>
  </si>
  <si>
    <t>PNS - SDF</t>
  </si>
  <si>
    <t>PNS - STL</t>
  </si>
  <si>
    <t>PPG - HNL</t>
  </si>
  <si>
    <t>PQI - EWR</t>
  </si>
  <si>
    <t>PQI - IAD</t>
  </si>
  <si>
    <t>PRC - DEN</t>
  </si>
  <si>
    <t>PRC - LAX</t>
  </si>
  <si>
    <t>PSC - AZA</t>
  </si>
  <si>
    <t>PSC - BLI</t>
  </si>
  <si>
    <t>PSC - BZN</t>
  </si>
  <si>
    <t>PSC - DEN</t>
  </si>
  <si>
    <t>PSC - LAS</t>
  </si>
  <si>
    <t>PSC - LAX</t>
  </si>
  <si>
    <t>PSC - MSP</t>
  </si>
  <si>
    <t>PSC - PDX</t>
  </si>
  <si>
    <t>PSC - SAN</t>
  </si>
  <si>
    <t>PSC - SEA</t>
  </si>
  <si>
    <t>PSC - SFO</t>
  </si>
  <si>
    <t>PSC - SLC</t>
  </si>
  <si>
    <t>PSE - JFK</t>
  </si>
  <si>
    <t>PSE - MCO</t>
  </si>
  <si>
    <t>PSG - JNU</t>
  </si>
  <si>
    <t>PSG - WRG</t>
  </si>
  <si>
    <t>PSM - BNA</t>
  </si>
  <si>
    <t>PSM - MCO</t>
  </si>
  <si>
    <t>PSM - MYR</t>
  </si>
  <si>
    <t>PSM - PGD</t>
  </si>
  <si>
    <t>PSM - PIE</t>
  </si>
  <si>
    <t>PSM - SAV</t>
  </si>
  <si>
    <t>PSM - SFB</t>
  </si>
  <si>
    <t>PSP - ATL</t>
  </si>
  <si>
    <t>PSP - AUS</t>
  </si>
  <si>
    <t>PSP - BLI</t>
  </si>
  <si>
    <t>PSP - BNA</t>
  </si>
  <si>
    <t>PSP - BOI</t>
  </si>
  <si>
    <t>PSP - BOS</t>
  </si>
  <si>
    <t>PSP - DAL</t>
  </si>
  <si>
    <t>PSP - DEN</t>
  </si>
  <si>
    <t>PSP - DFW</t>
  </si>
  <si>
    <t>PSP - DSM</t>
  </si>
  <si>
    <t>PSP - EUG</t>
  </si>
  <si>
    <t>PSP - EWR</t>
  </si>
  <si>
    <t>PSP - FLL</t>
  </si>
  <si>
    <t>PSP - IAH</t>
  </si>
  <si>
    <t>PSP - IND</t>
  </si>
  <si>
    <t>PSP - JFK</t>
  </si>
  <si>
    <t>PSP - LAS</t>
  </si>
  <si>
    <t>PSP - LAX</t>
  </si>
  <si>
    <t>PSP - LGB</t>
  </si>
  <si>
    <t>PSP - MDW</t>
  </si>
  <si>
    <t>PSP - MSP</t>
  </si>
  <si>
    <t>PSP - OAK</t>
  </si>
  <si>
    <t>PSP - ORD</t>
  </si>
  <si>
    <t>PSP - PAE</t>
  </si>
  <si>
    <t>PSP - PDX</t>
  </si>
  <si>
    <t>PSP - PHL</t>
  </si>
  <si>
    <t>PSP - PHX</t>
  </si>
  <si>
    <t>PSP - PVU</t>
  </si>
  <si>
    <t>PSP - RNO</t>
  </si>
  <si>
    <t>PSP - SEA</t>
  </si>
  <si>
    <t>PSP - SFO</t>
  </si>
  <si>
    <t>PSP - SJC</t>
  </si>
  <si>
    <t>PSP - SLC</t>
  </si>
  <si>
    <t>PSP - SMF</t>
  </si>
  <si>
    <t>PUB - DEN</t>
  </si>
  <si>
    <t>PUB - LBL</t>
  </si>
  <si>
    <t>PUW - ALW</t>
  </si>
  <si>
    <t>PUW - BOI</t>
  </si>
  <si>
    <t>PUW - SEA</t>
  </si>
  <si>
    <t>PVD - ATL</t>
  </si>
  <si>
    <t>PVD - AUS</t>
  </si>
  <si>
    <t>PVD - BNA</t>
  </si>
  <si>
    <t>PVD - BWI</t>
  </si>
  <si>
    <t>PVD - CLT</t>
  </si>
  <si>
    <t>PVD - CVG</t>
  </si>
  <si>
    <t>PVD - DCA</t>
  </si>
  <si>
    <t>PVD - DEN</t>
  </si>
  <si>
    <t>PVD - DTW</t>
  </si>
  <si>
    <t>PVD - EWR</t>
  </si>
  <si>
    <t>PVD - FLL</t>
  </si>
  <si>
    <t>PVD - IAD</t>
  </si>
  <si>
    <t>PVD - LGA</t>
  </si>
  <si>
    <t>PVD - MCO</t>
  </si>
  <si>
    <t>PVD - MDW</t>
  </si>
  <si>
    <t>PVD - MIA</t>
  </si>
  <si>
    <t>PVD - MSP</t>
  </si>
  <si>
    <t>PVD - MSY</t>
  </si>
  <si>
    <t>PVD - MYR</t>
  </si>
  <si>
    <t>PVD - ORD</t>
  </si>
  <si>
    <t>PVD - PBI</t>
  </si>
  <si>
    <t>PVD - PGD</t>
  </si>
  <si>
    <t>PVD - PHL</t>
  </si>
  <si>
    <t>PVD - PIE</t>
  </si>
  <si>
    <t>PVD - PWM</t>
  </si>
  <si>
    <t>PVD - RDU</t>
  </si>
  <si>
    <t>PVD - RSW</t>
  </si>
  <si>
    <t>PVD - SAV</t>
  </si>
  <si>
    <t>PVD - STL</t>
  </si>
  <si>
    <t>PVD - TPA</t>
  </si>
  <si>
    <t>PVU - AUS</t>
  </si>
  <si>
    <t>PVU - AZA</t>
  </si>
  <si>
    <t>PVU - DEN</t>
  </si>
  <si>
    <t>PVU - HOU</t>
  </si>
  <si>
    <t>PVU - LAS</t>
  </si>
  <si>
    <t>PVU - LAX</t>
  </si>
  <si>
    <t>PVU - OAK</t>
  </si>
  <si>
    <t>PVU - PHX</t>
  </si>
  <si>
    <t>PVU - PIE</t>
  </si>
  <si>
    <t>PVU - PSP</t>
  </si>
  <si>
    <t>PVU - SAN</t>
  </si>
  <si>
    <t>PVU - SNA</t>
  </si>
  <si>
    <t>PVU - TUS</t>
  </si>
  <si>
    <t>PWM - ATL</t>
  </si>
  <si>
    <t>PWM - BNA</t>
  </si>
  <si>
    <t>PWM - BWI</t>
  </si>
  <si>
    <t>PWM - CLE</t>
  </si>
  <si>
    <t>PWM - CLT</t>
  </si>
  <si>
    <t>PWM - CMH</t>
  </si>
  <si>
    <t>PWM - CVG</t>
  </si>
  <si>
    <t>PWM - DCA</t>
  </si>
  <si>
    <t>PWM - DEN</t>
  </si>
  <si>
    <t>PWM - DFW</t>
  </si>
  <si>
    <t>PWM - DTW</t>
  </si>
  <si>
    <t>PWM - EWR</t>
  </si>
  <si>
    <t>PWM - FLL</t>
  </si>
  <si>
    <t>PWM - IAD</t>
  </si>
  <si>
    <t>PWM - IND</t>
  </si>
  <si>
    <t>PWM - JFK</t>
  </si>
  <si>
    <t>PWM - LGA</t>
  </si>
  <si>
    <t>PWM - MCO</t>
  </si>
  <si>
    <t>PWM - MDW</t>
  </si>
  <si>
    <t>PWM - MIA</t>
  </si>
  <si>
    <t>PWM - MKE</t>
  </si>
  <si>
    <t>PWM - MSP</t>
  </si>
  <si>
    <t>PWM - MYR</t>
  </si>
  <si>
    <t>PWM - ORD</t>
  </si>
  <si>
    <t>PWM - PHL</t>
  </si>
  <si>
    <t>PWM - PIT</t>
  </si>
  <si>
    <t>PWM - RDU</t>
  </si>
  <si>
    <t>PWM - RSW</t>
  </si>
  <si>
    <t>PWM - TPA</t>
  </si>
  <si>
    <t>RAP - ATL</t>
  </si>
  <si>
    <t>RAP - ATW</t>
  </si>
  <si>
    <t>RAP - AZA</t>
  </si>
  <si>
    <t>RAP - BNA</t>
  </si>
  <si>
    <t>RAP - CLT</t>
  </si>
  <si>
    <t>RAP - DEN</t>
  </si>
  <si>
    <t>RAP - DFW</t>
  </si>
  <si>
    <t>RAP - DSM</t>
  </si>
  <si>
    <t>RAP - DTW</t>
  </si>
  <si>
    <t>RAP - EWR</t>
  </si>
  <si>
    <t>RAP - GRR</t>
  </si>
  <si>
    <t>RAP - IAH</t>
  </si>
  <si>
    <t>RAP - IND</t>
  </si>
  <si>
    <t>RAP - LAS</t>
  </si>
  <si>
    <t>RAP - LAX</t>
  </si>
  <si>
    <t>RAP - LGA</t>
  </si>
  <si>
    <t>RAP - MSP</t>
  </si>
  <si>
    <t>RAP - ORD</t>
  </si>
  <si>
    <t>RAP - PGD</t>
  </si>
  <si>
    <t>RAP - PHX</t>
  </si>
  <si>
    <t>RAP - PIA</t>
  </si>
  <si>
    <t>RAP - PIR</t>
  </si>
  <si>
    <t>RAP - PIT</t>
  </si>
  <si>
    <t>RAP - SFB</t>
  </si>
  <si>
    <t>RAP - SFO</t>
  </si>
  <si>
    <t>RAP - SLC</t>
  </si>
  <si>
    <t>RAP - TYS</t>
  </si>
  <si>
    <t>RDD - ACV</t>
  </si>
  <si>
    <t>RDD - LAX</t>
  </si>
  <si>
    <t>RDD - SEA</t>
  </si>
  <si>
    <t>RDD - SFO</t>
  </si>
  <si>
    <t>RDM - AZA</t>
  </si>
  <si>
    <t>RDM - DEN</t>
  </si>
  <si>
    <t>RDM - LAS</t>
  </si>
  <si>
    <t>RDM - LAX</t>
  </si>
  <si>
    <t>RDM - MFR</t>
  </si>
  <si>
    <t>RDM - ORD</t>
  </si>
  <si>
    <t>RDM - PDX</t>
  </si>
  <si>
    <t>RDM - PHX</t>
  </si>
  <si>
    <t>RDM - SAN</t>
  </si>
  <si>
    <t>RDM - SEA</t>
  </si>
  <si>
    <t>RDM - SFO</t>
  </si>
  <si>
    <t>RDM - SLC</t>
  </si>
  <si>
    <t>RDU - ALB</t>
  </si>
  <si>
    <t>RDU - ATL</t>
  </si>
  <si>
    <t>RDU - AUS</t>
  </si>
  <si>
    <t>RDU - BDL</t>
  </si>
  <si>
    <t>RDU - BNA</t>
  </si>
  <si>
    <t>RDU - BOS</t>
  </si>
  <si>
    <t>RDU - BUF</t>
  </si>
  <si>
    <t>RDU - BWI</t>
  </si>
  <si>
    <t>RDU - CHS</t>
  </si>
  <si>
    <t>RDU - CLE</t>
  </si>
  <si>
    <t>RDU - CLT</t>
  </si>
  <si>
    <t>RDU - CMH</t>
  </si>
  <si>
    <t>RDU - CVG</t>
  </si>
  <si>
    <t>RDU - DAL</t>
  </si>
  <si>
    <t>RDU - DCA</t>
  </si>
  <si>
    <t>RDU - DEN</t>
  </si>
  <si>
    <t>RDU - DFW</t>
  </si>
  <si>
    <t>RDU - DTW</t>
  </si>
  <si>
    <t>RDU - EWR</t>
  </si>
  <si>
    <t>RDU - FLL</t>
  </si>
  <si>
    <t>RDU - HOU</t>
  </si>
  <si>
    <t>RDU - IAD</t>
  </si>
  <si>
    <t>RDU - IAH</t>
  </si>
  <si>
    <t>RDU - IND</t>
  </si>
  <si>
    <t>RDU - ISP</t>
  </si>
  <si>
    <t>RDU - JAX</t>
  </si>
  <si>
    <t>RDU - JFK</t>
  </si>
  <si>
    <t>RDU - LAS</t>
  </si>
  <si>
    <t>RDU - LAX</t>
  </si>
  <si>
    <t>RDU - LGA</t>
  </si>
  <si>
    <t>RDU - MCI</t>
  </si>
  <si>
    <t>RDU - MCO</t>
  </si>
  <si>
    <t>RDU - MDT</t>
  </si>
  <si>
    <t>RDU - MDW</t>
  </si>
  <si>
    <t>RDU - MIA</t>
  </si>
  <si>
    <t>RDU - MKE</t>
  </si>
  <si>
    <t>RDU - MSN</t>
  </si>
  <si>
    <t>RDU - MSP</t>
  </si>
  <si>
    <t>RDU - MSY</t>
  </si>
  <si>
    <t>RDU - ORD</t>
  </si>
  <si>
    <t>RDU - PBI</t>
  </si>
  <si>
    <t>RDU - PGD</t>
  </si>
  <si>
    <t>RDU - PHL</t>
  </si>
  <si>
    <t>RDU - PHX</t>
  </si>
  <si>
    <t>RDU - PIE</t>
  </si>
  <si>
    <t>RDU - PIT</t>
  </si>
  <si>
    <t>RDU - PVD</t>
  </si>
  <si>
    <t>RDU - PWM</t>
  </si>
  <si>
    <t>RDU - RSW</t>
  </si>
  <si>
    <t>RDU - SAN</t>
  </si>
  <si>
    <t>RDU - SAT</t>
  </si>
  <si>
    <t>RDU - SBN</t>
  </si>
  <si>
    <t>RDU - SEA</t>
  </si>
  <si>
    <t>RDU - SFB</t>
  </si>
  <si>
    <t>RDU - SFO</t>
  </si>
  <si>
    <t>RDU - SJC</t>
  </si>
  <si>
    <t>RDU - SJU</t>
  </si>
  <si>
    <t>RDU - SLC</t>
  </si>
  <si>
    <t>RDU - STL</t>
  </si>
  <si>
    <t>RDU - SWF</t>
  </si>
  <si>
    <t>RDU - SYR</t>
  </si>
  <si>
    <t>RDU - TPA</t>
  </si>
  <si>
    <t>RDU - TTN</t>
  </si>
  <si>
    <t>RDU - VPS</t>
  </si>
  <si>
    <t>RFD - AZA</t>
  </si>
  <si>
    <t>RFD - LAS</t>
  </si>
  <si>
    <t>RFD - PGD</t>
  </si>
  <si>
    <t>RFD - PIE</t>
  </si>
  <si>
    <t>RFD - SFB</t>
  </si>
  <si>
    <t>RFD - SRQ</t>
  </si>
  <si>
    <t>RFD - VPS</t>
  </si>
  <si>
    <t>RHI - MSP</t>
  </si>
  <si>
    <t>RHI - ORD</t>
  </si>
  <si>
    <t>RIC - ATL</t>
  </si>
  <si>
    <t>RIC - BNA</t>
  </si>
  <si>
    <t>RIC - BOS</t>
  </si>
  <si>
    <t>RIC - CHO</t>
  </si>
  <si>
    <t>RIC - CLT</t>
  </si>
  <si>
    <t>RIC - CRW</t>
  </si>
  <si>
    <t>RIC - DEN</t>
  </si>
  <si>
    <t>RIC - DFW</t>
  </si>
  <si>
    <t>RIC - DTW</t>
  </si>
  <si>
    <t>RIC - EWR</t>
  </si>
  <si>
    <t>RIC - FLL</t>
  </si>
  <si>
    <t>RIC - IAD</t>
  </si>
  <si>
    <t>RIC - IAH</t>
  </si>
  <si>
    <t>RIC - JFK</t>
  </si>
  <si>
    <t>RIC - LAS</t>
  </si>
  <si>
    <t>RIC - LAX</t>
  </si>
  <si>
    <t>RIC - LGA</t>
  </si>
  <si>
    <t>RIC - MCO</t>
  </si>
  <si>
    <t>RIC - MDW</t>
  </si>
  <si>
    <t>RIC - MIA</t>
  </si>
  <si>
    <t>RIC - MSP</t>
  </si>
  <si>
    <t>RIC - ORD</t>
  </si>
  <si>
    <t>RIC - PGD</t>
  </si>
  <si>
    <t>RIC - PHL</t>
  </si>
  <si>
    <t>RIC - PIE</t>
  </si>
  <si>
    <t>RIC - SFB</t>
  </si>
  <si>
    <t>RIC - SRQ</t>
  </si>
  <si>
    <t>RIC - TPA</t>
  </si>
  <si>
    <t>RIW - DEN</t>
  </si>
  <si>
    <t>RIW - RKS</t>
  </si>
  <si>
    <t>RIW - SHR</t>
  </si>
  <si>
    <t>RKS - DEN</t>
  </si>
  <si>
    <t>RKS - RIW</t>
  </si>
  <si>
    <t>RNO - ATL</t>
  </si>
  <si>
    <t>RNO - AUS</t>
  </si>
  <si>
    <t>RNO - BOI</t>
  </si>
  <si>
    <t>RNO - BUR</t>
  </si>
  <si>
    <t>RNO - CLT</t>
  </si>
  <si>
    <t>RNO - DAL</t>
  </si>
  <si>
    <t>RNO - DEN</t>
  </si>
  <si>
    <t>RNO - DFW</t>
  </si>
  <si>
    <t>RNO - EWR</t>
  </si>
  <si>
    <t>RNO - HOU</t>
  </si>
  <si>
    <t>RNO - IAH</t>
  </si>
  <si>
    <t>RNO - JAC</t>
  </si>
  <si>
    <t>RNO - JFK</t>
  </si>
  <si>
    <t>RNO - LAS</t>
  </si>
  <si>
    <t>RNO - LAX</t>
  </si>
  <si>
    <t>RNO - LGB</t>
  </si>
  <si>
    <t>RNO - MDW</t>
  </si>
  <si>
    <t>RNO - MFR</t>
  </si>
  <si>
    <t>RNO - MSP</t>
  </si>
  <si>
    <t>RNO - OAK</t>
  </si>
  <si>
    <t>RNO - ORD</t>
  </si>
  <si>
    <t>RNO - PDX</t>
  </si>
  <si>
    <t>RNO - PHX</t>
  </si>
  <si>
    <t>RNO - PSP</t>
  </si>
  <si>
    <t>RNO - SAN</t>
  </si>
  <si>
    <t>RNO - SEA</t>
  </si>
  <si>
    <t>RNO - SFO</t>
  </si>
  <si>
    <t>RNO - SJC</t>
  </si>
  <si>
    <t>RNO - SLC</t>
  </si>
  <si>
    <t>RNO - SNA</t>
  </si>
  <si>
    <t>ROA - ATL</t>
  </si>
  <si>
    <t>ROA - BNA</t>
  </si>
  <si>
    <t>ROA - CLT</t>
  </si>
  <si>
    <t>ROA - IAD</t>
  </si>
  <si>
    <t>ROA - LGA</t>
  </si>
  <si>
    <t>ROA - ORD</t>
  </si>
  <si>
    <t>ROA - PHL</t>
  </si>
  <si>
    <t>ROA - PIE</t>
  </si>
  <si>
    <t>ROA - SBN</t>
  </si>
  <si>
    <t>ROA - SFB</t>
  </si>
  <si>
    <t>ROC - ATL</t>
  </si>
  <si>
    <t>ROC - BOS</t>
  </si>
  <si>
    <t>ROC - BWI</t>
  </si>
  <si>
    <t>ROC - CLT</t>
  </si>
  <si>
    <t>ROC - DCA</t>
  </si>
  <si>
    <t>ROC - DEN</t>
  </si>
  <si>
    <t>ROC - DTW</t>
  </si>
  <si>
    <t>ROC - EWR</t>
  </si>
  <si>
    <t>ROC - FLL</t>
  </si>
  <si>
    <t>ROC - IAD</t>
  </si>
  <si>
    <t>ROC - JFK</t>
  </si>
  <si>
    <t>ROC - LGA</t>
  </si>
  <si>
    <t>ROC - MCO</t>
  </si>
  <si>
    <t>ROC - MDW</t>
  </si>
  <si>
    <t>ROC - MIA</t>
  </si>
  <si>
    <t>ROC - MSP</t>
  </si>
  <si>
    <t>ROC - ORD</t>
  </si>
  <si>
    <t>ROC - PGD</t>
  </si>
  <si>
    <t>ROC - PHL</t>
  </si>
  <si>
    <t>ROC - RSW</t>
  </si>
  <si>
    <t>ROC - SFB</t>
  </si>
  <si>
    <t>ROC - TPA</t>
  </si>
  <si>
    <t>ROP - GUM</t>
  </si>
  <si>
    <t>ROP - SPN</t>
  </si>
  <si>
    <t>ROW - DFW</t>
  </si>
  <si>
    <t>ROW - PHX</t>
  </si>
  <si>
    <t>RST - ATL</t>
  </si>
  <si>
    <t>RST - DEN</t>
  </si>
  <si>
    <t>RST - FAR</t>
  </si>
  <si>
    <t>RST - MSP</t>
  </si>
  <si>
    <t>RST - ORD</t>
  </si>
  <si>
    <t>RSW - ACY</t>
  </si>
  <si>
    <t>RSW - ALB</t>
  </si>
  <si>
    <t>RSW - ATL</t>
  </si>
  <si>
    <t>RSW - AUS</t>
  </si>
  <si>
    <t>RSW - BDL</t>
  </si>
  <si>
    <t>RSW - BNA</t>
  </si>
  <si>
    <t>RSW - BOS</t>
  </si>
  <si>
    <t>RSW - BUF</t>
  </si>
  <si>
    <t>RSW - BWI</t>
  </si>
  <si>
    <t>RSW - CAK</t>
  </si>
  <si>
    <t>RSW - CLE</t>
  </si>
  <si>
    <t>RSW - CLT</t>
  </si>
  <si>
    <t>RSW - CMH</t>
  </si>
  <si>
    <t>RSW - COS</t>
  </si>
  <si>
    <t>RSW - CVG</t>
  </si>
  <si>
    <t>RSW - DAL</t>
  </si>
  <si>
    <t>RSW - DCA</t>
  </si>
  <si>
    <t>RSW - DEN</t>
  </si>
  <si>
    <t>RSW - DFW</t>
  </si>
  <si>
    <t>RSW - DTW</t>
  </si>
  <si>
    <t>RSW - EWR</t>
  </si>
  <si>
    <t>RSW - EYW</t>
  </si>
  <si>
    <t>RSW - FNT</t>
  </si>
  <si>
    <t>RSW - GRR</t>
  </si>
  <si>
    <t>RSW - HOU</t>
  </si>
  <si>
    <t>RSW - HPN</t>
  </si>
  <si>
    <t>RSW - IAD</t>
  </si>
  <si>
    <t>RSW - IAH</t>
  </si>
  <si>
    <t>RSW - IND</t>
  </si>
  <si>
    <t>RSW - ISP</t>
  </si>
  <si>
    <t>RSW - JFK</t>
  </si>
  <si>
    <t>RSW - LAS</t>
  </si>
  <si>
    <t>RSW - LAX</t>
  </si>
  <si>
    <t>RSW - LBE</t>
  </si>
  <si>
    <t>RSW - LGA</t>
  </si>
  <si>
    <t>RSW - MCI</t>
  </si>
  <si>
    <t>RSW - MCO</t>
  </si>
  <si>
    <t>RSW - MDW</t>
  </si>
  <si>
    <t>RSW - MHT</t>
  </si>
  <si>
    <t>RSW - MIA</t>
  </si>
  <si>
    <t>RSW - MKE</t>
  </si>
  <si>
    <t>RSW - MSP</t>
  </si>
  <si>
    <t>RSW - OMA</t>
  </si>
  <si>
    <t>RSW - ORD</t>
  </si>
  <si>
    <t>RSW - PHL</t>
  </si>
  <si>
    <t>RSW - PHX</t>
  </si>
  <si>
    <t>RSW - PIT</t>
  </si>
  <si>
    <t>RSW - PVD</t>
  </si>
  <si>
    <t>RSW - PWM</t>
  </si>
  <si>
    <t>RSW - RDU</t>
  </si>
  <si>
    <t>RSW - ROC</t>
  </si>
  <si>
    <t>RSW - SDF</t>
  </si>
  <si>
    <t>RSW - SEA</t>
  </si>
  <si>
    <t>RSW - SFO</t>
  </si>
  <si>
    <t>RSW - SLC</t>
  </si>
  <si>
    <t>RSW - STL</t>
  </si>
  <si>
    <t>RSW - SYR</t>
  </si>
  <si>
    <t>RSW - TTN</t>
  </si>
  <si>
    <t>SAF - DEN</t>
  </si>
  <si>
    <t>SAF - DFW</t>
  </si>
  <si>
    <t>SAF - LAX</t>
  </si>
  <si>
    <t>SAF - PHX</t>
  </si>
  <si>
    <t>SAN - ABQ</t>
  </si>
  <si>
    <t>SAN - ATL</t>
  </si>
  <si>
    <t>SAN - AUS</t>
  </si>
  <si>
    <t>SAN - AZA</t>
  </si>
  <si>
    <t>SAN - BIL</t>
  </si>
  <si>
    <t>SAN - BLI</t>
  </si>
  <si>
    <t>SAN - BNA</t>
  </si>
  <si>
    <t>SAN - BOI</t>
  </si>
  <si>
    <t>SAN - BOS</t>
  </si>
  <si>
    <t>SAN - BWI</t>
  </si>
  <si>
    <t>SAN - BZN</t>
  </si>
  <si>
    <t>SAN - CLE</t>
  </si>
  <si>
    <t>SAN - CLT</t>
  </si>
  <si>
    <t>SAN - COS</t>
  </si>
  <si>
    <t>SAN - CVG</t>
  </si>
  <si>
    <t>SAN - DAL</t>
  </si>
  <si>
    <t>SAN - DEN</t>
  </si>
  <si>
    <t>SAN - DFW</t>
  </si>
  <si>
    <t>SAN - DSM</t>
  </si>
  <si>
    <t>SAN - DTW</t>
  </si>
  <si>
    <t>SAN - ELP</t>
  </si>
  <si>
    <t>SAN - EUG</t>
  </si>
  <si>
    <t>SAN - EWR</t>
  </si>
  <si>
    <t>SAN - FAT</t>
  </si>
  <si>
    <t>SAN - FCA</t>
  </si>
  <si>
    <t>SAN - FLL</t>
  </si>
  <si>
    <t>SAN - FSD</t>
  </si>
  <si>
    <t>SAN - GEG</t>
  </si>
  <si>
    <t>SAN - HDN</t>
  </si>
  <si>
    <t>SAN - HNL</t>
  </si>
  <si>
    <t>SAN - HOU</t>
  </si>
  <si>
    <t>SAN - IAD</t>
  </si>
  <si>
    <t>SAN - IAH</t>
  </si>
  <si>
    <t>SAN - IDA</t>
  </si>
  <si>
    <t>SAN - IND</t>
  </si>
  <si>
    <t>SAN - JAC</t>
  </si>
  <si>
    <t>SAN - JFK</t>
  </si>
  <si>
    <t>SAN - KOA</t>
  </si>
  <si>
    <t>SAN - LAS</t>
  </si>
  <si>
    <t>SAN - LAX</t>
  </si>
  <si>
    <t>SAN - LIH</t>
  </si>
  <si>
    <t>SAN - MCI</t>
  </si>
  <si>
    <t>SAN - MCO</t>
  </si>
  <si>
    <t>SAN - MDW</t>
  </si>
  <si>
    <t>SAN - MFR</t>
  </si>
  <si>
    <t>SAN - MIA</t>
  </si>
  <si>
    <t>SAN - MKE</t>
  </si>
  <si>
    <t>SAN - MMH</t>
  </si>
  <si>
    <t>SAN - MRY</t>
  </si>
  <si>
    <t>SAN - MSO</t>
  </si>
  <si>
    <t>SAN - MSP</t>
  </si>
  <si>
    <t>SAN - MSY</t>
  </si>
  <si>
    <t>SAN - OAK</t>
  </si>
  <si>
    <t>SAN - OGG</t>
  </si>
  <si>
    <t>SAN - OKC</t>
  </si>
  <si>
    <t>SAN - OMA</t>
  </si>
  <si>
    <t>SAN - ORD</t>
  </si>
  <si>
    <t>SAN - ORF</t>
  </si>
  <si>
    <t>SAN - PAE</t>
  </si>
  <si>
    <t>SAN - PDX</t>
  </si>
  <si>
    <t>SAN - PHL</t>
  </si>
  <si>
    <t>SAN - PHX</t>
  </si>
  <si>
    <t>SAN - PIT</t>
  </si>
  <si>
    <t>SAN - PSC</t>
  </si>
  <si>
    <t>SAN - PVU</t>
  </si>
  <si>
    <t>SAN - RDM</t>
  </si>
  <si>
    <t>SAN - RDU</t>
  </si>
  <si>
    <t>SAN - RNO</t>
  </si>
  <si>
    <t>SAN - SAT</t>
  </si>
  <si>
    <t>SAN - SBA</t>
  </si>
  <si>
    <t>SAN - SBP</t>
  </si>
  <si>
    <t>SAN - SCK</t>
  </si>
  <si>
    <t>SAN - SEA</t>
  </si>
  <si>
    <t>SAN - SFO</t>
  </si>
  <si>
    <t>SAN - SJC</t>
  </si>
  <si>
    <t>SAN - SLC</t>
  </si>
  <si>
    <t>SAN - SMF</t>
  </si>
  <si>
    <t>SAN - STL</t>
  </si>
  <si>
    <t>SAN - STS</t>
  </si>
  <si>
    <t>SAN - TPA</t>
  </si>
  <si>
    <t>SAN - TUL</t>
  </si>
  <si>
    <t>SAN - TUS</t>
  </si>
  <si>
    <t>SAT - ABQ</t>
  </si>
  <si>
    <t>SAT - ATL</t>
  </si>
  <si>
    <t>SAT - BNA</t>
  </si>
  <si>
    <t>SAT - BOS</t>
  </si>
  <si>
    <t>SAT - BWI</t>
  </si>
  <si>
    <t>SAT - CLE</t>
  </si>
  <si>
    <t>SAT - CLT</t>
  </si>
  <si>
    <t>SAT - CMH</t>
  </si>
  <si>
    <t>SAT - COS</t>
  </si>
  <si>
    <t>SAT - CVG</t>
  </si>
  <si>
    <t>SAT - DAL</t>
  </si>
  <si>
    <t>SAT - DEN</t>
  </si>
  <si>
    <t>SAT - DFW</t>
  </si>
  <si>
    <t>SAT - DTW</t>
  </si>
  <si>
    <t>SAT - ELP</t>
  </si>
  <si>
    <t>SAT - EWR</t>
  </si>
  <si>
    <t>SAT - FLL</t>
  </si>
  <si>
    <t>SAT - HOU</t>
  </si>
  <si>
    <t>SAT - IAD</t>
  </si>
  <si>
    <t>SAT - IAH</t>
  </si>
  <si>
    <t>SAT - JAX</t>
  </si>
  <si>
    <t>SAT - JFK</t>
  </si>
  <si>
    <t>SAT - LAS</t>
  </si>
  <si>
    <t>SAT - LAX</t>
  </si>
  <si>
    <t>SAT - LGA</t>
  </si>
  <si>
    <t>SAT - MCI</t>
  </si>
  <si>
    <t>SAT - MCO</t>
  </si>
  <si>
    <t>SAT - MDW</t>
  </si>
  <si>
    <t>SAT - MEM</t>
  </si>
  <si>
    <t>SAT - MIA</t>
  </si>
  <si>
    <t>SAT - MSP</t>
  </si>
  <si>
    <t>SAT - MSY</t>
  </si>
  <si>
    <t>SAT - OAK</t>
  </si>
  <si>
    <t>SAT - OKC</t>
  </si>
  <si>
    <t>SAT - OMA</t>
  </si>
  <si>
    <t>SAT - ONT</t>
  </si>
  <si>
    <t>SAT - ORD</t>
  </si>
  <si>
    <t>SAT - PHL</t>
  </si>
  <si>
    <t>SAT - PHX</t>
  </si>
  <si>
    <t>SAT - RDU</t>
  </si>
  <si>
    <t>SAT - SAN</t>
  </si>
  <si>
    <t>SAT - SEA</t>
  </si>
  <si>
    <t>SAT - SFB</t>
  </si>
  <si>
    <t>SAT - SFO</t>
  </si>
  <si>
    <t>SAT - SJC</t>
  </si>
  <si>
    <t>SAT - SLC</t>
  </si>
  <si>
    <t>SAT - SNA</t>
  </si>
  <si>
    <t>SAT - STL</t>
  </si>
  <si>
    <t>SAT - TPA</t>
  </si>
  <si>
    <t>SAT - TUL</t>
  </si>
  <si>
    <t>SAV - ABE</t>
  </si>
  <si>
    <t>SAV - ALB</t>
  </si>
  <si>
    <t>SAV - ATL</t>
  </si>
  <si>
    <t>SAV - ATW</t>
  </si>
  <si>
    <t>SAV - AVL</t>
  </si>
  <si>
    <t>SAV - BLV</t>
  </si>
  <si>
    <t>SAV - BNA</t>
  </si>
  <si>
    <t>SAV - BOS</t>
  </si>
  <si>
    <t>SAV - BWI</t>
  </si>
  <si>
    <t>SAV - CAK</t>
  </si>
  <si>
    <t>SAV - CLE</t>
  </si>
  <si>
    <t>SAV - CLT</t>
  </si>
  <si>
    <t>SAV - CVG</t>
  </si>
  <si>
    <t>SAV - DAL</t>
  </si>
  <si>
    <t>SAV - DCA</t>
  </si>
  <si>
    <t>SAV - DEN</t>
  </si>
  <si>
    <t>SAV - DFW</t>
  </si>
  <si>
    <t>SAV - DTW</t>
  </si>
  <si>
    <t>SAV - EWR</t>
  </si>
  <si>
    <t>SAV - FNT</t>
  </si>
  <si>
    <t>SAV - GRR</t>
  </si>
  <si>
    <t>SAV - HHH</t>
  </si>
  <si>
    <t>SAV - HOU</t>
  </si>
  <si>
    <t>SAV - HTS</t>
  </si>
  <si>
    <t>SAV - IAD</t>
  </si>
  <si>
    <t>SAV - IAG</t>
  </si>
  <si>
    <t>SAV - IAH</t>
  </si>
  <si>
    <t>SAV - IND</t>
  </si>
  <si>
    <t>SAV - JFK</t>
  </si>
  <si>
    <t>SAV - LCK</t>
  </si>
  <si>
    <t>SAV - LEX</t>
  </si>
  <si>
    <t>SAV - LGA</t>
  </si>
  <si>
    <t>SAV - MDW</t>
  </si>
  <si>
    <t>SAV - MIA</t>
  </si>
  <si>
    <t>SAV - MKE</t>
  </si>
  <si>
    <t>SAV - MSP</t>
  </si>
  <si>
    <t>SAV - ORD</t>
  </si>
  <si>
    <t>SAV - PGD</t>
  </si>
  <si>
    <t>SAV - PHL</t>
  </si>
  <si>
    <t>SAV - PIT</t>
  </si>
  <si>
    <t>SAV - PSM</t>
  </si>
  <si>
    <t>SAV - PVD</t>
  </si>
  <si>
    <t>SAV - SDF</t>
  </si>
  <si>
    <t>SAV - STL</t>
  </si>
  <si>
    <t>SAV - SWF</t>
  </si>
  <si>
    <t>SBA - DEN</t>
  </si>
  <si>
    <t>SBA - DFW</t>
  </si>
  <si>
    <t>SBA - LAS</t>
  </si>
  <si>
    <t>SBA - LAX</t>
  </si>
  <si>
    <t>SBA - OAK</t>
  </si>
  <si>
    <t>SBA - ORD</t>
  </si>
  <si>
    <t>SBA - PDX</t>
  </si>
  <si>
    <t>SBA - PHX</t>
  </si>
  <si>
    <t>SBA - SAN</t>
  </si>
  <si>
    <t>SBA - SBP</t>
  </si>
  <si>
    <t>SBA - SEA</t>
  </si>
  <si>
    <t>SBA - SFO</t>
  </si>
  <si>
    <t>SBA - SLC</t>
  </si>
  <si>
    <t>SBA - SMF</t>
  </si>
  <si>
    <t>SBA - STS</t>
  </si>
  <si>
    <t>SBN - ATL</t>
  </si>
  <si>
    <t>SBN - AZA</t>
  </si>
  <si>
    <t>SBN - BOS</t>
  </si>
  <si>
    <t>SBN - CHO</t>
  </si>
  <si>
    <t>SBN - CLT</t>
  </si>
  <si>
    <t>SBN - DCA</t>
  </si>
  <si>
    <t>SBN - DEN</t>
  </si>
  <si>
    <t>SBN - DFW</t>
  </si>
  <si>
    <t>SBN - DTW</t>
  </si>
  <si>
    <t>SBN - EWR</t>
  </si>
  <si>
    <t>SBN - GRR</t>
  </si>
  <si>
    <t>SBN - LAS</t>
  </si>
  <si>
    <t>SBN - LAX</t>
  </si>
  <si>
    <t>SBN - LGA</t>
  </si>
  <si>
    <t>SBN - MSP</t>
  </si>
  <si>
    <t>SBN - ORD</t>
  </si>
  <si>
    <t>SBN - PGD</t>
  </si>
  <si>
    <t>SBN - PIE</t>
  </si>
  <si>
    <t>SBN - RDU</t>
  </si>
  <si>
    <t>SBN - ROA</t>
  </si>
  <si>
    <t>SBN - SFB</t>
  </si>
  <si>
    <t>SBN - SFO</t>
  </si>
  <si>
    <t>SBN - SRQ</t>
  </si>
  <si>
    <t>SBP - DEN</t>
  </si>
  <si>
    <t>SBP - DFW</t>
  </si>
  <si>
    <t>SBP - LAX</t>
  </si>
  <si>
    <t>SBP - PDX</t>
  </si>
  <si>
    <t>SBP - PHX</t>
  </si>
  <si>
    <t>SBP - SAN</t>
  </si>
  <si>
    <t>SBP - SBA</t>
  </si>
  <si>
    <t>SBP - SEA</t>
  </si>
  <si>
    <t>SBP - SFO</t>
  </si>
  <si>
    <t>SBY - CLT</t>
  </si>
  <si>
    <t>SBY - PHL</t>
  </si>
  <si>
    <t>SCC - ANC</t>
  </si>
  <si>
    <t>SCC - BRW</t>
  </si>
  <si>
    <t>SCC - FAI</t>
  </si>
  <si>
    <t>SCE - ATL</t>
  </si>
  <si>
    <t>SCE - BHM</t>
  </si>
  <si>
    <t>SCE - BNA</t>
  </si>
  <si>
    <t>SCE - CID</t>
  </si>
  <si>
    <t>SCE - DTW</t>
  </si>
  <si>
    <t>SCE - EWR</t>
  </si>
  <si>
    <t>SCE - IAD</t>
  </si>
  <si>
    <t>SCE - ORD</t>
  </si>
  <si>
    <t>SCE - PHL</t>
  </si>
  <si>
    <t>SCE - PIE</t>
  </si>
  <si>
    <t>SCE - SFB</t>
  </si>
  <si>
    <t>SCK - AZA</t>
  </si>
  <si>
    <t>SCK - LAS</t>
  </si>
  <si>
    <t>SCK - LAX</t>
  </si>
  <si>
    <t>SCK - PHX</t>
  </si>
  <si>
    <t>SCK - SAN</t>
  </si>
  <si>
    <t>SDF - ATL</t>
  </si>
  <si>
    <t>SDF - AUS</t>
  </si>
  <si>
    <t>SDF - AZA</t>
  </si>
  <si>
    <t>SDF - BOS</t>
  </si>
  <si>
    <t>SDF - BWI</t>
  </si>
  <si>
    <t>SDF - CHS</t>
  </si>
  <si>
    <t>SDF - CLT</t>
  </si>
  <si>
    <t>SDF - DAL</t>
  </si>
  <si>
    <t>SDF - DCA</t>
  </si>
  <si>
    <t>SDF - DEN</t>
  </si>
  <si>
    <t>SDF - DFW</t>
  </si>
  <si>
    <t>SDF - DTW</t>
  </si>
  <si>
    <t>SDF - EWR</t>
  </si>
  <si>
    <t>SDF - FLL</t>
  </si>
  <si>
    <t>SDF - HOU</t>
  </si>
  <si>
    <t>SDF - IAD</t>
  </si>
  <si>
    <t>SDF - IAH</t>
  </si>
  <si>
    <t>SDF - JAX</t>
  </si>
  <si>
    <t>SDF - LAS</t>
  </si>
  <si>
    <t>SDF - LAX</t>
  </si>
  <si>
    <t>SDF - LGA</t>
  </si>
  <si>
    <t>SDF - MCO</t>
  </si>
  <si>
    <t>SDF - MDW</t>
  </si>
  <si>
    <t>SDF - MIA</t>
  </si>
  <si>
    <t>SDF - MSP</t>
  </si>
  <si>
    <t>SDF - MSY</t>
  </si>
  <si>
    <t>SDF - MYR</t>
  </si>
  <si>
    <t>SDF - ORD</t>
  </si>
  <si>
    <t>SDF - PGD</t>
  </si>
  <si>
    <t>SDF - PHL</t>
  </si>
  <si>
    <t>SDF - PHX</t>
  </si>
  <si>
    <t>SDF - PIE</t>
  </si>
  <si>
    <t>SDF - PNS</t>
  </si>
  <si>
    <t>SDF - RSW</t>
  </si>
  <si>
    <t>SDF - SAV</t>
  </si>
  <si>
    <t>SDF - SFB</t>
  </si>
  <si>
    <t>SDF - SFO</t>
  </si>
  <si>
    <t>SDF - SRQ</t>
  </si>
  <si>
    <t>SDF - TPA</t>
  </si>
  <si>
    <t>SDF - TXK</t>
  </si>
  <si>
    <t>SDF - VPS</t>
  </si>
  <si>
    <t>SEA - ABQ</t>
  </si>
  <si>
    <t>SEA - ALW</t>
  </si>
  <si>
    <t>SEA - ANC</t>
  </si>
  <si>
    <t>SEA - ATL</t>
  </si>
  <si>
    <t>SEA - AUS</t>
  </si>
  <si>
    <t>SEA - BIL</t>
  </si>
  <si>
    <t>SEA - BLI</t>
  </si>
  <si>
    <t>SEA - BNA</t>
  </si>
  <si>
    <t>SEA - BOI</t>
  </si>
  <si>
    <t>SEA - BOS</t>
  </si>
  <si>
    <t>SEA - BUR</t>
  </si>
  <si>
    <t>SEA - BWI</t>
  </si>
  <si>
    <t>SEA - BZN</t>
  </si>
  <si>
    <t>SEA - CHS</t>
  </si>
  <si>
    <t>SEA - CLE</t>
  </si>
  <si>
    <t>SEA - CLT</t>
  </si>
  <si>
    <t>SEA - CMH</t>
  </si>
  <si>
    <t>SEA - COS</t>
  </si>
  <si>
    <t>SEA - CVG</t>
  </si>
  <si>
    <t>SEA - DAL</t>
  </si>
  <si>
    <t>SEA - DCA</t>
  </si>
  <si>
    <t>SEA - DEN</t>
  </si>
  <si>
    <t>SEA - DFW</t>
  </si>
  <si>
    <t>SEA - DTW</t>
  </si>
  <si>
    <t>SEA - EAT</t>
  </si>
  <si>
    <t>SEA - ELP</t>
  </si>
  <si>
    <t>SEA - EUG</t>
  </si>
  <si>
    <t>SEA - EWR</t>
  </si>
  <si>
    <t>SEA - FAI</t>
  </si>
  <si>
    <t>SEA - FAT</t>
  </si>
  <si>
    <t>SEA - FCA</t>
  </si>
  <si>
    <t>SEA - FLL</t>
  </si>
  <si>
    <t>SEA - GEG</t>
  </si>
  <si>
    <t>SEA - GTF</t>
  </si>
  <si>
    <t>SEA - HDN</t>
  </si>
  <si>
    <t>SEA - HLN</t>
  </si>
  <si>
    <t>SEA - HNL</t>
  </si>
  <si>
    <t>SEA - HOU</t>
  </si>
  <si>
    <t>SEA - IAD</t>
  </si>
  <si>
    <t>SEA - IAH</t>
  </si>
  <si>
    <t>SEA - ICT</t>
  </si>
  <si>
    <t>SEA - IDA</t>
  </si>
  <si>
    <t>SEA - IND</t>
  </si>
  <si>
    <t>SEA - JAC</t>
  </si>
  <si>
    <t>SEA - JFK</t>
  </si>
  <si>
    <t>SEA - JNU</t>
  </si>
  <si>
    <t>SEA - KOA</t>
  </si>
  <si>
    <t>SEA - KTN</t>
  </si>
  <si>
    <t>SEA - LAS</t>
  </si>
  <si>
    <t>SEA - LAX</t>
  </si>
  <si>
    <t>SEA - LGB</t>
  </si>
  <si>
    <t>SEA - LIH</t>
  </si>
  <si>
    <t>SEA - LWS</t>
  </si>
  <si>
    <t>SEA - MCI</t>
  </si>
  <si>
    <t>SEA - MCO</t>
  </si>
  <si>
    <t>SEA - MDW</t>
  </si>
  <si>
    <t>SEA - MFR</t>
  </si>
  <si>
    <t>SEA - MIA</t>
  </si>
  <si>
    <t>SEA - MKE</t>
  </si>
  <si>
    <t>SEA - MRY</t>
  </si>
  <si>
    <t>SEA - MSN</t>
  </si>
  <si>
    <t>SEA - MSO</t>
  </si>
  <si>
    <t>SEA - MSP</t>
  </si>
  <si>
    <t>SEA - MSY</t>
  </si>
  <si>
    <t>SEA - OAK</t>
  </si>
  <si>
    <t>SEA - OGG</t>
  </si>
  <si>
    <t>SEA - OKC</t>
  </si>
  <si>
    <t>SEA - OMA</t>
  </si>
  <si>
    <t>SEA - ONT</t>
  </si>
  <si>
    <t>SEA - ORD</t>
  </si>
  <si>
    <t>SEA - PDX</t>
  </si>
  <si>
    <t>SEA - PHL</t>
  </si>
  <si>
    <t>SEA - PHX</t>
  </si>
  <si>
    <t>SEA - PIT</t>
  </si>
  <si>
    <t>SEA - PSC</t>
  </si>
  <si>
    <t>SEA - PSP</t>
  </si>
  <si>
    <t>SEA - PUW</t>
  </si>
  <si>
    <t>SEA - RDD</t>
  </si>
  <si>
    <t>SEA - RDM</t>
  </si>
  <si>
    <t>SEA - RDU</t>
  </si>
  <si>
    <t>SEA - RNO</t>
  </si>
  <si>
    <t>SEA - RSW</t>
  </si>
  <si>
    <t>SEA - SAN</t>
  </si>
  <si>
    <t>SEA - SAT</t>
  </si>
  <si>
    <t>SEA - SBA</t>
  </si>
  <si>
    <t>SEA - SBP</t>
  </si>
  <si>
    <t>SEA - SFO</t>
  </si>
  <si>
    <t>SEA - SIT</t>
  </si>
  <si>
    <t>SEA - SJC</t>
  </si>
  <si>
    <t>SEA - SLC</t>
  </si>
  <si>
    <t>SEA - SMF</t>
  </si>
  <si>
    <t>SEA - SNA</t>
  </si>
  <si>
    <t>SEA - STL</t>
  </si>
  <si>
    <t>SEA - STS</t>
  </si>
  <si>
    <t>SEA - SUN</t>
  </si>
  <si>
    <t>SEA - TPA</t>
  </si>
  <si>
    <t>SEA - TUS</t>
  </si>
  <si>
    <t>SEA - YKM</t>
  </si>
  <si>
    <t>SFB - ABE</t>
  </si>
  <si>
    <t>SFB - ABQ</t>
  </si>
  <si>
    <t>SFB - ALB</t>
  </si>
  <si>
    <t>SFB - ATW</t>
  </si>
  <si>
    <t>SFB - AUS</t>
  </si>
  <si>
    <t>SFB - AVL</t>
  </si>
  <si>
    <t>SFB - AVP</t>
  </si>
  <si>
    <t>SFB - BGR</t>
  </si>
  <si>
    <t>SFB - BIS</t>
  </si>
  <si>
    <t>SFB - BLV</t>
  </si>
  <si>
    <t>SFB - BMI</t>
  </si>
  <si>
    <t>SFB - BNA</t>
  </si>
  <si>
    <t>SFB - CHA</t>
  </si>
  <si>
    <t>SFB - CID</t>
  </si>
  <si>
    <t>SFB - CKB</t>
  </si>
  <si>
    <t>SFB - CLE</t>
  </si>
  <si>
    <t>SFB - CVG</t>
  </si>
  <si>
    <t>SFB - DAY</t>
  </si>
  <si>
    <t>SFB - DSM</t>
  </si>
  <si>
    <t>SFB - ELM</t>
  </si>
  <si>
    <t>SFB - ELP</t>
  </si>
  <si>
    <t>SFB - EVV</t>
  </si>
  <si>
    <t>SFB - EYW</t>
  </si>
  <si>
    <t>SFB - FAR</t>
  </si>
  <si>
    <t>SFB - FNT</t>
  </si>
  <si>
    <t>SFB - FSD</t>
  </si>
  <si>
    <t>SFB - FWA</t>
  </si>
  <si>
    <t>SFB - GFK</t>
  </si>
  <si>
    <t>SFB - GPT</t>
  </si>
  <si>
    <t>SFB - GRR</t>
  </si>
  <si>
    <t>SFB - GSO</t>
  </si>
  <si>
    <t>SFB - GSP</t>
  </si>
  <si>
    <t>SFB - HGR</t>
  </si>
  <si>
    <t>SFB - HTS</t>
  </si>
  <si>
    <t>SFB - IAG</t>
  </si>
  <si>
    <t>SFB - ICT</t>
  </si>
  <si>
    <t>SFB - IND</t>
  </si>
  <si>
    <t>SFB - LAS</t>
  </si>
  <si>
    <t>SFB - LCK</t>
  </si>
  <si>
    <t>SFB - LEX</t>
  </si>
  <si>
    <t>SFB - LIT</t>
  </si>
  <si>
    <t>SFB - MCI</t>
  </si>
  <si>
    <t>SFB - MDT</t>
  </si>
  <si>
    <t>SFB - MEM</t>
  </si>
  <si>
    <t>SFB - MFE</t>
  </si>
  <si>
    <t>SFB - MKE</t>
  </si>
  <si>
    <t>SFB - MLI</t>
  </si>
  <si>
    <t>SFB - MSY</t>
  </si>
  <si>
    <t>SFB - OGS</t>
  </si>
  <si>
    <t>SFB - OKC</t>
  </si>
  <si>
    <t>SFB - OMA</t>
  </si>
  <si>
    <t>SFB - ORF</t>
  </si>
  <si>
    <t>SFB - OWB</t>
  </si>
  <si>
    <t>SFB - PBG</t>
  </si>
  <si>
    <t>SFB - PGD</t>
  </si>
  <si>
    <t>SFB - PIA</t>
  </si>
  <si>
    <t>SFB - PIE</t>
  </si>
  <si>
    <t>SFB - PIT</t>
  </si>
  <si>
    <t>SFB - PSM</t>
  </si>
  <si>
    <t>SFB - RAP</t>
  </si>
  <si>
    <t>SFB - RDU</t>
  </si>
  <si>
    <t>SFB - RFD</t>
  </si>
  <si>
    <t>SFB - RIC</t>
  </si>
  <si>
    <t>SFB - ROA</t>
  </si>
  <si>
    <t>SFB - ROC</t>
  </si>
  <si>
    <t>SFB - SAT</t>
  </si>
  <si>
    <t>SFB - SBN</t>
  </si>
  <si>
    <t>SFB - SCE</t>
  </si>
  <si>
    <t>SFB - SDF</t>
  </si>
  <si>
    <t>SFB - SGF</t>
  </si>
  <si>
    <t>SFB - SHV</t>
  </si>
  <si>
    <t>SFB - SJU</t>
  </si>
  <si>
    <t>SFB - SPI</t>
  </si>
  <si>
    <t>SFB - SRQ</t>
  </si>
  <si>
    <t>SFB - SWF</t>
  </si>
  <si>
    <t>SFB - SYR</t>
  </si>
  <si>
    <t>SFB - TOL</t>
  </si>
  <si>
    <t>SFB - TRI</t>
  </si>
  <si>
    <t>SFB - TTN</t>
  </si>
  <si>
    <t>SFB - TUL</t>
  </si>
  <si>
    <t>SFB - TVC</t>
  </si>
  <si>
    <t>SFB - TYS</t>
  </si>
  <si>
    <t>SFB - USA</t>
  </si>
  <si>
    <t>SFB - XNA</t>
  </si>
  <si>
    <t>SFB - YNG</t>
  </si>
  <si>
    <t>SFO - ABQ</t>
  </si>
  <si>
    <t>SFO - ACV</t>
  </si>
  <si>
    <t>SFO - ANC</t>
  </si>
  <si>
    <t>SFO - ASE</t>
  </si>
  <si>
    <t>SFO - ATL</t>
  </si>
  <si>
    <t>SFO - AUS</t>
  </si>
  <si>
    <t>SFO - BDL</t>
  </si>
  <si>
    <t>SFO - BFL</t>
  </si>
  <si>
    <t>SFO - BHM</t>
  </si>
  <si>
    <t>SFO - BIH</t>
  </si>
  <si>
    <t>SFO - BNA</t>
  </si>
  <si>
    <t>SFO - BOI</t>
  </si>
  <si>
    <t>SFO - BOS</t>
  </si>
  <si>
    <t>SFO - BUR</t>
  </si>
  <si>
    <t>SFO - BWI</t>
  </si>
  <si>
    <t>SFO - BZN</t>
  </si>
  <si>
    <t>SFO - CLE</t>
  </si>
  <si>
    <t>SFO - CLT</t>
  </si>
  <si>
    <t>SFO - CMH</t>
  </si>
  <si>
    <t>SFO - CVG</t>
  </si>
  <si>
    <t>SFO - DAL</t>
  </si>
  <si>
    <t>SFO - DCA</t>
  </si>
  <si>
    <t>SFO - DEN</t>
  </si>
  <si>
    <t>SFO - DFW</t>
  </si>
  <si>
    <t>SFO - DSM</t>
  </si>
  <si>
    <t>SFO - DTW</t>
  </si>
  <si>
    <t>SFO - EGE</t>
  </si>
  <si>
    <t>SFO - EUG</t>
  </si>
  <si>
    <t>SFO - EWR</t>
  </si>
  <si>
    <t>SFO - FAI</t>
  </si>
  <si>
    <t>SFO - FAT</t>
  </si>
  <si>
    <t>SFO - FCA</t>
  </si>
  <si>
    <t>SFO - FLL</t>
  </si>
  <si>
    <t>SFO - GEG</t>
  </si>
  <si>
    <t>SFO - GRB</t>
  </si>
  <si>
    <t>SFO - GSP</t>
  </si>
  <si>
    <t>SFO - GUM</t>
  </si>
  <si>
    <t>SFO - HDN</t>
  </si>
  <si>
    <t>SFO - HNL</t>
  </si>
  <si>
    <t>SFO - IAD</t>
  </si>
  <si>
    <t>SFO - IAH</t>
  </si>
  <si>
    <t>SFO - IND</t>
  </si>
  <si>
    <t>SFO - JAC</t>
  </si>
  <si>
    <t>SFO - JFK</t>
  </si>
  <si>
    <t>SFO - KOA</t>
  </si>
  <si>
    <t>SFO - LAS</t>
  </si>
  <si>
    <t>SFO - LAX</t>
  </si>
  <si>
    <t>SFO - LGB</t>
  </si>
  <si>
    <t>SFO - LIH</t>
  </si>
  <si>
    <t>SFO - MCI</t>
  </si>
  <si>
    <t>SFO - MCO</t>
  </si>
  <si>
    <t>SFO - MDW</t>
  </si>
  <si>
    <t>SFO - MFR</t>
  </si>
  <si>
    <t>SFO - MIA</t>
  </si>
  <si>
    <t>SFO - MKE</t>
  </si>
  <si>
    <t>SFO - MMH</t>
  </si>
  <si>
    <t>SFO - MRY</t>
  </si>
  <si>
    <t>SFO - MSN</t>
  </si>
  <si>
    <t>SFO - MSO</t>
  </si>
  <si>
    <t>SFO - MSP</t>
  </si>
  <si>
    <t>SFO - MSY</t>
  </si>
  <si>
    <t>SFO - MTJ</t>
  </si>
  <si>
    <t>SFO - OGG</t>
  </si>
  <si>
    <t>SFO - OKC</t>
  </si>
  <si>
    <t>SFO - OMA</t>
  </si>
  <si>
    <t>SFO - ONT</t>
  </si>
  <si>
    <t>SFO - ORD</t>
  </si>
  <si>
    <t>SFO - OTH</t>
  </si>
  <si>
    <t>SFO - PAE</t>
  </si>
  <si>
    <t>SFO - PDX</t>
  </si>
  <si>
    <t>SFO - PHL</t>
  </si>
  <si>
    <t>SFO - PHX</t>
  </si>
  <si>
    <t>SFO - PIT</t>
  </si>
  <si>
    <t>SFO - PSC</t>
  </si>
  <si>
    <t>SFO - PSP</t>
  </si>
  <si>
    <t>SFO - RAP</t>
  </si>
  <si>
    <t>SFO - RDD</t>
  </si>
  <si>
    <t>SFO - RDM</t>
  </si>
  <si>
    <t>SFO - RDU</t>
  </si>
  <si>
    <t>SFO - RNO</t>
  </si>
  <si>
    <t>SFO - RSW</t>
  </si>
  <si>
    <t>SFO - SAN</t>
  </si>
  <si>
    <t>SFO - SAT</t>
  </si>
  <si>
    <t>SFO - SBA</t>
  </si>
  <si>
    <t>SFO - SBN</t>
  </si>
  <si>
    <t>SFO - SBP</t>
  </si>
  <si>
    <t>SFO - SDF</t>
  </si>
  <si>
    <t>SFO - SEA</t>
  </si>
  <si>
    <t>SFO - SLC</t>
  </si>
  <si>
    <t>SFO - SMF</t>
  </si>
  <si>
    <t>SFO - SNA</t>
  </si>
  <si>
    <t>SFO - STL</t>
  </si>
  <si>
    <t>SFO - STS</t>
  </si>
  <si>
    <t>SFO - SUN</t>
  </si>
  <si>
    <t>SFO - TPA</t>
  </si>
  <si>
    <t>SFO - TUS</t>
  </si>
  <si>
    <t>SFO - XNA</t>
  </si>
  <si>
    <t>SGF - ATL</t>
  </si>
  <si>
    <t>SGF - AUS</t>
  </si>
  <si>
    <t>SGF - AZA</t>
  </si>
  <si>
    <t>SGF - CLT</t>
  </si>
  <si>
    <t>SGF - DEN</t>
  </si>
  <si>
    <t>SGF - DFW</t>
  </si>
  <si>
    <t>SGF - HOU</t>
  </si>
  <si>
    <t>SGF - IAH</t>
  </si>
  <si>
    <t>SGF - LAS</t>
  </si>
  <si>
    <t>SGF - LAX</t>
  </si>
  <si>
    <t>SGF - ORD</t>
  </si>
  <si>
    <t>SGF - PGD</t>
  </si>
  <si>
    <t>SGF - PIE</t>
  </si>
  <si>
    <t>SGF - SFB</t>
  </si>
  <si>
    <t>SGF - VPS</t>
  </si>
  <si>
    <t>SGU - AZA</t>
  </si>
  <si>
    <t>SGU - DEN</t>
  </si>
  <si>
    <t>SGU - DFW</t>
  </si>
  <si>
    <t>SGU - LAX</t>
  </si>
  <si>
    <t>SGU - PHX</t>
  </si>
  <si>
    <t>SGU - SLC</t>
  </si>
  <si>
    <t>SHD - IAD</t>
  </si>
  <si>
    <t>SHD - LWB</t>
  </si>
  <si>
    <t>SHD - ORD</t>
  </si>
  <si>
    <t>SHR - DEN</t>
  </si>
  <si>
    <t>SHR - GCC</t>
  </si>
  <si>
    <t>SHR - RIW</t>
  </si>
  <si>
    <t>SHV - ATL</t>
  </si>
  <si>
    <t>SHV - CLT</t>
  </si>
  <si>
    <t>SHV - DEN</t>
  </si>
  <si>
    <t>SHV - DFW</t>
  </si>
  <si>
    <t>SHV - IAH</t>
  </si>
  <si>
    <t>SHV - LAS</t>
  </si>
  <si>
    <t>SHV - LAX</t>
  </si>
  <si>
    <t>SHV - SFB</t>
  </si>
  <si>
    <t>SHV - VPS</t>
  </si>
  <si>
    <t>SIT - ANC</t>
  </si>
  <si>
    <t>SIT - JNU</t>
  </si>
  <si>
    <t>SIT - KTN</t>
  </si>
  <si>
    <t>SIT - SEA</t>
  </si>
  <si>
    <t>SJC - ABQ</t>
  </si>
  <si>
    <t>SJC - ATL</t>
  </si>
  <si>
    <t>SJC - AUS</t>
  </si>
  <si>
    <t>SJC - BHM</t>
  </si>
  <si>
    <t>SJC - BNA</t>
  </si>
  <si>
    <t>SJC - BOI</t>
  </si>
  <si>
    <t>SJC - BOS</t>
  </si>
  <si>
    <t>SJC - BUR</t>
  </si>
  <si>
    <t>SJC - BWI</t>
  </si>
  <si>
    <t>SJC - CLT</t>
  </si>
  <si>
    <t>SJC - CVG</t>
  </si>
  <si>
    <t>SJC - DAL</t>
  </si>
  <si>
    <t>SJC - DEN</t>
  </si>
  <si>
    <t>SJC - DFW</t>
  </si>
  <si>
    <t>SJC - DTW</t>
  </si>
  <si>
    <t>SJC - ELP</t>
  </si>
  <si>
    <t>SJC - EUG</t>
  </si>
  <si>
    <t>SJC - EWR</t>
  </si>
  <si>
    <t>SJC - FLL</t>
  </si>
  <si>
    <t>SJC - GEG</t>
  </si>
  <si>
    <t>SJC - GSP</t>
  </si>
  <si>
    <t>SJC - HNL</t>
  </si>
  <si>
    <t>SJC - HOU</t>
  </si>
  <si>
    <t>SJC - IAH</t>
  </si>
  <si>
    <t>SJC - JAC</t>
  </si>
  <si>
    <t>SJC - JFK</t>
  </si>
  <si>
    <t>SJC - KOA</t>
  </si>
  <si>
    <t>SJC - LAS</t>
  </si>
  <si>
    <t>SJC - LAX</t>
  </si>
  <si>
    <t>SJC - LGB</t>
  </si>
  <si>
    <t>SJC - LIH</t>
  </si>
  <si>
    <t>SJC - MCI</t>
  </si>
  <si>
    <t>SJC - MCO</t>
  </si>
  <si>
    <t>SJC - MDW</t>
  </si>
  <si>
    <t>SJC - MIA</t>
  </si>
  <si>
    <t>SJC - MSO</t>
  </si>
  <si>
    <t>SJC - MSP</t>
  </si>
  <si>
    <t>SJC - MSY</t>
  </si>
  <si>
    <t>SJC - OGG</t>
  </si>
  <si>
    <t>SJC - ONT</t>
  </si>
  <si>
    <t>SJC - ORD</t>
  </si>
  <si>
    <t>SJC - PAE</t>
  </si>
  <si>
    <t>SJC - PDX</t>
  </si>
  <si>
    <t>SJC - PHX</t>
  </si>
  <si>
    <t>SJC - PSP</t>
  </si>
  <si>
    <t>SJC - RDU</t>
  </si>
  <si>
    <t>SJC - RNO</t>
  </si>
  <si>
    <t>SJC - SAN</t>
  </si>
  <si>
    <t>SJC - SAT</t>
  </si>
  <si>
    <t>SJC - SEA</t>
  </si>
  <si>
    <t>SJC - SLC</t>
  </si>
  <si>
    <t>SJC - SNA</t>
  </si>
  <si>
    <t>SJC - STL</t>
  </si>
  <si>
    <t>SJC - TUL</t>
  </si>
  <si>
    <t>SJC - TUS</t>
  </si>
  <si>
    <t>SJT - DFW</t>
  </si>
  <si>
    <t>SJT - IAH</t>
  </si>
  <si>
    <t>SJU - ACY</t>
  </si>
  <si>
    <t>SJU - ATL</t>
  </si>
  <si>
    <t>SJU - AUS</t>
  </si>
  <si>
    <t>SJU - BDL</t>
  </si>
  <si>
    <t>SJU - BNA</t>
  </si>
  <si>
    <t>SJU - BOS</t>
  </si>
  <si>
    <t>SJU - BUF</t>
  </si>
  <si>
    <t>SJU - BWI</t>
  </si>
  <si>
    <t>SJU - CLT</t>
  </si>
  <si>
    <t>SJU - CVG</t>
  </si>
  <si>
    <t>SJU - DCA</t>
  </si>
  <si>
    <t>SJU - DFW</t>
  </si>
  <si>
    <t>SJU - DTW</t>
  </si>
  <si>
    <t>SJU - EWR</t>
  </si>
  <si>
    <t>SJU - FLL</t>
  </si>
  <si>
    <t>SJU - HOU</t>
  </si>
  <si>
    <t>SJU - IAD</t>
  </si>
  <si>
    <t>SJU - IAH</t>
  </si>
  <si>
    <t>SJU - ISP</t>
  </si>
  <si>
    <t>SJU - JAX</t>
  </si>
  <si>
    <t>SJU - JFK</t>
  </si>
  <si>
    <t>SJU - LGA</t>
  </si>
  <si>
    <t>SJU - MCO</t>
  </si>
  <si>
    <t>SJU - MDW</t>
  </si>
  <si>
    <t>SJU - MIA</t>
  </si>
  <si>
    <t>SJU - MSP</t>
  </si>
  <si>
    <t>SJU - ORD</t>
  </si>
  <si>
    <t>SJU - PHL</t>
  </si>
  <si>
    <t>SJU - PIT</t>
  </si>
  <si>
    <t>SJU - RDU</t>
  </si>
  <si>
    <t>SJU - SFB</t>
  </si>
  <si>
    <t>SJU - STL</t>
  </si>
  <si>
    <t>SJU - STT</t>
  </si>
  <si>
    <t>SJU - STX</t>
  </si>
  <si>
    <t>SJU - TPA</t>
  </si>
  <si>
    <t>SLC - ABQ</t>
  </si>
  <si>
    <t>SLC - ANC</t>
  </si>
  <si>
    <t>SLC - ASE</t>
  </si>
  <si>
    <t>SLC - ATL</t>
  </si>
  <si>
    <t>SLC - AUS</t>
  </si>
  <si>
    <t>SLC - BIL</t>
  </si>
  <si>
    <t>SLC - BNA</t>
  </si>
  <si>
    <t>SLC - BOI</t>
  </si>
  <si>
    <t>SLC - BOS</t>
  </si>
  <si>
    <t>SLC - BTM</t>
  </si>
  <si>
    <t>SLC - BUR</t>
  </si>
  <si>
    <t>SLC - BWI</t>
  </si>
  <si>
    <t>SLC - BZN</t>
  </si>
  <si>
    <t>SLC - CDC</t>
  </si>
  <si>
    <t>SLC - CLE</t>
  </si>
  <si>
    <t>SLC - CLT</t>
  </si>
  <si>
    <t>SLC - CMH</t>
  </si>
  <si>
    <t>SLC - CNY</t>
  </si>
  <si>
    <t>SLC - COD</t>
  </si>
  <si>
    <t>SLC - COS</t>
  </si>
  <si>
    <t>SLC - CPR</t>
  </si>
  <si>
    <t>SLC - CVG</t>
  </si>
  <si>
    <t>SLC - DAL</t>
  </si>
  <si>
    <t>SLC - DCA</t>
  </si>
  <si>
    <t>SLC - DEN</t>
  </si>
  <si>
    <t>SLC - DFW</t>
  </si>
  <si>
    <t>SLC - DRO</t>
  </si>
  <si>
    <t>SLC - DSM</t>
  </si>
  <si>
    <t>SLC - DTW</t>
  </si>
  <si>
    <t>SLC - EGE</t>
  </si>
  <si>
    <t>SLC - EKO</t>
  </si>
  <si>
    <t>SLC - ELP</t>
  </si>
  <si>
    <t>SLC - EUG</t>
  </si>
  <si>
    <t>SLC - EWR</t>
  </si>
  <si>
    <t>SLC - FAI</t>
  </si>
  <si>
    <t>SLC - FAT</t>
  </si>
  <si>
    <t>SLC - FCA</t>
  </si>
  <si>
    <t>SLC - FLL</t>
  </si>
  <si>
    <t>SLC - GEG</t>
  </si>
  <si>
    <t>SLC - GJT</t>
  </si>
  <si>
    <t>SLC - GTF</t>
  </si>
  <si>
    <t>SLC - HLN</t>
  </si>
  <si>
    <t>SLC - HNL</t>
  </si>
  <si>
    <t>SLC - HOU</t>
  </si>
  <si>
    <t>SLC - IAD</t>
  </si>
  <si>
    <t>SLC - IAH</t>
  </si>
  <si>
    <t>SLC - IDA</t>
  </si>
  <si>
    <t>SLC - IND</t>
  </si>
  <si>
    <t>SLC - JAC</t>
  </si>
  <si>
    <t>SLC - JFK</t>
  </si>
  <si>
    <t>SLC - LAS</t>
  </si>
  <si>
    <t>SLC - LAX</t>
  </si>
  <si>
    <t>SLC - LGB</t>
  </si>
  <si>
    <t>SLC - LWS</t>
  </si>
  <si>
    <t>SLC - MCI</t>
  </si>
  <si>
    <t>SLC - MCO</t>
  </si>
  <si>
    <t>SLC - MDW</t>
  </si>
  <si>
    <t>SLC - MEM</t>
  </si>
  <si>
    <t>SLC - MFR</t>
  </si>
  <si>
    <t>SLC - MIA</t>
  </si>
  <si>
    <t>SLC - MKE</t>
  </si>
  <si>
    <t>SLC - MSN</t>
  </si>
  <si>
    <t>SLC - MSO</t>
  </si>
  <si>
    <t>SLC - MSP</t>
  </si>
  <si>
    <t>SLC - MSY</t>
  </si>
  <si>
    <t>SLC - MTJ</t>
  </si>
  <si>
    <t>SLC - OAK</t>
  </si>
  <si>
    <t>SLC - OGG</t>
  </si>
  <si>
    <t>SLC - OKC</t>
  </si>
  <si>
    <t>SLC - OMA</t>
  </si>
  <si>
    <t>SLC - ONT</t>
  </si>
  <si>
    <t>SLC - ORD</t>
  </si>
  <si>
    <t>SLC - PDX</t>
  </si>
  <si>
    <t>SLC - PHL</t>
  </si>
  <si>
    <t>SLC - PHX</t>
  </si>
  <si>
    <t>SLC - PIH</t>
  </si>
  <si>
    <t>SLC - PIT</t>
  </si>
  <si>
    <t>SLC - PSC</t>
  </si>
  <si>
    <t>SLC - PSP</t>
  </si>
  <si>
    <t>SLC - RAP</t>
  </si>
  <si>
    <t>SLC - RDM</t>
  </si>
  <si>
    <t>SLC - RDU</t>
  </si>
  <si>
    <t>SLC - RNO</t>
  </si>
  <si>
    <t>SLC - RSW</t>
  </si>
  <si>
    <t>SLC - SAN</t>
  </si>
  <si>
    <t>SLC - SAT</t>
  </si>
  <si>
    <t>SLC - SBA</t>
  </si>
  <si>
    <t>SLC - SEA</t>
  </si>
  <si>
    <t>SLC - SFO</t>
  </si>
  <si>
    <t>SLC - SGU</t>
  </si>
  <si>
    <t>SLC - SJC</t>
  </si>
  <si>
    <t>SLC - SMF</t>
  </si>
  <si>
    <t>SLC - SNA</t>
  </si>
  <si>
    <t>SLC - STL</t>
  </si>
  <si>
    <t>SLC - SUN</t>
  </si>
  <si>
    <t>SLC - TPA</t>
  </si>
  <si>
    <t>SLC - TUL</t>
  </si>
  <si>
    <t>SLC - TUS</t>
  </si>
  <si>
    <t>SLC - TWF</t>
  </si>
  <si>
    <t>SLC - VEL</t>
  </si>
  <si>
    <t>SLC - WYS</t>
  </si>
  <si>
    <t>SLN - DEN</t>
  </si>
  <si>
    <t>SLN - HYS</t>
  </si>
  <si>
    <t>SLN - ORD</t>
  </si>
  <si>
    <t>SMF - ATL</t>
  </si>
  <si>
    <t>SMF - AUS</t>
  </si>
  <si>
    <t>SMF - BNA</t>
  </si>
  <si>
    <t>SMF - BOI</t>
  </si>
  <si>
    <t>SMF - BOS</t>
  </si>
  <si>
    <t>SMF - BUR</t>
  </si>
  <si>
    <t>SMF - BWI</t>
  </si>
  <si>
    <t>SMF - CLT</t>
  </si>
  <si>
    <t>SMF - DAL</t>
  </si>
  <si>
    <t>SMF - DEN</t>
  </si>
  <si>
    <t>SMF - DFW</t>
  </si>
  <si>
    <t>SMF - DTW</t>
  </si>
  <si>
    <t>SMF - EWR</t>
  </si>
  <si>
    <t>SMF - GEG</t>
  </si>
  <si>
    <t>SMF - HNL</t>
  </si>
  <si>
    <t>SMF - HOU</t>
  </si>
  <si>
    <t>SMF - IAD</t>
  </si>
  <si>
    <t>SMF - IAH</t>
  </si>
  <si>
    <t>SMF - JFK</t>
  </si>
  <si>
    <t>SMF - KOA</t>
  </si>
  <si>
    <t>SMF - LAS</t>
  </si>
  <si>
    <t>SMF - LAX</t>
  </si>
  <si>
    <t>SMF - LGB</t>
  </si>
  <si>
    <t>SMF - MCO</t>
  </si>
  <si>
    <t>SMF - MDW</t>
  </si>
  <si>
    <t>SMF - MSP</t>
  </si>
  <si>
    <t>SMF - MSY</t>
  </si>
  <si>
    <t>SMF - OGG</t>
  </si>
  <si>
    <t>SMF - ONT</t>
  </si>
  <si>
    <t>SMF - ORD</t>
  </si>
  <si>
    <t>SMF - PDX</t>
  </si>
  <si>
    <t>SMF - PHX</t>
  </si>
  <si>
    <t>SMF - PSP</t>
  </si>
  <si>
    <t>SMF - RNO</t>
  </si>
  <si>
    <t>SMF - SAN</t>
  </si>
  <si>
    <t>SMF - SBA</t>
  </si>
  <si>
    <t>SMF - SEA</t>
  </si>
  <si>
    <t>SMF - SFO</t>
  </si>
  <si>
    <t>SMF - SLC</t>
  </si>
  <si>
    <t>SMF - SNA</t>
  </si>
  <si>
    <t>SMF - STL</t>
  </si>
  <si>
    <t>SMX - AZA</t>
  </si>
  <si>
    <t>SMX - LAS</t>
  </si>
  <si>
    <t>SMX - PDX</t>
  </si>
  <si>
    <t>SNA - ABQ</t>
  </si>
  <si>
    <t>SNA - ASE</t>
  </si>
  <si>
    <t>SNA - ATL</t>
  </si>
  <si>
    <t>SNA - AUS</t>
  </si>
  <si>
    <t>SNA - AZA</t>
  </si>
  <si>
    <t>SNA - BNA</t>
  </si>
  <si>
    <t>SNA - BOI</t>
  </si>
  <si>
    <t>SNA - BZN</t>
  </si>
  <si>
    <t>SNA - DAL</t>
  </si>
  <si>
    <t>SNA - DEN</t>
  </si>
  <si>
    <t>SNA - DFW</t>
  </si>
  <si>
    <t>SNA - DSM</t>
  </si>
  <si>
    <t>SNA - DTW</t>
  </si>
  <si>
    <t>SNA - EUG</t>
  </si>
  <si>
    <t>SNA - EWR</t>
  </si>
  <si>
    <t>SNA - FSD</t>
  </si>
  <si>
    <t>SNA - GEG</t>
  </si>
  <si>
    <t>SNA - GJT</t>
  </si>
  <si>
    <t>SNA - HNL</t>
  </si>
  <si>
    <t>SNA - HOU</t>
  </si>
  <si>
    <t>SNA - IAH</t>
  </si>
  <si>
    <t>SNA - IDA</t>
  </si>
  <si>
    <t>SNA - JFK</t>
  </si>
  <si>
    <t>SNA - LAS</t>
  </si>
  <si>
    <t>SNA - MCI</t>
  </si>
  <si>
    <t>SNA - MDW</t>
  </si>
  <si>
    <t>SNA - MFR</t>
  </si>
  <si>
    <t>SNA - MSO</t>
  </si>
  <si>
    <t>SNA - MSP</t>
  </si>
  <si>
    <t>SNA - OAK</t>
  </si>
  <si>
    <t>SNA - ORD</t>
  </si>
  <si>
    <t>SNA - PAE</t>
  </si>
  <si>
    <t>SNA - PDX</t>
  </si>
  <si>
    <t>SNA - PHX</t>
  </si>
  <si>
    <t>SNA - PVU</t>
  </si>
  <si>
    <t>SNA - RNO</t>
  </si>
  <si>
    <t>SNA - SAT</t>
  </si>
  <si>
    <t>SNA - SEA</t>
  </si>
  <si>
    <t>SNA - SFO</t>
  </si>
  <si>
    <t>SNA - SJC</t>
  </si>
  <si>
    <t>SNA - SLC</t>
  </si>
  <si>
    <t>SNA - SMF</t>
  </si>
  <si>
    <t>SNA - STL</t>
  </si>
  <si>
    <t>SNA - STS</t>
  </si>
  <si>
    <t>SPI - AZA</t>
  </si>
  <si>
    <t>SPI - DFW</t>
  </si>
  <si>
    <t>SPI - ORD</t>
  </si>
  <si>
    <t>SPI - PGD</t>
  </si>
  <si>
    <t>SPI - SFB</t>
  </si>
  <si>
    <t>SPN - GUM</t>
  </si>
  <si>
    <t>SPN - ROP</t>
  </si>
  <si>
    <t>SPS - DFW</t>
  </si>
  <si>
    <t>SRQ - ABE</t>
  </si>
  <si>
    <t>SRQ - ATL</t>
  </si>
  <si>
    <t>SRQ - ATW</t>
  </si>
  <si>
    <t>SRQ - AUS</t>
  </si>
  <si>
    <t>SRQ - AVL</t>
  </si>
  <si>
    <t>SRQ - BLV</t>
  </si>
  <si>
    <t>SRQ - BNA</t>
  </si>
  <si>
    <t>SRQ - BOS</t>
  </si>
  <si>
    <t>SRQ - BWI</t>
  </si>
  <si>
    <t>SRQ - CAK</t>
  </si>
  <si>
    <t>SRQ - CID</t>
  </si>
  <si>
    <t>SRQ - CLE</t>
  </si>
  <si>
    <t>SRQ - CLT</t>
  </si>
  <si>
    <t>SRQ - CMH</t>
  </si>
  <si>
    <t>SRQ - CVG</t>
  </si>
  <si>
    <t>SRQ - DAL</t>
  </si>
  <si>
    <t>SRQ - DCA</t>
  </si>
  <si>
    <t>SRQ - DEN</t>
  </si>
  <si>
    <t>SRQ - DFW</t>
  </si>
  <si>
    <t>SRQ - DSM</t>
  </si>
  <si>
    <t>SRQ - DTW</t>
  </si>
  <si>
    <t>SRQ - EWR</t>
  </si>
  <si>
    <t>SRQ - FNT</t>
  </si>
  <si>
    <t>SRQ - FWA</t>
  </si>
  <si>
    <t>SRQ - GRR</t>
  </si>
  <si>
    <t>SRQ - HOU</t>
  </si>
  <si>
    <t>SRQ - IAD</t>
  </si>
  <si>
    <t>SRQ - IAH</t>
  </si>
  <si>
    <t>SRQ - IND</t>
  </si>
  <si>
    <t>SRQ - JFK</t>
  </si>
  <si>
    <t>SRQ - LCK</t>
  </si>
  <si>
    <t>SRQ - LGA</t>
  </si>
  <si>
    <t>SRQ - MCI</t>
  </si>
  <si>
    <t>SRQ - MCO</t>
  </si>
  <si>
    <t>SRQ - MDT</t>
  </si>
  <si>
    <t>SRQ - MDW</t>
  </si>
  <si>
    <t>SRQ - MKE</t>
  </si>
  <si>
    <t>SRQ - MSP</t>
  </si>
  <si>
    <t>SRQ - ORD</t>
  </si>
  <si>
    <t>SRQ - PHL</t>
  </si>
  <si>
    <t>SRQ - PIA</t>
  </si>
  <si>
    <t>SRQ - PIT</t>
  </si>
  <si>
    <t>SRQ - RFD</t>
  </si>
  <si>
    <t>SRQ - RIC</t>
  </si>
  <si>
    <t>SRQ - SBN</t>
  </si>
  <si>
    <t>SRQ - SDF</t>
  </si>
  <si>
    <t>SRQ - STL</t>
  </si>
  <si>
    <t>SRQ - SYR</t>
  </si>
  <si>
    <t>SRQ - TTN</t>
  </si>
  <si>
    <t>SRQ - TUL</t>
  </si>
  <si>
    <t>SRQ - TYS</t>
  </si>
  <si>
    <t>SRQ - USA</t>
  </si>
  <si>
    <t>STC - AZA</t>
  </si>
  <si>
    <t>STC - PGD</t>
  </si>
  <si>
    <t>STC - VPS</t>
  </si>
  <si>
    <t>STL - ATL</t>
  </si>
  <si>
    <t>STL - AUS</t>
  </si>
  <si>
    <t>STL - BDL</t>
  </si>
  <si>
    <t>STL - BMI</t>
  </si>
  <si>
    <t>STL - BNA</t>
  </si>
  <si>
    <t>STL - BOS</t>
  </si>
  <si>
    <t>STL - BWI</t>
  </si>
  <si>
    <t>STL - CHS</t>
  </si>
  <si>
    <t>STL - CLE</t>
  </si>
  <si>
    <t>STL - CLT</t>
  </si>
  <si>
    <t>STL - CMH</t>
  </si>
  <si>
    <t>STL - CVG</t>
  </si>
  <si>
    <t>STL - DAL</t>
  </si>
  <si>
    <t>STL - DCA</t>
  </si>
  <si>
    <t>STL - DEN</t>
  </si>
  <si>
    <t>STL - DFW</t>
  </si>
  <si>
    <t>STL - DSM</t>
  </si>
  <si>
    <t>STL - DTW</t>
  </si>
  <si>
    <t>STL - ECP</t>
  </si>
  <si>
    <t>STL - EWR</t>
  </si>
  <si>
    <t>STL - FLL</t>
  </si>
  <si>
    <t>STL - GRR</t>
  </si>
  <si>
    <t>STL - HHH</t>
  </si>
  <si>
    <t>STL - HOU</t>
  </si>
  <si>
    <t>STL - IAD</t>
  </si>
  <si>
    <t>STL - IAH</t>
  </si>
  <si>
    <t>STL - ICT</t>
  </si>
  <si>
    <t>STL - IND</t>
  </si>
  <si>
    <t>STL - JAX</t>
  </si>
  <si>
    <t>STL - LAS</t>
  </si>
  <si>
    <t>STL - LAX</t>
  </si>
  <si>
    <t>STL - LGA</t>
  </si>
  <si>
    <t>STL - LGB</t>
  </si>
  <si>
    <t>STL - LIT</t>
  </si>
  <si>
    <t>STL - MCI</t>
  </si>
  <si>
    <t>STL - MCO</t>
  </si>
  <si>
    <t>STL - MDW</t>
  </si>
  <si>
    <t>STL - MIA</t>
  </si>
  <si>
    <t>STL - MKE</t>
  </si>
  <si>
    <t>STL - MSN</t>
  </si>
  <si>
    <t>STL - MSP</t>
  </si>
  <si>
    <t>STL - MSY</t>
  </si>
  <si>
    <t>STL - MYR</t>
  </si>
  <si>
    <t>STL - OAK</t>
  </si>
  <si>
    <t>STL - OKC</t>
  </si>
  <si>
    <t>STL - OMA</t>
  </si>
  <si>
    <t>STL - ORD</t>
  </si>
  <si>
    <t>STL - ORF</t>
  </si>
  <si>
    <t>STL - PBI</t>
  </si>
  <si>
    <t>STL - PDX</t>
  </si>
  <si>
    <t>STL - PHL</t>
  </si>
  <si>
    <t>STL - PHX</t>
  </si>
  <si>
    <t>STL - PIT</t>
  </si>
  <si>
    <t>STL - PNS</t>
  </si>
  <si>
    <t>STL - PVD</t>
  </si>
  <si>
    <t>STL - RDU</t>
  </si>
  <si>
    <t>STL - RSW</t>
  </si>
  <si>
    <t>STL - SAN</t>
  </si>
  <si>
    <t>STL - SAT</t>
  </si>
  <si>
    <t>STL - SAV</t>
  </si>
  <si>
    <t>STL - SEA</t>
  </si>
  <si>
    <t>STL - SFO</t>
  </si>
  <si>
    <t>STL - SJC</t>
  </si>
  <si>
    <t>STL - SJU</t>
  </si>
  <si>
    <t>STL - SLC</t>
  </si>
  <si>
    <t>STL - SMF</t>
  </si>
  <si>
    <t>STL - SNA</t>
  </si>
  <si>
    <t>STL - SRQ</t>
  </si>
  <si>
    <t>STL - TPA</t>
  </si>
  <si>
    <t>STL - TUL</t>
  </si>
  <si>
    <t>STL - VPS</t>
  </si>
  <si>
    <t>STS - BUR</t>
  </si>
  <si>
    <t>STS - DEN</t>
  </si>
  <si>
    <t>STS - DFW</t>
  </si>
  <si>
    <t>STS - LAX</t>
  </si>
  <si>
    <t>STS - PDX</t>
  </si>
  <si>
    <t>STS - PHX</t>
  </si>
  <si>
    <t>STS - SAN</t>
  </si>
  <si>
    <t>STS - SBA</t>
  </si>
  <si>
    <t>STS - SEA</t>
  </si>
  <si>
    <t>STS - SFO</t>
  </si>
  <si>
    <t>STS - SNA</t>
  </si>
  <si>
    <t>STT - ATL</t>
  </si>
  <si>
    <t>STT - BOS</t>
  </si>
  <si>
    <t>STT - CLT</t>
  </si>
  <si>
    <t>STT - DFW</t>
  </si>
  <si>
    <t>STT - EWR</t>
  </si>
  <si>
    <t>STT - FLL</t>
  </si>
  <si>
    <t>STT - IAD</t>
  </si>
  <si>
    <t>STT - IAH</t>
  </si>
  <si>
    <t>STT - JFK</t>
  </si>
  <si>
    <t>STT - MCO</t>
  </si>
  <si>
    <t>STT - MIA</t>
  </si>
  <si>
    <t>STT - MSP</t>
  </si>
  <si>
    <t>STT - ORD</t>
  </si>
  <si>
    <t>STT - PHL</t>
  </si>
  <si>
    <t>STT - SJU</t>
  </si>
  <si>
    <t>STT - STX</t>
  </si>
  <si>
    <t>STX - ATL</t>
  </si>
  <si>
    <t>STX - CLT</t>
  </si>
  <si>
    <t>STX - FLL</t>
  </si>
  <si>
    <t>STX - MIA</t>
  </si>
  <si>
    <t>STX - SJU</t>
  </si>
  <si>
    <t>SUN - DEN</t>
  </si>
  <si>
    <t>SUN - LAX</t>
  </si>
  <si>
    <t>SUN - ORD</t>
  </si>
  <si>
    <t>SUN - PDX</t>
  </si>
  <si>
    <t>SUN - SEA</t>
  </si>
  <si>
    <t>SUN - SFO</t>
  </si>
  <si>
    <t>SUN - SLC</t>
  </si>
  <si>
    <t>SUX - DEN</t>
  </si>
  <si>
    <t>SUX - DFW</t>
  </si>
  <si>
    <t>SUX - ORD</t>
  </si>
  <si>
    <t>SWF - ATL</t>
  </si>
  <si>
    <t>SWF - DTW</t>
  </si>
  <si>
    <t>SWF - FLL</t>
  </si>
  <si>
    <t>SWF - MCO</t>
  </si>
  <si>
    <t>SWF - MIA</t>
  </si>
  <si>
    <t>SWF - MYR</t>
  </si>
  <si>
    <t>SWF - PBI</t>
  </si>
  <si>
    <t>SWF - PGD</t>
  </si>
  <si>
    <t>SWF - PHL</t>
  </si>
  <si>
    <t>SWF - PIE</t>
  </si>
  <si>
    <t>SWF - RDU</t>
  </si>
  <si>
    <t>SWF - SAV</t>
  </si>
  <si>
    <t>SWF - SFB</t>
  </si>
  <si>
    <t>SWF - TPA</t>
  </si>
  <si>
    <t>SWF - VPS</t>
  </si>
  <si>
    <t>SWO - DFW</t>
  </si>
  <si>
    <t>SYR - ALB</t>
  </si>
  <si>
    <t>SYR - ATL</t>
  </si>
  <si>
    <t>SYR - BNA</t>
  </si>
  <si>
    <t>SYR - BOS</t>
  </si>
  <si>
    <t>SYR - BWI</t>
  </si>
  <si>
    <t>SYR - CLT</t>
  </si>
  <si>
    <t>SYR - DCA</t>
  </si>
  <si>
    <t>SYR - DEN</t>
  </si>
  <si>
    <t>SYR - DFW</t>
  </si>
  <si>
    <t>SYR - DTW</t>
  </si>
  <si>
    <t>SYR - EWR</t>
  </si>
  <si>
    <t>SYR - FLL</t>
  </si>
  <si>
    <t>SYR - GSP</t>
  </si>
  <si>
    <t>SYR - IAD</t>
  </si>
  <si>
    <t>SYR - JFK</t>
  </si>
  <si>
    <t>SYR - LGA</t>
  </si>
  <si>
    <t>SYR - MCO</t>
  </si>
  <si>
    <t>SYR - MIA</t>
  </si>
  <si>
    <t>SYR - MSP</t>
  </si>
  <si>
    <t>SYR - MYR</t>
  </si>
  <si>
    <t>SYR - ORD</t>
  </si>
  <si>
    <t>SYR - PGD</t>
  </si>
  <si>
    <t>SYR - PHL</t>
  </si>
  <si>
    <t>SYR - PIE</t>
  </si>
  <si>
    <t>SYR - RDU</t>
  </si>
  <si>
    <t>SYR - RSW</t>
  </si>
  <si>
    <t>SYR - SFB</t>
  </si>
  <si>
    <t>SYR - SRQ</t>
  </si>
  <si>
    <t>SYR - TPA</t>
  </si>
  <si>
    <t>TBN - DEC</t>
  </si>
  <si>
    <t>TBN - ORD</t>
  </si>
  <si>
    <t>TLH - ATL</t>
  </si>
  <si>
    <t>TLH - CLT</t>
  </si>
  <si>
    <t>TLH - DCA</t>
  </si>
  <si>
    <t>TLH - DFW</t>
  </si>
  <si>
    <t>TLH - IAH</t>
  </si>
  <si>
    <t>TLH - MIA</t>
  </si>
  <si>
    <t>TOL - AZA</t>
  </si>
  <si>
    <t>TOL - CLT</t>
  </si>
  <si>
    <t>TOL - ORD</t>
  </si>
  <si>
    <t>TOL - PGD</t>
  </si>
  <si>
    <t>TOL - PIE</t>
  </si>
  <si>
    <t>TOL - SFB</t>
  </si>
  <si>
    <t>TOL - VPS</t>
  </si>
  <si>
    <t>TPA - ACY</t>
  </si>
  <si>
    <t>TPA - ALB</t>
  </si>
  <si>
    <t>TPA - ATL</t>
  </si>
  <si>
    <t>TPA - AUS</t>
  </si>
  <si>
    <t>TPA - AVL</t>
  </si>
  <si>
    <t>TPA - BDL</t>
  </si>
  <si>
    <t>TPA - BHM</t>
  </si>
  <si>
    <t>TPA - BMI</t>
  </si>
  <si>
    <t>TPA - BNA</t>
  </si>
  <si>
    <t>TPA - BOS</t>
  </si>
  <si>
    <t>TPA - BUF</t>
  </si>
  <si>
    <t>TPA - BWI</t>
  </si>
  <si>
    <t>TPA - CAK</t>
  </si>
  <si>
    <t>TPA - CLE</t>
  </si>
  <si>
    <t>TPA - CLT</t>
  </si>
  <si>
    <t>TPA - CMH</t>
  </si>
  <si>
    <t>TPA - COS</t>
  </si>
  <si>
    <t>TPA - CVG</t>
  </si>
  <si>
    <t>TPA - DAL</t>
  </si>
  <si>
    <t>TPA - DCA</t>
  </si>
  <si>
    <t>TPA - DEN</t>
  </si>
  <si>
    <t>TPA - DFW</t>
  </si>
  <si>
    <t>TPA - DTW</t>
  </si>
  <si>
    <t>TPA - EWR</t>
  </si>
  <si>
    <t>TPA - EYW</t>
  </si>
  <si>
    <t>TPA - FLL</t>
  </si>
  <si>
    <t>TPA - FNT</t>
  </si>
  <si>
    <t>TPA - GRB</t>
  </si>
  <si>
    <t>TPA - GRR</t>
  </si>
  <si>
    <t>TPA - GSO</t>
  </si>
  <si>
    <t>TPA - GSP</t>
  </si>
  <si>
    <t>TPA - HOU</t>
  </si>
  <si>
    <t>TPA - HPN</t>
  </si>
  <si>
    <t>TPA - IAD</t>
  </si>
  <si>
    <t>TPA - IAH</t>
  </si>
  <si>
    <t>TPA - IND</t>
  </si>
  <si>
    <t>TPA - ISP</t>
  </si>
  <si>
    <t>TPA - JFK</t>
  </si>
  <si>
    <t>TPA - LAS</t>
  </si>
  <si>
    <t>TPA - LAX</t>
  </si>
  <si>
    <t>TPA - LBE</t>
  </si>
  <si>
    <t>TPA - LGA</t>
  </si>
  <si>
    <t>TPA - MCI</t>
  </si>
  <si>
    <t>TPA - MCO</t>
  </si>
  <si>
    <t>TPA - MDW</t>
  </si>
  <si>
    <t>TPA - MEM</t>
  </si>
  <si>
    <t>TPA - MHT</t>
  </si>
  <si>
    <t>TPA - MIA</t>
  </si>
  <si>
    <t>TPA - MKE</t>
  </si>
  <si>
    <t>TPA - MSP</t>
  </si>
  <si>
    <t>TPA - MSY</t>
  </si>
  <si>
    <t>TPA - OKC</t>
  </si>
  <si>
    <t>TPA - OMA</t>
  </si>
  <si>
    <t>TPA - ORD</t>
  </si>
  <si>
    <t>TPA - ORF</t>
  </si>
  <si>
    <t>TPA - PDX</t>
  </si>
  <si>
    <t>TPA - PHL</t>
  </si>
  <si>
    <t>TPA - PHX</t>
  </si>
  <si>
    <t>TPA - PIT</t>
  </si>
  <si>
    <t>TPA - PVD</t>
  </si>
  <si>
    <t>TPA - PWM</t>
  </si>
  <si>
    <t>TPA - RDU</t>
  </si>
  <si>
    <t>TPA - RIC</t>
  </si>
  <si>
    <t>TPA - ROC</t>
  </si>
  <si>
    <t>TPA - SAN</t>
  </si>
  <si>
    <t>TPA - SAT</t>
  </si>
  <si>
    <t>TPA - SDF</t>
  </si>
  <si>
    <t>TPA - SEA</t>
  </si>
  <si>
    <t>TPA - SFO</t>
  </si>
  <si>
    <t>TPA - SJU</t>
  </si>
  <si>
    <t>TPA - SLC</t>
  </si>
  <si>
    <t>TPA - STL</t>
  </si>
  <si>
    <t>TPA - SWF</t>
  </si>
  <si>
    <t>TPA - SYR</t>
  </si>
  <si>
    <t>TPA - TTN</t>
  </si>
  <si>
    <t>TRI - ATL</t>
  </si>
  <si>
    <t>TRI - AVL</t>
  </si>
  <si>
    <t>TRI - CLT</t>
  </si>
  <si>
    <t>TRI - DFW</t>
  </si>
  <si>
    <t>TRI - PIE</t>
  </si>
  <si>
    <t>TRI - SFB</t>
  </si>
  <si>
    <t>TTN - ATL</t>
  </si>
  <si>
    <t>TTN - BNA</t>
  </si>
  <si>
    <t>TTN - CHS</t>
  </si>
  <si>
    <t>TTN - CLT</t>
  </si>
  <si>
    <t>TTN - DTW</t>
  </si>
  <si>
    <t>TTN - FLL</t>
  </si>
  <si>
    <t>TTN - JAX</t>
  </si>
  <si>
    <t>TTN - MCO</t>
  </si>
  <si>
    <t>TTN - MDW</t>
  </si>
  <si>
    <t>TTN - MIA</t>
  </si>
  <si>
    <t>TTN - MSP</t>
  </si>
  <si>
    <t>TTN - MYR</t>
  </si>
  <si>
    <t>TTN - ORD</t>
  </si>
  <si>
    <t>TTN - PBI</t>
  </si>
  <si>
    <t>TTN - PGD</t>
  </si>
  <si>
    <t>TTN - PIE</t>
  </si>
  <si>
    <t>TTN - RDU</t>
  </si>
  <si>
    <t>TTN - RSW</t>
  </si>
  <si>
    <t>TTN - SFB</t>
  </si>
  <si>
    <t>TTN - SRQ</t>
  </si>
  <si>
    <t>TTN - TPA</t>
  </si>
  <si>
    <t>TUL - ATL</t>
  </si>
  <si>
    <t>TUL - AUS</t>
  </si>
  <si>
    <t>TUL - AZA</t>
  </si>
  <si>
    <t>TUL - BNA</t>
  </si>
  <si>
    <t>TUL - BWI</t>
  </si>
  <si>
    <t>TUL - CLT</t>
  </si>
  <si>
    <t>TUL - DAL</t>
  </si>
  <si>
    <t>TUL - DCA</t>
  </si>
  <si>
    <t>TUL - DEN</t>
  </si>
  <si>
    <t>TUL - DFW</t>
  </si>
  <si>
    <t>TUL - DTW</t>
  </si>
  <si>
    <t>TUL - HOU</t>
  </si>
  <si>
    <t>TUL - IAD</t>
  </si>
  <si>
    <t>TUL - IAH</t>
  </si>
  <si>
    <t>TUL - LAS</t>
  </si>
  <si>
    <t>TUL - LAX</t>
  </si>
  <si>
    <t>TUL - MCO</t>
  </si>
  <si>
    <t>TUL - MDW</t>
  </si>
  <si>
    <t>TUL - MIA</t>
  </si>
  <si>
    <t>TUL - MSP</t>
  </si>
  <si>
    <t>TUL - OKC</t>
  </si>
  <si>
    <t>TUL - ORD</t>
  </si>
  <si>
    <t>TUL - PHX</t>
  </si>
  <si>
    <t>TUL - PIE</t>
  </si>
  <si>
    <t>TUL - SAN</t>
  </si>
  <si>
    <t>TUL - SAT</t>
  </si>
  <si>
    <t>TUL - SFB</t>
  </si>
  <si>
    <t>TUL - SJC</t>
  </si>
  <si>
    <t>TUL - SLC</t>
  </si>
  <si>
    <t>TUL - SRQ</t>
  </si>
  <si>
    <t>TUL - STL</t>
  </si>
  <si>
    <t>TUL - VPS</t>
  </si>
  <si>
    <t>TUS - ATL</t>
  </si>
  <si>
    <t>TUS - AZA</t>
  </si>
  <si>
    <t>TUS - BLI</t>
  </si>
  <si>
    <t>TUS - CLT</t>
  </si>
  <si>
    <t>TUS - DAL</t>
  </si>
  <si>
    <t>TUS - DEN</t>
  </si>
  <si>
    <t>TUS - DFW</t>
  </si>
  <si>
    <t>TUS - DTW</t>
  </si>
  <si>
    <t>TUS - HOU</t>
  </si>
  <si>
    <t>TUS - IAH</t>
  </si>
  <si>
    <t>TUS - IND</t>
  </si>
  <si>
    <t>TUS - LAS</t>
  </si>
  <si>
    <t>TUS - LAX</t>
  </si>
  <si>
    <t>TUS - MDW</t>
  </si>
  <si>
    <t>TUS - MSP</t>
  </si>
  <si>
    <t>TUS - OAK</t>
  </si>
  <si>
    <t>TUS - ORD</t>
  </si>
  <si>
    <t>TUS - PAE</t>
  </si>
  <si>
    <t>TUS - PDX</t>
  </si>
  <si>
    <t>TUS - PHX</t>
  </si>
  <si>
    <t>TUS - PVU</t>
  </si>
  <si>
    <t>TUS - SAN</t>
  </si>
  <si>
    <t>TUS - SEA</t>
  </si>
  <si>
    <t>TUS - SFO</t>
  </si>
  <si>
    <t>TUS - SJC</t>
  </si>
  <si>
    <t>TUS - SLC</t>
  </si>
  <si>
    <t>TVC - ATL</t>
  </si>
  <si>
    <t>TVC - AZA</t>
  </si>
  <si>
    <t>TVC - BOS</t>
  </si>
  <si>
    <t>TVC - CLT</t>
  </si>
  <si>
    <t>TVC - DCA</t>
  </si>
  <si>
    <t>TVC - DEN</t>
  </si>
  <si>
    <t>TVC - DFW</t>
  </si>
  <si>
    <t>TVC - DTW</t>
  </si>
  <si>
    <t>TVC - EWR</t>
  </si>
  <si>
    <t>TVC - IAD</t>
  </si>
  <si>
    <t>TVC - LGA</t>
  </si>
  <si>
    <t>TVC - MSP</t>
  </si>
  <si>
    <t>TVC - ORD</t>
  </si>
  <si>
    <t>TVC - PGD</t>
  </si>
  <si>
    <t>TVC - PHL</t>
  </si>
  <si>
    <t>TVC - PIE</t>
  </si>
  <si>
    <t>TVC - SFB</t>
  </si>
  <si>
    <t>TWF - DEN</t>
  </si>
  <si>
    <t>TWF - LAX</t>
  </si>
  <si>
    <t>TWF - ORD</t>
  </si>
  <si>
    <t>TWF - SFO</t>
  </si>
  <si>
    <t>TWF - SLC</t>
  </si>
  <si>
    <t>TWF - SUN</t>
  </si>
  <si>
    <t>TXK - DFW</t>
  </si>
  <si>
    <t>TXK - IAH</t>
  </si>
  <si>
    <t>TYR - DEN</t>
  </si>
  <si>
    <t>TYR - DFW</t>
  </si>
  <si>
    <t>TYS - ATL</t>
  </si>
  <si>
    <t>TYS - AUS</t>
  </si>
  <si>
    <t>TYS - BOS</t>
  </si>
  <si>
    <t>TYS - BWI</t>
  </si>
  <si>
    <t>TYS - CLT</t>
  </si>
  <si>
    <t>TYS - DCA</t>
  </si>
  <si>
    <t>TYS - DEN</t>
  </si>
  <si>
    <t>TYS - DFW</t>
  </si>
  <si>
    <t>TYS - DTW</t>
  </si>
  <si>
    <t>TYS - EWR</t>
  </si>
  <si>
    <t>TYS - FLL</t>
  </si>
  <si>
    <t>TYS - GSP</t>
  </si>
  <si>
    <t>TYS - HOU</t>
  </si>
  <si>
    <t>TYS - IAD</t>
  </si>
  <si>
    <t>TYS - IAH</t>
  </si>
  <si>
    <t>TYS - LAS</t>
  </si>
  <si>
    <t>TYS - LGA</t>
  </si>
  <si>
    <t>TYS - MCO</t>
  </si>
  <si>
    <t>TYS - MDW</t>
  </si>
  <si>
    <t>TYS - MIA</t>
  </si>
  <si>
    <t>TYS - MSP</t>
  </si>
  <si>
    <t>TYS - MYR</t>
  </si>
  <si>
    <t>TYS - ORD</t>
  </si>
  <si>
    <t>TYS - PBI</t>
  </si>
  <si>
    <t>TYS - PGD</t>
  </si>
  <si>
    <t>TYS - PHL</t>
  </si>
  <si>
    <t>TYS - PHX</t>
  </si>
  <si>
    <t>TYS - PIE</t>
  </si>
  <si>
    <t>TYS - PIT</t>
  </si>
  <si>
    <t>TYS - RAP</t>
  </si>
  <si>
    <t>TYS - ROA</t>
  </si>
  <si>
    <t>TYS - SFB</t>
  </si>
  <si>
    <t>TYS - SRQ</t>
  </si>
  <si>
    <t>TYS - VPS</t>
  </si>
  <si>
    <t>UIN - CGI</t>
  </si>
  <si>
    <t>UIN - ORD</t>
  </si>
  <si>
    <t>USA - FLL</t>
  </si>
  <si>
    <t>USA - MLB</t>
  </si>
  <si>
    <t>USA - MSY</t>
  </si>
  <si>
    <t>USA - PBI</t>
  </si>
  <si>
    <t>USA - PGD</t>
  </si>
  <si>
    <t>USA - PIE</t>
  </si>
  <si>
    <t>USA - SFB</t>
  </si>
  <si>
    <t>USA - SRQ</t>
  </si>
  <si>
    <t>USA - VPS</t>
  </si>
  <si>
    <t>VCT - IAH</t>
  </si>
  <si>
    <t>VEL - CNY</t>
  </si>
  <si>
    <t>VEL - DEN</t>
  </si>
  <si>
    <t>VLD - ATL</t>
  </si>
  <si>
    <t>VPS - ATL</t>
  </si>
  <si>
    <t>VPS - AUS</t>
  </si>
  <si>
    <t>VPS - AVL</t>
  </si>
  <si>
    <t>VPS - BLV</t>
  </si>
  <si>
    <t>VPS - BMI</t>
  </si>
  <si>
    <t>VPS - BNA</t>
  </si>
  <si>
    <t>VPS - BOS</t>
  </si>
  <si>
    <t>VPS - BWI</t>
  </si>
  <si>
    <t>VPS - CKB</t>
  </si>
  <si>
    <t>VPS - CLE</t>
  </si>
  <si>
    <t>VPS - CLT</t>
  </si>
  <si>
    <t>VPS - CVG</t>
  </si>
  <si>
    <t>VPS - DAL</t>
  </si>
  <si>
    <t>VPS - DAY</t>
  </si>
  <si>
    <t>VPS - DCA</t>
  </si>
  <si>
    <t>VPS - DEN</t>
  </si>
  <si>
    <t>VPS - DFW</t>
  </si>
  <si>
    <t>VPS - DSM</t>
  </si>
  <si>
    <t>VPS - EVV</t>
  </si>
  <si>
    <t>VPS - EWR</t>
  </si>
  <si>
    <t>VPS - GRR</t>
  </si>
  <si>
    <t>VPS - HOU</t>
  </si>
  <si>
    <t>VPS - HTS</t>
  </si>
  <si>
    <t>VPS - IAH</t>
  </si>
  <si>
    <t>VPS - ICT</t>
  </si>
  <si>
    <t>VPS - IND</t>
  </si>
  <si>
    <t>VPS - LAS</t>
  </si>
  <si>
    <t>VPS - LCK</t>
  </si>
  <si>
    <t>VPS - LEX</t>
  </si>
  <si>
    <t>VPS - LGA</t>
  </si>
  <si>
    <t>VPS - LIT</t>
  </si>
  <si>
    <t>VPS - MCI</t>
  </si>
  <si>
    <t>VPS - MDW</t>
  </si>
  <si>
    <t>VPS - MEM</t>
  </si>
  <si>
    <t>VPS - MKE</t>
  </si>
  <si>
    <t>VPS - MSP</t>
  </si>
  <si>
    <t>VPS - OKC</t>
  </si>
  <si>
    <t>VPS - OMA</t>
  </si>
  <si>
    <t>VPS - ORD</t>
  </si>
  <si>
    <t>VPS - PHL</t>
  </si>
  <si>
    <t>VPS - PIA</t>
  </si>
  <si>
    <t>VPS - PIT</t>
  </si>
  <si>
    <t>VPS - RDU</t>
  </si>
  <si>
    <t>VPS - RFD</t>
  </si>
  <si>
    <t>VPS - SDF</t>
  </si>
  <si>
    <t>VPS - SGF</t>
  </si>
  <si>
    <t>VPS - SHV</t>
  </si>
  <si>
    <t>VPS - SRQ</t>
  </si>
  <si>
    <t>VPS - STC</t>
  </si>
  <si>
    <t>VPS - STL</t>
  </si>
  <si>
    <t>VPS - SWF</t>
  </si>
  <si>
    <t>VPS - TOL</t>
  </si>
  <si>
    <t>VPS - TUL</t>
  </si>
  <si>
    <t>VPS - TYS</t>
  </si>
  <si>
    <t>VPS - USA</t>
  </si>
  <si>
    <t>VPS - XNA</t>
  </si>
  <si>
    <t>WRG - KTN</t>
  </si>
  <si>
    <t>WRG - PSG</t>
  </si>
  <si>
    <t>WYS - DEN</t>
  </si>
  <si>
    <t>WYS - SLC</t>
  </si>
  <si>
    <t>XNA - ATL</t>
  </si>
  <si>
    <t>XNA - AUS</t>
  </si>
  <si>
    <t>XNA - AZA</t>
  </si>
  <si>
    <t>XNA - BNA</t>
  </si>
  <si>
    <t>XNA - CLT</t>
  </si>
  <si>
    <t>XNA - CVG</t>
  </si>
  <si>
    <t>XNA - DCA</t>
  </si>
  <si>
    <t>XNA - DEN</t>
  </si>
  <si>
    <t>XNA - DFW</t>
  </si>
  <si>
    <t>XNA - EWR</t>
  </si>
  <si>
    <t>XNA - FLL</t>
  </si>
  <si>
    <t>XNA - HOU</t>
  </si>
  <si>
    <t>XNA - IAH</t>
  </si>
  <si>
    <t>XNA - LAS</t>
  </si>
  <si>
    <t>XNA - LAX</t>
  </si>
  <si>
    <t>XNA - LGA</t>
  </si>
  <si>
    <t>XNA - MCO</t>
  </si>
  <si>
    <t>XNA - MIA</t>
  </si>
  <si>
    <t>XNA - MSP</t>
  </si>
  <si>
    <t>XNA - ORD</t>
  </si>
  <si>
    <t>XNA - PGD</t>
  </si>
  <si>
    <t>XNA - PHL</t>
  </si>
  <si>
    <t>XNA - PIE</t>
  </si>
  <si>
    <t>XNA - SFB</t>
  </si>
  <si>
    <t>XNA - SFO</t>
  </si>
  <si>
    <t>XNA - TXK</t>
  </si>
  <si>
    <t>XNA - VPS</t>
  </si>
  <si>
    <t>XWA - DEN</t>
  </si>
  <si>
    <t>XWA - MSP</t>
  </si>
  <si>
    <t>YAK - CDV</t>
  </si>
  <si>
    <t>YAK - JNU</t>
  </si>
  <si>
    <t>YKM - EAT</t>
  </si>
  <si>
    <t>YKM - SEA</t>
  </si>
  <si>
    <t>YNG - PIE</t>
  </si>
  <si>
    <t>YNG - SFB</t>
  </si>
  <si>
    <t>YUM - DFW</t>
  </si>
  <si>
    <t>YUM - PHX</t>
  </si>
  <si>
    <t>Code</t>
  </si>
  <si>
    <t>Description</t>
  </si>
  <si>
    <t>01A</t>
  </si>
  <si>
    <t>Afognak Lake, AK: Afognak Lake Airport</t>
  </si>
  <si>
    <t>03A</t>
  </si>
  <si>
    <t>Granite Mountain, AK: Bear Creek Mining Strip</t>
  </si>
  <si>
    <t>04A</t>
  </si>
  <si>
    <t>Lik, AK: Lik Mining Camp</t>
  </si>
  <si>
    <t>05A</t>
  </si>
  <si>
    <t>Little Squaw, AK: Little Squaw Airport</t>
  </si>
  <si>
    <t>06A</t>
  </si>
  <si>
    <t>Kizhuyak, AK: Kizhuyak Bay</t>
  </si>
  <si>
    <t>07A</t>
  </si>
  <si>
    <t>Klawock, AK: Klawock Seaplane Base</t>
  </si>
  <si>
    <t>08A</t>
  </si>
  <si>
    <t>Elizabeth Island, AK: Elizabeth Island Airport</t>
  </si>
  <si>
    <t>09A</t>
  </si>
  <si>
    <t>Homer, AK: Augustin Island</t>
  </si>
  <si>
    <t>1AK</t>
  </si>
  <si>
    <t>Mertarvik, AK: Mertarvik Quarry Road Landing Strip</t>
  </si>
  <si>
    <t>1B1</t>
  </si>
  <si>
    <t>Hudson, NY: Columbia County</t>
  </si>
  <si>
    <t>1CA</t>
  </si>
  <si>
    <t>Rio Vista, CA: Rio Vista Municipal</t>
  </si>
  <si>
    <t>1FL</t>
  </si>
  <si>
    <t>Titusville, FL: NASA Shuttle Landing Facility</t>
  </si>
  <si>
    <t>1G4</t>
  </si>
  <si>
    <t>Peach Springs, AZ: Grand Canyon West</t>
  </si>
  <si>
    <t>1GA</t>
  </si>
  <si>
    <t>Hampton, GA: Henry County</t>
  </si>
  <si>
    <t>1N7</t>
  </si>
  <si>
    <t>Blairstown, NJ: Blairstown Airport</t>
  </si>
  <si>
    <t>1NC</t>
  </si>
  <si>
    <t>Roanoke Rapids, NC: Halifax Northampton Regional</t>
  </si>
  <si>
    <t>1NY</t>
  </si>
  <si>
    <t>Penn Yan, NY: Penn Yan Airport</t>
  </si>
  <si>
    <t>1OH</t>
  </si>
  <si>
    <t>Willoughby, OH: Lake County Executive</t>
  </si>
  <si>
    <t>1PA</t>
  </si>
  <si>
    <t>Connellsville, PA: Joseph A Hardy Connellsville</t>
  </si>
  <si>
    <t>1TN</t>
  </si>
  <si>
    <t>Lexington Parsons, TN: Beech River Regional</t>
  </si>
  <si>
    <t>1TX</t>
  </si>
  <si>
    <t>Dumas, TX: Moore County</t>
  </si>
  <si>
    <t>1VA</t>
  </si>
  <si>
    <t>Warrenton, VA: Warrenton Fauquier</t>
  </si>
  <si>
    <t>1WA</t>
  </si>
  <si>
    <t>Deer Park, WA: Deer Park Airport</t>
  </si>
  <si>
    <t>2AK</t>
  </si>
  <si>
    <t>Deer Park, AK: Deer Park Airport</t>
  </si>
  <si>
    <t>2CA</t>
  </si>
  <si>
    <t>Delano, CA: Delano Municipal</t>
  </si>
  <si>
    <t>2FL</t>
  </si>
  <si>
    <t>West Palm Beach, FL: North Palm Beach County Gen Aviation</t>
  </si>
  <si>
    <t>2GA</t>
  </si>
  <si>
    <t>Camilla, GA: Camilla Mitchell County</t>
  </si>
  <si>
    <t>2NC</t>
  </si>
  <si>
    <t>Asheboro, NC: Asheboro Regional</t>
  </si>
  <si>
    <t>2NY</t>
  </si>
  <si>
    <t>Port Washington, NY: Sands Point Seaplane Base</t>
  </si>
  <si>
    <t>2TN</t>
  </si>
  <si>
    <t>Dayton, TN: Mark Anton</t>
  </si>
  <si>
    <t>2TX</t>
  </si>
  <si>
    <t>Brenham, TX: Brenham Municipal</t>
  </si>
  <si>
    <t>3CA</t>
  </si>
  <si>
    <t>Garberville, CA: Garberville Airport</t>
  </si>
  <si>
    <t>3GA</t>
  </si>
  <si>
    <t>Blakely, GA: Early County</t>
  </si>
  <si>
    <t>3NY</t>
  </si>
  <si>
    <t>Suffolk, NY: Sebonac</t>
  </si>
  <si>
    <t>3TN</t>
  </si>
  <si>
    <t>Elizabethon, TN: Elizabethton Municipal</t>
  </si>
  <si>
    <t>3TX</t>
  </si>
  <si>
    <t>Lancaster, TX: Lancaster Regional</t>
  </si>
  <si>
    <t>4CA</t>
  </si>
  <si>
    <t>Davis, CA: University</t>
  </si>
  <si>
    <t>4CL</t>
  </si>
  <si>
    <t>El Mirage, CA: El Mirage Field Adelanto</t>
  </si>
  <si>
    <t>4GA</t>
  </si>
  <si>
    <t>Atlanta, GA: Paulding Memorial Hospital Heliport</t>
  </si>
  <si>
    <t>4NY</t>
  </si>
  <si>
    <t>Millbrook, NY: Johnson Landing Strip</t>
  </si>
  <si>
    <t>4TX</t>
  </si>
  <si>
    <t>Lajitas, TX: Lajitas International</t>
  </si>
  <si>
    <t>5NY</t>
  </si>
  <si>
    <t>Malone, NY: Malone Dufort</t>
  </si>
  <si>
    <t>5TX</t>
  </si>
  <si>
    <t>Edinburg, TX: South Texas International at Edinburg</t>
  </si>
  <si>
    <t>6B0</t>
  </si>
  <si>
    <t>Middlebury, VT: Middlebury State</t>
  </si>
  <si>
    <t>6NY</t>
  </si>
  <si>
    <t>New York, NY: Sag Harbor</t>
  </si>
  <si>
    <t>6TX</t>
  </si>
  <si>
    <t>Leakey, TX: Real County</t>
  </si>
  <si>
    <t>7AK</t>
  </si>
  <si>
    <t>Akun, AK: Akun Airport</t>
  </si>
  <si>
    <t>7NY</t>
  </si>
  <si>
    <t>New York, NY: Shelter Island</t>
  </si>
  <si>
    <t>7TX</t>
  </si>
  <si>
    <t>Graford, TX: Possum Kingdom</t>
  </si>
  <si>
    <t>8F3</t>
  </si>
  <si>
    <t>Crosbyton, TX: Crosbyton Municipal</t>
  </si>
  <si>
    <t>8NY</t>
  </si>
  <si>
    <t>New York, NY: Noyack</t>
  </si>
  <si>
    <t>8TX</t>
  </si>
  <si>
    <t>Waco, TX: McGregor Executive</t>
  </si>
  <si>
    <t>9NY</t>
  </si>
  <si>
    <t>Shelter Island, NY: Sbnysh</t>
  </si>
  <si>
    <t>9TX</t>
  </si>
  <si>
    <t>Center, TX: Center Municipal</t>
  </si>
  <si>
    <t>A01</t>
  </si>
  <si>
    <t>Fairbanks/Ft. Wainwright, AK: Blair Lake</t>
  </si>
  <si>
    <t>A02</t>
  </si>
  <si>
    <t>Deadmans Bay, AK: Deadmans Bay Airport</t>
  </si>
  <si>
    <t>A03</t>
  </si>
  <si>
    <t>Hallo Bay, AK: Hallo Bay Airport</t>
  </si>
  <si>
    <t>A04</t>
  </si>
  <si>
    <t>Red Lake, AK: Red Lake Airport</t>
  </si>
  <si>
    <t>A05</t>
  </si>
  <si>
    <t>Shell Lake, AK: Shell Lake Airport</t>
  </si>
  <si>
    <t>A06</t>
  </si>
  <si>
    <t>Kougarok, AK: Navigator Airstrip</t>
  </si>
  <si>
    <t>A07</t>
  </si>
  <si>
    <t>Selawik, AK: Roland Norton Memorial</t>
  </si>
  <si>
    <t>A08</t>
  </si>
  <si>
    <t>Pillar Bay, AK: Pillar Bay Airport</t>
  </si>
  <si>
    <t>A09</t>
  </si>
  <si>
    <t>Johnstone Point, AK: Johnstone Point Airport</t>
  </si>
  <si>
    <t>A11</t>
  </si>
  <si>
    <t>Bell Creek, AK: Bell Creek Airport</t>
  </si>
  <si>
    <t>A12</t>
  </si>
  <si>
    <t>Cinnabar, AK: Cinnabar Airport</t>
  </si>
  <si>
    <t>A13</t>
  </si>
  <si>
    <t>Mountaintop Mine, AK: Mountaintop Mine Airport</t>
  </si>
  <si>
    <t>A14</t>
  </si>
  <si>
    <t>Whitebear, AK: Whitebear Airport</t>
  </si>
  <si>
    <t>A15</t>
  </si>
  <si>
    <t>Puviaq, AK: Puviaq Airport</t>
  </si>
  <si>
    <t>A16</t>
  </si>
  <si>
    <t>Arley Lake, AK: Arley Lake Airport</t>
  </si>
  <si>
    <t>A17</t>
  </si>
  <si>
    <t>Port Vita, AK: Port Vita Airport</t>
  </si>
  <si>
    <t>A18</t>
  </si>
  <si>
    <t>Kantishna, AK: Kantishna Airport</t>
  </si>
  <si>
    <t>A1K</t>
  </si>
  <si>
    <t>Deadhorse1, AK: Point Thomson Airstrip</t>
  </si>
  <si>
    <t>A1L</t>
  </si>
  <si>
    <t>Cullman, AL: Cullman Regional Folsom Field</t>
  </si>
  <si>
    <t>A20</t>
  </si>
  <si>
    <t>Alpine, AK: Alpine Airstrip</t>
  </si>
  <si>
    <t>A21</t>
  </si>
  <si>
    <t>Serpentine, AK: Serpentine Airport</t>
  </si>
  <si>
    <t>A22</t>
  </si>
  <si>
    <t>Driftwood Bay, AK: Driftwood Bay Airport</t>
  </si>
  <si>
    <t>A23</t>
  </si>
  <si>
    <t>Bradley Lake, AK: Bradley Lake Airport</t>
  </si>
  <si>
    <t>A24</t>
  </si>
  <si>
    <t>Chilkat Lake, AK: Chilkat Lake Airport</t>
  </si>
  <si>
    <t>A25</t>
  </si>
  <si>
    <t>Nugget Creek, AK: Nugget Creek Airport</t>
  </si>
  <si>
    <t>A26</t>
  </si>
  <si>
    <t>Ivotuk, AK: Ivotuk Airstrip</t>
  </si>
  <si>
    <t>A27</t>
  </si>
  <si>
    <t>Pogo Mines, AK: Pogo Mines Airport</t>
  </si>
  <si>
    <t>A28</t>
  </si>
  <si>
    <t>Ayakulik River, AK: Ayakulik River Airport</t>
  </si>
  <si>
    <t>A29</t>
  </si>
  <si>
    <t>Kiluda Bay, AK: Kiluda Bay Airport</t>
  </si>
  <si>
    <t>A2K</t>
  </si>
  <si>
    <t>Bartletts, AK: Bartletts Airport</t>
  </si>
  <si>
    <t>A2L</t>
  </si>
  <si>
    <t>Fort Payne, AL: Isbell Field</t>
  </si>
  <si>
    <t>A30</t>
  </si>
  <si>
    <t>Terror Lake, AK: Terror Lake Airport</t>
  </si>
  <si>
    <t>A31</t>
  </si>
  <si>
    <t>Selief Bay, AK: Selief Bay Airport</t>
  </si>
  <si>
    <t>A34</t>
  </si>
  <si>
    <t>Laura Lake, AK: Laura Lake Airport</t>
  </si>
  <si>
    <t>A35</t>
  </si>
  <si>
    <t>Kaktovik, AK: Bullen Point AFS</t>
  </si>
  <si>
    <t>A36</t>
  </si>
  <si>
    <t>Deep Bay, AK: Deep Bay Airport</t>
  </si>
  <si>
    <t>A37</t>
  </si>
  <si>
    <t>Kako, AK: Kako Airport</t>
  </si>
  <si>
    <t>A38</t>
  </si>
  <si>
    <t>Molly Creek, AK: Molly Creek Airport</t>
  </si>
  <si>
    <t>A39</t>
  </si>
  <si>
    <t>Ptarmigan Lake, AK: Ptarmigan Lake Airport</t>
  </si>
  <si>
    <t>A3K</t>
  </si>
  <si>
    <t>Smith Bay, AK: Smith Bay Airport</t>
  </si>
  <si>
    <t>A40</t>
  </si>
  <si>
    <t>Cape Simpson, AK: Cape Simpson Airport</t>
  </si>
  <si>
    <t>A41</t>
  </si>
  <si>
    <t>Kogru River, AK: Kogru River Airport</t>
  </si>
  <si>
    <t>A42</t>
  </si>
  <si>
    <t>Teshepkuk Lake, AK: Teshepkuk Lake Airport</t>
  </si>
  <si>
    <t>A43</t>
  </si>
  <si>
    <t>Kodiak Island, AK: Trident Basin Seaplane Base</t>
  </si>
  <si>
    <t>A45</t>
  </si>
  <si>
    <t>Lake Florence, AK: Lake Florence Airport</t>
  </si>
  <si>
    <t>A46</t>
  </si>
  <si>
    <t>Lake Hasselborg, AK: Lake Hasselborg Airport</t>
  </si>
  <si>
    <t>A47</t>
  </si>
  <si>
    <t>Distin Lake, AK: Distin Lake Airport</t>
  </si>
  <si>
    <t>A48</t>
  </si>
  <si>
    <t>Port Hobron, AK: Port Hobron Airport</t>
  </si>
  <si>
    <t>A49</t>
  </si>
  <si>
    <t>Mooseville Airstrip, AK: Mooseville Airstrip Airport</t>
  </si>
  <si>
    <t>A4K</t>
  </si>
  <si>
    <t>Dune Lake, AK: Dune Lake Airport</t>
  </si>
  <si>
    <t>A50</t>
  </si>
  <si>
    <t>Big Bay, AK: Big Bay Airport</t>
  </si>
  <si>
    <t>A51</t>
  </si>
  <si>
    <t>Wien Lake, AK: Wien Lake Airport</t>
  </si>
  <si>
    <t>A52</t>
  </si>
  <si>
    <t>Silver Salmon Creek, AK: Silver Salmon Creek Airport</t>
  </si>
  <si>
    <t>A53</t>
  </si>
  <si>
    <t>Blear Lake, AK: Blear Lake Airport</t>
  </si>
  <si>
    <t>A54</t>
  </si>
  <si>
    <t>Cannery Bay, AK: Cannery Bay Airport</t>
  </si>
  <si>
    <t>A56</t>
  </si>
  <si>
    <t>Bear Lake, AK: Johnsons Landing</t>
  </si>
  <si>
    <t>A57</t>
  </si>
  <si>
    <t>International Seafoods, AK: International Seafoods Airport</t>
  </si>
  <si>
    <t>A58</t>
  </si>
  <si>
    <t>Cosna River, AK: Cosna River Airport</t>
  </si>
  <si>
    <t>A59</t>
  </si>
  <si>
    <t>Ivatuk, AK: Ivatuk Airport</t>
  </si>
  <si>
    <t>A5K</t>
  </si>
  <si>
    <t>Paxson, AK: Paxson Airport</t>
  </si>
  <si>
    <t>A61</t>
  </si>
  <si>
    <t>Cape Sarichef, AK: Cape Sarichef Airport</t>
  </si>
  <si>
    <t>A62</t>
  </si>
  <si>
    <t>Taylor Mountain Mine, AK: Taylor Mountain</t>
  </si>
  <si>
    <t>A63</t>
  </si>
  <si>
    <t>Yukon Charley Rivvers, AK: Coal Creek</t>
  </si>
  <si>
    <t>A65</t>
  </si>
  <si>
    <t>Karluk Portage, AK: Karluk Portage Airport</t>
  </si>
  <si>
    <t>A66</t>
  </si>
  <si>
    <t>Hope, AK: Hope Airport</t>
  </si>
  <si>
    <t>A67</t>
  </si>
  <si>
    <t>Viekoda Bay, AK: Viekoda Bay Airport</t>
  </si>
  <si>
    <t>A69</t>
  </si>
  <si>
    <t>Cold Bay, AK: Cathedral Strip</t>
  </si>
  <si>
    <t>A6K</t>
  </si>
  <si>
    <t>Fairbanks1, AK: Van Curlers Sandbar</t>
  </si>
  <si>
    <t>A70</t>
  </si>
  <si>
    <t>Village Islands, AK: Village Islands Airport</t>
  </si>
  <si>
    <t>A71</t>
  </si>
  <si>
    <t>Homer, AK: Bear Cove Farm</t>
  </si>
  <si>
    <t>A72</t>
  </si>
  <si>
    <t>Chinitna Bay, AK: Chinitna Bay Airport</t>
  </si>
  <si>
    <t>A73</t>
  </si>
  <si>
    <t>McKinley Park, AK: McKinley National Park</t>
  </si>
  <si>
    <t>A74</t>
  </si>
  <si>
    <t>Nanwalek, AK: Dog Fish Bay</t>
  </si>
  <si>
    <t>A75</t>
  </si>
  <si>
    <t>Malina Bay, AK: Malina Bay Airport</t>
  </si>
  <si>
    <t>A76</t>
  </si>
  <si>
    <t>Red Fox Bay, AK: Red Fox Bay Airport</t>
  </si>
  <si>
    <t>A77</t>
  </si>
  <si>
    <t>Shearwater, AK: Shearwater Airport</t>
  </si>
  <si>
    <t>A78</t>
  </si>
  <si>
    <t>Cape Simpson, AK: Lake</t>
  </si>
  <si>
    <t>A79</t>
  </si>
  <si>
    <t>Cape Simpson, AK: Cape Simpson No. 1</t>
  </si>
  <si>
    <t>A7K</t>
  </si>
  <si>
    <t>Nakochna, AK: Nakochna Airport</t>
  </si>
  <si>
    <t>A80</t>
  </si>
  <si>
    <t>Cape Simpson, AK: Cape Simpson No. 7</t>
  </si>
  <si>
    <t>A81</t>
  </si>
  <si>
    <t>Aglaq, AK: Cape Simpson #1</t>
  </si>
  <si>
    <t>A82</t>
  </si>
  <si>
    <t>Nikiski, AK: Nikiski Private Airstrip</t>
  </si>
  <si>
    <t>A83</t>
  </si>
  <si>
    <t>Petrof Point, AK: Petrof Point Airport</t>
  </si>
  <si>
    <t>A84</t>
  </si>
  <si>
    <t>Denali, AK: Denali West Lodge Private</t>
  </si>
  <si>
    <t>A85</t>
  </si>
  <si>
    <t>Big River, AK: Big River Airport</t>
  </si>
  <si>
    <t>A87</t>
  </si>
  <si>
    <t>Carry Inlet, AK: Carry Inlet Airport</t>
  </si>
  <si>
    <t>A89</t>
  </si>
  <si>
    <t>Montague Island, AK: Montague Island Airport</t>
  </si>
  <si>
    <t>A8K</t>
  </si>
  <si>
    <t>Granite Point, AK: Granite Point Ndb</t>
  </si>
  <si>
    <t>A90</t>
  </si>
  <si>
    <t>Shannon Pond, AK: Shannon Pond Airport</t>
  </si>
  <si>
    <t>A91</t>
  </si>
  <si>
    <t>Omalik Lagoon, AK: Omalik Lagoon Airport</t>
  </si>
  <si>
    <t>A92</t>
  </si>
  <si>
    <t>Omolik Lagoon, AK: Omolik Lagoon Airport</t>
  </si>
  <si>
    <t>A93</t>
  </si>
  <si>
    <t>Bradley Lake Project, AK: Bradley Lake Project Airport</t>
  </si>
  <si>
    <t>A94</t>
  </si>
  <si>
    <t>Barrow, AK: Ice Strip</t>
  </si>
  <si>
    <t>A95</t>
  </si>
  <si>
    <t>A96</t>
  </si>
  <si>
    <t>A97</t>
  </si>
  <si>
    <t>Akulik, AK: Akulik Air Strip</t>
  </si>
  <si>
    <t>A98</t>
  </si>
  <si>
    <t>Deadfall, AK: Deadfall Air Strip</t>
  </si>
  <si>
    <t>A99</t>
  </si>
  <si>
    <t>Eagle Creek, AK: Eagle Creek Airport</t>
  </si>
  <si>
    <t>A9K</t>
  </si>
  <si>
    <t>Healy, AK: Wood River Lodge</t>
  </si>
  <si>
    <t>AA1</t>
  </si>
  <si>
    <t>Bethel, AK: Ice Kong</t>
  </si>
  <si>
    <t>AA2</t>
  </si>
  <si>
    <t>Naknek-1, AK: Icicle Seafoods</t>
  </si>
  <si>
    <t>AA4</t>
  </si>
  <si>
    <t>Kachemak Bay, AK: Glacier Split</t>
  </si>
  <si>
    <t>AA5</t>
  </si>
  <si>
    <t>Selby Lake, AK: Selby Lake Airport</t>
  </si>
  <si>
    <t>AA7</t>
  </si>
  <si>
    <t>Independence Creek, AK: Independence Creek Airport</t>
  </si>
  <si>
    <t>AA8</t>
  </si>
  <si>
    <t>Deadhorse, AK: Badami</t>
  </si>
  <si>
    <t>AA9</t>
  </si>
  <si>
    <t>Napaimute, AK: Napaimute Pioneer Airfield</t>
  </si>
  <si>
    <t>AAA</t>
  </si>
  <si>
    <t>Anaa, French Polynesia: Anaa Airport</t>
  </si>
  <si>
    <t>AAB</t>
  </si>
  <si>
    <t>Arrabury, Australia: Arrabury Station</t>
  </si>
  <si>
    <t>AAC</t>
  </si>
  <si>
    <t>El Arish, Egypt: El Arish International</t>
  </si>
  <si>
    <t>AAD</t>
  </si>
  <si>
    <t>Ad-Dabbah, Sudan: Ad-Dabbah Airport</t>
  </si>
  <si>
    <t>AAE</t>
  </si>
  <si>
    <t>Annaba, Algeria: Rabah Bitat</t>
  </si>
  <si>
    <t>AAF</t>
  </si>
  <si>
    <t>Apalachicola, FL: Apalachicola Regional Cleve Randolph Field</t>
  </si>
  <si>
    <t>AAH</t>
  </si>
  <si>
    <t>Aachen, Germany: Aachen Merzbrueck</t>
  </si>
  <si>
    <t>AAI</t>
  </si>
  <si>
    <t>Arraias, Brazil: Arraias Airport</t>
  </si>
  <si>
    <t>AAL</t>
  </si>
  <si>
    <t>Aalborg, Denmark: Aalborg Airport</t>
  </si>
  <si>
    <t>AAM</t>
  </si>
  <si>
    <t>Mala Mala, South Africa: Malamala</t>
  </si>
  <si>
    <t>AAN</t>
  </si>
  <si>
    <t>Al Ain, United Arab Emirates: Al Ain International</t>
  </si>
  <si>
    <t>AAO</t>
  </si>
  <si>
    <t>Anaco, Venezuela: Anaco Airport</t>
  </si>
  <si>
    <t>AAQ</t>
  </si>
  <si>
    <t>Anapa, Russia: Vityazevo</t>
  </si>
  <si>
    <t>AAR</t>
  </si>
  <si>
    <t>Aarhus, Denmark: Aarhus Airport</t>
  </si>
  <si>
    <t>AAU</t>
  </si>
  <si>
    <t>Asau, Samoa: Asau W Sam</t>
  </si>
  <si>
    <t>AAX</t>
  </si>
  <si>
    <t>Araxa, Brazil: Romeu Zema</t>
  </si>
  <si>
    <t>ABA</t>
  </si>
  <si>
    <t>Abakan, Russia: Abakan Airport</t>
  </si>
  <si>
    <t>ABD</t>
  </si>
  <si>
    <t>Abadan, Iran: Abadan Airport</t>
  </si>
  <si>
    <t>Allentown/Bethlehem/Easton, PA: Lehigh Valley International</t>
  </si>
  <si>
    <t>Abilene, TX: Abilene Regional</t>
  </si>
  <si>
    <t>ABJ</t>
  </si>
  <si>
    <t>Abidjan, Cote d'Ivoire: Felix Houphouet Boigny Abidjan International</t>
  </si>
  <si>
    <t>ABK</t>
  </si>
  <si>
    <t>Kabri Dar, Ethiopia: Kebri Dahar</t>
  </si>
  <si>
    <t>ABL</t>
  </si>
  <si>
    <t>Ambler, AK: Ambler River</t>
  </si>
  <si>
    <t>Albuquerque, NM: Albuquerque International Sunport</t>
  </si>
  <si>
    <t>Aberdeen, SD: Aberdeen Regional</t>
  </si>
  <si>
    <t>ABS</t>
  </si>
  <si>
    <t>Abu Simbel, Egypt: Abu Simbel Airport</t>
  </si>
  <si>
    <t>ABT</t>
  </si>
  <si>
    <t>Al-Baha, Saudi Arabia: King Saud Bin Abdulaziz</t>
  </si>
  <si>
    <t>ABV</t>
  </si>
  <si>
    <t>Abuja, Nigeria: Nnamdi Azikiwe International</t>
  </si>
  <si>
    <t>ABX</t>
  </si>
  <si>
    <t>Albury, Australia: Albury Airport</t>
  </si>
  <si>
    <t>Albany, GA: Southwest Georgia Regional</t>
  </si>
  <si>
    <t>ABZ</t>
  </si>
  <si>
    <t>Aberdeen, United Kingdom: Aberdeen Dyce</t>
  </si>
  <si>
    <t>ACA</t>
  </si>
  <si>
    <t>Acapulco, Mexico: General Juan N Alvarez International</t>
  </si>
  <si>
    <t>ACB</t>
  </si>
  <si>
    <t>Bellaire, MI: Antrim County</t>
  </si>
  <si>
    <t>ACC</t>
  </si>
  <si>
    <t>Accra, Ghana: Accra Kotoka International</t>
  </si>
  <si>
    <t>ACE</t>
  </si>
  <si>
    <t>Arrecife, Spain: Lanzarote</t>
  </si>
  <si>
    <t>ACH</t>
  </si>
  <si>
    <t>Altenrhein, Switzerland: St Gallen Altenrhein</t>
  </si>
  <si>
    <t>ACI</t>
  </si>
  <si>
    <t>Alderney, United Kingdom: Alderney Airport</t>
  </si>
  <si>
    <t>Nantucket, MA: Nantucket Memorial</t>
  </si>
  <si>
    <t>Waco, TX: Waco Regional</t>
  </si>
  <si>
    <t>ACU</t>
  </si>
  <si>
    <t>Achutupo, Panama: Achutupo Airport</t>
  </si>
  <si>
    <t>Arcata/Eureka, CA: California Redwood Coast Humboldt County</t>
  </si>
  <si>
    <t>Atlantic City, NJ: Atlantic City International</t>
  </si>
  <si>
    <t>ADA</t>
  </si>
  <si>
    <t>Adana, Turkey: Adana International</t>
  </si>
  <si>
    <t>ADB</t>
  </si>
  <si>
    <t>Izmir, Turkey: Adnan Menderes</t>
  </si>
  <si>
    <t>ADC</t>
  </si>
  <si>
    <t>Andakombe, Papua New Guinea: Andakombe Airport</t>
  </si>
  <si>
    <t>ADD</t>
  </si>
  <si>
    <t>Addis Ababa, Ethiopia: Bole International</t>
  </si>
  <si>
    <t>ADE</t>
  </si>
  <si>
    <t>Aden, Yemen: Aden International</t>
  </si>
  <si>
    <t>ADJ</t>
  </si>
  <si>
    <t>Amman, Jordan: Marka International</t>
  </si>
  <si>
    <t>Adak Island, AK: Adak</t>
  </si>
  <si>
    <t>ADL</t>
  </si>
  <si>
    <t>Adelaide, Australia: Adelaide International</t>
  </si>
  <si>
    <t>ADM</t>
  </si>
  <si>
    <t>Ardmore, OK: Ardmore Municipal</t>
  </si>
  <si>
    <t>ADN</t>
  </si>
  <si>
    <t>Andes, Colombia: Andes Airport</t>
  </si>
  <si>
    <t>ADO</t>
  </si>
  <si>
    <t>Andamooka, Australia: Andamooka Airport</t>
  </si>
  <si>
    <t>Kodiak, AK: Kodiak Airport</t>
  </si>
  <si>
    <t>ADS</t>
  </si>
  <si>
    <t>Dallas, TX: Addison</t>
  </si>
  <si>
    <t>ADT</t>
  </si>
  <si>
    <t>Ada, OK: Ada Regional</t>
  </si>
  <si>
    <t>ADW</t>
  </si>
  <si>
    <t>Camp Springs, MD: Joint Base Andrews</t>
  </si>
  <si>
    <t>ADX</t>
  </si>
  <si>
    <t>St Andrews, United Kingdom: RAF Leuchars</t>
  </si>
  <si>
    <t>ADZ</t>
  </si>
  <si>
    <t>San Andres Island, Colombia: Gustavo Rojas Pinilla</t>
  </si>
  <si>
    <t>AE1</t>
  </si>
  <si>
    <t>Liwa, United Arab Emirates: Liwa Airbase</t>
  </si>
  <si>
    <t>AE2</t>
  </si>
  <si>
    <t>Sweihan, United Arab Emirates: Sweihan Airbase</t>
  </si>
  <si>
    <t>AED</t>
  </si>
  <si>
    <t>Aleneva, AK: Aleneva Airport</t>
  </si>
  <si>
    <t>AEG</t>
  </si>
  <si>
    <t>Padang Sidempuan, Indonesia: Aek Godang</t>
  </si>
  <si>
    <t>AEH</t>
  </si>
  <si>
    <t>Abeche, Chad: Abeche Airport</t>
  </si>
  <si>
    <t>AEO</t>
  </si>
  <si>
    <t>Aioun El Atrouss, Mauritania: Aioun El Atrouss Airport</t>
  </si>
  <si>
    <t>AEP</t>
  </si>
  <si>
    <t>Buenos Aires, Argentina: Aeroparque Jorge Newbery</t>
  </si>
  <si>
    <t>AER</t>
  </si>
  <si>
    <t>Adler/Sochi, Russia: Adler/Sochi Airport</t>
  </si>
  <si>
    <t>AES</t>
  </si>
  <si>
    <t>Aalesund, Norway: Vigra</t>
  </si>
  <si>
    <t>AET</t>
  </si>
  <si>
    <t>Allakaket, AK: Allakaket Airport</t>
  </si>
  <si>
    <t>Alexandria, LA: Alexandria International</t>
  </si>
  <si>
    <t>AEY</t>
  </si>
  <si>
    <t>Akureyri, Iceland: Akureyri Airport</t>
  </si>
  <si>
    <t>AF1</t>
  </si>
  <si>
    <t>Bagram, Afghanistan: Bagram Air Base</t>
  </si>
  <si>
    <t>AF2</t>
  </si>
  <si>
    <t>Lashkar Gah, Afghanistan: Bastion Airfield</t>
  </si>
  <si>
    <t>AF3</t>
  </si>
  <si>
    <t>Dwyer, Afghanistan: Dwyer Airport</t>
  </si>
  <si>
    <t>AF4</t>
  </si>
  <si>
    <t>Shindand, Afghanistan: Shindand Airport</t>
  </si>
  <si>
    <t>AFA</t>
  </si>
  <si>
    <t>San Rafael, Argentina: San Rafael Airport</t>
  </si>
  <si>
    <t>AFF</t>
  </si>
  <si>
    <t>Colorado Springs, CO: USAF Academy Airfield</t>
  </si>
  <si>
    <t>AFK</t>
  </si>
  <si>
    <t>Nebraska, NE: Nebraska City Municipal</t>
  </si>
  <si>
    <t>AFO</t>
  </si>
  <si>
    <t>Afton, WY: Afton Municipal</t>
  </si>
  <si>
    <t>AFP</t>
  </si>
  <si>
    <t>Wadesboro, NC: Anson County Jeff Cloud Field</t>
  </si>
  <si>
    <t>AFU</t>
  </si>
  <si>
    <t>Doha, Qatar: Al Udeid Air Base</t>
  </si>
  <si>
    <t>AFW</t>
  </si>
  <si>
    <t>Dallas/Fort Worth, TX: Fort Worth Alliance</t>
  </si>
  <si>
    <t>AFY</t>
  </si>
  <si>
    <t>Afyon, Turkey: Afyon Airport</t>
  </si>
  <si>
    <t>AGA</t>
  </si>
  <si>
    <t>Agadir, Morocco: Inezgane</t>
  </si>
  <si>
    <t>AGB</t>
  </si>
  <si>
    <t>Augsburg, Germany: Augsburg Airport</t>
  </si>
  <si>
    <t>AGC</t>
  </si>
  <si>
    <t>Pittsburgh, PA: Allegheny County</t>
  </si>
  <si>
    <t>AGF</t>
  </si>
  <si>
    <t>Agen, France: Agen La Garenne</t>
  </si>
  <si>
    <t>AGG</t>
  </si>
  <si>
    <t>Angoram, Papua New Guinea: Angoram Airport</t>
  </si>
  <si>
    <t>AGH</t>
  </si>
  <si>
    <t>Angelholm/Helsingborg, Sweden: Angelholm</t>
  </si>
  <si>
    <t>AGK</t>
  </si>
  <si>
    <t>Kagua, Papua New Guinea: Kagua Airport</t>
  </si>
  <si>
    <t>AGL</t>
  </si>
  <si>
    <t>Wanigela, Papua New Guinea: Wanigela Airport</t>
  </si>
  <si>
    <t>AGN</t>
  </si>
  <si>
    <t>Angoon, AK: Angoon Seaplane Base</t>
  </si>
  <si>
    <t>AGP</t>
  </si>
  <si>
    <t>Malaga, Spain: Malaga Airport</t>
  </si>
  <si>
    <t>AGQ</t>
  </si>
  <si>
    <t>Agrinion, Greece: Agrinion Airport</t>
  </si>
  <si>
    <t>AGR</t>
  </si>
  <si>
    <t>Agra, India: Agra Airport</t>
  </si>
  <si>
    <t>Augusta, GA: Augusta Regional at Bush Field</t>
  </si>
  <si>
    <t>AGT</t>
  </si>
  <si>
    <t>Ciudad del Este, Paraguay: Guarani International</t>
  </si>
  <si>
    <t>AGU</t>
  </si>
  <si>
    <t>Aguascalientes, Mexico: Jesus Teran International</t>
  </si>
  <si>
    <t>AGV</t>
  </si>
  <si>
    <t>Acarigua, Venezuela: Oswaldo Guevara Mujica</t>
  </si>
  <si>
    <t>AGX</t>
  </si>
  <si>
    <t>Agatti Island, India: Agatti Island Airport</t>
  </si>
  <si>
    <t>AHA</t>
  </si>
  <si>
    <t>Okinawa, Japan: Naha AB</t>
  </si>
  <si>
    <t>AHB</t>
  </si>
  <si>
    <t>Abha, Saudi Arabia: Abha Airport</t>
  </si>
  <si>
    <t>AHD</t>
  </si>
  <si>
    <t>Ardmore, OK: Ardmore Downtown Executive</t>
  </si>
  <si>
    <t>AHN</t>
  </si>
  <si>
    <t>Athens, GA: Athens/Ben Epps</t>
  </si>
  <si>
    <t>AHO</t>
  </si>
  <si>
    <t>Alghero/Sassari, Italy: Alghero</t>
  </si>
  <si>
    <t>AHS</t>
  </si>
  <si>
    <t>Ahuas, Honduras: Auas</t>
  </si>
  <si>
    <t>AHT</t>
  </si>
  <si>
    <t>Amchitka Island, AK: Amchitka</t>
  </si>
  <si>
    <t>AHU</t>
  </si>
  <si>
    <t>Al Hoceima, Morocco: Cherif El Idrissi International</t>
  </si>
  <si>
    <t>AIA</t>
  </si>
  <si>
    <t>Alliance, NE: Alliance Municipal</t>
  </si>
  <si>
    <t>AIB</t>
  </si>
  <si>
    <t>Anita Bay, AK: Anita Bay Airport</t>
  </si>
  <si>
    <t>AID</t>
  </si>
  <si>
    <t>Anderson, IN: Anderson Municipal-Darlington Field</t>
  </si>
  <si>
    <t>AIK</t>
  </si>
  <si>
    <t>Aiken, SC: Aiken Regional</t>
  </si>
  <si>
    <t>AIN</t>
  </si>
  <si>
    <t>Wainwright, AK: Wainwright Airport</t>
  </si>
  <si>
    <t>AIO</t>
  </si>
  <si>
    <t>Atlantic, IA: Atlantic Municipal</t>
  </si>
  <si>
    <t>AIT</t>
  </si>
  <si>
    <t>Aitutaki, Cook Islands: Aitutaki Airport</t>
  </si>
  <si>
    <t>AIY</t>
  </si>
  <si>
    <t>Atlantic City, NJ: Bader Field</t>
  </si>
  <si>
    <t>AIZ</t>
  </si>
  <si>
    <t>Lake of the Ozarks, MO: Lee C Fine Memorial</t>
  </si>
  <si>
    <t>AJA</t>
  </si>
  <si>
    <t>Ajaccio, France: Ajaccio Napoleon Bonaparte</t>
  </si>
  <si>
    <t>AJF</t>
  </si>
  <si>
    <t>Jouf, Saudi Arabia: Al Jouf</t>
  </si>
  <si>
    <t>AJJ</t>
  </si>
  <si>
    <t>Akjoujt, Mauritania: Akjoujt Airport</t>
  </si>
  <si>
    <t>AJL</t>
  </si>
  <si>
    <t>Aizwal, India: Lengpui</t>
  </si>
  <si>
    <t>AJN</t>
  </si>
  <si>
    <t>Anjouan, Comoros: Ouani</t>
  </si>
  <si>
    <t>AJR</t>
  </si>
  <si>
    <t>Arvidsjaur, Sweden: Arvidsjaur Airport</t>
  </si>
  <si>
    <t>AJU</t>
  </si>
  <si>
    <t>Aracaju, Brazil: Santa Maria International</t>
  </si>
  <si>
    <t>AJY</t>
  </si>
  <si>
    <t>Agades, Niger: Mano Dayak</t>
  </si>
  <si>
    <t>AK1</t>
  </si>
  <si>
    <t>Seward Peninsula, AK: Kelly Creek Airstrip</t>
  </si>
  <si>
    <t>AK2</t>
  </si>
  <si>
    <t>Bear Fish Camp, AK: Bear Fish Camp Airport</t>
  </si>
  <si>
    <t>AK3</t>
  </si>
  <si>
    <t>Fairbanks, AK: Gold King Creek</t>
  </si>
  <si>
    <t>AK4</t>
  </si>
  <si>
    <t>Squaw Lake, AK: Squaw Lake Airport</t>
  </si>
  <si>
    <t>AK5</t>
  </si>
  <si>
    <t>Qugruc, AK: Qugruc Airport</t>
  </si>
  <si>
    <t>AK6</t>
  </si>
  <si>
    <t>Gold King 2, AK: Gold King 2 Airport</t>
  </si>
  <si>
    <t>AK7</t>
  </si>
  <si>
    <t>Rampart, AK: Hunter Creek Mine</t>
  </si>
  <si>
    <t>AK8</t>
  </si>
  <si>
    <t>Zips, AK: Zips Airport</t>
  </si>
  <si>
    <t>AK9</t>
  </si>
  <si>
    <t>Tolstoi Bay, AK: Tolstoi Bay Airport</t>
  </si>
  <si>
    <t>AKB</t>
  </si>
  <si>
    <t>Atka, AK: Atka Airport</t>
  </si>
  <si>
    <t>AKC</t>
  </si>
  <si>
    <t>Akron, OH: Akron Fulton International</t>
  </si>
  <si>
    <t>AKF</t>
  </si>
  <si>
    <t>Kufrah, Libya: Kufra</t>
  </si>
  <si>
    <t>AKH</t>
  </si>
  <si>
    <t>Al Kharj, Saudi Arabia: Prince Sultan AB</t>
  </si>
  <si>
    <t>AKI</t>
  </si>
  <si>
    <t>Akiak, AK: Akiak Airport</t>
  </si>
  <si>
    <t>AKJ</t>
  </si>
  <si>
    <t>Asahikawa, Japan: Asahikawa Airport</t>
  </si>
  <si>
    <t>AKK</t>
  </si>
  <si>
    <t>Akhiok, AK: Akhiok Airport</t>
  </si>
  <si>
    <t>AKL</t>
  </si>
  <si>
    <t>Auckland, New Zealand: Auckland International</t>
  </si>
  <si>
    <t>King Salmon, AK: King Salmon Airport</t>
  </si>
  <si>
    <t>AKO</t>
  </si>
  <si>
    <t>Akron, CO: Colorado Plains Regional</t>
  </si>
  <si>
    <t>AKP</t>
  </si>
  <si>
    <t>Anaktuvuk Pass, AK: Anaktuvuk Pass Airport</t>
  </si>
  <si>
    <t>AKR</t>
  </si>
  <si>
    <t>Akure, Nigeria: Akure Airport</t>
  </si>
  <si>
    <t>AKS</t>
  </si>
  <si>
    <t>Auki, Solomon Islands: Auki Airport</t>
  </si>
  <si>
    <t>AKT</t>
  </si>
  <si>
    <t>Akrotiri, Cyprus: Akrotiri Airport</t>
  </si>
  <si>
    <t>AKX</t>
  </si>
  <si>
    <t>Aktyubinsk, Kazakhstan: Aktyubinsk Airport</t>
  </si>
  <si>
    <t>AKY</t>
  </si>
  <si>
    <t>Sittwe, Burma: Sittwe Airport</t>
  </si>
  <si>
    <t>AL1</t>
  </si>
  <si>
    <t>Albertville, AL: Albertville Regional-Thomas J Brumlik Field</t>
  </si>
  <si>
    <t>AL2</t>
  </si>
  <si>
    <t>Alabaster, AL: Shelby County</t>
  </si>
  <si>
    <t>AL3</t>
  </si>
  <si>
    <t>Huntsville, AL: Huntsville Executive Tom Sharp Jr</t>
  </si>
  <si>
    <t>AL4</t>
  </si>
  <si>
    <t>Andalusia/Opp, AL: South Alabama Regional at Bill Benton Field</t>
  </si>
  <si>
    <t>AL5</t>
  </si>
  <si>
    <t>Demopolis, AL: Demopolis Regional</t>
  </si>
  <si>
    <t>AL6</t>
  </si>
  <si>
    <t>Fairhope, AL: H. L. Sonny Callahan</t>
  </si>
  <si>
    <t>AL7</t>
  </si>
  <si>
    <t>Jasper, AL: Walker County Bevill Field</t>
  </si>
  <si>
    <t>AL8</t>
  </si>
  <si>
    <t>Scottsboro, AL: Scottsboro Municipal Word Field</t>
  </si>
  <si>
    <t>AL9</t>
  </si>
  <si>
    <t>Sylacauga, AL: Merkel Field Sylacauga Municipal</t>
  </si>
  <si>
    <t>ALA</t>
  </si>
  <si>
    <t>Almaty, Kazakhstan: Almaty Airport</t>
  </si>
  <si>
    <t>Albany, NY: Albany International</t>
  </si>
  <si>
    <t>ALC</t>
  </si>
  <si>
    <t>Alicante, Spain: Alicante Elche</t>
  </si>
  <si>
    <t>ALE</t>
  </si>
  <si>
    <t>Alpine, TX: Alpine Casparis Municipal</t>
  </si>
  <si>
    <t>ALF</t>
  </si>
  <si>
    <t>Alta, Norway: Alta Airport</t>
  </si>
  <si>
    <t>ALG</t>
  </si>
  <si>
    <t>Algiers, Algeria: Houari Boumediene</t>
  </si>
  <si>
    <t>ALH</t>
  </si>
  <si>
    <t>Albany, Australia: Albany Airport</t>
  </si>
  <si>
    <t>ALI</t>
  </si>
  <si>
    <t>Alice, TX: Alice International</t>
  </si>
  <si>
    <t>ALJ</t>
  </si>
  <si>
    <t>Alexander Bay, South Africa: Alexander Bay Airport</t>
  </si>
  <si>
    <t>ALK</t>
  </si>
  <si>
    <t>Asela, Ethiopia: Asela Airport</t>
  </si>
  <si>
    <t>ALL</t>
  </si>
  <si>
    <t>Liguria, Italy: Albenga</t>
  </si>
  <si>
    <t>ALM</t>
  </si>
  <si>
    <t>Alamogordo, NM: Alamogordo White Sands Regional</t>
  </si>
  <si>
    <t>ALN</t>
  </si>
  <si>
    <t>Alton, IL: St. Louis Regional</t>
  </si>
  <si>
    <t>Waterloo, IA: Waterloo Regional</t>
  </si>
  <si>
    <t>ALP</t>
  </si>
  <si>
    <t>Aleppo, Syria: Aleppo International</t>
  </si>
  <si>
    <t>ALQ</t>
  </si>
  <si>
    <t>Alegrete, Brazil: Alegrete Airport</t>
  </si>
  <si>
    <t>ALR</t>
  </si>
  <si>
    <t>Alexandra, New Zealand: Alexandra Airport</t>
  </si>
  <si>
    <t>Alamosa, CO: San Luis Valley Regional/Bergman Field</t>
  </si>
  <si>
    <t>ALT</t>
  </si>
  <si>
    <t>Alenquer, Brazil: Alenquer Airport</t>
  </si>
  <si>
    <t>ALU</t>
  </si>
  <si>
    <t>Alula, Somalia: Alula Airport</t>
  </si>
  <si>
    <t>Walla Walla, WA: Walla Walla Regional</t>
  </si>
  <si>
    <t>ALX</t>
  </si>
  <si>
    <t>Alexander City, AL: Thomas C. Russell Field</t>
  </si>
  <si>
    <t>ALY</t>
  </si>
  <si>
    <t>Alexandria, Egypt: Alexandria International</t>
  </si>
  <si>
    <t>ALZ</t>
  </si>
  <si>
    <t>Lazy Bay, AK: Alitak Seaplane Base</t>
  </si>
  <si>
    <t>Amarillo, TX: Rick Husband Amarillo International</t>
  </si>
  <si>
    <t>AMD</t>
  </si>
  <si>
    <t>Ahmedabad, India: Ahmedabad International</t>
  </si>
  <si>
    <t>AMF</t>
  </si>
  <si>
    <t>Ama, Papua New Guinea: Ama Airport</t>
  </si>
  <si>
    <t>AMG</t>
  </si>
  <si>
    <t>Amboin, Papua New Guinea: Amboin Airport</t>
  </si>
  <si>
    <t>AMH</t>
  </si>
  <si>
    <t>Arba Minch, Ethiopia: Arba Minch Airport</t>
  </si>
  <si>
    <t>AMI</t>
  </si>
  <si>
    <t>Mataram, Indonesia: Selaparang</t>
  </si>
  <si>
    <t>AMK</t>
  </si>
  <si>
    <t>Durango, CO: Animas Air Park</t>
  </si>
  <si>
    <t>AML</t>
  </si>
  <si>
    <t>Puerto Armuelles, Panama: Puerto Armuelles Airport</t>
  </si>
  <si>
    <t>AMM</t>
  </si>
  <si>
    <t>Amman, Jordan: Queen Alia International</t>
  </si>
  <si>
    <t>AMN</t>
  </si>
  <si>
    <t>Alma, MI: Gratiot Community</t>
  </si>
  <si>
    <t>AMO</t>
  </si>
  <si>
    <t>Mao, Chad: Mao Airport</t>
  </si>
  <si>
    <t>AMP</t>
  </si>
  <si>
    <t>Ampanihy, Madagascar: Ampanihy Airport</t>
  </si>
  <si>
    <t>AMQ</t>
  </si>
  <si>
    <t>Ambon, Indonesia: Pattimura</t>
  </si>
  <si>
    <t>AMS</t>
  </si>
  <si>
    <t>Amsterdam, Netherlands: Schiphol</t>
  </si>
  <si>
    <t>AMW</t>
  </si>
  <si>
    <t>Ames, IA: Ames Municipal</t>
  </si>
  <si>
    <t>AMX</t>
  </si>
  <si>
    <t>Ammaroo, Australia: Ammaroo Station</t>
  </si>
  <si>
    <t>AMY</t>
  </si>
  <si>
    <t>Ambatomainty, Madagascar: Ambatomainty Airport</t>
  </si>
  <si>
    <t>ANA</t>
  </si>
  <si>
    <t>Anaheim, CA: Anaheim-Disneyland HP</t>
  </si>
  <si>
    <t>ANB</t>
  </si>
  <si>
    <t>Anniston, AL: Anniston Regional</t>
  </si>
  <si>
    <t>Anchorage, AK: Ted Stevens Anchorage International</t>
  </si>
  <si>
    <t>AND</t>
  </si>
  <si>
    <t>Anderson, SC: Anderson Regional</t>
  </si>
  <si>
    <t>ANE</t>
  </si>
  <si>
    <t>Angers, France: Angers Marce</t>
  </si>
  <si>
    <t>ANF</t>
  </si>
  <si>
    <t>Antofagasta, Chile: Andres Sabella International</t>
  </si>
  <si>
    <t>ANG</t>
  </si>
  <si>
    <t>Angouleme, France: Angouleme Brie Champniers</t>
  </si>
  <si>
    <t>ANI</t>
  </si>
  <si>
    <t>Aniak, AK: Aniak Airport</t>
  </si>
  <si>
    <t>ANK</t>
  </si>
  <si>
    <t>Ankara, Turkey: Etimesgut</t>
  </si>
  <si>
    <t>ANM</t>
  </si>
  <si>
    <t>Antalaha, Madagascar: Antsirabato</t>
  </si>
  <si>
    <t>ANN</t>
  </si>
  <si>
    <t>Annette, AK: Annette Island</t>
  </si>
  <si>
    <t>ANO</t>
  </si>
  <si>
    <t>Angoche, Mozambique: Angoche Airport</t>
  </si>
  <si>
    <t>ANP</t>
  </si>
  <si>
    <t>Annapolis, MD: Lee</t>
  </si>
  <si>
    <t>ANR</t>
  </si>
  <si>
    <t>Antwerp, Belgium: Deurne</t>
  </si>
  <si>
    <t>ANS</t>
  </si>
  <si>
    <t>Andahuaylas, Peru: Andahuaylas Airport</t>
  </si>
  <si>
    <t>St. Johns, Antigua and Barbuda: V C Bird International</t>
  </si>
  <si>
    <t>ANV</t>
  </si>
  <si>
    <t>Anvik, AK: Anvik Airport</t>
  </si>
  <si>
    <t>ANX</t>
  </si>
  <si>
    <t>Andeness, Norway: Andoya</t>
  </si>
  <si>
    <t>AOH</t>
  </si>
  <si>
    <t>Lima, OH: Lima Allen County</t>
  </si>
  <si>
    <t>AOI</t>
  </si>
  <si>
    <t>Ancona, Italy: Ancona Falconara</t>
  </si>
  <si>
    <t>AOJ</t>
  </si>
  <si>
    <t>Aomori, Japan: Aomori Airport</t>
  </si>
  <si>
    <t>AOK</t>
  </si>
  <si>
    <t>Karpathos, Greece: Karpathos Airport</t>
  </si>
  <si>
    <t>AOL</t>
  </si>
  <si>
    <t>Paso de Los Libres, Argentina: Paso de Los Libres Airport</t>
  </si>
  <si>
    <t>AOO</t>
  </si>
  <si>
    <t>Altoona, PA: Altoona-Blair County</t>
  </si>
  <si>
    <t>AOR</t>
  </si>
  <si>
    <t>Alor Setar, Malaysia: Sultan Abdul Halim</t>
  </si>
  <si>
    <t>AOS</t>
  </si>
  <si>
    <t>Amook Bay, AK: Amook Bay Airport</t>
  </si>
  <si>
    <t>APA</t>
  </si>
  <si>
    <t>Denver, CO: Centennial</t>
  </si>
  <si>
    <t>APB</t>
  </si>
  <si>
    <t>Apolo, Bolivia: Apolo Airport</t>
  </si>
  <si>
    <t>APC</t>
  </si>
  <si>
    <t>Napa, CA: Napa County</t>
  </si>
  <si>
    <t>APE</t>
  </si>
  <si>
    <t>San Juan Aposento, Peru: San Juan Aposento Airport</t>
  </si>
  <si>
    <t>APF</t>
  </si>
  <si>
    <t>Naples, FL: Naples Municipal</t>
  </si>
  <si>
    <t>APG</t>
  </si>
  <si>
    <t>Aberdeen, MD: Phillips AAF</t>
  </si>
  <si>
    <t>APH</t>
  </si>
  <si>
    <t>Fort A P Hill, VA: A P Hill AAF</t>
  </si>
  <si>
    <t>API</t>
  </si>
  <si>
    <t>Villavicencio, Colombia: Gomez Nino Apiay AB</t>
  </si>
  <si>
    <t>APK</t>
  </si>
  <si>
    <t>Apataki, French Polynesia: Apataki Airport</t>
  </si>
  <si>
    <t>APL</t>
  </si>
  <si>
    <t>Nampula, Mozambique: Nampula Airport</t>
  </si>
  <si>
    <t>Alpena, MI: Alpena County Regional</t>
  </si>
  <si>
    <t>APO</t>
  </si>
  <si>
    <t>Apartado, Colombia: Apartado Airport</t>
  </si>
  <si>
    <t>APR</t>
  </si>
  <si>
    <t>April River, Papua New Guinea: April River Airport</t>
  </si>
  <si>
    <t>APT</t>
  </si>
  <si>
    <t>Jasper, TN: Marion County Brown Field</t>
  </si>
  <si>
    <t>APV</t>
  </si>
  <si>
    <t>Apple Valley, CA: Apple Valley Airport</t>
  </si>
  <si>
    <t>APW</t>
  </si>
  <si>
    <t>Apia, Samoa: Faleolo International</t>
  </si>
  <si>
    <t>AQ1</t>
  </si>
  <si>
    <t>McMurdo Station, Antarctica: McMurdo Station Phoenix Field</t>
  </si>
  <si>
    <t>AQ2</t>
  </si>
  <si>
    <t>Terra Nova Bay, Antarctica: Mario Zucchelli</t>
  </si>
  <si>
    <t>AQI</t>
  </si>
  <si>
    <t>Qaisumah, Saudi Arabia: Hafr Al Batin</t>
  </si>
  <si>
    <t>AQJ</t>
  </si>
  <si>
    <t>Aqaba, Jordan: King Hussein International</t>
  </si>
  <si>
    <t>AQP</t>
  </si>
  <si>
    <t>Arequipa, Peru: Rodriguez Ballon International</t>
  </si>
  <si>
    <t>AQS</t>
  </si>
  <si>
    <t>Saqani, Fiji: Saqani Airport</t>
  </si>
  <si>
    <t>AQY</t>
  </si>
  <si>
    <t>Girdwood, AK: Girdwood Airport</t>
  </si>
  <si>
    <t>AR1</t>
  </si>
  <si>
    <t>Russellville, AR: Russellville Regional</t>
  </si>
  <si>
    <t>AR2</t>
  </si>
  <si>
    <t>Conway, AR: Dennis F Cantrell Field</t>
  </si>
  <si>
    <t>AR3</t>
  </si>
  <si>
    <t>Bentonville, AR: Bentonville Municipal Louise M Thaden Field</t>
  </si>
  <si>
    <t>AR4</t>
  </si>
  <si>
    <t>Colt, AR: Delta Regional</t>
  </si>
  <si>
    <t>ARA</t>
  </si>
  <si>
    <t>New Iberia, LA: Acadiana Regional</t>
  </si>
  <si>
    <t>ARB</t>
  </si>
  <si>
    <t>Ann Arbor, MI: Ann Arbor Municipal</t>
  </si>
  <si>
    <t>ARC</t>
  </si>
  <si>
    <t>Arctic Village, AK: Arctic Village Airport</t>
  </si>
  <si>
    <t>ARD</t>
  </si>
  <si>
    <t>Alor, Indonesia: Arcadia Municipal</t>
  </si>
  <si>
    <t>ARE</t>
  </si>
  <si>
    <t>Arecibo, PR: Antonio/Nery/Juarbe Pol</t>
  </si>
  <si>
    <t>ARG</t>
  </si>
  <si>
    <t>Walnut Ridge, AR: Walnut Ridge Regional</t>
  </si>
  <si>
    <t>ARH</t>
  </si>
  <si>
    <t>Arkhangelsk, Russia: Talagi</t>
  </si>
  <si>
    <t>ARI</t>
  </si>
  <si>
    <t>Arica, Chile: Chacalluta</t>
  </si>
  <si>
    <t>ARK</t>
  </si>
  <si>
    <t>Arusha, Tanzania: Arusha Airport</t>
  </si>
  <si>
    <t>ARM</t>
  </si>
  <si>
    <t>Armidale, Australia: Armidale Airport</t>
  </si>
  <si>
    <t>ARN</t>
  </si>
  <si>
    <t>Stockholm, Sweden: Arlanda</t>
  </si>
  <si>
    <t>ARP</t>
  </si>
  <si>
    <t>Aragip, Papua New Guinea: Aragip Airport</t>
  </si>
  <si>
    <t>ARQ</t>
  </si>
  <si>
    <t>Arauquita, Colombia: Arauquita Airport</t>
  </si>
  <si>
    <t>ARS</t>
  </si>
  <si>
    <t>Aragarcas, Brazil: Aragarcas Airport</t>
  </si>
  <si>
    <t>Watertown, NY: Watertown International</t>
  </si>
  <si>
    <t>ARU</t>
  </si>
  <si>
    <t>Aracatuba, Brazil: Aracatuba Airport</t>
  </si>
  <si>
    <t>ARV</t>
  </si>
  <si>
    <t>Minocqua/Woodruff, WI: Lakeland/Noble F. Lee Memorial Field</t>
  </si>
  <si>
    <t>ARW</t>
  </si>
  <si>
    <t>Arad, Romania: Arad International</t>
  </si>
  <si>
    <t>ARX</t>
  </si>
  <si>
    <t>Asbury Park, NJ: Asbury Park/Monmouth County</t>
  </si>
  <si>
    <t>ARY</t>
  </si>
  <si>
    <t>Ararat, Australia: Ararat Airport</t>
  </si>
  <si>
    <t>ARZ</t>
  </si>
  <si>
    <t>N'zeto, Angola: N'zeto Airport</t>
  </si>
  <si>
    <t>ASA</t>
  </si>
  <si>
    <t>Assab, Eritrea: Assab International</t>
  </si>
  <si>
    <t>ASB</t>
  </si>
  <si>
    <t>Ashgabat, Turkmenistan: Ashgabat Airport</t>
  </si>
  <si>
    <t>ASC</t>
  </si>
  <si>
    <t>Ascension, Bolivia: Ascension Airport</t>
  </si>
  <si>
    <t>ASD</t>
  </si>
  <si>
    <t>Andros Town, The Bahamas: Fresh Creek</t>
  </si>
  <si>
    <t>Aspen, CO: Aspen Pitkin County Sardy Field</t>
  </si>
  <si>
    <t>ASF</t>
  </si>
  <si>
    <t>Astrakhan, Russia: Narimanova</t>
  </si>
  <si>
    <t>ASG</t>
  </si>
  <si>
    <t>Ashburton, New Zealand: Ashburton Airport</t>
  </si>
  <si>
    <t>ASH</t>
  </si>
  <si>
    <t>Nashua, NH: Boire Field</t>
  </si>
  <si>
    <t>ASI</t>
  </si>
  <si>
    <t>Ascension Island, Saint Helena, Ascension, and Tristan da Cunha: Ascension Aux Af</t>
  </si>
  <si>
    <t>ASJ</t>
  </si>
  <si>
    <t>Amami O Shima, Japan: Amami</t>
  </si>
  <si>
    <t>ASK</t>
  </si>
  <si>
    <t>Yamoussoukro, Cote d'Ivoire: Yamoussoukro Airport</t>
  </si>
  <si>
    <t>ASL</t>
  </si>
  <si>
    <t>Marshall, TX: Harrison County</t>
  </si>
  <si>
    <t>ASM</t>
  </si>
  <si>
    <t>Asmara, Eritrea: Asmara International</t>
  </si>
  <si>
    <t>ASN</t>
  </si>
  <si>
    <t>Talladega, AL: Talladega Municipal</t>
  </si>
  <si>
    <t>ASO</t>
  </si>
  <si>
    <t>Asosa, Ethiopia: Asosa Hidase</t>
  </si>
  <si>
    <t>ASP</t>
  </si>
  <si>
    <t>Alice Springs, Australia: Alice Springs Airport</t>
  </si>
  <si>
    <t>ASQ</t>
  </si>
  <si>
    <t>Austin, NV: Austin Airport</t>
  </si>
  <si>
    <t>ASR</t>
  </si>
  <si>
    <t>Kayseri, Turkey: Kayseri Airport</t>
  </si>
  <si>
    <t>AST</t>
  </si>
  <si>
    <t>Astoria/Seaside, OR: Astoria Regional</t>
  </si>
  <si>
    <t>ASU</t>
  </si>
  <si>
    <t>Asuncion, Paraguay: Silvio Pettirossi International</t>
  </si>
  <si>
    <t>ASW</t>
  </si>
  <si>
    <t>Aswan, Egypt: Aswan International</t>
  </si>
  <si>
    <t>ASX</t>
  </si>
  <si>
    <t>Ashland, WI: John F Kennedy Memorial</t>
  </si>
  <si>
    <t>ASY</t>
  </si>
  <si>
    <t>Ashley, ND: Ashley Municipal</t>
  </si>
  <si>
    <t>ATA</t>
  </si>
  <si>
    <t>Anta, Peru: Anta Huaraz</t>
  </si>
  <si>
    <t>ATB</t>
  </si>
  <si>
    <t>Atbara, Sudan: Atbara Airport</t>
  </si>
  <si>
    <t>ATC</t>
  </si>
  <si>
    <t>Arthur's Town, The Bahamas: Arthur's Town Airport</t>
  </si>
  <si>
    <t>ATE</t>
  </si>
  <si>
    <t>Antlers, OK: Antlers Municipal</t>
  </si>
  <si>
    <t>ATH</t>
  </si>
  <si>
    <t>Athens, Greece: Eleftherios Venizelos International</t>
  </si>
  <si>
    <t>ATI</t>
  </si>
  <si>
    <t>Artigas, Uruguay: Artigas International</t>
  </si>
  <si>
    <t>ATK</t>
  </si>
  <si>
    <t>Atqasuk, AK: Atqasuk Edward Burnell Sr. Memorial</t>
  </si>
  <si>
    <t>Atlanta, GA: Hartsfield-Jackson Atlanta International</t>
  </si>
  <si>
    <t>ATM</t>
  </si>
  <si>
    <t>Altamira, Brazil: Altamira Airport</t>
  </si>
  <si>
    <t>ATN</t>
  </si>
  <si>
    <t>Namatanai, Papua New Guinea: Namatanai Airport</t>
  </si>
  <si>
    <t>ATO</t>
  </si>
  <si>
    <t>Athens, OH: Ohio University</t>
  </si>
  <si>
    <t>ATP</t>
  </si>
  <si>
    <t>Aitape, Papua New Guinea: Aitape Airport</t>
  </si>
  <si>
    <t>ATQ</t>
  </si>
  <si>
    <t>Amritsar, India: Amritsar International</t>
  </si>
  <si>
    <t>ATR</t>
  </si>
  <si>
    <t>Atar, Mauritania: Atar Airport</t>
  </si>
  <si>
    <t>ATS</t>
  </si>
  <si>
    <t>Artesia, NM: Artesia Municipal</t>
  </si>
  <si>
    <t>ATT</t>
  </si>
  <si>
    <t>Atmautluak, AK: Atmautluak Airport</t>
  </si>
  <si>
    <t>ATU</t>
  </si>
  <si>
    <t>Attu, AK: Casco Cove CGS</t>
  </si>
  <si>
    <t>ATV</t>
  </si>
  <si>
    <t>Ati, Chad: Ati Airport</t>
  </si>
  <si>
    <t>Appleton, WI: Appleton International</t>
  </si>
  <si>
    <t>Watertown, SD: Watertown Regional</t>
  </si>
  <si>
    <t>ATZ</t>
  </si>
  <si>
    <t>Assiut, Egypt: Assiut Airport</t>
  </si>
  <si>
    <t>AU1</t>
  </si>
  <si>
    <t>Weipa, Australia: Scherger</t>
  </si>
  <si>
    <t>Aruba, Aruba: Reina Beatrix International</t>
  </si>
  <si>
    <t>AUC</t>
  </si>
  <si>
    <t>Arauca, Colombia: Santiago Perez</t>
  </si>
  <si>
    <t>AUD</t>
  </si>
  <si>
    <t>Augustus Downs, Australia: Augustus Downs Airport</t>
  </si>
  <si>
    <t>AUG</t>
  </si>
  <si>
    <t>Augusta/Waterville, ME: Augusta State</t>
  </si>
  <si>
    <t>AUH</t>
  </si>
  <si>
    <t>Abu Dhabi, United Arab Emirates: Abu Dhabi International</t>
  </si>
  <si>
    <t>AUI</t>
  </si>
  <si>
    <t>Aua Island, Papua New Guinea: Aua Island Airport</t>
  </si>
  <si>
    <t>AUK</t>
  </si>
  <si>
    <t>Alakanuk, AK: Alakanuk Airport</t>
  </si>
  <si>
    <t>AUM</t>
  </si>
  <si>
    <t>Austin/Albert Lea, MN: Austin Municipal</t>
  </si>
  <si>
    <t>AUN</t>
  </si>
  <si>
    <t>Auburn, CA: Auburn Municipal</t>
  </si>
  <si>
    <t>AUO</t>
  </si>
  <si>
    <t>Auburn, AL: Auburn University Regional</t>
  </si>
  <si>
    <t>AUP</t>
  </si>
  <si>
    <t>Aguan, Papua New Guinea: Aguan Papua N.G.</t>
  </si>
  <si>
    <t>AUQ</t>
  </si>
  <si>
    <t>Atuona, French Polynesia: Hiva Oa/Atuona</t>
  </si>
  <si>
    <t>AUR</t>
  </si>
  <si>
    <t>Aurillac, France: Aurillac Airport</t>
  </si>
  <si>
    <t>Austin, TX: Austin - Bergstrom International</t>
  </si>
  <si>
    <t>AUW</t>
  </si>
  <si>
    <t>Wausau, WI: Wausau Downtown</t>
  </si>
  <si>
    <t>AUX</t>
  </si>
  <si>
    <t>Araguaina, Brazil: Araguaina Airport</t>
  </si>
  <si>
    <t>AUY</t>
  </si>
  <si>
    <t>Aneityum, Vanuatu: Aneityum Airport</t>
  </si>
  <si>
    <t>AUZ</t>
  </si>
  <si>
    <t>Aurora, IL: Aurora Municipal</t>
  </si>
  <si>
    <t>AVB</t>
  </si>
  <si>
    <t>Aviano, Italy: Aviano AB</t>
  </si>
  <si>
    <t>AVI</t>
  </si>
  <si>
    <t>Ciego de Avila, Cuba: Maximo Gomez</t>
  </si>
  <si>
    <t>Asheville, NC: Asheville Regional</t>
  </si>
  <si>
    <t>AVN</t>
  </si>
  <si>
    <t>Avignon, France: Avignon Caumont</t>
  </si>
  <si>
    <t>AVO</t>
  </si>
  <si>
    <t>Avon Park, FL: Avon Park Executive</t>
  </si>
  <si>
    <t>Scranton/Wilkes-Barre, PA: Wilkes Barre Scranton International</t>
  </si>
  <si>
    <t>AVV</t>
  </si>
  <si>
    <t>Avalon, Australia: Avalon Airport</t>
  </si>
  <si>
    <t>AVW</t>
  </si>
  <si>
    <t>Tucson, AZ: Marana Regional</t>
  </si>
  <si>
    <t>AVX</t>
  </si>
  <si>
    <t>Avalon, CA: Catalina</t>
  </si>
  <si>
    <t>AWA</t>
  </si>
  <si>
    <t>Awasa, Ethiopia: Lake Awasa</t>
  </si>
  <si>
    <t>AWK</t>
  </si>
  <si>
    <t>Wake Island, TT: Wake Island Airfield</t>
  </si>
  <si>
    <t>AWM</t>
  </si>
  <si>
    <t>West Memphis, AR: West Memphis Municipal</t>
  </si>
  <si>
    <t>AWR</t>
  </si>
  <si>
    <t>Awar, Papua New Guinea: Awar Airport</t>
  </si>
  <si>
    <t>AWX</t>
  </si>
  <si>
    <t>Andrews, TX: Andrews County</t>
  </si>
  <si>
    <t>AWZ</t>
  </si>
  <si>
    <t>Ahwaz, Iran: Ahwaz Airport</t>
  </si>
  <si>
    <t>AXA</t>
  </si>
  <si>
    <t>The Valley, Anguilla: Clayton J Lloyd</t>
  </si>
  <si>
    <t>AXB</t>
  </si>
  <si>
    <t>Alexandria Bay, NY: Maxson Airfield</t>
  </si>
  <si>
    <t>AXC</t>
  </si>
  <si>
    <t>Aramac, Australia: Aramac Airport</t>
  </si>
  <si>
    <t>AXD</t>
  </si>
  <si>
    <t>Alexandroupolis, Greece: Dimokritos</t>
  </si>
  <si>
    <t>AXM</t>
  </si>
  <si>
    <t>Armenia, Colombia: El Eden</t>
  </si>
  <si>
    <t>AXN</t>
  </si>
  <si>
    <t>Alexandria, MN: Chandler Field</t>
  </si>
  <si>
    <t>AXP</t>
  </si>
  <si>
    <t>Spring Point, The Bahamas: Spring Point Airport</t>
  </si>
  <si>
    <t>AXS</t>
  </si>
  <si>
    <t>Altus, OK: Altus/Quartz Mountain Regional</t>
  </si>
  <si>
    <t>AXT</t>
  </si>
  <si>
    <t>Akita, Japan: Akita Airport</t>
  </si>
  <si>
    <t>AXU</t>
  </si>
  <si>
    <t>Axum, Ethiopia: Axum Atse Yohannes IV</t>
  </si>
  <si>
    <t>AXV</t>
  </si>
  <si>
    <t>Wapakoneta, OH: Neil Armstrong</t>
  </si>
  <si>
    <t>AXX</t>
  </si>
  <si>
    <t>Eagle Nest, NM: Angel Fire</t>
  </si>
  <si>
    <t>AYL</t>
  </si>
  <si>
    <t>Anthony Lagoon, Australia: Anthony Lagoon Airport</t>
  </si>
  <si>
    <t>AYP</t>
  </si>
  <si>
    <t>Ayacucho, Peru: Coronel FAP Alfredo Mendivil Duarte</t>
  </si>
  <si>
    <t>AYQ</t>
  </si>
  <si>
    <t>Ayers Rock, Australia: Ayers Rock Connellan</t>
  </si>
  <si>
    <t>AYR</t>
  </si>
  <si>
    <t>Ayr, Australia: Ayr Airport</t>
  </si>
  <si>
    <t>AYS</t>
  </si>
  <si>
    <t>Waycross, GA: Waycross-Ware County</t>
  </si>
  <si>
    <t>AYT</t>
  </si>
  <si>
    <t>Antalya, Turkey: Antalya Airport</t>
  </si>
  <si>
    <t>AYW</t>
  </si>
  <si>
    <t>Ayawasi, Indonesia: Ayawasi Airport</t>
  </si>
  <si>
    <t>AZ1</t>
  </si>
  <si>
    <t>Grand Canyon, AZ: Valle</t>
  </si>
  <si>
    <t>AZ2</t>
  </si>
  <si>
    <t>Williams, AZ: H. A. Clark Memorial Field</t>
  </si>
  <si>
    <t>AZ3</t>
  </si>
  <si>
    <t>Glendale, AZ: Glendale Municipal</t>
  </si>
  <si>
    <t>AZ4</t>
  </si>
  <si>
    <t>Salome, AZ: Sheepy Hollow Ranch</t>
  </si>
  <si>
    <t>AZ5</t>
  </si>
  <si>
    <t>Springerville, AZ: Springerville Municipal</t>
  </si>
  <si>
    <t>AZ6</t>
  </si>
  <si>
    <t>Gila Bend, AZ: Gila Bend Municipal</t>
  </si>
  <si>
    <t>AZ7</t>
  </si>
  <si>
    <t>Colorado City, AZ: Colorado City Municipal</t>
  </si>
  <si>
    <t>AZ8</t>
  </si>
  <si>
    <t>Green Valley, AZ: Ruby Star Airpark</t>
  </si>
  <si>
    <t>Phoenix, AZ: Phoenix - Mesa Gateway</t>
  </si>
  <si>
    <t>AZD</t>
  </si>
  <si>
    <t>Yazd, Iran: Shahid Sadooghi International</t>
  </si>
  <si>
    <t>AZG</t>
  </si>
  <si>
    <t>Apatzingan, Mexico: Pablo L. Sidar</t>
  </si>
  <si>
    <t>AZI</t>
  </si>
  <si>
    <t>Abu Dhabi, United Arab Emirates: Al Bateen Executive</t>
  </si>
  <si>
    <t>Kalamazoo, MI: Kalamazoo/Battle Creek International</t>
  </si>
  <si>
    <t>AZR</t>
  </si>
  <si>
    <t>Adrar, Nigeria: Touat Cheikh Sidi Mohamed Belkebir</t>
  </si>
  <si>
    <t>AZS</t>
  </si>
  <si>
    <t>Samana, Dominican Republic: El Catey International</t>
  </si>
  <si>
    <t>B19</t>
  </si>
  <si>
    <t>Biddeford, ME: Biddeford Municipal</t>
  </si>
  <si>
    <t>B1C</t>
  </si>
  <si>
    <t>Baker Island, Canada: Blackfish Lodge</t>
  </si>
  <si>
    <t>B21</t>
  </si>
  <si>
    <t>Carrabassett, ME: Sugarloaf Regional</t>
  </si>
  <si>
    <t>B2C</t>
  </si>
  <si>
    <t>Blind Channel, Canada: Blind Channel Water Aerodrome</t>
  </si>
  <si>
    <t>B3C</t>
  </si>
  <si>
    <t>Minstrel Island, Canada: Minstrel Island Water Aerodrome</t>
  </si>
  <si>
    <t>B4C</t>
  </si>
  <si>
    <t>Simoom Sound, Canada: Simoom Sound Water Aerodrome</t>
  </si>
  <si>
    <t>BAA</t>
  </si>
  <si>
    <t>Bialla, Papua New Guinea: Bialla Airport</t>
  </si>
  <si>
    <t>BAB</t>
  </si>
  <si>
    <t>Marysville, CA: Beale AFB</t>
  </si>
  <si>
    <t>BAC</t>
  </si>
  <si>
    <t>Barranca de Upia, Colombia: Barranca de Upia Airport</t>
  </si>
  <si>
    <t>BAD</t>
  </si>
  <si>
    <t>Shreveport, LA: Barksdale AFB</t>
  </si>
  <si>
    <t>BAE</t>
  </si>
  <si>
    <t>Barcelonnette, France: Barcelonnette Airport</t>
  </si>
  <si>
    <t>BAF</t>
  </si>
  <si>
    <t>Westfield, MA: Westfield Barnes Regional</t>
  </si>
  <si>
    <t>BAG</t>
  </si>
  <si>
    <t>Baguio, Philippines: Baguio Airport</t>
  </si>
  <si>
    <t>BAH</t>
  </si>
  <si>
    <t>Manama, Bahrain: Bahrain International</t>
  </si>
  <si>
    <t>BAI</t>
  </si>
  <si>
    <t>Buenos Aires, Costa Rica: Buenos Aires Airport</t>
  </si>
  <si>
    <t>BAK</t>
  </si>
  <si>
    <t>Baku, Azerbaijan: Baku Metropolitan Area</t>
  </si>
  <si>
    <t>BAL</t>
  </si>
  <si>
    <t>Batman, Turkey: Batman Airport</t>
  </si>
  <si>
    <t>BAM</t>
  </si>
  <si>
    <t>Battle Mountain, NV: Battle Mountain Airport</t>
  </si>
  <si>
    <t>BAO</t>
  </si>
  <si>
    <t>Ban Mak Khaeng, Thailand: Udorn AB</t>
  </si>
  <si>
    <t>BAQ</t>
  </si>
  <si>
    <t>Barranquilla, Colombia: Ernesto Cortissoz</t>
  </si>
  <si>
    <t>BAR</t>
  </si>
  <si>
    <t>Baker Island, AK: Baker AAF</t>
  </si>
  <si>
    <t>BAT</t>
  </si>
  <si>
    <t>Barretos, Brazil: Chafei Amsei</t>
  </si>
  <si>
    <t>BAU</t>
  </si>
  <si>
    <t>Bauru, Brazil: Bauru-Arealva</t>
  </si>
  <si>
    <t>BAV</t>
  </si>
  <si>
    <t>Baotou, China: Baotou Airport</t>
  </si>
  <si>
    <t>BAX</t>
  </si>
  <si>
    <t>Barnaul, Russia: Mikhaylovka</t>
  </si>
  <si>
    <t>BAY</t>
  </si>
  <si>
    <t>Baia Mare, Romania: Maramures</t>
  </si>
  <si>
    <t>BAZ</t>
  </si>
  <si>
    <t>Barcelos, Brazil: Barcelos Airport</t>
  </si>
  <si>
    <t>BBA</t>
  </si>
  <si>
    <t>Balmaceda, Chile: Balmaceda Airport</t>
  </si>
  <si>
    <t>BBC</t>
  </si>
  <si>
    <t>Bay City, TX: Bay City Regional</t>
  </si>
  <si>
    <t>BBD</t>
  </si>
  <si>
    <t>Brady, TX: Curtis Field</t>
  </si>
  <si>
    <t>BBF</t>
  </si>
  <si>
    <t>Burlington, MA: N Eng Heliport</t>
  </si>
  <si>
    <t>BBH</t>
  </si>
  <si>
    <t>Al-Baha, Saudi Arabia: Al-Baha Airport</t>
  </si>
  <si>
    <t>BBI</t>
  </si>
  <si>
    <t>Bhubaneswar, India: Bhubaneswar Airport</t>
  </si>
  <si>
    <t>BBK</t>
  </si>
  <si>
    <t>Kasane North West, Botswana: Kasane</t>
  </si>
  <si>
    <t>BBO</t>
  </si>
  <si>
    <t>Berbera, Somalia: Berbera International</t>
  </si>
  <si>
    <t>BBQ</t>
  </si>
  <si>
    <t>Barbuda, Antigua and Barbuda: Cocoa Point</t>
  </si>
  <si>
    <t>BBR</t>
  </si>
  <si>
    <t>Basse Terre, Guadeloupe: Baillif</t>
  </si>
  <si>
    <t>BBS</t>
  </si>
  <si>
    <t>Blackbushe, United Kingdom: Blackbushe Airport</t>
  </si>
  <si>
    <t>BBT</t>
  </si>
  <si>
    <t>Berberati, Central African Republic: Berberati Airport</t>
  </si>
  <si>
    <t>BBU</t>
  </si>
  <si>
    <t>Bucharest, Romania: Baneasa Aurel Vlaicu</t>
  </si>
  <si>
    <t>BBW</t>
  </si>
  <si>
    <t>Broken Bow, NE: Broken Bow Municipal Keith Glaze Field</t>
  </si>
  <si>
    <t>BBX</t>
  </si>
  <si>
    <t>Blue Bell, PA: Wings Field</t>
  </si>
  <si>
    <t>BBY</t>
  </si>
  <si>
    <t>Bambari, Central African Republic: Bambari Airport</t>
  </si>
  <si>
    <t>BBZ</t>
  </si>
  <si>
    <t>Zambezi, Zambia: Zambezi Airport</t>
  </si>
  <si>
    <t>BC1</t>
  </si>
  <si>
    <t>Port Harvey, Canada: Port Harvey Water Aerodrome</t>
  </si>
  <si>
    <t>BC2</t>
  </si>
  <si>
    <t>Berry Island, Canada: Farewell Harbour</t>
  </si>
  <si>
    <t>BC3</t>
  </si>
  <si>
    <t>Bliss Landing, Canada: Bliss Landing Water Aerodrome</t>
  </si>
  <si>
    <t>BC4</t>
  </si>
  <si>
    <t>Cordero Lodge, Canada: Cordero Lodge Airport</t>
  </si>
  <si>
    <t>BC5</t>
  </si>
  <si>
    <t>Dent Island, Canada: Dent Island Lodge</t>
  </si>
  <si>
    <t>BC6</t>
  </si>
  <si>
    <t>Egmont, Canada: Egmont Water Aerodrome</t>
  </si>
  <si>
    <t>BC7</t>
  </si>
  <si>
    <t>Sonora Island, Canada: Sonora Resort</t>
  </si>
  <si>
    <t>BC8</t>
  </si>
  <si>
    <t>Hanson Island, Canada: Pacific Outback Resort</t>
  </si>
  <si>
    <t>BC9</t>
  </si>
  <si>
    <t>Mink Island, Canada: Mink Island Water Aerodrome</t>
  </si>
  <si>
    <t>BCA</t>
  </si>
  <si>
    <t>Baracoa, Cuba: Gustavo Rizo</t>
  </si>
  <si>
    <t>BCB</t>
  </si>
  <si>
    <t>Blacksburg, VA: Virginia Tech/Montgomery Executive</t>
  </si>
  <si>
    <t>BCC</t>
  </si>
  <si>
    <t>Bear Creek, AK: Bear Creek Airport</t>
  </si>
  <si>
    <t>BCD</t>
  </si>
  <si>
    <t>Bacolod, Philippines: Bacolod Airport</t>
  </si>
  <si>
    <t>BCE</t>
  </si>
  <si>
    <t>Bryce Canyon, UT: Bryce Canyon Airport</t>
  </si>
  <si>
    <t>BCH</t>
  </si>
  <si>
    <t>Baucau, Timor-Leste: Cakung</t>
  </si>
  <si>
    <t>BCI</t>
  </si>
  <si>
    <t>Barcaldine, Australia: Barcaldine Airport</t>
  </si>
  <si>
    <t>BCJ</t>
  </si>
  <si>
    <t>Crestone, CO: Baca Grande</t>
  </si>
  <si>
    <t>BCL</t>
  </si>
  <si>
    <t>Barra del Colorado, Costa Rica: Barra del Colorado Airport</t>
  </si>
  <si>
    <t>BCM</t>
  </si>
  <si>
    <t>Bacau, Romania: George Enescu Bacau International</t>
  </si>
  <si>
    <t>BCN</t>
  </si>
  <si>
    <t>Barcelona, Spain: Barcelona Airport</t>
  </si>
  <si>
    <t>BCS</t>
  </si>
  <si>
    <t>Belle Chasse, LA: Southern Seaplane</t>
  </si>
  <si>
    <t>BCT</t>
  </si>
  <si>
    <t>Boca Raton, FL: Boca Raton Public</t>
  </si>
  <si>
    <t>BCY</t>
  </si>
  <si>
    <t>Bulchi, Ethiopia: Bulchi Airport</t>
  </si>
  <si>
    <t>Hamilton, Bermuda: L. F. Wade International</t>
  </si>
  <si>
    <t>BDB</t>
  </si>
  <si>
    <t>Bundaberg, Australia: Bundaberg Airport</t>
  </si>
  <si>
    <t>BDE</t>
  </si>
  <si>
    <t>Baudette, MN: Baudette International</t>
  </si>
  <si>
    <t>BDG</t>
  </si>
  <si>
    <t>Blanding, UT: Blanding Municipal</t>
  </si>
  <si>
    <t>BDH</t>
  </si>
  <si>
    <t>Bandar Lengeh, Iran: Bandar Lengeh Airport</t>
  </si>
  <si>
    <t>BDI</t>
  </si>
  <si>
    <t>Bird Island, Seychelles: Bird Island Airport</t>
  </si>
  <si>
    <t>BDJ</t>
  </si>
  <si>
    <t>Bandjarmasin, Indonesia: Syamsudin Noor</t>
  </si>
  <si>
    <t>BDK</t>
  </si>
  <si>
    <t>Bondoukou, Cote d'Ivoire: Bondoukou/Soko</t>
  </si>
  <si>
    <t>Hartford, CT: Bradley International</t>
  </si>
  <si>
    <t>BDM</t>
  </si>
  <si>
    <t>Bandirma, Turkey: Bandirma Airport</t>
  </si>
  <si>
    <t>BDN</t>
  </si>
  <si>
    <t>Badin, Pakistan: Talhar</t>
  </si>
  <si>
    <t>BDO</t>
  </si>
  <si>
    <t>Bandung, Indonesia: Husein Sastranegara</t>
  </si>
  <si>
    <t>BDP</t>
  </si>
  <si>
    <t>Bhadrapur/Chandragadhi, Nepal: Chandragadhi</t>
  </si>
  <si>
    <t>BDQ</t>
  </si>
  <si>
    <t>Vadodara, India: Vadodara Airport</t>
  </si>
  <si>
    <t>BDR</t>
  </si>
  <si>
    <t>Bridgeport, CT: Igor I Sikorsky Memorial</t>
  </si>
  <si>
    <t>BDS</t>
  </si>
  <si>
    <t>Brindisi, Italy: Brindisi Airport</t>
  </si>
  <si>
    <t>BDT</t>
  </si>
  <si>
    <t>Bgadolite, Congo (Kinshasa): Gbadolite</t>
  </si>
  <si>
    <t>BDU</t>
  </si>
  <si>
    <t>Bardufoss, Norway: Bardufoss Airport</t>
  </si>
  <si>
    <t>BDY</t>
  </si>
  <si>
    <t>Bandon, OR: Bandon State</t>
  </si>
  <si>
    <t>BE1</t>
  </si>
  <si>
    <t>Steenokkerzeel, Belgium: Steenokkerzeel Airport</t>
  </si>
  <si>
    <t>BEB</t>
  </si>
  <si>
    <t>Benbecula, United Kingdom: Benbecula Airport</t>
  </si>
  <si>
    <t>BEC</t>
  </si>
  <si>
    <t>Wichita, KS: Beech Factory</t>
  </si>
  <si>
    <t>BED</t>
  </si>
  <si>
    <t>Bedford, MA: Laurence G Hanscom Field</t>
  </si>
  <si>
    <t>BEF</t>
  </si>
  <si>
    <t>Bluefields, Nicaragua: Bluefields Airport</t>
  </si>
  <si>
    <t>BEG</t>
  </si>
  <si>
    <t>Belgrade, Serbia: Beograd</t>
  </si>
  <si>
    <t>BEH</t>
  </si>
  <si>
    <t>Benton Harbor/St. Joseph, MI: Southwest Michigan Regional</t>
  </si>
  <si>
    <t>BEI</t>
  </si>
  <si>
    <t>Beica, Ethiopia: Beica Airport</t>
  </si>
  <si>
    <t>BEL</t>
  </si>
  <si>
    <t>Belem, Brazil: Val de Cans International</t>
  </si>
  <si>
    <t>BEN</t>
  </si>
  <si>
    <t>Benghazi, Libya: Benina International</t>
  </si>
  <si>
    <t>BEO</t>
  </si>
  <si>
    <t>Newcastle, Australia: Lake Macquarie</t>
  </si>
  <si>
    <t>BER</t>
  </si>
  <si>
    <t>Berlin, Germany: Berlin Metropolitan Area</t>
  </si>
  <si>
    <t>BES</t>
  </si>
  <si>
    <t>Brest, France: Brest Bretagne</t>
  </si>
  <si>
    <t>Bethel, AK: Bethel Airport</t>
  </si>
  <si>
    <t>BEU</t>
  </si>
  <si>
    <t>Bedourie, Australia: Bedourie North</t>
  </si>
  <si>
    <t>BEV</t>
  </si>
  <si>
    <t>Beersheba, Israel: Teyman</t>
  </si>
  <si>
    <t>BEW</t>
  </si>
  <si>
    <t>Beira, Mozambique: Beira Airport</t>
  </si>
  <si>
    <t>BEY</t>
  </si>
  <si>
    <t>Beirut, Lebanon: Rafic Hariri International</t>
  </si>
  <si>
    <t>BFB</t>
  </si>
  <si>
    <t>Blue Fox Bay, AK: Blue Fox Bay Airport</t>
  </si>
  <si>
    <t>BFD</t>
  </si>
  <si>
    <t>Bradford, PA: Bradford Regional</t>
  </si>
  <si>
    <t>Scottsbluff, NE: Western Neb. Regional/William B. Heilig Field</t>
  </si>
  <si>
    <t>BFG</t>
  </si>
  <si>
    <t>Glen Canyon, UT: Bullfrog Basin</t>
  </si>
  <si>
    <t>BFI</t>
  </si>
  <si>
    <t>Seattle, WA: Boeing Field/King County International</t>
  </si>
  <si>
    <t>BFK</t>
  </si>
  <si>
    <t>Aurora, CO: Buckley AFB</t>
  </si>
  <si>
    <t>Bakersfield, CA: Meadows Field</t>
  </si>
  <si>
    <t>Mobile, AL: Mobile Downtown</t>
  </si>
  <si>
    <t>BFN</t>
  </si>
  <si>
    <t>Bloemfontein, South Africa: Bram Fischer International</t>
  </si>
  <si>
    <t>BFO</t>
  </si>
  <si>
    <t>Buffalo Range, Zimbabwe: Buffalo Range Airport</t>
  </si>
  <si>
    <t>BFP</t>
  </si>
  <si>
    <t>Beaver Falls, PA: Beaver County</t>
  </si>
  <si>
    <t>BFQ</t>
  </si>
  <si>
    <t>Bahia de Pinas, Panama: Bahia de Pinas Airport</t>
  </si>
  <si>
    <t>BFR</t>
  </si>
  <si>
    <t>Bedford, IN: Virgil I Grissom Municipal</t>
  </si>
  <si>
    <t>BFS</t>
  </si>
  <si>
    <t>Belfast, United Kingdom: Belfast Aldergrove</t>
  </si>
  <si>
    <t>BFT</t>
  </si>
  <si>
    <t>Beaufort, SC: Beaufort County</t>
  </si>
  <si>
    <t>BG1</t>
  </si>
  <si>
    <t>Graf Ingratievo, Bulgaria: Graf Ingratievo Airport</t>
  </si>
  <si>
    <t>BGA</t>
  </si>
  <si>
    <t>Bucaramanga, Colombia: Palonegro</t>
  </si>
  <si>
    <t>BGB</t>
  </si>
  <si>
    <t>Booue, Gabon: Booue Airport</t>
  </si>
  <si>
    <t>BGD</t>
  </si>
  <si>
    <t>Borger, TX: Hutchinson County</t>
  </si>
  <si>
    <t>BGE</t>
  </si>
  <si>
    <t>Bainbridge, GA: Decatur County Industrial Air Park</t>
  </si>
  <si>
    <t>BGF</t>
  </si>
  <si>
    <t>Bangui, Central African Republic: Bangui-M'Poko</t>
  </si>
  <si>
    <t>BGH</t>
  </si>
  <si>
    <t>Bogue, Mauritania: Abbaye</t>
  </si>
  <si>
    <t>Barbados/Bridgetown, Barbados: Grantley Adams International</t>
  </si>
  <si>
    <t>BGL</t>
  </si>
  <si>
    <t>Baglung, Nepal: Baglung Airport</t>
  </si>
  <si>
    <t>Binghamton, NY: Greater Binghamton/Edwin A. Link Field</t>
  </si>
  <si>
    <t>BGN</t>
  </si>
  <si>
    <t>Bruggen, Germany: Bruggen Airport</t>
  </si>
  <si>
    <t>BGO</t>
  </si>
  <si>
    <t>Bergen, Norway: Flesland</t>
  </si>
  <si>
    <t>BGQ</t>
  </si>
  <si>
    <t>Big Lake, AK: Big Lake Airport</t>
  </si>
  <si>
    <t>Bangor, ME: Bangor International</t>
  </si>
  <si>
    <t>BGS</t>
  </si>
  <si>
    <t>Big Spring, TX: Big Spring McMahon-Wrinkle</t>
  </si>
  <si>
    <t>BGT</t>
  </si>
  <si>
    <t>Bagdad, AZ: Bagdad Airport</t>
  </si>
  <si>
    <t>BGU</t>
  </si>
  <si>
    <t>Bangassou, Central African Republic: Bangassou Airport</t>
  </si>
  <si>
    <t>BGW</t>
  </si>
  <si>
    <t>Baghdad, Iraq: Al Muthana</t>
  </si>
  <si>
    <t>BGX</t>
  </si>
  <si>
    <t>Bage, Brazil: Comandante Gustavo Kraemer</t>
  </si>
  <si>
    <t>BGY</t>
  </si>
  <si>
    <t>Bergamo, Italy: Bergamo Orio Al Serio</t>
  </si>
  <si>
    <t>BH1</t>
  </si>
  <si>
    <t>Shaikh Isa, Bahrain: Isa AB</t>
  </si>
  <si>
    <t>BHB</t>
  </si>
  <si>
    <t>Bar Harbor, ME: Hancock County-Bar Harbor</t>
  </si>
  <si>
    <t>BHC</t>
  </si>
  <si>
    <t>Bullhead City, AZ: Laughlin Bullhead International</t>
  </si>
  <si>
    <t>BHD</t>
  </si>
  <si>
    <t>Belfast, United Kingdom: Belfast City</t>
  </si>
  <si>
    <t>BHE</t>
  </si>
  <si>
    <t>Blenheim, New Zealand: Woodbourne</t>
  </si>
  <si>
    <t>BHG</t>
  </si>
  <si>
    <t>Brus Laguna, Honduras: Araslaya</t>
  </si>
  <si>
    <t>BHH</t>
  </si>
  <si>
    <t>Bisha, Saudi Arabia: Bisha Airport</t>
  </si>
  <si>
    <t>BHI</t>
  </si>
  <si>
    <t>Bahia Blanca, Argentina: Comandante Espora</t>
  </si>
  <si>
    <t>BHJ</t>
  </si>
  <si>
    <t>Bhuj, India: Bhuj Airport</t>
  </si>
  <si>
    <t>BHK</t>
  </si>
  <si>
    <t>Bukhara, Uzbekistan: Bukhara Airport</t>
  </si>
  <si>
    <t>BHL</t>
  </si>
  <si>
    <t>Bahia de Los Angeles, Mexico: Bahia de Los Angeles North</t>
  </si>
  <si>
    <t>Birmingham, AL: Birmingham-Shuttlesworth International</t>
  </si>
  <si>
    <t>BHN</t>
  </si>
  <si>
    <t>Beihan, Yemen: Beihan Airport</t>
  </si>
  <si>
    <t>BHO</t>
  </si>
  <si>
    <t>Bhopal, India: Raja Bhoj</t>
  </si>
  <si>
    <t>BHQ</t>
  </si>
  <si>
    <t>Broken Hill, Australia: Broken Hill Airport</t>
  </si>
  <si>
    <t>BHR</t>
  </si>
  <si>
    <t>Bharatpur, Nepal: Bharatpur Airport</t>
  </si>
  <si>
    <t>BHS</t>
  </si>
  <si>
    <t>Bathurst, Australia: Bathurst Airport</t>
  </si>
  <si>
    <t>BHT</t>
  </si>
  <si>
    <t>Brighton Downs, Australia: Brighton Downs Airport</t>
  </si>
  <si>
    <t>BHU</t>
  </si>
  <si>
    <t>Bhavnagar, India: Bhavnagar Airport</t>
  </si>
  <si>
    <t>BHV</t>
  </si>
  <si>
    <t>Bahawalpur, Pakistan: Bahawalpur International</t>
  </si>
  <si>
    <t>BHX</t>
  </si>
  <si>
    <t>Birmingham, United Kingdom: Birmingham Airport</t>
  </si>
  <si>
    <t>BHY</t>
  </si>
  <si>
    <t>Beihai, China: Beihai Airport</t>
  </si>
  <si>
    <t>BHZ</t>
  </si>
  <si>
    <t>Belo Horizonte, Brazil: Belo Horizonte Metropolitan Area</t>
  </si>
  <si>
    <t>BIA</t>
  </si>
  <si>
    <t>Bastia, France: Bastia Poretta</t>
  </si>
  <si>
    <t>BIC</t>
  </si>
  <si>
    <t>Big Creek, AK: Big Creek Airport</t>
  </si>
  <si>
    <t>BID</t>
  </si>
  <si>
    <t>Block Island, RI: Block Island State</t>
  </si>
  <si>
    <t>BIE</t>
  </si>
  <si>
    <t>Beatrice, NE: Beatrice Municipal</t>
  </si>
  <si>
    <t>BIF</t>
  </si>
  <si>
    <t>El Paso, TX: Biggs AAF</t>
  </si>
  <si>
    <t>BIG</t>
  </si>
  <si>
    <t>Big Delta, AK: Allen AAF</t>
  </si>
  <si>
    <t>Bishop, CA: Bishop Airport</t>
  </si>
  <si>
    <t>BII</t>
  </si>
  <si>
    <t>Bikini Atoll, Marshall Islands: Bikini Atoll Airport</t>
  </si>
  <si>
    <t>BIK</t>
  </si>
  <si>
    <t>Biak, Indonesia: Manuhua</t>
  </si>
  <si>
    <t>Billings, MT: Billings Logan International</t>
  </si>
  <si>
    <t>BIM</t>
  </si>
  <si>
    <t>Bimini, The Bahamas: Bimini International</t>
  </si>
  <si>
    <t>BIN</t>
  </si>
  <si>
    <t>Bamyan, Afghanistan: Bamyan Airport</t>
  </si>
  <si>
    <t>BIO</t>
  </si>
  <si>
    <t>Bilbao, Spain: Bilbao Airport</t>
  </si>
  <si>
    <t>BIP</t>
  </si>
  <si>
    <t>Bulimba, Australia: Bulimba Airport</t>
  </si>
  <si>
    <t>BIQ</t>
  </si>
  <si>
    <t>Biarritz, France: Biarritz Pays Basque</t>
  </si>
  <si>
    <t>BIR</t>
  </si>
  <si>
    <t>Biratnagar, Nepal: Biratnagar Airport</t>
  </si>
  <si>
    <t>Bismarck/Mandan, ND: Bismarck Municipal</t>
  </si>
  <si>
    <t>BIV</t>
  </si>
  <si>
    <t>Bria, Central African Republic: Bria Airport</t>
  </si>
  <si>
    <t>BIX</t>
  </si>
  <si>
    <t>Biloxi, MS: Keesler AFB</t>
  </si>
  <si>
    <t>BJC</t>
  </si>
  <si>
    <t>Broomfield, CO: Rocky Mountain Metro</t>
  </si>
  <si>
    <t>Bemidji, MN: Bemidji Regional</t>
  </si>
  <si>
    <t>BJJ</t>
  </si>
  <si>
    <t>Wooster, OH: Wayne County</t>
  </si>
  <si>
    <t>BJL</t>
  </si>
  <si>
    <t>Banjul, The Gambia: Banjul International</t>
  </si>
  <si>
    <t>BJM</t>
  </si>
  <si>
    <t>Bujumbura, Burundi: Bujumbura International</t>
  </si>
  <si>
    <t>BJR</t>
  </si>
  <si>
    <t>Bahir Dar, Ethiopia: Bahir Dar Ginbot Haya International</t>
  </si>
  <si>
    <t>BJU</t>
  </si>
  <si>
    <t>Bajura, Nepal: Bajura Airport</t>
  </si>
  <si>
    <t>BJV</t>
  </si>
  <si>
    <t>Bodrum, Turkey: Imsik</t>
  </si>
  <si>
    <t>BJX</t>
  </si>
  <si>
    <t>Leon/Guanajuato, Mexico: Guanajuato International</t>
  </si>
  <si>
    <t>BJZ</t>
  </si>
  <si>
    <t>Badajoz, Spain: Badajoz Airport</t>
  </si>
  <si>
    <t>BKC</t>
  </si>
  <si>
    <t>Buckland, AK: Buckland Airport</t>
  </si>
  <si>
    <t>BKE</t>
  </si>
  <si>
    <t>Baker, OR: Baker City Municipal</t>
  </si>
  <si>
    <t>BKF</t>
  </si>
  <si>
    <t>Brooks Lake, AK: Brooks Lake Airport</t>
  </si>
  <si>
    <t>Branson, MO: Branson Airport</t>
  </si>
  <si>
    <t>BKH</t>
  </si>
  <si>
    <t>Kekaha, Kauai, HI: Barking Sands PMRF</t>
  </si>
  <si>
    <t>BKI</t>
  </si>
  <si>
    <t>Kota Kinabalu, Malaysia: Kota Kinabalu International</t>
  </si>
  <si>
    <t>BKK</t>
  </si>
  <si>
    <t>Bangkok, Thailand: Suvarnabhumi International</t>
  </si>
  <si>
    <t>BKL</t>
  </si>
  <si>
    <t>Cleveland, OH: Burke Lakefront</t>
  </si>
  <si>
    <t>BKM</t>
  </si>
  <si>
    <t>Bakelalan, Malaysia: Bakelalan Airport</t>
  </si>
  <si>
    <t>BKO</t>
  </si>
  <si>
    <t>Bamako, Mali: Modibo Keita</t>
  </si>
  <si>
    <t>BKQ</t>
  </si>
  <si>
    <t>Blackall, Australia: Blackall Airport</t>
  </si>
  <si>
    <t>BKS</t>
  </si>
  <si>
    <t>Bengkulu, Indonesia: Fatmawati Soekarno</t>
  </si>
  <si>
    <t>BKU</t>
  </si>
  <si>
    <t>Betioky, Madagascar: Betioky Airport</t>
  </si>
  <si>
    <t>BKW</t>
  </si>
  <si>
    <t>Beckley, WV: Raleigh County Memorial</t>
  </si>
  <si>
    <t>BKX</t>
  </si>
  <si>
    <t>Brookings, SD: Brookings Regional</t>
  </si>
  <si>
    <t>BKY</t>
  </si>
  <si>
    <t>Bukavu, Congo (Kinshasa): Bukavu Kavumu</t>
  </si>
  <si>
    <t>BKZ</t>
  </si>
  <si>
    <t>Bukoba, Tanzania: Bukoba Airport</t>
  </si>
  <si>
    <t>BLA</t>
  </si>
  <si>
    <t>Barcelona, Venezuela: General Jose Antonio Anzoategui International</t>
  </si>
  <si>
    <t>BLB</t>
  </si>
  <si>
    <t>Balboa, Panama: Albrook AFB</t>
  </si>
  <si>
    <t>BLC</t>
  </si>
  <si>
    <t>Bali, Cameroon: Bali Airport</t>
  </si>
  <si>
    <t>BLD</t>
  </si>
  <si>
    <t>Boulder City, NV: Boulder City Municipal</t>
  </si>
  <si>
    <t>BLE</t>
  </si>
  <si>
    <t>Borlange, Sweden: Borlange Airport</t>
  </si>
  <si>
    <t>BLF</t>
  </si>
  <si>
    <t>Princeton/Bluefield, WV: Mercer County</t>
  </si>
  <si>
    <t>BLG</t>
  </si>
  <si>
    <t>Belaga, Malaysia: Belaga Airport</t>
  </si>
  <si>
    <t>BLH</t>
  </si>
  <si>
    <t>Blythe, CA: Blythe Airport</t>
  </si>
  <si>
    <t>Bellingham, WA: Bellingham International</t>
  </si>
  <si>
    <t>BLJ</t>
  </si>
  <si>
    <t>Batna, Algeria: Mostepha Ben Boulaid</t>
  </si>
  <si>
    <t>BLK</t>
  </si>
  <si>
    <t>Blackpool, United Kingdom: Blackpool Airport</t>
  </si>
  <si>
    <t>BLL</t>
  </si>
  <si>
    <t>Billund, Denmark: Billund Airport</t>
  </si>
  <si>
    <t>BLM</t>
  </si>
  <si>
    <t>Belmar/Farmingdale, NJ: Monmouth Executive</t>
  </si>
  <si>
    <t>BLO</t>
  </si>
  <si>
    <t>Blonduos, Iceland: Blonduos Airport</t>
  </si>
  <si>
    <t>BLP</t>
  </si>
  <si>
    <t>Bellavista, Peru: Bellavista 1</t>
  </si>
  <si>
    <t>BLQ</t>
  </si>
  <si>
    <t>Bologna, Italy: Bologna Airport</t>
  </si>
  <si>
    <t>BLR</t>
  </si>
  <si>
    <t>Bangalore, India: Kempegowda International</t>
  </si>
  <si>
    <t>BLT</t>
  </si>
  <si>
    <t>Blackwater, Australia: Blackwater Airport</t>
  </si>
  <si>
    <t>Belleville, IL: Scott AFB/MidAmerica</t>
  </si>
  <si>
    <t>BLZ</t>
  </si>
  <si>
    <t>Blantyre, Malawi: Chileka International</t>
  </si>
  <si>
    <t>BMA</t>
  </si>
  <si>
    <t>Stockholm, Sweden: Bromma</t>
  </si>
  <si>
    <t>BMB</t>
  </si>
  <si>
    <t>Bumba, Congo (Kinshasa): Bumba Airport</t>
  </si>
  <si>
    <t>BMC</t>
  </si>
  <si>
    <t>Brigham City, UT: Brigham City Regional</t>
  </si>
  <si>
    <t>BMD</t>
  </si>
  <si>
    <t>Belo, Madagascar: Belo Sur Tsiribihina</t>
  </si>
  <si>
    <t>BME</t>
  </si>
  <si>
    <t>Broome, Australia: Broome International</t>
  </si>
  <si>
    <t>BMG</t>
  </si>
  <si>
    <t>Bloomington, IN: Monroe County</t>
  </si>
  <si>
    <t>BMH</t>
  </si>
  <si>
    <t>Bomai, Papua New Guinea: Bomai Airport</t>
  </si>
  <si>
    <t>Bloomington/Normal, IL: Central Il Regional Airport at Bloomington</t>
  </si>
  <si>
    <t>BMJ</t>
  </si>
  <si>
    <t>Baramita, Guyana: Baramita Airport</t>
  </si>
  <si>
    <t>BML</t>
  </si>
  <si>
    <t>Berlin, NH: Berlin Regional</t>
  </si>
  <si>
    <t>BMM</t>
  </si>
  <si>
    <t>Bitam, Gabon: Bitam Airport</t>
  </si>
  <si>
    <t>BMO</t>
  </si>
  <si>
    <t>Bhamo, Burma: Banmaw</t>
  </si>
  <si>
    <t>BMP</t>
  </si>
  <si>
    <t>Brampton Island, Australia: Brampton Island Airport</t>
  </si>
  <si>
    <t>BMT</t>
  </si>
  <si>
    <t>Beaumont, TX: Beaumont Municipal</t>
  </si>
  <si>
    <t>BMV</t>
  </si>
  <si>
    <t>Ban Me Thout, Vietnam: Buon Ma Thuot</t>
  </si>
  <si>
    <t>BMW</t>
  </si>
  <si>
    <t>Bordj Badji Mokhtar, Algeria: Bordj Mokhtar</t>
  </si>
  <si>
    <t>BMX</t>
  </si>
  <si>
    <t>Big Mountain, AK: Big Mountain AFS</t>
  </si>
  <si>
    <t>Nashville, TN: Nashville International</t>
  </si>
  <si>
    <t>BNB</t>
  </si>
  <si>
    <t>Boende, Congo (Kinshasa): Boende Airport</t>
  </si>
  <si>
    <t>BND</t>
  </si>
  <si>
    <t>Bandar Abbas, Iran: Bandar Abbas International</t>
  </si>
  <si>
    <t>BNE</t>
  </si>
  <si>
    <t>Brisbane, Australia: Brisbane International</t>
  </si>
  <si>
    <t>BNF</t>
  </si>
  <si>
    <t>Baranof, AK: Warm Spring Bay Seaplane Base</t>
  </si>
  <si>
    <t>BNG</t>
  </si>
  <si>
    <t>Banning, CA: Banning Municipal</t>
  </si>
  <si>
    <t>BNH</t>
  </si>
  <si>
    <t>Boston, MA: Boston Harbor Seaplane Base</t>
  </si>
  <si>
    <t>BNI</t>
  </si>
  <si>
    <t>Benin City, Nigeria: Benin City Airport</t>
  </si>
  <si>
    <t>BNK</t>
  </si>
  <si>
    <t>Ballina, Australia: Ballina Byron Gateway</t>
  </si>
  <si>
    <t>BNL</t>
  </si>
  <si>
    <t>Barnwell, SC: Barnwell Regional</t>
  </si>
  <si>
    <t>BNN</t>
  </si>
  <si>
    <t>Bronnoysund, Norway: Bronnoy</t>
  </si>
  <si>
    <t>BNO</t>
  </si>
  <si>
    <t>Burns, OR: Burns Municipal</t>
  </si>
  <si>
    <t>BNS</t>
  </si>
  <si>
    <t>Barinas, Venezuela: Barinas Airport</t>
  </si>
  <si>
    <t>BNX</t>
  </si>
  <si>
    <t>Banja Luka, Bosnia and Herzegovina: Banja Luka Airport</t>
  </si>
  <si>
    <t>BNZ</t>
  </si>
  <si>
    <t>Banz, Papua New Guinea: Banz Airport</t>
  </si>
  <si>
    <t>BOA</t>
  </si>
  <si>
    <t>Boma, Congo (Kinshasa): Boma Airport</t>
  </si>
  <si>
    <t>BOB</t>
  </si>
  <si>
    <t>Bora Bora, French Polynesia: Bora Bora Motu Mute</t>
  </si>
  <si>
    <t>BOC</t>
  </si>
  <si>
    <t>Bocas del Toro, Panama: Jose Ezequiel Hall</t>
  </si>
  <si>
    <t>BOD</t>
  </si>
  <si>
    <t>Bordeaux, France: Bordeaux Merignac</t>
  </si>
  <si>
    <t>Bogota, Colombia: El Dorado International</t>
  </si>
  <si>
    <t>BOH</t>
  </si>
  <si>
    <t>Bournemouth, United Kingdom: Bournemouth Airport</t>
  </si>
  <si>
    <t>Boise, ID: Boise Air Terminal</t>
  </si>
  <si>
    <t>BOJ</t>
  </si>
  <si>
    <t>Burgas, Bulgaria: Burgas Airport</t>
  </si>
  <si>
    <t>BOK</t>
  </si>
  <si>
    <t>Brookings, OR: Brookings Airport</t>
  </si>
  <si>
    <t>BOM</t>
  </si>
  <si>
    <t>Mumbai, India: Chhatrapati Shivaji Maharaj International</t>
  </si>
  <si>
    <t>BON</t>
  </si>
  <si>
    <t>Bonaire, Bonaire, Sint Eustatius, and Saba: Flamingo International</t>
  </si>
  <si>
    <t>BOO</t>
  </si>
  <si>
    <t>Bodo, Norway: Bodo Airport</t>
  </si>
  <si>
    <t>BOQ</t>
  </si>
  <si>
    <t>Boku, Papua New Guinea: Boku Airport</t>
  </si>
  <si>
    <t>BOR</t>
  </si>
  <si>
    <t>Belfort, France: Fontaine</t>
  </si>
  <si>
    <t>Boston, MA: Logan International</t>
  </si>
  <si>
    <t>BOW</t>
  </si>
  <si>
    <t>Bartow, FL: Bartow Executive</t>
  </si>
  <si>
    <t>BOX</t>
  </si>
  <si>
    <t>Borroloola, Australia: Borroloola Airport</t>
  </si>
  <si>
    <t>BOY</t>
  </si>
  <si>
    <t>Bobo Dioulasso, Burkina Faso: Bobo Dioulasso Airport</t>
  </si>
  <si>
    <t>BPH</t>
  </si>
  <si>
    <t>Bislig, Philippines: Bislig Airport</t>
  </si>
  <si>
    <t>BPI</t>
  </si>
  <si>
    <t>Big Piney, WY: Miley Memorial Field</t>
  </si>
  <si>
    <t>BPN</t>
  </si>
  <si>
    <t>Balikpapan, Indonesia: Sultan Aji Muhammad Sulaiman Sepinggan</t>
  </si>
  <si>
    <t>BPS</t>
  </si>
  <si>
    <t>Porto Seguro, Brazil: Porto Seguro Airport</t>
  </si>
  <si>
    <t>Beaumont/Port Arthur, TX: Jack Brooks Regional</t>
  </si>
  <si>
    <t>BQA</t>
  </si>
  <si>
    <t>Baler, Philippines: Baler Airport</t>
  </si>
  <si>
    <t>BQH</t>
  </si>
  <si>
    <t>London, United Kingdom: Biggin Hill</t>
  </si>
  <si>
    <t>Brunswick, GA: Brunswick Golden Isles</t>
  </si>
  <si>
    <t>Aguadilla, PR: Rafael Hernandez</t>
  </si>
  <si>
    <t>BQS</t>
  </si>
  <si>
    <t>Blagoveschensk, Russia: Ignatyevo</t>
  </si>
  <si>
    <t>BQU</t>
  </si>
  <si>
    <t>Bequia, Saint Vincent and the Grenadines: J. F. Mitchell</t>
  </si>
  <si>
    <t>BQV</t>
  </si>
  <si>
    <t>Bartlett Cove, AK: Bartlett Cove Seaplane Base</t>
  </si>
  <si>
    <t>BR1</t>
  </si>
  <si>
    <t>Parana, Brazil: Juvenal Loureiro Cardoso</t>
  </si>
  <si>
    <t>BR2</t>
  </si>
  <si>
    <t>Porto Belo, Brazil: Costa Esmeralda</t>
  </si>
  <si>
    <t>BRA</t>
  </si>
  <si>
    <t>Barreiras, Brazil: Barreiras Airport</t>
  </si>
  <si>
    <t>BRC</t>
  </si>
  <si>
    <t>San Carlos de Bariloche, Argentina: San Carlos de Bariloche Airport</t>
  </si>
  <si>
    <t>Brainerd, MN: Brainerd Lakes Regional</t>
  </si>
  <si>
    <t>BRE</t>
  </si>
  <si>
    <t>Bremen, Germany: Bremen Airport</t>
  </si>
  <si>
    <t>BRG</t>
  </si>
  <si>
    <t>Whitesburg, KY: Whitesburg Municipal</t>
  </si>
  <si>
    <t>BRI</t>
  </si>
  <si>
    <t>Bari, Italy: Bari Airport</t>
  </si>
  <si>
    <t>BRK</t>
  </si>
  <si>
    <t>Bourke, Australia: Bourke Airport</t>
  </si>
  <si>
    <t>BRL</t>
  </si>
  <si>
    <t>Burlington, IA: Southeast Iowa Regional</t>
  </si>
  <si>
    <t>BRM</t>
  </si>
  <si>
    <t>Barquisimeto, Venezuela: Barquisimeto International</t>
  </si>
  <si>
    <t>BRN</t>
  </si>
  <si>
    <t>Berne, Switzerland: Bern/Belp</t>
  </si>
  <si>
    <t>Brownsville, TX: Brownsville South Padre Island International</t>
  </si>
  <si>
    <t>BRQ</t>
  </si>
  <si>
    <t>Brno, Czech Republic: Turany</t>
  </si>
  <si>
    <t>BRR</t>
  </si>
  <si>
    <t>Barra, United Kingdom: Barra Airport</t>
  </si>
  <si>
    <t>BRS</t>
  </si>
  <si>
    <t>Bristol, United Kingdom: Bristol Airport</t>
  </si>
  <si>
    <t>BRT</t>
  </si>
  <si>
    <t>Bathurst Island, Australia: Bathurst Island Airport</t>
  </si>
  <si>
    <t>BRU</t>
  </si>
  <si>
    <t>Brussels, Belgium: Brussels National</t>
  </si>
  <si>
    <t>BRV</t>
  </si>
  <si>
    <t>Bremerhaven, Germany: Bremerhaven Airport</t>
  </si>
  <si>
    <t>Barrow, AK: Wiley Post/Will Rogers Memorial</t>
  </si>
  <si>
    <t>BRX</t>
  </si>
  <si>
    <t>Barahona, Dominican Republic: Barahona Habanero</t>
  </si>
  <si>
    <t>BRY</t>
  </si>
  <si>
    <t>Bardstown, KY: Samuels Field</t>
  </si>
  <si>
    <t>BS1</t>
  </si>
  <si>
    <t>Goat Cay, The Bahamas: Goat Cay Airport</t>
  </si>
  <si>
    <t>BS2</t>
  </si>
  <si>
    <t>Pig Beach, The Bahamas: Pig Beach Airport</t>
  </si>
  <si>
    <t>BS3</t>
  </si>
  <si>
    <t>Baker Bay, The Bahamas: Baker Bay Airport</t>
  </si>
  <si>
    <t>BSA</t>
  </si>
  <si>
    <t>Bosaso, Somalia: Bosaso Airport</t>
  </si>
  <si>
    <t>BSB</t>
  </si>
  <si>
    <t>Brasilia, Brazil: Presidente Juscelino Kubitschek International</t>
  </si>
  <si>
    <t>BSD</t>
  </si>
  <si>
    <t>Baoshan, China: Baoshan Airport</t>
  </si>
  <si>
    <t>BSG</t>
  </si>
  <si>
    <t>Bata, Equatorial Guinea: Bata Airport</t>
  </si>
  <si>
    <t>BSK</t>
  </si>
  <si>
    <t>Biskra, Algeria: Mohamed Khider</t>
  </si>
  <si>
    <t>BSL</t>
  </si>
  <si>
    <t>Mulhouse, France: EuroAirport</t>
  </si>
  <si>
    <t>BSM</t>
  </si>
  <si>
    <t>BSO</t>
  </si>
  <si>
    <t>Basco, Philippines: Basco Airport</t>
  </si>
  <si>
    <t>BSQ</t>
  </si>
  <si>
    <t>Bisbee, AZ: Bisbee Municipal</t>
  </si>
  <si>
    <t>BSR</t>
  </si>
  <si>
    <t>Basra, Iraq: Basrah International</t>
  </si>
  <si>
    <t>BSS</t>
  </si>
  <si>
    <t>Balsas, Brazil: Balsas Airport</t>
  </si>
  <si>
    <t>BSU</t>
  </si>
  <si>
    <t>Basankusu, Congo (Kinshasa): Basankusu Airport</t>
  </si>
  <si>
    <t>BSW</t>
  </si>
  <si>
    <t>Boswell Bay, AK: Boswell Bay Airport</t>
  </si>
  <si>
    <t>BSZ</t>
  </si>
  <si>
    <t>BTA</t>
  </si>
  <si>
    <t>Bertoua, Cameroon: Bertoua Airport</t>
  </si>
  <si>
    <t>BTC</t>
  </si>
  <si>
    <t>Batticaloa, Sri Lanka: Batticaloa Airport</t>
  </si>
  <si>
    <t>BTE</t>
  </si>
  <si>
    <t>Bonthe, Sierra Leone: Bonthe Airport</t>
  </si>
  <si>
    <t>BTH</t>
  </si>
  <si>
    <t>Batu Besar, Indonesia: Batu Besar Airport</t>
  </si>
  <si>
    <t>BTI</t>
  </si>
  <si>
    <t>Barter Island, AK: Barter Island Airport</t>
  </si>
  <si>
    <t>BTJ</t>
  </si>
  <si>
    <t>Banda Aceh, Indonesia: Sultan Iskandar Muda</t>
  </si>
  <si>
    <t>BTK</t>
  </si>
  <si>
    <t>Bratsk, Russia: Bratsk Airport</t>
  </si>
  <si>
    <t>BTL</t>
  </si>
  <si>
    <t>Battle Creek, MI: W K Kellogg</t>
  </si>
  <si>
    <t>Butte, MT: Bert Mooney</t>
  </si>
  <si>
    <t>BTP</t>
  </si>
  <si>
    <t>Butler, PA: Pittsburgh Butler Regional</t>
  </si>
  <si>
    <t>Baton Rouge, LA: Baton Rouge Metropolitan/Ryan Field</t>
  </si>
  <si>
    <t>BTS</t>
  </si>
  <si>
    <t>Bratislava, Slovakia: M R Stefanik</t>
  </si>
  <si>
    <t>BTT</t>
  </si>
  <si>
    <t>Bettles, AK: Bettles Airport</t>
  </si>
  <si>
    <t>BTU</t>
  </si>
  <si>
    <t>Bintulu, Malaysia: Bintulu Airport</t>
  </si>
  <si>
    <t>Burlington, VT: Burlington International</t>
  </si>
  <si>
    <t>BTY</t>
  </si>
  <si>
    <t>Beatty, NV: Beatty Airport</t>
  </si>
  <si>
    <t>BTZ</t>
  </si>
  <si>
    <t>Bursa, Turkey: Bursa Airport</t>
  </si>
  <si>
    <t>BUA</t>
  </si>
  <si>
    <t>Buka Islands, Papua New Guinea: Buka</t>
  </si>
  <si>
    <t>BUC</t>
  </si>
  <si>
    <t>Burketown, Australia: Burketown Airport</t>
  </si>
  <si>
    <t>BUD</t>
  </si>
  <si>
    <t>Budapest, Hungary: Budapest Liszt Ferenc International</t>
  </si>
  <si>
    <t>BUE</t>
  </si>
  <si>
    <t>Buenos Aires, Argentina: Buenos Aires Metropolitan Area</t>
  </si>
  <si>
    <t>Buffalo, NY: Buffalo Niagara International</t>
  </si>
  <si>
    <t>BUG</t>
  </si>
  <si>
    <t>Benguela, Angola: 17 de Setembro</t>
  </si>
  <si>
    <t>BUH</t>
  </si>
  <si>
    <t>Bucharest, Romania: Bucharest Metropolitan Area</t>
  </si>
  <si>
    <t>BUL</t>
  </si>
  <si>
    <t>Bulolo, Papua New Guinea: Bulolo Airport</t>
  </si>
  <si>
    <t>BUM</t>
  </si>
  <si>
    <t>Butler, MO: Butler Memorial</t>
  </si>
  <si>
    <t>BUN</t>
  </si>
  <si>
    <t>Buenaventura, Colombia: Gerardo Tobar Lopez</t>
  </si>
  <si>
    <t>BUO</t>
  </si>
  <si>
    <t>Burao, Somalia: Burao Airport</t>
  </si>
  <si>
    <t>BUQ</t>
  </si>
  <si>
    <t>Bulawayo, Zimbabwe: J. M. Nkomo International</t>
  </si>
  <si>
    <t>Burbank, CA: Bob Hope</t>
  </si>
  <si>
    <t>BUS</t>
  </si>
  <si>
    <t>Batumi, Georgia: Batumi Airport</t>
  </si>
  <si>
    <t>BUU</t>
  </si>
  <si>
    <t>Buyo, Cote d'Ivoire: Buyo Airport</t>
  </si>
  <si>
    <t>BUV</t>
  </si>
  <si>
    <t>Bella Union, Uruguay: Bella Union Airport</t>
  </si>
  <si>
    <t>BUX</t>
  </si>
  <si>
    <t>Bunia, Congo (Kinshasa): Bunia Airport</t>
  </si>
  <si>
    <t>BUY</t>
  </si>
  <si>
    <t>Bunbury, Australia: Bunbury Airport</t>
  </si>
  <si>
    <t>BUZ</t>
  </si>
  <si>
    <t>Bushehr, Iran: Bushehr Airport</t>
  </si>
  <si>
    <t>BVA</t>
  </si>
  <si>
    <t>Beauvais, France: Beauvais Tille</t>
  </si>
  <si>
    <t>BVB</t>
  </si>
  <si>
    <t>Boa Vista, Brazil: Atlas Brasil Cantanhede</t>
  </si>
  <si>
    <t>BVD</t>
  </si>
  <si>
    <t>Beaver Inlet, AK: Beaver Inlet Seaport</t>
  </si>
  <si>
    <t>BVI</t>
  </si>
  <si>
    <t>Birdsville, Australia: Birdsville Airport</t>
  </si>
  <si>
    <t>BVO</t>
  </si>
  <si>
    <t>Bartlesville, OK: Bartlesville Municipal</t>
  </si>
  <si>
    <t>BVR</t>
  </si>
  <si>
    <t>St. James, MI: Beaver Island</t>
  </si>
  <si>
    <t>BVU</t>
  </si>
  <si>
    <t>Beluga, AK: Beluga Airport</t>
  </si>
  <si>
    <t>BVX</t>
  </si>
  <si>
    <t>Batesville, AR: Batesville Regional</t>
  </si>
  <si>
    <t>BVY</t>
  </si>
  <si>
    <t>Beverly, MA: Beverly Regional</t>
  </si>
  <si>
    <t>BW1</t>
  </si>
  <si>
    <t>Tebepahwa, Botswana: Thebephatshwa</t>
  </si>
  <si>
    <t>BWA</t>
  </si>
  <si>
    <t>Bhairawa, Nepal: Gautam Buddha</t>
  </si>
  <si>
    <t>BWC</t>
  </si>
  <si>
    <t>Brawley, CA: Brawley Municipal</t>
  </si>
  <si>
    <t>BWD</t>
  </si>
  <si>
    <t>Brownwood, TX: Brownwood Regional</t>
  </si>
  <si>
    <t>BWE</t>
  </si>
  <si>
    <t>Braunschweig, Germany: Braunschweig/Wolfsburg</t>
  </si>
  <si>
    <t>BWG</t>
  </si>
  <si>
    <t>Bowling Green, KY: Bowling Green-Warren County Regional</t>
  </si>
  <si>
    <t>BWH</t>
  </si>
  <si>
    <t>Butterworth, Malaysia: Butterworth Airport</t>
  </si>
  <si>
    <t>Baltimore, MD: Baltimore/Washington International Thurgood Marshall</t>
  </si>
  <si>
    <t>BWJ</t>
  </si>
  <si>
    <t>Bawan, Papua New Guinea: Bawan Airport</t>
  </si>
  <si>
    <t>BWM</t>
  </si>
  <si>
    <t>Bowman, ND: Bowman Municipal</t>
  </si>
  <si>
    <t>BWN</t>
  </si>
  <si>
    <t>Bandar Seri Begawan, Brunei: Brunei International</t>
  </si>
  <si>
    <t>BWS</t>
  </si>
  <si>
    <t>Blaine, WA: Blaine Municipal</t>
  </si>
  <si>
    <t>BWT</t>
  </si>
  <si>
    <t>Burnie, Australia: Wynyard</t>
  </si>
  <si>
    <t>BWY</t>
  </si>
  <si>
    <t>Woodbridge, United Kingdom: RAF Bentwaters</t>
  </si>
  <si>
    <t>BXC</t>
  </si>
  <si>
    <t>Boxborough, MA: Sheraton Inn Heliport</t>
  </si>
  <si>
    <t>BXD</t>
  </si>
  <si>
    <t>Bade, Indonesia: Bade Airport</t>
  </si>
  <si>
    <t>BXE</t>
  </si>
  <si>
    <t>Bakel, Senegal: Bakel Airport</t>
  </si>
  <si>
    <t>BXO</t>
  </si>
  <si>
    <t>Nidwalder, Switzerland: Buochs</t>
  </si>
  <si>
    <t>BXS</t>
  </si>
  <si>
    <t>Borrego Springs, CA: Borrego Valley</t>
  </si>
  <si>
    <t>BXU</t>
  </si>
  <si>
    <t>Butuan, Philippines: Bancasi</t>
  </si>
  <si>
    <t>BYA</t>
  </si>
  <si>
    <t>Boundary, AK: Boundary Airport</t>
  </si>
  <si>
    <t>BYC</t>
  </si>
  <si>
    <t>Yacuiba, Bolivia: Yacuiba Airport</t>
  </si>
  <si>
    <t>BYF</t>
  </si>
  <si>
    <t>Albert, France: Albert Bray</t>
  </si>
  <si>
    <t>BYG</t>
  </si>
  <si>
    <t>Buffalo, WY: Johnson County</t>
  </si>
  <si>
    <t>BYH</t>
  </si>
  <si>
    <t>Blytheville, AR: Arkansas International</t>
  </si>
  <si>
    <t>BYI</t>
  </si>
  <si>
    <t>Burley/Rupert, ID: Burley Municipal</t>
  </si>
  <si>
    <t>BYJ</t>
  </si>
  <si>
    <t>Beja, Portugal: Beja Airport</t>
  </si>
  <si>
    <t>BYK</t>
  </si>
  <si>
    <t>Bouake, Cote d'Ivoire: Bouake Airport</t>
  </si>
  <si>
    <t>BYN</t>
  </si>
  <si>
    <t>Bayankhongor, Mongolia: Bayankhongor Airport</t>
  </si>
  <si>
    <t>BYT</t>
  </si>
  <si>
    <t>Bantry, Ireland: Bantry Airport</t>
  </si>
  <si>
    <t>BYU</t>
  </si>
  <si>
    <t>Bayreuth, Germany: Bayreuth Airport</t>
  </si>
  <si>
    <t>BYW</t>
  </si>
  <si>
    <t>Blakely Island, WA: Blakely Island Airport</t>
  </si>
  <si>
    <t>BZA</t>
  </si>
  <si>
    <t>Bonanza, Nicaragua: Bonanza Airport</t>
  </si>
  <si>
    <t>BZE</t>
  </si>
  <si>
    <t>Belize City, Belize: Philip S. W. Goldson International</t>
  </si>
  <si>
    <t>BZG</t>
  </si>
  <si>
    <t>Bydgoszcz, Poland: Bydgoszcz Airport</t>
  </si>
  <si>
    <t>BZI</t>
  </si>
  <si>
    <t>Balikesir, Turkey: Balikesir Airport</t>
  </si>
  <si>
    <t>Bozeman, MT: Bozeman Yellowstone International</t>
  </si>
  <si>
    <t>BZO</t>
  </si>
  <si>
    <t>Bolzano, Italy: Bolzano Airport</t>
  </si>
  <si>
    <t>BZR</t>
  </si>
  <si>
    <t>Beziers, France: Beziers Vias</t>
  </si>
  <si>
    <t>BZS</t>
  </si>
  <si>
    <t>Washington, DC: Buzzards Point Seaplane Base</t>
  </si>
  <si>
    <t>BZT</t>
  </si>
  <si>
    <t>Brazoria, TX: Eagle Air Park</t>
  </si>
  <si>
    <t>BZV</t>
  </si>
  <si>
    <t>Brazzaville, Congo (Brazaville): Maya Maya</t>
  </si>
  <si>
    <t>BZZ</t>
  </si>
  <si>
    <t>Brize Norton, United Kingdom: Brize Norton Airport</t>
  </si>
  <si>
    <t>C01</t>
  </si>
  <si>
    <t>Camarillo, CA: Camarillo Airport</t>
  </si>
  <si>
    <t>C02</t>
  </si>
  <si>
    <t>Bakersfield, CA: Bakersfield Municipal</t>
  </si>
  <si>
    <t>C1A</t>
  </si>
  <si>
    <t>Patterson, CA: Del Mar Farms</t>
  </si>
  <si>
    <t>CA1</t>
  </si>
  <si>
    <t>Koala Mine, Canada: Koala Mine Airport</t>
  </si>
  <si>
    <t>CA2</t>
  </si>
  <si>
    <t>Lake Simcoe, Canada: Lake Simcoe Airport</t>
  </si>
  <si>
    <t>CA3</t>
  </si>
  <si>
    <t>Thetford Mines, Canada: Thetford Mines Airport</t>
  </si>
  <si>
    <t>CA4</t>
  </si>
  <si>
    <t>Pelee Island, Canada: Pelee Island Airport</t>
  </si>
  <si>
    <t>CA5</t>
  </si>
  <si>
    <t>Calgary, Canada: Calgary Springbank</t>
  </si>
  <si>
    <t>CA6</t>
  </si>
  <si>
    <t>Chemehuevi Valley, CA: Chemehuevi Valley Airport</t>
  </si>
  <si>
    <t>CA7</t>
  </si>
  <si>
    <t>Tracy, CA: Tracy Municipal</t>
  </si>
  <si>
    <t>CA9</t>
  </si>
  <si>
    <t>Steep Island, Canada: Steep Island Lodge</t>
  </si>
  <si>
    <t>CAB</t>
  </si>
  <si>
    <t>Cabinda, Angola: Cabinda Airport</t>
  </si>
  <si>
    <t>CAC</t>
  </si>
  <si>
    <t>Cascavel, Brazil: Coronel Adalberto Mendes Da Silva</t>
  </si>
  <si>
    <t>CAD</t>
  </si>
  <si>
    <t>Cadillac, MI: Wexford County</t>
  </si>
  <si>
    <t>Columbia, SC: Columbia Metropolitan</t>
  </si>
  <si>
    <t>CAF</t>
  </si>
  <si>
    <t>Carauari, Brazil: Carauari Airport</t>
  </si>
  <si>
    <t>CAG</t>
  </si>
  <si>
    <t>Cagliari, Italy: Elmas</t>
  </si>
  <si>
    <t>CAH</t>
  </si>
  <si>
    <t>Ca Mau, Vietnam: Ca Mau Airport</t>
  </si>
  <si>
    <t>CAI</t>
  </si>
  <si>
    <t>Cairo, Egypt: Cairo International</t>
  </si>
  <si>
    <t>CAJ</t>
  </si>
  <si>
    <t>Canaima, Venezuela: Canaima Airport</t>
  </si>
  <si>
    <t>Akron, OH: Akron-Canton Regional</t>
  </si>
  <si>
    <t>CAL</t>
  </si>
  <si>
    <t>Campbeltown, United Kingdom: Campbeltown Airport</t>
  </si>
  <si>
    <t>CAM</t>
  </si>
  <si>
    <t>Camiri, Bolivia: Choreti</t>
  </si>
  <si>
    <t>CAN</t>
  </si>
  <si>
    <t>Guangzhou, China: Baiyun International</t>
  </si>
  <si>
    <t>CAP</t>
  </si>
  <si>
    <t>Cap-Haitien, Haiti: Cap-Haitien International</t>
  </si>
  <si>
    <t>CAR</t>
  </si>
  <si>
    <t>Caribou, ME: Caribou Municipal</t>
  </si>
  <si>
    <t>CAS</t>
  </si>
  <si>
    <t>Casablanca, Morocco: Anfa</t>
  </si>
  <si>
    <t>CAT</t>
  </si>
  <si>
    <t>New Bight, The Bahamas: New Bight Airport</t>
  </si>
  <si>
    <t>CAW</t>
  </si>
  <si>
    <t>Campos, Brazil: Bartolomeu Lisandro</t>
  </si>
  <si>
    <t>CAX</t>
  </si>
  <si>
    <t>Carlisle, United Kingdom: Carlisle Airport</t>
  </si>
  <si>
    <t>CAY</t>
  </si>
  <si>
    <t>Cayenne, French Guiana: Cayenne Felix Eboue</t>
  </si>
  <si>
    <t>CAZ</t>
  </si>
  <si>
    <t>Cobar, Australia: Cobar Airport</t>
  </si>
  <si>
    <t>CBA</t>
  </si>
  <si>
    <t>Corner Bay, AK: Corner Bay Airport</t>
  </si>
  <si>
    <t>CBB</t>
  </si>
  <si>
    <t>Cochabamba, Bolivia: Jorge Wilstermann International</t>
  </si>
  <si>
    <t>CBE</t>
  </si>
  <si>
    <t>Cumberland, MD: Greater Cumberland Regional</t>
  </si>
  <si>
    <t>CBF</t>
  </si>
  <si>
    <t>Council Bluffs, IA: Council Bluffs Municipal</t>
  </si>
  <si>
    <t>CBG</t>
  </si>
  <si>
    <t>Cambridge, United Kingdom: Cambridge Airport</t>
  </si>
  <si>
    <t>CBH</t>
  </si>
  <si>
    <t>Colomb-Bechar, Algeria: Bechar/Leger</t>
  </si>
  <si>
    <t>CBK</t>
  </si>
  <si>
    <t>Colby, KS: Murray</t>
  </si>
  <si>
    <t>CBL</t>
  </si>
  <si>
    <t>Ciudad Bolivar, Venezuela: Ciudad Bolivar Airport</t>
  </si>
  <si>
    <t>CBM</t>
  </si>
  <si>
    <t>Columbus, MS: Columbus AFB</t>
  </si>
  <si>
    <t>CBO</t>
  </si>
  <si>
    <t>Cotabato, Philippines: Cotabato Airport</t>
  </si>
  <si>
    <t>CBQ</t>
  </si>
  <si>
    <t>Calabar, Nigeria: Margaret Ekpo International</t>
  </si>
  <si>
    <t>CBR</t>
  </si>
  <si>
    <t>Canberra, Australia: Canberra Airport</t>
  </si>
  <si>
    <t>CBV</t>
  </si>
  <si>
    <t>Coban, Guatemala: Coban Airport</t>
  </si>
  <si>
    <t>CBY</t>
  </si>
  <si>
    <t>Canobie, Australia: Canobie Airport</t>
  </si>
  <si>
    <t>CCC</t>
  </si>
  <si>
    <t>Cayo Coco, Cuba: Jardines del Rey International</t>
  </si>
  <si>
    <t>CCE</t>
  </si>
  <si>
    <t>Grand Case, Saint Martin: Grand Case Airport</t>
  </si>
  <si>
    <t>CCF</t>
  </si>
  <si>
    <t>Carcassonne, France: Carcassonne Salvaza</t>
  </si>
  <si>
    <t>CCH</t>
  </si>
  <si>
    <t>Chile Chico, Chile: Chile Chico Airport</t>
  </si>
  <si>
    <t>CCI</t>
  </si>
  <si>
    <t>Concordia, Brazil: Olavo Cecco Rigon</t>
  </si>
  <si>
    <t>CCJ</t>
  </si>
  <si>
    <t>Calicut, India: Calicut International</t>
  </si>
  <si>
    <t>CCK</t>
  </si>
  <si>
    <t>West Island, Cocos (Keeling) Islands: Cocos Keeling Island</t>
  </si>
  <si>
    <t>CCM</t>
  </si>
  <si>
    <t>Crisciuma, Brazil: Criciuma</t>
  </si>
  <si>
    <t>CCN</t>
  </si>
  <si>
    <t>Chakhcharan, Afghanistan: Chakhcharan Airport</t>
  </si>
  <si>
    <t>CCP</t>
  </si>
  <si>
    <t>Concepcion, Chile: Carriel Sur International</t>
  </si>
  <si>
    <t>CCR</t>
  </si>
  <si>
    <t>Concord, CA: Buchanan Field</t>
  </si>
  <si>
    <t>CCS</t>
  </si>
  <si>
    <t>Caracas, Venezuela: Simon Bolivar International</t>
  </si>
  <si>
    <t>CCU</t>
  </si>
  <si>
    <t>Kolkata, India: Netaji Subhash Chandra Bose International</t>
  </si>
  <si>
    <t>CCX</t>
  </si>
  <si>
    <t>Caceres, Brazil: Caceres Airport</t>
  </si>
  <si>
    <t>CCY</t>
  </si>
  <si>
    <t>Charles City, IA: Northeast Iowa Regional</t>
  </si>
  <si>
    <t>CCZ</t>
  </si>
  <si>
    <t>Chub Cay, The Bahamas: Chub Cay Airport</t>
  </si>
  <si>
    <t>CD1</t>
  </si>
  <si>
    <t>Katanga, Congo (Kinshasa): Kamina</t>
  </si>
  <si>
    <t>CD2</t>
  </si>
  <si>
    <t>Orientale, Congo (Kinshasa): Dungu</t>
  </si>
  <si>
    <t>Cold Bay, AK: Cold Bay Airport</t>
  </si>
  <si>
    <t>Cedar City, UT: Cedar City Regional</t>
  </si>
  <si>
    <t>CDF</t>
  </si>
  <si>
    <t>Cortina d'Ampezzo, Italy: Cortina d'Ampezzo Airport</t>
  </si>
  <si>
    <t>CDG</t>
  </si>
  <si>
    <t>Paris, France: Paris Charles de Gaulle</t>
  </si>
  <si>
    <t>CDH</t>
  </si>
  <si>
    <t>Camden, AR: Harrell Field</t>
  </si>
  <si>
    <t>CDJ</t>
  </si>
  <si>
    <t>Conceicao Do Araguaia, Brazil: Conceicao Do Araguaia Airport</t>
  </si>
  <si>
    <t>CDL</t>
  </si>
  <si>
    <t>Candle, AK: Candle 2</t>
  </si>
  <si>
    <t>CDN</t>
  </si>
  <si>
    <t>Camden, SC: Woodward Field</t>
  </si>
  <si>
    <t>CDR</t>
  </si>
  <si>
    <t>Chadron, NE: Chadron Municipal</t>
  </si>
  <si>
    <t>Cordova, AK: Merle K Mudhole Smith</t>
  </si>
  <si>
    <t>CDW</t>
  </si>
  <si>
    <t>Caldwell, NJ: Essex County</t>
  </si>
  <si>
    <t>CEA</t>
  </si>
  <si>
    <t>Wichita, KS: Cessna Aircraft Field</t>
  </si>
  <si>
    <t>CEB</t>
  </si>
  <si>
    <t>Lapu-Lapu City, Philippines: Mactan-Cebu International</t>
  </si>
  <si>
    <t>CEC</t>
  </si>
  <si>
    <t>Crescent City, CA: Jack McNamara Field</t>
  </si>
  <si>
    <t>CED</t>
  </si>
  <si>
    <t>Ceduna, Australia: Ceduna Airport</t>
  </si>
  <si>
    <t>CEF</t>
  </si>
  <si>
    <t>Chicopee Falls, MA: Westover ARB Metropolitan</t>
  </si>
  <si>
    <t>CEG</t>
  </si>
  <si>
    <t>Chester, United Kingdom: Hawarden</t>
  </si>
  <si>
    <t>CEI</t>
  </si>
  <si>
    <t>Chiang Rai, Thailand: Chiang Rai Airport</t>
  </si>
  <si>
    <t>CEK</t>
  </si>
  <si>
    <t>Chelyabinsk, Russia: Balandino</t>
  </si>
  <si>
    <t>CEL</t>
  </si>
  <si>
    <t>Cape Eleuthera, The Bahamas: Cape Eleuthera Airport</t>
  </si>
  <si>
    <t>CEM</t>
  </si>
  <si>
    <t>Central, AK: Central Airport</t>
  </si>
  <si>
    <t>CEN</t>
  </si>
  <si>
    <t>Ciudad Obregon, Mexico: Ciudad Obregon International</t>
  </si>
  <si>
    <t>CEO</t>
  </si>
  <si>
    <t>Waco Kungo, Angola: Waco Kungo Airport</t>
  </si>
  <si>
    <t>CEP</t>
  </si>
  <si>
    <t>Concepcion, Bolivia: Concepcion Airport</t>
  </si>
  <si>
    <t>CEQ</t>
  </si>
  <si>
    <t>Cannes, France: Cannes Mandelieu</t>
  </si>
  <si>
    <t>CER</t>
  </si>
  <si>
    <t>Cherbourg, France: Cherbourg Maupertus</t>
  </si>
  <si>
    <t>CET</t>
  </si>
  <si>
    <t>Cholet, France: Cholet Le Pontreau</t>
  </si>
  <si>
    <t>CEU</t>
  </si>
  <si>
    <t>Clemson, SC: Oconee County Regional</t>
  </si>
  <si>
    <t>CEV</t>
  </si>
  <si>
    <t>Connersville, IN: Mettel Field</t>
  </si>
  <si>
    <t>CEW</t>
  </si>
  <si>
    <t>Crestview, FL: Bob Sikes</t>
  </si>
  <si>
    <t>CEX</t>
  </si>
  <si>
    <t>Chena Hot Springs, AK: Chena Hot Springs Airport</t>
  </si>
  <si>
    <t>CEY</t>
  </si>
  <si>
    <t>Murray, KY: Kyle-Oakley Field</t>
  </si>
  <si>
    <t>CEZ</t>
  </si>
  <si>
    <t>Cortez, CO: Cortez Municipal</t>
  </si>
  <si>
    <t>CFA</t>
  </si>
  <si>
    <t>Coffee Point, AK: Coffee Point Airport</t>
  </si>
  <si>
    <t>CFB</t>
  </si>
  <si>
    <t>Cabo Frio, Brazil: Cabo Frio Airport</t>
  </si>
  <si>
    <t>CFE</t>
  </si>
  <si>
    <t>Clermont-Ferrand, France: Clermont Ferrand Auvergne</t>
  </si>
  <si>
    <t>CFG</t>
  </si>
  <si>
    <t>Cienfuegos, Cuba: Jaime Gonzalez International</t>
  </si>
  <si>
    <t>CFQ</t>
  </si>
  <si>
    <t>Silver City, Canada: Silver City Airport</t>
  </si>
  <si>
    <t>CFR</t>
  </si>
  <si>
    <t>Caen, France: Caen Carpiquet</t>
  </si>
  <si>
    <t>CFS</t>
  </si>
  <si>
    <t>Coffs Harbour, Australia: Coffs Harbour Airport</t>
  </si>
  <si>
    <t>CFT</t>
  </si>
  <si>
    <t>Clifton, AZ: Greenlee County</t>
  </si>
  <si>
    <t>CFU</t>
  </si>
  <si>
    <t>Corfu, Greece: Ioannis Kapodistrias International</t>
  </si>
  <si>
    <t>CFV</t>
  </si>
  <si>
    <t>Coffeyville, KS: Coffeyville Municipal</t>
  </si>
  <si>
    <t>CGA</t>
  </si>
  <si>
    <t>Craig, AK: Craig Seaplane Base</t>
  </si>
  <si>
    <t>CGB</t>
  </si>
  <si>
    <t>Cuiaba, Brazil: Marechal Rondon International</t>
  </si>
  <si>
    <t>CGC</t>
  </si>
  <si>
    <t>Cape Gloucester, Papua New Guinea: Cape Gloucester Airport</t>
  </si>
  <si>
    <t>CGE</t>
  </si>
  <si>
    <t>Cambridge, MD: Cambridge Dorchester Regional</t>
  </si>
  <si>
    <t>CGF</t>
  </si>
  <si>
    <t>Cleveland, OH: Cuyahoga County</t>
  </si>
  <si>
    <t>CGH</t>
  </si>
  <si>
    <t>Sao Paulo, Brazil: Congonhas</t>
  </si>
  <si>
    <t>Cape Girardeau, MO: Cape Girardeau Regional</t>
  </si>
  <si>
    <t>CGK</t>
  </si>
  <si>
    <t>Jakarta, Indonesia: Soekarno-Hatta International</t>
  </si>
  <si>
    <t>CGM</t>
  </si>
  <si>
    <t>Camiguin, Philippines: Camiguin Airport</t>
  </si>
  <si>
    <t>CGN</t>
  </si>
  <si>
    <t>Cologne, Germany: Koeln Bonn</t>
  </si>
  <si>
    <t>CGO</t>
  </si>
  <si>
    <t>Zhengzhou, China: Xinzheng</t>
  </si>
  <si>
    <t>CGP</t>
  </si>
  <si>
    <t>Chittagong, Bangladesh: Chittagong Airport</t>
  </si>
  <si>
    <t>CGQ</t>
  </si>
  <si>
    <t>Changchun, China: Longjia</t>
  </si>
  <si>
    <t>CGR</t>
  </si>
  <si>
    <t>Campo Grande, Brazil: Campo Grande International</t>
  </si>
  <si>
    <t>CGS</t>
  </si>
  <si>
    <t>College Park, MD: College Park Airport</t>
  </si>
  <si>
    <t>CGU</t>
  </si>
  <si>
    <t>Ciudad Guayana, Venezuela: Ciudad Guayana Metropolitan Area</t>
  </si>
  <si>
    <t>CGX</t>
  </si>
  <si>
    <t>Chicago, IL: Meigs Field</t>
  </si>
  <si>
    <t>CGY</t>
  </si>
  <si>
    <t>Cagayan, Philippines: Cagayan de Oro</t>
  </si>
  <si>
    <t>CGZ</t>
  </si>
  <si>
    <t>Casa Grande, AZ: Casa Grande Municipal</t>
  </si>
  <si>
    <t>CH1</t>
  </si>
  <si>
    <t>Payerne, Switzerland: Payerne Airport</t>
  </si>
  <si>
    <t>Chattanooga, TN: Lovell Field</t>
  </si>
  <si>
    <t>CHC</t>
  </si>
  <si>
    <t>Christchurch, New Zealand: Christchurch International</t>
  </si>
  <si>
    <t>CHD</t>
  </si>
  <si>
    <t>Chandler, AZ: Chandler Municipal</t>
  </si>
  <si>
    <t>CHE</t>
  </si>
  <si>
    <t>Caherciveen, Ireland: Caherciveen Reenroe</t>
  </si>
  <si>
    <t>CHF</t>
  </si>
  <si>
    <t>Chinhae, South Korea: Jinhae</t>
  </si>
  <si>
    <t>CHG</t>
  </si>
  <si>
    <t>Chaoyang, China: Chaoyang Airport</t>
  </si>
  <si>
    <t>CHI</t>
  </si>
  <si>
    <t>Chicago, IL: Chicago Metropolitan Area</t>
  </si>
  <si>
    <t>CHL</t>
  </si>
  <si>
    <t>Challis, ID: Challis Airport</t>
  </si>
  <si>
    <t>CHM</t>
  </si>
  <si>
    <t>Chimbote, Peru: Teniente Jaime A. de Montreuil Morales</t>
  </si>
  <si>
    <t>Charlottesville, VA: Charlottesville Albemarle</t>
  </si>
  <si>
    <t>CHP</t>
  </si>
  <si>
    <t>Circle Hot Springs, AK: Circle Hot Springs Airport</t>
  </si>
  <si>
    <t>CHQ</t>
  </si>
  <si>
    <t>Chania, Greece: Souda</t>
  </si>
  <si>
    <t>CHR</t>
  </si>
  <si>
    <t>Chateauroux, France: Chateauroux Airport</t>
  </si>
  <si>
    <t>Charleston, SC: Charleston AFB/International</t>
  </si>
  <si>
    <t>CHT</t>
  </si>
  <si>
    <t>Chatham Islands, New Zealand: Chatham Islands Airport</t>
  </si>
  <si>
    <t>CHU</t>
  </si>
  <si>
    <t>Chuathbaluk, AK: Chuathbaluk Airport</t>
  </si>
  <si>
    <t>CHW</t>
  </si>
  <si>
    <t>Jiuquan, China: Jiayuguan</t>
  </si>
  <si>
    <t>CHX</t>
  </si>
  <si>
    <t>Changuinola, Panama: Changuinola 1</t>
  </si>
  <si>
    <t>CHZ</t>
  </si>
  <si>
    <t>Chiloquin, OR: Chiloquin State</t>
  </si>
  <si>
    <t>CIA</t>
  </si>
  <si>
    <t>Rome, Italy: Ciampino</t>
  </si>
  <si>
    <t>CIB</t>
  </si>
  <si>
    <t>CIC</t>
  </si>
  <si>
    <t>Chico, CA: Chico Municipal</t>
  </si>
  <si>
    <t>Cedar Rapids/Iowa City, IA: The Eastern Iowa</t>
  </si>
  <si>
    <t>CIG</t>
  </si>
  <si>
    <t>Craig, CO: Craig-Moffat</t>
  </si>
  <si>
    <t>CIH</t>
  </si>
  <si>
    <t>Changzhi, China: Changzhi Airport</t>
  </si>
  <si>
    <t>CIJ</t>
  </si>
  <si>
    <t>Cobija, Bolivia: Cap Av Civ Anibal Arab Fadul International</t>
  </si>
  <si>
    <t>CIK</t>
  </si>
  <si>
    <t>Chalkyitsik, AK: Chalkyitsik Airport</t>
  </si>
  <si>
    <t>CIL</t>
  </si>
  <si>
    <t>Council, AK: Council Airport</t>
  </si>
  <si>
    <t>CIN</t>
  </si>
  <si>
    <t>Carroll, IA: Arthur N Neu</t>
  </si>
  <si>
    <t>CIP</t>
  </si>
  <si>
    <t>Chipata, Zambia: Chipata Airport</t>
  </si>
  <si>
    <t>CIR</t>
  </si>
  <si>
    <t>Cairo, IL: Cairo Regional</t>
  </si>
  <si>
    <t>CIT</t>
  </si>
  <si>
    <t>Shimkent, Kazakhstan: Shymkent</t>
  </si>
  <si>
    <t>Sault Ste. Marie, MI: Chippewa County International</t>
  </si>
  <si>
    <t>CIV</t>
  </si>
  <si>
    <t>Chomley, AK: Chomley Airport</t>
  </si>
  <si>
    <t>CIW</t>
  </si>
  <si>
    <t>Canouan, Saint Vincent and the Grenadines: Canouan Airport</t>
  </si>
  <si>
    <t>CIX</t>
  </si>
  <si>
    <t>Chiclayo, Peru: Capt. Jose A. Quinones Gonzales International</t>
  </si>
  <si>
    <t>CIY</t>
  </si>
  <si>
    <t>Comiso, Italy: Comiso Airport</t>
  </si>
  <si>
    <t>CJ8</t>
  </si>
  <si>
    <t>Saskatchewan, Canada: Macklin</t>
  </si>
  <si>
    <t>CJA</t>
  </si>
  <si>
    <t>Cajamarca, Peru: Gen FAP Armando Revoredo Iglesias</t>
  </si>
  <si>
    <t>CJB</t>
  </si>
  <si>
    <t>Coimbatore, India: Coimbatore International</t>
  </si>
  <si>
    <t>CJC</t>
  </si>
  <si>
    <t>Calama, Chile: El Loa</t>
  </si>
  <si>
    <t>CJI</t>
  </si>
  <si>
    <t>Crafton Island, AK: Crafton Island Airport</t>
  </si>
  <si>
    <t>CJJ</t>
  </si>
  <si>
    <t>Cheongju, South Korea: Cheongju International</t>
  </si>
  <si>
    <t>CJL</t>
  </si>
  <si>
    <t>Chitral, Pakistan: Chitral Airport</t>
  </si>
  <si>
    <t>CJR</t>
  </si>
  <si>
    <t>Culpeper, VA: Culpeper Regional</t>
  </si>
  <si>
    <t>CJS</t>
  </si>
  <si>
    <t>Ciudad Juarez, Mexico: Abraham Gonzalez International</t>
  </si>
  <si>
    <t>CJU</t>
  </si>
  <si>
    <t>Jeju, South Korea: Jeju International</t>
  </si>
  <si>
    <t>CJW</t>
  </si>
  <si>
    <t>Clay Center, KS: Clay Center Municipal</t>
  </si>
  <si>
    <t>Clarksburg/Fairmont, WV: North Central West Virginia</t>
  </si>
  <si>
    <t>CKD</t>
  </si>
  <si>
    <t>Crooked Creek, AK: Crooked Creek Airport</t>
  </si>
  <si>
    <t>CKE</t>
  </si>
  <si>
    <t>Clear Lake, CA: Pearce Field</t>
  </si>
  <si>
    <t>CKG</t>
  </si>
  <si>
    <t>Chongqing, China: Jiangbei</t>
  </si>
  <si>
    <t>CKM</t>
  </si>
  <si>
    <t>Clarksdale, MS: Fletcher Field</t>
  </si>
  <si>
    <t>CKO</t>
  </si>
  <si>
    <t>Cornelio Procopio, Brazil: Cornelio Procopio Airport</t>
  </si>
  <si>
    <t>CKS</t>
  </si>
  <si>
    <t>Carajas, Brazil: Carajas Airport</t>
  </si>
  <si>
    <t>CKU</t>
  </si>
  <si>
    <t>Cordova, AK: Cordova Municipal</t>
  </si>
  <si>
    <t>CKV</t>
  </si>
  <si>
    <t>Clarksville, TN: Outlaw Field</t>
  </si>
  <si>
    <t>CKX</t>
  </si>
  <si>
    <t>Chicken, AK: Chicken Airport</t>
  </si>
  <si>
    <t>CKY</t>
  </si>
  <si>
    <t>Conakry, Guinea: Conakry Airport</t>
  </si>
  <si>
    <t>CLA</t>
  </si>
  <si>
    <t>Comilla, Bangladesh: Cumilla</t>
  </si>
  <si>
    <t>CLB</t>
  </si>
  <si>
    <t>Castlebar, Ireland: Castlebar Airport</t>
  </si>
  <si>
    <t>CLC</t>
  </si>
  <si>
    <t>Clear Lake City, TX: Clear Lake Metroport</t>
  </si>
  <si>
    <t>CLD</t>
  </si>
  <si>
    <t>Carlsbad, CA: McClellan-Palomar</t>
  </si>
  <si>
    <t>Cleveland, OH: Cleveland-Hopkins International</t>
  </si>
  <si>
    <t>CLF</t>
  </si>
  <si>
    <t>Clear, AK: Clear Mews</t>
  </si>
  <si>
    <t>CLG</t>
  </si>
  <si>
    <t>Coalinga, CA: New Coalinga Municipal</t>
  </si>
  <si>
    <t>CLH</t>
  </si>
  <si>
    <t>Coolah, Australia: Coolah Airport</t>
  </si>
  <si>
    <t>CLI</t>
  </si>
  <si>
    <t>Clintonville, WI: Clintonville Municipal</t>
  </si>
  <si>
    <t>CLJ</t>
  </si>
  <si>
    <t>Cluj-Napoca, Romania: Avram Iancu</t>
  </si>
  <si>
    <t>CLK</t>
  </si>
  <si>
    <t>Clinton, OK: Clinton Regional</t>
  </si>
  <si>
    <t>College Station/Bryan, TX: Easterwood Field</t>
  </si>
  <si>
    <t>CLM</t>
  </si>
  <si>
    <t>Port Angeles, WA: William R. Fairchild International</t>
  </si>
  <si>
    <t>CLN</t>
  </si>
  <si>
    <t>Carolina, Brazil: Carolina Airport</t>
  </si>
  <si>
    <t>CLO</t>
  </si>
  <si>
    <t>Cali, Colombia: Alfonso Bonilla Aragon International</t>
  </si>
  <si>
    <t>CLP</t>
  </si>
  <si>
    <t>Clarks Point, AK: Clarks Point Airport</t>
  </si>
  <si>
    <t>CLQ</t>
  </si>
  <si>
    <t>Colima, Mexico: Colima Airport</t>
  </si>
  <si>
    <t>CLR</t>
  </si>
  <si>
    <t>Calipatria, CA: Cliff Hatfield Memorial</t>
  </si>
  <si>
    <t>CLS</t>
  </si>
  <si>
    <t>Chehalis, WA: Chehalis Centralia</t>
  </si>
  <si>
    <t>Charlotte, NC: Charlotte Douglas International</t>
  </si>
  <si>
    <t>CLU</t>
  </si>
  <si>
    <t>Columbus, IN: Columbus Municipal</t>
  </si>
  <si>
    <t>CLY</t>
  </si>
  <si>
    <t>Calvi, France: Calvi Sainte Catherine</t>
  </si>
  <si>
    <t>CMA</t>
  </si>
  <si>
    <t>Cunnamulla, Australia: Cunnamulla Airport</t>
  </si>
  <si>
    <t>CMB</t>
  </si>
  <si>
    <t>Colombo, Sri Lanka: Bandaranaike International Colombo</t>
  </si>
  <si>
    <t>CMD</t>
  </si>
  <si>
    <t>Cootamundra, Australia: Cootamundra Airport</t>
  </si>
  <si>
    <t>CME</t>
  </si>
  <si>
    <t>Ciudad del Carmen, Mexico: Ciudad del Carmen International</t>
  </si>
  <si>
    <t>CMF</t>
  </si>
  <si>
    <t>Chambery, France: Chambery Aix Les Bains</t>
  </si>
  <si>
    <t>CMG</t>
  </si>
  <si>
    <t>Corumba, Brazil: Corumba International</t>
  </si>
  <si>
    <t>Columbus, OH: John Glenn Columbus International</t>
  </si>
  <si>
    <t>Champaign/Urbana, IL: University of Illinois/Willard</t>
  </si>
  <si>
    <t>CMJ</t>
  </si>
  <si>
    <t>Chi Mei, Taiwan: Chi Mei Airport</t>
  </si>
  <si>
    <t>CMM</t>
  </si>
  <si>
    <t>Carmelita, Guatemala: Carmelita Airport</t>
  </si>
  <si>
    <t>CMN</t>
  </si>
  <si>
    <t>Casablanca, Morocco: Mohammed V International</t>
  </si>
  <si>
    <t>CMR</t>
  </si>
  <si>
    <t>Colmar, France: Colmar Houssen</t>
  </si>
  <si>
    <t>CMT</t>
  </si>
  <si>
    <t>Cameta, Brazil: Cameta Airport</t>
  </si>
  <si>
    <t>CMU</t>
  </si>
  <si>
    <t>Kundiawa, Papua New Guinea: Chimbu</t>
  </si>
  <si>
    <t>CMV</t>
  </si>
  <si>
    <t>Coromandel, New Zealand: Coromandel Airport</t>
  </si>
  <si>
    <t>CMW</t>
  </si>
  <si>
    <t>Camaguey, Cuba: Ignacio Agramonte International</t>
  </si>
  <si>
    <t>Hancock/Houghton, MI: Houghton County Memorial</t>
  </si>
  <si>
    <t>CN2</t>
  </si>
  <si>
    <t>Nimmo Bay, Canada: Mimmo Bay Water Aerodrome</t>
  </si>
  <si>
    <t>CN4</t>
  </si>
  <si>
    <t>Princess Lousia Inlet, Canada: Princess Louisa Marina Provincial Park</t>
  </si>
  <si>
    <t>CN5</t>
  </si>
  <si>
    <t>Rendezvous Islands, Canada: Rendezvous Islands Water Aerodrome</t>
  </si>
  <si>
    <t>CN6</t>
  </si>
  <si>
    <t>Shawl Bay, Canada: Shawl Bay Water Aerodrome</t>
  </si>
  <si>
    <t>CN7</t>
  </si>
  <si>
    <t>Shoal Bay, Canada: Shoal Bay Water Aerodrome</t>
  </si>
  <si>
    <t>CN9</t>
  </si>
  <si>
    <t>Sointula, Canada: Sointula Water Aerodrome</t>
  </si>
  <si>
    <t>CNA</t>
  </si>
  <si>
    <t>Cananea, Mexico: Cananea Airport</t>
  </si>
  <si>
    <t>CNB</t>
  </si>
  <si>
    <t>Coonamble, Australia: Coonamble Airport</t>
  </si>
  <si>
    <t>CNC</t>
  </si>
  <si>
    <t>Coconut Island, Australia: Coconut Island Airport</t>
  </si>
  <si>
    <t>CND</t>
  </si>
  <si>
    <t>Constanta, Romania: Rum Kogalniceanu</t>
  </si>
  <si>
    <t>CNE</t>
  </si>
  <si>
    <t>Canon City, CO: Fremont County</t>
  </si>
  <si>
    <t>CNF</t>
  </si>
  <si>
    <t>Belo Horizonte, Brazil: Tancredo Neves International</t>
  </si>
  <si>
    <t>CNK</t>
  </si>
  <si>
    <t>Concordia, KS: Blosser Municipal</t>
  </si>
  <si>
    <t>CNL</t>
  </si>
  <si>
    <t>Sindal, Denmark: Sindal Airport</t>
  </si>
  <si>
    <t>CNM</t>
  </si>
  <si>
    <t>Carlsbad, NM: Cavern City Air Terminal</t>
  </si>
  <si>
    <t>CNO</t>
  </si>
  <si>
    <t>Chino, CA: Chino Airport</t>
  </si>
  <si>
    <t>CNQ</t>
  </si>
  <si>
    <t>Corrientes, Argentina: Corrientes Airport</t>
  </si>
  <si>
    <t>CNR</t>
  </si>
  <si>
    <t>Chanaral, Chile: Chanaral Airport</t>
  </si>
  <si>
    <t>CNS</t>
  </si>
  <si>
    <t>Cairns, Australia: Cairns International</t>
  </si>
  <si>
    <t>CNW</t>
  </si>
  <si>
    <t>Waco, TX: TSTC Waco</t>
  </si>
  <si>
    <t>CNX</t>
  </si>
  <si>
    <t>Chiang Mai, Thailand: Chiang Mai International</t>
  </si>
  <si>
    <t>Moab, UT: Canyonlands Field</t>
  </si>
  <si>
    <t>CO1</t>
  </si>
  <si>
    <t>Monte Vista, CO: Monte Vista Municipal</t>
  </si>
  <si>
    <t>CO3</t>
  </si>
  <si>
    <t>Marina, CA: Marina Municipal</t>
  </si>
  <si>
    <t>CO4</t>
  </si>
  <si>
    <t>Melgar, Colombia: Tolemaida AB</t>
  </si>
  <si>
    <t>CO5</t>
  </si>
  <si>
    <t>Uribia, Colombia: Puerto Bolivar</t>
  </si>
  <si>
    <t>CO6</t>
  </si>
  <si>
    <t>Buena, CO: Central Colorado Regional</t>
  </si>
  <si>
    <t>CO7</t>
  </si>
  <si>
    <t>Meeker, CO: Meeker Coulter Field</t>
  </si>
  <si>
    <t>COA</t>
  </si>
  <si>
    <t>Columbia, CA: Columbia Airport</t>
  </si>
  <si>
    <t>COC</t>
  </si>
  <si>
    <t>Concordia, Argentina: Comodoro Pierrestegui</t>
  </si>
  <si>
    <t>Cody, WY: Yellowstone Regional</t>
  </si>
  <si>
    <t>COE</t>
  </si>
  <si>
    <t>Coeur d'Alene, ID: Coeur d'Alene - Pappy Boyington Field</t>
  </si>
  <si>
    <t>COF</t>
  </si>
  <si>
    <t>Cocoa Beach, FL: Patrick AFB</t>
  </si>
  <si>
    <t>COG</t>
  </si>
  <si>
    <t>Condoto, Colombia: Mandinga</t>
  </si>
  <si>
    <t>COH</t>
  </si>
  <si>
    <t>Cooch Behar, India: Cooch Behar Airport</t>
  </si>
  <si>
    <t>COJ</t>
  </si>
  <si>
    <t>Coonabarabran, Australia: Coonabarabran Airport</t>
  </si>
  <si>
    <t>COK</t>
  </si>
  <si>
    <t>Kochi, India: Cochin International</t>
  </si>
  <si>
    <t>COL</t>
  </si>
  <si>
    <t>Coll Island, United Kingdom: Coll</t>
  </si>
  <si>
    <t>COM</t>
  </si>
  <si>
    <t>Coleman, TX: Coleman Municipal</t>
  </si>
  <si>
    <t>CON</t>
  </si>
  <si>
    <t>Concord, NH: Concord Municipal</t>
  </si>
  <si>
    <t>COO</t>
  </si>
  <si>
    <t>Cotonou, Benin: Card Bernardin Gadin de Cadjehoun International</t>
  </si>
  <si>
    <t>COR</t>
  </si>
  <si>
    <t>Cordoba, Argentina: Ambrosio L. V. Taravella</t>
  </si>
  <si>
    <t>Colorado Springs, CO: City of Colorado Springs Municipal</t>
  </si>
  <si>
    <t>COT</t>
  </si>
  <si>
    <t>Cotulla, TX: Cotulla-La Salle County</t>
  </si>
  <si>
    <t>Columbia, MO: Columbia Regional</t>
  </si>
  <si>
    <t>COY</t>
  </si>
  <si>
    <t>Coolawanyah, Australia: Coolawanyah Airport</t>
  </si>
  <si>
    <t>CPA</t>
  </si>
  <si>
    <t>Cape Palmas, Liberia: Cape Palmas Airport</t>
  </si>
  <si>
    <t>CPB</t>
  </si>
  <si>
    <t>Capurgana, Colombia: Capurgana Airport</t>
  </si>
  <si>
    <t>CPC</t>
  </si>
  <si>
    <t>Chapelco, Argentina: Aviador C. Campos</t>
  </si>
  <si>
    <t>CPD</t>
  </si>
  <si>
    <t>Coober Pedy, Australia: Coober Pedy Airport</t>
  </si>
  <si>
    <t>CPE</t>
  </si>
  <si>
    <t>Campeche, Mexico: Ingeniero Alberto Acuna Ongay International</t>
  </si>
  <si>
    <t>CPH</t>
  </si>
  <si>
    <t>Copenhagen, Denmark: Kastrup</t>
  </si>
  <si>
    <t>CPN</t>
  </si>
  <si>
    <t>Cape Rodney, Papua New Guinea: Cape Rodney Airport</t>
  </si>
  <si>
    <t>CPO</t>
  </si>
  <si>
    <t>Copiapo, Chile: Desierto de Atacama</t>
  </si>
  <si>
    <t>CPQ</t>
  </si>
  <si>
    <t>Campinas, Brazil: Viracopos International</t>
  </si>
  <si>
    <t>Casper, WY: Casper/Natrona County International</t>
  </si>
  <si>
    <t>CPS</t>
  </si>
  <si>
    <t>St. Louis, MO: Bi-State Parks</t>
  </si>
  <si>
    <t>CPT</t>
  </si>
  <si>
    <t>Cape Town, South Africa: Cape Town International</t>
  </si>
  <si>
    <t>CPV</t>
  </si>
  <si>
    <t>Campina Grande, Brazil: Presidente Joao Suassuna</t>
  </si>
  <si>
    <t>CPX</t>
  </si>
  <si>
    <t>Culebra, PR: Benjamin Rivera Noriega</t>
  </si>
  <si>
    <t>CQF</t>
  </si>
  <si>
    <t>Calais, France: Calais Marck</t>
  </si>
  <si>
    <t>CQL</t>
  </si>
  <si>
    <t>Carbondale, CO: Glen-Aspen</t>
  </si>
  <si>
    <t>CQM</t>
  </si>
  <si>
    <t>Ciudad Real, Spain: Ciudad Real Airport</t>
  </si>
  <si>
    <t>CQW</t>
  </si>
  <si>
    <t>Cheraw, SC: Cheraw Municipal/Lynch Bellinger Field</t>
  </si>
  <si>
    <t>CRA</t>
  </si>
  <si>
    <t>Craiova, Romania: Craiova Airport</t>
  </si>
  <si>
    <t>CRB</t>
  </si>
  <si>
    <t>Collarenebri, Australia: Collarenebri Airport</t>
  </si>
  <si>
    <t>CRC</t>
  </si>
  <si>
    <t>Cartago, Colombia: Cartago Airport</t>
  </si>
  <si>
    <t>CRD</t>
  </si>
  <si>
    <t>Comodoro Rivadavia, Argentina: Comodoro Rivadavia Airport</t>
  </si>
  <si>
    <t>CRE</t>
  </si>
  <si>
    <t>Myrtle Beach, SC: Grand Strand</t>
  </si>
  <si>
    <t>CRG</t>
  </si>
  <si>
    <t>Jacksonville, FL: Jacksonville Executive at Craig</t>
  </si>
  <si>
    <t>CRI</t>
  </si>
  <si>
    <t>Crooked Island, The Bahamas: Colonel Hill</t>
  </si>
  <si>
    <t>CRK</t>
  </si>
  <si>
    <t>Luzon Island, Philippines: Diosdado Macapagal International</t>
  </si>
  <si>
    <t>CRL</t>
  </si>
  <si>
    <t>Charleroi, Belgium: Brussels South</t>
  </si>
  <si>
    <t>Corpus Christi, TX: Corpus Christi International</t>
  </si>
  <si>
    <t>CRQ</t>
  </si>
  <si>
    <t>Caravelas, Brazil: Caravelas Airport</t>
  </si>
  <si>
    <t>CRR</t>
  </si>
  <si>
    <t>Ceres, Argentina: Ceres Airport</t>
  </si>
  <si>
    <t>CRS</t>
  </si>
  <si>
    <t>Corsicana, TX: C David Campbell Field-Corsicana Municipal</t>
  </si>
  <si>
    <t>CRU</t>
  </si>
  <si>
    <t>Carriacou, Grenada: Lauriston</t>
  </si>
  <si>
    <t>CRV</t>
  </si>
  <si>
    <t>Crotone, Italy: Crotone Airport</t>
  </si>
  <si>
    <t>Charleston/Dunbar, WV: Yeager</t>
  </si>
  <si>
    <t>CRX</t>
  </si>
  <si>
    <t>Corinth, MS: Roscoe Turner</t>
  </si>
  <si>
    <t>CRZ</t>
  </si>
  <si>
    <t>Turkmenabat, Turkmenistan: Turkmenabat Airport</t>
  </si>
  <si>
    <t>CSD</t>
  </si>
  <si>
    <t>Cresswell Downs, Australia: Cresswell Downs Airport</t>
  </si>
  <si>
    <t>CSE</t>
  </si>
  <si>
    <t>Crested Butte, CO: Crested Butte Airpark</t>
  </si>
  <si>
    <t>Columbus, GA: Columbus Airport</t>
  </si>
  <si>
    <t>CSI</t>
  </si>
  <si>
    <t>Casino, Australia: Casino Airport</t>
  </si>
  <si>
    <t>CSL</t>
  </si>
  <si>
    <t>Cabo San Lucas, Mexico: Cabo San Lucas International</t>
  </si>
  <si>
    <t>CSM</t>
  </si>
  <si>
    <t>Clinton, OK: Clinton Sherman</t>
  </si>
  <si>
    <t>CSN</t>
  </si>
  <si>
    <t>Carson City, NV: Carson</t>
  </si>
  <si>
    <t>CSP</t>
  </si>
  <si>
    <t>Cape Spencer, AK: Cape Spencer C.G. Helipad</t>
  </si>
  <si>
    <t>CSR</t>
  </si>
  <si>
    <t>Casuarito, Colombia: Casuarito Airport</t>
  </si>
  <si>
    <t>CSS</t>
  </si>
  <si>
    <t>Cassilandia, Brazil: Cassilandia Airport</t>
  </si>
  <si>
    <t>CST</t>
  </si>
  <si>
    <t>Castaway, Fiji: Castaway Airport</t>
  </si>
  <si>
    <t>CSU</t>
  </si>
  <si>
    <t>Cape Sabine, AK: Cape Sabine Airport</t>
  </si>
  <si>
    <t>CSV</t>
  </si>
  <si>
    <t>Crossville, TN: Crossville Memorial-Whitson Field</t>
  </si>
  <si>
    <t>CSX</t>
  </si>
  <si>
    <t>Changsha, China: Huanghua</t>
  </si>
  <si>
    <t>CT1</t>
  </si>
  <si>
    <t>Plainville, CT: Robertson Field</t>
  </si>
  <si>
    <t>CT2</t>
  </si>
  <si>
    <t>Simsbury, CT: Simsbury Airport</t>
  </si>
  <si>
    <t>CT3</t>
  </si>
  <si>
    <t>Willimantic, CT: Windham</t>
  </si>
  <si>
    <t>CT4</t>
  </si>
  <si>
    <t>New Milford, CT: Candlelight Farms</t>
  </si>
  <si>
    <t>CT5</t>
  </si>
  <si>
    <t>Danielson, CT: Danielson Airport</t>
  </si>
  <si>
    <t>CT6</t>
  </si>
  <si>
    <t>East Haddam, CT: Goodspeed</t>
  </si>
  <si>
    <t>CT7</t>
  </si>
  <si>
    <t>Chester, CT: Chester Airport</t>
  </si>
  <si>
    <t>CT8</t>
  </si>
  <si>
    <t>Belie Haven, CT: Sbctbh</t>
  </si>
  <si>
    <t>CTA</t>
  </si>
  <si>
    <t>Catania, Italy: Catania-Fontanarossa</t>
  </si>
  <si>
    <t>CTB</t>
  </si>
  <si>
    <t>Cut Bank, MT: Cut Bank International</t>
  </si>
  <si>
    <t>CTC</t>
  </si>
  <si>
    <t>Catamarca, Argentina: Catamarca Aeroclub</t>
  </si>
  <si>
    <t>Cartagena, Colombia: Rafael Nunez</t>
  </si>
  <si>
    <t>CTH</t>
  </si>
  <si>
    <t>Coatesville, PA: Chester County G. O. Carlson</t>
  </si>
  <si>
    <t>CTL</t>
  </si>
  <si>
    <t>Charleville, Australia: Charleville Airport</t>
  </si>
  <si>
    <t>CTM</t>
  </si>
  <si>
    <t>Chetumal, Mexico: Chetumal International</t>
  </si>
  <si>
    <t>CTN</t>
  </si>
  <si>
    <t>Cooktown, Australia: Cooktown Airport</t>
  </si>
  <si>
    <t>CTO</t>
  </si>
  <si>
    <t>Calverton, NY: Calverton Executive Airpark</t>
  </si>
  <si>
    <t>CTS</t>
  </si>
  <si>
    <t>Sapporo, Japan: New Chitose</t>
  </si>
  <si>
    <t>CTT</t>
  </si>
  <si>
    <t>Le Castellet, France: Le Castellet Airport</t>
  </si>
  <si>
    <t>CTU</t>
  </si>
  <si>
    <t>Chengdu, China: Shuangliu</t>
  </si>
  <si>
    <t>CTW</t>
  </si>
  <si>
    <t>Cottonwood, AZ: Cottonwood Airport</t>
  </si>
  <si>
    <t>CTX</t>
  </si>
  <si>
    <t>Cortland, NY: Cortland County Chase Field</t>
  </si>
  <si>
    <t>CTY</t>
  </si>
  <si>
    <t>Cross City, FL: Cross City Airport</t>
  </si>
  <si>
    <t>CTZ</t>
  </si>
  <si>
    <t>Clinton, NC: Clinton Sampson County</t>
  </si>
  <si>
    <t>CUB</t>
  </si>
  <si>
    <t>Columbia, SC: Jim Hamilton L. B. Owens</t>
  </si>
  <si>
    <t>CUC</t>
  </si>
  <si>
    <t>Cucuta, Colombia: Camilo Daza</t>
  </si>
  <si>
    <t>CUE</t>
  </si>
  <si>
    <t>Cuenca, Ecuador: Cuenca Airport</t>
  </si>
  <si>
    <t>CUF</t>
  </si>
  <si>
    <t>Cuneo, Italy: Levaldigi</t>
  </si>
  <si>
    <t>CUL</t>
  </si>
  <si>
    <t>Culiacan, Mexico: Culiacan International</t>
  </si>
  <si>
    <t>CUM</t>
  </si>
  <si>
    <t>Cumana, Venezuela: Cumana Airport</t>
  </si>
  <si>
    <t>Cancun, Mexico: Cancun International</t>
  </si>
  <si>
    <t>CUP</t>
  </si>
  <si>
    <t>Carupano, Venezuela: General Jose Francisco Bermudez</t>
  </si>
  <si>
    <t>CUQ</t>
  </si>
  <si>
    <t>Coen, Australia: Coen Airport</t>
  </si>
  <si>
    <t>Willemstad, Curacao: Hato</t>
  </si>
  <si>
    <t>CUT</t>
  </si>
  <si>
    <t>Cutral-Co, Argentina: Cutral-Co Airport</t>
  </si>
  <si>
    <t>CUU</t>
  </si>
  <si>
    <t>Chihuahua, Mexico: General Roberto Fierro Villalobos International</t>
  </si>
  <si>
    <t>CUW</t>
  </si>
  <si>
    <t>Cube Cove, AK: Cube Cove Airport</t>
  </si>
  <si>
    <t>CUY</t>
  </si>
  <si>
    <t>Cue, Australia: Cue Airport</t>
  </si>
  <si>
    <t>CUZ</t>
  </si>
  <si>
    <t>Cusco, Peru: Teniente Alejandro Velasco Astete International</t>
  </si>
  <si>
    <t>CVA</t>
  </si>
  <si>
    <t>Pittsburgh, PA: Civic Arena H/P</t>
  </si>
  <si>
    <t>CVF</t>
  </si>
  <si>
    <t>Courchevel, France: Courchevel Airport</t>
  </si>
  <si>
    <t>Cincinnati, OH: Cincinnati/Northern Kentucky International</t>
  </si>
  <si>
    <t>CVJ</t>
  </si>
  <si>
    <t>Cuernavaca, Mexico: General Mariano Matamoros International</t>
  </si>
  <si>
    <t>CVL</t>
  </si>
  <si>
    <t>Cape Vogel, Papua New Guinea: Cape Vogel Airport</t>
  </si>
  <si>
    <t>CVM</t>
  </si>
  <si>
    <t>Ciudad Victoria, Mexico: General Pedro Jose Mendez International</t>
  </si>
  <si>
    <t>CVN</t>
  </si>
  <si>
    <t>Clovis, NM: Clovis Municipal</t>
  </si>
  <si>
    <t>CVO</t>
  </si>
  <si>
    <t>Corvallis, OR: Corvallis Municipal</t>
  </si>
  <si>
    <t>CVQ</t>
  </si>
  <si>
    <t>Carnarvon, Australia: Carnarvon Airport</t>
  </si>
  <si>
    <t>CVS</t>
  </si>
  <si>
    <t>Clovis, NM: Cannon AFB</t>
  </si>
  <si>
    <t>CVT</t>
  </si>
  <si>
    <t>Coventry, United Kingdom: Coventry Airport</t>
  </si>
  <si>
    <t>CVX</t>
  </si>
  <si>
    <t>Charlevoix, MI: Charlevoix Municipal</t>
  </si>
  <si>
    <t>Mosinee, WI: Central Wisconsin</t>
  </si>
  <si>
    <t>CWB</t>
  </si>
  <si>
    <t>Curitiba, Brazil: Afonso Pena</t>
  </si>
  <si>
    <t>CWC</t>
  </si>
  <si>
    <t>Chernivtsi, Ukraine: Chernivtsi International</t>
  </si>
  <si>
    <t>CWF</t>
  </si>
  <si>
    <t>Lake Charles, LA: Chennault International</t>
  </si>
  <si>
    <t>CWI</t>
  </si>
  <si>
    <t>Clinton, IA: Clinton Municipal</t>
  </si>
  <si>
    <t>CWL</t>
  </si>
  <si>
    <t>Cardiff, United Kingdom: Cardiff Airport</t>
  </si>
  <si>
    <t>CWS</t>
  </si>
  <si>
    <t>Center Island, WA: Center Island Airport</t>
  </si>
  <si>
    <t>CWT</t>
  </si>
  <si>
    <t>Cowra, Australia: Cowra Airport</t>
  </si>
  <si>
    <t>CXA</t>
  </si>
  <si>
    <t>Caicara, Venezuela: Caicara Venez.</t>
  </si>
  <si>
    <t>CXB</t>
  </si>
  <si>
    <t>Cox's Bazar, Bangladesh: Cox's Bazar Airport</t>
  </si>
  <si>
    <t>CXC</t>
  </si>
  <si>
    <t>Chitina, AK: Chitina Airport</t>
  </si>
  <si>
    <t>CXF</t>
  </si>
  <si>
    <t>Coldfoot, AK: Coldfoot Airport</t>
  </si>
  <si>
    <t>CXH</t>
  </si>
  <si>
    <t>Vancouver, Canada: Coal Harbour Seaplane Base</t>
  </si>
  <si>
    <t>CXI</t>
  </si>
  <si>
    <t>Christmas Island, Kiribati: Christmas Island Airport</t>
  </si>
  <si>
    <t>CXJ</t>
  </si>
  <si>
    <t>Caxias Do Sul, Brazil: Hugo Cantergiani</t>
  </si>
  <si>
    <t>CXL</t>
  </si>
  <si>
    <t>Calexico, CA: Calexico International</t>
  </si>
  <si>
    <t>CXO</t>
  </si>
  <si>
    <t>Conroe, TX: Conroe North Houston Regional</t>
  </si>
  <si>
    <t>CXP</t>
  </si>
  <si>
    <t>Cilacap, Indonesia: Tunggul Wulung</t>
  </si>
  <si>
    <t>CXR</t>
  </si>
  <si>
    <t>Can Ranh, Vietnam: Cam Ranh International</t>
  </si>
  <si>
    <t>CXT</t>
  </si>
  <si>
    <t>Charters Towers, Australia: Charters Towers Airport</t>
  </si>
  <si>
    <t>CXY</t>
  </si>
  <si>
    <t>Cat Cay, The Bahamas: Cat Cay Airport</t>
  </si>
  <si>
    <t>CYA</t>
  </si>
  <si>
    <t>Les Cayes, Haiti: Cayes</t>
  </si>
  <si>
    <t>CYB</t>
  </si>
  <si>
    <t>Cayman Brac, Cayman Islands: Charles Kirkconnell International</t>
  </si>
  <si>
    <t>CYC</t>
  </si>
  <si>
    <t>Caye Chapel, Belize: Caye Chapel Airport</t>
  </si>
  <si>
    <t>CYF</t>
  </si>
  <si>
    <t>Chefornak, AK: Chefornak Airport</t>
  </si>
  <si>
    <t>CYI</t>
  </si>
  <si>
    <t>Chiayi, Taiwan: Chiayi Airport</t>
  </si>
  <si>
    <t>CYM</t>
  </si>
  <si>
    <t>Chatham, AK: Chatham Airport</t>
  </si>
  <si>
    <t>CYP</t>
  </si>
  <si>
    <t>Calbayog, Philippines: Calbayog Airport</t>
  </si>
  <si>
    <t>CYR</t>
  </si>
  <si>
    <t>Colonia, Uruguay: Laguna de Los Patos International</t>
  </si>
  <si>
    <t>Cheyenne, WY: Cheyenne Regional/Jerry Olson Field</t>
  </si>
  <si>
    <t>CYT</t>
  </si>
  <si>
    <t>Cape Yakataga, AK: Yakataga</t>
  </si>
  <si>
    <t>CYZ</t>
  </si>
  <si>
    <t>Cauayan, Philippines: Cauayan Airport</t>
  </si>
  <si>
    <t>CZ1</t>
  </si>
  <si>
    <t>Hradec Kralove, Czech Republic: Hradec Kralove Airport</t>
  </si>
  <si>
    <t>CZA</t>
  </si>
  <si>
    <t>Chichen Itza, Mexico: Chichen Itza International</t>
  </si>
  <si>
    <t>CZB</t>
  </si>
  <si>
    <t>Cruz Alta, Brazil: Cruz Alta Airport</t>
  </si>
  <si>
    <t>CZC</t>
  </si>
  <si>
    <t>Copper Center, AK: Copper Center 2</t>
  </si>
  <si>
    <t>CZE</t>
  </si>
  <si>
    <t>Coro, Venezuela: Jose Leonardo Chirino</t>
  </si>
  <si>
    <t>CZF</t>
  </si>
  <si>
    <t>Cape Romanzof, AK: Cape Romanzof LRRS</t>
  </si>
  <si>
    <t>CZH</t>
  </si>
  <si>
    <t>Corozal, Belize: Ranchito</t>
  </si>
  <si>
    <t>CZL</t>
  </si>
  <si>
    <t>Constantine, Algeria: Constantine/Ain El Bey</t>
  </si>
  <si>
    <t>CZM</t>
  </si>
  <si>
    <t>Cozumel, Mexico: Cozumel International</t>
  </si>
  <si>
    <t>CZN</t>
  </si>
  <si>
    <t>Chisana, AK: Chisana Airport</t>
  </si>
  <si>
    <t>CZO</t>
  </si>
  <si>
    <t>Chistochina, AK: Chistochina Airport</t>
  </si>
  <si>
    <t>CZP</t>
  </si>
  <si>
    <t>Cape Pole, AK: Cape Pole Airport</t>
  </si>
  <si>
    <t>CZS</t>
  </si>
  <si>
    <t>Cruzeiro Do Sul, Brazil: Cruzeiro Do Sul Airport</t>
  </si>
  <si>
    <t>CZU</t>
  </si>
  <si>
    <t>Corozal, Colombia: Las Brujas</t>
  </si>
  <si>
    <t>CZW</t>
  </si>
  <si>
    <t>Czestochowa, Poland: Czestochowy</t>
  </si>
  <si>
    <t>CZX</t>
  </si>
  <si>
    <t>Changzhou, China: Benniu</t>
  </si>
  <si>
    <t>Daytona Beach, FL: Daytona Beach International</t>
  </si>
  <si>
    <t>DAC</t>
  </si>
  <si>
    <t>Dhaka, Bangladesh: Hazrat Shahjalal International</t>
  </si>
  <si>
    <t>DAD</t>
  </si>
  <si>
    <t>Danang, Vietnam: Danang International</t>
  </si>
  <si>
    <t>DAE</t>
  </si>
  <si>
    <t>Daet, Philippines: Daet Airport</t>
  </si>
  <si>
    <t>DAF</t>
  </si>
  <si>
    <t>Daup, Papua New Guinea: Daup Airport</t>
  </si>
  <si>
    <t>DAG</t>
  </si>
  <si>
    <t>Daggett, CA: Barstow/Daggett</t>
  </si>
  <si>
    <t>DAK</t>
  </si>
  <si>
    <t>Dakhla Oasis, Egypt: Dakhla</t>
  </si>
  <si>
    <t>Dallas, TX: Dallas Love Field</t>
  </si>
  <si>
    <t>DAM</t>
  </si>
  <si>
    <t>Damascus, Syria: Damascus International</t>
  </si>
  <si>
    <t>DAN</t>
  </si>
  <si>
    <t>Danville, VA: Danville Regional</t>
  </si>
  <si>
    <t>DAR</t>
  </si>
  <si>
    <t>Dar Es Salaam, Tanzania: Julius Nyerere International</t>
  </si>
  <si>
    <t>DAT</t>
  </si>
  <si>
    <t>Datong, China: Datong Airport</t>
  </si>
  <si>
    <t>DAU</t>
  </si>
  <si>
    <t>Daru, Papua New Guinea: Daru Airport</t>
  </si>
  <si>
    <t>DAV</t>
  </si>
  <si>
    <t>David, Panama: Enrique Malek International</t>
  </si>
  <si>
    <t>DAX</t>
  </si>
  <si>
    <t>Daxian, China: Daxian Airport</t>
  </si>
  <si>
    <t>Dayton, OH: James M Cox/Dayton International</t>
  </si>
  <si>
    <t>DBB</t>
  </si>
  <si>
    <t>Dabaa City, Egypt: Al Alamain International</t>
  </si>
  <si>
    <t>DBL</t>
  </si>
  <si>
    <t>Goa, India: Goa Airport</t>
  </si>
  <si>
    <t>DBM</t>
  </si>
  <si>
    <t>Debra Marcos, Ethiopia: Debre Marcos</t>
  </si>
  <si>
    <t>DBN</t>
  </si>
  <si>
    <t>Dublin, GA: W H Bud Barron</t>
  </si>
  <si>
    <t>DBO</t>
  </si>
  <si>
    <t>Dubbo, Australia: Dubbo Airport</t>
  </si>
  <si>
    <t>Dubuque, IA: Dubuque Regional</t>
  </si>
  <si>
    <t>DBT</t>
  </si>
  <si>
    <t>Debra Tabor, Ethiopia: Debre Tabor</t>
  </si>
  <si>
    <t>DBV</t>
  </si>
  <si>
    <t>Dubrovnik, Croatia: Dubrovnik Airport</t>
  </si>
  <si>
    <t>DBY</t>
  </si>
  <si>
    <t>Dalby, Australia: Dalby Airport</t>
  </si>
  <si>
    <t>Washington, DC: Ronald Reagan Washington National</t>
  </si>
  <si>
    <t>DCF</t>
  </si>
  <si>
    <t>Roseau, Dominica: Canefield</t>
  </si>
  <si>
    <t>DCK</t>
  </si>
  <si>
    <t>Dahl Creek, AK: Dahl Creek Airport</t>
  </si>
  <si>
    <t>DCN</t>
  </si>
  <si>
    <t>Derby, Australia: Curtin</t>
  </si>
  <si>
    <t>DCS</t>
  </si>
  <si>
    <t>Finningley, United Kingdom: RAF Finningley</t>
  </si>
  <si>
    <t>DCU</t>
  </si>
  <si>
    <t>Decatur, AL: Pryor Field Regional</t>
  </si>
  <si>
    <t>Dodge City, KS: Dodge City Regional</t>
  </si>
  <si>
    <t>DDP</t>
  </si>
  <si>
    <t>Dorado, PR: Dorado Airport</t>
  </si>
  <si>
    <t>DE1</t>
  </si>
  <si>
    <t>Zweibrucken, Germany: Zweibruecken</t>
  </si>
  <si>
    <t>DE2</t>
  </si>
  <si>
    <t>Middletown, DE: Summit</t>
  </si>
  <si>
    <t>DE3</t>
  </si>
  <si>
    <t>Dover-Cheswold, DE: Delware Airpark</t>
  </si>
  <si>
    <t>DE4</t>
  </si>
  <si>
    <t>Bradenburg, Germany: Holzdorf</t>
  </si>
  <si>
    <t>DEA</t>
  </si>
  <si>
    <t>Dera Ghazi Khan, Pakistan: Farooq Ahmad Khan Leghari</t>
  </si>
  <si>
    <t>DEB</t>
  </si>
  <si>
    <t>Debrecen, Hungary: Debrecen Airport</t>
  </si>
  <si>
    <t>Decatur, IL: Decatur Airport</t>
  </si>
  <si>
    <t>DEH</t>
  </si>
  <si>
    <t>Decorah, IA: Decorah Municipal</t>
  </si>
  <si>
    <t>DEL</t>
  </si>
  <si>
    <t>Delhi, India: Indira Gandhi International</t>
  </si>
  <si>
    <t>DEM</t>
  </si>
  <si>
    <t>Dembi Dollo, Ethiopia: Dembi Dollo Airport</t>
  </si>
  <si>
    <t>Denver, CO: Denver International</t>
  </si>
  <si>
    <t>DES</t>
  </si>
  <si>
    <t>Desroches, Seychelles: Desroches Airport</t>
  </si>
  <si>
    <t>DET</t>
  </si>
  <si>
    <t>Detroit, MI: Coleman A. Young Municipal</t>
  </si>
  <si>
    <t>DEZ</t>
  </si>
  <si>
    <t>Deir Ezzor, Syria: Al Jafrah/Deir Ezzor</t>
  </si>
  <si>
    <t>DFI</t>
  </si>
  <si>
    <t>Defiance, OH: Defiance Memorial</t>
  </si>
  <si>
    <t>Dallas/Fort Worth, TX: Dallas/Fort Worth International</t>
  </si>
  <si>
    <t>DGB</t>
  </si>
  <si>
    <t>Danger Bay, AK: Danger Bay Airport</t>
  </si>
  <si>
    <t>DGO</t>
  </si>
  <si>
    <t>Durango, Mexico: Durango International</t>
  </si>
  <si>
    <t>DGT</t>
  </si>
  <si>
    <t>Dumaguete, Philippines: Dumaguete Airport</t>
  </si>
  <si>
    <t>DGW</t>
  </si>
  <si>
    <t>Douglas, WY: Converse County</t>
  </si>
  <si>
    <t>DGX</t>
  </si>
  <si>
    <t>St Athan, United Kingdom: St Athan Airport</t>
  </si>
  <si>
    <t>DHA</t>
  </si>
  <si>
    <t>Dhahran, Saudi Arabia: King Abdulaziz AB</t>
  </si>
  <si>
    <t>DHB</t>
  </si>
  <si>
    <t>Deer Harbor, WA: Deer Harbor Marina</t>
  </si>
  <si>
    <t>DHF</t>
  </si>
  <si>
    <t>Al Dhafra, United Arab Emirates: Al Dhafra Air Base</t>
  </si>
  <si>
    <t>DHI</t>
  </si>
  <si>
    <t>Dhangadhi, Nepal: Dhangadhi Airport</t>
  </si>
  <si>
    <t>DHL</t>
  </si>
  <si>
    <t>Dhala, Yemen: Dhala Airport</t>
  </si>
  <si>
    <t>Dothan, AL: Dothan Regional</t>
  </si>
  <si>
    <t>DHT</t>
  </si>
  <si>
    <t>Dalhart, TX: Dalhart Municipal</t>
  </si>
  <si>
    <t>DIB</t>
  </si>
  <si>
    <t>Dibrugarh, India: Dibrugarh Airport</t>
  </si>
  <si>
    <t>DIE</t>
  </si>
  <si>
    <t>Antsiranana, Madagascar: Arrachart</t>
  </si>
  <si>
    <t>DIG</t>
  </si>
  <si>
    <t>Shangri-La, China: Zhongdian</t>
  </si>
  <si>
    <t>DIJ</t>
  </si>
  <si>
    <t>Dijon, France: Dijon Longvic</t>
  </si>
  <si>
    <t>Dickinson, ND: Dickinson - Theodore Roosevelt Regional</t>
  </si>
  <si>
    <t>DIL</t>
  </si>
  <si>
    <t>Dili, Timor-Leste: Presidente Nicolau Lobato International</t>
  </si>
  <si>
    <t>DIO</t>
  </si>
  <si>
    <t>Diomede Island, AK: Diomede Heliport</t>
  </si>
  <si>
    <t>DIR</t>
  </si>
  <si>
    <t>Dire Dawa, Ethiopia: Aba Tenna Dejazmatch Yilma</t>
  </si>
  <si>
    <t>DIS</t>
  </si>
  <si>
    <t>Dolisie, Congo (Brazaville): Dolisie Airport</t>
  </si>
  <si>
    <t>DIU</t>
  </si>
  <si>
    <t>Diu, India: Diu Airport</t>
  </si>
  <si>
    <t>DIV</t>
  </si>
  <si>
    <t>Divo, Cote d'Ivoire: Divo Airport</t>
  </si>
  <si>
    <t>DIY</t>
  </si>
  <si>
    <t>Diyarbakir, Turkey: Diyarbakir Airport</t>
  </si>
  <si>
    <t>DJB</t>
  </si>
  <si>
    <t>Jambi, Indonesia: Paalmerah</t>
  </si>
  <si>
    <t>DJE</t>
  </si>
  <si>
    <t>Djerba, Tunisia: Djerba Airport</t>
  </si>
  <si>
    <t>DJG</t>
  </si>
  <si>
    <t>Djanet, Algeria: Tiska</t>
  </si>
  <si>
    <t>DJJ</t>
  </si>
  <si>
    <t>Jayapura, Indonesia: Sentani</t>
  </si>
  <si>
    <t>DJN</t>
  </si>
  <si>
    <t>Delta Junction, AK: Delta Junction Airport</t>
  </si>
  <si>
    <t>DJO</t>
  </si>
  <si>
    <t>Daloa, Cote d'Ivoire: Daloa Airport</t>
  </si>
  <si>
    <t>DK1</t>
  </si>
  <si>
    <t>Kolding Vamdrup, Denmark: Kolding Vamdrup Airport</t>
  </si>
  <si>
    <t>DKI</t>
  </si>
  <si>
    <t>Dunk Island, Australia: Kyboola</t>
  </si>
  <si>
    <t>DKK</t>
  </si>
  <si>
    <t>Dunkirk, NY: Chautauqua County/Dunkirk</t>
  </si>
  <si>
    <t>DKR</t>
  </si>
  <si>
    <t>Dakar, Senegal: Leopold Sedar Senghor International</t>
  </si>
  <si>
    <t>DLA</t>
  </si>
  <si>
    <t>Douala, Cameroon: Douala Airport</t>
  </si>
  <si>
    <t>DLC</t>
  </si>
  <si>
    <t>Dalian, China: Zhoushuizi</t>
  </si>
  <si>
    <t>DLF</t>
  </si>
  <si>
    <t>Del Rio, TX: Laughlin AFB</t>
  </si>
  <si>
    <t>Dillingham, AK: Dillingham Airport</t>
  </si>
  <si>
    <t>Duluth, MN: Duluth International</t>
  </si>
  <si>
    <t>DLI</t>
  </si>
  <si>
    <t>Dalat, Vietnam: Lienkhang</t>
  </si>
  <si>
    <t>DLL</t>
  </si>
  <si>
    <t>Dillon, SC: Dillon County</t>
  </si>
  <si>
    <t>DLM</t>
  </si>
  <si>
    <t>Dalaman, Turkey: Dalaman Airport</t>
  </si>
  <si>
    <t>DLO</t>
  </si>
  <si>
    <t>Dolomi, AK: Dolomi Airport</t>
  </si>
  <si>
    <t>DLS</t>
  </si>
  <si>
    <t>The Dalles, OR: Columbia Gorge Regional/The Dalles Municipal</t>
  </si>
  <si>
    <t>DLU</t>
  </si>
  <si>
    <t>Dali City, China: Xiaguan</t>
  </si>
  <si>
    <t>DMA</t>
  </si>
  <si>
    <t>Tucson, AZ: Davis Monthan AFB</t>
  </si>
  <si>
    <t>DMB</t>
  </si>
  <si>
    <t>Taraz, Kazakhstan: Taraz Airport</t>
  </si>
  <si>
    <t>DME</t>
  </si>
  <si>
    <t>Moscow, Russia: Domodedovo</t>
  </si>
  <si>
    <t>DMK</t>
  </si>
  <si>
    <t>Bangkok, Thailand: Don Mueang International</t>
  </si>
  <si>
    <t>DMM</t>
  </si>
  <si>
    <t>Dammam, Saudi Arabia: King Fahd International</t>
  </si>
  <si>
    <t>DMN</t>
  </si>
  <si>
    <t>Deming, NM: Deming Municipal</t>
  </si>
  <si>
    <t>DMO</t>
  </si>
  <si>
    <t>Sedalia, MO: Sedalia Regional</t>
  </si>
  <si>
    <t>DMU</t>
  </si>
  <si>
    <t>Dimapur, India: Manipur Road</t>
  </si>
  <si>
    <t>DNA</t>
  </si>
  <si>
    <t>Okinawa, Japan: Kadena AB</t>
  </si>
  <si>
    <t>DNB</t>
  </si>
  <si>
    <t>Dunbar, Australia: Dunbar Airport</t>
  </si>
  <si>
    <t>DNC</t>
  </si>
  <si>
    <t>Duncan Canal, AK: Duncan Canal Airport</t>
  </si>
  <si>
    <t>DND</t>
  </si>
  <si>
    <t>Dundee, United Kingdom: Dundee Airport</t>
  </si>
  <si>
    <t>DNE</t>
  </si>
  <si>
    <t>Dallas/Fort Worth, TX: Dallas North</t>
  </si>
  <si>
    <t>DNK</t>
  </si>
  <si>
    <t>Dnipropetrovsk, Ukraine: Dnipro International</t>
  </si>
  <si>
    <t>DNL</t>
  </si>
  <si>
    <t>Augusta, GA: Daniel Field</t>
  </si>
  <si>
    <t>DNN</t>
  </si>
  <si>
    <t>Dalton, GA: Dalton Municipal</t>
  </si>
  <si>
    <t>DNO</t>
  </si>
  <si>
    <t>Dianopolis, Brazil: Dianopolis Airport</t>
  </si>
  <si>
    <t>DNQ</t>
  </si>
  <si>
    <t>Deniliquin, Australia: Deniliquin Airport</t>
  </si>
  <si>
    <t>DNR</t>
  </si>
  <si>
    <t>Dinard, France: Dinard Pleurtuit Saint Malo</t>
  </si>
  <si>
    <t>DNV</t>
  </si>
  <si>
    <t>Danville, IL: Vermilion Regional</t>
  </si>
  <si>
    <t>DNZ</t>
  </si>
  <si>
    <t>Denizli, Turkey: Cardak</t>
  </si>
  <si>
    <t>DOD</t>
  </si>
  <si>
    <t>Dodoma, Tanzania: Dodoma Airport</t>
  </si>
  <si>
    <t>DOF</t>
  </si>
  <si>
    <t>Dora Bay, AK: Dora Bay Airport</t>
  </si>
  <si>
    <t>DOG</t>
  </si>
  <si>
    <t>Dongola, Sudan: Dongola Airport</t>
  </si>
  <si>
    <t>DOH</t>
  </si>
  <si>
    <t>Doha, Qatar: Doha International</t>
  </si>
  <si>
    <t>DOK</t>
  </si>
  <si>
    <t>Donetsk, Ukraine: Donetsk International</t>
  </si>
  <si>
    <t>DOL</t>
  </si>
  <si>
    <t>Deauville, France: Deauville Normandie</t>
  </si>
  <si>
    <t>DOM</t>
  </si>
  <si>
    <t>Marigot, Dominica: Douglas Charles</t>
  </si>
  <si>
    <t>DON</t>
  </si>
  <si>
    <t>Dos Lagunas, Guatemala: Dos Lagunas Airport</t>
  </si>
  <si>
    <t>DOU</t>
  </si>
  <si>
    <t>Dourados, Brazil: Dourados Airport</t>
  </si>
  <si>
    <t>DOV</t>
  </si>
  <si>
    <t>Dover, DE: Dover AFB</t>
  </si>
  <si>
    <t>DPA</t>
  </si>
  <si>
    <t>Chicago, IL: Du Page County</t>
  </si>
  <si>
    <t>DPG</t>
  </si>
  <si>
    <t>Dugway, UT: Michael AAF</t>
  </si>
  <si>
    <t>DPL</t>
  </si>
  <si>
    <t>Dipolog, Philippines: Dipolog Airport</t>
  </si>
  <si>
    <t>DPO</t>
  </si>
  <si>
    <t>Devonport, Australia: Devonport Airport</t>
  </si>
  <si>
    <t>DPS</t>
  </si>
  <si>
    <t>Denpasar, Indonesia: Gusti Ngurah Rai International</t>
  </si>
  <si>
    <t>DQA</t>
  </si>
  <si>
    <t>Daqing Shi, China: Saertu</t>
  </si>
  <si>
    <t>DQB</t>
  </si>
  <si>
    <t>Montijo, Portugal: Montijo Airport</t>
  </si>
  <si>
    <t>DQC</t>
  </si>
  <si>
    <t>Sebastian, FL: Sebastian Municipal</t>
  </si>
  <si>
    <t>DQD</t>
  </si>
  <si>
    <t>Soda Springs, ID: Allen H Tigert</t>
  </si>
  <si>
    <t>DQE</t>
  </si>
  <si>
    <t>Holtville, CA: Holtville Airport</t>
  </si>
  <si>
    <t>DQF</t>
  </si>
  <si>
    <t>Phoenix, AZ: Williams Gateway</t>
  </si>
  <si>
    <t>DQG</t>
  </si>
  <si>
    <t>Springfield, TN: Springfield Robertson County</t>
  </si>
  <si>
    <t>DQH</t>
  </si>
  <si>
    <t>DQI</t>
  </si>
  <si>
    <t>Colusa, CA: Colusa County</t>
  </si>
  <si>
    <t>DQJ</t>
  </si>
  <si>
    <t>Killdeer, ND: Dunn County Weydahl Field</t>
  </si>
  <si>
    <t>DQK</t>
  </si>
  <si>
    <t>Fort Drum, NY: Wheeler-Sack AAF</t>
  </si>
  <si>
    <t>DQL</t>
  </si>
  <si>
    <t>Anchorage, AK: Lake Hood</t>
  </si>
  <si>
    <t>DQN</t>
  </si>
  <si>
    <t>New Smyrna Beach, FL: New Smyrna Beach Municipal</t>
  </si>
  <si>
    <t>DQO</t>
  </si>
  <si>
    <t>Delhi, LA: Delhi Municipal</t>
  </si>
  <si>
    <t>DQP</t>
  </si>
  <si>
    <t>Georgetown, KY: Marshall Field</t>
  </si>
  <si>
    <t>DQQ</t>
  </si>
  <si>
    <t>Cozad, NE: Cozad Municipal</t>
  </si>
  <si>
    <t>DQR</t>
  </si>
  <si>
    <t>DQS</t>
  </si>
  <si>
    <t>Whitmore, AZ: Grand Canyon Bar Ten Airstrip</t>
  </si>
  <si>
    <t>DQT</t>
  </si>
  <si>
    <t>Boscombe, United Kingdom: Boscombe Down</t>
  </si>
  <si>
    <t>DQU</t>
  </si>
  <si>
    <t>Ketchikan, AK: Neets Bay</t>
  </si>
  <si>
    <t>DQV</t>
  </si>
  <si>
    <t>Haines, AK: Glacier Point</t>
  </si>
  <si>
    <t>DQW</t>
  </si>
  <si>
    <t>Peach Springs, AZ: Hualapai</t>
  </si>
  <si>
    <t>DQX</t>
  </si>
  <si>
    <t>Tsui River, AK: Tsui River Airport</t>
  </si>
  <si>
    <t>DQY</t>
  </si>
  <si>
    <t>Cape Canaveral, FL: Cape Canaveral AFS Skid Strip</t>
  </si>
  <si>
    <t>DQZ</t>
  </si>
  <si>
    <t>Platinum, AK: Platinum Mine</t>
  </si>
  <si>
    <t>DRA</t>
  </si>
  <si>
    <t>Mercury, NV: Desert Rock</t>
  </si>
  <si>
    <t>DRB</t>
  </si>
  <si>
    <t>Derby, Australia: Derby Airport</t>
  </si>
  <si>
    <t>DRE</t>
  </si>
  <si>
    <t>Drummond Island, MI: Drummond Island Airport</t>
  </si>
  <si>
    <t>DRF</t>
  </si>
  <si>
    <t>Drift River, AK: Drift River Airport</t>
  </si>
  <si>
    <t>DRG</t>
  </si>
  <si>
    <t>Deering, AK: Deering Airport</t>
  </si>
  <si>
    <t>DRN</t>
  </si>
  <si>
    <t>Dirranbandi, Australia: Dirranbandi Airport</t>
  </si>
  <si>
    <t>Durango, CO: Durango La Plata County</t>
  </si>
  <si>
    <t>DRS</t>
  </si>
  <si>
    <t>Dresden, Germany: Dresden Airport</t>
  </si>
  <si>
    <t>Del Rio, TX: Del Rio International</t>
  </si>
  <si>
    <t>DRU</t>
  </si>
  <si>
    <t>Drummond, MT: Drummond Airport</t>
  </si>
  <si>
    <t>DRW</t>
  </si>
  <si>
    <t>Darwin, Australia: Darwin International</t>
  </si>
  <si>
    <t>DSA</t>
  </si>
  <si>
    <t>Finningley, United Kingdom: Doncaster Sheffield</t>
  </si>
  <si>
    <t>DSD</t>
  </si>
  <si>
    <t>La Desirade, Guadeloupe: La Desirade Airport</t>
  </si>
  <si>
    <t>DSE</t>
  </si>
  <si>
    <t>Dessie, Ethiopia: Dessie/Combolcha</t>
  </si>
  <si>
    <t>DSI</t>
  </si>
  <si>
    <t>Destin, FL: Destin Executive</t>
  </si>
  <si>
    <t>DSK</t>
  </si>
  <si>
    <t>Dera Ismail Khan, Pakistan: D. I. Khan</t>
  </si>
  <si>
    <t>Des Moines, IA: Des Moines International</t>
  </si>
  <si>
    <t>DSS</t>
  </si>
  <si>
    <t>Dakar Thies, Senegal: Blaise Diagne International</t>
  </si>
  <si>
    <t>DTA</t>
  </si>
  <si>
    <t>Delta, UT: Delta Municipal</t>
  </si>
  <si>
    <t>DTH</t>
  </si>
  <si>
    <t>Death Valley, CA: Furnace Creek</t>
  </si>
  <si>
    <t>DTL</t>
  </si>
  <si>
    <t>Detroit Lakes, MN: Detroit Lakes-Wething Field</t>
  </si>
  <si>
    <t>DTM</t>
  </si>
  <si>
    <t>Dortmund, Germany: Dortmund Airport</t>
  </si>
  <si>
    <t>DTN</t>
  </si>
  <si>
    <t>Shreveport, LA: Shreveport Downtown</t>
  </si>
  <si>
    <t>DTO</t>
  </si>
  <si>
    <t>Denton, TX: Denton Enterprise</t>
  </si>
  <si>
    <t>DTR</t>
  </si>
  <si>
    <t>Decatur Island, WA: Decatur</t>
  </si>
  <si>
    <t>DTT</t>
  </si>
  <si>
    <t>Detroit, MI: Detroit Metropolitan Area</t>
  </si>
  <si>
    <t>Detroit, MI: Detroit Metro Wayne County</t>
  </si>
  <si>
    <t>DUA</t>
  </si>
  <si>
    <t>Durant, OK: Eaker Field</t>
  </si>
  <si>
    <t>DUB</t>
  </si>
  <si>
    <t>Dublin, Ireland: Dublin Airport</t>
  </si>
  <si>
    <t>DUC</t>
  </si>
  <si>
    <t>Duncan, OK: Halliburton Field</t>
  </si>
  <si>
    <t>DUD</t>
  </si>
  <si>
    <t>Dunedin, New Zealand: Dunedin Airport</t>
  </si>
  <si>
    <t>DUE</t>
  </si>
  <si>
    <t>Dundo, Angola: Dundo Airport</t>
  </si>
  <si>
    <t>DUF</t>
  </si>
  <si>
    <t>Duck, NC: Pine Island</t>
  </si>
  <si>
    <t>DUG</t>
  </si>
  <si>
    <t>Douglas, AZ: Bisbee Douglas International</t>
  </si>
  <si>
    <t>DUJ</t>
  </si>
  <si>
    <t>DuBois, PA: DuBois Regional</t>
  </si>
  <si>
    <t>DUQ</t>
  </si>
  <si>
    <t>Duncan/Quamichan Lake, Canada: Duncan</t>
  </si>
  <si>
    <t>DUR</t>
  </si>
  <si>
    <t>Durban, South Africa: King Shaka International</t>
  </si>
  <si>
    <t>DUS</t>
  </si>
  <si>
    <t>Dusseldorf, Germany: Duesseldorf</t>
  </si>
  <si>
    <t>Unalaska, AK: Unalaska Airport</t>
  </si>
  <si>
    <t>DVK</t>
  </si>
  <si>
    <t>Diavik, Canada: Diavik Airport</t>
  </si>
  <si>
    <t>Devils Lake, ND: Devils Lake Regional</t>
  </si>
  <si>
    <t>DVN</t>
  </si>
  <si>
    <t>Davenport, IA: Davenport Municipal</t>
  </si>
  <si>
    <t>DVO</t>
  </si>
  <si>
    <t>Davao, Philippines: Francisco Bangoy International</t>
  </si>
  <si>
    <t>DVT</t>
  </si>
  <si>
    <t>Phoenix, AZ: Phoenix - Deer Valley</t>
  </si>
  <si>
    <t>DWA</t>
  </si>
  <si>
    <t>Davis/Woodland/Winters, CA: Yolo County</t>
  </si>
  <si>
    <t>DWC</t>
  </si>
  <si>
    <t>Jebel Ali, United Arab Emirates: Al Maktoum International</t>
  </si>
  <si>
    <t>DWH</t>
  </si>
  <si>
    <t>Houston, TX: David Wayne Hooks Memorial</t>
  </si>
  <si>
    <t>DWS</t>
  </si>
  <si>
    <t>Orlando, FL: Walt Disney World</t>
  </si>
  <si>
    <t>DXB</t>
  </si>
  <si>
    <t>Dubai, United Arab Emirates: Dubai International</t>
  </si>
  <si>
    <t>DXR</t>
  </si>
  <si>
    <t>Danbury, CT: Danbury Municipal</t>
  </si>
  <si>
    <t>DYG</t>
  </si>
  <si>
    <t>Dayong, China: Hehua</t>
  </si>
  <si>
    <t>DYL</t>
  </si>
  <si>
    <t>Doylestown, PA: Doylestown Airport</t>
  </si>
  <si>
    <t>DYR</t>
  </si>
  <si>
    <t>Anadyr, Russia: Ugolny</t>
  </si>
  <si>
    <t>DYS</t>
  </si>
  <si>
    <t>Abilene, TX: Dyess AFB</t>
  </si>
  <si>
    <t>DYU</t>
  </si>
  <si>
    <t>Dushanbe, Tajikistan: Dushanbe Airport</t>
  </si>
  <si>
    <t>DZA</t>
  </si>
  <si>
    <t>Dzaoudzi, Mayotte: Dzaoudzi-Pamandzi</t>
  </si>
  <si>
    <t>DZN</t>
  </si>
  <si>
    <t>Zhezkazgan, Kazakhstan: Zhezkazgan Airport</t>
  </si>
  <si>
    <t>DZO</t>
  </si>
  <si>
    <t>Durazno, Uruguay: Durazno Airport</t>
  </si>
  <si>
    <t>EAA</t>
  </si>
  <si>
    <t>Eagle, AK: Eagle Airport</t>
  </si>
  <si>
    <t>EAG</t>
  </si>
  <si>
    <t>Noatak, AK: Eagle Creek Strip</t>
  </si>
  <si>
    <t>EAM</t>
  </si>
  <si>
    <t>Nejran, Saudi Arabia: Nejran Airport</t>
  </si>
  <si>
    <t>EAN</t>
  </si>
  <si>
    <t>Wheatland, WY: Phifer Airfield</t>
  </si>
  <si>
    <t>Kearney, NE: Kearney Regional</t>
  </si>
  <si>
    <t>EAS</t>
  </si>
  <si>
    <t>San Sebastian, Spain: San Sebastian Airport</t>
  </si>
  <si>
    <t>Wenatchee, WA: Pangborn Memorial</t>
  </si>
  <si>
    <t>Eau Claire, WI: Chippewa Valley Regional</t>
  </si>
  <si>
    <t>EBA</t>
  </si>
  <si>
    <t>Elba Island, Italy: Marina Di Campo</t>
  </si>
  <si>
    <t>EBB</t>
  </si>
  <si>
    <t>Entebbe/Kampala, Uganda: Entebbe International</t>
  </si>
  <si>
    <t>EBD</t>
  </si>
  <si>
    <t>El Obeid, Sudan: El Obeid Airport</t>
  </si>
  <si>
    <t>EBJ</t>
  </si>
  <si>
    <t>Esbjerg, Denmark: Esbjerg Airport</t>
  </si>
  <si>
    <t>EBL</t>
  </si>
  <si>
    <t>Erbil, Iraq: Erbil International</t>
  </si>
  <si>
    <t>EBU</t>
  </si>
  <si>
    <t>St. Etienne, France: Saint Etienne Loire</t>
  </si>
  <si>
    <t>ECA</t>
  </si>
  <si>
    <t>East Tawas, MI: Iosco County</t>
  </si>
  <si>
    <t>ECG</t>
  </si>
  <si>
    <t>Elizabeth City, NC: Elizabeth City CGAS/Regional</t>
  </si>
  <si>
    <t>ECI</t>
  </si>
  <si>
    <t>Rivas, Nicaragua: Costa Esmeralda</t>
  </si>
  <si>
    <t>ECN</t>
  </si>
  <si>
    <t>Ercan, Cyprus: Ercan Airport</t>
  </si>
  <si>
    <t>Panama City, FL: Northwest Florida Beaches International</t>
  </si>
  <si>
    <t>ECS</t>
  </si>
  <si>
    <t>Newcastle, WY: Mondell Field</t>
  </si>
  <si>
    <t>ECU</t>
  </si>
  <si>
    <t>Rocksprings, TX: Edwards County</t>
  </si>
  <si>
    <t>EDA</t>
  </si>
  <si>
    <t>Edna Bay, AK: Edna Bay Airport</t>
  </si>
  <si>
    <t>EDE</t>
  </si>
  <si>
    <t>Edenton, NC: Northeastern Regional</t>
  </si>
  <si>
    <t>EDF</t>
  </si>
  <si>
    <t>Anchorage, AK: Elmendorf AFB</t>
  </si>
  <si>
    <t>EDI</t>
  </si>
  <si>
    <t>Edinburgh, United Kingdom: Edinburgh Airport</t>
  </si>
  <si>
    <t>EDL</t>
  </si>
  <si>
    <t>Eldoret, Kenya: Eldoret Airport</t>
  </si>
  <si>
    <t>EDW</t>
  </si>
  <si>
    <t>Edwards, CA: Edwards AFB</t>
  </si>
  <si>
    <t>EE1</t>
  </si>
  <si>
    <t>Amari, Estonia: Amari Airport</t>
  </si>
  <si>
    <t>EED</t>
  </si>
  <si>
    <t>Needles, CA: Needles Airport</t>
  </si>
  <si>
    <t>EEK</t>
  </si>
  <si>
    <t>Eek, AK: Eek Airport</t>
  </si>
  <si>
    <t>EEN</t>
  </si>
  <si>
    <t>Keene, NH: Dillant Hopkins</t>
  </si>
  <si>
    <t>EFB</t>
  </si>
  <si>
    <t>Eight Fathom Bight, AK: Eight Fathom Bight Airport</t>
  </si>
  <si>
    <t>EFD</t>
  </si>
  <si>
    <t>Houston, TX: Ellington</t>
  </si>
  <si>
    <t>EFK</t>
  </si>
  <si>
    <t>Newport, VT: Northeast Kingdom International</t>
  </si>
  <si>
    <t>EFL</t>
  </si>
  <si>
    <t>Kefallinia Island, Greece: Argostolion</t>
  </si>
  <si>
    <t>EG1</t>
  </si>
  <si>
    <t>Cairo, Egypt: Sphinx International</t>
  </si>
  <si>
    <t>EG2</t>
  </si>
  <si>
    <t>Jiyanklis, Egypt: Jiyanklis AB</t>
  </si>
  <si>
    <t>EG3</t>
  </si>
  <si>
    <t>Beni Suef, Egypt: Beni Suef Airport</t>
  </si>
  <si>
    <t>EGA</t>
  </si>
  <si>
    <t>Chenega, AK: Chenega Airport</t>
  </si>
  <si>
    <t>EGC</t>
  </si>
  <si>
    <t>Bergerac, France: Bergerac Dordogne Perigord</t>
  </si>
  <si>
    <t>Eagle, CO: Eagle County Regional</t>
  </si>
  <si>
    <t>EGI</t>
  </si>
  <si>
    <t>Crestview, FL: Duke Field</t>
  </si>
  <si>
    <t>EGN</t>
  </si>
  <si>
    <t>Geneina, Sudan: Geneina Airport</t>
  </si>
  <si>
    <t>EGP</t>
  </si>
  <si>
    <t>Eagle Pass, TX: Eagle Pass Municipal</t>
  </si>
  <si>
    <t>EGS</t>
  </si>
  <si>
    <t>Egilsstadir, Iceland: Egilsstadir Airport</t>
  </si>
  <si>
    <t>EGT</t>
  </si>
  <si>
    <t>Wellington, KS: Wellington Municipal</t>
  </si>
  <si>
    <t>EGV</t>
  </si>
  <si>
    <t>Eagle River, WI: Eagle River Union</t>
  </si>
  <si>
    <t>EGX</t>
  </si>
  <si>
    <t>Egegik, AK: Egegik Airport</t>
  </si>
  <si>
    <t>EHM</t>
  </si>
  <si>
    <t>Cape Newenham, AK: Cape Newenham LRRS</t>
  </si>
  <si>
    <t>EHR</t>
  </si>
  <si>
    <t>Eagle Harbor, AK: Eagle Harbor Airport</t>
  </si>
  <si>
    <t>EHT</t>
  </si>
  <si>
    <t>East Hartford, CT: Rentschler Heliport</t>
  </si>
  <si>
    <t>EIA</t>
  </si>
  <si>
    <t>Eia, Papua New Guinea: Eia Airport</t>
  </si>
  <si>
    <t>EIB</t>
  </si>
  <si>
    <t>Eisenach, Germany: Eisenach Kindel</t>
  </si>
  <si>
    <t>EIL</t>
  </si>
  <si>
    <t>Fairbanks, AK: Eielson AFB</t>
  </si>
  <si>
    <t>EIN</t>
  </si>
  <si>
    <t>Eindhoven, Netherlands: Eindhoven Airport</t>
  </si>
  <si>
    <t>EIS</t>
  </si>
  <si>
    <t>Road Town, British Virgin Islands: Terrance B Lettsome</t>
  </si>
  <si>
    <t>EJA</t>
  </si>
  <si>
    <t>Barrancabermeja, Colombia: Yariguies</t>
  </si>
  <si>
    <t>EJH</t>
  </si>
  <si>
    <t>Wedjh, Saudi Arabia: Wedjh Airport</t>
  </si>
  <si>
    <t>EKA</t>
  </si>
  <si>
    <t>Eureka, CA: Murray Field</t>
  </si>
  <si>
    <t>EKI</t>
  </si>
  <si>
    <t>Elkhart, IN: Elkhart Municipal</t>
  </si>
  <si>
    <t>EKN</t>
  </si>
  <si>
    <t>Elkins, WV: Elkins-Randolph County-Jennings Randolph Field</t>
  </si>
  <si>
    <t>Elko, NV: Elko Regional</t>
  </si>
  <si>
    <t>EKX</t>
  </si>
  <si>
    <t>Elizabethtown, KY: Addington Field</t>
  </si>
  <si>
    <t>EKY</t>
  </si>
  <si>
    <t>Bessemer, AL: Bessemer Airport</t>
  </si>
  <si>
    <t>ELA</t>
  </si>
  <si>
    <t>Eagle Lake, TX: Eagle Lake Airport</t>
  </si>
  <si>
    <t>ELB</t>
  </si>
  <si>
    <t>El Banco, Colombia: El Banco Airport</t>
  </si>
  <si>
    <t>ELC</t>
  </si>
  <si>
    <t>Elcho Island, Australia: Elcho Island Airport</t>
  </si>
  <si>
    <t>ELD</t>
  </si>
  <si>
    <t>El Dorado, AR: South Arkansas Regional at Goodwin Field</t>
  </si>
  <si>
    <t>ELF</t>
  </si>
  <si>
    <t>El Fasher, Sudan: El Fasher Airport</t>
  </si>
  <si>
    <t>ELG</t>
  </si>
  <si>
    <t>El Golea, Algeria: El Golea Airport</t>
  </si>
  <si>
    <t>ELH</t>
  </si>
  <si>
    <t>North Eleuthera, The Bahamas: North Eleuthera Airport</t>
  </si>
  <si>
    <t>ELI</t>
  </si>
  <si>
    <t>Elim, AK: Elim Airport</t>
  </si>
  <si>
    <t>ELJ</t>
  </si>
  <si>
    <t>El Recreo, Colombia: El Recreo Airport</t>
  </si>
  <si>
    <t>Elmira/Corning, NY: Elmira/Corning Regional</t>
  </si>
  <si>
    <t>ELN</t>
  </si>
  <si>
    <t>Ellensburg, WA: Bowers Field</t>
  </si>
  <si>
    <t>El Paso, TX: El Paso International</t>
  </si>
  <si>
    <t>ELQ</t>
  </si>
  <si>
    <t>Gassim, Saudi Arabia: Prince Naif Bin Abdulaziz</t>
  </si>
  <si>
    <t>ELS</t>
  </si>
  <si>
    <t>East London, South Africa: East London Airport</t>
  </si>
  <si>
    <t>ELT</t>
  </si>
  <si>
    <t>El Tor, Egypt: El Tor Airport</t>
  </si>
  <si>
    <t>ELV</t>
  </si>
  <si>
    <t>Elfin Cove, AK: Elfin Cove Seaplane Base</t>
  </si>
  <si>
    <t>ELW</t>
  </si>
  <si>
    <t>Ellamar, AK: Ellamar Seaplane Base</t>
  </si>
  <si>
    <t>ELY</t>
  </si>
  <si>
    <t>Ely, NV: Ely Airport/Yelland Field</t>
  </si>
  <si>
    <t>EMA</t>
  </si>
  <si>
    <t>Derby, United Kingdom: East Midlands</t>
  </si>
  <si>
    <t>EMD</t>
  </si>
  <si>
    <t>Emerald, Australia: Emerald Airport</t>
  </si>
  <si>
    <t>EMK</t>
  </si>
  <si>
    <t>Emmonak, AK: Emmonak Airport</t>
  </si>
  <si>
    <t>EML</t>
  </si>
  <si>
    <t>Emmen, Switzerland: Emmen Airport</t>
  </si>
  <si>
    <t>EMM</t>
  </si>
  <si>
    <t>Kemmerer, WY: Kemmerer Municipal</t>
  </si>
  <si>
    <t>EMN</t>
  </si>
  <si>
    <t>Nema, Mauritania: Nema Airport</t>
  </si>
  <si>
    <t>EMP</t>
  </si>
  <si>
    <t>Emporia, KS: Emporia Municipal</t>
  </si>
  <si>
    <t>EMT</t>
  </si>
  <si>
    <t>El Monte, CA: San Gabriel Valley</t>
  </si>
  <si>
    <t>ENA</t>
  </si>
  <si>
    <t>Kenai, AK: Kenai Municipal</t>
  </si>
  <si>
    <t>ENC</t>
  </si>
  <si>
    <t>Nancy, France: Nancy Essey</t>
  </si>
  <si>
    <t>END</t>
  </si>
  <si>
    <t>Enid, OK: Vance AFB</t>
  </si>
  <si>
    <t>ENL</t>
  </si>
  <si>
    <t>Centralia, IL: Centralia Municipal</t>
  </si>
  <si>
    <t>ENN</t>
  </si>
  <si>
    <t>Nenana, AK: Nenana Municipal</t>
  </si>
  <si>
    <t>ENQ</t>
  </si>
  <si>
    <t>Comayagua, Honduras: Coronel Enrique Soto Cano AB</t>
  </si>
  <si>
    <t>ENS</t>
  </si>
  <si>
    <t>Enschede, Netherlands: Twente</t>
  </si>
  <si>
    <t>ENU</t>
  </si>
  <si>
    <t>Enugu, Nigeria: Akanu Ibiam International</t>
  </si>
  <si>
    <t>ENV</t>
  </si>
  <si>
    <t>Wendover, UT: Wendover Airport</t>
  </si>
  <si>
    <t>ENW</t>
  </si>
  <si>
    <t>Kenosha, WI: Kenosha Regional</t>
  </si>
  <si>
    <t>EOH</t>
  </si>
  <si>
    <t>Medellin, Colombia: Olaya Herrera</t>
  </si>
  <si>
    <t>EOK</t>
  </si>
  <si>
    <t>Keokuk, IA: Keokuk Municipal</t>
  </si>
  <si>
    <t>EPA</t>
  </si>
  <si>
    <t>El Palomar, Argentina: El Palomar Airport</t>
  </si>
  <si>
    <t>EPH</t>
  </si>
  <si>
    <t>Ephrata/Moses Lake, WA: Ephrata Municipal</t>
  </si>
  <si>
    <t>EPL</t>
  </si>
  <si>
    <t>Epinal, France: Epinal Mirecourt</t>
  </si>
  <si>
    <t>EPN</t>
  </si>
  <si>
    <t>Epena, Congo (Brazaville): Epena Airport</t>
  </si>
  <si>
    <t>EPR</t>
  </si>
  <si>
    <t>Esperance, Australia: Esperance Airport</t>
  </si>
  <si>
    <t>EQS</t>
  </si>
  <si>
    <t>Esquel, Argentina: Esquel Airport</t>
  </si>
  <si>
    <t>ERA</t>
  </si>
  <si>
    <t>Erigavo, Somalia: Erigavo Airport</t>
  </si>
  <si>
    <t>ERC</t>
  </si>
  <si>
    <t>Erzincan, Turkey: Erzincan Airport</t>
  </si>
  <si>
    <t>ERD</t>
  </si>
  <si>
    <t>Berdyansk, Ukraine: Berdyansk Airport</t>
  </si>
  <si>
    <t>ERF</t>
  </si>
  <si>
    <t>Erfurt, Germany: Erfurt Weimar</t>
  </si>
  <si>
    <t>Erie, PA: Erie International/Tom Ridge Field</t>
  </si>
  <si>
    <t>ERM</t>
  </si>
  <si>
    <t>Erechim, Brazil: Erechim Airport</t>
  </si>
  <si>
    <t>ERN</t>
  </si>
  <si>
    <t>Eirunepe, Brazil: Eirunepe Airport</t>
  </si>
  <si>
    <t>ERS</t>
  </si>
  <si>
    <t>Windhoek, Namibia: Eros</t>
  </si>
  <si>
    <t>ERT</t>
  </si>
  <si>
    <t>Erdenet, Mongolia: Erdenet Airport</t>
  </si>
  <si>
    <t>ERV</t>
  </si>
  <si>
    <t>Kerrville, TX: Kerrville Municipal/Louis Schreiner Field</t>
  </si>
  <si>
    <t>ERZ</t>
  </si>
  <si>
    <t>Erzurum, Turkey: Erzurum Airport</t>
  </si>
  <si>
    <t>ES1</t>
  </si>
  <si>
    <t>Madrid, Spain: Getafe</t>
  </si>
  <si>
    <t>ESA</t>
  </si>
  <si>
    <t>Esa'ala, Papua New Guinea: Esa'ala Airport</t>
  </si>
  <si>
    <t>ESB</t>
  </si>
  <si>
    <t>Ankara, Turkey: Esenboga</t>
  </si>
  <si>
    <t>Escanaba, MI: Delta County</t>
  </si>
  <si>
    <t>ESD</t>
  </si>
  <si>
    <t>Eastsound, WA: Orcas Island</t>
  </si>
  <si>
    <t>ESE</t>
  </si>
  <si>
    <t>Ensenada, Mexico: General Alberto L Salinas Carranza</t>
  </si>
  <si>
    <t>ESF</t>
  </si>
  <si>
    <t>Alexandria, LA: Esler Regional</t>
  </si>
  <si>
    <t>ESM</t>
  </si>
  <si>
    <t>Esmeraldas, Ecuador: Coronel Carlos Concha Torres</t>
  </si>
  <si>
    <t>ESN</t>
  </si>
  <si>
    <t>Easton, MD: Easton/Newnam Field</t>
  </si>
  <si>
    <t>ESP</t>
  </si>
  <si>
    <t>Stroudsburg, PA: Stroudsburg Pocono</t>
  </si>
  <si>
    <t>ESR</t>
  </si>
  <si>
    <t>El Salvador, Chile: Ricardo Garcia Posada</t>
  </si>
  <si>
    <t>ESS</t>
  </si>
  <si>
    <t>Essen, Germany: Essen Muelheim</t>
  </si>
  <si>
    <t>EST</t>
  </si>
  <si>
    <t>Estherville, IA: Estherville Municipal</t>
  </si>
  <si>
    <t>ETB</t>
  </si>
  <si>
    <t>West Bend, WI: West Bend Municipal</t>
  </si>
  <si>
    <t>ETH</t>
  </si>
  <si>
    <t>Eilat, Israel: Eilat Airport</t>
  </si>
  <si>
    <t>ETN</t>
  </si>
  <si>
    <t>Eastland, TX: Eastland Municipal</t>
  </si>
  <si>
    <t>ETS</t>
  </si>
  <si>
    <t>Enterprise, AL: Enterprise Municipal</t>
  </si>
  <si>
    <t>ETZ</t>
  </si>
  <si>
    <t>Metz/Nancy, France: Metz Nancy Lorraine</t>
  </si>
  <si>
    <t>EUA</t>
  </si>
  <si>
    <t>Eua, Tonga: Eua Airport</t>
  </si>
  <si>
    <t>EUE</t>
  </si>
  <si>
    <t>Eureka, NV: Eureka Airport</t>
  </si>
  <si>
    <t>EUF</t>
  </si>
  <si>
    <t>Eufaula, AL: Weedon Field</t>
  </si>
  <si>
    <t>Eugene, OR: Mahlon Sweet Field</t>
  </si>
  <si>
    <t>EUN</t>
  </si>
  <si>
    <t>Laayoune, Morocco: Hassan I International</t>
  </si>
  <si>
    <t>EUX</t>
  </si>
  <si>
    <t>St. Eustatius, Bonaire, Sint Eustatius, and Saba: F.D. Roosevelt</t>
  </si>
  <si>
    <t>EVC</t>
  </si>
  <si>
    <t>Eva Creek, AK: Eva Creek Airport</t>
  </si>
  <si>
    <t>EVE</t>
  </si>
  <si>
    <t>Evenes, Norway: Evenes Airport</t>
  </si>
  <si>
    <t>EVG</t>
  </si>
  <si>
    <t>Sveg, Sweden: Sveg Airport</t>
  </si>
  <si>
    <t>EVM</t>
  </si>
  <si>
    <t>Eveleth, MN: Eveleth Virginia Municipal</t>
  </si>
  <si>
    <t>EVN</t>
  </si>
  <si>
    <t>Yerevan, Armenia: Zvartnots</t>
  </si>
  <si>
    <t>Evansville, IN: Evansville Regional</t>
  </si>
  <si>
    <t>EVW</t>
  </si>
  <si>
    <t>Evanston, WY: Evanston-Uinta County Burns Field</t>
  </si>
  <si>
    <t>EVX</t>
  </si>
  <si>
    <t>Evreux, France: Evreux Fauville</t>
  </si>
  <si>
    <t>EWB</t>
  </si>
  <si>
    <t>New Bedford/Fall River, MA: New Bedford Regional</t>
  </si>
  <si>
    <t>EWK</t>
  </si>
  <si>
    <t>Newton, KS: Newton City County</t>
  </si>
  <si>
    <t>New Bern/Morehead/Beaufort, NC: Coastal Carolina Regional</t>
  </si>
  <si>
    <t>Newark, NJ: Newark Liberty International</t>
  </si>
  <si>
    <t>EXI</t>
  </si>
  <si>
    <t>Excursion Inlet, AK: Excursion Inlet Seaplane Base</t>
  </si>
  <si>
    <t>EXT</t>
  </si>
  <si>
    <t>Exeter, United Kingdom: Exeter Airport</t>
  </si>
  <si>
    <t>EXU</t>
  </si>
  <si>
    <t>George Town, The Bahamas: George Town Airport</t>
  </si>
  <si>
    <t>EYL</t>
  </si>
  <si>
    <t>Yelimane, Mali: Yelimane Airport</t>
  </si>
  <si>
    <t>EYP</t>
  </si>
  <si>
    <t>El Yopal, Colombia: El Yopal Airport</t>
  </si>
  <si>
    <t>Key West, FL: Key West International</t>
  </si>
  <si>
    <t>EZE</t>
  </si>
  <si>
    <t>Ezeiza, Argentina: Ministro Pistarini</t>
  </si>
  <si>
    <t>EZS</t>
  </si>
  <si>
    <t>Elazig, Turkey: Elazig Airport</t>
  </si>
  <si>
    <t>F70</t>
  </si>
  <si>
    <t>Murrieta/Temecula, CA: French Valley</t>
  </si>
  <si>
    <t>FAB</t>
  </si>
  <si>
    <t>Farnborough, United Kingdom: Farnborough Airport</t>
  </si>
  <si>
    <t>FAE</t>
  </si>
  <si>
    <t>Sorvagur, Denmark: Vagar</t>
  </si>
  <si>
    <t>Fairbanks, AK: Fairbanks International</t>
  </si>
  <si>
    <t>FAJ</t>
  </si>
  <si>
    <t>Fajardo, PR: Diego Jimenez Torres</t>
  </si>
  <si>
    <t>FAK</t>
  </si>
  <si>
    <t>False Island, AK: False Island Airport</t>
  </si>
  <si>
    <t>FAL</t>
  </si>
  <si>
    <t>Roma, TX: Falcon State Park</t>
  </si>
  <si>
    <t>FAM</t>
  </si>
  <si>
    <t>Farmington, MO: Farmington Regional</t>
  </si>
  <si>
    <t>FAN</t>
  </si>
  <si>
    <t>Farsund, Norway: Lista</t>
  </si>
  <si>
    <t>FAO</t>
  </si>
  <si>
    <t>Faro, Portugal: Faro Airport</t>
  </si>
  <si>
    <t>FAQ</t>
  </si>
  <si>
    <t>Fitiuta Village, TT: Fitiuta</t>
  </si>
  <si>
    <t>Fargo, ND: Hector International</t>
  </si>
  <si>
    <t>Fresno, CA: Fresno Yosemite International</t>
  </si>
  <si>
    <t>FAU</t>
  </si>
  <si>
    <t>Fairmount Island, AK: Fairmount Island Airport</t>
  </si>
  <si>
    <t>FAV</t>
  </si>
  <si>
    <t>Fakarava, French Polynesia: Fakarava Airport</t>
  </si>
  <si>
    <t>Fayetteville, NC: Fayetteville Regional/Grannis Field</t>
  </si>
  <si>
    <t>FBG</t>
  </si>
  <si>
    <t>Fort Bragg, NC: Simmons AAF</t>
  </si>
  <si>
    <t>FBK</t>
  </si>
  <si>
    <t>Fairbanks, AK: Ladd AAF</t>
  </si>
  <si>
    <t>FBM</t>
  </si>
  <si>
    <t>Lubumbashi, Congo (Kinshasa): Lubumbashi International</t>
  </si>
  <si>
    <t>FBR</t>
  </si>
  <si>
    <t>Fort Bridger, WY: Fort Bridger Airport</t>
  </si>
  <si>
    <t>FBS</t>
  </si>
  <si>
    <t>Friday Harbor, WA: Friday Harbor Seaplane Base</t>
  </si>
  <si>
    <t>FBU</t>
  </si>
  <si>
    <t>Oslo, Norway: Fornebu</t>
  </si>
  <si>
    <t>Kalispell, MT: Glacier Park International</t>
  </si>
  <si>
    <t>FCH</t>
  </si>
  <si>
    <t>Fresno, CA: Fresno Chandler Executive</t>
  </si>
  <si>
    <t>FCM</t>
  </si>
  <si>
    <t>Minneapolis, MN: Flying Cloud</t>
  </si>
  <si>
    <t>FCN</t>
  </si>
  <si>
    <t>Nordholz, Germany: Nordholz Airport</t>
  </si>
  <si>
    <t>FCO</t>
  </si>
  <si>
    <t>Rome, Italy: Fiumicino</t>
  </si>
  <si>
    <t>FCS</t>
  </si>
  <si>
    <t>Colorado Springs, CO: Butts AAF</t>
  </si>
  <si>
    <t>FDE</t>
  </si>
  <si>
    <t>Forde, Norway: Forde Airport</t>
  </si>
  <si>
    <t>FDF</t>
  </si>
  <si>
    <t>Fort de France, Martinique: Martinique Aime Cesaire</t>
  </si>
  <si>
    <t>FDH</t>
  </si>
  <si>
    <t>Friedrichshafen, Germany: Friedrichshafen Airport</t>
  </si>
  <si>
    <t>FDK</t>
  </si>
  <si>
    <t>Frederick, MD: Frederick Municipal</t>
  </si>
  <si>
    <t>FDR</t>
  </si>
  <si>
    <t>Frederick, OK: Frederick Regional</t>
  </si>
  <si>
    <t>FDU</t>
  </si>
  <si>
    <t>Bandundu, Congo (Kinshasa): Bandundu Airport</t>
  </si>
  <si>
    <t>FDY</t>
  </si>
  <si>
    <t>Findlay, OH: Findlay Airport</t>
  </si>
  <si>
    <t>FEG</t>
  </si>
  <si>
    <t>Fergana, Uzbekistan: Fergana Airport</t>
  </si>
  <si>
    <t>FEN</t>
  </si>
  <si>
    <t>Fernando de Noronha, Brazil: Fernando de Noronha Airport</t>
  </si>
  <si>
    <t>FEP</t>
  </si>
  <si>
    <t>Freeport, IL: Albertus</t>
  </si>
  <si>
    <t>FET</t>
  </si>
  <si>
    <t>Fremont, NE: Fremont Municipal</t>
  </si>
  <si>
    <t>FEW</t>
  </si>
  <si>
    <t>Cheyenne, WY: Francis E. Warren AFB Heliport</t>
  </si>
  <si>
    <t>FEZ</t>
  </si>
  <si>
    <t>Fez, Morocco: Saiss International</t>
  </si>
  <si>
    <t>FFD</t>
  </si>
  <si>
    <t>Fairford, United Kingdom: RAF Fairford</t>
  </si>
  <si>
    <t>FFL</t>
  </si>
  <si>
    <t>Fairfield, IA: Fairfield Municipal</t>
  </si>
  <si>
    <t>FFM</t>
  </si>
  <si>
    <t>Fergus Falls, MN: Fergus Falls Municipal-Einar Mickelson Field</t>
  </si>
  <si>
    <t>FFO</t>
  </si>
  <si>
    <t>Dayton, OH: Wright-Patterson AFB</t>
  </si>
  <si>
    <t>FFT</t>
  </si>
  <si>
    <t>Frankfort, KY: Capital City</t>
  </si>
  <si>
    <t>FGD</t>
  </si>
  <si>
    <t>Fderik, Mauritania: Fderik Airport</t>
  </si>
  <si>
    <t>FGI</t>
  </si>
  <si>
    <t>Apia, Samoa: Fagali I</t>
  </si>
  <si>
    <t>FHB</t>
  </si>
  <si>
    <t>Fernandina Beach, FL: Fernandina Beach Municipal</t>
  </si>
  <si>
    <t>FHU</t>
  </si>
  <si>
    <t>Fort Huachuca, AZ: Sierra Vista Municipal-Libby AAF</t>
  </si>
  <si>
    <t>FIC</t>
  </si>
  <si>
    <t>Fire Cove, AK: Fire Cove Airport</t>
  </si>
  <si>
    <t>FID</t>
  </si>
  <si>
    <t>Fishers Island, NY: Elizabeth Field</t>
  </si>
  <si>
    <t>FIH</t>
  </si>
  <si>
    <t>Kinshasa, Congo (Kinshasa): N'Djili International</t>
  </si>
  <si>
    <t>FIL</t>
  </si>
  <si>
    <t>Fillmore, UT: Fillmore Municipal</t>
  </si>
  <si>
    <t>FIN</t>
  </si>
  <si>
    <t>Finschhafen, Papua New Guinea: Finschhafen Airport</t>
  </si>
  <si>
    <t>FIZ</t>
  </si>
  <si>
    <t>Fitzroy Crossing, Australia: Fitzroy Crossing Airport</t>
  </si>
  <si>
    <t>FJR</t>
  </si>
  <si>
    <t>Al-Fujairah, United Arab Emirates: Fujairah International</t>
  </si>
  <si>
    <t>FKB</t>
  </si>
  <si>
    <t>Karlsruhe/Baden-Baden, Germany: Karlsruhe/Baden-Baden Airport</t>
  </si>
  <si>
    <t>FKI</t>
  </si>
  <si>
    <t>Kisangani, Congo (Kinshasa): Bangoka International</t>
  </si>
  <si>
    <t>FKJ</t>
  </si>
  <si>
    <t>Fukui, Japan: Fukui Airport</t>
  </si>
  <si>
    <t>FKL</t>
  </si>
  <si>
    <t>Franklin/Oil City, PA: Venango Regional</t>
  </si>
  <si>
    <t>FKS</t>
  </si>
  <si>
    <t>Fukushima, Japan: Fukushima Airport</t>
  </si>
  <si>
    <t>FL1</t>
  </si>
  <si>
    <t>Zephyrhills, FL: Zephyrhills Municipal</t>
  </si>
  <si>
    <t>FL2</t>
  </si>
  <si>
    <t>Valkaria, FL: Valkaria Airport</t>
  </si>
  <si>
    <t>FL3</t>
  </si>
  <si>
    <t>Chipley, FL: Vosikas</t>
  </si>
  <si>
    <t>FL4</t>
  </si>
  <si>
    <t>Bunnell, FL: Flagler Executive</t>
  </si>
  <si>
    <t>FL5</t>
  </si>
  <si>
    <t>Williston, FL: Williston Municipal</t>
  </si>
  <si>
    <t>FL6</t>
  </si>
  <si>
    <t>Clewiston, FL: Airglades</t>
  </si>
  <si>
    <t>FL7</t>
  </si>
  <si>
    <t>Placida, FL: Coral Creek</t>
  </si>
  <si>
    <t>FL8</t>
  </si>
  <si>
    <t>Deland, FL: Deland Municipal Sidney H Taylor Field</t>
  </si>
  <si>
    <t>FL9</t>
  </si>
  <si>
    <t>Lake Wales, FL: Lake Wales Municipal</t>
  </si>
  <si>
    <t>FLA</t>
  </si>
  <si>
    <t>Florencia, Colombia: Gustavo Artunduaga Paredes</t>
  </si>
  <si>
    <t>FLB</t>
  </si>
  <si>
    <t>Floriano, Brazil: Floriano Airport</t>
  </si>
  <si>
    <t>FLD</t>
  </si>
  <si>
    <t>Fond Du Lac, WI: Fond Du Lac County</t>
  </si>
  <si>
    <t>FLF</t>
  </si>
  <si>
    <t>Flensburg, Germany: Flensburg Schaeferhaus</t>
  </si>
  <si>
    <t>Flagstaff, AZ: Flagstaff Pulliam</t>
  </si>
  <si>
    <t>FLJ</t>
  </si>
  <si>
    <t>Falls Bay, AK: Falls Bay Airport</t>
  </si>
  <si>
    <t>Fort Lauderdale, FL: Fort Lauderdale-Hollywood International</t>
  </si>
  <si>
    <t>FLN</t>
  </si>
  <si>
    <t>Florianopolis, Brazil: Hercilio Luz International</t>
  </si>
  <si>
    <t>Florence, SC: Florence Regional</t>
  </si>
  <si>
    <t>FLR</t>
  </si>
  <si>
    <t>Florence, Italy: Firenze</t>
  </si>
  <si>
    <t>FLS</t>
  </si>
  <si>
    <t>Flinders Island, Australia: Flinders Island Airport</t>
  </si>
  <si>
    <t>FLT</t>
  </si>
  <si>
    <t>Flat, AK: Flat Airport</t>
  </si>
  <si>
    <t>FLU</t>
  </si>
  <si>
    <t>New York, NY: Flushing</t>
  </si>
  <si>
    <t>FLV</t>
  </si>
  <si>
    <t>Leavenworth, KS: Sherman AAF</t>
  </si>
  <si>
    <t>FLW</t>
  </si>
  <si>
    <t>Santa Cruz das Flores, Portugal: Flores</t>
  </si>
  <si>
    <t>FLX</t>
  </si>
  <si>
    <t>Fallon, NV: Fallon Municipal</t>
  </si>
  <si>
    <t>FMA</t>
  </si>
  <si>
    <t>Formosa, Argentina: Formosa Airport</t>
  </si>
  <si>
    <t>FMC</t>
  </si>
  <si>
    <t>Five Mile Camp, AK: Five Mile Camp Airport</t>
  </si>
  <si>
    <t>FME</t>
  </si>
  <si>
    <t>Fort Meade, MD: Tipton</t>
  </si>
  <si>
    <t>FMH</t>
  </si>
  <si>
    <t>Falmouth, MA: Cape Cod CGAS</t>
  </si>
  <si>
    <t>FMI</t>
  </si>
  <si>
    <t>Kalemie, Congo (Kinshasa): Kalemie Airport</t>
  </si>
  <si>
    <t>FMM</t>
  </si>
  <si>
    <t>Memmingen, Germany: Memmingen Airport</t>
  </si>
  <si>
    <t>FMN</t>
  </si>
  <si>
    <t>Farmington, NM: Four Corners Regional</t>
  </si>
  <si>
    <t>FMO</t>
  </si>
  <si>
    <t>Greven, Germany: Muenster Osnabrueck</t>
  </si>
  <si>
    <t>FMS</t>
  </si>
  <si>
    <t>Fort Madison, IA: Fort Madison Municipal</t>
  </si>
  <si>
    <t>FMY</t>
  </si>
  <si>
    <t>Fort Myers, FL: Page Field</t>
  </si>
  <si>
    <t>FNA</t>
  </si>
  <si>
    <t>Freetown, Sierra Leone: Freetown Lungi</t>
  </si>
  <si>
    <t>FNC</t>
  </si>
  <si>
    <t>Funchal, Portugal: Madeira</t>
  </si>
  <si>
    <t>FNI</t>
  </si>
  <si>
    <t>Nimes, France: Nimes Garons</t>
  </si>
  <si>
    <t>FNJ</t>
  </si>
  <si>
    <t>Pyongyang, North Korea: Pyongyang International</t>
  </si>
  <si>
    <t>FNL</t>
  </si>
  <si>
    <t>Fort Collins/Loveland, CO: Northern Colorado Regional</t>
  </si>
  <si>
    <t>FNR</t>
  </si>
  <si>
    <t>Funter Bay Alaska, AK: Funter Bay</t>
  </si>
  <si>
    <t>Flint, MI: Bishop International</t>
  </si>
  <si>
    <t>FOA</t>
  </si>
  <si>
    <t>Fortuna Ledge, AK: Marshall Field</t>
  </si>
  <si>
    <t>FOB</t>
  </si>
  <si>
    <t>Fort Bragg, CA: Fort Bragg Airport</t>
  </si>
  <si>
    <t>FOC</t>
  </si>
  <si>
    <t>Fuzhou, China: Changle</t>
  </si>
  <si>
    <t>Fort Dodge, IA: Fort Dodge Regional</t>
  </si>
  <si>
    <t>FOE</t>
  </si>
  <si>
    <t>Topeka, KS: Topeka Regional</t>
  </si>
  <si>
    <t>FOG</t>
  </si>
  <si>
    <t>Foggia, Italy: Foggia Airport</t>
  </si>
  <si>
    <t>FOK</t>
  </si>
  <si>
    <t>Westhampton, NY: Francis S. Gabreski</t>
  </si>
  <si>
    <t>FON</t>
  </si>
  <si>
    <t>San Carlos, Costa Rica: Arenal</t>
  </si>
  <si>
    <t>FOR</t>
  </si>
  <si>
    <t>Fortaleza, Brazil: Pinto Martins International</t>
  </si>
  <si>
    <t>FPO</t>
  </si>
  <si>
    <t>Freeport, The Bahamas: Grand Bahama International</t>
  </si>
  <si>
    <t>FPR</t>
  </si>
  <si>
    <t>Fort Pierce, FL: Treasure Coast International</t>
  </si>
  <si>
    <t>FPY</t>
  </si>
  <si>
    <t>Perry, FL: Perry-Foley</t>
  </si>
  <si>
    <t>FQA</t>
  </si>
  <si>
    <t>Patching Lake, AK: Patching Lake Airport</t>
  </si>
  <si>
    <t>FQB</t>
  </si>
  <si>
    <t>Ventura, CA: San Nicolas Island NOLF</t>
  </si>
  <si>
    <t>FQC</t>
  </si>
  <si>
    <t>Kodiak, AK: Lilly Lake</t>
  </si>
  <si>
    <t>FQD</t>
  </si>
  <si>
    <t>Katmai National Park, AK: Trident Volcano</t>
  </si>
  <si>
    <t>FQE</t>
  </si>
  <si>
    <t>Annex Creek, AK: Annex Creek Airport</t>
  </si>
  <si>
    <t>FQF</t>
  </si>
  <si>
    <t>Davidson Creek, AK: Davidson Creek Airport</t>
  </si>
  <si>
    <t>FQG</t>
  </si>
  <si>
    <t>Snettisham, AK: Snettisham Airport</t>
  </si>
  <si>
    <t>FQH</t>
  </si>
  <si>
    <t>Fire Island, AK: Fire Island Airport</t>
  </si>
  <si>
    <t>FQI</t>
  </si>
  <si>
    <t>Scott, KY: Georgetown Scott County Regional</t>
  </si>
  <si>
    <t>FQJ</t>
  </si>
  <si>
    <t>Greens Creek, AK: Greens Creek Airport</t>
  </si>
  <si>
    <t>FQK</t>
  </si>
  <si>
    <t>Gull Cove, AK: Gull Cove Airport</t>
  </si>
  <si>
    <t>FQL</t>
  </si>
  <si>
    <t>Flora, IL: Flora Municipal</t>
  </si>
  <si>
    <t>FQN</t>
  </si>
  <si>
    <t>Karta Lake, AK: Karta Lake Airport</t>
  </si>
  <si>
    <t>FQO</t>
  </si>
  <si>
    <t>Manzanita Lake, AK: Manzanita Lake Airport</t>
  </si>
  <si>
    <t>FQP</t>
  </si>
  <si>
    <t>Shrimp Bay, AK: Shrimp Bay Airport</t>
  </si>
  <si>
    <t>FQQ</t>
  </si>
  <si>
    <t>Dry Bay, AK: Dry Bay Airport</t>
  </si>
  <si>
    <t>FQR</t>
  </si>
  <si>
    <t>Josephine Lake, AK: Josephine Lake Airport</t>
  </si>
  <si>
    <t>FQU</t>
  </si>
  <si>
    <t>Libby, MT: Libby Airport</t>
  </si>
  <si>
    <t>FQV</t>
  </si>
  <si>
    <t>Volcano Bay, AK: Volcano Bay Airport</t>
  </si>
  <si>
    <t>FQW</t>
  </si>
  <si>
    <t>Fort Glenn, AK: Fort Glenn Airport</t>
  </si>
  <si>
    <t>FQX</t>
  </si>
  <si>
    <t>Babe Islands, AK: Babe Islands Airport</t>
  </si>
  <si>
    <t>FQY</t>
  </si>
  <si>
    <t>Kahli Cove, AK: Kahli Cove Airport</t>
  </si>
  <si>
    <t>FRA</t>
  </si>
  <si>
    <t>Frankfurt, Germany: Frankfurt Main</t>
  </si>
  <si>
    <t>FRC</t>
  </si>
  <si>
    <t>Franca, Brazil: Tenente Lund Pressoto</t>
  </si>
  <si>
    <t>FRD</t>
  </si>
  <si>
    <t>Friday Harbor, WA: Friday Harbor Airport</t>
  </si>
  <si>
    <t>FRF</t>
  </si>
  <si>
    <t>Frankfurt, Germany: Rhein Main AFB</t>
  </si>
  <si>
    <t>FRG</t>
  </si>
  <si>
    <t>East Farmingdale, NY: Republic</t>
  </si>
  <si>
    <t>FRL</t>
  </si>
  <si>
    <t>Forli, Italy: Forli Airport</t>
  </si>
  <si>
    <t>FRM</t>
  </si>
  <si>
    <t>Fairmont, MN: Fairmont Municipal</t>
  </si>
  <si>
    <t>FRO</t>
  </si>
  <si>
    <t>Floro, Norway: Floro Airport</t>
  </si>
  <si>
    <t>FRP</t>
  </si>
  <si>
    <t>Fresh Water Bay, AK: Fresh Water Bay Airport</t>
  </si>
  <si>
    <t>FRR</t>
  </si>
  <si>
    <t>Front Royal, VA: Front Royal-Warren County</t>
  </si>
  <si>
    <t>FRS</t>
  </si>
  <si>
    <t>Flores, Guatemala: Flores Airport</t>
  </si>
  <si>
    <t>FRU</t>
  </si>
  <si>
    <t>Bishkek, Kyrgyzstan: Manas</t>
  </si>
  <si>
    <t>FRW</t>
  </si>
  <si>
    <t>Francistown, Botswana: Francistown Airport</t>
  </si>
  <si>
    <t>FRY</t>
  </si>
  <si>
    <t>Fryeburg, ME: Eastern Slopes Regional</t>
  </si>
  <si>
    <t>FSC</t>
  </si>
  <si>
    <t>Figari, France: Figari Sud Corse</t>
  </si>
  <si>
    <t>Sioux Falls, SD: Joe Foss Field</t>
  </si>
  <si>
    <t>FSI</t>
  </si>
  <si>
    <t>Fort Sill, OK: Henry Post AAF</t>
  </si>
  <si>
    <t>FSK</t>
  </si>
  <si>
    <t>Fort Scott, KS: Fort Scott Municipal</t>
  </si>
  <si>
    <t>Fort Smith, AR: Fort Smith Regional</t>
  </si>
  <si>
    <t>FSP</t>
  </si>
  <si>
    <t>St. Pierre, Saint Pierre and Miquelon: Saint Pierre</t>
  </si>
  <si>
    <t>FSS</t>
  </si>
  <si>
    <t>Forres, United Kingdom: RAF Kinloss</t>
  </si>
  <si>
    <t>FST</t>
  </si>
  <si>
    <t>Ft. Stockton, TX: Fort Stockton Pecos County</t>
  </si>
  <si>
    <t>FSZ</t>
  </si>
  <si>
    <t>Shizuoka, Japan: Shizuoka Airport</t>
  </si>
  <si>
    <t>FTC</t>
  </si>
  <si>
    <t>Fort Collins, CO: Fort Collins Airpark</t>
  </si>
  <si>
    <t>FTE</t>
  </si>
  <si>
    <t>El Calafate, Argentina: El Calafate Airport</t>
  </si>
  <si>
    <t>FTG</t>
  </si>
  <si>
    <t>Denver, CO: Colorado Air and Space Port</t>
  </si>
  <si>
    <t>FTK</t>
  </si>
  <si>
    <t>Fort Knox, KY: Godman AAF</t>
  </si>
  <si>
    <t>FTL</t>
  </si>
  <si>
    <t>Fortuna Ledge, AK: Fortuna Ledge Airport</t>
  </si>
  <si>
    <t>FTU</t>
  </si>
  <si>
    <t>Fort Dauphin, Madagascar: Marillac</t>
  </si>
  <si>
    <t>FTV</t>
  </si>
  <si>
    <t>Masvingo, Zimbabwe: Masvingo Airport</t>
  </si>
  <si>
    <t>FTW</t>
  </si>
  <si>
    <t>Dallas/Fort Worth, TX: Fort Worth Meacham International</t>
  </si>
  <si>
    <t>FTY</t>
  </si>
  <si>
    <t>Atlanta, GA: Fulton County Airport-Brown Field</t>
  </si>
  <si>
    <t>FUE</t>
  </si>
  <si>
    <t>Fuerteventura, Spain: Fuerteventura Airport</t>
  </si>
  <si>
    <t>FUJ</t>
  </si>
  <si>
    <t>Fukue, Japan: Fukue Airport</t>
  </si>
  <si>
    <t>FUK</t>
  </si>
  <si>
    <t>Fukuoka, Japan: Fukuoka Airport</t>
  </si>
  <si>
    <t>FUL</t>
  </si>
  <si>
    <t>Fullerton, CA: Fullerton Municipal</t>
  </si>
  <si>
    <t>FUN</t>
  </si>
  <si>
    <t>Funafuti, Tuvalu: Funafuti International</t>
  </si>
  <si>
    <t>FUT</t>
  </si>
  <si>
    <t>Futuna Island, Wallis and Futuna: Futuna Pointe Vele</t>
  </si>
  <si>
    <t>FVA</t>
  </si>
  <si>
    <t>Osprey Lodge, AK: Osprey Lodge Airport</t>
  </si>
  <si>
    <t>FVB</t>
  </si>
  <si>
    <t>Baledogle, Somalia: Baledogle Airport</t>
  </si>
  <si>
    <t>FVC</t>
  </si>
  <si>
    <t>Baikonour, Kazakhstan: Baikonour Airport</t>
  </si>
  <si>
    <t>FVD</t>
  </si>
  <si>
    <t>Sonora, TX: Sonora Municipal</t>
  </si>
  <si>
    <t>FVE</t>
  </si>
  <si>
    <t>Fallbrook, CA: Fallbrook Community Airpark</t>
  </si>
  <si>
    <t>FVF</t>
  </si>
  <si>
    <t>Dadaab, Kenya: Hagadera</t>
  </si>
  <si>
    <t>FVG</t>
  </si>
  <si>
    <t>Wickenburg, AZ: Wickenburg Municipal</t>
  </si>
  <si>
    <t>FVH</t>
  </si>
  <si>
    <t>Othello, WA: Othello Municipal</t>
  </si>
  <si>
    <t>FVI</t>
  </si>
  <si>
    <t>Lake Providence, LA: Byerley</t>
  </si>
  <si>
    <t>FVJ</t>
  </si>
  <si>
    <t>Amberley, Australia: Amberley Airport</t>
  </si>
  <si>
    <t>FVL</t>
  </si>
  <si>
    <t>Colusa, CA: Colusa Airport</t>
  </si>
  <si>
    <t>FVN</t>
  </si>
  <si>
    <t>Culbertson, MT: Big Sky Field</t>
  </si>
  <si>
    <t>FVO</t>
  </si>
  <si>
    <t>Aurora, OR: Aurora State</t>
  </si>
  <si>
    <t>FVP</t>
  </si>
  <si>
    <t>Quincy, CA: Gansner Field</t>
  </si>
  <si>
    <t>FVQ</t>
  </si>
  <si>
    <t>Donlin Creek Mine, AK: Donlin Creek Mine Airport</t>
  </si>
  <si>
    <t>FVR</t>
  </si>
  <si>
    <t>Three Forks, MT: Three Forks Airport</t>
  </si>
  <si>
    <t>FVS</t>
  </si>
  <si>
    <t>Rexburg, ID: Rexburg-Madison County</t>
  </si>
  <si>
    <t>FVT</t>
  </si>
  <si>
    <t>Latacunga, Ecuador: Latacunga Airport</t>
  </si>
  <si>
    <t>FVU</t>
  </si>
  <si>
    <t>Las Palmas, Peru: Las Palmas Airport</t>
  </si>
  <si>
    <t>FVV</t>
  </si>
  <si>
    <t>Kernville, CA: Kern Valley</t>
  </si>
  <si>
    <t>FVW</t>
  </si>
  <si>
    <t>Golden Creek Mine, AK: Golden Creek Mine Airport</t>
  </si>
  <si>
    <t>FVX</t>
  </si>
  <si>
    <t>Grace Harbor, AK: Grace Harbor Airport</t>
  </si>
  <si>
    <t>FVY</t>
  </si>
  <si>
    <t>Unuk River, AK: Unuk River Airport</t>
  </si>
  <si>
    <t>FVZ</t>
  </si>
  <si>
    <t>Deadhorse, AK: Inigok</t>
  </si>
  <si>
    <t>Fort Wayne, IN: Fort Wayne International</t>
  </si>
  <si>
    <t>FWH</t>
  </si>
  <si>
    <t>Fort Worth, TX: Fort Worth NAS JRB/Carswell Field</t>
  </si>
  <si>
    <t>FWL</t>
  </si>
  <si>
    <t>Farewell, AK: Farewell Airport</t>
  </si>
  <si>
    <t>FWS</t>
  </si>
  <si>
    <t>Fort Worth, TX: Fort Worth Spinks</t>
  </si>
  <si>
    <t>FXE</t>
  </si>
  <si>
    <t>Fort Lauderdale, FL: Fort Lauderdale Executive</t>
  </si>
  <si>
    <t>FXM</t>
  </si>
  <si>
    <t>Flaxman Island, AK: Flaxman AFS</t>
  </si>
  <si>
    <t>FXO</t>
  </si>
  <si>
    <t>Nova Freixo, Mozambique: Nova Freixo Airport</t>
  </si>
  <si>
    <t>FXR</t>
  </si>
  <si>
    <t>Clinton, IN: Frankfort Municipal</t>
  </si>
  <si>
    <t>FXY</t>
  </si>
  <si>
    <t>Forest City, IA: Forest City Municipal</t>
  </si>
  <si>
    <t>FYT</t>
  </si>
  <si>
    <t>Faya-Largeau, Chad: Faya-Largeau Airport</t>
  </si>
  <si>
    <t>FYU</t>
  </si>
  <si>
    <t>Fort Yukon, AK: Fort Yukon Airport</t>
  </si>
  <si>
    <t>FYV</t>
  </si>
  <si>
    <t>Fayetteville, AR: Drake Field</t>
  </si>
  <si>
    <t>FZO</t>
  </si>
  <si>
    <t>Filton, United Kingdom: Bristol Filton</t>
  </si>
  <si>
    <t>GA0</t>
  </si>
  <si>
    <t>Eastman, GA: Heart of Georgia Regional</t>
  </si>
  <si>
    <t>GA1</t>
  </si>
  <si>
    <t>Lafayette, GA: Barwick Lafayette</t>
  </si>
  <si>
    <t>GA2</t>
  </si>
  <si>
    <t>Carrollton, GA: West Georgia Regional - O V Gray Field</t>
  </si>
  <si>
    <t>GA3</t>
  </si>
  <si>
    <t>Atlanta, GA: Newnan Coweta County</t>
  </si>
  <si>
    <t>GA4</t>
  </si>
  <si>
    <t>Jefferson, GA: Jackson County</t>
  </si>
  <si>
    <t>GA5</t>
  </si>
  <si>
    <t>Thomson, GA: Thomson McDuffie County</t>
  </si>
  <si>
    <t>GA6</t>
  </si>
  <si>
    <t>Canton, GA: Cherokee County</t>
  </si>
  <si>
    <t>GA7</t>
  </si>
  <si>
    <t>Greensboro, GA: Greene County Regional</t>
  </si>
  <si>
    <t>GA8</t>
  </si>
  <si>
    <t>Monroe, GA: Monroe Walton County</t>
  </si>
  <si>
    <t>GA9</t>
  </si>
  <si>
    <t>Cartersville, GA: Cartersville Airport</t>
  </si>
  <si>
    <t>GAC</t>
  </si>
  <si>
    <t>Gracias, Honduras: Gracias Airport</t>
  </si>
  <si>
    <t>GAD</t>
  </si>
  <si>
    <t>Gadsden, AL: Northeast Alabama Regional</t>
  </si>
  <si>
    <t>GAE</t>
  </si>
  <si>
    <t>Gabes, Tunisia: Matmata Northeast</t>
  </si>
  <si>
    <t>GAI</t>
  </si>
  <si>
    <t>Gaithersburg, MD: Montgomery County Airpark</t>
  </si>
  <si>
    <t>GAJ</t>
  </si>
  <si>
    <t>Yamagata, Japan: Yamagata Airport</t>
  </si>
  <si>
    <t>GAL</t>
  </si>
  <si>
    <t>Galena, AK: Edward G. Pitka Sr.</t>
  </si>
  <si>
    <t>GAM</t>
  </si>
  <si>
    <t>Gambell, AK: Gambell Airport</t>
  </si>
  <si>
    <t>GAN</t>
  </si>
  <si>
    <t>Gan Island, Maldives: Gan Island Airport</t>
  </si>
  <si>
    <t>GAO</t>
  </si>
  <si>
    <t>Guantanamo, Cuba: Los Canos</t>
  </si>
  <si>
    <t>GAQ</t>
  </si>
  <si>
    <t>Gao, Mali: Gao Airport</t>
  </si>
  <si>
    <t>GAR</t>
  </si>
  <si>
    <t>Garaina, Papua New Guinea: Garaina Airport</t>
  </si>
  <si>
    <t>GAT</t>
  </si>
  <si>
    <t>Gap, France: Gap Tallard</t>
  </si>
  <si>
    <t>GAU</t>
  </si>
  <si>
    <t>Guwahati, India: Lokpriya Gopinath Bordoloi International</t>
  </si>
  <si>
    <t>GAW</t>
  </si>
  <si>
    <t>Gangaw, Burma: Gangaw Airport</t>
  </si>
  <si>
    <t>GAY</t>
  </si>
  <si>
    <t>Gaya, India: Gaya Airport</t>
  </si>
  <si>
    <t>GB1</t>
  </si>
  <si>
    <t>Suffolk, United Kingdom: Wattisham</t>
  </si>
  <si>
    <t>GBA</t>
  </si>
  <si>
    <t>Goose Bay, AK: Goose Bay AAF</t>
  </si>
  <si>
    <t>GBD</t>
  </si>
  <si>
    <t>Great Bend, KS: Great Bend Municipal</t>
  </si>
  <si>
    <t>GBE</t>
  </si>
  <si>
    <t>Gaborone, Botswana: Sir Seretse Khama International</t>
  </si>
  <si>
    <t>GBG</t>
  </si>
  <si>
    <t>Galesburg, IL: Galesburg Municipal</t>
  </si>
  <si>
    <t>GBH</t>
  </si>
  <si>
    <t>Galbraith Lake, AK: Galbraith Lake Airport</t>
  </si>
  <si>
    <t>GBJ</t>
  </si>
  <si>
    <t>Marie Galante, Guadeloupe: Marie Galante Airport</t>
  </si>
  <si>
    <t>GBK</t>
  </si>
  <si>
    <t>Gbangbatok, Sierra Leone: Gbangbatok Airport</t>
  </si>
  <si>
    <t>GBR</t>
  </si>
  <si>
    <t>Great Barrington, MA: Walter J. Koladza</t>
  </si>
  <si>
    <t>GBU</t>
  </si>
  <si>
    <t>Khashm El Girba, Sudan: Khashm El Girba Airport</t>
  </si>
  <si>
    <t>GCA</t>
  </si>
  <si>
    <t>Guacamayas, Colombia: Guacamayas Airport</t>
  </si>
  <si>
    <t>Gillette, WY: Gillette Campbell County</t>
  </si>
  <si>
    <t>GCI</t>
  </si>
  <si>
    <t>Guernsey, United Kingdom: Guernsey Airport</t>
  </si>
  <si>
    <t>Garden City, KS: Garden City Regional</t>
  </si>
  <si>
    <t>Grand Cayman, Cayman Islands: Owen Roberts International</t>
  </si>
  <si>
    <t>GCN</t>
  </si>
  <si>
    <t>Grand Canyon, AZ: Grand Canyon National Park</t>
  </si>
  <si>
    <t>GCY</t>
  </si>
  <si>
    <t>Greeneville, TN: Municipal</t>
  </si>
  <si>
    <t>GDC</t>
  </si>
  <si>
    <t>Greenville, SC: Donaldson Field</t>
  </si>
  <si>
    <t>GDE</t>
  </si>
  <si>
    <t>Gode, Ethiopia: Gode Airport</t>
  </si>
  <si>
    <t>GDH</t>
  </si>
  <si>
    <t>Golden Horn Lodge, AK: Golden Horn Lodge Seaplane Base</t>
  </si>
  <si>
    <t>GDL</t>
  </si>
  <si>
    <t>Guadalajara, Mexico: Miguel Hidalgo y Costilla International</t>
  </si>
  <si>
    <t>GDM</t>
  </si>
  <si>
    <t>Gardner, MA: Gardner Municipal</t>
  </si>
  <si>
    <t>GDN</t>
  </si>
  <si>
    <t>Gdansk, Poland: Gdansk Lech Walesa</t>
  </si>
  <si>
    <t>GDQ</t>
  </si>
  <si>
    <t>Gondar, Ethiopia: Gonder Atse Tewodros</t>
  </si>
  <si>
    <t>GDT</t>
  </si>
  <si>
    <t>Grand Turk, Turks and Caicos Islands: JAGS McCartney International</t>
  </si>
  <si>
    <t>GDV</t>
  </si>
  <si>
    <t>Glendive, MT: Dawson Community</t>
  </si>
  <si>
    <t>GDW</t>
  </si>
  <si>
    <t>Gladwin, MI: Gladwin Zettel Memorial</t>
  </si>
  <si>
    <t>GDX</t>
  </si>
  <si>
    <t>Magadan, Russia: Magadan Airport</t>
  </si>
  <si>
    <t>GEA</t>
  </si>
  <si>
    <t>Noumea, New Caledonia: Noumea Magenta</t>
  </si>
  <si>
    <t>GED</t>
  </si>
  <si>
    <t>Georgetown, DE: Delaware Coastal</t>
  </si>
  <si>
    <t>Spokane, WA: Spokane International</t>
  </si>
  <si>
    <t>GEK</t>
  </si>
  <si>
    <t>Ganes Creek, AK: Ganes Creek Airport</t>
  </si>
  <si>
    <t>GEL</t>
  </si>
  <si>
    <t>Santo Angelo, Brazil: Santo Angelo Airport</t>
  </si>
  <si>
    <t>GEN</t>
  </si>
  <si>
    <t>Oslo, Norway: Gardermoen</t>
  </si>
  <si>
    <t>Georgetown, Guyana: Cheddi Jagan International</t>
  </si>
  <si>
    <t>GER</t>
  </si>
  <si>
    <t>Nueva Gerona, Cuba: Rafael Cabrera</t>
  </si>
  <si>
    <t>GES</t>
  </si>
  <si>
    <t>General Santos, Philippines: General Santos Airport</t>
  </si>
  <si>
    <t>GET</t>
  </si>
  <si>
    <t>Geraldton, Australia: Geraldton Airport</t>
  </si>
  <si>
    <t>GEV</t>
  </si>
  <si>
    <t>Gallivare, Sweden: Gallivare Airport</t>
  </si>
  <si>
    <t>GEY</t>
  </si>
  <si>
    <t>Greybull, WY: South Big Horn County</t>
  </si>
  <si>
    <t>GEZ</t>
  </si>
  <si>
    <t>Shelbyville, IN: Shelbyville Municipal</t>
  </si>
  <si>
    <t>GFA</t>
  </si>
  <si>
    <t>Great Falls, MT: Malmstrom AFB Heliport</t>
  </si>
  <si>
    <t>GFB</t>
  </si>
  <si>
    <t>Togiak Fish, AK: Togiak Fish Airport</t>
  </si>
  <si>
    <t>GFF</t>
  </si>
  <si>
    <t>Griffith, Australia: Griffith Airport</t>
  </si>
  <si>
    <t>Grand Forks, ND: Grand Forks International</t>
  </si>
  <si>
    <t>GFL</t>
  </si>
  <si>
    <t>Glens Falls, NY: Floyd Bennett Memorial</t>
  </si>
  <si>
    <t>GFN</t>
  </si>
  <si>
    <t>Grafton, Australia: Grafton Airport</t>
  </si>
  <si>
    <t>GFO</t>
  </si>
  <si>
    <t>Bartica, Guyana: Bartica Airport</t>
  </si>
  <si>
    <t>GFR</t>
  </si>
  <si>
    <t>Granville, France: Granville Mont Saint Michel</t>
  </si>
  <si>
    <t>GFY</t>
  </si>
  <si>
    <t>Grootfontein, Namibia: Grootfontein Airport</t>
  </si>
  <si>
    <t>GGE</t>
  </si>
  <si>
    <t>Georgetown, SC: Georgetown County</t>
  </si>
  <si>
    <t>Longview, TX: East Texas Regional</t>
  </si>
  <si>
    <t>GGN</t>
  </si>
  <si>
    <t>Gagnoa, Cote d'Ivoire: Gagnoa Airport</t>
  </si>
  <si>
    <t>GGR</t>
  </si>
  <si>
    <t>Garowe Puntland, Somalia: New Garowe</t>
  </si>
  <si>
    <t>GGT</t>
  </si>
  <si>
    <t>Moss Town, The Bahamas: Exuma International</t>
  </si>
  <si>
    <t>GGW</t>
  </si>
  <si>
    <t>Glasgow, MT: Wokal Field Glasgow Valley County</t>
  </si>
  <si>
    <t>GHA</t>
  </si>
  <si>
    <t>Ghardaia, Algeria: Noumerat Moufdi Zakaria</t>
  </si>
  <si>
    <t>GHB</t>
  </si>
  <si>
    <t>Governors Harbour, The Bahamas: Governors Harbour Airport</t>
  </si>
  <si>
    <t>GHC</t>
  </si>
  <si>
    <t>Great Harbour Cay, The Bahamas: Great Harbour Cay Airport</t>
  </si>
  <si>
    <t>GHT</t>
  </si>
  <si>
    <t>Ghat, Libya: Ghat Airport</t>
  </si>
  <si>
    <t>GHU</t>
  </si>
  <si>
    <t>Gualeguaychu, Argentina: Gualeguaychu Airport</t>
  </si>
  <si>
    <t>GIB</t>
  </si>
  <si>
    <t>Gibraltar, Gibraltar: Gibraltar Airport</t>
  </si>
  <si>
    <t>GIG</t>
  </si>
  <si>
    <t>Rio de Janeiro, Brazil: Galeao Antonio Carlos Jobim International</t>
  </si>
  <si>
    <t>GIL</t>
  </si>
  <si>
    <t>Gilgit, Pakistan: Gilgit Airport</t>
  </si>
  <si>
    <t>GIS</t>
  </si>
  <si>
    <t>Gisborne, New Zealand: Gisborne Airport</t>
  </si>
  <si>
    <t>GIZ</t>
  </si>
  <si>
    <t>Gizan, Saudi Arabia: Gizan Saudia Arabia</t>
  </si>
  <si>
    <t>GJA</t>
  </si>
  <si>
    <t>Guanaja Island, Honduras: Guanaja</t>
  </si>
  <si>
    <t>GJM</t>
  </si>
  <si>
    <t>Guajara-Mirim, Brazil: Guajara Mirim</t>
  </si>
  <si>
    <t>Grand Junction, CO: Grand Junction Regional</t>
  </si>
  <si>
    <t>GKA</t>
  </si>
  <si>
    <t>Goroka, Papua New Guinea: Goroka Airport</t>
  </si>
  <si>
    <t>GKE</t>
  </si>
  <si>
    <t>Geilenkirchen, Germany: Geilenkirchen Airport</t>
  </si>
  <si>
    <t>GKL</t>
  </si>
  <si>
    <t>Great Keppel Island, Australia: Bonnie Doon</t>
  </si>
  <si>
    <t>GKN</t>
  </si>
  <si>
    <t>Gulkana, AK: Gulkana Airport</t>
  </si>
  <si>
    <t>GL1</t>
  </si>
  <si>
    <t>Station Nord, Greenland: Station Nord Airport</t>
  </si>
  <si>
    <t>GL2</t>
  </si>
  <si>
    <t>Hyde Fjord, Greenland: Hyde Fjord Ice Strip</t>
  </si>
  <si>
    <t>GLA</t>
  </si>
  <si>
    <t>Glasgow, United Kingdom: Glasgow Airport</t>
  </si>
  <si>
    <t>GLD</t>
  </si>
  <si>
    <t>Goodland, KS: Renner Field</t>
  </si>
  <si>
    <t>GLE</t>
  </si>
  <si>
    <t>Gainesville, TX: Gainesville Municipal</t>
  </si>
  <si>
    <t>GLF</t>
  </si>
  <si>
    <t>Golfito, Costa Rica: Golfito Airport</t>
  </si>
  <si>
    <t>GLH</t>
  </si>
  <si>
    <t>Greenville, MS: Greenville Mid Delta</t>
  </si>
  <si>
    <t>GLI</t>
  </si>
  <si>
    <t>Glen Innes, Australia: Glen Innes Airport</t>
  </si>
  <si>
    <t>GLK</t>
  </si>
  <si>
    <t>Galcaio, Somalia: Gaalkacyo</t>
  </si>
  <si>
    <t>GLM</t>
  </si>
  <si>
    <t>Glenormiston, Australia: Glenormiston Airport</t>
  </si>
  <si>
    <t>GLN</t>
  </si>
  <si>
    <t>Goulimime, Morocco: Goulimime Airport</t>
  </si>
  <si>
    <t>GLO</t>
  </si>
  <si>
    <t>Gloucester/Cheltenham, United Kingdom: Gloucestershire</t>
  </si>
  <si>
    <t>GLQ</t>
  </si>
  <si>
    <t>Glennallen, AK: Glennallen Airport</t>
  </si>
  <si>
    <t>GLR</t>
  </si>
  <si>
    <t>Gaylord, MI: Gaylord Regional</t>
  </si>
  <si>
    <t>GLS</t>
  </si>
  <si>
    <t>Galveston, TX: Scholes International at Galveston</t>
  </si>
  <si>
    <t>GLT</t>
  </si>
  <si>
    <t>Gladstone, Australia: Gladstone Airport</t>
  </si>
  <si>
    <t>GLV</t>
  </si>
  <si>
    <t>Golovin, AK: Golovin Airport</t>
  </si>
  <si>
    <t>GLW</t>
  </si>
  <si>
    <t>Glasgow, KY: Glasgow Municipal</t>
  </si>
  <si>
    <t>GMA</t>
  </si>
  <si>
    <t>Gemena, Congo (Kinshasa): Gemena Airport</t>
  </si>
  <si>
    <t>GMB</t>
  </si>
  <si>
    <t>Gambella, Ethiopia: Gambella Airport</t>
  </si>
  <si>
    <t>GMC</t>
  </si>
  <si>
    <t>Guerima, Colombia: Guerima Airport</t>
  </si>
  <si>
    <t>GML</t>
  </si>
  <si>
    <t>Kiev, Ukraine: Antonov 2 International</t>
  </si>
  <si>
    <t>GMP</t>
  </si>
  <si>
    <t>Seoul, South Korea: Gimpo International</t>
  </si>
  <si>
    <t>GMT</t>
  </si>
  <si>
    <t>Granite Mountain, AK: Granite Mountain AS</t>
  </si>
  <si>
    <t>GMU</t>
  </si>
  <si>
    <t>Greenville, SC: Greenville Downtown</t>
  </si>
  <si>
    <t>GNA</t>
  </si>
  <si>
    <t>Hrodna, Belarus: Hrodna Airport</t>
  </si>
  <si>
    <t>GNB</t>
  </si>
  <si>
    <t>Grenoble, France: Grenoble Alpes Isere</t>
  </si>
  <si>
    <t>Grenada, Grenada: Maurice Bishop International</t>
  </si>
  <si>
    <t>GNR</t>
  </si>
  <si>
    <t>General Roca, Argentina: General Roca Airport</t>
  </si>
  <si>
    <t>GNT</t>
  </si>
  <si>
    <t>Grants, NM: Grants Milan Municipal</t>
  </si>
  <si>
    <t>GNU</t>
  </si>
  <si>
    <t>Goodnews Bay, AK: Goodnews</t>
  </si>
  <si>
    <t>Gainesville, FL: Gainesville Regional</t>
  </si>
  <si>
    <t>GOA</t>
  </si>
  <si>
    <t>Genoa, Italy: Genova/Sestri</t>
  </si>
  <si>
    <t>GOB</t>
  </si>
  <si>
    <t>Goba, Ethiopia: Goba Airport</t>
  </si>
  <si>
    <t>GOH</t>
  </si>
  <si>
    <t>Nuuk, Greenland: Nuuk Airport</t>
  </si>
  <si>
    <t>GOI</t>
  </si>
  <si>
    <t>GOJ</t>
  </si>
  <si>
    <t>Nizhniy Novgorod, Russia: Strigino</t>
  </si>
  <si>
    <t>GOL</t>
  </si>
  <si>
    <t>Gold Beach, OR: Gold Beach Municipal</t>
  </si>
  <si>
    <t>GOM</t>
  </si>
  <si>
    <t>Goma, Congo (Kinshasa): Goma Airport</t>
  </si>
  <si>
    <t>GON</t>
  </si>
  <si>
    <t>New London/Groton, CT: Groton-New London</t>
  </si>
  <si>
    <t>GOO</t>
  </si>
  <si>
    <t>Goondiwindi, Australia: Goondiwindi Airport</t>
  </si>
  <si>
    <t>GOP</t>
  </si>
  <si>
    <t>Gorakhpur, India: Gorakhpur Airport</t>
  </si>
  <si>
    <t>GOR</t>
  </si>
  <si>
    <t>Gore, Ethiopia: Gore Airport</t>
  </si>
  <si>
    <t>GOS</t>
  </si>
  <si>
    <t>Gosford, Australia: Gosford Airport</t>
  </si>
  <si>
    <t>GOT</t>
  </si>
  <si>
    <t>Gothenburg, Sweden: Landvetter</t>
  </si>
  <si>
    <t>GOU</t>
  </si>
  <si>
    <t>Garoua, Cameroon: Garoua Airport</t>
  </si>
  <si>
    <t>GOV</t>
  </si>
  <si>
    <t>Gove, Australia: Gove Airport</t>
  </si>
  <si>
    <t>GOZ</t>
  </si>
  <si>
    <t>Gorna Oryahovitsa, Bulgaria: Gorna Oryahovitsa Airport</t>
  </si>
  <si>
    <t>GPI</t>
  </si>
  <si>
    <t>Guapi, Colombia: Guapi Airport</t>
  </si>
  <si>
    <t>GPM</t>
  </si>
  <si>
    <t>Grand Prairie, TX: Grand Prairie Municipal</t>
  </si>
  <si>
    <t>GPS</t>
  </si>
  <si>
    <t>Galapagos Islands, Ecuador: Baltra</t>
  </si>
  <si>
    <t>Gulfport/Biloxi, MS: Gulfport-Biloxi International</t>
  </si>
  <si>
    <t>GPZ</t>
  </si>
  <si>
    <t>Grand Rapids, MN: Grand Rapids/Itasca County-Gordon Newstrom Field</t>
  </si>
  <si>
    <t>GQQ</t>
  </si>
  <si>
    <t>Galion, OH: Horning</t>
  </si>
  <si>
    <t>GRA</t>
  </si>
  <si>
    <t>Gamarra, Colombia: Germania</t>
  </si>
  <si>
    <t>Green Bay, WI: Green Bay Austin Straubel International</t>
  </si>
  <si>
    <t>GRD</t>
  </si>
  <si>
    <t>Greenwood, SC: Greenwood County</t>
  </si>
  <si>
    <t>GRF</t>
  </si>
  <si>
    <t>Tacoma, WA: Gray AAF</t>
  </si>
  <si>
    <t>Grand Island, NE: Central Nebraska Regional</t>
  </si>
  <si>
    <t>GRJ</t>
  </si>
  <si>
    <t>George, South Africa: George Airport</t>
  </si>
  <si>
    <t>Killeen, TX: Robert Gray AAF</t>
  </si>
  <si>
    <t>GRO</t>
  </si>
  <si>
    <t>Gerona, Spain: Gerona Costa Brava</t>
  </si>
  <si>
    <t>GRP</t>
  </si>
  <si>
    <t>Gurupi, Brazil: Gurupi Airport</t>
  </si>
  <si>
    <t>GRQ</t>
  </si>
  <si>
    <t>Groningen, Netherlands: Eelde</t>
  </si>
  <si>
    <t>Grand Rapids, MI: Gerald R. Ford International</t>
  </si>
  <si>
    <t>GRS</t>
  </si>
  <si>
    <t>Grosseto, Italy: Grosseto Airport</t>
  </si>
  <si>
    <t>GRU</t>
  </si>
  <si>
    <t>Sao Paulo, Brazil: Guarulhos Gov Andre Franco Montoro</t>
  </si>
  <si>
    <t>GRW</t>
  </si>
  <si>
    <t>Graciosa Island, Portugal: Graciosa Island Airport</t>
  </si>
  <si>
    <t>GRX</t>
  </si>
  <si>
    <t>Granada, Spain: Granada Airport</t>
  </si>
  <si>
    <t>GRZ</t>
  </si>
  <si>
    <t>Graz, Austria: Graz Airport</t>
  </si>
  <si>
    <t>GSB</t>
  </si>
  <si>
    <t>Goldsboro, NC: Seymour Johnson AFB</t>
  </si>
  <si>
    <t>GSE</t>
  </si>
  <si>
    <t>Gothenburg, Sweden: Gothenburg City</t>
  </si>
  <si>
    <t>GSH</t>
  </si>
  <si>
    <t>Goshen, IN: Goshen Municipal</t>
  </si>
  <si>
    <t>Greensboro/High Point, NC: Piedmont Triad International</t>
  </si>
  <si>
    <t>Greer, SC: Greenville-Spartanburg International</t>
  </si>
  <si>
    <t>Gustavus, AK: Gustavus Airport</t>
  </si>
  <si>
    <t>GSW</t>
  </si>
  <si>
    <t>Dallas/Fort Worth, TX: Greater Southwest International</t>
  </si>
  <si>
    <t>GT1</t>
  </si>
  <si>
    <t>San Jose, Guatemala: San Jose Airport</t>
  </si>
  <si>
    <t>GTB</t>
  </si>
  <si>
    <t>Genting, Malaysia: Genting Airport</t>
  </si>
  <si>
    <t>GTE</t>
  </si>
  <si>
    <t>Groote Island, Australia: Groote Eylandt</t>
  </si>
  <si>
    <t>Great Falls, MT: Great Falls International</t>
  </si>
  <si>
    <t>GTK</t>
  </si>
  <si>
    <t>Sungei Tekai, Malaysia: Sungei Tekai Airport</t>
  </si>
  <si>
    <t>GTN</t>
  </si>
  <si>
    <t>Mount Cook, New Zealand: Glentanner</t>
  </si>
  <si>
    <t>GTO</t>
  </si>
  <si>
    <t>Gorontalo, Indonesia: Djalaluddin</t>
  </si>
  <si>
    <t>Columbus, MS: Golden Triangle Regional</t>
  </si>
  <si>
    <t>GTU</t>
  </si>
  <si>
    <t>Georgetown, TX: Georgetown Municipal</t>
  </si>
  <si>
    <t>GTW</t>
  </si>
  <si>
    <t>Zlin, Czech Republic: Holesov</t>
  </si>
  <si>
    <t>GTY</t>
  </si>
  <si>
    <t>Gettysburg, PA: Gettysburg Regional</t>
  </si>
  <si>
    <t>Guatemala City, Guatemala: La Aurora International</t>
  </si>
  <si>
    <t>GUB</t>
  </si>
  <si>
    <t>Guerrero Negro, Mexico: Guerrero Negro Airport</t>
  </si>
  <si>
    <t>Gunnison, CO: Gunnison-Crested Butte Regional</t>
  </si>
  <si>
    <t>GUD</t>
  </si>
  <si>
    <t>Goundam, Mali: Goundam Airport</t>
  </si>
  <si>
    <t>GUF</t>
  </si>
  <si>
    <t>Gulf Shores, AL: Jack Edwards National</t>
  </si>
  <si>
    <t>GUH</t>
  </si>
  <si>
    <t>Gunnedah, Australia: Gunnedah Airport</t>
  </si>
  <si>
    <t>GUI</t>
  </si>
  <si>
    <t>Guiria, Venezuela: Almirante Cristobal Colon</t>
  </si>
  <si>
    <t>Guam, TT: Guam International</t>
  </si>
  <si>
    <t>GUO</t>
  </si>
  <si>
    <t>Gualaco, Honduras: Jicalapa</t>
  </si>
  <si>
    <t>GUP</t>
  </si>
  <si>
    <t>Gallup, NM: Gallup Municipal</t>
  </si>
  <si>
    <t>GUQ</t>
  </si>
  <si>
    <t>Guanare, Venezuela: Guanare Airport</t>
  </si>
  <si>
    <t>GUR</t>
  </si>
  <si>
    <t>Alotau, Papua New Guinea: Gurney</t>
  </si>
  <si>
    <t>GUS</t>
  </si>
  <si>
    <t>Peru, IN: Grissom ARB</t>
  </si>
  <si>
    <t>GUT</t>
  </si>
  <si>
    <t>Gutersloh, Germany: Gutersloh Airport</t>
  </si>
  <si>
    <t>GUW</t>
  </si>
  <si>
    <t>Atyrau, Kazakhstan: Atyrau Airport</t>
  </si>
  <si>
    <t>GUY</t>
  </si>
  <si>
    <t>Guymon, OK: Guymon Municipal</t>
  </si>
  <si>
    <t>GUZ</t>
  </si>
  <si>
    <t>Guiratinga, Brazil: Guiratinga Airport</t>
  </si>
  <si>
    <t>GVA</t>
  </si>
  <si>
    <t>Geneva, Switzerland: Geneva Airport</t>
  </si>
  <si>
    <t>GVE</t>
  </si>
  <si>
    <t>Gordonville, VA: Gordonsville Municipal</t>
  </si>
  <si>
    <t>GVL</t>
  </si>
  <si>
    <t>Gainesville, GA: Lee Gilmer Memorial</t>
  </si>
  <si>
    <t>GVQ</t>
  </si>
  <si>
    <t>Batavia, NY: Genesee County</t>
  </si>
  <si>
    <t>GVR</t>
  </si>
  <si>
    <t>Governador Valadares, Brazil: Coronel Altino Machado</t>
  </si>
  <si>
    <t>GVT</t>
  </si>
  <si>
    <t>Greenville, TX: Majors</t>
  </si>
  <si>
    <t>GVW</t>
  </si>
  <si>
    <t>Grandview, MO: Richards/Gebaur AFB</t>
  </si>
  <si>
    <t>GVX</t>
  </si>
  <si>
    <t>Gavle, Sweden: Gavle Airport</t>
  </si>
  <si>
    <t>GWD</t>
  </si>
  <si>
    <t>Gwadar, Pakistan: Gwadar International</t>
  </si>
  <si>
    <t>GWE</t>
  </si>
  <si>
    <t>Gweru, Zimbabwe: Gweru Thornhill</t>
  </si>
  <si>
    <t>GWI</t>
  </si>
  <si>
    <t>Gwinner, ND: Gwinner Municipal</t>
  </si>
  <si>
    <t>GWL</t>
  </si>
  <si>
    <t>Gwalior, India: Gwalior Airport</t>
  </si>
  <si>
    <t>GWO</t>
  </si>
  <si>
    <t>Greenwood, MS: Greenwood/Leflore</t>
  </si>
  <si>
    <t>GWR</t>
  </si>
  <si>
    <t>Gwinner, ND: Gwinner-Roger Melroe Field</t>
  </si>
  <si>
    <t>GWS</t>
  </si>
  <si>
    <t>Glenwood Springs, CO: Glenwood Springs Municipal</t>
  </si>
  <si>
    <t>GWT</t>
  </si>
  <si>
    <t>Westerland-Sylt, Germany: Sylt</t>
  </si>
  <si>
    <t>GWY</t>
  </si>
  <si>
    <t>Galway, Ireland: Carnmore</t>
  </si>
  <si>
    <t>GXF</t>
  </si>
  <si>
    <t>Sayun, Yemen: Sayun International</t>
  </si>
  <si>
    <t>GXH</t>
  </si>
  <si>
    <t>Mildenhall, United Kingdom: Mildenhall NAF</t>
  </si>
  <si>
    <t>GXQ</t>
  </si>
  <si>
    <t>Coyhaique, Chile: Teniente Vidal</t>
  </si>
  <si>
    <t>GXX</t>
  </si>
  <si>
    <t>Yagoua, Cameroon: Yagoua Ville</t>
  </si>
  <si>
    <t>GYA</t>
  </si>
  <si>
    <t>Guayaramerin, Bolivia: Guayaramerin Airport</t>
  </si>
  <si>
    <t>GYD</t>
  </si>
  <si>
    <t>Baku, Azerbaijan: Heydar Aliyev International</t>
  </si>
  <si>
    <t>Guayaquil, Ecuador: Jose Joaquin de Olmedo International</t>
  </si>
  <si>
    <t>GYM</t>
  </si>
  <si>
    <t>Guaymas, Mexico: General Jose Maria Yanez International</t>
  </si>
  <si>
    <t>GYN</t>
  </si>
  <si>
    <t>Goiania, Brazil: Santa Genoveva</t>
  </si>
  <si>
    <t>GYR</t>
  </si>
  <si>
    <t>Goodyear, AZ: Phoenix Goodyear</t>
  </si>
  <si>
    <t>GYY</t>
  </si>
  <si>
    <t>Gary, IN: Gary/Chicago International</t>
  </si>
  <si>
    <t>GZO</t>
  </si>
  <si>
    <t>Gizo, Solomon Islands: Gizo Airport</t>
  </si>
  <si>
    <t>GZT</t>
  </si>
  <si>
    <t>Gaziantep, Turkey: Gaziantep Airport</t>
  </si>
  <si>
    <t>HAB</t>
  </si>
  <si>
    <t>Hamilton, AL: Marion County</t>
  </si>
  <si>
    <t>HAC</t>
  </si>
  <si>
    <t>Hachijo Jima Island, Japan: Hachijo Jima Island Airport</t>
  </si>
  <si>
    <t>HAD</t>
  </si>
  <si>
    <t>Halmstad, Sweden: Halmstad Airport</t>
  </si>
  <si>
    <t>HAE</t>
  </si>
  <si>
    <t>Havasupai, AZ: Havasupai Airport</t>
  </si>
  <si>
    <t>HAF</t>
  </si>
  <si>
    <t>Half Moon Bay, CA: Half Moon Bay Airport</t>
  </si>
  <si>
    <t>HAH</t>
  </si>
  <si>
    <t>Moroni, Comoros: Prince Said Ibrahim</t>
  </si>
  <si>
    <t>HAJ</t>
  </si>
  <si>
    <t>Hannover, Germany: Hannover Airport</t>
  </si>
  <si>
    <t>HAK</t>
  </si>
  <si>
    <t>Haikou, China: Meilan</t>
  </si>
  <si>
    <t>HAM</t>
  </si>
  <si>
    <t>Hamburg, Germany: Hamburg Airport</t>
  </si>
  <si>
    <t>HAN</t>
  </si>
  <si>
    <t>Hanoi, Vietnam: Noibai International</t>
  </si>
  <si>
    <t>HAO</t>
  </si>
  <si>
    <t>Hamilton, OH: Butler County Regional Hogan Field</t>
  </si>
  <si>
    <t>HAP</t>
  </si>
  <si>
    <t>Long Island, Australia: Long Island Airport</t>
  </si>
  <si>
    <t>HAR</t>
  </si>
  <si>
    <t>Harrisburg, PA: Capital City</t>
  </si>
  <si>
    <t>HAS</t>
  </si>
  <si>
    <t>Hail, Saudi Arabia: Hail Airport</t>
  </si>
  <si>
    <t>HAU</t>
  </si>
  <si>
    <t>Haugesund, Norway: Karmoy</t>
  </si>
  <si>
    <t>Havana, Cuba: Jose Marti International</t>
  </si>
  <si>
    <t>HAY</t>
  </si>
  <si>
    <t>Haycock, AK: Haycock Airport</t>
  </si>
  <si>
    <t>HBA</t>
  </si>
  <si>
    <t>Hobart, Australia: Hobart Airport</t>
  </si>
  <si>
    <t>HBC</t>
  </si>
  <si>
    <t>Hanus Bay, AK: Hanus Bay Airport</t>
  </si>
  <si>
    <t>HBE</t>
  </si>
  <si>
    <t>Alexandria, Egypt: Borg El Arab</t>
  </si>
  <si>
    <t>HBG</t>
  </si>
  <si>
    <t>Hattiesburg, MS: Hattiesburg Bobby L. Chain Municipal</t>
  </si>
  <si>
    <t>HBH</t>
  </si>
  <si>
    <t>Hobart Bay, AK: Hobart Bay Airport</t>
  </si>
  <si>
    <t>HBI</t>
  </si>
  <si>
    <t>Harbour Island, The Bahamas: Harbour Island Airport</t>
  </si>
  <si>
    <t>HBL</t>
  </si>
  <si>
    <t>Babelegi, South Africa: Babelegi Heliport</t>
  </si>
  <si>
    <t>HBT</t>
  </si>
  <si>
    <t>Hafr Al Batin, Saudi Arabia: Al Batin</t>
  </si>
  <si>
    <t>HBV</t>
  </si>
  <si>
    <t>Hebbronville, TX: Jim Hogg County</t>
  </si>
  <si>
    <t>HBY</t>
  </si>
  <si>
    <t>Hood Bay, AK: Hood Bay Airport</t>
  </si>
  <si>
    <t>HCA</t>
  </si>
  <si>
    <t>Big Spring, TX: Howard County</t>
  </si>
  <si>
    <t>HCB</t>
  </si>
  <si>
    <t>Shoal Cove, AK: Shoal Cove Airport</t>
  </si>
  <si>
    <t>HCR</t>
  </si>
  <si>
    <t>Holy Cross, AK: Holy Cross Airport</t>
  </si>
  <si>
    <t>HCW</t>
  </si>
  <si>
    <t>HDA</t>
  </si>
  <si>
    <t>Hidden Falls, AK: Hidden Falls Airport</t>
  </si>
  <si>
    <t>HDB</t>
  </si>
  <si>
    <t>Heidelberg, Germany: Heidelberg AHP</t>
  </si>
  <si>
    <t>HDD</t>
  </si>
  <si>
    <t>Hyderabad, Pakistan: Hyderabad Airport</t>
  </si>
  <si>
    <t>HDE</t>
  </si>
  <si>
    <t>Holdrege, NE: Brewster Field</t>
  </si>
  <si>
    <t>HDF</t>
  </si>
  <si>
    <t>Heringsdorf, Germany: Heringsdorf Airport</t>
  </si>
  <si>
    <t>HDH</t>
  </si>
  <si>
    <t>Mokuleia, HI: Dillingham</t>
  </si>
  <si>
    <t>HDM</t>
  </si>
  <si>
    <t>Hamadan, Iran: Hamadan Airport</t>
  </si>
  <si>
    <t>Hayden, CO: Yampa Valley</t>
  </si>
  <si>
    <t>HDS</t>
  </si>
  <si>
    <t>Hoedspruit, South Africa: Hoedspruit Airport</t>
  </si>
  <si>
    <t>HDY</t>
  </si>
  <si>
    <t>Hat Yai, Thailand: Hat Yai International</t>
  </si>
  <si>
    <t>HEA</t>
  </si>
  <si>
    <t>Herat, Afghanistan: Herat Airport</t>
  </si>
  <si>
    <t>HED</t>
  </si>
  <si>
    <t>Herendeen, AK: Herendeen Bay</t>
  </si>
  <si>
    <t>HEH</t>
  </si>
  <si>
    <t>Heho, Burma: Heho Airport</t>
  </si>
  <si>
    <t>HEI</t>
  </si>
  <si>
    <t>Heide/Busum, Germany: Heide Buesum</t>
  </si>
  <si>
    <t>HEL</t>
  </si>
  <si>
    <t>Helsinki, Finland: Helsinki Vantaa</t>
  </si>
  <si>
    <t>HER</t>
  </si>
  <si>
    <t>Heraklion, Greece: Nikos Kazantzakis</t>
  </si>
  <si>
    <t>HES</t>
  </si>
  <si>
    <t>Hermiston, OR: Hermiston Municipal</t>
  </si>
  <si>
    <t>HET</t>
  </si>
  <si>
    <t>Hohhot, China: Baita</t>
  </si>
  <si>
    <t>HEX</t>
  </si>
  <si>
    <t>Santo Domingo, Dominican Republic: Herrera International</t>
  </si>
  <si>
    <t>HEZ</t>
  </si>
  <si>
    <t>Natchez, MS: Hardy-Anders Field Natchez-Adams County</t>
  </si>
  <si>
    <t>HFA</t>
  </si>
  <si>
    <t>Haifa, Israel: Haifa Airport</t>
  </si>
  <si>
    <t>HFD</t>
  </si>
  <si>
    <t>Hartford, CT: Hartford Brainard</t>
  </si>
  <si>
    <t>HFE</t>
  </si>
  <si>
    <t>Hefei, China: Xinqiao</t>
  </si>
  <si>
    <t>HFF</t>
  </si>
  <si>
    <t>Hoffman, NC: Mackall AAF</t>
  </si>
  <si>
    <t>HFN</t>
  </si>
  <si>
    <t>Hofn, Iceland: Hornafjordur</t>
  </si>
  <si>
    <t>HFT</t>
  </si>
  <si>
    <t>Hammerfest, Norway: Hammerfest Airport</t>
  </si>
  <si>
    <t>HGA</t>
  </si>
  <si>
    <t>Hargeisa, Somalia: Egal International</t>
  </si>
  <si>
    <t>HGD</t>
  </si>
  <si>
    <t>Hughenden, Australia: Hughenden Airport</t>
  </si>
  <si>
    <t>HGH</t>
  </si>
  <si>
    <t>Hangzhou, China: Xiaoshan</t>
  </si>
  <si>
    <t>HGL</t>
  </si>
  <si>
    <t>Dune, Germany: Helgoland Duene</t>
  </si>
  <si>
    <t>HGN</t>
  </si>
  <si>
    <t>Mae Hong Son, Thailand: Mae Hong Son Airport</t>
  </si>
  <si>
    <t>HGO</t>
  </si>
  <si>
    <t>Korhogo, Cote d'Ivoire: Korhogo Airport</t>
  </si>
  <si>
    <t>Hagerstown, MD: Hagerstown Regional-Richard A. Henson Field</t>
  </si>
  <si>
    <t>HGS</t>
  </si>
  <si>
    <t>Freetown, Sierra Leone: Hastings</t>
  </si>
  <si>
    <t>HGU</t>
  </si>
  <si>
    <t>Mount Hagen, Papua New Guinea: Mount Hagen Airport</t>
  </si>
  <si>
    <t>HGZ</t>
  </si>
  <si>
    <t>Hogatza, AK: Hogatza Airport</t>
  </si>
  <si>
    <t>HHE</t>
  </si>
  <si>
    <t>Hachinohe, Japan: Hachinohe Airport</t>
  </si>
  <si>
    <t>Hilton Head, SC: Hilton Head Airport</t>
  </si>
  <si>
    <t>HHN</t>
  </si>
  <si>
    <t>Hahn, Germany: Frankfurt Hahn</t>
  </si>
  <si>
    <t>HHP</t>
  </si>
  <si>
    <t>Hong Kong, Hong Kong: Kai Tak Heliport</t>
  </si>
  <si>
    <t>HHQ</t>
  </si>
  <si>
    <t>Hua Hin, Thailand: Hua Hin Airport</t>
  </si>
  <si>
    <t>HHR</t>
  </si>
  <si>
    <t>Hawthorne, CA: Jack Northrop Field/Hawthorne Municipal</t>
  </si>
  <si>
    <t>HIA</t>
  </si>
  <si>
    <t>Hiawatha, KS: Hiawatha Municipal</t>
  </si>
  <si>
    <t>Hibbing, MN: Range Regional</t>
  </si>
  <si>
    <t>HIE</t>
  </si>
  <si>
    <t>Whitefield, NH: Mount Washington Regional</t>
  </si>
  <si>
    <t>HIF</t>
  </si>
  <si>
    <t>Ogden, UT: Hill AFB</t>
  </si>
  <si>
    <t>HII</t>
  </si>
  <si>
    <t>Lake Havasu City, AZ: Lake Havasu City Airport</t>
  </si>
  <si>
    <t>HIJ</t>
  </si>
  <si>
    <t>Hiroshima, Japan: Hiroshima Airport</t>
  </si>
  <si>
    <t>HIK</t>
  </si>
  <si>
    <t>Honolulu, HI: Daniel K Inouye International</t>
  </si>
  <si>
    <t>HIN</t>
  </si>
  <si>
    <t>Jinju, South Korea: Sacheon AB</t>
  </si>
  <si>
    <t>HIO</t>
  </si>
  <si>
    <t>Hillsboro, OR: Portland Hillsboro</t>
  </si>
  <si>
    <t>HIR</t>
  </si>
  <si>
    <t>Honiara, Solomon Islands: Honiara International</t>
  </si>
  <si>
    <t>HIS</t>
  </si>
  <si>
    <t>Hayman Island, Australia: Hayman Island Airport</t>
  </si>
  <si>
    <t>HJR</t>
  </si>
  <si>
    <t>Khajuraho, India: Khajuraho Airport</t>
  </si>
  <si>
    <t>HKA</t>
  </si>
  <si>
    <t>Blytheville, AR: Blytheville Municipal</t>
  </si>
  <si>
    <t>HKB</t>
  </si>
  <si>
    <t>Healy, AK: Healy River</t>
  </si>
  <si>
    <t>HKD</t>
  </si>
  <si>
    <t>Hakodate, Japan: Hakodate Airport</t>
  </si>
  <si>
    <t>HKG</t>
  </si>
  <si>
    <t>Hong Kong, Hong Kong: Hong Kong International</t>
  </si>
  <si>
    <t>HKK</t>
  </si>
  <si>
    <t>Hokitika, New Zealand: Hokitika Airport</t>
  </si>
  <si>
    <t>HKN</t>
  </si>
  <si>
    <t>Hoskins, Papua New Guinea: Hoskins Airport</t>
  </si>
  <si>
    <t>HKP</t>
  </si>
  <si>
    <t>Kaanapali, HI: Kaanapali Airport</t>
  </si>
  <si>
    <t>HKS</t>
  </si>
  <si>
    <t>Jackson, MS: Hawkins Field</t>
  </si>
  <si>
    <t>HKT</t>
  </si>
  <si>
    <t>Phuket, Thailand: Phuket International</t>
  </si>
  <si>
    <t>HKY</t>
  </si>
  <si>
    <t>Hickory, NC: Hickory Regional</t>
  </si>
  <si>
    <t>HLA</t>
  </si>
  <si>
    <t>Lanseria, South Africa: Lanseria International</t>
  </si>
  <si>
    <t>HLD</t>
  </si>
  <si>
    <t>Hailar, China: Hailar Airport</t>
  </si>
  <si>
    <t>HLF</t>
  </si>
  <si>
    <t>Hultsfred, Sweden: Hultsfred Airport</t>
  </si>
  <si>
    <t>HLG</t>
  </si>
  <si>
    <t>Wheeling, WV: Wheeling Ohio County</t>
  </si>
  <si>
    <t>HLI</t>
  </si>
  <si>
    <t>Hollister, CA: Hollister Municipal</t>
  </si>
  <si>
    <t>HLM</t>
  </si>
  <si>
    <t>Holland, MI: Park Township</t>
  </si>
  <si>
    <t>Helena, MT: Helena Regional</t>
  </si>
  <si>
    <t>HLO</t>
  </si>
  <si>
    <t>Holbrook, AZ: Holbrook Municipal</t>
  </si>
  <si>
    <t>HLP</t>
  </si>
  <si>
    <t>Jakarta, Indonesia: Halim Perdanakusuma International</t>
  </si>
  <si>
    <t>HLT</t>
  </si>
  <si>
    <t>Hamilton, Australia: Hamilton Airport</t>
  </si>
  <si>
    <t>HLZ</t>
  </si>
  <si>
    <t>Hamilton, New Zealand: Hamilton Airport</t>
  </si>
  <si>
    <t>HMA</t>
  </si>
  <si>
    <t>Khanty-Mansiysk, Russia: Khanty-Mansiysk Airport</t>
  </si>
  <si>
    <t>HME</t>
  </si>
  <si>
    <t>Hassi Messaoud, Algeria: Krim Belkacem</t>
  </si>
  <si>
    <t>HMN</t>
  </si>
  <si>
    <t>Alamogordo, NM: Holloman AFB</t>
  </si>
  <si>
    <t>HMO</t>
  </si>
  <si>
    <t>Hermosillo, Mexico: General Ignacio P. Garcia International</t>
  </si>
  <si>
    <t>HMS</t>
  </si>
  <si>
    <t>Homeshore, AK: Homeshore Airport</t>
  </si>
  <si>
    <t>HMT</t>
  </si>
  <si>
    <t>Hemet, CA: Hemet-Ryan</t>
  </si>
  <si>
    <t>HMY</t>
  </si>
  <si>
    <t>Seosan, South Korea: Seosan AB</t>
  </si>
  <si>
    <t>HNA</t>
  </si>
  <si>
    <t>Hanamaki, Japan: Hanamaki Airport</t>
  </si>
  <si>
    <t>HNB</t>
  </si>
  <si>
    <t>Huntingburg, IN: Huntingburg Airport</t>
  </si>
  <si>
    <t>HNC</t>
  </si>
  <si>
    <t>Hatteras, NC: Billy Mitchell</t>
  </si>
  <si>
    <t>HND</t>
  </si>
  <si>
    <t>Tokyo, Japan: Tokyo International</t>
  </si>
  <si>
    <t>HNG</t>
  </si>
  <si>
    <t>Hienghene, New Caledonia: Hienghene/Henri Martinet</t>
  </si>
  <si>
    <t>HNH</t>
  </si>
  <si>
    <t>Hoonah, AK: Hoonah Airport</t>
  </si>
  <si>
    <t>HNM</t>
  </si>
  <si>
    <t>Hana, HI: Hana Airport</t>
  </si>
  <si>
    <t>HNS</t>
  </si>
  <si>
    <t>Haines, AK: Haines Airport</t>
  </si>
  <si>
    <t>Hobbs, NM: Lea County Regional</t>
  </si>
  <si>
    <t>HOD</t>
  </si>
  <si>
    <t>Hodeidah, Yemen: Hodeidah International</t>
  </si>
  <si>
    <t>HOF</t>
  </si>
  <si>
    <t>Hofuf, Saudi Arabia: Al Ahsa</t>
  </si>
  <si>
    <t>HOG</t>
  </si>
  <si>
    <t>Holguin, Cuba: Frank Pais International</t>
  </si>
  <si>
    <t>HOI</t>
  </si>
  <si>
    <t>Hao Island, French Polynesia: Hao</t>
  </si>
  <si>
    <t>HOK</t>
  </si>
  <si>
    <t>Hooker Creek, Australia: Hooker Creek Airport</t>
  </si>
  <si>
    <t>HOL</t>
  </si>
  <si>
    <t>Holikachuk, AK: Holikachuk Airport</t>
  </si>
  <si>
    <t>HOM</t>
  </si>
  <si>
    <t>Homer, AK: Homer Airport</t>
  </si>
  <si>
    <t>HON</t>
  </si>
  <si>
    <t>Huron, SD: Huron Regional</t>
  </si>
  <si>
    <t>HOP</t>
  </si>
  <si>
    <t>Hopkinsville, KY: Campbell AAF</t>
  </si>
  <si>
    <t>HOQ</t>
  </si>
  <si>
    <t>Hof, Germany: Hof Plauen</t>
  </si>
  <si>
    <t>HOR</t>
  </si>
  <si>
    <t>Horta, Portugal: Horta Airport</t>
  </si>
  <si>
    <t>HOT</t>
  </si>
  <si>
    <t>Hot Springs, AR: Memorial Field</t>
  </si>
  <si>
    <t>Houston, TX: William P Hobby</t>
  </si>
  <si>
    <t>HOV</t>
  </si>
  <si>
    <t>Orsta/Volda, Norway: Hovden</t>
  </si>
  <si>
    <t>HOW</t>
  </si>
  <si>
    <t>Balboa, Panama: Panama Pacifico International</t>
  </si>
  <si>
    <t>HPA</t>
  </si>
  <si>
    <t>Lifuka, Tonga: Salote Pilolevu</t>
  </si>
  <si>
    <t>HPB</t>
  </si>
  <si>
    <t>Hooper Bay, AK: Hooper Bay Airport</t>
  </si>
  <si>
    <t>HPH</t>
  </si>
  <si>
    <t>Hai Phong, Vietnam: Catbi International</t>
  </si>
  <si>
    <t>White Plains, NY: Westchester County</t>
  </si>
  <si>
    <t>HPT</t>
  </si>
  <si>
    <t>Hampton, IA: Hampton Municipal</t>
  </si>
  <si>
    <t>HPV</t>
  </si>
  <si>
    <t>Hanalei, HI: Princeville</t>
  </si>
  <si>
    <t>HPY</t>
  </si>
  <si>
    <t>Baytown, TX: Baytown Airport</t>
  </si>
  <si>
    <t>HQM</t>
  </si>
  <si>
    <t>Hoquiam, WA: Bowerman</t>
  </si>
  <si>
    <t>HRB</t>
  </si>
  <si>
    <t>Harbin, China: Taiping</t>
  </si>
  <si>
    <t>HRE</t>
  </si>
  <si>
    <t>Harare, Zimbabwe: Robert Gabriel Mugabe International</t>
  </si>
  <si>
    <t>HRG</t>
  </si>
  <si>
    <t>Hurghada, Egypt: Hurghada International</t>
  </si>
  <si>
    <t>HRK</t>
  </si>
  <si>
    <t>Kharkov, Ukraine: Kharkov Airport</t>
  </si>
  <si>
    <t>Harlingen/San Benito, TX: Valley International</t>
  </si>
  <si>
    <t>HRO</t>
  </si>
  <si>
    <t>Harrison, AR: Boone County</t>
  </si>
  <si>
    <t>HRT</t>
  </si>
  <si>
    <t>Harrogate, United Kingdom: Linton-On-Ouse</t>
  </si>
  <si>
    <t>HSC</t>
  </si>
  <si>
    <t>Shaoguan, China: Shaoguan Airport</t>
  </si>
  <si>
    <t>HSG</t>
  </si>
  <si>
    <t>Saga, Japan: Saga Airport</t>
  </si>
  <si>
    <t>HSH</t>
  </si>
  <si>
    <t>Las Vegas, NV: Henderson Executive</t>
  </si>
  <si>
    <t>HSI</t>
  </si>
  <si>
    <t>Hastings, NE: Hastings Municipal</t>
  </si>
  <si>
    <t>HSK</t>
  </si>
  <si>
    <t>Huesca, Spain: Huesca Airport</t>
  </si>
  <si>
    <t>HSL</t>
  </si>
  <si>
    <t>Huslia, AK: Huslia Airport</t>
  </si>
  <si>
    <t>HSP</t>
  </si>
  <si>
    <t>Hot Springs, VA: Ingalls Field</t>
  </si>
  <si>
    <t>HST</t>
  </si>
  <si>
    <t>Homestead, FL: Homestead ARB</t>
  </si>
  <si>
    <t>Huntsville, AL: Huntsville International-Carl T Jones Field</t>
  </si>
  <si>
    <t>HTA</t>
  </si>
  <si>
    <t>Chita, Russia: Kadala</t>
  </si>
  <si>
    <t>HTF</t>
  </si>
  <si>
    <t>Hatfield, United Kingdom: Hatfield Airport</t>
  </si>
  <si>
    <t>HTH</t>
  </si>
  <si>
    <t>Hawthorne, NV: Hawthorne Industrial</t>
  </si>
  <si>
    <t>HTI</t>
  </si>
  <si>
    <t>Hamilton Island, Australia: Hamilton Island Airport</t>
  </si>
  <si>
    <t>HTO</t>
  </si>
  <si>
    <t>East Hampton, NY: East Hampton Airport</t>
  </si>
  <si>
    <t>Ashland, WV: Tri-State/Milton J. Ferguson Field</t>
  </si>
  <si>
    <t>HTV</t>
  </si>
  <si>
    <t>Huntsville, TX: Huntsville Municipal</t>
  </si>
  <si>
    <t>HTY</t>
  </si>
  <si>
    <t>Hatay, Japan: Hatay Airport</t>
  </si>
  <si>
    <t>HTZ</t>
  </si>
  <si>
    <t>Hato Corozal, Colombia: Hato Corozal Airport</t>
  </si>
  <si>
    <t>HU1</t>
  </si>
  <si>
    <t>Papa, Hungary: Papa Airport</t>
  </si>
  <si>
    <t>HUA</t>
  </si>
  <si>
    <t>Huntsville, AL: Redstone AAF</t>
  </si>
  <si>
    <t>HUC</t>
  </si>
  <si>
    <t>Humacao, PR: Dr Hermenegildo Ortiz Quinones</t>
  </si>
  <si>
    <t>HUE</t>
  </si>
  <si>
    <t>Humera, Ethiopia: Humera Airport</t>
  </si>
  <si>
    <t>HUF</t>
  </si>
  <si>
    <t>Terre Haute, IN: Terre Haute Regional</t>
  </si>
  <si>
    <t>HUG</t>
  </si>
  <si>
    <t>Huehuetenango, Guatemala: Huehuetenango Airport</t>
  </si>
  <si>
    <t>HUH</t>
  </si>
  <si>
    <t>Huahine, French Polynesia: Huahine Fare</t>
  </si>
  <si>
    <t>HUI</t>
  </si>
  <si>
    <t>Hue, Vietnam: Phubai International</t>
  </si>
  <si>
    <t>HUL</t>
  </si>
  <si>
    <t>Houlton, ME: Houlton International</t>
  </si>
  <si>
    <t>HUM</t>
  </si>
  <si>
    <t>Houma, LA: Houma Terrebonne</t>
  </si>
  <si>
    <t>HUN</t>
  </si>
  <si>
    <t>Hualien, Taiwan: Hualien Airport</t>
  </si>
  <si>
    <t>HUS</t>
  </si>
  <si>
    <t>Hughes, AK: Hughes Airport</t>
  </si>
  <si>
    <t>HUT</t>
  </si>
  <si>
    <t>Hutchinson, KS: Hutchinson Regional</t>
  </si>
  <si>
    <t>HUU</t>
  </si>
  <si>
    <t>Huanuco, Peru: Alferez FAP David Figueroa Fernandini</t>
  </si>
  <si>
    <t>HUV</t>
  </si>
  <si>
    <t>Hudiksvall, Sweden: Hudiksvall Airport</t>
  </si>
  <si>
    <t>HUX</t>
  </si>
  <si>
    <t>Santa Cruz/Huatulco, Mexico: Bahias de Huatulco International</t>
  </si>
  <si>
    <t>HUY</t>
  </si>
  <si>
    <t>Humberside, United Kingdom: Humberside Airport</t>
  </si>
  <si>
    <t>HVA</t>
  </si>
  <si>
    <t>Analalava, Madagascar: Analalava Airport</t>
  </si>
  <si>
    <t>HVB</t>
  </si>
  <si>
    <t>Hervey Bay, Australia: Hervey Bay Airport</t>
  </si>
  <si>
    <t>HVC</t>
  </si>
  <si>
    <t>Hopkinsville, KY: Hopkinsville-Christian County</t>
  </si>
  <si>
    <t>New Haven, CT: Tweed New Haven</t>
  </si>
  <si>
    <t>HVR</t>
  </si>
  <si>
    <t>Havre, MT: Havre City-County</t>
  </si>
  <si>
    <t>HVS</t>
  </si>
  <si>
    <t>Hartsville, SC: Hartsville Regional</t>
  </si>
  <si>
    <t>HWD</t>
  </si>
  <si>
    <t>Hayward, CA: Hayward Executive</t>
  </si>
  <si>
    <t>HWI</t>
  </si>
  <si>
    <t>Hawk Inlet, AK: Hawk Inlet Airport</t>
  </si>
  <si>
    <t>HWN</t>
  </si>
  <si>
    <t>Hwange, Zimbabwe: Hwange National Park</t>
  </si>
  <si>
    <t>Hyannis, MA: Barnstable Municipal-Boardman/Polando Field</t>
  </si>
  <si>
    <t>HYD</t>
  </si>
  <si>
    <t>Hyderabad, India: Rajiv Gandhi International</t>
  </si>
  <si>
    <t>HYG</t>
  </si>
  <si>
    <t>Hydaburg, AK: Hydaburg Seaplane Base</t>
  </si>
  <si>
    <t>HYL</t>
  </si>
  <si>
    <t>Hollis, AK: Hollis Seaplane Base</t>
  </si>
  <si>
    <t>HYR</t>
  </si>
  <si>
    <t>Hayward, WI: Sawyer County</t>
  </si>
  <si>
    <t>Hays, KS: Hays Regional</t>
  </si>
  <si>
    <t>HZH</t>
  </si>
  <si>
    <t>Liping City, China: Liping</t>
  </si>
  <si>
    <t>HZK</t>
  </si>
  <si>
    <t>Husavik, Iceland: Husavik Airport</t>
  </si>
  <si>
    <t>HZL</t>
  </si>
  <si>
    <t>Hazleton, PA: Hazleton Regional</t>
  </si>
  <si>
    <t>IA1</t>
  </si>
  <si>
    <t>Shenandoah, IA: Shenandoah Municipal</t>
  </si>
  <si>
    <t>IA2</t>
  </si>
  <si>
    <t>Webster City, IA: Webster City Municipal</t>
  </si>
  <si>
    <t>IA3</t>
  </si>
  <si>
    <t>Red Oak, IA: Red Oak Municipal</t>
  </si>
  <si>
    <t>IA4</t>
  </si>
  <si>
    <t>Pella, IA: Pella Municipal</t>
  </si>
  <si>
    <t>IAB</t>
  </si>
  <si>
    <t>Wichita, KS: McConnell AFB</t>
  </si>
  <si>
    <t>Washington, DC: Washington Dulles International</t>
  </si>
  <si>
    <t>Niagara Falls, NY: Niagara Falls International</t>
  </si>
  <si>
    <t>Houston, TX: George Bush Intercontinental/Houston</t>
  </si>
  <si>
    <t>IAM</t>
  </si>
  <si>
    <t>In Amenas, Algeria: In Amenas Airport</t>
  </si>
  <si>
    <t>IAN</t>
  </si>
  <si>
    <t>Kiana, AK: Bob Baker Memorial</t>
  </si>
  <si>
    <t>IAR</t>
  </si>
  <si>
    <t>Yaroslavl, Russia: Yaroslavl Airport</t>
  </si>
  <si>
    <t>IAS</t>
  </si>
  <si>
    <t>Iasi, Romania: Iasi International</t>
  </si>
  <si>
    <t>IBA</t>
  </si>
  <si>
    <t>Ibadan, Nigeria: Ibadan Airport</t>
  </si>
  <si>
    <t>IBE</t>
  </si>
  <si>
    <t>Ibague, Colombia: Perales</t>
  </si>
  <si>
    <t>IBR</t>
  </si>
  <si>
    <t>Tokyo, Japan: Hyakuri</t>
  </si>
  <si>
    <t>IBZ</t>
  </si>
  <si>
    <t>Ibiza, Spain: Ibiza Airport</t>
  </si>
  <si>
    <t>ICI</t>
  </si>
  <si>
    <t>Cicia, Fiji: Cicia Airport</t>
  </si>
  <si>
    <t>ICK</t>
  </si>
  <si>
    <t>Nieuw Nickerie, Suriname: Nieuw</t>
  </si>
  <si>
    <t>ICN</t>
  </si>
  <si>
    <t>Seoul, South Korea: Incheon International</t>
  </si>
  <si>
    <t>Wichita, KS: Wichita Dwight D Eisenhower National</t>
  </si>
  <si>
    <t>ICY</t>
  </si>
  <si>
    <t>Icy Bay, AK: Icy Bay Airport</t>
  </si>
  <si>
    <t>ID1</t>
  </si>
  <si>
    <t>Driggs, ID: Driggs-Reed Memorial</t>
  </si>
  <si>
    <t>ID2</t>
  </si>
  <si>
    <t>Montpelier, ID: Montpelier Airport</t>
  </si>
  <si>
    <t>ID3</t>
  </si>
  <si>
    <t>Sandpoint, ID: Sandpoint Airport</t>
  </si>
  <si>
    <t>ID4</t>
  </si>
  <si>
    <t>Caldwell, ID: Caldwell Industrial</t>
  </si>
  <si>
    <t>Idaho Falls, ID: Idaho Falls Regional</t>
  </si>
  <si>
    <t>IDI</t>
  </si>
  <si>
    <t>Indiana, PA: Indiana County</t>
  </si>
  <si>
    <t>IDO</t>
  </si>
  <si>
    <t>Santa Isabel Do Morro, Brazil: Santa Isabel Do Morro Airport</t>
  </si>
  <si>
    <t>IDP</t>
  </si>
  <si>
    <t>Independence, KS: Independence Municipal</t>
  </si>
  <si>
    <t>IDR</t>
  </si>
  <si>
    <t>Indore, India: Devi Ahilyabai Holkar</t>
  </si>
  <si>
    <t>IE1</t>
  </si>
  <si>
    <t>Baldonnel, Ireland: Casement</t>
  </si>
  <si>
    <t>IEG</t>
  </si>
  <si>
    <t>Zielona Gora, Poland: Babimost</t>
  </si>
  <si>
    <t>IEV</t>
  </si>
  <si>
    <t>Kiev, Ukraine: Zhuliany International</t>
  </si>
  <si>
    <t>IFJ</t>
  </si>
  <si>
    <t>Isafjordur, Iceland: Isafjordur Airport</t>
  </si>
  <si>
    <t>IFL</t>
  </si>
  <si>
    <t>Innisfail, Australia: Innisfail Airport</t>
  </si>
  <si>
    <t>IFN</t>
  </si>
  <si>
    <t>Isfahan, Iran: Shahid Beheshti International</t>
  </si>
  <si>
    <t>IFO</t>
  </si>
  <si>
    <t>Ivano-Frankovska, Ukraine: Ivano - Frankovska International</t>
  </si>
  <si>
    <t>Bullhead City, AZ: Laughlin/Bullhead International</t>
  </si>
  <si>
    <t>IGA</t>
  </si>
  <si>
    <t>Inagua, The Bahamas: Inagua Airport</t>
  </si>
  <si>
    <t>IGG</t>
  </si>
  <si>
    <t>Igiugig, AK: Igiugig Airport</t>
  </si>
  <si>
    <t>IGH</t>
  </si>
  <si>
    <t>Ingham, Australia: Ingham Airport</t>
  </si>
  <si>
    <t>IGL</t>
  </si>
  <si>
    <t>Izmir, Turkey: Cigli</t>
  </si>
  <si>
    <t>IGM</t>
  </si>
  <si>
    <t>Kingman, AZ: Kingman Airport</t>
  </si>
  <si>
    <t>IGN</t>
  </si>
  <si>
    <t>Iligan, Philippines: Maria Cristina</t>
  </si>
  <si>
    <t>IGO</t>
  </si>
  <si>
    <t>Chigorodo, Colombia: Chigorodo Airport</t>
  </si>
  <si>
    <t>IGR</t>
  </si>
  <si>
    <t>Iguazu, Argentina: Cataratas</t>
  </si>
  <si>
    <t>IGS</t>
  </si>
  <si>
    <t>Ingolstadt, Germany: Ingolstadt Manching</t>
  </si>
  <si>
    <t>IGU</t>
  </si>
  <si>
    <t>Iguacu Falls, Brazil: Cataratas International</t>
  </si>
  <si>
    <t>IGX</t>
  </si>
  <si>
    <t>Chapel Hill, NC: Horace Williams</t>
  </si>
  <si>
    <t>IHU</t>
  </si>
  <si>
    <t>Ihu, Papua New Guinea: Ihu Airport</t>
  </si>
  <si>
    <t>II1</t>
  </si>
  <si>
    <t>Rantoul, IL: Rantoul National Aviation Center</t>
  </si>
  <si>
    <t>II2</t>
  </si>
  <si>
    <t>Chicago/Romeoville, IL: Lewis University</t>
  </si>
  <si>
    <t>II3</t>
  </si>
  <si>
    <t>De Kalb, IL: De Kalb Taylor Municipal</t>
  </si>
  <si>
    <t>II4</t>
  </si>
  <si>
    <t>Lincoln, IL: Logan County</t>
  </si>
  <si>
    <t>IJU</t>
  </si>
  <si>
    <t>Ijui, Brazil: Ijui Airport</t>
  </si>
  <si>
    <t>IJX</t>
  </si>
  <si>
    <t>Jacksonville, IL: Jacksonville Municipal</t>
  </si>
  <si>
    <t>IKA</t>
  </si>
  <si>
    <t>Tehran, Iran: Imam Khomaini International</t>
  </si>
  <si>
    <t>IKB</t>
  </si>
  <si>
    <t>Wilkesboro, NC: Wilkes County</t>
  </si>
  <si>
    <t>IKI</t>
  </si>
  <si>
    <t>Iki, Japan: Iki Airport</t>
  </si>
  <si>
    <t>IKK</t>
  </si>
  <si>
    <t>Kankakee, IL: Greater Kankakee</t>
  </si>
  <si>
    <t>IKO</t>
  </si>
  <si>
    <t>Nikolski, AK: Nikolski AS</t>
  </si>
  <si>
    <t>IKT</t>
  </si>
  <si>
    <t>Irkutsk, Russia: Irkutsk Airport</t>
  </si>
  <si>
    <t>IKV</t>
  </si>
  <si>
    <t>Ankeny, IA: Ankeny Regional</t>
  </si>
  <si>
    <t>IL1</t>
  </si>
  <si>
    <t>Nevatim, Israel: Nevatim AB</t>
  </si>
  <si>
    <t>IL2</t>
  </si>
  <si>
    <t>Effingham, IL: Effingham County Memorial</t>
  </si>
  <si>
    <t>IL3</t>
  </si>
  <si>
    <t>Litchfield, IL: Litchfield Municipal</t>
  </si>
  <si>
    <t>ILE</t>
  </si>
  <si>
    <t>Killeen, TX: Skylark Field</t>
  </si>
  <si>
    <t>Wilmington, DE: New Castle</t>
  </si>
  <si>
    <t>ILI</t>
  </si>
  <si>
    <t>Iliamna, AK: Iliamna Airport</t>
  </si>
  <si>
    <t>ILL</t>
  </si>
  <si>
    <t>Willmar, MN: Willmar Municipal</t>
  </si>
  <si>
    <t>Wilmington, NC: Wilmington International</t>
  </si>
  <si>
    <t>ILN</t>
  </si>
  <si>
    <t>Wilmington, OH: Wilmington Air Park</t>
  </si>
  <si>
    <t>ILO</t>
  </si>
  <si>
    <t>Iloilo, Philippines: Iloilo Airport</t>
  </si>
  <si>
    <t>ILP</t>
  </si>
  <si>
    <t>Ile Des Pins, New Caledonia: Ile Des Pins Moue</t>
  </si>
  <si>
    <t>ILQ</t>
  </si>
  <si>
    <t>Ilo, Peru: Ilo Airport</t>
  </si>
  <si>
    <t>ILR</t>
  </si>
  <si>
    <t>Ilorin, Nigeria: Ilorin Airport</t>
  </si>
  <si>
    <t>ILY</t>
  </si>
  <si>
    <t>Islay, United Kingdom: Islay Airport</t>
  </si>
  <si>
    <t>ILZ</t>
  </si>
  <si>
    <t>Zilina, Slovakia: Zilina International</t>
  </si>
  <si>
    <t>IMF</t>
  </si>
  <si>
    <t>Imphal, India: Imphal Airport</t>
  </si>
  <si>
    <t>IML</t>
  </si>
  <si>
    <t>Imperial, NE: Imperial Municipal</t>
  </si>
  <si>
    <t>IMM</t>
  </si>
  <si>
    <t>Immokalee, FL: Immokalee Regional</t>
  </si>
  <si>
    <t>IMP</t>
  </si>
  <si>
    <t>Imperatriz, Brazil: Imperatriz Airport</t>
  </si>
  <si>
    <t>Iron Mountain/Kingsfd, MI: Ford</t>
  </si>
  <si>
    <t>IN1</t>
  </si>
  <si>
    <t>Auburn, IN: De Kalb County</t>
  </si>
  <si>
    <t>IN2</t>
  </si>
  <si>
    <t>Indianapolis, IN: Indianapolis Executive</t>
  </si>
  <si>
    <t>IN3</t>
  </si>
  <si>
    <t>Indianapolis, IN: Indianapolis Metro</t>
  </si>
  <si>
    <t>IN4</t>
  </si>
  <si>
    <t>Indianapolis, IN: Eagle Creek Airpark</t>
  </si>
  <si>
    <t>IN5</t>
  </si>
  <si>
    <t>Hindon, India: Hindon Airport</t>
  </si>
  <si>
    <t>IN6</t>
  </si>
  <si>
    <t>Jeffersonville, IN: Clark Regional</t>
  </si>
  <si>
    <t>IN7</t>
  </si>
  <si>
    <t>Indianapolis, IN: Indy South Greenwood</t>
  </si>
  <si>
    <t>IN8</t>
  </si>
  <si>
    <t>Tamil Nadu, India: Rajali Arakkonam</t>
  </si>
  <si>
    <t>IN9</t>
  </si>
  <si>
    <t>Washington, IN: Daviess County</t>
  </si>
  <si>
    <t>INC</t>
  </si>
  <si>
    <t>Yinchuan, China: Hedong</t>
  </si>
  <si>
    <t>Indianapolis, IN: Indianapolis International</t>
  </si>
  <si>
    <t>INF</t>
  </si>
  <si>
    <t>In Guezzam, Algeria: In Guezzam Airport</t>
  </si>
  <si>
    <t>ING</t>
  </si>
  <si>
    <t>Lago Argentino, Argentina: Lago Argentino Airport</t>
  </si>
  <si>
    <t>INH</t>
  </si>
  <si>
    <t>Inhambane, Mozambique: Inhambane Airport</t>
  </si>
  <si>
    <t>International Falls, MN: Falls International Einarson Field</t>
  </si>
  <si>
    <t>INN</t>
  </si>
  <si>
    <t>Innsbruck, Austria: Innsbruck Airport</t>
  </si>
  <si>
    <t>INO</t>
  </si>
  <si>
    <t>Inongo, Congo (Kinshasa): Inongo Airport</t>
  </si>
  <si>
    <t>INR</t>
  </si>
  <si>
    <t>Sault Ste. Marie, MI: Kincheloe AFB</t>
  </si>
  <si>
    <t>INS</t>
  </si>
  <si>
    <t>Indian Springs, NV: Creech AFB</t>
  </si>
  <si>
    <t>INT</t>
  </si>
  <si>
    <t>Winston-Salem, NC: Smith Reynolds</t>
  </si>
  <si>
    <t>INU</t>
  </si>
  <si>
    <t>Nauru, Nauru: Nauru Island</t>
  </si>
  <si>
    <t>INV</t>
  </si>
  <si>
    <t>Inverness, United Kingdom: Inverness Airport</t>
  </si>
  <si>
    <t>INW</t>
  </si>
  <si>
    <t>Winslow, AZ: Winslow-Lindbergh Regional</t>
  </si>
  <si>
    <t>IOA</t>
  </si>
  <si>
    <t>Ioannina, Greece: Ioannina Airport</t>
  </si>
  <si>
    <t>IOM</t>
  </si>
  <si>
    <t>Isle of Man, United Kingdom: Isle of Man Airport</t>
  </si>
  <si>
    <t>ION</t>
  </si>
  <si>
    <t>Impfondo, Congo (Brazaville): Impfondo Airport</t>
  </si>
  <si>
    <t>IOR</t>
  </si>
  <si>
    <t>Inishmore, Ireland: Inishmore Airport</t>
  </si>
  <si>
    <t>IOS</t>
  </si>
  <si>
    <t>Ilheus, Brazil: Bahia Jorge Amado</t>
  </si>
  <si>
    <t>IOU</t>
  </si>
  <si>
    <t>Ile Ouen, New Caledonia: Ile Ouen Airport</t>
  </si>
  <si>
    <t>IOW</t>
  </si>
  <si>
    <t>Iowa City, IA: Iowa City Municipal</t>
  </si>
  <si>
    <t>IPC</t>
  </si>
  <si>
    <t>Easter Island, Chile: Mataveri International</t>
  </si>
  <si>
    <t>IPE</t>
  </si>
  <si>
    <t>Ipil, Philippines: Ipil Airport</t>
  </si>
  <si>
    <t>IPH</t>
  </si>
  <si>
    <t>Ipoh, Malaysia: Ipoh Sultan Azlan Shah</t>
  </si>
  <si>
    <t>IPI</t>
  </si>
  <si>
    <t>Ipiales, Colombia: San Luis</t>
  </si>
  <si>
    <t>IPL</t>
  </si>
  <si>
    <t>El Centro, CA: Imperial County</t>
  </si>
  <si>
    <t>IPN</t>
  </si>
  <si>
    <t>Ipatinga, Brazil: Usiminas</t>
  </si>
  <si>
    <t>Williamsport, PA: Williamsport Regional</t>
  </si>
  <si>
    <t>IQ1</t>
  </si>
  <si>
    <t>Al Taqaddum, Iraq: Al Taqaddum AB</t>
  </si>
  <si>
    <t>IQ2</t>
  </si>
  <si>
    <t>Al Asad, Iraq: Al Asad AB</t>
  </si>
  <si>
    <t>IQQ</t>
  </si>
  <si>
    <t>Iquique, Chile: Diego Aracena International</t>
  </si>
  <si>
    <t>IQT</t>
  </si>
  <si>
    <t>Iquitos, Peru: Coronel Francisco Secada Vignetta International</t>
  </si>
  <si>
    <t>IRC</t>
  </si>
  <si>
    <t>Circle, AK: Circle City</t>
  </si>
  <si>
    <t>IRD</t>
  </si>
  <si>
    <t>Ishurdi, Bangladesh: Ishurdi Airport</t>
  </si>
  <si>
    <t>IRG</t>
  </si>
  <si>
    <t>Iron Range, Australia: Iron Range Airport</t>
  </si>
  <si>
    <t>IRI</t>
  </si>
  <si>
    <t>Iringa, Tanzania: Iringa Airport</t>
  </si>
  <si>
    <t>IRJ</t>
  </si>
  <si>
    <t>La Rioja, Argentina: Capitan Vicente A Almonacid</t>
  </si>
  <si>
    <t>IRK</t>
  </si>
  <si>
    <t>Kirksville, MO: Kirksville Regional</t>
  </si>
  <si>
    <t>IRO</t>
  </si>
  <si>
    <t>Birao, Central African Republic: Birao Airport</t>
  </si>
  <si>
    <t>IRP</t>
  </si>
  <si>
    <t>Isiro, Congo (Kinshasa): Isiro Airport</t>
  </si>
  <si>
    <t>IRS</t>
  </si>
  <si>
    <t>Sturgis, MI: Sturgis Airport</t>
  </si>
  <si>
    <t>IRV</t>
  </si>
  <si>
    <t>Bayou La Batre, AL: Roy E. Ray</t>
  </si>
  <si>
    <t>ISA</t>
  </si>
  <si>
    <t>Mount Isa, Australia: Mount Isa Airport</t>
  </si>
  <si>
    <t>ISB</t>
  </si>
  <si>
    <t>Islamabad, Pakistan: Benazir Bhutto International</t>
  </si>
  <si>
    <t>ISC</t>
  </si>
  <si>
    <t>Scilly Isles, United Kingdom: Scilly Isles Airport</t>
  </si>
  <si>
    <t>ISG</t>
  </si>
  <si>
    <t>Ishigaki, Japan: Ishigaki Airport</t>
  </si>
  <si>
    <t>ISH</t>
  </si>
  <si>
    <t>Ischia, Italy: Ischia Airport</t>
  </si>
  <si>
    <t>ISI</t>
  </si>
  <si>
    <t>Isisford, Australia: Isisford Airport</t>
  </si>
  <si>
    <t>ISJ</t>
  </si>
  <si>
    <t>Isla Mujeres, Mexico: Isla Mujeres Airport</t>
  </si>
  <si>
    <t>ISL</t>
  </si>
  <si>
    <t>Istanbul, Turkey: Ataturk</t>
  </si>
  <si>
    <t>ISM</t>
  </si>
  <si>
    <t>Orlando, FL: Kissimmee Gateway</t>
  </si>
  <si>
    <t>Williston, ND: Sloulin Field International</t>
  </si>
  <si>
    <t>ISO</t>
  </si>
  <si>
    <t>Kinston, NC: Kinston Regional Jetport at Stallings Field</t>
  </si>
  <si>
    <t>Islip, NY: Long Island MacArthur</t>
  </si>
  <si>
    <t>ISQ</t>
  </si>
  <si>
    <t>Manistique, MI: Schoolcraft County</t>
  </si>
  <si>
    <t>ISR</t>
  </si>
  <si>
    <t>Istres, France: Istres Le Tube</t>
  </si>
  <si>
    <t>ISS</t>
  </si>
  <si>
    <t>Wiscasset, ME: Wiscasset Airport</t>
  </si>
  <si>
    <t>IST</t>
  </si>
  <si>
    <t>Istanbul, Turkey: Istanbul Airport</t>
  </si>
  <si>
    <t>ISU</t>
  </si>
  <si>
    <t>Sulaymaniyah, Iraq: Sulaymaniyah International</t>
  </si>
  <si>
    <t>ISW</t>
  </si>
  <si>
    <t>Wisconsin Rapids, WI: Alexander Field South Wood County</t>
  </si>
  <si>
    <t>IT1</t>
  </si>
  <si>
    <t>Amendola, Italy: Amendola Airport</t>
  </si>
  <si>
    <t>ITB</t>
  </si>
  <si>
    <t>Itaituba, Brazil: Itaituba Airport</t>
  </si>
  <si>
    <t>Ithaca/Cortland, NY: Ithaca Tompkins Regional</t>
  </si>
  <si>
    <t>ITI</t>
  </si>
  <si>
    <t>Itambacuri, Brazil: Itambacuri Airport</t>
  </si>
  <si>
    <t>ITJ</t>
  </si>
  <si>
    <t>Itajai, Brazil: Navegantes</t>
  </si>
  <si>
    <t>ITM</t>
  </si>
  <si>
    <t>Osaka, Japan: Osaka International</t>
  </si>
  <si>
    <t>ITN</t>
  </si>
  <si>
    <t>Itabuna, Brazil: Tertuliano Guedes de Pinho</t>
  </si>
  <si>
    <t>Hilo, HI: Hilo International</t>
  </si>
  <si>
    <t>ITQ</t>
  </si>
  <si>
    <t>Itaqui, Brazil: Itaqui Airport</t>
  </si>
  <si>
    <t>IUD</t>
  </si>
  <si>
    <t>Doha, Qatar: Al Udeid AB</t>
  </si>
  <si>
    <t>IUE</t>
  </si>
  <si>
    <t>Niue Island, Niue: Niue International</t>
  </si>
  <si>
    <t>IUS</t>
  </si>
  <si>
    <t>Inus, Papua New Guinea: Inus Airport</t>
  </si>
  <si>
    <t>IVA</t>
  </si>
  <si>
    <t>Ambanja, Madagascar: Ambanja/Ambalavelona</t>
  </si>
  <si>
    <t>IVC</t>
  </si>
  <si>
    <t>Invercargill, New Zealand: Invercargill Airport</t>
  </si>
  <si>
    <t>IVG</t>
  </si>
  <si>
    <t>Berane, Montenegro: Berane Airport</t>
  </si>
  <si>
    <t>IVL</t>
  </si>
  <si>
    <t>Ivalo, Finland: Ivalo Airport</t>
  </si>
  <si>
    <t>IVR</t>
  </si>
  <si>
    <t>Inverell, Australia: Inverell Airport</t>
  </si>
  <si>
    <t>IWA</t>
  </si>
  <si>
    <t>Ivanovo, Russia: Ivanovo Airport</t>
  </si>
  <si>
    <t>IWD</t>
  </si>
  <si>
    <t>Ironwood, MI: Gogebic-Iron County</t>
  </si>
  <si>
    <t>IWJ</t>
  </si>
  <si>
    <t>Iwami, Japan: Iwami Airport</t>
  </si>
  <si>
    <t>IWK</t>
  </si>
  <si>
    <t>Iwakuni, Japan: Iwakuni MCAS</t>
  </si>
  <si>
    <t>IWO</t>
  </si>
  <si>
    <t>Iwoto, Japan: Iwoto Airport</t>
  </si>
  <si>
    <t>IWS</t>
  </si>
  <si>
    <t>Houston, TX: West Houston</t>
  </si>
  <si>
    <t>IXA</t>
  </si>
  <si>
    <t>Agartala, India: Agartala Airport</t>
  </si>
  <si>
    <t>IXB</t>
  </si>
  <si>
    <t>Bagdogra, India: Bagdogra Airport</t>
  </si>
  <si>
    <t>IXC</t>
  </si>
  <si>
    <t>Chandigarh, India: Chandigarh Airport</t>
  </si>
  <si>
    <t>IXD</t>
  </si>
  <si>
    <t>Allahabad, India: Allahabad Airport</t>
  </si>
  <si>
    <t>IXE</t>
  </si>
  <si>
    <t>Mangalore, India: Mangalore International</t>
  </si>
  <si>
    <t>IXG</t>
  </si>
  <si>
    <t>Belgaum, India: Belgaum Airport</t>
  </si>
  <si>
    <t>IXH</t>
  </si>
  <si>
    <t>Kailashahar, India: Kailashahar Airport</t>
  </si>
  <si>
    <t>IXI</t>
  </si>
  <si>
    <t>Lilabari, India: North Lakhimpur/Lilabari</t>
  </si>
  <si>
    <t>IXJ</t>
  </si>
  <si>
    <t>Jammu, India: Jammu Airport</t>
  </si>
  <si>
    <t>IXK</t>
  </si>
  <si>
    <t>Keshod, India: Keshod Airport</t>
  </si>
  <si>
    <t>IXL</t>
  </si>
  <si>
    <t>Leh, India: Leh Airport</t>
  </si>
  <si>
    <t>IXM</t>
  </si>
  <si>
    <t>Madurai, India: Madurai Airport</t>
  </si>
  <si>
    <t>IXP</t>
  </si>
  <si>
    <t>Pathankot, India: Pathankot Airport</t>
  </si>
  <si>
    <t>IXQ</t>
  </si>
  <si>
    <t>Kamalpur, India: Kamalpur Airport</t>
  </si>
  <si>
    <t>IXR</t>
  </si>
  <si>
    <t>Ranchi, India: Ranchi Airport</t>
  </si>
  <si>
    <t>IXS</t>
  </si>
  <si>
    <t>Silchar, India: Silchar Airport</t>
  </si>
  <si>
    <t>IXU</t>
  </si>
  <si>
    <t>Aurangabad, India: Aurangabad Airport</t>
  </si>
  <si>
    <t>IXW</t>
  </si>
  <si>
    <t>Jamshedpur, India: Jamshedpur Airport</t>
  </si>
  <si>
    <t>IXY</t>
  </si>
  <si>
    <t>Kandla, India: Kandla Airport</t>
  </si>
  <si>
    <t>IXZ</t>
  </si>
  <si>
    <t>Port Blair, India: Port Blair Airport</t>
  </si>
  <si>
    <t>IYK</t>
  </si>
  <si>
    <t>Inyokern, CA: Inyokern Airport</t>
  </si>
  <si>
    <t>IZM</t>
  </si>
  <si>
    <t>Izmir, Turkey: Izmir Metropolitan Area</t>
  </si>
  <si>
    <t>IZO</t>
  </si>
  <si>
    <t>Izumo, Japan: Izumo Airport</t>
  </si>
  <si>
    <t>IZT</t>
  </si>
  <si>
    <t>Ixtepec, Mexico: Ixtepec Airport</t>
  </si>
  <si>
    <t>JAA</t>
  </si>
  <si>
    <t>Jalalabad, Afghanistan: Jalalabad Airport</t>
  </si>
  <si>
    <t>JAB</t>
  </si>
  <si>
    <t>Jabiru, Australia: Jabiru Airport</t>
  </si>
  <si>
    <t>Jackson, WY: Jackson Hole</t>
  </si>
  <si>
    <t>JAF</t>
  </si>
  <si>
    <t>Jaffna, Sri Lanka: Kankesanturai</t>
  </si>
  <si>
    <t>JAG</t>
  </si>
  <si>
    <t>Jacobabad, Pakistan: Shahbaz AB</t>
  </si>
  <si>
    <t>JAI</t>
  </si>
  <si>
    <t>Jaipur, India: Jaipur International</t>
  </si>
  <si>
    <t>JAJ</t>
  </si>
  <si>
    <t>Atlanta, GA: Perimeter Mall Helipad</t>
  </si>
  <si>
    <t>JAK</t>
  </si>
  <si>
    <t>Jacmel, Haiti: Jacmel Airport</t>
  </si>
  <si>
    <t>JAL</t>
  </si>
  <si>
    <t>Jalapa, Mexico: El Lencero</t>
  </si>
  <si>
    <t>Jackson/Vicksburg, MS: Jackson Medgar Wiley Evers International</t>
  </si>
  <si>
    <t>JAO</t>
  </si>
  <si>
    <t>Atlanta, GA: Beaver Ruin</t>
  </si>
  <si>
    <t>JAV</t>
  </si>
  <si>
    <t>Jakobshavn, Greenland: Ilulissat</t>
  </si>
  <si>
    <t>Jacksonville, FL: Jacksonville International</t>
  </si>
  <si>
    <t>JBC</t>
  </si>
  <si>
    <t>Boston, MA: Boston City Heliport</t>
  </si>
  <si>
    <t>JBK</t>
  </si>
  <si>
    <t>Oakland, CA: Berkeley Municipal Heliport</t>
  </si>
  <si>
    <t>JBP</t>
  </si>
  <si>
    <t>Commerce, CA: Commerce Business Park Heliport</t>
  </si>
  <si>
    <t>JBQ</t>
  </si>
  <si>
    <t>Santo Domingo, Dominican Republic: Dr. Joaquin Balaguer International</t>
  </si>
  <si>
    <t>JBR</t>
  </si>
  <si>
    <t>Jonesboro, AR: Jonesboro Municipal</t>
  </si>
  <si>
    <t>JCA</t>
  </si>
  <si>
    <t>Cannes, France: Croisette Heliport</t>
  </si>
  <si>
    <t>JCC</t>
  </si>
  <si>
    <t>San Francisco, CA: China Basin Heliport</t>
  </si>
  <si>
    <t>JCE</t>
  </si>
  <si>
    <t>Oakland, CA: Oakland Convention Center Heliport</t>
  </si>
  <si>
    <t>JCH</t>
  </si>
  <si>
    <t>Christianshab, Greenland: Christianshab Airport</t>
  </si>
  <si>
    <t>JCI</t>
  </si>
  <si>
    <t>Olathe, KS: New Century Aircenter</t>
  </si>
  <si>
    <t>JCK</t>
  </si>
  <si>
    <t>Julia Creek, Australia: Julia Creek Airport</t>
  </si>
  <si>
    <t>JCT</t>
  </si>
  <si>
    <t>Junction, TX: Kimble County</t>
  </si>
  <si>
    <t>JDA</t>
  </si>
  <si>
    <t>John Day, OR: Grant County Regional/Ogilvie Field</t>
  </si>
  <si>
    <t>JDB</t>
  </si>
  <si>
    <t>Dallas/Fort Worth, TX: Downtown Heliport</t>
  </si>
  <si>
    <t>JDF</t>
  </si>
  <si>
    <t>Juiz de Fora, Brazil: Juiz</t>
  </si>
  <si>
    <t>JDG</t>
  </si>
  <si>
    <t>Seattle, WA: Edgewater Inn Helipad Sea Wash</t>
  </si>
  <si>
    <t>JDH</t>
  </si>
  <si>
    <t>Jodhpur, India: Jodhpur Airport</t>
  </si>
  <si>
    <t>JDM</t>
  </si>
  <si>
    <t>Miami, FL: Miami Downtown Heliport</t>
  </si>
  <si>
    <t>JDO</t>
  </si>
  <si>
    <t>Juazeiro Do Norte, Brazil: Regional de Cariri</t>
  </si>
  <si>
    <t>JDT</t>
  </si>
  <si>
    <t>Minneapolis, MN: Minneapolis Heliport</t>
  </si>
  <si>
    <t>JDX</t>
  </si>
  <si>
    <t>Houston, TX: Houston Central Business District Heliport</t>
  </si>
  <si>
    <t>JED</t>
  </si>
  <si>
    <t>Jeddah, Saudi Arabia: King Abdulaziz International</t>
  </si>
  <si>
    <t>JEE</t>
  </si>
  <si>
    <t>Jeremie, Haiti: Jeremie Airport</t>
  </si>
  <si>
    <t>JEF</t>
  </si>
  <si>
    <t>Jefferson City, MO: Jefferson City Memorial</t>
  </si>
  <si>
    <t>JER</t>
  </si>
  <si>
    <t>Jersey, United Kingdom: Jersey Airport</t>
  </si>
  <si>
    <t>JFB</t>
  </si>
  <si>
    <t>Seattle, WA: Seattle 1st National.Bank Helipad</t>
  </si>
  <si>
    <t>New York, NY: John F. Kennedy International</t>
  </si>
  <si>
    <t>JFN</t>
  </si>
  <si>
    <t>Jefferson, OH: Northeast Ohio Regional</t>
  </si>
  <si>
    <t>JFR</t>
  </si>
  <si>
    <t>Frederikshab, Greenland: Frederikshaab</t>
  </si>
  <si>
    <t>JGA</t>
  </si>
  <si>
    <t>Jamnagar, India: Jamnagar Airport</t>
  </si>
  <si>
    <t>JGC</t>
  </si>
  <si>
    <t>Grand Canyon, AZ: Grand Canyon Heliport</t>
  </si>
  <si>
    <t>JGG</t>
  </si>
  <si>
    <t>Williamsburg, VA: Williamsburg-Jamestown</t>
  </si>
  <si>
    <t>JGL</t>
  </si>
  <si>
    <t>Atlanta, GA: Galleria</t>
  </si>
  <si>
    <t>JGP</t>
  </si>
  <si>
    <t>Houston, TX: Greenway Plaza Heliport</t>
  </si>
  <si>
    <t>JGQ</t>
  </si>
  <si>
    <t>Houston, TX: Transco Tower Galleria Heliport</t>
  </si>
  <si>
    <t>JGR</t>
  </si>
  <si>
    <t>Kangiliinnguit, Greenland: Gronnedal Invittuut</t>
  </si>
  <si>
    <t>JHB</t>
  </si>
  <si>
    <t>Johor Bahru, Malaysia: Senai International</t>
  </si>
  <si>
    <t>JHC</t>
  </si>
  <si>
    <t>Garden City, NY: Island Heliport</t>
  </si>
  <si>
    <t>JHE</t>
  </si>
  <si>
    <t>Helsingborg, Sweden: Helsingborg Heliport</t>
  </si>
  <si>
    <t>Kapalua, HI: Kapalua Airport</t>
  </si>
  <si>
    <t>JHS</t>
  </si>
  <si>
    <t>Sisimiut, Greenland: Sisimiut Airport</t>
  </si>
  <si>
    <t>JHW</t>
  </si>
  <si>
    <t>Jamestown, NY: Chautauqua County/Jamestown</t>
  </si>
  <si>
    <t>JHY</t>
  </si>
  <si>
    <t>Cambridge, MA: Cambridge Airport</t>
  </si>
  <si>
    <t>JIB</t>
  </si>
  <si>
    <t>Djibouti, Djibouti: Djibouti Ambouli</t>
  </si>
  <si>
    <t>JID</t>
  </si>
  <si>
    <t>City of Industry, CA: Civic Financial Center Heliport</t>
  </si>
  <si>
    <t>JIJ</t>
  </si>
  <si>
    <t>Jijiga, Ethiopia: Jijiga Garad Wilwal</t>
  </si>
  <si>
    <t>JIK</t>
  </si>
  <si>
    <t>Ikaria Island, Greece: Ikaria</t>
  </si>
  <si>
    <t>JIL</t>
  </si>
  <si>
    <t>Jilin, China: Jilin Airport</t>
  </si>
  <si>
    <t>JIM</t>
  </si>
  <si>
    <t>Jimma, Ethiopia: Aba Segud Negus Wolde Giorg</t>
  </si>
  <si>
    <t>JIN</t>
  </si>
  <si>
    <t>Jinja, Uganda: Jinja Airport</t>
  </si>
  <si>
    <t>JJI</t>
  </si>
  <si>
    <t>Juanjui, Peru: Juanjui Airport</t>
  </si>
  <si>
    <t>JJN</t>
  </si>
  <si>
    <t>Zuanzhou Fujian, China: Jinjiang</t>
  </si>
  <si>
    <t>JKG</t>
  </si>
  <si>
    <t>Jonkoping, Sweden: Jonkoping Airport</t>
  </si>
  <si>
    <t>JKH</t>
  </si>
  <si>
    <t>Chios, Greece: Chios Airport</t>
  </si>
  <si>
    <t>JKL</t>
  </si>
  <si>
    <t>Kalymnos, Greece: Kalymnos Airport</t>
  </si>
  <si>
    <t>JKR</t>
  </si>
  <si>
    <t>Janakpur, Nepal: Janakpur Airport</t>
  </si>
  <si>
    <t>JKT</t>
  </si>
  <si>
    <t>Jakarta, Indonesia: Jakarta Metropolitan Area</t>
  </si>
  <si>
    <t>JKV</t>
  </si>
  <si>
    <t>Jacksonville, TX: Cherokee County</t>
  </si>
  <si>
    <t>JLA</t>
  </si>
  <si>
    <t>Cooper Lodge, AK: Quartz Creek</t>
  </si>
  <si>
    <t>Joplin, MO: Joplin Regional</t>
  </si>
  <si>
    <t>JLR</t>
  </si>
  <si>
    <t>Jabalpur, India: Jabalpur Airport</t>
  </si>
  <si>
    <t>JMA</t>
  </si>
  <si>
    <t>Houston, TX: Astrodome</t>
  </si>
  <si>
    <t>JMB</t>
  </si>
  <si>
    <t>Jamba, Angola: Jamba Airport</t>
  </si>
  <si>
    <t>JMC</t>
  </si>
  <si>
    <t>San Francisco, CA: Marin County Heliport</t>
  </si>
  <si>
    <t>JMK</t>
  </si>
  <si>
    <t>Mikonos Island, Greece: Mikonos</t>
  </si>
  <si>
    <t>JMM</t>
  </si>
  <si>
    <t>Malmo, Sweden: Harbour Heliport</t>
  </si>
  <si>
    <t>JMN</t>
  </si>
  <si>
    <t>Mankato, MN: Downtown Heliport</t>
  </si>
  <si>
    <t>Jamestown, ND: Jamestown Regional</t>
  </si>
  <si>
    <t>JNB</t>
  </si>
  <si>
    <t>Johannesburg, South Africa: Oliver Reginald Tambo International</t>
  </si>
  <si>
    <t>JNJ</t>
  </si>
  <si>
    <t>Duqm, Oman: Duqm International</t>
  </si>
  <si>
    <t>JNN</t>
  </si>
  <si>
    <t>Nanortalik, Greenland: Nanortalik Airport</t>
  </si>
  <si>
    <t>JNP</t>
  </si>
  <si>
    <t>Newport Beach, CA: Newport Beach Airport</t>
  </si>
  <si>
    <t>Juneau, AK: Juneau International</t>
  </si>
  <si>
    <t>JO1</t>
  </si>
  <si>
    <t>Safawi, Jordan: Prince Hasan</t>
  </si>
  <si>
    <t>JO2</t>
  </si>
  <si>
    <t>Azraq, Jordan: Al Shaheed Mwaffaq Salti Air Base</t>
  </si>
  <si>
    <t>JO3</t>
  </si>
  <si>
    <t>Azraq, Jordan: Azraq Highway Strip</t>
  </si>
  <si>
    <t>JO4</t>
  </si>
  <si>
    <t>Ruwaished, Jordan: H4</t>
  </si>
  <si>
    <t>JO5</t>
  </si>
  <si>
    <t>Az-Zarqa, Jordan: King Abdullah II Airbase</t>
  </si>
  <si>
    <t>JOC</t>
  </si>
  <si>
    <t>Santa Ana, CA: Centerport Heliport</t>
  </si>
  <si>
    <t>JOE</t>
  </si>
  <si>
    <t>Joensuu, Finland: Joensuu Airport</t>
  </si>
  <si>
    <t>JOG</t>
  </si>
  <si>
    <t>Yogyakarta, Indonesia: Adisutjipto</t>
  </si>
  <si>
    <t>JOH</t>
  </si>
  <si>
    <t>Port St Johns, South Africa: Port St Johns Airport</t>
  </si>
  <si>
    <t>JOI</t>
  </si>
  <si>
    <t>Joinville, Brazil: Joinville Airport</t>
  </si>
  <si>
    <t>JOL</t>
  </si>
  <si>
    <t>Jolo, Philippines: Jolo Airport</t>
  </si>
  <si>
    <t>JOM</t>
  </si>
  <si>
    <t>Njombe, Tanzania: Njombe Airport</t>
  </si>
  <si>
    <t>JON</t>
  </si>
  <si>
    <t>Johnston Island, TT: Johnston Atoll</t>
  </si>
  <si>
    <t>JOR</t>
  </si>
  <si>
    <t>Orange, CA: Orange County Heliport</t>
  </si>
  <si>
    <t>JOS</t>
  </si>
  <si>
    <t>Jos, Nigeria: Yakubu Gowon</t>
  </si>
  <si>
    <t>JP1</t>
  </si>
  <si>
    <t>JP2</t>
  </si>
  <si>
    <t>Okinawa, Japan: Futenma MCAS</t>
  </si>
  <si>
    <t>JPA</t>
  </si>
  <si>
    <t>Joao Pessoa, Brazil: Presidente Castro Pinto International</t>
  </si>
  <si>
    <t>JPB</t>
  </si>
  <si>
    <t>New York, NY: Pan Am Building Heliport</t>
  </si>
  <si>
    <t>JPR</t>
  </si>
  <si>
    <t>Ji Parana, Brazil: Ji Parana Airport</t>
  </si>
  <si>
    <t>JPT</t>
  </si>
  <si>
    <t>Houston, TX: Park Ten Helipad</t>
  </si>
  <si>
    <t>JQF</t>
  </si>
  <si>
    <t>Concord, NC: Concord Regional</t>
  </si>
  <si>
    <t>JRA</t>
  </si>
  <si>
    <t>New York, NY: West 30th Street Heliport</t>
  </si>
  <si>
    <t>JRB</t>
  </si>
  <si>
    <t>New York, NY: Downtown Manhattan/Wall Street Heliport</t>
  </si>
  <si>
    <t>JRC</t>
  </si>
  <si>
    <t>Rochester, MN: Appache Heliport</t>
  </si>
  <si>
    <t>JRE</t>
  </si>
  <si>
    <t>New York, NY: East 60th Street Heliport</t>
  </si>
  <si>
    <t>JRF</t>
  </si>
  <si>
    <t>Kapolei, HI: Kalaeloa</t>
  </si>
  <si>
    <t>JRH</t>
  </si>
  <si>
    <t>Jorhat, India: Jorhat Airport</t>
  </si>
  <si>
    <t>JRO</t>
  </si>
  <si>
    <t>Kilimanjaro, Tanzania: Kilimanjaro International</t>
  </si>
  <si>
    <t>JRS</t>
  </si>
  <si>
    <t>Jerusalem, Israel: Jerusalem Airport</t>
  </si>
  <si>
    <t>JRV</t>
  </si>
  <si>
    <t>Ceiba, PR: Jose Aponte de la Torre</t>
  </si>
  <si>
    <t>JSE</t>
  </si>
  <si>
    <t>Juneau, AK: Juneau Seaplane Base</t>
  </si>
  <si>
    <t>JSI</t>
  </si>
  <si>
    <t>Skiathos, Greece: Alexandros Papadiamantis</t>
  </si>
  <si>
    <t>JSK</t>
  </si>
  <si>
    <t>St. Cloud, MN: Crossroads Heliport</t>
  </si>
  <si>
    <t>JSO</t>
  </si>
  <si>
    <t>Sodertalje, Sweden: Sodertalje Heliport</t>
  </si>
  <si>
    <t>JSR</t>
  </si>
  <si>
    <t>Jessore, Bangladesh: Jashore</t>
  </si>
  <si>
    <t>Johnstown, PA: John Murtha Johnstown-Cambria County</t>
  </si>
  <si>
    <t>JSY</t>
  </si>
  <si>
    <t>Syros Island, Greece: Dimitrios Vikelas</t>
  </si>
  <si>
    <t>JTR</t>
  </si>
  <si>
    <t>Santorini, Greece: Santorini Airport</t>
  </si>
  <si>
    <t>JUB</t>
  </si>
  <si>
    <t>Juba, South Sudan: Juba Airport</t>
  </si>
  <si>
    <t>JUJ</t>
  </si>
  <si>
    <t>Jujuy, Argentina: Jujuy Airport</t>
  </si>
  <si>
    <t>JUL</t>
  </si>
  <si>
    <t>Juliaca, Peru: Inca Manco Capac International</t>
  </si>
  <si>
    <t>JUM</t>
  </si>
  <si>
    <t>Jumla, Nepal: Jumla Airport</t>
  </si>
  <si>
    <t>JUV</t>
  </si>
  <si>
    <t>Upernavik, Greenland: Upernavik Airport</t>
  </si>
  <si>
    <t>JVL</t>
  </si>
  <si>
    <t>Beloit/Janesville, WI: Southern Wisconsin Regional</t>
  </si>
  <si>
    <t>JWH</t>
  </si>
  <si>
    <t>Houston, TX: Westchase Heliport</t>
  </si>
  <si>
    <t>JWN</t>
  </si>
  <si>
    <t>Zanjan, Iran: Zanjan Airport</t>
  </si>
  <si>
    <t>JWY</t>
  </si>
  <si>
    <t>Midlothian/Waxahachie, TX: Mid Way Regional</t>
  </si>
  <si>
    <t>JXN</t>
  </si>
  <si>
    <t>Jackson, MI: Jackson County-Reynolds Field</t>
  </si>
  <si>
    <t>JYP</t>
  </si>
  <si>
    <t>Seattle, WA: Olympic Hotel Helipad Sea Wash</t>
  </si>
  <si>
    <t>JYV</t>
  </si>
  <si>
    <t>Jyvaskyla, Finland: Jyvaskyla Airport</t>
  </si>
  <si>
    <t>JZA</t>
  </si>
  <si>
    <t>Newton, MS: James H Easom Field</t>
  </si>
  <si>
    <t>JZB</t>
  </si>
  <si>
    <t>Orange, MA: Orange Municipal</t>
  </si>
  <si>
    <t>JZC</t>
  </si>
  <si>
    <t>Stanley, ND: Stanley Municipal</t>
  </si>
  <si>
    <t>JZD</t>
  </si>
  <si>
    <t>Ganda, Angola: Ganda Airport</t>
  </si>
  <si>
    <t>JZE</t>
  </si>
  <si>
    <t>Trading Bay, AK: Trading Bay Production</t>
  </si>
  <si>
    <t>JZG</t>
  </si>
  <si>
    <t>Chamberlain, SD: Chamberlain Municipal</t>
  </si>
  <si>
    <t>JZH</t>
  </si>
  <si>
    <t>Song Pan, China: Jui Zhai Huang Long</t>
  </si>
  <si>
    <t>JZI</t>
  </si>
  <si>
    <t>Portland, TN: Portland Municipal</t>
  </si>
  <si>
    <t>JZJ</t>
  </si>
  <si>
    <t>Duluth, MN: Sky Harbor</t>
  </si>
  <si>
    <t>JZK</t>
  </si>
  <si>
    <t>Cloquet, MN: Cloquet Carlton County</t>
  </si>
  <si>
    <t>JZL</t>
  </si>
  <si>
    <t>San Clemente Island, CA: San Clemente Island Nalf</t>
  </si>
  <si>
    <t>JZM</t>
  </si>
  <si>
    <t>Hog River, AK: Hog River Airport</t>
  </si>
  <si>
    <t>JZN</t>
  </si>
  <si>
    <t>Quincy, WA: Quincy Municipal</t>
  </si>
  <si>
    <t>JZO</t>
  </si>
  <si>
    <t>American Falls, ID: American Falls Airport</t>
  </si>
  <si>
    <t>JZP</t>
  </si>
  <si>
    <t>Prospect, OR: Prospect State</t>
  </si>
  <si>
    <t>JZQ</t>
  </si>
  <si>
    <t>Brooksville, FL: Brooksville Tampa Bay Regional</t>
  </si>
  <si>
    <t>JZR</t>
  </si>
  <si>
    <t>Laurel, MT: Laurel Municipal</t>
  </si>
  <si>
    <t>JZT</t>
  </si>
  <si>
    <t>Arlington, TX: Arlington Municipal</t>
  </si>
  <si>
    <t>JZU</t>
  </si>
  <si>
    <t>Bennington, VT: William H. Morse State</t>
  </si>
  <si>
    <t>JZV</t>
  </si>
  <si>
    <t>Little Rock, AR: North Little Rock Municipal</t>
  </si>
  <si>
    <t>JZW</t>
  </si>
  <si>
    <t>Evergreen, AL: Evergreen Regional Middleton Field</t>
  </si>
  <si>
    <t>JZX</t>
  </si>
  <si>
    <t>Angwin, CA: Angwin-Parrett Field</t>
  </si>
  <si>
    <t>JZY</t>
  </si>
  <si>
    <t>Grangeville, ID: Idaho County</t>
  </si>
  <si>
    <t>JZZ</t>
  </si>
  <si>
    <t>Taszar, Hungary: Taszar Airport</t>
  </si>
  <si>
    <t>K01</t>
  </si>
  <si>
    <t>Russellville, KY: Russellville-Logan County</t>
  </si>
  <si>
    <t>KAA</t>
  </si>
  <si>
    <t>Kasama, Zambia: Kasama Airport</t>
  </si>
  <si>
    <t>KAB</t>
  </si>
  <si>
    <t>Kariba, Zimbabwe: Kariba International</t>
  </si>
  <si>
    <t>KAC</t>
  </si>
  <si>
    <t>Kameshli, Syria: Kamishly</t>
  </si>
  <si>
    <t>KAD</t>
  </si>
  <si>
    <t>Kaduna, Nigeria: Kaduna Airport</t>
  </si>
  <si>
    <t>KAE</t>
  </si>
  <si>
    <t>Kake, AK: Kake Seaplane Base</t>
  </si>
  <si>
    <t>KAG</t>
  </si>
  <si>
    <t>Kangnung, South Korea: Kangung</t>
  </si>
  <si>
    <t>KAI</t>
  </si>
  <si>
    <t>Kaieteur, Guyana: Kaieteur Airport</t>
  </si>
  <si>
    <t>KAJ</t>
  </si>
  <si>
    <t>Kajaani, Finland: Kajaani Airport</t>
  </si>
  <si>
    <t>KAL</t>
  </si>
  <si>
    <t>Kaltag, AK: Kaltag Airport</t>
  </si>
  <si>
    <t>KAN</t>
  </si>
  <si>
    <t>Kano, Nigeria: Mallam Aminu Kano International</t>
  </si>
  <si>
    <t>KAO</t>
  </si>
  <si>
    <t>Kuusamo, Finland: Kuusamo Airport</t>
  </si>
  <si>
    <t>KAR</t>
  </si>
  <si>
    <t>Kamarang, Guyana: Kamarang Airport</t>
  </si>
  <si>
    <t>KAT</t>
  </si>
  <si>
    <t>Kaitaia, New Zealand: Kaitaia Airport</t>
  </si>
  <si>
    <t>KAW</t>
  </si>
  <si>
    <t>Kawthaung, Burma: Kawthaung Airport</t>
  </si>
  <si>
    <t>KBC</t>
  </si>
  <si>
    <t>Birch Creek, AK: Birch Creek Airport</t>
  </si>
  <si>
    <t>KBE</t>
  </si>
  <si>
    <t>Bell Island, AK: Bell Island Hot Springs Seaplane Base</t>
  </si>
  <si>
    <t>KBG</t>
  </si>
  <si>
    <t>Kabalega Falls, Uganda: Pakuba</t>
  </si>
  <si>
    <t>KBK</t>
  </si>
  <si>
    <t>Klag Bay, AK: Klag Bay Airport</t>
  </si>
  <si>
    <t>KBL</t>
  </si>
  <si>
    <t>Kabul, Afghanistan: Hamid Karzai International</t>
  </si>
  <si>
    <t>KBO</t>
  </si>
  <si>
    <t>Kabalo, Congo (Kinshasa): Kabalo Airport</t>
  </si>
  <si>
    <t>KBP</t>
  </si>
  <si>
    <t>Kiev, Ukraine: Boryspil International</t>
  </si>
  <si>
    <t>KBR</t>
  </si>
  <si>
    <t>Kota Bharu, Malaysia: Sultan Ismail Petra</t>
  </si>
  <si>
    <t>KBS</t>
  </si>
  <si>
    <t>Bo, Sierra Leone: Bo Airport</t>
  </si>
  <si>
    <t>KBV</t>
  </si>
  <si>
    <t>Krabi, Thailand: Krabi Airport</t>
  </si>
  <si>
    <t>KBW</t>
  </si>
  <si>
    <t>Chignik, AK: Chignik Bay</t>
  </si>
  <si>
    <t>KCA</t>
  </si>
  <si>
    <t>Kuqa, China: Kuche</t>
  </si>
  <si>
    <t>KCC</t>
  </si>
  <si>
    <t>Coffman Cove, AK: Coffman Cove Seaplane Base</t>
  </si>
  <si>
    <t>KCE</t>
  </si>
  <si>
    <t>Collinsville, Australia: Collinsville Airport</t>
  </si>
  <si>
    <t>KCG</t>
  </si>
  <si>
    <t>Chignik Bay, AK: Chignik Bay Airport</t>
  </si>
  <si>
    <t>KCH</t>
  </si>
  <si>
    <t>Kuching, Malaysia: Kuching International</t>
  </si>
  <si>
    <t>KCK</t>
  </si>
  <si>
    <t>Kansas City, KS: Fairfax Municipal</t>
  </si>
  <si>
    <t>KCL</t>
  </si>
  <si>
    <t>Chignik Lagoon, AK: Chignik Lagoon Airport</t>
  </si>
  <si>
    <t>KCN</t>
  </si>
  <si>
    <t>Chernofski, AK: Chernofski Harbor</t>
  </si>
  <si>
    <t>KCQ</t>
  </si>
  <si>
    <t>Chignik, AK: Chignik Lake</t>
  </si>
  <si>
    <t>KCR</t>
  </si>
  <si>
    <t>Colorado Creek, AK: Colorado Creek Airport</t>
  </si>
  <si>
    <t>KCZ</t>
  </si>
  <si>
    <t>Kochi, Japan: Kochi Airport</t>
  </si>
  <si>
    <t>KDE</t>
  </si>
  <si>
    <t>Koroba, Papua New Guinea: Koroba Airport</t>
  </si>
  <si>
    <t>KDH</t>
  </si>
  <si>
    <t>Kandahar, Afghanistan: Kandahar Airport</t>
  </si>
  <si>
    <t>KDJ</t>
  </si>
  <si>
    <t>N Djole, Gabon: N Djole Airport</t>
  </si>
  <si>
    <t>KDK</t>
  </si>
  <si>
    <t>Kodiak, AK: Kodiak Municipal</t>
  </si>
  <si>
    <t>KDT</t>
  </si>
  <si>
    <t>Kamphang Saen, Thailand: Kamphang Saen Airport</t>
  </si>
  <si>
    <t>KEB</t>
  </si>
  <si>
    <t>Nanwalek, AK: Nanwalek Airport</t>
  </si>
  <si>
    <t>KED</t>
  </si>
  <si>
    <t>Kaedi, Mauritania: Kaedi Airport</t>
  </si>
  <si>
    <t>KEF</t>
  </si>
  <si>
    <t>Keflavik/Reykjavik, Iceland: Keflavik International</t>
  </si>
  <si>
    <t>KEH</t>
  </si>
  <si>
    <t>Kenmore, WA: Kenmore Air Harbor</t>
  </si>
  <si>
    <t>KEJ</t>
  </si>
  <si>
    <t>Kemerovo, Russia: Alexey Leonov</t>
  </si>
  <si>
    <t>KEK</t>
  </si>
  <si>
    <t>Ekwok, AK: Ekwok Airport</t>
  </si>
  <si>
    <t>KEL</t>
  </si>
  <si>
    <t>Kiel, Germany: Kiel/Holtenau</t>
  </si>
  <si>
    <t>KEM</t>
  </si>
  <si>
    <t>Kemi, Finland: Kemi Tornio</t>
  </si>
  <si>
    <t>KEN</t>
  </si>
  <si>
    <t>Kenema, Sierra Leone: Kenema Airport</t>
  </si>
  <si>
    <t>KEO</t>
  </si>
  <si>
    <t>Odienne, Cote d'Ivoire: Odienne IV Coast</t>
  </si>
  <si>
    <t>KEP</t>
  </si>
  <si>
    <t>Nepalganj, Nepal: Nepalgunj</t>
  </si>
  <si>
    <t>KER</t>
  </si>
  <si>
    <t>Kerman, Iran: Kerman Airport</t>
  </si>
  <si>
    <t>KEZ</t>
  </si>
  <si>
    <t>Key Largo, FL: Ocean Reef Club</t>
  </si>
  <si>
    <t>KFA</t>
  </si>
  <si>
    <t>Kiffa, Mauritania: Kiffa Airport</t>
  </si>
  <si>
    <t>KFP</t>
  </si>
  <si>
    <t>False Pass, AK: False Pass Airport</t>
  </si>
  <si>
    <t>KGA</t>
  </si>
  <si>
    <t>Kananga, Congo (Kinshasa): Kananga Airport</t>
  </si>
  <si>
    <t>KGC</t>
  </si>
  <si>
    <t>Kingscote, Australia: Kingscote Kangaroo Island</t>
  </si>
  <si>
    <t>KGD</t>
  </si>
  <si>
    <t>Kaliningrad, Russia: Khrabrovo</t>
  </si>
  <si>
    <t>KGF</t>
  </si>
  <si>
    <t>Karaganda, Kazakhstan: Karaganda Airport</t>
  </si>
  <si>
    <t>KGG</t>
  </si>
  <si>
    <t>Kedougou, Senegal: Kedougou Airport</t>
  </si>
  <si>
    <t>KGI</t>
  </si>
  <si>
    <t>Kalgoorlie, Australia: Kalgoorlie Airport</t>
  </si>
  <si>
    <t>KGJ</t>
  </si>
  <si>
    <t>Karonga, Malawi: Karonga Airport</t>
  </si>
  <si>
    <t>KGK</t>
  </si>
  <si>
    <t>Koliganek, AK: Koliganek Airport</t>
  </si>
  <si>
    <t>KGL</t>
  </si>
  <si>
    <t>Kigali, Rwanda: Kigali International</t>
  </si>
  <si>
    <t>KGS</t>
  </si>
  <si>
    <t>Kos, Greece: Kos Airport</t>
  </si>
  <si>
    <t>KGU</t>
  </si>
  <si>
    <t>Keningau, Malaysia: Keningau Airport</t>
  </si>
  <si>
    <t>KGX</t>
  </si>
  <si>
    <t>Grayling, AK: Grayling Airport</t>
  </si>
  <si>
    <t>KGZ</t>
  </si>
  <si>
    <t>Glacier Creek, AK: Glacier Creek Airport</t>
  </si>
  <si>
    <t>KHE</t>
  </si>
  <si>
    <t>Kherson, Ukraine: Kherson Airport</t>
  </si>
  <si>
    <t>KHH</t>
  </si>
  <si>
    <t>Kaohsiung, Taiwan: Kaohsiung International</t>
  </si>
  <si>
    <t>KHI</t>
  </si>
  <si>
    <t>Karachi, Pakistan: Jinnah International</t>
  </si>
  <si>
    <t>KHK</t>
  </si>
  <si>
    <t>Khark, Iran: Khark Island</t>
  </si>
  <si>
    <t>KHM</t>
  </si>
  <si>
    <t>Khamti, Burma: Kanti</t>
  </si>
  <si>
    <t>KHN</t>
  </si>
  <si>
    <t>Nanchang, China: Changbei International</t>
  </si>
  <si>
    <t>KHV</t>
  </si>
  <si>
    <t>Khabarovsk, Russia: Khabarovsk Novy</t>
  </si>
  <si>
    <t>KIB</t>
  </si>
  <si>
    <t>Ivanof Bay, AK: Ivanof Bay Seaplane Base</t>
  </si>
  <si>
    <t>KID</t>
  </si>
  <si>
    <t>Kristianstad, Sweden: Kristianstad Airport</t>
  </si>
  <si>
    <t>KIE</t>
  </si>
  <si>
    <t>Bougainville Island, Papua New Guinea: Kieta</t>
  </si>
  <si>
    <t>KIH</t>
  </si>
  <si>
    <t>Kish Island, Iran: Kish Island Airport</t>
  </si>
  <si>
    <t>KIJ</t>
  </si>
  <si>
    <t>Niigata, Japan: Niigata Airport</t>
  </si>
  <si>
    <t>KIK</t>
  </si>
  <si>
    <t>Kirkuk, Iraq: Kirkuk Airport</t>
  </si>
  <si>
    <t>KIM</t>
  </si>
  <si>
    <t>Kimberley, South Africa: Kimberley Airport</t>
  </si>
  <si>
    <t>Kingston, Jamaica: Norman Manley International</t>
  </si>
  <si>
    <t>KIP</t>
  </si>
  <si>
    <t>Wichita Falls, TX: Kickapoo Downtown</t>
  </si>
  <si>
    <t>KIR</t>
  </si>
  <si>
    <t>Kerry County, Ireland: Kerry</t>
  </si>
  <si>
    <t>KIS</t>
  </si>
  <si>
    <t>Kisumu, Kenya: Kisumu Airport</t>
  </si>
  <si>
    <t>KIT</t>
  </si>
  <si>
    <t>Kithira, Greece: Alexandros Aristotelous Onassis</t>
  </si>
  <si>
    <t>KIV</t>
  </si>
  <si>
    <t>Kishinev, Moldova: Chisinau International</t>
  </si>
  <si>
    <t>KIW</t>
  </si>
  <si>
    <t>Kitwe, Zambia: Kitwe/Nkana</t>
  </si>
  <si>
    <t>KIX</t>
  </si>
  <si>
    <t>Osaka, Japan: Kansai International</t>
  </si>
  <si>
    <t>KIY</t>
  </si>
  <si>
    <t>Kilwa, Tanzania: Kilwa Masoko</t>
  </si>
  <si>
    <t>KJA</t>
  </si>
  <si>
    <t>Krasnojarsk, Russia: Yemelyanovo</t>
  </si>
  <si>
    <t>KJK</t>
  </si>
  <si>
    <t>Kortrijk, Belgium: Wevelgem</t>
  </si>
  <si>
    <t>KK1</t>
  </si>
  <si>
    <t>Taichung, Taiwan: Ching Chuan Kang AB</t>
  </si>
  <si>
    <t>KKA</t>
  </si>
  <si>
    <t>Koyuk, AK: Koyuk Alfred Adams</t>
  </si>
  <si>
    <t>KKB</t>
  </si>
  <si>
    <t>Kitoi Bay, AK: Kitoi Bay Airport</t>
  </si>
  <si>
    <t>KKC</t>
  </si>
  <si>
    <t>Khon Kaen, Thailand: Khon Kaen Airport</t>
  </si>
  <si>
    <t>KKE</t>
  </si>
  <si>
    <t>Kerikeri, New Zealand: Kerikeri Airport</t>
  </si>
  <si>
    <t>KKH</t>
  </si>
  <si>
    <t>Kongiganak, AK: Kongiganak Airport</t>
  </si>
  <si>
    <t>KKI</t>
  </si>
  <si>
    <t>Akiachak, AK: Akiachak Airport</t>
  </si>
  <si>
    <t>KKJ</t>
  </si>
  <si>
    <t>Kitakyushu, Japan: Kitakyushu Airport</t>
  </si>
  <si>
    <t>KKK</t>
  </si>
  <si>
    <t>Kalakaket, AK: Kalakaket Creek AS</t>
  </si>
  <si>
    <t>KKL</t>
  </si>
  <si>
    <t>Karluk Lake, AK: Karluk Lake Seaplane Base</t>
  </si>
  <si>
    <t>KKN</t>
  </si>
  <si>
    <t>Kirkenes, Norway: Hoybuktmoen</t>
  </si>
  <si>
    <t>KKO</t>
  </si>
  <si>
    <t>Kaikohe, New Zealand: Kaikohe Airport</t>
  </si>
  <si>
    <t>KKU</t>
  </si>
  <si>
    <t>Ekuk, AK: Ekuk Airport</t>
  </si>
  <si>
    <t>KKW</t>
  </si>
  <si>
    <t>Kikwit, Congo (Kinshasa): Kikwit Airport</t>
  </si>
  <si>
    <t>KLB</t>
  </si>
  <si>
    <t>Kalabo, Zambia: Kalabo Airport</t>
  </si>
  <si>
    <t>KLF</t>
  </si>
  <si>
    <t>Kaluga, Russia: Grabtsevo</t>
  </si>
  <si>
    <t>KLG</t>
  </si>
  <si>
    <t>Kalskag, AK: Kalskag Airport</t>
  </si>
  <si>
    <t>KLL</t>
  </si>
  <si>
    <t>Levelock, AK: Levelock Airport</t>
  </si>
  <si>
    <t>KLN</t>
  </si>
  <si>
    <t>Larsen Bay, AK: Larsen Bay Airport</t>
  </si>
  <si>
    <t>KLO</t>
  </si>
  <si>
    <t>Kalibo, Philippines: Kalibo International</t>
  </si>
  <si>
    <t>KLP</t>
  </si>
  <si>
    <t>Kelp Bay, AK: Kelp Bay Airport</t>
  </si>
  <si>
    <t>KLR</t>
  </si>
  <si>
    <t>Kalmar, Sweden: Kalmar Airport</t>
  </si>
  <si>
    <t>KLS</t>
  </si>
  <si>
    <t>Kelso, WA: Southwest Washington Regional</t>
  </si>
  <si>
    <t>KLU</t>
  </si>
  <si>
    <t>Klagenfurt, Austria: Klagenfurt Airport</t>
  </si>
  <si>
    <t>KLV</t>
  </si>
  <si>
    <t>Karlovy Vary, Czech Republic: Karlovy Vary Airport</t>
  </si>
  <si>
    <t>KLW</t>
  </si>
  <si>
    <t>Klawock, AK: Klawock Airport</t>
  </si>
  <si>
    <t>KLX</t>
  </si>
  <si>
    <t>Kalamata, Greece: Kalamata Airport</t>
  </si>
  <si>
    <t>KMA</t>
  </si>
  <si>
    <t>Kerema, Papua New Guinea: Kerema Airport</t>
  </si>
  <si>
    <t>KMC</t>
  </si>
  <si>
    <t>King Khalid Military City, Saudi Arabia: King Saud AB</t>
  </si>
  <si>
    <t>KMF</t>
  </si>
  <si>
    <t>Kamina, Papua New Guinea: Kamina Airport</t>
  </si>
  <si>
    <t>KMG</t>
  </si>
  <si>
    <t>Kunming, China: Wujiaba</t>
  </si>
  <si>
    <t>KMI</t>
  </si>
  <si>
    <t>Miyazaki, Japan: Miyazaki Airport</t>
  </si>
  <si>
    <t>KMJ</t>
  </si>
  <si>
    <t>Kumamoto, Japan: Kumamoto Airport</t>
  </si>
  <si>
    <t>KMN</t>
  </si>
  <si>
    <t>Kamina, Congo (Kinshasa): Kamina Base</t>
  </si>
  <si>
    <t>KMO</t>
  </si>
  <si>
    <t>Manokotak, AK: Manokatak Seaplane Base</t>
  </si>
  <si>
    <t>KMP</t>
  </si>
  <si>
    <t>Keetmanshoop, Namibia: Keetmanshoop Airport</t>
  </si>
  <si>
    <t>KMQ</t>
  </si>
  <si>
    <t>Komatsu, Japan: Komatsu Airport</t>
  </si>
  <si>
    <t>KMS</t>
  </si>
  <si>
    <t>Kumasi, Ghana: Kumasi Airport</t>
  </si>
  <si>
    <t>KMU</t>
  </si>
  <si>
    <t>Kisimayu, Somalia: Kisimayo</t>
  </si>
  <si>
    <t>KMX</t>
  </si>
  <si>
    <t>Khamis Mushait, Saudi Arabia: Khamis Mushait Airport</t>
  </si>
  <si>
    <t>KMY</t>
  </si>
  <si>
    <t>Moser Bay, AK: Moser Bay Airport</t>
  </si>
  <si>
    <t>KMZ</t>
  </si>
  <si>
    <t>Kaoma, Zambia: Kaoma Airport</t>
  </si>
  <si>
    <t>KNA</t>
  </si>
  <si>
    <t>Vina del Mar, Chile: Vina del Mar Airport</t>
  </si>
  <si>
    <t>KNB</t>
  </si>
  <si>
    <t>Kanab, UT: Kanab Municipal</t>
  </si>
  <si>
    <t>KND</t>
  </si>
  <si>
    <t>Kindu, Congo (Kinshasa): Kindu Airport</t>
  </si>
  <si>
    <t>KNK</t>
  </si>
  <si>
    <t>Kokhanok, AK: Kokhanok Airport</t>
  </si>
  <si>
    <t>KNN</t>
  </si>
  <si>
    <t>Kankan, Guinea: Kankan Airport</t>
  </si>
  <si>
    <t>KNO</t>
  </si>
  <si>
    <t>Medan, Indonesia: Kuala Namu International</t>
  </si>
  <si>
    <t>KNP</t>
  </si>
  <si>
    <t>Capanda, Angola: Capanda Dam</t>
  </si>
  <si>
    <t>KNS</t>
  </si>
  <si>
    <t>King Island, Australia: King Island Airport</t>
  </si>
  <si>
    <t>KNT</t>
  </si>
  <si>
    <t>Kennett, MO: Kennett Memorial</t>
  </si>
  <si>
    <t>KNU</t>
  </si>
  <si>
    <t>Kanpur, India: Kanpur/Chakeri</t>
  </si>
  <si>
    <t>KNW</t>
  </si>
  <si>
    <t>New Stuyahok, AK: New Stuyahok Airport</t>
  </si>
  <si>
    <t>KNX</t>
  </si>
  <si>
    <t>Kununurra, Australia: Kununurra Airport</t>
  </si>
  <si>
    <t>KNZ</t>
  </si>
  <si>
    <t>Kenieba, Mali: Kenieba Airport</t>
  </si>
  <si>
    <t>Kona, HI: Ellison Onizuka Kona International at Keahole</t>
  </si>
  <si>
    <t>KOE</t>
  </si>
  <si>
    <t>Kupang, Indonesia: El Tari</t>
  </si>
  <si>
    <t>KOH</t>
  </si>
  <si>
    <t>Koolatah, Australia: Koolatah Airport</t>
  </si>
  <si>
    <t>KOI</t>
  </si>
  <si>
    <t>Kirkwall, United Kingdom: Kirkwall Airport</t>
  </si>
  <si>
    <t>KOJ</t>
  </si>
  <si>
    <t>Kagoshima, Japan: Kagoshima Airport</t>
  </si>
  <si>
    <t>KOK</t>
  </si>
  <si>
    <t>Kokkola/Pietarsaari, Finland: Kokkola Pietarsaari</t>
  </si>
  <si>
    <t>KOM</t>
  </si>
  <si>
    <t>Komo, Papua New Guinea: Komo Old</t>
  </si>
  <si>
    <t>KON</t>
  </si>
  <si>
    <t>Kontum, Vietnam: Kontum Airport</t>
  </si>
  <si>
    <t>KOP</t>
  </si>
  <si>
    <t>Nakhon Phanom, Thailand: Nakhon Phanom Airport</t>
  </si>
  <si>
    <t>KOR</t>
  </si>
  <si>
    <t>Kokoro, Papua New Guinea: Kokoro Airport</t>
  </si>
  <si>
    <t>KOS</t>
  </si>
  <si>
    <t>Kompongsom, Cambodia: Kompongsom Airport</t>
  </si>
  <si>
    <t>KOT</t>
  </si>
  <si>
    <t>Kotlik, AK: Kotlik Airport</t>
  </si>
  <si>
    <t>KOW</t>
  </si>
  <si>
    <t>Ganzhou, China: Ganzhou Airport</t>
  </si>
  <si>
    <t>KOY</t>
  </si>
  <si>
    <t>Olga Bay, AK: Olga Bay Seaplane Base</t>
  </si>
  <si>
    <t>KOZ</t>
  </si>
  <si>
    <t>Ouzinkie, AK: Ouzinkie Airport</t>
  </si>
  <si>
    <t>KPB</t>
  </si>
  <si>
    <t>Point Baker, AK: Point Baker Airport</t>
  </si>
  <si>
    <t>KPC</t>
  </si>
  <si>
    <t>Port Clarence, AK: Port Clarence CGS</t>
  </si>
  <si>
    <t>KPH</t>
  </si>
  <si>
    <t>Pauloff Harbor, AK: Pauloff Harbor Airport</t>
  </si>
  <si>
    <t>KPI</t>
  </si>
  <si>
    <t>Kapit, Malaysia: Kapit Airport</t>
  </si>
  <si>
    <t>KPK</t>
  </si>
  <si>
    <t>Parks, AK: Parks Seaplane Base</t>
  </si>
  <si>
    <t>KPM</t>
  </si>
  <si>
    <t>Napamute, AK: Napamute Airport</t>
  </si>
  <si>
    <t>KPN</t>
  </si>
  <si>
    <t>Kipnuk, AK: Kipnuk Airport</t>
  </si>
  <si>
    <t>KPO</t>
  </si>
  <si>
    <t>Pohang, South Korea: Pohang Airport</t>
  </si>
  <si>
    <t>KPP</t>
  </si>
  <si>
    <t>Kalpowar, Australia: Kalpower</t>
  </si>
  <si>
    <t>KPR</t>
  </si>
  <si>
    <t>Port Williams, AK: Port Williams Airport</t>
  </si>
  <si>
    <t>KPS</t>
  </si>
  <si>
    <t>Kempsey, Australia: Kempsey Airport</t>
  </si>
  <si>
    <t>KPV</t>
  </si>
  <si>
    <t>Perryville, AK: Perryville Airport</t>
  </si>
  <si>
    <t>KPY</t>
  </si>
  <si>
    <t>Port Bailey, AK: Port Bailey Airport</t>
  </si>
  <si>
    <t>KQA</t>
  </si>
  <si>
    <t>Akutan, AK: Akutan Airport</t>
  </si>
  <si>
    <t>KR1</t>
  </si>
  <si>
    <t>Jungwon, South Korea: Jungwon AB</t>
  </si>
  <si>
    <t>KRB</t>
  </si>
  <si>
    <t>Karumba, Australia: Karumba Airport</t>
  </si>
  <si>
    <t>KRF</t>
  </si>
  <si>
    <t>Kramfors, Sweden: Kramfors Solleftea</t>
  </si>
  <si>
    <t>KRK</t>
  </si>
  <si>
    <t>Krakow, Poland: John Paul II - Balice</t>
  </si>
  <si>
    <t>KRM</t>
  </si>
  <si>
    <t>Kasitsna Bay, AK: Kasitsna</t>
  </si>
  <si>
    <t>KRN</t>
  </si>
  <si>
    <t>Kiruna, Sweden: Kiruna Airport</t>
  </si>
  <si>
    <t>KRP</t>
  </si>
  <si>
    <t>Karup, Denmark: Midtjyllands Lufthavn</t>
  </si>
  <si>
    <t>KRR</t>
  </si>
  <si>
    <t>Krasnodar, Russia: Pashkovskiy</t>
  </si>
  <si>
    <t>KRS</t>
  </si>
  <si>
    <t>Kristiansand, Norway: Kjevik</t>
  </si>
  <si>
    <t>KRT</t>
  </si>
  <si>
    <t>Khartoum, Sudan: Khartoum Airport</t>
  </si>
  <si>
    <t>KRW</t>
  </si>
  <si>
    <t>Turkmenbashi, Turkmenistan: Turkmenbashi Airport</t>
  </si>
  <si>
    <t>KS2</t>
  </si>
  <si>
    <t>Burlington, KS: Coffey County</t>
  </si>
  <si>
    <t>KS3</t>
  </si>
  <si>
    <t>KSA</t>
  </si>
  <si>
    <t>Kosrae, Federated States of Micronesia: Kosrae Airport</t>
  </si>
  <si>
    <t>KSC</t>
  </si>
  <si>
    <t>Kosice, Slovakia: Kosice Airport</t>
  </si>
  <si>
    <t>KSD</t>
  </si>
  <si>
    <t>Karlstad, Sweden: Karlstad Airport</t>
  </si>
  <si>
    <t>KSE</t>
  </si>
  <si>
    <t>Kasese, Uganda: Kasese Airport</t>
  </si>
  <si>
    <t>KSF</t>
  </si>
  <si>
    <t>Kassel, Germany: Kassel Calden</t>
  </si>
  <si>
    <t>KSH</t>
  </si>
  <si>
    <t>Kermanshah, Iran: Shahid Ashrafi Esfahani</t>
  </si>
  <si>
    <t>KSI</t>
  </si>
  <si>
    <t>Kissidougou, Guinea: Kissidougou Airport</t>
  </si>
  <si>
    <t>KSJ</t>
  </si>
  <si>
    <t>Kasos Island, Greece: Kassos</t>
  </si>
  <si>
    <t>KSL</t>
  </si>
  <si>
    <t>Kassala, Sudan: Kassala Airport</t>
  </si>
  <si>
    <t>KSM</t>
  </si>
  <si>
    <t>St. Mary's, AK: St. Mary's Airport</t>
  </si>
  <si>
    <t>KSO</t>
  </si>
  <si>
    <t>Kastoria, Greece: Kastoria Airport</t>
  </si>
  <si>
    <t>KSP</t>
  </si>
  <si>
    <t>Kosipe, Papua New Guinea: Kosipe Airport</t>
  </si>
  <si>
    <t>KSQ</t>
  </si>
  <si>
    <t>Karshi, Uzbekistan: Karshi South</t>
  </si>
  <si>
    <t>KSR</t>
  </si>
  <si>
    <t>Sandy River, AK: Federal No.1</t>
  </si>
  <si>
    <t>KSU</t>
  </si>
  <si>
    <t>Kristiansund, Norway: Kvernberget</t>
  </si>
  <si>
    <t>KTA</t>
  </si>
  <si>
    <t>Karratha, Australia: Karratha Airport</t>
  </si>
  <si>
    <t>KTB</t>
  </si>
  <si>
    <t>Thorne Bay, AK: Thorne Bay Seaplane Base</t>
  </si>
  <si>
    <t>KTH</t>
  </si>
  <si>
    <t>Tikchik Lodge, AK: Tikchik Lodge Airport</t>
  </si>
  <si>
    <t>KTL</t>
  </si>
  <si>
    <t>Kitale, Kenya: Kitale Airport</t>
  </si>
  <si>
    <t>KTM</t>
  </si>
  <si>
    <t>Kathmandu, Nepal: Tribhuvan International</t>
  </si>
  <si>
    <t>Ketchikan, AK: Ketchikan International</t>
  </si>
  <si>
    <t>KTP</t>
  </si>
  <si>
    <t>Kingston, Jamaica: Tinson Pen</t>
  </si>
  <si>
    <t>KTR</t>
  </si>
  <si>
    <t>Katherine, Australia: Katherine Airport</t>
  </si>
  <si>
    <t>KTS</t>
  </si>
  <si>
    <t>Brevig Mission, AK: Brevig Mission Airport</t>
  </si>
  <si>
    <t>KTT</t>
  </si>
  <si>
    <t>Kittila, Finland: Kittila Airport</t>
  </si>
  <si>
    <t>KTW</t>
  </si>
  <si>
    <t>Katowice, Poland: Pyrzowice</t>
  </si>
  <si>
    <t>KUA</t>
  </si>
  <si>
    <t>Kuantan, Malaysia: Kuantan Airport</t>
  </si>
  <si>
    <t>KUD</t>
  </si>
  <si>
    <t>Kudat, Malaysia: Kudat Airport</t>
  </si>
  <si>
    <t>KUF</t>
  </si>
  <si>
    <t>Samara, Russia: Kurumoch</t>
  </si>
  <si>
    <t>KUH</t>
  </si>
  <si>
    <t>Kushiro, Japan: Kushiro Airport</t>
  </si>
  <si>
    <t>KUI</t>
  </si>
  <si>
    <t>Kawau Island, New Zealand: Kawau Island Airport</t>
  </si>
  <si>
    <t>KUK</t>
  </si>
  <si>
    <t>Kasigluk, AK: Kasigluk Airport</t>
  </si>
  <si>
    <t>KUL</t>
  </si>
  <si>
    <t>Kuala Lumpur, Malaysia: Kuala Lumpur International</t>
  </si>
  <si>
    <t>KUM</t>
  </si>
  <si>
    <t>Yakushima, Japan: Yakushima Airport</t>
  </si>
  <si>
    <t>KUN</t>
  </si>
  <si>
    <t>Kaunas, Lithuania: Kaunas International</t>
  </si>
  <si>
    <t>KUO</t>
  </si>
  <si>
    <t>Kuopio, Finland: Kuopio Airport</t>
  </si>
  <si>
    <t>KUV</t>
  </si>
  <si>
    <t>Gunsan, South Korea: Kunsan AB</t>
  </si>
  <si>
    <t>KUW</t>
  </si>
  <si>
    <t>Kugururok River, AK: Kugururok River Airport</t>
  </si>
  <si>
    <t>KUY</t>
  </si>
  <si>
    <t>Kamusi, Papua New Guinea: Kamusi Airport</t>
  </si>
  <si>
    <t>KVA</t>
  </si>
  <si>
    <t>Kavala, Greece: Megas Alexandros International</t>
  </si>
  <si>
    <t>KVC</t>
  </si>
  <si>
    <t>King Cove, AK: King Cove Airport</t>
  </si>
  <si>
    <t>KVD</t>
  </si>
  <si>
    <t>Ganja, Azerbaijan: Ganja Airport</t>
  </si>
  <si>
    <t>KVG</t>
  </si>
  <si>
    <t>Kavieng, Papua New Guinea: Kavieng Airport</t>
  </si>
  <si>
    <t>KVL</t>
  </si>
  <si>
    <t>Kivalina, AK: Kivalina Airport</t>
  </si>
  <si>
    <t>KW1</t>
  </si>
  <si>
    <t>Ali Al Salem, Kuwait: Ali Al Salem AB</t>
  </si>
  <si>
    <t>KWA</t>
  </si>
  <si>
    <t>Kwajalein, Marshall Islands: Bucholz AAF</t>
  </si>
  <si>
    <t>KWE</t>
  </si>
  <si>
    <t>Guiyang, China: Longdongbao</t>
  </si>
  <si>
    <t>KWF</t>
  </si>
  <si>
    <t>Waterfall, AK: Waterfall Seaplane Base</t>
  </si>
  <si>
    <t>KWI</t>
  </si>
  <si>
    <t>Kuwait, Kuwait: Kuwait International</t>
  </si>
  <si>
    <t>KWJ</t>
  </si>
  <si>
    <t>Gwangju, South Korea: Gwangju Airport</t>
  </si>
  <si>
    <t>KWK</t>
  </si>
  <si>
    <t>Kwigillingok, AK: Kwigillingok Airport</t>
  </si>
  <si>
    <t>KWL</t>
  </si>
  <si>
    <t>Guilin, China: Liangjiang</t>
  </si>
  <si>
    <t>KWN</t>
  </si>
  <si>
    <t>Quinhagak, AK: Quinhagak Airport</t>
  </si>
  <si>
    <t>KWP</t>
  </si>
  <si>
    <t>West Point, AK: West Point Village</t>
  </si>
  <si>
    <t>KWT</t>
  </si>
  <si>
    <t>Kwethluk, AK: Kwethluk Airport</t>
  </si>
  <si>
    <t>KWZ</t>
  </si>
  <si>
    <t>Kolwezi, Congo (Kinshasa): Kolwezi Airport</t>
  </si>
  <si>
    <t>KXA</t>
  </si>
  <si>
    <t>Kasaan, AK: Kasaan Seaplane Base</t>
  </si>
  <si>
    <t>KXK</t>
  </si>
  <si>
    <t>Komsomolsk-na-Amure, Russia: Komsomolsk South</t>
  </si>
  <si>
    <t>KY1</t>
  </si>
  <si>
    <t>Danville, KY: Stuart Powell Field</t>
  </si>
  <si>
    <t>KY2</t>
  </si>
  <si>
    <t>Sturgis, KY: Sturgis Municipal</t>
  </si>
  <si>
    <t>KY3</t>
  </si>
  <si>
    <t>Mount Sterling, KY: Mount Sterling Montgomery County</t>
  </si>
  <si>
    <t>KY4</t>
  </si>
  <si>
    <t>Henderson, KY: Henderson City - County</t>
  </si>
  <si>
    <t>KY5</t>
  </si>
  <si>
    <t>Madisonville, KY: Madisonville Regional</t>
  </si>
  <si>
    <t>KY6</t>
  </si>
  <si>
    <t>Mayfield, KY: Mayfield Graves County</t>
  </si>
  <si>
    <t>KYA</t>
  </si>
  <si>
    <t>Konya, Turkey: Konya Airport</t>
  </si>
  <si>
    <t>KYC</t>
  </si>
  <si>
    <t>Yankee Creek, AK: Yankee Creek 2</t>
  </si>
  <si>
    <t>KYK</t>
  </si>
  <si>
    <t>Karluk, AK: Karluk Airport</t>
  </si>
  <si>
    <t>KYS</t>
  </si>
  <si>
    <t>Kayes, Mali: Kayes Airport</t>
  </si>
  <si>
    <t>KYU</t>
  </si>
  <si>
    <t>Koyukuk, AK: Koyukuk Airport</t>
  </si>
  <si>
    <t>KZ1</t>
  </si>
  <si>
    <t>Baikonur, Kazakhstan: Baikonur Krayniy</t>
  </si>
  <si>
    <t>KZB</t>
  </si>
  <si>
    <t>Zachar Bay, AK: Zachar Bay Airport</t>
  </si>
  <si>
    <t>KZH</t>
  </si>
  <si>
    <t>Kizhuyak, AK: Kizhuyak Airport</t>
  </si>
  <si>
    <t>KZI</t>
  </si>
  <si>
    <t>Kozani, Greece: Filippos</t>
  </si>
  <si>
    <t>KZN</t>
  </si>
  <si>
    <t>Kazan, Russia: Kazan Airport</t>
  </si>
  <si>
    <t>L41</t>
  </si>
  <si>
    <t>Marble Canyon, AZ: Marble Canyon Airport</t>
  </si>
  <si>
    <t>LA1</t>
  </si>
  <si>
    <t>Notchitoches, LA: Natchitoches Regional</t>
  </si>
  <si>
    <t>LA2</t>
  </si>
  <si>
    <t>Hammond, LA: Hammond Northshore Regional</t>
  </si>
  <si>
    <t>LA3</t>
  </si>
  <si>
    <t>Reserve, LA: Port of South Louisiana Executive</t>
  </si>
  <si>
    <t>LA4</t>
  </si>
  <si>
    <t>New Roads, LA: False River Regional</t>
  </si>
  <si>
    <t>LA5</t>
  </si>
  <si>
    <t>Galliano, LA: South Lafourche Leonard Miller Jr</t>
  </si>
  <si>
    <t>LAA</t>
  </si>
  <si>
    <t>Lamar, CO: Lamar Municipal</t>
  </si>
  <si>
    <t>LAB</t>
  </si>
  <si>
    <t>Lab Lab, Papua New Guinea: Lab Lab Airport</t>
  </si>
  <si>
    <t>LAC</t>
  </si>
  <si>
    <t>Pulau Layang-Layang, Malaysia: Pulau Layang-Layang Airport</t>
  </si>
  <si>
    <t>LAD</t>
  </si>
  <si>
    <t>Luanda, Angola: Luanda 4 de Fevereiro</t>
  </si>
  <si>
    <t>LAE</t>
  </si>
  <si>
    <t>Lae, Papua New Guinea: Nadzab</t>
  </si>
  <si>
    <t>LAF</t>
  </si>
  <si>
    <t>Lafayette, IN: Purdue University</t>
  </si>
  <si>
    <t>LAI</t>
  </si>
  <si>
    <t>Lannion, France: Lannion Airport</t>
  </si>
  <si>
    <t>LAJ</t>
  </si>
  <si>
    <t>Lages, Brazil: Lages Airport</t>
  </si>
  <si>
    <t>LAK</t>
  </si>
  <si>
    <t>Aklavik, Canada: Aklavik Airport</t>
  </si>
  <si>
    <t>LAL</t>
  </si>
  <si>
    <t>Lakeland, FL: Lakeland Linder International</t>
  </si>
  <si>
    <t>LAM</t>
  </si>
  <si>
    <t>Los Alamos, NM: Los Alamos Airport</t>
  </si>
  <si>
    <t>Lansing, MI: Capital Region International</t>
  </si>
  <si>
    <t>LAO</t>
  </si>
  <si>
    <t>Laoag, Philippines: Laoag International</t>
  </si>
  <si>
    <t>LAP</t>
  </si>
  <si>
    <t>La Paz, Mexico: General Manuel Marquez de Leon International</t>
  </si>
  <si>
    <t>LAQ</t>
  </si>
  <si>
    <t>Beida, Libya: El Beida</t>
  </si>
  <si>
    <t>Laramie, WY: Laramie Regional</t>
  </si>
  <si>
    <t>Las Vegas, NV: McCarran International</t>
  </si>
  <si>
    <t>LAU</t>
  </si>
  <si>
    <t>Lamu, Kenya: Lamu Manda</t>
  </si>
  <si>
    <t>Lawton/Fort Sill, OK: Lawton-Fort Sill Regional</t>
  </si>
  <si>
    <t>Los Angeles, CA: Los Angeles International</t>
  </si>
  <si>
    <t>LAY</t>
  </si>
  <si>
    <t>Ladysmith, South Africa: Ladysmith Airport</t>
  </si>
  <si>
    <t>LAZ</t>
  </si>
  <si>
    <t>Bom Jesus Da Lapa, Brazil: Bom Jesus Da Lapa Airport</t>
  </si>
  <si>
    <t>LBA</t>
  </si>
  <si>
    <t>Leeds/Bradford, United Kingdom: Leeds Bradford</t>
  </si>
  <si>
    <t>Lubbock, TX: Lubbock Preston Smith International</t>
  </si>
  <si>
    <t>LBC</t>
  </si>
  <si>
    <t>Luebeck, Germany: Luebeck Blankensee</t>
  </si>
  <si>
    <t>Latrobe, PA: Arnold Palmer Regional</t>
  </si>
  <si>
    <t>North Platte, NE: North Platte Regional Airport Lee Bird Field</t>
  </si>
  <si>
    <t>LBG</t>
  </si>
  <si>
    <t>Paris, France: Paris Le Bourget</t>
  </si>
  <si>
    <t>LBI</t>
  </si>
  <si>
    <t>Albi, France: Albi Le Sequestre</t>
  </si>
  <si>
    <t>Liberal, KS: Liberal Mid-America Regional</t>
  </si>
  <si>
    <t>LBP</t>
  </si>
  <si>
    <t>Long Banga, Malaysia: Long Banga Airport</t>
  </si>
  <si>
    <t>LBQ</t>
  </si>
  <si>
    <t>Lambarene, Gabon: Lambarene Airport</t>
  </si>
  <si>
    <t>LBS</t>
  </si>
  <si>
    <t>Labasa, Fiji: Labasa Airport</t>
  </si>
  <si>
    <t>LBT</t>
  </si>
  <si>
    <t>Lumberton, NC: Lumberton Regional</t>
  </si>
  <si>
    <t>LBU</t>
  </si>
  <si>
    <t>Labuan, Malaysia: Labuan Airport</t>
  </si>
  <si>
    <t>LBV</t>
  </si>
  <si>
    <t>Libreville, Gabon: Libreville Leon M'Ba</t>
  </si>
  <si>
    <t>LBX</t>
  </si>
  <si>
    <t>Lubang, Philippines: Lubang Airport</t>
  </si>
  <si>
    <t>LBY</t>
  </si>
  <si>
    <t>La Baule, France: Saint Nazaire/Montoir</t>
  </si>
  <si>
    <t>LCA</t>
  </si>
  <si>
    <t>Larnaca, Cyprus: Larnaka International</t>
  </si>
  <si>
    <t>LCC</t>
  </si>
  <si>
    <t>Lecce, Italy: Lecce Airport</t>
  </si>
  <si>
    <t>LCE</t>
  </si>
  <si>
    <t>La Ceiba, Honduras: Goloson International</t>
  </si>
  <si>
    <t>LCG</t>
  </si>
  <si>
    <t>A Coruna, Spain: A Coruna Airport</t>
  </si>
  <si>
    <t>Lake Charles, LA: Lake Charles Regional</t>
  </si>
  <si>
    <t>LCI</t>
  </si>
  <si>
    <t>Laconia, NH: Laconia Municipal</t>
  </si>
  <si>
    <t>LCJ</t>
  </si>
  <si>
    <t>Lodz Lodzkie, Poland: Lodz Lublinek</t>
  </si>
  <si>
    <t>Columbus, OH: Rickenbacker International</t>
  </si>
  <si>
    <t>LCM</t>
  </si>
  <si>
    <t>La Cumbre, Argentina: La Cumbre Airport</t>
  </si>
  <si>
    <t>LCQ</t>
  </si>
  <si>
    <t>Lake City, FL: Lake City Gateway</t>
  </si>
  <si>
    <t>LCS</t>
  </si>
  <si>
    <t>Las Canas, Costa Rica: Las Canas Airport</t>
  </si>
  <si>
    <t>LCY</t>
  </si>
  <si>
    <t>London, United Kingdom: London City</t>
  </si>
  <si>
    <t>LDB</t>
  </si>
  <si>
    <t>Londrina, Brazil: Governador Jose Richa</t>
  </si>
  <si>
    <t>LDE</t>
  </si>
  <si>
    <t>Tarbes/Lourdes/Pyrenees, France: Tarbes-Lourdes-Pyrenees</t>
  </si>
  <si>
    <t>LDH</t>
  </si>
  <si>
    <t>Lord Howe Island, Australia: Lord Howe Island Airport</t>
  </si>
  <si>
    <t>LDI</t>
  </si>
  <si>
    <t>Lindi, Tanzania: Lindi Airport</t>
  </si>
  <si>
    <t>LDJ</t>
  </si>
  <si>
    <t>Linden, NJ: Linden Airport</t>
  </si>
  <si>
    <t>LDK</t>
  </si>
  <si>
    <t>Lidkoping, Sweden: Lidkoping Airport</t>
  </si>
  <si>
    <t>LDM</t>
  </si>
  <si>
    <t>Ludington, MI: Mason County</t>
  </si>
  <si>
    <t>LDU</t>
  </si>
  <si>
    <t>Lahad Datu, Malaysia: Lahad Datu Airport</t>
  </si>
  <si>
    <t>LDV</t>
  </si>
  <si>
    <t>Landivisiau, France: Landivisiau Airport</t>
  </si>
  <si>
    <t>LDY</t>
  </si>
  <si>
    <t>Londonderry, United Kingdom: Eglinton</t>
  </si>
  <si>
    <t>LEA</t>
  </si>
  <si>
    <t>Learmonth, Australia: Learmonth Airport</t>
  </si>
  <si>
    <t>LEB</t>
  </si>
  <si>
    <t>Lebanon-Hanover, NH: Lebanon Municipal</t>
  </si>
  <si>
    <t>LED</t>
  </si>
  <si>
    <t>St. Petersburg, Russia: Pulkovo</t>
  </si>
  <si>
    <t>LEE</t>
  </si>
  <si>
    <t>Leesburg, FL: Leesburg International</t>
  </si>
  <si>
    <t>LEG</t>
  </si>
  <si>
    <t>Aleg, Mauritania: Aleg Airport</t>
  </si>
  <si>
    <t>LEH</t>
  </si>
  <si>
    <t>Le Havre, France: Le Havre Octeville</t>
  </si>
  <si>
    <t>LEI</t>
  </si>
  <si>
    <t>Almeria, Spain: Almeria Airport</t>
  </si>
  <si>
    <t>LEJ</t>
  </si>
  <si>
    <t>Leipzig, Germany: Leipzig Halle</t>
  </si>
  <si>
    <t>LEK</t>
  </si>
  <si>
    <t>Labe, Guinea: Labe Airport</t>
  </si>
  <si>
    <t>LEN</t>
  </si>
  <si>
    <t>Leon, Spain: Leon Airport</t>
  </si>
  <si>
    <t>LEO</t>
  </si>
  <si>
    <t>Leconi, Gabon: Leconi Airport</t>
  </si>
  <si>
    <t>LET</t>
  </si>
  <si>
    <t>Leticia, Colombia: Alfredo Vasquez Cobo</t>
  </si>
  <si>
    <t>LEV</t>
  </si>
  <si>
    <t>Bureta, Fiji: Bureta Airport</t>
  </si>
  <si>
    <t>LEW</t>
  </si>
  <si>
    <t>Lewiston/Auburn, ME: Auburn Lewiston Municipal</t>
  </si>
  <si>
    <t>Lexington, KY: Blue Grass</t>
  </si>
  <si>
    <t>LFI</t>
  </si>
  <si>
    <t>Newport News/Hampton, VA: Langley AFB</t>
  </si>
  <si>
    <t>LFK</t>
  </si>
  <si>
    <t>Lufkin, TX: Angelina County</t>
  </si>
  <si>
    <t>LFO</t>
  </si>
  <si>
    <t>Kelafo, Ethiopia: Kelafo Airport</t>
  </si>
  <si>
    <t>LFR</t>
  </si>
  <si>
    <t>La Fria, Venezuela: Francisco Javier Garcia Hevia</t>
  </si>
  <si>
    <t>Lafayette, LA: Lafayette Regional Paul Fournet Field</t>
  </si>
  <si>
    <t>LFW</t>
  </si>
  <si>
    <t>Lome, Togo: Gnassingbe Eyadema International</t>
  </si>
  <si>
    <t>New York, NY: LaGuardia</t>
  </si>
  <si>
    <t>Long Beach, CA: Long Beach Airport</t>
  </si>
  <si>
    <t>LGC</t>
  </si>
  <si>
    <t>LaGrange, GA: LaGrange-Callaway</t>
  </si>
  <si>
    <t>LGD</t>
  </si>
  <si>
    <t>La Grande, OR: La Grande/Union County</t>
  </si>
  <si>
    <t>LGG</t>
  </si>
  <si>
    <t>Liege, Belgium: Liege Airport</t>
  </si>
  <si>
    <t>LGH</t>
  </si>
  <si>
    <t>Leigh Creek, Australia: Leigh Creek Airport</t>
  </si>
  <si>
    <t>LGI</t>
  </si>
  <si>
    <t>Deadman's Cay, The Bahamas: Deadman's Cay Airport</t>
  </si>
  <si>
    <t>LGK</t>
  </si>
  <si>
    <t>Langkawi, Malaysia: Langkawi International</t>
  </si>
  <si>
    <t>LGM</t>
  </si>
  <si>
    <t>Longmont, CO: Longmont Municipal</t>
  </si>
  <si>
    <t>LGP</t>
  </si>
  <si>
    <t>Legazpi, Philippines: Legazpi Airport</t>
  </si>
  <si>
    <t>LGQ</t>
  </si>
  <si>
    <t>Lago Agrio, Ecuador: Lago Agrio Airport</t>
  </si>
  <si>
    <t>LGS</t>
  </si>
  <si>
    <t>Malargue, Argentina: Malargue Airport</t>
  </si>
  <si>
    <t>LGU</t>
  </si>
  <si>
    <t>Logan, UT: Logan Cache</t>
  </si>
  <si>
    <t>London, United Kingdom: London Gatwick</t>
  </si>
  <si>
    <t>LHA</t>
  </si>
  <si>
    <t>Lahr, Germany: Lahr Airport</t>
  </si>
  <si>
    <t>LHB</t>
  </si>
  <si>
    <t>Lost Harbor, AK: Lost Harbor Airport</t>
  </si>
  <si>
    <t>LHE</t>
  </si>
  <si>
    <t>Lahore, Pakistan: Allama Iqbal International</t>
  </si>
  <si>
    <t>LHG</t>
  </si>
  <si>
    <t>Lightning Ridge, Australia: Lightning Ridge Airport</t>
  </si>
  <si>
    <t>LHQ</t>
  </si>
  <si>
    <t>Lancaster, OH: Fairfield County</t>
  </si>
  <si>
    <t>London, United Kingdom: London Heathrow</t>
  </si>
  <si>
    <t>LHU</t>
  </si>
  <si>
    <t>LHV</t>
  </si>
  <si>
    <t>Lock Haven, PA: William T. Piper Memorial</t>
  </si>
  <si>
    <t>LHW</t>
  </si>
  <si>
    <t>Lanzhou, China: Zhongchuan</t>
  </si>
  <si>
    <t>LHX</t>
  </si>
  <si>
    <t>La Junta, CO: La Junta Municipal</t>
  </si>
  <si>
    <t>LIA</t>
  </si>
  <si>
    <t>Liangping, China: Liangping Airport</t>
  </si>
  <si>
    <t>LIB</t>
  </si>
  <si>
    <t>Limbunya, Australia: Limbunya Airport</t>
  </si>
  <si>
    <t>LIC</t>
  </si>
  <si>
    <t>Limon, CO: Limon Municipal</t>
  </si>
  <si>
    <t>LIE</t>
  </si>
  <si>
    <t>Libenge, Congo (Kinshasa): Libenge Airport</t>
  </si>
  <si>
    <t>LIG</t>
  </si>
  <si>
    <t>Limoges, France: Limoges Bellegarde</t>
  </si>
  <si>
    <t>Lihue, HI: Lihue Airport</t>
  </si>
  <si>
    <t>LIJ</t>
  </si>
  <si>
    <t>Long Island, AK: Long Island Airport</t>
  </si>
  <si>
    <t>LIK</t>
  </si>
  <si>
    <t>Likiep Island, Marshall Islands: Likiep Island Airport</t>
  </si>
  <si>
    <t>LIL</t>
  </si>
  <si>
    <t>Lille, France: Lille Lesquin</t>
  </si>
  <si>
    <t>Lima, Peru: Jorge Chavez International</t>
  </si>
  <si>
    <t>LIN</t>
  </si>
  <si>
    <t>Milan, Italy: Milano Linate</t>
  </si>
  <si>
    <t>LIO</t>
  </si>
  <si>
    <t>Limon, Costa Rica: Puerto Limon</t>
  </si>
  <si>
    <t>LIQ</t>
  </si>
  <si>
    <t>Lisala, Congo (Kinshasa): Lisala Airport</t>
  </si>
  <si>
    <t>Liberia, Costa Rica: Daniel Oduber International</t>
  </si>
  <si>
    <t>LIS</t>
  </si>
  <si>
    <t>Lisbon, Portugal: Lisboa</t>
  </si>
  <si>
    <t>Little Rock, AR: Bill and Hillary Clinton Nat Adams Field</t>
  </si>
  <si>
    <t>LIV</t>
  </si>
  <si>
    <t>Livengood, AK: Livengood Airport</t>
  </si>
  <si>
    <t>LIW</t>
  </si>
  <si>
    <t>Loikaw, Burma: Loikaw Airport</t>
  </si>
  <si>
    <t>LIY</t>
  </si>
  <si>
    <t>Hinesville, GA: Wright AAF/Midcoast Regional</t>
  </si>
  <si>
    <t>LIZ</t>
  </si>
  <si>
    <t>Limestone, ME: Loring International</t>
  </si>
  <si>
    <t>LJA</t>
  </si>
  <si>
    <t>Lodja, Congo (Kinshasa): Lodja Airport</t>
  </si>
  <si>
    <t>LJG</t>
  </si>
  <si>
    <t>Lijiang, China: Sanyi</t>
  </si>
  <si>
    <t>LJN</t>
  </si>
  <si>
    <t>Lake Jackson, TX: Brazoria County</t>
  </si>
  <si>
    <t>LJU</t>
  </si>
  <si>
    <t>Ljubljana, Slovenia: Ljubljana Airport</t>
  </si>
  <si>
    <t>LJY</t>
  </si>
  <si>
    <t>Lebanon, MO: Floyd W Jones Lebanon</t>
  </si>
  <si>
    <t>LKE</t>
  </si>
  <si>
    <t>Seattle, WA: Lake Union Terminal</t>
  </si>
  <si>
    <t>LKK</t>
  </si>
  <si>
    <t>Kulik Lake, AK: Kulik Lake Airport</t>
  </si>
  <si>
    <t>LKL</t>
  </si>
  <si>
    <t>Lakselv, Norway: Banak</t>
  </si>
  <si>
    <t>LKM</t>
  </si>
  <si>
    <t>Nekempte, Ethiopia: Nekempte Airport</t>
  </si>
  <si>
    <t>LKN</t>
  </si>
  <si>
    <t>Leknes, Norway: Leknes Airport</t>
  </si>
  <si>
    <t>LKO</t>
  </si>
  <si>
    <t>Lucknow, India: Chaudhary Charan Singh International</t>
  </si>
  <si>
    <t>LKP</t>
  </si>
  <si>
    <t>Lake Placid, NY: Lake Placid Airport</t>
  </si>
  <si>
    <t>LKV</t>
  </si>
  <si>
    <t>Lakeview, OR: Lake County</t>
  </si>
  <si>
    <t>LKZ</t>
  </si>
  <si>
    <t>Lakenheath, United Kingdom: RAF Lakenheath</t>
  </si>
  <si>
    <t>LLA</t>
  </si>
  <si>
    <t>Lulea, Sweden: Kallax</t>
  </si>
  <si>
    <t>LLI</t>
  </si>
  <si>
    <t>Lalibella, Ethiopia: Lalibella Airport</t>
  </si>
  <si>
    <t>LLW</t>
  </si>
  <si>
    <t>Lilongwe, Malawi: Kamuzu International</t>
  </si>
  <si>
    <t>LLX</t>
  </si>
  <si>
    <t>Lyndonville, VT: Caledonia County</t>
  </si>
  <si>
    <t>LLY</t>
  </si>
  <si>
    <t>Mount Holly, NJ: South Jersey Regional</t>
  </si>
  <si>
    <t>LMA</t>
  </si>
  <si>
    <t>Lake Minchumina, AK: Lake Minchumina Airport</t>
  </si>
  <si>
    <t>LMI</t>
  </si>
  <si>
    <t>Lumi, Papua New Guinea: Lumi Airport</t>
  </si>
  <si>
    <t>LMM</t>
  </si>
  <si>
    <t>Los Mochis, Mexico: Valle del Fuerte International</t>
  </si>
  <si>
    <t>LMN</t>
  </si>
  <si>
    <t>Limbang, Malaysia: Limbang Airport</t>
  </si>
  <si>
    <t>LMO</t>
  </si>
  <si>
    <t>Lossiemouth, United Kingdom: RAF Lossiemouth</t>
  </si>
  <si>
    <t>LMP</t>
  </si>
  <si>
    <t>Lampedusa, Italy: Lampedusa Airport</t>
  </si>
  <si>
    <t>LMQ</t>
  </si>
  <si>
    <t>Marsa Brega, Libya: Marsa Brega S21</t>
  </si>
  <si>
    <t>LMS</t>
  </si>
  <si>
    <t>Louisville, MS: Louisville Winston County</t>
  </si>
  <si>
    <t>LMT</t>
  </si>
  <si>
    <t>Klamath Falls, OR: Crater Lake Klamath Regional</t>
  </si>
  <si>
    <t>LNA</t>
  </si>
  <si>
    <t>West Palm Beach, FL: Palm Beach County Park</t>
  </si>
  <si>
    <t>LND</t>
  </si>
  <si>
    <t>Lander, WY: Hunt Field</t>
  </si>
  <si>
    <t>LNE</t>
  </si>
  <si>
    <t>Lonorore, Vanuatu: Lonorore Airport</t>
  </si>
  <si>
    <t>LNI</t>
  </si>
  <si>
    <t>Lonely, AK: Lonely AS</t>
  </si>
  <si>
    <t>Lincoln, NE: Lincoln Airport</t>
  </si>
  <si>
    <t>LNL</t>
  </si>
  <si>
    <t>Land O' Lakes, WI: Kings Land O' Lakes</t>
  </si>
  <si>
    <t>LNP</t>
  </si>
  <si>
    <t>Wise, VA: Lonesome Pine</t>
  </si>
  <si>
    <t>LNR</t>
  </si>
  <si>
    <t>Lone Rock, WI: Tri County Regional</t>
  </si>
  <si>
    <t>LNS</t>
  </si>
  <si>
    <t>Lancaster, PA: Lancaster Airport</t>
  </si>
  <si>
    <t>LNT</t>
  </si>
  <si>
    <t>Lanett, AL: Lanett Municipal</t>
  </si>
  <si>
    <t>LNV</t>
  </si>
  <si>
    <t>Londolovit, Papua New Guinea: Kunaye</t>
  </si>
  <si>
    <t>Lanai, HI: Lanai Airport</t>
  </si>
  <si>
    <t>LNZ</t>
  </si>
  <si>
    <t>Linz, Austria: Linz Airport</t>
  </si>
  <si>
    <t>LOA</t>
  </si>
  <si>
    <t>Lorraine, Australia: Lorraine Airport</t>
  </si>
  <si>
    <t>LOH</t>
  </si>
  <si>
    <t>Loja, Ecuador: Ciudad de Catamayo</t>
  </si>
  <si>
    <t>LOI</t>
  </si>
  <si>
    <t>Laredo, TX: Laredo Municipal</t>
  </si>
  <si>
    <t>LOL</t>
  </si>
  <si>
    <t>Lovelock, NV: Derby Field</t>
  </si>
  <si>
    <t>LOM</t>
  </si>
  <si>
    <t>Lagos de Moreno, Mexico: Francisco P.V.Yr</t>
  </si>
  <si>
    <t>LON</t>
  </si>
  <si>
    <t>London, United Kingdom: London Metropolitan Area</t>
  </si>
  <si>
    <t>LOQ</t>
  </si>
  <si>
    <t>Lobatse, Botswana: Lobatse Airport</t>
  </si>
  <si>
    <t>LOS</t>
  </si>
  <si>
    <t>Lagos, Nigeria: Murtala Muhammed</t>
  </si>
  <si>
    <t>LOT</t>
  </si>
  <si>
    <t>LOU</t>
  </si>
  <si>
    <t>Louisville, KY: Bowman Field</t>
  </si>
  <si>
    <t>LOV</t>
  </si>
  <si>
    <t>Monclova, Mexico: Venustiano Carranza International</t>
  </si>
  <si>
    <t>LOW</t>
  </si>
  <si>
    <t>Louisa, VA: Louisa County Freeman Field</t>
  </si>
  <si>
    <t>LOZ</t>
  </si>
  <si>
    <t>London/Corbin, KY: London-Corbin Airport-Magee Field</t>
  </si>
  <si>
    <t>LPA</t>
  </si>
  <si>
    <t>Las Palmas, Spain: Gran Canaria</t>
  </si>
  <si>
    <t>LPB</t>
  </si>
  <si>
    <t>La Paz, Bolivia: El Alto International</t>
  </si>
  <si>
    <t>LPC</t>
  </si>
  <si>
    <t>Lompoc, CA: Lompoc Airport</t>
  </si>
  <si>
    <t>LPI</t>
  </si>
  <si>
    <t>Linkoping, Sweden: Saab</t>
  </si>
  <si>
    <t>LPL</t>
  </si>
  <si>
    <t>Liverpool, United Kingdom: Liverpool Airport</t>
  </si>
  <si>
    <t>LPO</t>
  </si>
  <si>
    <t>La Porte, IN: La Porte Municipal</t>
  </si>
  <si>
    <t>LPP</t>
  </si>
  <si>
    <t>Lappeenranta, Finland: Lappeenranta Airport</t>
  </si>
  <si>
    <t>LPQ</t>
  </si>
  <si>
    <t>Luang Phabang, Laos: Luang Phabang International</t>
  </si>
  <si>
    <t>LPR</t>
  </si>
  <si>
    <t>Lorain/Elyria, OH: Lorain County Regional</t>
  </si>
  <si>
    <t>LPS</t>
  </si>
  <si>
    <t>Lopez Island, WA: Lopez Island Airport</t>
  </si>
  <si>
    <t>LPT</t>
  </si>
  <si>
    <t>Lampang, Thailand: Lampang Airport</t>
  </si>
  <si>
    <t>LPW</t>
  </si>
  <si>
    <t>Little Port Walter, AK: Little Port Walter Airport</t>
  </si>
  <si>
    <t>LQK</t>
  </si>
  <si>
    <t>Pickens, SC: Pickens County</t>
  </si>
  <si>
    <t>LRA</t>
  </si>
  <si>
    <t>Larissa, Greece: Larissa Airport</t>
  </si>
  <si>
    <t>LRC</t>
  </si>
  <si>
    <t>Laarbruch, Germany: RAF Laarbruch</t>
  </si>
  <si>
    <t>Laredo, TX: Laredo International</t>
  </si>
  <si>
    <t>LRE</t>
  </si>
  <si>
    <t>Longreach, Australia: Longreach Airport</t>
  </si>
  <si>
    <t>LRF</t>
  </si>
  <si>
    <t>Jacksonville, AR: Little Rock AFB</t>
  </si>
  <si>
    <t>LRG</t>
  </si>
  <si>
    <t>Loring, AK: Loring Airport</t>
  </si>
  <si>
    <t>LRH</t>
  </si>
  <si>
    <t>La Rochelle, France: La Rochelle/Laleu</t>
  </si>
  <si>
    <t>LRI</t>
  </si>
  <si>
    <t>Lorica, Colombia: Lorica Airport</t>
  </si>
  <si>
    <t>LRL</t>
  </si>
  <si>
    <t>Niamtougou, Togo: Niamtougou International</t>
  </si>
  <si>
    <t>LRM</t>
  </si>
  <si>
    <t>La Romana, Dominican Republic: Casa de Campo International</t>
  </si>
  <si>
    <t>LRN</t>
  </si>
  <si>
    <t>Moses Lake, WA: Larson AFB</t>
  </si>
  <si>
    <t>LRO</t>
  </si>
  <si>
    <t>Lathrop, CA: Sharpe AFF</t>
  </si>
  <si>
    <t>LRT</t>
  </si>
  <si>
    <t>Lorient, France: Lorient Lann Bihoue</t>
  </si>
  <si>
    <t>LRU</t>
  </si>
  <si>
    <t>Las Cruces, NM: Las Cruces International</t>
  </si>
  <si>
    <t>LSA</t>
  </si>
  <si>
    <t>Losuia, Papua New Guinea: Kiriwina</t>
  </si>
  <si>
    <t>LSC</t>
  </si>
  <si>
    <t>La Serena, Chile: La Florida</t>
  </si>
  <si>
    <t>LSD</t>
  </si>
  <si>
    <t>Lexington, KY: Blue Grass Station AHP</t>
  </si>
  <si>
    <t>La Crosse, WI: La Crosse Regional</t>
  </si>
  <si>
    <t>LSF</t>
  </si>
  <si>
    <t>Columbus, GA: Lawson AAF</t>
  </si>
  <si>
    <t>LSI</t>
  </si>
  <si>
    <t>Lerwick, United Kingdom: Sumburgh</t>
  </si>
  <si>
    <t>LSL</t>
  </si>
  <si>
    <t>Los Chiles, Costa Rica: Los Chiles Airport</t>
  </si>
  <si>
    <t>LSN</t>
  </si>
  <si>
    <t>Los Banos, CA: Los Banos Municipal</t>
  </si>
  <si>
    <t>LSP</t>
  </si>
  <si>
    <t>Las Piedras, Venezuela: Josefa Camejo International</t>
  </si>
  <si>
    <t>LSQ</t>
  </si>
  <si>
    <t>Los Angeles, Chile: Maria Dolores</t>
  </si>
  <si>
    <t>LSR</t>
  </si>
  <si>
    <t>Lost River, AK: Lost River 1</t>
  </si>
  <si>
    <t>LSS</t>
  </si>
  <si>
    <t>Les Saintes, Guadeloupe: Terre de Haut</t>
  </si>
  <si>
    <t>LST</t>
  </si>
  <si>
    <t>Launceston, Australia: Launceston Airport</t>
  </si>
  <si>
    <t>LSU</t>
  </si>
  <si>
    <t>Long Sukang, Malaysia: Long Sukang Airport</t>
  </si>
  <si>
    <t>LSV</t>
  </si>
  <si>
    <t>Las Vegas, NV: Nellis AFB</t>
  </si>
  <si>
    <t>LSX</t>
  </si>
  <si>
    <t>Lhok Sukon, Indonesia: Lhok Sukon Airport</t>
  </si>
  <si>
    <t>LTA</t>
  </si>
  <si>
    <t>Tzaneen, South Africa: Letaba</t>
  </si>
  <si>
    <t>LTB</t>
  </si>
  <si>
    <t>Latrobe, Australia: Latrobe Valley</t>
  </si>
  <si>
    <t>LTD</t>
  </si>
  <si>
    <t>Ghadames, Libya: Ghadames Airport</t>
  </si>
  <si>
    <t>LTI</t>
  </si>
  <si>
    <t>Altai, Mongolia: Altai Airport</t>
  </si>
  <si>
    <t>LTM</t>
  </si>
  <si>
    <t>Lethem, Guyana: Lethem Airport</t>
  </si>
  <si>
    <t>LTN</t>
  </si>
  <si>
    <t>London, United Kingdom: London Luton</t>
  </si>
  <si>
    <t>LTO</t>
  </si>
  <si>
    <t>Loreto, Mexico: Loreto International</t>
  </si>
  <si>
    <t>LTQ</t>
  </si>
  <si>
    <t>Le Touquet, France: Le Touquet Cote D Opale</t>
  </si>
  <si>
    <t>LTS</t>
  </si>
  <si>
    <t>Altus, OK: Altus AFB</t>
  </si>
  <si>
    <t>LTV</t>
  </si>
  <si>
    <t>Lotusvale, Australia: Lotusvale Airport</t>
  </si>
  <si>
    <t>LUA</t>
  </si>
  <si>
    <t>Lukla, Nepal: Lukla Airport</t>
  </si>
  <si>
    <t>LUD</t>
  </si>
  <si>
    <t>Luderitz, Namibia: Luderitz Airport</t>
  </si>
  <si>
    <t>LUE</t>
  </si>
  <si>
    <t>Lucenec, Slovakia: Lucenec Airport</t>
  </si>
  <si>
    <t>LUF</t>
  </si>
  <si>
    <t>Phoenix, AZ: Luke AFB</t>
  </si>
  <si>
    <t>LUG</t>
  </si>
  <si>
    <t>Lugano, Switzerland: Lugano Airport</t>
  </si>
  <si>
    <t>LUJ</t>
  </si>
  <si>
    <t>Lusikisiki, South Africa: Lusikisiki Airport</t>
  </si>
  <si>
    <t>LUK</t>
  </si>
  <si>
    <t>Cincinnati, OH: Cincinnati Municipal Lunken Field</t>
  </si>
  <si>
    <t>LUL</t>
  </si>
  <si>
    <t>Laurel, MS: Hesler-Noble Field</t>
  </si>
  <si>
    <t>LUM</t>
  </si>
  <si>
    <t>Luxi, China: Mangshi</t>
  </si>
  <si>
    <t>LUN</t>
  </si>
  <si>
    <t>Lusaka, Zambia: Kenneth Kaunda International</t>
  </si>
  <si>
    <t>LUP</t>
  </si>
  <si>
    <t>Kalaupapa, HI: Kalaupapa Airport</t>
  </si>
  <si>
    <t>LUQ</t>
  </si>
  <si>
    <t>San Luis, Argentina: San Luis Airport</t>
  </si>
  <si>
    <t>LUR</t>
  </si>
  <si>
    <t>Cape Lisburne, AK: Cape Lisburne LRRS</t>
  </si>
  <si>
    <t>LUS</t>
  </si>
  <si>
    <t>Lusanga, Congo (Kinshasa): Lusanga Airport</t>
  </si>
  <si>
    <t>LUT</t>
  </si>
  <si>
    <t>Laura Station, Australia: Laura Station Airport</t>
  </si>
  <si>
    <t>LUX</t>
  </si>
  <si>
    <t>Luxembourg, Luxembourg: Luxembourg Airport</t>
  </si>
  <si>
    <t>LUZ</t>
  </si>
  <si>
    <t>Lublin, Poland: Lublin Airport</t>
  </si>
  <si>
    <t>LV1</t>
  </si>
  <si>
    <t>Lievarde, Latvia: Lielvarde</t>
  </si>
  <si>
    <t>LVB</t>
  </si>
  <si>
    <t>Livramento, Brazil: Livramento Airport</t>
  </si>
  <si>
    <t>LVD</t>
  </si>
  <si>
    <t>Lime Village, AK: Lime Village Airport</t>
  </si>
  <si>
    <t>LVI</t>
  </si>
  <si>
    <t>Livingstone, Zambia: Harry Mwanga Nkumbula</t>
  </si>
  <si>
    <t>LVK</t>
  </si>
  <si>
    <t>Livermore, CA: Livermore Municipal</t>
  </si>
  <si>
    <t>LVM</t>
  </si>
  <si>
    <t>Livingston, MT: Livingston Airport</t>
  </si>
  <si>
    <t>LVO</t>
  </si>
  <si>
    <t>Laverton, Australia: Laverton Airport</t>
  </si>
  <si>
    <t>LVS</t>
  </si>
  <si>
    <t>Las Vegas, NM: Las Vegas Municipal</t>
  </si>
  <si>
    <t>Lewisburg, WV: Greenbrier Valley</t>
  </si>
  <si>
    <t>LWC</t>
  </si>
  <si>
    <t>Lawrence, KS: Lawrence Municipal</t>
  </si>
  <si>
    <t>LWF</t>
  </si>
  <si>
    <t>Lawrenceburg, TN: Lawrenceburg-Lawrence County</t>
  </si>
  <si>
    <t>LWL</t>
  </si>
  <si>
    <t>Wells, NV: Wells Municipal/Harriet Field</t>
  </si>
  <si>
    <t>LWM</t>
  </si>
  <si>
    <t>Lawrence, MA: Lawrence Municipal</t>
  </si>
  <si>
    <t>LWO</t>
  </si>
  <si>
    <t>Lviv, Ukraine: Lviv International</t>
  </si>
  <si>
    <t>Lewiston, ID: Lewiston Nez Perce County</t>
  </si>
  <si>
    <t>LWT</t>
  </si>
  <si>
    <t>Lewistown, MT: Lewistown Municipal</t>
  </si>
  <si>
    <t>LWV</t>
  </si>
  <si>
    <t>Lawrenceville, IL: Lawrenceville-Vincennes International</t>
  </si>
  <si>
    <t>LWY</t>
  </si>
  <si>
    <t>Lawas, Malaysia: Lawas Airport</t>
  </si>
  <si>
    <t>LXA</t>
  </si>
  <si>
    <t>Lhasa, China: Gonggar</t>
  </si>
  <si>
    <t>LXN</t>
  </si>
  <si>
    <t>Lexington, NE: Jim Kelly Field</t>
  </si>
  <si>
    <t>LXR</t>
  </si>
  <si>
    <t>Luxor, Egypt: Luxor International</t>
  </si>
  <si>
    <t>LXS</t>
  </si>
  <si>
    <t>Lemnos, Greece: Lemnos Airport</t>
  </si>
  <si>
    <t>LXV</t>
  </si>
  <si>
    <t>Leadville, CO: Lake County</t>
  </si>
  <si>
    <t>LYB</t>
  </si>
  <si>
    <t>Little Cayman, Cayman Islands: Edward Bodden</t>
  </si>
  <si>
    <t>LYC</t>
  </si>
  <si>
    <t>Lycksele, Sweden: Lycksele Airport</t>
  </si>
  <si>
    <t>LYE</t>
  </si>
  <si>
    <t>Lyneham, United Kingdom: RAF Lyneham</t>
  </si>
  <si>
    <t>LYG</t>
  </si>
  <si>
    <t>Jiangsu, China: Lianyungang Baitabu</t>
  </si>
  <si>
    <t>Lynchburg, VA: Lynchburg Regional/Preston Glenn Field</t>
  </si>
  <si>
    <t>LYN</t>
  </si>
  <si>
    <t>Lyon, France: Lyon Bron</t>
  </si>
  <si>
    <t>LYP</t>
  </si>
  <si>
    <t>Faisalabad, Pakistan: Faisalabad International</t>
  </si>
  <si>
    <t>LYR</t>
  </si>
  <si>
    <t>Longyearbyen, Norway: Svalbard</t>
  </si>
  <si>
    <t>LYS</t>
  </si>
  <si>
    <t>Lyon, France: Lyon Saint Exupery</t>
  </si>
  <si>
    <t>LYU</t>
  </si>
  <si>
    <t>Ely, MN: Ely Municipal</t>
  </si>
  <si>
    <t>LYX</t>
  </si>
  <si>
    <t>Lydd, United Kingdom: London Ashford</t>
  </si>
  <si>
    <t>LZC</t>
  </si>
  <si>
    <t>Lazaro Cardenas, Mexico: Lazaro Cardenas Airport</t>
  </si>
  <si>
    <t>LZH</t>
  </si>
  <si>
    <t>Liuzhou, China: Liuzhou Bailian</t>
  </si>
  <si>
    <t>LZO</t>
  </si>
  <si>
    <t>Luzhou, China: Luzhou Airport</t>
  </si>
  <si>
    <t>LZR</t>
  </si>
  <si>
    <t>Lizard Island, Australia: Lizard Island Airport</t>
  </si>
  <si>
    <t>LZU</t>
  </si>
  <si>
    <t>Lawrenceville, GA: Gwinnett County - Briscoe Field</t>
  </si>
  <si>
    <t>MA1</t>
  </si>
  <si>
    <t>Edgartown, MA: Katama Airpark</t>
  </si>
  <si>
    <t>MA2</t>
  </si>
  <si>
    <t>Montague, MA: Turners Falls</t>
  </si>
  <si>
    <t>MA3</t>
  </si>
  <si>
    <t>Taunton, MA: Taunton Municipal King Field</t>
  </si>
  <si>
    <t>MA4</t>
  </si>
  <si>
    <t>Marshfield, MA: Marshfield Municipal George Harlow Field</t>
  </si>
  <si>
    <t>MA5</t>
  </si>
  <si>
    <t>Northampton, MA: Northampton Airport</t>
  </si>
  <si>
    <t>MA6</t>
  </si>
  <si>
    <t>Hopedale, MA: Hopedale Industrial Park</t>
  </si>
  <si>
    <t>MAA</t>
  </si>
  <si>
    <t>Chennai, India: Chennai International</t>
  </si>
  <si>
    <t>MAB</t>
  </si>
  <si>
    <t>Maraba, Brazil: Joao Correa Da Rocha</t>
  </si>
  <si>
    <t>MAC</t>
  </si>
  <si>
    <t>Macon, GA: Macon Downtown</t>
  </si>
  <si>
    <t>MAD</t>
  </si>
  <si>
    <t>Madrid, Spain: Adolfo Suarez Madrid Barajas</t>
  </si>
  <si>
    <t>MAE</t>
  </si>
  <si>
    <t>Madera, CA: Madera Municipal</t>
  </si>
  <si>
    <t>Midland/Odessa, TX: Midland International Air and Space Port</t>
  </si>
  <si>
    <t>MAG</t>
  </si>
  <si>
    <t>Madang, Papua New Guinea: Madang Airport</t>
  </si>
  <si>
    <t>MAH</t>
  </si>
  <si>
    <t>Mahon, Spain: Menorca</t>
  </si>
  <si>
    <t>MAI</t>
  </si>
  <si>
    <t>Mangochi, Malawi: Mangochi Airport</t>
  </si>
  <si>
    <t>MAJ</t>
  </si>
  <si>
    <t>Majuro, Marshall Islands: Marshall Islands International</t>
  </si>
  <si>
    <t>MAK</t>
  </si>
  <si>
    <t>Malakal, South Sudan: Malakal Airport</t>
  </si>
  <si>
    <t>MAM</t>
  </si>
  <si>
    <t>Matamoros, Mexico: General Servando Canales International</t>
  </si>
  <si>
    <t>MAN</t>
  </si>
  <si>
    <t>Manchester, United Kingdom: Manchester Airport</t>
  </si>
  <si>
    <t>MAO</t>
  </si>
  <si>
    <t>Manaus, Brazil: Eduardo Gomes International</t>
  </si>
  <si>
    <t>MAP</t>
  </si>
  <si>
    <t>Mamai, Papua New Guinea: Mamai Airport</t>
  </si>
  <si>
    <t>MAQ</t>
  </si>
  <si>
    <t>Mae Sot, Thailand: Mae Sot Airport</t>
  </si>
  <si>
    <t>MAR</t>
  </si>
  <si>
    <t>Maracaibo, Venezuela: La Chinita International</t>
  </si>
  <si>
    <t>MAS</t>
  </si>
  <si>
    <t>Manus Island, Papua New Guinea: Momote</t>
  </si>
  <si>
    <t>MAT</t>
  </si>
  <si>
    <t>Matadi, Congo (Kinshasa): Matadi Tshimpi</t>
  </si>
  <si>
    <t>MAU</t>
  </si>
  <si>
    <t>Maupiti, French Polynesia: Maupiti Fr. Polynesia</t>
  </si>
  <si>
    <t>MAW</t>
  </si>
  <si>
    <t>Malden, MO: Malden Regional</t>
  </si>
  <si>
    <t>MAX</t>
  </si>
  <si>
    <t>Matam, Senegal: Matam Ouro Sogui</t>
  </si>
  <si>
    <t>MAY</t>
  </si>
  <si>
    <t>Mangrove Cay, The Bahamas: Clarence A Bain</t>
  </si>
  <si>
    <t>MAZ</t>
  </si>
  <si>
    <t>Mayaguez, PR: Eugenio Maria de Hostos</t>
  </si>
  <si>
    <t>MBA</t>
  </si>
  <si>
    <t>Mombasa, Kenya: Mombasa Moi International</t>
  </si>
  <si>
    <t>MBE</t>
  </si>
  <si>
    <t>Monbetsu, Japan: Monbetsu Airport</t>
  </si>
  <si>
    <t>MBH</t>
  </si>
  <si>
    <t>Maryborough, Australia: Maryborough Qld</t>
  </si>
  <si>
    <t>MBI</t>
  </si>
  <si>
    <t>Mbeya, Tanzania: Mbeya Airport</t>
  </si>
  <si>
    <t>Montego Bay, Jamaica: Sangster International</t>
  </si>
  <si>
    <t>MBK</t>
  </si>
  <si>
    <t>Matupa, Brazil: Matupa Airport</t>
  </si>
  <si>
    <t>MBL</t>
  </si>
  <si>
    <t>Manistee/Ludington, MI: Manistee County-Blacker</t>
  </si>
  <si>
    <t>MBO</t>
  </si>
  <si>
    <t>Mamburao, Philippines: Mamburao Airport</t>
  </si>
  <si>
    <t>Saginaw/Bay City/Midland, MI: MBS International</t>
  </si>
  <si>
    <t>MBT</t>
  </si>
  <si>
    <t>Masbate, Philippines: Masbate Airport</t>
  </si>
  <si>
    <t>MBU</t>
  </si>
  <si>
    <t>Mbambanakira, Solomon Islands: Mbambanakira Airport</t>
  </si>
  <si>
    <t>MBX</t>
  </si>
  <si>
    <t>Maribor, Slovenia: Maribor Airport</t>
  </si>
  <si>
    <t>MBY</t>
  </si>
  <si>
    <t>Moberley, MO: Omar N Bradley</t>
  </si>
  <si>
    <t>MBZ</t>
  </si>
  <si>
    <t>Maues, Brazil: Maues Airport</t>
  </si>
  <si>
    <t>MCA</t>
  </si>
  <si>
    <t>Macenta, Guinea: Macenta Airport</t>
  </si>
  <si>
    <t>MCB</t>
  </si>
  <si>
    <t>McComb, MS: McComb/Pike County/John E. Lewis Field</t>
  </si>
  <si>
    <t>MCC</t>
  </si>
  <si>
    <t>Sacramento, CA: McClellan Airfield</t>
  </si>
  <si>
    <t>MCD</t>
  </si>
  <si>
    <t>Mackinac Island, MI: Mackinac Island Airport</t>
  </si>
  <si>
    <t>MCE</t>
  </si>
  <si>
    <t>Merced, CA: Merced Regional/Macready Field</t>
  </si>
  <si>
    <t>MCF</t>
  </si>
  <si>
    <t>Tampa, FL: Macdill AFB</t>
  </si>
  <si>
    <t>MCG</t>
  </si>
  <si>
    <t>McGrath, AK: McGrath Airport</t>
  </si>
  <si>
    <t>MCH</t>
  </si>
  <si>
    <t>Machala, Ecuador: General Manuel Serrano</t>
  </si>
  <si>
    <t>Kansas City, MO: Kansas City International</t>
  </si>
  <si>
    <t>MCJ</t>
  </si>
  <si>
    <t>Maicao, Colombia: Maicao Airport</t>
  </si>
  <si>
    <t>MCK</t>
  </si>
  <si>
    <t>McCook, NE: McCook Ben Nelson Regional</t>
  </si>
  <si>
    <t>MCL</t>
  </si>
  <si>
    <t>McKinley Park, AK: Denali</t>
  </si>
  <si>
    <t>MCM</t>
  </si>
  <si>
    <t>Monte Carlo, Monaco: Monaco Heloport</t>
  </si>
  <si>
    <t>MCN</t>
  </si>
  <si>
    <t>Macon, GA: Middle Georgia Regional</t>
  </si>
  <si>
    <t>Orlando, FL: Orlando International</t>
  </si>
  <si>
    <t>MCP</t>
  </si>
  <si>
    <t>Macapa, Brazil: Alberto Alcolumbre</t>
  </si>
  <si>
    <t>MCR</t>
  </si>
  <si>
    <t>Melchor de Mencos, Guatemala: Melchor de Mencos Airport</t>
  </si>
  <si>
    <t>MCS</t>
  </si>
  <si>
    <t>Monte Caseros, Argentina: Monte Caseros Airport</t>
  </si>
  <si>
    <t>MCT</t>
  </si>
  <si>
    <t>Muscat, Oman: Muscat International</t>
  </si>
  <si>
    <t>MCU</t>
  </si>
  <si>
    <t>Montlucon, France: Gueret/Lepaud</t>
  </si>
  <si>
    <t>MCV</t>
  </si>
  <si>
    <t>McArthur River, Australia: McArthur River Mine</t>
  </si>
  <si>
    <t>Mason City, IA: Mason City Municipal</t>
  </si>
  <si>
    <t>MCY</t>
  </si>
  <si>
    <t>Maroochydore, Australia: Sunshine Coast</t>
  </si>
  <si>
    <t>MCZ</t>
  </si>
  <si>
    <t>Maceio, Brazil: Zumbi Dos Palmares</t>
  </si>
  <si>
    <t>MD1</t>
  </si>
  <si>
    <t>Michellville, MD: Freeway</t>
  </si>
  <si>
    <t>MD2</t>
  </si>
  <si>
    <t>Indian Head, MD: Maryland</t>
  </si>
  <si>
    <t>MDA</t>
  </si>
  <si>
    <t>San Antonio, TX: Martindale AHP</t>
  </si>
  <si>
    <t>MDB</t>
  </si>
  <si>
    <t>Melinda, Belize: Melinda Airport</t>
  </si>
  <si>
    <t>MDC</t>
  </si>
  <si>
    <t>Menado, Indonesia: Sam Ratulangi</t>
  </si>
  <si>
    <t>MDD</t>
  </si>
  <si>
    <t>Midland/Odessa, TX: Midland Airpark</t>
  </si>
  <si>
    <t>Medellin, Colombia: Jose Maria Cordova</t>
  </si>
  <si>
    <t>MDF</t>
  </si>
  <si>
    <t>Medford, WI: Taylor County</t>
  </si>
  <si>
    <t>MDG</t>
  </si>
  <si>
    <t>Mudanjiang, China: Hailang</t>
  </si>
  <si>
    <t>MDH</t>
  </si>
  <si>
    <t>Carbondale, IL: Southern Illinois</t>
  </si>
  <si>
    <t>MDI</t>
  </si>
  <si>
    <t>Makurdi, Nigeria: Makurdi Airport</t>
  </si>
  <si>
    <t>MDJ</t>
  </si>
  <si>
    <t>Madras, OR: Madras Municipal</t>
  </si>
  <si>
    <t>MDK</t>
  </si>
  <si>
    <t>Mbandaka, Congo (Kinshasa): Mbandaka Airport</t>
  </si>
  <si>
    <t>MDL</t>
  </si>
  <si>
    <t>Mandalay, Burma: Mandalay International</t>
  </si>
  <si>
    <t>MDO</t>
  </si>
  <si>
    <t>Middleton Island, AK: Middleton Island Airport</t>
  </si>
  <si>
    <t>MDQ</t>
  </si>
  <si>
    <t>Mar del Plata, Argentina: Mar del Plata Airport</t>
  </si>
  <si>
    <t>MDR</t>
  </si>
  <si>
    <t>Medfra, AK: Medfra Airport</t>
  </si>
  <si>
    <t>MDS</t>
  </si>
  <si>
    <t>Middle Caicos, Turks and Caicos Islands: Conch Bar</t>
  </si>
  <si>
    <t>Harrisburg, PA: Harrisburg International</t>
  </si>
  <si>
    <t>MDU</t>
  </si>
  <si>
    <t>Mendi, Papua New Guinea: Mendi Airport</t>
  </si>
  <si>
    <t>Chicago, IL: Chicago Midway International</t>
  </si>
  <si>
    <t>MDX</t>
  </si>
  <si>
    <t>Mercedes, Argentina: Mercedes Aeroclub</t>
  </si>
  <si>
    <t>MDY</t>
  </si>
  <si>
    <t>Midway Island, TT: Sand Island Field</t>
  </si>
  <si>
    <t>MDZ</t>
  </si>
  <si>
    <t>Mendoza, Argentina: El Plumerillo</t>
  </si>
  <si>
    <t>ME1</t>
  </si>
  <si>
    <t>Rangeley, ME: Steven A. Bean Municipal</t>
  </si>
  <si>
    <t>ME2</t>
  </si>
  <si>
    <t>Islesboro, ME: Islesboro Airport</t>
  </si>
  <si>
    <t>ME3</t>
  </si>
  <si>
    <t>Belfast, ME: Belfast Municipal</t>
  </si>
  <si>
    <t>ME4</t>
  </si>
  <si>
    <t>Oxford, ME: Oxford County Regional</t>
  </si>
  <si>
    <t>ME5</t>
  </si>
  <si>
    <t>Bethel, ME: Bethel Regional</t>
  </si>
  <si>
    <t>ME6</t>
  </si>
  <si>
    <t>Bethel2, ME: Cole Dyke</t>
  </si>
  <si>
    <t>ME7</t>
  </si>
  <si>
    <t>Stonington, ME: Stonington Municipal</t>
  </si>
  <si>
    <t>ME8</t>
  </si>
  <si>
    <t>Eastport, ME: Eastport Municipal</t>
  </si>
  <si>
    <t>ME9</t>
  </si>
  <si>
    <t>Greenville, ME: Greenville Municipal</t>
  </si>
  <si>
    <t>MEA</t>
  </si>
  <si>
    <t>Macae, Brazil: Macae Airport</t>
  </si>
  <si>
    <t>MEB</t>
  </si>
  <si>
    <t>Melbourne, Australia: Essendon</t>
  </si>
  <si>
    <t>MEC</t>
  </si>
  <si>
    <t>Manta, Ecuador: Eloy Alfaro International</t>
  </si>
  <si>
    <t>MED</t>
  </si>
  <si>
    <t>Medina, Saudi Arabia: Prince Mohammad Bin Abdulaziz International</t>
  </si>
  <si>
    <t>Meridian, MS: Key Field</t>
  </si>
  <si>
    <t>MEJ</t>
  </si>
  <si>
    <t>Meadville, PA: Port Meadville</t>
  </si>
  <si>
    <t>MEL</t>
  </si>
  <si>
    <t>Melbourne, Australia: Melbourne International</t>
  </si>
  <si>
    <t>Memphis, TN: Memphis International</t>
  </si>
  <si>
    <t>MEN</t>
  </si>
  <si>
    <t>Mende, France: Mende Brenoux</t>
  </si>
  <si>
    <t>MEO</t>
  </si>
  <si>
    <t>Manteo, NC: Dare County Regional</t>
  </si>
  <si>
    <t>MEP</t>
  </si>
  <si>
    <t>Mersing, Malaysia: Mersing Malay.</t>
  </si>
  <si>
    <t>MEQ</t>
  </si>
  <si>
    <t>Meulaboh, Indonesia: Seunagan</t>
  </si>
  <si>
    <t>MER</t>
  </si>
  <si>
    <t>Atwater, CA: Castle</t>
  </si>
  <si>
    <t>MES</t>
  </si>
  <si>
    <t>Medan, Indonesia: Polonia</t>
  </si>
  <si>
    <t>MEV</t>
  </si>
  <si>
    <t>Minden, NV: Minden-Tahoe</t>
  </si>
  <si>
    <t>MEX</t>
  </si>
  <si>
    <t>Mexico City, Mexico: Licenciado Benito Juarez International</t>
  </si>
  <si>
    <t>MEY</t>
  </si>
  <si>
    <t>Meghauli, Nepal: Meghauli Airport</t>
  </si>
  <si>
    <t>MFA</t>
  </si>
  <si>
    <t>Mafia Island, Tanzania: Mafia</t>
  </si>
  <si>
    <t>MFD</t>
  </si>
  <si>
    <t>Mansfield, OH: Mansfield Lahm Regional</t>
  </si>
  <si>
    <t>Mission/McAllen/Edinburg, TX: McAllen Miller International</t>
  </si>
  <si>
    <t>MFF</t>
  </si>
  <si>
    <t>Moanda, Gabon: Moanda Airport</t>
  </si>
  <si>
    <t>MFG</t>
  </si>
  <si>
    <t>Muzaffarabad, Pakistan: Muzaffarabad Airport</t>
  </si>
  <si>
    <t>MFH</t>
  </si>
  <si>
    <t>Mesquite, NV: Mesquite Airport</t>
  </si>
  <si>
    <t>MFI</t>
  </si>
  <si>
    <t>Marshfield, WI: Marshfield Municipal</t>
  </si>
  <si>
    <t>MFM</t>
  </si>
  <si>
    <t>Macau, Macau: Macau International</t>
  </si>
  <si>
    <t>MFN</t>
  </si>
  <si>
    <t>Milford Sound, New Zealand: Milford Sound Airport</t>
  </si>
  <si>
    <t>MFQ</t>
  </si>
  <si>
    <t>Maradi, Niger: Maradi Airport</t>
  </si>
  <si>
    <t>Medford, OR: Rogue Valley International - Medford</t>
  </si>
  <si>
    <t>MFS</t>
  </si>
  <si>
    <t>Miraflores, Colombia: Miraflores Airport</t>
  </si>
  <si>
    <t>MFT</t>
  </si>
  <si>
    <t>Fort Worth, TX: Mangham Field</t>
  </si>
  <si>
    <t>MFU</t>
  </si>
  <si>
    <t>Mfuwe, Zambia: Mfuwe Airport</t>
  </si>
  <si>
    <t>MFV</t>
  </si>
  <si>
    <t>Melfa, VA: Accomack County</t>
  </si>
  <si>
    <t>MGA</t>
  </si>
  <si>
    <t>Managua, Nicaragua: Augusto Cesar Sandino International</t>
  </si>
  <si>
    <t>MGB</t>
  </si>
  <si>
    <t>Mount Gambier, Australia: Mount Gambier Airport</t>
  </si>
  <si>
    <t>MGC</t>
  </si>
  <si>
    <t>Michigan City, IN: Michigan City Municipal Phillips Field</t>
  </si>
  <si>
    <t>MGD</t>
  </si>
  <si>
    <t>Magdalena, Bolivia: Magdalena Airport</t>
  </si>
  <si>
    <t>MGE</t>
  </si>
  <si>
    <t>Marietta, GA: Dobbins ARB</t>
  </si>
  <si>
    <t>MGF</t>
  </si>
  <si>
    <t>Maringa, Brazil: Silvio Name Junior</t>
  </si>
  <si>
    <t>MGJ</t>
  </si>
  <si>
    <t>Montgomery, NY: Orange County</t>
  </si>
  <si>
    <t>MGL</t>
  </si>
  <si>
    <t>Dusseldorf, Germany: Moenchengladbach</t>
  </si>
  <si>
    <t>Montgomery, AL: Montgomery Regional</t>
  </si>
  <si>
    <t>MGN</t>
  </si>
  <si>
    <t>Magangue, Colombia: Magangue Airport</t>
  </si>
  <si>
    <t>MGQ</t>
  </si>
  <si>
    <t>Mogadishu, Somalia: Aden Adde International</t>
  </si>
  <si>
    <t>MGR</t>
  </si>
  <si>
    <t>Moultrie/Thomasville, GA: Moultrie/Thomasville Airport</t>
  </si>
  <si>
    <t>MGS</t>
  </si>
  <si>
    <t>Mangaia, Cook Islands: Mangaia Cook Island</t>
  </si>
  <si>
    <t>MGW</t>
  </si>
  <si>
    <t>Morgantown, WV: Morgantown Municipal-Walter L. Bill Hart Field</t>
  </si>
  <si>
    <t>MGY</t>
  </si>
  <si>
    <t>Dayton, OH: Dayton-Wright Brothers</t>
  </si>
  <si>
    <t>MHA</t>
  </si>
  <si>
    <t>Mahdia, Guyana: Mahdia Airport</t>
  </si>
  <si>
    <t>MHC</t>
  </si>
  <si>
    <t>Dalcahue, Chile: Mocopulli</t>
  </si>
  <si>
    <t>MHD</t>
  </si>
  <si>
    <t>Mashhad, Iran: Shahid Hashemi Nejad International</t>
  </si>
  <si>
    <t>MHE</t>
  </si>
  <si>
    <t>Mitchell, SD: Mitchell Municipal</t>
  </si>
  <si>
    <t>MHG</t>
  </si>
  <si>
    <t>Mannheim, Germany: Mannheim City</t>
  </si>
  <si>
    <t>MHH</t>
  </si>
  <si>
    <t>Marsh Harbour, The Bahamas: Leonard M Thompson International</t>
  </si>
  <si>
    <t>Manhattan/Ft. Riley, KS: Manhattan Regional</t>
  </si>
  <si>
    <t>MHL</t>
  </si>
  <si>
    <t>Marshall, MO: Marshall Memorial Municipal</t>
  </si>
  <si>
    <t>MHM</t>
  </si>
  <si>
    <t>Minchumina, AK: Minchumina Airport</t>
  </si>
  <si>
    <t>MHO</t>
  </si>
  <si>
    <t>Mount House, Australia: Mount House Airport</t>
  </si>
  <si>
    <t>MHQ</t>
  </si>
  <si>
    <t>Mariehamn, Finland: Mariehamn Airport</t>
  </si>
  <si>
    <t>MHR</t>
  </si>
  <si>
    <t>Sacramento, CA: Sacramento Mather</t>
  </si>
  <si>
    <t>Manchester, NH: Manchester-Boston Regional</t>
  </si>
  <si>
    <t>MHV</t>
  </si>
  <si>
    <t>Mojave, CA: Mojave Air and Space Port</t>
  </si>
  <si>
    <t>MHZ</t>
  </si>
  <si>
    <t>Mildenhall, United Kingdom: Mildenhall Airport</t>
  </si>
  <si>
    <t>MI1</t>
  </si>
  <si>
    <t>Greenville, MI: Greenville Municipal</t>
  </si>
  <si>
    <t>MI2</t>
  </si>
  <si>
    <t>Holland, MI: West Michigan Regional</t>
  </si>
  <si>
    <t>MI3</t>
  </si>
  <si>
    <t>Howell, MI: Livingston County Spencer J. Hardy</t>
  </si>
  <si>
    <t>MI4</t>
  </si>
  <si>
    <t>Frankfort, MI: Frankfort Dow Memorial Field</t>
  </si>
  <si>
    <t>MI5</t>
  </si>
  <si>
    <t>Boyne Falls, MI: Boyne Mountain</t>
  </si>
  <si>
    <t>MI6</t>
  </si>
  <si>
    <t>Dowagiac, MI: Dowagiac Municipal</t>
  </si>
  <si>
    <t>MI7</t>
  </si>
  <si>
    <t>South Haven, MI: South Haven Area Regional</t>
  </si>
  <si>
    <t>Miami, FL: Miami International</t>
  </si>
  <si>
    <t>MIB</t>
  </si>
  <si>
    <t>Minot, ND: Minot AFB</t>
  </si>
  <si>
    <t>MIC</t>
  </si>
  <si>
    <t>Minneapolis, MN: Crystal</t>
  </si>
  <si>
    <t>MID</t>
  </si>
  <si>
    <t>Merida, Mexico: Licenciado Manuel Crescencio Rejon International</t>
  </si>
  <si>
    <t>MIE</t>
  </si>
  <si>
    <t>Muncie/Anderson/Newcastle, IN: Delaware County Regional</t>
  </si>
  <si>
    <t>MII</t>
  </si>
  <si>
    <t>Marilia, Brazil: Marilia Airport</t>
  </si>
  <si>
    <t>MIJ</t>
  </si>
  <si>
    <t>Mili, Marshall Islands: Mili Airport</t>
  </si>
  <si>
    <t>MIK</t>
  </si>
  <si>
    <t>Mikkeli, Finland: Mikkeli Airport</t>
  </si>
  <si>
    <t>MIL</t>
  </si>
  <si>
    <t>Milan, Italy: Milan Metropolitan Area</t>
  </si>
  <si>
    <t>MIM</t>
  </si>
  <si>
    <t>Merimbula, Australia: Merimbula Airport</t>
  </si>
  <si>
    <t>MIN</t>
  </si>
  <si>
    <t>Minnipa, Australia: Minnipa Airport</t>
  </si>
  <si>
    <t>MIO</t>
  </si>
  <si>
    <t>Miami, OK: Miami Regional</t>
  </si>
  <si>
    <t>MIP</t>
  </si>
  <si>
    <t>Mitspeh Ramon, Israel: Har Arikha</t>
  </si>
  <si>
    <t>MIQ</t>
  </si>
  <si>
    <t>Omaha, NE: Millard</t>
  </si>
  <si>
    <t>MIR</t>
  </si>
  <si>
    <t>Monastir, Tunisia: Habib Bourguiba International</t>
  </si>
  <si>
    <t>MIS</t>
  </si>
  <si>
    <t>Misima Island, Papua New Guinea: Misima</t>
  </si>
  <si>
    <t>MIT</t>
  </si>
  <si>
    <t>Shafter, CA: Shafter - Minter Field</t>
  </si>
  <si>
    <t>MIU</t>
  </si>
  <si>
    <t>Maiduguri, Nigeria: Maiduguri Airport</t>
  </si>
  <si>
    <t>MIV</t>
  </si>
  <si>
    <t>Millville, NJ: Millville Municipal</t>
  </si>
  <si>
    <t>MIW</t>
  </si>
  <si>
    <t>Marshalltown, IA: Marshalltown Municipal</t>
  </si>
  <si>
    <t>MIX</t>
  </si>
  <si>
    <t>Miriti, Colombia: Miriti Pirana</t>
  </si>
  <si>
    <t>MIZ</t>
  </si>
  <si>
    <t>Mainoru, Australia: Mainoru Airport</t>
  </si>
  <si>
    <t>MJA</t>
  </si>
  <si>
    <t>Manja, Madagascar: Manja Airport</t>
  </si>
  <si>
    <t>MJB</t>
  </si>
  <si>
    <t>Mejit Island, Marshall Islands: Mejit</t>
  </si>
  <si>
    <t>MJC</t>
  </si>
  <si>
    <t>Man, Cote d'Ivoire: Man Airport</t>
  </si>
  <si>
    <t>MJD</t>
  </si>
  <si>
    <t>Moenjodaro, Pakistan: Moenjodaro Airport</t>
  </si>
  <si>
    <t>MJF</t>
  </si>
  <si>
    <t>Mosjoen, Norway: Kjaerstad</t>
  </si>
  <si>
    <t>MJG</t>
  </si>
  <si>
    <t>Mayajigua, Cuba: Mayajigua Airport</t>
  </si>
  <si>
    <t>MJI</t>
  </si>
  <si>
    <t>Mitiga, Libya: Mitiga International</t>
  </si>
  <si>
    <t>MJL</t>
  </si>
  <si>
    <t>Mouila, Gabon: Mouila Airport</t>
  </si>
  <si>
    <t>MJM</t>
  </si>
  <si>
    <t>Mbuji-Mayi, Congo (Kinshasa): Mbuji Mayi</t>
  </si>
  <si>
    <t>MJN</t>
  </si>
  <si>
    <t>Majunga, Madagascar: Philibert Tsiranana</t>
  </si>
  <si>
    <t>MJQ</t>
  </si>
  <si>
    <t>Jackson, MN: Jackson Airport</t>
  </si>
  <si>
    <t>MJT</t>
  </si>
  <si>
    <t>Mytilene, Greece: Mitilini</t>
  </si>
  <si>
    <t>MJV</t>
  </si>
  <si>
    <t>Murcia, Spain: Murcia San Javier</t>
  </si>
  <si>
    <t>MJX</t>
  </si>
  <si>
    <t>Toms River, NJ: Ocean County</t>
  </si>
  <si>
    <t>MJZ</t>
  </si>
  <si>
    <t>Mirny, Russia: Mirny Airport</t>
  </si>
  <si>
    <t>MKA</t>
  </si>
  <si>
    <t>Marianske Lazne, Czech Republic: Marianske Lazne Airport</t>
  </si>
  <si>
    <t>MKC</t>
  </si>
  <si>
    <t>Kansas City, MO: Charles B. Wheeler Downtown</t>
  </si>
  <si>
    <t>Milwaukee, WI: General Mitchell International</t>
  </si>
  <si>
    <t>Muskegon, MI: Muskegon County</t>
  </si>
  <si>
    <t>MKI</t>
  </si>
  <si>
    <t>Obo Mboki, Central African Republic: Obo Mboki Airport</t>
  </si>
  <si>
    <t>MKJ</t>
  </si>
  <si>
    <t>Makoua, Congo (Brazaville): Makoua Airport</t>
  </si>
  <si>
    <t>Hoolehua, HI: Molokai</t>
  </si>
  <si>
    <t>MKL</t>
  </si>
  <si>
    <t>Jackson, TN: McKellar-Sipes Regional</t>
  </si>
  <si>
    <t>MKM</t>
  </si>
  <si>
    <t>Mukah, Malaysia: Mukah Airport</t>
  </si>
  <si>
    <t>MKN</t>
  </si>
  <si>
    <t>Comanche, TX: Comanche County City</t>
  </si>
  <si>
    <t>MKO</t>
  </si>
  <si>
    <t>Muskogee, OK: Muskogee Davis Regional</t>
  </si>
  <si>
    <t>MKP</t>
  </si>
  <si>
    <t>Makemo, French Polynesia: Makemo Airport</t>
  </si>
  <si>
    <t>MKR</t>
  </si>
  <si>
    <t>Meekatharra, Australia: Meekatharra Airport</t>
  </si>
  <si>
    <t>MKS</t>
  </si>
  <si>
    <t>Mekane Selam, Ethiopia: Mekane Selam Airport</t>
  </si>
  <si>
    <t>MKT</t>
  </si>
  <si>
    <t>Mankato, MN: Mankato Regional</t>
  </si>
  <si>
    <t>MKU</t>
  </si>
  <si>
    <t>Makokou, Gabon: Makokou Airport</t>
  </si>
  <si>
    <t>MKW</t>
  </si>
  <si>
    <t>Manokwari, Indonesia: Rendani</t>
  </si>
  <si>
    <t>MKY</t>
  </si>
  <si>
    <t>Mackay, Australia: Mackay Airport</t>
  </si>
  <si>
    <t>MKZ</t>
  </si>
  <si>
    <t>Malacca, Malaysia: Malacca Airport</t>
  </si>
  <si>
    <t>MLA</t>
  </si>
  <si>
    <t>Malta, Malta: Luqa International</t>
  </si>
  <si>
    <t>Melbourne, FL: Melbourne International</t>
  </si>
  <si>
    <t>MLC</t>
  </si>
  <si>
    <t>McAlester, OK: McAlester Regional</t>
  </si>
  <si>
    <t>MLD</t>
  </si>
  <si>
    <t>Malad City, ID: Malad City Airport</t>
  </si>
  <si>
    <t>MLE</t>
  </si>
  <si>
    <t>Male, Maldives: Velana International</t>
  </si>
  <si>
    <t>MLF</t>
  </si>
  <si>
    <t>Milford, UT: Milford Municipal/Ben and Judy Briscoe Field</t>
  </si>
  <si>
    <t>MLG</t>
  </si>
  <si>
    <t>Malang, Indonesia: Abdul Rachman Saleh</t>
  </si>
  <si>
    <t>MLH</t>
  </si>
  <si>
    <t>Moline, IL: Quad City International</t>
  </si>
  <si>
    <t>MLK</t>
  </si>
  <si>
    <t>Malta, MT: Malta Airport</t>
  </si>
  <si>
    <t>MLL</t>
  </si>
  <si>
    <t>Marshall, AK: Marshall Don Hunter Sr.</t>
  </si>
  <si>
    <t>MLM</t>
  </si>
  <si>
    <t>Morelia, Mexico: General Francisco J. Mujica International</t>
  </si>
  <si>
    <t>MLN</t>
  </si>
  <si>
    <t>Melilla, Spain: Melilla Airport</t>
  </si>
  <si>
    <t>MLO</t>
  </si>
  <si>
    <t>Milos, Greece: Milos Airport</t>
  </si>
  <si>
    <t>MLP</t>
  </si>
  <si>
    <t>Malabang, Philippines: Malabang Airport</t>
  </si>
  <si>
    <t>MLQ</t>
  </si>
  <si>
    <t>Malalaua, Papua New Guinea: Malalaua Airport</t>
  </si>
  <si>
    <t>MLS</t>
  </si>
  <si>
    <t>Miles City, MT: Frank Wiley Field</t>
  </si>
  <si>
    <t>MLT</t>
  </si>
  <si>
    <t>Millinocket, ME: Millinocket Municipal</t>
  </si>
  <si>
    <t>Monroe, LA: Monroe Regional</t>
  </si>
  <si>
    <t>MLV</t>
  </si>
  <si>
    <t>Merluna, Australia: Merluna Airport</t>
  </si>
  <si>
    <t>MLW</t>
  </si>
  <si>
    <t>Monrovia, Liberia: Monrovia Spriggs Payne</t>
  </si>
  <si>
    <t>MLX</t>
  </si>
  <si>
    <t>Malatya, Turkey: Malatya Airport</t>
  </si>
  <si>
    <t>MLY</t>
  </si>
  <si>
    <t>Manley Hot Springs, AK: Manley Hot Springs Airport</t>
  </si>
  <si>
    <t>MLZ</t>
  </si>
  <si>
    <t>Melo, Uruguay: Melo Airport</t>
  </si>
  <si>
    <t>MMA</t>
  </si>
  <si>
    <t>Malmo, Sweden: Malmo Metropolitan Area</t>
  </si>
  <si>
    <t>MMB</t>
  </si>
  <si>
    <t>Memanbetsu, Japan: Memanbetsu Airport</t>
  </si>
  <si>
    <t>MMC</t>
  </si>
  <si>
    <t>Ciudad Mante, Mexico: Cuauhtemoc</t>
  </si>
  <si>
    <t>MMD</t>
  </si>
  <si>
    <t>Minami Daito, Japan: Minami Daito Airport</t>
  </si>
  <si>
    <t>MME</t>
  </si>
  <si>
    <t>Darlington, United Kingdom: Durham Tees Valley</t>
  </si>
  <si>
    <t>Mammoth Lakes, CA: Mammoth Lakes Airport</t>
  </si>
  <si>
    <t>MMI</t>
  </si>
  <si>
    <t>Athens, TN: McMinn County</t>
  </si>
  <si>
    <t>MMJ</t>
  </si>
  <si>
    <t>Matsumoto, Japan: Matsumoto Airport</t>
  </si>
  <si>
    <t>MMK</t>
  </si>
  <si>
    <t>Murmansk, Russia: Murmansk Airport</t>
  </si>
  <si>
    <t>MML</t>
  </si>
  <si>
    <t>Marshall, MN: Southwest Minnesota Regional-Marshall/Ryan Field</t>
  </si>
  <si>
    <t>MMM</t>
  </si>
  <si>
    <t>Middlemount, Australia: Middlemount Airport</t>
  </si>
  <si>
    <t>MMN</t>
  </si>
  <si>
    <t>Stow, MA: Minute Man Air Field</t>
  </si>
  <si>
    <t>MMP</t>
  </si>
  <si>
    <t>Mompos, Colombia: Mompos Airport</t>
  </si>
  <si>
    <t>MMQ</t>
  </si>
  <si>
    <t>Mbala, Zambia: Mbala Airport</t>
  </si>
  <si>
    <t>MMT</t>
  </si>
  <si>
    <t>Columbia, SC: McEntire Jngb</t>
  </si>
  <si>
    <t>MMU</t>
  </si>
  <si>
    <t>Morristown, NJ: Morristown Municipal</t>
  </si>
  <si>
    <t>MMX</t>
  </si>
  <si>
    <t>Malmo, Sweden: Malmo Airport</t>
  </si>
  <si>
    <t>MMY</t>
  </si>
  <si>
    <t>Miyakojima, Japan: Miyako</t>
  </si>
  <si>
    <t>MN1</t>
  </si>
  <si>
    <t>Fosston, MN: Fosston Municipal Anderson Field</t>
  </si>
  <si>
    <t>MN2</t>
  </si>
  <si>
    <t>Moose Lake, MN: Moose Lake Carlton County</t>
  </si>
  <si>
    <t>MN3</t>
  </si>
  <si>
    <t>Ortonville, MN: Ortonville Municipal-Martinson Field</t>
  </si>
  <si>
    <t>MN4</t>
  </si>
  <si>
    <t>Wadena, MN: Wadena Municipal</t>
  </si>
  <si>
    <t>MN5</t>
  </si>
  <si>
    <t>Red Wing, MN: Red Wing Regional</t>
  </si>
  <si>
    <t>MN6</t>
  </si>
  <si>
    <t>Hallock, MN: Hallock Municipal</t>
  </si>
  <si>
    <t>MN7</t>
  </si>
  <si>
    <t>Minneapolis, MN: Anoka County Blaine</t>
  </si>
  <si>
    <t>MNB</t>
  </si>
  <si>
    <t>Moanda, Congo (Kinshasa): Muanda</t>
  </si>
  <si>
    <t>MNC</t>
  </si>
  <si>
    <t>Nacala, Mozambique: Nacala International</t>
  </si>
  <si>
    <t>MNH</t>
  </si>
  <si>
    <t>Musanaa, Oman: Rustaq</t>
  </si>
  <si>
    <t>MNI</t>
  </si>
  <si>
    <t>Montserrat, Montserrat: John A Osborne</t>
  </si>
  <si>
    <t>MNK</t>
  </si>
  <si>
    <t>Maiana, Kiribati: Maiana Airport</t>
  </si>
  <si>
    <t>MNL</t>
  </si>
  <si>
    <t>Manila, Philippines: Ninoy Aquino International</t>
  </si>
  <si>
    <t>MNM</t>
  </si>
  <si>
    <t>Marinette, MI: Menominee Regional</t>
  </si>
  <si>
    <t>MNN</t>
  </si>
  <si>
    <t>Marion, OH: Marion Municipal</t>
  </si>
  <si>
    <t>MNO</t>
  </si>
  <si>
    <t>Manono, Congo (Kinshasa): Manono Airport</t>
  </si>
  <si>
    <t>MNQ</t>
  </si>
  <si>
    <t>Tosontsengel, Mongolia: Tosontsengel</t>
  </si>
  <si>
    <t>MNR</t>
  </si>
  <si>
    <t>Mongu, Zambia: Mongu Airport</t>
  </si>
  <si>
    <t>MNS</t>
  </si>
  <si>
    <t>Mansa, Zambia: Mansa Airport</t>
  </si>
  <si>
    <t>MNT</t>
  </si>
  <si>
    <t>Minto, AK: Minto Al Wright</t>
  </si>
  <si>
    <t>MNU</t>
  </si>
  <si>
    <t>Mawlamyine, Burma: Mawlamyine Airport</t>
  </si>
  <si>
    <t>MNX</t>
  </si>
  <si>
    <t>Manicore, Brazil: Manicore Airport</t>
  </si>
  <si>
    <t>MNZ</t>
  </si>
  <si>
    <t>Manassas, VA: Manassas Regional/Harry P. Davis Field</t>
  </si>
  <si>
    <t>MO1</t>
  </si>
  <si>
    <t>Mosby, MO: Midwest National Air Center</t>
  </si>
  <si>
    <t>MO2</t>
  </si>
  <si>
    <t>Washington, MO: Washington Regional</t>
  </si>
  <si>
    <t>MO3</t>
  </si>
  <si>
    <t>Richland, MO: Richland Municipal</t>
  </si>
  <si>
    <t>MO4</t>
  </si>
  <si>
    <t>Clinton, MO: Clinton Regional</t>
  </si>
  <si>
    <t>MO5</t>
  </si>
  <si>
    <t>Brookfield, MO: North Central Missouri Regional</t>
  </si>
  <si>
    <t>MOA</t>
  </si>
  <si>
    <t>Moa, Cuba: Orestes Acosta</t>
  </si>
  <si>
    <t>Mobile, AL: Mobile Regional</t>
  </si>
  <si>
    <t>MOC</t>
  </si>
  <si>
    <t>Montes Claros, Brazil: Mario Ribeiro</t>
  </si>
  <si>
    <t>MOD</t>
  </si>
  <si>
    <t>Modesto, CA: Modesto City-County-Harry Sham Field</t>
  </si>
  <si>
    <t>MOG</t>
  </si>
  <si>
    <t>Mong Hsat, Burma: Mong Hsat Airport</t>
  </si>
  <si>
    <t>MOL</t>
  </si>
  <si>
    <t>Molde, Norway: Aro</t>
  </si>
  <si>
    <t>MOM</t>
  </si>
  <si>
    <t>Moudjeria, Mauritania: Moudjeria Ledfotar</t>
  </si>
  <si>
    <t>MON</t>
  </si>
  <si>
    <t>Mount Cook, New Zealand: Mount Cook Airport</t>
  </si>
  <si>
    <t>MOP</t>
  </si>
  <si>
    <t>Mount Pleasant, MI: Mount Pleasant Municipal</t>
  </si>
  <si>
    <t>MOQ</t>
  </si>
  <si>
    <t>Morondava, Madagascar: Morondava Airport</t>
  </si>
  <si>
    <t>MOR</t>
  </si>
  <si>
    <t>Morristown, TN: Moore-Murrell</t>
  </si>
  <si>
    <t>MOS</t>
  </si>
  <si>
    <t>Moses Point, AK: Moses Point Airport</t>
  </si>
  <si>
    <t>Minot, ND: Minot International</t>
  </si>
  <si>
    <t>MOU</t>
  </si>
  <si>
    <t>Mountain Village, AK: Mountain Village Airport</t>
  </si>
  <si>
    <t>MOV</t>
  </si>
  <si>
    <t>Moranbah, Australia: Moranbah Airport</t>
  </si>
  <si>
    <t>MOW</t>
  </si>
  <si>
    <t>Moscow, Russia: Moscow Metropolitan Area</t>
  </si>
  <si>
    <t>MOY</t>
  </si>
  <si>
    <t>Monterrey, Colombia: Monterrey Airport</t>
  </si>
  <si>
    <t>MOZ</t>
  </si>
  <si>
    <t>Moorea Island, French Polynesia: Temae</t>
  </si>
  <si>
    <t>MPB</t>
  </si>
  <si>
    <t>Miami, FL: Watson Island International</t>
  </si>
  <si>
    <t>MPE</t>
  </si>
  <si>
    <t>Madison, CT: Griswold</t>
  </si>
  <si>
    <t>MPI</t>
  </si>
  <si>
    <t>Mamitupo, Panama: Mamitupo Airport</t>
  </si>
  <si>
    <t>MPJ</t>
  </si>
  <si>
    <t>Morrilton, AR: Petit Jean Park</t>
  </si>
  <si>
    <t>MPK</t>
  </si>
  <si>
    <t>Mokpo, South Korea: Mokpo Airport</t>
  </si>
  <si>
    <t>MPL</t>
  </si>
  <si>
    <t>Montpellier, France: Montpellier Mediterranee</t>
  </si>
  <si>
    <t>MPM</t>
  </si>
  <si>
    <t>Maputo, Mozambique: Maputo Airport</t>
  </si>
  <si>
    <t>MPN</t>
  </si>
  <si>
    <t>Mount Pleasant, Falkland Islands (Islas Malvinas): Mount Pleasant Airport</t>
  </si>
  <si>
    <t>MPO</t>
  </si>
  <si>
    <t>Mt. Pocono, PA: Pocono Mountains Municipal</t>
  </si>
  <si>
    <t>MPR</t>
  </si>
  <si>
    <t>McPherson, KS: McPherson Airport</t>
  </si>
  <si>
    <t>MPS</t>
  </si>
  <si>
    <t>Mount Pleasant, TX: Mount Pleasant Municipal</t>
  </si>
  <si>
    <t>MPT</t>
  </si>
  <si>
    <t>Maliana, Timor-Leste: Maliana Airport</t>
  </si>
  <si>
    <t>MPV</t>
  </si>
  <si>
    <t>Montpelier/Barre, VT: Edward F Knapp State</t>
  </si>
  <si>
    <t>MPX</t>
  </si>
  <si>
    <t>Miyanmin, Papua New Guinea: Miyanmin Airport</t>
  </si>
  <si>
    <t>MQB</t>
  </si>
  <si>
    <t>Macomb, IL: Macomb Municipal</t>
  </si>
  <si>
    <t>MQI</t>
  </si>
  <si>
    <t>Quincy, MA: Quincy Airport</t>
  </si>
  <si>
    <t>MQJ</t>
  </si>
  <si>
    <t>Indianapolis, IN: Indianapolis Regional</t>
  </si>
  <si>
    <t>MQL</t>
  </si>
  <si>
    <t>Mildura, Australia: Mildura Airport</t>
  </si>
  <si>
    <t>MQM</t>
  </si>
  <si>
    <t>Mardin, Turkey: Mardin Airport</t>
  </si>
  <si>
    <t>MQN</t>
  </si>
  <si>
    <t>Mo I Rana, Norway: Rossvoll</t>
  </si>
  <si>
    <t>MQP</t>
  </si>
  <si>
    <t>Nelspruit, South Africa: Kruger Mpumalanga International</t>
  </si>
  <si>
    <t>MQQ</t>
  </si>
  <si>
    <t>Moundou, Chad: Moundou Airport</t>
  </si>
  <si>
    <t>MQS</t>
  </si>
  <si>
    <t>Mustique, Saint Vincent and the Grenadines: Mustique Airport</t>
  </si>
  <si>
    <t>Marquette, MI: Sawyer International</t>
  </si>
  <si>
    <t>MQX</t>
  </si>
  <si>
    <t>Mek'ele, Ethiopia: Mek'ele Airport</t>
  </si>
  <si>
    <t>MQY</t>
  </si>
  <si>
    <t>Smyrna, TN: Smyrna Airport</t>
  </si>
  <si>
    <t>MRA</t>
  </si>
  <si>
    <t>Misurata, Libya: Misrata International</t>
  </si>
  <si>
    <t>MRB</t>
  </si>
  <si>
    <t>Martinsburg, WV: Eastern WV Regional/Shepherd Field</t>
  </si>
  <si>
    <t>MRC</t>
  </si>
  <si>
    <t>Columbia, TN: Maury County</t>
  </si>
  <si>
    <t>MRD</t>
  </si>
  <si>
    <t>Merida, Venezuela: Alberto Carnevalli</t>
  </si>
  <si>
    <t>MRF</t>
  </si>
  <si>
    <t>Marfa, TX: Marfa Municipal</t>
  </si>
  <si>
    <t>MRH</t>
  </si>
  <si>
    <t>Morehead City, NC: Beaufort Morehead City</t>
  </si>
  <si>
    <t>MRI</t>
  </si>
  <si>
    <t>Anchorage, AK: Merrill Field</t>
  </si>
  <si>
    <t>MRK</t>
  </si>
  <si>
    <t>Marco Island, FL: Marco Island Executive</t>
  </si>
  <si>
    <t>MRN</t>
  </si>
  <si>
    <t>Morganton, NC: Morganton Lenoir</t>
  </si>
  <si>
    <t>MRO</t>
  </si>
  <si>
    <t>Masterton, New Zealand: Masterton Airport</t>
  </si>
  <si>
    <t>MRQ</t>
  </si>
  <si>
    <t>Marinduque, Philippines: Marinduque Airport</t>
  </si>
  <si>
    <t>MRS</t>
  </si>
  <si>
    <t>Marseille, France: Marseille Provence</t>
  </si>
  <si>
    <t>MRU</t>
  </si>
  <si>
    <t>Mauritius Island, Mauritius: Sir Seewoosagur Ramgoolam International</t>
  </si>
  <si>
    <t>MRV</t>
  </si>
  <si>
    <t>Mineralnyye Vody, Russia: Mineralnyye Vody Airport</t>
  </si>
  <si>
    <t>MRX</t>
  </si>
  <si>
    <t>Margarita Island, Venezuela: Del Caribe International</t>
  </si>
  <si>
    <t>Monterey, CA: Monterey Regional</t>
  </si>
  <si>
    <t>MRZ</t>
  </si>
  <si>
    <t>Moree, Australia: Moree Airport</t>
  </si>
  <si>
    <t>MS1</t>
  </si>
  <si>
    <t>Grenada, MS: Grenada Municipal</t>
  </si>
  <si>
    <t>MS2</t>
  </si>
  <si>
    <t>Picayune, MS: Picayune Municipal</t>
  </si>
  <si>
    <t>MS3</t>
  </si>
  <si>
    <t>Philadelphia, MS: Philadelphia Municipal</t>
  </si>
  <si>
    <t>MS4</t>
  </si>
  <si>
    <t>Batesville, MS: Panola County</t>
  </si>
  <si>
    <t>MS5</t>
  </si>
  <si>
    <t>Cleveland, MS: Cleveland Municipal</t>
  </si>
  <si>
    <t>MSA</t>
  </si>
  <si>
    <t>Muskrat Dam, Canada: Muskrat Dam Airport</t>
  </si>
  <si>
    <t>MSC</t>
  </si>
  <si>
    <t>Mesa, AZ: Falcon Field</t>
  </si>
  <si>
    <t>MSE</t>
  </si>
  <si>
    <t>Manston, United Kingdom: Manston Airport</t>
  </si>
  <si>
    <t>MSH</t>
  </si>
  <si>
    <t>Masirah, Oman: Masirah Airport</t>
  </si>
  <si>
    <t>MSJ</t>
  </si>
  <si>
    <t>Misawa, Japan: Misawa AB</t>
  </si>
  <si>
    <t>MSL</t>
  </si>
  <si>
    <t>Muscle Shoals, AL: Northwest Alabama Regional</t>
  </si>
  <si>
    <t>Madison, WI: Dane County Regional-Truax Field</t>
  </si>
  <si>
    <t>Missoula, MT: Missoula International</t>
  </si>
  <si>
    <t>Minneapolis, MN: Minneapolis-St Paul International</t>
  </si>
  <si>
    <t>MSQ</t>
  </si>
  <si>
    <t>Minsk, Belarus: Minsk 2</t>
  </si>
  <si>
    <t>MSR</t>
  </si>
  <si>
    <t>Greven, West Germany: Munster/Osnabruck International</t>
  </si>
  <si>
    <t>MSS</t>
  </si>
  <si>
    <t>Massena, NY: Massena International-Richards Field</t>
  </si>
  <si>
    <t>MST</t>
  </si>
  <si>
    <t>Maastricht, Netherlands: Maastricht Aachen</t>
  </si>
  <si>
    <t>MSU</t>
  </si>
  <si>
    <t>Maseru, Lesotho: Moshoeshoe I International</t>
  </si>
  <si>
    <t>MSV</t>
  </si>
  <si>
    <t>Monticello, NY: Sullivan County International</t>
  </si>
  <si>
    <t>MSW</t>
  </si>
  <si>
    <t>Massawa, Eritrea: Massawa International</t>
  </si>
  <si>
    <t>New Orleans, LA: Louis Armstrong New Orleans International</t>
  </si>
  <si>
    <t>MSZ</t>
  </si>
  <si>
    <t>Namibe, Angola: Yuri Gagarin</t>
  </si>
  <si>
    <t>MT1</t>
  </si>
  <si>
    <t>Colstrip, MT: Colstrip Airport</t>
  </si>
  <si>
    <t>MT2</t>
  </si>
  <si>
    <t>MT3</t>
  </si>
  <si>
    <t>Ennis, MT: Ennis Big Sky</t>
  </si>
  <si>
    <t>MTC</t>
  </si>
  <si>
    <t>Mt. Clemens, MI: Selfridge Angb</t>
  </si>
  <si>
    <t>MTD</t>
  </si>
  <si>
    <t>Mt. Sandford, Australia: Mount Sanford Station</t>
  </si>
  <si>
    <t>MTE</t>
  </si>
  <si>
    <t>Monte Alegre, Brazil: Monte Alegre Airport</t>
  </si>
  <si>
    <t>MTH</t>
  </si>
  <si>
    <t>Marathon, FL: The Florida Keys Marathon International</t>
  </si>
  <si>
    <t>Montrose/Delta, CO: Montrose Regional</t>
  </si>
  <si>
    <t>MTL</t>
  </si>
  <si>
    <t>Maitland, Australia: Maitland Airport</t>
  </si>
  <si>
    <t>MTM</t>
  </si>
  <si>
    <t>Metlakatla, AK: Metlakatala</t>
  </si>
  <si>
    <t>MTN</t>
  </si>
  <si>
    <t>Baltimore, MD: Martin State</t>
  </si>
  <si>
    <t>MTO</t>
  </si>
  <si>
    <t>Mattoon/Charleston, IL: Coles County Memorial</t>
  </si>
  <si>
    <t>MTP</t>
  </si>
  <si>
    <t>Montauk Point, NY: Sky Portal</t>
  </si>
  <si>
    <t>MTR</t>
  </si>
  <si>
    <t>Monteria, Colombia: Los Garzones</t>
  </si>
  <si>
    <t>MTS</t>
  </si>
  <si>
    <t>Manzini, Swaziland: Matsapha</t>
  </si>
  <si>
    <t>MTT</t>
  </si>
  <si>
    <t>Minatitlan, Mexico: Minatitlan Airport</t>
  </si>
  <si>
    <t>MTV</t>
  </si>
  <si>
    <t>Mota Lava, Vanuatu: Mota Lava Airport</t>
  </si>
  <si>
    <t>MTW</t>
  </si>
  <si>
    <t>Manitowoc, WI: Manitowoc County</t>
  </si>
  <si>
    <t>MTX</t>
  </si>
  <si>
    <t>Fairbanks, AK: Metro Field</t>
  </si>
  <si>
    <t>MTY</t>
  </si>
  <si>
    <t>Monterrey, Mexico: General Mariano Escobedo International</t>
  </si>
  <si>
    <t>MTZ</t>
  </si>
  <si>
    <t>Masada, Israel: Israel Bar Yehuda</t>
  </si>
  <si>
    <t>MUA</t>
  </si>
  <si>
    <t>Munda, Solomon Islands: Munda Airport</t>
  </si>
  <si>
    <t>MUB</t>
  </si>
  <si>
    <t>Maun, Botswana: Maun Airport</t>
  </si>
  <si>
    <t>MUC</t>
  </si>
  <si>
    <t>Munich, Germany: Muenchen</t>
  </si>
  <si>
    <t>MUE</t>
  </si>
  <si>
    <t>Kamuela, HI: Waimea-Kohala</t>
  </si>
  <si>
    <t>MUG</t>
  </si>
  <si>
    <t>Mulege, Mexico: Mulege Airport</t>
  </si>
  <si>
    <t>MUH</t>
  </si>
  <si>
    <t>Mersa Matruh, Egypt: Mersa Matruh Airport</t>
  </si>
  <si>
    <t>MUL</t>
  </si>
  <si>
    <t>Moultrie, GA: Spence</t>
  </si>
  <si>
    <t>MUN</t>
  </si>
  <si>
    <t>Maturin, Venezuela: Jose Tadeo Monagas International</t>
  </si>
  <si>
    <t>MUO</t>
  </si>
  <si>
    <t>Mountain Home, ID: Mountain Home AFB</t>
  </si>
  <si>
    <t>MUR</t>
  </si>
  <si>
    <t>Marudi, Malaysia: Marudi Airport</t>
  </si>
  <si>
    <t>MUT</t>
  </si>
  <si>
    <t>Muscatine, IA: Muscatine Municipal</t>
  </si>
  <si>
    <t>MUX</t>
  </si>
  <si>
    <t>Multan, Pakistan: Multan International</t>
  </si>
  <si>
    <t>MUZ</t>
  </si>
  <si>
    <t>Musoma, Tanzania: Musoma Airport</t>
  </si>
  <si>
    <t>MVB</t>
  </si>
  <si>
    <t>Mvengue, Gabon: Mvengue Airport</t>
  </si>
  <si>
    <t>MVC</t>
  </si>
  <si>
    <t>Monroeville, AL: Monroe County Aeroplex</t>
  </si>
  <si>
    <t>MVD</t>
  </si>
  <si>
    <t>Montevideo, Uruguay: Carrasco International</t>
  </si>
  <si>
    <t>MVF</t>
  </si>
  <si>
    <t>Mossoro, Brazil: Dixsept Rosado</t>
  </si>
  <si>
    <t>MVJ</t>
  </si>
  <si>
    <t>Mandeville, Jamaica: Marlboro</t>
  </si>
  <si>
    <t>MVL</t>
  </si>
  <si>
    <t>Morrisville, VT: Morrisville Stowe State</t>
  </si>
  <si>
    <t>MVM</t>
  </si>
  <si>
    <t>Kayenta, AZ: Kayenta Airport</t>
  </si>
  <si>
    <t>MVN</t>
  </si>
  <si>
    <t>Mount Vernon, IL: Mount Vernon Airport</t>
  </si>
  <si>
    <t>MVR</t>
  </si>
  <si>
    <t>Maroua, Cameroon: Salak</t>
  </si>
  <si>
    <t>MVW</t>
  </si>
  <si>
    <t>Burlington/Mount Vernon, WA: Skagit Regional</t>
  </si>
  <si>
    <t>Martha's Vineyard, MA: Martha's Vineyard Airport</t>
  </si>
  <si>
    <t>MVZ</t>
  </si>
  <si>
    <t>Masvingo, Zimbabwe: Masvingo International</t>
  </si>
  <si>
    <t>MWA</t>
  </si>
  <si>
    <t>Marion/Herrin, IL: Veterans Airport of Southern Illinois</t>
  </si>
  <si>
    <t>MWC</t>
  </si>
  <si>
    <t>Milwaukee, WI: Lawrence J Timmerman</t>
  </si>
  <si>
    <t>MWD</t>
  </si>
  <si>
    <t>Mianwali, Pakistan: Mianwali Airport</t>
  </si>
  <si>
    <t>MWH</t>
  </si>
  <si>
    <t>Moses Lake, WA: Grant County International</t>
  </si>
  <si>
    <t>MWL</t>
  </si>
  <si>
    <t>Mineral Wells, TX: Mineral Wells Regional</t>
  </si>
  <si>
    <t>MWM</t>
  </si>
  <si>
    <t>Windom, MN: Windom Municipal</t>
  </si>
  <si>
    <t>MWO</t>
  </si>
  <si>
    <t>Middletown, OH: Middletown Regional/Hook Field</t>
  </si>
  <si>
    <t>MWQ</t>
  </si>
  <si>
    <t>Magwe, Burma: Magway</t>
  </si>
  <si>
    <t>MWX</t>
  </si>
  <si>
    <t>Muan, South Korea: Muan International</t>
  </si>
  <si>
    <t>MWZ</t>
  </si>
  <si>
    <t>Mwanza, Tanzania: Mwanza Airport</t>
  </si>
  <si>
    <t>MXB</t>
  </si>
  <si>
    <t>Masamba, Indonesia: Andi Jemma</t>
  </si>
  <si>
    <t>MXC</t>
  </si>
  <si>
    <t>Monticello, UT: Monticello Airport</t>
  </si>
  <si>
    <t>MXE</t>
  </si>
  <si>
    <t>Maxton, NC: Laurinburg-Maxton</t>
  </si>
  <si>
    <t>MXF</t>
  </si>
  <si>
    <t>Montgomery, AL: Maxwell AFB</t>
  </si>
  <si>
    <t>MXG</t>
  </si>
  <si>
    <t>Marlboro, MA: Marlboro Airport</t>
  </si>
  <si>
    <t>MXH</t>
  </si>
  <si>
    <t>Moro, Papua New Guinea: Moro Airport</t>
  </si>
  <si>
    <t>MXJ</t>
  </si>
  <si>
    <t>Minna, Nigeria: Minna Airport</t>
  </si>
  <si>
    <t>MXL</t>
  </si>
  <si>
    <t>Mexicali, Mexico: General Rodolfo Sanchez Taboada International</t>
  </si>
  <si>
    <t>MXP</t>
  </si>
  <si>
    <t>Milan, Italy: Malpensa</t>
  </si>
  <si>
    <t>MXS</t>
  </si>
  <si>
    <t>Maota, Samoa: Maota Airport</t>
  </si>
  <si>
    <t>MXT</t>
  </si>
  <si>
    <t>Maintirano, Madagascar: Maintirano Airport</t>
  </si>
  <si>
    <t>MXX</t>
  </si>
  <si>
    <t>Mora, Sweden: Mora Airport</t>
  </si>
  <si>
    <t>MXY</t>
  </si>
  <si>
    <t>McCarthy, AK: McCarthy Airport</t>
  </si>
  <si>
    <t>MYA</t>
  </si>
  <si>
    <t>Moruya, Australia: Moruya Airport</t>
  </si>
  <si>
    <t>MYB</t>
  </si>
  <si>
    <t>Mayumba, Gabon: Mayumba Airport</t>
  </si>
  <si>
    <t>MYC</t>
  </si>
  <si>
    <t>Maracay, Venezuela: Maracay Airport</t>
  </si>
  <si>
    <t>MYD</t>
  </si>
  <si>
    <t>Malindi, Kenya: Malindi Airport</t>
  </si>
  <si>
    <t>MYE</t>
  </si>
  <si>
    <t>Miyake Jima, Japan: Miyake Jima Airport</t>
  </si>
  <si>
    <t>MYF</t>
  </si>
  <si>
    <t>San Diego, CA: Montgomery Gibbs Executive</t>
  </si>
  <si>
    <t>MYG</t>
  </si>
  <si>
    <t>Mayaguana, The Bahamas: Mayaguana Airport</t>
  </si>
  <si>
    <t>MYH</t>
  </si>
  <si>
    <t>Marble Canyon, AZ: Cliff Dwellers</t>
  </si>
  <si>
    <t>MYJ</t>
  </si>
  <si>
    <t>Matsuyama, Japan: Matsuyama Airport</t>
  </si>
  <si>
    <t>MYK</t>
  </si>
  <si>
    <t>May Creek, AK: May Creek Airport</t>
  </si>
  <si>
    <t>MYL</t>
  </si>
  <si>
    <t>McCall, ID: McCall Municipal</t>
  </si>
  <si>
    <t>MYP</t>
  </si>
  <si>
    <t>Mary, Turkmenistan: Mary Airport</t>
  </si>
  <si>
    <t>Myrtle Beach, SC: Myrtle Beach International</t>
  </si>
  <si>
    <t>MYT</t>
  </si>
  <si>
    <t>Myitkyina, Burma: Myitkyina Airport</t>
  </si>
  <si>
    <t>MYU</t>
  </si>
  <si>
    <t>Mekoryuk, AK: Mekoryuk Airport</t>
  </si>
  <si>
    <t>MYV</t>
  </si>
  <si>
    <t>Marysville, CA: Yuba County</t>
  </si>
  <si>
    <t>MYW</t>
  </si>
  <si>
    <t>Mtwara, Tanzania: Mtwara Airport</t>
  </si>
  <si>
    <t>MYY</t>
  </si>
  <si>
    <t>Miri, Malaysia: Miri Airport</t>
  </si>
  <si>
    <t>MZB</t>
  </si>
  <si>
    <t>Mocimboa Da Praia, Mozambique: Mocimboa Da Praia Airport</t>
  </si>
  <si>
    <t>MZG</t>
  </si>
  <si>
    <t>Makung, Taiwan: Ma Kung AB</t>
  </si>
  <si>
    <t>MZI</t>
  </si>
  <si>
    <t>Mopti, Mali: Ambodedjo</t>
  </si>
  <si>
    <t>MZJ</t>
  </si>
  <si>
    <t>Marana, AZ: Pinal Airpark</t>
  </si>
  <si>
    <t>MZK</t>
  </si>
  <si>
    <t>Marakei, Kiribati: Marakei Airport</t>
  </si>
  <si>
    <t>MZL</t>
  </si>
  <si>
    <t>Manizales, Colombia: La Nubia</t>
  </si>
  <si>
    <t>MZM</t>
  </si>
  <si>
    <t>Metz, France: Metz-Nancy Metz-Frescaty</t>
  </si>
  <si>
    <t>MZN</t>
  </si>
  <si>
    <t>Minj, Papua New Guinea: Minj Airport</t>
  </si>
  <si>
    <t>MZO</t>
  </si>
  <si>
    <t>Manzanillo, Cuba: Sierra Maestra International</t>
  </si>
  <si>
    <t>MZR</t>
  </si>
  <si>
    <t>Mazar-I-Sherif, Afghanistan: Mawlana Jalaluddin Muhammad Balkhi</t>
  </si>
  <si>
    <t>MZT</t>
  </si>
  <si>
    <t>Mazatlan, Mexico: General Rafael Buelna International</t>
  </si>
  <si>
    <t>MZZ</t>
  </si>
  <si>
    <t>Marion, IN: Marion Municipal</t>
  </si>
  <si>
    <t>N1C</t>
  </si>
  <si>
    <t>Cherry Point, NC: Cherry Point MCAS</t>
  </si>
  <si>
    <t>N1E</t>
  </si>
  <si>
    <t>Dirkau, Niger: Dirkou</t>
  </si>
  <si>
    <t>N1J</t>
  </si>
  <si>
    <t>Hackettstown, NJ: Hackettstown Airport</t>
  </si>
  <si>
    <t>N1Y</t>
  </si>
  <si>
    <t>Canandaigua, NY: Canandaigua Airport</t>
  </si>
  <si>
    <t>N2C</t>
  </si>
  <si>
    <t>Monroe, NC: Charlotte Monroe Executive</t>
  </si>
  <si>
    <t>N2J</t>
  </si>
  <si>
    <t>Reading, NJ: Solberg Hunterdon</t>
  </si>
  <si>
    <t>N2Y</t>
  </si>
  <si>
    <t>Seneca Falls, NY: Finger Lakes Regional</t>
  </si>
  <si>
    <t>N3C</t>
  </si>
  <si>
    <t>Franklin, NC: Macon County</t>
  </si>
  <si>
    <t>N3Y</t>
  </si>
  <si>
    <t>Ticonderoga, NY: Ticonderoga Municipal</t>
  </si>
  <si>
    <t>N47</t>
  </si>
  <si>
    <t>Pottstown, PA: Pottstown Municipal</t>
  </si>
  <si>
    <t>N4C</t>
  </si>
  <si>
    <t>Sanford, NC: Raleigh Exec Jetport at Sanford Lee County</t>
  </si>
  <si>
    <t>N4Y</t>
  </si>
  <si>
    <t>Southampton, NY: Southampton Heliport</t>
  </si>
  <si>
    <t>N5C</t>
  </si>
  <si>
    <t>Whiteville, NC: Columbus County Municipal</t>
  </si>
  <si>
    <t>N5Y</t>
  </si>
  <si>
    <t>South Bethlehem, NY: South Albany</t>
  </si>
  <si>
    <t>N6C</t>
  </si>
  <si>
    <t>Siler City, NC: Siler City Municipal</t>
  </si>
  <si>
    <t>N6Y</t>
  </si>
  <si>
    <t>Ellenville, NY: Joseph Y Resnick</t>
  </si>
  <si>
    <t>N7C</t>
  </si>
  <si>
    <t>Ahoskie, NC: Tri County</t>
  </si>
  <si>
    <t>N7Y</t>
  </si>
  <si>
    <t>North Haven, NY: Sbnynb</t>
  </si>
  <si>
    <t>N87</t>
  </si>
  <si>
    <t>Robbinsville, NJ: Trenton-Robbinsville</t>
  </si>
  <si>
    <t>N8C</t>
  </si>
  <si>
    <t>Oak Island, NC: Cape Fear Regional Jetport Howie Franklin</t>
  </si>
  <si>
    <t>N8K</t>
  </si>
  <si>
    <t>Nikisha, AK: McGahan Industrial Park</t>
  </si>
  <si>
    <t>NAA</t>
  </si>
  <si>
    <t>Narrabri, Australia: Narrabri Airport</t>
  </si>
  <si>
    <t>NAD</t>
  </si>
  <si>
    <t>North Adams, MA: Harriman-and-West</t>
  </si>
  <si>
    <t>NAG</t>
  </si>
  <si>
    <t>Nagpur, India: Dr. Baba Saheb Ambedkar International</t>
  </si>
  <si>
    <t>NAK</t>
  </si>
  <si>
    <t>Nakhon Ratchasima, Thailand: Nakhon Ratchasima Airport</t>
  </si>
  <si>
    <t>NAN</t>
  </si>
  <si>
    <t>Nadi, Fiji: Nadi International</t>
  </si>
  <si>
    <t>NAO</t>
  </si>
  <si>
    <t>Nanchong, China: Nanchong Airport</t>
  </si>
  <si>
    <t>NAP</t>
  </si>
  <si>
    <t>Naples, Italy: Capodichino</t>
  </si>
  <si>
    <t>Nassau, The Bahamas: Lynden Pindling International</t>
  </si>
  <si>
    <t>NAT</t>
  </si>
  <si>
    <t>Natal, Brazil: Augusto Severo</t>
  </si>
  <si>
    <t>NAU</t>
  </si>
  <si>
    <t>Napuka Islnd, French Polynesia: Napuka</t>
  </si>
  <si>
    <t>NAV</t>
  </si>
  <si>
    <t>Nevsehir, Turkey: Nevsehir Airport</t>
  </si>
  <si>
    <t>NAX</t>
  </si>
  <si>
    <t>Kapolei, HI: Barbers Point NAS</t>
  </si>
  <si>
    <t>NAZ</t>
  </si>
  <si>
    <t>Star Harbour, Solomon Islands: Nana</t>
  </si>
  <si>
    <t>NB1</t>
  </si>
  <si>
    <t>St Stephen, Canada: St Stephen Airport</t>
  </si>
  <si>
    <t>NBA</t>
  </si>
  <si>
    <t>Nambaiyufa, Papua New Guinea: Nambaiyufa Airport</t>
  </si>
  <si>
    <t>NBC</t>
  </si>
  <si>
    <t>Naberevnye Chelny, Russia: Begishevo</t>
  </si>
  <si>
    <t>NBE</t>
  </si>
  <si>
    <t>Enfidha, Tunisia: Enfidha Airport</t>
  </si>
  <si>
    <t>NBG</t>
  </si>
  <si>
    <t>New Orleans, LA: New Orleans NAS JRB</t>
  </si>
  <si>
    <t>NBJ</t>
  </si>
  <si>
    <t>Newburgh, NY: Newburgh Airport</t>
  </si>
  <si>
    <t>NBO</t>
  </si>
  <si>
    <t>Nairobi, Kenya: Nairobi Jomo Kenyatta International</t>
  </si>
  <si>
    <t>NBU</t>
  </si>
  <si>
    <t>Glenview, IL: Glenview NAS</t>
  </si>
  <si>
    <t>NBW</t>
  </si>
  <si>
    <t>Guantanamo, Cuba: Guantanamo Bay NS</t>
  </si>
  <si>
    <t>NC1</t>
  </si>
  <si>
    <t>Gastonia, NC: Gastonia Municipal</t>
  </si>
  <si>
    <t>NC2</t>
  </si>
  <si>
    <t>Smithfield, NC: Johnston Regional</t>
  </si>
  <si>
    <t>NC3</t>
  </si>
  <si>
    <t>Shelby, NC: Shelby-Cleveland County Regional</t>
  </si>
  <si>
    <t>NC4</t>
  </si>
  <si>
    <t>Currituck, NC: Currituck County Regional</t>
  </si>
  <si>
    <t>NC5</t>
  </si>
  <si>
    <t>Kenansville, NC: Duplin County</t>
  </si>
  <si>
    <t>NC6</t>
  </si>
  <si>
    <t>Oxford, NC: Henderson Oxford</t>
  </si>
  <si>
    <t>NC7</t>
  </si>
  <si>
    <t>Beaufort, NC: Michael J. Smith Field</t>
  </si>
  <si>
    <t>NC8</t>
  </si>
  <si>
    <t>Burlington, NC: Burlington Alamance Regional</t>
  </si>
  <si>
    <t>NC9</t>
  </si>
  <si>
    <t>Rockingham, NC: Richmond County</t>
  </si>
  <si>
    <t>NCA</t>
  </si>
  <si>
    <t>North Caicos, Turks and Caicos Islands: North Caicos International</t>
  </si>
  <si>
    <t>NCE</t>
  </si>
  <si>
    <t>Nice, France: Nice Cote D Azur</t>
  </si>
  <si>
    <t>NCH</t>
  </si>
  <si>
    <t>Nachingwea, Tanzania: Nachingwea Airport</t>
  </si>
  <si>
    <t>NCI</t>
  </si>
  <si>
    <t>Necocli, Colombia: Necocli Airport</t>
  </si>
  <si>
    <t>NCL</t>
  </si>
  <si>
    <t>Newcastle, United Kingdom: Newcastle Airport</t>
  </si>
  <si>
    <t>NCN</t>
  </si>
  <si>
    <t>Chenega, AK: Chenega Bay</t>
  </si>
  <si>
    <t>NCO</t>
  </si>
  <si>
    <t>North Kingstown, RI: Quonset State Air Reserve National Guard Helipad</t>
  </si>
  <si>
    <t>NCP</t>
  </si>
  <si>
    <t>Subic Bay, Philippines: Cubi Point NAS</t>
  </si>
  <si>
    <t>NCQ</t>
  </si>
  <si>
    <t>NCS</t>
  </si>
  <si>
    <t>Newcastle, South Africa: Newcastle Airport</t>
  </si>
  <si>
    <t>NCT</t>
  </si>
  <si>
    <t>Nicoya, Costa Rica: Miguel Angel Castillo Zumbado</t>
  </si>
  <si>
    <t>NCU</t>
  </si>
  <si>
    <t>Nukus, Uzbekistan: Nukus Airport</t>
  </si>
  <si>
    <t>NCY</t>
  </si>
  <si>
    <t>Annecy, France: Annecy Meythet</t>
  </si>
  <si>
    <t>ND1</t>
  </si>
  <si>
    <t>Kindred, ND: Robert Odegaard Field</t>
  </si>
  <si>
    <t>NDB</t>
  </si>
  <si>
    <t>Nouadhibou, Mauritania: Nouadhibou Airport</t>
  </si>
  <si>
    <t>NDC</t>
  </si>
  <si>
    <t>Nanded, India: Nanded Airport</t>
  </si>
  <si>
    <t>NDJ</t>
  </si>
  <si>
    <t>Ndjamena, Chad: Hassan Djamous</t>
  </si>
  <si>
    <t>NDL</t>
  </si>
  <si>
    <t>Ndele, Central African Republic: Ndele Airport</t>
  </si>
  <si>
    <t>NDR</t>
  </si>
  <si>
    <t>Nador, Morocco: El Aroui International</t>
  </si>
  <si>
    <t>NDZ</t>
  </si>
  <si>
    <t>Cuxhaven, Germany: Nordholz-Spieka</t>
  </si>
  <si>
    <t>NE1</t>
  </si>
  <si>
    <t>Gothenburg, NE: Gothenburg Municipal</t>
  </si>
  <si>
    <t>NE2</t>
  </si>
  <si>
    <t>Blair, NE: Blair Municipal</t>
  </si>
  <si>
    <t>NE3</t>
  </si>
  <si>
    <t>York, NE: York Municipal</t>
  </si>
  <si>
    <t>NE4</t>
  </si>
  <si>
    <t>Champion, NE: Smith Field</t>
  </si>
  <si>
    <t>NEA</t>
  </si>
  <si>
    <t>Brunswick, GA: Glynco NAS</t>
  </si>
  <si>
    <t>NEG</t>
  </si>
  <si>
    <t>Negril, Jamaica: Negril Airport</t>
  </si>
  <si>
    <t>NEK</t>
  </si>
  <si>
    <t>NEL</t>
  </si>
  <si>
    <t>Lakehurst, NJ: Lakehurst/Maxfield Field</t>
  </si>
  <si>
    <t>NER</t>
  </si>
  <si>
    <t>Neryungri, Russia: Neryungri Airport</t>
  </si>
  <si>
    <t>NET</t>
  </si>
  <si>
    <t>NEU</t>
  </si>
  <si>
    <t>Sam Neua, Laos: Samneua</t>
  </si>
  <si>
    <t>NEV</t>
  </si>
  <si>
    <t>Nevis, Saint Kitts and Nevis: Vance Winkworth Amory</t>
  </si>
  <si>
    <t>NEW</t>
  </si>
  <si>
    <t>New Orleans, LA: Lakefront</t>
  </si>
  <si>
    <t>NFL</t>
  </si>
  <si>
    <t>Fallon, NV: Fallon NAS</t>
  </si>
  <si>
    <t>NG1</t>
  </si>
  <si>
    <t>Bernin Kebbi, Nigeria: Birnin Kebbi International</t>
  </si>
  <si>
    <t>NGA</t>
  </si>
  <si>
    <t>Young, Australia: Young Airport</t>
  </si>
  <si>
    <t>NGB</t>
  </si>
  <si>
    <t>Ningbo, China: Lishe</t>
  </si>
  <si>
    <t>NGC</t>
  </si>
  <si>
    <t>Grand Canyon, AZ: North Rim</t>
  </si>
  <si>
    <t>NGD</t>
  </si>
  <si>
    <t>Anegada, British Virgin Islands: Auguste George</t>
  </si>
  <si>
    <t>NGE</t>
  </si>
  <si>
    <t>N'Gaoundere, Cameroon: N'Gaoundere Airport</t>
  </si>
  <si>
    <t>NGF</t>
  </si>
  <si>
    <t>Kaneohe, HI: Kaneohe Bay MCAS</t>
  </si>
  <si>
    <t>NGM</t>
  </si>
  <si>
    <t>Guam, TT: Agana NAS</t>
  </si>
  <si>
    <t>NGO</t>
  </si>
  <si>
    <t>Nagoya, Japan: Chubu Centrair International</t>
  </si>
  <si>
    <t>NGP</t>
  </si>
  <si>
    <t>Corpus Christi, TX: Corpus Christi NAS</t>
  </si>
  <si>
    <t>NGS</t>
  </si>
  <si>
    <t>Nagasaki, Japan: Nagasaki Airport</t>
  </si>
  <si>
    <t>NGU</t>
  </si>
  <si>
    <t>Norfolk, VA: Norfolk NS</t>
  </si>
  <si>
    <t>NGZ</t>
  </si>
  <si>
    <t>Alameda, CA: Alameda NAS</t>
  </si>
  <si>
    <t>NH1</t>
  </si>
  <si>
    <t>Hampton, NH: Hampton Airfield</t>
  </si>
  <si>
    <t>NH2</t>
  </si>
  <si>
    <t>Gorham, NH: Gorham Airport</t>
  </si>
  <si>
    <t>NH3</t>
  </si>
  <si>
    <t>Haverhill, NH: Dean Memorial</t>
  </si>
  <si>
    <t>NH4</t>
  </si>
  <si>
    <t>Moultonboro, NH: Moultonboro Airport</t>
  </si>
  <si>
    <t>NH5</t>
  </si>
  <si>
    <t>Hillsboro, NH: Hawthorne Feather Airpark</t>
  </si>
  <si>
    <t>NHA</t>
  </si>
  <si>
    <t>Nha-Trang, Vietnam: Nha Trang</t>
  </si>
  <si>
    <t>NHD</t>
  </si>
  <si>
    <t>Dubai, United Arab Emirates: Minhad AB</t>
  </si>
  <si>
    <t>NHK</t>
  </si>
  <si>
    <t>Patuxent River, MD: Patuxent River NAS</t>
  </si>
  <si>
    <t>NHT</t>
  </si>
  <si>
    <t>Northolt, United Kingdom: RAF Northolt</t>
  </si>
  <si>
    <t>NHV</t>
  </si>
  <si>
    <t>Nuku Hiva, French Polynesia: Nuku Hiva Fr.Poly.</t>
  </si>
  <si>
    <t>NHZ</t>
  </si>
  <si>
    <t>Brunswick, ME: Brunswick Executive</t>
  </si>
  <si>
    <t>NI1</t>
  </si>
  <si>
    <t>NIA</t>
  </si>
  <si>
    <t>Nimba, Liberia: Nimba Airport</t>
  </si>
  <si>
    <t>NIB</t>
  </si>
  <si>
    <t>Nikolai, AK: Nikolai Airport</t>
  </si>
  <si>
    <t>NIC</t>
  </si>
  <si>
    <t>Nicosia, Cyprus: Nicosia Airport</t>
  </si>
  <si>
    <t>NIE</t>
  </si>
  <si>
    <t>Niblack, AK: Niblack Airport</t>
  </si>
  <si>
    <t>NIG</t>
  </si>
  <si>
    <t>Nikunau, Kiribati: Nikunau Airport</t>
  </si>
  <si>
    <t>NIM</t>
  </si>
  <si>
    <t>Niamey, Niger: Diori Hamani</t>
  </si>
  <si>
    <t>NIN</t>
  </si>
  <si>
    <t>Ninilchik, AK: Ninilchik Airport</t>
  </si>
  <si>
    <t>NIP</t>
  </si>
  <si>
    <t>Jacksonville, FL: Jacksonville NAS</t>
  </si>
  <si>
    <t>NIS</t>
  </si>
  <si>
    <t>Simberi Island, Papua New Guinea: Simberi</t>
  </si>
  <si>
    <t>NIT</t>
  </si>
  <si>
    <t>Niort, France: Niort Airport</t>
  </si>
  <si>
    <t>NIX</t>
  </si>
  <si>
    <t>Nioro, Mali: Nioro Airport</t>
  </si>
  <si>
    <t>NJ1</t>
  </si>
  <si>
    <t>Berlin, NJ: Camden County</t>
  </si>
  <si>
    <t>NJ2</t>
  </si>
  <si>
    <t>West Creek, NJ: Eagles Nest</t>
  </si>
  <si>
    <t>NJ3</t>
  </si>
  <si>
    <t>Somerville, NJ: Somerset</t>
  </si>
  <si>
    <t>NJ4</t>
  </si>
  <si>
    <t>Ocean City, NJ: Ocean City Municipal</t>
  </si>
  <si>
    <t>NJ5</t>
  </si>
  <si>
    <t>Sussex, NJ: Sussex Airport</t>
  </si>
  <si>
    <t>NJ6</t>
  </si>
  <si>
    <t>Lumberton, NJ: Flying W</t>
  </si>
  <si>
    <t>NJ7</t>
  </si>
  <si>
    <t>New Jersey, NJ: Old Bridge</t>
  </si>
  <si>
    <t>NJ8</t>
  </si>
  <si>
    <t>West Milford, NJ: Greenwood Lake</t>
  </si>
  <si>
    <t>NJ9</t>
  </si>
  <si>
    <t>Cross Keys, NJ: Cross Keys Airport</t>
  </si>
  <si>
    <t>NJA</t>
  </si>
  <si>
    <t>Atsugi, Japan: Atsugi NAF</t>
  </si>
  <si>
    <t>NJC</t>
  </si>
  <si>
    <t>Nizhnevartovsk, Russia: Nizhnevartovsk Airport</t>
  </si>
  <si>
    <t>NJF</t>
  </si>
  <si>
    <t>Al Najaf, Iraq: Al Najaf International</t>
  </si>
  <si>
    <t>NJK</t>
  </si>
  <si>
    <t>El Centro, CA: El Centro NAF</t>
  </si>
  <si>
    <t>NKA</t>
  </si>
  <si>
    <t>Nkan, Gabon: Nkan Airport</t>
  </si>
  <si>
    <t>NKC</t>
  </si>
  <si>
    <t>Nouakchott, Mauritania: Nouakchott Airport</t>
  </si>
  <si>
    <t>NKG</t>
  </si>
  <si>
    <t>Nanjing, China: Lukou</t>
  </si>
  <si>
    <t>NKI</t>
  </si>
  <si>
    <t>Naukiti, AK: Naukiti Airport</t>
  </si>
  <si>
    <t>NKM</t>
  </si>
  <si>
    <t>Nagoya, Japan: Nagoya Airport</t>
  </si>
  <si>
    <t>NKN</t>
  </si>
  <si>
    <t>Nankina, Papua New Guinea: Nankina Airport</t>
  </si>
  <si>
    <t>NKS</t>
  </si>
  <si>
    <t>Nkongsamba, Cameroon: Nkongsamba Airport</t>
  </si>
  <si>
    <t>NKT</t>
  </si>
  <si>
    <t>Sirnak, Turkey: Serafettin Elci</t>
  </si>
  <si>
    <t>NKV</t>
  </si>
  <si>
    <t>Nichen Cove, AK: Nichin Cove Seaplane Base</t>
  </si>
  <si>
    <t>NKW</t>
  </si>
  <si>
    <t>Diego Garcia, British Indian Ocean Territory: Diego Garcia Nsf</t>
  </si>
  <si>
    <t>NKX</t>
  </si>
  <si>
    <t>San Diego, CA: Miramar MCAS</t>
  </si>
  <si>
    <t>NL1</t>
  </si>
  <si>
    <t>Fogo, Canada: Fogo Airport</t>
  </si>
  <si>
    <t>NLA</t>
  </si>
  <si>
    <t>Ndola, Zambia: Ndola Airport</t>
  </si>
  <si>
    <t>NLC</t>
  </si>
  <si>
    <t>Lemoore, CA: Lemoore NAS</t>
  </si>
  <si>
    <t>NLD</t>
  </si>
  <si>
    <t>Nuevo Laredo, Mexico: Quetzalcoatl International</t>
  </si>
  <si>
    <t>NLG</t>
  </si>
  <si>
    <t>Nelson Lagoon, AK: Nelson Lagoon Airport</t>
  </si>
  <si>
    <t>NLK</t>
  </si>
  <si>
    <t>Norfolk Island, Australia: Norfolk Island Airport</t>
  </si>
  <si>
    <t>NLO</t>
  </si>
  <si>
    <t>Kinshasa, Congo (Kinshasa): N'Dolo</t>
  </si>
  <si>
    <t>NLP</t>
  </si>
  <si>
    <t>Nelspruit, South Africa: Nelspruit Airport</t>
  </si>
  <si>
    <t>NLS</t>
  </si>
  <si>
    <t>Nicholson, Australia: Nicholson Station</t>
  </si>
  <si>
    <t>NLU</t>
  </si>
  <si>
    <t>Zumpango, Mexico: Santa Lucia</t>
  </si>
  <si>
    <t>NM1</t>
  </si>
  <si>
    <t>Belen, NM: Alexander Municipal</t>
  </si>
  <si>
    <t>NM2</t>
  </si>
  <si>
    <t>Truth Or Consequences, NM: Spaceport America</t>
  </si>
  <si>
    <t>NM3</t>
  </si>
  <si>
    <t>Moriarty, NM: Moriarty Municipal</t>
  </si>
  <si>
    <t>NMC</t>
  </si>
  <si>
    <t>Norman's Cay, The Bahamas: Norman's Cay Airport</t>
  </si>
  <si>
    <t>NME</t>
  </si>
  <si>
    <t>Nightmute, AK: Nightmute Airport</t>
  </si>
  <si>
    <t>NMG</t>
  </si>
  <si>
    <t>San Miguel, Panama: San Miguel Airport</t>
  </si>
  <si>
    <t>NNA</t>
  </si>
  <si>
    <t>Kenitra, Morocco: Kenitra Airport</t>
  </si>
  <si>
    <t>NNG</t>
  </si>
  <si>
    <t>Nanning, China: Wuxu</t>
  </si>
  <si>
    <t>NNK</t>
  </si>
  <si>
    <t>Naknek, AK: Naknek Airport</t>
  </si>
  <si>
    <t>NNL</t>
  </si>
  <si>
    <t>Nondalton, AK: Nondalton Airport</t>
  </si>
  <si>
    <t>NNU</t>
  </si>
  <si>
    <t>Nanuque, Brazil: Nanuque Airport</t>
  </si>
  <si>
    <t>NNY</t>
  </si>
  <si>
    <t>Nanyang, China: Nanyang East</t>
  </si>
  <si>
    <t>NOA</t>
  </si>
  <si>
    <t>Nowra, Australia: Nowra Airport</t>
  </si>
  <si>
    <t>NOC</t>
  </si>
  <si>
    <t>Connaught, Ireland: Ireland West Airport Knock</t>
  </si>
  <si>
    <t>NOG</t>
  </si>
  <si>
    <t>Nogales, Mexico: Nogales International</t>
  </si>
  <si>
    <t>NON</t>
  </si>
  <si>
    <t>Nonouti, Kiribati: Nonouti Airport</t>
  </si>
  <si>
    <t>NOP</t>
  </si>
  <si>
    <t>Mactan Island, Philippines: Nab</t>
  </si>
  <si>
    <t>NOR</t>
  </si>
  <si>
    <t>Nordfjordur, Iceland: Nordfjordur Airport</t>
  </si>
  <si>
    <t>NOS</t>
  </si>
  <si>
    <t>Nossi-Be, Madagascar: Fascene</t>
  </si>
  <si>
    <t>NOT</t>
  </si>
  <si>
    <t>Novato, CA: Gnoss Field</t>
  </si>
  <si>
    <t>NOU</t>
  </si>
  <si>
    <t>Noumea, New Caledonia: Noumea La Tontouta</t>
  </si>
  <si>
    <t>NOV</t>
  </si>
  <si>
    <t>Huambo, Angola: Huambo Airport</t>
  </si>
  <si>
    <t>NPA</t>
  </si>
  <si>
    <t>Pensacola, FL: Pensacola NAS</t>
  </si>
  <si>
    <t>NPE</t>
  </si>
  <si>
    <t>Napier, New Zealand: Napier Airport</t>
  </si>
  <si>
    <t>NPL</t>
  </si>
  <si>
    <t>New Plymouth, New Zealand: New Plymouth Airport</t>
  </si>
  <si>
    <t>NPT</t>
  </si>
  <si>
    <t>Newport, RI: Newport State</t>
  </si>
  <si>
    <t>NQA</t>
  </si>
  <si>
    <t>Millington, TN: Millington Memphis</t>
  </si>
  <si>
    <t>NQI</t>
  </si>
  <si>
    <t>Kingsville, TX: Kingsville NAS</t>
  </si>
  <si>
    <t>NQN</t>
  </si>
  <si>
    <t>Neuquen, Argentina: Presidente Peron</t>
  </si>
  <si>
    <t>NQX</t>
  </si>
  <si>
    <t>Key West, FL: Key West NAS</t>
  </si>
  <si>
    <t>NQY</t>
  </si>
  <si>
    <t>Newquay, United Kingdom: Newquay Airport</t>
  </si>
  <si>
    <t>NQZ</t>
  </si>
  <si>
    <t>Astana, Kazakhstan: Nursultan Nazarbayev International</t>
  </si>
  <si>
    <t>NRA</t>
  </si>
  <si>
    <t>Narrandera, Australia: Narrandera Airport</t>
  </si>
  <si>
    <t>NRB</t>
  </si>
  <si>
    <t>Mayport, FL: Mayport NS</t>
  </si>
  <si>
    <t>NRI</t>
  </si>
  <si>
    <t>Afton, OK: Grand Lake Regional</t>
  </si>
  <si>
    <t>NRK</t>
  </si>
  <si>
    <t>Norrkoping, Sweden: Kungsangen</t>
  </si>
  <si>
    <t>NRL</t>
  </si>
  <si>
    <t>North Ronaldsay, United Kingdom: North Ronaldsay Airport</t>
  </si>
  <si>
    <t>NRR</t>
  </si>
  <si>
    <t>Ceiba, PR: Roosevelt Roads NAS</t>
  </si>
  <si>
    <t>NRT</t>
  </si>
  <si>
    <t>Tokyo, Japan: Narita International</t>
  </si>
  <si>
    <t>NSA</t>
  </si>
  <si>
    <t>Noosa, Australia: Noosa Aust.</t>
  </si>
  <si>
    <t>NSB</t>
  </si>
  <si>
    <t>Bimini, The Bahamas: North Seaplane Base</t>
  </si>
  <si>
    <t>NSE</t>
  </si>
  <si>
    <t>Milton, FL: Whiting Field NAS North</t>
  </si>
  <si>
    <t>NSF</t>
  </si>
  <si>
    <t>NSI</t>
  </si>
  <si>
    <t>Yaounde, Cameroon: Yaounde Nsimalen</t>
  </si>
  <si>
    <t>NSL</t>
  </si>
  <si>
    <t>Merritt Island, FL: NASA Shuttle Landing Facility</t>
  </si>
  <si>
    <t>NSN</t>
  </si>
  <si>
    <t>Nelson, New Zealand: Nelson Airport</t>
  </si>
  <si>
    <t>NSO</t>
  </si>
  <si>
    <t>Scone, Australia: Scone Airport</t>
  </si>
  <si>
    <t>NST</t>
  </si>
  <si>
    <t>Nakhon Si Thammarat, Thailand: Nakhon Si Thammarat Airport</t>
  </si>
  <si>
    <t>NSY</t>
  </si>
  <si>
    <t>Sigonella, Italy: Sigonella Airport</t>
  </si>
  <si>
    <t>NT1</t>
  </si>
  <si>
    <t>Snap Lake, Canada: Snap Lake Mine/Debeers</t>
  </si>
  <si>
    <t>NT2</t>
  </si>
  <si>
    <t>Colomac, Canada: Colomac Airport</t>
  </si>
  <si>
    <t>NT3</t>
  </si>
  <si>
    <t>Gahcho, Canada: Gahcho Kue</t>
  </si>
  <si>
    <t>NTD</t>
  </si>
  <si>
    <t>Port Hueneme, CA: Point Mugu NAS</t>
  </si>
  <si>
    <t>NTE</t>
  </si>
  <si>
    <t>Nantes, France: Nantes Atlantique</t>
  </si>
  <si>
    <t>NTL</t>
  </si>
  <si>
    <t>Newcastle, Australia: Williamtown</t>
  </si>
  <si>
    <t>NTN</t>
  </si>
  <si>
    <t>Normanton, Australia: Normanton Airport</t>
  </si>
  <si>
    <t>NTO</t>
  </si>
  <si>
    <t>Santo Antao, Cape Verde: Santo Antao Airport</t>
  </si>
  <si>
    <t>NTQ</t>
  </si>
  <si>
    <t>Wajima, Japan: Noto</t>
  </si>
  <si>
    <t>NTR</t>
  </si>
  <si>
    <t>Monterrey, Mexico: Del Norte International</t>
  </si>
  <si>
    <t>NTU</t>
  </si>
  <si>
    <t>Oceana, VA: Oceana NAS</t>
  </si>
  <si>
    <t>NTY</t>
  </si>
  <si>
    <t>Sun City, South Africa: Pilanesberg International</t>
  </si>
  <si>
    <t>NU1</t>
  </si>
  <si>
    <t>Doris Lake, Canada: Doris Lake Airport</t>
  </si>
  <si>
    <t>NU2</t>
  </si>
  <si>
    <t>Hope Bay, Canada: Hope Bay Airport</t>
  </si>
  <si>
    <t>NU3</t>
  </si>
  <si>
    <t>Jericho, Canada: Jericho Mine</t>
  </si>
  <si>
    <t>NU4</t>
  </si>
  <si>
    <t>Meadowbank Nunavut, Canada: Meadowbank</t>
  </si>
  <si>
    <t>NU5</t>
  </si>
  <si>
    <t>Goose Lake, Canada: Goose Lake Airport</t>
  </si>
  <si>
    <t>NU6</t>
  </si>
  <si>
    <t>Seaice, Canada: Seaice15</t>
  </si>
  <si>
    <t>NUE</t>
  </si>
  <si>
    <t>Nuremberg, Germany: Nuernberg</t>
  </si>
  <si>
    <t>NUG</t>
  </si>
  <si>
    <t>Nuguria, Papua New Guinea: Nuguria Airport</t>
  </si>
  <si>
    <t>NUI</t>
  </si>
  <si>
    <t>Nuiqsut, AK: Nuiqsut Airport</t>
  </si>
  <si>
    <t>NUL</t>
  </si>
  <si>
    <t>Nulato, AK: Nulato Airport</t>
  </si>
  <si>
    <t>NUN</t>
  </si>
  <si>
    <t>Pensacola, FL: Saufley Field NOLF</t>
  </si>
  <si>
    <t>NUP</t>
  </si>
  <si>
    <t>Nunapitchuk, AK: Nunapitchuk Airport</t>
  </si>
  <si>
    <t>NUQ</t>
  </si>
  <si>
    <t>Mountain View, CA: Moffett Federal Airfield</t>
  </si>
  <si>
    <t>NUW</t>
  </si>
  <si>
    <t>Whidbey Island, WA: Whidbey Island NAS</t>
  </si>
  <si>
    <t>NV1</t>
  </si>
  <si>
    <t>Overton, NV: Perkins Field</t>
  </si>
  <si>
    <t>NV2</t>
  </si>
  <si>
    <t>Jean, NV: Jean Airport</t>
  </si>
  <si>
    <t>NV3</t>
  </si>
  <si>
    <t>Searchlight, NV: Searchlight Airport</t>
  </si>
  <si>
    <t>NV4</t>
  </si>
  <si>
    <t>Reno, NV: Reno Stead</t>
  </si>
  <si>
    <t>NV5</t>
  </si>
  <si>
    <t>Gerlach, NV: Black Rock City</t>
  </si>
  <si>
    <t>NV6</t>
  </si>
  <si>
    <t>Pahrump, NV: Calvada Meadows</t>
  </si>
  <si>
    <t>NV7</t>
  </si>
  <si>
    <t>Silver Springs, NV: Silver Springs Airport</t>
  </si>
  <si>
    <t>NVA</t>
  </si>
  <si>
    <t>Neiva, Colombia: Benito Salas</t>
  </si>
  <si>
    <t>NVD</t>
  </si>
  <si>
    <t>Nevada, MO: Nevada Municipal</t>
  </si>
  <si>
    <t>NVI</t>
  </si>
  <si>
    <t>Navoi, Uzbekistan: Navoi Airport</t>
  </si>
  <si>
    <t>NVK</t>
  </si>
  <si>
    <t>Narvik, Norway: Narvik Airport</t>
  </si>
  <si>
    <t>NVT</t>
  </si>
  <si>
    <t>Navegantes, Brazil: Ministro Victor Konder International</t>
  </si>
  <si>
    <t>NWI</t>
  </si>
  <si>
    <t>Norwich, United Kingdom: Norwich Airport</t>
  </si>
  <si>
    <t>NXX</t>
  </si>
  <si>
    <t>Willow Grove, PA: Willow Grove NAS JRB</t>
  </si>
  <si>
    <t>NY1</t>
  </si>
  <si>
    <t>Kingston, NY: Kingston Ulster</t>
  </si>
  <si>
    <t>NY2</t>
  </si>
  <si>
    <t>Fulton, NY: Oswego County</t>
  </si>
  <si>
    <t>NY3</t>
  </si>
  <si>
    <t>Brockport, NY: Ledgedale Airpark</t>
  </si>
  <si>
    <t>NY4</t>
  </si>
  <si>
    <t>Potsdam, NY: Potsdam Municipal Damon Field</t>
  </si>
  <si>
    <t>NY5</t>
  </si>
  <si>
    <t>Millbrook, NY: Sky Acres</t>
  </si>
  <si>
    <t>NY6</t>
  </si>
  <si>
    <t>Johnstown, NY: Fulton County</t>
  </si>
  <si>
    <t>NY7</t>
  </si>
  <si>
    <t>Skaneateles, NY: Skaneateles Aero Drome</t>
  </si>
  <si>
    <t>NY8</t>
  </si>
  <si>
    <t>Mattituck, NY: Mattituck Airport</t>
  </si>
  <si>
    <t>NY9</t>
  </si>
  <si>
    <t>Hornell, NY: Hornell Municipal</t>
  </si>
  <si>
    <t>NYC</t>
  </si>
  <si>
    <t>New York, NY: New York City Metropolitan Area</t>
  </si>
  <si>
    <t>NYL</t>
  </si>
  <si>
    <t>Yuma, AZ: Yuma MCAS/Yuma International</t>
  </si>
  <si>
    <t>NYO</t>
  </si>
  <si>
    <t>Nykoping, Sweden: Skavsta</t>
  </si>
  <si>
    <t>NYS</t>
  </si>
  <si>
    <t>New York, NY: New York Skyports Seaplane Base</t>
  </si>
  <si>
    <t>NYT</t>
  </si>
  <si>
    <t>Naypyitaw, Burma: Naypyitaw International</t>
  </si>
  <si>
    <t>NYU</t>
  </si>
  <si>
    <t>Nyaung-U, Burma: Bagan</t>
  </si>
  <si>
    <t>NZC</t>
  </si>
  <si>
    <t>Jacksonville, FL: Cecil Field</t>
  </si>
  <si>
    <t>NZJ</t>
  </si>
  <si>
    <t>Santa Ana, CA: El Toro MCAS</t>
  </si>
  <si>
    <t>NZW</t>
  </si>
  <si>
    <t>South Weymouth, MA: South Weymouth NAS</t>
  </si>
  <si>
    <t>NZY</t>
  </si>
  <si>
    <t>San Diego, CA: North Island NAS</t>
  </si>
  <si>
    <t>O1H</t>
  </si>
  <si>
    <t>Millersburg, OH: Holmes County</t>
  </si>
  <si>
    <t>O2H</t>
  </si>
  <si>
    <t>Mount Vernon, OH: Knox County</t>
  </si>
  <si>
    <t>O3H</t>
  </si>
  <si>
    <t>Columbus, OH: Bolton Field</t>
  </si>
  <si>
    <t>O4H</t>
  </si>
  <si>
    <t>Delaware, OH: Delaware Municipal Jim Moore Field</t>
  </si>
  <si>
    <t>O5H</t>
  </si>
  <si>
    <t>Bowling Green, OH: Wood County</t>
  </si>
  <si>
    <t>O6H</t>
  </si>
  <si>
    <t>Ashland, OH: Ashland County</t>
  </si>
  <si>
    <t>O85</t>
  </si>
  <si>
    <t>Redding, CA: Benton Field</t>
  </si>
  <si>
    <t>OAG</t>
  </si>
  <si>
    <t>Orange, Australia: Orange Airport</t>
  </si>
  <si>
    <t>OAI</t>
  </si>
  <si>
    <t>Bagram, Afghanistan: Bagram Airport</t>
  </si>
  <si>
    <t>Jacksonville/Camp Lejeune, NC: Albert J Ellis</t>
  </si>
  <si>
    <t>Oakland, CA: Metropolitan Oakland International</t>
  </si>
  <si>
    <t>OAM</t>
  </si>
  <si>
    <t>Oamaru, New Zealand: Oamaru Airport</t>
  </si>
  <si>
    <t>OAN</t>
  </si>
  <si>
    <t>Olanchito, Honduras: El Arrayan</t>
  </si>
  <si>
    <t>OAX</t>
  </si>
  <si>
    <t>Oaxaca, Mexico: Xoxocotlan International</t>
  </si>
  <si>
    <t>OBC</t>
  </si>
  <si>
    <t>Obock, Djibouti: Obock Airport</t>
  </si>
  <si>
    <t>OBE</t>
  </si>
  <si>
    <t>Okeechobee, FL: Okeechobee County</t>
  </si>
  <si>
    <t>OBF</t>
  </si>
  <si>
    <t>Oberpfaffenhofen, Germany: Oberpfaffenhofen Airport</t>
  </si>
  <si>
    <t>OBO</t>
  </si>
  <si>
    <t>Obihiro, Japan: Obihiro Airport</t>
  </si>
  <si>
    <t>OBS</t>
  </si>
  <si>
    <t>Aubenas, France: Aubenas Airport</t>
  </si>
  <si>
    <t>OBT</t>
  </si>
  <si>
    <t>Oakland, MD: Garrett County</t>
  </si>
  <si>
    <t>OBU</t>
  </si>
  <si>
    <t>Kobuk, AK: Kobuk Airport</t>
  </si>
  <si>
    <t>OCA</t>
  </si>
  <si>
    <t>OCE</t>
  </si>
  <si>
    <t>Ocean City, MD: Ocean City Municipal</t>
  </si>
  <si>
    <t>OCF</t>
  </si>
  <si>
    <t>Ocala, FL: Ocala International-Jim Taylor Field</t>
  </si>
  <si>
    <t>OCH</t>
  </si>
  <si>
    <t>Nacogdoches, TX: Nacogdoches A L Mangham Jr Regional</t>
  </si>
  <si>
    <t>OCI</t>
  </si>
  <si>
    <t>Oceanic, AK: Thumb Bay</t>
  </si>
  <si>
    <t>OCJ</t>
  </si>
  <si>
    <t>Ocho Rios, Jamaica: Boscobel</t>
  </si>
  <si>
    <t>OCN</t>
  </si>
  <si>
    <t>Oceanside, CA: Bob Maxwell Memorial Airfield</t>
  </si>
  <si>
    <t>OCW</t>
  </si>
  <si>
    <t>Washington, NC: Washington Warren</t>
  </si>
  <si>
    <t>OD1</t>
  </si>
  <si>
    <t>Doro, South Sudan: Doro Airport</t>
  </si>
  <si>
    <t>OD2</t>
  </si>
  <si>
    <t>Paloich, South Sudan: Paloich Airport</t>
  </si>
  <si>
    <t>OD3</t>
  </si>
  <si>
    <t>Bentiu, South Sudan: Bentiu Airport</t>
  </si>
  <si>
    <t>ODA</t>
  </si>
  <si>
    <t>Ouadda, Central African Republic: Ouadda Airport</t>
  </si>
  <si>
    <t>ODB</t>
  </si>
  <si>
    <t>Cordoba, Spain: Cordoba Airport</t>
  </si>
  <si>
    <t>ODD</t>
  </si>
  <si>
    <t>Oodnadatta, Australia: Oodnadatta Airport</t>
  </si>
  <si>
    <t>ODE</t>
  </si>
  <si>
    <t>Odense, Denmark: Hans Christian Anderson</t>
  </si>
  <si>
    <t>ODM</t>
  </si>
  <si>
    <t>Oakland, MD: Oakland Airport</t>
  </si>
  <si>
    <t>ODS</t>
  </si>
  <si>
    <t>Odessa, Ukraine: Odessa International</t>
  </si>
  <si>
    <t>ODW</t>
  </si>
  <si>
    <t>Oak Harbor, WA: A.J. Eisenberg</t>
  </si>
  <si>
    <t>OEC</t>
  </si>
  <si>
    <t>Oecusse, Timor-Leste: Oecusse Airport</t>
  </si>
  <si>
    <t>OEO</t>
  </si>
  <si>
    <t>Osceola, WI: L O Simenstad Municipal</t>
  </si>
  <si>
    <t>OER</t>
  </si>
  <si>
    <t>Oernskoeldsvik, Sweden: Ornskoldsvik</t>
  </si>
  <si>
    <t>OFF</t>
  </si>
  <si>
    <t>Omaha, NE: Offutt AFB</t>
  </si>
  <si>
    <t>OFK</t>
  </si>
  <si>
    <t>Norfolk, NE: Norfolk Regional/Karl Stefan Memorial Field</t>
  </si>
  <si>
    <t>OFU</t>
  </si>
  <si>
    <t>Ofu, TT: Ofu Airport</t>
  </si>
  <si>
    <t>OGA</t>
  </si>
  <si>
    <t>Ogallala, NE: Searle Field</t>
  </si>
  <si>
    <t>OGB</t>
  </si>
  <si>
    <t>Orangeburg, SC: Orangeburg Municipal</t>
  </si>
  <si>
    <t>Ogden, UT: Ogden-Hinckley</t>
  </si>
  <si>
    <t>Kahului, HI: Kahului Airport</t>
  </si>
  <si>
    <t>OGN</t>
  </si>
  <si>
    <t>Yonaguni, Japan: Yonaguni Airport</t>
  </si>
  <si>
    <t>Ogdensburg, NY: Ogdensburg International</t>
  </si>
  <si>
    <t>OH1</t>
  </si>
  <si>
    <t>Washington Court House, OH: Fayette County</t>
  </si>
  <si>
    <t>OH2</t>
  </si>
  <si>
    <t>Bellefontaine, OH: Bellefontaine Regional</t>
  </si>
  <si>
    <t>OH3</t>
  </si>
  <si>
    <t>Chillicothe, OH: Ross County</t>
  </si>
  <si>
    <t>OH4</t>
  </si>
  <si>
    <t>Marysville, OH: Union County</t>
  </si>
  <si>
    <t>OH5</t>
  </si>
  <si>
    <t>Cincinnati, OH: Cincinnati - Blue Ash</t>
  </si>
  <si>
    <t>OH6</t>
  </si>
  <si>
    <t>Ravenna, OH: Portage County</t>
  </si>
  <si>
    <t>OH7</t>
  </si>
  <si>
    <t>Kent, OH: Kent State University</t>
  </si>
  <si>
    <t>OH8</t>
  </si>
  <si>
    <t>Bluffton, OH: Bluffton Airport</t>
  </si>
  <si>
    <t>OH9</t>
  </si>
  <si>
    <t>Medina, OH: Medina Municipal</t>
  </si>
  <si>
    <t>OHA</t>
  </si>
  <si>
    <t>Ohakea, New Zealand: Ohakea Airport</t>
  </si>
  <si>
    <t>OHC</t>
  </si>
  <si>
    <t>Northeast Cape, AK: Northeast Cape AFS</t>
  </si>
  <si>
    <t>OHD</t>
  </si>
  <si>
    <t>Ohrid, Macedonia: Ohrid Airport</t>
  </si>
  <si>
    <t>OHI</t>
  </si>
  <si>
    <t>Oshakati, Namibia: Oshakati Airport</t>
  </si>
  <si>
    <t>OHR</t>
  </si>
  <si>
    <t>Wyk Auf Fohr, Germany: Wyk Auf Foehr</t>
  </si>
  <si>
    <t>OIC</t>
  </si>
  <si>
    <t>Norwich, NY: Eaton</t>
  </si>
  <si>
    <t>OIM</t>
  </si>
  <si>
    <t>Oshima Islands, Japan: Oshima</t>
  </si>
  <si>
    <t>OIT</t>
  </si>
  <si>
    <t>Oita, Japan: Oita Airport</t>
  </si>
  <si>
    <t>OJC</t>
  </si>
  <si>
    <t>Olathe, KS: Johnson County Executive</t>
  </si>
  <si>
    <t>OKA</t>
  </si>
  <si>
    <t>Okinawa, Japan: Naha</t>
  </si>
  <si>
    <t>Oklahoma City, OK: Will Rogers World</t>
  </si>
  <si>
    <t>OKD</t>
  </si>
  <si>
    <t>Sapporo, Japan: Okadama</t>
  </si>
  <si>
    <t>OKJ</t>
  </si>
  <si>
    <t>Okayama, Japan: Okayama Airport</t>
  </si>
  <si>
    <t>OKK</t>
  </si>
  <si>
    <t>Kokomo/Logansport/Peru, IN: Kokomo Municipal</t>
  </si>
  <si>
    <t>OKN</t>
  </si>
  <si>
    <t>Okondja, Gabon: Okondja Airport</t>
  </si>
  <si>
    <t>OKO</t>
  </si>
  <si>
    <t>Tokyo, Japan: Yokota AB</t>
  </si>
  <si>
    <t>OKR</t>
  </si>
  <si>
    <t>Yorke Island, Australia: Yorke Island Airport</t>
  </si>
  <si>
    <t>OKY</t>
  </si>
  <si>
    <t>Oakey, Australia: Oakey Airport</t>
  </si>
  <si>
    <t>OLA</t>
  </si>
  <si>
    <t>Orland, Norway: Orland Airport</t>
  </si>
  <si>
    <t>OLB</t>
  </si>
  <si>
    <t>Olbia, Italy: Olbia Costa Smeralda</t>
  </si>
  <si>
    <t>OLE</t>
  </si>
  <si>
    <t>Olean, NY: Cattaraugus County-Olean</t>
  </si>
  <si>
    <t>OLF</t>
  </si>
  <si>
    <t>Wolf Point, MT: L. M. Clayton</t>
  </si>
  <si>
    <t>OLH</t>
  </si>
  <si>
    <t>Old Harbor, AK: Old Harbor Airport</t>
  </si>
  <si>
    <t>OLI</t>
  </si>
  <si>
    <t>Olafsvik, Iceland: Rif</t>
  </si>
  <si>
    <t>OLL</t>
  </si>
  <si>
    <t>Oyo, Congo (Brazaville): Oyo Ollombo</t>
  </si>
  <si>
    <t>OLM</t>
  </si>
  <si>
    <t>Olympia, WA: Olympia Regional</t>
  </si>
  <si>
    <t>OLO</t>
  </si>
  <si>
    <t>Olomouc, Czech Republic: Olomouc Airport</t>
  </si>
  <si>
    <t>OLP</t>
  </si>
  <si>
    <t>Olympic Dam, Australia: Olympic Dam Airport</t>
  </si>
  <si>
    <t>OLS</t>
  </si>
  <si>
    <t>Nogales, AZ: Nogales International</t>
  </si>
  <si>
    <t>OLU</t>
  </si>
  <si>
    <t>Columbus, NE: Columbus Municipal</t>
  </si>
  <si>
    <t>OLV</t>
  </si>
  <si>
    <t>Olive Branch, MS: Olive Branch Airport</t>
  </si>
  <si>
    <t>Omaha, NE: Eppley Airfield</t>
  </si>
  <si>
    <t>OMB</t>
  </si>
  <si>
    <t>Omboue, Gabon: Omboue Airport</t>
  </si>
  <si>
    <t>OMC</t>
  </si>
  <si>
    <t>Ormoc, Philippines: Ormoc Airport</t>
  </si>
  <si>
    <t>Nome, AK: Nome Airport</t>
  </si>
  <si>
    <t>OMH</t>
  </si>
  <si>
    <t>Urmieh, Iran: Uromiyeh</t>
  </si>
  <si>
    <t>OMK</t>
  </si>
  <si>
    <t>Omak, WA: Omak Airport</t>
  </si>
  <si>
    <t>OML</t>
  </si>
  <si>
    <t>Omkalai, Papua New Guinea: Omkalai Airport</t>
  </si>
  <si>
    <t>OMO</t>
  </si>
  <si>
    <t>Mostar, Bosnia and Herzegovina: Mostar Airport</t>
  </si>
  <si>
    <t>OMR</t>
  </si>
  <si>
    <t>Oradea, Romania: Oradea Airport</t>
  </si>
  <si>
    <t>OMS</t>
  </si>
  <si>
    <t>Omsk, Russia: Omsk Tsentralny</t>
  </si>
  <si>
    <t>ON1</t>
  </si>
  <si>
    <t>Collingwood, Canada: Collingwood Airport</t>
  </si>
  <si>
    <t>ON2</t>
  </si>
  <si>
    <t>Stratford, Canada: Stratford Municipal</t>
  </si>
  <si>
    <t>ON3</t>
  </si>
  <si>
    <t>Victor Diamond Mine, Canada: Victor Mine</t>
  </si>
  <si>
    <t>ONA</t>
  </si>
  <si>
    <t>Winona, MN: Winona Municipal/Max Conrad Field</t>
  </si>
  <si>
    <t>OND</t>
  </si>
  <si>
    <t>Ondangwa, Namibia: Ondangwa Airport</t>
  </si>
  <si>
    <t>ONG</t>
  </si>
  <si>
    <t>Mornington Island, Australia: Mornington Island Airport</t>
  </si>
  <si>
    <t>ONH</t>
  </si>
  <si>
    <t>Oneonta, NY: Oneonta Municipal</t>
  </si>
  <si>
    <t>ONJ</t>
  </si>
  <si>
    <t>Odate Noshiro, Japan: Odate Noshiro Airport</t>
  </si>
  <si>
    <t>ONL</t>
  </si>
  <si>
    <t>O'Neill, NE: The O'Neill Municipal-John L. Baker Field</t>
  </si>
  <si>
    <t>ONM</t>
  </si>
  <si>
    <t>Socorro, NM: Socorro Municipal</t>
  </si>
  <si>
    <t>ONN</t>
  </si>
  <si>
    <t>Onion Bay, AK: Onion Bay Airport</t>
  </si>
  <si>
    <t>ONO</t>
  </si>
  <si>
    <t>Ontario, OR: Ontario Municipal</t>
  </si>
  <si>
    <t>ONP</t>
  </si>
  <si>
    <t>Newport, OR: Newport Municipal</t>
  </si>
  <si>
    <t>Ontario, CA: Ontario International</t>
  </si>
  <si>
    <t>ONX</t>
  </si>
  <si>
    <t>Colon, Panama: Enrique A Jimenez</t>
  </si>
  <si>
    <t>OOB</t>
  </si>
  <si>
    <t>Cobol, AK: Cobol Alaska/Scaled/</t>
  </si>
  <si>
    <t>OOK</t>
  </si>
  <si>
    <t>Toksook, AK: Toksook Bay</t>
  </si>
  <si>
    <t>OOL</t>
  </si>
  <si>
    <t>Gold Coast, Australia: Gold Coast Airport</t>
  </si>
  <si>
    <t>OOM</t>
  </si>
  <si>
    <t>Cooma, Australia: Cooma Airport</t>
  </si>
  <si>
    <t>OPF</t>
  </si>
  <si>
    <t>Miami, FL: Miami Opa Locka Executive</t>
  </si>
  <si>
    <t>OPH</t>
  </si>
  <si>
    <t>Ophir, AK: Ophir Airport</t>
  </si>
  <si>
    <t>OPN</t>
  </si>
  <si>
    <t>Thomaston, GA: Thomaston Upson County</t>
  </si>
  <si>
    <t>OPO</t>
  </si>
  <si>
    <t>Porto, Portugal: Porto Airport</t>
  </si>
  <si>
    <t>OQA</t>
  </si>
  <si>
    <t>McDonald Lake, AK: McDonald Lake Airport</t>
  </si>
  <si>
    <t>OQB</t>
  </si>
  <si>
    <t>Bible Camp, AK: Bible Camp Airport</t>
  </si>
  <si>
    <t>OQC</t>
  </si>
  <si>
    <t>Cinder River Lodge, AK: Cinder River Lodge Airport</t>
  </si>
  <si>
    <t>OQF</t>
  </si>
  <si>
    <t>Lemesurier Island, AK: Lemesurier Island Airport</t>
  </si>
  <si>
    <t>OQG</t>
  </si>
  <si>
    <t>Tracy Arm, AK: Tracy Arm Airport</t>
  </si>
  <si>
    <t>OQI</t>
  </si>
  <si>
    <t>Vrems, AK: Vrems Airport</t>
  </si>
  <si>
    <t>OQK</t>
  </si>
  <si>
    <t>Akolik, AK: Akolik Airport</t>
  </si>
  <si>
    <t>OQL</t>
  </si>
  <si>
    <t>Mels, AK: Mels Airport</t>
  </si>
  <si>
    <t>OQM</t>
  </si>
  <si>
    <t>Meshik, AK: Meshik Airport</t>
  </si>
  <si>
    <t>OQN</t>
  </si>
  <si>
    <t>Telaquana Lake, AK: Telaquana Lake Airport</t>
  </si>
  <si>
    <t>OQO</t>
  </si>
  <si>
    <t>Chelatna Lake Lodge, AK: Chelatna Lake Lodge Airport</t>
  </si>
  <si>
    <t>OQP</t>
  </si>
  <si>
    <t>Pumice, AK: Pumice Airport</t>
  </si>
  <si>
    <t>OQQ</t>
  </si>
  <si>
    <t>Port Alsworth, AK: Points Alsworth</t>
  </si>
  <si>
    <t>OQR</t>
  </si>
  <si>
    <t>Twin Lakes, AK: Twin Lakes Airport</t>
  </si>
  <si>
    <t>OQS</t>
  </si>
  <si>
    <t>Sandy, AK: Sandy Airport</t>
  </si>
  <si>
    <t>OQU</t>
  </si>
  <si>
    <t>Waterkloof, South Africa: Waterkloof AFB</t>
  </si>
  <si>
    <t>OQV</t>
  </si>
  <si>
    <t>Shirleyville, AK: Shirleyville Airport</t>
  </si>
  <si>
    <t>OQW</t>
  </si>
  <si>
    <t>Doug Carney Strip, AK: Doug Carney Strip Airport</t>
  </si>
  <si>
    <t>OQX</t>
  </si>
  <si>
    <t>Shisholik, AK: Shisholik Airport</t>
  </si>
  <si>
    <t>OQY</t>
  </si>
  <si>
    <t>Sivinuvik, AK: Camp Sivinuvik</t>
  </si>
  <si>
    <t>OQZ</t>
  </si>
  <si>
    <t>American Creek, AK: American Creek Airport</t>
  </si>
  <si>
    <t>OR1</t>
  </si>
  <si>
    <t>Grants Pass, OR: Grants Pass Airport</t>
  </si>
  <si>
    <t>OR2</t>
  </si>
  <si>
    <t>Gleneden, OR: Siletz Bay State</t>
  </si>
  <si>
    <t>OR3</t>
  </si>
  <si>
    <t>Florence, OR: Florence Municipal</t>
  </si>
  <si>
    <t>OR4</t>
  </si>
  <si>
    <t>Bend, OR: Bend Municipal</t>
  </si>
  <si>
    <t>ORB</t>
  </si>
  <si>
    <t>Orebro, Sweden: Orebro Airport</t>
  </si>
  <si>
    <t>ORC</t>
  </si>
  <si>
    <t>Orocue, Colombia: Orocue Airport</t>
  </si>
  <si>
    <t>Chicago, IL: Chicago O'Hare International</t>
  </si>
  <si>
    <t>Norfolk, VA: Norfolk International</t>
  </si>
  <si>
    <t>ORG</t>
  </si>
  <si>
    <t>Paramaribo, Suriname: Zorg en Hoop</t>
  </si>
  <si>
    <t>Worcester, MA: Worcester Regional</t>
  </si>
  <si>
    <t>ORI</t>
  </si>
  <si>
    <t>Port Lions, AK: Port Lions Airport</t>
  </si>
  <si>
    <t>ORK</t>
  </si>
  <si>
    <t>Cork, Ireland: Cork Airport</t>
  </si>
  <si>
    <t>ORL</t>
  </si>
  <si>
    <t>Orlando, FL: Executive</t>
  </si>
  <si>
    <t>ORN</t>
  </si>
  <si>
    <t>Oran, Algeria: Ahmed Benbella</t>
  </si>
  <si>
    <t>ORP</t>
  </si>
  <si>
    <t>Orapa, Botswana: Orapa Airport</t>
  </si>
  <si>
    <t>ORT</t>
  </si>
  <si>
    <t>Northway, AK: Northway Airport</t>
  </si>
  <si>
    <t>ORU</t>
  </si>
  <si>
    <t>Oruro, Bolivia: Juan Mendoza</t>
  </si>
  <si>
    <t>ORV</t>
  </si>
  <si>
    <t>Noorvik, AK: Robert/Bob/Curtis Memorial</t>
  </si>
  <si>
    <t>ORY</t>
  </si>
  <si>
    <t>Paris, France: Paris Orly</t>
  </si>
  <si>
    <t>ORZ</t>
  </si>
  <si>
    <t>Orange Walk, Belize: Orange Walk Airport</t>
  </si>
  <si>
    <t>OSA</t>
  </si>
  <si>
    <t>Osaka, Japan: Osaka Metropolitan Area</t>
  </si>
  <si>
    <t>OSB</t>
  </si>
  <si>
    <t>Osage Beach, MO: Grand Glaize - Osage Beach</t>
  </si>
  <si>
    <t>OSC</t>
  </si>
  <si>
    <t>Oscoda, MI: Oscoda-Wurtsmith</t>
  </si>
  <si>
    <t>OSD</t>
  </si>
  <si>
    <t>Ostersund, Sweden: Are Ostersund</t>
  </si>
  <si>
    <t>OSH</t>
  </si>
  <si>
    <t>Oshkosh, WI: Wittman Regional</t>
  </si>
  <si>
    <t>OSI</t>
  </si>
  <si>
    <t>Osijek, Croatia: Osijek Airport</t>
  </si>
  <si>
    <t>OSK</t>
  </si>
  <si>
    <t>Oskarshamn, Sweden: Oskarshamn Airport</t>
  </si>
  <si>
    <t>OSL</t>
  </si>
  <si>
    <t>OSM</t>
  </si>
  <si>
    <t>Mosul, Iraq: Mosul International</t>
  </si>
  <si>
    <t>OSN</t>
  </si>
  <si>
    <t>Osan, South Korea: Osan AB</t>
  </si>
  <si>
    <t>OSP</t>
  </si>
  <si>
    <t>Slupsk, Poland: Redzikowo</t>
  </si>
  <si>
    <t>OSR</t>
  </si>
  <si>
    <t>Ostrava, Czech Republic: Mosnov</t>
  </si>
  <si>
    <t>OST</t>
  </si>
  <si>
    <t>Ostend, Belgium: Oostende</t>
  </si>
  <si>
    <t>OSU</t>
  </si>
  <si>
    <t>Columbus, OH: Ohio State University</t>
  </si>
  <si>
    <t>OSX</t>
  </si>
  <si>
    <t>Kosciusko, MS: Kosciusko/Attala County</t>
  </si>
  <si>
    <t>OSY</t>
  </si>
  <si>
    <t>Namsos, Norway: Namsos Airport</t>
  </si>
  <si>
    <t>OSZ</t>
  </si>
  <si>
    <t>Koszalin, Poland: Zegrze Pomorskie</t>
  </si>
  <si>
    <t>OTD</t>
  </si>
  <si>
    <t>Contadora, Panama: Raul Arias Espinoza</t>
  </si>
  <si>
    <t>OTG</t>
  </si>
  <si>
    <t>Worthington, MN: Worthington Municipal</t>
  </si>
  <si>
    <t>North Bend/Coos Bay, OR: Southwest Oregon Regional</t>
  </si>
  <si>
    <t>OTM</t>
  </si>
  <si>
    <t>Ottumwa, IA: Ottumwa Regional</t>
  </si>
  <si>
    <t>OTP</t>
  </si>
  <si>
    <t>Bucharest, Romania: Henri Coanda</t>
  </si>
  <si>
    <t>OTR</t>
  </si>
  <si>
    <t>Coto 47, Costa Rica: Coto 47 Airport</t>
  </si>
  <si>
    <t>OTS</t>
  </si>
  <si>
    <t>Anacortes, WA: Anacortes Airport</t>
  </si>
  <si>
    <t>OTU</t>
  </si>
  <si>
    <t>Otu, Colombia: Otu Airport</t>
  </si>
  <si>
    <t>Kotzebue, AK: Ralph Wien Memorial</t>
  </si>
  <si>
    <t>OUA</t>
  </si>
  <si>
    <t>Ouagadougou, Burkina Faso: Ouagadougou Airport</t>
  </si>
  <si>
    <t>OUD</t>
  </si>
  <si>
    <t>Oujda, Morocco: Angads International</t>
  </si>
  <si>
    <t>OUE</t>
  </si>
  <si>
    <t>Ouesso, Congo (Brazaville): Ouesso Airport</t>
  </si>
  <si>
    <t>OUH</t>
  </si>
  <si>
    <t>Oudtshoorn, South Africa: Oudtshoorn Airport</t>
  </si>
  <si>
    <t>OUL</t>
  </si>
  <si>
    <t>Oulu, Finland: Oulu Airport</t>
  </si>
  <si>
    <t>OUN</t>
  </si>
  <si>
    <t>Norman, OK: University of Oklahoma/Max Westheimer</t>
  </si>
  <si>
    <t>OUR</t>
  </si>
  <si>
    <t>Batouri, Cameroon: Batouri Airport</t>
  </si>
  <si>
    <t>OVA</t>
  </si>
  <si>
    <t>Bekily, Madagascar: Bekily Airport</t>
  </si>
  <si>
    <t>OVB</t>
  </si>
  <si>
    <t>Novosibirsk, Russia: Tolmachevo</t>
  </si>
  <si>
    <t>OVD</t>
  </si>
  <si>
    <t>Asturias, Spain: Asturias Airport</t>
  </si>
  <si>
    <t>OVE</t>
  </si>
  <si>
    <t>Oroville, CA: Oroville Municipal</t>
  </si>
  <si>
    <t>OWA</t>
  </si>
  <si>
    <t>Owatonna, MN: Owatonna Degner Regional</t>
  </si>
  <si>
    <t>Owensboro, KY: Owensboro Daviess County Regional</t>
  </si>
  <si>
    <t>OWD</t>
  </si>
  <si>
    <t>Norwood, MA: Norwood Memorial</t>
  </si>
  <si>
    <t>OXB</t>
  </si>
  <si>
    <t>Bissau, Guinea-Bissau: Osvaldo Vieira</t>
  </si>
  <si>
    <t>OXC</t>
  </si>
  <si>
    <t>Waterbury, CT: Waterbury Oxford</t>
  </si>
  <si>
    <t>OXF</t>
  </si>
  <si>
    <t>Oxford, United Kingdom: Oxford Airport</t>
  </si>
  <si>
    <t>OXR</t>
  </si>
  <si>
    <t>Oxnard/Ventura, CA: Oxnard</t>
  </si>
  <si>
    <t>OXV</t>
  </si>
  <si>
    <t>Knoxville, IA: Knoxville Municipal</t>
  </si>
  <si>
    <t>OYA</t>
  </si>
  <si>
    <t>Goya, Argentina: Goya Airport</t>
  </si>
  <si>
    <t>OYE</t>
  </si>
  <si>
    <t>Oyem, Gabon: Oyem Airport</t>
  </si>
  <si>
    <t>OYK</t>
  </si>
  <si>
    <t>Oiapoque, Brazil: Oiapoque Airport</t>
  </si>
  <si>
    <t>OYO</t>
  </si>
  <si>
    <t>Tres Arroyos, Argentina: Tres Arroyos Airport</t>
  </si>
  <si>
    <t>OYS</t>
  </si>
  <si>
    <t>Yosemite National Park, CA: Yosemite National Park Airport</t>
  </si>
  <si>
    <t>OZA</t>
  </si>
  <si>
    <t>Ozona, TX: Ozona Municipal</t>
  </si>
  <si>
    <t>OZC</t>
  </si>
  <si>
    <t>Ozamis City, Philippines: Misamis</t>
  </si>
  <si>
    <t>OZH</t>
  </si>
  <si>
    <t>Zaporozhye, Ukraine: Zaporizhzhia International</t>
  </si>
  <si>
    <t>OZP</t>
  </si>
  <si>
    <t>Moron, Spain: Moron AB</t>
  </si>
  <si>
    <t>OZR</t>
  </si>
  <si>
    <t>Ozark, AL: Cairns AAF</t>
  </si>
  <si>
    <t>OZZ</t>
  </si>
  <si>
    <t>Quarzazate, Morocco: Ouarzazate International</t>
  </si>
  <si>
    <t>P1A</t>
  </si>
  <si>
    <t>Farmington, PA: Nemacolin</t>
  </si>
  <si>
    <t>P2A</t>
  </si>
  <si>
    <t>Philadelphia, PA: Penns Landing Heliport</t>
  </si>
  <si>
    <t>PA1</t>
  </si>
  <si>
    <t>Montrose, PA: Husky Haven</t>
  </si>
  <si>
    <t>PA2</t>
  </si>
  <si>
    <t>Bedford, PA: Bedford County</t>
  </si>
  <si>
    <t>PA3</t>
  </si>
  <si>
    <t>Honesdale, PA: Cherry Ridge</t>
  </si>
  <si>
    <t>PA4</t>
  </si>
  <si>
    <t>Carlisle, PA: Carlisle Airport</t>
  </si>
  <si>
    <t>PA5</t>
  </si>
  <si>
    <t>West Chester, PA: Brandywine Regional</t>
  </si>
  <si>
    <t>PA6</t>
  </si>
  <si>
    <t>Pittsburgh, PA: Pittsburgh Northeast</t>
  </si>
  <si>
    <t>PA7</t>
  </si>
  <si>
    <t>Toughkenamon, PA: New Garden</t>
  </si>
  <si>
    <t>PA8</t>
  </si>
  <si>
    <t>Collegeville, PA: Perkiomen Valley</t>
  </si>
  <si>
    <t>PA9</t>
  </si>
  <si>
    <t>Tarentum, PA: Rock</t>
  </si>
  <si>
    <t>PAA</t>
  </si>
  <si>
    <t>Pa-An, Burma: Hpa An</t>
  </si>
  <si>
    <t>PAC</t>
  </si>
  <si>
    <t>Panama City, Panama: Marcos A Gelabert International</t>
  </si>
  <si>
    <t>PAD</t>
  </si>
  <si>
    <t>Paderborn, Germany: Paderborn/Lippstadt</t>
  </si>
  <si>
    <t>Everett, WA: Snohomish County</t>
  </si>
  <si>
    <t>PAG</t>
  </si>
  <si>
    <t>Pagadian, Philippines: Pagadian Airport</t>
  </si>
  <si>
    <t>Paducah, KY: Barkley Regional</t>
  </si>
  <si>
    <t>PAK</t>
  </si>
  <si>
    <t>Hanapepe, HI: Port Allen</t>
  </si>
  <si>
    <t>PAM</t>
  </si>
  <si>
    <t>Panama City, FL: Tyndall AFB</t>
  </si>
  <si>
    <t>PAN</t>
  </si>
  <si>
    <t>Pattani, Thailand: Pattani Airport</t>
  </si>
  <si>
    <t>PAO</t>
  </si>
  <si>
    <t>Palo Alto, CA: Palo Alto Airport</t>
  </si>
  <si>
    <t>Port-au-Prince, Haiti: Port Au Prince International</t>
  </si>
  <si>
    <t>PAQ</t>
  </si>
  <si>
    <t>Palmer, AK: Warren Bud Woods Palmer Municipal</t>
  </si>
  <si>
    <t>PAR</t>
  </si>
  <si>
    <t>Paris, France: Paris Metropolitan Area</t>
  </si>
  <si>
    <t>PAS</t>
  </si>
  <si>
    <t>Paros, Greece: Paros Airport</t>
  </si>
  <si>
    <t>PAT</t>
  </si>
  <si>
    <t>Patna, India: Jai Prakash Narayan International Patna</t>
  </si>
  <si>
    <t>PAV</t>
  </si>
  <si>
    <t>Paulo Alfonso, Brazil: Paulo Afonso</t>
  </si>
  <si>
    <t>PAX</t>
  </si>
  <si>
    <t>Port-de-Paix, Haiti: Port-de-Paix Airport</t>
  </si>
  <si>
    <t>PAY</t>
  </si>
  <si>
    <t>Pamol, Malaysia: Tungud/Pamol</t>
  </si>
  <si>
    <t>PAZ</t>
  </si>
  <si>
    <t>Poza Rica, Mexico: Tajin</t>
  </si>
  <si>
    <t>PBA</t>
  </si>
  <si>
    <t>Point Barrow, AK: Point Barrow LRRS</t>
  </si>
  <si>
    <t>PBC</t>
  </si>
  <si>
    <t>Puebla, Mexico: Hermanos Serdan International</t>
  </si>
  <si>
    <t>PBD</t>
  </si>
  <si>
    <t>Porbandar, India: Porbandar Airport</t>
  </si>
  <si>
    <t>PBF</t>
  </si>
  <si>
    <t>Pine Bluff, AR: Pine Bluff Regional Airport Grider Field</t>
  </si>
  <si>
    <t>Plattsburgh, NY: Plattsburgh International</t>
  </si>
  <si>
    <t>PBH</t>
  </si>
  <si>
    <t>Paro, Bhutan: Paro International</t>
  </si>
  <si>
    <t>West Palm Beach/Palm Beach, FL: Palm Beach International</t>
  </si>
  <si>
    <t>PBK</t>
  </si>
  <si>
    <t>Pack Creek, AK: Pack Creek Airport</t>
  </si>
  <si>
    <t>PBL</t>
  </si>
  <si>
    <t>Puerto Cabello, Venezuela: General Bartolome Salom</t>
  </si>
  <si>
    <t>PBM</t>
  </si>
  <si>
    <t>Zanderij, Suriname: Johan A. Pengel International</t>
  </si>
  <si>
    <t>PBN</t>
  </si>
  <si>
    <t>Porto Amboim, Angola: Porto Amboim Airport</t>
  </si>
  <si>
    <t>PBO</t>
  </si>
  <si>
    <t>Paraburdoo, Australia: Paraburdoo Airport</t>
  </si>
  <si>
    <t>PBR</t>
  </si>
  <si>
    <t>Puerto Barrios, Guatemala: Puerto Barrios Airport</t>
  </si>
  <si>
    <t>PBX</t>
  </si>
  <si>
    <t>Pikeville, KY: Pike County Hatcher Field</t>
  </si>
  <si>
    <t>PBZ</t>
  </si>
  <si>
    <t>Plettenberg Bay, South Africa: Plettenberg Bay Airport</t>
  </si>
  <si>
    <t>PCA</t>
  </si>
  <si>
    <t>Portage Creek, AK: Portage Creek Airport</t>
  </si>
  <si>
    <t>PCC</t>
  </si>
  <si>
    <t>Puerto Rico, Colombia: Puerto Rico Airport</t>
  </si>
  <si>
    <t>PCD</t>
  </si>
  <si>
    <t>Prairie Du Chien, WI: Prairie Du Chien Municipal</t>
  </si>
  <si>
    <t>PCE</t>
  </si>
  <si>
    <t>Painter Creek, AK: Painter Creek Airport</t>
  </si>
  <si>
    <t>PCG</t>
  </si>
  <si>
    <t>Paso Caballos, Guatemala: Paso Caballos Airport</t>
  </si>
  <si>
    <t>PCK</t>
  </si>
  <si>
    <t>Porcupine Creek, AK: Porcupine Creek Airport</t>
  </si>
  <si>
    <t>PCL</t>
  </si>
  <si>
    <t>Pucallpa, Peru: Captain FAP David Abensur Rengifo International</t>
  </si>
  <si>
    <t>PCT</t>
  </si>
  <si>
    <t>Princeton, NJ: Princeton Airport</t>
  </si>
  <si>
    <t>PDA</t>
  </si>
  <si>
    <t>Puerto Inirida, Colombia: Puerto Inirida Airport</t>
  </si>
  <si>
    <t>PDB</t>
  </si>
  <si>
    <t>Pedro Bay, AK: Pedro Bay Airport</t>
  </si>
  <si>
    <t>PDC</t>
  </si>
  <si>
    <t>Mueo, New Caledonia: Mueo Nickel</t>
  </si>
  <si>
    <t>PDG</t>
  </si>
  <si>
    <t>Padang, Indonesia: Tabing</t>
  </si>
  <si>
    <t>PDK</t>
  </si>
  <si>
    <t>Atlanta, GA: Dekalb Peachtree</t>
  </si>
  <si>
    <t>PDL</t>
  </si>
  <si>
    <t>Ponta Delgada, Portugal: Ponta Delgada Airport</t>
  </si>
  <si>
    <t>PDP</t>
  </si>
  <si>
    <t>Maldonado, Uruguay: Capitan Corbeta C. A. Curbelo International</t>
  </si>
  <si>
    <t>PDS</t>
  </si>
  <si>
    <t>Piedras Negras, Mexico: Piedras Negras International</t>
  </si>
  <si>
    <t>PDT</t>
  </si>
  <si>
    <t>Pendleton, OR: Eastern Oregon Regional at Pendleton</t>
  </si>
  <si>
    <t>PDU</t>
  </si>
  <si>
    <t>Paysandu, Uruguay: Tydeo Larre Borges International</t>
  </si>
  <si>
    <t>PDV</t>
  </si>
  <si>
    <t>Plovdiv, Bulgaria: Plovdiv Airport</t>
  </si>
  <si>
    <t>Portland, OR: Portland International</t>
  </si>
  <si>
    <t>PDZ</t>
  </si>
  <si>
    <t>Pedernales, Venezuela: Pedernales Airport</t>
  </si>
  <si>
    <t>PE1</t>
  </si>
  <si>
    <t>Las Malvinas, Peru: Las Malvinas Airport</t>
  </si>
  <si>
    <t>PE2</t>
  </si>
  <si>
    <t>Puerto Jose, Peru: Andoas</t>
  </si>
  <si>
    <t>PEA</t>
  </si>
  <si>
    <t>Penneshaw, Australia: Penneshaw Airport</t>
  </si>
  <si>
    <t>PEC</t>
  </si>
  <si>
    <t>Pelican, AK: Pelican Seaplane Base</t>
  </si>
  <si>
    <t>PED</t>
  </si>
  <si>
    <t>Pardubice, Czech Republic: Pardubice Airport</t>
  </si>
  <si>
    <t>PEE</t>
  </si>
  <si>
    <t>Perm, Russia: Bolshoe Savino</t>
  </si>
  <si>
    <t>PEG</t>
  </si>
  <si>
    <t>Perugia, Italy: Perugia S Francesco</t>
  </si>
  <si>
    <t>PEI</t>
  </si>
  <si>
    <t>Pereira, Colombia: Matecana</t>
  </si>
  <si>
    <t>PEK</t>
  </si>
  <si>
    <t>Beijing, China: Capital International</t>
  </si>
  <si>
    <t>PEM</t>
  </si>
  <si>
    <t>Puerto Maldonado, Peru: Padre Aldamiz</t>
  </si>
  <si>
    <t>PEN</t>
  </si>
  <si>
    <t>Bayan Lepas, Malaysia: Penang International</t>
  </si>
  <si>
    <t>PEO</t>
  </si>
  <si>
    <t>Progreso, Honduras: Progreso Airport</t>
  </si>
  <si>
    <t>PEQ</t>
  </si>
  <si>
    <t>Pecos City, TX: Pecos Municipal</t>
  </si>
  <si>
    <t>PER</t>
  </si>
  <si>
    <t>Perth, Australia: Perth International</t>
  </si>
  <si>
    <t>PET</t>
  </si>
  <si>
    <t>Pelotas, Brazil: Pelotas International</t>
  </si>
  <si>
    <t>PEU</t>
  </si>
  <si>
    <t>Puerto Lempira, Honduras: Puerto Lempira Airport</t>
  </si>
  <si>
    <t>PEW</t>
  </si>
  <si>
    <t>Peshawar, Pakistan: Bacha Khan International</t>
  </si>
  <si>
    <t>PFA</t>
  </si>
  <si>
    <t>Paf Warren, AK: Paf Warren Airport</t>
  </si>
  <si>
    <t>PFB</t>
  </si>
  <si>
    <t>Passo Fundo, Brazil: Passo Fundo Airport</t>
  </si>
  <si>
    <t>PFD</t>
  </si>
  <si>
    <t>Port Frederick, AK: Port Frederick Airport</t>
  </si>
  <si>
    <t>PFN</t>
  </si>
  <si>
    <t>Panama City, FL: Bay County</t>
  </si>
  <si>
    <t>PFO</t>
  </si>
  <si>
    <t>Pafos, Cyprus: Pafos International</t>
  </si>
  <si>
    <t>PFR</t>
  </si>
  <si>
    <t>Ilebo, Congo (Kinshasa): Ilebo Airport</t>
  </si>
  <si>
    <t>PGA</t>
  </si>
  <si>
    <t>Page, AZ: Page Municipal</t>
  </si>
  <si>
    <t>PGC</t>
  </si>
  <si>
    <t>Petersburg, WV: Grant County</t>
  </si>
  <si>
    <t>Punta Gorda, FL: Punta Gorda Airport</t>
  </si>
  <si>
    <t>PGF</t>
  </si>
  <si>
    <t>Perpignan, France: Perpignan Rivesaltes</t>
  </si>
  <si>
    <t>PGH</t>
  </si>
  <si>
    <t>Pantnagar, India: Pantnagar Airport</t>
  </si>
  <si>
    <t>PGI</t>
  </si>
  <si>
    <t>Chitato, Angola: Chitato Airport</t>
  </si>
  <si>
    <t>PGK</t>
  </si>
  <si>
    <t>Pangkalpinang, Indonesia: Depati Amir</t>
  </si>
  <si>
    <t>PGL</t>
  </si>
  <si>
    <t>Pascagoula, MS: Jackson County</t>
  </si>
  <si>
    <t>PGM</t>
  </si>
  <si>
    <t>Port Graham, AK: Port Graham Airport</t>
  </si>
  <si>
    <t>PGO</t>
  </si>
  <si>
    <t>Pagosa Springs, CO: Stevens Field</t>
  </si>
  <si>
    <t>PGR</t>
  </si>
  <si>
    <t>Paragould, AR: Kirk Field</t>
  </si>
  <si>
    <t>PGS</t>
  </si>
  <si>
    <t>Peach Springs, AZ: Peach Springs Dirt Strip</t>
  </si>
  <si>
    <t>Greenville, NC: Pitt Greenville</t>
  </si>
  <si>
    <t>PHA</t>
  </si>
  <si>
    <t>Phan Rang, Vietnam: Phan Rang Airport</t>
  </si>
  <si>
    <t>PHB</t>
  </si>
  <si>
    <t>Parnaiba, Brazil: Parnaiba Airport</t>
  </si>
  <si>
    <t>PHC</t>
  </si>
  <si>
    <t>Port Harcourt, Nigeria: Port Harcourt Airport</t>
  </si>
  <si>
    <t>PHD</t>
  </si>
  <si>
    <t>New Philadelphia, OH: Harry Clever Field</t>
  </si>
  <si>
    <t>PHE</t>
  </si>
  <si>
    <t>Port Hedland, Australia: Port Hedland International</t>
  </si>
  <si>
    <t>Newport News/Williamsburg, VA: Newport News/Williamsburg International</t>
  </si>
  <si>
    <t>PHI</t>
  </si>
  <si>
    <t>Pinheiro, Brazil: Pinheiro Airport</t>
  </si>
  <si>
    <t>Philadelphia, PA: Philadelphia International</t>
  </si>
  <si>
    <t>PHN</t>
  </si>
  <si>
    <t>Port Huron, MI: St. Clair County International</t>
  </si>
  <si>
    <t>PHO</t>
  </si>
  <si>
    <t>Point Hope, AK: Point Hope Airport</t>
  </si>
  <si>
    <t>PHR</t>
  </si>
  <si>
    <t>Pacific Harbour, Fiji: Nanuku Resort</t>
  </si>
  <si>
    <t>PHS</t>
  </si>
  <si>
    <t>Phitsanulok, Thailand: Phitsanulok Airport</t>
  </si>
  <si>
    <t>PHT</t>
  </si>
  <si>
    <t>Paris, TN: Henry County</t>
  </si>
  <si>
    <t>PHW</t>
  </si>
  <si>
    <t>Phalaborwa, South Africa: Kruger Park Gateway</t>
  </si>
  <si>
    <t>Phoenix, AZ: Phoenix Sky Harbor International</t>
  </si>
  <si>
    <t>Peoria, IL: General Downing - Peoria International</t>
  </si>
  <si>
    <t>Hattiesburg/Laurel, MS: Hattiesburg-Laurel Regional</t>
  </si>
  <si>
    <t>PIC</t>
  </si>
  <si>
    <t>Pine Cay, Turks and Caicos Islands: Pine Cay British West Indies</t>
  </si>
  <si>
    <t>PID</t>
  </si>
  <si>
    <t>Nassau/Paradise Island, The Bahamas: Nassau-Paradise Island</t>
  </si>
  <si>
    <t>St. Petersburg, FL: St Pete Clearwater International</t>
  </si>
  <si>
    <t>Pocatello, ID: Pocatello Regional</t>
  </si>
  <si>
    <t>PII</t>
  </si>
  <si>
    <t>Fairbanks, AK: Phillips Field</t>
  </si>
  <si>
    <t>PIK</t>
  </si>
  <si>
    <t>Glasgow/Prestwick, United Kingdom: Prestwick</t>
  </si>
  <si>
    <t>PIM</t>
  </si>
  <si>
    <t>Pine Mountain, GA: Harris County</t>
  </si>
  <si>
    <t>PIN</t>
  </si>
  <si>
    <t>Parintins, Brazil: Parintins Airport</t>
  </si>
  <si>
    <t>PIO</t>
  </si>
  <si>
    <t>Pisco, Peru: Pisco International</t>
  </si>
  <si>
    <t>PIP</t>
  </si>
  <si>
    <t>Pilot Point, AK: Pilot Point Airport</t>
  </si>
  <si>
    <t>Pierre, SD: Pierre Regional</t>
  </si>
  <si>
    <t>PIS</t>
  </si>
  <si>
    <t>Poitiers, France: Poitiers Biard</t>
  </si>
  <si>
    <t>Pittsburgh, PA: Pittsburgh International</t>
  </si>
  <si>
    <t>PIU</t>
  </si>
  <si>
    <t>Piura, Peru: Capitan FAP Guillermo Concha Iberico</t>
  </si>
  <si>
    <t>PIX</t>
  </si>
  <si>
    <t>Pico Island, Portugal: Pico</t>
  </si>
  <si>
    <t>PIZ</t>
  </si>
  <si>
    <t>Point Lay, AK: Point Lay LRRS</t>
  </si>
  <si>
    <t>PJB</t>
  </si>
  <si>
    <t>Payson, AZ: Payson Airport</t>
  </si>
  <si>
    <t>PJG</t>
  </si>
  <si>
    <t>Panjgur, Pakistan: Panjgur Airport</t>
  </si>
  <si>
    <t>PJM</t>
  </si>
  <si>
    <t>Puerto Jimenez, Costa Rica: Puerto Jimenez Airport</t>
  </si>
  <si>
    <t>PJS</t>
  </si>
  <si>
    <t>Port San Juan, AK: Port San Juan Airport</t>
  </si>
  <si>
    <t>PKA</t>
  </si>
  <si>
    <t>Napaskiak, AK: Napaskiak Airport</t>
  </si>
  <si>
    <t>PKB</t>
  </si>
  <si>
    <t>Parkersburg, WV: Mid-Ohio Valley Regional</t>
  </si>
  <si>
    <t>PKC</t>
  </si>
  <si>
    <t>Petropavlovsk-Kamchatsky, Russia: Yelizovo</t>
  </si>
  <si>
    <t>PKD</t>
  </si>
  <si>
    <t>Park Rapids, MN: Park Rapids Municipal-Konshok Field</t>
  </si>
  <si>
    <t>PKE</t>
  </si>
  <si>
    <t>Parkes, Australia: Parkes Airport</t>
  </si>
  <si>
    <t>PKH</t>
  </si>
  <si>
    <t>Porto-Kheli, Greece: Porto Heli</t>
  </si>
  <si>
    <t>PKK</t>
  </si>
  <si>
    <t>Pakokku, Burma: Pakhokku</t>
  </si>
  <si>
    <t>PKR</t>
  </si>
  <si>
    <t>Pokhara, Nepal: Pokhara Airport</t>
  </si>
  <si>
    <t>PKU</t>
  </si>
  <si>
    <t>Pekanbaru, Indonesia: Simpang Tiga</t>
  </si>
  <si>
    <t>PKW</t>
  </si>
  <si>
    <t>Selebi-Phikwe, Botswana: Selebi-Phikwe Airport</t>
  </si>
  <si>
    <t>PKX</t>
  </si>
  <si>
    <t>Beijing, China: Beijing Daxing International</t>
  </si>
  <si>
    <t>PKZ</t>
  </si>
  <si>
    <t>Pakse, Laos: Pakse International</t>
  </si>
  <si>
    <t>PL1</t>
  </si>
  <si>
    <t>Swidwin, Poland: Swidwin Airport</t>
  </si>
  <si>
    <t>PL2</t>
  </si>
  <si>
    <t>Witkowo, Poland: Powidz</t>
  </si>
  <si>
    <t>PL3</t>
  </si>
  <si>
    <t>Lask, Poland: Polish 32 Baza Lotnicza</t>
  </si>
  <si>
    <t>PLA</t>
  </si>
  <si>
    <t>Planadas, Colombia: Planadas Airport</t>
  </si>
  <si>
    <t>PLB</t>
  </si>
  <si>
    <t>Plattsburgh, NY: Clinton County</t>
  </si>
  <si>
    <t>PLC</t>
  </si>
  <si>
    <t>Planeta Rica, Colombia: Planeta Rica Airport</t>
  </si>
  <si>
    <t>PLH</t>
  </si>
  <si>
    <t>Plymouth, United Kingdom: Plymouth Airport</t>
  </si>
  <si>
    <t>PLK</t>
  </si>
  <si>
    <t>Point Lookout, MO: M Graham Clark Downtown</t>
  </si>
  <si>
    <t>PLL</t>
  </si>
  <si>
    <t>Ponta Pelada, Brazil: Ponta Pelada Airport</t>
  </si>
  <si>
    <t>PLM</t>
  </si>
  <si>
    <t>Palembang, Indonesia: Sultan Mahmud Badaruddin II</t>
  </si>
  <si>
    <t>Pellston, MI: Pellston Regional Airport of Emmet County</t>
  </si>
  <si>
    <t>PLO</t>
  </si>
  <si>
    <t>Port Lincoln, Australia: Port Lincoln Airport</t>
  </si>
  <si>
    <t>PLQ</t>
  </si>
  <si>
    <t>Palanga, Lithuania: Palanga International</t>
  </si>
  <si>
    <t>Providenciales, Turks and Caicos Islands: Providenciales International</t>
  </si>
  <si>
    <t>PLT</t>
  </si>
  <si>
    <t>Plato, Colombia: Plato Airport</t>
  </si>
  <si>
    <t>PLU</t>
  </si>
  <si>
    <t>Belo Horizonte, Brazil: Pampulha Carlos Drummond de Andrade</t>
  </si>
  <si>
    <t>PLW</t>
  </si>
  <si>
    <t>Palu, Indonesia: Palu Celebes-Mutiara Indon.</t>
  </si>
  <si>
    <t>PLY</t>
  </si>
  <si>
    <t>Plymouth, IN: Plymouth Municipal</t>
  </si>
  <si>
    <t>PLZ</t>
  </si>
  <si>
    <t>Port Elizabeth, South Africa: Port Elizabeth International</t>
  </si>
  <si>
    <t>PMA</t>
  </si>
  <si>
    <t>Pemba Island, Tanzania: Pemba</t>
  </si>
  <si>
    <t>PMB</t>
  </si>
  <si>
    <t>Pembina, ND: Pembina Municipal</t>
  </si>
  <si>
    <t>PMC</t>
  </si>
  <si>
    <t>Puerto Montt, Chile: El Tepual International</t>
  </si>
  <si>
    <t>PMD</t>
  </si>
  <si>
    <t>Palmdale, CA: Palmdale USAF Plant 42</t>
  </si>
  <si>
    <t>PMF</t>
  </si>
  <si>
    <t>Parma, Italy: Parma Airport</t>
  </si>
  <si>
    <t>PMG</t>
  </si>
  <si>
    <t>Ponta Pora, Brazil: Ponta Pora International</t>
  </si>
  <si>
    <t>PMH</t>
  </si>
  <si>
    <t>Portsmouth, OH: Greater Portsmouth Regional</t>
  </si>
  <si>
    <t>PMI</t>
  </si>
  <si>
    <t>Palma Mallorca, Spain: Palma de Mallorca</t>
  </si>
  <si>
    <t>PML</t>
  </si>
  <si>
    <t>Port Moller, AK: Port Moller Airport</t>
  </si>
  <si>
    <t>PMO</t>
  </si>
  <si>
    <t>Palermo, Italy: Palermo Airport</t>
  </si>
  <si>
    <t>PMP</t>
  </si>
  <si>
    <t>Pimaga, Papua New Guinea: Pimaga Airport</t>
  </si>
  <si>
    <t>PMQ</t>
  </si>
  <si>
    <t>Perito Moreno, Argentina: Perito Moreno Airport</t>
  </si>
  <si>
    <t>PMR</t>
  </si>
  <si>
    <t>Palmerston, New Zealand: Palmerston North</t>
  </si>
  <si>
    <t>PMS</t>
  </si>
  <si>
    <t>Palmyra, Syria: Palmyra Airport</t>
  </si>
  <si>
    <t>PMU</t>
  </si>
  <si>
    <t>Paimiut, AK: Paimiut Airport</t>
  </si>
  <si>
    <t>PMV</t>
  </si>
  <si>
    <t>Porlamar, Venezuela: General Santiago Marino International</t>
  </si>
  <si>
    <t>PMW</t>
  </si>
  <si>
    <t>Palmas, Brazil: Palmas Airport</t>
  </si>
  <si>
    <t>PMY</t>
  </si>
  <si>
    <t>El Tehuelche, Argentina: Puerto Madryn</t>
  </si>
  <si>
    <t>PMZ</t>
  </si>
  <si>
    <t>Palmar, Costa Rica: Palmar Sur</t>
  </si>
  <si>
    <t>PNA</t>
  </si>
  <si>
    <t>Pamplona, Spain: Pamplona Airport</t>
  </si>
  <si>
    <t>PNB</t>
  </si>
  <si>
    <t>Porto Nacional, Brazil: Porto Nacional Airport</t>
  </si>
  <si>
    <t>PNC</t>
  </si>
  <si>
    <t>Ponca City, OK: Ponca City Regional</t>
  </si>
  <si>
    <t>PND</t>
  </si>
  <si>
    <t>Punta Gorda, Belize: Punta Gorda Airport</t>
  </si>
  <si>
    <t>PNE</t>
  </si>
  <si>
    <t>Philadelphia, PA: Northeast Philadelphia</t>
  </si>
  <si>
    <t>PNF</t>
  </si>
  <si>
    <t>Peterson's Point, AK: Peterson's Point Airport</t>
  </si>
  <si>
    <t>PNG</t>
  </si>
  <si>
    <t>Paranagua, Brazil: Paranagua Airport</t>
  </si>
  <si>
    <t>PNH</t>
  </si>
  <si>
    <t>Phnom Penh, Cambodia: Phnom Penh International</t>
  </si>
  <si>
    <t>PNI</t>
  </si>
  <si>
    <t>Pohnpei, Federated States of Micronesia: Pohnpei International</t>
  </si>
  <si>
    <t>PNK</t>
  </si>
  <si>
    <t>Pontianak, Indonesia: Supadio</t>
  </si>
  <si>
    <t>PNL</t>
  </si>
  <si>
    <t>Pantelleria, Italy: Pantelleria Airport</t>
  </si>
  <si>
    <t>PNN</t>
  </si>
  <si>
    <t>Princeton, ME: Princeton Municipal</t>
  </si>
  <si>
    <t>PNO</t>
  </si>
  <si>
    <t>Pinotepa, Mexico: Pinotepa Nacional</t>
  </si>
  <si>
    <t>PNP</t>
  </si>
  <si>
    <t>Popondetta, Papua New Guinea: Girua</t>
  </si>
  <si>
    <t>PNQ</t>
  </si>
  <si>
    <t>Pune, India: Pune Airport</t>
  </si>
  <si>
    <t>PNR</t>
  </si>
  <si>
    <t>Pointe Noire, Congo (Brazaville): Antonio Agostinho Neto</t>
  </si>
  <si>
    <t>Pensacola, FL: Pensacola International</t>
  </si>
  <si>
    <t>PNT</t>
  </si>
  <si>
    <t>Puero Natales, Chile: Teniente Julio Gallardo</t>
  </si>
  <si>
    <t>PNX</t>
  </si>
  <si>
    <t>Sherman-Denison, TX: Sherman-Denison Airport</t>
  </si>
  <si>
    <t>PNZ</t>
  </si>
  <si>
    <t>Petrolina, Brazil: Petrolina Airport</t>
  </si>
  <si>
    <t>POA</t>
  </si>
  <si>
    <t>Porto Alegre, Brazil: Salgado Filho</t>
  </si>
  <si>
    <t>POB</t>
  </si>
  <si>
    <t>Fayetteville, NC: Pope AAF</t>
  </si>
  <si>
    <t>POC</t>
  </si>
  <si>
    <t>La Verne, CA: Brackett Field</t>
  </si>
  <si>
    <t>POD</t>
  </si>
  <si>
    <t>POE</t>
  </si>
  <si>
    <t>Fort Polk, LA: Polk AAF</t>
  </si>
  <si>
    <t>POF</t>
  </si>
  <si>
    <t>Poplar Bluff, MO: Hayes Field</t>
  </si>
  <si>
    <t>POG</t>
  </si>
  <si>
    <t>Port Gentil, Gabon: Port Gentil Airport</t>
  </si>
  <si>
    <t>POH</t>
  </si>
  <si>
    <t>Pocahontas, IA: Pocahontas Municipal</t>
  </si>
  <si>
    <t>POI</t>
  </si>
  <si>
    <t>Potosi, Bolivia: Capitan Nicolas Rojas</t>
  </si>
  <si>
    <t>POL</t>
  </si>
  <si>
    <t>Pemba, Mozambique: Pemba Airport</t>
  </si>
  <si>
    <t>POM</t>
  </si>
  <si>
    <t>Port Moresby, Papua New Guinea: Port Moresby International</t>
  </si>
  <si>
    <t>Puerto Plata, Dominican Republic: Gregorio Luperon International</t>
  </si>
  <si>
    <t>POQ</t>
  </si>
  <si>
    <t>Polk Inlet, AK: Polk Inlet Airport</t>
  </si>
  <si>
    <t>POR</t>
  </si>
  <si>
    <t>Pori, Finland: Pori Airport</t>
  </si>
  <si>
    <t>Port of Spain, Trinidad and Tobago: Piarco</t>
  </si>
  <si>
    <t>POT</t>
  </si>
  <si>
    <t>Port Antonio, Jamaica: Ken Jones</t>
  </si>
  <si>
    <t>POU</t>
  </si>
  <si>
    <t>Poughkeepsie, NY: Hudson Valley Regional</t>
  </si>
  <si>
    <t>POW</t>
  </si>
  <si>
    <t>Portoroz, Slovenia: Portoroz Airport</t>
  </si>
  <si>
    <t>POX</t>
  </si>
  <si>
    <t>Pontoise, France: Pontoise Cormeilles en Vexin</t>
  </si>
  <si>
    <t>POY</t>
  </si>
  <si>
    <t>Powell, WY: Powell Municipal</t>
  </si>
  <si>
    <t>POZ</t>
  </si>
  <si>
    <t>Poznan, Poland: Lawica</t>
  </si>
  <si>
    <t>PPB</t>
  </si>
  <si>
    <t>Pres. Prudente, Brazil: A. de Barros</t>
  </si>
  <si>
    <t>PPC</t>
  </si>
  <si>
    <t>Prospect Creek, AK: Prospect Creek Airport</t>
  </si>
  <si>
    <t>PPD</t>
  </si>
  <si>
    <t>Humacao, PR: Palmas del Mar Airstrip</t>
  </si>
  <si>
    <t>PPE</t>
  </si>
  <si>
    <t>Puerto Penasco, Mexico: Puerto Penasco Airport</t>
  </si>
  <si>
    <t>PPF</t>
  </si>
  <si>
    <t>Parsons, KS: Tri City</t>
  </si>
  <si>
    <t>Pago Pago, TT: Pago Pago International</t>
  </si>
  <si>
    <t>PPM</t>
  </si>
  <si>
    <t>Pompano Beach, FL: Pompano Beach Airpark</t>
  </si>
  <si>
    <t>PPN</t>
  </si>
  <si>
    <t>Popayan, Colombia: Machangara</t>
  </si>
  <si>
    <t>PPO</t>
  </si>
  <si>
    <t>Powell Point, The Bahamas: Powell Point Airport</t>
  </si>
  <si>
    <t>PPP</t>
  </si>
  <si>
    <t>Proserpine, Australia: Proserpine Whitsunday Coast</t>
  </si>
  <si>
    <t>PPQ</t>
  </si>
  <si>
    <t>Paraparaumu, New Zealand: Paraparaumu Airport</t>
  </si>
  <si>
    <t>PPS</t>
  </si>
  <si>
    <t>Puerto Princesa, Philippines: Puerto Princesa Airport</t>
  </si>
  <si>
    <t>PPT</t>
  </si>
  <si>
    <t>Papeete, French Polynesia: Tahiti Faa'a</t>
  </si>
  <si>
    <t>PPV</t>
  </si>
  <si>
    <t>Port Protection, AK: Port Protection Airport</t>
  </si>
  <si>
    <t>PPZ</t>
  </si>
  <si>
    <t>Puerto Paez, Venezuela: Puerto Paez Airport</t>
  </si>
  <si>
    <t>Presque Isle/Houlton, ME: Presque Isle International</t>
  </si>
  <si>
    <t>PQM</t>
  </si>
  <si>
    <t>Palenque, Mexico: Palenque International</t>
  </si>
  <si>
    <t>PQQ</t>
  </si>
  <si>
    <t>Port Macquarie, Australia: Port Macquarie Airport</t>
  </si>
  <si>
    <t>PQS</t>
  </si>
  <si>
    <t>Pilot Station, AK: Pilot Station Airport</t>
  </si>
  <si>
    <t>PRA</t>
  </si>
  <si>
    <t>Parana, Argentina: General Urquiza</t>
  </si>
  <si>
    <t>PRB</t>
  </si>
  <si>
    <t>Paso Robles, CA: Paso Robles Municipal</t>
  </si>
  <si>
    <t>Prescott, AZ: Prescott Regional Ernest A Love Field</t>
  </si>
  <si>
    <t>PRD</t>
  </si>
  <si>
    <t>Pine Ridge, SD: Pine Ridge Airport</t>
  </si>
  <si>
    <t>PRG</t>
  </si>
  <si>
    <t>Prague, Czech Republic: Ruzyne</t>
  </si>
  <si>
    <t>PRI</t>
  </si>
  <si>
    <t>Praslin, Seychelles: Praslin Airport</t>
  </si>
  <si>
    <t>PRJ</t>
  </si>
  <si>
    <t>Capri, Italy: Capri Airport</t>
  </si>
  <si>
    <t>PRN</t>
  </si>
  <si>
    <t>Pristina, Kosovo: Pristina Airport</t>
  </si>
  <si>
    <t>PRT</t>
  </si>
  <si>
    <t>Point Retreat, AK: Coast Guard Heliport</t>
  </si>
  <si>
    <t>PRU</t>
  </si>
  <si>
    <t>Pyay, Burma: Pyay Airport</t>
  </si>
  <si>
    <t>PRV</t>
  </si>
  <si>
    <t>Prerov, Czech Republic: Prerov Airport</t>
  </si>
  <si>
    <t>PRX</t>
  </si>
  <si>
    <t>Paris, TX: Cox Field</t>
  </si>
  <si>
    <t>PRY</t>
  </si>
  <si>
    <t>Pretoria, South Africa: Wonderboom</t>
  </si>
  <si>
    <t>PRZ</t>
  </si>
  <si>
    <t>Prineville, OR: Prineville Airport</t>
  </si>
  <si>
    <t>PSA</t>
  </si>
  <si>
    <t>Pisa, Italy: Pisa Airport</t>
  </si>
  <si>
    <t>PSB</t>
  </si>
  <si>
    <t>Philipsburg, PA: Mid State</t>
  </si>
  <si>
    <t>Pasco/Kennewick/Richland, WA: Tri Cities</t>
  </si>
  <si>
    <t>PSD</t>
  </si>
  <si>
    <t>Port Said, Egypt: Port Said Airport</t>
  </si>
  <si>
    <t>Ponce, PR: Mercedita</t>
  </si>
  <si>
    <t>PSF</t>
  </si>
  <si>
    <t>Pittsfield, MA: Pittsfield Municipal</t>
  </si>
  <si>
    <t>Petersburg, AK: Petersburg James A Johnson</t>
  </si>
  <si>
    <t>PSI</t>
  </si>
  <si>
    <t>Pasni, Pakistan: Pasni Airport</t>
  </si>
  <si>
    <t>PSK</t>
  </si>
  <si>
    <t>Dublin, VA: New River Valley</t>
  </si>
  <si>
    <t>Portsmouth, NH: Portsmouth International at Pease</t>
  </si>
  <si>
    <t>PSN</t>
  </si>
  <si>
    <t>Palestine, TX: Palestine Municipal</t>
  </si>
  <si>
    <t>PSO</t>
  </si>
  <si>
    <t>Pasto, Colombia: Pasto Airport</t>
  </si>
  <si>
    <t>Palm Springs, CA: Palm Springs International</t>
  </si>
  <si>
    <t>PSQ</t>
  </si>
  <si>
    <t>Essington, PA: Philadelphia Seaplane Base</t>
  </si>
  <si>
    <t>PSR</t>
  </si>
  <si>
    <t>Pescara, Italy: Pescara Airport</t>
  </si>
  <si>
    <t>PSS</t>
  </si>
  <si>
    <t>Posadas, Argentina: Posadas Airport</t>
  </si>
  <si>
    <t>PSX</t>
  </si>
  <si>
    <t>Palacios, TX: Palacios Municipal</t>
  </si>
  <si>
    <t>PSY</t>
  </si>
  <si>
    <t>Stanley, Falkland Islands (Islas Malvinas): Stanley Airport</t>
  </si>
  <si>
    <t>PSZ</t>
  </si>
  <si>
    <t>Puerto Suarez, Bolivia: Tte Av Salvador Ogaya G International</t>
  </si>
  <si>
    <t>PT1</t>
  </si>
  <si>
    <t>Cascais, Portugal: Cascais Airport</t>
  </si>
  <si>
    <t>PTA</t>
  </si>
  <si>
    <t>Port Alsworth, AK: Port Alsworth Airport</t>
  </si>
  <si>
    <t>PTC</t>
  </si>
  <si>
    <t>Port Alice, AK: Port Alice Airport</t>
  </si>
  <si>
    <t>PTD</t>
  </si>
  <si>
    <t>Port Alexander, AK: Port Alexander Airport</t>
  </si>
  <si>
    <t>PTF</t>
  </si>
  <si>
    <t>Malolo Lailai, Fiji: Malolo Lailai Airport</t>
  </si>
  <si>
    <t>PTG</t>
  </si>
  <si>
    <t>Polokwane, South Africa: Polokwane International</t>
  </si>
  <si>
    <t>PTH</t>
  </si>
  <si>
    <t>Port Heiden, AK: Port Heiden Airport</t>
  </si>
  <si>
    <t>PTJ</t>
  </si>
  <si>
    <t>Portland, Australia: Portland Airport</t>
  </si>
  <si>
    <t>PTK</t>
  </si>
  <si>
    <t>Pontiac, MI: Oakland County International</t>
  </si>
  <si>
    <t>PTL</t>
  </si>
  <si>
    <t>Port Armstrong, AK: Port Armstrong Airport</t>
  </si>
  <si>
    <t>PTN</t>
  </si>
  <si>
    <t>Patterson, LA: Harry P Williams Memorial</t>
  </si>
  <si>
    <t>Pointe A Pitre, Guadeloupe: Le Raizet</t>
  </si>
  <si>
    <t>PTR</t>
  </si>
  <si>
    <t>Pleasant Harbour, AK: Pleasant Harbour Airport</t>
  </si>
  <si>
    <t>PTS</t>
  </si>
  <si>
    <t>Pittsburg, KS: Atkinson Municipal</t>
  </si>
  <si>
    <t>PTT</t>
  </si>
  <si>
    <t>Pratt, KS: Pratt Regional</t>
  </si>
  <si>
    <t>PTU</t>
  </si>
  <si>
    <t>Platinum, AK: Platinum Airport</t>
  </si>
  <si>
    <t>PTV</t>
  </si>
  <si>
    <t>Porterville, CA: Porterville Municipal</t>
  </si>
  <si>
    <t>PTW</t>
  </si>
  <si>
    <t>Pottstown, PA: Heritage Field</t>
  </si>
  <si>
    <t>PTX</t>
  </si>
  <si>
    <t>Pitalito, Colombia: Contador</t>
  </si>
  <si>
    <t>PTY</t>
  </si>
  <si>
    <t>Panama City, Panama: Tocumen International</t>
  </si>
  <si>
    <t>PTZ</t>
  </si>
  <si>
    <t>Pastaza, Ecuador: Rio Amazonas</t>
  </si>
  <si>
    <t>Pueblo, CO: Pueblo Memorial</t>
  </si>
  <si>
    <t>PUC</t>
  </si>
  <si>
    <t>Price, UT: Carbon County Regional/Buck Davis Field</t>
  </si>
  <si>
    <t>PUD</t>
  </si>
  <si>
    <t>Puerto Deseado, Argentina: Puerto Deseado Airport</t>
  </si>
  <si>
    <t>PUF</t>
  </si>
  <si>
    <t>Pau, France: Pau Pyrenees</t>
  </si>
  <si>
    <t>PUG</t>
  </si>
  <si>
    <t>Port Augusta, Australia: Port Augusta Airport</t>
  </si>
  <si>
    <t>Punta Cana, Dominican Republic: Punta Cana International</t>
  </si>
  <si>
    <t>PUK</t>
  </si>
  <si>
    <t>Pukarua, French Polynesia: Pukarua Airport</t>
  </si>
  <si>
    <t>PUL</t>
  </si>
  <si>
    <t>Poulsbo, WA: Port of Poulsbo Marina Moorage Seaplane Base</t>
  </si>
  <si>
    <t>PUO</t>
  </si>
  <si>
    <t>Prudhoe Bay, AK: Prudhoe Bay Airport</t>
  </si>
  <si>
    <t>PUQ</t>
  </si>
  <si>
    <t>Punta Arenas, Chile: Carlos Ibanez del Campo International</t>
  </si>
  <si>
    <t>PUR</t>
  </si>
  <si>
    <t>Puerto Rico, Bolivia: Puerto Rico Airport</t>
  </si>
  <si>
    <t>PUS</t>
  </si>
  <si>
    <t>Busan, South Korea: Gimhae International</t>
  </si>
  <si>
    <t>PUT</t>
  </si>
  <si>
    <t>Puttaparthi, India: Puttaprathe</t>
  </si>
  <si>
    <t>PUU</t>
  </si>
  <si>
    <t>Puerto Asis, Colombia: Puerto Asis Airport</t>
  </si>
  <si>
    <t>PUV</t>
  </si>
  <si>
    <t>Poum, New Caledonia: Poum Sommet</t>
  </si>
  <si>
    <t>Pullman, WA: Pullman Moscow Regional</t>
  </si>
  <si>
    <t>PUY</t>
  </si>
  <si>
    <t>Pula, Croatia: Pula Airport</t>
  </si>
  <si>
    <t>PUZ</t>
  </si>
  <si>
    <t>Puerto Cabezas, Nicaragua: Puerto Cabezas Airport</t>
  </si>
  <si>
    <t>PVC</t>
  </si>
  <si>
    <t>Provincetown, MA: Provincetown Municipal</t>
  </si>
  <si>
    <t>Providence, RI: Theodore Francis Green State</t>
  </si>
  <si>
    <t>PVF</t>
  </si>
  <si>
    <t>Placerville, CA: Placerville Airport</t>
  </si>
  <si>
    <t>PVG</t>
  </si>
  <si>
    <t>Shanghai, China: Pudong</t>
  </si>
  <si>
    <t>PVH</t>
  </si>
  <si>
    <t>Porto Velho, Brazil: Governador Jorge Teixeira de Oliveira</t>
  </si>
  <si>
    <t>PVK</t>
  </si>
  <si>
    <t>Preveza, Greece: Aktion</t>
  </si>
  <si>
    <t>Puerto Vallarta, Mexico: Licenciado Gustavo Diaz Ordaz International</t>
  </si>
  <si>
    <t>PVS</t>
  </si>
  <si>
    <t>Provideniya, Russia: Provideniya Bay</t>
  </si>
  <si>
    <t>Provo, UT: Provo Municipal</t>
  </si>
  <si>
    <t>PVW</t>
  </si>
  <si>
    <t>Plainview, TX: Hale County</t>
  </si>
  <si>
    <t>PVY</t>
  </si>
  <si>
    <t>Pope Vanoy, AK: Pope Vanoy Airport</t>
  </si>
  <si>
    <t>PVZ</t>
  </si>
  <si>
    <t>Painesville, OH: Casement</t>
  </si>
  <si>
    <t>PWA</t>
  </si>
  <si>
    <t>Oklahoma City, OK: Wiley Post</t>
  </si>
  <si>
    <t>PWE</t>
  </si>
  <si>
    <t>Pevek, Russia: Pevek Airport</t>
  </si>
  <si>
    <t>PWK</t>
  </si>
  <si>
    <t>Chicago, IL: Chicago Executive</t>
  </si>
  <si>
    <t>Portland, ME: Portland International Jetport</t>
  </si>
  <si>
    <t>PWR</t>
  </si>
  <si>
    <t>Big Port Walter, AK: Big and Little Port Walter</t>
  </si>
  <si>
    <t>PWT</t>
  </si>
  <si>
    <t>Bremerton, WA: Bremerton National</t>
  </si>
  <si>
    <t>PXM</t>
  </si>
  <si>
    <t>Puerto Escondido, Mexico: Puerto Escondido International</t>
  </si>
  <si>
    <t>PXO</t>
  </si>
  <si>
    <t>Porto Santo, Portugal: Porto Santo Airport</t>
  </si>
  <si>
    <t>PXU</t>
  </si>
  <si>
    <t>Pleiku, Vietnam: Pleiku Airport</t>
  </si>
  <si>
    <t>PYA</t>
  </si>
  <si>
    <t>Port Ashton, AK: Port Ashton Airport</t>
  </si>
  <si>
    <t>PYB</t>
  </si>
  <si>
    <t>Jeypore, India: Jeypore Airport</t>
  </si>
  <si>
    <t>PYH</t>
  </si>
  <si>
    <t>Puerto Ayacucho, Venezuela: Puerto Ayacucho Airport</t>
  </si>
  <si>
    <t>PYJ</t>
  </si>
  <si>
    <t>Polyarnyj, Russia: Polyarnyj Airport</t>
  </si>
  <si>
    <t>PYL</t>
  </si>
  <si>
    <t>Perry Island, AK: Perry Island Seaplane Base</t>
  </si>
  <si>
    <t>PYM</t>
  </si>
  <si>
    <t>Plymouth, MA: Plymouth Municipal</t>
  </si>
  <si>
    <t>PYR</t>
  </si>
  <si>
    <t>Pyrgos, Greece: Andravida</t>
  </si>
  <si>
    <t>PZA</t>
  </si>
  <si>
    <t>Paz de Ariporo, Colombia: Paz de Ariporo Airport</t>
  </si>
  <si>
    <t>PZB</t>
  </si>
  <si>
    <t>Pietermaritzburg, South Africa: Pietermaritzburg Airport</t>
  </si>
  <si>
    <t>PZE</t>
  </si>
  <si>
    <t>Penzance, United Kingdom: Penzance Airport</t>
  </si>
  <si>
    <t>PZO</t>
  </si>
  <si>
    <t>Puerto Ordaz, Venezuela: General Manuel Carlos Piar</t>
  </si>
  <si>
    <t>PZU</t>
  </si>
  <si>
    <t>Port Sudan, Sudan: Port Sudan Airport</t>
  </si>
  <si>
    <t>PZY</t>
  </si>
  <si>
    <t>Piestany, Slovakia: Piestany Airport</t>
  </si>
  <si>
    <t>QAF</t>
  </si>
  <si>
    <t>Jackpot, NV: Jackpot/Hayden Field</t>
  </si>
  <si>
    <t>QAH</t>
  </si>
  <si>
    <t>Alcantara, Brazil: Centro de Lancamento de Alcantara</t>
  </si>
  <si>
    <t>QAJ</t>
  </si>
  <si>
    <t>Globe, AZ: San Carlos Apache</t>
  </si>
  <si>
    <t>QAK</t>
  </si>
  <si>
    <t>Port Clinton, OH: Erie Ottawa International</t>
  </si>
  <si>
    <t>QAL</t>
  </si>
  <si>
    <t>Kelleys Island, OH: Kelleys Island Land Field</t>
  </si>
  <si>
    <t>QAO</t>
  </si>
  <si>
    <t>QAS</t>
  </si>
  <si>
    <t>Houston, TX: Astrodomain Helipad</t>
  </si>
  <si>
    <t>QAX</t>
  </si>
  <si>
    <t>Marina del Ray, CA: Marina del Ray Airport</t>
  </si>
  <si>
    <t>QBC</t>
  </si>
  <si>
    <t>Bella Coola, Canada: Bella Coola Airport</t>
  </si>
  <si>
    <t>QBH</t>
  </si>
  <si>
    <t>Lathrop Wells, NV: Jackass Aeropark</t>
  </si>
  <si>
    <t>QBI</t>
  </si>
  <si>
    <t>Green River, UT: Oman Ranch</t>
  </si>
  <si>
    <t>QBM</t>
  </si>
  <si>
    <t>Put-In-Bay, OH: Put-In-Bay Airport</t>
  </si>
  <si>
    <t>QBN</t>
  </si>
  <si>
    <t>Middle Bass Island, OH: Middle Bass Island Airport</t>
  </si>
  <si>
    <t>QBT</t>
  </si>
  <si>
    <t>Indian Creek, ID: Indian Creek Usfs</t>
  </si>
  <si>
    <t>QBX</t>
  </si>
  <si>
    <t>Abilene, KS: Abilene Airport</t>
  </si>
  <si>
    <t>QBY</t>
  </si>
  <si>
    <t>North Bass Island, OH: North Bass Island Airport</t>
  </si>
  <si>
    <t>QC1</t>
  </si>
  <si>
    <t>Mont Laurier, Canada: Mont Laurier Airport</t>
  </si>
  <si>
    <t>QC2</t>
  </si>
  <si>
    <t>St Georges, Canada: St Georges Airport</t>
  </si>
  <si>
    <t>QCG</t>
  </si>
  <si>
    <t>QCT</t>
  </si>
  <si>
    <t>Levelland, TX: Levelland Airport</t>
  </si>
  <si>
    <t>QCW</t>
  </si>
  <si>
    <t>Crane Island, WA: Crane Island Airport</t>
  </si>
  <si>
    <t>QCX</t>
  </si>
  <si>
    <t>Martinsville, VA: Blue Ridge</t>
  </si>
  <si>
    <t>QDC</t>
  </si>
  <si>
    <t>Dracena, Brazil: Dracena Airport</t>
  </si>
  <si>
    <t>QDM</t>
  </si>
  <si>
    <t>QEM</t>
  </si>
  <si>
    <t>Emerald Bay, CA: Emerald Bay Airport</t>
  </si>
  <si>
    <t>QFD</t>
  </si>
  <si>
    <t>Boufarik, Algeria: Boufarik Airport</t>
  </si>
  <si>
    <t>QFX</t>
  </si>
  <si>
    <t>Avalon, CA: Camp Fox</t>
  </si>
  <si>
    <t>QGS</t>
  </si>
  <si>
    <t>Houghton, MI: Grognet Seaplane Base</t>
  </si>
  <si>
    <t>QHI</t>
  </si>
  <si>
    <t>Houston, TX: Astroworld Helipad</t>
  </si>
  <si>
    <t>QHO</t>
  </si>
  <si>
    <t>Houston, TX: Houston Metro-/Ho</t>
  </si>
  <si>
    <t>QIR</t>
  </si>
  <si>
    <t>Isle Royale Park, MI: Isle Royale National Park</t>
  </si>
  <si>
    <t>QJB</t>
  </si>
  <si>
    <t>Jubail, Saudi Arabia: Jubail Airport</t>
  </si>
  <si>
    <t>QKV</t>
  </si>
  <si>
    <t>Kona Village, HI: Kona Keahole</t>
  </si>
  <si>
    <t>QMA</t>
  </si>
  <si>
    <t>Kennesaw, GA: Cobb County International McCollum Field</t>
  </si>
  <si>
    <t>QMH</t>
  </si>
  <si>
    <t>Houston, TX: Marriot Helipad Hou.</t>
  </si>
  <si>
    <t>QMN</t>
  </si>
  <si>
    <t>Mansfield, MA: Mansfield Municipal</t>
  </si>
  <si>
    <t>QNE</t>
  </si>
  <si>
    <t>Rio Negrinho, Brazil: Aeroclube de Rio Negrinho</t>
  </si>
  <si>
    <t>QNY</t>
  </si>
  <si>
    <t>QOR</t>
  </si>
  <si>
    <t>Orange, VA: Orange County</t>
  </si>
  <si>
    <t>QPG</t>
  </si>
  <si>
    <t>Singapore, Singapore: Paya Lebar</t>
  </si>
  <si>
    <t>QPO</t>
  </si>
  <si>
    <t>Houston, TX: Post Oak Manor</t>
  </si>
  <si>
    <t>QPT</t>
  </si>
  <si>
    <t>Pittsfield, ME: Pittsfield Municipal</t>
  </si>
  <si>
    <t>QQB</t>
  </si>
  <si>
    <t>Keyes Point, AK: Keyes Point Airport</t>
  </si>
  <si>
    <t>QQC</t>
  </si>
  <si>
    <t>Nimiuk Point, AK: Nimiuk Point Airport</t>
  </si>
  <si>
    <t>QQD</t>
  </si>
  <si>
    <t>Boston, MA: Nashua Street Heliport</t>
  </si>
  <si>
    <t>QQE</t>
  </si>
  <si>
    <t>Sealing Point, AK: Sealing Point Airport</t>
  </si>
  <si>
    <t>QQG</t>
  </si>
  <si>
    <t>Westminster, MD: Carroll County Regional/Jack B. Poage Field</t>
  </si>
  <si>
    <t>QQJ</t>
  </si>
  <si>
    <t>Stevensville, MT: Stevensville Airport</t>
  </si>
  <si>
    <t>QQL</t>
  </si>
  <si>
    <t>Bonners Ferry, ID: Boundary County</t>
  </si>
  <si>
    <t>QQM</t>
  </si>
  <si>
    <t>Shingletown, CA: Shingletown Airport</t>
  </si>
  <si>
    <t>QQN</t>
  </si>
  <si>
    <t>Woodlake, CA: Woodlake Airport</t>
  </si>
  <si>
    <t>QQQ</t>
  </si>
  <si>
    <t>Grass Valley, CA: Nevada County</t>
  </si>
  <si>
    <t>QQS</t>
  </si>
  <si>
    <t>Eastsound, WA: Waldronaire</t>
  </si>
  <si>
    <t>QQT</t>
  </si>
  <si>
    <t>Peachtree City, GA: Atlanta Regional Falcon Field</t>
  </si>
  <si>
    <t>QQU</t>
  </si>
  <si>
    <t>Window Rock, AZ: Window Rock Airport</t>
  </si>
  <si>
    <t>QQV</t>
  </si>
  <si>
    <t>Lupin, Canada: Lupin Airport</t>
  </si>
  <si>
    <t>QQX</t>
  </si>
  <si>
    <t>Healdsburg, CA: Healdsburg Municipal</t>
  </si>
  <si>
    <t>QQY</t>
  </si>
  <si>
    <t>San Marcos, TX: San Marcos Regional</t>
  </si>
  <si>
    <t>QRD</t>
  </si>
  <si>
    <t>Redondo Beach, CA: Redondo Beach Airport</t>
  </si>
  <si>
    <t>QRO</t>
  </si>
  <si>
    <t>Queretaro, Mexico: Queretaro Intercontinental</t>
  </si>
  <si>
    <t>QSO</t>
  </si>
  <si>
    <t>Southbridge, MA: Southbridge Municipal</t>
  </si>
  <si>
    <t>QSR</t>
  </si>
  <si>
    <t>Salerno, Italy: Salerno Airport</t>
  </si>
  <si>
    <t>QTB</t>
  </si>
  <si>
    <t>Tubarao, Brazil: Tubarao Airport</t>
  </si>
  <si>
    <t>RAB</t>
  </si>
  <si>
    <t>Rabaul, Papua New Guinea: Tokua</t>
  </si>
  <si>
    <t>RAC</t>
  </si>
  <si>
    <t>Racine, WI: Batten International</t>
  </si>
  <si>
    <t>RAD</t>
  </si>
  <si>
    <t>Tortola, British Virgin Islands: Roadtown Seaplane Base</t>
  </si>
  <si>
    <t>RAE</t>
  </si>
  <si>
    <t>Arar, Saudi Arabia: Arar Airport</t>
  </si>
  <si>
    <t>RAH</t>
  </si>
  <si>
    <t>Rafha, Saudi Arabia: Rafha Airport</t>
  </si>
  <si>
    <t>RAI</t>
  </si>
  <si>
    <t>Praia, Cape Verde: Praia International</t>
  </si>
  <si>
    <t>RAJ</t>
  </si>
  <si>
    <t>Rajkot, India: Rajkot Airport</t>
  </si>
  <si>
    <t>RAK</t>
  </si>
  <si>
    <t>Marrakech, Morocco: Menara</t>
  </si>
  <si>
    <t>RAL</t>
  </si>
  <si>
    <t>Riverside, CA: Riverside Municipal</t>
  </si>
  <si>
    <t>RAN</t>
  </si>
  <si>
    <t>Ravenna, Italy: Ravenna Airport</t>
  </si>
  <si>
    <t>RAO</t>
  </si>
  <si>
    <t>Ribeirao Preto, Brazil: Leite Lopes</t>
  </si>
  <si>
    <t>Rapid City, SD: Rapid City Regional</t>
  </si>
  <si>
    <t>RAR</t>
  </si>
  <si>
    <t>Avarua, Cook Islands: Rarotonga International</t>
  </si>
  <si>
    <t>RAS</t>
  </si>
  <si>
    <t>Rasht, Iran: Sardar E Jangal</t>
  </si>
  <si>
    <t>RAT</t>
  </si>
  <si>
    <t>Raduzhnyi, Russia: Raduzhnyi Airport</t>
  </si>
  <si>
    <t>RAX</t>
  </si>
  <si>
    <t>Red Bank, NJ: Greely Helipad</t>
  </si>
  <si>
    <t>RAZ</t>
  </si>
  <si>
    <t>Rawala Kot, Pakistan: Rawalakot</t>
  </si>
  <si>
    <t>RBA</t>
  </si>
  <si>
    <t>Rabat, Morocco: Rabat/Sale International</t>
  </si>
  <si>
    <t>RBB</t>
  </si>
  <si>
    <t>Ugashik, AK: Randy Field</t>
  </si>
  <si>
    <t>RBD</t>
  </si>
  <si>
    <t>Dallas/Fort Worth, TX: Dallas Executive</t>
  </si>
  <si>
    <t>RBF</t>
  </si>
  <si>
    <t>Big Bear City, CA: Big Bear City Airport</t>
  </si>
  <si>
    <t>RBG</t>
  </si>
  <si>
    <t>Roseburg, OR: Roseburg Regional</t>
  </si>
  <si>
    <t>RBH</t>
  </si>
  <si>
    <t>Brooks Lodge, AK: Brooks Lodge Airport</t>
  </si>
  <si>
    <t>RBK</t>
  </si>
  <si>
    <t>RBL</t>
  </si>
  <si>
    <t>Red Bluff, CA: Red Bluff Municipal</t>
  </si>
  <si>
    <t>RBN</t>
  </si>
  <si>
    <t>Fort Jefferson, FL: Fort Jefferson Airport</t>
  </si>
  <si>
    <t>RBO</t>
  </si>
  <si>
    <t>Robore, Bolivia: Robore Airport</t>
  </si>
  <si>
    <t>RBR</t>
  </si>
  <si>
    <t>Rio Branco, Brazil: Placido de Castro</t>
  </si>
  <si>
    <t>RBW</t>
  </si>
  <si>
    <t>Walterboro, SC: Lowcountry Regional</t>
  </si>
  <si>
    <t>RBY</t>
  </si>
  <si>
    <t>Ruby, AK: Ruby Airport</t>
  </si>
  <si>
    <t>RCA</t>
  </si>
  <si>
    <t>Rapid City, SD: Ellsworth AFB</t>
  </si>
  <si>
    <t>RCB</t>
  </si>
  <si>
    <t>Richards Bay, South Africa: Richards Bay Airport</t>
  </si>
  <si>
    <t>RCE</t>
  </si>
  <si>
    <t>Roche Harbor, WA: Roche Harbor Airport</t>
  </si>
  <si>
    <t>RCH</t>
  </si>
  <si>
    <t>Riohacha, Colombia: Almirante Padilla</t>
  </si>
  <si>
    <t>RCM</t>
  </si>
  <si>
    <t>Richmond, Australia: Richmond Airport</t>
  </si>
  <si>
    <t>RCO</t>
  </si>
  <si>
    <t>Rochefort, France: Rochefort Charente Maritime</t>
  </si>
  <si>
    <t>RCQ</t>
  </si>
  <si>
    <t>Reconquista, Argentina: Reconquista Airport</t>
  </si>
  <si>
    <t>RCT</t>
  </si>
  <si>
    <t>Reed City, MI: Miller Field</t>
  </si>
  <si>
    <t>RCU</t>
  </si>
  <si>
    <t>Rio Curato, Argentina: Rio Cuarto</t>
  </si>
  <si>
    <t>RDA</t>
  </si>
  <si>
    <t>Rockhampton Downs, Australia: Rockhampton Downs Airport</t>
  </si>
  <si>
    <t>RDB</t>
  </si>
  <si>
    <t>Red Dog, AK: Red Dog Airport</t>
  </si>
  <si>
    <t>RDC</t>
  </si>
  <si>
    <t>Redencao, Brazil: Redencao Airport</t>
  </si>
  <si>
    <t>Redding, CA: Redding Municipal</t>
  </si>
  <si>
    <t>RDG</t>
  </si>
  <si>
    <t>Reading, PA: Reading Regional/Carl A Spaatz Field</t>
  </si>
  <si>
    <t>Bend/Redmond, OR: Roberts Field</t>
  </si>
  <si>
    <t>RDR</t>
  </si>
  <si>
    <t>Red River, ND: Grand Forks AFB</t>
  </si>
  <si>
    <t>RDT</t>
  </si>
  <si>
    <t>Richard-Toll, Senegal: Richard-Toll Airport</t>
  </si>
  <si>
    <t>Raleigh/Durham, NC: Raleigh-Durham International</t>
  </si>
  <si>
    <t>RDV</t>
  </si>
  <si>
    <t>Red Devil, AK: Red Devil Airport</t>
  </si>
  <si>
    <t>RDZ</t>
  </si>
  <si>
    <t>Rodez, France: Rodez Aveyron</t>
  </si>
  <si>
    <t>REB</t>
  </si>
  <si>
    <t>Redlands, CA: Redlands Municipal</t>
  </si>
  <si>
    <t>REC</t>
  </si>
  <si>
    <t>Recife, Brazil: Guararapes Gilberto Freyre International</t>
  </si>
  <si>
    <t>RED</t>
  </si>
  <si>
    <t>Reedsville, PA: Mifflin County</t>
  </si>
  <si>
    <t>REE</t>
  </si>
  <si>
    <t>Lubbock, TX: Reese AFB</t>
  </si>
  <si>
    <t>REG</t>
  </si>
  <si>
    <t>Reggio Calabria, Italy: Reggio Calabria Airport</t>
  </si>
  <si>
    <t>REH</t>
  </si>
  <si>
    <t>Rehoboth, DE: Rehoboth Aircrafters</t>
  </si>
  <si>
    <t>REK</t>
  </si>
  <si>
    <t>Reykjavik, Iceland: Reykjavik Metropolitan Area</t>
  </si>
  <si>
    <t>REL</t>
  </si>
  <si>
    <t>Trelew, Argentina: Almirante Zar</t>
  </si>
  <si>
    <t>REN</t>
  </si>
  <si>
    <t>Orenburg, Russia: Orenburg Airport</t>
  </si>
  <si>
    <t>REP</t>
  </si>
  <si>
    <t>Siem Reap, Cambodia: Siem Reap International</t>
  </si>
  <si>
    <t>RER</t>
  </si>
  <si>
    <t>Retalhuleu, Guatemala: Retalhuleu Airport</t>
  </si>
  <si>
    <t>RES</t>
  </si>
  <si>
    <t>Resistencia, Argentina: Resistencia Airport</t>
  </si>
  <si>
    <t>RET</t>
  </si>
  <si>
    <t>Rost, Norway: Rost Airport</t>
  </si>
  <si>
    <t>REU</t>
  </si>
  <si>
    <t>Reus, Spain: Reus Airport</t>
  </si>
  <si>
    <t>REX</t>
  </si>
  <si>
    <t>Reynosa, Mexico: General Lucio Blanco International</t>
  </si>
  <si>
    <t>REY</t>
  </si>
  <si>
    <t>Reyes, Bolivia: Reyes Airport</t>
  </si>
  <si>
    <t>Rockford, IL: Chicago/Rockford International</t>
  </si>
  <si>
    <t>RFP</t>
  </si>
  <si>
    <t>Raiatea, French Polynesia: Raiatea Uturoa</t>
  </si>
  <si>
    <t>RGA</t>
  </si>
  <si>
    <t>Rio Grande, Argentina: Rio Grande Airport</t>
  </si>
  <si>
    <t>RGI</t>
  </si>
  <si>
    <t>Tuamoto Islands, French Polynesia: Rangiroa</t>
  </si>
  <si>
    <t>RGL</t>
  </si>
  <si>
    <t>Rio Gallegos, Argentina: Rio Gallegos Airport</t>
  </si>
  <si>
    <t>RGN</t>
  </si>
  <si>
    <t>Yangon, Burma: Yangon International</t>
  </si>
  <si>
    <t>RGT</t>
  </si>
  <si>
    <t>Rengat, Indonesia: Japura</t>
  </si>
  <si>
    <t>RHD</t>
  </si>
  <si>
    <t>Rio Hondo, Argentina: Termas de Rio Hondo</t>
  </si>
  <si>
    <t>RHE</t>
  </si>
  <si>
    <t>Reims, France: Champagne</t>
  </si>
  <si>
    <t>Rhinelander, WI: Rhinelander/Oneida County</t>
  </si>
  <si>
    <t>RHO</t>
  </si>
  <si>
    <t>Rhodes, Greece: Diagoras</t>
  </si>
  <si>
    <t>RIA</t>
  </si>
  <si>
    <t>Santa Maria, Brazil: Santa Maria Airport</t>
  </si>
  <si>
    <t>RIB</t>
  </si>
  <si>
    <t>Riberalta, Bolivia: Cap Av Selin Zeitun Lopez</t>
  </si>
  <si>
    <t>Richmond, VA: Richmond International</t>
  </si>
  <si>
    <t>RID</t>
  </si>
  <si>
    <t>Richmond, IN: Richmond Municipal</t>
  </si>
  <si>
    <t>RIE</t>
  </si>
  <si>
    <t>Rice Lake, WI: Rice Lake Airport</t>
  </si>
  <si>
    <t>RIF</t>
  </si>
  <si>
    <t>Richfield, UT: Richfield Municipal</t>
  </si>
  <si>
    <t>RIG</t>
  </si>
  <si>
    <t>Rio Grande, Brazil: Regional de Rio Grande</t>
  </si>
  <si>
    <t>RIJ</t>
  </si>
  <si>
    <t>Rioja, Peru: Rioja Airport</t>
  </si>
  <si>
    <t>RIL</t>
  </si>
  <si>
    <t>Rifle, CO: Rifle Garfield County</t>
  </si>
  <si>
    <t>RIO</t>
  </si>
  <si>
    <t>Rio de Janeiro, Brazil: Rio de Janeiro Metropolitan Area</t>
  </si>
  <si>
    <t>RIR</t>
  </si>
  <si>
    <t>Riverside, CA: Flabob</t>
  </si>
  <si>
    <t>RIV</t>
  </si>
  <si>
    <t>Riverside, CA: March ARB</t>
  </si>
  <si>
    <t>Riverton/Lander, WY: Riverton Regional</t>
  </si>
  <si>
    <t>RIX</t>
  </si>
  <si>
    <t>Riga, Latvia: Riga International</t>
  </si>
  <si>
    <t>RIY</t>
  </si>
  <si>
    <t>Riyan Mukalla, Yemen: Mukalla International</t>
  </si>
  <si>
    <t>RJK</t>
  </si>
  <si>
    <t>Rijeka, Croatia: Rijeka Airport</t>
  </si>
  <si>
    <t>RJL</t>
  </si>
  <si>
    <t>Logrono, Spain: Logrono Airport</t>
  </si>
  <si>
    <t>RKD</t>
  </si>
  <si>
    <t>Rockland, ME: Knox County Regional</t>
  </si>
  <si>
    <t>RKE</t>
  </si>
  <si>
    <t>Copenhagen, Denmark: Roskilde</t>
  </si>
  <si>
    <t>RKH</t>
  </si>
  <si>
    <t>Rock Hill, SC: Rock Hill/York County/Bryant Field</t>
  </si>
  <si>
    <t>RKP</t>
  </si>
  <si>
    <t>Rockport, TX: Aransas County</t>
  </si>
  <si>
    <t>RKR</t>
  </si>
  <si>
    <t>Poteau, OK: Robert S Kerr</t>
  </si>
  <si>
    <t>Rock Springs, WY: Southwest Wyoming Regional</t>
  </si>
  <si>
    <t>RKT</t>
  </si>
  <si>
    <t>Ras Al Khaimah, United Arab Emirates: Ras Al Khaimah International</t>
  </si>
  <si>
    <t>RKV</t>
  </si>
  <si>
    <t>Reykjavik, Iceland: Reykjavik Airport</t>
  </si>
  <si>
    <t>RKW</t>
  </si>
  <si>
    <t>Rockwood, TN: Rockwood Municipal</t>
  </si>
  <si>
    <t>RLA</t>
  </si>
  <si>
    <t>Rolla, MO: Rolla Downtown</t>
  </si>
  <si>
    <t>RLD</t>
  </si>
  <si>
    <t>Richland, WA: Richland Airport</t>
  </si>
  <si>
    <t>RLG</t>
  </si>
  <si>
    <t>Rostock-Laage, Germany: Laage</t>
  </si>
  <si>
    <t>RLT</t>
  </si>
  <si>
    <t>Arlit, Niger: Arlit Airport</t>
  </si>
  <si>
    <t>RLU</t>
  </si>
  <si>
    <t>Bornite/Ruby Creek, AK: Bornite Upper</t>
  </si>
  <si>
    <t>RMA</t>
  </si>
  <si>
    <t>Roma, Australia: Roma Airport</t>
  </si>
  <si>
    <t>RME</t>
  </si>
  <si>
    <t>Rome, NY: Griffiss International</t>
  </si>
  <si>
    <t>RMF</t>
  </si>
  <si>
    <t>Marsa Alam, Egypt: Marsa Alam International</t>
  </si>
  <si>
    <t>RMG</t>
  </si>
  <si>
    <t>Rome, GA: Richard B Russell Regional J H Towers Field</t>
  </si>
  <si>
    <t>RMI</t>
  </si>
  <si>
    <t>Rimini, Italy: Rimini Miramare</t>
  </si>
  <si>
    <t>RML</t>
  </si>
  <si>
    <t>Colombo, Sri Lanka: Colombo/Ratmalana</t>
  </si>
  <si>
    <t>RMN</t>
  </si>
  <si>
    <t>Stafford, VA: Stafford Regional</t>
  </si>
  <si>
    <t>RMP</t>
  </si>
  <si>
    <t>Rampart, AK: Rampart Airport</t>
  </si>
  <si>
    <t>RMQ</t>
  </si>
  <si>
    <t>Taichung, Taiwan: Taichung Ching Chuan Kang</t>
  </si>
  <si>
    <t>RMS</t>
  </si>
  <si>
    <t>Ramstein, Germany: Ramstein AB</t>
  </si>
  <si>
    <t>RMT</t>
  </si>
  <si>
    <t>Rimatara, French Polynesia: Rimatara Airport</t>
  </si>
  <si>
    <t>RMU</t>
  </si>
  <si>
    <t>Murcia, Spain: Aeropuerto de la Region de Murcia</t>
  </si>
  <si>
    <t>RNB</t>
  </si>
  <si>
    <t>Ronneby, Sweden: Ronneby Airport</t>
  </si>
  <si>
    <t>RNC</t>
  </si>
  <si>
    <t>McMinnville, TN: Warren County Memorial</t>
  </si>
  <si>
    <t>RND</t>
  </si>
  <si>
    <t>San Antonio, TX: Randolph AFB</t>
  </si>
  <si>
    <t>RNE</t>
  </si>
  <si>
    <t>Roanne, France: Roanne Airport</t>
  </si>
  <si>
    <t>RNG</t>
  </si>
  <si>
    <t>Rangely, CO: Rangely Airport</t>
  </si>
  <si>
    <t>RNH</t>
  </si>
  <si>
    <t>New Richmond, WI: New Richmond Regional</t>
  </si>
  <si>
    <t>RNI</t>
  </si>
  <si>
    <t>Corn Island, Nicaragua: Corn Island Airport</t>
  </si>
  <si>
    <t>RNM</t>
  </si>
  <si>
    <t>Ramona, CA: Ramona Airport</t>
  </si>
  <si>
    <t>RNN</t>
  </si>
  <si>
    <t>Ronne, Denmark: Bornholm Ronne</t>
  </si>
  <si>
    <t>Reno, NV: Reno/Tahoe International</t>
  </si>
  <si>
    <t>RNS</t>
  </si>
  <si>
    <t>Rennes, France: Rennes Saint Jacques</t>
  </si>
  <si>
    <t>RNT</t>
  </si>
  <si>
    <t>Renton, WA: Renton Municipal</t>
  </si>
  <si>
    <t>RNU</t>
  </si>
  <si>
    <t>Ranau, Malaysia: Ranau Airport</t>
  </si>
  <si>
    <t>RO1</t>
  </si>
  <si>
    <t>Campia Turzii, Romania: Campia Turzii Airport</t>
  </si>
  <si>
    <t>Roanoke, VA: Roanoke Blacksburg Regional Woodrum Field</t>
  </si>
  <si>
    <t>ROB</t>
  </si>
  <si>
    <t>Monrovia, Liberia: Monrovia Roberts International</t>
  </si>
  <si>
    <t>Rochester, NY: Greater Rochester International</t>
  </si>
  <si>
    <t>ROG</t>
  </si>
  <si>
    <t>Rogers, AR: Rogers Executive Carter Field</t>
  </si>
  <si>
    <t>ROK</t>
  </si>
  <si>
    <t>Rockhampton, Australia: Rockhampton Airport</t>
  </si>
  <si>
    <t>ROL</t>
  </si>
  <si>
    <t>Roosevelt, UT: Roosevelt Municipal</t>
  </si>
  <si>
    <t>ROM</t>
  </si>
  <si>
    <t>Rome, Italy: Rome Metropolitan Area</t>
  </si>
  <si>
    <t>ROO</t>
  </si>
  <si>
    <t>Rondonopolis, Brazil: Rondonopolis Airport</t>
  </si>
  <si>
    <t>Rota, TT: Benjamin Taisacan Manglona International</t>
  </si>
  <si>
    <t>ROR</t>
  </si>
  <si>
    <t>Koror, Palau: Babelthuap</t>
  </si>
  <si>
    <t>ROS</t>
  </si>
  <si>
    <t>Rosario, Argentina: Rosario Airport</t>
  </si>
  <si>
    <t>ROT</t>
  </si>
  <si>
    <t>Rotorua, New Zealand: Rotorua Airport</t>
  </si>
  <si>
    <t>ROU</t>
  </si>
  <si>
    <t>Russe, Bulgaria: Bulg</t>
  </si>
  <si>
    <t>ROV</t>
  </si>
  <si>
    <t>Rostov, Russia: Rostov Airport</t>
  </si>
  <si>
    <t>Roswell, NM: Roswell International Air Center</t>
  </si>
  <si>
    <t>ROX</t>
  </si>
  <si>
    <t>Roseau, MN: Roseau Municipal/Rudy Billberg Field</t>
  </si>
  <si>
    <t>ROZ</t>
  </si>
  <si>
    <t>Rota, Spain: Rota Airport</t>
  </si>
  <si>
    <t>RPN</t>
  </si>
  <si>
    <t>Rosh-Pina, Israel: Izhak Ben Yaakov</t>
  </si>
  <si>
    <t>RPR</t>
  </si>
  <si>
    <t>Raipur, India: Swami Vivekananda</t>
  </si>
  <si>
    <t>RPX</t>
  </si>
  <si>
    <t>Roundup, MT: Roundup Airport</t>
  </si>
  <si>
    <t>RQA</t>
  </si>
  <si>
    <t>Lone Pine, CA: Lone Pine Death Valley</t>
  </si>
  <si>
    <t>RQB</t>
  </si>
  <si>
    <t>Atomic City, ID: Big Southern Butte</t>
  </si>
  <si>
    <t>RQC</t>
  </si>
  <si>
    <t>Harlowton, MT: Wheatland County at Harlowton</t>
  </si>
  <si>
    <t>RQD</t>
  </si>
  <si>
    <t>Mendota, CA: William Robert Johnston Municipal</t>
  </si>
  <si>
    <t>RQE</t>
  </si>
  <si>
    <t>Prosser, WA: Prosser Airport</t>
  </si>
  <si>
    <t>RQF</t>
  </si>
  <si>
    <t>Lincolnton, NC: Lincolnton-Lincoln County Regional</t>
  </si>
  <si>
    <t>RQG</t>
  </si>
  <si>
    <t>Covington, TN: Covington Municipal</t>
  </si>
  <si>
    <t>RQH</t>
  </si>
  <si>
    <t>Perkasie, PA: Pennridge</t>
  </si>
  <si>
    <t>RQI</t>
  </si>
  <si>
    <t>Nixon Fork Mine, AK: Nixon Fork Mine Airport</t>
  </si>
  <si>
    <t>RQJ</t>
  </si>
  <si>
    <t>Jafr, Jordan: King Feisal AB</t>
  </si>
  <si>
    <t>RQK</t>
  </si>
  <si>
    <t>China Lake, CA: China Lake Naws</t>
  </si>
  <si>
    <t>RQL</t>
  </si>
  <si>
    <t>Lowell, IN: Lowell Airport</t>
  </si>
  <si>
    <t>RQM</t>
  </si>
  <si>
    <t>Sterling, MA: Sterling Airport</t>
  </si>
  <si>
    <t>RQN</t>
  </si>
  <si>
    <t>Cave Junction, OR: Illinois Valley</t>
  </si>
  <si>
    <t>RQO</t>
  </si>
  <si>
    <t>Seneca, NY: Seneca AAF</t>
  </si>
  <si>
    <t>RQP</t>
  </si>
  <si>
    <t>Lovington, NM: Lea County-Zip Franklin Memorial</t>
  </si>
  <si>
    <t>RQQ</t>
  </si>
  <si>
    <t>Woodland, CA: Watts/Woodland</t>
  </si>
  <si>
    <t>RQR</t>
  </si>
  <si>
    <t>Harbor Springs, MI: Harbor Springs Airport</t>
  </si>
  <si>
    <t>RQS</t>
  </si>
  <si>
    <t>Springwater, Canada: Springwater Barrie Airpark</t>
  </si>
  <si>
    <t>RQT</t>
  </si>
  <si>
    <t>Lubbock, TX: Lubbock Executive Airpark</t>
  </si>
  <si>
    <t>RQU</t>
  </si>
  <si>
    <t>Wasco, CA: Wasco-Kern County</t>
  </si>
  <si>
    <t>RQV</t>
  </si>
  <si>
    <t>Salt Lake City, UT: South Valley Regional</t>
  </si>
  <si>
    <t>RQW</t>
  </si>
  <si>
    <t>Parowan, UT: Parowan Airport</t>
  </si>
  <si>
    <t>RQX</t>
  </si>
  <si>
    <t>Burlington, CO: Kit Carson County</t>
  </si>
  <si>
    <t>RQY</t>
  </si>
  <si>
    <t>Comanche, TX: Comanche County-City</t>
  </si>
  <si>
    <t>RQZ</t>
  </si>
  <si>
    <t>Mary Esther, FL: Hurlburt Field</t>
  </si>
  <si>
    <t>RRG</t>
  </si>
  <si>
    <t>Rodrigues Island, Mauritius: Plaine Corail</t>
  </si>
  <si>
    <t>RRK</t>
  </si>
  <si>
    <t>Rourkela, India: Rourkela Airport</t>
  </si>
  <si>
    <t>RRS</t>
  </si>
  <si>
    <t>Roros, Norway: Roros Airport</t>
  </si>
  <si>
    <t>RRT</t>
  </si>
  <si>
    <t>Warroad, MN: Warroad International Memorial</t>
  </si>
  <si>
    <t>RSA</t>
  </si>
  <si>
    <t>Santa Rosa, Argentina: Santa Rosa Airport</t>
  </si>
  <si>
    <t>RSC</t>
  </si>
  <si>
    <t>Skulte, U.S.S.R.: Skulte Airport</t>
  </si>
  <si>
    <t>RSD</t>
  </si>
  <si>
    <t>Rock Sound, The Bahamas: Rock Sound Airport</t>
  </si>
  <si>
    <t>RSH</t>
  </si>
  <si>
    <t>Russian Mission, AK: Russian Mission Airport</t>
  </si>
  <si>
    <t>RSJ</t>
  </si>
  <si>
    <t>Rosario, WA: Rosario Seaplane Base</t>
  </si>
  <si>
    <t>RSL</t>
  </si>
  <si>
    <t>Russell, KS: Russell Municipal</t>
  </si>
  <si>
    <t>RSN</t>
  </si>
  <si>
    <t>Ruston, LA: Ruston Regional</t>
  </si>
  <si>
    <t>RSP</t>
  </si>
  <si>
    <t>Raspberry Strait, AK: Raspberry Straits</t>
  </si>
  <si>
    <t>RSS</t>
  </si>
  <si>
    <t>Roseires, Sudan: Roseires Airport</t>
  </si>
  <si>
    <t>Rochester, MN: Rochester International</t>
  </si>
  <si>
    <t>RSU</t>
  </si>
  <si>
    <t>Yosu, South Korea: Yeosu</t>
  </si>
  <si>
    <t>Fort Myers, FL: Southwest Florida International</t>
  </si>
  <si>
    <t>RTA</t>
  </si>
  <si>
    <t>Rotuma, Fiji: Rotuma Airport</t>
  </si>
  <si>
    <t>RTB</t>
  </si>
  <si>
    <t>Roatan Island, Honduras: Juan Manuel Galvez International</t>
  </si>
  <si>
    <t>RTE</t>
  </si>
  <si>
    <t>Marguerite Bay, AK: Marguerite Bay Airport</t>
  </si>
  <si>
    <t>RTM</t>
  </si>
  <si>
    <t>Rotterdam, Netherlands: Rotterdam Airport</t>
  </si>
  <si>
    <t>RTN</t>
  </si>
  <si>
    <t>Raton, NM: Raton Municipal/Crews Field</t>
  </si>
  <si>
    <t>RTO</t>
  </si>
  <si>
    <t>Colton, CA: Morrow Field</t>
  </si>
  <si>
    <t>RTS</t>
  </si>
  <si>
    <t>Rottnest Island, Australia: Rottnest Island Airport</t>
  </si>
  <si>
    <t>RU1</t>
  </si>
  <si>
    <t>Keperveyem, Russia: Keperveyem Airport</t>
  </si>
  <si>
    <t>RU2</t>
  </si>
  <si>
    <t>Ramenskoye, Russia: Ramenskoye Airport</t>
  </si>
  <si>
    <t>RU3</t>
  </si>
  <si>
    <t>Saratov, Russia: Engels AFB</t>
  </si>
  <si>
    <t>RU4</t>
  </si>
  <si>
    <t>Moscow, Russia: Ostafyevo</t>
  </si>
  <si>
    <t>RUH</t>
  </si>
  <si>
    <t>Riyadh, Saudi Arabia: King Khalid International</t>
  </si>
  <si>
    <t>RUI</t>
  </si>
  <si>
    <t>Ruidoso, NM: Sierra Blanca Regional</t>
  </si>
  <si>
    <t>RUN</t>
  </si>
  <si>
    <t>Reunion Island, Reunion: La Reunion Roland Garros</t>
  </si>
  <si>
    <t>RUT</t>
  </si>
  <si>
    <t>Rutland, VT: Rutland - Southern Vermont Regional</t>
  </si>
  <si>
    <t>RUV</t>
  </si>
  <si>
    <t>Rubelsanto, Guatemala: Rubelsanto Airport</t>
  </si>
  <si>
    <t>RVA</t>
  </si>
  <si>
    <t>Farafangana, Madagascar: Farafangana Airport</t>
  </si>
  <si>
    <t>RVN</t>
  </si>
  <si>
    <t>Rovaniemi, Finland: Rovaniemi Airport</t>
  </si>
  <si>
    <t>RVS</t>
  </si>
  <si>
    <t>Tulsa, OK: Richard Lloyd Jones Jr.</t>
  </si>
  <si>
    <t>RVY</t>
  </si>
  <si>
    <t>Rivera, Uruguay: Cerro Chapeu</t>
  </si>
  <si>
    <t>RWB</t>
  </si>
  <si>
    <t>Rowan Bay, AK: Rowan Bay Airport</t>
  </si>
  <si>
    <t>RWI</t>
  </si>
  <si>
    <t>Rocky Mount, NC: Rocky Mount-Wilson Regional</t>
  </si>
  <si>
    <t>RWL</t>
  </si>
  <si>
    <t>Rawlins, WY: Rawlins Municipal/Harvey Field</t>
  </si>
  <si>
    <t>RWN</t>
  </si>
  <si>
    <t>Rovno, Ukraine: Rivne International</t>
  </si>
  <si>
    <t>RXB</t>
  </si>
  <si>
    <t>Rodman Bay, AK: Rodman Bay Airport</t>
  </si>
  <si>
    <t>RXS</t>
  </si>
  <si>
    <t>Roxas City, Philippines: Roxas</t>
  </si>
  <si>
    <t>RYE</t>
  </si>
  <si>
    <t>Greeley, CO: Weld County Municipal</t>
  </si>
  <si>
    <t>RYG</t>
  </si>
  <si>
    <t>Moss, Norway: Rygge</t>
  </si>
  <si>
    <t>RYK</t>
  </si>
  <si>
    <t>Rahim Yar Khan, Pakistan: Sheikh Zayed International</t>
  </si>
  <si>
    <t>RZA</t>
  </si>
  <si>
    <t>Santa Cruz, Argentina: Santa Cruz Airport</t>
  </si>
  <si>
    <t>RZE</t>
  </si>
  <si>
    <t>Rzeszow, Poland: Jasionka</t>
  </si>
  <si>
    <t>RZR</t>
  </si>
  <si>
    <t>Ramsar, Iran: Ramsar Airport</t>
  </si>
  <si>
    <t>RZS</t>
  </si>
  <si>
    <t>Sawan, Pakistan: Sawan Airport</t>
  </si>
  <si>
    <t>RZY</t>
  </si>
  <si>
    <t>Rezayieh, Iran: Rezayieh Airport</t>
  </si>
  <si>
    <t>RZZ</t>
  </si>
  <si>
    <t>Roanoke Rapids, NC: Halifax County</t>
  </si>
  <si>
    <t>S24</t>
  </si>
  <si>
    <t>Fremont, OH: Sandusky County Regional</t>
  </si>
  <si>
    <t>S27</t>
  </si>
  <si>
    <t>Kalispell, MT: Kalispell City</t>
  </si>
  <si>
    <t>SA1</t>
  </si>
  <si>
    <t>Thablotin, Saudi Arabia: Thablotin Airport</t>
  </si>
  <si>
    <t>SA2</t>
  </si>
  <si>
    <t>Um Almelh, Saudi Arabia: Um Almelh Airport</t>
  </si>
  <si>
    <t>SA3</t>
  </si>
  <si>
    <t>Aradah, Saudi Arabia: Aradah Airport</t>
  </si>
  <si>
    <t>SAA</t>
  </si>
  <si>
    <t>Saratoga, WY: Shively Field</t>
  </si>
  <si>
    <t>SAB</t>
  </si>
  <si>
    <t>Saba, Bonaire, Sint Eustatius, and Saba: Juancho E. Yrausquin</t>
  </si>
  <si>
    <t>SAC</t>
  </si>
  <si>
    <t>Sacramento, CA: Sacramento Executive</t>
  </si>
  <si>
    <t>SAD</t>
  </si>
  <si>
    <t>Safford, AZ: Safford Regional</t>
  </si>
  <si>
    <t>Santa Fe, NM: Santa Fe Municipal</t>
  </si>
  <si>
    <t>SAG</t>
  </si>
  <si>
    <t>Sagwon, AK: Sagwon Airport</t>
  </si>
  <si>
    <t>SAH</t>
  </si>
  <si>
    <t>Sana'a, Yemen: Sana'a International</t>
  </si>
  <si>
    <t>SAL</t>
  </si>
  <si>
    <t>San Salvador, El Salvador: Msgr Oscar A Romero and Galdamez International</t>
  </si>
  <si>
    <t>SAM</t>
  </si>
  <si>
    <t>Salamo, Papua New Guinea: Salamo Airport</t>
  </si>
  <si>
    <t>San Diego, CA: San Diego International</t>
  </si>
  <si>
    <t>SAO</t>
  </si>
  <si>
    <t>Sao Paulo, Brazil: Sao Paulo Metropolitan Area</t>
  </si>
  <si>
    <t>SAP</t>
  </si>
  <si>
    <t>San Pedro Sula, Honduras: Ramon Villeda Morales International</t>
  </si>
  <si>
    <t>SAQ</t>
  </si>
  <si>
    <t>San Andros, The Bahamas: San Andros Airport</t>
  </si>
  <si>
    <t>San Antonio, TX: San Antonio International</t>
  </si>
  <si>
    <t>SAU</t>
  </si>
  <si>
    <t>Sabu, Indonesia: Tardamu</t>
  </si>
  <si>
    <t>Savannah, GA: Savannah/Hilton Head International</t>
  </si>
  <si>
    <t>SAW</t>
  </si>
  <si>
    <t>Istanbul, Turkey: Sabiha Gokcen</t>
  </si>
  <si>
    <t>SAX</t>
  </si>
  <si>
    <t>Sambu, Panama: Sambu Airport</t>
  </si>
  <si>
    <t>SAY</t>
  </si>
  <si>
    <t>Sienna, Italy: Ampugnano</t>
  </si>
  <si>
    <t>Santa Barbara, CA: Santa Barbara Municipal</t>
  </si>
  <si>
    <t>SBC</t>
  </si>
  <si>
    <t>Selbang, Papua New Guinea: Selbang Airport</t>
  </si>
  <si>
    <t>SBD</t>
  </si>
  <si>
    <t>San Bernardino, CA: San Bernardino International</t>
  </si>
  <si>
    <t>SBH</t>
  </si>
  <si>
    <t>Saint Barthelemy, Saint Barthelemy: Saint Barthelemy Airport</t>
  </si>
  <si>
    <t>SBK</t>
  </si>
  <si>
    <t>St. Brieuc, France: St. Brieuc Airport</t>
  </si>
  <si>
    <t>SBL</t>
  </si>
  <si>
    <t>Santa Ana, Bolivia: Santa Ana del Yacuma</t>
  </si>
  <si>
    <t>SBM</t>
  </si>
  <si>
    <t>Sheboygan, WI: Sheboygan County Memorial</t>
  </si>
  <si>
    <t>South Bend, IN: South Bend International</t>
  </si>
  <si>
    <t>SBO</t>
  </si>
  <si>
    <t>Salina, UT: Salina-Gunnison</t>
  </si>
  <si>
    <t>San Luis Obispo, CA: San Luis County Regional</t>
  </si>
  <si>
    <t>SBS</t>
  </si>
  <si>
    <t>Steamboat Springs, CO: Steamboat Springs/Bob Adams Field</t>
  </si>
  <si>
    <t>SBT</t>
  </si>
  <si>
    <t>San Bernardino, CA: Tri-City</t>
  </si>
  <si>
    <t>SBU</t>
  </si>
  <si>
    <t>Springbok, South Africa: Springbok Airport</t>
  </si>
  <si>
    <t>SBV</t>
  </si>
  <si>
    <t>South Boston, VA: William M Tuck</t>
  </si>
  <si>
    <t>SBW</t>
  </si>
  <si>
    <t>Sibu, Malaysia: Sibu Airport</t>
  </si>
  <si>
    <t>Salisbury, MD: Salisbury-Ocean City/Wicomico Regional</t>
  </si>
  <si>
    <t>SBZ</t>
  </si>
  <si>
    <t>Sibiu, Romania: Sibiu Airport</t>
  </si>
  <si>
    <t>SC1</t>
  </si>
  <si>
    <t>Beaufort, SC: Beaufort MCAS</t>
  </si>
  <si>
    <t>SC2</t>
  </si>
  <si>
    <t>Winnsboro, SC: Fairfield County</t>
  </si>
  <si>
    <t>SC3</t>
  </si>
  <si>
    <t>Conway, SC: Conway-Horry County</t>
  </si>
  <si>
    <t>SC4</t>
  </si>
  <si>
    <t>Moncks Corner, SC: Berkeley County</t>
  </si>
  <si>
    <t>SC5</t>
  </si>
  <si>
    <t>Summerville, SC: Summerville Airport</t>
  </si>
  <si>
    <t>SC6</t>
  </si>
  <si>
    <t>Charleston, SC: Charleston Executive</t>
  </si>
  <si>
    <t>Deadhorse, AK: Deadhorse Airport</t>
  </si>
  <si>
    <t>State College, PA: University Park</t>
  </si>
  <si>
    <t>SCF</t>
  </si>
  <si>
    <t>Phoenix, AZ: Scottsdale</t>
  </si>
  <si>
    <t>SCH</t>
  </si>
  <si>
    <t>Schenectady, NY: Schenectady County</t>
  </si>
  <si>
    <t>SCI</t>
  </si>
  <si>
    <t>San Cristobal, Venezuela: San Cristobal Airport</t>
  </si>
  <si>
    <t>SCJ</t>
  </si>
  <si>
    <t>Smith Cove, AK: Smith Cove Airport</t>
  </si>
  <si>
    <t>Stockton, CA: Stockton Metropolitan</t>
  </si>
  <si>
    <t>SCL</t>
  </si>
  <si>
    <t>Santiago, Chile: Arturo Merino Benitez International</t>
  </si>
  <si>
    <t>SCM</t>
  </si>
  <si>
    <t>Scammon Bay, AK: Scammon Bay Airport</t>
  </si>
  <si>
    <t>SCN</t>
  </si>
  <si>
    <t>Saarbrucken, Germany: Saarbruecken</t>
  </si>
  <si>
    <t>SCO</t>
  </si>
  <si>
    <t>Aktau, Kazakhstan: Shevchenko</t>
  </si>
  <si>
    <t>SCQ</t>
  </si>
  <si>
    <t>Santiago de Compostela, Spain: Santiago</t>
  </si>
  <si>
    <t>SCU</t>
  </si>
  <si>
    <t>Santiago, Cuba: Antonio Maceo International</t>
  </si>
  <si>
    <t>SCV</t>
  </si>
  <si>
    <t>Suceava, Romania: Stefan Cel Mare</t>
  </si>
  <si>
    <t>SCX</t>
  </si>
  <si>
    <t>Salina Cruz, Mexico: Nas Salina Cruz</t>
  </si>
  <si>
    <t>SCY</t>
  </si>
  <si>
    <t>San Cristobal, Ecuador: San Cristobal Airport</t>
  </si>
  <si>
    <t>SD1</t>
  </si>
  <si>
    <t>Onida, SD: Onida Municipal</t>
  </si>
  <si>
    <t>SD2</t>
  </si>
  <si>
    <t>Gregory, SD: Gregory Municipal Flynn Field</t>
  </si>
  <si>
    <t>SD3</t>
  </si>
  <si>
    <t>Hot Springs, SD: Hot Springs Municipal</t>
  </si>
  <si>
    <t>SD4</t>
  </si>
  <si>
    <t>Sturgis, SD: Sturgis Municipal</t>
  </si>
  <si>
    <t>SDA</t>
  </si>
  <si>
    <t>Baghdad, Iraq: Baghdad International</t>
  </si>
  <si>
    <t>SDD</t>
  </si>
  <si>
    <t>Lubango, Angola: Lubango Airport</t>
  </si>
  <si>
    <t>SDE</t>
  </si>
  <si>
    <t>Santiago del Estero, Argentina: Santiago del Estero Airport</t>
  </si>
  <si>
    <t>Louisville, KY: Louisville Muhammad Ali International</t>
  </si>
  <si>
    <t>SDG</t>
  </si>
  <si>
    <t>Sanandaj, Iran: Sanandaj Airport</t>
  </si>
  <si>
    <t>SDH</t>
  </si>
  <si>
    <t>Santa Rosa de Copan, Honduras: Santa Rosa de Copan Airport</t>
  </si>
  <si>
    <t>SDJ</t>
  </si>
  <si>
    <t>Sendai, Japan: Sendai Airport</t>
  </si>
  <si>
    <t>SDK</t>
  </si>
  <si>
    <t>Sandakan, Malaysia: Sandakan Airport</t>
  </si>
  <si>
    <t>SDL</t>
  </si>
  <si>
    <t>Sundsvall, Sweden: Sundsvall Timra</t>
  </si>
  <si>
    <t>SDM</t>
  </si>
  <si>
    <t>San Diego, CA: Brown Field Municipal</t>
  </si>
  <si>
    <t>SDN</t>
  </si>
  <si>
    <t>Anda, Norway: Anda Airport</t>
  </si>
  <si>
    <t>SDP</t>
  </si>
  <si>
    <t>Sandpoint, AK: Sand Point</t>
  </si>
  <si>
    <t>Santo Domingo, Dominican Republic: De Las Americas International</t>
  </si>
  <si>
    <t>SDR</t>
  </si>
  <si>
    <t>Santander, Spain: Santander Airport</t>
  </si>
  <si>
    <t>SDT</t>
  </si>
  <si>
    <t>Saidu Sharif, Pakistan: Saidu Sharif Airport</t>
  </si>
  <si>
    <t>SDU</t>
  </si>
  <si>
    <t>Rio de Janeiro, Brazil: Santos Dumont</t>
  </si>
  <si>
    <t>SDV</t>
  </si>
  <si>
    <t>Tel Aviv, Israel: Sde Dov</t>
  </si>
  <si>
    <t>SDX</t>
  </si>
  <si>
    <t>Sedona, AZ: Sedona Airport</t>
  </si>
  <si>
    <t>SDY</t>
  </si>
  <si>
    <t>Sidney, MT: Sidney Richland Regional</t>
  </si>
  <si>
    <t>SE1</t>
  </si>
  <si>
    <t>Solleftea, Sweden: Solleftea Airport</t>
  </si>
  <si>
    <t>Seattle, WA: Seattle/Tacoma International</t>
  </si>
  <si>
    <t>SEB</t>
  </si>
  <si>
    <t>Sebha, Libya: Sebha Airport</t>
  </si>
  <si>
    <t>SEE</t>
  </si>
  <si>
    <t>San Diego, CA: Gillespie Field</t>
  </si>
  <si>
    <t>SEF</t>
  </si>
  <si>
    <t>Sebring, FL: Sebring Regional</t>
  </si>
  <si>
    <t>SEG</t>
  </si>
  <si>
    <t>Selinsgrove, PA: Penn Valley</t>
  </si>
  <si>
    <t>SEL</t>
  </si>
  <si>
    <t>Seoul, South Korea: Kimpo International/Seoul Metropolitan Area</t>
  </si>
  <si>
    <t>SEM</t>
  </si>
  <si>
    <t>Selma, AL: Craig Field</t>
  </si>
  <si>
    <t>SEN</t>
  </si>
  <si>
    <t>Southend-On-Sea, United Kingdom: Southend</t>
  </si>
  <si>
    <t>SEQ</t>
  </si>
  <si>
    <t>Sungai Pakning, Indonesia: Sungai Pakning Airport</t>
  </si>
  <si>
    <t>SER</t>
  </si>
  <si>
    <t>Seymour, IN: Freeman Municipal</t>
  </si>
  <si>
    <t>SES</t>
  </si>
  <si>
    <t>Selma, AL: Selfield</t>
  </si>
  <si>
    <t>SEY</t>
  </si>
  <si>
    <t>Selibaby, Mauritania: Selibaby Airport</t>
  </si>
  <si>
    <t>SEZ</t>
  </si>
  <si>
    <t>Mahe Islands, Seychelles: Seychelles International</t>
  </si>
  <si>
    <t>SFA</t>
  </si>
  <si>
    <t>Sfax, Tunisia: El Maou</t>
  </si>
  <si>
    <t>Sanford, FL: Orlando Sanford International</t>
  </si>
  <si>
    <t>SFC</t>
  </si>
  <si>
    <t>Saint Francois, Guadeloupe: Saint Francois Airport</t>
  </si>
  <si>
    <t>SFD</t>
  </si>
  <si>
    <t>San Fernando, Venezuela: San Fernando de Apure</t>
  </si>
  <si>
    <t>SFF</t>
  </si>
  <si>
    <t>Spokane, WA: Felts Field</t>
  </si>
  <si>
    <t>SFG</t>
  </si>
  <si>
    <t>Grand Case, Saint Martin: L'Esperance</t>
  </si>
  <si>
    <t>SFH</t>
  </si>
  <si>
    <t>San Felipe, Mexico: San Felipe International</t>
  </si>
  <si>
    <t>SFJ</t>
  </si>
  <si>
    <t>Sondre Stromfjord, Greenland: Sondrestrom Air Base</t>
  </si>
  <si>
    <t>SFL</t>
  </si>
  <si>
    <t>Sao Filipe, Cape Verde: Sao Filipe Airport</t>
  </si>
  <si>
    <t>SFM</t>
  </si>
  <si>
    <t>Sanford, ME: Sanford Seacoast Regional</t>
  </si>
  <si>
    <t>SFN</t>
  </si>
  <si>
    <t>Santa Fe, Argentina: Sauce Viejo</t>
  </si>
  <si>
    <t>San Francisco, CA: San Francisco International</t>
  </si>
  <si>
    <t>SFP</t>
  </si>
  <si>
    <t>Surfers Paradise, Australia: Surfers Paradise Airport</t>
  </si>
  <si>
    <t>SFQ</t>
  </si>
  <si>
    <t>Sanliurfa, Turkey: Sanliurfa Airport</t>
  </si>
  <si>
    <t>SFS</t>
  </si>
  <si>
    <t>Subic Bay, Philippines: Subic Bay International</t>
  </si>
  <si>
    <t>SFT</t>
  </si>
  <si>
    <t>Skelleftea, Sweden: Skelleftea Airport</t>
  </si>
  <si>
    <t>SFU</t>
  </si>
  <si>
    <t>Safia, Papua New Guinea: Safia Airport</t>
  </si>
  <si>
    <t>SFW</t>
  </si>
  <si>
    <t>Santa Fe, Panama: Santa Fe Airport</t>
  </si>
  <si>
    <t>SFZ</t>
  </si>
  <si>
    <t>Smithfield, RI: North Central State</t>
  </si>
  <si>
    <t>SGB</t>
  </si>
  <si>
    <t>Singaua, Papua New Guinea: Singaua Airport</t>
  </si>
  <si>
    <t>SGC</t>
  </si>
  <si>
    <t>Surgut, Russia: Surgut Airport</t>
  </si>
  <si>
    <t>SGD</t>
  </si>
  <si>
    <t>Sonderborg, Denmark: Sonderborg Airport</t>
  </si>
  <si>
    <t>SGE</t>
  </si>
  <si>
    <t>Siegen, Germany: Siegerland</t>
  </si>
  <si>
    <t>Springfield, MO: Springfield-Branson National</t>
  </si>
  <si>
    <t>SGG</t>
  </si>
  <si>
    <t>Simanggang, Malaysia: Simanggang Airport</t>
  </si>
  <si>
    <t>SGH</t>
  </si>
  <si>
    <t>Springfield, OH: Springfield-Beckley Municipal</t>
  </si>
  <si>
    <t>SGJ</t>
  </si>
  <si>
    <t>Sagarai, Papua New Guinea: Sagarai Airport</t>
  </si>
  <si>
    <t>SGM</t>
  </si>
  <si>
    <t>San Ignacio, Mexico: San Ignacio Airport</t>
  </si>
  <si>
    <t>SGN</t>
  </si>
  <si>
    <t>Ho Chi Minh City, Vietnam: Tan Son Nhat International</t>
  </si>
  <si>
    <t>SGO</t>
  </si>
  <si>
    <t>St. George, Australia: Saint George</t>
  </si>
  <si>
    <t>SGP</t>
  </si>
  <si>
    <t>Shay Gap, Australia: Shay Gap Airport</t>
  </si>
  <si>
    <t>SGR</t>
  </si>
  <si>
    <t>Sugar Land, TX: Sugar Land Regional</t>
  </si>
  <si>
    <t>SGT</t>
  </si>
  <si>
    <t>Stuttgart, AR: Stuttgart Municipal Carl Humphrey Field</t>
  </si>
  <si>
    <t>St. George, UT: St George Regional</t>
  </si>
  <si>
    <t>SGW</t>
  </si>
  <si>
    <t>Saginaw Bay, AK: Saginaw</t>
  </si>
  <si>
    <t>SGX</t>
  </si>
  <si>
    <t>Songea, Tanzania: Songea Airport</t>
  </si>
  <si>
    <t>SGY</t>
  </si>
  <si>
    <t>Skagway, AK: Skagway Airport</t>
  </si>
  <si>
    <t>SGZ</t>
  </si>
  <si>
    <t>Singora, Thailand: Songkhla</t>
  </si>
  <si>
    <t>SHA</t>
  </si>
  <si>
    <t>Shanghai, China: Hongqiao International</t>
  </si>
  <si>
    <t>SHB</t>
  </si>
  <si>
    <t>Nakashibetsu, Japan: Nakashibetsu Airport</t>
  </si>
  <si>
    <t>SHC</t>
  </si>
  <si>
    <t>Shire Indasilase, Ethiopia: Shire Major General Haelom</t>
  </si>
  <si>
    <t>Staunton, VA: Shenandoah Valley Regional</t>
  </si>
  <si>
    <t>SHE</t>
  </si>
  <si>
    <t>Shenyang, China: Taoxian</t>
  </si>
  <si>
    <t>SHG</t>
  </si>
  <si>
    <t>Shungnak, AK: Shungnak Airport</t>
  </si>
  <si>
    <t>SHH</t>
  </si>
  <si>
    <t>Shishmaref, AK: Shishmaref Airport</t>
  </si>
  <si>
    <t>SHI</t>
  </si>
  <si>
    <t>Shimojishima, Japan: Shimojishima Airport</t>
  </si>
  <si>
    <t>SHJ</t>
  </si>
  <si>
    <t>Sharjah, United Arab Emirates: Sharjah International</t>
  </si>
  <si>
    <t>SHL</t>
  </si>
  <si>
    <t>Shillong, India: Barapani</t>
  </si>
  <si>
    <t>SHM</t>
  </si>
  <si>
    <t>Nanki Shirahama, Japan: Nanki Shirahama Airport</t>
  </si>
  <si>
    <t>SHN</t>
  </si>
  <si>
    <t>Shelton, WA: Sanderson Field</t>
  </si>
  <si>
    <t>SHO</t>
  </si>
  <si>
    <t>Sokcho, South Korea: G 407</t>
  </si>
  <si>
    <t>Sheridan, WY: Sheridan County</t>
  </si>
  <si>
    <t>SHU</t>
  </si>
  <si>
    <t>Smith Point, Australia: Smith Point Airport</t>
  </si>
  <si>
    <t>Shreveport, LA: Shreveport Regional</t>
  </si>
  <si>
    <t>SHW</t>
  </si>
  <si>
    <t>Sharurah, Saudi Arabia: Sharurah Airport</t>
  </si>
  <si>
    <t>SHX</t>
  </si>
  <si>
    <t>Shageluk, AK: Shageluk Airport</t>
  </si>
  <si>
    <t>SIA</t>
  </si>
  <si>
    <t>Xi'an, China: Xi'an Xiguan</t>
  </si>
  <si>
    <t>SID</t>
  </si>
  <si>
    <t>Sal Island, Cape Verde: Amilcar Cabral International</t>
  </si>
  <si>
    <t>SIG</t>
  </si>
  <si>
    <t>San Juan, PR: Isla Grande</t>
  </si>
  <si>
    <t>SIH</t>
  </si>
  <si>
    <t>Silgadi Doti, Nepal: Silgadi Doti Airport</t>
  </si>
  <si>
    <t>SII</t>
  </si>
  <si>
    <t>Sidi Ifni, Morocco: Sidi Ifni Airport</t>
  </si>
  <si>
    <t>SIK</t>
  </si>
  <si>
    <t>Sikeston, MO: Sikeston Memorial Municipal</t>
  </si>
  <si>
    <t>SIM</t>
  </si>
  <si>
    <t>Simbai, Papua New Guinea: Simbai Airport</t>
  </si>
  <si>
    <t>SIN</t>
  </si>
  <si>
    <t>Singapore, Singapore: Singapore Changi International</t>
  </si>
  <si>
    <t>SIO</t>
  </si>
  <si>
    <t>Smithton, Australia: Smithton Airport</t>
  </si>
  <si>
    <t>SIP</t>
  </si>
  <si>
    <t>Simferopol, Ukraine: Simferopol International</t>
  </si>
  <si>
    <t>SIR</t>
  </si>
  <si>
    <t>Sion, Switzerland: Sion Airport</t>
  </si>
  <si>
    <t>SIS</t>
  </si>
  <si>
    <t>Sishen, South Africa: Sishen Airport</t>
  </si>
  <si>
    <t>Sitka, AK: Sitka Rocky Gutierrez</t>
  </si>
  <si>
    <t>SIU</t>
  </si>
  <si>
    <t>Siuna, Nicaragua: Siuna Airport</t>
  </si>
  <si>
    <t>SIY</t>
  </si>
  <si>
    <t>Montague, CA: Siskiyou County</t>
  </si>
  <si>
    <t>San Jose, CA: Norman Y. Mineta San Jose International</t>
  </si>
  <si>
    <t>San Jose del Cabo, Mexico: Los Cabos International</t>
  </si>
  <si>
    <t>SJF</t>
  </si>
  <si>
    <t>St. John, VI: St. John Airport</t>
  </si>
  <si>
    <t>SJI</t>
  </si>
  <si>
    <t>San Jose, Philippines: San Jose Airport</t>
  </si>
  <si>
    <t>SJJ</t>
  </si>
  <si>
    <t>Sarajevo, Bosnia and Herzegovina: Sarajevo Airport</t>
  </si>
  <si>
    <t>SJK</t>
  </si>
  <si>
    <t>Sao Jose Dos Campos, Brazil: Professor Urbano Ernesto Stumpf</t>
  </si>
  <si>
    <t>SJN</t>
  </si>
  <si>
    <t>St. Johns, AZ: St. Johns Industrial Air Park</t>
  </si>
  <si>
    <t>San Jose, Costa Rica: Juan Santamaria International</t>
  </si>
  <si>
    <t>SJP</t>
  </si>
  <si>
    <t>Sao Jose Do Rio Preto, Brazil: Professor Eriberto Manoel Reino</t>
  </si>
  <si>
    <t>SJQ</t>
  </si>
  <si>
    <t>Sesheke, Zambia: Sesheke Airport</t>
  </si>
  <si>
    <t>SJS</t>
  </si>
  <si>
    <t>San Jose, Bolivia: San Jose de Chiquitos</t>
  </si>
  <si>
    <t>San Angelo, TX: San Angelo Regional/Mathis Field</t>
  </si>
  <si>
    <t>San Juan, PR: Luis Munoz Marin International</t>
  </si>
  <si>
    <t>SJV</t>
  </si>
  <si>
    <t>San Javier, Bolivia: San Javier Airport</t>
  </si>
  <si>
    <t>SJW</t>
  </si>
  <si>
    <t>Shijiazhuang, China: Zhengding</t>
  </si>
  <si>
    <t>SJY</t>
  </si>
  <si>
    <t>Seinajoki, Finland: Seinajoki Airport</t>
  </si>
  <si>
    <t>SJZ</t>
  </si>
  <si>
    <t>Sao Jorge Island, Portugal: Sao Jorge</t>
  </si>
  <si>
    <t>SKA</t>
  </si>
  <si>
    <t>Spokane, WA: Fairchild AFB</t>
  </si>
  <si>
    <t>SKB</t>
  </si>
  <si>
    <t>St. Kitts, Saint Kitts and Nevis: Robert L Bradshaw International</t>
  </si>
  <si>
    <t>SKC</t>
  </si>
  <si>
    <t>Suki, Papua New Guinea: Suki Airport</t>
  </si>
  <si>
    <t>SKD</t>
  </si>
  <si>
    <t>Samarkand, Uzbekistan: Samarkand Airport</t>
  </si>
  <si>
    <t>SKE</t>
  </si>
  <si>
    <t>Skien, Norway: Geiteryggen</t>
  </si>
  <si>
    <t>SKF</t>
  </si>
  <si>
    <t>San Antonio, TX: Kelly Field</t>
  </si>
  <si>
    <t>SKG</t>
  </si>
  <si>
    <t>Thessaloniki, Greece: Makedonia</t>
  </si>
  <si>
    <t>SKJ</t>
  </si>
  <si>
    <t>Sitkinak, AK: Sitkinak CGS</t>
  </si>
  <si>
    <t>SKK</t>
  </si>
  <si>
    <t>Shaktoolik, AK: Shaktoolik Airport</t>
  </si>
  <si>
    <t>SKL</t>
  </si>
  <si>
    <t>Isle of Skye, United Kingdom: Isle of Skye Airport</t>
  </si>
  <si>
    <t>SKN</t>
  </si>
  <si>
    <t>Stokmarknes, Norway: Skagen</t>
  </si>
  <si>
    <t>SKO</t>
  </si>
  <si>
    <t>Sokoto, Nigeria: Sokoto Airport</t>
  </si>
  <si>
    <t>SKP</t>
  </si>
  <si>
    <t>Skopje, Macedonia: Skopje International</t>
  </si>
  <si>
    <t>SKS</t>
  </si>
  <si>
    <t>Skrydstrup, Denmark: Skrydstrup Airport</t>
  </si>
  <si>
    <t>SKT</t>
  </si>
  <si>
    <t>Sialkot, Pakistan: Sialkot International</t>
  </si>
  <si>
    <t>SKU</t>
  </si>
  <si>
    <t>Skiros, Greece: Skiros Airport</t>
  </si>
  <si>
    <t>SKW</t>
  </si>
  <si>
    <t>Skwentna, AK: Skwentna Airport</t>
  </si>
  <si>
    <t>SKX</t>
  </si>
  <si>
    <t>Saransk, Russia: Saransk Airport</t>
  </si>
  <si>
    <t>SKY</t>
  </si>
  <si>
    <t>Sandusky, OH: Griffing Sandusky</t>
  </si>
  <si>
    <t>SKZ</t>
  </si>
  <si>
    <t>Sukkur, Pakistan: Begum Nusrat Bhutto</t>
  </si>
  <si>
    <t>SLA</t>
  </si>
  <si>
    <t>Salta, Argentina: Salta Airport</t>
  </si>
  <si>
    <t>SLB</t>
  </si>
  <si>
    <t>Storm Lake, IA: Storm Lake Municipal</t>
  </si>
  <si>
    <t>Salt Lake City, UT: Salt Lake City International</t>
  </si>
  <si>
    <t>SLD</t>
  </si>
  <si>
    <t>Sliac, Slovakia: Sliac Airport</t>
  </si>
  <si>
    <t>SLE</t>
  </si>
  <si>
    <t>Salem, OR: McNary Field</t>
  </si>
  <si>
    <t>SLH</t>
  </si>
  <si>
    <t>Sola, Vanuatu: Sola Airport</t>
  </si>
  <si>
    <t>SLI</t>
  </si>
  <si>
    <t>Solwezi, Zambia: Solwezi Airport</t>
  </si>
  <si>
    <t>SLJ</t>
  </si>
  <si>
    <t>Chandler, AZ: Stellar Airpark</t>
  </si>
  <si>
    <t>SLK</t>
  </si>
  <si>
    <t>Saranac Lake/Lake Placid, NY: Adirondack Regional</t>
  </si>
  <si>
    <t>SLL</t>
  </si>
  <si>
    <t>Salalah, Oman: Salalah Airport</t>
  </si>
  <si>
    <t>SLM</t>
  </si>
  <si>
    <t>Salamanca, Spain: Matacan</t>
  </si>
  <si>
    <t>Salina, KS: Salina Regional</t>
  </si>
  <si>
    <t>SLO</t>
  </si>
  <si>
    <t>Salem, IL: Salem/Leckrone</t>
  </si>
  <si>
    <t>SLP</t>
  </si>
  <si>
    <t>San Luis Potosi, Mexico: Ponciano Arriaga International</t>
  </si>
  <si>
    <t>SLQ</t>
  </si>
  <si>
    <t>Sleetmute, AK: Sleetmute Airport</t>
  </si>
  <si>
    <t>SLR</t>
  </si>
  <si>
    <t>Sulphur Springs, TX: Sulphur Springs Municipal</t>
  </si>
  <si>
    <t>SLS</t>
  </si>
  <si>
    <t>Silistra, Bulgaria: Silistra Polkovnik-Lambrinovo</t>
  </si>
  <si>
    <t>SLT</t>
  </si>
  <si>
    <t>Salida, CO: Salida Airport Harriett Alexander Field</t>
  </si>
  <si>
    <t>SLU</t>
  </si>
  <si>
    <t>St. Lucia, Saint Lucia: George F Charles</t>
  </si>
  <si>
    <t>SLV</t>
  </si>
  <si>
    <t>Shimla, India: Shimla Airport</t>
  </si>
  <si>
    <t>SLW</t>
  </si>
  <si>
    <t>Saltillo, Mexico: Plan de Guadalupe International</t>
  </si>
  <si>
    <t>SLX</t>
  </si>
  <si>
    <t>Salt Cay, Turks and Caicos Islands: Salt Cay Airport</t>
  </si>
  <si>
    <t>SLZ</t>
  </si>
  <si>
    <t>Sao Luiz, Brazil: Marechal Cunha Machado International</t>
  </si>
  <si>
    <t>SMA</t>
  </si>
  <si>
    <t>Santa Maria, Portugal: Santa Maria Airport</t>
  </si>
  <si>
    <t>SMB</t>
  </si>
  <si>
    <t>Cerro El Sombrero, Chile: Franco Bianco</t>
  </si>
  <si>
    <t>SMC</t>
  </si>
  <si>
    <t>Santa Maria, Colombia: Santa Maria Airport</t>
  </si>
  <si>
    <t>SME</t>
  </si>
  <si>
    <t>Somerset, KY: Lake Cumberland Regional</t>
  </si>
  <si>
    <t>Sacramento, CA: Sacramento International</t>
  </si>
  <si>
    <t>SMI</t>
  </si>
  <si>
    <t>Samos, Greece: Samos Airport</t>
  </si>
  <si>
    <t>SMK</t>
  </si>
  <si>
    <t>St. Michael, AK: St. Michael Airport</t>
  </si>
  <si>
    <t>SML</t>
  </si>
  <si>
    <t>Stella Maris, The Bahamas: Estate Airstrip</t>
  </si>
  <si>
    <t>SMN</t>
  </si>
  <si>
    <t>Salmon, ID: Lemhi County</t>
  </si>
  <si>
    <t>SMO</t>
  </si>
  <si>
    <t>Santa Monica, CA: Santa Monica Municipal</t>
  </si>
  <si>
    <t>SMQ</t>
  </si>
  <si>
    <t>Sampit, Indonesia: H.Asan</t>
  </si>
  <si>
    <t>SMR</t>
  </si>
  <si>
    <t>Santa Marta, Colombia: Simon Bolivar</t>
  </si>
  <si>
    <t>SMS</t>
  </si>
  <si>
    <t>St. Marie, Madagascar: Sainte Marie</t>
  </si>
  <si>
    <t>SMT</t>
  </si>
  <si>
    <t>Stone Mountain, GA: Stone Mountain Airport</t>
  </si>
  <si>
    <t>SMU</t>
  </si>
  <si>
    <t>Sheep Mountain, AK: Sheep Mountain Airport</t>
  </si>
  <si>
    <t>SMV</t>
  </si>
  <si>
    <t>St. Moritz, Switzerland: Samedan</t>
  </si>
  <si>
    <t>Santa Maria, CA: Santa Maria Public/Capt. G. Allan Hancock Field</t>
  </si>
  <si>
    <t>SMY</t>
  </si>
  <si>
    <t>Simenti, Senegal: Simenti Airport</t>
  </si>
  <si>
    <t>SMZ</t>
  </si>
  <si>
    <t>Stoelmanseiland, Suriname: Stoelmanseiland Airport</t>
  </si>
  <si>
    <t>Santa Ana, CA: John Wayne Airport-Orange County</t>
  </si>
  <si>
    <t>SNB</t>
  </si>
  <si>
    <t>Snake Bay, Australia: Snake Bay Airport</t>
  </si>
  <si>
    <t>SNC</t>
  </si>
  <si>
    <t>Salinas, Ecuador: General Ulpiano Paez</t>
  </si>
  <si>
    <t>SNE</t>
  </si>
  <si>
    <t>Sao Nicolau, Cape Verde: Preguica</t>
  </si>
  <si>
    <t>SNF</t>
  </si>
  <si>
    <t>San Felipe, Venezuela: Sub Teniente Nestor Arias</t>
  </si>
  <si>
    <t>SNG</t>
  </si>
  <si>
    <t>San Ignacio de Velasco, Bolivia: Cap. Av. Juan Cochamanidis Saucedo</t>
  </si>
  <si>
    <t>SNI</t>
  </si>
  <si>
    <t>Greenville/Sinoe, Liberia: Greenville/Sinoe Airport</t>
  </si>
  <si>
    <t>SNK</t>
  </si>
  <si>
    <t>Snyder, TX: Winston Field</t>
  </si>
  <si>
    <t>SNL</t>
  </si>
  <si>
    <t>Shawnee, OK: Shawnee Regional</t>
  </si>
  <si>
    <t>SNM</t>
  </si>
  <si>
    <t>San Ignacio de Moxos, Bolivia: San Ignacio de Moxos Airport</t>
  </si>
  <si>
    <t>SNN</t>
  </si>
  <si>
    <t>Shannon, Ireland: Shannon Airport</t>
  </si>
  <si>
    <t>SNP</t>
  </si>
  <si>
    <t>St. Paul, AK: St. Paul Island</t>
  </si>
  <si>
    <t>SNQ</t>
  </si>
  <si>
    <t>San Quintin, Mexico: San Quintin Southeast</t>
  </si>
  <si>
    <t>SNR</t>
  </si>
  <si>
    <t>St. Nazaire, France: Saint Nazaire Montoir</t>
  </si>
  <si>
    <t>SNS</t>
  </si>
  <si>
    <t>Salinas/Monterey, CA: Salinas Municipal</t>
  </si>
  <si>
    <t>SNT</t>
  </si>
  <si>
    <t>Las Cruces, Colombia: Las Cruces Airport</t>
  </si>
  <si>
    <t>SNU</t>
  </si>
  <si>
    <t>Santa Clara, Cuba: Abel Santamaria International</t>
  </si>
  <si>
    <t>SNV</t>
  </si>
  <si>
    <t>Santa Elena, Venezuela: Wonkin</t>
  </si>
  <si>
    <t>SNW</t>
  </si>
  <si>
    <t>Thandwe, Burma: Thandwe Airport</t>
  </si>
  <si>
    <t>SNY</t>
  </si>
  <si>
    <t>Sidney, NE: Sidney Municipal/Lloyd W. Carr Field</t>
  </si>
  <si>
    <t>SOB</t>
  </si>
  <si>
    <t>Sarmellek, Hungary: Balaton</t>
  </si>
  <si>
    <t>SOC</t>
  </si>
  <si>
    <t>Solo City, Indonesia: Adi Soemarmo International</t>
  </si>
  <si>
    <t>SOF</t>
  </si>
  <si>
    <t>Sofia, Bulgaria: Sofia Airport</t>
  </si>
  <si>
    <t>SOG</t>
  </si>
  <si>
    <t>Sogndal, Norway: Haukasen</t>
  </si>
  <si>
    <t>SOI</t>
  </si>
  <si>
    <t>South Molle Island, Australia: S Molle</t>
  </si>
  <si>
    <t>SOJ</t>
  </si>
  <si>
    <t>Sorkjosen, Norway: Sorkjosen Airport</t>
  </si>
  <si>
    <t>SOK</t>
  </si>
  <si>
    <t>Semonkong, Lesotho: Semonkong Airport</t>
  </si>
  <si>
    <t>SOL</t>
  </si>
  <si>
    <t>Solomon, AK: Solomon State Field</t>
  </si>
  <si>
    <t>SOM</t>
  </si>
  <si>
    <t>San Tome, Venezuela: San Tome Airport</t>
  </si>
  <si>
    <t>SON</t>
  </si>
  <si>
    <t>Espiritu Santo, Vanuatu: Espiritu</t>
  </si>
  <si>
    <t>SOP</t>
  </si>
  <si>
    <t>Pinehurst/Southern Pines, NC: Moore County</t>
  </si>
  <si>
    <t>SOQ</t>
  </si>
  <si>
    <t>Sorong, Indonesia: Sorong Airport</t>
  </si>
  <si>
    <t>SOU</t>
  </si>
  <si>
    <t>Southampton, United Kingdom: Southampton Airport</t>
  </si>
  <si>
    <t>SOV</t>
  </si>
  <si>
    <t>Seldovia, AK: Seldovia Airport</t>
  </si>
  <si>
    <t>SOW</t>
  </si>
  <si>
    <t>Show Low, AZ: Show Low Regional</t>
  </si>
  <si>
    <t>SPA</t>
  </si>
  <si>
    <t>Spartanburg, SC: Spartanburg Downtown Memorial Simpson Field</t>
  </si>
  <si>
    <t>SPB</t>
  </si>
  <si>
    <t>Charlotte Amalie, VI: Charlotte Amalie Harbor Seaplane Base</t>
  </si>
  <si>
    <t>SPC</t>
  </si>
  <si>
    <t>Santa Cruz de la Palma, Spain: La Palma</t>
  </si>
  <si>
    <t>SPD</t>
  </si>
  <si>
    <t>Saidpur, Bangladesh: Saidpur Airport</t>
  </si>
  <si>
    <t>SPE</t>
  </si>
  <si>
    <t>Sepulot, Malaysia: Sepulot Airport</t>
  </si>
  <si>
    <t>SPF</t>
  </si>
  <si>
    <t>Spearfish, SD: Black Hills Clyde Ice Field</t>
  </si>
  <si>
    <t>SPG</t>
  </si>
  <si>
    <t>Tampa, FL: Albert Whitted</t>
  </si>
  <si>
    <t>SPH</t>
  </si>
  <si>
    <t>Sopu, Papua New Guinea: Sopu Airport</t>
  </si>
  <si>
    <t>Springfield, IL: Abraham Lincoln Capital</t>
  </si>
  <si>
    <t>SPK</t>
  </si>
  <si>
    <t>Sapporo, Japan: Chitose AB</t>
  </si>
  <si>
    <t>SPM</t>
  </si>
  <si>
    <t>Spangdahlem, Germany: Spangdahlem AB</t>
  </si>
  <si>
    <t>Saipan, TT: Francisco C. Ada Saipan International</t>
  </si>
  <si>
    <t>SPP</t>
  </si>
  <si>
    <t>Menongue, Angola: Menongue Airport</t>
  </si>
  <si>
    <t>SPQ</t>
  </si>
  <si>
    <t>San Pedro, CA: Catalina Air-Sea Terminal Heliport</t>
  </si>
  <si>
    <t>SPR</t>
  </si>
  <si>
    <t>San Pedro, Belize: San Pedro Airport</t>
  </si>
  <si>
    <t>Wichita Falls, TX: Sheppard AFB/Wichita Falls Municipal</t>
  </si>
  <si>
    <t>SPU</t>
  </si>
  <si>
    <t>Split, Croatia: Split Airport</t>
  </si>
  <si>
    <t>SPW</t>
  </si>
  <si>
    <t>Spencer, IA: Spencer Municipal</t>
  </si>
  <si>
    <t>SPY</t>
  </si>
  <si>
    <t>San Pedro, Cote d'Ivoire: San Pedro Airport</t>
  </si>
  <si>
    <t>SPZ</t>
  </si>
  <si>
    <t>Springdale, AR: Springdale Municipal</t>
  </si>
  <si>
    <t>SQA</t>
  </si>
  <si>
    <t>Santa Ynez, CA: Santa Ynez Airport</t>
  </si>
  <si>
    <t>SQI</t>
  </si>
  <si>
    <t>Sterling/Rockfalls, IL: Whiteside County-Jos H. Bittorf Field</t>
  </si>
  <si>
    <t>SQL</t>
  </si>
  <si>
    <t>San Carlos, CA: San Carlos Airport</t>
  </si>
  <si>
    <t>SQN</t>
  </si>
  <si>
    <t>Sanana, Indonesia: Emalamo</t>
  </si>
  <si>
    <t>SQO</t>
  </si>
  <si>
    <t>Storuman, Sweden: Storuman Airport</t>
  </si>
  <si>
    <t>SQQ</t>
  </si>
  <si>
    <t>Siauliai, Lithuania: Siauliai International</t>
  </si>
  <si>
    <t>SQR</t>
  </si>
  <si>
    <t>Soroako, Indonesia: Soroako Airport</t>
  </si>
  <si>
    <t>SQV</t>
  </si>
  <si>
    <t>Sequim, WA: Sequim Valley</t>
  </si>
  <si>
    <t>SRA</t>
  </si>
  <si>
    <t>Santa Rosa, Brazil: Santa Rosa Airport</t>
  </si>
  <si>
    <t>SRB</t>
  </si>
  <si>
    <t>Santa Rosa, Bolivia: Santa Rosa Airport</t>
  </si>
  <si>
    <t>SRC</t>
  </si>
  <si>
    <t>Searcy, AR: Searcy Municipal</t>
  </si>
  <si>
    <t>SRE</t>
  </si>
  <si>
    <t>Sucre, Bolivia: Juana Azurduy de Padilla</t>
  </si>
  <si>
    <t>SRF</t>
  </si>
  <si>
    <t>Novato, CA: Hamilton AFB</t>
  </si>
  <si>
    <t>SRG</t>
  </si>
  <si>
    <t>Semarang, Indonesia: Jenderal Ahmad Yani International</t>
  </si>
  <si>
    <t>SRH</t>
  </si>
  <si>
    <t>Sarh, Chad: Sarh Airport</t>
  </si>
  <si>
    <t>SRI</t>
  </si>
  <si>
    <t>Samarinda, Indonesia: Samarinda Airport</t>
  </si>
  <si>
    <t>SRJ</t>
  </si>
  <si>
    <t>San Borja, Bolivia: Capitan German Quiroga Guardia</t>
  </si>
  <si>
    <t>SRL</t>
  </si>
  <si>
    <t>Santa Rosalia, Mexico: San Lucas</t>
  </si>
  <si>
    <t>SRN</t>
  </si>
  <si>
    <t>Strahan, Australia: Strahan Airport</t>
  </si>
  <si>
    <t>SRO</t>
  </si>
  <si>
    <t>Santana Ramos, Colombia: Santana Ramos Airport</t>
  </si>
  <si>
    <t>SRP</t>
  </si>
  <si>
    <t>Stord, Norway: Stord Airport</t>
  </si>
  <si>
    <t>Sarasota/Bradenton, FL: Sarasota/Bradenton International</t>
  </si>
  <si>
    <t>SRV</t>
  </si>
  <si>
    <t>Stony River, AK: Stony River Airport</t>
  </si>
  <si>
    <t>SRW</t>
  </si>
  <si>
    <t>Salisbury, NC: Mid Carolina Regional</t>
  </si>
  <si>
    <t>SRX</t>
  </si>
  <si>
    <t>Sert, Libya: Sirte International</t>
  </si>
  <si>
    <t>SRZ</t>
  </si>
  <si>
    <t>Santa Cruz, Bolivia: El Trompillo</t>
  </si>
  <si>
    <t>SSA</t>
  </si>
  <si>
    <t>Salvador, Brazil: Deputado Luis Eduardo Magalhaes International</t>
  </si>
  <si>
    <t>SSB</t>
  </si>
  <si>
    <t>Christiansted, VI: Christiansted Harbor Seaplane Base</t>
  </si>
  <si>
    <t>SSC</t>
  </si>
  <si>
    <t>Sumter, SC: Shaw AFB</t>
  </si>
  <si>
    <t>SSF</t>
  </si>
  <si>
    <t>San Antonio, TX: Stinson Municipal</t>
  </si>
  <si>
    <t>SSG</t>
  </si>
  <si>
    <t>Malabo, Equatorial Guinea: Malabo Airport</t>
  </si>
  <si>
    <t>SSH</t>
  </si>
  <si>
    <t>Sharm El Sheikh, Egypt: Sharm El Sheikh International</t>
  </si>
  <si>
    <t>SSI</t>
  </si>
  <si>
    <t>Brunswick, GA: St Simons Island</t>
  </si>
  <si>
    <t>SSJ</t>
  </si>
  <si>
    <t>Sandnessjoen, Norway: Stokka</t>
  </si>
  <si>
    <t>SSL</t>
  </si>
  <si>
    <t>Santa Rosalia, Colombia: Santa Rosalia Airport</t>
  </si>
  <si>
    <t>SSM</t>
  </si>
  <si>
    <t>Sault Ste. Marie, MI: Sault Ste. Marie Metropolitan Area</t>
  </si>
  <si>
    <t>SSN</t>
  </si>
  <si>
    <t>Seoul, South Korea: Seoul AB</t>
  </si>
  <si>
    <t>SSS</t>
  </si>
  <si>
    <t>Siassi, Papua New Guinea: Siassi Airport</t>
  </si>
  <si>
    <t>SST</t>
  </si>
  <si>
    <t>Santa Teresita, Argentina: Santa Teresita Airport</t>
  </si>
  <si>
    <t>SSW</t>
  </si>
  <si>
    <t>Stuart Island, WA: Stuart Island Airpark</t>
  </si>
  <si>
    <t>SSX</t>
  </si>
  <si>
    <t>Samsun, Turkey: Samsun Airport</t>
  </si>
  <si>
    <t>SSY</t>
  </si>
  <si>
    <t>Mbanza Congo, Angola: Mbanza Congo Airport</t>
  </si>
  <si>
    <t>STA</t>
  </si>
  <si>
    <t>Stauning, Denmark: Stauning Airport</t>
  </si>
  <si>
    <t>STB</t>
  </si>
  <si>
    <t>Santa Barbara, Venezuela: Santa Barbara Airport</t>
  </si>
  <si>
    <t>St. Cloud, MN: St. Cloud Regional</t>
  </si>
  <si>
    <t>STD</t>
  </si>
  <si>
    <t>Santo Domingo, Venezuela: Mayor Guerrero Vivas</t>
  </si>
  <si>
    <t>STE</t>
  </si>
  <si>
    <t>Stevens Point, WI: Stevens Point Municipal</t>
  </si>
  <si>
    <t>STF</t>
  </si>
  <si>
    <t>Starkville, MS: George M. Bryan</t>
  </si>
  <si>
    <t>STG</t>
  </si>
  <si>
    <t>St. George Island, AK: St. George Island Airport</t>
  </si>
  <si>
    <t>Santiago, Dominican Republic: Cibao International</t>
  </si>
  <si>
    <t>STJ</t>
  </si>
  <si>
    <t>St. Joseph, MO: Rosecrans Memorial</t>
  </si>
  <si>
    <t>STK</t>
  </si>
  <si>
    <t>Sterling, CO: Sterling Municipal</t>
  </si>
  <si>
    <t>St. Louis, MO: St Louis Lambert International</t>
  </si>
  <si>
    <t>STM</t>
  </si>
  <si>
    <t>Santarem, Brazil: Eduardo Gomes</t>
  </si>
  <si>
    <t>STN</t>
  </si>
  <si>
    <t>London, United Kingdom: London Stansted</t>
  </si>
  <si>
    <t>STO</t>
  </si>
  <si>
    <t>Stockholm, Sweden: Stockholm Metropolitan Area</t>
  </si>
  <si>
    <t>STP</t>
  </si>
  <si>
    <t>Minneapolis/St. Paul, MN: St. Paul Downtown Holman Field</t>
  </si>
  <si>
    <t>STQ</t>
  </si>
  <si>
    <t>St. Marys, PA: St. Marys Municipal</t>
  </si>
  <si>
    <t>STR</t>
  </si>
  <si>
    <t>Stuttgart, Germany: Stuttgart Airport</t>
  </si>
  <si>
    <t>Santa Rosa, CA: Charles M. Schulz - Sonoma County</t>
  </si>
  <si>
    <t>Charlotte Amalie, VI: Cyril E King</t>
  </si>
  <si>
    <t>STV</t>
  </si>
  <si>
    <t>Surat, India: Surat Airport</t>
  </si>
  <si>
    <t>STW</t>
  </si>
  <si>
    <t>Stavropol, Russia: Shpakovskoye</t>
  </si>
  <si>
    <t>Christiansted, VI: Henry E. Rohlsen</t>
  </si>
  <si>
    <t>STY</t>
  </si>
  <si>
    <t>Salto, Uruguay: Nueva Hesperides International</t>
  </si>
  <si>
    <t>STZ</t>
  </si>
  <si>
    <t>Santa Terezinha, Brazil: Santa Terezinha Airport</t>
  </si>
  <si>
    <t>SUA</t>
  </si>
  <si>
    <t>Stuart, FL: Witham Field</t>
  </si>
  <si>
    <t>SUB</t>
  </si>
  <si>
    <t>Surabaya, Indonesia: Juanda</t>
  </si>
  <si>
    <t>SUC</t>
  </si>
  <si>
    <t>Sundance, WY: Schloredt</t>
  </si>
  <si>
    <t>SUE</t>
  </si>
  <si>
    <t>Sturgeon Bay, WI: Door County Cherryland</t>
  </si>
  <si>
    <t>SUF</t>
  </si>
  <si>
    <t>Lamezia Terme, Italy: Lamezia Terme Airport</t>
  </si>
  <si>
    <t>SUG</t>
  </si>
  <si>
    <t>Surigao, Philippines: Surigao Airport</t>
  </si>
  <si>
    <t>SUI</t>
  </si>
  <si>
    <t>Sukhumi, Georgia: Babusheri</t>
  </si>
  <si>
    <t>SUJ</t>
  </si>
  <si>
    <t>Satu Mare, Romania: Satu Mare Airport</t>
  </si>
  <si>
    <t>SUL</t>
  </si>
  <si>
    <t>Sui, Pakistan: Sui Airport</t>
  </si>
  <si>
    <t>SUM</t>
  </si>
  <si>
    <t>Sumter, SC: Sumter Airport</t>
  </si>
  <si>
    <t>Sun Valley/Hailey/Ketchum, ID: Friedman Memorial</t>
  </si>
  <si>
    <t>SUO</t>
  </si>
  <si>
    <t>Sunriver, OR: Sunriver Airport</t>
  </si>
  <si>
    <t>SUS</t>
  </si>
  <si>
    <t>St. Louis, MO: Spirit of St. Louis</t>
  </si>
  <si>
    <t>SUT</t>
  </si>
  <si>
    <t>Sumbawanga, Tanzania: Sumbawanga Airport</t>
  </si>
  <si>
    <t>SUU</t>
  </si>
  <si>
    <t>Fairfield, CA: Travis AFB</t>
  </si>
  <si>
    <t>SUV</t>
  </si>
  <si>
    <t>Suva, Fiji: Nausori International</t>
  </si>
  <si>
    <t>SUW</t>
  </si>
  <si>
    <t>Superior, WI: Richard I Bong</t>
  </si>
  <si>
    <t>Sioux City, IA: Sioux Gateway Brig Gen Bud Day Field</t>
  </si>
  <si>
    <t>SVA</t>
  </si>
  <si>
    <t>Savoonga, AK: Savoonga Airport</t>
  </si>
  <si>
    <t>SVB</t>
  </si>
  <si>
    <t>Sambava, Madagascar: Sambava Airport</t>
  </si>
  <si>
    <t>SVC</t>
  </si>
  <si>
    <t>Silver City/Hurley, NM: Grant County</t>
  </si>
  <si>
    <t>SVD</t>
  </si>
  <si>
    <t>St. Vincent, Saint Vincent and the Grenadines: E. T. Joshua</t>
  </si>
  <si>
    <t>SVG</t>
  </si>
  <si>
    <t>Stavanger, Norway: Sola</t>
  </si>
  <si>
    <t>SVH</t>
  </si>
  <si>
    <t>Statesville, NC: Statesville Regional</t>
  </si>
  <si>
    <t>SVJ</t>
  </si>
  <si>
    <t>Svolvaer, Norway: Helle</t>
  </si>
  <si>
    <t>SVL</t>
  </si>
  <si>
    <t>Savonlinna, Finland: Savonlinna Airport</t>
  </si>
  <si>
    <t>SVN</t>
  </si>
  <si>
    <t>Savannah, GA: Hunter AAF</t>
  </si>
  <si>
    <t>SVO</t>
  </si>
  <si>
    <t>Moscow, Russia: Sheremetyevo</t>
  </si>
  <si>
    <t>SVP</t>
  </si>
  <si>
    <t>Kuito, Angola: Kuito Airport</t>
  </si>
  <si>
    <t>SVQ</t>
  </si>
  <si>
    <t>Seville, Spain: Seville Airport</t>
  </si>
  <si>
    <t>SVS</t>
  </si>
  <si>
    <t>Stevens Village, AK: Stevens Village Airport</t>
  </si>
  <si>
    <t>SVU</t>
  </si>
  <si>
    <t>Savusavu, Fiji: Savusavu Airport</t>
  </si>
  <si>
    <t>SVW</t>
  </si>
  <si>
    <t>Sparrevohn, AK: Sparrevohn LRRS</t>
  </si>
  <si>
    <t>SVX</t>
  </si>
  <si>
    <t>Ekaterinburg, Russia: Koltsovo</t>
  </si>
  <si>
    <t>SVZ</t>
  </si>
  <si>
    <t>San Antonio, Venezuela: Juan Vicente Gomez International</t>
  </si>
  <si>
    <t>SWA</t>
  </si>
  <si>
    <t>Shantou, China: Waisha</t>
  </si>
  <si>
    <t>SWB</t>
  </si>
  <si>
    <t>Shaw River, Australia: Shaw River Airport</t>
  </si>
  <si>
    <t>SWC</t>
  </si>
  <si>
    <t>Stawell, Australia: Stawell Airport</t>
  </si>
  <si>
    <t>SWD</t>
  </si>
  <si>
    <t>Seward, AK: Seward Airport</t>
  </si>
  <si>
    <t>Newburgh/Poughkeepsie, NY: New York Stewart International</t>
  </si>
  <si>
    <t>SWI</t>
  </si>
  <si>
    <t>Swindon, United Kingdom: Swindon Airport</t>
  </si>
  <si>
    <t>SWK</t>
  </si>
  <si>
    <t>Milan, Italy: Segrate</t>
  </si>
  <si>
    <t>SWL</t>
  </si>
  <si>
    <t>Spanish Wells, The Bahamas: Spanish Wells Airport</t>
  </si>
  <si>
    <t>Stillwater, OK: Stillwater Regional</t>
  </si>
  <si>
    <t>SWQ</t>
  </si>
  <si>
    <t>Sumbawa, Indonesia: Sumbawa Besar</t>
  </si>
  <si>
    <t>SWS</t>
  </si>
  <si>
    <t>Swansea, United Kingdom: Swansea Airport</t>
  </si>
  <si>
    <t>SWU</t>
  </si>
  <si>
    <t>Suwon, South Korea: Suwon Airport</t>
  </si>
  <si>
    <t>SWW</t>
  </si>
  <si>
    <t>Sweetwater, TX: Avenger Field</t>
  </si>
  <si>
    <t>SXB</t>
  </si>
  <si>
    <t>Strasbourg, France: Strasbourg Entzheim</t>
  </si>
  <si>
    <t>SXE</t>
  </si>
  <si>
    <t>Sale, Australia: West Sale</t>
  </si>
  <si>
    <t>SXF</t>
  </si>
  <si>
    <t>Berlin, Germany: Schoenefeld</t>
  </si>
  <si>
    <t>SXG</t>
  </si>
  <si>
    <t>Senanga, Zambia: Senanga Airport</t>
  </si>
  <si>
    <t>SXL</t>
  </si>
  <si>
    <t>Sligo, Ireland: Sligo Airport</t>
  </si>
  <si>
    <t>Philipsburg, Sint Maarten: Princess Juliana International</t>
  </si>
  <si>
    <t>SXP</t>
  </si>
  <si>
    <t>Sheldon Point, AK: Nunam Iqua</t>
  </si>
  <si>
    <t>SXQ</t>
  </si>
  <si>
    <t>Soldotna, AK: Soldotna Airport</t>
  </si>
  <si>
    <t>SXR</t>
  </si>
  <si>
    <t>Srinagar, India: Srinagar Airport</t>
  </si>
  <si>
    <t>SXU</t>
  </si>
  <si>
    <t>Soddu, Ethiopia: Soddu Airport</t>
  </si>
  <si>
    <t>SXY</t>
  </si>
  <si>
    <t>Sidney, NY: Sidney Municipal</t>
  </si>
  <si>
    <t>SYA</t>
  </si>
  <si>
    <t>Shemya, AK: Eareckson AS</t>
  </si>
  <si>
    <t>SYB</t>
  </si>
  <si>
    <t>Seal Bay, AK: Seal Bay Airport</t>
  </si>
  <si>
    <t>SYD</t>
  </si>
  <si>
    <t>Sydney, Australia: Sydney International</t>
  </si>
  <si>
    <t>SYI</t>
  </si>
  <si>
    <t>Shelbyville/Tullahoma, TN: Bomar Field-Shelbyville Municipal</t>
  </si>
  <si>
    <t>SYN</t>
  </si>
  <si>
    <t>Stanton, MN: Stanton Airfield</t>
  </si>
  <si>
    <t>SYO</t>
  </si>
  <si>
    <t>Shonai, Japan: Shonai Airport</t>
  </si>
  <si>
    <t>Syracuse, NY: Syracuse Hancock International</t>
  </si>
  <si>
    <t>SYT</t>
  </si>
  <si>
    <t>Saint-Yan, France: Saint-Yan Airport</t>
  </si>
  <si>
    <t>SYX</t>
  </si>
  <si>
    <t>Sanya, China: Phoenix International</t>
  </si>
  <si>
    <t>SYY</t>
  </si>
  <si>
    <t>Stornoway, United Kingdom: Stornoway Airport</t>
  </si>
  <si>
    <t>SYZ</t>
  </si>
  <si>
    <t>Shiraz, Iran: Shahid Dastghaib International</t>
  </si>
  <si>
    <t>SZA</t>
  </si>
  <si>
    <t>Soyo, Angola: Soyo Airport</t>
  </si>
  <si>
    <t>SZB</t>
  </si>
  <si>
    <t>Kuala Lumpur, Malaysia: Sultan Abdul Aziz Shah International</t>
  </si>
  <si>
    <t>SZC</t>
  </si>
  <si>
    <t>Santa Cruz, Costa Rica: Santa Cruz Airport</t>
  </si>
  <si>
    <t>SZD</t>
  </si>
  <si>
    <t>Sheffield, United Kingdom: Sheffield City</t>
  </si>
  <si>
    <t>SZF</t>
  </si>
  <si>
    <t>Samsun, Turkey: Carsamba</t>
  </si>
  <si>
    <t>SZG</t>
  </si>
  <si>
    <t>Salzburg, Austria: Salzburg Airport</t>
  </si>
  <si>
    <t>SZK</t>
  </si>
  <si>
    <t>Skukuza, South Africa: Skukuza Airport</t>
  </si>
  <si>
    <t>SZL</t>
  </si>
  <si>
    <t>Knob Noster, MO: Whiteman AFB</t>
  </si>
  <si>
    <t>SZO</t>
  </si>
  <si>
    <t>Szombathely, Hungary: Szombathely Airport</t>
  </si>
  <si>
    <t>SZP</t>
  </si>
  <si>
    <t>Santa Paula, CA: Santa Paula Airport</t>
  </si>
  <si>
    <t>SZT</t>
  </si>
  <si>
    <t>San Cristobal, Mexico: San Cristobal de Las Casas</t>
  </si>
  <si>
    <t>SZW</t>
  </si>
  <si>
    <t>Schwerin, Germany: Schwerin Parchim</t>
  </si>
  <si>
    <t>SZX</t>
  </si>
  <si>
    <t>Shenzhen, China: Bao'an International</t>
  </si>
  <si>
    <t>SZY</t>
  </si>
  <si>
    <t>Szczytno, Poland: Szczytno Szymany</t>
  </si>
  <si>
    <t>SZZ</t>
  </si>
  <si>
    <t>Szczecin, Poland: Goleniow</t>
  </si>
  <si>
    <t>T1N</t>
  </si>
  <si>
    <t>Selmer, TN: Robert Sibley</t>
  </si>
  <si>
    <t>T1X</t>
  </si>
  <si>
    <t>T2N</t>
  </si>
  <si>
    <t>Clevland, TN: Cleveland Regional Jetport</t>
  </si>
  <si>
    <t>T2X</t>
  </si>
  <si>
    <t>Hereford, TX: Hereford Municipal</t>
  </si>
  <si>
    <t>T3X</t>
  </si>
  <si>
    <t>Encino, TX: El Coyote Ranch</t>
  </si>
  <si>
    <t>T4X</t>
  </si>
  <si>
    <t>Llano, TX: Llano Municipal</t>
  </si>
  <si>
    <t>T5X</t>
  </si>
  <si>
    <t>Castroville, TX: Castroville Municipal</t>
  </si>
  <si>
    <t>T6X</t>
  </si>
  <si>
    <t>Houston, TX: Houston Executive</t>
  </si>
  <si>
    <t>T7X</t>
  </si>
  <si>
    <t>China Spring, TX: Wildcat Canyon</t>
  </si>
  <si>
    <t>T82</t>
  </si>
  <si>
    <t>Fredericksburg, TX: Gillespie County</t>
  </si>
  <si>
    <t>T8X</t>
  </si>
  <si>
    <t>Dallas, TX: McKinney National</t>
  </si>
  <si>
    <t>T9X</t>
  </si>
  <si>
    <t>Carrizo Springs, TX: Dimmit County</t>
  </si>
  <si>
    <t>TAB</t>
  </si>
  <si>
    <t>Tobago, Trinidad and Tobago: A N R Robinson International</t>
  </si>
  <si>
    <t>TAC</t>
  </si>
  <si>
    <t>Tacloban, Philippines: Daniel Z. Romualdez</t>
  </si>
  <si>
    <t>TAD</t>
  </si>
  <si>
    <t>Trinidad, CO: Las Animas County</t>
  </si>
  <si>
    <t>TAE</t>
  </si>
  <si>
    <t>Taegu, South Korea: Taegu International</t>
  </si>
  <si>
    <t>TAF</t>
  </si>
  <si>
    <t>Oran, Algeria: Tafaraoui</t>
  </si>
  <si>
    <t>TAG</t>
  </si>
  <si>
    <t>Tagbilaran, Philippines: Tagbilaran Airport</t>
  </si>
  <si>
    <t>TAH</t>
  </si>
  <si>
    <t>Tanna Island, Vanuatu: Tanna Island Airport</t>
  </si>
  <si>
    <t>TAI</t>
  </si>
  <si>
    <t>Taiz, Yemen: Taiz International</t>
  </si>
  <si>
    <t>TAK</t>
  </si>
  <si>
    <t>Takamatsu, Japan: Takamatsu Airport</t>
  </si>
  <si>
    <t>TAL</t>
  </si>
  <si>
    <t>Tanana, AK: Ralph M Calhoun Memorial</t>
  </si>
  <si>
    <t>TAM</t>
  </si>
  <si>
    <t>Tampico, Mexico: General Francisco Javier Mina International</t>
  </si>
  <si>
    <t>TAO</t>
  </si>
  <si>
    <t>Qingdao, China: Liuting</t>
  </si>
  <si>
    <t>TAP</t>
  </si>
  <si>
    <t>Tapachula, Mexico: Tapachula International</t>
  </si>
  <si>
    <t>TAR</t>
  </si>
  <si>
    <t>Taranto, Italy: Taranto Grottaglie</t>
  </si>
  <si>
    <t>TAS</t>
  </si>
  <si>
    <t>Tashkent, Uzbekistan: Tashkent Islam Karimov</t>
  </si>
  <si>
    <t>TAT</t>
  </si>
  <si>
    <t>Poprad-Tatry, Slovakia: Poprad Tatry</t>
  </si>
  <si>
    <t>TAV</t>
  </si>
  <si>
    <t>Tau, TT: Tau Airport</t>
  </si>
  <si>
    <t>TAX</t>
  </si>
  <si>
    <t>Taliabu, Indonesia: Taliabu Airport</t>
  </si>
  <si>
    <t>TAY</t>
  </si>
  <si>
    <t>Tartu, Estonia: Tartu Airport</t>
  </si>
  <si>
    <t>TBB</t>
  </si>
  <si>
    <t>Tuy Hoa, Vietnam: Tuy Hoa Airport</t>
  </si>
  <si>
    <t>TBF</t>
  </si>
  <si>
    <t>Tabiteuea, Kiribati: Tabiteuea Airport</t>
  </si>
  <si>
    <t>TBG</t>
  </si>
  <si>
    <t>Tabubil, Papua New Guinea: Tabubil Airport</t>
  </si>
  <si>
    <t>TBI</t>
  </si>
  <si>
    <t>New Bight, The Bahamas: The Bight</t>
  </si>
  <si>
    <t>TBL</t>
  </si>
  <si>
    <t>Tableland, Australia: Tableland Airport</t>
  </si>
  <si>
    <t>Fort Leonard Wood, MO: Waynesville-St. Robert Regional Forney Field</t>
  </si>
  <si>
    <t>TBO</t>
  </si>
  <si>
    <t>Tabora, Tanzania: Tabora Airport</t>
  </si>
  <si>
    <t>TBP</t>
  </si>
  <si>
    <t>Tumbes, Peru: Cap. FAP Pedro Canga Rodriguez</t>
  </si>
  <si>
    <t>TBR</t>
  </si>
  <si>
    <t>Statesboro, GA: Statesboro-Bulloch County</t>
  </si>
  <si>
    <t>TBS</t>
  </si>
  <si>
    <t>Tbilisi, Georgia: Tbilisi Airport</t>
  </si>
  <si>
    <t>TBT</t>
  </si>
  <si>
    <t>Tabatinga, Brazil: Tabatinga Airport</t>
  </si>
  <si>
    <t>TBU</t>
  </si>
  <si>
    <t>Tonga Tapu, Tonga: Fua Amotu International</t>
  </si>
  <si>
    <t>TBZ</t>
  </si>
  <si>
    <t>Tabriz, Iran: Tabriz International</t>
  </si>
  <si>
    <t>TCA</t>
  </si>
  <si>
    <t>Tennant Creek, Australia: Tennant Creek Airport</t>
  </si>
  <si>
    <t>TCB</t>
  </si>
  <si>
    <t>Treasure Cay, The Bahamas: Treasure Cay Airport</t>
  </si>
  <si>
    <t>TCC</t>
  </si>
  <si>
    <t>Tucumcari, NM: Tucumcari Municipal</t>
  </si>
  <si>
    <t>TCE</t>
  </si>
  <si>
    <t>Tulcea, Romania: Delta Dunarii</t>
  </si>
  <si>
    <t>TCF</t>
  </si>
  <si>
    <t>Tocoa, Honduras: Tocoa Airport</t>
  </si>
  <si>
    <t>TCH</t>
  </si>
  <si>
    <t>Tchibanga, Gabon: Tchibanga Airport</t>
  </si>
  <si>
    <t>TCI</t>
  </si>
  <si>
    <t>Tenerife, Spain: Tenerife Metropolitan Area</t>
  </si>
  <si>
    <t>TCL</t>
  </si>
  <si>
    <t>Tuscaloosa, AL: Tuscaloosa Regional</t>
  </si>
  <si>
    <t>TCM</t>
  </si>
  <si>
    <t>Tacoma, WA: McChord Field</t>
  </si>
  <si>
    <t>TCN</t>
  </si>
  <si>
    <t>Tehuacan, Mexico: Tehuacan Airport</t>
  </si>
  <si>
    <t>TCO</t>
  </si>
  <si>
    <t>Tumaco, Colombia: La Florida</t>
  </si>
  <si>
    <t>TCP</t>
  </si>
  <si>
    <t>Taba, Egypt: Taba International</t>
  </si>
  <si>
    <t>TCQ</t>
  </si>
  <si>
    <t>Tacna, Peru: Coronel Carlos Ciriani Santa Rosa International</t>
  </si>
  <si>
    <t>TCS</t>
  </si>
  <si>
    <t>Truth Or Consequences, NM: Truth Or Consequences Municipal</t>
  </si>
  <si>
    <t>TCT</t>
  </si>
  <si>
    <t>Takotna, AK: Takotna Airport</t>
  </si>
  <si>
    <t>TDA</t>
  </si>
  <si>
    <t>Trinidad, Colombia: San Luis de Palenque</t>
  </si>
  <si>
    <t>TDD</t>
  </si>
  <si>
    <t>Trinidad, Bolivia: Tte Av Jorge Henrich Arauz International</t>
  </si>
  <si>
    <t>TDF</t>
  </si>
  <si>
    <t>Roxboro, NC: Person County</t>
  </si>
  <si>
    <t>TDW</t>
  </si>
  <si>
    <t>Amarillo, TX: Tradewind</t>
  </si>
  <si>
    <t>TDZ</t>
  </si>
  <si>
    <t>Toledo, OH: Metcalf Field</t>
  </si>
  <si>
    <t>TEA</t>
  </si>
  <si>
    <t>Tela, Honduras: Tela Airport</t>
  </si>
  <si>
    <t>TEB</t>
  </si>
  <si>
    <t>Teterboro, NJ: Teterboro Airport</t>
  </si>
  <si>
    <t>TED</t>
  </si>
  <si>
    <t>Thisted, Denmark: Thisted Airport</t>
  </si>
  <si>
    <t>TEH</t>
  </si>
  <si>
    <t>Tetlin, AK: Tetlin Airport</t>
  </si>
  <si>
    <t>TEK</t>
  </si>
  <si>
    <t>Tatitlek, AK: Tatitlek Airport</t>
  </si>
  <si>
    <t>TEP</t>
  </si>
  <si>
    <t>Teptep, Papua New Guinea: Teptep Airport</t>
  </si>
  <si>
    <t>TER</t>
  </si>
  <si>
    <t>Lajes, Portugal: Lajes Airport</t>
  </si>
  <si>
    <t>TET</t>
  </si>
  <si>
    <t>Tete, Mozambique: Tete Chingodzi</t>
  </si>
  <si>
    <t>TEU</t>
  </si>
  <si>
    <t>Te Anau, New Zealand: Te Anau Airport</t>
  </si>
  <si>
    <t>TEX</t>
  </si>
  <si>
    <t>Telluride, CO: Telluride Regional</t>
  </si>
  <si>
    <t>TEZ</t>
  </si>
  <si>
    <t>Tezpur, India: Tezpur Airport</t>
  </si>
  <si>
    <t>TFF</t>
  </si>
  <si>
    <t>Tefe, Brazil: Tefe Airport</t>
  </si>
  <si>
    <t>TFI</t>
  </si>
  <si>
    <t>Tufi, Papua New Guinea: Tufi Airport</t>
  </si>
  <si>
    <t>TFN</t>
  </si>
  <si>
    <t>Tenerife, Spain: Tenerife Norte</t>
  </si>
  <si>
    <t>TFR</t>
  </si>
  <si>
    <t>TFS</t>
  </si>
  <si>
    <t>Tenerife, Spain: Tenerife Sur</t>
  </si>
  <si>
    <t>TGD</t>
  </si>
  <si>
    <t>Podgorica, Montenegro: Podgorica Airport</t>
  </si>
  <si>
    <t>TGE</t>
  </si>
  <si>
    <t>Tuskegee, AL: Sharpe Field</t>
  </si>
  <si>
    <t>TGG</t>
  </si>
  <si>
    <t>Kuala Trengganu, Malaysia: Kuala Trengganu Airport</t>
  </si>
  <si>
    <t>TGH</t>
  </si>
  <si>
    <t>Tongoa, Vanuatu: Tongoa Airport</t>
  </si>
  <si>
    <t>TGI</t>
  </si>
  <si>
    <t>Tingo Maria, Peru: Tingo Maria Airport</t>
  </si>
  <si>
    <t>TGM</t>
  </si>
  <si>
    <t>Targu Mures, Romania: Targu Mures Airport</t>
  </si>
  <si>
    <t>TGR</t>
  </si>
  <si>
    <t>Touggourt, Algeria: Touggourt/Sidi Mahdi</t>
  </si>
  <si>
    <t>TGT</t>
  </si>
  <si>
    <t>Tanga, Tanzania: Tanga Airport</t>
  </si>
  <si>
    <t>TGU</t>
  </si>
  <si>
    <t>Tegucigalpa, Honduras: Toncontin International</t>
  </si>
  <si>
    <t>TGZ</t>
  </si>
  <si>
    <t>Tuxtla Gutierrez, Mexico: Angel Albino Corzo International</t>
  </si>
  <si>
    <t>TH1</t>
  </si>
  <si>
    <t>Korat, Thailand: Korat AAF</t>
  </si>
  <si>
    <t>THA</t>
  </si>
  <si>
    <t>Tullahoma, TN: Tullahoma Regional Airport/William Northern Field</t>
  </si>
  <si>
    <t>THE</t>
  </si>
  <si>
    <t>Teresina, Brazil: Senador Petronio Portella</t>
  </si>
  <si>
    <t>THF</t>
  </si>
  <si>
    <t>Berlin, Germany: Tempelhof</t>
  </si>
  <si>
    <t>THG</t>
  </si>
  <si>
    <t>Biloela, Australia: Biloela (Thangool)</t>
  </si>
  <si>
    <t>THN</t>
  </si>
  <si>
    <t>Trollhattan, Sweden: Trollhattan Vanersborg</t>
  </si>
  <si>
    <t>THP</t>
  </si>
  <si>
    <t>Thermopolis, WY: Hot Springs County Thermopolis Municipal</t>
  </si>
  <si>
    <t>THR</t>
  </si>
  <si>
    <t>Tehran, Iran: Mehrabad International</t>
  </si>
  <si>
    <t>THU</t>
  </si>
  <si>
    <t>Thule, Greenland: Thule Air Base</t>
  </si>
  <si>
    <t>THV</t>
  </si>
  <si>
    <t>York, PA: York Airport</t>
  </si>
  <si>
    <t>THZ</t>
  </si>
  <si>
    <t>Tahoua, Niger: Tahoua Airport</t>
  </si>
  <si>
    <t>TIA</t>
  </si>
  <si>
    <t>Tirana, Albania: Tirana International</t>
  </si>
  <si>
    <t>TIC</t>
  </si>
  <si>
    <t>Tinak, Marshall Islands: Tinak Airport</t>
  </si>
  <si>
    <t>TIE</t>
  </si>
  <si>
    <t>Tippi, Ethiopia: Tippi Airport</t>
  </si>
  <si>
    <t>TIF</t>
  </si>
  <si>
    <t>Taif, Saudi Arabia: Taif International</t>
  </si>
  <si>
    <t>TIH</t>
  </si>
  <si>
    <t>Tikehau, French Polynesia: Tikehau Airport</t>
  </si>
  <si>
    <t>TIJ</t>
  </si>
  <si>
    <t>Tijuana, Mexico: General Abelardo L. Rodriguez International</t>
  </si>
  <si>
    <t>TIK</t>
  </si>
  <si>
    <t>Oklahoma City, OK: Tinker AFB</t>
  </si>
  <si>
    <t>TIM</t>
  </si>
  <si>
    <t>Tembagapura, Indonesia: Mozes Kilangin</t>
  </si>
  <si>
    <t>TIN</t>
  </si>
  <si>
    <t>Tindouf, Algeria: Tindouf Airport</t>
  </si>
  <si>
    <t>TIP</t>
  </si>
  <si>
    <t>Tripoli, Libya: Tripoli International</t>
  </si>
  <si>
    <t>TIQ</t>
  </si>
  <si>
    <t>Tinian, TT: Tinian International</t>
  </si>
  <si>
    <t>TIR</t>
  </si>
  <si>
    <t>Tirupati, India: Tirupati Airport</t>
  </si>
  <si>
    <t>TIS</t>
  </si>
  <si>
    <t>Thursday Island, Australia: Horn Island</t>
  </si>
  <si>
    <t>TIU</t>
  </si>
  <si>
    <t>Timaru, New Zealand: Timaru Airport</t>
  </si>
  <si>
    <t>TIV</t>
  </si>
  <si>
    <t>Tivat, Montenegro: Tivat Airport</t>
  </si>
  <si>
    <t>TIW</t>
  </si>
  <si>
    <t>Tacoma, WA: Tacoma Narrows</t>
  </si>
  <si>
    <t>TIX</t>
  </si>
  <si>
    <t>Titusville, FL: Space Coast Regional</t>
  </si>
  <si>
    <t>TIY</t>
  </si>
  <si>
    <t>Tidjikja, Mauritania: Tidjikja Airport</t>
  </si>
  <si>
    <t>TIZ</t>
  </si>
  <si>
    <t>Tari, Papua New Guinea: Tari Airport</t>
  </si>
  <si>
    <t>TJA</t>
  </si>
  <si>
    <t>Tarija, Bolivia: Cap Av Oriel Lea Plaza International</t>
  </si>
  <si>
    <t>TJI</t>
  </si>
  <si>
    <t>Trujillo, Honduras: Trujillo Airport</t>
  </si>
  <si>
    <t>TJM</t>
  </si>
  <si>
    <t>Tyumen, Russia: Roshchino</t>
  </si>
  <si>
    <t>TK1</t>
  </si>
  <si>
    <t>Ankara, Turkey: Murted</t>
  </si>
  <si>
    <t>TKA</t>
  </si>
  <si>
    <t>Talkeetna, AK: Talkeetna Airport</t>
  </si>
  <si>
    <t>TKC</t>
  </si>
  <si>
    <t>Tiko, Cameroon: Tiko Airport</t>
  </si>
  <si>
    <t>TKD</t>
  </si>
  <si>
    <t>Takoradi, Ghana: Takoradi Airport</t>
  </si>
  <si>
    <t>TKE</t>
  </si>
  <si>
    <t>Tenakee, AK: Tenakee Airport</t>
  </si>
  <si>
    <t>TKF</t>
  </si>
  <si>
    <t>Truckee, CA: Truckee Tahoe</t>
  </si>
  <si>
    <t>TKG</t>
  </si>
  <si>
    <t>Bandar Lampung, Indonesia: Branti</t>
  </si>
  <si>
    <t>TKH</t>
  </si>
  <si>
    <t>Takhli, Thailand: Takhli Airport</t>
  </si>
  <si>
    <t>TKI</t>
  </si>
  <si>
    <t>Tokeen, AK: Tokeen Airport</t>
  </si>
  <si>
    <t>TKJ</t>
  </si>
  <si>
    <t>Tok, AK: Tok Junction</t>
  </si>
  <si>
    <t>TKK</t>
  </si>
  <si>
    <t>Chuuk, Federated States of Micronesia: Chuuk International</t>
  </si>
  <si>
    <t>TKL</t>
  </si>
  <si>
    <t>Taku Lodge, AK: Taku Seaplane Base</t>
  </si>
  <si>
    <t>TKM</t>
  </si>
  <si>
    <t>Tikal, Guatemala: Tikal Airport</t>
  </si>
  <si>
    <t>TKQ</t>
  </si>
  <si>
    <t>Kigoma, Tanzania: Kigoma Airport</t>
  </si>
  <si>
    <t>TKR</t>
  </si>
  <si>
    <t>Thakurgaon, Bangladesh: Thakurgaon Stol Port</t>
  </si>
  <si>
    <t>TKS</t>
  </si>
  <si>
    <t>Tokushima, Japan: Tokushima Airport</t>
  </si>
  <si>
    <t>TKT</t>
  </si>
  <si>
    <t>Tak, Thailand: Tak Airport</t>
  </si>
  <si>
    <t>TKU</t>
  </si>
  <si>
    <t>Turku, Finland: Turku Airport</t>
  </si>
  <si>
    <t>TLA</t>
  </si>
  <si>
    <t>Teller, AK: Teller Airport</t>
  </si>
  <si>
    <t>TLC</t>
  </si>
  <si>
    <t>Toluca, Mexico: Licenciado Adolfo Lopez Mateos International</t>
  </si>
  <si>
    <t>TLE</t>
  </si>
  <si>
    <t>Tulear, Madagascar: Tulear Airport</t>
  </si>
  <si>
    <t>TLF</t>
  </si>
  <si>
    <t>Telida, AK: Telida Airport</t>
  </si>
  <si>
    <t>Tallahassee, FL: Tallahassee International</t>
  </si>
  <si>
    <t>TLJ</t>
  </si>
  <si>
    <t>Tatalina, AK: Tatalina LRRS</t>
  </si>
  <si>
    <t>TLK</t>
  </si>
  <si>
    <t>TLL</t>
  </si>
  <si>
    <t>Tallinn, Estonia: Lennart Meri Tallinn</t>
  </si>
  <si>
    <t>TLM</t>
  </si>
  <si>
    <t>Tlemcen, Algeria: Zenata-Messali El Hadj</t>
  </si>
  <si>
    <t>TLN</t>
  </si>
  <si>
    <t>Toulon/Hyeres, France: Hyeres Le Palyvestre</t>
  </si>
  <si>
    <t>TLR</t>
  </si>
  <si>
    <t>Tulare, CA: Mefford Field</t>
  </si>
  <si>
    <t>TLS</t>
  </si>
  <si>
    <t>Toulouse, France: Toulouse Blagnac</t>
  </si>
  <si>
    <t>TLT</t>
  </si>
  <si>
    <t>Tuluksak, AK: Tuluksak Airport</t>
  </si>
  <si>
    <t>TLV</t>
  </si>
  <si>
    <t>Tel Aviv, Israel: Ben Gurion</t>
  </si>
  <si>
    <t>TMA</t>
  </si>
  <si>
    <t>Tifton, GA: Henry Tift Myers</t>
  </si>
  <si>
    <t>TMB</t>
  </si>
  <si>
    <t>Miami, FL: Miami Executive</t>
  </si>
  <si>
    <t>TMD</t>
  </si>
  <si>
    <t>Timbedra, Mauritania: Timbedra Airport</t>
  </si>
  <si>
    <t>TMI</t>
  </si>
  <si>
    <t>Tumlingtar, Nepal: Tumlingtar Airport</t>
  </si>
  <si>
    <t>TML</t>
  </si>
  <si>
    <t>Tamale, Ghana: Tamale Airport</t>
  </si>
  <si>
    <t>TMM</t>
  </si>
  <si>
    <t>Tamatave, Madagascar: Toamasina</t>
  </si>
  <si>
    <t>TMP</t>
  </si>
  <si>
    <t>Tampere, Finland: Tampere-Pirkkala</t>
  </si>
  <si>
    <t>TMR</t>
  </si>
  <si>
    <t>Tamanrasset, Algeria: Aguemar</t>
  </si>
  <si>
    <t>TMS</t>
  </si>
  <si>
    <t>Sao Tome Island, Sao Tome and Principe: Salazar</t>
  </si>
  <si>
    <t>TMT</t>
  </si>
  <si>
    <t>Trombetas, Brazil: Trombetas Airport</t>
  </si>
  <si>
    <t>TMU</t>
  </si>
  <si>
    <t>Tambor, Costa Rica: Tambor Airport</t>
  </si>
  <si>
    <t>TMW</t>
  </si>
  <si>
    <t>Tamworth, Australia: Tamworth Airport</t>
  </si>
  <si>
    <t>TN1</t>
  </si>
  <si>
    <t>Lebanon, TN: Lebanon Municipal</t>
  </si>
  <si>
    <t>TN2</t>
  </si>
  <si>
    <t>Sparta, TN: Upper Cumberland Regional</t>
  </si>
  <si>
    <t>TN3</t>
  </si>
  <si>
    <t>Lewisburg, TN: Ellington</t>
  </si>
  <si>
    <t>TN4</t>
  </si>
  <si>
    <t>Pulaski, TN: Abernathy Field</t>
  </si>
  <si>
    <t>TN5</t>
  </si>
  <si>
    <t>Lafayette, TN: Lafayette Municipal</t>
  </si>
  <si>
    <t>TN6</t>
  </si>
  <si>
    <t>Dyersburg, TN: Dyersburg Regional</t>
  </si>
  <si>
    <t>TN7</t>
  </si>
  <si>
    <t>Winchester, TN: Winchester Municipal</t>
  </si>
  <si>
    <t>TN8</t>
  </si>
  <si>
    <t>Nashville, TN: John C Tune</t>
  </si>
  <si>
    <t>TN9</t>
  </si>
  <si>
    <t>Sevierville, TN: Gatlinburg-Pigeon Forge</t>
  </si>
  <si>
    <t>TNA</t>
  </si>
  <si>
    <t>Jinan, China: Yaoqiang</t>
  </si>
  <si>
    <t>TNC</t>
  </si>
  <si>
    <t>Tin City, AK: Tin City LRRS</t>
  </si>
  <si>
    <t>TNE</t>
  </si>
  <si>
    <t>Tanegashima, Japan: Tanegashima Airport</t>
  </si>
  <si>
    <t>TNG</t>
  </si>
  <si>
    <t>Tangier, Morocco: Tanger Ibn Batouta International</t>
  </si>
  <si>
    <t>TNJ</t>
  </si>
  <si>
    <t>Tandjungpinang, Indonesia: Kidjang</t>
  </si>
  <si>
    <t>TNK</t>
  </si>
  <si>
    <t>Tununak, AK: Tununak Airport</t>
  </si>
  <si>
    <t>TNN</t>
  </si>
  <si>
    <t>Tainan, Taiwan: Tainan Airport</t>
  </si>
  <si>
    <t>TNO</t>
  </si>
  <si>
    <t>Tamarindo, Costa Rica: Tamarindo de Santa Cruz</t>
  </si>
  <si>
    <t>TNP</t>
  </si>
  <si>
    <t>Twentynine Palms, CA: Twentynine Palms Airport</t>
  </si>
  <si>
    <t>TNR</t>
  </si>
  <si>
    <t>Antananarivo, Madagascar: Ivato</t>
  </si>
  <si>
    <t>TNT</t>
  </si>
  <si>
    <t>Miami, FL: Dade-Collier Training and Transition</t>
  </si>
  <si>
    <t>TNU</t>
  </si>
  <si>
    <t>Newton, IA: Newton Municipal Earl Johnson Field</t>
  </si>
  <si>
    <t>TNX</t>
  </si>
  <si>
    <t>Stung Treng, Cambodia: Stung Treng Airport</t>
  </si>
  <si>
    <t>TOA</t>
  </si>
  <si>
    <t>Torrance, CA: Zamperini Field</t>
  </si>
  <si>
    <t>TOB</t>
  </si>
  <si>
    <t>Tobruk, Libya: Tobruk Airport</t>
  </si>
  <si>
    <t>TOD</t>
  </si>
  <si>
    <t>Pulau Tioman, Malaysia: Pulau Tioman Airport</t>
  </si>
  <si>
    <t>TOE</t>
  </si>
  <si>
    <t>Tozeur, Tunisia: Nefta</t>
  </si>
  <si>
    <t>TOG</t>
  </si>
  <si>
    <t>Togiak, AK: Togiak Airport</t>
  </si>
  <si>
    <t>TOI</t>
  </si>
  <si>
    <t>Troy, AL: Troy Municipal at N Kenneth Campbell Field</t>
  </si>
  <si>
    <t>TOJ</t>
  </si>
  <si>
    <t>Madrid, Spain: Torrejon AFB</t>
  </si>
  <si>
    <t>Toledo, OH: Toledo Express</t>
  </si>
  <si>
    <t>TOM</t>
  </si>
  <si>
    <t>Tombouctou, Mali: Tombouctou Airport</t>
  </si>
  <si>
    <t>TOP</t>
  </si>
  <si>
    <t>Topeka, KS: Philip Billard Municipal</t>
  </si>
  <si>
    <t>TOQ</t>
  </si>
  <si>
    <t>Tocopilla, Chile: Barriles</t>
  </si>
  <si>
    <t>TOR</t>
  </si>
  <si>
    <t>Torrington, WY: Torrington Municipal</t>
  </si>
  <si>
    <t>TOS</t>
  </si>
  <si>
    <t>Tromso, Norway: Langnes</t>
  </si>
  <si>
    <t>TOU</t>
  </si>
  <si>
    <t>Touho, New Caledonia: Touho Airport</t>
  </si>
  <si>
    <t>TOV</t>
  </si>
  <si>
    <t>Tortola, British Virgin Islands: Tortola West End Seaplane Base</t>
  </si>
  <si>
    <t>TOY</t>
  </si>
  <si>
    <t>Toyama, Japan: Toyama Airport</t>
  </si>
  <si>
    <t>Tampa, FL: Tampa International</t>
  </si>
  <si>
    <t>TPB</t>
  </si>
  <si>
    <t>Topeka, KS: Allen Air Park</t>
  </si>
  <si>
    <t>TPE</t>
  </si>
  <si>
    <t>Taipei, Taiwan: Taiwan Taoyuan International</t>
  </si>
  <si>
    <t>TPF</t>
  </si>
  <si>
    <t>Tampa, FL: Peter O'Knight</t>
  </si>
  <si>
    <t>TPH</t>
  </si>
  <si>
    <t>Tonopah, NV: Tonopah Airport</t>
  </si>
  <si>
    <t>TPI</t>
  </si>
  <si>
    <t>Tapini, Papua New Guinea: Tapini Airport</t>
  </si>
  <si>
    <t>TPL</t>
  </si>
  <si>
    <t>Temple, TX: Draughon-Miller Central Texas Regional</t>
  </si>
  <si>
    <t>TPP</t>
  </si>
  <si>
    <t>Tarapoto, Peru: Tarapoto Airport</t>
  </si>
  <si>
    <t>TPQ</t>
  </si>
  <si>
    <t>Tepic, Mexico: Tepic Airport</t>
  </si>
  <si>
    <t>TPR</t>
  </si>
  <si>
    <t>Tom Price, Australia: Tom Price Airport</t>
  </si>
  <si>
    <t>TPS</t>
  </si>
  <si>
    <t>Trapani/Marsala, Italy: Trapani/Birgi</t>
  </si>
  <si>
    <t>TRB</t>
  </si>
  <si>
    <t>Turbo, Colombia: Turbo Airport</t>
  </si>
  <si>
    <t>TRC</t>
  </si>
  <si>
    <t>Torreon, Mexico: Torreon International</t>
  </si>
  <si>
    <t>TRD</t>
  </si>
  <si>
    <t>Trondheim, Norway: Vaernes</t>
  </si>
  <si>
    <t>TRE</t>
  </si>
  <si>
    <t>Tiree Island, United Kingdom: Tiree Island Airport</t>
  </si>
  <si>
    <t>TRF</t>
  </si>
  <si>
    <t>Sandefjord, Norway: Torp</t>
  </si>
  <si>
    <t>TRG</t>
  </si>
  <si>
    <t>Tauranga, New Zealand: Tauranga Airport</t>
  </si>
  <si>
    <t>TRH</t>
  </si>
  <si>
    <t>Trona, CA: Trona Airport</t>
  </si>
  <si>
    <t>Bristol/Johnson City/Kingsport, TN: Tri Cities</t>
  </si>
  <si>
    <t>TRK</t>
  </si>
  <si>
    <t>Tarakan, Indonesia: Juwata</t>
  </si>
  <si>
    <t>TRL</t>
  </si>
  <si>
    <t>Terrell, TX: Terrell Municipal</t>
  </si>
  <si>
    <t>TRM</t>
  </si>
  <si>
    <t>Thermal, CA: Jacqueline Cochran Regional</t>
  </si>
  <si>
    <t>TRN</t>
  </si>
  <si>
    <t>Turin, Italy: Torino</t>
  </si>
  <si>
    <t>TRO</t>
  </si>
  <si>
    <t>Taree, Australia: Taree Airport</t>
  </si>
  <si>
    <t>TRR</t>
  </si>
  <si>
    <t>Trincomalee, Sri Lanka: China Bay</t>
  </si>
  <si>
    <t>TRS</t>
  </si>
  <si>
    <t>Trieste, Italy: Trieste Airport</t>
  </si>
  <si>
    <t>TRU</t>
  </si>
  <si>
    <t>Trujillo, Peru: Capitan Carlos Martinez de Pinillos</t>
  </si>
  <si>
    <t>TRV</t>
  </si>
  <si>
    <t>Trivandrum, India: Thiruvananthapuram International</t>
  </si>
  <si>
    <t>TRW</t>
  </si>
  <si>
    <t>Tarawa, Kiribati: Bonriki International</t>
  </si>
  <si>
    <t>TRZ</t>
  </si>
  <si>
    <t>Trichinopoly, India: Tiruchirappalli International</t>
  </si>
  <si>
    <t>TSA</t>
  </si>
  <si>
    <t>Taipei, Taiwan: Taipei Songshan</t>
  </si>
  <si>
    <t>TSB</t>
  </si>
  <si>
    <t>Tsumeb, Namibia: Tsumeb Airport</t>
  </si>
  <si>
    <t>TSE</t>
  </si>
  <si>
    <t>TSF</t>
  </si>
  <si>
    <t>Venice, Italy: Treviso</t>
  </si>
  <si>
    <t>TSG</t>
  </si>
  <si>
    <t>Tanacross, AK: Tanacross Airport</t>
  </si>
  <si>
    <t>TSH</t>
  </si>
  <si>
    <t>Tshikapa, Congo (Kinshasa): Tshikapa Airport</t>
  </si>
  <si>
    <t>TSJ</t>
  </si>
  <si>
    <t>Tsushima, Japan: Tsushima Airport</t>
  </si>
  <si>
    <t>TSM</t>
  </si>
  <si>
    <t>Taos, NM: Taos Regional</t>
  </si>
  <si>
    <t>TSN</t>
  </si>
  <si>
    <t>Tianjin, China: Binhai</t>
  </si>
  <si>
    <t>TSP</t>
  </si>
  <si>
    <t>Tehachapi, CA: Tehachapi Municipal</t>
  </si>
  <si>
    <t>TSR</t>
  </si>
  <si>
    <t>Timisoara, Romania: Traian Vuia</t>
  </si>
  <si>
    <t>TSS</t>
  </si>
  <si>
    <t>New York, NY: East 34th Street Heliport</t>
  </si>
  <si>
    <t>TSV</t>
  </si>
  <si>
    <t>Townsville, Australia: Townsville International</t>
  </si>
  <si>
    <t>TTB</t>
  </si>
  <si>
    <t>Tortoli, Italy: Tortoli Arbatax</t>
  </si>
  <si>
    <t>TTC</t>
  </si>
  <si>
    <t>Taltal, Chile: Argolla</t>
  </si>
  <si>
    <t>TTD</t>
  </si>
  <si>
    <t>Troutdale, OR: Portland Troutdale</t>
  </si>
  <si>
    <t>TTG</t>
  </si>
  <si>
    <t>Tartagal, Argentina: Tartagal Airport</t>
  </si>
  <si>
    <t>TTH</t>
  </si>
  <si>
    <t>Thumrait, Oman: Thumrait Airport</t>
  </si>
  <si>
    <t>TTJ</t>
  </si>
  <si>
    <t>Tottori, Japan: Tottori Airport</t>
  </si>
  <si>
    <t>TTL</t>
  </si>
  <si>
    <t>Turtle Island, Fiji: Turtle Island Airport</t>
  </si>
  <si>
    <t>Trenton, NJ: Trenton Mercer</t>
  </si>
  <si>
    <t>TTS</t>
  </si>
  <si>
    <t>Tsaratanana, Madagascar: Tsaratanana Airport</t>
  </si>
  <si>
    <t>TTT</t>
  </si>
  <si>
    <t>Taitung, Taiwan: Fongnian</t>
  </si>
  <si>
    <t>TTU</t>
  </si>
  <si>
    <t>Tetuan, Morocco: Tetouan/Sania Ramel</t>
  </si>
  <si>
    <t>TUA</t>
  </si>
  <si>
    <t>Tulcan, Ecuador: Tulcan Airport</t>
  </si>
  <si>
    <t>TUB</t>
  </si>
  <si>
    <t>Tubuai Island, French Polynesia: Tubuai Is Fr. Polynesia</t>
  </si>
  <si>
    <t>TUC</t>
  </si>
  <si>
    <t>Tucuman, Argentina: Tucuman Airport</t>
  </si>
  <si>
    <t>TUD</t>
  </si>
  <si>
    <t>Tambacounda, Senegal: Tambacounda Airport</t>
  </si>
  <si>
    <t>TUF</t>
  </si>
  <si>
    <t>Tours, France: Tours Val de Loire</t>
  </si>
  <si>
    <t>TUG</t>
  </si>
  <si>
    <t>Tuguegarao, Philippines: Tuguegarao Airport</t>
  </si>
  <si>
    <t>TUH</t>
  </si>
  <si>
    <t>Tullahoma, TN: Arnold AFB</t>
  </si>
  <si>
    <t>TUI</t>
  </si>
  <si>
    <t>Turaif, Saudi Arabia: Turaif Airport</t>
  </si>
  <si>
    <t>TUK</t>
  </si>
  <si>
    <t>Turbat, Pakistan: Turbat International</t>
  </si>
  <si>
    <t>Tulsa, OK: Tulsa International</t>
  </si>
  <si>
    <t>TUM</t>
  </si>
  <si>
    <t>Tumut, Australia: Tumut Airport</t>
  </si>
  <si>
    <t>TUN</t>
  </si>
  <si>
    <t>Tunis, Tunisia: Carthage</t>
  </si>
  <si>
    <t>TUO</t>
  </si>
  <si>
    <t>Taupo, New Zealand: Taupo Airport</t>
  </si>
  <si>
    <t>TUP</t>
  </si>
  <si>
    <t>Tupelo, MS: Tupelo Regional</t>
  </si>
  <si>
    <t>TUR</t>
  </si>
  <si>
    <t>Tucurui, Brazil: Tucurui Airport</t>
  </si>
  <si>
    <t>Tucson, AZ: Tucson International</t>
  </si>
  <si>
    <t>TUT</t>
  </si>
  <si>
    <t>Tauta, Papua New Guinea: Tauta Airport</t>
  </si>
  <si>
    <t>TUU</t>
  </si>
  <si>
    <t>Tabuk, Saudi Arabia: Prince Sultan Bin Abdulaziz</t>
  </si>
  <si>
    <t>TVA</t>
  </si>
  <si>
    <t>Morafenobe, Madagascar: Morafenobe Airport</t>
  </si>
  <si>
    <t>Traverse City, MI: Cherry Capital</t>
  </si>
  <si>
    <t>TVF</t>
  </si>
  <si>
    <t>Thief River Falls, MN: Thief River Falls Regional</t>
  </si>
  <si>
    <t>TVI</t>
  </si>
  <si>
    <t>Thomasville, GA: Thomasville Regional</t>
  </si>
  <si>
    <t>TVL</t>
  </si>
  <si>
    <t>Lake Tahoe, CA: Lake Tahoe Airport</t>
  </si>
  <si>
    <t>TVU</t>
  </si>
  <si>
    <t>Taveuni, Fiji: Matei</t>
  </si>
  <si>
    <t>TWA</t>
  </si>
  <si>
    <t>Twin Hills, AK: Twin Hills Airport</t>
  </si>
  <si>
    <t>TWB</t>
  </si>
  <si>
    <t>Toowoomba, Australia: Toowoomba Airport</t>
  </si>
  <si>
    <t>TWD</t>
  </si>
  <si>
    <t>Port Townsend, WA: Jefferson County International</t>
  </si>
  <si>
    <t>TWE</t>
  </si>
  <si>
    <t>Taylor, AK: Taylor Airport</t>
  </si>
  <si>
    <t>Twin Falls, ID: Joslin Field - Magic Valley Regional</t>
  </si>
  <si>
    <t>TWH</t>
  </si>
  <si>
    <t>Two Harbors, CA: Two Harbors Airport</t>
  </si>
  <si>
    <t>TWU</t>
  </si>
  <si>
    <t>Tawau, Malaysia: Tawau Airport</t>
  </si>
  <si>
    <t>TX1</t>
  </si>
  <si>
    <t>Mesquite, TX: Mesquite Metro</t>
  </si>
  <si>
    <t>TX2</t>
  </si>
  <si>
    <t>Denver City, TX: Denver City Airport</t>
  </si>
  <si>
    <t>TX3</t>
  </si>
  <si>
    <t>Port Isabel, TX: Port Isabel - Cameron County</t>
  </si>
  <si>
    <t>TX4</t>
  </si>
  <si>
    <t>Ballinger, TX: Bruce Field</t>
  </si>
  <si>
    <t>TX5</t>
  </si>
  <si>
    <t>Cleburne, TX: Cleburne Regional</t>
  </si>
  <si>
    <t>TX6</t>
  </si>
  <si>
    <t>Horseshoe Bay, TX: Horseshoe Bay Resort</t>
  </si>
  <si>
    <t>TX7</t>
  </si>
  <si>
    <t>Post, TX: Post Garza County Municipal</t>
  </si>
  <si>
    <t>TX8</t>
  </si>
  <si>
    <t>Slaton, TX: Slaton Municipal</t>
  </si>
  <si>
    <t>TX9</t>
  </si>
  <si>
    <t>Winters, TX: Winters Municipal</t>
  </si>
  <si>
    <t>TXG</t>
  </si>
  <si>
    <t>Taichung, Taiwan: Taichung Airport</t>
  </si>
  <si>
    <t>Texarkana, AR: Texarkana Regional-Webb Field</t>
  </si>
  <si>
    <t>TXL</t>
  </si>
  <si>
    <t>Berlin, Germany: Tegel</t>
  </si>
  <si>
    <t>TXN</t>
  </si>
  <si>
    <t>Tunxi, China: Tunxi Airport</t>
  </si>
  <si>
    <t>TXU</t>
  </si>
  <si>
    <t>Tabou, Cote d'Ivoire: Tabou Airport</t>
  </si>
  <si>
    <t>TYB</t>
  </si>
  <si>
    <t>Tibooburra, Australia: Tibooburra Airport</t>
  </si>
  <si>
    <t>TYE</t>
  </si>
  <si>
    <t>Tyonek, AK: Tyonek Airport</t>
  </si>
  <si>
    <t>TYL</t>
  </si>
  <si>
    <t>Talara, Peru: Capitan FAP Victor Montes International</t>
  </si>
  <si>
    <t>TYM</t>
  </si>
  <si>
    <t>Exuma, The Bahamas: Staniel Cay</t>
  </si>
  <si>
    <t>TYN</t>
  </si>
  <si>
    <t>Taiyuan, China: Wusu</t>
  </si>
  <si>
    <t>TYO</t>
  </si>
  <si>
    <t>Tokyo, Japan: Tokyo Metropolitan Area</t>
  </si>
  <si>
    <t>Tyler, TX: Tyler Pounds Regional</t>
  </si>
  <si>
    <t>Knoxville, TN: McGhee Tyson</t>
  </si>
  <si>
    <t>TYZ</t>
  </si>
  <si>
    <t>Taylor, AZ: Taylor Airport</t>
  </si>
  <si>
    <t>TZA</t>
  </si>
  <si>
    <t>Belize City, Belize: Belize Municipal</t>
  </si>
  <si>
    <t>TZF</t>
  </si>
  <si>
    <t>Maya Beach, Belize: Maya Beach Airport</t>
  </si>
  <si>
    <t>TZL</t>
  </si>
  <si>
    <t>Tuzla, Bosnia and Herzegovina: Tuzla Airport</t>
  </si>
  <si>
    <t>TZN</t>
  </si>
  <si>
    <t>South Andos, The Bahamas: Congo Town</t>
  </si>
  <si>
    <t>TZX</t>
  </si>
  <si>
    <t>Trabzon, Turkey: Trabzon Airport</t>
  </si>
  <si>
    <t>U36</t>
  </si>
  <si>
    <t>Aberdeen, ID: Aberdeen Municipal</t>
  </si>
  <si>
    <t>UAB</t>
  </si>
  <si>
    <t>Adana, Turkey: Incirlik AB</t>
  </si>
  <si>
    <t>UAH</t>
  </si>
  <si>
    <t>Ua Huka, French Polynesia: Ua Huka Airport</t>
  </si>
  <si>
    <t>UAK</t>
  </si>
  <si>
    <t>Narsarsuaq, Greenland: Narsarsuaq Airport</t>
  </si>
  <si>
    <t>UAM</t>
  </si>
  <si>
    <t>Guam, TT: Andersen AFB</t>
  </si>
  <si>
    <t>UAQ</t>
  </si>
  <si>
    <t>San Juan, Argentina: San Juan Airport</t>
  </si>
  <si>
    <t>UAS</t>
  </si>
  <si>
    <t>Samburu, Kenya: Samburu Airport</t>
  </si>
  <si>
    <t>UAX</t>
  </si>
  <si>
    <t>Uaxactun, Guatemala: Uaxactun Airport</t>
  </si>
  <si>
    <t>UBA</t>
  </si>
  <si>
    <t>Uberaba, Brazil: Mario de Almeida Franco</t>
  </si>
  <si>
    <t>UBF</t>
  </si>
  <si>
    <t>Chatham, MA: Chatham Municipal</t>
  </si>
  <si>
    <t>UBJ</t>
  </si>
  <si>
    <t>Ube, Japan: Yamaguchi Ube</t>
  </si>
  <si>
    <t>UBN</t>
  </si>
  <si>
    <t>Ulaanbaator, Mongolia: Chinggis Khaan International</t>
  </si>
  <si>
    <t>UBP</t>
  </si>
  <si>
    <t>Ubon Ratchathani, Thailand: Ubon Ratchathani Airport</t>
  </si>
  <si>
    <t>UBS</t>
  </si>
  <si>
    <t>Columbus, MS: Columbus-Lowndes County</t>
  </si>
  <si>
    <t>UCA</t>
  </si>
  <si>
    <t>Utica/Rome, NY: Oneida County</t>
  </si>
  <si>
    <t>UCY</t>
  </si>
  <si>
    <t>Union City, TN: Everett-Stewart Regional</t>
  </si>
  <si>
    <t>UDD</t>
  </si>
  <si>
    <t>Bermuda Dunes, CA: Bermuda Dunes Airport</t>
  </si>
  <si>
    <t>UDG</t>
  </si>
  <si>
    <t>Darlington, SC: Darlington County</t>
  </si>
  <si>
    <t>UDI</t>
  </si>
  <si>
    <t>Uberlandia, Brazil: Uberlandia Airport</t>
  </si>
  <si>
    <t>UDJ</t>
  </si>
  <si>
    <t>Zakarpattia, Ukraine: Uzhhorod International</t>
  </si>
  <si>
    <t>UDR</t>
  </si>
  <si>
    <t>Udaipur, India: Udaipur Airport</t>
  </si>
  <si>
    <t>UEL</t>
  </si>
  <si>
    <t>Quelimane, Mozambique: Quelimane Airport</t>
  </si>
  <si>
    <t>UEO</t>
  </si>
  <si>
    <t>Kumejima, Japan: Kumejima Airport</t>
  </si>
  <si>
    <t>UES</t>
  </si>
  <si>
    <t>Waukesha, WI: Waukesha County</t>
  </si>
  <si>
    <t>UET</t>
  </si>
  <si>
    <t>Quetta, Pakistan: Samungli International</t>
  </si>
  <si>
    <t>UFA</t>
  </si>
  <si>
    <t>Ufa, Russia: Ufa Airport</t>
  </si>
  <si>
    <t>UGA</t>
  </si>
  <si>
    <t>Ugashik, AK: Ugashik Airport</t>
  </si>
  <si>
    <t>UGB</t>
  </si>
  <si>
    <t>Pilot Point, AK: Ugashik Bay</t>
  </si>
  <si>
    <t>UGC</t>
  </si>
  <si>
    <t>Urgench, Uzbekistan: Urgench Airport</t>
  </si>
  <si>
    <t>UGI</t>
  </si>
  <si>
    <t>Uganik, AK: Uganik Airport</t>
  </si>
  <si>
    <t>UGN</t>
  </si>
  <si>
    <t>Waukegan, IL: Waukegan National</t>
  </si>
  <si>
    <t>UGS</t>
  </si>
  <si>
    <t>UHE</t>
  </si>
  <si>
    <t>Uherske Hradiste, Czech Republic: Uherske Hradiste Airport</t>
  </si>
  <si>
    <t>UHF</t>
  </si>
  <si>
    <t>Upper Heyford, United Kingdom: Upper Heyford Airport</t>
  </si>
  <si>
    <t>UIB</t>
  </si>
  <si>
    <t>Quibdo, Colombia: El Carano</t>
  </si>
  <si>
    <t>UIH</t>
  </si>
  <si>
    <t>Qui Nhon, Vietnam: Phu Cat</t>
  </si>
  <si>
    <t>UII</t>
  </si>
  <si>
    <t>Utila Island, Honduras: Utila Island Hond.</t>
  </si>
  <si>
    <t>Quincy, IL: Quincy Regional-Baldwin Field</t>
  </si>
  <si>
    <t>Quito, Ecuador: Old Mariscal Sucre International</t>
  </si>
  <si>
    <t>UIP</t>
  </si>
  <si>
    <t>Quimper, France: Quimper Pluguffan</t>
  </si>
  <si>
    <t>UK1</t>
  </si>
  <si>
    <t>Cranfield, United Kingdom: Cranfield Airport</t>
  </si>
  <si>
    <t>UKB</t>
  </si>
  <si>
    <t>Kobe Honshu Island, Japan: Kobe</t>
  </si>
  <si>
    <t>UKI</t>
  </si>
  <si>
    <t>Ukiah, CA: Ukiah Municipal</t>
  </si>
  <si>
    <t>ULA</t>
  </si>
  <si>
    <t>San Julian, Argentina: San Julian Airport</t>
  </si>
  <si>
    <t>ULC</t>
  </si>
  <si>
    <t>Santiago, Chile: Los Cerrillos</t>
  </si>
  <si>
    <t>ULI</t>
  </si>
  <si>
    <t>Ulithi, Federated States of Micronesia: Ulithi Airport</t>
  </si>
  <si>
    <t>ULM</t>
  </si>
  <si>
    <t>New Ulm, MN: New Ulm Municipal</t>
  </si>
  <si>
    <t>ULN</t>
  </si>
  <si>
    <t>Ulan Bator, Mongolia: Chinggis Khaan International</t>
  </si>
  <si>
    <t>ULQ</t>
  </si>
  <si>
    <t>Tulua, Colombia: Heriberto Gil Martinez</t>
  </si>
  <si>
    <t>ULS</t>
  </si>
  <si>
    <t>Ulysses, KS: Ulysses Airport</t>
  </si>
  <si>
    <t>ULY</t>
  </si>
  <si>
    <t>Ulyanovsk, Russia: Ulyanovsk Vostochny</t>
  </si>
  <si>
    <t>UMB</t>
  </si>
  <si>
    <t>Umnak, AK: North Shore</t>
  </si>
  <si>
    <t>UMD</t>
  </si>
  <si>
    <t>Uummannaq, Greenland: Uummannaq Airport</t>
  </si>
  <si>
    <t>UME</t>
  </si>
  <si>
    <t>Umea, Sweden: Umea Airport</t>
  </si>
  <si>
    <t>UMM</t>
  </si>
  <si>
    <t>Summit, AK: Summit Airport</t>
  </si>
  <si>
    <t>UMR</t>
  </si>
  <si>
    <t>Woomera, Australia: Woomera Airport</t>
  </si>
  <si>
    <t>UMT</t>
  </si>
  <si>
    <t>Umiat, AK: Umiat Airport</t>
  </si>
  <si>
    <t>UMU</t>
  </si>
  <si>
    <t>Umuarama, Brazil: Orlando de Carvalho</t>
  </si>
  <si>
    <t>UND</t>
  </si>
  <si>
    <t>Konduz, Afghanistan: Kunduz</t>
  </si>
  <si>
    <t>UNG</t>
  </si>
  <si>
    <t>Kiunga, Papua New Guinea: Kiunga Airport</t>
  </si>
  <si>
    <t>UNI</t>
  </si>
  <si>
    <t>Union Island, Saint Vincent and the Grenadines: Union Island Airport</t>
  </si>
  <si>
    <t>UNK</t>
  </si>
  <si>
    <t>Unalakleet, AK: Unalakleet Airport</t>
  </si>
  <si>
    <t>UNS</t>
  </si>
  <si>
    <t>Umnak, AK: Umnak Airport</t>
  </si>
  <si>
    <t>UNT</t>
  </si>
  <si>
    <t>Unst, United Kingdom: Unst Airport</t>
  </si>
  <si>
    <t>UOS</t>
  </si>
  <si>
    <t>Sewanee, TN: Franklin County</t>
  </si>
  <si>
    <t>UOX</t>
  </si>
  <si>
    <t>Oxford, MS: University-Oxford</t>
  </si>
  <si>
    <t>UPG</t>
  </si>
  <si>
    <t>Ujung Pandang, Indonesia: Hasanuddin</t>
  </si>
  <si>
    <t>UPN</t>
  </si>
  <si>
    <t>Uruapan, Mexico: Uruapan Airport</t>
  </si>
  <si>
    <t>UPP</t>
  </si>
  <si>
    <t>Upolo Point, HI: Upolu</t>
  </si>
  <si>
    <t>UQE</t>
  </si>
  <si>
    <t>Queens, AK: The Queens</t>
  </si>
  <si>
    <t>URA</t>
  </si>
  <si>
    <t>Uralsk, Kazakhstan: Uralsk Airport</t>
  </si>
  <si>
    <t>URB</t>
  </si>
  <si>
    <t>Urubupunga, Brazil: Urubupunga Airport</t>
  </si>
  <si>
    <t>URC</t>
  </si>
  <si>
    <t>Urumqi, China: Diwopu</t>
  </si>
  <si>
    <t>URG</t>
  </si>
  <si>
    <t>Uruguaiana, Brazil: Rubem Berta</t>
  </si>
  <si>
    <t>URO</t>
  </si>
  <si>
    <t>Boos, France: Rouen Vallee de Seine</t>
  </si>
  <si>
    <t>URT</t>
  </si>
  <si>
    <t>Surat Thani, Thailand: Surat Thani Airport</t>
  </si>
  <si>
    <t>URY</t>
  </si>
  <si>
    <t>Gurayat, Saudi Arabia: Guriat</t>
  </si>
  <si>
    <t>Concord, NC: Concord Padgett Regional</t>
  </si>
  <si>
    <t>USH</t>
  </si>
  <si>
    <t>Ushuaia, Argentina: Islas Malvinas</t>
  </si>
  <si>
    <t>USI</t>
  </si>
  <si>
    <t>Usibelli, AK: Usi Belli Coal Mine</t>
  </si>
  <si>
    <t>USM</t>
  </si>
  <si>
    <t>Koh Samui, Thailand: Samui</t>
  </si>
  <si>
    <t>USN</t>
  </si>
  <si>
    <t>Ulsan, South Korea: Ulsan Airport</t>
  </si>
  <si>
    <t>UST</t>
  </si>
  <si>
    <t>St. Augustine, FL: Northeast Florida Regional</t>
  </si>
  <si>
    <t>UT1</t>
  </si>
  <si>
    <t>Heber, UT: Heber Valley</t>
  </si>
  <si>
    <t>UT2</t>
  </si>
  <si>
    <t>North Salt Lake, UT: A A Helicopters Inc</t>
  </si>
  <si>
    <t>UT3</t>
  </si>
  <si>
    <t>Spanish Fork, UT: Spanish Fork Springville Woodhouse Field</t>
  </si>
  <si>
    <t>UTB</t>
  </si>
  <si>
    <t>Muttaburra, Australia: Muttaburra Airport</t>
  </si>
  <si>
    <t>UTH</t>
  </si>
  <si>
    <t>Udon Thani, Thailand: Udon Thani Airport</t>
  </si>
  <si>
    <t>UTK</t>
  </si>
  <si>
    <t>Utirik, Marshall Islands: Utirik Island</t>
  </si>
  <si>
    <t>UTM</t>
  </si>
  <si>
    <t>Tunica, MS: Tunica Municipal</t>
  </si>
  <si>
    <t>UTN</t>
  </si>
  <si>
    <t>Upington, South Africa: Upington International</t>
  </si>
  <si>
    <t>UTO</t>
  </si>
  <si>
    <t>Utopia, AK: Indian Mountain LRRS</t>
  </si>
  <si>
    <t>UTP</t>
  </si>
  <si>
    <t>Utapao, Thailand: U-Tapao Pattaya International</t>
  </si>
  <si>
    <t>UTT</t>
  </si>
  <si>
    <t>Mthatha, South Africa: Mthatha Airport</t>
  </si>
  <si>
    <t>UTW</t>
  </si>
  <si>
    <t>Queenstown, South Africa: Queenstown Airport</t>
  </si>
  <si>
    <t>UUD</t>
  </si>
  <si>
    <t>Ulan-Ude, Russia: Mukhino</t>
  </si>
  <si>
    <t>UUK</t>
  </si>
  <si>
    <t>Kuparuk, AK: North Kuparuk</t>
  </si>
  <si>
    <t>UUS</t>
  </si>
  <si>
    <t>Yuzhno-Sakhalinsk, Russia: Khomutovo</t>
  </si>
  <si>
    <t>UUU</t>
  </si>
  <si>
    <t>Manumu, Papua New Guinea: Manumu Airport</t>
  </si>
  <si>
    <t>UVA</t>
  </si>
  <si>
    <t>Uvalde, TX: Garner Field</t>
  </si>
  <si>
    <t>UVE</t>
  </si>
  <si>
    <t>Ouvea, New Caledonia: Ouvea Ouloup</t>
  </si>
  <si>
    <t>St. Lucia, Saint Lucia: Hewanorra International</t>
  </si>
  <si>
    <t>UVL</t>
  </si>
  <si>
    <t>Kharja, Egypt: New Valley</t>
  </si>
  <si>
    <t>UXA</t>
  </si>
  <si>
    <t>Lik Camp, AK: Lik Camp Airport</t>
  </si>
  <si>
    <t>UXB</t>
  </si>
  <si>
    <t>Fassberg, Germany: Fassberg Airport</t>
  </si>
  <si>
    <t>UXC</t>
  </si>
  <si>
    <t>Hawley, MN: Hawley Municipal</t>
  </si>
  <si>
    <t>UXD</t>
  </si>
  <si>
    <t>Chowchilla, CA: Chowchilla Airport</t>
  </si>
  <si>
    <t>UXE</t>
  </si>
  <si>
    <t>Faulkton, SD: Faulkton Municipal</t>
  </si>
  <si>
    <t>UXF</t>
  </si>
  <si>
    <t>St. Anthony, ID: Stanford Field</t>
  </si>
  <si>
    <t>UXG</t>
  </si>
  <si>
    <t>Dutch John, UT: Dutch John Airport</t>
  </si>
  <si>
    <t>UXH</t>
  </si>
  <si>
    <t>Kiev, Ukraine: Gostomel</t>
  </si>
  <si>
    <t>UXI</t>
  </si>
  <si>
    <t>Calder Bay, AK: Calder Bay Airport</t>
  </si>
  <si>
    <t>UXJ</t>
  </si>
  <si>
    <t>Richmond, KY: Central Kentucky Regional</t>
  </si>
  <si>
    <t>UXK</t>
  </si>
  <si>
    <t>Petaluma, CA: Petaluma Municipal</t>
  </si>
  <si>
    <t>UXL</t>
  </si>
  <si>
    <t>Chariot, AK: Chariot Airport</t>
  </si>
  <si>
    <t>UXM</t>
  </si>
  <si>
    <t>47-Mile Mine, AK: 47-Mile Mine Airport</t>
  </si>
  <si>
    <t>UXN</t>
  </si>
  <si>
    <t>Prestonsburg, KY: Big Sandy Regional</t>
  </si>
  <si>
    <t>UXO</t>
  </si>
  <si>
    <t>Fitchburg, MA: Fitchburg Municipal</t>
  </si>
  <si>
    <t>UXP</t>
  </si>
  <si>
    <t>Bay St. Louis, MS: Stennis International</t>
  </si>
  <si>
    <t>UXQ</t>
  </si>
  <si>
    <t>Gilze-Rijen, Netherlands: Gilze-Rijen Airport</t>
  </si>
  <si>
    <t>UXR</t>
  </si>
  <si>
    <t>Monument Valley, UT: Monument Valley Airport</t>
  </si>
  <si>
    <t>UXS</t>
  </si>
  <si>
    <t>Cimarron, KS: Cimarron Municipal</t>
  </si>
  <si>
    <t>UXT</t>
  </si>
  <si>
    <t>Lorain/Elyria, OH: Lorain Cnty Regional</t>
  </si>
  <si>
    <t>UXU</t>
  </si>
  <si>
    <t>Cheboygan, MI: Cheboygan County</t>
  </si>
  <si>
    <t>UXV</t>
  </si>
  <si>
    <t>Enterprise, OR: Enterprise Municipal</t>
  </si>
  <si>
    <t>UXW</t>
  </si>
  <si>
    <t>Cookeville, TN: Putnam County</t>
  </si>
  <si>
    <t>UXX</t>
  </si>
  <si>
    <t>Hot Springs, MT: Hot Springs Airport</t>
  </si>
  <si>
    <t>UXY</t>
  </si>
  <si>
    <t>Circle, MT: Circle Town County</t>
  </si>
  <si>
    <t>UXZ</t>
  </si>
  <si>
    <t>Garrison, ND: Garrison Municipal</t>
  </si>
  <si>
    <t>UY1</t>
  </si>
  <si>
    <t>Melilla, Uruguay: Angel S Adami</t>
  </si>
  <si>
    <t>UYL</t>
  </si>
  <si>
    <t>Nyala, Sudan: Nyala Airport</t>
  </si>
  <si>
    <t>UZU</t>
  </si>
  <si>
    <t>Curuzu Cuatia, Argentina: Curuzu Cuatia Airport</t>
  </si>
  <si>
    <t>VA1</t>
  </si>
  <si>
    <t>Emporia, VA: Emporia Greensville Regional</t>
  </si>
  <si>
    <t>VA2</t>
  </si>
  <si>
    <t>Chesapeake, VA: Chesapeake Regional</t>
  </si>
  <si>
    <t>VA3</t>
  </si>
  <si>
    <t>Marion/Wytheville, VA: Mountain Empire</t>
  </si>
  <si>
    <t>VA4</t>
  </si>
  <si>
    <t>Leesburg, VA: Leesburg Executive</t>
  </si>
  <si>
    <t>VA5</t>
  </si>
  <si>
    <t>Richmond, VA: Hanover County Municipal</t>
  </si>
  <si>
    <t>VA6</t>
  </si>
  <si>
    <t>Moneta, VA: Smith Mountain Lake</t>
  </si>
  <si>
    <t>VA7</t>
  </si>
  <si>
    <t>Bridgewater, VA: Bridgewater Air Park</t>
  </si>
  <si>
    <t>VA8</t>
  </si>
  <si>
    <t>Richmond, VA: Richmond Executive Chesterfield County</t>
  </si>
  <si>
    <t>VA9</t>
  </si>
  <si>
    <t>Norfolk, VA: Hampton Roads Executive</t>
  </si>
  <si>
    <t>VAA</t>
  </si>
  <si>
    <t>Vaasa, Finland: Vaasa Airport</t>
  </si>
  <si>
    <t>VAD</t>
  </si>
  <si>
    <t>Valdosta, GA: Moody AFB</t>
  </si>
  <si>
    <t>VAF</t>
  </si>
  <si>
    <t>Valence, France: Valence Chabeuil</t>
  </si>
  <si>
    <t>VAI</t>
  </si>
  <si>
    <t>Vanimo, Papua New Guinea: Vanimo Airport</t>
  </si>
  <si>
    <t>VAK</t>
  </si>
  <si>
    <t>Chevak, AK: Chevak Airport</t>
  </si>
  <si>
    <t>VAN</t>
  </si>
  <si>
    <t>Van, Turkey: Van Airport</t>
  </si>
  <si>
    <t>VAO</t>
  </si>
  <si>
    <t>Suavanao, Solomon Islands: Suavanao Airport</t>
  </si>
  <si>
    <t>VAR</t>
  </si>
  <si>
    <t>Varna, Bulgaria: Varna Airport</t>
  </si>
  <si>
    <t>VAS</t>
  </si>
  <si>
    <t>Sivas, Turkey: Sivas Airport</t>
  </si>
  <si>
    <t>VAV</t>
  </si>
  <si>
    <t>Vava'u, Tonga: Vava'u International</t>
  </si>
  <si>
    <t>VBG</t>
  </si>
  <si>
    <t>Lompoc, CA: Vandenberg AFB</t>
  </si>
  <si>
    <t>VBS</t>
  </si>
  <si>
    <t>Brescia, Italy: Brescia Montichiari</t>
  </si>
  <si>
    <t>VBY</t>
  </si>
  <si>
    <t>Visby, Sweden: Visby Airport</t>
  </si>
  <si>
    <t>VCA</t>
  </si>
  <si>
    <t>Can Tho, Vietnam: Can Tho International</t>
  </si>
  <si>
    <t>VCB</t>
  </si>
  <si>
    <t>View Cove, AK: View Cove Airport</t>
  </si>
  <si>
    <t>VCE</t>
  </si>
  <si>
    <t>Venice, Italy: Marco Polo International</t>
  </si>
  <si>
    <t>VCP</t>
  </si>
  <si>
    <t>Sao Paulo, Brazil: Viracopos International</t>
  </si>
  <si>
    <t>VCR</t>
  </si>
  <si>
    <t>Carora, Venezuela: Carora Airport</t>
  </si>
  <si>
    <t>Victoria, TX: Victoria Regional</t>
  </si>
  <si>
    <t>VCV</t>
  </si>
  <si>
    <t>Victorville, CA: Southern California Logistics</t>
  </si>
  <si>
    <t>VDA</t>
  </si>
  <si>
    <t>Ovda, Israel: Ovda Airport</t>
  </si>
  <si>
    <t>VDC</t>
  </si>
  <si>
    <t>Vitoria Da Conquista, Brazil: Vitoria Da Conquista Airport</t>
  </si>
  <si>
    <t>VDE</t>
  </si>
  <si>
    <t>Valverde, Spain: Hierro</t>
  </si>
  <si>
    <t>VDI</t>
  </si>
  <si>
    <t>Vidalia, GA: Vidalia Regional</t>
  </si>
  <si>
    <t>VDM</t>
  </si>
  <si>
    <t>Viedma, Argentina: Viedma Airport</t>
  </si>
  <si>
    <t>VDP</t>
  </si>
  <si>
    <t>Valle de la Pascua, Venezuela: Valle de la Pascua Airport</t>
  </si>
  <si>
    <t>VDR</t>
  </si>
  <si>
    <t>Villa Dolores, Argentina: Villa Dolores Airport</t>
  </si>
  <si>
    <t>VDS</t>
  </si>
  <si>
    <t>Vadso, Norway: Vadso Airport</t>
  </si>
  <si>
    <t>VDZ</t>
  </si>
  <si>
    <t>Valdez, AK: Valdez Pioneer Field</t>
  </si>
  <si>
    <t>VEE</t>
  </si>
  <si>
    <t>Venetie, AK: Venetie Airport</t>
  </si>
  <si>
    <t>Vernal, UT: Vernal Regional</t>
  </si>
  <si>
    <t>VEO</t>
  </si>
  <si>
    <t>Versailles, MO: Roy Otten Memorial Airfield</t>
  </si>
  <si>
    <t>VER</t>
  </si>
  <si>
    <t>Veracruz, Mexico: General Heriberto Jara International</t>
  </si>
  <si>
    <t>VEY</t>
  </si>
  <si>
    <t>Vestmannaeyjar, Iceland: Vestmannaeyjar Airport</t>
  </si>
  <si>
    <t>VFA</t>
  </si>
  <si>
    <t>Victoria Falls, Zimbabwe: Victoria Falls International</t>
  </si>
  <si>
    <t>VGA</t>
  </si>
  <si>
    <t>Vijayawada, India: Vijayawada Airport</t>
  </si>
  <si>
    <t>VGC</t>
  </si>
  <si>
    <t>Hamilton, NY: Hamilton Municipal</t>
  </si>
  <si>
    <t>VGO</t>
  </si>
  <si>
    <t>Vigo, Spain: Vigo Airport</t>
  </si>
  <si>
    <t>VGT</t>
  </si>
  <si>
    <t>Las Vegas, NV: North Las Vegas</t>
  </si>
  <si>
    <t>VHM</t>
  </si>
  <si>
    <t>Vilhelmina, Sweden: Vilhelmina Airport</t>
  </si>
  <si>
    <t>VHN</t>
  </si>
  <si>
    <t>Van Horn, TX: Culberson County</t>
  </si>
  <si>
    <t>VHY</t>
  </si>
  <si>
    <t>Vichy, France: Vichy Charmeil</t>
  </si>
  <si>
    <t>VIC</t>
  </si>
  <si>
    <t>Vicenza, Italy: Vicenza Airport</t>
  </si>
  <si>
    <t>VID</t>
  </si>
  <si>
    <t>Vidin, Bulgaria: Vidin Airport</t>
  </si>
  <si>
    <t>VIE</t>
  </si>
  <si>
    <t>Vienna, Austria: Vienna International</t>
  </si>
  <si>
    <t>VIG</t>
  </si>
  <si>
    <t>El Vigia, Venezuela: Juan Pablo Perez Alfonzo</t>
  </si>
  <si>
    <t>VIH</t>
  </si>
  <si>
    <t>Vichy, MO: Rolla National</t>
  </si>
  <si>
    <t>VII</t>
  </si>
  <si>
    <t>Vinh City, Vietnam: Vinh</t>
  </si>
  <si>
    <t>VIJ</t>
  </si>
  <si>
    <t>Virgin Gorda, British Virgin Islands: Virgin Gorda Airport</t>
  </si>
  <si>
    <t>VIK</t>
  </si>
  <si>
    <t>Kavik River, AK: Kavik River Airport</t>
  </si>
  <si>
    <t>VIL</t>
  </si>
  <si>
    <t>Dakhla, Morocco: Dakhla International</t>
  </si>
  <si>
    <t>VIN</t>
  </si>
  <si>
    <t>Vinnitsa, Ukraine: Gavryshivka International</t>
  </si>
  <si>
    <t>VIS</t>
  </si>
  <si>
    <t>Visalia, CA: Visalia Municipal</t>
  </si>
  <si>
    <t>VIT</t>
  </si>
  <si>
    <t>Vitoria, Spain: Vitoria Airport</t>
  </si>
  <si>
    <t>VIX</t>
  </si>
  <si>
    <t>Vitoria, Brazil: Eurico de Aguiar Salles</t>
  </si>
  <si>
    <t>VJI</t>
  </si>
  <si>
    <t>Abingdon, VA: Virginia Highlands</t>
  </si>
  <si>
    <t>VKO</t>
  </si>
  <si>
    <t>Moscow, Russia: Vnukovo</t>
  </si>
  <si>
    <t>VKS</t>
  </si>
  <si>
    <t>Vicksburg, MS: Vicksburg Municipal</t>
  </si>
  <si>
    <t>VLC</t>
  </si>
  <si>
    <t>Valencia, Spain: Valencia Airport</t>
  </si>
  <si>
    <t>Valdosta, GA: Valdosta Regional</t>
  </si>
  <si>
    <t>VLI</t>
  </si>
  <si>
    <t>Port Vila, Vanuatu: Port Vila Airport</t>
  </si>
  <si>
    <t>VLL</t>
  </si>
  <si>
    <t>Valladolid, Spain: Valladolid Airport</t>
  </si>
  <si>
    <t>VLN</t>
  </si>
  <si>
    <t>Valencia, Venezuela: Arturo Michelena International</t>
  </si>
  <si>
    <t>VLR</t>
  </si>
  <si>
    <t>Vallenar, Chile: Vallenar Airport</t>
  </si>
  <si>
    <t>VLV</t>
  </si>
  <si>
    <t>Valera, Venezuela: Dr. Antonio Nicolas Briceno</t>
  </si>
  <si>
    <t>VME</t>
  </si>
  <si>
    <t>Villa Mercedes, Argentina: Mercedes</t>
  </si>
  <si>
    <t>VNC</t>
  </si>
  <si>
    <t>Venice, FL: Venice Municipal</t>
  </si>
  <si>
    <t>VNO</t>
  </si>
  <si>
    <t>Vilnius, Lithuania: Vilnius International</t>
  </si>
  <si>
    <t>VNS</t>
  </si>
  <si>
    <t>Varanasi, India: Lal Bahadur Shastri Varanasi International</t>
  </si>
  <si>
    <t>VNY</t>
  </si>
  <si>
    <t>Van Nuys, CA: Van Nuys Airport</t>
  </si>
  <si>
    <t>VOG</t>
  </si>
  <si>
    <t>Volgograd, Russia: Gumrak</t>
  </si>
  <si>
    <t>VOK</t>
  </si>
  <si>
    <t>Camp Douglas, WI: Volk Field</t>
  </si>
  <si>
    <t>VOL</t>
  </si>
  <si>
    <t>Volos, Greece: Volos Airport</t>
  </si>
  <si>
    <t>VPC</t>
  </si>
  <si>
    <t>VPE</t>
  </si>
  <si>
    <t>Ondjiva, Angola: Ondjiva Airport</t>
  </si>
  <si>
    <t>Valparaiso, FL: Eglin AFB Destin Fort Walton Beach</t>
  </si>
  <si>
    <t>VPZ</t>
  </si>
  <si>
    <t>Valparaiso, IN: Porter County Regional</t>
  </si>
  <si>
    <t>VQQ</t>
  </si>
  <si>
    <t>Jacksonville, FL: Cecil</t>
  </si>
  <si>
    <t>VQS</t>
  </si>
  <si>
    <t>Vieques, PR: Antonio Rivera Rodriguez</t>
  </si>
  <si>
    <t>VRA</t>
  </si>
  <si>
    <t>Varadero, Cuba: Juan Gualberto Gomez International</t>
  </si>
  <si>
    <t>VRB</t>
  </si>
  <si>
    <t>Vero Beach, FL: Vero Beach Regional</t>
  </si>
  <si>
    <t>VRC</t>
  </si>
  <si>
    <t>Virac, Philippines: Virac Airport</t>
  </si>
  <si>
    <t>VRK</t>
  </si>
  <si>
    <t>Varkaus, Finland: Varkaus Airport</t>
  </si>
  <si>
    <t>VRN</t>
  </si>
  <si>
    <t>Verona, Italy: Villafranca</t>
  </si>
  <si>
    <t>VSA</t>
  </si>
  <si>
    <t>Villahermosa, Mexico: C. P. A. Carlos Rovirosa International</t>
  </si>
  <si>
    <t>VSE</t>
  </si>
  <si>
    <t>Viseu, Portugal: Viseu Airport</t>
  </si>
  <si>
    <t>VSF</t>
  </si>
  <si>
    <t>Springfield, VT: Hartness State</t>
  </si>
  <si>
    <t>VST</t>
  </si>
  <si>
    <t>Vasteras, Sweden: Vasteras Airport</t>
  </si>
  <si>
    <t>VT1</t>
  </si>
  <si>
    <t>West Dover, VT: Deerfield Valley Regional</t>
  </si>
  <si>
    <t>VT2</t>
  </si>
  <si>
    <t>Warren, VT: Warren Sugarbush</t>
  </si>
  <si>
    <t>VTE</t>
  </si>
  <si>
    <t>Vientiane, Laos: Wattay International</t>
  </si>
  <si>
    <t>VTN</t>
  </si>
  <si>
    <t>Valentine, NE: Miller Field</t>
  </si>
  <si>
    <t>VTZ</t>
  </si>
  <si>
    <t>Visakhapatnam, India: Vishakhapatnam</t>
  </si>
  <si>
    <t>VUJ</t>
  </si>
  <si>
    <t>Albemarle, NC: Stanly County</t>
  </si>
  <si>
    <t>VUO</t>
  </si>
  <si>
    <t>Vancouver, WA: Pearson Field</t>
  </si>
  <si>
    <t>VUP</t>
  </si>
  <si>
    <t>Valledupar, Colombia: Alfonso Lopez Pumarejo</t>
  </si>
  <si>
    <t>VVC</t>
  </si>
  <si>
    <t>Villavicencio, Colombia: Vanguardia</t>
  </si>
  <si>
    <t>VVI</t>
  </si>
  <si>
    <t>Santa Cruz, Bolivia: Viru Viru International</t>
  </si>
  <si>
    <t>VVK</t>
  </si>
  <si>
    <t>Vastervik, Sweden: Vastervik Airport</t>
  </si>
  <si>
    <t>VVO</t>
  </si>
  <si>
    <t>Vladivostok, Russia: Knevichi</t>
  </si>
  <si>
    <t>VWA</t>
  </si>
  <si>
    <t>Headland, AL: Headland Municipal</t>
  </si>
  <si>
    <t>VWB</t>
  </si>
  <si>
    <t>Myrtle Creek, OR: Myrtle Creek Municipal</t>
  </si>
  <si>
    <t>VWC</t>
  </si>
  <si>
    <t>Gallatin, TN: Sumner County Regional</t>
  </si>
  <si>
    <t>VWD</t>
  </si>
  <si>
    <t>Hanford, CA: Hanford Municipal</t>
  </si>
  <si>
    <t>VWE</t>
  </si>
  <si>
    <t>Chelan, WA: Lake Chelan</t>
  </si>
  <si>
    <t>VWF</t>
  </si>
  <si>
    <t>Custer, SD: Custer County</t>
  </si>
  <si>
    <t>VWG</t>
  </si>
  <si>
    <t>Garibaldi, OR: Tillamook</t>
  </si>
  <si>
    <t>VWH</t>
  </si>
  <si>
    <t>Midland/Odessa, TX: Odessa Schlemeyer Field</t>
  </si>
  <si>
    <t>VWI</t>
  </si>
  <si>
    <t>California City, CA: California City Municipal</t>
  </si>
  <si>
    <t>VWJ</t>
  </si>
  <si>
    <t>Cameron, SC: McNeil</t>
  </si>
  <si>
    <t>VWK</t>
  </si>
  <si>
    <t>Saratoga Springs, NY: Saratoga County</t>
  </si>
  <si>
    <t>VWL</t>
  </si>
  <si>
    <t>Bemidji, MN: Nary National Shefland Field</t>
  </si>
  <si>
    <t>VWM</t>
  </si>
  <si>
    <t>Weed, CA: Weed Airport</t>
  </si>
  <si>
    <t>VWN</t>
  </si>
  <si>
    <t>Parker, AZ: Avi Suquilla</t>
  </si>
  <si>
    <t>VWO</t>
  </si>
  <si>
    <t>Arlington, WA: Arlington Municipal</t>
  </si>
  <si>
    <t>VWP</t>
  </si>
  <si>
    <t>Bernard, ID: Bernard Usfs</t>
  </si>
  <si>
    <t>VWQ</t>
  </si>
  <si>
    <t>Lodi, CA: Kingdon Airpark</t>
  </si>
  <si>
    <t>VWR</t>
  </si>
  <si>
    <t>Independence, CA: Independence Airport</t>
  </si>
  <si>
    <t>VWS</t>
  </si>
  <si>
    <t>Wichita, KS: Colonel James Jabara</t>
  </si>
  <si>
    <t>VWT</t>
  </si>
  <si>
    <t>Americus, GA: Jimmy Carter Regional</t>
  </si>
  <si>
    <t>VWW</t>
  </si>
  <si>
    <t>Deer Lodge, MT: Deer Lodge-City-County</t>
  </si>
  <si>
    <t>VWX</t>
  </si>
  <si>
    <t>Hondo, TX: South Texas Regional at Hondo</t>
  </si>
  <si>
    <t>VWY</t>
  </si>
  <si>
    <t>Landsberg Am Lech, Germany: Landsberg-Lech</t>
  </si>
  <si>
    <t>VWZ</t>
  </si>
  <si>
    <t>Granite Creek Mine, AK: Granite Creek Mine Airport</t>
  </si>
  <si>
    <t>VXE</t>
  </si>
  <si>
    <t>Sao Vicente, Cape Verde: Sao Pedro International</t>
  </si>
  <si>
    <t>VXO</t>
  </si>
  <si>
    <t>Vaxjo, Sweden: Smaland</t>
  </si>
  <si>
    <t>VYD</t>
  </si>
  <si>
    <t>Vryheid, South Africa: Vryheid Airport</t>
  </si>
  <si>
    <t>VYS</t>
  </si>
  <si>
    <t>Peru, IL: Illinois Valley Regional</t>
  </si>
  <si>
    <t>VZA</t>
  </si>
  <si>
    <t>Marvel Creek Mine, AK: Marvel Creek Mine Airport</t>
  </si>
  <si>
    <t>VZB</t>
  </si>
  <si>
    <t>Mitrofania, AK: Mitrofania Airport</t>
  </si>
  <si>
    <t>VZC</t>
  </si>
  <si>
    <t>Mush Bay, AK: Mush Bay Airport</t>
  </si>
  <si>
    <t>VZD</t>
  </si>
  <si>
    <t>Campbell Lagoon, AK: Campbell Lagoon Airport</t>
  </si>
  <si>
    <t>VZE</t>
  </si>
  <si>
    <t>Frazer Lake, AK: Frazer Lake Airport</t>
  </si>
  <si>
    <t>VZF</t>
  </si>
  <si>
    <t>Afognak Straits, AK: Afognak Straits Airport</t>
  </si>
  <si>
    <t>VZG</t>
  </si>
  <si>
    <t>Moffet Bay, AK: Moffet Bay Airport</t>
  </si>
  <si>
    <t>VZH</t>
  </si>
  <si>
    <t>Mineola, TX: Mineola Wisener Field</t>
  </si>
  <si>
    <t>VZI</t>
  </si>
  <si>
    <t>Brundidge, AL: Brundidge Municipal</t>
  </si>
  <si>
    <t>VZJ</t>
  </si>
  <si>
    <t>Payette, ID: Payette Municipal</t>
  </si>
  <si>
    <t>VZK</t>
  </si>
  <si>
    <t>VZL</t>
  </si>
  <si>
    <t>Los Alamitos, CA: Los Alamitos AAF</t>
  </si>
  <si>
    <t>VZM</t>
  </si>
  <si>
    <t>Jensens Strip, AK: Jensens Strip Airport</t>
  </si>
  <si>
    <t>VZN</t>
  </si>
  <si>
    <t>Wildman Creek, AK: Wildman Creek Airport</t>
  </si>
  <si>
    <t>VZO</t>
  </si>
  <si>
    <t>Stepovak, AK: Stepovak Airport</t>
  </si>
  <si>
    <t>VZQ</t>
  </si>
  <si>
    <t>Puale Bay, AK: Puale Bay Airport</t>
  </si>
  <si>
    <t>VZR</t>
  </si>
  <si>
    <t>Katmai Bay, AK: Katmai Bay Airport</t>
  </si>
  <si>
    <t>VZS</t>
  </si>
  <si>
    <t>Kashvik Bay, AK: Kashvik Bay Airport</t>
  </si>
  <si>
    <t>VZT</t>
  </si>
  <si>
    <t>Cinder Mountain, AK: Cinder Mountain Airport</t>
  </si>
  <si>
    <t>VZU</t>
  </si>
  <si>
    <t>Hagemeister Island, AK: Hagemeister Island Airport</t>
  </si>
  <si>
    <t>VZV</t>
  </si>
  <si>
    <t>Cape Peirce, AK: Cape Peirce Airport</t>
  </si>
  <si>
    <t>VZW</t>
  </si>
  <si>
    <t>Cape Greig, AK: Cape Greig Airport</t>
  </si>
  <si>
    <t>VZX</t>
  </si>
  <si>
    <t>Kasba Lake, Canada: Kasba Lake Airport</t>
  </si>
  <si>
    <t>VZY</t>
  </si>
  <si>
    <t>Katmai Lodge, AK: Katmai Lodge Airport</t>
  </si>
  <si>
    <t>VZZ</t>
  </si>
  <si>
    <t>South St. Paul, MN: South St. Paul Municipal-Richard E. Fleming Field</t>
  </si>
  <si>
    <t>WA1</t>
  </si>
  <si>
    <t>Camp Orkila Eastsound, WA: Camp Orkila Seaplane Base</t>
  </si>
  <si>
    <t>WA2</t>
  </si>
  <si>
    <t>Mansfield, WA: Mansfield Airport</t>
  </si>
  <si>
    <t>WA3</t>
  </si>
  <si>
    <t>Shaw Island, WA: Shaw Islands Water Aerodrome</t>
  </si>
  <si>
    <t>WA4</t>
  </si>
  <si>
    <t>Medical Lake, WA: Isaacson</t>
  </si>
  <si>
    <t>WA5</t>
  </si>
  <si>
    <t>Winthrop, WA: Methow Valley State</t>
  </si>
  <si>
    <t>WA6</t>
  </si>
  <si>
    <t>Stehekin, WA: Stehekin Seaplane Landing</t>
  </si>
  <si>
    <t>WA7</t>
  </si>
  <si>
    <t>Chelan, WA: Chelan Seaplane Landing</t>
  </si>
  <si>
    <t>WA8</t>
  </si>
  <si>
    <t>Eastsound, WA: Waldron Airstrip</t>
  </si>
  <si>
    <t>WA9</t>
  </si>
  <si>
    <t>Brewster, WA: Anderson Field</t>
  </si>
  <si>
    <t>WAA</t>
  </si>
  <si>
    <t>Wales, AK: Wales Airport</t>
  </si>
  <si>
    <t>WAB</t>
  </si>
  <si>
    <t>Wabag, Papua New Guinea: Wabag Airport</t>
  </si>
  <si>
    <t>WAD</t>
  </si>
  <si>
    <t>Andriamena, Madagascar: Andriamena Airport</t>
  </si>
  <si>
    <t>WAG</t>
  </si>
  <si>
    <t>Wanganui, New Zealand: Whanganui</t>
  </si>
  <si>
    <t>WAL</t>
  </si>
  <si>
    <t>Chincoteague, VA: Wallops Flight Facility</t>
  </si>
  <si>
    <t>WAR</t>
  </si>
  <si>
    <t>Warsaw, IN: Warsaw Municipal</t>
  </si>
  <si>
    <t>WAS</t>
  </si>
  <si>
    <t>Washington, DC: Washington DC Metropolitan Area</t>
  </si>
  <si>
    <t>WAT</t>
  </si>
  <si>
    <t>Waterford, Ireland: Waterford Airport</t>
  </si>
  <si>
    <t>WAV</t>
  </si>
  <si>
    <t>Wave Hill, Australia: Wave Hill Old</t>
  </si>
  <si>
    <t>WAW</t>
  </si>
  <si>
    <t>Warsaw, Poland: Warsaw Chopin</t>
  </si>
  <si>
    <t>WAX</t>
  </si>
  <si>
    <t>WBA</t>
  </si>
  <si>
    <t>Wahai, Indonesia: Wahai Airport</t>
  </si>
  <si>
    <t>WBB</t>
  </si>
  <si>
    <t>Stebbins, AK: Stebbins Airport</t>
  </si>
  <si>
    <t>WBH</t>
  </si>
  <si>
    <t>Commerce/Montebello, CA: Commerce/Montebello Heliport</t>
  </si>
  <si>
    <t>WBM</t>
  </si>
  <si>
    <t>Wapenamanda, Papua New Guinea: Wapenamanda Airport</t>
  </si>
  <si>
    <t>WBN</t>
  </si>
  <si>
    <t>Woburn, MA: Woburn Airport</t>
  </si>
  <si>
    <t>WBQ</t>
  </si>
  <si>
    <t>Beaver, AK: Beaver Airport</t>
  </si>
  <si>
    <t>WBR</t>
  </si>
  <si>
    <t>Big Rapids, MI: Roben-Hood</t>
  </si>
  <si>
    <t>WBS</t>
  </si>
  <si>
    <t>Bennettsville, SC: Bennettsville Airport</t>
  </si>
  <si>
    <t>WBY</t>
  </si>
  <si>
    <t>Downtown, CA: Downtown Airport</t>
  </si>
  <si>
    <t>WCA</t>
  </si>
  <si>
    <t>Castro, Chile: Gamboa</t>
  </si>
  <si>
    <t>WCL</t>
  </si>
  <si>
    <t>Whalers Cove Lodge, AK: Whalers Cove Lodge Airport</t>
  </si>
  <si>
    <t>WCR</t>
  </si>
  <si>
    <t>Chandalar, AK: Chandalar Lake</t>
  </si>
  <si>
    <t>WDB</t>
  </si>
  <si>
    <t>Wide Bay, AK: Wide Bay Airport</t>
  </si>
  <si>
    <t>WDG</t>
  </si>
  <si>
    <t>Enid, OK: Enid Woodring Regional</t>
  </si>
  <si>
    <t>WDH</t>
  </si>
  <si>
    <t>Windhoek, Namibia: Hosea Kutako International</t>
  </si>
  <si>
    <t>WDR</t>
  </si>
  <si>
    <t>Winder, GA: Barrow County</t>
  </si>
  <si>
    <t>WEH</t>
  </si>
  <si>
    <t>Dashuipo, China: Dashuipo Airport</t>
  </si>
  <si>
    <t>WEI</t>
  </si>
  <si>
    <t>Weipa, Australia: Weipa Airport</t>
  </si>
  <si>
    <t>WEL</t>
  </si>
  <si>
    <t>Welkom, South Africa: Welkom Airport</t>
  </si>
  <si>
    <t>WFB</t>
  </si>
  <si>
    <t>Ketchikan, AK: Ketchikan Waterfront Seaplane Base</t>
  </si>
  <si>
    <t>WFD</t>
  </si>
  <si>
    <t>Woodford, United Kingdom: Manchester Woodford</t>
  </si>
  <si>
    <t>WFK</t>
  </si>
  <si>
    <t>Frenchville, ME: Northern Aroostook Regional</t>
  </si>
  <si>
    <t>WGA</t>
  </si>
  <si>
    <t>Wagga Wagga, Australia: Wagga Wagga Airport</t>
  </si>
  <si>
    <t>WGE</t>
  </si>
  <si>
    <t>Walgett, Australia: Walgett Airport</t>
  </si>
  <si>
    <t>WGG</t>
  </si>
  <si>
    <t>Bahia Tortugas, Mexico: Bahia Tortugas Airport</t>
  </si>
  <si>
    <t>WGL</t>
  </si>
  <si>
    <t>Isle Baltra, Ecuador: Isle Baltra Off-Line Point</t>
  </si>
  <si>
    <t>WGO</t>
  </si>
  <si>
    <t>Winchester, VA: Winchester Regional</t>
  </si>
  <si>
    <t>WGP</t>
  </si>
  <si>
    <t>Waingapu, Indonesia: Mau Hau</t>
  </si>
  <si>
    <t>WHD</t>
  </si>
  <si>
    <t>Hyder, AK: Hyder Seaplane Base</t>
  </si>
  <si>
    <t>WHK</t>
  </si>
  <si>
    <t>Whakatane, New Zealand: Whakatane Airport</t>
  </si>
  <si>
    <t>WHO</t>
  </si>
  <si>
    <t>Franz Josef, New Zealand: Franz Josef Airport</t>
  </si>
  <si>
    <t>WHP</t>
  </si>
  <si>
    <t>Los Angeles, CA: Whiteman</t>
  </si>
  <si>
    <t>WHR</t>
  </si>
  <si>
    <t>Eagle, CO: Vail/Avon</t>
  </si>
  <si>
    <t>WHT</t>
  </si>
  <si>
    <t>Wharton, TX: Wharton Regional</t>
  </si>
  <si>
    <t>WI1</t>
  </si>
  <si>
    <t>Black River Falls, WI: Black River Falls Area</t>
  </si>
  <si>
    <t>WI2</t>
  </si>
  <si>
    <t>Phillips, WI: Price County</t>
  </si>
  <si>
    <t>WI3</t>
  </si>
  <si>
    <t>Ehpriam, WI: Ephraim Gibralter</t>
  </si>
  <si>
    <t>WI4</t>
  </si>
  <si>
    <t>Middleton, WI: Middleton Municipal Morey Field</t>
  </si>
  <si>
    <t>WI5</t>
  </si>
  <si>
    <t>Moroe, WI: Monroe Municipal</t>
  </si>
  <si>
    <t>WI6</t>
  </si>
  <si>
    <t>Waupaca, WI: Waupaca Municipal</t>
  </si>
  <si>
    <t>WIB</t>
  </si>
  <si>
    <t>Wilbur, WA: Wilbur Airport</t>
  </si>
  <si>
    <t>WIC</t>
  </si>
  <si>
    <t>Wick, United Kingdom: Wick Airport</t>
  </si>
  <si>
    <t>WIL</t>
  </si>
  <si>
    <t>Nairobi, Kenya: Nairobi/Wilson</t>
  </si>
  <si>
    <t>WIN</t>
  </si>
  <si>
    <t>Winton, Australia: Winton Airport</t>
  </si>
  <si>
    <t>WJA</t>
  </si>
  <si>
    <t>Woja, Marshall Islands: Woja Airport</t>
  </si>
  <si>
    <t>WJF</t>
  </si>
  <si>
    <t>Lancaster, CA: General William J. Fox Airfield</t>
  </si>
  <si>
    <t>WJR</t>
  </si>
  <si>
    <t>Wajir, Kenya: Wajir Airport</t>
  </si>
  <si>
    <t>WKA</t>
  </si>
  <si>
    <t>Wanaka, New Zealand: Wanaka Airport</t>
  </si>
  <si>
    <t>WKJ</t>
  </si>
  <si>
    <t>Wakkanai, Japan: Wakkanai Airport</t>
  </si>
  <si>
    <t>WKK</t>
  </si>
  <si>
    <t>Aleknagik, AK: Aleknagik New</t>
  </si>
  <si>
    <t>WKL</t>
  </si>
  <si>
    <t>Waikoloa Village, HI: Waikoloa Heliport</t>
  </si>
  <si>
    <t>WKM</t>
  </si>
  <si>
    <t>Wankie, Rhodesia: Wankie Town</t>
  </si>
  <si>
    <t>WKN</t>
  </si>
  <si>
    <t>Wakunai, Papua New Guinea: Wakunai Airport</t>
  </si>
  <si>
    <t>WKR</t>
  </si>
  <si>
    <t>Walker's Cay, The Bahamas: Walker's</t>
  </si>
  <si>
    <t>WKV</t>
  </si>
  <si>
    <t>Philadelphia, PA: Penns Landing Seaplane Base</t>
  </si>
  <si>
    <t>WLB</t>
  </si>
  <si>
    <t>Labouchere Bay, AK: Labouchere Bay Airport</t>
  </si>
  <si>
    <t>WLD</t>
  </si>
  <si>
    <t>Winfield, KS: Strother Field</t>
  </si>
  <si>
    <t>WLG</t>
  </si>
  <si>
    <t>Wellington, New Zealand: Wellington International</t>
  </si>
  <si>
    <t>WLH</t>
  </si>
  <si>
    <t>Walaha, Vanuatu: Walaha Airport</t>
  </si>
  <si>
    <t>WLK</t>
  </si>
  <si>
    <t>Selawik, AK: Selawik Airport</t>
  </si>
  <si>
    <t>WLM</t>
  </si>
  <si>
    <t>Waltham, MA: Waltham Hospital Heliport</t>
  </si>
  <si>
    <t>WLR</t>
  </si>
  <si>
    <t>WLS</t>
  </si>
  <si>
    <t>Wallis Island, Wallis and Futuna: Wallis Hihifo</t>
  </si>
  <si>
    <t>WLW</t>
  </si>
  <si>
    <t>Willows, CA: Willows Glenn County</t>
  </si>
  <si>
    <t>WMB</t>
  </si>
  <si>
    <t>Warrnambool, Australia: Warrnambool Airport</t>
  </si>
  <si>
    <t>WMC</t>
  </si>
  <si>
    <t>Winnemucca, NV: Winnemucca Municipal</t>
  </si>
  <si>
    <t>WMH</t>
  </si>
  <si>
    <t>Mountain Home, AR: Baxter County</t>
  </si>
  <si>
    <t>WMI</t>
  </si>
  <si>
    <t>Nowy Dwor Mazowieckie, Poland: Modlin</t>
  </si>
  <si>
    <t>WMK</t>
  </si>
  <si>
    <t>Meyers Chuck, AK: Meyers Chuck Seaplane Base</t>
  </si>
  <si>
    <t>WMO</t>
  </si>
  <si>
    <t>White Mountain, AK: White Mountain Airport</t>
  </si>
  <si>
    <t>WMR</t>
  </si>
  <si>
    <t>Mananara, Madagascar: Avaratra</t>
  </si>
  <si>
    <t>WNA</t>
  </si>
  <si>
    <t>Napakiak, AK: Napakiak Airport</t>
  </si>
  <si>
    <t>WNC</t>
  </si>
  <si>
    <t>Tuxekan Island, AK: Naukati Bay Seaplane Base</t>
  </si>
  <si>
    <t>WNN</t>
  </si>
  <si>
    <t>Wunnumin Lake, Canada: Wunnumin Lake Airport</t>
  </si>
  <si>
    <t>WNP</t>
  </si>
  <si>
    <t>Naga, Philippines: Naga Airport</t>
  </si>
  <si>
    <t>WNR</t>
  </si>
  <si>
    <t>Windorah, Australia: Windorah Airport</t>
  </si>
  <si>
    <t>WNS</t>
  </si>
  <si>
    <t>Nawab Shah, Pakistan: Nawabshah</t>
  </si>
  <si>
    <t>WNY</t>
  </si>
  <si>
    <t>WNZ</t>
  </si>
  <si>
    <t>Wenzhou, China: Longwan</t>
  </si>
  <si>
    <t>WOD</t>
  </si>
  <si>
    <t>Wood River, AK: Wood River Airport</t>
  </si>
  <si>
    <t>WOW</t>
  </si>
  <si>
    <t>Willow, AK: Willow Airport</t>
  </si>
  <si>
    <t>WPM</t>
  </si>
  <si>
    <t>Wipim, Papua New Guinea: Wipim Airport</t>
  </si>
  <si>
    <t>WPO</t>
  </si>
  <si>
    <t>Paonia, CO: North Fork Valley</t>
  </si>
  <si>
    <t>WPU</t>
  </si>
  <si>
    <t>Puerto Williams, Chile: Guardiamarina Zanartu</t>
  </si>
  <si>
    <t>WQA</t>
  </si>
  <si>
    <t>Ovid, NY: Ovid Airport</t>
  </si>
  <si>
    <t>WQB</t>
  </si>
  <si>
    <t>Mandan, ND: Mandan Municipal</t>
  </si>
  <si>
    <t>WQC</t>
  </si>
  <si>
    <t>Hamilton, MT: Ravalli County</t>
  </si>
  <si>
    <t>WQD</t>
  </si>
  <si>
    <t>Tulelake, CA: Tulelake Municipal</t>
  </si>
  <si>
    <t>WQE</t>
  </si>
  <si>
    <t>Dinsmore, CA: Dinsmore Airport</t>
  </si>
  <si>
    <t>WQF</t>
  </si>
  <si>
    <t>Rigby, ID: Rigby Airport</t>
  </si>
  <si>
    <t>WQG</t>
  </si>
  <si>
    <t>Hesperia, CA: Hesperia Airport</t>
  </si>
  <si>
    <t>WQH</t>
  </si>
  <si>
    <t>Dorris, CA: Butte Valley</t>
  </si>
  <si>
    <t>WQI</t>
  </si>
  <si>
    <t>Connell, WA: Connell City</t>
  </si>
  <si>
    <t>WQJ</t>
  </si>
  <si>
    <t>Peard Bay, AK: Peard Bay Airport</t>
  </si>
  <si>
    <t>WQK</t>
  </si>
  <si>
    <t>Townsend, MT: Townsend Airport</t>
  </si>
  <si>
    <t>WQL</t>
  </si>
  <si>
    <t>Bluff, AK: Bluff Airport</t>
  </si>
  <si>
    <t>WQM</t>
  </si>
  <si>
    <t>Lake Charles, LA: Chennault Industrial Airpark</t>
  </si>
  <si>
    <t>WQN</t>
  </si>
  <si>
    <t>Campbellsville, KY: Taylor County</t>
  </si>
  <si>
    <t>WQO</t>
  </si>
  <si>
    <t>Rosamond, CA: Rosamond Skypark</t>
  </si>
  <si>
    <t>WQP</t>
  </si>
  <si>
    <t>Oceano, CA: Oceano County</t>
  </si>
  <si>
    <t>WQQ</t>
  </si>
  <si>
    <t>Fairburn, SD: Custer State Park</t>
  </si>
  <si>
    <t>WQR</t>
  </si>
  <si>
    <t>Naknek, AK: Tibbetts</t>
  </si>
  <si>
    <t>WQS</t>
  </si>
  <si>
    <t>Poplar, MT: Poplar Municipal</t>
  </si>
  <si>
    <t>WQT</t>
  </si>
  <si>
    <t>Bridger, MT: Bridger Municipal</t>
  </si>
  <si>
    <t>WQU</t>
  </si>
  <si>
    <t>Portales, NM: Portales Municipal</t>
  </si>
  <si>
    <t>WQW</t>
  </si>
  <si>
    <t>David River, AK: David River Airport</t>
  </si>
  <si>
    <t>WQX</t>
  </si>
  <si>
    <t>Kiavak, AK: Kiavak Airport</t>
  </si>
  <si>
    <t>WQY</t>
  </si>
  <si>
    <t>Port Wakefield, AK: Port Wakefield Airport</t>
  </si>
  <si>
    <t>WQZ</t>
  </si>
  <si>
    <t>Chignik Lake, AK: Chignik Lake Airport</t>
  </si>
  <si>
    <t>WRB</t>
  </si>
  <si>
    <t>Macon, GA: Robins AFB</t>
  </si>
  <si>
    <t>WRE</t>
  </si>
  <si>
    <t>Whangarei, New Zealand: Whangarei Airport</t>
  </si>
  <si>
    <t>Wrangell, AK: Wrangell Airport</t>
  </si>
  <si>
    <t>WRI</t>
  </si>
  <si>
    <t>Fort Dix, NJ: McGuire Field</t>
  </si>
  <si>
    <t>WRL</t>
  </si>
  <si>
    <t>Worland, WY: Worland Municipal</t>
  </si>
  <si>
    <t>WRO</t>
  </si>
  <si>
    <t>Wroclaw, Poland: Strachowice</t>
  </si>
  <si>
    <t>WSB</t>
  </si>
  <si>
    <t>Steamboat Bay, AK: Steamboat Bay Airport</t>
  </si>
  <si>
    <t>WSG</t>
  </si>
  <si>
    <t>Washington, PA: Washington County</t>
  </si>
  <si>
    <t>WSH</t>
  </si>
  <si>
    <t>Shirley, NY: Brookhaven</t>
  </si>
  <si>
    <t>WSI</t>
  </si>
  <si>
    <t>Wasilla, AK: Wasilla Airport</t>
  </si>
  <si>
    <t>WSJ</t>
  </si>
  <si>
    <t>San Juan, AK: San Juan Airport</t>
  </si>
  <si>
    <t>WSM</t>
  </si>
  <si>
    <t>Wiseman, AK: Wiseman Airport</t>
  </si>
  <si>
    <t>WSN</t>
  </si>
  <si>
    <t>South Naknek, AK: South Naknek 2</t>
  </si>
  <si>
    <t>WSP</t>
  </si>
  <si>
    <t>Waspam, Nicaragua: Waspam Airport</t>
  </si>
  <si>
    <t>WST</t>
  </si>
  <si>
    <t>Westerly, RI: Westerly State</t>
  </si>
  <si>
    <t>WSX</t>
  </si>
  <si>
    <t>Westsound, WA: Westsound Airport</t>
  </si>
  <si>
    <t>WSY</t>
  </si>
  <si>
    <t>Shute Harbour/Whitsunday, Australia: Whitsunday Airstrip</t>
  </si>
  <si>
    <t>WSZ</t>
  </si>
  <si>
    <t>Westport, New Zealand: Westport Airport</t>
  </si>
  <si>
    <t>WTC</t>
  </si>
  <si>
    <t>New York, NY: World Trade Center Heliport</t>
  </si>
  <si>
    <t>WTD</t>
  </si>
  <si>
    <t>West End, The Bahamas: West End Airport</t>
  </si>
  <si>
    <t>WTK</t>
  </si>
  <si>
    <t>Noatak, AK: Noatak Airport</t>
  </si>
  <si>
    <t>WTL</t>
  </si>
  <si>
    <t>Tuntutuliak, AK: Tuntutuliak Airport</t>
  </si>
  <si>
    <t>WTN</t>
  </si>
  <si>
    <t>Waddington, United Kingdom: RAF Waddington</t>
  </si>
  <si>
    <t>WTR</t>
  </si>
  <si>
    <t>Whiteriver, AZ: Whiteriver Airport</t>
  </si>
  <si>
    <t>WTS</t>
  </si>
  <si>
    <t>Tsiroanomandidy, Madagascar: Tsiroanomandidy Airport</t>
  </si>
  <si>
    <t>WTT</t>
  </si>
  <si>
    <t>Whittier, AK: Whittier Airport</t>
  </si>
  <si>
    <t>WUG</t>
  </si>
  <si>
    <t>Wau, Papua New Guinea: Wau Airport</t>
  </si>
  <si>
    <t>WUH</t>
  </si>
  <si>
    <t>Wuhan, China: Tianhe</t>
  </si>
  <si>
    <t>WUJ</t>
  </si>
  <si>
    <t>Duchesne, UT: Duchesne Municipal</t>
  </si>
  <si>
    <t>WUQ</t>
  </si>
  <si>
    <t>Ocean Shores, WA: Avco</t>
  </si>
  <si>
    <t>WUU</t>
  </si>
  <si>
    <t>Wau, South Sudan: Wau Airport</t>
  </si>
  <si>
    <t>WUX</t>
  </si>
  <si>
    <t>Wuxi, China: Shuofang</t>
  </si>
  <si>
    <t>WV1</t>
  </si>
  <si>
    <t>Charleston, WV: Mcs-Pad Heliport</t>
  </si>
  <si>
    <t>WV2</t>
  </si>
  <si>
    <t>Logan, WV: Logan County</t>
  </si>
  <si>
    <t>WVA</t>
  </si>
  <si>
    <t>Falls Church, VA: Washington-Virginia</t>
  </si>
  <si>
    <t>WVB</t>
  </si>
  <si>
    <t>Walvis Bay, Namibia: Walvis Bay Airport</t>
  </si>
  <si>
    <t>WVI</t>
  </si>
  <si>
    <t>Watsonville, CA: Watsonville Municipal</t>
  </si>
  <si>
    <t>WVK</t>
  </si>
  <si>
    <t>Manakara, Madagascar: Manakara Airport</t>
  </si>
  <si>
    <t>WVL</t>
  </si>
  <si>
    <t>Augusta/Waterville, ME: Waterville Robert Lafleur</t>
  </si>
  <si>
    <t>WWA</t>
  </si>
  <si>
    <t>WWD</t>
  </si>
  <si>
    <t>Cape May, NJ: Cape May County</t>
  </si>
  <si>
    <t>WWK</t>
  </si>
  <si>
    <t>Wewak, Papua New Guinea: Wewak Airport</t>
  </si>
  <si>
    <t>WWP</t>
  </si>
  <si>
    <t>Whale Pass, AK: Whale Pass Airport</t>
  </si>
  <si>
    <t>WWR</t>
  </si>
  <si>
    <t>Woodward, OK: West Woodward</t>
  </si>
  <si>
    <t>WWT</t>
  </si>
  <si>
    <t>Newtok, AK: Newtok Airport</t>
  </si>
  <si>
    <t>WY1</t>
  </si>
  <si>
    <t>Pinedale, WY: Ralph Wenz Field</t>
  </si>
  <si>
    <t>WYA</t>
  </si>
  <si>
    <t>Whyalla, Australia: Whyalla Airport</t>
  </si>
  <si>
    <t>WYB</t>
  </si>
  <si>
    <t>Yes Bay, AK: Yes Bay Lodge Seaplane Base</t>
  </si>
  <si>
    <t>WYE</t>
  </si>
  <si>
    <t>Yengema, Sierra Leone: Yengema Airport</t>
  </si>
  <si>
    <t>WYN</t>
  </si>
  <si>
    <t>Wyndham, Australia: Wyndham Airport</t>
  </si>
  <si>
    <t>West Yellowstone, MT: Yellowstone</t>
  </si>
  <si>
    <t>WZY</t>
  </si>
  <si>
    <t>Nassau, The Bahamas: Nassau Seaplane Base</t>
  </si>
  <si>
    <t>XAL</t>
  </si>
  <si>
    <t>Alamos, Mexico: Alamos Airport</t>
  </si>
  <si>
    <t>XAP</t>
  </si>
  <si>
    <t>Chapeco, Brazil: Serafin Enoss Bertaso</t>
  </si>
  <si>
    <t>XBE</t>
  </si>
  <si>
    <t>Bearskin Lake, Canada: Bearskin Lake Airport</t>
  </si>
  <si>
    <t>XBR</t>
  </si>
  <si>
    <t>Brockville, Canada: Brockville Regional Tackaberry</t>
  </si>
  <si>
    <t>XCH</t>
  </si>
  <si>
    <t>Christmas Island, Christmas Island: Christmas Island Airport</t>
  </si>
  <si>
    <t>XCL</t>
  </si>
  <si>
    <t>Cluff Lake, Canada: Cluff Lake Airport</t>
  </si>
  <si>
    <t>XCM</t>
  </si>
  <si>
    <t>Chatham Kent, Canada: Chatham-Kent</t>
  </si>
  <si>
    <t>XCR</t>
  </si>
  <si>
    <t>Chalons-En-Champagne, France: Chalons Vatry</t>
  </si>
  <si>
    <t>XES</t>
  </si>
  <si>
    <t>Lake Geneva, WI: Americana</t>
  </si>
  <si>
    <t>XIC</t>
  </si>
  <si>
    <t>Xichang, China: Qingshan</t>
  </si>
  <si>
    <t>XIY</t>
  </si>
  <si>
    <t>Xi'an, China: Xianyang</t>
  </si>
  <si>
    <t>XJD</t>
  </si>
  <si>
    <t>XLS</t>
  </si>
  <si>
    <t>St. Louis, Senegal: Saint Louis</t>
  </si>
  <si>
    <t>XLW</t>
  </si>
  <si>
    <t>Lemwerder, Germany: Lemwerder Airport</t>
  </si>
  <si>
    <t>XMD</t>
  </si>
  <si>
    <t>Madison, SD: Madison Municipal</t>
  </si>
  <si>
    <t>XMH</t>
  </si>
  <si>
    <t>Manihi, French Polynesia: Manihi Airport</t>
  </si>
  <si>
    <t>XMJ</t>
  </si>
  <si>
    <t>Mont de Marsan, France: Mont de Marsan Airport</t>
  </si>
  <si>
    <t>XMN</t>
  </si>
  <si>
    <t>Xiamen, China: Gaoqi</t>
  </si>
  <si>
    <t>XMR</t>
  </si>
  <si>
    <t>Marmande, France: Marmande Virazeil</t>
  </si>
  <si>
    <t>Fayetteville, AR: Northwest Arkansas Regional</t>
  </si>
  <si>
    <t>XNG</t>
  </si>
  <si>
    <t>Quang Ngai, Vietnam: Quang Ngai Airport</t>
  </si>
  <si>
    <t>XNN</t>
  </si>
  <si>
    <t>Xining, China: Xining Airport</t>
  </si>
  <si>
    <t>XPL</t>
  </si>
  <si>
    <t>Comayagua, Honduras: Palmerola Air Base</t>
  </si>
  <si>
    <t>XQC</t>
  </si>
  <si>
    <t>Al Bakr, Iraq: Joint Base Balad</t>
  </si>
  <si>
    <t>XQP</t>
  </si>
  <si>
    <t>Quepos, Costa Rica: Quepos Airport</t>
  </si>
  <si>
    <t>XRH</t>
  </si>
  <si>
    <t>Richmond, Australia: Richmond AFB</t>
  </si>
  <si>
    <t>XRS</t>
  </si>
  <si>
    <t>Reston, VA: Reston Airport</t>
  </si>
  <si>
    <t>XRY</t>
  </si>
  <si>
    <t>Jerez de la Frontera, Spain: Jerez</t>
  </si>
  <si>
    <t>XSC</t>
  </si>
  <si>
    <t>South Caicos, Turks and Caicos Islands: South Caicos International</t>
  </si>
  <si>
    <t>XSD</t>
  </si>
  <si>
    <t>Tonopah, NV: Tonopah Test Range</t>
  </si>
  <si>
    <t>XSM</t>
  </si>
  <si>
    <t>Leonardtown, MD: St. Mary's County Regional</t>
  </si>
  <si>
    <t>XSP</t>
  </si>
  <si>
    <t>Seletar, Singapore: Seletar Airport</t>
  </si>
  <si>
    <t>XT1</t>
  </si>
  <si>
    <t>New Braunfels, TX: New Braunfels Regional</t>
  </si>
  <si>
    <t>XT2</t>
  </si>
  <si>
    <t>Bridgeport, TX: Bridgeport Municipal</t>
  </si>
  <si>
    <t>XT3</t>
  </si>
  <si>
    <t>Granbury, TX: Granbury Regional</t>
  </si>
  <si>
    <t>XUZ</t>
  </si>
  <si>
    <t>Xuzhou, China: Xuzhou Airport</t>
  </si>
  <si>
    <t>Williston, ND: Williston Basin International</t>
  </si>
  <si>
    <t>XWC</t>
  </si>
  <si>
    <t>Yantarni Bay, AK: Yantarni Bay Airport</t>
  </si>
  <si>
    <t>XWD</t>
  </si>
  <si>
    <t>XWE</t>
  </si>
  <si>
    <t>Copalis, WA: Copalis State</t>
  </si>
  <si>
    <t>XWF</t>
  </si>
  <si>
    <t>Jerome, ID: Jerome County</t>
  </si>
  <si>
    <t>XWG</t>
  </si>
  <si>
    <t>King Khalid Military City, Saudi Arabia: King Khalid Military City Airport</t>
  </si>
  <si>
    <t>XWH</t>
  </si>
  <si>
    <t>Aztec, NM: Aztec Municipal</t>
  </si>
  <si>
    <t>XWJ</t>
  </si>
  <si>
    <t>Dexter, ME: Dexter Regional</t>
  </si>
  <si>
    <t>XWK</t>
  </si>
  <si>
    <t>Port Orchard, WA: Port Orchard Airport</t>
  </si>
  <si>
    <t>XWL</t>
  </si>
  <si>
    <t>Blackfoot, ID: McCarley Field</t>
  </si>
  <si>
    <t>XWM</t>
  </si>
  <si>
    <t>Riyadh, Saudi Arabia: Riyadh Military</t>
  </si>
  <si>
    <t>XWN</t>
  </si>
  <si>
    <t>Jupiter, FL: William P Gwinn</t>
  </si>
  <si>
    <t>XWO</t>
  </si>
  <si>
    <t>Kimball, NE: Kimball Municipal/Robert E. Arraj Field</t>
  </si>
  <si>
    <t>XWP</t>
  </si>
  <si>
    <t>Al Kharj, Saudi Arabia: Al Kharj Air Base</t>
  </si>
  <si>
    <t>XWQ</t>
  </si>
  <si>
    <t>XWS</t>
  </si>
  <si>
    <t>Oliktok, AK: Oliktok LRRS</t>
  </si>
  <si>
    <t>XWT</t>
  </si>
  <si>
    <t>Nushagak Bay, AK: Nushagak Bay Airport</t>
  </si>
  <si>
    <t>XWU</t>
  </si>
  <si>
    <t>Marion, AL: Perry County</t>
  </si>
  <si>
    <t>XWW</t>
  </si>
  <si>
    <t>Driggs, ID: Teton Peaks</t>
  </si>
  <si>
    <t>XWX</t>
  </si>
  <si>
    <t>XXB</t>
  </si>
  <si>
    <t>Woodford, United Kingdom: Woodford Aerodrome</t>
  </si>
  <si>
    <t>XXD</t>
  </si>
  <si>
    <t>Clarendon, TX: Smiley Johnson Municipal/Bass Field</t>
  </si>
  <si>
    <t>XXE</t>
  </si>
  <si>
    <t>Lakewood, NJ: Lakewood Airport</t>
  </si>
  <si>
    <t>XXG</t>
  </si>
  <si>
    <t>Cambridge, MA: Arthur D. Little Heliport</t>
  </si>
  <si>
    <t>XXJ</t>
  </si>
  <si>
    <t>XXN</t>
  </si>
  <si>
    <t>Willits, CA: Ells Field-Willits Municipal</t>
  </si>
  <si>
    <t>XXO</t>
  </si>
  <si>
    <t>Hurricane, UT: General Dick Stout Field</t>
  </si>
  <si>
    <t>XXP</t>
  </si>
  <si>
    <t>Lakeport, CA: Lampson Field</t>
  </si>
  <si>
    <t>XXR</t>
  </si>
  <si>
    <t>Mariposa, CA: Mariposa-Yosemite</t>
  </si>
  <si>
    <t>XXS</t>
  </si>
  <si>
    <t>Creswell, OR: Hobby Field</t>
  </si>
  <si>
    <t>XXT</t>
  </si>
  <si>
    <t>Polson, MT: Polson Airport</t>
  </si>
  <si>
    <t>XXU</t>
  </si>
  <si>
    <t>Ashland, OR: Ashland Municipal-Sumner Parker Field</t>
  </si>
  <si>
    <t>XXV</t>
  </si>
  <si>
    <t>Decatur, WA: Decatur Shores</t>
  </si>
  <si>
    <t>XXW</t>
  </si>
  <si>
    <t>XXX</t>
  </si>
  <si>
    <t>Mena, AR: Mena Intermountain Municipal</t>
  </si>
  <si>
    <t>XXY</t>
  </si>
  <si>
    <t>Fortuna, CA: Rohnerville</t>
  </si>
  <si>
    <t>XXZ</t>
  </si>
  <si>
    <t>Zuni Pueblo, NM: Black Rock</t>
  </si>
  <si>
    <t>XYA</t>
  </si>
  <si>
    <t>Yandina, Solomon Islands: Yandina Airport</t>
  </si>
  <si>
    <t>YAA</t>
  </si>
  <si>
    <t>Anahim Lake, Canada: Anahim Lake Airport</t>
  </si>
  <si>
    <t>YAC</t>
  </si>
  <si>
    <t>Cat Lake, Canada: Cat Lake Airport</t>
  </si>
  <si>
    <t>YAF</t>
  </si>
  <si>
    <t>Asbestos Hill, Canada: Asbestos</t>
  </si>
  <si>
    <t>YAG</t>
  </si>
  <si>
    <t>Fort Frances, Canada: Fort Frances Municipal</t>
  </si>
  <si>
    <t>YAH</t>
  </si>
  <si>
    <t>La Grande 4, Canada: La Grande 4 Airport</t>
  </si>
  <si>
    <t>Yakutat, AK: Yakutat Airport</t>
  </si>
  <si>
    <t>YAM</t>
  </si>
  <si>
    <t>Sault Ste. Marie, Canada: Sault Ste. Marie Airport</t>
  </si>
  <si>
    <t>YAO</t>
  </si>
  <si>
    <t>Yaounde, Cameroon: Yaounde Ville</t>
  </si>
  <si>
    <t>YAP</t>
  </si>
  <si>
    <t>Yap, Federated States of Micronesia: Yap International</t>
  </si>
  <si>
    <t>YAT</t>
  </si>
  <si>
    <t>Attawapiskat, Canada: Attawapiskat Airport</t>
  </si>
  <si>
    <t>YAU</t>
  </si>
  <si>
    <t>Kattiniq, Canada: Kattiniq Donaldson</t>
  </si>
  <si>
    <t>YAV</t>
  </si>
  <si>
    <t>Miners Bay, Canada: Miners Bay Airport</t>
  </si>
  <si>
    <t>YAY</t>
  </si>
  <si>
    <t>St. Anthony, Canada: St. Anthony Airport</t>
  </si>
  <si>
    <t>YAZ</t>
  </si>
  <si>
    <t>Tofino, Canada: Long Beach</t>
  </si>
  <si>
    <t>YBA</t>
  </si>
  <si>
    <t>Banff, Canada: Banff Airport</t>
  </si>
  <si>
    <t>YBB</t>
  </si>
  <si>
    <t>Kugaaruk, Canada: Kugaaruk Airport</t>
  </si>
  <si>
    <t>YBC</t>
  </si>
  <si>
    <t>Baie Comeau, Canada: Baie Comeau Airport</t>
  </si>
  <si>
    <t>YBE</t>
  </si>
  <si>
    <t>Uranium City, Canada: Uranium City Airport</t>
  </si>
  <si>
    <t>YBG</t>
  </si>
  <si>
    <t>Saguenay, Canada: Bagotville</t>
  </si>
  <si>
    <t>YBJ</t>
  </si>
  <si>
    <t>Baie Johan Beetz, Canada: Baie Johan Beetz Airport</t>
  </si>
  <si>
    <t>YBK</t>
  </si>
  <si>
    <t>Baker Lake, Canada: Baker Lake Airport</t>
  </si>
  <si>
    <t>YBL</t>
  </si>
  <si>
    <t>Campbell River, Canada: Campbell River Airport</t>
  </si>
  <si>
    <t>YBM</t>
  </si>
  <si>
    <t>Bronson Creek, Canada: Bronson Creek Airport</t>
  </si>
  <si>
    <t>YBQ</t>
  </si>
  <si>
    <t>Telegraph Harbour, Canada: Telegraph Harbour Airport</t>
  </si>
  <si>
    <t>YBR</t>
  </si>
  <si>
    <t>Brandon, Canada: Brandon Municipal</t>
  </si>
  <si>
    <t>YBS</t>
  </si>
  <si>
    <t>Opapimiskan Lake, Canada: Opapimiskan Lake Airport</t>
  </si>
  <si>
    <t>YBT</t>
  </si>
  <si>
    <t>Brochet, Canada: Brochet Airport</t>
  </si>
  <si>
    <t>YBV</t>
  </si>
  <si>
    <t>Berens River, Canada: Berens River Airport</t>
  </si>
  <si>
    <t>YBW</t>
  </si>
  <si>
    <t>Bedwell Harbour, Canada: Bedwell Harbour Water Aerodrome</t>
  </si>
  <si>
    <t>YBX</t>
  </si>
  <si>
    <t>Blanc Sablon, Canada: Blanc Sablon Airport</t>
  </si>
  <si>
    <t>YCB</t>
  </si>
  <si>
    <t>Cambridge Bay, Canada: Cambridge Bay Airport</t>
  </si>
  <si>
    <t>YCC</t>
  </si>
  <si>
    <t>Cornwall, Canada: Cornwall Regional</t>
  </si>
  <si>
    <t>YCD</t>
  </si>
  <si>
    <t>Nanaimo, Canada: Nanaimo Airport</t>
  </si>
  <si>
    <t>YCE</t>
  </si>
  <si>
    <t>Centralia, Canada: James T. Field Memorial</t>
  </si>
  <si>
    <t>YCF</t>
  </si>
  <si>
    <t>Cortes Bay, Canada: Cortes Bay Airport</t>
  </si>
  <si>
    <t>YCG</t>
  </si>
  <si>
    <t>Castlegar/Nelson/Trail, Canada: Castlegar West Kootenay Regional</t>
  </si>
  <si>
    <t>YCH</t>
  </si>
  <si>
    <t>Miramichi, Canada: Miramichi Airport</t>
  </si>
  <si>
    <t>YCJ</t>
  </si>
  <si>
    <t>Cape Saint James, Canada: Cape Saint James Airport</t>
  </si>
  <si>
    <t>YCK</t>
  </si>
  <si>
    <t>Colville Lake, Canada: Colville Lake Tommy Kochon</t>
  </si>
  <si>
    <t>YCL</t>
  </si>
  <si>
    <t>Charlo, Canada: Charlo Airport</t>
  </si>
  <si>
    <t>YCM</t>
  </si>
  <si>
    <t>St. Catharines, Canada: Niagara District</t>
  </si>
  <si>
    <t>YCN</t>
  </si>
  <si>
    <t>Cochrane, Canada: Cochrane Airport</t>
  </si>
  <si>
    <t>YCO</t>
  </si>
  <si>
    <t>Kugluktuk/Coppermine, Canada: Kugluktuk</t>
  </si>
  <si>
    <t>YCR</t>
  </si>
  <si>
    <t>Cross Lake, Canada: Cross Lake Airport</t>
  </si>
  <si>
    <t>YCS</t>
  </si>
  <si>
    <t>Chesterfield Inlet, Canada: Chesterfield Inlet Airport</t>
  </si>
  <si>
    <t>YCY</t>
  </si>
  <si>
    <t>Clyde River, Canada: Clyde River Airport</t>
  </si>
  <si>
    <t>YDA</t>
  </si>
  <si>
    <t>Dawson City, Canada: Dawson City Airport</t>
  </si>
  <si>
    <t>YDB</t>
  </si>
  <si>
    <t>Burwash Landings, Canada: Burwash</t>
  </si>
  <si>
    <t>YDF</t>
  </si>
  <si>
    <t>Deer Lake, Canada: Deer Lake Airport</t>
  </si>
  <si>
    <t>YDL</t>
  </si>
  <si>
    <t>Dease Lake, Canada: Dease Lake Airport</t>
  </si>
  <si>
    <t>YDN</t>
  </si>
  <si>
    <t>Dauphin, Canada: Dauphin Barker</t>
  </si>
  <si>
    <t>YDP</t>
  </si>
  <si>
    <t>Nain, Canada: Nain Airport</t>
  </si>
  <si>
    <t>YDQ</t>
  </si>
  <si>
    <t>Dawson Creek, Canada: Dawson Creek Airport</t>
  </si>
  <si>
    <t>YDS</t>
  </si>
  <si>
    <t>Desolation Sound, Canada: Desolation Sound Marine Park</t>
  </si>
  <si>
    <t>YDU</t>
  </si>
  <si>
    <t>YEA</t>
  </si>
  <si>
    <t>Edmonton, Canada: Edmonton Metropolitan Area</t>
  </si>
  <si>
    <t>YEC</t>
  </si>
  <si>
    <t>Yecheon, South Korea: Yecheon Airport</t>
  </si>
  <si>
    <t>YED</t>
  </si>
  <si>
    <t>Edmonton, Canada: Edmonton Namao Heliport</t>
  </si>
  <si>
    <t>YEG</t>
  </si>
  <si>
    <t>Edmonton, Canada: Edmonton International</t>
  </si>
  <si>
    <t>YEK</t>
  </si>
  <si>
    <t>Arviat, Canada: Arviat Airport</t>
  </si>
  <si>
    <t>YEL</t>
  </si>
  <si>
    <t>Elliot Lake, Canada: Elliot Lake Municipal</t>
  </si>
  <si>
    <t>YEM</t>
  </si>
  <si>
    <t>Manitowaning, Canada: Manitoulin East Municipal</t>
  </si>
  <si>
    <t>YEO</t>
  </si>
  <si>
    <t>Yeovilton, United Kingdom: Yeovilton Airport</t>
  </si>
  <si>
    <t>YER</t>
  </si>
  <si>
    <t>Fort Severn, Canada: Fort Severn Airport</t>
  </si>
  <si>
    <t>YEU</t>
  </si>
  <si>
    <t>Eureka, Canada: Eureka Airport</t>
  </si>
  <si>
    <t>YEV</t>
  </si>
  <si>
    <t>Inuvik, Canada: Inuvik Airport</t>
  </si>
  <si>
    <t>YFB</t>
  </si>
  <si>
    <t>Iqaluit, Canada: Iqaluit Airport</t>
  </si>
  <si>
    <t>YFC</t>
  </si>
  <si>
    <t>Fredericton, Canada: Fredericton International</t>
  </si>
  <si>
    <t>YFO</t>
  </si>
  <si>
    <t>Flin Flon, Canada: Flin Flon Airport</t>
  </si>
  <si>
    <t>YFR</t>
  </si>
  <si>
    <t>Fort Resolution, Canada: Fort Resolution Airport</t>
  </si>
  <si>
    <t>YFS</t>
  </si>
  <si>
    <t>Fort Simpson, Canada: Fort Simpson Airport</t>
  </si>
  <si>
    <t>YGA</t>
  </si>
  <si>
    <t>Gagnon, Canada: Gagnon Airport</t>
  </si>
  <si>
    <t>YGB</t>
  </si>
  <si>
    <t>Gillies Bay, Canada: Texada Gillies Bay</t>
  </si>
  <si>
    <t>YGE</t>
  </si>
  <si>
    <t>Gorge Harbor, Canada: Gorge Harbor Airport</t>
  </si>
  <si>
    <t>YGG</t>
  </si>
  <si>
    <t>Ganges Harbor, Canada: Ganges Harbor Airport</t>
  </si>
  <si>
    <t>YGH</t>
  </si>
  <si>
    <t>Fort Good Hope, Canada: Fort Good Hope Ice Strip</t>
  </si>
  <si>
    <t>YGJ</t>
  </si>
  <si>
    <t>Yonago, Japan: Miho</t>
  </si>
  <si>
    <t>YGK</t>
  </si>
  <si>
    <t>Kingston, Canada: Kingston Airport</t>
  </si>
  <si>
    <t>YGL</t>
  </si>
  <si>
    <t>La Grande, Canada: La Grande Riviere</t>
  </si>
  <si>
    <t>YGN</t>
  </si>
  <si>
    <t>Greenway Sound, Canada: Greenway Sound Airport</t>
  </si>
  <si>
    <t>YGP</t>
  </si>
  <si>
    <t>Gaspe, Canada: Michel Pouliot</t>
  </si>
  <si>
    <t>YGQ</t>
  </si>
  <si>
    <t>Geraldton, Canada: Geraldton Greenstone Regional</t>
  </si>
  <si>
    <t>YGR</t>
  </si>
  <si>
    <t>Iles de la Madeleine, Canada: Iles de la Madeleine Airport</t>
  </si>
  <si>
    <t>YGT</t>
  </si>
  <si>
    <t>Igloolik, Canada: Igloolik Airport</t>
  </si>
  <si>
    <t>YGV</t>
  </si>
  <si>
    <t>Havre St. Pierre, Canada: Havre St. Pierre Airport</t>
  </si>
  <si>
    <t>YGW</t>
  </si>
  <si>
    <t>Kuujjuarapik, Canada: Kuujjuarapik Airport</t>
  </si>
  <si>
    <t>YGX</t>
  </si>
  <si>
    <t>Gillam, Canada: Gillam Airport</t>
  </si>
  <si>
    <t>YGZ</t>
  </si>
  <si>
    <t>Grise Fiord, Canada: Grise Fiord Airport</t>
  </si>
  <si>
    <t>YHA</t>
  </si>
  <si>
    <t>Port Hope Simpson, Canada: Port Hope Simpson Airport</t>
  </si>
  <si>
    <t>YHD</t>
  </si>
  <si>
    <t>Dryden, Canada: Dryden Regional</t>
  </si>
  <si>
    <t>YHF</t>
  </si>
  <si>
    <t>Hearst, Canada: Hearst Municipal</t>
  </si>
  <si>
    <t>YHH</t>
  </si>
  <si>
    <t>Campbell River, Canada: Harbor</t>
  </si>
  <si>
    <t>YHI</t>
  </si>
  <si>
    <t>Holman Island, Canada: Ulukhaktok Holman</t>
  </si>
  <si>
    <t>YHM</t>
  </si>
  <si>
    <t>Hamilton, Canada: John C. Munro Hamilton International</t>
  </si>
  <si>
    <t>YHN</t>
  </si>
  <si>
    <t>Hornepayne, Canada: Hornepayne Municipal</t>
  </si>
  <si>
    <t>YHR</t>
  </si>
  <si>
    <t>Harrington Harbour, Canada: Harrington Harbour Airport</t>
  </si>
  <si>
    <t>YHS</t>
  </si>
  <si>
    <t>Sechelt, Canada: Sechelt Airport</t>
  </si>
  <si>
    <t>YHT</t>
  </si>
  <si>
    <t>Haines Junction, Canada: Haines Junction Airport</t>
  </si>
  <si>
    <t>YHU</t>
  </si>
  <si>
    <t>Montreal, Canada: St. Hubert</t>
  </si>
  <si>
    <t>YHY</t>
  </si>
  <si>
    <t>Hay River, Canada: Hay River Merlyn Carter</t>
  </si>
  <si>
    <t>YHZ</t>
  </si>
  <si>
    <t>Halifax, Canada: Halifax Stanfield International</t>
  </si>
  <si>
    <t>YIA</t>
  </si>
  <si>
    <t>Yogyakarta, Indonesia: Internasional Yogyakarta</t>
  </si>
  <si>
    <t>YIB</t>
  </si>
  <si>
    <t>Atikokan, Canada: Atikokan Municipal</t>
  </si>
  <si>
    <t>YIF</t>
  </si>
  <si>
    <t>Pakuashipi, Canada: St Augustin</t>
  </si>
  <si>
    <t>YIG</t>
  </si>
  <si>
    <t>Big Bay Marina, Canada: Big Bay Marina Airport</t>
  </si>
  <si>
    <t>YIH</t>
  </si>
  <si>
    <t>Yichang, China: Yichang Sanxia</t>
  </si>
  <si>
    <t>YIO</t>
  </si>
  <si>
    <t>Pond Inlet, Canada: Pond Inlet Airport</t>
  </si>
  <si>
    <t>YIP</t>
  </si>
  <si>
    <t>Detroit, MI: Willow Run</t>
  </si>
  <si>
    <t>YIV</t>
  </si>
  <si>
    <t>Island Lake, Canada: Island Lake Airport</t>
  </si>
  <si>
    <t>YIW</t>
  </si>
  <si>
    <t>Yiwu, China: Yiwu Airport</t>
  </si>
  <si>
    <t>YJO</t>
  </si>
  <si>
    <t>Johnny Mountain, Canada: Johnny Mountain Airport</t>
  </si>
  <si>
    <t>YJT</t>
  </si>
  <si>
    <t>Stephenville, Canada: Stephenville Airport</t>
  </si>
  <si>
    <t>YKA</t>
  </si>
  <si>
    <t>Kamloops, Canada: Kamloops Airport</t>
  </si>
  <si>
    <t>YKF</t>
  </si>
  <si>
    <t>Kitchener, Canada: Waterloo</t>
  </si>
  <si>
    <t>YKG</t>
  </si>
  <si>
    <t>Kangirsuk, Canada: Kangirsuk Airport</t>
  </si>
  <si>
    <t>YKJ</t>
  </si>
  <si>
    <t>Key Lake, Canada: Key Lake Airport</t>
  </si>
  <si>
    <t>YKL</t>
  </si>
  <si>
    <t>Schefferville, Canada: Schefferville Airport</t>
  </si>
  <si>
    <t>Yakima, WA: Yakima Air Terminal/McAllister Field</t>
  </si>
  <si>
    <t>YKN</t>
  </si>
  <si>
    <t>Yankton, SD: Chan Gurney Municipal</t>
  </si>
  <si>
    <t>YKS</t>
  </si>
  <si>
    <t>Yakutsk, Russia: Yakutsk Airport</t>
  </si>
  <si>
    <t>YKU</t>
  </si>
  <si>
    <t>Fort George, Canada: Ft. George</t>
  </si>
  <si>
    <t>YKX</t>
  </si>
  <si>
    <t>Kirkland Lake, Canada: Kirkland Lake Airport</t>
  </si>
  <si>
    <t>YKZ</t>
  </si>
  <si>
    <t>Toronto, Canada: Buttonville Municipal</t>
  </si>
  <si>
    <t>YLC</t>
  </si>
  <si>
    <t>Kimmirut/Lake Harbour, Canada: Lake Harbour</t>
  </si>
  <si>
    <t>YLD</t>
  </si>
  <si>
    <t>Chapleau, Canada: Chapleau Airport</t>
  </si>
  <si>
    <t>YLH</t>
  </si>
  <si>
    <t>Lansdowne House, Canada: Lansdowne House Airport</t>
  </si>
  <si>
    <t>YLL</t>
  </si>
  <si>
    <t>Lloydminster, Canada: Lloydminster Airport</t>
  </si>
  <si>
    <t>YLP</t>
  </si>
  <si>
    <t>Mingan, Canada: Mingan Airport</t>
  </si>
  <si>
    <t>YLQ</t>
  </si>
  <si>
    <t>La Tuque, Canada: La Tuque Airport</t>
  </si>
  <si>
    <t>YLR</t>
  </si>
  <si>
    <t>Leaf Rapids, Canada: Leaf Rapids Airport</t>
  </si>
  <si>
    <t>YLS</t>
  </si>
  <si>
    <t>Lebel-sur-Quevillon, Canada: Lebel-sur-Quevillon Airport</t>
  </si>
  <si>
    <t>YLT</t>
  </si>
  <si>
    <t>Alert, Canada: Alert Airport</t>
  </si>
  <si>
    <t>YLW</t>
  </si>
  <si>
    <t>Kelowna, Canada: Kelowna Airport</t>
  </si>
  <si>
    <t>YMA</t>
  </si>
  <si>
    <t>Mayo, Canada: Mayo Airport</t>
  </si>
  <si>
    <t>YMB</t>
  </si>
  <si>
    <t>Merritt, Canada: Merritt Airport</t>
  </si>
  <si>
    <t>YMD</t>
  </si>
  <si>
    <t>Mould Bay, Canada: Mould Bay Airport</t>
  </si>
  <si>
    <t>YME</t>
  </si>
  <si>
    <t>Matane, Canada: Matane Airport</t>
  </si>
  <si>
    <t>YMF</t>
  </si>
  <si>
    <t>Galiano Island, Canada: Galiano Island Water Aerodrome</t>
  </si>
  <si>
    <t>YMH</t>
  </si>
  <si>
    <t>Mary's Harbour, Canada: Mary's Harbour Airport</t>
  </si>
  <si>
    <t>YML</t>
  </si>
  <si>
    <t>Murray Bay, Canada: Charlevoix</t>
  </si>
  <si>
    <t>YMM</t>
  </si>
  <si>
    <t>Fort McMurray, Canada: Fort McMurray Airport</t>
  </si>
  <si>
    <t>YMO</t>
  </si>
  <si>
    <t>Moosonee, Canada: Moosonee Airport</t>
  </si>
  <si>
    <t>YMP</t>
  </si>
  <si>
    <t>Port McNeill, Canada: Port McNeill Airport</t>
  </si>
  <si>
    <t>YMQ</t>
  </si>
  <si>
    <t>Montreal, Canada: Montreal Metropolitan Area</t>
  </si>
  <si>
    <t>YMS</t>
  </si>
  <si>
    <t>Yurimaguas, Peru: Yurimaguas Airport</t>
  </si>
  <si>
    <t>YMT</t>
  </si>
  <si>
    <t>Chibougamau, Canada: Chapais</t>
  </si>
  <si>
    <t>YMU</t>
  </si>
  <si>
    <t>Mansons Landing, Canada: Mansons Landing Water Aerodrome</t>
  </si>
  <si>
    <t>YMV</t>
  </si>
  <si>
    <t>Manicouagan, Canada: Manic-5</t>
  </si>
  <si>
    <t>YMW</t>
  </si>
  <si>
    <t>Maniwaki, Canada: Maniwaki Airport</t>
  </si>
  <si>
    <t>YMX</t>
  </si>
  <si>
    <t>Montreal, Canada: Montreal International (Mirabel)</t>
  </si>
  <si>
    <t>YNA</t>
  </si>
  <si>
    <t>Natashquan, Canada: Natashquan Airport</t>
  </si>
  <si>
    <t>YNB</t>
  </si>
  <si>
    <t>Yenbo, Saudi Arabia: Prince Abdulmohsin Bin Abdulaziz</t>
  </si>
  <si>
    <t>YND</t>
  </si>
  <si>
    <t>Gatineau, Canada: Gatineau-Ottawa Executive</t>
  </si>
  <si>
    <t>YNE</t>
  </si>
  <si>
    <t>Norway House, Canada: Norway House Airport</t>
  </si>
  <si>
    <t>Youngstown/Warren, OH: Youngstown-Warren Regional</t>
  </si>
  <si>
    <t>YNH</t>
  </si>
  <si>
    <t>Hudson's Hope, Canada: Hudson's Hope Airport</t>
  </si>
  <si>
    <t>YNJ</t>
  </si>
  <si>
    <t>Yanji, China: Chaoyangchuan</t>
  </si>
  <si>
    <t>YNK</t>
  </si>
  <si>
    <t>Nootka Sound, Canada: Nootka Sound Airport</t>
  </si>
  <si>
    <t>YNL</t>
  </si>
  <si>
    <t>Points North Landing, Canada: Points North Landing Airport</t>
  </si>
  <si>
    <t>YNM</t>
  </si>
  <si>
    <t>Matagami, Canada: Matagami Airport</t>
  </si>
  <si>
    <t>YNT</t>
  </si>
  <si>
    <t>Yantai, China: Laishan</t>
  </si>
  <si>
    <t>YNY</t>
  </si>
  <si>
    <t>Yangyang, South Korea: Yangyang International</t>
  </si>
  <si>
    <t>YOA</t>
  </si>
  <si>
    <t>Ekati, Canada: Ekati Airport</t>
  </si>
  <si>
    <t>YOC</t>
  </si>
  <si>
    <t>Old Crow, Canada: Old Crow Airport</t>
  </si>
  <si>
    <t>YOD</t>
  </si>
  <si>
    <t>Cold Lake, Canada: Cold Lake Group/Captain R. W. McNair</t>
  </si>
  <si>
    <t>YOG</t>
  </si>
  <si>
    <t>Ogoki, Canada: Ogoki Airport</t>
  </si>
  <si>
    <t>YOJ</t>
  </si>
  <si>
    <t>High Level, Canada: High Level Airport</t>
  </si>
  <si>
    <t>YOL</t>
  </si>
  <si>
    <t>Yola, Nigeria: Yola Airport</t>
  </si>
  <si>
    <t>YOO</t>
  </si>
  <si>
    <t>Oshawa, Canada: Oshawa Executive</t>
  </si>
  <si>
    <t>YOP</t>
  </si>
  <si>
    <t>Rainbow Lake, Canada: Rainbow Lake Airport</t>
  </si>
  <si>
    <t>YOW</t>
  </si>
  <si>
    <t>Ottawa, Canada: Ottawa Macdonald Cartier International</t>
  </si>
  <si>
    <t>YOX</t>
  </si>
  <si>
    <t>Rea Point, Canada: Rea Point Airport</t>
  </si>
  <si>
    <t>YPA</t>
  </si>
  <si>
    <t>Prince Albert, Canada: Prince Albert Glass Field</t>
  </si>
  <si>
    <t>YPD</t>
  </si>
  <si>
    <t>Parry Sound, Canada: Parry Sound Area Municipal</t>
  </si>
  <si>
    <t>YPE</t>
  </si>
  <si>
    <t>Peace River, Canada: Peace River Airport</t>
  </si>
  <si>
    <t>YPL</t>
  </si>
  <si>
    <t>Pickle Lake, Canada: Pickle Lake Airport</t>
  </si>
  <si>
    <t>YPN</t>
  </si>
  <si>
    <t>Port Menier, Canada: Port Menier Airport</t>
  </si>
  <si>
    <t>YPO</t>
  </si>
  <si>
    <t>Peawanuck, Canada: Peawanuck Airport</t>
  </si>
  <si>
    <t>YPQ</t>
  </si>
  <si>
    <t>Peterborough, Canada: Peterborough Airport</t>
  </si>
  <si>
    <t>YPR</t>
  </si>
  <si>
    <t>Digby Island, Canada: Prince Rupert</t>
  </si>
  <si>
    <t>YPS</t>
  </si>
  <si>
    <t>Port Hawkesbury, Canada: Port Hawkesbury Airport</t>
  </si>
  <si>
    <t>YPT</t>
  </si>
  <si>
    <t>Pender Harbour, Canada: Pender Harbour Water Aerodrome</t>
  </si>
  <si>
    <t>YPW</t>
  </si>
  <si>
    <t>Powell River, Canada: Powell River Airport</t>
  </si>
  <si>
    <t>YPX</t>
  </si>
  <si>
    <t>Povungnituk, Canada: Puvirnituq</t>
  </si>
  <si>
    <t>YPY</t>
  </si>
  <si>
    <t>Fort Chipewyan, Canada: Fort Chipewyan Airport</t>
  </si>
  <si>
    <t>YQA</t>
  </si>
  <si>
    <t>Muskoka, Canada: Muskoka Airport</t>
  </si>
  <si>
    <t>YQB</t>
  </si>
  <si>
    <t>Quebec, Canada: Quebec Jean Lesage International</t>
  </si>
  <si>
    <t>YQD</t>
  </si>
  <si>
    <t>The Pas, Canada: The Pas Airport</t>
  </si>
  <si>
    <t>YQF</t>
  </si>
  <si>
    <t>Red Deer, Canada: Red Deer Regional</t>
  </si>
  <si>
    <t>YQG</t>
  </si>
  <si>
    <t>Windsor, Canada: Windsor Airport</t>
  </si>
  <si>
    <t>YQH</t>
  </si>
  <si>
    <t>Watson Lake, Canada: Watson Lake Airport</t>
  </si>
  <si>
    <t>YQI</t>
  </si>
  <si>
    <t>Yarmouth, Canada: Yarmouth Airport</t>
  </si>
  <si>
    <t>YQJ</t>
  </si>
  <si>
    <t>Quadra Island, Canada: April Point Resort</t>
  </si>
  <si>
    <t>YQK</t>
  </si>
  <si>
    <t>Kenora, Canada: Kenora Airport</t>
  </si>
  <si>
    <t>YQL</t>
  </si>
  <si>
    <t>Lethbridge, Canada: Lethbridge County</t>
  </si>
  <si>
    <t>YQM</t>
  </si>
  <si>
    <t>Moncton, Canada: Greater Moncton Romeo Leblanc International</t>
  </si>
  <si>
    <t>YQQ</t>
  </si>
  <si>
    <t>Comox, Canada: Comox Airport</t>
  </si>
  <si>
    <t>YQR</t>
  </si>
  <si>
    <t>Regina, Canada: Regina International</t>
  </si>
  <si>
    <t>YQS</t>
  </si>
  <si>
    <t>St Thomas, Canada: St Thomas Municipal</t>
  </si>
  <si>
    <t>YQT</t>
  </si>
  <si>
    <t>Thunder Bay, Canada: Thunder Bay Airport</t>
  </si>
  <si>
    <t>YQU</t>
  </si>
  <si>
    <t>Grande Prairie, Canada: Grande Prairie Airport</t>
  </si>
  <si>
    <t>YQV</t>
  </si>
  <si>
    <t>Yorkton, Canada: Yorkton Municipal</t>
  </si>
  <si>
    <t>YQW</t>
  </si>
  <si>
    <t>North Battleford, Canada: North Battleford Airport</t>
  </si>
  <si>
    <t>YQX</t>
  </si>
  <si>
    <t>Gander, Canada: Gander International</t>
  </si>
  <si>
    <t>YQY</t>
  </si>
  <si>
    <t>Sydney, Canada: Sydney Airport</t>
  </si>
  <si>
    <t>YQZ</t>
  </si>
  <si>
    <t>Quesnel, Canada: Quesnel Airport</t>
  </si>
  <si>
    <t>YR1</t>
  </si>
  <si>
    <t>Refuge Cove, Canada: Refuge Cove Water Aerodrome</t>
  </si>
  <si>
    <t>YRB</t>
  </si>
  <si>
    <t>Resolute Bay, Canada: Resolute Bay Airport</t>
  </si>
  <si>
    <t>YRC</t>
  </si>
  <si>
    <t>Chicoutimi, Canada: St Honore</t>
  </si>
  <si>
    <t>YRD</t>
  </si>
  <si>
    <t>Dean River, Canada: Dean River Airport</t>
  </si>
  <si>
    <t>YRI</t>
  </si>
  <si>
    <t>Riviere-Du-Loup, Canada: Riviere-Du-Loup Airport</t>
  </si>
  <si>
    <t>YRJ</t>
  </si>
  <si>
    <t>Roberval, Canada: Roberval Airport</t>
  </si>
  <si>
    <t>YRL</t>
  </si>
  <si>
    <t>Red Lake, Canada: Red Lake Airport</t>
  </si>
  <si>
    <t>YRQ</t>
  </si>
  <si>
    <t>Trois Rivieres, Canada: Trois Rivieres Airport</t>
  </si>
  <si>
    <t>YRT</t>
  </si>
  <si>
    <t>Rankin Inlet, Canada: Rankin Inlet Airport</t>
  </si>
  <si>
    <t>YSB</t>
  </si>
  <si>
    <t>Sudbury, Canada: Sudbury Airport</t>
  </si>
  <si>
    <t>YSC</t>
  </si>
  <si>
    <t>Sherbrooke, Canada: Sherbrooke Airport</t>
  </si>
  <si>
    <t>YSF</t>
  </si>
  <si>
    <t>Stony Rapids, Canada: Stony Rapids Airport</t>
  </si>
  <si>
    <t>YSJ</t>
  </si>
  <si>
    <t>Saint John, Canada: Saint John Airport</t>
  </si>
  <si>
    <t>YSL</t>
  </si>
  <si>
    <t>St. Leonard, Canada: St Leonard Cyr</t>
  </si>
  <si>
    <t>YSM</t>
  </si>
  <si>
    <t>Fort Smith, Canada: Fort Smith Airport</t>
  </si>
  <si>
    <t>YSN</t>
  </si>
  <si>
    <t>Salmon Arm, Canada: Salmon Arm Airport</t>
  </si>
  <si>
    <t>YSP</t>
  </si>
  <si>
    <t>Marathon, Canada: Marathon Airport</t>
  </si>
  <si>
    <t>YSR</t>
  </si>
  <si>
    <t>Nanisivik, Canada: Nanisivik Airport</t>
  </si>
  <si>
    <t>YST</t>
  </si>
  <si>
    <t>St. Theresa Point, Canada: St. Theresa Point Airport</t>
  </si>
  <si>
    <t>YSU</t>
  </si>
  <si>
    <t>Summerside, Canada: Summerside Airport</t>
  </si>
  <si>
    <t>YSV</t>
  </si>
  <si>
    <t>Saglek, Canada: Saglek Airport</t>
  </si>
  <si>
    <t>YTA</t>
  </si>
  <si>
    <t>Pembroke, Canada: Pembroke Airport</t>
  </si>
  <si>
    <t>YTE</t>
  </si>
  <si>
    <t>Cape Dorset, Canada: Cape Dorset Airport</t>
  </si>
  <si>
    <t>YTF</t>
  </si>
  <si>
    <t>Alma, Canada: Chesterfield Inlet</t>
  </si>
  <si>
    <t>YTG</t>
  </si>
  <si>
    <t>Sullivan Bay, Canada: Sullivan Bay Water Aerodrome</t>
  </si>
  <si>
    <t>YTH</t>
  </si>
  <si>
    <t>Thompson, Canada: Thompson Airport</t>
  </si>
  <si>
    <t>YTJ</t>
  </si>
  <si>
    <t>Terrace Bay, Canada: Terrace Bay Airport</t>
  </si>
  <si>
    <t>YTL</t>
  </si>
  <si>
    <t>Big Trout Lake, Canada: Big Trout Lake Airport</t>
  </si>
  <si>
    <t>YTM</t>
  </si>
  <si>
    <t>La Macaza, Canada: Mont-Tremblant International</t>
  </si>
  <si>
    <t>YTN</t>
  </si>
  <si>
    <t>Riviere-au-Tonnerre, Canada: Riviere Au Tonnerre</t>
  </si>
  <si>
    <t>YTO</t>
  </si>
  <si>
    <t>Toronto, Canada: Toronto Metropolitan Area</t>
  </si>
  <si>
    <t>YTP</t>
  </si>
  <si>
    <t>Tofino, Canada: Tofino Seaplane Base</t>
  </si>
  <si>
    <t>YTQ</t>
  </si>
  <si>
    <t>Tasiujuaq, Canada: Tasiujaq</t>
  </si>
  <si>
    <t>YTR</t>
  </si>
  <si>
    <t>Trenton, Canada: Trenton Airport</t>
  </si>
  <si>
    <t>YTS</t>
  </si>
  <si>
    <t>Timmins, Canada: Victor M Power</t>
  </si>
  <si>
    <t>YTZ</t>
  </si>
  <si>
    <t>Toronto, Canada: Billy Bishop Toronto City</t>
  </si>
  <si>
    <t>YUB</t>
  </si>
  <si>
    <t>Tuktoyaktuk, Canada: Tuktoyaktuk Airport</t>
  </si>
  <si>
    <t>YUL</t>
  </si>
  <si>
    <t>Montreal, Canada: Pierre Elliott Trudeau International</t>
  </si>
  <si>
    <t>YUT</t>
  </si>
  <si>
    <t>Repulse Bay, Canada: Naujaat</t>
  </si>
  <si>
    <t>YUW</t>
  </si>
  <si>
    <t>Dewar Lakes, Canada: Dewar Lakes Airport</t>
  </si>
  <si>
    <t>YUX</t>
  </si>
  <si>
    <t>Hall Beach, Canada: Hall Beach Airport</t>
  </si>
  <si>
    <t>YUY</t>
  </si>
  <si>
    <t>Rouyn-Noranda, Canada: Rouyn-Noranda Airport</t>
  </si>
  <si>
    <t>YVA</t>
  </si>
  <si>
    <t>Moroni, Comoros: Iconi</t>
  </si>
  <si>
    <t>YVB</t>
  </si>
  <si>
    <t>Bonaventure, Canada: Bonaventure Airport</t>
  </si>
  <si>
    <t>YVC</t>
  </si>
  <si>
    <t>Lac La Ronge, Canada: La Ronge</t>
  </si>
  <si>
    <t>YVN</t>
  </si>
  <si>
    <t>Cape Dyer, Canada: Cape Dyer Airport</t>
  </si>
  <si>
    <t>YVO</t>
  </si>
  <si>
    <t>Val d'Or, Canada: Val d'Or Airport</t>
  </si>
  <si>
    <t>YVP</t>
  </si>
  <si>
    <t>Fort Chimo, Canada: Fort Chimo Airport</t>
  </si>
  <si>
    <t>YVQ</t>
  </si>
  <si>
    <t>Norman Wells, Canada: Norman Wells Airport</t>
  </si>
  <si>
    <t>YVR</t>
  </si>
  <si>
    <t>Vancouver, Canada: Vancouver International</t>
  </si>
  <si>
    <t>YVT</t>
  </si>
  <si>
    <t>Buffalo Narrows, Canada: Buffalo Narrows Airport</t>
  </si>
  <si>
    <t>YWB</t>
  </si>
  <si>
    <t>Kangiqsujuaq, Canada: Kangiqsujuaq Wakeham Bay</t>
  </si>
  <si>
    <t>YWG</t>
  </si>
  <si>
    <t>Winnipeg, Canada: James Armstrong Richardson International</t>
  </si>
  <si>
    <t>YWH</t>
  </si>
  <si>
    <t>Victoria, Canada: Victoria Inner Harbour</t>
  </si>
  <si>
    <t>YWJ</t>
  </si>
  <si>
    <t>Deline, Canada: Deline Airport</t>
  </si>
  <si>
    <t>YWK</t>
  </si>
  <si>
    <t>Wabush, Canada: Wabush Airport</t>
  </si>
  <si>
    <t>YWL</t>
  </si>
  <si>
    <t>Williams Lake, Canada: Williams Lake Airport</t>
  </si>
  <si>
    <t>YWQ</t>
  </si>
  <si>
    <t>Chute-Des-Passes, Canada: Chute-Des-Passes Airport</t>
  </si>
  <si>
    <t>YWR</t>
  </si>
  <si>
    <t>White River, Canada: White River Airport</t>
  </si>
  <si>
    <t>YWS</t>
  </si>
  <si>
    <t>Whistler, Canada: Green Lake</t>
  </si>
  <si>
    <t>YWY</t>
  </si>
  <si>
    <t>Wrigley, Canada: Wrigley Airport</t>
  </si>
  <si>
    <t>YXC</t>
  </si>
  <si>
    <t>Cranbrook, Canada: Canadian Rockies International</t>
  </si>
  <si>
    <t>YXD</t>
  </si>
  <si>
    <t>Edmonton, Canada: Edmonton City Centre</t>
  </si>
  <si>
    <t>YXE</t>
  </si>
  <si>
    <t>Saskatoon, Canada: John G Diefenbaker International</t>
  </si>
  <si>
    <t>YXH</t>
  </si>
  <si>
    <t>Medicine Hat, Canada: Medicine Hat Airport</t>
  </si>
  <si>
    <t>YXJ</t>
  </si>
  <si>
    <t>Fort St. John, Canada: Fort St. John Airport</t>
  </si>
  <si>
    <t>YXK</t>
  </si>
  <si>
    <t>Rimouski, Canada: Rimouski Airport</t>
  </si>
  <si>
    <t>YXL</t>
  </si>
  <si>
    <t>Sioux Lookout, Canada: Sioux Lookout Airport</t>
  </si>
  <si>
    <t>YXP</t>
  </si>
  <si>
    <t>Pangnirtung, Canada: Pangnirtung Airport</t>
  </si>
  <si>
    <t>YXQ</t>
  </si>
  <si>
    <t>Beaver Creek, Canada: Beaver Creek Airport</t>
  </si>
  <si>
    <t>YXR</t>
  </si>
  <si>
    <t>Earlton, Canada: Timiskaming Regional</t>
  </si>
  <si>
    <t>YXS</t>
  </si>
  <si>
    <t>Prince George, Canada: Prince George Airport</t>
  </si>
  <si>
    <t>YXT</t>
  </si>
  <si>
    <t>Terrace, Canada: Terrace Airport</t>
  </si>
  <si>
    <t>YXU</t>
  </si>
  <si>
    <t>London, Canada: London Airport</t>
  </si>
  <si>
    <t>YXX</t>
  </si>
  <si>
    <t>Abbotsford, Canada: Abbotsford Airport</t>
  </si>
  <si>
    <t>YXY</t>
  </si>
  <si>
    <t>Whitehorse, Canada: Erik Nielsen International</t>
  </si>
  <si>
    <t>YXZ</t>
  </si>
  <si>
    <t>Wawa, Canada: Wawa Airport</t>
  </si>
  <si>
    <t>YYB</t>
  </si>
  <si>
    <t>North Bay, Canada: North Bay Airport</t>
  </si>
  <si>
    <t>YYC</t>
  </si>
  <si>
    <t>Calgary, Canada: Yyc Calgary International</t>
  </si>
  <si>
    <t>YYD</t>
  </si>
  <si>
    <t>Smithers, Canada: Smithers Airport</t>
  </si>
  <si>
    <t>YYE</t>
  </si>
  <si>
    <t>Fort Nelson, Canada: Fort Nelson Airport</t>
  </si>
  <si>
    <t>YYF</t>
  </si>
  <si>
    <t>Penticton, Canada: Penticton Airport</t>
  </si>
  <si>
    <t>YYG</t>
  </si>
  <si>
    <t>Charlottetown, Canada: Charlottetown Airport</t>
  </si>
  <si>
    <t>YYH</t>
  </si>
  <si>
    <t>Taloyoak, Canada: Taloyoak Airport</t>
  </si>
  <si>
    <t>YYJ</t>
  </si>
  <si>
    <t>Victoria, Canada: Victoria International</t>
  </si>
  <si>
    <t>YYL</t>
  </si>
  <si>
    <t>Lynn Lake, Canada: Lynn Lake Airport</t>
  </si>
  <si>
    <t>YYN</t>
  </si>
  <si>
    <t>Swift Current, Canada: Swift Current Airport</t>
  </si>
  <si>
    <t>YYQ</t>
  </si>
  <si>
    <t>Churchill, Canada: Churchill Airport</t>
  </si>
  <si>
    <t>YYR</t>
  </si>
  <si>
    <t>Goose Bay, Canada: Goose Bay Airport</t>
  </si>
  <si>
    <t>YYT</t>
  </si>
  <si>
    <t>St. John's, Canada: St. John's International</t>
  </si>
  <si>
    <t>YYU</t>
  </si>
  <si>
    <t>Kapuskasing, Canada: Kapuskasing Airport</t>
  </si>
  <si>
    <t>YYY</t>
  </si>
  <si>
    <t>Mont Joli, Canada: Mont Joli Airport</t>
  </si>
  <si>
    <t>YYZ</t>
  </si>
  <si>
    <t>Toronto, Canada: Lester B. Pearson International</t>
  </si>
  <si>
    <t>YZE</t>
  </si>
  <si>
    <t>Gore Bay, Canada: Gore Bay/Manitoulin</t>
  </si>
  <si>
    <t>YZF</t>
  </si>
  <si>
    <t>Yellowknife, Canada: Yellowknife Airport</t>
  </si>
  <si>
    <t>YZH</t>
  </si>
  <si>
    <t>Slave Lake, Canada: Slave Lake Airport</t>
  </si>
  <si>
    <t>YZP</t>
  </si>
  <si>
    <t>Sandspit, Canada: Sandspit Airport</t>
  </si>
  <si>
    <t>YZR</t>
  </si>
  <si>
    <t>Sarnia, Canada: Chris Hadfield</t>
  </si>
  <si>
    <t>YZS</t>
  </si>
  <si>
    <t>Coral Harbour, Canada: Coral Harbour Airport</t>
  </si>
  <si>
    <t>YZT</t>
  </si>
  <si>
    <t>Port Hardy, Canada: Port Hardy Airport</t>
  </si>
  <si>
    <t>YZV</t>
  </si>
  <si>
    <t>Sept-Iles, Canada: Sept-Iles Airport</t>
  </si>
  <si>
    <t>YZX</t>
  </si>
  <si>
    <t>Greenwood, Canada: Greenwood Airport</t>
  </si>
  <si>
    <t>ZAA</t>
  </si>
  <si>
    <t>Alice Arm, Canada: Alice Arm Airport</t>
  </si>
  <si>
    <t>ZAD</t>
  </si>
  <si>
    <t>Zadar, Croatia: Zadar Airport</t>
  </si>
  <si>
    <t>ZAG</t>
  </si>
  <si>
    <t>Zagreb, Croatia: Zagreb Airport</t>
  </si>
  <si>
    <t>ZAH</t>
  </si>
  <si>
    <t>Zahedan, Iran: Zahedan International</t>
  </si>
  <si>
    <t>ZAL</t>
  </si>
  <si>
    <t>Valdivia, Chile: Las Marias</t>
  </si>
  <si>
    <t>ZAM</t>
  </si>
  <si>
    <t>Zamboanga, Philippines: Zamboanga International</t>
  </si>
  <si>
    <t>ZAZ</t>
  </si>
  <si>
    <t>Zaragoza, Spain: Zaragoza AB</t>
  </si>
  <si>
    <t>ZBF</t>
  </si>
  <si>
    <t>Bathurst, Canada: Bathurst Airport</t>
  </si>
  <si>
    <t>ZBL</t>
  </si>
  <si>
    <t>ZBM</t>
  </si>
  <si>
    <t>Bromont, Canada: Bromont Roland Desourdy</t>
  </si>
  <si>
    <t>ZBO</t>
  </si>
  <si>
    <t>Bowen, Australia: Bowen Airport</t>
  </si>
  <si>
    <t>ZBR</t>
  </si>
  <si>
    <t>Chah Bahar, Iran: Konarak</t>
  </si>
  <si>
    <t>ZBX</t>
  </si>
  <si>
    <t>Branson, MO: John the Diver</t>
  </si>
  <si>
    <t>ZCL</t>
  </si>
  <si>
    <t>Zacatecas, Mexico: General Leobardo C. Ruiz International</t>
  </si>
  <si>
    <t>ZCO</t>
  </si>
  <si>
    <t>Temuco, Chile: Maquehue</t>
  </si>
  <si>
    <t>ZEL</t>
  </si>
  <si>
    <t>Bella Bella, Canada: Denny Island</t>
  </si>
  <si>
    <t>ZFA</t>
  </si>
  <si>
    <t>Faro, Canada: Faro Airport</t>
  </si>
  <si>
    <t>ZFM</t>
  </si>
  <si>
    <t>Fort McPherson, Canada: Fort McPherson Airport</t>
  </si>
  <si>
    <t>ZFN</t>
  </si>
  <si>
    <t>Fort Norman, Canada: Fort Norman Airport</t>
  </si>
  <si>
    <t>ZFW</t>
  </si>
  <si>
    <t>Fairview, Canada: Fairview Airport</t>
  </si>
  <si>
    <t>ZGF</t>
  </si>
  <si>
    <t>Grand Forks, Canada: Grand Forks Airport</t>
  </si>
  <si>
    <t>ZGM</t>
  </si>
  <si>
    <t>Ngoma, Zambia: Ngoma Airport</t>
  </si>
  <si>
    <t>ZGS</t>
  </si>
  <si>
    <t>Gethsemani, Canada: Gethsemani Airport</t>
  </si>
  <si>
    <t>ZHA</t>
  </si>
  <si>
    <t>Zhanjiang, China: Zhanjiang Airport</t>
  </si>
  <si>
    <t>ZIG</t>
  </si>
  <si>
    <t>Ziguinchor, Senegal: Ziguinchor Airport</t>
  </si>
  <si>
    <t>ZIH</t>
  </si>
  <si>
    <t>Ixtapa/Zihuatanejo, Mexico: Ixtapa-Zihuatanejo International</t>
  </si>
  <si>
    <t>ZKB</t>
  </si>
  <si>
    <t>Kasaba Bay, Zambia: Kasaba Bay Airport</t>
  </si>
  <si>
    <t>ZKP</t>
  </si>
  <si>
    <t>Chingola, Zambia: Kasompe</t>
  </si>
  <si>
    <t>ZLO</t>
  </si>
  <si>
    <t>Manzanillo, Mexico: Playa de Oro International</t>
  </si>
  <si>
    <t>ZLT</t>
  </si>
  <si>
    <t>La Tabatiere, Canada: La Tabatiere Airport</t>
  </si>
  <si>
    <t>ZMD</t>
  </si>
  <si>
    <t>Sena Madureira, Brazil: Sena Madureira Airport</t>
  </si>
  <si>
    <t>ZMH</t>
  </si>
  <si>
    <t>108 Mile Ranch, Canada: South Cariboo</t>
  </si>
  <si>
    <t>ZMT</t>
  </si>
  <si>
    <t>Masset, Canada: Masset Airport</t>
  </si>
  <si>
    <t>ZNA</t>
  </si>
  <si>
    <t>Nanaimo, Canada: Harbour</t>
  </si>
  <si>
    <t>ZNC</t>
  </si>
  <si>
    <t>Nyac, AK: Nyac Airport</t>
  </si>
  <si>
    <t>ZND</t>
  </si>
  <si>
    <t>Zinder, Niger: Zinder Airport</t>
  </si>
  <si>
    <t>ZNE</t>
  </si>
  <si>
    <t>Newman, Australia: Newman Airport</t>
  </si>
  <si>
    <t>ZNQ</t>
  </si>
  <si>
    <t>Ingolstadt, Germany: Ingolstadt Airport</t>
  </si>
  <si>
    <t>ZNZ</t>
  </si>
  <si>
    <t>Zanzibar, Tanzania: Abeid Amani Karume International</t>
  </si>
  <si>
    <t>ZOF</t>
  </si>
  <si>
    <t>Ocean Falls, Canada: Ocean Falls Airport</t>
  </si>
  <si>
    <t>ZOS</t>
  </si>
  <si>
    <t>Osorno, Chile: Canal Bajo Carlos Hott Siebert</t>
  </si>
  <si>
    <t>ZPB</t>
  </si>
  <si>
    <t>Sachigo Lake, Canada: Sachigo Lake Airport</t>
  </si>
  <si>
    <t>ZQN</t>
  </si>
  <si>
    <t>Queenstown, New Zealand: Queenstown Airport</t>
  </si>
  <si>
    <t>ZRH</t>
  </si>
  <si>
    <t>Zurich, Switzerland: Zurich Airport</t>
  </si>
  <si>
    <t>ZSA</t>
  </si>
  <si>
    <t>San Salvador, The Bahamas: San Salvador International</t>
  </si>
  <si>
    <t>ZSL</t>
  </si>
  <si>
    <t>Sligo, Ireland: Sligo Bus Station</t>
  </si>
  <si>
    <t>ZSS</t>
  </si>
  <si>
    <t>Sassandra, Cote d'Ivoire: Sassandra Airport</t>
  </si>
  <si>
    <t>ZST</t>
  </si>
  <si>
    <t>Stewart, Canada: Stewart Airport</t>
  </si>
  <si>
    <t>ZSW</t>
  </si>
  <si>
    <t>Prince Rupert, Canada: Prince Rupert Seal Cove Heliport</t>
  </si>
  <si>
    <t>ZTH</t>
  </si>
  <si>
    <t>Zakinthos, Greece: Dionisios Solomos</t>
  </si>
  <si>
    <t>ZTS</t>
  </si>
  <si>
    <t>Tahsis, Canada: Tahsis Airport</t>
  </si>
  <si>
    <t>ZUH</t>
  </si>
  <si>
    <t>Zhuhai, China: Jinwan</t>
  </si>
  <si>
    <t>ZUM</t>
  </si>
  <si>
    <t>Churchill Falls, Canada: Churchill Falls Airport</t>
  </si>
  <si>
    <t>ZVA</t>
  </si>
  <si>
    <t>Miandrivazo, Madagascar: Miandrivazo Airport</t>
  </si>
  <si>
    <t>ZVK</t>
  </si>
  <si>
    <t>Savannakhet, Laos: Savannakhet International</t>
  </si>
  <si>
    <t>ZWL</t>
  </si>
  <si>
    <t>Wollaston Lake, Canada: Wollaston Lake Airport</t>
  </si>
  <si>
    <t>ZXA</t>
  </si>
  <si>
    <t>ZXB</t>
  </si>
  <si>
    <t>Albuquerque, NM: Double Eagle II</t>
  </si>
  <si>
    <t>ZXC</t>
  </si>
  <si>
    <t>Gasquet, CA: Ward Field</t>
  </si>
  <si>
    <t>ZXD</t>
  </si>
  <si>
    <t>San Isidro, Dominican Republic: San Isidro International</t>
  </si>
  <si>
    <t>ZXE</t>
  </si>
  <si>
    <t>Sculthorpe, United Kingdom: Sculthorpe Airport</t>
  </si>
  <si>
    <t>ZXF</t>
  </si>
  <si>
    <t>Illinois Creek, AK: Illinois Creek Airport</t>
  </si>
  <si>
    <t>ZXH</t>
  </si>
  <si>
    <t>Chomondely Sound, AK: Chomondely Sound Airport</t>
  </si>
  <si>
    <t>ZXI</t>
  </si>
  <si>
    <t>Coal Bay, AK: Coal Bay Airport</t>
  </si>
  <si>
    <t>ZXJ</t>
  </si>
  <si>
    <t>Happy Harbour, AK: Happy Harbour Airport</t>
  </si>
  <si>
    <t>ZXK</t>
  </si>
  <si>
    <t>Lancaster Cove, AK: Lancaster Cove Airport</t>
  </si>
  <si>
    <t>ZXL</t>
  </si>
  <si>
    <t>Reid Cove, AK: Reid Cove Airport</t>
  </si>
  <si>
    <t>ZXM</t>
  </si>
  <si>
    <t>Saltery Cove, AK: Saltery Cove Airport</t>
  </si>
  <si>
    <t>ZXN</t>
  </si>
  <si>
    <t>Clover Bay, AK: Clover Bay Airport</t>
  </si>
  <si>
    <t>ZXO</t>
  </si>
  <si>
    <t>El Capitan, AK: El Capitan Peak</t>
  </si>
  <si>
    <t>ZXP</t>
  </si>
  <si>
    <t>Salmon Bay Lake, AK: Salmon Bay Lake Airport</t>
  </si>
  <si>
    <t>ZXQ</t>
  </si>
  <si>
    <t>ZXT</t>
  </si>
  <si>
    <t>Cloverdale, CA: Cloverdale Municipal</t>
  </si>
  <si>
    <t>ZXU</t>
  </si>
  <si>
    <t>North Kingstown, RI: Quonset State</t>
  </si>
  <si>
    <t>ZXV</t>
  </si>
  <si>
    <t>Nappanee, IN: Nappanee Municipal</t>
  </si>
  <si>
    <t>ZXW</t>
  </si>
  <si>
    <t>Paradise, CA: Paradise Skypark</t>
  </si>
  <si>
    <t>ZXX</t>
  </si>
  <si>
    <t>Kennewick, WA: Vista Field</t>
  </si>
  <si>
    <t>ZXY</t>
  </si>
  <si>
    <t>Delta, CO: Blake Field</t>
  </si>
  <si>
    <t>ZXZ</t>
  </si>
  <si>
    <t>Waterville, WA: Waterville Airport</t>
  </si>
  <si>
    <t>ZYL</t>
  </si>
  <si>
    <t>Sylhet, Bangladesh: Savannakhet</t>
  </si>
  <si>
    <t>ZZU</t>
  </si>
  <si>
    <t>Mzuzu, Malawi: Mzuzu Airport</t>
  </si>
  <si>
    <t>ZZV</t>
  </si>
  <si>
    <t>Zanesville, OH: Zanesville Municipal</t>
  </si>
  <si>
    <t>ZZZ</t>
  </si>
  <si>
    <t>Unknown Point in Alaska</t>
  </si>
  <si>
    <t>IATA</t>
  </si>
  <si>
    <t>AIRPORT</t>
  </si>
  <si>
    <t>CITY</t>
  </si>
  <si>
    <t>COUNTRY</t>
  </si>
  <si>
    <t>LATITUDE</t>
  </si>
  <si>
    <t>LONGITUDE</t>
  </si>
  <si>
    <t>Lehigh Valley International</t>
  </si>
  <si>
    <t>Allentown</t>
  </si>
  <si>
    <t>Abilene Regional</t>
  </si>
  <si>
    <t>Abilene</t>
  </si>
  <si>
    <t>Albuquerque International</t>
  </si>
  <si>
    <t>Albuquerque</t>
  </si>
  <si>
    <t>Aberdeen Regional</t>
  </si>
  <si>
    <t>Aberdeen</t>
  </si>
  <si>
    <t>SD</t>
  </si>
  <si>
    <t>Southwest Georgia Regional</t>
  </si>
  <si>
    <t>Albany</t>
  </si>
  <si>
    <t>Nantucket Memorial</t>
  </si>
  <si>
    <t>Nantucket</t>
  </si>
  <si>
    <t>Waco Regional</t>
  </si>
  <si>
    <t>Waco</t>
  </si>
  <si>
    <t>Arcata</t>
  </si>
  <si>
    <t>Arcata Eureka</t>
  </si>
  <si>
    <t>Atlantic City International</t>
  </si>
  <si>
    <t>Atlantic City</t>
  </si>
  <si>
    <t>Adak</t>
  </si>
  <si>
    <t>AK</t>
  </si>
  <si>
    <t xml:space="preserve">Kodiak </t>
  </si>
  <si>
    <t>Kodiak</t>
  </si>
  <si>
    <t>Alexandria International</t>
  </si>
  <si>
    <t>Alexandria</t>
  </si>
  <si>
    <t xml:space="preserve">Bush </t>
  </si>
  <si>
    <t>Augusta</t>
  </si>
  <si>
    <t>King Salmon</t>
  </si>
  <si>
    <t>Albany Cty</t>
  </si>
  <si>
    <t>Waterloo Municipal</t>
  </si>
  <si>
    <t>Waterloo</t>
  </si>
  <si>
    <t>IA</t>
  </si>
  <si>
    <t>Amarillo International</t>
  </si>
  <si>
    <t>Amarillo</t>
  </si>
  <si>
    <t>Ted Stevens Anchorage International</t>
  </si>
  <si>
    <t>Anchorage</t>
  </si>
  <si>
    <t xml:space="preserve">Alpena County Regional </t>
  </si>
  <si>
    <t>Alpena</t>
  </si>
  <si>
    <t>Watertown Intl</t>
  </si>
  <si>
    <t>Watertown</t>
  </si>
  <si>
    <t xml:space="preserve">Aspen-Pitkin Co Sardy </t>
  </si>
  <si>
    <t>Aspen</t>
  </si>
  <si>
    <t>William B Hartsfield-Atlanta Intl</t>
  </si>
  <si>
    <t>Atlanta</t>
  </si>
  <si>
    <t>Outagamie County Regional</t>
  </si>
  <si>
    <t>Appleton</t>
  </si>
  <si>
    <t>Austin-Bergstrom International</t>
  </si>
  <si>
    <t>Austin</t>
  </si>
  <si>
    <t>Asheville Regional</t>
  </si>
  <si>
    <t>Asheville</t>
  </si>
  <si>
    <t>Wilkes-Barre Scranton Intl</t>
  </si>
  <si>
    <t>Wilkes-Barre Scranton</t>
  </si>
  <si>
    <t>Kalamazoo County</t>
  </si>
  <si>
    <t>Kalamazoo</t>
  </si>
  <si>
    <t>Bradley International</t>
  </si>
  <si>
    <t>Windsor Locks</t>
  </si>
  <si>
    <t>Bethel</t>
  </si>
  <si>
    <t xml:space="preserve">Meadows </t>
  </si>
  <si>
    <t>Bakersfield</t>
  </si>
  <si>
    <t>Binghamton Regional</t>
  </si>
  <si>
    <t>Binghamton</t>
  </si>
  <si>
    <t>Bangor International</t>
  </si>
  <si>
    <t>Bangor</t>
  </si>
  <si>
    <t>Birmingham International</t>
  </si>
  <si>
    <t>Birmingham</t>
  </si>
  <si>
    <t>AL</t>
  </si>
  <si>
    <t>Billings Logan Intl</t>
  </si>
  <si>
    <t>Billings</t>
  </si>
  <si>
    <t>Bismarck Municipal</t>
  </si>
  <si>
    <t>Bismarck</t>
  </si>
  <si>
    <t>ND</t>
  </si>
  <si>
    <t>Bemidji-Beltrami County</t>
  </si>
  <si>
    <t>Bemidji</t>
  </si>
  <si>
    <t>Bellingham Intl</t>
  </si>
  <si>
    <t>Bellingham</t>
  </si>
  <si>
    <t>Central Illinois Regional</t>
  </si>
  <si>
    <t>Bloomington</t>
  </si>
  <si>
    <t>Nashville International</t>
  </si>
  <si>
    <t>Nashville</t>
  </si>
  <si>
    <t>Boise Air Terminal</t>
  </si>
  <si>
    <t>Boise</t>
  </si>
  <si>
    <t>Gen Edw L Logan Intl</t>
  </si>
  <si>
    <t>Boston</t>
  </si>
  <si>
    <t>Southeast Texas Regional</t>
  </si>
  <si>
    <t>Beaumont Port Arthur</t>
  </si>
  <si>
    <t>Glynco Jetport</t>
  </si>
  <si>
    <t>Brunswick</t>
  </si>
  <si>
    <t>Rafael Hernandez</t>
  </si>
  <si>
    <t>Aguadilla</t>
  </si>
  <si>
    <t>Brainerd-Crow Wing County Regional</t>
  </si>
  <si>
    <t>Brainerd</t>
  </si>
  <si>
    <t>Brownsville S.Padre Island International</t>
  </si>
  <si>
    <t>Brownsville</t>
  </si>
  <si>
    <t>Wiley Post Will Rogers Memorial</t>
  </si>
  <si>
    <t>Barrow</t>
  </si>
  <si>
    <t>Bert Mooney</t>
  </si>
  <si>
    <t>Butte</t>
  </si>
  <si>
    <t>Baton Rouge Metropolitan</t>
  </si>
  <si>
    <t>Baton Rouge</t>
  </si>
  <si>
    <t>Burlington International</t>
  </si>
  <si>
    <t>Burlington</t>
  </si>
  <si>
    <t>Buffalo Niagara Intl</t>
  </si>
  <si>
    <t>Buffalo</t>
  </si>
  <si>
    <t>Burbank-Glendale-Pasadena</t>
  </si>
  <si>
    <t>Burbank</t>
  </si>
  <si>
    <t>Baltimore-Washington International</t>
  </si>
  <si>
    <t>Baltimore</t>
  </si>
  <si>
    <t xml:space="preserve">Gallatin </t>
  </si>
  <si>
    <t>Bozeman</t>
  </si>
  <si>
    <t>Columbia Metropolitan</t>
  </si>
  <si>
    <t>Columbia</t>
  </si>
  <si>
    <t>Akron-Canton Regional</t>
  </si>
  <si>
    <t>Akron</t>
  </si>
  <si>
    <t>Cedar City Muni</t>
  </si>
  <si>
    <t>Cedar City</t>
  </si>
  <si>
    <t>Merle K (Mudhole) Smith</t>
  </si>
  <si>
    <t>Cordova</t>
  </si>
  <si>
    <t xml:space="preserve">Jack McNamara </t>
  </si>
  <si>
    <t>Crescent City</t>
  </si>
  <si>
    <t xml:space="preserve">Lovell </t>
  </si>
  <si>
    <t>Chattanooga</t>
  </si>
  <si>
    <t>Charlottesville-Albermarle</t>
  </si>
  <si>
    <t>Charlottesville</t>
  </si>
  <si>
    <t>Charleston AFB International</t>
  </si>
  <si>
    <t>Charleston</t>
  </si>
  <si>
    <t>Chico Municipal</t>
  </si>
  <si>
    <t>Chico</t>
  </si>
  <si>
    <t xml:space="preserve">Eastern Iowa </t>
  </si>
  <si>
    <t>Cedar Rapids</t>
  </si>
  <si>
    <t>Chippewa County International</t>
  </si>
  <si>
    <t>Sault Ste. Marie</t>
  </si>
  <si>
    <t>MC Clellan-Palomar Airport</t>
  </si>
  <si>
    <t>NA</t>
  </si>
  <si>
    <t>Cleveland-Hopkins Intl</t>
  </si>
  <si>
    <t>Cleveland</t>
  </si>
  <si>
    <t xml:space="preserve">Easterwood </t>
  </si>
  <si>
    <t>College Station</t>
  </si>
  <si>
    <t>Charlotte Douglas International</t>
  </si>
  <si>
    <t>Charlotte</t>
  </si>
  <si>
    <t>Port Columbus Intl</t>
  </si>
  <si>
    <t>Columbus</t>
  </si>
  <si>
    <t>University of Illinois-Willard</t>
  </si>
  <si>
    <t>Champaign Urbana</t>
  </si>
  <si>
    <t>Houghton County Memorial</t>
  </si>
  <si>
    <t>Hancock</t>
  </si>
  <si>
    <t xml:space="preserve">Canyonlands </t>
  </si>
  <si>
    <t>Moab</t>
  </si>
  <si>
    <t>Yellowstone Regional</t>
  </si>
  <si>
    <t>Cody</t>
  </si>
  <si>
    <t>WY</t>
  </si>
  <si>
    <t>City of Colorado Springs Muni</t>
  </si>
  <si>
    <t>Colorado Springs</t>
  </si>
  <si>
    <t>Columbia Regional</t>
  </si>
  <si>
    <t>Natrona County Intl</t>
  </si>
  <si>
    <t>Casper</t>
  </si>
  <si>
    <t>Corpus Christi International</t>
  </si>
  <si>
    <t>Corpus Christi</t>
  </si>
  <si>
    <t>Yeager</t>
  </si>
  <si>
    <t>WV</t>
  </si>
  <si>
    <t>Columbus Metropolitan</t>
  </si>
  <si>
    <t>Cincinnati Northern Kentucky Intl</t>
  </si>
  <si>
    <t>Covington</t>
  </si>
  <si>
    <t>KY</t>
  </si>
  <si>
    <t>Central Wisconsin</t>
  </si>
  <si>
    <t>Mosinee</t>
  </si>
  <si>
    <t>Cheyenne</t>
  </si>
  <si>
    <t>Daytona Beach International</t>
  </si>
  <si>
    <t>Daytona Beach</t>
  </si>
  <si>
    <t xml:space="preserve">Dallas Love </t>
  </si>
  <si>
    <t>Dallas</t>
  </si>
  <si>
    <t>James M Cox Dayton Intl</t>
  </si>
  <si>
    <t>Dayton</t>
  </si>
  <si>
    <t>Dubuque Municipal</t>
  </si>
  <si>
    <t>Dubuque</t>
  </si>
  <si>
    <t>Ronald Reagan Washington National</t>
  </si>
  <si>
    <t>Arlington</t>
  </si>
  <si>
    <t>Denver Intl</t>
  </si>
  <si>
    <t>Denver</t>
  </si>
  <si>
    <t>Dallas-Fort Worth International</t>
  </si>
  <si>
    <t>Dallas-Fort Worth</t>
  </si>
  <si>
    <t xml:space="preserve">Dothan </t>
  </si>
  <si>
    <t>Dothan</t>
  </si>
  <si>
    <t>Dickinson Municipal</t>
  </si>
  <si>
    <t>Dickinson</t>
  </si>
  <si>
    <t>Dillingham</t>
  </si>
  <si>
    <t>Duluth International</t>
  </si>
  <si>
    <t>Duluth</t>
  </si>
  <si>
    <t>Durango-La Plata County</t>
  </si>
  <si>
    <t>Durango</t>
  </si>
  <si>
    <t>Del Rio International</t>
  </si>
  <si>
    <t>Del Rio</t>
  </si>
  <si>
    <t>Des Moines International</t>
  </si>
  <si>
    <t>Des Moines</t>
  </si>
  <si>
    <t>Detroit Metropolitan-Wayne County</t>
  </si>
  <si>
    <t>Detroit</t>
  </si>
  <si>
    <t xml:space="preserve">Devils Lake Municipal-Knoke </t>
  </si>
  <si>
    <t>Devils Lake</t>
  </si>
  <si>
    <t>Chippewa Valley Regional</t>
  </si>
  <si>
    <t>Eau Claire</t>
  </si>
  <si>
    <t>Eagle County Regional</t>
  </si>
  <si>
    <t>Eagle</t>
  </si>
  <si>
    <t>Elko Regional</t>
  </si>
  <si>
    <t>Elko</t>
  </si>
  <si>
    <t>Elmira Corning Regional</t>
  </si>
  <si>
    <t>Elmira</t>
  </si>
  <si>
    <t>El Paso International</t>
  </si>
  <si>
    <t>El Paso</t>
  </si>
  <si>
    <t>Erie Intl</t>
  </si>
  <si>
    <t>Erie</t>
  </si>
  <si>
    <t>Delta County</t>
  </si>
  <si>
    <t>Escanaba</t>
  </si>
  <si>
    <t xml:space="preserve">Mahlon Sweet </t>
  </si>
  <si>
    <t>Eugene</t>
  </si>
  <si>
    <t>Evansville Regional</t>
  </si>
  <si>
    <t>Evansville</t>
  </si>
  <si>
    <t>IN</t>
  </si>
  <si>
    <t>Craven County Regional</t>
  </si>
  <si>
    <t>New Bern</t>
  </si>
  <si>
    <t>Newark Intl</t>
  </si>
  <si>
    <t>Newark</t>
  </si>
  <si>
    <t>Key West International</t>
  </si>
  <si>
    <t>Key West</t>
  </si>
  <si>
    <t>Fairbanks International</t>
  </si>
  <si>
    <t>Fairbanks</t>
  </si>
  <si>
    <t>Hector International</t>
  </si>
  <si>
    <t>Fargo</t>
  </si>
  <si>
    <t>Fresno Yosemite International</t>
  </si>
  <si>
    <t>Fresno</t>
  </si>
  <si>
    <t>Fayetteville Municipal</t>
  </si>
  <si>
    <t>Fayetteville</t>
  </si>
  <si>
    <t>Glacier Park Intl</t>
  </si>
  <si>
    <t>Kalispell</t>
  </si>
  <si>
    <t>Flagstaff Pulliam</t>
  </si>
  <si>
    <t>Flagstaff</t>
  </si>
  <si>
    <t>Fort Lauderdale-Hollywood Int'l</t>
  </si>
  <si>
    <t>Ft. Lauderdale</t>
  </si>
  <si>
    <t>Florence Regional</t>
  </si>
  <si>
    <t>Florence</t>
  </si>
  <si>
    <t>Bishop</t>
  </si>
  <si>
    <t>Flint</t>
  </si>
  <si>
    <t xml:space="preserve">Forbes </t>
  </si>
  <si>
    <t>Topeka</t>
  </si>
  <si>
    <t>KS</t>
  </si>
  <si>
    <t xml:space="preserve">Joe Foss </t>
  </si>
  <si>
    <t>Sioux Falls</t>
  </si>
  <si>
    <t>Fort Smith Regional</t>
  </si>
  <si>
    <t>Fort Smith</t>
  </si>
  <si>
    <t>AR</t>
  </si>
  <si>
    <t>Fort Wayne International</t>
  </si>
  <si>
    <t>Fort Wayne</t>
  </si>
  <si>
    <t>Gillette-Campbell County</t>
  </si>
  <si>
    <t>Gillette</t>
  </si>
  <si>
    <t>Garden City Regional</t>
  </si>
  <si>
    <t>Garden City</t>
  </si>
  <si>
    <t>Spokane Intl</t>
  </si>
  <si>
    <t>Spokane</t>
  </si>
  <si>
    <t>Grand Forks International</t>
  </si>
  <si>
    <t>Grand Forks</t>
  </si>
  <si>
    <t>Gregg County</t>
  </si>
  <si>
    <t>Longview</t>
  </si>
  <si>
    <t xml:space="preserve">Walker </t>
  </si>
  <si>
    <t>Grand Junction</t>
  </si>
  <si>
    <t>Gainesville Regional</t>
  </si>
  <si>
    <t>Gainesville</t>
  </si>
  <si>
    <t>Gulfport-Biloxi Regional</t>
  </si>
  <si>
    <t>Gulfport-Biloxi</t>
  </si>
  <si>
    <t>MS</t>
  </si>
  <si>
    <t>Austin Straubel International</t>
  </si>
  <si>
    <t>Green Bay</t>
  </si>
  <si>
    <t xml:space="preserve">Central Nebraska Regional </t>
  </si>
  <si>
    <t>Grand Island</t>
  </si>
  <si>
    <t>NE</t>
  </si>
  <si>
    <t>Robert Gray AAF</t>
  </si>
  <si>
    <t>Killeen</t>
  </si>
  <si>
    <t>Kent County International</t>
  </si>
  <si>
    <t>Grand Rapids</t>
  </si>
  <si>
    <t>Piedmont Triad International</t>
  </si>
  <si>
    <t>Greensboro</t>
  </si>
  <si>
    <t>Greenville-Spartanburg</t>
  </si>
  <si>
    <t>Greer</t>
  </si>
  <si>
    <t>Gustavus</t>
  </si>
  <si>
    <t>Great Falls Intl</t>
  </si>
  <si>
    <t>Great Falls</t>
  </si>
  <si>
    <t>Golden Triangle Regional</t>
  </si>
  <si>
    <t>Columbus-Starkville-West Point</t>
  </si>
  <si>
    <t>Gunnison County</t>
  </si>
  <si>
    <t>Gunnison</t>
  </si>
  <si>
    <t>Guam International</t>
  </si>
  <si>
    <t>Agana</t>
  </si>
  <si>
    <t>GU</t>
  </si>
  <si>
    <t>Yampa Valley</t>
  </si>
  <si>
    <t>Hayden</t>
  </si>
  <si>
    <t>Chisholm-Hibbing</t>
  </si>
  <si>
    <t>Hibbing</t>
  </si>
  <si>
    <t>Helena Regional</t>
  </si>
  <si>
    <t>Helena</t>
  </si>
  <si>
    <t>Honolulu International</t>
  </si>
  <si>
    <t>Honolulu</t>
  </si>
  <si>
    <t>HI</t>
  </si>
  <si>
    <t>Lea County Regional</t>
  </si>
  <si>
    <t>Hobbs</t>
  </si>
  <si>
    <t>William P X</t>
  </si>
  <si>
    <t>Houston</t>
  </si>
  <si>
    <t>Westchester Cty</t>
  </si>
  <si>
    <t>White Plains</t>
  </si>
  <si>
    <t>Valley International</t>
  </si>
  <si>
    <t>Harlingen</t>
  </si>
  <si>
    <t xml:space="preserve">Huntsville International </t>
  </si>
  <si>
    <t>Huntsville</t>
  </si>
  <si>
    <t xml:space="preserve">Tri-State Walker-Long </t>
  </si>
  <si>
    <t>Huntington</t>
  </si>
  <si>
    <t xml:space="preserve">Barnstable Mun Boardman Polando </t>
  </si>
  <si>
    <t>Hyannis</t>
  </si>
  <si>
    <t>Hays Municipal</t>
  </si>
  <si>
    <t>Hays</t>
  </si>
  <si>
    <t>Washington Dulles International</t>
  </si>
  <si>
    <t>Chantilly</t>
  </si>
  <si>
    <t>George Bush Intercontinental</t>
  </si>
  <si>
    <t>Wichita Mid-Continent</t>
  </si>
  <si>
    <t>Wichita</t>
  </si>
  <si>
    <t>Idaho Falls Regional</t>
  </si>
  <si>
    <t>Idaho Falls</t>
  </si>
  <si>
    <t xml:space="preserve">New Castle County </t>
  </si>
  <si>
    <t>Wilmington</t>
  </si>
  <si>
    <t>DE</t>
  </si>
  <si>
    <t>Wilmington International</t>
  </si>
  <si>
    <t>Ford</t>
  </si>
  <si>
    <t>Iron Mountain Kingsford</t>
  </si>
  <si>
    <t>Indianapolis International</t>
  </si>
  <si>
    <t>Indianapolis</t>
  </si>
  <si>
    <t>Falls International</t>
  </si>
  <si>
    <t>International Falls</t>
  </si>
  <si>
    <t>Imperial County</t>
  </si>
  <si>
    <t>Imperial</t>
  </si>
  <si>
    <t>Sloulin Field International</t>
  </si>
  <si>
    <t>Williston</t>
  </si>
  <si>
    <t>Long Island - MacArthur</t>
  </si>
  <si>
    <t>Islip</t>
  </si>
  <si>
    <t xml:space="preserve">Tompkins Cty </t>
  </si>
  <si>
    <t>Ithaca</t>
  </si>
  <si>
    <t>Hilo International</t>
  </si>
  <si>
    <t>Hilo</t>
  </si>
  <si>
    <t>Inyokern</t>
  </si>
  <si>
    <t>Jackson Hole</t>
  </si>
  <si>
    <t>Jackson</t>
  </si>
  <si>
    <t>Jackson International</t>
  </si>
  <si>
    <t>Jacksonville International</t>
  </si>
  <si>
    <t>Jacksonville</t>
  </si>
  <si>
    <t>John F Kennedy Intl</t>
  </si>
  <si>
    <t>New York</t>
  </si>
  <si>
    <t>Joplin Regional</t>
  </si>
  <si>
    <t>Joplin</t>
  </si>
  <si>
    <t>Jamestown Municipal</t>
  </si>
  <si>
    <t>Jamestown</t>
  </si>
  <si>
    <t>Juneau International</t>
  </si>
  <si>
    <t>Juneau</t>
  </si>
  <si>
    <t>Kona International At Keahole</t>
  </si>
  <si>
    <t>Kailua Kona</t>
  </si>
  <si>
    <t>Ketchikan International</t>
  </si>
  <si>
    <t>Ketchikan</t>
  </si>
  <si>
    <t>Capital City</t>
  </si>
  <si>
    <t>Lansing</t>
  </si>
  <si>
    <t>Laramie Regional</t>
  </si>
  <si>
    <t>Laramie</t>
  </si>
  <si>
    <t>McCarran International</t>
  </si>
  <si>
    <t>Las Vegas</t>
  </si>
  <si>
    <t>Lawton-Ft Sill Regional</t>
  </si>
  <si>
    <t>Lawton</t>
  </si>
  <si>
    <t>OK</t>
  </si>
  <si>
    <t>Los Angeles International</t>
  </si>
  <si>
    <t>Los Angeles</t>
  </si>
  <si>
    <t>Lubbock International</t>
  </si>
  <si>
    <t>Lubbock</t>
  </si>
  <si>
    <t>Lake Charles Regional</t>
  </si>
  <si>
    <t>Lake Charles</t>
  </si>
  <si>
    <t xml:space="preserve">Blue Grass </t>
  </si>
  <si>
    <t>Lexington</t>
  </si>
  <si>
    <t>Lafayette Regional</t>
  </si>
  <si>
    <t>Lafayette</t>
  </si>
  <si>
    <t>LaGuardia</t>
  </si>
  <si>
    <t>Long Beach (Daugherty )</t>
  </si>
  <si>
    <t>Long Beach</t>
  </si>
  <si>
    <t>Lihue</t>
  </si>
  <si>
    <t xml:space="preserve">Adams </t>
  </si>
  <si>
    <t>Little Rock</t>
  </si>
  <si>
    <t>Klamath Falls International</t>
  </si>
  <si>
    <t>Klamath Falls</t>
  </si>
  <si>
    <t>Lincoln Municipal</t>
  </si>
  <si>
    <t>Lincoln</t>
  </si>
  <si>
    <t>Laredo International</t>
  </si>
  <si>
    <t>Laredo</t>
  </si>
  <si>
    <t>La Crosse Municipal</t>
  </si>
  <si>
    <t>La Crosse</t>
  </si>
  <si>
    <t>Greenbrier Valley</t>
  </si>
  <si>
    <t>Lewisburg</t>
  </si>
  <si>
    <t>Lewiston-Nez Perce County</t>
  </si>
  <si>
    <t>Lewiston</t>
  </si>
  <si>
    <t xml:space="preserve">Lynchburg Municipal-Preston Glenn </t>
  </si>
  <si>
    <t>Lynchburg</t>
  </si>
  <si>
    <t>Midland International</t>
  </si>
  <si>
    <t>Midland</t>
  </si>
  <si>
    <t>Mbs International</t>
  </si>
  <si>
    <t>Saginaw</t>
  </si>
  <si>
    <t>Kansas City International</t>
  </si>
  <si>
    <t>Kansas City</t>
  </si>
  <si>
    <t>Middle Georgia Regional</t>
  </si>
  <si>
    <t>Macon</t>
  </si>
  <si>
    <t>Orlando International</t>
  </si>
  <si>
    <t>Orlando</t>
  </si>
  <si>
    <t>Harrisburg Intl</t>
  </si>
  <si>
    <t>Harrisburg</t>
  </si>
  <si>
    <t>Chicago Midway</t>
  </si>
  <si>
    <t>Chicago</t>
  </si>
  <si>
    <t xml:space="preserve">Key </t>
  </si>
  <si>
    <t>Meridian</t>
  </si>
  <si>
    <t>Memphis International</t>
  </si>
  <si>
    <t>Memphis</t>
  </si>
  <si>
    <t>McAllen Miller International</t>
  </si>
  <si>
    <t>McAllen</t>
  </si>
  <si>
    <t>Rogue Valley International</t>
  </si>
  <si>
    <t>Medford</t>
  </si>
  <si>
    <t>Montgomery Regional Apt</t>
  </si>
  <si>
    <t>Montgomery</t>
  </si>
  <si>
    <t>Manhattan Regional</t>
  </si>
  <si>
    <t>Manhattan</t>
  </si>
  <si>
    <t>Manchester</t>
  </si>
  <si>
    <t>NH</t>
  </si>
  <si>
    <t>Miami International</t>
  </si>
  <si>
    <t>Miami</t>
  </si>
  <si>
    <t>General Mitchell International</t>
  </si>
  <si>
    <t>Milwaukee</t>
  </si>
  <si>
    <t>Muskegon County</t>
  </si>
  <si>
    <t>Muskegon</t>
  </si>
  <si>
    <t xml:space="preserve">Melbourne International </t>
  </si>
  <si>
    <t>Melbourne</t>
  </si>
  <si>
    <t>Quad City</t>
  </si>
  <si>
    <t>Moline</t>
  </si>
  <si>
    <t>Monroe Regional</t>
  </si>
  <si>
    <t>Monroe</t>
  </si>
  <si>
    <t>Mammoth Yosemite</t>
  </si>
  <si>
    <t>Mammoth Lakes</t>
  </si>
  <si>
    <t>Mobile Regional</t>
  </si>
  <si>
    <t>Mobile</t>
  </si>
  <si>
    <t xml:space="preserve">Modesto City-County-Harry Sham </t>
  </si>
  <si>
    <t>Modesto</t>
  </si>
  <si>
    <t>Minot International</t>
  </si>
  <si>
    <t>Minot</t>
  </si>
  <si>
    <t>Marquette County Airport</t>
  </si>
  <si>
    <t>Monterey Peninsula</t>
  </si>
  <si>
    <t>Monterey</t>
  </si>
  <si>
    <t>Dane County Regional</t>
  </si>
  <si>
    <t>Madison</t>
  </si>
  <si>
    <t>Missoula International</t>
  </si>
  <si>
    <t>Missoula</t>
  </si>
  <si>
    <t>Minneapolis-St Paul Intl</t>
  </si>
  <si>
    <t>Minneapolis</t>
  </si>
  <si>
    <t xml:space="preserve">New Orleans International </t>
  </si>
  <si>
    <t>New Orleans</t>
  </si>
  <si>
    <t>Montrose Regional</t>
  </si>
  <si>
    <t>Montrose</t>
  </si>
  <si>
    <t>Marthas Vineyard</t>
  </si>
  <si>
    <t>Grant County</t>
  </si>
  <si>
    <t>Moses Lake</t>
  </si>
  <si>
    <t>Myrtle Beach International</t>
  </si>
  <si>
    <t>Myrtle Beach</t>
  </si>
  <si>
    <t>Albert J Ellis</t>
  </si>
  <si>
    <t>Metropolitan Oakland International</t>
  </si>
  <si>
    <t>Oakland</t>
  </si>
  <si>
    <t>Kahului</t>
  </si>
  <si>
    <t>Will Rogers World</t>
  </si>
  <si>
    <t>Oklahoma City</t>
  </si>
  <si>
    <t>Eppley Airfield</t>
  </si>
  <si>
    <t>Omaha</t>
  </si>
  <si>
    <t>Nome</t>
  </si>
  <si>
    <t>Ontario International</t>
  </si>
  <si>
    <t>Ontario</t>
  </si>
  <si>
    <t>Chicago O'Hare International</t>
  </si>
  <si>
    <t>Norfolk International</t>
  </si>
  <si>
    <t>Norfolk</t>
  </si>
  <si>
    <t>Worcester Regional</t>
  </si>
  <si>
    <t>Worcester</t>
  </si>
  <si>
    <t>North Bend Muni</t>
  </si>
  <si>
    <t>North Bend</t>
  </si>
  <si>
    <t>Ralph Wien Memorial</t>
  </si>
  <si>
    <t>Kotzebue</t>
  </si>
  <si>
    <t>Oxnard</t>
  </si>
  <si>
    <t>Barkley Regional</t>
  </si>
  <si>
    <t>Paducah</t>
  </si>
  <si>
    <t>Palm Beach International</t>
  </si>
  <si>
    <t>West Palm Beach</t>
  </si>
  <si>
    <t>Portland Intl</t>
  </si>
  <si>
    <t>Portland</t>
  </si>
  <si>
    <t>Panama City-Bay County International</t>
  </si>
  <si>
    <t>Panama City</t>
  </si>
  <si>
    <t>Newport News Williamsburg International</t>
  </si>
  <si>
    <t>Newport News</t>
  </si>
  <si>
    <t>Philadelphia Intl</t>
  </si>
  <si>
    <t>Philadelphia</t>
  </si>
  <si>
    <t>Phoenix Sky Harbor International</t>
  </si>
  <si>
    <t>Phoenix</t>
  </si>
  <si>
    <t>Greater Peoria Regional</t>
  </si>
  <si>
    <t>Peoria</t>
  </si>
  <si>
    <t>Hattiesburg-Laurel Regional</t>
  </si>
  <si>
    <t>Hattiesburg-Laurel</t>
  </si>
  <si>
    <t>St. Petersburg-Clearwater International</t>
  </si>
  <si>
    <t>St. Petersburg</t>
  </si>
  <si>
    <t>Pocatello Regional</t>
  </si>
  <si>
    <t>Pocatello</t>
  </si>
  <si>
    <t>Pierre Regional</t>
  </si>
  <si>
    <t>Pierre</t>
  </si>
  <si>
    <t>Pittsburgh International</t>
  </si>
  <si>
    <t>Pittsburgh</t>
  </si>
  <si>
    <t>Pellston Regional  of Emmet County</t>
  </si>
  <si>
    <t>Pellston</t>
  </si>
  <si>
    <t>Pensacola Regional</t>
  </si>
  <si>
    <t>Pensacola</t>
  </si>
  <si>
    <t>Pago Pago International</t>
  </si>
  <si>
    <t>Pago Pago</t>
  </si>
  <si>
    <t>Tri-Cities</t>
  </si>
  <si>
    <t>Pasco</t>
  </si>
  <si>
    <t>Mercedita</t>
  </si>
  <si>
    <t>Ponce</t>
  </si>
  <si>
    <t>James C. Johnson Petersburg</t>
  </si>
  <si>
    <t>Petersburg</t>
  </si>
  <si>
    <t>Palm Springs International</t>
  </si>
  <si>
    <t>Palm Springs</t>
  </si>
  <si>
    <t>Pueblo Memorial</t>
  </si>
  <si>
    <t>Pueblo</t>
  </si>
  <si>
    <t>Theodore F Green State</t>
  </si>
  <si>
    <t>Providence</t>
  </si>
  <si>
    <t>Portland International Jetport</t>
  </si>
  <si>
    <t>Rapid City Regional</t>
  </si>
  <si>
    <t>Rapid City</t>
  </si>
  <si>
    <t>Redding Municipal</t>
  </si>
  <si>
    <t>Redding</t>
  </si>
  <si>
    <t xml:space="preserve">Roberts </t>
  </si>
  <si>
    <t>Redmond</t>
  </si>
  <si>
    <t>Raleigh-Durham International</t>
  </si>
  <si>
    <t>Raleigh</t>
  </si>
  <si>
    <t>Greater Rockford</t>
  </si>
  <si>
    <t>Rockford</t>
  </si>
  <si>
    <t>Rhinelander-Oneida County</t>
  </si>
  <si>
    <t>Rhinelander</t>
  </si>
  <si>
    <t>Richmond International</t>
  </si>
  <si>
    <t>Richmond</t>
  </si>
  <si>
    <t>Rock Springs-Sweetwater County</t>
  </si>
  <si>
    <t>Rock Springs</t>
  </si>
  <si>
    <t>Reno Tahoe International</t>
  </si>
  <si>
    <t>Reno</t>
  </si>
  <si>
    <t xml:space="preserve">Roanoke Regional  Woodrum </t>
  </si>
  <si>
    <t>Roanoke</t>
  </si>
  <si>
    <t>Greater Rochester Int'l</t>
  </si>
  <si>
    <t>Rochester</t>
  </si>
  <si>
    <t>Roswell Industrial Air Center</t>
  </si>
  <si>
    <t>Roswell</t>
  </si>
  <si>
    <t>Rochester International</t>
  </si>
  <si>
    <t>Southwest Florida International</t>
  </si>
  <si>
    <t>Ft. Myers</t>
  </si>
  <si>
    <t>Santa Fe Municipal</t>
  </si>
  <si>
    <t>Santa Fe</t>
  </si>
  <si>
    <t xml:space="preserve">San Diego International-Lindbergh </t>
  </si>
  <si>
    <t>San Diego</t>
  </si>
  <si>
    <t>San Antonio International</t>
  </si>
  <si>
    <t>San Antonio</t>
  </si>
  <si>
    <t>Savannah International</t>
  </si>
  <si>
    <t>Savannah</t>
  </si>
  <si>
    <t>Santa Barbara Municipal</t>
  </si>
  <si>
    <t>Santa Barbara</t>
  </si>
  <si>
    <t>South Bend Regional</t>
  </si>
  <si>
    <t>South Bend</t>
  </si>
  <si>
    <t xml:space="preserve">San Luis Obispo Co-McChesney </t>
  </si>
  <si>
    <t>San Luis Obispo</t>
  </si>
  <si>
    <t>Deadhorse</t>
  </si>
  <si>
    <t>University Park</t>
  </si>
  <si>
    <t xml:space="preserve">Louisville International-Standiford </t>
  </si>
  <si>
    <t>Louisville</t>
  </si>
  <si>
    <t>Seattle-Tacoma Intl</t>
  </si>
  <si>
    <t>Seattle</t>
  </si>
  <si>
    <t>San Francisco International</t>
  </si>
  <si>
    <t>San Francisco</t>
  </si>
  <si>
    <t>Springfield-Branson Regional</t>
  </si>
  <si>
    <t>Springfield</t>
  </si>
  <si>
    <t>St George Muni</t>
  </si>
  <si>
    <t>St George</t>
  </si>
  <si>
    <t>Shenandoah Valley Regional</t>
  </si>
  <si>
    <t>Staunton Harrisonburg</t>
  </si>
  <si>
    <t>Shreveport Regional</t>
  </si>
  <si>
    <t>Shreveport</t>
  </si>
  <si>
    <t>Sitka</t>
  </si>
  <si>
    <t>San Jose International</t>
  </si>
  <si>
    <t>San Jose</t>
  </si>
  <si>
    <t xml:space="preserve">San Angelo Regional  Mathis </t>
  </si>
  <si>
    <t>San Angelo</t>
  </si>
  <si>
    <t>Luis Munoz Marin International</t>
  </si>
  <si>
    <t>San Juan</t>
  </si>
  <si>
    <t>Salt Lake City Intl</t>
  </si>
  <si>
    <t>Salt Lake City</t>
  </si>
  <si>
    <t>Sacramento International</t>
  </si>
  <si>
    <t>Sacramento</t>
  </si>
  <si>
    <t xml:space="preserve">Santa Maria Pub Capt G Allan Hancock </t>
  </si>
  <si>
    <t>Santa Maria</t>
  </si>
  <si>
    <t>John Wayne  Orange Co</t>
  </si>
  <si>
    <t>Santa Ana</t>
  </si>
  <si>
    <t>Capital</t>
  </si>
  <si>
    <t>Tinian International Airport</t>
  </si>
  <si>
    <t>N Mariana Islands</t>
  </si>
  <si>
    <t>Sheppard AFB Wichita Falls Municipal</t>
  </si>
  <si>
    <t>Wichita Falls</t>
  </si>
  <si>
    <t>Sarasota Bradenton International</t>
  </si>
  <si>
    <t>Sarasota</t>
  </si>
  <si>
    <t>St Cloud Regional</t>
  </si>
  <si>
    <t>St Cloud</t>
  </si>
  <si>
    <t>Lambert-St Louis International</t>
  </si>
  <si>
    <t>St Louis</t>
  </si>
  <si>
    <t>Cyril E. King</t>
  </si>
  <si>
    <t>Charlotte Amalie</t>
  </si>
  <si>
    <t xml:space="preserve">Henry E. Rohlsen </t>
  </si>
  <si>
    <t>Christiansted</t>
  </si>
  <si>
    <t>Friedman Memorial</t>
  </si>
  <si>
    <t>Hailey</t>
  </si>
  <si>
    <t xml:space="preserve">Sioux Gateway </t>
  </si>
  <si>
    <t>Sioux City</t>
  </si>
  <si>
    <t>Stewart</t>
  </si>
  <si>
    <t>Newburgh</t>
  </si>
  <si>
    <t>Syracuse-Hancock Intl</t>
  </si>
  <si>
    <t>Syracuse</t>
  </si>
  <si>
    <t>Telluride Regional</t>
  </si>
  <si>
    <t>Telluride</t>
  </si>
  <si>
    <t>Tallahassee Regional</t>
  </si>
  <si>
    <t>Tallahassee</t>
  </si>
  <si>
    <t>Toledo Express</t>
  </si>
  <si>
    <t>Toledo</t>
  </si>
  <si>
    <t xml:space="preserve">Tampa International </t>
  </si>
  <si>
    <t>Tampa</t>
  </si>
  <si>
    <t>Tri-Cities Regional</t>
  </si>
  <si>
    <t>Bristol</t>
  </si>
  <si>
    <t xml:space="preserve">Trenton-Mercer County </t>
  </si>
  <si>
    <t>Trenton</t>
  </si>
  <si>
    <t>Tulsa International</t>
  </si>
  <si>
    <t>Tulsa</t>
  </si>
  <si>
    <t xml:space="preserve">Tupelo Municipal </t>
  </si>
  <si>
    <t>Tupelo</t>
  </si>
  <si>
    <t>Tucson International</t>
  </si>
  <si>
    <t>Tucson</t>
  </si>
  <si>
    <t>Cherry Capital</t>
  </si>
  <si>
    <t>Traverse City</t>
  </si>
  <si>
    <t>Joslin Field - Magic Valley</t>
  </si>
  <si>
    <t>Twin Falls</t>
  </si>
  <si>
    <t xml:space="preserve">Texarkana Regional-Webb </t>
  </si>
  <si>
    <t>Texarkana</t>
  </si>
  <si>
    <t xml:space="preserve">Tyler Pounds </t>
  </si>
  <si>
    <t>Tyler</t>
  </si>
  <si>
    <t>McGhee-Tyson</t>
  </si>
  <si>
    <t>Knoxville</t>
  </si>
  <si>
    <t>Vernal</t>
  </si>
  <si>
    <t>Valdosta Regional</t>
  </si>
  <si>
    <t>Valdosta</t>
  </si>
  <si>
    <t>Eglin Air Force Base</t>
  </si>
  <si>
    <t>Valparaiso</t>
  </si>
  <si>
    <t>Wrangell</t>
  </si>
  <si>
    <t>Yellowstone</t>
  </si>
  <si>
    <t>West Yellowstone</t>
  </si>
  <si>
    <t>Northwest Arkansas Regional</t>
  </si>
  <si>
    <t>Fayetteville Springdale Rogers</t>
  </si>
  <si>
    <t>Yakutat</t>
  </si>
  <si>
    <t>Yuma MCAS-Yuma International</t>
  </si>
  <si>
    <t>Yuma</t>
  </si>
  <si>
    <t>Punta Gorda Airport</t>
  </si>
  <si>
    <t>Punta Gorda</t>
  </si>
  <si>
    <t>San Luis Valley Regional Airport</t>
  </si>
  <si>
    <t>Alamosa</t>
  </si>
  <si>
    <t>Walla Walla Regional Airport</t>
  </si>
  <si>
    <t>Walla Walla</t>
  </si>
  <si>
    <t>Pullman-Moscow Regional Airport</t>
  </si>
  <si>
    <t>Pullman</t>
  </si>
  <si>
    <t>Watertown Regional Airport</t>
  </si>
  <si>
    <t>Phoenix-Mesa Gateway Airport</t>
  </si>
  <si>
    <t>Mesa</t>
  </si>
  <si>
    <t>MidAmerica St. Louis Airport</t>
  </si>
  <si>
    <t>Mascoutah</t>
  </si>
  <si>
    <t>Western Nebraska-Scottsbluff Regional Airport</t>
  </si>
  <si>
    <t>Scottsbluff</t>
  </si>
  <si>
    <t>North Platte-Lee Bird Regional Airport</t>
  </si>
  <si>
    <t>North Platte</t>
  </si>
  <si>
    <t>Mobile International Airport</t>
  </si>
  <si>
    <t>Wenatchee</t>
  </si>
  <si>
    <t>Pangborn Memorial</t>
  </si>
  <si>
    <t>Portsmouth International at Pease Airport</t>
  </si>
  <si>
    <t>Portsmouth</t>
  </si>
  <si>
    <t>Orlando Sanford International Airport</t>
  </si>
  <si>
    <t>Eastern Sierra Regional Airport</t>
  </si>
  <si>
    <t>Branson Airport</t>
  </si>
  <si>
    <t>Branson</t>
  </si>
  <si>
    <t>Cold Bay Airport</t>
  </si>
  <si>
    <t>Cold Bay</t>
  </si>
  <si>
    <t>Cape Girardeau Regional Airport</t>
  </si>
  <si>
    <t>Cape Girardeau</t>
  </si>
  <si>
    <t>North Central West Virginia Airport</t>
  </si>
  <si>
    <t>Bridgeport</t>
  </si>
  <si>
    <t>Dodge City Regional Airport</t>
  </si>
  <si>
    <t>Dodge City</t>
  </si>
  <si>
    <t>Decatur Airport</t>
  </si>
  <si>
    <t>Decatur</t>
  </si>
  <si>
    <t>Tom Madsen (Dutch Harbor) Airport</t>
  </si>
  <si>
    <t>Unalaska</t>
  </si>
  <si>
    <t>Kearney Regional Airport</t>
  </si>
  <si>
    <t>Kearney</t>
  </si>
  <si>
    <t>Northwest Florida Beaches International Airport</t>
  </si>
  <si>
    <t>Panama City Beach</t>
  </si>
  <si>
    <t>Fort Dodge Regional Airport</t>
  </si>
  <si>
    <t>Fort Dodge</t>
  </si>
  <si>
    <t>Hagerstown Regional Richard A Henson Field</t>
  </si>
  <si>
    <t>Hagerstown</t>
  </si>
  <si>
    <t>Hilton Head Airport</t>
  </si>
  <si>
    <t>Hilton Head Island</t>
  </si>
  <si>
    <t>Tweed New Haven Airport</t>
  </si>
  <si>
    <t>New Haven</t>
  </si>
  <si>
    <t>Niagara Falls International Airport</t>
  </si>
  <si>
    <t>Niagara Falls</t>
  </si>
  <si>
    <t>Laughlin Bullhead International Airport</t>
  </si>
  <si>
    <t>Bullhead City</t>
  </si>
  <si>
    <t>Williamsport Regional Airport</t>
  </si>
  <si>
    <t>Williamsport</t>
  </si>
  <si>
    <t>Kapalua Airport</t>
  </si>
  <si>
    <t>Lahaina</t>
  </si>
  <si>
    <t>John Murtha Johnstown Cambria County Airport</t>
  </si>
  <si>
    <t>Johnstown</t>
  </si>
  <si>
    <t>Arnold Palmer Regional Airport</t>
  </si>
  <si>
    <t>Latrobe</t>
  </si>
  <si>
    <t>Liberal Mid-America Regional Airport</t>
  </si>
  <si>
    <t>Liberal</t>
  </si>
  <si>
    <t>Rickenbacker International Airport</t>
  </si>
  <si>
    <t>Lanai Airport</t>
  </si>
  <si>
    <t>Lanai City</t>
  </si>
  <si>
    <t>Mason City Municipal Airport</t>
  </si>
  <si>
    <t>Clear Lake</t>
  </si>
  <si>
    <t>Molokai Airport</t>
  </si>
  <si>
    <t>Kaunakakai</t>
  </si>
  <si>
    <t>Ogden Hinckley Airport</t>
  </si>
  <si>
    <t>Ogden</t>
  </si>
  <si>
    <t>Ogdensburg International Airport</t>
  </si>
  <si>
    <t>Ogdensburg</t>
  </si>
  <si>
    <t>Snohomish County (Paine Field) Airport</t>
  </si>
  <si>
    <t>Everett</t>
  </si>
  <si>
    <t>Plattsburgh International Airport</t>
  </si>
  <si>
    <t>Plattsburgh</t>
  </si>
  <si>
    <t>Pitt Greenville Airport</t>
  </si>
  <si>
    <t>Greenville</t>
  </si>
  <si>
    <t>Presque Isle International Airport</t>
  </si>
  <si>
    <t>Presque Isle</t>
  </si>
  <si>
    <t>Prescott International Airport - Ernest A. Love Field</t>
  </si>
  <si>
    <t>Prescott</t>
  </si>
  <si>
    <t>Provo-Utah Lake International Airport</t>
  </si>
  <si>
    <t>Provo</t>
  </si>
  <si>
    <t>Riverton Regional Airport</t>
  </si>
  <si>
    <t>Riverton</t>
  </si>
  <si>
    <t>Rota International Airport</t>
  </si>
  <si>
    <t>Rota Island</t>
  </si>
  <si>
    <t>MP</t>
  </si>
  <si>
    <t>Salisbury Ocean City Wicomico Regional Airport</t>
  </si>
  <si>
    <t>Salisbury</t>
  </si>
  <si>
    <t>Stockton Metropolitan Airport</t>
  </si>
  <si>
    <t>Stockton</t>
  </si>
  <si>
    <t>Sheridan County Airport</t>
  </si>
  <si>
    <t>Sheridan</t>
  </si>
  <si>
    <t>Salina Municipal Airport</t>
  </si>
  <si>
    <t>Salina</t>
  </si>
  <si>
    <t>Charles M. Schulz Sonoma County Airport</t>
  </si>
  <si>
    <t>Santa Rosa</t>
  </si>
  <si>
    <t>Stillwater Regional Airport</t>
  </si>
  <si>
    <t>Stillwater</t>
  </si>
  <si>
    <t>Waynesville-St. Robert Regional Forney field</t>
  </si>
  <si>
    <t>Fort Leonard Wood</t>
  </si>
  <si>
    <t>Quincy Regional Baldwin Field</t>
  </si>
  <si>
    <t>Quincy</t>
  </si>
  <si>
    <t>Concord-Padgett Regional Airport</t>
  </si>
  <si>
    <t>Concord</t>
  </si>
  <si>
    <t>Victoria Regional Airport</t>
  </si>
  <si>
    <t>Victoria</t>
  </si>
  <si>
    <t>Williston Basin International Airport</t>
  </si>
  <si>
    <t>Yakima Air Terminal McAllister Field</t>
  </si>
  <si>
    <t>Yakima</t>
  </si>
  <si>
    <t>Youngstown Warren Regional Airport</t>
  </si>
  <si>
    <t>Youngstown/Warren</t>
  </si>
  <si>
    <t>TT</t>
  </si>
  <si>
    <t>Owensboro Daviess County Airport</t>
  </si>
  <si>
    <t>Owensboro</t>
  </si>
  <si>
    <t>Type</t>
  </si>
  <si>
    <t>Elevation_ft</t>
  </si>
  <si>
    <t>small_airport</t>
  </si>
  <si>
    <t>closed</t>
  </si>
  <si>
    <t>medium_airport</t>
  </si>
  <si>
    <t>large_airport</t>
  </si>
  <si>
    <t>In Survey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</si>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</sst>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</cellStyleXfs>
  <cellXfs count="10">
    <xf numFmtId="0" fontId="0" fillId="0" borderId="0" xfId="0"/>
    <xf numFmtId="11" fontId="0" fillId="0" borderId="0" xfId="0" applyNumberFormat="1"/>
    <xf numFmtId="0" fontId="18" fillId="33" borderId="10" xfId="42" applyFont="1" applyFill="1" applyBorder="1" applyAlignment="1">
      <alignment horizontal="center"/>
    </xf>
    <xf numFmtId="0" fontId="18" fillId="0" borderId="11" xfId="42" applyFont="1" applyBorder="1" applyAlignment="1">
      <alignment horizontal="right" wrapText="1"/>
    </xf>
    <xf numFmtId="0" fontId="21" fillId="33" borderId="10" xfId="43" applyFont="1" applyFill="1" applyBorder="1" applyAlignment="1">
      <alignment horizontal="center"/>
    </xf>
    <xf numFmtId="0" fontId="21" fillId="0" borderId="11" xfId="43" applyFont="1" applyBorder="1" applyAlignment="1">
      <alignment wrapText="1"/>
    </xf>
    <xf numFmtId="0" fontId="18" fillId="0" borderId="11" xfId="43" applyFont="1" applyBorder="1" applyAlignment="1">
      <alignment wrapText="1"/>
    </xf>
    <xf numFmtId="0" fontId="18" fillId="0" borderId="0" xfId="43" applyFont="1" applyAlignment="1">
      <alignment wrapText="1"/>
    </xf>
    <xf numFmtId="0" fontId="0" fillId="0" borderId="11" xfId="0" applyBorder="1"/>
    <xf numFmtId="0" fontId="0" fillId="0" borderId="12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Routes" xfId="43" xr:uid="{A5D9B34B-2CA9-45D5-BBEC-1538D95A406C}"/>
    <cellStyle name="Normal_Sheet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Style="combo" dx="22" fmlaLink="$H$2" fmlaRange="airports!$A$2:$A$355" noThreeD="1" sel="3" val="0"/>
</file>

<file path=xl/ctrlProps/ctrlProp2.xml><?xml version="1.0" encoding="utf-8"?>
<formControlPr xmlns="http://schemas.microsoft.com/office/spreadsheetml/2009/9/main" objectType="Drop" dropStyle="combo" dx="22" fmlaLink="$H$3" fmlaRange="airports!$A$2:$A$355" noThreeD="1" sel="29" val="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</xdr:row>
          <xdr:rowOff>0</xdr:rowOff>
        </xdr:from>
        <xdr:to>
          <xdr:col>7</xdr:col>
          <xdr:colOff>657225</xdr:colOff>
          <xdr:row>1</xdr:row>
          <xdr:rowOff>180975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2</xdr:row>
          <xdr:rowOff>9525</xdr:rowOff>
        </xdr:from>
        <xdr:to>
          <xdr:col>7</xdr:col>
          <xdr:colOff>657225</xdr:colOff>
          <xdr:row>3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workbookViewId="0">
      <selection activeCell="K405" sqref="K405"/>
    </sheetView>
  </sheetViews>
  <sheetFormatPr defaultRowHeight="15" x14ac:dyDescent="0.25"/>
  <cols>
    <col min="2" max="2" width="39.42578125" bestFit="1" customWidth="1"/>
    <col min="3" max="3" width="30" bestFit="1" customWidth="1"/>
    <col min="6" max="6" width="50.42578125" customWidth="1"/>
  </cols>
  <sheetData>
    <row r="1" spans="1:11" x14ac:dyDescent="0.25">
      <c r="A1" t="s">
        <v>21613</v>
      </c>
      <c r="B1" t="s">
        <v>21614</v>
      </c>
      <c r="C1" t="s">
        <v>21615</v>
      </c>
      <c r="D1" t="s">
        <v>1</v>
      </c>
      <c r="E1" t="s">
        <v>21616</v>
      </c>
      <c r="F1" t="s">
        <v>8770</v>
      </c>
      <c r="G1" t="s">
        <v>21617</v>
      </c>
      <c r="H1" t="s">
        <v>21618</v>
      </c>
      <c r="I1" t="s">
        <v>22407</v>
      </c>
      <c r="J1" t="s">
        <v>22406</v>
      </c>
      <c r="K1" t="s">
        <v>22412</v>
      </c>
    </row>
    <row r="2" spans="1:11" x14ac:dyDescent="0.25">
      <c r="A2" t="s">
        <v>170</v>
      </c>
      <c r="B2" t="s">
        <v>21619</v>
      </c>
      <c r="C2" t="s">
        <v>21620</v>
      </c>
      <c r="D2" t="s">
        <v>103</v>
      </c>
      <c r="E2" t="s">
        <v>4</v>
      </c>
      <c r="F2" t="str">
        <f>VLOOKUP(A2,L_AIRPORT!A:B,2)</f>
        <v>Allentown/Bethlehem/Easton, PA: Lehigh Valley International</v>
      </c>
      <c r="G2">
        <v>40.652362779999997</v>
      </c>
      <c r="H2">
        <v>-75.44040167</v>
      </c>
      <c r="I2">
        <v>393</v>
      </c>
      <c r="J2" t="s">
        <v>22410</v>
      </c>
      <c r="K2" t="s">
        <v>22413</v>
      </c>
    </row>
    <row r="3" spans="1:11" x14ac:dyDescent="0.25">
      <c r="A3" t="s">
        <v>194</v>
      </c>
      <c r="B3" t="s">
        <v>21621</v>
      </c>
      <c r="C3" t="s">
        <v>21622</v>
      </c>
      <c r="D3" t="s">
        <v>14</v>
      </c>
      <c r="E3" t="s">
        <v>4</v>
      </c>
      <c r="F3" t="str">
        <f>VLOOKUP(A3,L_AIRPORT!A:B,2)</f>
        <v>Abilene, TX: Abilene Regional</v>
      </c>
      <c r="G3">
        <v>32.411320000000003</v>
      </c>
      <c r="H3">
        <v>-99.681897219999996</v>
      </c>
      <c r="I3">
        <v>1791</v>
      </c>
      <c r="J3" t="s">
        <v>22410</v>
      </c>
      <c r="K3" t="s">
        <v>22413</v>
      </c>
    </row>
    <row r="4" spans="1:11" x14ac:dyDescent="0.25">
      <c r="A4" t="s">
        <v>2</v>
      </c>
      <c r="B4" t="s">
        <v>21623</v>
      </c>
      <c r="C4" t="s">
        <v>21624</v>
      </c>
      <c r="D4" t="s">
        <v>3</v>
      </c>
      <c r="E4" t="s">
        <v>4</v>
      </c>
      <c r="F4" t="str">
        <f>VLOOKUP(A4,L_AIRPORT!A:B,2)</f>
        <v>Albuquerque, NM: Albuquerque International Sunport</v>
      </c>
      <c r="G4">
        <v>35.040222219999997</v>
      </c>
      <c r="H4">
        <v>-106.60919440000001</v>
      </c>
      <c r="I4">
        <v>5355</v>
      </c>
      <c r="J4" t="s">
        <v>22410</v>
      </c>
      <c r="K4" t="s">
        <v>22413</v>
      </c>
    </row>
    <row r="5" spans="1:11" x14ac:dyDescent="0.25">
      <c r="A5" t="s">
        <v>229</v>
      </c>
      <c r="B5" t="s">
        <v>21625</v>
      </c>
      <c r="C5" t="s">
        <v>21626</v>
      </c>
      <c r="D5" t="s">
        <v>21627</v>
      </c>
      <c r="E5" t="s">
        <v>4</v>
      </c>
      <c r="F5" t="str">
        <f>VLOOKUP(A5,L_AIRPORT!A:B,2)</f>
        <v>Aberdeen, SD: Aberdeen Regional</v>
      </c>
      <c r="G5">
        <v>45.449055559999998</v>
      </c>
      <c r="H5">
        <v>-98.421833329999998</v>
      </c>
      <c r="I5">
        <v>1302</v>
      </c>
      <c r="J5" t="s">
        <v>22410</v>
      </c>
      <c r="K5" t="s">
        <v>22413</v>
      </c>
    </row>
    <row r="6" spans="1:11" x14ac:dyDescent="0.25">
      <c r="A6" t="s">
        <v>231</v>
      </c>
      <c r="B6" t="s">
        <v>21628</v>
      </c>
      <c r="C6" t="s">
        <v>21629</v>
      </c>
      <c r="D6" t="s">
        <v>11</v>
      </c>
      <c r="E6" t="s">
        <v>4</v>
      </c>
      <c r="F6" t="str">
        <f>VLOOKUP(A6,L_AIRPORT!A:B,2)</f>
        <v>Albany, GA: Southwest Georgia Regional</v>
      </c>
      <c r="G6">
        <v>31.535515</v>
      </c>
      <c r="H6">
        <v>-84.194473329999994</v>
      </c>
      <c r="I6">
        <v>197</v>
      </c>
      <c r="J6" t="s">
        <v>22410</v>
      </c>
      <c r="K6" t="s">
        <v>22413</v>
      </c>
    </row>
    <row r="7" spans="1:11" x14ac:dyDescent="0.25">
      <c r="A7" t="s">
        <v>5</v>
      </c>
      <c r="B7" t="s">
        <v>21630</v>
      </c>
      <c r="C7" t="s">
        <v>21631</v>
      </c>
      <c r="D7" t="s">
        <v>6</v>
      </c>
      <c r="E7" t="s">
        <v>4</v>
      </c>
      <c r="F7" t="str">
        <f>VLOOKUP(A7,L_AIRPORT!A:B,2)</f>
        <v>Nantucket, MA: Nantucket Memorial</v>
      </c>
      <c r="G7">
        <v>41.253051939999999</v>
      </c>
      <c r="H7">
        <v>-70.060181389999997</v>
      </c>
      <c r="I7">
        <v>47</v>
      </c>
      <c r="J7" t="s">
        <v>22410</v>
      </c>
      <c r="K7" t="s">
        <v>22413</v>
      </c>
    </row>
    <row r="8" spans="1:11" x14ac:dyDescent="0.25">
      <c r="A8" t="s">
        <v>245</v>
      </c>
      <c r="B8" t="s">
        <v>21632</v>
      </c>
      <c r="C8" t="s">
        <v>21633</v>
      </c>
      <c r="D8" t="s">
        <v>14</v>
      </c>
      <c r="E8" t="s">
        <v>4</v>
      </c>
      <c r="F8" t="str">
        <f>VLOOKUP(A8,L_AIRPORT!A:B,2)</f>
        <v>Waco, TX: Waco Regional</v>
      </c>
      <c r="G8">
        <v>31.611288330000001</v>
      </c>
      <c r="H8">
        <v>-97.230519169999994</v>
      </c>
      <c r="I8">
        <v>516</v>
      </c>
      <c r="J8" t="s">
        <v>22410</v>
      </c>
      <c r="K8" t="s">
        <v>22413</v>
      </c>
    </row>
    <row r="9" spans="1:11" x14ac:dyDescent="0.25">
      <c r="A9" t="s">
        <v>247</v>
      </c>
      <c r="B9" t="s">
        <v>21634</v>
      </c>
      <c r="C9" t="s">
        <v>21635</v>
      </c>
      <c r="D9" t="s">
        <v>31</v>
      </c>
      <c r="E9" t="s">
        <v>4</v>
      </c>
      <c r="F9" t="str">
        <f>VLOOKUP(A9,L_AIRPORT!A:B,2)</f>
        <v>Arcata/Eureka, CA: California Redwood Coast Humboldt County</v>
      </c>
      <c r="G9">
        <v>40.978115279999997</v>
      </c>
      <c r="H9">
        <v>-124.1086189</v>
      </c>
      <c r="I9">
        <v>221</v>
      </c>
      <c r="J9" t="s">
        <v>22410</v>
      </c>
      <c r="K9" t="s">
        <v>22413</v>
      </c>
    </row>
    <row r="10" spans="1:11" x14ac:dyDescent="0.25">
      <c r="A10" t="s">
        <v>252</v>
      </c>
      <c r="B10" t="s">
        <v>21636</v>
      </c>
      <c r="C10" t="s">
        <v>21637</v>
      </c>
      <c r="D10" t="s">
        <v>53</v>
      </c>
      <c r="E10" t="s">
        <v>4</v>
      </c>
      <c r="F10" t="str">
        <f>VLOOKUP(A10,L_AIRPORT!A:B,2)</f>
        <v>Atlantic City, NJ: Atlantic City International</v>
      </c>
      <c r="G10">
        <v>39.457583329999999</v>
      </c>
      <c r="H10">
        <v>-74.577166669999997</v>
      </c>
      <c r="I10">
        <v>75</v>
      </c>
      <c r="J10" t="s">
        <v>22410</v>
      </c>
      <c r="K10" t="s">
        <v>22413</v>
      </c>
    </row>
    <row r="11" spans="1:11" x14ac:dyDescent="0.25">
      <c r="A11" t="s">
        <v>264</v>
      </c>
      <c r="B11" t="s">
        <v>21638</v>
      </c>
      <c r="C11" t="s">
        <v>21638</v>
      </c>
      <c r="D11" t="s">
        <v>21639</v>
      </c>
      <c r="E11" t="s">
        <v>4</v>
      </c>
      <c r="F11" t="str">
        <f>VLOOKUP(A11,L_AIRPORT!A:B,2)</f>
        <v>Adak Island, AK: Adak</v>
      </c>
      <c r="G11">
        <v>51.877963889999997</v>
      </c>
      <c r="H11">
        <v>-176.64603059999999</v>
      </c>
      <c r="I11">
        <v>18</v>
      </c>
      <c r="J11" t="s">
        <v>22410</v>
      </c>
      <c r="K11" t="s">
        <v>22413</v>
      </c>
    </row>
    <row r="12" spans="1:11" x14ac:dyDescent="0.25">
      <c r="A12" t="s">
        <v>269</v>
      </c>
      <c r="B12" t="s">
        <v>21640</v>
      </c>
      <c r="C12" t="s">
        <v>21641</v>
      </c>
      <c r="D12" t="s">
        <v>21639</v>
      </c>
      <c r="E12" t="s">
        <v>4</v>
      </c>
      <c r="F12" t="str">
        <f>VLOOKUP(A12,L_AIRPORT!A:B,2)</f>
        <v>Kodiak, AK: Kodiak Airport</v>
      </c>
      <c r="G12">
        <v>57.749967779999999</v>
      </c>
      <c r="H12">
        <v>-152.49385530000001</v>
      </c>
      <c r="I12">
        <v>78</v>
      </c>
      <c r="J12" t="s">
        <v>22410</v>
      </c>
      <c r="K12" t="s">
        <v>22413</v>
      </c>
    </row>
    <row r="13" spans="1:11" x14ac:dyDescent="0.25">
      <c r="A13" t="s">
        <v>271</v>
      </c>
      <c r="B13" t="s">
        <v>21642</v>
      </c>
      <c r="C13" t="s">
        <v>21643</v>
      </c>
      <c r="D13" t="s">
        <v>90</v>
      </c>
      <c r="E13" t="s">
        <v>4</v>
      </c>
      <c r="F13" t="str">
        <f>VLOOKUP(A13,L_AIRPORT!A:B,2)</f>
        <v>Alexandria, LA: Alexandria International</v>
      </c>
      <c r="G13">
        <v>31.327371670000002</v>
      </c>
      <c r="H13">
        <v>-92.548556110000007</v>
      </c>
      <c r="I13">
        <v>89</v>
      </c>
      <c r="J13" t="s">
        <v>22410</v>
      </c>
      <c r="K13" t="s">
        <v>22413</v>
      </c>
    </row>
    <row r="14" spans="1:11" x14ac:dyDescent="0.25">
      <c r="A14" t="s">
        <v>276</v>
      </c>
      <c r="B14" t="s">
        <v>21644</v>
      </c>
      <c r="C14" t="s">
        <v>21645</v>
      </c>
      <c r="D14" t="s">
        <v>11</v>
      </c>
      <c r="E14" t="s">
        <v>4</v>
      </c>
      <c r="F14" t="str">
        <f>VLOOKUP(A14,L_AIRPORT!A:B,2)</f>
        <v>Augusta, GA: Augusta Regional at Bush Field</v>
      </c>
      <c r="G14">
        <v>33.369954999999997</v>
      </c>
      <c r="H14">
        <v>-81.964496109999999</v>
      </c>
      <c r="I14">
        <v>144</v>
      </c>
      <c r="J14" t="s">
        <v>22410</v>
      </c>
      <c r="K14" t="s">
        <v>22413</v>
      </c>
    </row>
    <row r="15" spans="1:11" x14ac:dyDescent="0.25">
      <c r="A15" t="s">
        <v>287</v>
      </c>
      <c r="B15" t="s">
        <v>21646</v>
      </c>
      <c r="C15" t="s">
        <v>21646</v>
      </c>
      <c r="D15" t="s">
        <v>21639</v>
      </c>
      <c r="E15" t="s">
        <v>4</v>
      </c>
      <c r="F15" t="str">
        <f>VLOOKUP(A15,L_AIRPORT!A:B,2)</f>
        <v>King Salmon, AK: King Salmon Airport</v>
      </c>
      <c r="G15">
        <v>58.676801670000003</v>
      </c>
      <c r="H15">
        <v>-156.64921749999999</v>
      </c>
      <c r="I15">
        <v>73</v>
      </c>
      <c r="J15" t="s">
        <v>22410</v>
      </c>
      <c r="K15" t="s">
        <v>22413</v>
      </c>
    </row>
    <row r="16" spans="1:11" x14ac:dyDescent="0.25">
      <c r="A16" t="s">
        <v>7</v>
      </c>
      <c r="B16" t="s">
        <v>21647</v>
      </c>
      <c r="C16" t="s">
        <v>21629</v>
      </c>
      <c r="D16" t="s">
        <v>8</v>
      </c>
      <c r="E16" t="s">
        <v>4</v>
      </c>
      <c r="F16" t="str">
        <f>VLOOKUP(A16,L_AIRPORT!A:B,2)</f>
        <v>Albany, NY: Albany International</v>
      </c>
      <c r="G16">
        <v>42.748119440000004</v>
      </c>
      <c r="H16">
        <v>-73.802978609999997</v>
      </c>
      <c r="I16">
        <v>285</v>
      </c>
      <c r="J16" t="s">
        <v>22410</v>
      </c>
      <c r="K16" t="s">
        <v>22413</v>
      </c>
    </row>
    <row r="17" spans="1:11" x14ac:dyDescent="0.25">
      <c r="A17" t="s">
        <v>319</v>
      </c>
      <c r="B17" t="s">
        <v>21648</v>
      </c>
      <c r="C17" t="s">
        <v>21649</v>
      </c>
      <c r="D17" t="s">
        <v>21650</v>
      </c>
      <c r="E17" t="s">
        <v>4</v>
      </c>
      <c r="F17" t="str">
        <f>VLOOKUP(A17,L_AIRPORT!A:B,2)</f>
        <v>Waterloo, IA: Waterloo Regional</v>
      </c>
      <c r="G17">
        <v>42.55708139</v>
      </c>
      <c r="H17">
        <v>-92.400343609999993</v>
      </c>
      <c r="I17">
        <v>873</v>
      </c>
      <c r="J17" t="s">
        <v>22410</v>
      </c>
      <c r="K17" t="s">
        <v>22413</v>
      </c>
    </row>
    <row r="18" spans="1:11" x14ac:dyDescent="0.25">
      <c r="A18" t="s">
        <v>321</v>
      </c>
      <c r="B18" t="s">
        <v>22288</v>
      </c>
      <c r="C18" t="s">
        <v>22289</v>
      </c>
      <c r="D18" t="s">
        <v>48</v>
      </c>
      <c r="E18" t="s">
        <v>4</v>
      </c>
      <c r="F18" t="str">
        <f>VLOOKUP(A18,L_AIRPORT!A:B,2)</f>
        <v>Alamosa, CO: San Luis Valley Regional/Bergman Field</v>
      </c>
      <c r="G18">
        <v>37.443800000000003</v>
      </c>
      <c r="H18">
        <v>-105.86450000000001</v>
      </c>
      <c r="I18">
        <v>7539</v>
      </c>
      <c r="J18" t="s">
        <v>22410</v>
      </c>
      <c r="K18" t="s">
        <v>22413</v>
      </c>
    </row>
    <row r="19" spans="1:11" x14ac:dyDescent="0.25">
      <c r="A19" t="s">
        <v>323</v>
      </c>
      <c r="B19" t="s">
        <v>22290</v>
      </c>
      <c r="C19" t="s">
        <v>22291</v>
      </c>
      <c r="D19" t="s">
        <v>129</v>
      </c>
      <c r="E19" t="s">
        <v>4</v>
      </c>
      <c r="F19" t="str">
        <f>VLOOKUP(A19,L_AIRPORT!A:B,2)</f>
        <v>Walla Walla, WA: Walla Walla Regional</v>
      </c>
      <c r="G19">
        <v>46.087299999999999</v>
      </c>
      <c r="H19">
        <v>-118.28449999999999</v>
      </c>
      <c r="I19">
        <v>1194</v>
      </c>
      <c r="J19" t="s">
        <v>22410</v>
      </c>
      <c r="K19" t="s">
        <v>22413</v>
      </c>
    </row>
    <row r="20" spans="1:11" x14ac:dyDescent="0.25">
      <c r="A20" t="s">
        <v>327</v>
      </c>
      <c r="B20" t="s">
        <v>21651</v>
      </c>
      <c r="C20" t="s">
        <v>21652</v>
      </c>
      <c r="D20" t="s">
        <v>14</v>
      </c>
      <c r="E20" t="s">
        <v>4</v>
      </c>
      <c r="F20" t="str">
        <f>VLOOKUP(A20,L_AIRPORT!A:B,2)</f>
        <v>Amarillo, TX: Rick Husband Amarillo International</v>
      </c>
      <c r="G20">
        <v>35.219372499999999</v>
      </c>
      <c r="H20">
        <v>-101.7059272</v>
      </c>
      <c r="I20">
        <v>3607</v>
      </c>
      <c r="J20" t="s">
        <v>22410</v>
      </c>
      <c r="K20" t="s">
        <v>22413</v>
      </c>
    </row>
    <row r="21" spans="1:11" x14ac:dyDescent="0.25">
      <c r="A21" t="s">
        <v>265</v>
      </c>
      <c r="B21" t="s">
        <v>21653</v>
      </c>
      <c r="C21" t="s">
        <v>21654</v>
      </c>
      <c r="D21" t="s">
        <v>21639</v>
      </c>
      <c r="E21" t="s">
        <v>4</v>
      </c>
      <c r="F21" t="str">
        <f>VLOOKUP(A21,L_AIRPORT!A:B,2)</f>
        <v>Anchorage, AK: Ted Stevens Anchorage International</v>
      </c>
      <c r="G21">
        <v>61.174320280000003</v>
      </c>
      <c r="H21">
        <v>-149.99618559999999</v>
      </c>
      <c r="I21">
        <v>152</v>
      </c>
      <c r="J21" t="s">
        <v>22411</v>
      </c>
      <c r="K21" t="s">
        <v>22413</v>
      </c>
    </row>
    <row r="22" spans="1:11" x14ac:dyDescent="0.25">
      <c r="A22" t="s">
        <v>385</v>
      </c>
      <c r="B22" t="s">
        <v>21655</v>
      </c>
      <c r="C22" t="s">
        <v>21656</v>
      </c>
      <c r="D22" t="s">
        <v>51</v>
      </c>
      <c r="E22" t="s">
        <v>4</v>
      </c>
      <c r="F22" t="str">
        <f>VLOOKUP(A22,L_AIRPORT!A:B,2)</f>
        <v>Alpena, MI: Alpena County Regional</v>
      </c>
      <c r="G22">
        <v>45.078067500000003</v>
      </c>
      <c r="H22">
        <v>-83.560285829999998</v>
      </c>
      <c r="I22">
        <v>690</v>
      </c>
      <c r="J22" t="s">
        <v>22410</v>
      </c>
      <c r="K22" t="s">
        <v>22413</v>
      </c>
    </row>
    <row r="23" spans="1:11" x14ac:dyDescent="0.25">
      <c r="A23" t="s">
        <v>391</v>
      </c>
      <c r="B23" t="s">
        <v>21657</v>
      </c>
      <c r="C23" t="s">
        <v>21658</v>
      </c>
      <c r="D23" t="s">
        <v>8</v>
      </c>
      <c r="E23" t="s">
        <v>4</v>
      </c>
      <c r="F23" t="str">
        <f>VLOOKUP(A23,L_AIRPORT!A:B,2)</f>
        <v>Watertown, NY: Watertown International</v>
      </c>
      <c r="G23">
        <v>43.991922219999999</v>
      </c>
      <c r="H23">
        <v>-76.02173861</v>
      </c>
      <c r="I23">
        <v>325</v>
      </c>
      <c r="J23" t="s">
        <v>22410</v>
      </c>
      <c r="K23" t="s">
        <v>22413</v>
      </c>
    </row>
    <row r="24" spans="1:11" x14ac:dyDescent="0.25">
      <c r="A24" t="s">
        <v>393</v>
      </c>
      <c r="B24" t="s">
        <v>21659</v>
      </c>
      <c r="C24" t="s">
        <v>21660</v>
      </c>
      <c r="D24" t="s">
        <v>48</v>
      </c>
      <c r="E24" t="s">
        <v>4</v>
      </c>
      <c r="F24" t="str">
        <f>VLOOKUP(A24,L_AIRPORT!A:B,2)</f>
        <v>Aspen, CO: Aspen Pitkin County Sardy Field</v>
      </c>
      <c r="G24">
        <v>39.22316</v>
      </c>
      <c r="H24">
        <v>-106.86884499999999</v>
      </c>
      <c r="I24">
        <v>7820</v>
      </c>
      <c r="J24" t="s">
        <v>22410</v>
      </c>
      <c r="K24" t="s">
        <v>22413</v>
      </c>
    </row>
    <row r="25" spans="1:11" x14ac:dyDescent="0.25">
      <c r="A25" t="s">
        <v>10</v>
      </c>
      <c r="B25" t="s">
        <v>21661</v>
      </c>
      <c r="C25" t="s">
        <v>21662</v>
      </c>
      <c r="D25" t="s">
        <v>11</v>
      </c>
      <c r="E25" t="s">
        <v>4</v>
      </c>
      <c r="F25" t="str">
        <f>VLOOKUP(A25,L_AIRPORT!A:B,2)</f>
        <v>Atlanta, GA: Hartsfield-Jackson Atlanta International</v>
      </c>
      <c r="G25">
        <v>33.640444440000003</v>
      </c>
      <c r="H25">
        <v>-84.42694444</v>
      </c>
      <c r="I25">
        <v>1026</v>
      </c>
      <c r="J25" t="s">
        <v>22411</v>
      </c>
      <c r="K25" t="s">
        <v>22413</v>
      </c>
    </row>
    <row r="26" spans="1:11" x14ac:dyDescent="0.25">
      <c r="A26" t="s">
        <v>416</v>
      </c>
      <c r="B26" t="s">
        <v>21663</v>
      </c>
      <c r="C26" t="s">
        <v>21664</v>
      </c>
      <c r="D26" t="s">
        <v>86</v>
      </c>
      <c r="E26" t="s">
        <v>4</v>
      </c>
      <c r="F26" t="str">
        <f>VLOOKUP(A26,L_AIRPORT!A:B,2)</f>
        <v>Appleton, WI: Appleton International</v>
      </c>
      <c r="G26">
        <v>44.257408060000003</v>
      </c>
      <c r="H26">
        <v>-88.519475560000004</v>
      </c>
      <c r="I26">
        <v>918</v>
      </c>
      <c r="J26" t="s">
        <v>22408</v>
      </c>
      <c r="K26" t="s">
        <v>22413</v>
      </c>
    </row>
    <row r="27" spans="1:11" x14ac:dyDescent="0.25">
      <c r="A27" t="s">
        <v>690</v>
      </c>
      <c r="B27" t="s">
        <v>22294</v>
      </c>
      <c r="C27" t="s">
        <v>21658</v>
      </c>
      <c r="D27" t="s">
        <v>21627</v>
      </c>
      <c r="E27" t="s">
        <v>4</v>
      </c>
      <c r="F27" t="str">
        <f>VLOOKUP(A27,L_AIRPORT!A:B,2)</f>
        <v>Watertown, SD: Watertown Regional</v>
      </c>
      <c r="G27">
        <v>44.922400000000003</v>
      </c>
      <c r="H27">
        <v>-97.158000000000001</v>
      </c>
      <c r="I27">
        <v>1749</v>
      </c>
      <c r="J27" t="s">
        <v>22410</v>
      </c>
      <c r="K27" t="s">
        <v>22413</v>
      </c>
    </row>
    <row r="28" spans="1:11" x14ac:dyDescent="0.25">
      <c r="A28" t="s">
        <v>13</v>
      </c>
      <c r="B28" t="s">
        <v>21665</v>
      </c>
      <c r="C28" t="s">
        <v>21666</v>
      </c>
      <c r="D28" t="s">
        <v>14</v>
      </c>
      <c r="E28" t="s">
        <v>4</v>
      </c>
      <c r="F28" t="str">
        <f>VLOOKUP(A28,L_AIRPORT!A:B,2)</f>
        <v>Austin, TX: Austin - Bergstrom International</v>
      </c>
      <c r="G28">
        <v>30.194532779999999</v>
      </c>
      <c r="H28">
        <v>-97.669871939999993</v>
      </c>
      <c r="I28">
        <v>542</v>
      </c>
      <c r="J28" t="s">
        <v>22411</v>
      </c>
      <c r="K28" t="s">
        <v>22413</v>
      </c>
    </row>
    <row r="29" spans="1:11" x14ac:dyDescent="0.25">
      <c r="A29" t="s">
        <v>419</v>
      </c>
      <c r="B29" t="s">
        <v>21667</v>
      </c>
      <c r="C29" t="s">
        <v>21668</v>
      </c>
      <c r="D29" t="s">
        <v>41</v>
      </c>
      <c r="E29" t="s">
        <v>4</v>
      </c>
      <c r="F29" t="str">
        <f>VLOOKUP(A29,L_AIRPORT!A:B,2)</f>
        <v>Asheville, NC: Asheville Regional</v>
      </c>
      <c r="G29">
        <v>35.436194440000001</v>
      </c>
      <c r="H29">
        <v>-82.54180556</v>
      </c>
      <c r="I29">
        <v>2165</v>
      </c>
      <c r="J29" t="s">
        <v>22410</v>
      </c>
      <c r="K29" t="s">
        <v>22413</v>
      </c>
    </row>
    <row r="30" spans="1:11" x14ac:dyDescent="0.25">
      <c r="A30" t="s">
        <v>421</v>
      </c>
      <c r="B30" t="s">
        <v>21669</v>
      </c>
      <c r="C30" t="s">
        <v>21670</v>
      </c>
      <c r="D30" t="s">
        <v>103</v>
      </c>
      <c r="E30" t="s">
        <v>4</v>
      </c>
      <c r="F30" t="str">
        <f>VLOOKUP(A30,L_AIRPORT!A:B,2)</f>
        <v>Scranton/Wilkes-Barre, PA: Wilkes Barre Scranton International</v>
      </c>
      <c r="G30">
        <v>41.338149440000002</v>
      </c>
      <c r="H30">
        <v>-75.724267499999996</v>
      </c>
      <c r="I30">
        <v>962</v>
      </c>
      <c r="J30" t="s">
        <v>22410</v>
      </c>
      <c r="K30" t="s">
        <v>22413</v>
      </c>
    </row>
    <row r="31" spans="1:11" x14ac:dyDescent="0.25">
      <c r="A31" t="s">
        <v>329</v>
      </c>
      <c r="B31" t="s">
        <v>22295</v>
      </c>
      <c r="C31" t="s">
        <v>22296</v>
      </c>
      <c r="D31" t="s">
        <v>105</v>
      </c>
      <c r="E31" t="s">
        <v>4</v>
      </c>
      <c r="F31" t="str">
        <f>VLOOKUP(A31,L_AIRPORT!A:B,2)</f>
        <v>Phoenix, AZ: Phoenix - Mesa Gateway</v>
      </c>
      <c r="G31">
        <v>33.308999999999997</v>
      </c>
      <c r="H31">
        <v>-111.6559</v>
      </c>
      <c r="I31">
        <v>1382</v>
      </c>
      <c r="J31" t="s">
        <v>22410</v>
      </c>
      <c r="K31" t="s">
        <v>22413</v>
      </c>
    </row>
    <row r="32" spans="1:11" x14ac:dyDescent="0.25">
      <c r="A32" t="s">
        <v>919</v>
      </c>
      <c r="B32" t="s">
        <v>21671</v>
      </c>
      <c r="C32" t="s">
        <v>21672</v>
      </c>
      <c r="D32" t="s">
        <v>51</v>
      </c>
      <c r="E32" t="s">
        <v>4</v>
      </c>
      <c r="F32" t="str">
        <f>VLOOKUP(A32,L_AIRPORT!A:B,2)</f>
        <v>Kalamazoo, MI: Kalamazoo/Battle Creek International</v>
      </c>
      <c r="G32">
        <v>42.234875000000002</v>
      </c>
      <c r="H32">
        <v>-85.552057500000004</v>
      </c>
      <c r="I32">
        <v>874</v>
      </c>
      <c r="J32" t="s">
        <v>22410</v>
      </c>
      <c r="K32" t="s">
        <v>22413</v>
      </c>
    </row>
    <row r="33" spans="1:11" x14ac:dyDescent="0.25">
      <c r="A33" t="s">
        <v>16</v>
      </c>
      <c r="B33" t="s">
        <v>21673</v>
      </c>
      <c r="C33" t="s">
        <v>21674</v>
      </c>
      <c r="D33" t="s">
        <v>17</v>
      </c>
      <c r="E33" t="s">
        <v>4</v>
      </c>
      <c r="F33" t="str">
        <f>VLOOKUP(A33,L_AIRPORT!A:B,2)</f>
        <v>Hartford, CT: Bradley International</v>
      </c>
      <c r="G33">
        <v>41.938874169999998</v>
      </c>
      <c r="H33">
        <v>-72.683228330000006</v>
      </c>
      <c r="I33">
        <v>173</v>
      </c>
      <c r="J33" t="s">
        <v>22410</v>
      </c>
      <c r="K33" t="s">
        <v>22413</v>
      </c>
    </row>
    <row r="34" spans="1:11" x14ac:dyDescent="0.25">
      <c r="A34" t="s">
        <v>342</v>
      </c>
      <c r="B34" t="s">
        <v>21675</v>
      </c>
      <c r="C34" t="s">
        <v>21675</v>
      </c>
      <c r="D34" t="s">
        <v>21639</v>
      </c>
      <c r="E34" t="s">
        <v>4</v>
      </c>
      <c r="F34" t="str">
        <f>VLOOKUP(A34,L_AIRPORT!A:B,2)</f>
        <v>Bethel, AK: Bethel Airport</v>
      </c>
      <c r="G34">
        <v>60.779776390000002</v>
      </c>
      <c r="H34">
        <v>-161.8379975</v>
      </c>
      <c r="I34">
        <v>126</v>
      </c>
      <c r="J34" t="s">
        <v>22410</v>
      </c>
      <c r="K34" t="s">
        <v>22413</v>
      </c>
    </row>
    <row r="35" spans="1:11" x14ac:dyDescent="0.25">
      <c r="A35" t="s">
        <v>956</v>
      </c>
      <c r="B35" t="s">
        <v>22299</v>
      </c>
      <c r="C35" t="s">
        <v>22300</v>
      </c>
      <c r="D35" t="s">
        <v>21890</v>
      </c>
      <c r="E35" t="s">
        <v>4</v>
      </c>
      <c r="F35" t="str">
        <f>VLOOKUP(A35,L_AIRPORT!A:B,2)</f>
        <v>Scottsbluff, NE: Western Neb. Regional/William B. Heilig Field</v>
      </c>
      <c r="G35">
        <v>41.869599999999998</v>
      </c>
      <c r="H35">
        <v>-103.5926</v>
      </c>
      <c r="I35">
        <v>3967</v>
      </c>
      <c r="J35" t="s">
        <v>22410</v>
      </c>
      <c r="K35" t="s">
        <v>22413</v>
      </c>
    </row>
    <row r="36" spans="1:11" x14ac:dyDescent="0.25">
      <c r="A36" t="s">
        <v>963</v>
      </c>
      <c r="B36" t="s">
        <v>21676</v>
      </c>
      <c r="C36" t="s">
        <v>21677</v>
      </c>
      <c r="D36" t="s">
        <v>31</v>
      </c>
      <c r="E36" t="s">
        <v>4</v>
      </c>
      <c r="F36" t="str">
        <f>VLOOKUP(A36,L_AIRPORT!A:B,2)</f>
        <v>Bakersfield, CA: Meadows Field</v>
      </c>
      <c r="G36">
        <v>35.433598060000001</v>
      </c>
      <c r="H36">
        <v>-119.0567681</v>
      </c>
      <c r="I36">
        <v>510</v>
      </c>
      <c r="J36" t="s">
        <v>22410</v>
      </c>
      <c r="K36" t="s">
        <v>22413</v>
      </c>
    </row>
    <row r="37" spans="1:11" x14ac:dyDescent="0.25">
      <c r="A37" t="s">
        <v>970</v>
      </c>
      <c r="B37" t="s">
        <v>22303</v>
      </c>
      <c r="C37" t="s">
        <v>22061</v>
      </c>
      <c r="D37" t="s">
        <v>21684</v>
      </c>
      <c r="E37" t="s">
        <v>4</v>
      </c>
      <c r="F37" t="str">
        <f>VLOOKUP(A37,L_AIRPORT!A:B,2)</f>
        <v>Mobile, AL: Mobile Downtown</v>
      </c>
      <c r="G37">
        <v>30.6371</v>
      </c>
      <c r="H37">
        <v>-88.078800000000001</v>
      </c>
      <c r="I37">
        <v>26</v>
      </c>
      <c r="J37" t="s">
        <v>22410</v>
      </c>
      <c r="K37" t="s">
        <v>22413</v>
      </c>
    </row>
    <row r="38" spans="1:11" x14ac:dyDescent="0.25">
      <c r="A38" t="s">
        <v>974</v>
      </c>
      <c r="B38" t="s">
        <v>21678</v>
      </c>
      <c r="C38" t="s">
        <v>21679</v>
      </c>
      <c r="D38" t="s">
        <v>8</v>
      </c>
      <c r="E38" t="s">
        <v>4</v>
      </c>
      <c r="F38" t="str">
        <f>VLOOKUP(A38,L_AIRPORT!A:B,2)</f>
        <v>Binghamton, NY: Greater Binghamton/Edwin A. Link Field</v>
      </c>
      <c r="G38">
        <v>42.208482779999997</v>
      </c>
      <c r="H38">
        <v>-75.979613610000001</v>
      </c>
      <c r="I38">
        <v>1636</v>
      </c>
      <c r="J38" t="s">
        <v>22410</v>
      </c>
      <c r="K38" t="s">
        <v>22413</v>
      </c>
    </row>
    <row r="39" spans="1:11" x14ac:dyDescent="0.25">
      <c r="A39" t="s">
        <v>233</v>
      </c>
      <c r="B39" t="s">
        <v>21680</v>
      </c>
      <c r="C39" t="s">
        <v>21681</v>
      </c>
      <c r="D39" t="s">
        <v>118</v>
      </c>
      <c r="E39" t="s">
        <v>4</v>
      </c>
      <c r="F39" t="str">
        <f>VLOOKUP(A39,L_AIRPORT!A:B,2)</f>
        <v>Bangor, ME: Bangor International</v>
      </c>
      <c r="G39">
        <v>44.807444439999998</v>
      </c>
      <c r="H39">
        <v>-68.828138890000005</v>
      </c>
      <c r="I39">
        <v>192</v>
      </c>
      <c r="J39" t="s">
        <v>22410</v>
      </c>
      <c r="K39" t="s">
        <v>22413</v>
      </c>
    </row>
    <row r="40" spans="1:11" x14ac:dyDescent="0.25">
      <c r="A40" t="s">
        <v>425</v>
      </c>
      <c r="B40" t="s">
        <v>21682</v>
      </c>
      <c r="C40" t="s">
        <v>21683</v>
      </c>
      <c r="D40" t="s">
        <v>21684</v>
      </c>
      <c r="E40" t="s">
        <v>4</v>
      </c>
      <c r="F40" t="str">
        <f>VLOOKUP(A40,L_AIRPORT!A:B,2)</f>
        <v>Birmingham, AL: Birmingham-Shuttlesworth International</v>
      </c>
      <c r="G40">
        <v>33.562943060000002</v>
      </c>
      <c r="H40">
        <v>-86.753549719999995</v>
      </c>
      <c r="I40">
        <v>650</v>
      </c>
      <c r="J40" t="s">
        <v>22410</v>
      </c>
      <c r="K40" t="s">
        <v>22413</v>
      </c>
    </row>
    <row r="41" spans="1:11" x14ac:dyDescent="0.25">
      <c r="A41" s="7" t="s">
        <v>1021</v>
      </c>
      <c r="B41" t="s">
        <v>22309</v>
      </c>
      <c r="C41" t="s">
        <v>21857</v>
      </c>
      <c r="D41" t="s">
        <v>31</v>
      </c>
      <c r="E41" t="s">
        <v>4</v>
      </c>
      <c r="F41" t="str">
        <f>VLOOKUP(A41,L_AIRPORT!A:B,2)</f>
        <v>Bishop, CA: Bishop Airport</v>
      </c>
      <c r="G41">
        <v>37.373100280800003</v>
      </c>
      <c r="H41">
        <v>-118.363998413</v>
      </c>
      <c r="I41">
        <v>4124</v>
      </c>
      <c r="J41" t="s">
        <v>22410</v>
      </c>
      <c r="K41" t="s">
        <v>22413</v>
      </c>
    </row>
    <row r="42" spans="1:11" x14ac:dyDescent="0.25">
      <c r="A42" t="s">
        <v>836</v>
      </c>
      <c r="B42" t="s">
        <v>21685</v>
      </c>
      <c r="C42" t="s">
        <v>21686</v>
      </c>
      <c r="D42" t="s">
        <v>35</v>
      </c>
      <c r="E42" t="s">
        <v>4</v>
      </c>
      <c r="F42" t="str">
        <f>VLOOKUP(A42,L_AIRPORT!A:B,2)</f>
        <v>Billings, MT: Billings Logan International</v>
      </c>
      <c r="G42">
        <v>45.807662499999999</v>
      </c>
      <c r="H42">
        <v>-108.5428611</v>
      </c>
      <c r="I42">
        <v>3652</v>
      </c>
      <c r="J42" t="s">
        <v>22410</v>
      </c>
      <c r="K42" t="s">
        <v>22413</v>
      </c>
    </row>
    <row r="43" spans="1:11" x14ac:dyDescent="0.25">
      <c r="A43" t="s">
        <v>838</v>
      </c>
      <c r="B43" t="s">
        <v>21687</v>
      </c>
      <c r="C43" t="s">
        <v>21688</v>
      </c>
      <c r="D43" t="s">
        <v>21689</v>
      </c>
      <c r="E43" t="s">
        <v>4</v>
      </c>
      <c r="F43" t="str">
        <f>VLOOKUP(A43,L_AIRPORT!A:B,2)</f>
        <v>Bismarck/Mandan, ND: Bismarck Municipal</v>
      </c>
      <c r="G43">
        <v>46.77411111</v>
      </c>
      <c r="H43">
        <v>-100.74672219999999</v>
      </c>
      <c r="I43">
        <v>1661</v>
      </c>
      <c r="J43" t="s">
        <v>22410</v>
      </c>
      <c r="K43" t="s">
        <v>22413</v>
      </c>
    </row>
    <row r="44" spans="1:11" x14ac:dyDescent="0.25">
      <c r="A44" t="s">
        <v>1052</v>
      </c>
      <c r="B44" t="s">
        <v>21690</v>
      </c>
      <c r="C44" t="s">
        <v>21691</v>
      </c>
      <c r="D44" t="s">
        <v>88</v>
      </c>
      <c r="E44" t="s">
        <v>4</v>
      </c>
      <c r="F44" t="str">
        <f>VLOOKUP(A44,L_AIRPORT!A:B,2)</f>
        <v>Bemidji, MN: Bemidji Regional</v>
      </c>
      <c r="G44">
        <v>47.509424170000003</v>
      </c>
      <c r="H44">
        <v>-94.933723330000007</v>
      </c>
      <c r="I44">
        <v>1391</v>
      </c>
      <c r="J44" t="s">
        <v>22410</v>
      </c>
      <c r="K44" t="s">
        <v>22413</v>
      </c>
    </row>
    <row r="45" spans="1:11" x14ac:dyDescent="0.25">
      <c r="A45" s="7" t="s">
        <v>1054</v>
      </c>
      <c r="B45" t="s">
        <v>22310</v>
      </c>
      <c r="C45" t="s">
        <v>22311</v>
      </c>
      <c r="D45" t="s">
        <v>81</v>
      </c>
      <c r="E45" t="s">
        <v>4</v>
      </c>
      <c r="F45" t="str">
        <f>VLOOKUP(A45,L_AIRPORT!A:B,2)</f>
        <v>Branson, MO: Branson Airport</v>
      </c>
      <c r="G45">
        <v>36.532082000000003</v>
      </c>
      <c r="H45">
        <v>-93.200543999999994</v>
      </c>
      <c r="I45">
        <v>1302</v>
      </c>
      <c r="J45" t="s">
        <v>22408</v>
      </c>
      <c r="K45" t="s">
        <v>22413</v>
      </c>
    </row>
    <row r="46" spans="1:11" x14ac:dyDescent="0.25">
      <c r="A46" t="s">
        <v>344</v>
      </c>
      <c r="B46" t="s">
        <v>21692</v>
      </c>
      <c r="C46" t="s">
        <v>21693</v>
      </c>
      <c r="D46" t="s">
        <v>129</v>
      </c>
      <c r="E46" t="s">
        <v>4</v>
      </c>
      <c r="F46" t="str">
        <f>VLOOKUP(A46,L_AIRPORT!A:B,2)</f>
        <v>Bellingham, WA: Bellingham International</v>
      </c>
      <c r="G46">
        <v>48.792749999999998</v>
      </c>
      <c r="H46">
        <v>-122.53752780000001</v>
      </c>
      <c r="I46">
        <v>170</v>
      </c>
      <c r="J46" t="s">
        <v>22410</v>
      </c>
      <c r="K46" t="s">
        <v>22413</v>
      </c>
    </row>
    <row r="47" spans="1:11" x14ac:dyDescent="0.25">
      <c r="A47" t="s">
        <v>841</v>
      </c>
      <c r="B47" t="s">
        <v>22297</v>
      </c>
      <c r="C47" t="s">
        <v>22298</v>
      </c>
      <c r="D47" t="s">
        <v>96</v>
      </c>
      <c r="E47" t="s">
        <v>4</v>
      </c>
      <c r="F47" t="str">
        <f>VLOOKUP(A47,L_AIRPORT!A:B,2)</f>
        <v>Belleville, IL: Scott AFB/MidAmerica</v>
      </c>
      <c r="G47">
        <v>38.547699999999999</v>
      </c>
      <c r="H47">
        <v>-89.815700000000007</v>
      </c>
      <c r="I47">
        <v>459</v>
      </c>
      <c r="J47" t="s">
        <v>22410</v>
      </c>
      <c r="K47" t="s">
        <v>22413</v>
      </c>
    </row>
    <row r="48" spans="1:11" x14ac:dyDescent="0.25">
      <c r="A48" t="s">
        <v>427</v>
      </c>
      <c r="B48" t="s">
        <v>21694</v>
      </c>
      <c r="C48" t="s">
        <v>21695</v>
      </c>
      <c r="D48" t="s">
        <v>96</v>
      </c>
      <c r="E48" t="s">
        <v>4</v>
      </c>
      <c r="F48" t="str">
        <f>VLOOKUP(A48,L_AIRPORT!A:B,2)</f>
        <v>Bloomington/Normal, IL: Central Il Regional Airport at Bloomington</v>
      </c>
      <c r="G48">
        <v>40.47798556</v>
      </c>
      <c r="H48">
        <v>-88.915952779999998</v>
      </c>
      <c r="I48">
        <v>871</v>
      </c>
      <c r="J48" t="s">
        <v>22410</v>
      </c>
      <c r="K48" t="s">
        <v>22413</v>
      </c>
    </row>
    <row r="49" spans="1:11" x14ac:dyDescent="0.25">
      <c r="A49" t="s">
        <v>19</v>
      </c>
      <c r="B49" t="s">
        <v>21696</v>
      </c>
      <c r="C49" t="s">
        <v>21697</v>
      </c>
      <c r="D49" t="s">
        <v>20</v>
      </c>
      <c r="E49" t="s">
        <v>4</v>
      </c>
      <c r="F49" t="str">
        <f>VLOOKUP(A49,L_AIRPORT!A:B,2)</f>
        <v>Nashville, TN: Nashville International</v>
      </c>
      <c r="G49">
        <v>36.12447667</v>
      </c>
      <c r="H49">
        <v>-86.678182219999997</v>
      </c>
      <c r="I49">
        <v>599</v>
      </c>
      <c r="J49" t="s">
        <v>22411</v>
      </c>
      <c r="K49" t="s">
        <v>22413</v>
      </c>
    </row>
    <row r="50" spans="1:11" x14ac:dyDescent="0.25">
      <c r="A50" t="s">
        <v>22</v>
      </c>
      <c r="B50" t="s">
        <v>21698</v>
      </c>
      <c r="C50" t="s">
        <v>21699</v>
      </c>
      <c r="D50" t="s">
        <v>23</v>
      </c>
      <c r="E50" t="s">
        <v>4</v>
      </c>
      <c r="F50" t="str">
        <f>VLOOKUP(A50,L_AIRPORT!A:B,2)</f>
        <v>Boise, ID: Boise Air Terminal</v>
      </c>
      <c r="G50">
        <v>43.564444440000003</v>
      </c>
      <c r="H50">
        <v>-116.2227778</v>
      </c>
      <c r="I50">
        <v>2871</v>
      </c>
      <c r="J50" t="s">
        <v>22410</v>
      </c>
      <c r="K50" t="s">
        <v>22413</v>
      </c>
    </row>
    <row r="51" spans="1:11" x14ac:dyDescent="0.25">
      <c r="A51" t="s">
        <v>24</v>
      </c>
      <c r="B51" t="s">
        <v>21700</v>
      </c>
      <c r="C51" t="s">
        <v>21701</v>
      </c>
      <c r="D51" t="s">
        <v>6</v>
      </c>
      <c r="E51" t="s">
        <v>4</v>
      </c>
      <c r="F51" t="str">
        <f>VLOOKUP(A51,L_AIRPORT!A:B,2)</f>
        <v>Boston, MA: Logan International</v>
      </c>
      <c r="G51">
        <v>42.364347500000001</v>
      </c>
      <c r="H51">
        <v>-71.005179170000005</v>
      </c>
      <c r="I51">
        <v>20</v>
      </c>
      <c r="J51" t="s">
        <v>22411</v>
      </c>
      <c r="K51" t="s">
        <v>22414</v>
      </c>
    </row>
    <row r="52" spans="1:11" x14ac:dyDescent="0.25">
      <c r="A52" t="s">
        <v>1317</v>
      </c>
      <c r="B52" t="s">
        <v>21702</v>
      </c>
      <c r="C52" t="s">
        <v>21703</v>
      </c>
      <c r="D52" t="s">
        <v>14</v>
      </c>
      <c r="E52" t="s">
        <v>4</v>
      </c>
      <c r="F52" t="str">
        <f>VLOOKUP(A52,L_AIRPORT!A:B,2)</f>
        <v>Beaumont/Port Arthur, TX: Jack Brooks Regional</v>
      </c>
      <c r="G52">
        <v>29.950833329999998</v>
      </c>
      <c r="H52">
        <v>-94.02069444</v>
      </c>
      <c r="I52">
        <v>15</v>
      </c>
      <c r="J52" t="s">
        <v>22410</v>
      </c>
      <c r="K52" t="s">
        <v>22413</v>
      </c>
    </row>
    <row r="53" spans="1:11" x14ac:dyDescent="0.25">
      <c r="A53" t="s">
        <v>432</v>
      </c>
      <c r="B53" t="s">
        <v>21704</v>
      </c>
      <c r="C53" t="s">
        <v>21705</v>
      </c>
      <c r="D53" t="s">
        <v>11</v>
      </c>
      <c r="E53" t="s">
        <v>4</v>
      </c>
      <c r="F53" t="str">
        <f>VLOOKUP(A53,L_AIRPORT!A:B,2)</f>
        <v>Brunswick, GA: Brunswick Golden Isles</v>
      </c>
      <c r="G53">
        <v>31.25902778</v>
      </c>
      <c r="H53">
        <v>-81.466305559999995</v>
      </c>
      <c r="I53">
        <v>26</v>
      </c>
      <c r="J53" t="s">
        <v>22410</v>
      </c>
      <c r="K53" t="s">
        <v>22413</v>
      </c>
    </row>
    <row r="54" spans="1:11" x14ac:dyDescent="0.25">
      <c r="A54" t="s">
        <v>25</v>
      </c>
      <c r="B54" t="s">
        <v>21706</v>
      </c>
      <c r="C54" t="s">
        <v>21707</v>
      </c>
      <c r="D54" t="s">
        <v>26</v>
      </c>
      <c r="E54" t="s">
        <v>4</v>
      </c>
      <c r="F54" t="str">
        <f>VLOOKUP(A54,L_AIRPORT!A:B,2)</f>
        <v>Aguadilla, PR: Rafael Hernandez</v>
      </c>
      <c r="G54">
        <v>18.494861109999999</v>
      </c>
      <c r="H54">
        <v>-67.12944444</v>
      </c>
      <c r="I54">
        <v>237</v>
      </c>
      <c r="J54" t="s">
        <v>22410</v>
      </c>
      <c r="K54" t="s">
        <v>22413</v>
      </c>
    </row>
    <row r="55" spans="1:11" x14ac:dyDescent="0.25">
      <c r="A55" t="s">
        <v>1325</v>
      </c>
      <c r="B55" t="s">
        <v>21708</v>
      </c>
      <c r="C55" t="s">
        <v>21709</v>
      </c>
      <c r="D55" t="s">
        <v>88</v>
      </c>
      <c r="E55" t="s">
        <v>4</v>
      </c>
      <c r="F55" t="str">
        <f>VLOOKUP(A55,L_AIRPORT!A:B,2)</f>
        <v>Brainerd, MN: Brainerd Lakes Regional</v>
      </c>
      <c r="G55">
        <v>46.397858059999997</v>
      </c>
      <c r="H55">
        <v>-94.137227499999995</v>
      </c>
      <c r="I55">
        <v>1232</v>
      </c>
      <c r="J55" t="s">
        <v>22410</v>
      </c>
      <c r="K55" t="s">
        <v>22413</v>
      </c>
    </row>
    <row r="56" spans="1:11" x14ac:dyDescent="0.25">
      <c r="A56" t="s">
        <v>1327</v>
      </c>
      <c r="B56" t="s">
        <v>21710</v>
      </c>
      <c r="C56" t="s">
        <v>21711</v>
      </c>
      <c r="D56" t="s">
        <v>14</v>
      </c>
      <c r="E56" t="s">
        <v>4</v>
      </c>
      <c r="F56" t="str">
        <f>VLOOKUP(A56,L_AIRPORT!A:B,2)</f>
        <v>Brownsville, TX: Brownsville South Padre Island International</v>
      </c>
      <c r="G56">
        <v>25.906833330000001</v>
      </c>
      <c r="H56">
        <v>-97.42586111</v>
      </c>
      <c r="I56">
        <v>22</v>
      </c>
      <c r="J56" t="s">
        <v>22410</v>
      </c>
      <c r="K56" t="s">
        <v>22413</v>
      </c>
    </row>
    <row r="57" spans="1:11" x14ac:dyDescent="0.25">
      <c r="A57" t="s">
        <v>346</v>
      </c>
      <c r="B57" t="s">
        <v>21712</v>
      </c>
      <c r="C57" t="s">
        <v>21713</v>
      </c>
      <c r="D57" t="s">
        <v>21639</v>
      </c>
      <c r="E57" t="s">
        <v>4</v>
      </c>
      <c r="F57" t="str">
        <f>VLOOKUP(A57,L_AIRPORT!A:B,2)</f>
        <v>Barrow, AK: Wiley Post/Will Rogers Memorial</v>
      </c>
      <c r="G57">
        <v>71.285447500000004</v>
      </c>
      <c r="H57">
        <v>-156.76600189999999</v>
      </c>
      <c r="I57">
        <v>44</v>
      </c>
      <c r="J57" t="s">
        <v>22410</v>
      </c>
      <c r="K57" t="s">
        <v>22413</v>
      </c>
    </row>
    <row r="58" spans="1:11" x14ac:dyDescent="0.25">
      <c r="A58" t="s">
        <v>1334</v>
      </c>
      <c r="B58" t="s">
        <v>21714</v>
      </c>
      <c r="C58" t="s">
        <v>21715</v>
      </c>
      <c r="D58" t="s">
        <v>35</v>
      </c>
      <c r="E58" t="s">
        <v>4</v>
      </c>
      <c r="F58" t="str">
        <f>VLOOKUP(A58,L_AIRPORT!A:B,2)</f>
        <v>Butte, MT: Bert Mooney</v>
      </c>
      <c r="G58">
        <v>45.954795279999999</v>
      </c>
      <c r="H58">
        <v>-112.49746</v>
      </c>
      <c r="I58">
        <v>5550</v>
      </c>
      <c r="J58" t="s">
        <v>22410</v>
      </c>
      <c r="K58" t="s">
        <v>22413</v>
      </c>
    </row>
    <row r="59" spans="1:11" x14ac:dyDescent="0.25">
      <c r="A59" t="s">
        <v>434</v>
      </c>
      <c r="B59" t="s">
        <v>21716</v>
      </c>
      <c r="C59" t="s">
        <v>21717</v>
      </c>
      <c r="D59" t="s">
        <v>90</v>
      </c>
      <c r="E59" t="s">
        <v>4</v>
      </c>
      <c r="F59" t="str">
        <f>VLOOKUP(A59,L_AIRPORT!A:B,2)</f>
        <v>Baton Rouge, LA: Baton Rouge Metropolitan/Ryan Field</v>
      </c>
      <c r="G59">
        <v>30.53316083</v>
      </c>
      <c r="H59">
        <v>-91.14963444</v>
      </c>
      <c r="I59">
        <v>70</v>
      </c>
      <c r="J59" t="s">
        <v>22410</v>
      </c>
      <c r="K59" t="s">
        <v>22413</v>
      </c>
    </row>
    <row r="60" spans="1:11" x14ac:dyDescent="0.25">
      <c r="A60" t="s">
        <v>27</v>
      </c>
      <c r="B60" t="s">
        <v>21718</v>
      </c>
      <c r="C60" t="s">
        <v>21719</v>
      </c>
      <c r="D60" t="s">
        <v>28</v>
      </c>
      <c r="E60" t="s">
        <v>4</v>
      </c>
      <c r="F60" t="str">
        <f>VLOOKUP(A60,L_AIRPORT!A:B,2)</f>
        <v>Burlington, VT: Burlington International</v>
      </c>
      <c r="G60">
        <v>44.473003609999999</v>
      </c>
      <c r="H60">
        <v>-73.150312499999998</v>
      </c>
      <c r="I60">
        <v>335</v>
      </c>
      <c r="J60" t="s">
        <v>22410</v>
      </c>
      <c r="K60" t="s">
        <v>22413</v>
      </c>
    </row>
    <row r="61" spans="1:11" x14ac:dyDescent="0.25">
      <c r="A61" t="s">
        <v>29</v>
      </c>
      <c r="B61" t="s">
        <v>21720</v>
      </c>
      <c r="C61" t="s">
        <v>21721</v>
      </c>
      <c r="D61" t="s">
        <v>8</v>
      </c>
      <c r="E61" t="s">
        <v>4</v>
      </c>
      <c r="F61" t="str">
        <f>VLOOKUP(A61,L_AIRPORT!A:B,2)</f>
        <v>Buffalo, NY: Buffalo Niagara International</v>
      </c>
      <c r="G61">
        <v>42.940524719999999</v>
      </c>
      <c r="H61">
        <v>-78.732166669999998</v>
      </c>
      <c r="I61">
        <v>728</v>
      </c>
      <c r="J61" t="s">
        <v>22411</v>
      </c>
      <c r="K61" t="s">
        <v>22413</v>
      </c>
    </row>
    <row r="62" spans="1:11" x14ac:dyDescent="0.25">
      <c r="A62" t="s">
        <v>30</v>
      </c>
      <c r="B62" t="s">
        <v>21722</v>
      </c>
      <c r="C62" t="s">
        <v>21723</v>
      </c>
      <c r="D62" t="s">
        <v>31</v>
      </c>
      <c r="E62" t="s">
        <v>4</v>
      </c>
      <c r="F62" t="str">
        <f>VLOOKUP(A62,L_AIRPORT!A:B,2)</f>
        <v>Burbank, CA: Bob Hope</v>
      </c>
      <c r="G62">
        <v>34.200619170000003</v>
      </c>
      <c r="H62">
        <v>-118.35849690000001</v>
      </c>
      <c r="I62">
        <v>778</v>
      </c>
      <c r="J62" t="s">
        <v>22410</v>
      </c>
      <c r="K62" t="s">
        <v>22413</v>
      </c>
    </row>
    <row r="63" spans="1:11" x14ac:dyDescent="0.25">
      <c r="A63" t="s">
        <v>32</v>
      </c>
      <c r="B63" t="s">
        <v>21724</v>
      </c>
      <c r="C63" t="s">
        <v>21725</v>
      </c>
      <c r="D63" t="s">
        <v>33</v>
      </c>
      <c r="E63" t="s">
        <v>4</v>
      </c>
      <c r="F63" t="str">
        <f>VLOOKUP(A63,L_AIRPORT!A:B,2)</f>
        <v>Baltimore, MD: Baltimore/Washington International Thurgood Marshall</v>
      </c>
      <c r="G63">
        <v>39.175401669999999</v>
      </c>
      <c r="H63">
        <v>-76.668198329999996</v>
      </c>
      <c r="I63">
        <v>146</v>
      </c>
      <c r="J63" t="s">
        <v>22411</v>
      </c>
      <c r="K63" t="s">
        <v>22413</v>
      </c>
    </row>
    <row r="64" spans="1:11" x14ac:dyDescent="0.25">
      <c r="A64" t="s">
        <v>34</v>
      </c>
      <c r="B64" t="s">
        <v>21726</v>
      </c>
      <c r="C64" t="s">
        <v>21727</v>
      </c>
      <c r="D64" t="s">
        <v>35</v>
      </c>
      <c r="E64" t="s">
        <v>4</v>
      </c>
      <c r="F64" t="str">
        <f>VLOOKUP(A64,L_AIRPORT!A:B,2)</f>
        <v>Bozeman, MT: Bozeman Yellowstone International</v>
      </c>
      <c r="G64">
        <v>45.776901389999999</v>
      </c>
      <c r="H64">
        <v>-111.1530072</v>
      </c>
      <c r="I64">
        <v>4473</v>
      </c>
      <c r="J64" t="s">
        <v>22410</v>
      </c>
      <c r="K64" t="s">
        <v>22413</v>
      </c>
    </row>
    <row r="65" spans="1:11" x14ac:dyDescent="0.25">
      <c r="A65" t="s">
        <v>441</v>
      </c>
      <c r="B65" t="s">
        <v>21728</v>
      </c>
      <c r="C65" t="s">
        <v>21729</v>
      </c>
      <c r="D65" t="s">
        <v>37</v>
      </c>
      <c r="E65" t="s">
        <v>4</v>
      </c>
      <c r="F65" t="str">
        <f>VLOOKUP(A65,L_AIRPORT!A:B,2)</f>
        <v>Columbia, SC: Columbia Metropolitan</v>
      </c>
      <c r="G65">
        <v>33.938839999999999</v>
      </c>
      <c r="H65">
        <v>-81.119539439999997</v>
      </c>
      <c r="I65">
        <v>236</v>
      </c>
      <c r="J65" t="s">
        <v>22410</v>
      </c>
      <c r="K65" t="s">
        <v>22413</v>
      </c>
    </row>
    <row r="66" spans="1:11" x14ac:dyDescent="0.25">
      <c r="A66" t="s">
        <v>443</v>
      </c>
      <c r="B66" t="s">
        <v>21730</v>
      </c>
      <c r="C66" t="s">
        <v>21731</v>
      </c>
      <c r="D66" t="s">
        <v>39</v>
      </c>
      <c r="E66" t="s">
        <v>4</v>
      </c>
      <c r="F66" t="str">
        <f>VLOOKUP(A66,L_AIRPORT!A:B,2)</f>
        <v>Akron, OH: Akron-Canton Regional</v>
      </c>
      <c r="G66">
        <v>40.91631194</v>
      </c>
      <c r="H66">
        <v>-81.442465560000002</v>
      </c>
      <c r="I66">
        <v>1228</v>
      </c>
      <c r="J66" t="s">
        <v>22410</v>
      </c>
      <c r="K66" t="s">
        <v>22413</v>
      </c>
    </row>
    <row r="67" spans="1:11" x14ac:dyDescent="0.25">
      <c r="A67" s="7" t="s">
        <v>267</v>
      </c>
      <c r="B67" t="s">
        <v>22312</v>
      </c>
      <c r="C67" t="s">
        <v>22313</v>
      </c>
      <c r="D67" t="s">
        <v>21639</v>
      </c>
      <c r="E67" t="s">
        <v>4</v>
      </c>
      <c r="F67" t="str">
        <f>VLOOKUP(A67,L_AIRPORT!A:B,2)</f>
        <v>Cold Bay, AK: Cold Bay Airport</v>
      </c>
      <c r="G67">
        <v>55.206099999999999</v>
      </c>
      <c r="H67">
        <v>-162.72500600000001</v>
      </c>
      <c r="I67">
        <v>96</v>
      </c>
      <c r="J67" t="s">
        <v>22410</v>
      </c>
      <c r="K67" t="s">
        <v>22413</v>
      </c>
    </row>
    <row r="68" spans="1:11" x14ac:dyDescent="0.25">
      <c r="A68" t="s">
        <v>1556</v>
      </c>
      <c r="B68" t="s">
        <v>21732</v>
      </c>
      <c r="C68" t="s">
        <v>21733</v>
      </c>
      <c r="D68" t="s">
        <v>136</v>
      </c>
      <c r="E68" t="s">
        <v>4</v>
      </c>
      <c r="F68" t="str">
        <f>VLOOKUP(A68,L_AIRPORT!A:B,2)</f>
        <v>Cedar City, UT: Cedar City Regional</v>
      </c>
      <c r="G68">
        <v>37.70097028</v>
      </c>
      <c r="H68">
        <v>-113.098575</v>
      </c>
      <c r="I68">
        <v>5622</v>
      </c>
      <c r="J68" t="s">
        <v>22410</v>
      </c>
      <c r="K68" t="s">
        <v>22413</v>
      </c>
    </row>
    <row r="69" spans="1:11" x14ac:dyDescent="0.25">
      <c r="A69" t="s">
        <v>349</v>
      </c>
      <c r="B69" t="s">
        <v>21734</v>
      </c>
      <c r="C69" t="s">
        <v>21735</v>
      </c>
      <c r="D69" t="s">
        <v>21639</v>
      </c>
      <c r="E69" t="s">
        <v>4</v>
      </c>
      <c r="F69" t="str">
        <f>VLOOKUP(A69,L_AIRPORT!A:B,2)</f>
        <v>Cordova, AK: Merle K Mudhole Smith</v>
      </c>
      <c r="G69">
        <v>60.491833890000002</v>
      </c>
      <c r="H69">
        <v>-145.47765029999999</v>
      </c>
      <c r="I69">
        <v>54</v>
      </c>
      <c r="J69" t="s">
        <v>22410</v>
      </c>
      <c r="K69" t="s">
        <v>22413</v>
      </c>
    </row>
    <row r="70" spans="1:11" x14ac:dyDescent="0.25">
      <c r="A70" t="s">
        <v>10774</v>
      </c>
      <c r="B70" t="s">
        <v>21736</v>
      </c>
      <c r="C70" t="s">
        <v>21737</v>
      </c>
      <c r="D70" t="s">
        <v>31</v>
      </c>
      <c r="E70" t="s">
        <v>4</v>
      </c>
      <c r="F70" t="str">
        <f>VLOOKUP(A70,L_AIRPORT!A:B,2)</f>
        <v>Crescent City, CA: Jack McNamara Field</v>
      </c>
      <c r="G70">
        <v>41.78015722</v>
      </c>
      <c r="H70">
        <v>-124.2365333</v>
      </c>
      <c r="I70">
        <v>61</v>
      </c>
      <c r="J70" t="s">
        <v>22410</v>
      </c>
      <c r="K70" t="s">
        <v>22413</v>
      </c>
    </row>
    <row r="71" spans="1:11" x14ac:dyDescent="0.25">
      <c r="A71" s="7" t="s">
        <v>1561</v>
      </c>
      <c r="B71" t="s">
        <v>22314</v>
      </c>
      <c r="C71" t="s">
        <v>22315</v>
      </c>
      <c r="D71" t="s">
        <v>81</v>
      </c>
      <c r="E71" t="s">
        <v>4</v>
      </c>
      <c r="F71" t="str">
        <f>VLOOKUP(A71,L_AIRPORT!A:B,2)</f>
        <v>Cape Girardeau, MO: Cape Girardeau Regional</v>
      </c>
      <c r="G71">
        <v>37.225299999999997</v>
      </c>
      <c r="H71">
        <v>-89.570801000000003</v>
      </c>
      <c r="I71">
        <v>342</v>
      </c>
      <c r="J71" t="s">
        <v>22410</v>
      </c>
      <c r="K71" t="s">
        <v>22413</v>
      </c>
    </row>
    <row r="72" spans="1:11" x14ac:dyDescent="0.25">
      <c r="A72" t="s">
        <v>445</v>
      </c>
      <c r="B72" t="s">
        <v>21738</v>
      </c>
      <c r="C72" t="s">
        <v>21739</v>
      </c>
      <c r="D72" t="s">
        <v>20</v>
      </c>
      <c r="E72" t="s">
        <v>4</v>
      </c>
      <c r="F72" t="str">
        <f>VLOOKUP(A72,L_AIRPORT!A:B,2)</f>
        <v>Chattanooga, TN: Lovell Field</v>
      </c>
      <c r="G72">
        <v>35.035268330000001</v>
      </c>
      <c r="H72">
        <v>-85.203787779999999</v>
      </c>
      <c r="I72">
        <v>683</v>
      </c>
      <c r="J72" t="s">
        <v>22410</v>
      </c>
      <c r="K72" t="s">
        <v>22413</v>
      </c>
    </row>
    <row r="73" spans="1:11" x14ac:dyDescent="0.25">
      <c r="A73" t="s">
        <v>447</v>
      </c>
      <c r="B73" t="s">
        <v>21740</v>
      </c>
      <c r="C73" t="s">
        <v>21741</v>
      </c>
      <c r="D73" t="s">
        <v>46</v>
      </c>
      <c r="E73" t="s">
        <v>4</v>
      </c>
      <c r="F73" t="str">
        <f>VLOOKUP(A73,L_AIRPORT!A:B,2)</f>
        <v>Charlottesville, VA: Charlottesville Albemarle</v>
      </c>
      <c r="G73">
        <v>38.138638890000003</v>
      </c>
      <c r="H73">
        <v>-78.452861110000001</v>
      </c>
      <c r="I73">
        <v>639</v>
      </c>
      <c r="J73" t="s">
        <v>22410</v>
      </c>
      <c r="K73" t="s">
        <v>22413</v>
      </c>
    </row>
    <row r="74" spans="1:11" x14ac:dyDescent="0.25">
      <c r="A74" t="s">
        <v>36</v>
      </c>
      <c r="B74" t="s">
        <v>21742</v>
      </c>
      <c r="C74" t="s">
        <v>21743</v>
      </c>
      <c r="D74" t="s">
        <v>37</v>
      </c>
      <c r="E74" t="s">
        <v>4</v>
      </c>
      <c r="F74" t="str">
        <f>VLOOKUP(A74,L_AIRPORT!A:B,2)</f>
        <v>Charleston, SC: Charleston AFB/International</v>
      </c>
      <c r="G74">
        <v>32.898646390000003</v>
      </c>
      <c r="H74">
        <v>-80.040505830000001</v>
      </c>
      <c r="I74">
        <v>46</v>
      </c>
      <c r="J74" t="s">
        <v>22410</v>
      </c>
      <c r="K74" t="s">
        <v>22413</v>
      </c>
    </row>
    <row r="75" spans="1:11" x14ac:dyDescent="0.25">
      <c r="A75" t="s">
        <v>10911</v>
      </c>
      <c r="B75" t="s">
        <v>21744</v>
      </c>
      <c r="C75" t="s">
        <v>21745</v>
      </c>
      <c r="D75" t="s">
        <v>31</v>
      </c>
      <c r="E75" t="s">
        <v>4</v>
      </c>
      <c r="F75" t="str">
        <f>VLOOKUP(A75,L_AIRPORT!A:B,2)</f>
        <v>Chico, CA: Chico Municipal</v>
      </c>
      <c r="G75">
        <v>39.795382779999997</v>
      </c>
      <c r="H75">
        <v>-121.8584231</v>
      </c>
      <c r="I75">
        <v>240</v>
      </c>
      <c r="J75" t="s">
        <v>22408</v>
      </c>
      <c r="K75" t="s">
        <v>22413</v>
      </c>
    </row>
    <row r="76" spans="1:11" x14ac:dyDescent="0.25">
      <c r="A76" t="s">
        <v>450</v>
      </c>
      <c r="B76" t="s">
        <v>21746</v>
      </c>
      <c r="C76" t="s">
        <v>21747</v>
      </c>
      <c r="D76" t="s">
        <v>21650</v>
      </c>
      <c r="E76" t="s">
        <v>4</v>
      </c>
      <c r="F76" t="str">
        <f>VLOOKUP(A76,L_AIRPORT!A:B,2)</f>
        <v>Cedar Rapids/Iowa City, IA: The Eastern Iowa</v>
      </c>
      <c r="G76">
        <v>41.88458833</v>
      </c>
      <c r="H76">
        <v>-91.710872219999999</v>
      </c>
      <c r="I76">
        <v>869</v>
      </c>
      <c r="J76" t="s">
        <v>22410</v>
      </c>
      <c r="K76" t="s">
        <v>22413</v>
      </c>
    </row>
    <row r="77" spans="1:11" x14ac:dyDescent="0.25">
      <c r="A77" t="s">
        <v>1652</v>
      </c>
      <c r="B77" t="s">
        <v>21748</v>
      </c>
      <c r="C77" t="s">
        <v>21749</v>
      </c>
      <c r="D77" t="s">
        <v>51</v>
      </c>
      <c r="E77" t="s">
        <v>4</v>
      </c>
      <c r="F77" t="str">
        <f>VLOOKUP(A77,L_AIRPORT!A:B,2)</f>
        <v>Sault Ste. Marie, MI: Chippewa County International</v>
      </c>
      <c r="G77">
        <v>46.250751940000001</v>
      </c>
      <c r="H77">
        <v>-84.472385279999997</v>
      </c>
      <c r="I77">
        <v>800</v>
      </c>
      <c r="J77" t="s">
        <v>22410</v>
      </c>
      <c r="K77" t="s">
        <v>22413</v>
      </c>
    </row>
    <row r="78" spans="1:11" x14ac:dyDescent="0.25">
      <c r="A78" s="7" t="s">
        <v>1655</v>
      </c>
      <c r="B78" t="s">
        <v>22316</v>
      </c>
      <c r="C78" t="s">
        <v>22317</v>
      </c>
      <c r="D78" t="s">
        <v>21777</v>
      </c>
      <c r="E78" t="s">
        <v>4</v>
      </c>
      <c r="F78" t="str">
        <f>VLOOKUP(A78,L_AIRPORT!A:B,2)</f>
        <v>Clarksburg/Fairmont, WV: North Central West Virginia</v>
      </c>
      <c r="G78">
        <v>39.296599999999998</v>
      </c>
      <c r="H78">
        <v>-80.228104000000002</v>
      </c>
      <c r="I78">
        <v>1217</v>
      </c>
      <c r="J78" t="s">
        <v>22410</v>
      </c>
      <c r="K78" t="s">
        <v>22413</v>
      </c>
    </row>
    <row r="79" spans="1:11" x14ac:dyDescent="0.25">
      <c r="A79" t="s">
        <v>10990</v>
      </c>
      <c r="B79" t="s">
        <v>21750</v>
      </c>
      <c r="C79" t="s">
        <v>21751</v>
      </c>
      <c r="D79" t="s">
        <v>21751</v>
      </c>
      <c r="E79" t="s">
        <v>4</v>
      </c>
      <c r="F79" t="str">
        <f>VLOOKUP(A79,L_AIRPORT!A:B,2)</f>
        <v>Carlsbad, CA: McClellan-Palomar</v>
      </c>
      <c r="G79">
        <v>33.127231000000002</v>
      </c>
      <c r="H79">
        <v>-117.278727</v>
      </c>
      <c r="I79">
        <v>331</v>
      </c>
      <c r="J79" t="s">
        <v>22410</v>
      </c>
      <c r="K79" t="s">
        <v>22413</v>
      </c>
    </row>
    <row r="80" spans="1:11" x14ac:dyDescent="0.25">
      <c r="A80" t="s">
        <v>38</v>
      </c>
      <c r="B80" t="s">
        <v>21752</v>
      </c>
      <c r="C80" t="s">
        <v>21753</v>
      </c>
      <c r="D80" t="s">
        <v>39</v>
      </c>
      <c r="E80" t="s">
        <v>4</v>
      </c>
      <c r="F80" t="str">
        <f>VLOOKUP(A80,L_AIRPORT!A:B,2)</f>
        <v>Cleveland, OH: Cleveland-Hopkins International</v>
      </c>
      <c r="G80">
        <v>41.410894169999999</v>
      </c>
      <c r="H80">
        <v>-81.849396670000004</v>
      </c>
      <c r="I80">
        <v>791</v>
      </c>
      <c r="J80" t="s">
        <v>22411</v>
      </c>
      <c r="K80" t="s">
        <v>22413</v>
      </c>
    </row>
    <row r="81" spans="1:11" x14ac:dyDescent="0.25">
      <c r="A81" t="s">
        <v>997</v>
      </c>
      <c r="B81" t="s">
        <v>21754</v>
      </c>
      <c r="C81" t="s">
        <v>21755</v>
      </c>
      <c r="D81" t="s">
        <v>14</v>
      </c>
      <c r="E81" t="s">
        <v>4</v>
      </c>
      <c r="F81" t="str">
        <f>VLOOKUP(A81,L_AIRPORT!A:B,2)</f>
        <v>College Station/Bryan, TX: Easterwood Field</v>
      </c>
      <c r="G81">
        <v>30.58858944</v>
      </c>
      <c r="H81">
        <v>-96.363824170000001</v>
      </c>
      <c r="I81">
        <v>320</v>
      </c>
      <c r="J81" t="s">
        <v>22410</v>
      </c>
      <c r="K81" t="s">
        <v>22413</v>
      </c>
    </row>
    <row r="82" spans="1:11" x14ac:dyDescent="0.25">
      <c r="A82" t="s">
        <v>40</v>
      </c>
      <c r="B82" t="s">
        <v>21756</v>
      </c>
      <c r="C82" t="s">
        <v>21757</v>
      </c>
      <c r="D82" t="s">
        <v>41</v>
      </c>
      <c r="E82" t="s">
        <v>4</v>
      </c>
      <c r="F82" t="str">
        <f>VLOOKUP(A82,L_AIRPORT!A:B,2)</f>
        <v>Charlotte, NC: Charlotte Douglas International</v>
      </c>
      <c r="G82">
        <v>35.214011110000001</v>
      </c>
      <c r="H82">
        <v>-80.94312583</v>
      </c>
      <c r="I82">
        <v>748</v>
      </c>
      <c r="J82" t="s">
        <v>22411</v>
      </c>
      <c r="K82" t="s">
        <v>22413</v>
      </c>
    </row>
    <row r="83" spans="1:11" x14ac:dyDescent="0.25">
      <c r="A83" t="s">
        <v>454</v>
      </c>
      <c r="B83" t="s">
        <v>21758</v>
      </c>
      <c r="C83" t="s">
        <v>21759</v>
      </c>
      <c r="D83" t="s">
        <v>39</v>
      </c>
      <c r="E83" t="s">
        <v>4</v>
      </c>
      <c r="F83" t="str">
        <f>VLOOKUP(A83,L_AIRPORT!A:B,2)</f>
        <v>Columbus, OH: John Glenn Columbus International</v>
      </c>
      <c r="G83">
        <v>39.997985280000002</v>
      </c>
      <c r="H83">
        <v>-82.891882780000003</v>
      </c>
      <c r="I83">
        <v>815</v>
      </c>
      <c r="J83" t="s">
        <v>22411</v>
      </c>
      <c r="K83" t="s">
        <v>22413</v>
      </c>
    </row>
    <row r="84" spans="1:11" x14ac:dyDescent="0.25">
      <c r="A84" t="s">
        <v>1754</v>
      </c>
      <c r="B84" t="s">
        <v>21760</v>
      </c>
      <c r="C84" t="s">
        <v>21761</v>
      </c>
      <c r="D84" t="s">
        <v>96</v>
      </c>
      <c r="E84" t="s">
        <v>4</v>
      </c>
      <c r="F84" t="str">
        <f>VLOOKUP(A84,L_AIRPORT!A:B,2)</f>
        <v>Champaign/Urbana, IL: University of Illinois/Willard</v>
      </c>
      <c r="G84">
        <v>40.039250000000003</v>
      </c>
      <c r="H84">
        <v>-88.278055559999999</v>
      </c>
      <c r="I84">
        <v>755</v>
      </c>
      <c r="J84" t="s">
        <v>22410</v>
      </c>
      <c r="K84" t="s">
        <v>22413</v>
      </c>
    </row>
    <row r="85" spans="1:11" x14ac:dyDescent="0.25">
      <c r="A85" t="s">
        <v>1943</v>
      </c>
      <c r="B85" t="s">
        <v>21762</v>
      </c>
      <c r="C85" t="s">
        <v>21763</v>
      </c>
      <c r="D85" t="s">
        <v>51</v>
      </c>
      <c r="E85" t="s">
        <v>4</v>
      </c>
      <c r="F85" t="str">
        <f>VLOOKUP(A85,L_AIRPORT!A:B,2)</f>
        <v>Hancock/Houghton, MI: Houghton County Memorial</v>
      </c>
      <c r="G85">
        <v>47.168417220000002</v>
      </c>
      <c r="H85">
        <v>-88.48906083</v>
      </c>
      <c r="I85">
        <v>1095</v>
      </c>
      <c r="J85" t="s">
        <v>22410</v>
      </c>
      <c r="K85" t="s">
        <v>22413</v>
      </c>
    </row>
    <row r="86" spans="1:11" x14ac:dyDescent="0.25">
      <c r="A86" t="s">
        <v>1949</v>
      </c>
      <c r="B86" t="s">
        <v>21764</v>
      </c>
      <c r="C86" t="s">
        <v>21765</v>
      </c>
      <c r="D86" t="s">
        <v>136</v>
      </c>
      <c r="E86" t="s">
        <v>4</v>
      </c>
      <c r="F86" t="str">
        <f>VLOOKUP(A86,L_AIRPORT!A:B,2)</f>
        <v>Moab, UT: Canyonlands Field</v>
      </c>
      <c r="G86">
        <v>38.754956110000002</v>
      </c>
      <c r="H86">
        <v>-109.7548439</v>
      </c>
      <c r="I86">
        <v>4557</v>
      </c>
      <c r="J86" t="s">
        <v>22408</v>
      </c>
      <c r="K86" t="s">
        <v>22413</v>
      </c>
    </row>
    <row r="87" spans="1:11" x14ac:dyDescent="0.25">
      <c r="A87" t="s">
        <v>1027</v>
      </c>
      <c r="B87" t="s">
        <v>21766</v>
      </c>
      <c r="C87" t="s">
        <v>21767</v>
      </c>
      <c r="D87" t="s">
        <v>21768</v>
      </c>
      <c r="E87" t="s">
        <v>4</v>
      </c>
      <c r="F87" t="str">
        <f>VLOOKUP(A87,L_AIRPORT!A:B,2)</f>
        <v>Cody, WY: Yellowstone Regional</v>
      </c>
      <c r="G87">
        <v>44.520194170000003</v>
      </c>
      <c r="H87">
        <v>-109.0237961</v>
      </c>
      <c r="I87">
        <v>5102</v>
      </c>
      <c r="J87" t="s">
        <v>22410</v>
      </c>
      <c r="K87" t="s">
        <v>22413</v>
      </c>
    </row>
    <row r="88" spans="1:11" x14ac:dyDescent="0.25">
      <c r="A88" t="s">
        <v>456</v>
      </c>
      <c r="B88" t="s">
        <v>21769</v>
      </c>
      <c r="C88" t="s">
        <v>21770</v>
      </c>
      <c r="D88" t="s">
        <v>48</v>
      </c>
      <c r="E88" t="s">
        <v>4</v>
      </c>
      <c r="F88" t="str">
        <f>VLOOKUP(A88,L_AIRPORT!A:B,2)</f>
        <v>Colorado Springs, CO: City of Colorado Springs Municipal</v>
      </c>
      <c r="G88">
        <v>38.805805560000003</v>
      </c>
      <c r="H88">
        <v>-104.70025</v>
      </c>
      <c r="I88">
        <v>6187</v>
      </c>
      <c r="J88" t="s">
        <v>22410</v>
      </c>
      <c r="K88" t="s">
        <v>22413</v>
      </c>
    </row>
    <row r="89" spans="1:11" x14ac:dyDescent="0.25">
      <c r="A89" t="s">
        <v>1977</v>
      </c>
      <c r="B89" t="s">
        <v>21771</v>
      </c>
      <c r="C89" t="s">
        <v>21729</v>
      </c>
      <c r="D89" t="s">
        <v>81</v>
      </c>
      <c r="E89" t="s">
        <v>4</v>
      </c>
      <c r="F89" t="str">
        <f>VLOOKUP(A89,L_AIRPORT!A:B,2)</f>
        <v>Columbia, MO: Columbia Regional</v>
      </c>
      <c r="G89">
        <v>38.818093060000002</v>
      </c>
      <c r="H89">
        <v>-92.219629170000005</v>
      </c>
      <c r="I89">
        <v>889</v>
      </c>
      <c r="J89" t="s">
        <v>22410</v>
      </c>
      <c r="K89" t="s">
        <v>22413</v>
      </c>
    </row>
    <row r="90" spans="1:11" x14ac:dyDescent="0.25">
      <c r="A90" t="s">
        <v>1981</v>
      </c>
      <c r="B90" t="s">
        <v>21772</v>
      </c>
      <c r="C90" t="s">
        <v>21773</v>
      </c>
      <c r="D90" t="s">
        <v>21768</v>
      </c>
      <c r="E90" t="s">
        <v>4</v>
      </c>
      <c r="F90" t="str">
        <f>VLOOKUP(A90,L_AIRPORT!A:B,2)</f>
        <v>Casper, WY: Casper/Natrona County International</v>
      </c>
      <c r="G90">
        <v>42.908355559999997</v>
      </c>
      <c r="H90">
        <v>-106.4644661</v>
      </c>
      <c r="I90">
        <v>5350</v>
      </c>
      <c r="J90" t="s">
        <v>22410</v>
      </c>
      <c r="K90" t="s">
        <v>22413</v>
      </c>
    </row>
    <row r="91" spans="1:11" x14ac:dyDescent="0.25">
      <c r="A91" t="s">
        <v>1987</v>
      </c>
      <c r="B91" t="s">
        <v>21774</v>
      </c>
      <c r="C91" t="s">
        <v>21775</v>
      </c>
      <c r="D91" t="s">
        <v>14</v>
      </c>
      <c r="E91" t="s">
        <v>4</v>
      </c>
      <c r="F91" t="str">
        <f>VLOOKUP(A91,L_AIRPORT!A:B,2)</f>
        <v>Corpus Christi, TX: Corpus Christi International</v>
      </c>
      <c r="G91">
        <v>27.770360830000001</v>
      </c>
      <c r="H91">
        <v>-97.501215279999997</v>
      </c>
      <c r="I91">
        <v>44</v>
      </c>
      <c r="J91" t="s">
        <v>22410</v>
      </c>
      <c r="K91" t="s">
        <v>22413</v>
      </c>
    </row>
    <row r="92" spans="1:11" x14ac:dyDescent="0.25">
      <c r="A92" t="s">
        <v>458</v>
      </c>
      <c r="B92" t="s">
        <v>21776</v>
      </c>
      <c r="C92" t="s">
        <v>21743</v>
      </c>
      <c r="D92" t="s">
        <v>21777</v>
      </c>
      <c r="E92" t="s">
        <v>4</v>
      </c>
      <c r="F92" t="str">
        <f>VLOOKUP(A92,L_AIRPORT!A:B,2)</f>
        <v>Charleston/Dunbar, WV: Yeager</v>
      </c>
      <c r="G92">
        <v>38.37315083</v>
      </c>
      <c r="H92">
        <v>-81.593189719999998</v>
      </c>
      <c r="I92">
        <v>981</v>
      </c>
      <c r="J92" t="s">
        <v>22410</v>
      </c>
      <c r="K92" t="s">
        <v>22413</v>
      </c>
    </row>
    <row r="93" spans="1:11" x14ac:dyDescent="0.25">
      <c r="A93" t="s">
        <v>460</v>
      </c>
      <c r="B93" t="s">
        <v>21778</v>
      </c>
      <c r="C93" t="s">
        <v>21759</v>
      </c>
      <c r="D93" t="s">
        <v>11</v>
      </c>
      <c r="E93" t="s">
        <v>4</v>
      </c>
      <c r="F93" t="str">
        <f>VLOOKUP(A93,L_AIRPORT!A:B,2)</f>
        <v>Columbus, GA: Columbus Airport</v>
      </c>
      <c r="G93">
        <v>32.516333330000002</v>
      </c>
      <c r="H93">
        <v>-84.938861110000005</v>
      </c>
      <c r="I93">
        <v>397</v>
      </c>
      <c r="J93" t="s">
        <v>22410</v>
      </c>
      <c r="K93" t="s">
        <v>22413</v>
      </c>
    </row>
    <row r="94" spans="1:11" x14ac:dyDescent="0.25">
      <c r="A94" t="s">
        <v>462</v>
      </c>
      <c r="B94" t="s">
        <v>21779</v>
      </c>
      <c r="C94" t="s">
        <v>21780</v>
      </c>
      <c r="D94" t="s">
        <v>21781</v>
      </c>
      <c r="E94" t="s">
        <v>4</v>
      </c>
      <c r="F94" t="str">
        <f>VLOOKUP(A94,L_AIRPORT!A:B,2)</f>
        <v>Cincinnati, OH: Cincinnati/Northern Kentucky International</v>
      </c>
      <c r="G94">
        <v>39.046142779999997</v>
      </c>
      <c r="H94">
        <v>-84.662172499999997</v>
      </c>
      <c r="I94">
        <v>896</v>
      </c>
      <c r="J94" t="s">
        <v>22411</v>
      </c>
      <c r="K94" t="s">
        <v>22413</v>
      </c>
    </row>
    <row r="95" spans="1:11" x14ac:dyDescent="0.25">
      <c r="A95" t="s">
        <v>2072</v>
      </c>
      <c r="B95" t="s">
        <v>21782</v>
      </c>
      <c r="C95" t="s">
        <v>21783</v>
      </c>
      <c r="D95" t="s">
        <v>86</v>
      </c>
      <c r="E95" t="s">
        <v>4</v>
      </c>
      <c r="F95" t="str">
        <f>VLOOKUP(A95,L_AIRPORT!A:B,2)</f>
        <v>Mosinee, WI: Central Wisconsin</v>
      </c>
      <c r="G95">
        <v>44.777619170000001</v>
      </c>
      <c r="H95">
        <v>-89.666779439999999</v>
      </c>
      <c r="I95">
        <v>1277</v>
      </c>
      <c r="J95" t="s">
        <v>22410</v>
      </c>
      <c r="K95" t="s">
        <v>22413</v>
      </c>
    </row>
    <row r="96" spans="1:11" x14ac:dyDescent="0.25">
      <c r="A96" t="s">
        <v>2076</v>
      </c>
      <c r="B96" t="s">
        <v>21784</v>
      </c>
      <c r="C96" t="s">
        <v>21784</v>
      </c>
      <c r="D96" t="s">
        <v>21768</v>
      </c>
      <c r="E96" t="s">
        <v>4</v>
      </c>
      <c r="F96" t="str">
        <f>VLOOKUP(A96,L_AIRPORT!A:B,2)</f>
        <v>Cheyenne, WY: Cheyenne Regional/Jerry Olson Field</v>
      </c>
      <c r="G96">
        <v>41.155722500000003</v>
      </c>
      <c r="H96">
        <v>-104.8118381</v>
      </c>
      <c r="I96">
        <v>6160</v>
      </c>
      <c r="J96" t="s">
        <v>22410</v>
      </c>
      <c r="K96" t="s">
        <v>22413</v>
      </c>
    </row>
    <row r="97" spans="1:11" x14ac:dyDescent="0.25">
      <c r="A97" t="s">
        <v>464</v>
      </c>
      <c r="B97" t="s">
        <v>21785</v>
      </c>
      <c r="C97" t="s">
        <v>21786</v>
      </c>
      <c r="D97" t="s">
        <v>55</v>
      </c>
      <c r="E97" t="s">
        <v>4</v>
      </c>
      <c r="F97" t="str">
        <f>VLOOKUP(A97,L_AIRPORT!A:B,2)</f>
        <v>Daytona Beach, FL: Daytona Beach International</v>
      </c>
      <c r="G97">
        <v>29.179916670000001</v>
      </c>
      <c r="H97">
        <v>-81.05805556</v>
      </c>
      <c r="I97">
        <v>34</v>
      </c>
      <c r="J97" t="s">
        <v>22410</v>
      </c>
      <c r="K97" t="s">
        <v>22413</v>
      </c>
    </row>
    <row r="98" spans="1:11" x14ac:dyDescent="0.25">
      <c r="A98" t="s">
        <v>201</v>
      </c>
      <c r="B98" t="s">
        <v>21787</v>
      </c>
      <c r="C98" t="s">
        <v>21788</v>
      </c>
      <c r="D98" t="s">
        <v>14</v>
      </c>
      <c r="E98" t="s">
        <v>4</v>
      </c>
      <c r="F98" t="str">
        <f>VLOOKUP(A98,L_AIRPORT!A:B,2)</f>
        <v>Dallas, TX: Dallas Love Field</v>
      </c>
      <c r="G98">
        <v>32.847113890000003</v>
      </c>
      <c r="H98">
        <v>-96.851772220000001</v>
      </c>
      <c r="I98">
        <v>487</v>
      </c>
      <c r="J98" t="s">
        <v>22410</v>
      </c>
      <c r="K98" t="s">
        <v>22413</v>
      </c>
    </row>
    <row r="99" spans="1:11" x14ac:dyDescent="0.25">
      <c r="A99" t="s">
        <v>467</v>
      </c>
      <c r="B99" t="s">
        <v>21789</v>
      </c>
      <c r="C99" t="s">
        <v>21790</v>
      </c>
      <c r="D99" t="s">
        <v>39</v>
      </c>
      <c r="E99" t="s">
        <v>4</v>
      </c>
      <c r="F99" t="str">
        <f>VLOOKUP(A99,L_AIRPORT!A:B,2)</f>
        <v>Dayton, OH: James M Cox/Dayton International</v>
      </c>
      <c r="G99">
        <v>39.902375829999997</v>
      </c>
      <c r="H99">
        <v>-84.219374999999999</v>
      </c>
      <c r="I99">
        <v>1009</v>
      </c>
      <c r="J99" t="s">
        <v>22410</v>
      </c>
      <c r="K99" t="s">
        <v>22413</v>
      </c>
    </row>
    <row r="100" spans="1:11" x14ac:dyDescent="0.25">
      <c r="A100" t="s">
        <v>2186</v>
      </c>
      <c r="B100" t="s">
        <v>21791</v>
      </c>
      <c r="C100" t="s">
        <v>21792</v>
      </c>
      <c r="D100" t="s">
        <v>21650</v>
      </c>
      <c r="E100" t="s">
        <v>4</v>
      </c>
      <c r="F100" t="str">
        <f>VLOOKUP(A100,L_AIRPORT!A:B,2)</f>
        <v>Dubuque, IA: Dubuque Regional</v>
      </c>
      <c r="G100">
        <v>42.402959439999997</v>
      </c>
      <c r="H100">
        <v>-90.709167219999998</v>
      </c>
      <c r="I100">
        <v>1077</v>
      </c>
      <c r="J100" t="s">
        <v>22410</v>
      </c>
      <c r="K100" t="s">
        <v>22413</v>
      </c>
    </row>
    <row r="101" spans="1:11" x14ac:dyDescent="0.25">
      <c r="A101" t="s">
        <v>45</v>
      </c>
      <c r="B101" t="s">
        <v>21793</v>
      </c>
      <c r="C101" t="s">
        <v>21794</v>
      </c>
      <c r="D101" t="s">
        <v>46</v>
      </c>
      <c r="E101" t="s">
        <v>4</v>
      </c>
      <c r="F101" t="str">
        <f>VLOOKUP(A101,L_AIRPORT!A:B,2)</f>
        <v>Washington, DC: Ronald Reagan Washington National</v>
      </c>
      <c r="G101">
        <v>38.852083329999999</v>
      </c>
      <c r="H101">
        <v>-77.037722220000006</v>
      </c>
      <c r="I101">
        <v>15</v>
      </c>
      <c r="J101" t="s">
        <v>22411</v>
      </c>
      <c r="K101" t="s">
        <v>22413</v>
      </c>
    </row>
    <row r="102" spans="1:11" x14ac:dyDescent="0.25">
      <c r="A102" s="7" t="s">
        <v>2289</v>
      </c>
      <c r="B102" t="s">
        <v>22318</v>
      </c>
      <c r="C102" t="s">
        <v>22319</v>
      </c>
      <c r="D102" t="s">
        <v>21861</v>
      </c>
      <c r="E102" t="s">
        <v>4</v>
      </c>
      <c r="F102" t="str">
        <f>VLOOKUP(A102,L_AIRPORT!A:B,2)</f>
        <v>Dodge City, KS: Dodge City Regional</v>
      </c>
      <c r="G102">
        <v>37.763401031494098</v>
      </c>
      <c r="H102">
        <v>-99.965599060058594</v>
      </c>
      <c r="I102">
        <v>2594</v>
      </c>
      <c r="J102" t="s">
        <v>22410</v>
      </c>
      <c r="K102" t="s">
        <v>22413</v>
      </c>
    </row>
    <row r="103" spans="1:11" x14ac:dyDescent="0.25">
      <c r="A103" s="7" t="s">
        <v>1562</v>
      </c>
      <c r="B103" t="s">
        <v>22320</v>
      </c>
      <c r="C103" t="s">
        <v>22321</v>
      </c>
      <c r="D103" t="s">
        <v>96</v>
      </c>
      <c r="E103" t="s">
        <v>4</v>
      </c>
      <c r="F103" t="str">
        <f>VLOOKUP(A103,L_AIRPORT!A:B,2)</f>
        <v>Decatur, IL: Decatur Airport</v>
      </c>
      <c r="G103">
        <v>39.834598541259702</v>
      </c>
      <c r="H103">
        <v>-88.865699768066406</v>
      </c>
      <c r="I103">
        <v>682</v>
      </c>
      <c r="J103" t="s">
        <v>22410</v>
      </c>
      <c r="K103" t="s">
        <v>22413</v>
      </c>
    </row>
    <row r="104" spans="1:11" x14ac:dyDescent="0.25">
      <c r="A104" t="s">
        <v>47</v>
      </c>
      <c r="B104" t="s">
        <v>21795</v>
      </c>
      <c r="C104" t="s">
        <v>21796</v>
      </c>
      <c r="D104" t="s">
        <v>48</v>
      </c>
      <c r="E104" t="s">
        <v>4</v>
      </c>
      <c r="F104" t="str">
        <f>VLOOKUP(A104,L_AIRPORT!A:B,2)</f>
        <v>Denver, CO: Denver International</v>
      </c>
      <c r="G104">
        <v>39.858408060000002</v>
      </c>
      <c r="H104">
        <v>-104.6670019</v>
      </c>
      <c r="I104">
        <v>5431</v>
      </c>
      <c r="J104" t="s">
        <v>22411</v>
      </c>
      <c r="K104" t="s">
        <v>22413</v>
      </c>
    </row>
    <row r="105" spans="1:11" x14ac:dyDescent="0.25">
      <c r="A105" t="s">
        <v>49</v>
      </c>
      <c r="B105" t="s">
        <v>21797</v>
      </c>
      <c r="C105" t="s">
        <v>21798</v>
      </c>
      <c r="D105" t="s">
        <v>14</v>
      </c>
      <c r="E105" t="s">
        <v>4</v>
      </c>
      <c r="F105" t="str">
        <f>VLOOKUP(A105,L_AIRPORT!A:B,2)</f>
        <v>Dallas/Fort Worth, TX: Dallas/Fort Worth International</v>
      </c>
      <c r="G105">
        <v>32.895950560000003</v>
      </c>
      <c r="H105">
        <v>-97.037199999999999</v>
      </c>
      <c r="I105">
        <v>607</v>
      </c>
      <c r="J105" t="s">
        <v>22411</v>
      </c>
      <c r="K105" t="s">
        <v>22413</v>
      </c>
    </row>
    <row r="106" spans="1:11" x14ac:dyDescent="0.25">
      <c r="A106" t="s">
        <v>472</v>
      </c>
      <c r="B106" t="s">
        <v>21799</v>
      </c>
      <c r="C106" t="s">
        <v>21800</v>
      </c>
      <c r="D106" t="s">
        <v>21684</v>
      </c>
      <c r="E106" t="s">
        <v>4</v>
      </c>
      <c r="F106" t="str">
        <f>VLOOKUP(A106,L_AIRPORT!A:B,2)</f>
        <v>Dothan, AL: Dothan Regional</v>
      </c>
      <c r="G106">
        <v>31.321339170000002</v>
      </c>
      <c r="H106">
        <v>-85.44962889</v>
      </c>
      <c r="I106">
        <v>401</v>
      </c>
      <c r="J106" t="s">
        <v>22410</v>
      </c>
      <c r="K106" t="s">
        <v>22413</v>
      </c>
    </row>
    <row r="107" spans="1:11" x14ac:dyDescent="0.25">
      <c r="A107" t="s">
        <v>2348</v>
      </c>
      <c r="B107" t="s">
        <v>21801</v>
      </c>
      <c r="C107" t="s">
        <v>21802</v>
      </c>
      <c r="D107" t="s">
        <v>21689</v>
      </c>
      <c r="E107" t="s">
        <v>4</v>
      </c>
      <c r="F107" t="str">
        <f>VLOOKUP(A107,L_AIRPORT!A:B,2)</f>
        <v>Dickinson, ND: Dickinson - Theodore Roosevelt Regional</v>
      </c>
      <c r="G107">
        <v>46.797388890000001</v>
      </c>
      <c r="H107">
        <v>-102.8019528</v>
      </c>
      <c r="I107">
        <v>2592</v>
      </c>
      <c r="J107" t="s">
        <v>22410</v>
      </c>
      <c r="K107" t="s">
        <v>22413</v>
      </c>
    </row>
    <row r="108" spans="1:11" x14ac:dyDescent="0.25">
      <c r="A108" t="s">
        <v>289</v>
      </c>
      <c r="B108" t="s">
        <v>21803</v>
      </c>
      <c r="C108" t="s">
        <v>21803</v>
      </c>
      <c r="D108" t="s">
        <v>21639</v>
      </c>
      <c r="E108" t="s">
        <v>4</v>
      </c>
      <c r="F108" t="str">
        <f>VLOOKUP(A108,L_AIRPORT!A:B,2)</f>
        <v>Dillingham, AK: Dillingham Airport</v>
      </c>
      <c r="G108">
        <v>59.045412499999998</v>
      </c>
      <c r="H108">
        <v>-158.50333889999999</v>
      </c>
      <c r="I108">
        <v>81</v>
      </c>
      <c r="J108" t="s">
        <v>22410</v>
      </c>
      <c r="K108" t="s">
        <v>22413</v>
      </c>
    </row>
    <row r="109" spans="1:11" x14ac:dyDescent="0.25">
      <c r="A109" t="s">
        <v>1944</v>
      </c>
      <c r="B109" t="s">
        <v>21804</v>
      </c>
      <c r="C109" t="s">
        <v>21805</v>
      </c>
      <c r="D109" t="s">
        <v>88</v>
      </c>
      <c r="E109" t="s">
        <v>4</v>
      </c>
      <c r="F109" t="str">
        <f>VLOOKUP(A109,L_AIRPORT!A:B,2)</f>
        <v>Duluth, MN: Duluth International</v>
      </c>
      <c r="G109">
        <v>46.842090280000001</v>
      </c>
      <c r="H109">
        <v>-92.193648609999997</v>
      </c>
      <c r="I109">
        <v>1428</v>
      </c>
      <c r="J109" t="s">
        <v>22410</v>
      </c>
      <c r="K109" t="s">
        <v>22413</v>
      </c>
    </row>
    <row r="110" spans="1:11" x14ac:dyDescent="0.25">
      <c r="A110" t="s">
        <v>2350</v>
      </c>
      <c r="B110" t="s">
        <v>21806</v>
      </c>
      <c r="C110" t="s">
        <v>21807</v>
      </c>
      <c r="D110" t="s">
        <v>48</v>
      </c>
      <c r="E110" t="s">
        <v>4</v>
      </c>
      <c r="F110" t="str">
        <f>VLOOKUP(A110,L_AIRPORT!A:B,2)</f>
        <v>Durango, CO: Durango La Plata County</v>
      </c>
      <c r="G110">
        <v>37.151516669999999</v>
      </c>
      <c r="H110">
        <v>-107.75376919999999</v>
      </c>
      <c r="I110">
        <v>6685</v>
      </c>
      <c r="J110" t="s">
        <v>22408</v>
      </c>
      <c r="K110" t="s">
        <v>22413</v>
      </c>
    </row>
    <row r="111" spans="1:11" x14ac:dyDescent="0.25">
      <c r="A111" t="s">
        <v>2583</v>
      </c>
      <c r="B111" t="s">
        <v>21808</v>
      </c>
      <c r="C111" t="s">
        <v>21809</v>
      </c>
      <c r="D111" t="s">
        <v>14</v>
      </c>
      <c r="E111" t="s">
        <v>4</v>
      </c>
      <c r="F111" t="str">
        <f>VLOOKUP(A111,L_AIRPORT!A:B,2)</f>
        <v>Del Rio, TX: Del Rio International</v>
      </c>
      <c r="G111">
        <v>29.371812219999999</v>
      </c>
      <c r="H111">
        <v>-100.9232339</v>
      </c>
      <c r="I111">
        <v>1002</v>
      </c>
      <c r="J111" t="s">
        <v>22410</v>
      </c>
      <c r="K111" t="s">
        <v>22413</v>
      </c>
    </row>
    <row r="112" spans="1:11" x14ac:dyDescent="0.25">
      <c r="A112" t="s">
        <v>474</v>
      </c>
      <c r="B112" t="s">
        <v>21810</v>
      </c>
      <c r="C112" t="s">
        <v>21811</v>
      </c>
      <c r="D112" t="s">
        <v>21650</v>
      </c>
      <c r="E112" t="s">
        <v>4</v>
      </c>
      <c r="F112" t="str">
        <f>VLOOKUP(A112,L_AIRPORT!A:B,2)</f>
        <v>Des Moines, IA: Des Moines International</v>
      </c>
      <c r="G112">
        <v>41.53493306</v>
      </c>
      <c r="H112">
        <v>-93.660682219999998</v>
      </c>
      <c r="I112">
        <v>958</v>
      </c>
      <c r="J112" t="s">
        <v>22410</v>
      </c>
      <c r="K112" t="s">
        <v>22413</v>
      </c>
    </row>
    <row r="113" spans="1:11" x14ac:dyDescent="0.25">
      <c r="A113" t="s">
        <v>50</v>
      </c>
      <c r="B113" t="s">
        <v>21812</v>
      </c>
      <c r="C113" t="s">
        <v>21813</v>
      </c>
      <c r="D113" t="s">
        <v>51</v>
      </c>
      <c r="E113" t="s">
        <v>4</v>
      </c>
      <c r="F113" t="str">
        <f>VLOOKUP(A113,L_AIRPORT!A:B,2)</f>
        <v>Detroit, MI: Detroit Metro Wayne County</v>
      </c>
      <c r="G113">
        <v>42.212058890000002</v>
      </c>
      <c r="H113">
        <v>-83.348835829999999</v>
      </c>
      <c r="I113">
        <v>645</v>
      </c>
      <c r="J113" t="s">
        <v>22411</v>
      </c>
      <c r="K113" t="s">
        <v>22413</v>
      </c>
    </row>
    <row r="114" spans="1:11" x14ac:dyDescent="0.25">
      <c r="A114" s="7" t="s">
        <v>355</v>
      </c>
      <c r="B114" t="s">
        <v>22322</v>
      </c>
      <c r="C114" t="s">
        <v>22323</v>
      </c>
      <c r="D114" t="s">
        <v>21639</v>
      </c>
      <c r="E114" t="s">
        <v>4</v>
      </c>
      <c r="F114" t="str">
        <f>VLOOKUP(A114,L_AIRPORT!A:B,2)</f>
        <v>Unalaska, AK: Unalaska Airport</v>
      </c>
      <c r="G114">
        <v>53.898809999999997</v>
      </c>
      <c r="H114">
        <v>-166.544996</v>
      </c>
      <c r="I114">
        <v>22</v>
      </c>
      <c r="J114" t="s">
        <v>22410</v>
      </c>
      <c r="K114" t="s">
        <v>22413</v>
      </c>
    </row>
    <row r="115" spans="1:11" x14ac:dyDescent="0.25">
      <c r="A115" t="s">
        <v>2354</v>
      </c>
      <c r="B115" t="s">
        <v>21814</v>
      </c>
      <c r="C115" t="s">
        <v>21815</v>
      </c>
      <c r="D115" t="s">
        <v>21689</v>
      </c>
      <c r="E115" t="s">
        <v>4</v>
      </c>
      <c r="F115" t="str">
        <f>VLOOKUP(A115,L_AIRPORT!A:B,2)</f>
        <v>Devils Lake, ND: Devils Lake Regional</v>
      </c>
      <c r="G115">
        <v>48.114245279999999</v>
      </c>
      <c r="H115">
        <v>-98.908778330000004</v>
      </c>
      <c r="I115">
        <v>1456</v>
      </c>
      <c r="J115" t="s">
        <v>22408</v>
      </c>
      <c r="K115" t="s">
        <v>22413</v>
      </c>
    </row>
    <row r="116" spans="1:11" x14ac:dyDescent="0.25">
      <c r="A116" s="7" t="s">
        <v>2356</v>
      </c>
      <c r="B116" t="s">
        <v>22324</v>
      </c>
      <c r="C116" t="s">
        <v>22325</v>
      </c>
      <c r="D116" t="s">
        <v>21890</v>
      </c>
      <c r="E116" t="s">
        <v>4</v>
      </c>
      <c r="F116" t="str">
        <f>VLOOKUP(A116,L_AIRPORT!A:B,2)</f>
        <v>Kearney, NE: Kearney Regional</v>
      </c>
      <c r="G116">
        <v>40.727001000000001</v>
      </c>
      <c r="H116">
        <v>-99.006798000000003</v>
      </c>
      <c r="I116">
        <v>2131</v>
      </c>
      <c r="J116" t="s">
        <v>22410</v>
      </c>
      <c r="K116" t="s">
        <v>22413</v>
      </c>
    </row>
    <row r="117" spans="1:11" x14ac:dyDescent="0.25">
      <c r="A117" t="s">
        <v>2941</v>
      </c>
      <c r="B117" t="s">
        <v>22305</v>
      </c>
      <c r="C117" t="s">
        <v>22304</v>
      </c>
      <c r="D117" t="s">
        <v>129</v>
      </c>
      <c r="E117" t="s">
        <v>4</v>
      </c>
      <c r="F117" t="str">
        <f>VLOOKUP(A117,L_AIRPORT!A:B,2)</f>
        <v>Wenatchee, WA: Pangborn Memorial</v>
      </c>
      <c r="G117">
        <v>47.398899999999998</v>
      </c>
      <c r="H117">
        <v>-120.20699999999999</v>
      </c>
      <c r="I117">
        <v>1249</v>
      </c>
      <c r="J117" t="s">
        <v>22410</v>
      </c>
      <c r="K117" t="s">
        <v>22413</v>
      </c>
    </row>
    <row r="118" spans="1:11" x14ac:dyDescent="0.25">
      <c r="A118" t="s">
        <v>1946</v>
      </c>
      <c r="B118" t="s">
        <v>21816</v>
      </c>
      <c r="C118" t="s">
        <v>21817</v>
      </c>
      <c r="D118" t="s">
        <v>86</v>
      </c>
      <c r="E118" t="s">
        <v>4</v>
      </c>
      <c r="F118" t="str">
        <f>VLOOKUP(A118,L_AIRPORT!A:B,2)</f>
        <v>Eau Claire, WI: Chippewa Valley Regional</v>
      </c>
      <c r="G118">
        <v>44.865257219999997</v>
      </c>
      <c r="H118">
        <v>-91.485071939999997</v>
      </c>
      <c r="I118">
        <v>913</v>
      </c>
      <c r="J118" t="s">
        <v>22410</v>
      </c>
      <c r="K118" t="s">
        <v>22413</v>
      </c>
    </row>
    <row r="119" spans="1:11" x14ac:dyDescent="0.25">
      <c r="A119" s="7" t="s">
        <v>477</v>
      </c>
      <c r="B119" t="s">
        <v>22326</v>
      </c>
      <c r="C119" t="s">
        <v>22327</v>
      </c>
      <c r="D119" t="s">
        <v>55</v>
      </c>
      <c r="E119" t="s">
        <v>4</v>
      </c>
      <c r="F119" t="str">
        <f>VLOOKUP(A119,L_AIRPORT!A:B,2)</f>
        <v>Panama City, FL: Northwest Florida Beaches International</v>
      </c>
      <c r="G119">
        <v>30.357106000000002</v>
      </c>
      <c r="H119">
        <v>-85.795413999999994</v>
      </c>
      <c r="I119">
        <v>69</v>
      </c>
      <c r="J119" t="s">
        <v>22410</v>
      </c>
      <c r="K119" t="s">
        <v>22413</v>
      </c>
    </row>
    <row r="120" spans="1:11" x14ac:dyDescent="0.25">
      <c r="A120" t="s">
        <v>479</v>
      </c>
      <c r="B120" t="s">
        <v>21818</v>
      </c>
      <c r="C120" t="s">
        <v>21819</v>
      </c>
      <c r="D120" t="s">
        <v>48</v>
      </c>
      <c r="E120" t="s">
        <v>4</v>
      </c>
      <c r="F120" t="str">
        <f>VLOOKUP(A120,L_AIRPORT!A:B,2)</f>
        <v>Eagle, CO: Eagle County Regional</v>
      </c>
      <c r="G120">
        <v>39.64256778</v>
      </c>
      <c r="H120">
        <v>-106.91769530000001</v>
      </c>
      <c r="I120">
        <v>6548</v>
      </c>
      <c r="J120" t="s">
        <v>22410</v>
      </c>
      <c r="K120" t="s">
        <v>22413</v>
      </c>
    </row>
    <row r="121" spans="1:11" x14ac:dyDescent="0.25">
      <c r="A121" t="s">
        <v>2982</v>
      </c>
      <c r="B121" t="s">
        <v>21820</v>
      </c>
      <c r="C121" t="s">
        <v>21821</v>
      </c>
      <c r="D121" t="s">
        <v>72</v>
      </c>
      <c r="E121" t="s">
        <v>4</v>
      </c>
      <c r="F121" t="str">
        <f>VLOOKUP(A121,L_AIRPORT!A:B,2)</f>
        <v>Elko, NV: Elko Regional</v>
      </c>
      <c r="G121">
        <v>40.82492611</v>
      </c>
      <c r="H121">
        <v>-115.79169640000001</v>
      </c>
      <c r="I121">
        <v>5140</v>
      </c>
      <c r="J121" t="s">
        <v>22410</v>
      </c>
      <c r="K121" t="s">
        <v>22413</v>
      </c>
    </row>
    <row r="122" spans="1:11" x14ac:dyDescent="0.25">
      <c r="A122" t="s">
        <v>481</v>
      </c>
      <c r="B122" t="s">
        <v>21822</v>
      </c>
      <c r="C122" t="s">
        <v>21823</v>
      </c>
      <c r="D122" t="s">
        <v>8</v>
      </c>
      <c r="E122" t="s">
        <v>4</v>
      </c>
      <c r="F122" t="str">
        <f>VLOOKUP(A122,L_AIRPORT!A:B,2)</f>
        <v>Elmira/Corning, NY: Elmira/Corning Regional</v>
      </c>
      <c r="G122">
        <v>42.159913609999997</v>
      </c>
      <c r="H122">
        <v>-76.891443330000001</v>
      </c>
      <c r="I122">
        <v>954</v>
      </c>
      <c r="J122" t="s">
        <v>22410</v>
      </c>
      <c r="K122" t="s">
        <v>22413</v>
      </c>
    </row>
    <row r="123" spans="1:11" x14ac:dyDescent="0.25">
      <c r="A123" t="s">
        <v>483</v>
      </c>
      <c r="B123" t="s">
        <v>21824</v>
      </c>
      <c r="C123" t="s">
        <v>21825</v>
      </c>
      <c r="D123" t="s">
        <v>14</v>
      </c>
      <c r="E123" t="s">
        <v>4</v>
      </c>
      <c r="F123" t="str">
        <f>VLOOKUP(A123,L_AIRPORT!A:B,2)</f>
        <v>El Paso, TX: El Paso International</v>
      </c>
      <c r="G123">
        <v>31.806666669999998</v>
      </c>
      <c r="H123">
        <v>-106.3778056</v>
      </c>
      <c r="I123">
        <v>3959</v>
      </c>
      <c r="J123" t="s">
        <v>22410</v>
      </c>
      <c r="K123" t="s">
        <v>22413</v>
      </c>
    </row>
    <row r="124" spans="1:11" x14ac:dyDescent="0.25">
      <c r="A124" t="s">
        <v>1769</v>
      </c>
      <c r="B124" t="s">
        <v>21826</v>
      </c>
      <c r="C124" t="s">
        <v>21827</v>
      </c>
      <c r="D124" t="s">
        <v>103</v>
      </c>
      <c r="E124" t="s">
        <v>4</v>
      </c>
      <c r="F124" t="str">
        <f>VLOOKUP(A124,L_AIRPORT!A:B,2)</f>
        <v>Erie, PA: Erie International/Tom Ridge Field</v>
      </c>
      <c r="G124">
        <v>42.082021390000001</v>
      </c>
      <c r="H124">
        <v>-80.176215560000003</v>
      </c>
      <c r="I124">
        <v>732</v>
      </c>
      <c r="J124" t="s">
        <v>22410</v>
      </c>
      <c r="K124" t="s">
        <v>22413</v>
      </c>
    </row>
    <row r="125" spans="1:11" x14ac:dyDescent="0.25">
      <c r="A125" t="s">
        <v>2843</v>
      </c>
      <c r="B125" t="s">
        <v>21828</v>
      </c>
      <c r="C125" t="s">
        <v>21829</v>
      </c>
      <c r="D125" t="s">
        <v>51</v>
      </c>
      <c r="E125" t="s">
        <v>4</v>
      </c>
      <c r="F125" t="str">
        <f>VLOOKUP(A125,L_AIRPORT!A:B,2)</f>
        <v>Escanaba, MI: Delta County</v>
      </c>
      <c r="G125">
        <v>45.722669719999999</v>
      </c>
      <c r="H125">
        <v>-87.093731390000002</v>
      </c>
      <c r="I125">
        <v>609</v>
      </c>
      <c r="J125" t="s">
        <v>22408</v>
      </c>
      <c r="K125" t="s">
        <v>22413</v>
      </c>
    </row>
    <row r="126" spans="1:11" x14ac:dyDescent="0.25">
      <c r="A126" t="s">
        <v>848</v>
      </c>
      <c r="B126" t="s">
        <v>21830</v>
      </c>
      <c r="C126" t="s">
        <v>21831</v>
      </c>
      <c r="D126" t="s">
        <v>101</v>
      </c>
      <c r="E126" t="s">
        <v>4</v>
      </c>
      <c r="F126" t="str">
        <f>VLOOKUP(A126,L_AIRPORT!A:B,2)</f>
        <v>Eugene, OR: Mahlon Sweet Field</v>
      </c>
      <c r="G126">
        <v>44.123260000000002</v>
      </c>
      <c r="H126">
        <v>-123.2186856</v>
      </c>
      <c r="I126">
        <v>374</v>
      </c>
      <c r="J126" t="s">
        <v>22410</v>
      </c>
      <c r="K126" t="s">
        <v>22413</v>
      </c>
    </row>
    <row r="127" spans="1:11" x14ac:dyDescent="0.25">
      <c r="A127" t="s">
        <v>485</v>
      </c>
      <c r="B127" t="s">
        <v>21832</v>
      </c>
      <c r="C127" t="s">
        <v>21833</v>
      </c>
      <c r="D127" t="s">
        <v>21834</v>
      </c>
      <c r="E127" t="s">
        <v>4</v>
      </c>
      <c r="F127" t="str">
        <f>VLOOKUP(A127,L_AIRPORT!A:B,2)</f>
        <v>Evansville, IN: Evansville Regional</v>
      </c>
      <c r="G127">
        <v>38.037991390000002</v>
      </c>
      <c r="H127">
        <v>-87.530626670000004</v>
      </c>
      <c r="I127">
        <v>418</v>
      </c>
      <c r="J127" t="s">
        <v>22410</v>
      </c>
      <c r="K127" t="s">
        <v>22413</v>
      </c>
    </row>
    <row r="128" spans="1:11" x14ac:dyDescent="0.25">
      <c r="A128" t="s">
        <v>487</v>
      </c>
      <c r="B128" t="s">
        <v>21835</v>
      </c>
      <c r="C128" t="s">
        <v>21836</v>
      </c>
      <c r="D128" t="s">
        <v>41</v>
      </c>
      <c r="E128" t="s">
        <v>4</v>
      </c>
      <c r="F128" t="str">
        <f>VLOOKUP(A128,L_AIRPORT!A:B,2)</f>
        <v>New Bern/Morehead/Beaufort, NC: Coastal Carolina Regional</v>
      </c>
      <c r="G128">
        <v>35.072972219999997</v>
      </c>
      <c r="H128">
        <v>-77.042944439999999</v>
      </c>
      <c r="I128">
        <v>18</v>
      </c>
      <c r="J128" t="s">
        <v>22410</v>
      </c>
      <c r="K128" t="s">
        <v>22413</v>
      </c>
    </row>
    <row r="129" spans="1:11" x14ac:dyDescent="0.25">
      <c r="A129" t="s">
        <v>52</v>
      </c>
      <c r="B129" t="s">
        <v>21837</v>
      </c>
      <c r="C129" t="s">
        <v>21838</v>
      </c>
      <c r="D129" t="s">
        <v>53</v>
      </c>
      <c r="E129" t="s">
        <v>4</v>
      </c>
      <c r="F129" t="str">
        <f>VLOOKUP(A129,L_AIRPORT!A:B,2)</f>
        <v>Newark, NJ: Newark Liberty International</v>
      </c>
      <c r="G129">
        <v>40.69249722</v>
      </c>
      <c r="H129">
        <v>-74.168660560000006</v>
      </c>
      <c r="I129">
        <v>18</v>
      </c>
      <c r="J129" t="s">
        <v>22411</v>
      </c>
      <c r="K129" t="s">
        <v>22413</v>
      </c>
    </row>
    <row r="130" spans="1:11" x14ac:dyDescent="0.25">
      <c r="A130" t="s">
        <v>54</v>
      </c>
      <c r="B130" t="s">
        <v>21839</v>
      </c>
      <c r="C130" t="s">
        <v>21840</v>
      </c>
      <c r="D130" t="s">
        <v>55</v>
      </c>
      <c r="E130" t="s">
        <v>4</v>
      </c>
      <c r="F130" t="str">
        <f>VLOOKUP(A130,L_AIRPORT!A:B,2)</f>
        <v>Key West, FL: Key West International</v>
      </c>
      <c r="G130">
        <v>24.55611111</v>
      </c>
      <c r="H130">
        <v>-81.759555559999995</v>
      </c>
      <c r="I130">
        <v>3</v>
      </c>
      <c r="J130" t="s">
        <v>22410</v>
      </c>
      <c r="K130" t="s">
        <v>22413</v>
      </c>
    </row>
    <row r="131" spans="1:11" x14ac:dyDescent="0.25">
      <c r="A131" t="s">
        <v>358</v>
      </c>
      <c r="B131" t="s">
        <v>21841</v>
      </c>
      <c r="C131" t="s">
        <v>21842</v>
      </c>
      <c r="D131" t="s">
        <v>21639</v>
      </c>
      <c r="E131" t="s">
        <v>4</v>
      </c>
      <c r="F131" t="str">
        <f>VLOOKUP(A131,L_AIRPORT!A:B,2)</f>
        <v>Fairbanks, AK: Fairbanks International</v>
      </c>
      <c r="G131">
        <v>64.813677499999997</v>
      </c>
      <c r="H131">
        <v>-147.8596694</v>
      </c>
      <c r="I131">
        <v>439</v>
      </c>
      <c r="J131" t="s">
        <v>22411</v>
      </c>
      <c r="K131" t="s">
        <v>22413</v>
      </c>
    </row>
    <row r="132" spans="1:11" x14ac:dyDescent="0.25">
      <c r="A132" t="s">
        <v>491</v>
      </c>
      <c r="B132" t="s">
        <v>21843</v>
      </c>
      <c r="C132" t="s">
        <v>21844</v>
      </c>
      <c r="D132" t="s">
        <v>21689</v>
      </c>
      <c r="E132" t="s">
        <v>4</v>
      </c>
      <c r="F132" t="str">
        <f>VLOOKUP(A132,L_AIRPORT!A:B,2)</f>
        <v>Fargo, ND: Hector International</v>
      </c>
      <c r="G132">
        <v>46.919348890000002</v>
      </c>
      <c r="H132">
        <v>-96.814988889999995</v>
      </c>
      <c r="I132">
        <v>902</v>
      </c>
      <c r="J132" t="s">
        <v>22410</v>
      </c>
      <c r="K132" t="s">
        <v>22413</v>
      </c>
    </row>
    <row r="133" spans="1:11" x14ac:dyDescent="0.25">
      <c r="A133" t="s">
        <v>2365</v>
      </c>
      <c r="B133" t="s">
        <v>21845</v>
      </c>
      <c r="C133" t="s">
        <v>21846</v>
      </c>
      <c r="D133" t="s">
        <v>31</v>
      </c>
      <c r="E133" t="s">
        <v>4</v>
      </c>
      <c r="F133" t="str">
        <f>VLOOKUP(A133,L_AIRPORT!A:B,2)</f>
        <v>Fresno, CA: Fresno Yosemite International</v>
      </c>
      <c r="G133">
        <v>36.776194439999998</v>
      </c>
      <c r="H133">
        <v>-119.7181389</v>
      </c>
      <c r="I133">
        <v>336</v>
      </c>
      <c r="J133" t="s">
        <v>22410</v>
      </c>
      <c r="K133" t="s">
        <v>22413</v>
      </c>
    </row>
    <row r="134" spans="1:11" x14ac:dyDescent="0.25">
      <c r="A134" t="s">
        <v>493</v>
      </c>
      <c r="B134" t="s">
        <v>21847</v>
      </c>
      <c r="C134" t="s">
        <v>21848</v>
      </c>
      <c r="D134" t="s">
        <v>41</v>
      </c>
      <c r="E134" t="s">
        <v>4</v>
      </c>
      <c r="F134" t="str">
        <f>VLOOKUP(A134,L_AIRPORT!A:B,2)</f>
        <v>Fayetteville, NC: Fayetteville Regional/Grannis Field</v>
      </c>
      <c r="G134">
        <v>34.991472219999999</v>
      </c>
      <c r="H134">
        <v>-78.88</v>
      </c>
      <c r="I134">
        <v>189</v>
      </c>
      <c r="J134" t="s">
        <v>22410</v>
      </c>
      <c r="K134" t="s">
        <v>22413</v>
      </c>
    </row>
    <row r="135" spans="1:11" x14ac:dyDescent="0.25">
      <c r="A135" t="s">
        <v>56</v>
      </c>
      <c r="B135" t="s">
        <v>21849</v>
      </c>
      <c r="C135" t="s">
        <v>21850</v>
      </c>
      <c r="D135" t="s">
        <v>35</v>
      </c>
      <c r="E135" t="s">
        <v>4</v>
      </c>
      <c r="F135" t="str">
        <f>VLOOKUP(A135,L_AIRPORT!A:B,2)</f>
        <v>Kalispell, MT: Glacier Park International</v>
      </c>
      <c r="G135">
        <v>48.311404719999999</v>
      </c>
      <c r="H135">
        <v>-114.2550694</v>
      </c>
      <c r="I135">
        <v>2977</v>
      </c>
      <c r="J135" t="s">
        <v>22410</v>
      </c>
      <c r="K135" t="s">
        <v>22413</v>
      </c>
    </row>
    <row r="136" spans="1:11" x14ac:dyDescent="0.25">
      <c r="A136" t="s">
        <v>2368</v>
      </c>
      <c r="B136" t="s">
        <v>21851</v>
      </c>
      <c r="C136" t="s">
        <v>21852</v>
      </c>
      <c r="D136" t="s">
        <v>105</v>
      </c>
      <c r="E136" t="s">
        <v>4</v>
      </c>
      <c r="F136" t="str">
        <f>VLOOKUP(A136,L_AIRPORT!A:B,2)</f>
        <v>Flagstaff, AZ: Flagstaff Pulliam</v>
      </c>
      <c r="G136">
        <v>35.138454719999999</v>
      </c>
      <c r="H136">
        <v>-111.67121830000001</v>
      </c>
      <c r="I136">
        <v>7014</v>
      </c>
      <c r="J136" t="s">
        <v>22410</v>
      </c>
      <c r="K136" t="s">
        <v>22413</v>
      </c>
    </row>
    <row r="137" spans="1:11" x14ac:dyDescent="0.25">
      <c r="A137" t="s">
        <v>57</v>
      </c>
      <c r="B137" t="s">
        <v>21853</v>
      </c>
      <c r="C137" t="s">
        <v>21854</v>
      </c>
      <c r="D137" t="s">
        <v>55</v>
      </c>
      <c r="E137" t="s">
        <v>4</v>
      </c>
      <c r="F137" t="str">
        <f>VLOOKUP(A137,L_AIRPORT!A:B,2)</f>
        <v>Fort Lauderdale, FL: Fort Lauderdale-Hollywood International</v>
      </c>
      <c r="G137">
        <v>26.072583330000001</v>
      </c>
      <c r="H137">
        <v>-80.152749999999997</v>
      </c>
      <c r="I137">
        <v>9</v>
      </c>
      <c r="J137" t="s">
        <v>22411</v>
      </c>
      <c r="K137" t="s">
        <v>22414</v>
      </c>
    </row>
    <row r="138" spans="1:11" x14ac:dyDescent="0.25">
      <c r="A138" t="s">
        <v>1778</v>
      </c>
      <c r="B138" t="s">
        <v>21855</v>
      </c>
      <c r="C138" t="s">
        <v>21856</v>
      </c>
      <c r="D138" t="s">
        <v>37</v>
      </c>
      <c r="E138" t="s">
        <v>4</v>
      </c>
      <c r="F138" t="str">
        <f>VLOOKUP(A138,L_AIRPORT!A:B,2)</f>
        <v>Florence, SC: Florence Regional</v>
      </c>
      <c r="G138">
        <v>34.185361110000002</v>
      </c>
      <c r="H138">
        <v>-79.723888889999998</v>
      </c>
      <c r="I138">
        <v>146</v>
      </c>
      <c r="J138" t="s">
        <v>22410</v>
      </c>
      <c r="K138" t="s">
        <v>22413</v>
      </c>
    </row>
    <row r="139" spans="1:11" x14ac:dyDescent="0.25">
      <c r="A139" t="s">
        <v>497</v>
      </c>
      <c r="B139" t="s">
        <v>21857</v>
      </c>
      <c r="C139" t="s">
        <v>21858</v>
      </c>
      <c r="D139" t="s">
        <v>51</v>
      </c>
      <c r="E139" t="s">
        <v>4</v>
      </c>
      <c r="F139" t="str">
        <f>VLOOKUP(A139,L_AIRPORT!A:B,2)</f>
        <v>Flint, MI: Bishop International</v>
      </c>
      <c r="G139">
        <v>42.965503329999997</v>
      </c>
      <c r="H139">
        <v>-83.743456390000006</v>
      </c>
      <c r="I139">
        <v>782</v>
      </c>
      <c r="J139" t="s">
        <v>22410</v>
      </c>
      <c r="K139" t="s">
        <v>22413</v>
      </c>
    </row>
    <row r="140" spans="1:11" x14ac:dyDescent="0.25">
      <c r="A140" s="7" t="s">
        <v>2371</v>
      </c>
      <c r="B140" t="s">
        <v>22328</v>
      </c>
      <c r="C140" t="s">
        <v>22329</v>
      </c>
      <c r="D140" t="s">
        <v>21650</v>
      </c>
      <c r="E140" t="s">
        <v>4</v>
      </c>
      <c r="F140" t="str">
        <f>VLOOKUP(A140,L_AIRPORT!A:B,2)</f>
        <v>Fort Dodge, IA: Fort Dodge Regional</v>
      </c>
      <c r="G140">
        <v>42.551498410000001</v>
      </c>
      <c r="H140">
        <v>-94.192596440000003</v>
      </c>
      <c r="I140">
        <v>1156</v>
      </c>
      <c r="J140" t="s">
        <v>22410</v>
      </c>
      <c r="K140" t="s">
        <v>22413</v>
      </c>
    </row>
    <row r="141" spans="1:11" x14ac:dyDescent="0.25">
      <c r="A141" t="s">
        <v>12354</v>
      </c>
      <c r="B141" t="s">
        <v>21859</v>
      </c>
      <c r="C141" t="s">
        <v>21860</v>
      </c>
      <c r="D141" t="s">
        <v>21861</v>
      </c>
      <c r="E141" t="s">
        <v>4</v>
      </c>
      <c r="F141" t="str">
        <f>VLOOKUP(A141,L_AIRPORT!A:B,2)</f>
        <v>Topeka, KS: Topeka Regional</v>
      </c>
      <c r="G141">
        <v>38.950951940000003</v>
      </c>
      <c r="H141">
        <v>-95.663614440000003</v>
      </c>
      <c r="I141">
        <v>1078</v>
      </c>
      <c r="J141" t="s">
        <v>22410</v>
      </c>
      <c r="K141" t="s">
        <v>22413</v>
      </c>
    </row>
    <row r="142" spans="1:11" x14ac:dyDescent="0.25">
      <c r="A142" t="s">
        <v>499</v>
      </c>
      <c r="B142" t="s">
        <v>21862</v>
      </c>
      <c r="C142" t="s">
        <v>21863</v>
      </c>
      <c r="D142" t="s">
        <v>21627</v>
      </c>
      <c r="E142" t="s">
        <v>4</v>
      </c>
      <c r="F142" t="str">
        <f>VLOOKUP(A142,L_AIRPORT!A:B,2)</f>
        <v>Sioux Falls, SD: Joe Foss Field</v>
      </c>
      <c r="G142">
        <v>43.58135111</v>
      </c>
      <c r="H142">
        <v>-96.741700280000003</v>
      </c>
      <c r="I142">
        <v>1429</v>
      </c>
      <c r="J142" t="s">
        <v>22410</v>
      </c>
      <c r="K142" t="s">
        <v>22413</v>
      </c>
    </row>
    <row r="143" spans="1:11" x14ac:dyDescent="0.25">
      <c r="A143" t="s">
        <v>501</v>
      </c>
      <c r="B143" t="s">
        <v>21864</v>
      </c>
      <c r="C143" t="s">
        <v>21865</v>
      </c>
      <c r="D143" t="s">
        <v>21866</v>
      </c>
      <c r="E143" t="s">
        <v>4</v>
      </c>
      <c r="F143" t="str">
        <f>VLOOKUP(A143,L_AIRPORT!A:B,2)</f>
        <v>Fort Smith, AR: Fort Smith Regional</v>
      </c>
      <c r="G143">
        <v>35.336590280000003</v>
      </c>
      <c r="H143">
        <v>-94.367441110000001</v>
      </c>
      <c r="I143">
        <v>469</v>
      </c>
      <c r="J143" t="s">
        <v>22410</v>
      </c>
      <c r="K143" t="s">
        <v>22413</v>
      </c>
    </row>
    <row r="144" spans="1:11" x14ac:dyDescent="0.25">
      <c r="A144" t="s">
        <v>503</v>
      </c>
      <c r="B144" t="s">
        <v>21867</v>
      </c>
      <c r="C144" t="s">
        <v>21868</v>
      </c>
      <c r="D144" t="s">
        <v>21834</v>
      </c>
      <c r="E144" t="s">
        <v>4</v>
      </c>
      <c r="F144" t="str">
        <f>VLOOKUP(A144,L_AIRPORT!A:B,2)</f>
        <v>Fort Wayne, IN: Fort Wayne International</v>
      </c>
      <c r="G144">
        <v>40.978465829999998</v>
      </c>
      <c r="H144">
        <v>-85.195146390000005</v>
      </c>
      <c r="I144">
        <v>814</v>
      </c>
      <c r="J144" t="s">
        <v>22410</v>
      </c>
      <c r="K144" t="s">
        <v>22413</v>
      </c>
    </row>
    <row r="145" spans="1:11" x14ac:dyDescent="0.25">
      <c r="A145" t="s">
        <v>2374</v>
      </c>
      <c r="B145" t="s">
        <v>21869</v>
      </c>
      <c r="C145" t="s">
        <v>21870</v>
      </c>
      <c r="D145" t="s">
        <v>21768</v>
      </c>
      <c r="E145" t="s">
        <v>4</v>
      </c>
      <c r="F145" t="str">
        <f>VLOOKUP(A145,L_AIRPORT!A:B,2)</f>
        <v>Gillette, WY: Gillette Campbell County</v>
      </c>
      <c r="G145">
        <v>44.348898060000003</v>
      </c>
      <c r="H145">
        <v>-105.5393614</v>
      </c>
      <c r="I145">
        <v>4365</v>
      </c>
      <c r="J145" t="s">
        <v>22410</v>
      </c>
      <c r="K145" t="s">
        <v>22413</v>
      </c>
    </row>
    <row r="146" spans="1:11" x14ac:dyDescent="0.25">
      <c r="A146" t="s">
        <v>2604</v>
      </c>
      <c r="B146" t="s">
        <v>21871</v>
      </c>
      <c r="C146" t="s">
        <v>21872</v>
      </c>
      <c r="D146" t="s">
        <v>21861</v>
      </c>
      <c r="E146" t="s">
        <v>4</v>
      </c>
      <c r="F146" t="str">
        <f>VLOOKUP(A146,L_AIRPORT!A:B,2)</f>
        <v>Garden City, KS: Garden City Regional</v>
      </c>
      <c r="G146">
        <v>37.927515560000003</v>
      </c>
      <c r="H146">
        <v>-100.7244147</v>
      </c>
      <c r="I146">
        <v>2891</v>
      </c>
      <c r="J146" t="s">
        <v>22410</v>
      </c>
      <c r="K146" t="s">
        <v>22413</v>
      </c>
    </row>
    <row r="147" spans="1:11" x14ac:dyDescent="0.25">
      <c r="A147" t="s">
        <v>505</v>
      </c>
      <c r="B147" t="s">
        <v>21873</v>
      </c>
      <c r="C147" t="s">
        <v>21874</v>
      </c>
      <c r="D147" t="s">
        <v>129</v>
      </c>
      <c r="E147" t="s">
        <v>4</v>
      </c>
      <c r="F147" t="str">
        <f>VLOOKUP(A147,L_AIRPORT!A:B,2)</f>
        <v>Spokane, WA: Spokane International</v>
      </c>
      <c r="G147">
        <v>47.619855559999998</v>
      </c>
      <c r="H147">
        <v>-117.53384250000001</v>
      </c>
      <c r="I147">
        <v>2376</v>
      </c>
      <c r="J147" t="s">
        <v>22410</v>
      </c>
      <c r="K147" t="s">
        <v>22413</v>
      </c>
    </row>
    <row r="148" spans="1:11" x14ac:dyDescent="0.25">
      <c r="A148" t="s">
        <v>856</v>
      </c>
      <c r="B148" t="s">
        <v>21875</v>
      </c>
      <c r="C148" t="s">
        <v>21876</v>
      </c>
      <c r="D148" t="s">
        <v>21689</v>
      </c>
      <c r="E148" t="s">
        <v>4</v>
      </c>
      <c r="F148" t="str">
        <f>VLOOKUP(A148,L_AIRPORT!A:B,2)</f>
        <v>Grand Forks, ND: Grand Forks International</v>
      </c>
      <c r="G148">
        <v>47.949255000000001</v>
      </c>
      <c r="H148">
        <v>-97.176111109999994</v>
      </c>
      <c r="I148">
        <v>845</v>
      </c>
      <c r="J148" t="s">
        <v>22410</v>
      </c>
      <c r="K148" t="s">
        <v>22413</v>
      </c>
    </row>
    <row r="149" spans="1:11" x14ac:dyDescent="0.25">
      <c r="A149" t="s">
        <v>2607</v>
      </c>
      <c r="B149" t="s">
        <v>21877</v>
      </c>
      <c r="C149" t="s">
        <v>21878</v>
      </c>
      <c r="D149" t="s">
        <v>14</v>
      </c>
      <c r="E149" t="s">
        <v>4</v>
      </c>
      <c r="F149" t="str">
        <f>VLOOKUP(A149,L_AIRPORT!A:B,2)</f>
        <v>Longview, TX: East Texas Regional</v>
      </c>
      <c r="G149">
        <v>32.384861110000003</v>
      </c>
      <c r="H149">
        <v>-94.711709999999997</v>
      </c>
      <c r="I149">
        <v>365</v>
      </c>
      <c r="J149" t="s">
        <v>22410</v>
      </c>
      <c r="K149" t="s">
        <v>22413</v>
      </c>
    </row>
    <row r="150" spans="1:11" x14ac:dyDescent="0.25">
      <c r="A150" t="s">
        <v>858</v>
      </c>
      <c r="B150" t="s">
        <v>21879</v>
      </c>
      <c r="C150" t="s">
        <v>21880</v>
      </c>
      <c r="D150" t="s">
        <v>48</v>
      </c>
      <c r="E150" t="s">
        <v>4</v>
      </c>
      <c r="F150" t="str">
        <f>VLOOKUP(A150,L_AIRPORT!A:B,2)</f>
        <v>Grand Junction, CO: Grand Junction Regional</v>
      </c>
      <c r="G150">
        <v>39.122412500000003</v>
      </c>
      <c r="H150">
        <v>-108.52673470000001</v>
      </c>
      <c r="I150">
        <v>4858</v>
      </c>
      <c r="J150" t="s">
        <v>22410</v>
      </c>
      <c r="K150" t="s">
        <v>22413</v>
      </c>
    </row>
    <row r="151" spans="1:11" x14ac:dyDescent="0.25">
      <c r="A151" t="s">
        <v>507</v>
      </c>
      <c r="B151" t="s">
        <v>21881</v>
      </c>
      <c r="C151" t="s">
        <v>21882</v>
      </c>
      <c r="D151" t="s">
        <v>55</v>
      </c>
      <c r="E151" t="s">
        <v>4</v>
      </c>
      <c r="F151" t="str">
        <f>VLOOKUP(A151,L_AIRPORT!A:B,2)</f>
        <v>Gainesville, FL: Gainesville Regional</v>
      </c>
      <c r="G151">
        <v>29.690055560000001</v>
      </c>
      <c r="H151">
        <v>-82.271777779999994</v>
      </c>
      <c r="I151">
        <v>152</v>
      </c>
      <c r="J151" t="s">
        <v>22410</v>
      </c>
      <c r="K151" t="s">
        <v>22413</v>
      </c>
    </row>
    <row r="152" spans="1:11" x14ac:dyDescent="0.25">
      <c r="A152" t="s">
        <v>509</v>
      </c>
      <c r="B152" t="s">
        <v>21883</v>
      </c>
      <c r="C152" t="s">
        <v>21884</v>
      </c>
      <c r="D152" t="s">
        <v>21885</v>
      </c>
      <c r="E152" t="s">
        <v>4</v>
      </c>
      <c r="F152" t="str">
        <f>VLOOKUP(A152,L_AIRPORT!A:B,2)</f>
        <v>Gulfport/Biloxi, MS: Gulfport-Biloxi International</v>
      </c>
      <c r="G152">
        <v>30.407280279999998</v>
      </c>
      <c r="H152">
        <v>-89.070092779999996</v>
      </c>
      <c r="I152">
        <v>28</v>
      </c>
      <c r="J152" t="s">
        <v>22410</v>
      </c>
      <c r="K152" t="s">
        <v>22413</v>
      </c>
    </row>
    <row r="153" spans="1:11" x14ac:dyDescent="0.25">
      <c r="A153" t="s">
        <v>511</v>
      </c>
      <c r="B153" t="s">
        <v>21886</v>
      </c>
      <c r="C153" t="s">
        <v>21887</v>
      </c>
      <c r="D153" t="s">
        <v>86</v>
      </c>
      <c r="E153" t="s">
        <v>4</v>
      </c>
      <c r="F153" t="str">
        <f>VLOOKUP(A153,L_AIRPORT!A:B,2)</f>
        <v>Green Bay, WI: Green Bay Austin Straubel International</v>
      </c>
      <c r="G153">
        <v>44.485073329999999</v>
      </c>
      <c r="H153">
        <v>-88.129589999999993</v>
      </c>
      <c r="I153">
        <v>695</v>
      </c>
      <c r="J153" t="s">
        <v>22410</v>
      </c>
      <c r="K153" t="s">
        <v>22413</v>
      </c>
    </row>
    <row r="154" spans="1:11" x14ac:dyDescent="0.25">
      <c r="A154" t="s">
        <v>860</v>
      </c>
      <c r="B154" t="s">
        <v>21888</v>
      </c>
      <c r="C154" t="s">
        <v>21889</v>
      </c>
      <c r="D154" t="s">
        <v>21890</v>
      </c>
      <c r="E154" t="s">
        <v>4</v>
      </c>
      <c r="F154" t="str">
        <f>VLOOKUP(A154,L_AIRPORT!A:B,2)</f>
        <v>Grand Island, NE: Central Nebraska Regional</v>
      </c>
      <c r="G154">
        <v>40.967472219999998</v>
      </c>
      <c r="H154">
        <v>-98.308611110000001</v>
      </c>
      <c r="I154">
        <v>1847</v>
      </c>
      <c r="J154" t="s">
        <v>22410</v>
      </c>
      <c r="K154" t="s">
        <v>22413</v>
      </c>
    </row>
    <row r="155" spans="1:11" x14ac:dyDescent="0.25">
      <c r="A155" t="s">
        <v>513</v>
      </c>
      <c r="B155" t="s">
        <v>21891</v>
      </c>
      <c r="C155" t="s">
        <v>21892</v>
      </c>
      <c r="D155" t="s">
        <v>14</v>
      </c>
      <c r="E155" t="s">
        <v>4</v>
      </c>
      <c r="F155" t="str">
        <f>VLOOKUP(A155,L_AIRPORT!A:B,2)</f>
        <v>Killeen, TX: Robert Gray AAF</v>
      </c>
      <c r="G155">
        <v>31.064897779999999</v>
      </c>
      <c r="H155">
        <v>-97.827797779999997</v>
      </c>
      <c r="I155">
        <v>1015</v>
      </c>
      <c r="J155" t="s">
        <v>22410</v>
      </c>
      <c r="K155" t="s">
        <v>22413</v>
      </c>
    </row>
    <row r="156" spans="1:11" x14ac:dyDescent="0.25">
      <c r="A156" t="s">
        <v>515</v>
      </c>
      <c r="B156" t="s">
        <v>21893</v>
      </c>
      <c r="C156" t="s">
        <v>21894</v>
      </c>
      <c r="D156" t="s">
        <v>51</v>
      </c>
      <c r="E156" t="s">
        <v>4</v>
      </c>
      <c r="F156" t="str">
        <f>VLOOKUP(A156,L_AIRPORT!A:B,2)</f>
        <v>Grand Rapids, MI: Gerald R. Ford International</v>
      </c>
      <c r="G156">
        <v>42.880819719999998</v>
      </c>
      <c r="H156">
        <v>-85.522767779999995</v>
      </c>
      <c r="I156">
        <v>794</v>
      </c>
      <c r="J156" t="s">
        <v>22410</v>
      </c>
      <c r="K156" t="s">
        <v>22413</v>
      </c>
    </row>
    <row r="157" spans="1:11" x14ac:dyDescent="0.25">
      <c r="A157" t="s">
        <v>517</v>
      </c>
      <c r="B157" t="s">
        <v>21895</v>
      </c>
      <c r="C157" t="s">
        <v>21896</v>
      </c>
      <c r="D157" t="s">
        <v>41</v>
      </c>
      <c r="E157" t="s">
        <v>4</v>
      </c>
      <c r="F157" t="str">
        <f>VLOOKUP(A157,L_AIRPORT!A:B,2)</f>
        <v>Greensboro/High Point, NC: Piedmont Triad International</v>
      </c>
      <c r="G157">
        <v>36.09774694</v>
      </c>
      <c r="H157">
        <v>-79.9372975</v>
      </c>
      <c r="I157">
        <v>925</v>
      </c>
      <c r="J157" t="s">
        <v>22410</v>
      </c>
      <c r="K157" t="s">
        <v>22413</v>
      </c>
    </row>
    <row r="158" spans="1:11" x14ac:dyDescent="0.25">
      <c r="A158" t="s">
        <v>519</v>
      </c>
      <c r="B158" t="s">
        <v>21897</v>
      </c>
      <c r="C158" t="s">
        <v>21898</v>
      </c>
      <c r="D158" t="s">
        <v>37</v>
      </c>
      <c r="E158" t="s">
        <v>4</v>
      </c>
      <c r="F158" t="str">
        <f>VLOOKUP(A158,L_AIRPORT!A:B,2)</f>
        <v>Greer, SC: Greenville-Spartanburg International</v>
      </c>
      <c r="G158">
        <v>34.89566722</v>
      </c>
      <c r="H158">
        <v>-82.218858330000003</v>
      </c>
      <c r="I158">
        <v>964</v>
      </c>
      <c r="J158" t="s">
        <v>22410</v>
      </c>
      <c r="K158" t="s">
        <v>22413</v>
      </c>
    </row>
    <row r="159" spans="1:11" x14ac:dyDescent="0.25">
      <c r="A159" t="s">
        <v>3571</v>
      </c>
      <c r="B159" t="s">
        <v>21899</v>
      </c>
      <c r="C159" t="s">
        <v>21899</v>
      </c>
      <c r="D159" t="s">
        <v>21639</v>
      </c>
      <c r="E159" t="s">
        <v>4</v>
      </c>
      <c r="F159" t="str">
        <f>VLOOKUP(A159,L_AIRPORT!A:B,2)</f>
        <v>Gustavus, AK: Gustavus Airport</v>
      </c>
      <c r="G159">
        <v>58.424381390000001</v>
      </c>
      <c r="H159">
        <v>-135.7073814</v>
      </c>
      <c r="I159">
        <v>35</v>
      </c>
      <c r="J159" t="s">
        <v>22410</v>
      </c>
      <c r="K159" t="s">
        <v>22413</v>
      </c>
    </row>
    <row r="160" spans="1:11" x14ac:dyDescent="0.25">
      <c r="A160" t="s">
        <v>863</v>
      </c>
      <c r="B160" t="s">
        <v>21900</v>
      </c>
      <c r="C160" t="s">
        <v>21901</v>
      </c>
      <c r="D160" t="s">
        <v>35</v>
      </c>
      <c r="E160" t="s">
        <v>4</v>
      </c>
      <c r="F160" t="str">
        <f>VLOOKUP(A160,L_AIRPORT!A:B,2)</f>
        <v>Great Falls, MT: Great Falls International</v>
      </c>
      <c r="G160">
        <v>47.482001940000004</v>
      </c>
      <c r="H160">
        <v>-111.37068530000001</v>
      </c>
      <c r="I160">
        <v>3680</v>
      </c>
      <c r="J160" t="s">
        <v>22410</v>
      </c>
      <c r="K160" t="s">
        <v>22413</v>
      </c>
    </row>
    <row r="161" spans="1:11" x14ac:dyDescent="0.25">
      <c r="A161" t="s">
        <v>521</v>
      </c>
      <c r="B161" t="s">
        <v>21902</v>
      </c>
      <c r="C161" t="s">
        <v>21903</v>
      </c>
      <c r="D161" t="s">
        <v>21885</v>
      </c>
      <c r="E161" t="s">
        <v>4</v>
      </c>
      <c r="F161" t="str">
        <f>VLOOKUP(A161,L_AIRPORT!A:B,2)</f>
        <v>Columbus, MS: Golden Triangle Regional</v>
      </c>
      <c r="G161">
        <v>33.450334439999999</v>
      </c>
      <c r="H161">
        <v>-88.591368610000004</v>
      </c>
      <c r="I161">
        <v>264</v>
      </c>
      <c r="J161" t="s">
        <v>22410</v>
      </c>
      <c r="K161" t="s">
        <v>22413</v>
      </c>
    </row>
    <row r="162" spans="1:11" x14ac:dyDescent="0.25">
      <c r="A162" t="s">
        <v>2383</v>
      </c>
      <c r="B162" t="s">
        <v>21904</v>
      </c>
      <c r="C162" t="s">
        <v>21905</v>
      </c>
      <c r="D162" t="s">
        <v>48</v>
      </c>
      <c r="E162" t="s">
        <v>4</v>
      </c>
      <c r="F162" t="str">
        <f>VLOOKUP(A162,L_AIRPORT!A:B,2)</f>
        <v>Gunnison, CO: Gunnison-Crested Butte Regional</v>
      </c>
      <c r="G162">
        <v>38.533963329999999</v>
      </c>
      <c r="H162">
        <v>-106.93318170000001</v>
      </c>
      <c r="I162">
        <v>7680</v>
      </c>
      <c r="J162" t="s">
        <v>22408</v>
      </c>
      <c r="K162" t="s">
        <v>22413</v>
      </c>
    </row>
    <row r="163" spans="1:11" x14ac:dyDescent="0.25">
      <c r="A163" t="s">
        <v>3587</v>
      </c>
      <c r="B163" t="s">
        <v>21906</v>
      </c>
      <c r="C163" t="s">
        <v>21907</v>
      </c>
      <c r="D163" t="s">
        <v>21908</v>
      </c>
      <c r="E163" t="s">
        <v>4</v>
      </c>
      <c r="F163" t="str">
        <f>VLOOKUP(A163,L_AIRPORT!A:B,2)</f>
        <v>Guam, TT: Guam International</v>
      </c>
      <c r="G163">
        <v>13.483449999999999</v>
      </c>
      <c r="H163">
        <v>144.79599999999999</v>
      </c>
      <c r="I163">
        <v>298</v>
      </c>
      <c r="J163" t="s">
        <v>22411</v>
      </c>
      <c r="K163" t="s">
        <v>22413</v>
      </c>
    </row>
    <row r="164" spans="1:11" x14ac:dyDescent="0.25">
      <c r="A164" t="s">
        <v>64</v>
      </c>
      <c r="B164" t="s">
        <v>21909</v>
      </c>
      <c r="C164" t="s">
        <v>21910</v>
      </c>
      <c r="D164" t="s">
        <v>48</v>
      </c>
      <c r="E164" t="s">
        <v>4</v>
      </c>
      <c r="F164" t="str">
        <f>VLOOKUP(A164,L_AIRPORT!A:B,2)</f>
        <v>Hayden, CO: Yampa Valley</v>
      </c>
      <c r="G164">
        <v>40.481180279999997</v>
      </c>
      <c r="H164">
        <v>-107.2176597</v>
      </c>
      <c r="I164">
        <v>6606</v>
      </c>
      <c r="J164" t="s">
        <v>22408</v>
      </c>
      <c r="K164" t="s">
        <v>22413</v>
      </c>
    </row>
    <row r="165" spans="1:11" x14ac:dyDescent="0.25">
      <c r="A165" s="7" t="s">
        <v>3612</v>
      </c>
      <c r="B165" t="s">
        <v>22330</v>
      </c>
      <c r="C165" t="s">
        <v>22331</v>
      </c>
      <c r="D165" t="s">
        <v>33</v>
      </c>
      <c r="E165" t="s">
        <v>4</v>
      </c>
      <c r="F165" t="str">
        <f>VLOOKUP(A165,L_AIRPORT!A:B,2)</f>
        <v>Hagerstown, MD: Hagerstown Regional-Richard A. Henson Field</v>
      </c>
      <c r="G165">
        <v>39.707901</v>
      </c>
      <c r="H165">
        <v>-77.729499820000001</v>
      </c>
      <c r="I165">
        <v>703</v>
      </c>
      <c r="J165" t="s">
        <v>22410</v>
      </c>
      <c r="K165" t="s">
        <v>22413</v>
      </c>
    </row>
    <row r="166" spans="1:11" x14ac:dyDescent="0.25">
      <c r="A166" s="7" t="s">
        <v>524</v>
      </c>
      <c r="B166" t="s">
        <v>22332</v>
      </c>
      <c r="C166" t="s">
        <v>22333</v>
      </c>
      <c r="D166" t="s">
        <v>37</v>
      </c>
      <c r="E166" t="s">
        <v>4</v>
      </c>
      <c r="F166" t="str">
        <f>VLOOKUP(A166,L_AIRPORT!A:B,2)</f>
        <v>Hilton Head, SC: Hilton Head Airport</v>
      </c>
      <c r="G166">
        <v>32.224399566700001</v>
      </c>
      <c r="H166">
        <v>-80.697502136200001</v>
      </c>
      <c r="I166">
        <v>19</v>
      </c>
      <c r="J166" t="s">
        <v>22408</v>
      </c>
      <c r="K166" t="s">
        <v>22413</v>
      </c>
    </row>
    <row r="167" spans="1:11" x14ac:dyDescent="0.25">
      <c r="A167" t="s">
        <v>3633</v>
      </c>
      <c r="B167" t="s">
        <v>21911</v>
      </c>
      <c r="C167" t="s">
        <v>21912</v>
      </c>
      <c r="D167" t="s">
        <v>88</v>
      </c>
      <c r="E167" t="s">
        <v>4</v>
      </c>
      <c r="F167" t="str">
        <f>VLOOKUP(A167,L_AIRPORT!A:B,2)</f>
        <v>Hibbing, MN: Range Regional</v>
      </c>
      <c r="G167">
        <v>47.386599169999997</v>
      </c>
      <c r="H167">
        <v>-92.838993329999994</v>
      </c>
      <c r="I167">
        <v>1354</v>
      </c>
      <c r="J167" t="s">
        <v>22410</v>
      </c>
      <c r="K167" t="s">
        <v>22413</v>
      </c>
    </row>
    <row r="168" spans="1:11" x14ac:dyDescent="0.25">
      <c r="A168" t="s">
        <v>2386</v>
      </c>
      <c r="B168" t="s">
        <v>21913</v>
      </c>
      <c r="C168" t="s">
        <v>21914</v>
      </c>
      <c r="D168" t="s">
        <v>35</v>
      </c>
      <c r="E168" t="s">
        <v>4</v>
      </c>
      <c r="F168" t="str">
        <f>VLOOKUP(A168,L_AIRPORT!A:B,2)</f>
        <v>Helena, MT: Helena Regional</v>
      </c>
      <c r="G168">
        <v>46.606818060000002</v>
      </c>
      <c r="H168">
        <v>-111.98275030000001</v>
      </c>
      <c r="I168">
        <v>3877</v>
      </c>
      <c r="J168" t="s">
        <v>22410</v>
      </c>
      <c r="K168" t="s">
        <v>22413</v>
      </c>
    </row>
    <row r="169" spans="1:11" x14ac:dyDescent="0.25">
      <c r="A169" t="s">
        <v>360</v>
      </c>
      <c r="B169" t="s">
        <v>21915</v>
      </c>
      <c r="C169" t="s">
        <v>21916</v>
      </c>
      <c r="D169" t="s">
        <v>21917</v>
      </c>
      <c r="E169" t="s">
        <v>4</v>
      </c>
      <c r="F169" t="str">
        <f>VLOOKUP(A169,L_AIRPORT!A:B,2)</f>
        <v>Honolulu, HI: Daniel K Inouye International</v>
      </c>
      <c r="G169">
        <v>21.31869111</v>
      </c>
      <c r="H169">
        <v>-157.92240720000001</v>
      </c>
      <c r="I169">
        <v>13</v>
      </c>
      <c r="J169" t="s">
        <v>22411</v>
      </c>
      <c r="K169" t="s">
        <v>22413</v>
      </c>
    </row>
    <row r="170" spans="1:11" x14ac:dyDescent="0.25">
      <c r="A170" t="s">
        <v>2389</v>
      </c>
      <c r="B170" t="s">
        <v>21918</v>
      </c>
      <c r="C170" t="s">
        <v>21919</v>
      </c>
      <c r="D170" t="s">
        <v>3</v>
      </c>
      <c r="E170" t="s">
        <v>4</v>
      </c>
      <c r="F170" t="str">
        <f>VLOOKUP(A170,L_AIRPORT!A:B,2)</f>
        <v>Hobbs, NM: Lea County Regional</v>
      </c>
      <c r="G170">
        <v>32.687527780000003</v>
      </c>
      <c r="H170">
        <v>-103.2170278</v>
      </c>
      <c r="I170">
        <v>3661</v>
      </c>
      <c r="J170" t="s">
        <v>22410</v>
      </c>
      <c r="K170" t="s">
        <v>22413</v>
      </c>
    </row>
    <row r="171" spans="1:11" x14ac:dyDescent="0.25">
      <c r="A171" t="s">
        <v>205</v>
      </c>
      <c r="B171" t="s">
        <v>21920</v>
      </c>
      <c r="C171" t="s">
        <v>21921</v>
      </c>
      <c r="D171" t="s">
        <v>14</v>
      </c>
      <c r="E171" t="s">
        <v>4</v>
      </c>
      <c r="F171" t="str">
        <f>VLOOKUP(A171,L_AIRPORT!A:B,2)</f>
        <v>Houston, TX: William P Hobby</v>
      </c>
      <c r="G171">
        <v>29.64541861</v>
      </c>
      <c r="H171">
        <v>-95.278888890000005</v>
      </c>
      <c r="I171">
        <v>46</v>
      </c>
      <c r="J171" t="s">
        <v>22410</v>
      </c>
      <c r="K171" t="s">
        <v>22413</v>
      </c>
    </row>
    <row r="172" spans="1:11" x14ac:dyDescent="0.25">
      <c r="A172" t="s">
        <v>65</v>
      </c>
      <c r="B172" t="s">
        <v>21922</v>
      </c>
      <c r="C172" t="s">
        <v>21923</v>
      </c>
      <c r="D172" t="s">
        <v>8</v>
      </c>
      <c r="E172" t="s">
        <v>4</v>
      </c>
      <c r="F172" t="str">
        <f>VLOOKUP(A172,L_AIRPORT!A:B,2)</f>
        <v>White Plains, NY: Westchester County</v>
      </c>
      <c r="G172">
        <v>41.066957780000003</v>
      </c>
      <c r="H172">
        <v>-73.707574440000002</v>
      </c>
      <c r="I172">
        <v>439</v>
      </c>
      <c r="J172" t="s">
        <v>22410</v>
      </c>
      <c r="K172" t="s">
        <v>22413</v>
      </c>
    </row>
    <row r="173" spans="1:11" x14ac:dyDescent="0.25">
      <c r="A173" t="s">
        <v>729</v>
      </c>
      <c r="B173" t="s">
        <v>21924</v>
      </c>
      <c r="C173" t="s">
        <v>21925</v>
      </c>
      <c r="D173" t="s">
        <v>14</v>
      </c>
      <c r="E173" t="s">
        <v>4</v>
      </c>
      <c r="F173" t="str">
        <f>VLOOKUP(A173,L_AIRPORT!A:B,2)</f>
        <v>Harlingen/San Benito, TX: Valley International</v>
      </c>
      <c r="G173">
        <v>26.228506110000001</v>
      </c>
      <c r="H173">
        <v>-97.654393889999994</v>
      </c>
      <c r="I173">
        <v>36</v>
      </c>
      <c r="J173" t="s">
        <v>22410</v>
      </c>
      <c r="K173" t="s">
        <v>22413</v>
      </c>
    </row>
    <row r="174" spans="1:11" x14ac:dyDescent="0.25">
      <c r="A174" t="s">
        <v>529</v>
      </c>
      <c r="B174" t="s">
        <v>21926</v>
      </c>
      <c r="C174" t="s">
        <v>21927</v>
      </c>
      <c r="D174" t="s">
        <v>21684</v>
      </c>
      <c r="E174" t="s">
        <v>4</v>
      </c>
      <c r="F174" t="str">
        <f>VLOOKUP(A174,L_AIRPORT!A:B,2)</f>
        <v>Huntsville, AL: Huntsville International-Carl T Jones Field</v>
      </c>
      <c r="G174">
        <v>34.640447500000001</v>
      </c>
      <c r="H174">
        <v>-86.773109439999999</v>
      </c>
      <c r="I174">
        <v>629</v>
      </c>
      <c r="J174" t="s">
        <v>22410</v>
      </c>
      <c r="K174" t="s">
        <v>22413</v>
      </c>
    </row>
    <row r="175" spans="1:11" x14ac:dyDescent="0.25">
      <c r="A175" t="s">
        <v>1793</v>
      </c>
      <c r="B175" t="s">
        <v>21928</v>
      </c>
      <c r="C175" t="s">
        <v>21929</v>
      </c>
      <c r="D175" t="s">
        <v>21777</v>
      </c>
      <c r="E175" t="s">
        <v>4</v>
      </c>
      <c r="F175" t="str">
        <f>VLOOKUP(A175,L_AIRPORT!A:B,2)</f>
        <v>Ashland, WV: Tri-State/Milton J. Ferguson Field</v>
      </c>
      <c r="G175">
        <v>38.366666670000001</v>
      </c>
      <c r="H175">
        <v>-82.558027780000003</v>
      </c>
      <c r="I175">
        <v>828</v>
      </c>
      <c r="J175" t="s">
        <v>22410</v>
      </c>
      <c r="K175" t="s">
        <v>22413</v>
      </c>
    </row>
    <row r="176" spans="1:11" x14ac:dyDescent="0.25">
      <c r="A176" s="7" t="s">
        <v>1795</v>
      </c>
      <c r="B176" t="s">
        <v>22334</v>
      </c>
      <c r="C176" t="s">
        <v>22335</v>
      </c>
      <c r="D176" t="s">
        <v>17</v>
      </c>
      <c r="E176" t="s">
        <v>4</v>
      </c>
      <c r="F176" t="str">
        <f>VLOOKUP(A176,L_AIRPORT!A:B,2)</f>
        <v>New Haven, CT: Tweed New Haven</v>
      </c>
      <c r="G176">
        <v>41.263698580000003</v>
      </c>
      <c r="H176">
        <v>-72.886802669999994</v>
      </c>
      <c r="I176">
        <v>12</v>
      </c>
      <c r="J176" t="s">
        <v>22410</v>
      </c>
      <c r="K176" t="s">
        <v>22413</v>
      </c>
    </row>
    <row r="177" spans="1:11" x14ac:dyDescent="0.25">
      <c r="A177" t="s">
        <v>66</v>
      </c>
      <c r="B177" t="s">
        <v>21930</v>
      </c>
      <c r="C177" t="s">
        <v>21931</v>
      </c>
      <c r="D177" t="s">
        <v>6</v>
      </c>
      <c r="E177" t="s">
        <v>4</v>
      </c>
      <c r="F177" t="str">
        <f>VLOOKUP(A177,L_AIRPORT!A:B,2)</f>
        <v>Hyannis, MA: Barnstable Municipal-Boardman/Polando Field</v>
      </c>
      <c r="G177">
        <v>41.669336389999998</v>
      </c>
      <c r="H177">
        <v>-70.280355830000005</v>
      </c>
      <c r="I177">
        <v>54</v>
      </c>
      <c r="J177" t="s">
        <v>22410</v>
      </c>
      <c r="K177" t="s">
        <v>22413</v>
      </c>
    </row>
    <row r="178" spans="1:11" x14ac:dyDescent="0.25">
      <c r="A178" t="s">
        <v>2394</v>
      </c>
      <c r="B178" t="s">
        <v>21932</v>
      </c>
      <c r="C178" t="s">
        <v>21933</v>
      </c>
      <c r="D178" t="s">
        <v>21861</v>
      </c>
      <c r="E178" t="s">
        <v>4</v>
      </c>
      <c r="F178" t="str">
        <f>VLOOKUP(A178,L_AIRPORT!A:B,2)</f>
        <v>Hays, KS: Hays Regional</v>
      </c>
      <c r="G178">
        <v>38.844941669999997</v>
      </c>
      <c r="H178">
        <v>-99.274033610000004</v>
      </c>
      <c r="I178">
        <v>1999</v>
      </c>
      <c r="J178" t="s">
        <v>22410</v>
      </c>
      <c r="K178" t="s">
        <v>22413</v>
      </c>
    </row>
    <row r="179" spans="1:11" x14ac:dyDescent="0.25">
      <c r="A179" t="s">
        <v>176</v>
      </c>
      <c r="B179" t="s">
        <v>21934</v>
      </c>
      <c r="C179" t="s">
        <v>21935</v>
      </c>
      <c r="D179" t="s">
        <v>46</v>
      </c>
      <c r="E179" t="s">
        <v>4</v>
      </c>
      <c r="F179" t="str">
        <f>VLOOKUP(A179,L_AIRPORT!A:B,2)</f>
        <v>Washington, DC: Washington Dulles International</v>
      </c>
      <c r="G179">
        <v>38.944531939999997</v>
      </c>
      <c r="H179">
        <v>-77.455809720000005</v>
      </c>
      <c r="I179">
        <v>312</v>
      </c>
      <c r="J179" t="s">
        <v>22411</v>
      </c>
      <c r="K179" t="s">
        <v>22413</v>
      </c>
    </row>
    <row r="180" spans="1:11" x14ac:dyDescent="0.25">
      <c r="A180" s="7" t="s">
        <v>2988</v>
      </c>
      <c r="B180" t="s">
        <v>22336</v>
      </c>
      <c r="C180" t="s">
        <v>22337</v>
      </c>
      <c r="D180" t="s">
        <v>8</v>
      </c>
      <c r="E180" t="s">
        <v>4</v>
      </c>
      <c r="F180" t="str">
        <f>VLOOKUP(A180,L_AIRPORT!A:B,2)</f>
        <v>Niagara Falls, NY: Niagara Falls International</v>
      </c>
      <c r="G180">
        <v>43.107300000000002</v>
      </c>
      <c r="H180">
        <v>-78.946197999999995</v>
      </c>
      <c r="I180">
        <v>589</v>
      </c>
      <c r="J180" t="s">
        <v>22410</v>
      </c>
      <c r="K180" t="s">
        <v>22413</v>
      </c>
    </row>
    <row r="181" spans="1:11" x14ac:dyDescent="0.25">
      <c r="A181" t="s">
        <v>67</v>
      </c>
      <c r="B181" t="s">
        <v>21936</v>
      </c>
      <c r="C181" t="s">
        <v>21921</v>
      </c>
      <c r="D181" t="s">
        <v>14</v>
      </c>
      <c r="E181" t="s">
        <v>4</v>
      </c>
      <c r="F181" t="str">
        <f>VLOOKUP(A181,L_AIRPORT!A:B,2)</f>
        <v>Houston, TX: George Bush Intercontinental/Houston</v>
      </c>
      <c r="G181">
        <v>29.980472219999999</v>
      </c>
      <c r="H181">
        <v>-95.339722219999999</v>
      </c>
      <c r="I181">
        <v>97</v>
      </c>
      <c r="J181" t="s">
        <v>22411</v>
      </c>
      <c r="K181" t="s">
        <v>22413</v>
      </c>
    </row>
    <row r="182" spans="1:11" x14ac:dyDescent="0.25">
      <c r="A182" t="s">
        <v>533</v>
      </c>
      <c r="B182" t="s">
        <v>21937</v>
      </c>
      <c r="C182" t="s">
        <v>21938</v>
      </c>
      <c r="D182" t="s">
        <v>21861</v>
      </c>
      <c r="E182" t="s">
        <v>4</v>
      </c>
      <c r="F182" t="str">
        <f>VLOOKUP(A182,L_AIRPORT!A:B,2)</f>
        <v>Wichita, KS: Wichita Dwight D Eisenhower National</v>
      </c>
      <c r="G182">
        <v>37.649958890000001</v>
      </c>
      <c r="H182">
        <v>-97.433045829999998</v>
      </c>
      <c r="I182">
        <v>1333</v>
      </c>
      <c r="J182" t="s">
        <v>22410</v>
      </c>
      <c r="K182" t="s">
        <v>22413</v>
      </c>
    </row>
    <row r="183" spans="1:11" x14ac:dyDescent="0.25">
      <c r="A183" t="s">
        <v>867</v>
      </c>
      <c r="B183" t="s">
        <v>21939</v>
      </c>
      <c r="C183" t="s">
        <v>21940</v>
      </c>
      <c r="D183" t="s">
        <v>23</v>
      </c>
      <c r="E183" t="s">
        <v>4</v>
      </c>
      <c r="F183" t="str">
        <f>VLOOKUP(A183,L_AIRPORT!A:B,2)</f>
        <v>Idaho Falls, ID: Idaho Falls Regional</v>
      </c>
      <c r="G183">
        <v>43.514555559999998</v>
      </c>
      <c r="H183">
        <v>-112.0701667</v>
      </c>
      <c r="I183">
        <v>4744</v>
      </c>
      <c r="J183" t="s">
        <v>22410</v>
      </c>
      <c r="K183" t="s">
        <v>22413</v>
      </c>
    </row>
    <row r="184" spans="1:11" x14ac:dyDescent="0.25">
      <c r="A184" s="7" t="s">
        <v>4108</v>
      </c>
      <c r="B184" t="s">
        <v>22338</v>
      </c>
      <c r="C184" t="s">
        <v>22339</v>
      </c>
      <c r="D184" t="s">
        <v>105</v>
      </c>
      <c r="E184" t="s">
        <v>4</v>
      </c>
      <c r="F184" t="str">
        <f>VLOOKUP(A184,L_AIRPORT!A:B,2)</f>
        <v>Bullhead City, AZ: Laughlin/Bullhead International</v>
      </c>
      <c r="G184">
        <v>35.157398000000001</v>
      </c>
      <c r="H184">
        <v>-114.55999799999999</v>
      </c>
      <c r="I184">
        <v>701</v>
      </c>
      <c r="J184" t="s">
        <v>22410</v>
      </c>
      <c r="K184" t="s">
        <v>22413</v>
      </c>
    </row>
    <row r="185" spans="1:11" x14ac:dyDescent="0.25">
      <c r="A185" t="s">
        <v>4110</v>
      </c>
      <c r="B185" t="s">
        <v>21941</v>
      </c>
      <c r="C185" t="s">
        <v>21942</v>
      </c>
      <c r="D185" t="s">
        <v>21943</v>
      </c>
      <c r="E185" t="s">
        <v>4</v>
      </c>
      <c r="F185" t="str">
        <f>VLOOKUP(A185,L_AIRPORT!A:B,2)</f>
        <v>Wilmington, DE: New Castle</v>
      </c>
      <c r="G185">
        <v>39.678722219999997</v>
      </c>
      <c r="H185">
        <v>-75.606527779999993</v>
      </c>
      <c r="I185">
        <v>80</v>
      </c>
      <c r="J185" t="s">
        <v>22410</v>
      </c>
      <c r="K185" t="s">
        <v>22413</v>
      </c>
    </row>
    <row r="186" spans="1:11" x14ac:dyDescent="0.25">
      <c r="A186" t="s">
        <v>535</v>
      </c>
      <c r="B186" t="s">
        <v>21944</v>
      </c>
      <c r="C186" t="s">
        <v>21942</v>
      </c>
      <c r="D186" t="s">
        <v>41</v>
      </c>
      <c r="E186" t="s">
        <v>4</v>
      </c>
      <c r="F186" t="str">
        <f>VLOOKUP(A186,L_AIRPORT!A:B,2)</f>
        <v>Wilmington, NC: Wilmington International</v>
      </c>
      <c r="G186">
        <v>34.270611109999997</v>
      </c>
      <c r="H186">
        <v>-77.902555559999996</v>
      </c>
      <c r="I186">
        <v>32</v>
      </c>
      <c r="J186" t="s">
        <v>22410</v>
      </c>
      <c r="K186" t="s">
        <v>22413</v>
      </c>
    </row>
    <row r="187" spans="1:11" x14ac:dyDescent="0.25">
      <c r="A187" t="s">
        <v>2859</v>
      </c>
      <c r="B187" t="s">
        <v>21945</v>
      </c>
      <c r="C187" t="s">
        <v>21946</v>
      </c>
      <c r="D187" t="s">
        <v>51</v>
      </c>
      <c r="E187" t="s">
        <v>4</v>
      </c>
      <c r="F187" t="str">
        <f>VLOOKUP(A187,L_AIRPORT!A:B,2)</f>
        <v>Iron Mountain/Kingsfd, MI: Ford</v>
      </c>
      <c r="G187">
        <v>45.818354169999999</v>
      </c>
      <c r="H187">
        <v>-88.114542499999999</v>
      </c>
      <c r="I187">
        <v>1182</v>
      </c>
      <c r="J187" t="s">
        <v>22408</v>
      </c>
      <c r="K187" t="s">
        <v>22413</v>
      </c>
    </row>
    <row r="188" spans="1:11" x14ac:dyDescent="0.25">
      <c r="A188" t="s">
        <v>537</v>
      </c>
      <c r="B188" t="s">
        <v>21947</v>
      </c>
      <c r="C188" t="s">
        <v>21948</v>
      </c>
      <c r="D188" t="s">
        <v>21834</v>
      </c>
      <c r="E188" t="s">
        <v>4</v>
      </c>
      <c r="F188" t="str">
        <f>VLOOKUP(A188,L_AIRPORT!A:B,2)</f>
        <v>Indianapolis, IN: Indianapolis International</v>
      </c>
      <c r="G188">
        <v>39.717329169999999</v>
      </c>
      <c r="H188">
        <v>-86.294384170000001</v>
      </c>
      <c r="I188">
        <v>797</v>
      </c>
      <c r="J188" t="s">
        <v>22411</v>
      </c>
      <c r="K188" t="s">
        <v>22413</v>
      </c>
    </row>
    <row r="189" spans="1:11" x14ac:dyDescent="0.25">
      <c r="A189" t="s">
        <v>3197</v>
      </c>
      <c r="B189" t="s">
        <v>21949</v>
      </c>
      <c r="C189" t="s">
        <v>21950</v>
      </c>
      <c r="D189" t="s">
        <v>88</v>
      </c>
      <c r="E189" t="s">
        <v>4</v>
      </c>
      <c r="F189" t="str">
        <f>VLOOKUP(A189,L_AIRPORT!A:B,2)</f>
        <v>International Falls, MN: Falls International Einarson Field</v>
      </c>
      <c r="G189">
        <v>48.566187220000003</v>
      </c>
      <c r="H189">
        <v>-93.403066670000001</v>
      </c>
      <c r="I189">
        <v>1185</v>
      </c>
      <c r="J189" t="s">
        <v>22410</v>
      </c>
      <c r="K189" t="s">
        <v>22413</v>
      </c>
    </row>
    <row r="190" spans="1:11" x14ac:dyDescent="0.25">
      <c r="A190" t="s">
        <v>13619</v>
      </c>
      <c r="B190" t="s">
        <v>21951</v>
      </c>
      <c r="C190" t="s">
        <v>21952</v>
      </c>
      <c r="D190" t="s">
        <v>31</v>
      </c>
      <c r="E190" t="s">
        <v>4</v>
      </c>
      <c r="F190" t="str">
        <f>VLOOKUP(A190,L_AIRPORT!A:B,2)</f>
        <v>El Centro, CA: Imperial County</v>
      </c>
      <c r="G190">
        <v>32.834220279999997</v>
      </c>
      <c r="H190">
        <v>-115.5787456</v>
      </c>
      <c r="I190">
        <v>-54</v>
      </c>
      <c r="J190" t="s">
        <v>22410</v>
      </c>
      <c r="K190" t="s">
        <v>22413</v>
      </c>
    </row>
    <row r="191" spans="1:11" x14ac:dyDescent="0.25">
      <c r="A191" s="7" t="s">
        <v>1801</v>
      </c>
      <c r="B191" t="s">
        <v>22340</v>
      </c>
      <c r="C191" t="s">
        <v>22341</v>
      </c>
      <c r="D191" t="s">
        <v>103</v>
      </c>
      <c r="E191" t="s">
        <v>4</v>
      </c>
      <c r="F191" t="str">
        <f>VLOOKUP(A191,L_AIRPORT!A:B,2)</f>
        <v>Williamsport, PA: Williamsport Regional</v>
      </c>
      <c r="G191">
        <v>41.241798400878899</v>
      </c>
      <c r="H191">
        <v>-76.921096801757798</v>
      </c>
      <c r="I191">
        <v>529</v>
      </c>
      <c r="J191" t="s">
        <v>22410</v>
      </c>
      <c r="K191" t="s">
        <v>22413</v>
      </c>
    </row>
    <row r="192" spans="1:11" x14ac:dyDescent="0.25">
      <c r="A192" t="s">
        <v>2401</v>
      </c>
      <c r="B192" t="s">
        <v>21953</v>
      </c>
      <c r="C192" t="s">
        <v>21954</v>
      </c>
      <c r="D192" t="s">
        <v>21689</v>
      </c>
      <c r="E192" t="s">
        <v>4</v>
      </c>
      <c r="F192" t="str">
        <f>VLOOKUP(A192,L_AIRPORT!A:B,2)</f>
        <v>Williston, ND: Sloulin Field International</v>
      </c>
      <c r="G192">
        <v>48.177938609999998</v>
      </c>
      <c r="H192">
        <v>-103.6423467</v>
      </c>
      <c r="I192">
        <v>1982</v>
      </c>
      <c r="J192" t="s">
        <v>22409</v>
      </c>
      <c r="K192" t="s">
        <v>22413</v>
      </c>
    </row>
    <row r="193" spans="1:11" x14ac:dyDescent="0.25">
      <c r="A193" t="s">
        <v>539</v>
      </c>
      <c r="B193" t="s">
        <v>21955</v>
      </c>
      <c r="C193" t="s">
        <v>21956</v>
      </c>
      <c r="D193" t="s">
        <v>8</v>
      </c>
      <c r="E193" t="s">
        <v>4</v>
      </c>
      <c r="F193" t="str">
        <f>VLOOKUP(A193,L_AIRPORT!A:B,2)</f>
        <v>Islip, NY: Long Island MacArthur</v>
      </c>
      <c r="G193">
        <v>40.795242500000001</v>
      </c>
      <c r="H193">
        <v>-73.100211939999994</v>
      </c>
      <c r="I193">
        <v>99</v>
      </c>
      <c r="J193" t="s">
        <v>22410</v>
      </c>
      <c r="K193" t="s">
        <v>22413</v>
      </c>
    </row>
    <row r="194" spans="1:11" x14ac:dyDescent="0.25">
      <c r="A194" t="s">
        <v>1803</v>
      </c>
      <c r="B194" t="s">
        <v>21957</v>
      </c>
      <c r="C194" t="s">
        <v>21958</v>
      </c>
      <c r="D194" t="s">
        <v>8</v>
      </c>
      <c r="E194" t="s">
        <v>4</v>
      </c>
      <c r="F194" t="str">
        <f>VLOOKUP(A194,L_AIRPORT!A:B,2)</f>
        <v>Ithaca/Cortland, NY: Ithaca Tompkins Regional</v>
      </c>
      <c r="G194">
        <v>42.491027780000003</v>
      </c>
      <c r="H194">
        <v>-76.458444439999994</v>
      </c>
      <c r="I194">
        <v>1099</v>
      </c>
      <c r="J194" t="s">
        <v>22410</v>
      </c>
      <c r="K194" t="s">
        <v>22413</v>
      </c>
    </row>
    <row r="195" spans="1:11" x14ac:dyDescent="0.25">
      <c r="A195" t="s">
        <v>3653</v>
      </c>
      <c r="B195" t="s">
        <v>21959</v>
      </c>
      <c r="C195" t="s">
        <v>21960</v>
      </c>
      <c r="D195" t="s">
        <v>21917</v>
      </c>
      <c r="E195" t="s">
        <v>4</v>
      </c>
      <c r="F195" t="str">
        <f>VLOOKUP(A195,L_AIRPORT!A:B,2)</f>
        <v>Hilo, HI: Hilo International</v>
      </c>
      <c r="G195">
        <v>19.720263060000001</v>
      </c>
      <c r="H195">
        <v>-155.04847029999999</v>
      </c>
      <c r="I195">
        <v>38</v>
      </c>
      <c r="J195" t="s">
        <v>22410</v>
      </c>
      <c r="K195" t="s">
        <v>22413</v>
      </c>
    </row>
    <row r="196" spans="1:11" x14ac:dyDescent="0.25">
      <c r="A196" t="s">
        <v>13770</v>
      </c>
      <c r="B196" t="s">
        <v>21961</v>
      </c>
      <c r="C196" t="s">
        <v>21961</v>
      </c>
      <c r="D196" t="s">
        <v>31</v>
      </c>
      <c r="E196" t="s">
        <v>4</v>
      </c>
      <c r="F196" t="str">
        <f>VLOOKUP(A196,L_AIRPORT!A:B,2)</f>
        <v>Inyokern, CA: Inyokern Airport</v>
      </c>
      <c r="G196">
        <v>35.658843060000002</v>
      </c>
      <c r="H196">
        <v>-117.8295122</v>
      </c>
      <c r="I196">
        <v>2457</v>
      </c>
      <c r="J196" t="s">
        <v>22408</v>
      </c>
      <c r="K196" t="s">
        <v>22413</v>
      </c>
    </row>
    <row r="197" spans="1:11" x14ac:dyDescent="0.25">
      <c r="A197" t="s">
        <v>541</v>
      </c>
      <c r="B197" t="s">
        <v>21962</v>
      </c>
      <c r="C197" t="s">
        <v>21963</v>
      </c>
      <c r="D197" t="s">
        <v>21768</v>
      </c>
      <c r="E197" t="s">
        <v>4</v>
      </c>
      <c r="F197" t="str">
        <f>VLOOKUP(A197,L_AIRPORT!A:B,2)</f>
        <v>Jackson, WY: Jackson Hole</v>
      </c>
      <c r="G197">
        <v>43.607324169999998</v>
      </c>
      <c r="H197">
        <v>-110.7377389</v>
      </c>
      <c r="I197">
        <v>6451</v>
      </c>
      <c r="J197" t="s">
        <v>22410</v>
      </c>
      <c r="K197" t="s">
        <v>22413</v>
      </c>
    </row>
    <row r="198" spans="1:11" x14ac:dyDescent="0.25">
      <c r="A198" t="s">
        <v>543</v>
      </c>
      <c r="B198" t="s">
        <v>21964</v>
      </c>
      <c r="C198" t="s">
        <v>21963</v>
      </c>
      <c r="D198" t="s">
        <v>21885</v>
      </c>
      <c r="E198" t="s">
        <v>4</v>
      </c>
      <c r="F198" t="str">
        <f>VLOOKUP(A198,L_AIRPORT!A:B,2)</f>
        <v>Jackson/Vicksburg, MS: Jackson Medgar Wiley Evers International</v>
      </c>
      <c r="G198">
        <v>32.311166669999999</v>
      </c>
      <c r="H198">
        <v>-90.075888890000002</v>
      </c>
      <c r="I198">
        <v>346</v>
      </c>
      <c r="J198" t="s">
        <v>22410</v>
      </c>
      <c r="K198" t="s">
        <v>22413</v>
      </c>
    </row>
    <row r="199" spans="1:11" x14ac:dyDescent="0.25">
      <c r="A199" t="s">
        <v>68</v>
      </c>
      <c r="B199" t="s">
        <v>21965</v>
      </c>
      <c r="C199" t="s">
        <v>21966</v>
      </c>
      <c r="D199" t="s">
        <v>55</v>
      </c>
      <c r="E199" t="s">
        <v>4</v>
      </c>
      <c r="F199" t="str">
        <f>VLOOKUP(A199,L_AIRPORT!A:B,2)</f>
        <v>Jacksonville, FL: Jacksonville International</v>
      </c>
      <c r="G199">
        <v>30.49405556</v>
      </c>
      <c r="H199">
        <v>-81.68786111</v>
      </c>
      <c r="I199">
        <v>30</v>
      </c>
      <c r="J199" t="s">
        <v>22411</v>
      </c>
      <c r="K199" t="s">
        <v>22413</v>
      </c>
    </row>
    <row r="200" spans="1:11" x14ac:dyDescent="0.25">
      <c r="A200" t="s">
        <v>69</v>
      </c>
      <c r="B200" t="s">
        <v>21967</v>
      </c>
      <c r="C200" t="s">
        <v>21968</v>
      </c>
      <c r="D200" t="s">
        <v>8</v>
      </c>
      <c r="E200" t="s">
        <v>4</v>
      </c>
      <c r="F200" t="str">
        <f>VLOOKUP(A200,L_AIRPORT!A:B,2)</f>
        <v>New York, NY: John F. Kennedy International</v>
      </c>
      <c r="G200">
        <v>40.639751109999999</v>
      </c>
      <c r="H200">
        <v>-73.778925560000005</v>
      </c>
      <c r="I200">
        <v>13</v>
      </c>
      <c r="J200" t="s">
        <v>22411</v>
      </c>
      <c r="K200" t="s">
        <v>22414</v>
      </c>
    </row>
    <row r="201" spans="1:11" x14ac:dyDescent="0.25">
      <c r="A201" s="7" t="s">
        <v>3656</v>
      </c>
      <c r="B201" t="s">
        <v>22342</v>
      </c>
      <c r="C201" t="s">
        <v>22343</v>
      </c>
      <c r="D201" t="s">
        <v>21917</v>
      </c>
      <c r="E201" t="s">
        <v>4</v>
      </c>
      <c r="F201" t="str">
        <f>VLOOKUP(A201,L_AIRPORT!A:B,2)</f>
        <v>Kapalua, HI: Kapalua Airport</v>
      </c>
      <c r="G201">
        <v>20.962900000000001</v>
      </c>
      <c r="H201">
        <v>-156.67300399999999</v>
      </c>
      <c r="I201">
        <v>256</v>
      </c>
      <c r="J201" t="s">
        <v>22410</v>
      </c>
      <c r="K201" t="s">
        <v>22413</v>
      </c>
    </row>
    <row r="202" spans="1:11" x14ac:dyDescent="0.25">
      <c r="A202" t="s">
        <v>2407</v>
      </c>
      <c r="B202" t="s">
        <v>21969</v>
      </c>
      <c r="C202" t="s">
        <v>21970</v>
      </c>
      <c r="D202" t="s">
        <v>81</v>
      </c>
      <c r="E202" t="s">
        <v>4</v>
      </c>
      <c r="F202" t="str">
        <f>VLOOKUP(A202,L_AIRPORT!A:B,2)</f>
        <v>Joplin, MO: Joplin Regional</v>
      </c>
      <c r="G202">
        <v>37.151813609999998</v>
      </c>
      <c r="H202">
        <v>-94.498268330000002</v>
      </c>
      <c r="I202">
        <v>981</v>
      </c>
      <c r="J202" t="s">
        <v>22410</v>
      </c>
      <c r="K202" t="s">
        <v>22413</v>
      </c>
    </row>
    <row r="203" spans="1:11" x14ac:dyDescent="0.25">
      <c r="A203" t="s">
        <v>2409</v>
      </c>
      <c r="B203" t="s">
        <v>21971</v>
      </c>
      <c r="C203" t="s">
        <v>21972</v>
      </c>
      <c r="D203" t="s">
        <v>21689</v>
      </c>
      <c r="E203" t="s">
        <v>4</v>
      </c>
      <c r="F203" t="str">
        <f>VLOOKUP(A203,L_AIRPORT!A:B,2)</f>
        <v>Jamestown, ND: Jamestown Regional</v>
      </c>
      <c r="G203">
        <v>46.92971944</v>
      </c>
      <c r="H203">
        <v>-98.678195279999997</v>
      </c>
      <c r="I203">
        <v>1500</v>
      </c>
      <c r="J203" t="s">
        <v>22410</v>
      </c>
      <c r="K203" t="s">
        <v>22413</v>
      </c>
    </row>
    <row r="204" spans="1:11" x14ac:dyDescent="0.25">
      <c r="A204" t="s">
        <v>364</v>
      </c>
      <c r="B204" t="s">
        <v>21973</v>
      </c>
      <c r="C204" t="s">
        <v>21974</v>
      </c>
      <c r="D204" t="s">
        <v>21639</v>
      </c>
      <c r="E204" t="s">
        <v>4</v>
      </c>
      <c r="F204" t="str">
        <f>VLOOKUP(A204,L_AIRPORT!A:B,2)</f>
        <v>Juneau, AK: Juneau International</v>
      </c>
      <c r="G204">
        <v>58.354961940000003</v>
      </c>
      <c r="H204">
        <v>-134.57627640000001</v>
      </c>
      <c r="I204">
        <v>21</v>
      </c>
      <c r="J204" t="s">
        <v>22410</v>
      </c>
      <c r="K204" t="s">
        <v>22413</v>
      </c>
    </row>
    <row r="205" spans="1:11" x14ac:dyDescent="0.25">
      <c r="A205" s="7" t="s">
        <v>1658</v>
      </c>
      <c r="B205" t="s">
        <v>22344</v>
      </c>
      <c r="C205" t="s">
        <v>22345</v>
      </c>
      <c r="D205" t="s">
        <v>103</v>
      </c>
      <c r="E205" t="s">
        <v>4</v>
      </c>
      <c r="F205" t="str">
        <f>VLOOKUP(A205,L_AIRPORT!A:B,2)</f>
        <v>Johnstown, PA: John Murtha Johnstown-Cambria County</v>
      </c>
      <c r="G205">
        <v>40.3161010742187</v>
      </c>
      <c r="H205">
        <v>-78.833900451660099</v>
      </c>
      <c r="I205">
        <v>2284</v>
      </c>
      <c r="J205" t="s">
        <v>22410</v>
      </c>
      <c r="K205" t="s">
        <v>22413</v>
      </c>
    </row>
    <row r="206" spans="1:11" x14ac:dyDescent="0.25">
      <c r="A206" t="s">
        <v>366</v>
      </c>
      <c r="B206" t="s">
        <v>21975</v>
      </c>
      <c r="C206" t="s">
        <v>21976</v>
      </c>
      <c r="D206" t="s">
        <v>21917</v>
      </c>
      <c r="E206" t="s">
        <v>4</v>
      </c>
      <c r="F206" t="str">
        <f>VLOOKUP(A206,L_AIRPORT!A:B,2)</f>
        <v>Kona, HI: Ellison Onizuka Kona International at Keahole</v>
      </c>
      <c r="G206">
        <v>19.738765829999998</v>
      </c>
      <c r="H206">
        <v>-156.04563139999999</v>
      </c>
      <c r="I206">
        <v>47</v>
      </c>
      <c r="J206" t="s">
        <v>22410</v>
      </c>
      <c r="K206" t="s">
        <v>22413</v>
      </c>
    </row>
    <row r="207" spans="1:11" x14ac:dyDescent="0.25">
      <c r="A207" t="s">
        <v>4385</v>
      </c>
      <c r="B207" t="s">
        <v>21977</v>
      </c>
      <c r="C207" t="s">
        <v>21978</v>
      </c>
      <c r="D207" t="s">
        <v>21639</v>
      </c>
      <c r="E207" t="s">
        <v>4</v>
      </c>
      <c r="F207" t="str">
        <f>VLOOKUP(A207,L_AIRPORT!A:B,2)</f>
        <v>Ketchikan, AK: Ketchikan International</v>
      </c>
      <c r="G207">
        <v>55.355568609999999</v>
      </c>
      <c r="H207">
        <v>-131.71374</v>
      </c>
      <c r="I207">
        <v>89</v>
      </c>
      <c r="J207" t="s">
        <v>22410</v>
      </c>
      <c r="K207" t="s">
        <v>22413</v>
      </c>
    </row>
    <row r="208" spans="1:11" x14ac:dyDescent="0.25">
      <c r="A208" t="s">
        <v>2236</v>
      </c>
      <c r="B208" t="s">
        <v>21979</v>
      </c>
      <c r="C208" t="s">
        <v>21980</v>
      </c>
      <c r="D208" t="s">
        <v>51</v>
      </c>
      <c r="E208" t="s">
        <v>4</v>
      </c>
      <c r="F208" t="str">
        <f>VLOOKUP(A208,L_AIRPORT!A:B,2)</f>
        <v>Lansing, MI: Capital Region International</v>
      </c>
      <c r="G208">
        <v>42.778700000000001</v>
      </c>
      <c r="H208">
        <v>-84.58735806</v>
      </c>
      <c r="I208">
        <v>861</v>
      </c>
      <c r="J208" t="s">
        <v>22410</v>
      </c>
      <c r="K208" t="s">
        <v>22413</v>
      </c>
    </row>
    <row r="209" spans="1:11" x14ac:dyDescent="0.25">
      <c r="A209" t="s">
        <v>958</v>
      </c>
      <c r="B209" t="s">
        <v>21981</v>
      </c>
      <c r="C209" t="s">
        <v>21982</v>
      </c>
      <c r="D209" t="s">
        <v>21768</v>
      </c>
      <c r="E209" t="s">
        <v>4</v>
      </c>
      <c r="F209" t="str">
        <f>VLOOKUP(A209,L_AIRPORT!A:B,2)</f>
        <v>Laramie, WY: Laramie Regional</v>
      </c>
      <c r="G209">
        <v>41.312049999999999</v>
      </c>
      <c r="H209">
        <v>-105.67498639999999</v>
      </c>
      <c r="I209">
        <v>7284</v>
      </c>
      <c r="J209" t="s">
        <v>22410</v>
      </c>
      <c r="K209" t="s">
        <v>22413</v>
      </c>
    </row>
    <row r="210" spans="1:11" x14ac:dyDescent="0.25">
      <c r="A210" t="s">
        <v>71</v>
      </c>
      <c r="B210" t="s">
        <v>21983</v>
      </c>
      <c r="C210" t="s">
        <v>21984</v>
      </c>
      <c r="D210" t="s">
        <v>72</v>
      </c>
      <c r="E210" t="s">
        <v>4</v>
      </c>
      <c r="F210" t="str">
        <f>VLOOKUP(A210,L_AIRPORT!A:B,2)</f>
        <v>Las Vegas, NV: McCarran International</v>
      </c>
      <c r="G210">
        <v>36.080361109999998</v>
      </c>
      <c r="H210">
        <v>-115.1523333</v>
      </c>
      <c r="I210">
        <v>2181</v>
      </c>
      <c r="J210" t="s">
        <v>22411</v>
      </c>
      <c r="K210" t="s">
        <v>22413</v>
      </c>
    </row>
    <row r="211" spans="1:11" x14ac:dyDescent="0.25">
      <c r="A211" t="s">
        <v>2637</v>
      </c>
      <c r="B211" t="s">
        <v>21985</v>
      </c>
      <c r="C211" t="s">
        <v>21986</v>
      </c>
      <c r="D211" t="s">
        <v>21987</v>
      </c>
      <c r="E211" t="s">
        <v>4</v>
      </c>
      <c r="F211" t="str">
        <f>VLOOKUP(A211,L_AIRPORT!A:B,2)</f>
        <v>Lawton/Fort Sill, OK: Lawton-Fort Sill Regional</v>
      </c>
      <c r="G211">
        <v>34.567714440000003</v>
      </c>
      <c r="H211">
        <v>-98.416636670000003</v>
      </c>
      <c r="I211">
        <v>1110</v>
      </c>
      <c r="J211" t="s">
        <v>22410</v>
      </c>
      <c r="K211" t="s">
        <v>22413</v>
      </c>
    </row>
    <row r="212" spans="1:11" x14ac:dyDescent="0.25">
      <c r="A212" t="s">
        <v>73</v>
      </c>
      <c r="B212" t="s">
        <v>21988</v>
      </c>
      <c r="C212" t="s">
        <v>21989</v>
      </c>
      <c r="D212" t="s">
        <v>31</v>
      </c>
      <c r="E212" t="s">
        <v>4</v>
      </c>
      <c r="F212" t="str">
        <f>VLOOKUP(A212,L_AIRPORT!A:B,2)</f>
        <v>Los Angeles, CA: Los Angeles International</v>
      </c>
      <c r="G212">
        <v>33.942536109999999</v>
      </c>
      <c r="H212">
        <v>-118.4080744</v>
      </c>
      <c r="I212">
        <v>125</v>
      </c>
      <c r="J212" t="s">
        <v>22411</v>
      </c>
      <c r="K212" t="s">
        <v>22414</v>
      </c>
    </row>
    <row r="213" spans="1:11" x14ac:dyDescent="0.25">
      <c r="A213" t="s">
        <v>738</v>
      </c>
      <c r="B213" t="s">
        <v>21990</v>
      </c>
      <c r="C213" t="s">
        <v>21991</v>
      </c>
      <c r="D213" t="s">
        <v>14</v>
      </c>
      <c r="E213" t="s">
        <v>4</v>
      </c>
      <c r="F213" t="str">
        <f>VLOOKUP(A213,L_AIRPORT!A:B,2)</f>
        <v>Lubbock, TX: Lubbock Preston Smith International</v>
      </c>
      <c r="G213">
        <v>33.663638890000001</v>
      </c>
      <c r="H213">
        <v>-101.8227778</v>
      </c>
      <c r="I213">
        <v>3282</v>
      </c>
      <c r="J213" t="s">
        <v>22410</v>
      </c>
      <c r="K213" t="s">
        <v>22413</v>
      </c>
    </row>
    <row r="214" spans="1:11" x14ac:dyDescent="0.25">
      <c r="A214" s="7" t="s">
        <v>3295</v>
      </c>
      <c r="B214" t="s">
        <v>22346</v>
      </c>
      <c r="C214" t="s">
        <v>22347</v>
      </c>
      <c r="D214" t="s">
        <v>103</v>
      </c>
      <c r="E214" t="s">
        <v>4</v>
      </c>
      <c r="F214" t="str">
        <f>VLOOKUP(A214,L_AIRPORT!A:B,2)</f>
        <v>Latrobe, PA: Arnold Palmer Regional</v>
      </c>
      <c r="G214">
        <v>40.275902000000002</v>
      </c>
      <c r="H214">
        <v>-79.404799999999994</v>
      </c>
      <c r="I214">
        <v>1199</v>
      </c>
      <c r="J214" t="s">
        <v>22410</v>
      </c>
      <c r="K214" t="s">
        <v>22413</v>
      </c>
    </row>
    <row r="215" spans="1:11" x14ac:dyDescent="0.25">
      <c r="A215" t="s">
        <v>960</v>
      </c>
      <c r="B215" t="s">
        <v>22301</v>
      </c>
      <c r="C215" t="s">
        <v>22302</v>
      </c>
      <c r="D215" t="s">
        <v>21890</v>
      </c>
      <c r="E215" t="s">
        <v>4</v>
      </c>
      <c r="F215" t="str">
        <f>VLOOKUP(A215,L_AIRPORT!A:B,2)</f>
        <v>North Platte, NE: North Platte Regional Airport Lee Bird Field</v>
      </c>
      <c r="G215">
        <v>41.1327</v>
      </c>
      <c r="H215">
        <v>-100.69799999999999</v>
      </c>
      <c r="I215">
        <v>2777</v>
      </c>
      <c r="J215" t="s">
        <v>22410</v>
      </c>
      <c r="K215" t="s">
        <v>22413</v>
      </c>
    </row>
    <row r="216" spans="1:11" x14ac:dyDescent="0.25">
      <c r="A216" s="7" t="s">
        <v>2291</v>
      </c>
      <c r="B216" t="s">
        <v>22348</v>
      </c>
      <c r="C216" t="s">
        <v>22349</v>
      </c>
      <c r="D216" t="s">
        <v>21861</v>
      </c>
      <c r="E216" t="s">
        <v>4</v>
      </c>
      <c r="F216" t="str">
        <f>VLOOKUP(A216,L_AIRPORT!A:B,2)</f>
        <v>Liberal, KS: Liberal Mid-America Regional</v>
      </c>
      <c r="G216">
        <v>37.0442009</v>
      </c>
      <c r="H216">
        <v>-100.9599991</v>
      </c>
      <c r="I216">
        <v>2885</v>
      </c>
      <c r="J216" t="s">
        <v>22410</v>
      </c>
      <c r="K216" t="s">
        <v>22413</v>
      </c>
    </row>
    <row r="217" spans="1:11" x14ac:dyDescent="0.25">
      <c r="A217" t="s">
        <v>2641</v>
      </c>
      <c r="B217" t="s">
        <v>21992</v>
      </c>
      <c r="C217" t="s">
        <v>21993</v>
      </c>
      <c r="D217" t="s">
        <v>90</v>
      </c>
      <c r="E217" t="s">
        <v>4</v>
      </c>
      <c r="F217" t="str">
        <f>VLOOKUP(A217,L_AIRPORT!A:B,2)</f>
        <v>Lake Charles, LA: Lake Charles Regional</v>
      </c>
      <c r="G217">
        <v>30.1260975</v>
      </c>
      <c r="H217">
        <v>-93.223403610000005</v>
      </c>
      <c r="I217">
        <v>15</v>
      </c>
      <c r="J217" t="s">
        <v>22410</v>
      </c>
      <c r="K217" t="s">
        <v>22413</v>
      </c>
    </row>
    <row r="218" spans="1:11" x14ac:dyDescent="0.25">
      <c r="A218" s="7" t="s">
        <v>740</v>
      </c>
      <c r="B218" t="s">
        <v>22350</v>
      </c>
      <c r="C218" t="s">
        <v>21759</v>
      </c>
      <c r="D218" t="s">
        <v>39</v>
      </c>
      <c r="E218" t="s">
        <v>4</v>
      </c>
      <c r="F218" t="str">
        <f>VLOOKUP(A218,L_AIRPORT!A:B,2)</f>
        <v>Columbus, OH: Rickenbacker International</v>
      </c>
      <c r="G218">
        <v>39.813800999999998</v>
      </c>
      <c r="H218">
        <v>-82.927802999999997</v>
      </c>
      <c r="I218">
        <v>744</v>
      </c>
      <c r="J218" t="s">
        <v>22410</v>
      </c>
      <c r="K218" t="s">
        <v>22413</v>
      </c>
    </row>
    <row r="219" spans="1:11" x14ac:dyDescent="0.25">
      <c r="A219" t="s">
        <v>549</v>
      </c>
      <c r="B219" t="s">
        <v>21994</v>
      </c>
      <c r="C219" t="s">
        <v>21995</v>
      </c>
      <c r="D219" t="s">
        <v>21781</v>
      </c>
      <c r="E219" t="s">
        <v>4</v>
      </c>
      <c r="F219" t="str">
        <f>VLOOKUP(A219,L_AIRPORT!A:B,2)</f>
        <v>Lexington, KY: Blue Grass</v>
      </c>
      <c r="G219">
        <v>38.036972220000003</v>
      </c>
      <c r="H219">
        <v>-84.60538889</v>
      </c>
      <c r="I219">
        <v>979</v>
      </c>
      <c r="J219" t="s">
        <v>22410</v>
      </c>
      <c r="K219" t="s">
        <v>22413</v>
      </c>
    </row>
    <row r="220" spans="1:11" x14ac:dyDescent="0.25">
      <c r="A220" t="s">
        <v>551</v>
      </c>
      <c r="B220" t="s">
        <v>21996</v>
      </c>
      <c r="C220" t="s">
        <v>21997</v>
      </c>
      <c r="D220" t="s">
        <v>90</v>
      </c>
      <c r="E220" t="s">
        <v>4</v>
      </c>
      <c r="F220" t="str">
        <f>VLOOKUP(A220,L_AIRPORT!A:B,2)</f>
        <v>Lafayette, LA: Lafayette Regional Paul Fournet Field</v>
      </c>
      <c r="G220">
        <v>30.20527972</v>
      </c>
      <c r="H220">
        <v>-91.987655000000004</v>
      </c>
      <c r="I220">
        <v>42</v>
      </c>
      <c r="J220" t="s">
        <v>22410</v>
      </c>
      <c r="K220" t="s">
        <v>22413</v>
      </c>
    </row>
    <row r="221" spans="1:11" x14ac:dyDescent="0.25">
      <c r="A221" t="s">
        <v>74</v>
      </c>
      <c r="B221" t="s">
        <v>21998</v>
      </c>
      <c r="C221" t="s">
        <v>21968</v>
      </c>
      <c r="D221" t="s">
        <v>8</v>
      </c>
      <c r="E221" t="s">
        <v>4</v>
      </c>
      <c r="F221" t="str">
        <f>VLOOKUP(A221,L_AIRPORT!A:B,2)</f>
        <v>New York, NY: LaGuardia</v>
      </c>
      <c r="G221">
        <v>40.777243060000004</v>
      </c>
      <c r="H221">
        <v>-73.872609170000004</v>
      </c>
      <c r="I221">
        <v>21</v>
      </c>
      <c r="J221" t="s">
        <v>22411</v>
      </c>
      <c r="K221" t="s">
        <v>22413</v>
      </c>
    </row>
    <row r="222" spans="1:11" x14ac:dyDescent="0.25">
      <c r="A222" t="s">
        <v>742</v>
      </c>
      <c r="B222" t="s">
        <v>21999</v>
      </c>
      <c r="C222" t="s">
        <v>22000</v>
      </c>
      <c r="D222" t="s">
        <v>31</v>
      </c>
      <c r="E222" t="s">
        <v>4</v>
      </c>
      <c r="F222" t="str">
        <f>VLOOKUP(A222,L_AIRPORT!A:B,2)</f>
        <v>Long Beach, CA: Long Beach Airport</v>
      </c>
      <c r="G222">
        <v>33.81772222</v>
      </c>
      <c r="H222">
        <v>-118.1516111</v>
      </c>
      <c r="I222">
        <v>60</v>
      </c>
      <c r="J222" t="s">
        <v>22410</v>
      </c>
      <c r="K222" t="s">
        <v>22413</v>
      </c>
    </row>
    <row r="223" spans="1:11" x14ac:dyDescent="0.25">
      <c r="A223" t="s">
        <v>2421</v>
      </c>
      <c r="B223" t="s">
        <v>22001</v>
      </c>
      <c r="C223" t="s">
        <v>22001</v>
      </c>
      <c r="D223" t="s">
        <v>21917</v>
      </c>
      <c r="E223" t="s">
        <v>4</v>
      </c>
      <c r="F223" t="str">
        <f>VLOOKUP(A223,L_AIRPORT!A:B,2)</f>
        <v>Lihue, HI: Lihue Airport</v>
      </c>
      <c r="G223">
        <v>21.975983060000001</v>
      </c>
      <c r="H223">
        <v>-159.33895810000001</v>
      </c>
      <c r="I223">
        <v>153</v>
      </c>
      <c r="J223" t="s">
        <v>22410</v>
      </c>
      <c r="K223" t="s">
        <v>22413</v>
      </c>
    </row>
    <row r="224" spans="1:11" x14ac:dyDescent="0.25">
      <c r="A224" t="s">
        <v>554</v>
      </c>
      <c r="B224" t="s">
        <v>22002</v>
      </c>
      <c r="C224" t="s">
        <v>22003</v>
      </c>
      <c r="D224" t="s">
        <v>21866</v>
      </c>
      <c r="E224" t="s">
        <v>4</v>
      </c>
      <c r="F224" t="str">
        <f>VLOOKUP(A224,L_AIRPORT!A:B,2)</f>
        <v>Little Rock, AR: Bill and Hillary Clinton Nat Adams Field</v>
      </c>
      <c r="G224">
        <v>34.729396110000003</v>
      </c>
      <c r="H224">
        <v>-92.22424556</v>
      </c>
      <c r="I224">
        <v>262</v>
      </c>
      <c r="J224" t="s">
        <v>22410</v>
      </c>
      <c r="K224" t="s">
        <v>22413</v>
      </c>
    </row>
    <row r="225" spans="1:11" x14ac:dyDescent="0.25">
      <c r="A225" t="s">
        <v>14912</v>
      </c>
      <c r="B225" t="s">
        <v>22004</v>
      </c>
      <c r="C225" t="s">
        <v>22005</v>
      </c>
      <c r="D225" t="s">
        <v>101</v>
      </c>
      <c r="E225" t="s">
        <v>4</v>
      </c>
      <c r="F225" t="str">
        <f>VLOOKUP(A225,L_AIRPORT!A:B,2)</f>
        <v>Klamath Falls, OR: Crater Lake Klamath Regional</v>
      </c>
      <c r="G225">
        <v>42.156143610000001</v>
      </c>
      <c r="H225">
        <v>-121.7332081</v>
      </c>
      <c r="I225">
        <v>4095</v>
      </c>
      <c r="J225" t="s">
        <v>22410</v>
      </c>
      <c r="K225" t="s">
        <v>22413</v>
      </c>
    </row>
    <row r="226" spans="1:11" x14ac:dyDescent="0.25">
      <c r="A226" t="s">
        <v>556</v>
      </c>
      <c r="B226" t="s">
        <v>22006</v>
      </c>
      <c r="C226" t="s">
        <v>22007</v>
      </c>
      <c r="D226" t="s">
        <v>21890</v>
      </c>
      <c r="E226" t="s">
        <v>4</v>
      </c>
      <c r="F226" t="str">
        <f>VLOOKUP(A226,L_AIRPORT!A:B,2)</f>
        <v>Lincoln, NE: Lincoln Airport</v>
      </c>
      <c r="G226">
        <v>40.850972220000003</v>
      </c>
      <c r="H226">
        <v>-96.759249999999994</v>
      </c>
      <c r="I226">
        <v>1219</v>
      </c>
      <c r="J226" t="s">
        <v>22410</v>
      </c>
      <c r="K226" t="s">
        <v>22413</v>
      </c>
    </row>
    <row r="227" spans="1:11" x14ac:dyDescent="0.25">
      <c r="A227" s="7" t="s">
        <v>3663</v>
      </c>
      <c r="B227" t="s">
        <v>22351</v>
      </c>
      <c r="C227" t="s">
        <v>22352</v>
      </c>
      <c r="D227" t="s">
        <v>21917</v>
      </c>
      <c r="E227" t="s">
        <v>4</v>
      </c>
      <c r="F227" t="str">
        <f>VLOOKUP(A227,L_AIRPORT!A:B,2)</f>
        <v>Lanai, HI: Lanai Airport</v>
      </c>
      <c r="G227">
        <v>20.785675000000001</v>
      </c>
      <c r="H227">
        <v>-156.951324</v>
      </c>
      <c r="I227">
        <v>1308</v>
      </c>
      <c r="J227" t="s">
        <v>22410</v>
      </c>
      <c r="K227" t="s">
        <v>22413</v>
      </c>
    </row>
    <row r="228" spans="1:11" x14ac:dyDescent="0.25">
      <c r="A228" t="s">
        <v>2649</v>
      </c>
      <c r="B228" t="s">
        <v>22008</v>
      </c>
      <c r="C228" t="s">
        <v>22009</v>
      </c>
      <c r="D228" t="s">
        <v>14</v>
      </c>
      <c r="E228" t="s">
        <v>4</v>
      </c>
      <c r="F228" t="str">
        <f>VLOOKUP(A228,L_AIRPORT!A:B,2)</f>
        <v>Laredo, TX: Laredo International</v>
      </c>
      <c r="G228">
        <v>27.543738609999998</v>
      </c>
      <c r="H228">
        <v>-99.461543610000007</v>
      </c>
      <c r="I228">
        <v>508</v>
      </c>
      <c r="J228" t="s">
        <v>22410</v>
      </c>
      <c r="K228" t="s">
        <v>22413</v>
      </c>
    </row>
    <row r="229" spans="1:11" x14ac:dyDescent="0.25">
      <c r="A229" t="s">
        <v>2874</v>
      </c>
      <c r="B229" t="s">
        <v>22010</v>
      </c>
      <c r="C229" t="s">
        <v>22011</v>
      </c>
      <c r="D229" t="s">
        <v>86</v>
      </c>
      <c r="E229" t="s">
        <v>4</v>
      </c>
      <c r="F229" t="str">
        <f>VLOOKUP(A229,L_AIRPORT!A:B,2)</f>
        <v>La Crosse, WI: La Crosse Regional</v>
      </c>
      <c r="G229">
        <v>43.879379720000003</v>
      </c>
      <c r="H229">
        <v>-91.256537780000002</v>
      </c>
      <c r="I229">
        <v>655</v>
      </c>
      <c r="J229" t="s">
        <v>22410</v>
      </c>
      <c r="K229" t="s">
        <v>22413</v>
      </c>
    </row>
    <row r="230" spans="1:11" x14ac:dyDescent="0.25">
      <c r="A230" t="s">
        <v>3876</v>
      </c>
      <c r="B230" t="s">
        <v>22012</v>
      </c>
      <c r="C230" t="s">
        <v>22013</v>
      </c>
      <c r="D230" t="s">
        <v>21777</v>
      </c>
      <c r="E230" t="s">
        <v>4</v>
      </c>
      <c r="F230" t="str">
        <f>VLOOKUP(A230,L_AIRPORT!A:B,2)</f>
        <v>Lewisburg, WV: Greenbrier Valley</v>
      </c>
      <c r="G230">
        <v>37.858305559999998</v>
      </c>
      <c r="H230">
        <v>-80.399472220000007</v>
      </c>
      <c r="I230">
        <v>2302</v>
      </c>
      <c r="J230" t="s">
        <v>22410</v>
      </c>
      <c r="K230" t="s">
        <v>22413</v>
      </c>
    </row>
    <row r="231" spans="1:11" x14ac:dyDescent="0.25">
      <c r="A231" t="s">
        <v>1208</v>
      </c>
      <c r="B231" t="s">
        <v>22014</v>
      </c>
      <c r="C231" t="s">
        <v>22015</v>
      </c>
      <c r="D231" t="s">
        <v>23</v>
      </c>
      <c r="E231" t="s">
        <v>4</v>
      </c>
      <c r="F231" t="str">
        <f>VLOOKUP(A231,L_AIRPORT!A:B,2)</f>
        <v>Lewiston, ID: Lewiston Nez Perce County</v>
      </c>
      <c r="G231">
        <v>46.374498060000001</v>
      </c>
      <c r="H231">
        <v>-117.01539440000001</v>
      </c>
      <c r="I231">
        <v>1442</v>
      </c>
      <c r="J231" t="s">
        <v>22410</v>
      </c>
      <c r="K231" t="s">
        <v>22413</v>
      </c>
    </row>
    <row r="232" spans="1:11" x14ac:dyDescent="0.25">
      <c r="A232" t="s">
        <v>1815</v>
      </c>
      <c r="B232" t="s">
        <v>22016</v>
      </c>
      <c r="C232" t="s">
        <v>22017</v>
      </c>
      <c r="D232" t="s">
        <v>46</v>
      </c>
      <c r="E232" t="s">
        <v>4</v>
      </c>
      <c r="F232" t="str">
        <f>VLOOKUP(A232,L_AIRPORT!A:B,2)</f>
        <v>Lynchburg, VA: Lynchburg Regional/Preston Glenn Field</v>
      </c>
      <c r="G232">
        <v>37.32668528</v>
      </c>
      <c r="H232">
        <v>-79.200430560000001</v>
      </c>
      <c r="I232">
        <v>938</v>
      </c>
      <c r="J232" t="s">
        <v>22410</v>
      </c>
      <c r="K232" t="s">
        <v>22413</v>
      </c>
    </row>
    <row r="233" spans="1:11" x14ac:dyDescent="0.25">
      <c r="A233" t="s">
        <v>744</v>
      </c>
      <c r="B233" t="s">
        <v>22018</v>
      </c>
      <c r="C233" t="s">
        <v>22019</v>
      </c>
      <c r="D233" t="s">
        <v>14</v>
      </c>
      <c r="E233" t="s">
        <v>4</v>
      </c>
      <c r="F233" t="str">
        <f>VLOOKUP(A233,L_AIRPORT!A:B,2)</f>
        <v>Midland/Odessa, TX: Midland International Air and Space Port</v>
      </c>
      <c r="G233">
        <v>31.942527779999999</v>
      </c>
      <c r="H233">
        <v>-102.20191389999999</v>
      </c>
      <c r="I233">
        <v>2871</v>
      </c>
      <c r="J233" t="s">
        <v>22410</v>
      </c>
      <c r="K233" t="s">
        <v>22413</v>
      </c>
    </row>
    <row r="234" spans="1:11" x14ac:dyDescent="0.25">
      <c r="A234" t="s">
        <v>387</v>
      </c>
      <c r="B234" t="s">
        <v>22020</v>
      </c>
      <c r="C234" t="s">
        <v>22021</v>
      </c>
      <c r="D234" t="s">
        <v>51</v>
      </c>
      <c r="E234" t="s">
        <v>4</v>
      </c>
      <c r="F234" t="str">
        <f>VLOOKUP(A234,L_AIRPORT!A:B,2)</f>
        <v>Saginaw/Bay City/Midland, MI: MBS International</v>
      </c>
      <c r="G234">
        <v>43.532914720000001</v>
      </c>
      <c r="H234">
        <v>-84.079647219999998</v>
      </c>
      <c r="I234">
        <v>668</v>
      </c>
      <c r="J234" t="s">
        <v>22410</v>
      </c>
      <c r="K234" t="s">
        <v>22413</v>
      </c>
    </row>
    <row r="235" spans="1:11" x14ac:dyDescent="0.25">
      <c r="A235" t="s">
        <v>80</v>
      </c>
      <c r="B235" t="s">
        <v>22022</v>
      </c>
      <c r="C235" t="s">
        <v>22023</v>
      </c>
      <c r="D235" t="s">
        <v>81</v>
      </c>
      <c r="E235" t="s">
        <v>4</v>
      </c>
      <c r="F235" t="str">
        <f>VLOOKUP(A235,L_AIRPORT!A:B,2)</f>
        <v>Kansas City, MO: Kansas City International</v>
      </c>
      <c r="G235">
        <v>39.297605279999999</v>
      </c>
      <c r="H235">
        <v>-94.713905560000001</v>
      </c>
      <c r="I235">
        <v>1026</v>
      </c>
      <c r="J235" t="s">
        <v>22411</v>
      </c>
      <c r="K235" t="s">
        <v>22413</v>
      </c>
    </row>
    <row r="236" spans="1:11" x14ac:dyDescent="0.25">
      <c r="A236" t="s">
        <v>15286</v>
      </c>
      <c r="B236" t="s">
        <v>22024</v>
      </c>
      <c r="C236" t="s">
        <v>22025</v>
      </c>
      <c r="D236" t="s">
        <v>11</v>
      </c>
      <c r="E236" t="s">
        <v>4</v>
      </c>
      <c r="F236" t="str">
        <f>VLOOKUP(A236,L_AIRPORT!A:B,2)</f>
        <v>Macon, GA: Middle Georgia Regional</v>
      </c>
      <c r="G236">
        <v>32.692849440000003</v>
      </c>
      <c r="H236">
        <v>-83.649210830000001</v>
      </c>
      <c r="I236">
        <v>354</v>
      </c>
      <c r="J236" t="s">
        <v>22410</v>
      </c>
      <c r="K236" t="s">
        <v>22413</v>
      </c>
    </row>
    <row r="237" spans="1:11" x14ac:dyDescent="0.25">
      <c r="A237" t="s">
        <v>82</v>
      </c>
      <c r="B237" t="s">
        <v>22026</v>
      </c>
      <c r="C237" t="s">
        <v>22027</v>
      </c>
      <c r="D237" t="s">
        <v>55</v>
      </c>
      <c r="E237" t="s">
        <v>4</v>
      </c>
      <c r="F237" t="str">
        <f>VLOOKUP(A237,L_AIRPORT!A:B,2)</f>
        <v>Orlando, FL: Orlando International</v>
      </c>
      <c r="G237">
        <v>28.42888889</v>
      </c>
      <c r="H237">
        <v>-81.316027779999999</v>
      </c>
      <c r="I237">
        <v>96</v>
      </c>
      <c r="J237" t="s">
        <v>22411</v>
      </c>
      <c r="K237" t="s">
        <v>22413</v>
      </c>
    </row>
    <row r="238" spans="1:11" x14ac:dyDescent="0.25">
      <c r="A238" s="7" t="s">
        <v>3369</v>
      </c>
      <c r="B238" t="s">
        <v>22353</v>
      </c>
      <c r="C238" t="s">
        <v>22354</v>
      </c>
      <c r="D238" t="s">
        <v>21650</v>
      </c>
      <c r="E238" t="s">
        <v>4</v>
      </c>
      <c r="F238" t="str">
        <f>VLOOKUP(A238,L_AIRPORT!A:B,2)</f>
        <v>Mason City, IA: Mason City Municipal</v>
      </c>
      <c r="G238">
        <v>43.157798999999997</v>
      </c>
      <c r="H238">
        <v>-93.331299000000001</v>
      </c>
      <c r="I238">
        <v>1213</v>
      </c>
      <c r="J238" t="s">
        <v>22410</v>
      </c>
      <c r="K238" t="s">
        <v>22413</v>
      </c>
    </row>
    <row r="239" spans="1:11" x14ac:dyDescent="0.25">
      <c r="A239" t="s">
        <v>178</v>
      </c>
      <c r="B239" t="s">
        <v>22028</v>
      </c>
      <c r="C239" t="s">
        <v>22029</v>
      </c>
      <c r="D239" t="s">
        <v>103</v>
      </c>
      <c r="E239" t="s">
        <v>4</v>
      </c>
      <c r="F239" t="str">
        <f>VLOOKUP(A239,L_AIRPORT!A:B,2)</f>
        <v>Harrisburg, PA: Harrisburg International</v>
      </c>
      <c r="G239">
        <v>40.19349528</v>
      </c>
      <c r="H239">
        <v>-76.763403609999997</v>
      </c>
      <c r="I239">
        <v>310</v>
      </c>
      <c r="J239" t="s">
        <v>22410</v>
      </c>
      <c r="K239" t="s">
        <v>22413</v>
      </c>
    </row>
    <row r="240" spans="1:11" x14ac:dyDescent="0.25">
      <c r="A240" t="s">
        <v>180</v>
      </c>
      <c r="B240" t="s">
        <v>22030</v>
      </c>
      <c r="C240" t="s">
        <v>22031</v>
      </c>
      <c r="D240" t="s">
        <v>96</v>
      </c>
      <c r="E240" t="s">
        <v>4</v>
      </c>
      <c r="F240" t="str">
        <f>VLOOKUP(A240,L_AIRPORT!A:B,2)</f>
        <v>Chicago, IL: Chicago Midway International</v>
      </c>
      <c r="G240">
        <v>41.785982500000003</v>
      </c>
      <c r="H240">
        <v>-87.752424439999999</v>
      </c>
      <c r="I240">
        <v>620</v>
      </c>
      <c r="J240" t="s">
        <v>22411</v>
      </c>
      <c r="K240" t="s">
        <v>22413</v>
      </c>
    </row>
    <row r="241" spans="1:11" x14ac:dyDescent="0.25">
      <c r="A241" t="s">
        <v>2656</v>
      </c>
      <c r="B241" t="s">
        <v>22032</v>
      </c>
      <c r="C241" t="s">
        <v>22033</v>
      </c>
      <c r="D241" t="s">
        <v>21885</v>
      </c>
      <c r="E241" t="s">
        <v>4</v>
      </c>
      <c r="F241" t="str">
        <f>VLOOKUP(A241,L_AIRPORT!A:B,2)</f>
        <v>Meridian, MS: Key Field</v>
      </c>
      <c r="G241">
        <v>32.333133330000003</v>
      </c>
      <c r="H241">
        <v>-88.751205560000002</v>
      </c>
      <c r="I241">
        <v>297</v>
      </c>
      <c r="J241" t="s">
        <v>22410</v>
      </c>
      <c r="K241" t="s">
        <v>22413</v>
      </c>
    </row>
    <row r="242" spans="1:11" x14ac:dyDescent="0.25">
      <c r="A242" t="s">
        <v>563</v>
      </c>
      <c r="B242" t="s">
        <v>22034</v>
      </c>
      <c r="C242" t="s">
        <v>22035</v>
      </c>
      <c r="D242" t="s">
        <v>20</v>
      </c>
      <c r="E242" t="s">
        <v>4</v>
      </c>
      <c r="F242" t="str">
        <f>VLOOKUP(A242,L_AIRPORT!A:B,2)</f>
        <v>Memphis, TN: Memphis International</v>
      </c>
      <c r="G242">
        <v>35.042416670000001</v>
      </c>
      <c r="H242">
        <v>-89.97666667</v>
      </c>
      <c r="I242">
        <v>341</v>
      </c>
      <c r="J242" t="s">
        <v>22411</v>
      </c>
      <c r="K242" t="s">
        <v>22413</v>
      </c>
    </row>
    <row r="243" spans="1:11" x14ac:dyDescent="0.25">
      <c r="A243" t="s">
        <v>750</v>
      </c>
      <c r="B243" t="s">
        <v>22036</v>
      </c>
      <c r="C243" t="s">
        <v>22037</v>
      </c>
      <c r="D243" t="s">
        <v>14</v>
      </c>
      <c r="E243" t="s">
        <v>4</v>
      </c>
      <c r="F243" t="str">
        <f>VLOOKUP(A243,L_AIRPORT!A:B,2)</f>
        <v>Mission/McAllen/Edinburg, TX: McAllen Miller International</v>
      </c>
      <c r="G243">
        <v>26.17583333</v>
      </c>
      <c r="H243">
        <v>-98.238611109999994</v>
      </c>
      <c r="I243">
        <v>107</v>
      </c>
      <c r="J243" t="s">
        <v>22410</v>
      </c>
      <c r="K243" t="s">
        <v>22413</v>
      </c>
    </row>
    <row r="244" spans="1:11" x14ac:dyDescent="0.25">
      <c r="A244" t="s">
        <v>875</v>
      </c>
      <c r="B244" t="s">
        <v>22038</v>
      </c>
      <c r="C244" t="s">
        <v>22039</v>
      </c>
      <c r="D244" t="s">
        <v>101</v>
      </c>
      <c r="E244" t="s">
        <v>4</v>
      </c>
      <c r="F244" t="str">
        <f>VLOOKUP(A244,L_AIRPORT!A:B,2)</f>
        <v>Medford, OR: Rogue Valley International - Medford</v>
      </c>
      <c r="G244">
        <v>42.374227779999998</v>
      </c>
      <c r="H244">
        <v>-122.8734978</v>
      </c>
      <c r="I244">
        <v>1335</v>
      </c>
      <c r="J244" t="s">
        <v>22410</v>
      </c>
      <c r="K244" t="s">
        <v>22413</v>
      </c>
    </row>
    <row r="245" spans="1:11" x14ac:dyDescent="0.25">
      <c r="A245" t="s">
        <v>565</v>
      </c>
      <c r="B245" t="s">
        <v>22040</v>
      </c>
      <c r="C245" t="s">
        <v>22041</v>
      </c>
      <c r="D245" t="s">
        <v>21684</v>
      </c>
      <c r="E245" t="s">
        <v>4</v>
      </c>
      <c r="F245" t="str">
        <f>VLOOKUP(A245,L_AIRPORT!A:B,2)</f>
        <v>Montgomery, AL: Montgomery Regional</v>
      </c>
      <c r="G245">
        <v>32.300644169999998</v>
      </c>
      <c r="H245">
        <v>-86.393976109999997</v>
      </c>
      <c r="I245">
        <v>221</v>
      </c>
      <c r="J245" t="s">
        <v>22410</v>
      </c>
      <c r="K245" t="s">
        <v>22413</v>
      </c>
    </row>
    <row r="246" spans="1:11" x14ac:dyDescent="0.25">
      <c r="A246" t="s">
        <v>2661</v>
      </c>
      <c r="B246" t="s">
        <v>22042</v>
      </c>
      <c r="C246" t="s">
        <v>22043</v>
      </c>
      <c r="D246" t="s">
        <v>21861</v>
      </c>
      <c r="E246" t="s">
        <v>4</v>
      </c>
      <c r="F246" t="str">
        <f>VLOOKUP(A246,L_AIRPORT!A:B,2)</f>
        <v>Manhattan/Ft. Riley, KS: Manhattan Regional</v>
      </c>
      <c r="G246">
        <v>39.14096722</v>
      </c>
      <c r="H246">
        <v>-96.670832779999998</v>
      </c>
      <c r="I246">
        <v>1057</v>
      </c>
      <c r="J246" t="s">
        <v>22410</v>
      </c>
      <c r="K246" t="s">
        <v>22413</v>
      </c>
    </row>
    <row r="247" spans="1:11" x14ac:dyDescent="0.25">
      <c r="A247" t="s">
        <v>567</v>
      </c>
      <c r="B247" t="s">
        <v>22044</v>
      </c>
      <c r="C247" t="s">
        <v>22044</v>
      </c>
      <c r="D247" t="s">
        <v>22045</v>
      </c>
      <c r="E247" t="s">
        <v>4</v>
      </c>
      <c r="F247" t="str">
        <f>VLOOKUP(A247,L_AIRPORT!A:B,2)</f>
        <v>Manchester, NH: Manchester-Boston Regional</v>
      </c>
      <c r="G247">
        <v>42.934516389999999</v>
      </c>
      <c r="H247">
        <v>-71.437055830000006</v>
      </c>
      <c r="I247">
        <v>266</v>
      </c>
      <c r="J247" t="s">
        <v>22410</v>
      </c>
      <c r="K247" t="s">
        <v>22413</v>
      </c>
    </row>
    <row r="248" spans="1:11" x14ac:dyDescent="0.25">
      <c r="A248" t="s">
        <v>84</v>
      </c>
      <c r="B248" t="s">
        <v>22046</v>
      </c>
      <c r="C248" t="s">
        <v>22047</v>
      </c>
      <c r="D248" t="s">
        <v>55</v>
      </c>
      <c r="E248" t="s">
        <v>4</v>
      </c>
      <c r="F248" t="str">
        <f>VLOOKUP(A248,L_AIRPORT!A:B,2)</f>
        <v>Miami, FL: Miami International</v>
      </c>
      <c r="G248">
        <v>25.79325</v>
      </c>
      <c r="H248">
        <v>-80.290555560000001</v>
      </c>
      <c r="I248">
        <v>8</v>
      </c>
      <c r="J248" t="s">
        <v>22411</v>
      </c>
      <c r="K248" t="s">
        <v>22413</v>
      </c>
    </row>
    <row r="249" spans="1:11" x14ac:dyDescent="0.25">
      <c r="A249" t="s">
        <v>85</v>
      </c>
      <c r="B249" t="s">
        <v>22048</v>
      </c>
      <c r="C249" t="s">
        <v>22049</v>
      </c>
      <c r="D249" t="s">
        <v>86</v>
      </c>
      <c r="E249" t="s">
        <v>4</v>
      </c>
      <c r="F249" t="str">
        <f>VLOOKUP(A249,L_AIRPORT!A:B,2)</f>
        <v>Milwaukee, WI: General Mitchell International</v>
      </c>
      <c r="G249">
        <v>42.94722222</v>
      </c>
      <c r="H249">
        <v>-87.896583329999999</v>
      </c>
      <c r="I249">
        <v>723</v>
      </c>
      <c r="J249" t="s">
        <v>22411</v>
      </c>
      <c r="K249" t="s">
        <v>22413</v>
      </c>
    </row>
    <row r="250" spans="1:11" x14ac:dyDescent="0.25">
      <c r="A250" t="s">
        <v>5438</v>
      </c>
      <c r="B250" t="s">
        <v>22050</v>
      </c>
      <c r="C250" t="s">
        <v>22051</v>
      </c>
      <c r="D250" t="s">
        <v>51</v>
      </c>
      <c r="E250" t="s">
        <v>4</v>
      </c>
      <c r="F250" t="str">
        <f>VLOOKUP(A250,L_AIRPORT!A:B,2)</f>
        <v>Muskegon, MI: Muskegon County</v>
      </c>
      <c r="G250">
        <v>43.169488059999999</v>
      </c>
      <c r="H250">
        <v>-86.238223059999996</v>
      </c>
      <c r="I250">
        <v>629</v>
      </c>
      <c r="J250" t="s">
        <v>22410</v>
      </c>
      <c r="K250" t="s">
        <v>22413</v>
      </c>
    </row>
    <row r="251" spans="1:11" x14ac:dyDescent="0.25">
      <c r="A251" s="7" t="s">
        <v>3666</v>
      </c>
      <c r="B251" t="s">
        <v>22355</v>
      </c>
      <c r="C251" t="s">
        <v>22356</v>
      </c>
      <c r="D251" t="s">
        <v>21917</v>
      </c>
      <c r="E251" t="s">
        <v>4</v>
      </c>
      <c r="F251" t="str">
        <f>VLOOKUP(A251,L_AIRPORT!A:B,2)</f>
        <v>Hoolehua, HI: Molokai</v>
      </c>
      <c r="G251">
        <v>21.152901</v>
      </c>
      <c r="H251">
        <v>-157.09599299999999</v>
      </c>
      <c r="I251">
        <v>454</v>
      </c>
      <c r="J251" t="s">
        <v>22410</v>
      </c>
      <c r="K251" t="s">
        <v>22413</v>
      </c>
    </row>
    <row r="252" spans="1:11" x14ac:dyDescent="0.25">
      <c r="A252" t="s">
        <v>571</v>
      </c>
      <c r="B252" t="s">
        <v>22052</v>
      </c>
      <c r="C252" t="s">
        <v>22053</v>
      </c>
      <c r="D252" t="s">
        <v>55</v>
      </c>
      <c r="E252" t="s">
        <v>4</v>
      </c>
      <c r="F252" t="str">
        <f>VLOOKUP(A252,L_AIRPORT!A:B,2)</f>
        <v>Melbourne, FL: Melbourne International</v>
      </c>
      <c r="G252">
        <v>28.10275</v>
      </c>
      <c r="H252">
        <v>-80.645805559999999</v>
      </c>
      <c r="I252">
        <v>33</v>
      </c>
      <c r="J252" t="s">
        <v>22410</v>
      </c>
      <c r="K252" t="s">
        <v>22413</v>
      </c>
    </row>
    <row r="253" spans="1:11" x14ac:dyDescent="0.25">
      <c r="A253" t="s">
        <v>573</v>
      </c>
      <c r="B253" t="s">
        <v>22054</v>
      </c>
      <c r="C253" t="s">
        <v>22055</v>
      </c>
      <c r="D253" t="s">
        <v>96</v>
      </c>
      <c r="E253" t="s">
        <v>4</v>
      </c>
      <c r="F253" t="str">
        <f>VLOOKUP(A253,L_AIRPORT!A:B,2)</f>
        <v>Moline, IL: Quad City International</v>
      </c>
      <c r="G253">
        <v>41.448526389999998</v>
      </c>
      <c r="H253">
        <v>-90.507539170000001</v>
      </c>
      <c r="I253">
        <v>590</v>
      </c>
      <c r="J253" t="s">
        <v>22410</v>
      </c>
      <c r="K253" t="s">
        <v>22413</v>
      </c>
    </row>
    <row r="254" spans="1:11" x14ac:dyDescent="0.25">
      <c r="A254" t="s">
        <v>575</v>
      </c>
      <c r="B254" t="s">
        <v>22056</v>
      </c>
      <c r="C254" t="s">
        <v>22057</v>
      </c>
      <c r="D254" t="s">
        <v>90</v>
      </c>
      <c r="E254" t="s">
        <v>4</v>
      </c>
      <c r="F254" t="str">
        <f>VLOOKUP(A254,L_AIRPORT!A:B,2)</f>
        <v>Monroe, LA: Monroe Regional</v>
      </c>
      <c r="G254">
        <v>32.510865559999999</v>
      </c>
      <c r="H254">
        <v>-92.037687779999999</v>
      </c>
      <c r="I254">
        <v>79</v>
      </c>
      <c r="J254" t="s">
        <v>22410</v>
      </c>
      <c r="K254" t="s">
        <v>22413</v>
      </c>
    </row>
    <row r="255" spans="1:11" x14ac:dyDescent="0.25">
      <c r="A255" t="s">
        <v>2436</v>
      </c>
      <c r="B255" t="s">
        <v>22058</v>
      </c>
      <c r="C255" t="s">
        <v>22059</v>
      </c>
      <c r="D255" t="s">
        <v>31</v>
      </c>
      <c r="E255" t="s">
        <v>4</v>
      </c>
      <c r="F255" t="str">
        <f>VLOOKUP(A255,L_AIRPORT!A:B,2)</f>
        <v>Mammoth Lakes, CA: Mammoth Lakes Airport</v>
      </c>
      <c r="G255">
        <v>37.624048610000003</v>
      </c>
      <c r="H255">
        <v>-118.8377722</v>
      </c>
      <c r="I255">
        <v>7135</v>
      </c>
      <c r="J255" t="s">
        <v>22408</v>
      </c>
      <c r="K255" t="s">
        <v>22413</v>
      </c>
    </row>
    <row r="256" spans="1:11" x14ac:dyDescent="0.25">
      <c r="A256" t="s">
        <v>577</v>
      </c>
      <c r="B256" t="s">
        <v>22060</v>
      </c>
      <c r="C256" t="s">
        <v>22061</v>
      </c>
      <c r="D256" t="s">
        <v>21684</v>
      </c>
      <c r="E256" t="s">
        <v>4</v>
      </c>
      <c r="F256" t="str">
        <f>VLOOKUP(A256,L_AIRPORT!A:B,2)</f>
        <v>Mobile, AL: Mobile Regional</v>
      </c>
      <c r="G256">
        <v>30.691416669999999</v>
      </c>
      <c r="H256">
        <v>-88.242833329999996</v>
      </c>
      <c r="I256">
        <v>219</v>
      </c>
      <c r="J256" t="s">
        <v>22410</v>
      </c>
      <c r="K256" t="s">
        <v>22413</v>
      </c>
    </row>
    <row r="257" spans="1:11" x14ac:dyDescent="0.25">
      <c r="A257" t="s">
        <v>15748</v>
      </c>
      <c r="B257" t="s">
        <v>22062</v>
      </c>
      <c r="C257" t="s">
        <v>22063</v>
      </c>
      <c r="D257" t="s">
        <v>31</v>
      </c>
      <c r="E257" t="s">
        <v>4</v>
      </c>
      <c r="F257" t="str">
        <f>VLOOKUP(A257,L_AIRPORT!A:B,2)</f>
        <v>Modesto, CA: Modesto City-County-Harry Sham Field</v>
      </c>
      <c r="G257">
        <v>37.625817220000002</v>
      </c>
      <c r="H257">
        <v>-120.9544214</v>
      </c>
      <c r="I257">
        <v>97</v>
      </c>
      <c r="J257" t="s">
        <v>22410</v>
      </c>
      <c r="K257" t="s">
        <v>22413</v>
      </c>
    </row>
    <row r="258" spans="1:11" x14ac:dyDescent="0.25">
      <c r="A258" t="s">
        <v>879</v>
      </c>
      <c r="B258" t="s">
        <v>22064</v>
      </c>
      <c r="C258" t="s">
        <v>22065</v>
      </c>
      <c r="D258" t="s">
        <v>21689</v>
      </c>
      <c r="E258" t="s">
        <v>4</v>
      </c>
      <c r="F258" t="str">
        <f>VLOOKUP(A258,L_AIRPORT!A:B,2)</f>
        <v>Minot, ND: Minot International</v>
      </c>
      <c r="G258">
        <v>48.259377780000001</v>
      </c>
      <c r="H258">
        <v>-101.2803339</v>
      </c>
      <c r="I258">
        <v>1716</v>
      </c>
      <c r="J258" t="s">
        <v>22410</v>
      </c>
      <c r="K258" t="s">
        <v>22413</v>
      </c>
    </row>
    <row r="259" spans="1:11" x14ac:dyDescent="0.25">
      <c r="A259" t="s">
        <v>2886</v>
      </c>
      <c r="B259" t="s">
        <v>22066</v>
      </c>
      <c r="C259" t="s">
        <v>21751</v>
      </c>
      <c r="D259" t="s">
        <v>21751</v>
      </c>
      <c r="E259" t="s">
        <v>4</v>
      </c>
      <c r="F259" t="str">
        <f>VLOOKUP(A259,L_AIRPORT!A:B,2)</f>
        <v>Marquette, MI: Sawyer International</v>
      </c>
      <c r="G259">
        <v>46.353639000000001</v>
      </c>
      <c r="H259">
        <v>-87.395360999999994</v>
      </c>
      <c r="I259">
        <v>1221</v>
      </c>
      <c r="J259" t="s">
        <v>22410</v>
      </c>
      <c r="K259" t="s">
        <v>22413</v>
      </c>
    </row>
    <row r="260" spans="1:11" x14ac:dyDescent="0.25">
      <c r="A260" t="s">
        <v>2439</v>
      </c>
      <c r="B260" t="s">
        <v>22067</v>
      </c>
      <c r="C260" t="s">
        <v>22068</v>
      </c>
      <c r="D260" t="s">
        <v>31</v>
      </c>
      <c r="E260" t="s">
        <v>4</v>
      </c>
      <c r="F260" t="str">
        <f>VLOOKUP(A260,L_AIRPORT!A:B,2)</f>
        <v>Monterey, CA: Monterey Regional</v>
      </c>
      <c r="G260">
        <v>36.586982499999998</v>
      </c>
      <c r="H260">
        <v>-121.8429478</v>
      </c>
      <c r="I260">
        <v>257</v>
      </c>
      <c r="J260" t="s">
        <v>22410</v>
      </c>
      <c r="K260" t="s">
        <v>22413</v>
      </c>
    </row>
    <row r="261" spans="1:11" x14ac:dyDescent="0.25">
      <c r="A261" t="s">
        <v>579</v>
      </c>
      <c r="B261" t="s">
        <v>22069</v>
      </c>
      <c r="C261" t="s">
        <v>22070</v>
      </c>
      <c r="D261" t="s">
        <v>86</v>
      </c>
      <c r="E261" t="s">
        <v>4</v>
      </c>
      <c r="F261" t="str">
        <f>VLOOKUP(A261,L_AIRPORT!A:B,2)</f>
        <v>Madison, WI: Dane County Regional-Truax Field</v>
      </c>
      <c r="G261">
        <v>43.13985778</v>
      </c>
      <c r="H261">
        <v>-89.337513610000002</v>
      </c>
      <c r="I261">
        <v>887</v>
      </c>
      <c r="J261" t="s">
        <v>22410</v>
      </c>
      <c r="K261" t="s">
        <v>22413</v>
      </c>
    </row>
    <row r="262" spans="1:11" x14ac:dyDescent="0.25">
      <c r="A262" t="s">
        <v>581</v>
      </c>
      <c r="B262" t="s">
        <v>22071</v>
      </c>
      <c r="C262" t="s">
        <v>22072</v>
      </c>
      <c r="D262" t="s">
        <v>35</v>
      </c>
      <c r="E262" t="s">
        <v>4</v>
      </c>
      <c r="F262" t="str">
        <f>VLOOKUP(A262,L_AIRPORT!A:B,2)</f>
        <v>Missoula, MT: Missoula International</v>
      </c>
      <c r="G262">
        <v>46.916305559999998</v>
      </c>
      <c r="H262">
        <v>-114.0905556</v>
      </c>
      <c r="I262">
        <v>3206</v>
      </c>
      <c r="J262" t="s">
        <v>22410</v>
      </c>
      <c r="K262" t="s">
        <v>22413</v>
      </c>
    </row>
    <row r="263" spans="1:11" x14ac:dyDescent="0.25">
      <c r="A263" t="s">
        <v>87</v>
      </c>
      <c r="B263" t="s">
        <v>22073</v>
      </c>
      <c r="C263" t="s">
        <v>22074</v>
      </c>
      <c r="D263" t="s">
        <v>88</v>
      </c>
      <c r="E263" t="s">
        <v>4</v>
      </c>
      <c r="F263" t="str">
        <f>VLOOKUP(A263,L_AIRPORT!A:B,2)</f>
        <v>Minneapolis, MN: Minneapolis-St Paul International</v>
      </c>
      <c r="G263">
        <v>44.880546940000002</v>
      </c>
      <c r="H263">
        <v>-93.216922499999995</v>
      </c>
      <c r="I263">
        <v>841</v>
      </c>
      <c r="J263" t="s">
        <v>22411</v>
      </c>
      <c r="K263" t="s">
        <v>22413</v>
      </c>
    </row>
    <row r="264" spans="1:11" x14ac:dyDescent="0.25">
      <c r="A264" t="s">
        <v>89</v>
      </c>
      <c r="B264" t="s">
        <v>22075</v>
      </c>
      <c r="C264" t="s">
        <v>22076</v>
      </c>
      <c r="D264" t="s">
        <v>90</v>
      </c>
      <c r="E264" t="s">
        <v>4</v>
      </c>
      <c r="F264" t="str">
        <f>VLOOKUP(A264,L_AIRPORT!A:B,2)</f>
        <v>New Orleans, LA: Louis Armstrong New Orleans International</v>
      </c>
      <c r="G264">
        <v>29.993388889999999</v>
      </c>
      <c r="H264">
        <v>-90.258027780000006</v>
      </c>
      <c r="I264">
        <v>4</v>
      </c>
      <c r="J264" t="s">
        <v>22411</v>
      </c>
      <c r="K264" t="s">
        <v>22413</v>
      </c>
    </row>
    <row r="265" spans="1:11" x14ac:dyDescent="0.25">
      <c r="A265" t="s">
        <v>91</v>
      </c>
      <c r="B265" t="s">
        <v>22077</v>
      </c>
      <c r="C265" t="s">
        <v>22078</v>
      </c>
      <c r="D265" t="s">
        <v>48</v>
      </c>
      <c r="E265" t="s">
        <v>4</v>
      </c>
      <c r="F265" t="str">
        <f>VLOOKUP(A265,L_AIRPORT!A:B,2)</f>
        <v>Montrose/Delta, CO: Montrose Regional</v>
      </c>
      <c r="G265">
        <v>38.508867219999999</v>
      </c>
      <c r="H265">
        <v>-107.8938333</v>
      </c>
      <c r="I265">
        <v>5759</v>
      </c>
      <c r="J265" t="s">
        <v>22410</v>
      </c>
      <c r="K265" t="s">
        <v>22413</v>
      </c>
    </row>
    <row r="266" spans="1:11" x14ac:dyDescent="0.25">
      <c r="A266" t="s">
        <v>92</v>
      </c>
      <c r="B266" t="s">
        <v>22079</v>
      </c>
      <c r="C266" t="s">
        <v>22079</v>
      </c>
      <c r="D266" t="s">
        <v>6</v>
      </c>
      <c r="E266" t="s">
        <v>4</v>
      </c>
      <c r="F266" t="str">
        <f>VLOOKUP(A266,L_AIRPORT!A:B,2)</f>
        <v>Martha's Vineyard, MA: Martha's Vineyard Airport</v>
      </c>
      <c r="G266">
        <v>41.393025829999999</v>
      </c>
      <c r="H266">
        <v>-70.614332500000003</v>
      </c>
      <c r="I266">
        <v>67</v>
      </c>
      <c r="J266" t="s">
        <v>22408</v>
      </c>
      <c r="K266" t="s">
        <v>22413</v>
      </c>
    </row>
    <row r="267" spans="1:11" x14ac:dyDescent="0.25">
      <c r="A267" t="s">
        <v>15998</v>
      </c>
      <c r="B267" t="s">
        <v>22080</v>
      </c>
      <c r="C267" t="s">
        <v>22081</v>
      </c>
      <c r="D267" t="s">
        <v>129</v>
      </c>
      <c r="E267" t="s">
        <v>4</v>
      </c>
      <c r="F267" t="str">
        <f>VLOOKUP(A267,L_AIRPORT!A:B,2)</f>
        <v>Moses Lake, WA: Grant County International</v>
      </c>
      <c r="G267">
        <v>47.207708060000002</v>
      </c>
      <c r="H267">
        <v>-119.3201897</v>
      </c>
      <c r="I267">
        <v>1189</v>
      </c>
      <c r="J267" t="s">
        <v>22410</v>
      </c>
      <c r="K267" t="s">
        <v>22413</v>
      </c>
    </row>
    <row r="268" spans="1:11" x14ac:dyDescent="0.25">
      <c r="A268" t="s">
        <v>182</v>
      </c>
      <c r="B268" t="s">
        <v>22082</v>
      </c>
      <c r="C268" t="s">
        <v>22083</v>
      </c>
      <c r="D268" t="s">
        <v>37</v>
      </c>
      <c r="E268" t="s">
        <v>4</v>
      </c>
      <c r="F268" t="str">
        <f>VLOOKUP(A268,L_AIRPORT!A:B,2)</f>
        <v>Myrtle Beach, SC: Myrtle Beach International</v>
      </c>
      <c r="G268">
        <v>33.679749999999999</v>
      </c>
      <c r="H268">
        <v>-78.928333330000001</v>
      </c>
      <c r="I268">
        <v>25</v>
      </c>
      <c r="J268" t="s">
        <v>22410</v>
      </c>
      <c r="K268" t="s">
        <v>22413</v>
      </c>
    </row>
    <row r="269" spans="1:11" x14ac:dyDescent="0.25">
      <c r="A269" t="s">
        <v>587</v>
      </c>
      <c r="B269" t="s">
        <v>22084</v>
      </c>
      <c r="C269" t="s">
        <v>21966</v>
      </c>
      <c r="D269" t="s">
        <v>41</v>
      </c>
      <c r="E269" t="s">
        <v>4</v>
      </c>
      <c r="F269" t="str">
        <f>VLOOKUP(A269,L_AIRPORT!A:B,2)</f>
        <v>Jacksonville/Camp Lejeune, NC: Albert J Ellis</v>
      </c>
      <c r="G269">
        <v>34.82916444</v>
      </c>
      <c r="H269">
        <v>-77.612137779999998</v>
      </c>
      <c r="I269">
        <v>94</v>
      </c>
      <c r="J269" t="s">
        <v>22410</v>
      </c>
      <c r="K269" t="s">
        <v>22413</v>
      </c>
    </row>
    <row r="270" spans="1:11" x14ac:dyDescent="0.25">
      <c r="A270" t="s">
        <v>215</v>
      </c>
      <c r="B270" t="s">
        <v>22085</v>
      </c>
      <c r="C270" t="s">
        <v>22086</v>
      </c>
      <c r="D270" t="s">
        <v>31</v>
      </c>
      <c r="E270" t="s">
        <v>4</v>
      </c>
      <c r="F270" t="str">
        <f>VLOOKUP(A270,L_AIRPORT!A:B,2)</f>
        <v>Oakland, CA: Metropolitan Oakland International</v>
      </c>
      <c r="G270">
        <v>37.721290830000001</v>
      </c>
      <c r="H270">
        <v>-122.2207167</v>
      </c>
      <c r="I270">
        <v>9</v>
      </c>
      <c r="J270" t="s">
        <v>22411</v>
      </c>
      <c r="K270" t="s">
        <v>22413</v>
      </c>
    </row>
    <row r="271" spans="1:11" x14ac:dyDescent="0.25">
      <c r="A271" s="7" t="s">
        <v>884</v>
      </c>
      <c r="B271" t="s">
        <v>22357</v>
      </c>
      <c r="C271" t="s">
        <v>22358</v>
      </c>
      <c r="D271" t="s">
        <v>136</v>
      </c>
      <c r="E271" t="s">
        <v>4</v>
      </c>
      <c r="F271" t="str">
        <f>VLOOKUP(A271,L_AIRPORT!A:B,2)</f>
        <v>Ogden, UT: Ogden-Hinckley</v>
      </c>
      <c r="G271">
        <v>41.195899963378999</v>
      </c>
      <c r="H271">
        <v>-112.0120010376</v>
      </c>
      <c r="I271">
        <v>4473</v>
      </c>
      <c r="J271" t="s">
        <v>22410</v>
      </c>
      <c r="K271" t="s">
        <v>22413</v>
      </c>
    </row>
    <row r="272" spans="1:11" x14ac:dyDescent="0.25">
      <c r="A272" t="s">
        <v>371</v>
      </c>
      <c r="B272" t="s">
        <v>22087</v>
      </c>
      <c r="C272" t="s">
        <v>22087</v>
      </c>
      <c r="D272" t="s">
        <v>21917</v>
      </c>
      <c r="E272" t="s">
        <v>4</v>
      </c>
      <c r="F272" t="str">
        <f>VLOOKUP(A272,L_AIRPORT!A:B,2)</f>
        <v>Kahului, HI: Kahului Airport</v>
      </c>
      <c r="G272">
        <v>20.898649720000002</v>
      </c>
      <c r="H272">
        <v>-156.4304578</v>
      </c>
      <c r="I272">
        <v>54</v>
      </c>
      <c r="J272" t="s">
        <v>22410</v>
      </c>
      <c r="K272" t="s">
        <v>22413</v>
      </c>
    </row>
    <row r="273" spans="1:11" x14ac:dyDescent="0.25">
      <c r="A273" s="7" t="s">
        <v>3889</v>
      </c>
      <c r="B273" t="s">
        <v>22359</v>
      </c>
      <c r="C273" t="s">
        <v>22360</v>
      </c>
      <c r="D273" t="s">
        <v>8</v>
      </c>
      <c r="E273" t="s">
        <v>4</v>
      </c>
      <c r="F273" t="str">
        <f>VLOOKUP(A273,L_AIRPORT!A:B,2)</f>
        <v>Ogdensburg, NY: Ogdensburg International</v>
      </c>
      <c r="G273">
        <v>44.681899999999999</v>
      </c>
      <c r="H273">
        <v>-75.465500000000006</v>
      </c>
      <c r="I273">
        <v>297</v>
      </c>
      <c r="J273" t="s">
        <v>22408</v>
      </c>
      <c r="K273" t="s">
        <v>22413</v>
      </c>
    </row>
    <row r="274" spans="1:11" x14ac:dyDescent="0.25">
      <c r="A274" t="s">
        <v>590</v>
      </c>
      <c r="B274" t="s">
        <v>22088</v>
      </c>
      <c r="C274" t="s">
        <v>22089</v>
      </c>
      <c r="D274" t="s">
        <v>21987</v>
      </c>
      <c r="E274" t="s">
        <v>4</v>
      </c>
      <c r="F274" t="str">
        <f>VLOOKUP(A274,L_AIRPORT!A:B,2)</f>
        <v>Oklahoma City, OK: Will Rogers World</v>
      </c>
      <c r="G274">
        <v>35.393088329999998</v>
      </c>
      <c r="H274">
        <v>-97.600733890000001</v>
      </c>
      <c r="I274">
        <v>1295</v>
      </c>
      <c r="J274" t="s">
        <v>22410</v>
      </c>
      <c r="K274" t="s">
        <v>22413</v>
      </c>
    </row>
    <row r="275" spans="1:11" x14ac:dyDescent="0.25">
      <c r="A275" t="s">
        <v>592</v>
      </c>
      <c r="B275" t="s">
        <v>22090</v>
      </c>
      <c r="C275" t="s">
        <v>22091</v>
      </c>
      <c r="D275" t="s">
        <v>21890</v>
      </c>
      <c r="E275" t="s">
        <v>4</v>
      </c>
      <c r="F275" t="str">
        <f>VLOOKUP(A275,L_AIRPORT!A:B,2)</f>
        <v>Omaha, NE: Eppley Airfield</v>
      </c>
      <c r="G275">
        <v>41.30251861</v>
      </c>
      <c r="H275">
        <v>-95.89417306</v>
      </c>
      <c r="I275">
        <v>984</v>
      </c>
      <c r="J275" t="s">
        <v>22410</v>
      </c>
      <c r="K275" t="s">
        <v>22413</v>
      </c>
    </row>
    <row r="276" spans="1:11" x14ac:dyDescent="0.25">
      <c r="A276" t="s">
        <v>373</v>
      </c>
      <c r="B276" t="s">
        <v>22092</v>
      </c>
      <c r="C276" t="s">
        <v>22092</v>
      </c>
      <c r="D276" t="s">
        <v>21639</v>
      </c>
      <c r="E276" t="s">
        <v>4</v>
      </c>
      <c r="F276" t="str">
        <f>VLOOKUP(A276,L_AIRPORT!A:B,2)</f>
        <v>Nome, AK: Nome Airport</v>
      </c>
      <c r="G276">
        <v>64.512202220000006</v>
      </c>
      <c r="H276">
        <v>-165.44524580000001</v>
      </c>
      <c r="I276">
        <v>37</v>
      </c>
      <c r="J276" t="s">
        <v>22410</v>
      </c>
      <c r="K276" t="s">
        <v>22413</v>
      </c>
    </row>
    <row r="277" spans="1:11" x14ac:dyDescent="0.25">
      <c r="A277" t="s">
        <v>94</v>
      </c>
      <c r="B277" t="s">
        <v>22093</v>
      </c>
      <c r="C277" t="s">
        <v>22094</v>
      </c>
      <c r="D277" t="s">
        <v>31</v>
      </c>
      <c r="E277" t="s">
        <v>4</v>
      </c>
      <c r="F277" t="str">
        <f>VLOOKUP(A277,L_AIRPORT!A:B,2)</f>
        <v>Ontario, CA: Ontario International</v>
      </c>
      <c r="G277">
        <v>34.055999999999997</v>
      </c>
      <c r="H277">
        <v>-117.6011944</v>
      </c>
      <c r="I277">
        <v>944</v>
      </c>
      <c r="J277" t="s">
        <v>22411</v>
      </c>
      <c r="K277" t="s">
        <v>22413</v>
      </c>
    </row>
    <row r="278" spans="1:11" x14ac:dyDescent="0.25">
      <c r="A278" t="s">
        <v>95</v>
      </c>
      <c r="B278" t="s">
        <v>22095</v>
      </c>
      <c r="C278" t="s">
        <v>22031</v>
      </c>
      <c r="D278" t="s">
        <v>96</v>
      </c>
      <c r="E278" t="s">
        <v>4</v>
      </c>
      <c r="F278" t="str">
        <f>VLOOKUP(A278,L_AIRPORT!A:B,2)</f>
        <v>Chicago, IL: Chicago O'Hare International</v>
      </c>
      <c r="G278">
        <v>41.979595000000003</v>
      </c>
      <c r="H278">
        <v>-87.904464169999997</v>
      </c>
      <c r="I278">
        <v>672</v>
      </c>
      <c r="J278" t="s">
        <v>22411</v>
      </c>
      <c r="K278" t="s">
        <v>22413</v>
      </c>
    </row>
    <row r="279" spans="1:11" x14ac:dyDescent="0.25">
      <c r="A279" t="s">
        <v>596</v>
      </c>
      <c r="B279" t="s">
        <v>22096</v>
      </c>
      <c r="C279" t="s">
        <v>22097</v>
      </c>
      <c r="D279" t="s">
        <v>46</v>
      </c>
      <c r="E279" t="s">
        <v>4</v>
      </c>
      <c r="F279" t="str">
        <f>VLOOKUP(A279,L_AIRPORT!A:B,2)</f>
        <v>Norfolk, VA: Norfolk International</v>
      </c>
      <c r="G279">
        <v>36.89461111</v>
      </c>
      <c r="H279">
        <v>-76.201222220000005</v>
      </c>
      <c r="I279">
        <v>26</v>
      </c>
      <c r="J279" t="s">
        <v>22410</v>
      </c>
      <c r="K279" t="s">
        <v>22413</v>
      </c>
    </row>
    <row r="280" spans="1:11" x14ac:dyDescent="0.25">
      <c r="A280" t="s">
        <v>97</v>
      </c>
      <c r="B280" t="s">
        <v>22098</v>
      </c>
      <c r="C280" t="s">
        <v>22099</v>
      </c>
      <c r="D280" t="s">
        <v>6</v>
      </c>
      <c r="E280" t="s">
        <v>4</v>
      </c>
      <c r="F280" t="str">
        <f>VLOOKUP(A280,L_AIRPORT!A:B,2)</f>
        <v>Worcester, MA: Worcester Regional</v>
      </c>
      <c r="G280">
        <v>42.267339440000001</v>
      </c>
      <c r="H280">
        <v>-71.875709439999994</v>
      </c>
      <c r="I280">
        <v>1009</v>
      </c>
      <c r="J280" t="s">
        <v>22410</v>
      </c>
      <c r="K280" t="s">
        <v>22413</v>
      </c>
    </row>
    <row r="281" spans="1:11" x14ac:dyDescent="0.25">
      <c r="A281" t="s">
        <v>2454</v>
      </c>
      <c r="B281" t="s">
        <v>22100</v>
      </c>
      <c r="C281" t="s">
        <v>22101</v>
      </c>
      <c r="D281" t="s">
        <v>101</v>
      </c>
      <c r="E281" t="s">
        <v>4</v>
      </c>
      <c r="F281" t="str">
        <f>VLOOKUP(A281,L_AIRPORT!A:B,2)</f>
        <v>North Bend/Coos Bay, OR: Southwest Oregon Regional</v>
      </c>
      <c r="G281">
        <v>43.417138889999997</v>
      </c>
      <c r="H281">
        <v>-124.24602779999999</v>
      </c>
      <c r="I281">
        <v>17</v>
      </c>
      <c r="J281" t="s">
        <v>22410</v>
      </c>
      <c r="K281" t="s">
        <v>22413</v>
      </c>
    </row>
    <row r="282" spans="1:11" x14ac:dyDescent="0.25">
      <c r="A282" t="s">
        <v>376</v>
      </c>
      <c r="B282" t="s">
        <v>22102</v>
      </c>
      <c r="C282" t="s">
        <v>22103</v>
      </c>
      <c r="D282" t="s">
        <v>21639</v>
      </c>
      <c r="E282" t="s">
        <v>4</v>
      </c>
      <c r="F282" t="str">
        <f>VLOOKUP(A282,L_AIRPORT!A:B,2)</f>
        <v>Kotzebue, AK: Ralph Wien Memorial</v>
      </c>
      <c r="G282">
        <v>66.884676940000006</v>
      </c>
      <c r="H282">
        <v>-162.59854970000001</v>
      </c>
      <c r="I282">
        <v>14</v>
      </c>
      <c r="J282" t="s">
        <v>22410</v>
      </c>
      <c r="K282" t="s">
        <v>22413</v>
      </c>
    </row>
    <row r="283" spans="1:11" x14ac:dyDescent="0.25">
      <c r="A283" s="7" t="s">
        <v>6268</v>
      </c>
      <c r="B283" t="s">
        <v>22404</v>
      </c>
      <c r="C283" t="s">
        <v>22405</v>
      </c>
      <c r="D283" t="s">
        <v>21781</v>
      </c>
      <c r="E283" t="s">
        <v>4</v>
      </c>
      <c r="F283" t="str">
        <f>VLOOKUP(A283,L_AIRPORT!A:B,2)</f>
        <v>Owensboro, KY: Owensboro Daviess County Regional</v>
      </c>
      <c r="G283">
        <v>37.740100859999998</v>
      </c>
      <c r="H283">
        <v>-87.166801449999994</v>
      </c>
      <c r="I283">
        <v>407</v>
      </c>
      <c r="J283" t="s">
        <v>22410</v>
      </c>
      <c r="K283" t="s">
        <v>22413</v>
      </c>
    </row>
    <row r="284" spans="1:11" x14ac:dyDescent="0.25">
      <c r="A284" t="s">
        <v>17018</v>
      </c>
      <c r="B284" t="s">
        <v>22104</v>
      </c>
      <c r="C284" t="s">
        <v>22104</v>
      </c>
      <c r="D284" t="s">
        <v>31</v>
      </c>
      <c r="E284" t="s">
        <v>4</v>
      </c>
      <c r="F284" t="str">
        <f>VLOOKUP(A284,L_AIRPORT!A:B,2)</f>
        <v>Oxnard/Ventura, CA: Oxnard</v>
      </c>
      <c r="G284">
        <v>34.200800829999999</v>
      </c>
      <c r="H284">
        <v>-119.20721639999999</v>
      </c>
      <c r="I284">
        <v>45</v>
      </c>
      <c r="J284" t="s">
        <v>22410</v>
      </c>
      <c r="K284" t="s">
        <v>22413</v>
      </c>
    </row>
    <row r="285" spans="1:11" x14ac:dyDescent="0.25">
      <c r="A285" s="7" t="s">
        <v>1214</v>
      </c>
      <c r="B285" t="s">
        <v>22361</v>
      </c>
      <c r="C285" t="s">
        <v>22362</v>
      </c>
      <c r="D285" t="s">
        <v>129</v>
      </c>
      <c r="E285" t="s">
        <v>4</v>
      </c>
      <c r="F285" t="str">
        <f>VLOOKUP(A285,L_AIRPORT!A:B,2)</f>
        <v>Everett, WA: Snohomish County</v>
      </c>
      <c r="G285">
        <v>47.906300000000002</v>
      </c>
      <c r="H285">
        <v>-122.281998</v>
      </c>
      <c r="I285">
        <v>606</v>
      </c>
      <c r="J285" t="s">
        <v>22410</v>
      </c>
      <c r="K285" t="s">
        <v>22413</v>
      </c>
    </row>
    <row r="286" spans="1:11" x14ac:dyDescent="0.25">
      <c r="A286" t="s">
        <v>1566</v>
      </c>
      <c r="B286" t="s">
        <v>22105</v>
      </c>
      <c r="C286" t="s">
        <v>22106</v>
      </c>
      <c r="D286" t="s">
        <v>21781</v>
      </c>
      <c r="E286" t="s">
        <v>4</v>
      </c>
      <c r="F286" t="str">
        <f>VLOOKUP(A286,L_AIRPORT!A:B,2)</f>
        <v>Paducah, KY: Barkley Regional</v>
      </c>
      <c r="G286">
        <v>37.060833330000001</v>
      </c>
      <c r="H286">
        <v>-88.773750000000007</v>
      </c>
      <c r="I286">
        <v>410</v>
      </c>
      <c r="J286" t="s">
        <v>22410</v>
      </c>
      <c r="K286" t="s">
        <v>22413</v>
      </c>
    </row>
    <row r="287" spans="1:11" x14ac:dyDescent="0.25">
      <c r="A287" s="7" t="s">
        <v>3316</v>
      </c>
      <c r="B287" t="s">
        <v>22363</v>
      </c>
      <c r="C287" t="s">
        <v>22364</v>
      </c>
      <c r="D287" t="s">
        <v>8</v>
      </c>
      <c r="E287" t="s">
        <v>4</v>
      </c>
      <c r="F287" t="str">
        <f>VLOOKUP(A287,L_AIRPORT!A:B,2)</f>
        <v>Plattsburgh, NY: Plattsburgh International</v>
      </c>
      <c r="G287">
        <v>44.650901794433501</v>
      </c>
      <c r="H287">
        <v>-73.468101501464801</v>
      </c>
      <c r="I287">
        <v>234</v>
      </c>
      <c r="J287" t="s">
        <v>22410</v>
      </c>
      <c r="K287" t="s">
        <v>22413</v>
      </c>
    </row>
    <row r="288" spans="1:11" x14ac:dyDescent="0.25">
      <c r="A288" t="s">
        <v>99</v>
      </c>
      <c r="B288" t="s">
        <v>22107</v>
      </c>
      <c r="C288" t="s">
        <v>22108</v>
      </c>
      <c r="D288" t="s">
        <v>55</v>
      </c>
      <c r="E288" t="s">
        <v>4</v>
      </c>
      <c r="F288" t="str">
        <f>VLOOKUP(A288,L_AIRPORT!A:B,2)</f>
        <v>West Palm Beach/Palm Beach, FL: Palm Beach International</v>
      </c>
      <c r="G288">
        <v>26.683161940000002</v>
      </c>
      <c r="H288">
        <v>-80.095594169999998</v>
      </c>
      <c r="I288">
        <v>19</v>
      </c>
      <c r="J288" t="s">
        <v>22411</v>
      </c>
      <c r="K288" t="s">
        <v>22413</v>
      </c>
    </row>
    <row r="289" spans="1:11" x14ac:dyDescent="0.25">
      <c r="A289" t="s">
        <v>100</v>
      </c>
      <c r="B289" t="s">
        <v>22109</v>
      </c>
      <c r="C289" t="s">
        <v>22110</v>
      </c>
      <c r="D289" t="s">
        <v>101</v>
      </c>
      <c r="E289" t="s">
        <v>4</v>
      </c>
      <c r="F289" t="str">
        <f>VLOOKUP(A289,L_AIRPORT!A:B,2)</f>
        <v>Portland, OR: Portland International</v>
      </c>
      <c r="G289">
        <v>45.588722220000001</v>
      </c>
      <c r="H289">
        <v>-122.5975</v>
      </c>
      <c r="I289">
        <v>31</v>
      </c>
      <c r="J289" t="s">
        <v>22411</v>
      </c>
      <c r="K289" t="s">
        <v>22413</v>
      </c>
    </row>
    <row r="290" spans="1:11" x14ac:dyDescent="0.25">
      <c r="A290" t="s">
        <v>17210</v>
      </c>
      <c r="B290" t="s">
        <v>22111</v>
      </c>
      <c r="C290" t="s">
        <v>22112</v>
      </c>
      <c r="D290" t="s">
        <v>55</v>
      </c>
      <c r="E290" t="s">
        <v>4</v>
      </c>
      <c r="F290" t="str">
        <f>VLOOKUP(A290,L_AIRPORT!A:B,2)</f>
        <v>Panama City, FL: Bay County</v>
      </c>
      <c r="G290">
        <v>30.212083329999999</v>
      </c>
      <c r="H290">
        <v>-85.682805560000006</v>
      </c>
      <c r="I290">
        <v>69</v>
      </c>
      <c r="J290" t="s">
        <v>22409</v>
      </c>
      <c r="K290" t="s">
        <v>22413</v>
      </c>
    </row>
    <row r="291" spans="1:11" x14ac:dyDescent="0.25">
      <c r="A291" t="s">
        <v>185</v>
      </c>
      <c r="B291" t="s">
        <v>22286</v>
      </c>
      <c r="C291" t="s">
        <v>22287</v>
      </c>
      <c r="D291" t="s">
        <v>55</v>
      </c>
      <c r="E291" t="s">
        <v>4</v>
      </c>
      <c r="F291" t="str">
        <f>VLOOKUP(A291,L_AIRPORT!A:B,2)</f>
        <v>Punta Gorda, FL: Punta Gorda Airport</v>
      </c>
      <c r="G291">
        <v>26.919699999999999</v>
      </c>
      <c r="H291">
        <v>-81.995999999999995</v>
      </c>
      <c r="I291">
        <v>26</v>
      </c>
      <c r="J291" t="s">
        <v>22410</v>
      </c>
      <c r="K291" t="s">
        <v>22413</v>
      </c>
    </row>
    <row r="292" spans="1:11" x14ac:dyDescent="0.25">
      <c r="A292" s="7" t="s">
        <v>1842</v>
      </c>
      <c r="B292" t="s">
        <v>22365</v>
      </c>
      <c r="C292" t="s">
        <v>22366</v>
      </c>
      <c r="D292" t="s">
        <v>41</v>
      </c>
      <c r="E292" t="s">
        <v>4</v>
      </c>
      <c r="F292" t="str">
        <f>VLOOKUP(A292,L_AIRPORT!A:B,2)</f>
        <v>Greenville, NC: Pitt Greenville</v>
      </c>
      <c r="G292">
        <v>35.635200500000003</v>
      </c>
      <c r="H292">
        <v>-77.385299680000003</v>
      </c>
      <c r="I292">
        <v>26</v>
      </c>
      <c r="J292" t="s">
        <v>22410</v>
      </c>
      <c r="K292" t="s">
        <v>22413</v>
      </c>
    </row>
    <row r="293" spans="1:11" x14ac:dyDescent="0.25">
      <c r="A293" t="s">
        <v>600</v>
      </c>
      <c r="B293" t="s">
        <v>22113</v>
      </c>
      <c r="C293" t="s">
        <v>22114</v>
      </c>
      <c r="D293" t="s">
        <v>46</v>
      </c>
      <c r="E293" t="s">
        <v>4</v>
      </c>
      <c r="F293" t="str">
        <f>VLOOKUP(A293,L_AIRPORT!A:B,2)</f>
        <v>Newport News/Williamsburg, VA: Newport News/Williamsburg International</v>
      </c>
      <c r="G293">
        <v>37.131895559999997</v>
      </c>
      <c r="H293">
        <v>-76.492987499999998</v>
      </c>
      <c r="I293">
        <v>42</v>
      </c>
      <c r="J293" t="s">
        <v>22410</v>
      </c>
      <c r="K293" t="s">
        <v>22413</v>
      </c>
    </row>
    <row r="294" spans="1:11" x14ac:dyDescent="0.25">
      <c r="A294" t="s">
        <v>102</v>
      </c>
      <c r="B294" t="s">
        <v>22115</v>
      </c>
      <c r="C294" t="s">
        <v>22116</v>
      </c>
      <c r="D294" t="s">
        <v>103</v>
      </c>
      <c r="E294" t="s">
        <v>4</v>
      </c>
      <c r="F294" t="str">
        <f>VLOOKUP(A294,L_AIRPORT!A:B,2)</f>
        <v>Philadelphia, PA: Philadelphia International</v>
      </c>
      <c r="G294">
        <v>39.871952780000001</v>
      </c>
      <c r="H294">
        <v>-75.241140830000006</v>
      </c>
      <c r="I294">
        <v>36</v>
      </c>
      <c r="J294" t="s">
        <v>22411</v>
      </c>
      <c r="K294" t="s">
        <v>22413</v>
      </c>
    </row>
    <row r="295" spans="1:11" x14ac:dyDescent="0.25">
      <c r="A295" t="s">
        <v>104</v>
      </c>
      <c r="B295" t="s">
        <v>22117</v>
      </c>
      <c r="C295" t="s">
        <v>22118</v>
      </c>
      <c r="D295" t="s">
        <v>105</v>
      </c>
      <c r="E295" t="s">
        <v>4</v>
      </c>
      <c r="F295" t="str">
        <f>VLOOKUP(A295,L_AIRPORT!A:B,2)</f>
        <v>Phoenix, AZ: Phoenix Sky Harbor International</v>
      </c>
      <c r="G295">
        <v>33.434166670000003</v>
      </c>
      <c r="H295">
        <v>-112.00805560000001</v>
      </c>
      <c r="I295">
        <v>1135</v>
      </c>
      <c r="J295" t="s">
        <v>22411</v>
      </c>
      <c r="K295" t="s">
        <v>22413</v>
      </c>
    </row>
    <row r="296" spans="1:11" x14ac:dyDescent="0.25">
      <c r="A296" t="s">
        <v>604</v>
      </c>
      <c r="B296" t="s">
        <v>22119</v>
      </c>
      <c r="C296" t="s">
        <v>22120</v>
      </c>
      <c r="D296" t="s">
        <v>96</v>
      </c>
      <c r="E296" t="s">
        <v>4</v>
      </c>
      <c r="F296" t="str">
        <f>VLOOKUP(A296,L_AIRPORT!A:B,2)</f>
        <v>Peoria, IL: General Downing - Peoria International</v>
      </c>
      <c r="G296">
        <v>40.664243329999998</v>
      </c>
      <c r="H296">
        <v>-89.693305559999999</v>
      </c>
      <c r="I296">
        <v>660</v>
      </c>
      <c r="J296" t="s">
        <v>22410</v>
      </c>
      <c r="K296" t="s">
        <v>22413</v>
      </c>
    </row>
    <row r="297" spans="1:11" x14ac:dyDescent="0.25">
      <c r="A297" t="s">
        <v>2688</v>
      </c>
      <c r="B297" t="s">
        <v>22121</v>
      </c>
      <c r="C297" t="s">
        <v>22122</v>
      </c>
      <c r="D297" t="s">
        <v>21885</v>
      </c>
      <c r="E297" t="s">
        <v>4</v>
      </c>
      <c r="F297" t="str">
        <f>VLOOKUP(A297,L_AIRPORT!A:B,2)</f>
        <v>Hattiesburg/Laurel, MS: Hattiesburg-Laurel Regional</v>
      </c>
      <c r="G297">
        <v>31.46714944</v>
      </c>
      <c r="H297">
        <v>-89.337057779999995</v>
      </c>
      <c r="I297">
        <v>298</v>
      </c>
      <c r="J297" t="s">
        <v>22410</v>
      </c>
      <c r="K297" t="s">
        <v>22413</v>
      </c>
    </row>
    <row r="298" spans="1:11" x14ac:dyDescent="0.25">
      <c r="A298" t="s">
        <v>188</v>
      </c>
      <c r="B298" t="s">
        <v>22123</v>
      </c>
      <c r="C298" t="s">
        <v>22124</v>
      </c>
      <c r="D298" t="s">
        <v>55</v>
      </c>
      <c r="E298" t="s">
        <v>4</v>
      </c>
      <c r="F298" t="str">
        <f>VLOOKUP(A298,L_AIRPORT!A:B,2)</f>
        <v>St. Petersburg, FL: St Pete Clearwater International</v>
      </c>
      <c r="G298">
        <v>27.910763330000002</v>
      </c>
      <c r="H298">
        <v>-82.687439440000006</v>
      </c>
      <c r="I298">
        <v>11</v>
      </c>
      <c r="J298" t="s">
        <v>22410</v>
      </c>
      <c r="K298" t="s">
        <v>22413</v>
      </c>
    </row>
    <row r="299" spans="1:11" x14ac:dyDescent="0.25">
      <c r="A299" t="s">
        <v>6791</v>
      </c>
      <c r="B299" t="s">
        <v>22125</v>
      </c>
      <c r="C299" t="s">
        <v>22126</v>
      </c>
      <c r="D299" t="s">
        <v>23</v>
      </c>
      <c r="E299" t="s">
        <v>4</v>
      </c>
      <c r="F299" t="str">
        <f>VLOOKUP(A299,L_AIRPORT!A:B,2)</f>
        <v>Pocatello, ID: Pocatello Regional</v>
      </c>
      <c r="G299">
        <v>42.911305560000002</v>
      </c>
      <c r="H299">
        <v>-112.59586109999999</v>
      </c>
      <c r="I299">
        <v>4452</v>
      </c>
      <c r="J299" t="s">
        <v>22410</v>
      </c>
      <c r="K299" t="s">
        <v>22413</v>
      </c>
    </row>
    <row r="300" spans="1:11" x14ac:dyDescent="0.25">
      <c r="A300" t="s">
        <v>693</v>
      </c>
      <c r="B300" t="s">
        <v>22127</v>
      </c>
      <c r="C300" t="s">
        <v>22128</v>
      </c>
      <c r="D300" t="s">
        <v>21627</v>
      </c>
      <c r="E300" t="s">
        <v>4</v>
      </c>
      <c r="F300" t="str">
        <f>VLOOKUP(A300,L_AIRPORT!A:B,2)</f>
        <v>Pierre, SD: Pierre Regional</v>
      </c>
      <c r="G300">
        <v>44.382676940000003</v>
      </c>
      <c r="H300">
        <v>-100.285965</v>
      </c>
      <c r="I300">
        <v>1744</v>
      </c>
      <c r="J300" t="s">
        <v>22410</v>
      </c>
      <c r="K300" t="s">
        <v>22413</v>
      </c>
    </row>
    <row r="301" spans="1:11" x14ac:dyDescent="0.25">
      <c r="A301" t="s">
        <v>106</v>
      </c>
      <c r="B301" t="s">
        <v>22129</v>
      </c>
      <c r="C301" t="s">
        <v>22130</v>
      </c>
      <c r="D301" t="s">
        <v>103</v>
      </c>
      <c r="E301" t="s">
        <v>4</v>
      </c>
      <c r="F301" t="str">
        <f>VLOOKUP(A301,L_AIRPORT!A:B,2)</f>
        <v>Pittsburgh, PA: Pittsburgh International</v>
      </c>
      <c r="G301">
        <v>40.491465830000003</v>
      </c>
      <c r="H301">
        <v>-80.232870829999996</v>
      </c>
      <c r="I301">
        <v>1203</v>
      </c>
      <c r="J301" t="s">
        <v>22411</v>
      </c>
      <c r="K301" t="s">
        <v>22413</v>
      </c>
    </row>
    <row r="302" spans="1:11" x14ac:dyDescent="0.25">
      <c r="A302" t="s">
        <v>389</v>
      </c>
      <c r="B302" t="s">
        <v>22131</v>
      </c>
      <c r="C302" t="s">
        <v>22132</v>
      </c>
      <c r="D302" t="s">
        <v>51</v>
      </c>
      <c r="E302" t="s">
        <v>4</v>
      </c>
      <c r="F302" t="str">
        <f>VLOOKUP(A302,L_AIRPORT!A:B,2)</f>
        <v>Pellston, MI: Pellston Regional Airport of Emmet County</v>
      </c>
      <c r="G302">
        <v>45.570927500000003</v>
      </c>
      <c r="H302">
        <v>-84.796715000000006</v>
      </c>
      <c r="I302">
        <v>721</v>
      </c>
      <c r="J302" t="s">
        <v>22410</v>
      </c>
      <c r="K302" t="s">
        <v>22413</v>
      </c>
    </row>
    <row r="303" spans="1:11" x14ac:dyDescent="0.25">
      <c r="A303" t="s">
        <v>607</v>
      </c>
      <c r="B303" t="s">
        <v>22133</v>
      </c>
      <c r="C303" t="s">
        <v>22134</v>
      </c>
      <c r="D303" t="s">
        <v>55</v>
      </c>
      <c r="E303" t="s">
        <v>4</v>
      </c>
      <c r="F303" t="str">
        <f>VLOOKUP(A303,L_AIRPORT!A:B,2)</f>
        <v>Pensacola, FL: Pensacola International</v>
      </c>
      <c r="G303">
        <v>30.47330556</v>
      </c>
      <c r="H303">
        <v>-87.187444439999993</v>
      </c>
      <c r="I303">
        <v>121</v>
      </c>
      <c r="J303" t="s">
        <v>22410</v>
      </c>
      <c r="K303" t="s">
        <v>22413</v>
      </c>
    </row>
    <row r="304" spans="1:11" x14ac:dyDescent="0.25">
      <c r="A304" t="s">
        <v>3675</v>
      </c>
      <c r="B304" t="s">
        <v>22135</v>
      </c>
      <c r="C304" t="s">
        <v>22136</v>
      </c>
      <c r="D304" t="s">
        <v>164</v>
      </c>
      <c r="E304" t="s">
        <v>4</v>
      </c>
      <c r="F304" t="str">
        <f>VLOOKUP(A304,L_AIRPORT!A:B,2)</f>
        <v>Pago Pago, TT: Pago Pago International</v>
      </c>
      <c r="G304">
        <v>14.33102278</v>
      </c>
      <c r="H304">
        <v>-170.7105258</v>
      </c>
      <c r="I304">
        <v>32</v>
      </c>
      <c r="J304" t="s">
        <v>22410</v>
      </c>
      <c r="K304" t="s">
        <v>22413</v>
      </c>
    </row>
    <row r="305" spans="1:11" x14ac:dyDescent="0.25">
      <c r="A305" s="7" t="s">
        <v>3126</v>
      </c>
      <c r="B305" t="s">
        <v>22367</v>
      </c>
      <c r="C305" t="s">
        <v>22368</v>
      </c>
      <c r="D305" t="s">
        <v>118</v>
      </c>
      <c r="E305" t="s">
        <v>4</v>
      </c>
      <c r="F305" t="str">
        <f>VLOOKUP(A305,L_AIRPORT!A:B,2)</f>
        <v>Presque Isle/Houlton, ME: Presque Isle International</v>
      </c>
      <c r="G305">
        <v>46.688999000000003</v>
      </c>
      <c r="H305">
        <v>-68.044799999999995</v>
      </c>
      <c r="I305">
        <v>534</v>
      </c>
      <c r="J305" t="s">
        <v>22410</v>
      </c>
      <c r="K305" t="s">
        <v>22413</v>
      </c>
    </row>
    <row r="306" spans="1:11" x14ac:dyDescent="0.25">
      <c r="A306" s="7" t="s">
        <v>2465</v>
      </c>
      <c r="B306" t="s">
        <v>22369</v>
      </c>
      <c r="C306" t="s">
        <v>22370</v>
      </c>
      <c r="D306" t="s">
        <v>105</v>
      </c>
      <c r="E306" t="s">
        <v>4</v>
      </c>
      <c r="F306" t="str">
        <f>VLOOKUP(A306,L_AIRPORT!A:B,2)</f>
        <v>Prescott, AZ: Prescott Regional Ernest A Love Field</v>
      </c>
      <c r="G306">
        <v>34.654499000000001</v>
      </c>
      <c r="H306">
        <v>-112.41999800000001</v>
      </c>
      <c r="I306">
        <v>5045</v>
      </c>
      <c r="J306" t="s">
        <v>22410</v>
      </c>
      <c r="K306" t="s">
        <v>22413</v>
      </c>
    </row>
    <row r="307" spans="1:11" x14ac:dyDescent="0.25">
      <c r="A307" t="s">
        <v>890</v>
      </c>
      <c r="B307" t="s">
        <v>22137</v>
      </c>
      <c r="C307" t="s">
        <v>22138</v>
      </c>
      <c r="D307" t="s">
        <v>129</v>
      </c>
      <c r="E307" t="s">
        <v>4</v>
      </c>
      <c r="F307" t="str">
        <f>VLOOKUP(A307,L_AIRPORT!A:B,2)</f>
        <v>Pasco/Kennewick/Richland, WA: Tri Cities</v>
      </c>
      <c r="G307">
        <v>46.26468028</v>
      </c>
      <c r="H307">
        <v>-119.1190292</v>
      </c>
      <c r="I307">
        <v>410</v>
      </c>
      <c r="J307" t="s">
        <v>22410</v>
      </c>
      <c r="K307" t="s">
        <v>22413</v>
      </c>
    </row>
    <row r="308" spans="1:11" x14ac:dyDescent="0.25">
      <c r="A308" t="s">
        <v>110</v>
      </c>
      <c r="B308" t="s">
        <v>22139</v>
      </c>
      <c r="C308" t="s">
        <v>22140</v>
      </c>
      <c r="D308" t="s">
        <v>26</v>
      </c>
      <c r="E308" t="s">
        <v>4</v>
      </c>
      <c r="F308" t="str">
        <f>VLOOKUP(A308,L_AIRPORT!A:B,2)</f>
        <v>Ponce, PR: Mercedita</v>
      </c>
      <c r="G308">
        <v>18.008302780000001</v>
      </c>
      <c r="H308">
        <v>-66.563011939999996</v>
      </c>
      <c r="I308">
        <v>29</v>
      </c>
      <c r="J308" t="s">
        <v>22410</v>
      </c>
      <c r="K308" t="s">
        <v>22413</v>
      </c>
    </row>
    <row r="309" spans="1:11" x14ac:dyDescent="0.25">
      <c r="A309" t="s">
        <v>4387</v>
      </c>
      <c r="B309" t="s">
        <v>22141</v>
      </c>
      <c r="C309" t="s">
        <v>22142</v>
      </c>
      <c r="D309" t="s">
        <v>21639</v>
      </c>
      <c r="E309" t="s">
        <v>4</v>
      </c>
      <c r="F309" t="str">
        <f>VLOOKUP(A309,L_AIRPORT!A:B,2)</f>
        <v>Petersburg, AK: Petersburg James A Johnson</v>
      </c>
      <c r="G309">
        <v>56.801651939999999</v>
      </c>
      <c r="H309">
        <v>-132.9452781</v>
      </c>
      <c r="I309">
        <v>111</v>
      </c>
      <c r="J309" t="s">
        <v>22410</v>
      </c>
      <c r="K309" t="s">
        <v>22413</v>
      </c>
    </row>
    <row r="310" spans="1:11" x14ac:dyDescent="0.25">
      <c r="A310" t="s">
        <v>1164</v>
      </c>
      <c r="B310" t="s">
        <v>22306</v>
      </c>
      <c r="C310" t="s">
        <v>22307</v>
      </c>
      <c r="D310" t="s">
        <v>22045</v>
      </c>
      <c r="E310" t="s">
        <v>4</v>
      </c>
      <c r="F310" t="str">
        <f>VLOOKUP(A310,L_AIRPORT!A:B,2)</f>
        <v>Portsmouth, NH: Portsmouth International at Pease</v>
      </c>
      <c r="G310">
        <v>43.079099999999997</v>
      </c>
      <c r="H310">
        <v>-70.823300000000003</v>
      </c>
      <c r="I310">
        <v>100</v>
      </c>
      <c r="J310" t="s">
        <v>22410</v>
      </c>
      <c r="K310" t="s">
        <v>22413</v>
      </c>
    </row>
    <row r="311" spans="1:11" x14ac:dyDescent="0.25">
      <c r="A311" t="s">
        <v>111</v>
      </c>
      <c r="B311" t="s">
        <v>22143</v>
      </c>
      <c r="C311" t="s">
        <v>22144</v>
      </c>
      <c r="D311" t="s">
        <v>31</v>
      </c>
      <c r="E311" t="s">
        <v>4</v>
      </c>
      <c r="F311" t="str">
        <f>VLOOKUP(A311,L_AIRPORT!A:B,2)</f>
        <v>Palm Springs, CA: Palm Springs International</v>
      </c>
      <c r="G311">
        <v>33.829215560000002</v>
      </c>
      <c r="H311">
        <v>-116.5062531</v>
      </c>
      <c r="I311">
        <v>477</v>
      </c>
      <c r="J311" t="s">
        <v>22410</v>
      </c>
      <c r="K311" t="s">
        <v>22413</v>
      </c>
    </row>
    <row r="312" spans="1:11" x14ac:dyDescent="0.25">
      <c r="A312" t="s">
        <v>2469</v>
      </c>
      <c r="B312" t="s">
        <v>22145</v>
      </c>
      <c r="C312" t="s">
        <v>22146</v>
      </c>
      <c r="D312" t="s">
        <v>48</v>
      </c>
      <c r="E312" t="s">
        <v>4</v>
      </c>
      <c r="F312" t="str">
        <f>VLOOKUP(A312,L_AIRPORT!A:B,2)</f>
        <v>Pueblo, CO: Pueblo Memorial</v>
      </c>
      <c r="G312">
        <v>38.289087219999999</v>
      </c>
      <c r="H312">
        <v>-104.4965722</v>
      </c>
      <c r="I312">
        <v>4726</v>
      </c>
      <c r="J312" t="s">
        <v>22410</v>
      </c>
      <c r="K312" t="s">
        <v>22413</v>
      </c>
    </row>
    <row r="313" spans="1:11" x14ac:dyDescent="0.25">
      <c r="A313" t="s">
        <v>324</v>
      </c>
      <c r="B313" t="s">
        <v>22292</v>
      </c>
      <c r="C313" t="s">
        <v>22293</v>
      </c>
      <c r="D313" t="s">
        <v>129</v>
      </c>
      <c r="E313" t="s">
        <v>4</v>
      </c>
      <c r="F313" t="str">
        <f>VLOOKUP(A313,L_AIRPORT!A:B,2)</f>
        <v>Pullman, WA: Pullman Moscow Regional</v>
      </c>
      <c r="G313">
        <v>46.744199999999999</v>
      </c>
      <c r="H313">
        <v>-117.11409999999999</v>
      </c>
      <c r="I313">
        <v>2556</v>
      </c>
      <c r="J313" t="s">
        <v>22410</v>
      </c>
      <c r="K313" t="s">
        <v>22413</v>
      </c>
    </row>
    <row r="314" spans="1:11" x14ac:dyDescent="0.25">
      <c r="A314" t="s">
        <v>114</v>
      </c>
      <c r="B314" t="s">
        <v>22147</v>
      </c>
      <c r="C314" t="s">
        <v>22148</v>
      </c>
      <c r="D314" t="s">
        <v>115</v>
      </c>
      <c r="E314" t="s">
        <v>4</v>
      </c>
      <c r="F314" t="str">
        <f>VLOOKUP(A314,L_AIRPORT!A:B,2)</f>
        <v>Providence, RI: Theodore Francis Green State</v>
      </c>
      <c r="G314">
        <v>41.723999169999999</v>
      </c>
      <c r="H314">
        <v>-71.428221109999996</v>
      </c>
      <c r="I314">
        <v>55</v>
      </c>
      <c r="J314" t="s">
        <v>22411</v>
      </c>
      <c r="K314" t="s">
        <v>22413</v>
      </c>
    </row>
    <row r="315" spans="1:11" x14ac:dyDescent="0.25">
      <c r="A315" s="7" t="s">
        <v>772</v>
      </c>
      <c r="B315" t="s">
        <v>22371</v>
      </c>
      <c r="C315" t="s">
        <v>22372</v>
      </c>
      <c r="D315" t="s">
        <v>136</v>
      </c>
      <c r="E315" t="s">
        <v>4</v>
      </c>
      <c r="F315" t="str">
        <f>VLOOKUP(A315,L_AIRPORT!A:B,2)</f>
        <v>Provo, UT: Provo Municipal</v>
      </c>
      <c r="G315">
        <v>40.219200000000001</v>
      </c>
      <c r="H315">
        <v>-111.723</v>
      </c>
      <c r="I315">
        <v>4497</v>
      </c>
      <c r="J315" t="s">
        <v>22410</v>
      </c>
      <c r="K315" t="s">
        <v>22413</v>
      </c>
    </row>
    <row r="316" spans="1:11" x14ac:dyDescent="0.25">
      <c r="A316" t="s">
        <v>117</v>
      </c>
      <c r="B316" t="s">
        <v>22149</v>
      </c>
      <c r="C316" t="s">
        <v>22110</v>
      </c>
      <c r="D316" t="s">
        <v>118</v>
      </c>
      <c r="E316" t="s">
        <v>4</v>
      </c>
      <c r="F316" t="str">
        <f>VLOOKUP(A316,L_AIRPORT!A:B,2)</f>
        <v>Portland, ME: Portland International Jetport</v>
      </c>
      <c r="G316">
        <v>43.646166669999999</v>
      </c>
      <c r="H316">
        <v>-70.308750000000003</v>
      </c>
      <c r="I316">
        <v>76</v>
      </c>
      <c r="J316" t="s">
        <v>22411</v>
      </c>
      <c r="K316" t="s">
        <v>22413</v>
      </c>
    </row>
    <row r="317" spans="1:11" x14ac:dyDescent="0.25">
      <c r="A317" t="s">
        <v>612</v>
      </c>
      <c r="B317" t="s">
        <v>22150</v>
      </c>
      <c r="C317" t="s">
        <v>22151</v>
      </c>
      <c r="D317" t="s">
        <v>21627</v>
      </c>
      <c r="E317" t="s">
        <v>4</v>
      </c>
      <c r="F317" t="str">
        <f>VLOOKUP(A317,L_AIRPORT!A:B,2)</f>
        <v>Rapid City, SD: Rapid City Regional</v>
      </c>
      <c r="G317">
        <v>44.045321389999998</v>
      </c>
      <c r="H317">
        <v>-103.0573708</v>
      </c>
      <c r="I317">
        <v>3204</v>
      </c>
      <c r="J317" t="s">
        <v>22410</v>
      </c>
      <c r="K317" t="s">
        <v>22413</v>
      </c>
    </row>
    <row r="318" spans="1:11" x14ac:dyDescent="0.25">
      <c r="A318" t="s">
        <v>4655</v>
      </c>
      <c r="B318" t="s">
        <v>22152</v>
      </c>
      <c r="C318" t="s">
        <v>22153</v>
      </c>
      <c r="D318" t="s">
        <v>31</v>
      </c>
      <c r="E318" t="s">
        <v>4</v>
      </c>
      <c r="F318" t="str">
        <f>VLOOKUP(A318,L_AIRPORT!A:B,2)</f>
        <v>Redding, CA: Redding Municipal</v>
      </c>
      <c r="G318">
        <v>40.508983610000001</v>
      </c>
      <c r="H318">
        <v>-122.29340190000001</v>
      </c>
      <c r="I318">
        <v>505</v>
      </c>
      <c r="J318" t="s">
        <v>22410</v>
      </c>
      <c r="K318" t="s">
        <v>22413</v>
      </c>
    </row>
    <row r="319" spans="1:11" x14ac:dyDescent="0.25">
      <c r="A319" t="s">
        <v>894</v>
      </c>
      <c r="B319" t="s">
        <v>22154</v>
      </c>
      <c r="C319" t="s">
        <v>22155</v>
      </c>
      <c r="D319" t="s">
        <v>101</v>
      </c>
      <c r="E319" t="s">
        <v>4</v>
      </c>
      <c r="F319" t="str">
        <f>VLOOKUP(A319,L_AIRPORT!A:B,2)</f>
        <v>Bend/Redmond, OR: Roberts Field</v>
      </c>
      <c r="G319">
        <v>44.254067220000003</v>
      </c>
      <c r="H319">
        <v>-121.1499633</v>
      </c>
      <c r="I319">
        <v>3080</v>
      </c>
      <c r="J319" t="s">
        <v>22410</v>
      </c>
      <c r="K319" t="s">
        <v>22413</v>
      </c>
    </row>
    <row r="320" spans="1:11" x14ac:dyDescent="0.25">
      <c r="A320" t="s">
        <v>119</v>
      </c>
      <c r="B320" t="s">
        <v>22156</v>
      </c>
      <c r="C320" t="s">
        <v>22157</v>
      </c>
      <c r="D320" t="s">
        <v>41</v>
      </c>
      <c r="E320" t="s">
        <v>4</v>
      </c>
      <c r="F320" t="str">
        <f>VLOOKUP(A320,L_AIRPORT!A:B,2)</f>
        <v>Raleigh/Durham, NC: Raleigh-Durham International</v>
      </c>
      <c r="G320">
        <v>35.87763889</v>
      </c>
      <c r="H320">
        <v>-78.787472219999998</v>
      </c>
      <c r="I320">
        <v>435</v>
      </c>
      <c r="J320" t="s">
        <v>22411</v>
      </c>
      <c r="K320" t="s">
        <v>22413</v>
      </c>
    </row>
    <row r="321" spans="1:11" x14ac:dyDescent="0.25">
      <c r="A321" t="s">
        <v>896</v>
      </c>
      <c r="B321" t="s">
        <v>22158</v>
      </c>
      <c r="C321" t="s">
        <v>22159</v>
      </c>
      <c r="D321" t="s">
        <v>96</v>
      </c>
      <c r="E321" t="s">
        <v>4</v>
      </c>
      <c r="F321" t="str">
        <f>VLOOKUP(A321,L_AIRPORT!A:B,2)</f>
        <v>Rockford, IL: Chicago/Rockford International</v>
      </c>
      <c r="G321">
        <v>42.195363890000003</v>
      </c>
      <c r="H321">
        <v>-89.097211110000003</v>
      </c>
      <c r="I321">
        <v>742</v>
      </c>
      <c r="J321" t="s">
        <v>22410</v>
      </c>
      <c r="K321" t="s">
        <v>22413</v>
      </c>
    </row>
    <row r="322" spans="1:11" x14ac:dyDescent="0.25">
      <c r="A322" t="s">
        <v>5655</v>
      </c>
      <c r="B322" t="s">
        <v>22160</v>
      </c>
      <c r="C322" t="s">
        <v>22161</v>
      </c>
      <c r="D322" t="s">
        <v>86</v>
      </c>
      <c r="E322" t="s">
        <v>4</v>
      </c>
      <c r="F322" t="str">
        <f>VLOOKUP(A322,L_AIRPORT!A:B,2)</f>
        <v>Rhinelander, WI: Rhinelander/Oneida County</v>
      </c>
      <c r="G322">
        <v>45.631193060000001</v>
      </c>
      <c r="H322">
        <v>-89.467453610000007</v>
      </c>
      <c r="I322">
        <v>1624</v>
      </c>
      <c r="J322" t="s">
        <v>22410</v>
      </c>
      <c r="K322" t="s">
        <v>22413</v>
      </c>
    </row>
    <row r="323" spans="1:11" x14ac:dyDescent="0.25">
      <c r="A323" t="s">
        <v>120</v>
      </c>
      <c r="B323" t="s">
        <v>22162</v>
      </c>
      <c r="C323" t="s">
        <v>22163</v>
      </c>
      <c r="D323" t="s">
        <v>46</v>
      </c>
      <c r="E323" t="s">
        <v>4</v>
      </c>
      <c r="F323" t="str">
        <f>VLOOKUP(A323,L_AIRPORT!A:B,2)</f>
        <v>Richmond, VA: Richmond International</v>
      </c>
      <c r="G323">
        <v>37.505166670000001</v>
      </c>
      <c r="H323">
        <v>-77.319666670000004</v>
      </c>
      <c r="I323">
        <v>167</v>
      </c>
      <c r="J323" t="s">
        <v>22411</v>
      </c>
      <c r="K323" t="s">
        <v>22413</v>
      </c>
    </row>
    <row r="324" spans="1:11" x14ac:dyDescent="0.25">
      <c r="A324" s="7" t="s">
        <v>2478</v>
      </c>
      <c r="B324" t="s">
        <v>22373</v>
      </c>
      <c r="C324" t="s">
        <v>22374</v>
      </c>
      <c r="D324" t="s">
        <v>21768</v>
      </c>
      <c r="E324" t="s">
        <v>4</v>
      </c>
      <c r="F324" t="str">
        <f>VLOOKUP(A324,L_AIRPORT!A:B,2)</f>
        <v>Riverton/Lander, WY: Riverton Regional</v>
      </c>
      <c r="G324">
        <v>43.064201355000002</v>
      </c>
      <c r="H324">
        <v>-108.459999084</v>
      </c>
      <c r="I324">
        <v>5525</v>
      </c>
      <c r="J324" t="s">
        <v>22410</v>
      </c>
      <c r="K324" t="s">
        <v>22413</v>
      </c>
    </row>
    <row r="325" spans="1:11" x14ac:dyDescent="0.25">
      <c r="A325" t="s">
        <v>2480</v>
      </c>
      <c r="B325" t="s">
        <v>22164</v>
      </c>
      <c r="C325" t="s">
        <v>22165</v>
      </c>
      <c r="D325" t="s">
        <v>21768</v>
      </c>
      <c r="E325" t="s">
        <v>4</v>
      </c>
      <c r="F325" t="str">
        <f>VLOOKUP(A325,L_AIRPORT!A:B,2)</f>
        <v>Rock Springs, WY: Southwest Wyoming Regional</v>
      </c>
      <c r="G325">
        <v>41.594217499999999</v>
      </c>
      <c r="H325">
        <v>-109.06519280000001</v>
      </c>
      <c r="I325">
        <v>6764</v>
      </c>
      <c r="J325" t="s">
        <v>22410</v>
      </c>
      <c r="K325" t="s">
        <v>22413</v>
      </c>
    </row>
    <row r="326" spans="1:11" x14ac:dyDescent="0.25">
      <c r="A326" t="s">
        <v>121</v>
      </c>
      <c r="B326" t="s">
        <v>22166</v>
      </c>
      <c r="C326" t="s">
        <v>22167</v>
      </c>
      <c r="D326" t="s">
        <v>72</v>
      </c>
      <c r="E326" t="s">
        <v>4</v>
      </c>
      <c r="F326" t="str">
        <f>VLOOKUP(A326,L_AIRPORT!A:B,2)</f>
        <v>Reno, NV: Reno/Tahoe International</v>
      </c>
      <c r="G326">
        <v>39.498576110000002</v>
      </c>
      <c r="H326">
        <v>-119.7680647</v>
      </c>
      <c r="I326">
        <v>4415</v>
      </c>
      <c r="J326" t="s">
        <v>22411</v>
      </c>
      <c r="K326" t="s">
        <v>22413</v>
      </c>
    </row>
    <row r="327" spans="1:11" x14ac:dyDescent="0.25">
      <c r="A327" t="s">
        <v>617</v>
      </c>
      <c r="B327" t="s">
        <v>22168</v>
      </c>
      <c r="C327" t="s">
        <v>22169</v>
      </c>
      <c r="D327" t="s">
        <v>46</v>
      </c>
      <c r="E327" t="s">
        <v>4</v>
      </c>
      <c r="F327" t="str">
        <f>VLOOKUP(A327,L_AIRPORT!A:B,2)</f>
        <v>Roanoke, VA: Roanoke Blacksburg Regional Woodrum Field</v>
      </c>
      <c r="G327">
        <v>37.32546833</v>
      </c>
      <c r="H327">
        <v>-79.97542833</v>
      </c>
      <c r="I327">
        <v>1175</v>
      </c>
      <c r="J327" t="s">
        <v>22410</v>
      </c>
      <c r="K327" t="s">
        <v>22413</v>
      </c>
    </row>
    <row r="328" spans="1:11" x14ac:dyDescent="0.25">
      <c r="A328" t="s">
        <v>122</v>
      </c>
      <c r="B328" t="s">
        <v>22170</v>
      </c>
      <c r="C328" t="s">
        <v>22171</v>
      </c>
      <c r="D328" t="s">
        <v>8</v>
      </c>
      <c r="E328" t="s">
        <v>4</v>
      </c>
      <c r="F328" t="str">
        <f>VLOOKUP(A328,L_AIRPORT!A:B,2)</f>
        <v>Rochester, NY: Greater Rochester International</v>
      </c>
      <c r="G328">
        <v>43.118866109999999</v>
      </c>
      <c r="H328">
        <v>-77.672383890000006</v>
      </c>
      <c r="I328">
        <v>559</v>
      </c>
      <c r="J328" t="s">
        <v>22410</v>
      </c>
      <c r="K328" t="s">
        <v>22413</v>
      </c>
    </row>
    <row r="329" spans="1:11" x14ac:dyDescent="0.25">
      <c r="A329" s="7" t="s">
        <v>3589</v>
      </c>
      <c r="B329" t="s">
        <v>22375</v>
      </c>
      <c r="C329" t="s">
        <v>22376</v>
      </c>
      <c r="D329" t="s">
        <v>22403</v>
      </c>
      <c r="E329" t="s">
        <v>22377</v>
      </c>
      <c r="F329" t="str">
        <f>VLOOKUP(A329,L_AIRPORT!A:B,2)</f>
        <v>Rota, TT: Benjamin Taisacan Manglona International</v>
      </c>
      <c r="G329">
        <v>14.174300000000001</v>
      </c>
      <c r="H329">
        <v>145.24299600000001</v>
      </c>
      <c r="I329">
        <v>607</v>
      </c>
      <c r="J329" t="s">
        <v>22410</v>
      </c>
      <c r="K329" t="s">
        <v>22413</v>
      </c>
    </row>
    <row r="330" spans="1:11" x14ac:dyDescent="0.25">
      <c r="A330" t="s">
        <v>2698</v>
      </c>
      <c r="B330" t="s">
        <v>22172</v>
      </c>
      <c r="C330" t="s">
        <v>22173</v>
      </c>
      <c r="D330" t="s">
        <v>3</v>
      </c>
      <c r="E330" t="s">
        <v>4</v>
      </c>
      <c r="F330" t="str">
        <f>VLOOKUP(A330,L_AIRPORT!A:B,2)</f>
        <v>Roswell, NM: Roswell International Air Center</v>
      </c>
      <c r="G330">
        <v>33.301555559999997</v>
      </c>
      <c r="H330">
        <v>-104.5305556</v>
      </c>
      <c r="I330">
        <v>3671</v>
      </c>
      <c r="J330" t="s">
        <v>22410</v>
      </c>
      <c r="K330" t="s">
        <v>22413</v>
      </c>
    </row>
    <row r="331" spans="1:11" x14ac:dyDescent="0.25">
      <c r="A331" t="s">
        <v>620</v>
      </c>
      <c r="B331" t="s">
        <v>22174</v>
      </c>
      <c r="C331" t="s">
        <v>22171</v>
      </c>
      <c r="D331" t="s">
        <v>88</v>
      </c>
      <c r="E331" t="s">
        <v>4</v>
      </c>
      <c r="F331" t="str">
        <f>VLOOKUP(A331,L_AIRPORT!A:B,2)</f>
        <v>Rochester, MN: Rochester International</v>
      </c>
      <c r="G331">
        <v>43.908826390000002</v>
      </c>
      <c r="H331">
        <v>-92.497987219999999</v>
      </c>
      <c r="I331">
        <v>1317</v>
      </c>
      <c r="J331" t="s">
        <v>22410</v>
      </c>
      <c r="K331" t="s">
        <v>22413</v>
      </c>
    </row>
    <row r="332" spans="1:11" x14ac:dyDescent="0.25">
      <c r="A332" t="s">
        <v>123</v>
      </c>
      <c r="B332" t="s">
        <v>22175</v>
      </c>
      <c r="C332" t="s">
        <v>22176</v>
      </c>
      <c r="D332" t="s">
        <v>55</v>
      </c>
      <c r="E332" t="s">
        <v>4</v>
      </c>
      <c r="F332" t="str">
        <f>VLOOKUP(A332,L_AIRPORT!A:B,2)</f>
        <v>Fort Myers, FL: Southwest Florida International</v>
      </c>
      <c r="G332">
        <v>26.53616667</v>
      </c>
      <c r="H332">
        <v>-81.755166669999994</v>
      </c>
      <c r="I332">
        <v>30</v>
      </c>
      <c r="J332" t="s">
        <v>22411</v>
      </c>
      <c r="K332" t="s">
        <v>22413</v>
      </c>
    </row>
    <row r="333" spans="1:11" x14ac:dyDescent="0.25">
      <c r="A333" t="s">
        <v>2486</v>
      </c>
      <c r="B333" t="s">
        <v>22177</v>
      </c>
      <c r="C333" t="s">
        <v>22178</v>
      </c>
      <c r="D333" t="s">
        <v>3</v>
      </c>
      <c r="E333" t="s">
        <v>4</v>
      </c>
      <c r="F333" t="str">
        <f>VLOOKUP(A333,L_AIRPORT!A:B,2)</f>
        <v>Santa Fe, NM: Santa Fe Municipal</v>
      </c>
      <c r="G333">
        <v>35.61677778</v>
      </c>
      <c r="H333">
        <v>-106.0881389</v>
      </c>
      <c r="I333">
        <v>6348</v>
      </c>
      <c r="J333" t="s">
        <v>22410</v>
      </c>
      <c r="K333" t="s">
        <v>22413</v>
      </c>
    </row>
    <row r="334" spans="1:11" x14ac:dyDescent="0.25">
      <c r="A334" t="s">
        <v>124</v>
      </c>
      <c r="B334" t="s">
        <v>22179</v>
      </c>
      <c r="C334" t="s">
        <v>22180</v>
      </c>
      <c r="D334" t="s">
        <v>31</v>
      </c>
      <c r="E334" t="s">
        <v>4</v>
      </c>
      <c r="F334" t="str">
        <f>VLOOKUP(A334,L_AIRPORT!A:B,2)</f>
        <v>San Diego, CA: San Diego International</v>
      </c>
      <c r="G334">
        <v>32.733556110000002</v>
      </c>
      <c r="H334">
        <v>-117.1896567</v>
      </c>
      <c r="I334">
        <v>17</v>
      </c>
      <c r="J334" t="s">
        <v>22411</v>
      </c>
      <c r="K334" t="s">
        <v>22413</v>
      </c>
    </row>
    <row r="335" spans="1:11" x14ac:dyDescent="0.25">
      <c r="A335" t="s">
        <v>125</v>
      </c>
      <c r="B335" t="s">
        <v>22181</v>
      </c>
      <c r="C335" t="s">
        <v>22182</v>
      </c>
      <c r="D335" t="s">
        <v>14</v>
      </c>
      <c r="E335" t="s">
        <v>4</v>
      </c>
      <c r="F335" t="str">
        <f>VLOOKUP(A335,L_AIRPORT!A:B,2)</f>
        <v>San Antonio, TX: San Antonio International</v>
      </c>
      <c r="G335">
        <v>29.533694440000001</v>
      </c>
      <c r="H335">
        <v>-98.469777780000001</v>
      </c>
      <c r="I335">
        <v>809</v>
      </c>
      <c r="J335" t="s">
        <v>22411</v>
      </c>
      <c r="K335" t="s">
        <v>22413</v>
      </c>
    </row>
    <row r="336" spans="1:11" x14ac:dyDescent="0.25">
      <c r="A336" t="s">
        <v>126</v>
      </c>
      <c r="B336" t="s">
        <v>22183</v>
      </c>
      <c r="C336" t="s">
        <v>22184</v>
      </c>
      <c r="D336" t="s">
        <v>11</v>
      </c>
      <c r="E336" t="s">
        <v>4</v>
      </c>
      <c r="F336" t="str">
        <f>VLOOKUP(A336,L_AIRPORT!A:B,2)</f>
        <v>Savannah, GA: Savannah/Hilton Head International</v>
      </c>
      <c r="G336">
        <v>32.12758333</v>
      </c>
      <c r="H336">
        <v>-81.202138890000001</v>
      </c>
      <c r="I336">
        <v>50</v>
      </c>
      <c r="J336" t="s">
        <v>22411</v>
      </c>
      <c r="K336" t="s">
        <v>22413</v>
      </c>
    </row>
    <row r="337" spans="1:11" x14ac:dyDescent="0.25">
      <c r="A337" t="s">
        <v>967</v>
      </c>
      <c r="B337" t="s">
        <v>22185</v>
      </c>
      <c r="C337" t="s">
        <v>22186</v>
      </c>
      <c r="D337" t="s">
        <v>31</v>
      </c>
      <c r="E337" t="s">
        <v>4</v>
      </c>
      <c r="F337" t="str">
        <f>VLOOKUP(A337,L_AIRPORT!A:B,2)</f>
        <v>Santa Barbara, CA: Santa Barbara Municipal</v>
      </c>
      <c r="G337">
        <v>34.426211940000002</v>
      </c>
      <c r="H337">
        <v>-119.8403733</v>
      </c>
      <c r="I337">
        <v>13</v>
      </c>
      <c r="J337" t="s">
        <v>22410</v>
      </c>
      <c r="K337" t="s">
        <v>22413</v>
      </c>
    </row>
    <row r="338" spans="1:11" x14ac:dyDescent="0.25">
      <c r="A338" t="s">
        <v>626</v>
      </c>
      <c r="B338" t="s">
        <v>22187</v>
      </c>
      <c r="C338" t="s">
        <v>22188</v>
      </c>
      <c r="D338" t="s">
        <v>21834</v>
      </c>
      <c r="E338" t="s">
        <v>4</v>
      </c>
      <c r="F338" t="str">
        <f>VLOOKUP(A338,L_AIRPORT!A:B,2)</f>
        <v>South Bend, IN: South Bend International</v>
      </c>
      <c r="G338">
        <v>41.708953610000002</v>
      </c>
      <c r="H338">
        <v>-86.318474170000002</v>
      </c>
      <c r="I338">
        <v>799</v>
      </c>
      <c r="J338" t="s">
        <v>22410</v>
      </c>
      <c r="K338" t="s">
        <v>22413</v>
      </c>
    </row>
    <row r="339" spans="1:11" x14ac:dyDescent="0.25">
      <c r="A339" t="s">
        <v>2493</v>
      </c>
      <c r="B339" t="s">
        <v>22189</v>
      </c>
      <c r="C339" t="s">
        <v>22190</v>
      </c>
      <c r="D339" t="s">
        <v>31</v>
      </c>
      <c r="E339" t="s">
        <v>4</v>
      </c>
      <c r="F339" t="str">
        <f>VLOOKUP(A339,L_AIRPORT!A:B,2)</f>
        <v>San Luis Obispo, CA: San Luis County Regional</v>
      </c>
      <c r="G339">
        <v>35.237058060000003</v>
      </c>
      <c r="H339">
        <v>-120.64239310000001</v>
      </c>
      <c r="I339">
        <v>212</v>
      </c>
      <c r="J339" t="s">
        <v>22410</v>
      </c>
      <c r="K339" t="s">
        <v>22413</v>
      </c>
    </row>
    <row r="340" spans="1:11" x14ac:dyDescent="0.25">
      <c r="A340" s="7" t="s">
        <v>1863</v>
      </c>
      <c r="B340" t="s">
        <v>22378</v>
      </c>
      <c r="C340" t="s">
        <v>22379</v>
      </c>
      <c r="D340" t="s">
        <v>33</v>
      </c>
      <c r="E340" t="s">
        <v>4</v>
      </c>
      <c r="F340" t="str">
        <f>VLOOKUP(A340,L_AIRPORT!A:B,2)</f>
        <v>Salisbury, MD: Salisbury-Ocean City/Wicomico Regional</v>
      </c>
      <c r="G340">
        <v>38.340499877929602</v>
      </c>
      <c r="H340">
        <v>-75.510299682617102</v>
      </c>
      <c r="I340">
        <v>52</v>
      </c>
      <c r="J340" t="s">
        <v>22410</v>
      </c>
      <c r="K340" t="s">
        <v>22413</v>
      </c>
    </row>
    <row r="341" spans="1:11" x14ac:dyDescent="0.25">
      <c r="A341" t="s">
        <v>380</v>
      </c>
      <c r="B341" t="s">
        <v>22191</v>
      </c>
      <c r="C341" t="s">
        <v>22191</v>
      </c>
      <c r="D341" t="s">
        <v>21639</v>
      </c>
      <c r="E341" t="s">
        <v>4</v>
      </c>
      <c r="F341" t="str">
        <f>VLOOKUP(A341,L_AIRPORT!A:B,2)</f>
        <v>Deadhorse, AK: Deadhorse Airport</v>
      </c>
      <c r="G341">
        <v>70.194755830000005</v>
      </c>
      <c r="H341">
        <v>-148.46516080000001</v>
      </c>
      <c r="I341">
        <v>65</v>
      </c>
      <c r="J341" t="s">
        <v>22410</v>
      </c>
      <c r="K341" t="s">
        <v>22413</v>
      </c>
    </row>
    <row r="342" spans="1:11" x14ac:dyDescent="0.25">
      <c r="A342" t="s">
        <v>628</v>
      </c>
      <c r="B342" t="s">
        <v>22192</v>
      </c>
      <c r="C342" t="s">
        <v>21751</v>
      </c>
      <c r="D342" t="s">
        <v>21751</v>
      </c>
      <c r="E342" t="s">
        <v>4</v>
      </c>
      <c r="F342" t="str">
        <f>VLOOKUP(A342,L_AIRPORT!A:B,2)</f>
        <v>State College, PA: University Park</v>
      </c>
      <c r="G342">
        <v>40.851205999999998</v>
      </c>
      <c r="H342">
        <v>-77.846301999999994</v>
      </c>
      <c r="I342">
        <v>1239</v>
      </c>
      <c r="J342" t="s">
        <v>22410</v>
      </c>
      <c r="K342" t="s">
        <v>22413</v>
      </c>
    </row>
    <row r="343" spans="1:11" x14ac:dyDescent="0.25">
      <c r="A343" s="7" t="s">
        <v>900</v>
      </c>
      <c r="B343" t="s">
        <v>22380</v>
      </c>
      <c r="C343" t="s">
        <v>22381</v>
      </c>
      <c r="D343" t="s">
        <v>31</v>
      </c>
      <c r="E343" t="s">
        <v>4</v>
      </c>
      <c r="F343" t="str">
        <f>VLOOKUP(A343,L_AIRPORT!A:B,2)</f>
        <v>Stockton, CA: Stockton Metropolitan</v>
      </c>
      <c r="G343">
        <v>37.894199371337997</v>
      </c>
      <c r="H343">
        <v>-121.2379989624</v>
      </c>
      <c r="I343">
        <v>33</v>
      </c>
      <c r="J343" t="s">
        <v>22410</v>
      </c>
      <c r="K343" t="s">
        <v>22413</v>
      </c>
    </row>
    <row r="344" spans="1:11" x14ac:dyDescent="0.25">
      <c r="A344" t="s">
        <v>630</v>
      </c>
      <c r="B344" t="s">
        <v>22193</v>
      </c>
      <c r="C344" t="s">
        <v>22194</v>
      </c>
      <c r="D344" t="s">
        <v>21781</v>
      </c>
      <c r="E344" t="s">
        <v>4</v>
      </c>
      <c r="F344" t="str">
        <f>VLOOKUP(A344,L_AIRPORT!A:B,2)</f>
        <v>Louisville, KY: Louisville Muhammad Ali International</v>
      </c>
      <c r="G344">
        <v>38.174388890000003</v>
      </c>
      <c r="H344">
        <v>-85.736000000000004</v>
      </c>
      <c r="I344">
        <v>501</v>
      </c>
      <c r="J344" t="s">
        <v>22411</v>
      </c>
      <c r="K344" t="s">
        <v>22413</v>
      </c>
    </row>
    <row r="345" spans="1:11" x14ac:dyDescent="0.25">
      <c r="A345" t="s">
        <v>128</v>
      </c>
      <c r="B345" t="s">
        <v>22195</v>
      </c>
      <c r="C345" t="s">
        <v>22196</v>
      </c>
      <c r="D345" t="s">
        <v>129</v>
      </c>
      <c r="E345" t="s">
        <v>4</v>
      </c>
      <c r="F345" t="str">
        <f>VLOOKUP(A345,L_AIRPORT!A:B,2)</f>
        <v>Seattle, WA: Seattle/Tacoma International</v>
      </c>
      <c r="G345">
        <v>47.448981940000003</v>
      </c>
      <c r="H345">
        <v>-122.3093131</v>
      </c>
      <c r="I345">
        <v>433</v>
      </c>
      <c r="J345" t="s">
        <v>22411</v>
      </c>
      <c r="K345" t="s">
        <v>22413</v>
      </c>
    </row>
    <row r="346" spans="1:11" x14ac:dyDescent="0.25">
      <c r="A346" t="s">
        <v>191</v>
      </c>
      <c r="B346" t="s">
        <v>22308</v>
      </c>
      <c r="C346" t="s">
        <v>22027</v>
      </c>
      <c r="D346" t="s">
        <v>55</v>
      </c>
      <c r="E346" t="s">
        <v>4</v>
      </c>
      <c r="F346" t="str">
        <f>VLOOKUP(A346,L_AIRPORT!A:B,2)</f>
        <v>Sanford, FL: Orlando Sanford International</v>
      </c>
      <c r="G346">
        <v>28.7776</v>
      </c>
      <c r="H346">
        <v>-81.237499999999997</v>
      </c>
      <c r="I346">
        <v>55</v>
      </c>
      <c r="J346" t="s">
        <v>22411</v>
      </c>
      <c r="K346" t="s">
        <v>22413</v>
      </c>
    </row>
    <row r="347" spans="1:11" x14ac:dyDescent="0.25">
      <c r="A347" t="s">
        <v>130</v>
      </c>
      <c r="B347" t="s">
        <v>22197</v>
      </c>
      <c r="C347" t="s">
        <v>22198</v>
      </c>
      <c r="D347" t="s">
        <v>31</v>
      </c>
      <c r="E347" t="s">
        <v>4</v>
      </c>
      <c r="F347" t="str">
        <f>VLOOKUP(A347,L_AIRPORT!A:B,2)</f>
        <v>San Francisco, CA: San Francisco International</v>
      </c>
      <c r="G347">
        <v>37.619001939999997</v>
      </c>
      <c r="H347">
        <v>-122.37484329999999</v>
      </c>
      <c r="I347">
        <v>13</v>
      </c>
      <c r="J347" t="s">
        <v>22411</v>
      </c>
      <c r="K347" t="s">
        <v>22413</v>
      </c>
    </row>
    <row r="348" spans="1:11" x14ac:dyDescent="0.25">
      <c r="A348" t="s">
        <v>634</v>
      </c>
      <c r="B348" t="s">
        <v>22199</v>
      </c>
      <c r="C348" t="s">
        <v>22200</v>
      </c>
      <c r="D348" t="s">
        <v>81</v>
      </c>
      <c r="E348" t="s">
        <v>4</v>
      </c>
      <c r="F348" t="str">
        <f>VLOOKUP(A348,L_AIRPORT!A:B,2)</f>
        <v>Springfield, MO: Springfield-Branson National</v>
      </c>
      <c r="G348">
        <v>37.244326110000003</v>
      </c>
      <c r="H348">
        <v>-93.386858059999994</v>
      </c>
      <c r="I348">
        <v>1268</v>
      </c>
      <c r="J348" t="s">
        <v>22410</v>
      </c>
      <c r="K348" t="s">
        <v>22413</v>
      </c>
    </row>
    <row r="349" spans="1:11" x14ac:dyDescent="0.25">
      <c r="A349" t="s">
        <v>904</v>
      </c>
      <c r="B349" t="s">
        <v>22201</v>
      </c>
      <c r="C349" t="s">
        <v>22202</v>
      </c>
      <c r="D349" t="s">
        <v>136</v>
      </c>
      <c r="E349" t="s">
        <v>4</v>
      </c>
      <c r="F349" t="str">
        <f>VLOOKUP(A349,L_AIRPORT!A:B,2)</f>
        <v>St. George, UT: St George Regional</v>
      </c>
      <c r="G349">
        <v>37.090583330000001</v>
      </c>
      <c r="H349">
        <v>-113.5930556</v>
      </c>
      <c r="I349">
        <v>2941</v>
      </c>
      <c r="J349" t="s">
        <v>22410</v>
      </c>
      <c r="K349" t="s">
        <v>22413</v>
      </c>
    </row>
    <row r="350" spans="1:11" x14ac:dyDescent="0.25">
      <c r="A350" t="s">
        <v>3916</v>
      </c>
      <c r="B350" t="s">
        <v>22203</v>
      </c>
      <c r="C350" t="s">
        <v>22204</v>
      </c>
      <c r="D350" t="s">
        <v>46</v>
      </c>
      <c r="E350" t="s">
        <v>4</v>
      </c>
      <c r="F350" t="str">
        <f>VLOOKUP(A350,L_AIRPORT!A:B,2)</f>
        <v>Staunton, VA: Shenandoah Valley Regional</v>
      </c>
      <c r="G350">
        <v>38.26384333</v>
      </c>
      <c r="H350">
        <v>-78.896438059999994</v>
      </c>
      <c r="I350">
        <v>1201</v>
      </c>
      <c r="J350" t="s">
        <v>22410</v>
      </c>
      <c r="K350" t="s">
        <v>22413</v>
      </c>
    </row>
    <row r="351" spans="1:11" x14ac:dyDescent="0.25">
      <c r="A351" s="7" t="s">
        <v>2500</v>
      </c>
      <c r="B351" t="s">
        <v>22382</v>
      </c>
      <c r="C351" t="s">
        <v>22383</v>
      </c>
      <c r="D351" t="s">
        <v>21768</v>
      </c>
      <c r="E351" t="s">
        <v>4</v>
      </c>
      <c r="F351" t="str">
        <f>VLOOKUP(A351,L_AIRPORT!A:B,2)</f>
        <v>Sheridan, WY: Sheridan County</v>
      </c>
      <c r="G351">
        <v>44.769199371337798</v>
      </c>
      <c r="H351">
        <v>-106.980003356933</v>
      </c>
      <c r="I351">
        <v>4021</v>
      </c>
      <c r="J351" t="s">
        <v>22410</v>
      </c>
      <c r="K351" t="s">
        <v>22413</v>
      </c>
    </row>
    <row r="352" spans="1:11" x14ac:dyDescent="0.25">
      <c r="A352" t="s">
        <v>636</v>
      </c>
      <c r="B352" t="s">
        <v>22205</v>
      </c>
      <c r="C352" t="s">
        <v>22206</v>
      </c>
      <c r="D352" t="s">
        <v>90</v>
      </c>
      <c r="E352" t="s">
        <v>4</v>
      </c>
      <c r="F352" t="str">
        <f>VLOOKUP(A352,L_AIRPORT!A:B,2)</f>
        <v>Shreveport, LA: Shreveport Regional</v>
      </c>
      <c r="G352">
        <v>32.446627499999998</v>
      </c>
      <c r="H352">
        <v>-93.825598330000005</v>
      </c>
      <c r="I352">
        <v>258</v>
      </c>
      <c r="J352" t="s">
        <v>22410</v>
      </c>
      <c r="K352" t="s">
        <v>22413</v>
      </c>
    </row>
    <row r="353" spans="1:11" x14ac:dyDescent="0.25">
      <c r="A353" t="s">
        <v>4390</v>
      </c>
      <c r="B353" t="s">
        <v>22207</v>
      </c>
      <c r="C353" t="s">
        <v>22207</v>
      </c>
      <c r="D353" t="s">
        <v>21639</v>
      </c>
      <c r="E353" t="s">
        <v>4</v>
      </c>
      <c r="F353" t="str">
        <f>VLOOKUP(A353,L_AIRPORT!A:B,2)</f>
        <v>Sitka, AK: Sitka Rocky Gutierrez</v>
      </c>
      <c r="G353">
        <v>57.047138060000002</v>
      </c>
      <c r="H353">
        <v>-135.3615983</v>
      </c>
      <c r="I353">
        <v>21</v>
      </c>
      <c r="J353" t="s">
        <v>22410</v>
      </c>
      <c r="K353" t="s">
        <v>22413</v>
      </c>
    </row>
    <row r="354" spans="1:11" x14ac:dyDescent="0.25">
      <c r="A354" t="s">
        <v>131</v>
      </c>
      <c r="B354" t="s">
        <v>22208</v>
      </c>
      <c r="C354" t="s">
        <v>22209</v>
      </c>
      <c r="D354" t="s">
        <v>31</v>
      </c>
      <c r="E354" t="s">
        <v>4</v>
      </c>
      <c r="F354" t="str">
        <f>VLOOKUP(A354,L_AIRPORT!A:B,2)</f>
        <v>San Jose, CA: Norman Y. Mineta San Jose International</v>
      </c>
      <c r="G354">
        <v>37.361861939999997</v>
      </c>
      <c r="H354">
        <v>-121.9290089</v>
      </c>
      <c r="I354">
        <v>62</v>
      </c>
      <c r="J354" t="s">
        <v>22411</v>
      </c>
      <c r="K354" t="s">
        <v>22413</v>
      </c>
    </row>
    <row r="355" spans="1:11" x14ac:dyDescent="0.25">
      <c r="A355" t="s">
        <v>2715</v>
      </c>
      <c r="B355" t="s">
        <v>22210</v>
      </c>
      <c r="C355" t="s">
        <v>22211</v>
      </c>
      <c r="D355" t="s">
        <v>14</v>
      </c>
      <c r="E355" t="s">
        <v>4</v>
      </c>
      <c r="F355" t="str">
        <f>VLOOKUP(A355,L_AIRPORT!A:B,2)</f>
        <v>San Angelo, TX: San Angelo Regional/Mathis Field</v>
      </c>
      <c r="G355">
        <v>31.357749999999999</v>
      </c>
      <c r="H355">
        <v>-100.4963056</v>
      </c>
      <c r="I355">
        <v>1919</v>
      </c>
      <c r="J355" t="s">
        <v>22410</v>
      </c>
      <c r="K355" t="s">
        <v>22413</v>
      </c>
    </row>
    <row r="356" spans="1:11" x14ac:dyDescent="0.25">
      <c r="A356" s="8" t="s">
        <v>134</v>
      </c>
      <c r="B356" t="s">
        <v>22212</v>
      </c>
      <c r="C356" t="s">
        <v>22213</v>
      </c>
      <c r="D356" t="s">
        <v>26</v>
      </c>
      <c r="E356" t="s">
        <v>4</v>
      </c>
      <c r="F356" t="str">
        <f>VLOOKUP(A356,L_AIRPORT!A:B,2)</f>
        <v>San Juan, PR: Luis Munoz Marin International</v>
      </c>
      <c r="G356">
        <v>18.43941667</v>
      </c>
      <c r="H356">
        <v>-66.001833329999997</v>
      </c>
      <c r="I356">
        <v>9</v>
      </c>
      <c r="J356" t="s">
        <v>22411</v>
      </c>
      <c r="K356" t="s">
        <v>22413</v>
      </c>
    </row>
    <row r="357" spans="1:11" x14ac:dyDescent="0.25">
      <c r="A357" s="8" t="s">
        <v>135</v>
      </c>
      <c r="B357" t="s">
        <v>22214</v>
      </c>
      <c r="C357" t="s">
        <v>22215</v>
      </c>
      <c r="D357" t="s">
        <v>136</v>
      </c>
      <c r="E357" t="s">
        <v>4</v>
      </c>
      <c r="F357" t="str">
        <f>VLOOKUP(A357,L_AIRPORT!A:B,2)</f>
        <v>Salt Lake City, UT: Salt Lake City International</v>
      </c>
      <c r="G357">
        <v>40.788387780000001</v>
      </c>
      <c r="H357">
        <v>-111.97777309999999</v>
      </c>
      <c r="I357">
        <v>4227</v>
      </c>
      <c r="J357" t="s">
        <v>22411</v>
      </c>
      <c r="K357" t="s">
        <v>22413</v>
      </c>
    </row>
    <row r="358" spans="1:11" x14ac:dyDescent="0.25">
      <c r="A358" s="6" t="s">
        <v>2505</v>
      </c>
      <c r="B358" t="s">
        <v>22384</v>
      </c>
      <c r="C358" t="s">
        <v>22385</v>
      </c>
      <c r="D358" t="s">
        <v>21861</v>
      </c>
      <c r="E358" t="s">
        <v>4</v>
      </c>
      <c r="F358" t="str">
        <f>VLOOKUP(A358,L_AIRPORT!A:B,2)</f>
        <v>Salina, KS: Salina Regional</v>
      </c>
      <c r="G358">
        <v>38.791000366210902</v>
      </c>
      <c r="H358">
        <v>-97.652198791503906</v>
      </c>
      <c r="I358">
        <v>1288</v>
      </c>
      <c r="J358" t="s">
        <v>22410</v>
      </c>
      <c r="K358" t="s">
        <v>22413</v>
      </c>
    </row>
    <row r="359" spans="1:11" x14ac:dyDescent="0.25">
      <c r="A359" s="8" t="s">
        <v>137</v>
      </c>
      <c r="B359" t="s">
        <v>22216</v>
      </c>
      <c r="C359" t="s">
        <v>22217</v>
      </c>
      <c r="D359" t="s">
        <v>31</v>
      </c>
      <c r="E359" t="s">
        <v>4</v>
      </c>
      <c r="F359" t="str">
        <f>VLOOKUP(A359,L_AIRPORT!A:B,2)</f>
        <v>Sacramento, CA: Sacramento International</v>
      </c>
      <c r="G359">
        <v>38.695421670000002</v>
      </c>
      <c r="H359">
        <v>-121.59076690000001</v>
      </c>
      <c r="I359">
        <v>27</v>
      </c>
      <c r="J359" t="s">
        <v>22411</v>
      </c>
      <c r="K359" t="s">
        <v>22413</v>
      </c>
    </row>
    <row r="360" spans="1:11" x14ac:dyDescent="0.25">
      <c r="A360" s="8" t="s">
        <v>906</v>
      </c>
      <c r="B360" t="s">
        <v>22218</v>
      </c>
      <c r="C360" t="s">
        <v>22219</v>
      </c>
      <c r="D360" t="s">
        <v>31</v>
      </c>
      <c r="E360" t="s">
        <v>4</v>
      </c>
      <c r="F360" t="str">
        <f>VLOOKUP(A360,L_AIRPORT!A:B,2)</f>
        <v>Santa Maria, CA: Santa Maria Public/Capt. G. Allan Hancock Field</v>
      </c>
      <c r="G360">
        <v>34.899248329999999</v>
      </c>
      <c r="H360">
        <v>-120.4575825</v>
      </c>
      <c r="I360">
        <v>261</v>
      </c>
      <c r="J360" t="s">
        <v>22410</v>
      </c>
      <c r="K360" t="s">
        <v>22413</v>
      </c>
    </row>
    <row r="361" spans="1:11" x14ac:dyDescent="0.25">
      <c r="A361" s="8" t="s">
        <v>227</v>
      </c>
      <c r="B361" t="s">
        <v>22220</v>
      </c>
      <c r="C361" t="s">
        <v>22221</v>
      </c>
      <c r="D361" t="s">
        <v>31</v>
      </c>
      <c r="E361" t="s">
        <v>4</v>
      </c>
      <c r="F361" t="str">
        <f>VLOOKUP(A361,L_AIRPORT!A:B,2)</f>
        <v>Santa Ana, CA: John Wayne Airport-Orange County</v>
      </c>
      <c r="G361">
        <v>33.675658609999999</v>
      </c>
      <c r="H361">
        <v>-117.8682225</v>
      </c>
      <c r="I361">
        <v>56</v>
      </c>
      <c r="J361" t="s">
        <v>22411</v>
      </c>
      <c r="K361" t="s">
        <v>22413</v>
      </c>
    </row>
    <row r="362" spans="1:11" x14ac:dyDescent="0.25">
      <c r="A362" s="8" t="s">
        <v>909</v>
      </c>
      <c r="B362" t="s">
        <v>22222</v>
      </c>
      <c r="C362" t="s">
        <v>22200</v>
      </c>
      <c r="D362" t="s">
        <v>96</v>
      </c>
      <c r="E362" t="s">
        <v>4</v>
      </c>
      <c r="F362" t="str">
        <f>VLOOKUP(A362,L_AIRPORT!A:B,2)</f>
        <v>Springfield, IL: Abraham Lincoln Capital</v>
      </c>
      <c r="G362">
        <v>39.843951939999997</v>
      </c>
      <c r="H362">
        <v>-89.677618609999996</v>
      </c>
      <c r="I362">
        <v>598</v>
      </c>
      <c r="J362" t="s">
        <v>22410</v>
      </c>
      <c r="K362" t="s">
        <v>22413</v>
      </c>
    </row>
    <row r="363" spans="1:11" x14ac:dyDescent="0.25">
      <c r="A363" s="8" t="s">
        <v>3592</v>
      </c>
      <c r="B363" t="s">
        <v>22223</v>
      </c>
      <c r="C363" t="s">
        <v>21751</v>
      </c>
      <c r="D363" t="s">
        <v>21751</v>
      </c>
      <c r="E363" t="s">
        <v>22224</v>
      </c>
      <c r="F363" t="str">
        <f>VLOOKUP(A363,L_AIRPORT!A:B,2)</f>
        <v>Saipan, TT: Francisco C. Ada Saipan International</v>
      </c>
      <c r="G363">
        <v>14.996111000000001</v>
      </c>
      <c r="H363">
        <v>145.62138400000001</v>
      </c>
      <c r="I363">
        <v>215</v>
      </c>
      <c r="J363" t="s">
        <v>22410</v>
      </c>
      <c r="K363" t="s">
        <v>22413</v>
      </c>
    </row>
    <row r="364" spans="1:11" x14ac:dyDescent="0.25">
      <c r="A364" s="8" t="s">
        <v>2722</v>
      </c>
      <c r="B364" t="s">
        <v>22225</v>
      </c>
      <c r="C364" t="s">
        <v>22226</v>
      </c>
      <c r="D364" t="s">
        <v>14</v>
      </c>
      <c r="E364" t="s">
        <v>4</v>
      </c>
      <c r="F364" t="str">
        <f>VLOOKUP(A364,L_AIRPORT!A:B,2)</f>
        <v>Wichita Falls, TX: Sheppard AFB/Wichita Falls Municipal</v>
      </c>
      <c r="G364">
        <v>33.988796110000003</v>
      </c>
      <c r="H364">
        <v>-98.491893329999996</v>
      </c>
      <c r="I364">
        <v>1019</v>
      </c>
      <c r="J364" t="s">
        <v>22410</v>
      </c>
      <c r="K364" t="s">
        <v>22413</v>
      </c>
    </row>
    <row r="365" spans="1:11" x14ac:dyDescent="0.25">
      <c r="A365" s="8" t="s">
        <v>138</v>
      </c>
      <c r="B365" t="s">
        <v>22227</v>
      </c>
      <c r="C365" t="s">
        <v>22228</v>
      </c>
      <c r="D365" t="s">
        <v>55</v>
      </c>
      <c r="E365" t="s">
        <v>4</v>
      </c>
      <c r="F365" t="str">
        <f>VLOOKUP(A365,L_AIRPORT!A:B,2)</f>
        <v>Sarasota/Bradenton, FL: Sarasota/Bradenton International</v>
      </c>
      <c r="G365">
        <v>27.39533333</v>
      </c>
      <c r="H365">
        <v>-82.554111109999994</v>
      </c>
      <c r="I365">
        <v>30</v>
      </c>
      <c r="J365" t="s">
        <v>22410</v>
      </c>
      <c r="K365" t="s">
        <v>22413</v>
      </c>
    </row>
    <row r="366" spans="1:11" x14ac:dyDescent="0.25">
      <c r="A366" s="8" t="s">
        <v>911</v>
      </c>
      <c r="B366" t="s">
        <v>22229</v>
      </c>
      <c r="C366" t="s">
        <v>22230</v>
      </c>
      <c r="D366" t="s">
        <v>88</v>
      </c>
      <c r="E366" t="s">
        <v>4</v>
      </c>
      <c r="F366" t="str">
        <f>VLOOKUP(A366,L_AIRPORT!A:B,2)</f>
        <v>St. Cloud, MN: St. Cloud Regional</v>
      </c>
      <c r="G366">
        <v>45.545324170000001</v>
      </c>
      <c r="H366">
        <v>-94.058336670000003</v>
      </c>
      <c r="I366">
        <v>1031</v>
      </c>
      <c r="J366" t="s">
        <v>22410</v>
      </c>
      <c r="K366" t="s">
        <v>22413</v>
      </c>
    </row>
    <row r="367" spans="1:11" x14ac:dyDescent="0.25">
      <c r="A367" s="8" t="s">
        <v>644</v>
      </c>
      <c r="B367" t="s">
        <v>22231</v>
      </c>
      <c r="C367" t="s">
        <v>22232</v>
      </c>
      <c r="D367" t="s">
        <v>81</v>
      </c>
      <c r="E367" t="s">
        <v>4</v>
      </c>
      <c r="F367" t="str">
        <f>VLOOKUP(A367,L_AIRPORT!A:B,2)</f>
        <v>St. Louis, MO: St Louis Lambert International</v>
      </c>
      <c r="G367">
        <v>38.747686940000001</v>
      </c>
      <c r="H367">
        <v>-90.359989720000002</v>
      </c>
      <c r="I367">
        <v>618</v>
      </c>
      <c r="J367" t="s">
        <v>22411</v>
      </c>
      <c r="K367" t="s">
        <v>22413</v>
      </c>
    </row>
    <row r="368" spans="1:11" x14ac:dyDescent="0.25">
      <c r="A368" s="6" t="s">
        <v>1413</v>
      </c>
      <c r="B368" t="s">
        <v>22386</v>
      </c>
      <c r="C368" t="s">
        <v>22387</v>
      </c>
      <c r="D368" t="s">
        <v>31</v>
      </c>
      <c r="E368" t="s">
        <v>4</v>
      </c>
      <c r="F368" t="str">
        <f>VLOOKUP(A368,L_AIRPORT!A:B,2)</f>
        <v>Santa Rosa, CA: Charles M. Schulz - Sonoma County</v>
      </c>
      <c r="G368">
        <v>38.508998869999999</v>
      </c>
      <c r="H368">
        <v>-122.81300349999999</v>
      </c>
      <c r="I368">
        <v>128</v>
      </c>
      <c r="J368" t="s">
        <v>22410</v>
      </c>
      <c r="K368" t="s">
        <v>22413</v>
      </c>
    </row>
    <row r="369" spans="1:11" x14ac:dyDescent="0.25">
      <c r="A369" s="8" t="s">
        <v>140</v>
      </c>
      <c r="B369" t="s">
        <v>22233</v>
      </c>
      <c r="C369" t="s">
        <v>22234</v>
      </c>
      <c r="D369" t="s">
        <v>141</v>
      </c>
      <c r="E369" t="s">
        <v>4</v>
      </c>
      <c r="F369" t="str">
        <f>VLOOKUP(A369,L_AIRPORT!A:B,2)</f>
        <v>Charlotte Amalie, VI: Cyril E King</v>
      </c>
      <c r="G369">
        <v>18.337305560000001</v>
      </c>
      <c r="H369">
        <v>-64.973361109999999</v>
      </c>
      <c r="I369">
        <v>23</v>
      </c>
      <c r="J369" t="s">
        <v>22410</v>
      </c>
      <c r="K369" t="s">
        <v>22413</v>
      </c>
    </row>
    <row r="370" spans="1:11" x14ac:dyDescent="0.25">
      <c r="A370" s="8" t="s">
        <v>647</v>
      </c>
      <c r="B370" t="s">
        <v>22235</v>
      </c>
      <c r="C370" t="s">
        <v>22236</v>
      </c>
      <c r="D370" t="s">
        <v>141</v>
      </c>
      <c r="E370" t="s">
        <v>4</v>
      </c>
      <c r="F370" t="str">
        <f>VLOOKUP(A370,L_AIRPORT!A:B,2)</f>
        <v>Christiansted, VI: Henry E. Rohlsen</v>
      </c>
      <c r="G370">
        <v>17.701888889999999</v>
      </c>
      <c r="H370">
        <v>-64.798555559999997</v>
      </c>
      <c r="I370">
        <v>74</v>
      </c>
      <c r="J370" t="s">
        <v>22410</v>
      </c>
      <c r="K370" t="s">
        <v>22413</v>
      </c>
    </row>
    <row r="371" spans="1:11" x14ac:dyDescent="0.25">
      <c r="A371" s="8" t="s">
        <v>2512</v>
      </c>
      <c r="B371" t="s">
        <v>22237</v>
      </c>
      <c r="C371" t="s">
        <v>22238</v>
      </c>
      <c r="D371" t="s">
        <v>23</v>
      </c>
      <c r="E371" t="s">
        <v>4</v>
      </c>
      <c r="F371" t="str">
        <f>VLOOKUP(A371,L_AIRPORT!A:B,2)</f>
        <v>Sun Valley/Hailey/Ketchum, ID: Friedman Memorial</v>
      </c>
      <c r="G371">
        <v>43.504841390000003</v>
      </c>
      <c r="H371">
        <v>-114.29659030000001</v>
      </c>
      <c r="I371">
        <v>5318</v>
      </c>
      <c r="J371" t="s">
        <v>22410</v>
      </c>
      <c r="K371" t="s">
        <v>22413</v>
      </c>
    </row>
    <row r="372" spans="1:11" x14ac:dyDescent="0.25">
      <c r="A372" s="8" t="s">
        <v>2514</v>
      </c>
      <c r="B372" t="s">
        <v>22239</v>
      </c>
      <c r="C372" t="s">
        <v>22240</v>
      </c>
      <c r="D372" t="s">
        <v>21650</v>
      </c>
      <c r="E372" t="s">
        <v>4</v>
      </c>
      <c r="F372" t="str">
        <f>VLOOKUP(A372,L_AIRPORT!A:B,2)</f>
        <v>Sioux City, IA: Sioux Gateway Brig Gen Bud Day Field</v>
      </c>
      <c r="G372">
        <v>42.402603329999998</v>
      </c>
      <c r="H372">
        <v>-96.384366940000007</v>
      </c>
      <c r="I372">
        <v>1098</v>
      </c>
      <c r="J372" t="s">
        <v>22410</v>
      </c>
      <c r="K372" t="s">
        <v>22413</v>
      </c>
    </row>
    <row r="373" spans="1:11" x14ac:dyDescent="0.25">
      <c r="A373" s="8" t="s">
        <v>142</v>
      </c>
      <c r="B373" t="s">
        <v>22241</v>
      </c>
      <c r="C373" t="s">
        <v>22242</v>
      </c>
      <c r="D373" t="s">
        <v>8</v>
      </c>
      <c r="E373" t="s">
        <v>4</v>
      </c>
      <c r="F373" t="str">
        <f>VLOOKUP(A373,L_AIRPORT!A:B,2)</f>
        <v>Newburgh/Poughkeepsie, NY: New York Stewart International</v>
      </c>
      <c r="G373">
        <v>41.504093609999998</v>
      </c>
      <c r="H373">
        <v>-74.104838330000007</v>
      </c>
      <c r="I373">
        <v>491</v>
      </c>
      <c r="J373" t="s">
        <v>22410</v>
      </c>
      <c r="K373" t="s">
        <v>22413</v>
      </c>
    </row>
    <row r="374" spans="1:11" x14ac:dyDescent="0.25">
      <c r="A374" s="6" t="s">
        <v>2729</v>
      </c>
      <c r="B374" t="s">
        <v>22388</v>
      </c>
      <c r="C374" t="s">
        <v>22389</v>
      </c>
      <c r="D374" t="s">
        <v>21987</v>
      </c>
      <c r="E374" t="s">
        <v>4</v>
      </c>
      <c r="F374" t="str">
        <f>VLOOKUP(A374,L_AIRPORT!A:B,2)</f>
        <v>Stillwater, OK: Stillwater Regional</v>
      </c>
      <c r="G374">
        <v>36.161201477051002</v>
      </c>
      <c r="H374">
        <v>-97.08570098877</v>
      </c>
      <c r="I374">
        <v>1000</v>
      </c>
      <c r="J374" t="s">
        <v>22410</v>
      </c>
      <c r="K374" t="s">
        <v>22413</v>
      </c>
    </row>
    <row r="375" spans="1:11" x14ac:dyDescent="0.25">
      <c r="A375" s="8" t="s">
        <v>144</v>
      </c>
      <c r="B375" t="s">
        <v>22243</v>
      </c>
      <c r="C375" t="s">
        <v>22244</v>
      </c>
      <c r="D375" t="s">
        <v>8</v>
      </c>
      <c r="E375" t="s">
        <v>4</v>
      </c>
      <c r="F375" t="str">
        <f>VLOOKUP(A375,L_AIRPORT!A:B,2)</f>
        <v>Syracuse, NY: Syracuse Hancock International</v>
      </c>
      <c r="G375">
        <v>43.111186940000003</v>
      </c>
      <c r="H375">
        <v>-76.106310559999997</v>
      </c>
      <c r="I375">
        <v>421</v>
      </c>
      <c r="J375" t="s">
        <v>22411</v>
      </c>
      <c r="K375" t="s">
        <v>22413</v>
      </c>
    </row>
    <row r="376" spans="1:11" x14ac:dyDescent="0.25">
      <c r="A376" s="6" t="s">
        <v>2296</v>
      </c>
      <c r="B376" t="s">
        <v>22390</v>
      </c>
      <c r="C376" t="s">
        <v>22391</v>
      </c>
      <c r="D376" t="s">
        <v>81</v>
      </c>
      <c r="E376" t="s">
        <v>4</v>
      </c>
      <c r="F376" t="str">
        <f>VLOOKUP(A376,L_AIRPORT!A:B,2)</f>
        <v>Fort Leonard Wood, MO: Waynesville-St. Robert Regional Forney Field</v>
      </c>
      <c r="G376">
        <v>37.741600040000002</v>
      </c>
      <c r="H376">
        <v>-92.140701289999996</v>
      </c>
      <c r="I376">
        <v>1159</v>
      </c>
      <c r="J376" t="s">
        <v>22410</v>
      </c>
      <c r="K376" t="s">
        <v>22413</v>
      </c>
    </row>
    <row r="377" spans="1:11" x14ac:dyDescent="0.25">
      <c r="A377" s="8" t="s">
        <v>19290</v>
      </c>
      <c r="B377" t="s">
        <v>22245</v>
      </c>
      <c r="C377" t="s">
        <v>22246</v>
      </c>
      <c r="D377" t="s">
        <v>48</v>
      </c>
      <c r="E377" t="s">
        <v>4</v>
      </c>
      <c r="F377" t="str">
        <f>VLOOKUP(A377,L_AIRPORT!A:B,2)</f>
        <v>Telluride, CO: Telluride Regional</v>
      </c>
      <c r="G377">
        <v>37.953758610000001</v>
      </c>
      <c r="H377">
        <v>-107.90848</v>
      </c>
      <c r="I377">
        <v>9070</v>
      </c>
      <c r="J377" t="s">
        <v>22408</v>
      </c>
      <c r="K377" t="s">
        <v>22413</v>
      </c>
    </row>
    <row r="378" spans="1:11" x14ac:dyDescent="0.25">
      <c r="A378" s="8" t="s">
        <v>651</v>
      </c>
      <c r="B378" t="s">
        <v>22247</v>
      </c>
      <c r="C378" t="s">
        <v>22248</v>
      </c>
      <c r="D378" t="s">
        <v>55</v>
      </c>
      <c r="E378" t="s">
        <v>4</v>
      </c>
      <c r="F378" t="str">
        <f>VLOOKUP(A378,L_AIRPORT!A:B,2)</f>
        <v>Tallahassee, FL: Tallahassee International</v>
      </c>
      <c r="G378">
        <v>30.39652778</v>
      </c>
      <c r="H378">
        <v>-84.350333329999998</v>
      </c>
      <c r="I378">
        <v>81</v>
      </c>
      <c r="J378" t="s">
        <v>22410</v>
      </c>
      <c r="K378" t="s">
        <v>22413</v>
      </c>
    </row>
    <row r="379" spans="1:11" x14ac:dyDescent="0.25">
      <c r="A379" s="8" t="s">
        <v>913</v>
      </c>
      <c r="B379" t="s">
        <v>22249</v>
      </c>
      <c r="C379" t="s">
        <v>22250</v>
      </c>
      <c r="D379" t="s">
        <v>39</v>
      </c>
      <c r="E379" t="s">
        <v>4</v>
      </c>
      <c r="F379" t="str">
        <f>VLOOKUP(A379,L_AIRPORT!A:B,2)</f>
        <v>Toledo, OH: Toledo Express</v>
      </c>
      <c r="G379">
        <v>41.586805560000002</v>
      </c>
      <c r="H379">
        <v>-83.807833329999994</v>
      </c>
      <c r="I379">
        <v>683</v>
      </c>
      <c r="J379" t="s">
        <v>22410</v>
      </c>
      <c r="K379" t="s">
        <v>22413</v>
      </c>
    </row>
    <row r="380" spans="1:11" x14ac:dyDescent="0.25">
      <c r="A380" s="8" t="s">
        <v>145</v>
      </c>
      <c r="B380" t="s">
        <v>22251</v>
      </c>
      <c r="C380" t="s">
        <v>22252</v>
      </c>
      <c r="D380" t="s">
        <v>55</v>
      </c>
      <c r="E380" t="s">
        <v>4</v>
      </c>
      <c r="F380" t="str">
        <f>VLOOKUP(A380,L_AIRPORT!A:B,2)</f>
        <v>Tampa, FL: Tampa International</v>
      </c>
      <c r="G380">
        <v>27.97547222</v>
      </c>
      <c r="H380">
        <v>-82.533249999999995</v>
      </c>
      <c r="I380">
        <v>26</v>
      </c>
      <c r="J380" t="s">
        <v>22411</v>
      </c>
      <c r="K380" t="s">
        <v>22413</v>
      </c>
    </row>
    <row r="381" spans="1:11" x14ac:dyDescent="0.25">
      <c r="A381" s="8" t="s">
        <v>654</v>
      </c>
      <c r="B381" t="s">
        <v>22253</v>
      </c>
      <c r="C381" t="s">
        <v>22254</v>
      </c>
      <c r="D381" t="s">
        <v>20</v>
      </c>
      <c r="E381" t="s">
        <v>4</v>
      </c>
      <c r="F381" t="str">
        <f>VLOOKUP(A381,L_AIRPORT!A:B,2)</f>
        <v>Bristol/Johnson City/Kingsport, TN: Tri Cities</v>
      </c>
      <c r="G381">
        <v>36.475214170000001</v>
      </c>
      <c r="H381">
        <v>-82.407420560000006</v>
      </c>
      <c r="I381">
        <v>1519</v>
      </c>
      <c r="J381" t="s">
        <v>22410</v>
      </c>
      <c r="K381" t="s">
        <v>22413</v>
      </c>
    </row>
    <row r="382" spans="1:11" x14ac:dyDescent="0.25">
      <c r="A382" s="8" t="s">
        <v>656</v>
      </c>
      <c r="B382" t="s">
        <v>22255</v>
      </c>
      <c r="C382" t="s">
        <v>22256</v>
      </c>
      <c r="D382" t="s">
        <v>53</v>
      </c>
      <c r="E382" t="s">
        <v>4</v>
      </c>
      <c r="F382" t="str">
        <f>VLOOKUP(A382,L_AIRPORT!A:B,2)</f>
        <v>Trenton, NJ: Trenton Mercer</v>
      </c>
      <c r="G382">
        <v>40.276691110000002</v>
      </c>
      <c r="H382">
        <v>-74.813468330000006</v>
      </c>
      <c r="I382">
        <v>213</v>
      </c>
      <c r="J382" t="s">
        <v>22410</v>
      </c>
      <c r="K382" t="s">
        <v>22413</v>
      </c>
    </row>
    <row r="383" spans="1:11" x14ac:dyDescent="0.25">
      <c r="A383" s="8" t="s">
        <v>658</v>
      </c>
      <c r="B383" t="s">
        <v>22257</v>
      </c>
      <c r="C383" t="s">
        <v>22258</v>
      </c>
      <c r="D383" t="s">
        <v>21987</v>
      </c>
      <c r="E383" t="s">
        <v>4</v>
      </c>
      <c r="F383" t="str">
        <f>VLOOKUP(A383,L_AIRPORT!A:B,2)</f>
        <v>Tulsa, OK: Tulsa International</v>
      </c>
      <c r="G383">
        <v>36.198372220000003</v>
      </c>
      <c r="H383">
        <v>-95.888241669999999</v>
      </c>
      <c r="I383">
        <v>677</v>
      </c>
      <c r="J383" t="s">
        <v>22411</v>
      </c>
      <c r="K383" t="s">
        <v>22413</v>
      </c>
    </row>
    <row r="384" spans="1:11" x14ac:dyDescent="0.25">
      <c r="A384" s="8" t="s">
        <v>19679</v>
      </c>
      <c r="B384" t="s">
        <v>22259</v>
      </c>
      <c r="C384" t="s">
        <v>22260</v>
      </c>
      <c r="D384" t="s">
        <v>21885</v>
      </c>
      <c r="E384" t="s">
        <v>4</v>
      </c>
      <c r="F384" t="str">
        <f>VLOOKUP(A384,L_AIRPORT!A:B,2)</f>
        <v>Tupelo, MS: Tupelo Regional</v>
      </c>
      <c r="G384">
        <v>34.268108329999997</v>
      </c>
      <c r="H384">
        <v>-88.769895000000005</v>
      </c>
      <c r="I384">
        <v>346</v>
      </c>
      <c r="J384" t="s">
        <v>22410</v>
      </c>
      <c r="K384" t="s">
        <v>22413</v>
      </c>
    </row>
    <row r="385" spans="1:11" x14ac:dyDescent="0.25">
      <c r="A385" s="8" t="s">
        <v>660</v>
      </c>
      <c r="B385" t="s">
        <v>22261</v>
      </c>
      <c r="C385" t="s">
        <v>22262</v>
      </c>
      <c r="D385" t="s">
        <v>105</v>
      </c>
      <c r="E385" t="s">
        <v>4</v>
      </c>
      <c r="F385" t="str">
        <f>VLOOKUP(A385,L_AIRPORT!A:B,2)</f>
        <v>Tucson, AZ: Tucson International</v>
      </c>
      <c r="G385">
        <v>32.116083330000002</v>
      </c>
      <c r="H385">
        <v>-110.9410278</v>
      </c>
      <c r="I385">
        <v>2643</v>
      </c>
      <c r="J385" t="s">
        <v>22410</v>
      </c>
      <c r="K385" t="s">
        <v>22413</v>
      </c>
    </row>
    <row r="386" spans="1:11" x14ac:dyDescent="0.25">
      <c r="A386" s="8" t="s">
        <v>662</v>
      </c>
      <c r="B386" t="s">
        <v>22263</v>
      </c>
      <c r="C386" t="s">
        <v>22264</v>
      </c>
      <c r="D386" t="s">
        <v>51</v>
      </c>
      <c r="E386" t="s">
        <v>4</v>
      </c>
      <c r="F386" t="str">
        <f>VLOOKUP(A386,L_AIRPORT!A:B,2)</f>
        <v>Traverse City, MI: Cherry Capital</v>
      </c>
      <c r="G386">
        <v>44.741444719999997</v>
      </c>
      <c r="H386">
        <v>-85.582234999999997</v>
      </c>
      <c r="I386">
        <v>624</v>
      </c>
      <c r="J386" t="s">
        <v>22410</v>
      </c>
      <c r="K386" t="s">
        <v>22413</v>
      </c>
    </row>
    <row r="387" spans="1:11" x14ac:dyDescent="0.25">
      <c r="A387" s="8" t="s">
        <v>2521</v>
      </c>
      <c r="B387" t="s">
        <v>22265</v>
      </c>
      <c r="C387" t="s">
        <v>22266</v>
      </c>
      <c r="D387" t="s">
        <v>23</v>
      </c>
      <c r="E387" t="s">
        <v>4</v>
      </c>
      <c r="F387" t="str">
        <f>VLOOKUP(A387,L_AIRPORT!A:B,2)</f>
        <v>Twin Falls, ID: Joslin Field - Magic Valley Regional</v>
      </c>
      <c r="G387">
        <v>42.481803890000002</v>
      </c>
      <c r="H387">
        <v>-114.48773559999999</v>
      </c>
      <c r="I387">
        <v>4154</v>
      </c>
      <c r="J387" t="s">
        <v>22410</v>
      </c>
      <c r="K387" t="s">
        <v>22413</v>
      </c>
    </row>
    <row r="388" spans="1:11" x14ac:dyDescent="0.25">
      <c r="A388" s="8" t="s">
        <v>2738</v>
      </c>
      <c r="B388" t="s">
        <v>22267</v>
      </c>
      <c r="C388" t="s">
        <v>22268</v>
      </c>
      <c r="D388" t="s">
        <v>21866</v>
      </c>
      <c r="E388" t="s">
        <v>4</v>
      </c>
      <c r="F388" t="str">
        <f>VLOOKUP(A388,L_AIRPORT!A:B,2)</f>
        <v>Texarkana, AR: Texarkana Regional-Webb Field</v>
      </c>
      <c r="G388">
        <v>33.453708059999997</v>
      </c>
      <c r="H388">
        <v>-93.991020000000006</v>
      </c>
      <c r="I388">
        <v>390</v>
      </c>
      <c r="J388" t="s">
        <v>22410</v>
      </c>
      <c r="K388" t="s">
        <v>22413</v>
      </c>
    </row>
    <row r="389" spans="1:11" x14ac:dyDescent="0.25">
      <c r="A389" s="8" t="s">
        <v>2523</v>
      </c>
      <c r="B389" t="s">
        <v>22269</v>
      </c>
      <c r="C389" t="s">
        <v>22270</v>
      </c>
      <c r="D389" t="s">
        <v>14</v>
      </c>
      <c r="E389" t="s">
        <v>4</v>
      </c>
      <c r="F389" t="str">
        <f>VLOOKUP(A389,L_AIRPORT!A:B,2)</f>
        <v>Tyler, TX: Tyler Pounds Regional</v>
      </c>
      <c r="G389">
        <v>32.354138890000002</v>
      </c>
      <c r="H389">
        <v>-95.402386109999995</v>
      </c>
      <c r="I389">
        <v>544</v>
      </c>
      <c r="J389" t="s">
        <v>22410</v>
      </c>
      <c r="K389" t="s">
        <v>22413</v>
      </c>
    </row>
    <row r="390" spans="1:11" x14ac:dyDescent="0.25">
      <c r="A390" s="8" t="s">
        <v>664</v>
      </c>
      <c r="B390" t="s">
        <v>22271</v>
      </c>
      <c r="C390" t="s">
        <v>22272</v>
      </c>
      <c r="D390" t="s">
        <v>20</v>
      </c>
      <c r="E390" t="s">
        <v>4</v>
      </c>
      <c r="F390" t="str">
        <f>VLOOKUP(A390,L_AIRPORT!A:B,2)</f>
        <v>Knoxville, TN: McGhee Tyson</v>
      </c>
      <c r="G390">
        <v>35.812487220000001</v>
      </c>
      <c r="H390">
        <v>-83.992855829999996</v>
      </c>
      <c r="I390">
        <v>981</v>
      </c>
      <c r="J390" t="s">
        <v>22410</v>
      </c>
      <c r="K390" t="s">
        <v>22413</v>
      </c>
    </row>
    <row r="391" spans="1:11" x14ac:dyDescent="0.25">
      <c r="A391" s="6" t="s">
        <v>1568</v>
      </c>
      <c r="B391" t="s">
        <v>22392</v>
      </c>
      <c r="C391" t="s">
        <v>22393</v>
      </c>
      <c r="D391" t="s">
        <v>96</v>
      </c>
      <c r="E391" t="s">
        <v>4</v>
      </c>
      <c r="F391" t="str">
        <f>VLOOKUP(A391,L_AIRPORT!A:B,2)</f>
        <v>Quincy, IL: Quincy Regional-Baldwin Field</v>
      </c>
      <c r="G391">
        <v>39.942699429999998</v>
      </c>
      <c r="H391">
        <v>-91.194602970000005</v>
      </c>
      <c r="I391">
        <v>768</v>
      </c>
      <c r="J391" t="s">
        <v>22410</v>
      </c>
      <c r="K391" t="s">
        <v>22413</v>
      </c>
    </row>
    <row r="392" spans="1:11" x14ac:dyDescent="0.25">
      <c r="A392" s="6" t="s">
        <v>4</v>
      </c>
      <c r="B392" t="s">
        <v>22394</v>
      </c>
      <c r="C392" t="s">
        <v>22395</v>
      </c>
      <c r="D392" t="s">
        <v>41</v>
      </c>
      <c r="E392" t="s">
        <v>4</v>
      </c>
      <c r="F392" t="str">
        <f>VLOOKUP(A392,L_AIRPORT!A:B,2)</f>
        <v>Concord, NC: Concord Padgett Regional</v>
      </c>
      <c r="G392">
        <v>35.387797999999997</v>
      </c>
      <c r="H392">
        <v>-80.709098999999995</v>
      </c>
      <c r="I392">
        <v>705</v>
      </c>
      <c r="J392" t="s">
        <v>22410</v>
      </c>
      <c r="K392" t="s">
        <v>22413</v>
      </c>
    </row>
    <row r="393" spans="1:11" x14ac:dyDescent="0.25">
      <c r="A393" s="6" t="s">
        <v>4068</v>
      </c>
      <c r="B393" t="s">
        <v>22396</v>
      </c>
      <c r="C393" t="s">
        <v>22397</v>
      </c>
      <c r="D393" t="s">
        <v>14</v>
      </c>
      <c r="E393" t="s">
        <v>4</v>
      </c>
      <c r="F393" t="str">
        <f>VLOOKUP(A393,L_AIRPORT!A:B,2)</f>
        <v>Victoria, TX: Victoria Regional</v>
      </c>
      <c r="G393">
        <v>28.8526000976562</v>
      </c>
      <c r="H393">
        <v>-96.918502807617102</v>
      </c>
      <c r="I393">
        <v>115</v>
      </c>
      <c r="J393" t="s">
        <v>22410</v>
      </c>
      <c r="K393" t="s">
        <v>22413</v>
      </c>
    </row>
    <row r="394" spans="1:11" x14ac:dyDescent="0.25">
      <c r="A394" s="8" t="s">
        <v>1952</v>
      </c>
      <c r="B394" t="s">
        <v>22273</v>
      </c>
      <c r="C394" t="s">
        <v>22273</v>
      </c>
      <c r="D394" t="s">
        <v>136</v>
      </c>
      <c r="E394" t="s">
        <v>4</v>
      </c>
      <c r="F394" t="str">
        <f>VLOOKUP(A394,L_AIRPORT!A:B,2)</f>
        <v>Vernal, UT: Vernal Regional</v>
      </c>
      <c r="G394">
        <v>40.440901670000002</v>
      </c>
      <c r="H394">
        <v>-109.5099203</v>
      </c>
      <c r="I394">
        <v>5278</v>
      </c>
      <c r="J394" t="s">
        <v>22410</v>
      </c>
      <c r="K394" t="s">
        <v>22413</v>
      </c>
    </row>
    <row r="395" spans="1:11" x14ac:dyDescent="0.25">
      <c r="A395" s="8" t="s">
        <v>666</v>
      </c>
      <c r="B395" t="s">
        <v>22274</v>
      </c>
      <c r="C395" t="s">
        <v>22275</v>
      </c>
      <c r="D395" t="s">
        <v>11</v>
      </c>
      <c r="E395" t="s">
        <v>4</v>
      </c>
      <c r="F395" t="str">
        <f>VLOOKUP(A395,L_AIRPORT!A:B,2)</f>
        <v>Valdosta, GA: Valdosta Regional</v>
      </c>
      <c r="G395">
        <v>30.782499999999999</v>
      </c>
      <c r="H395">
        <v>-83.276722219999996</v>
      </c>
      <c r="I395">
        <v>203</v>
      </c>
      <c r="J395" t="s">
        <v>22410</v>
      </c>
      <c r="K395" t="s">
        <v>22413</v>
      </c>
    </row>
    <row r="396" spans="1:11" x14ac:dyDescent="0.25">
      <c r="A396" s="8" t="s">
        <v>668</v>
      </c>
      <c r="B396" t="s">
        <v>22276</v>
      </c>
      <c r="C396" t="s">
        <v>22277</v>
      </c>
      <c r="D396" t="s">
        <v>55</v>
      </c>
      <c r="E396" t="s">
        <v>4</v>
      </c>
      <c r="F396" t="str">
        <f>VLOOKUP(A396,L_AIRPORT!A:B,2)</f>
        <v>Valparaiso, FL: Eglin AFB Destin Fort Walton Beach</v>
      </c>
      <c r="G396">
        <v>30.483250000000002</v>
      </c>
      <c r="H396">
        <v>-86.525400000000005</v>
      </c>
      <c r="I396">
        <v>87</v>
      </c>
      <c r="J396" t="s">
        <v>22410</v>
      </c>
      <c r="K396" t="s">
        <v>22413</v>
      </c>
    </row>
    <row r="397" spans="1:11" x14ac:dyDescent="0.25">
      <c r="A397" s="8" t="s">
        <v>4417</v>
      </c>
      <c r="B397" t="s">
        <v>22278</v>
      </c>
      <c r="C397" t="s">
        <v>22278</v>
      </c>
      <c r="D397" t="s">
        <v>21639</v>
      </c>
      <c r="E397" t="s">
        <v>4</v>
      </c>
      <c r="F397" t="str">
        <f>VLOOKUP(A397,L_AIRPORT!A:B,2)</f>
        <v>Wrangell, AK: Wrangell Airport</v>
      </c>
      <c r="G397">
        <v>56.484325830000003</v>
      </c>
      <c r="H397">
        <v>-132.36982420000001</v>
      </c>
      <c r="I397">
        <v>49</v>
      </c>
      <c r="J397" t="s">
        <v>22410</v>
      </c>
      <c r="K397" t="s">
        <v>22413</v>
      </c>
    </row>
    <row r="398" spans="1:11" x14ac:dyDescent="0.25">
      <c r="A398" s="8" t="s">
        <v>2528</v>
      </c>
      <c r="B398" t="s">
        <v>22279</v>
      </c>
      <c r="C398" t="s">
        <v>22280</v>
      </c>
      <c r="D398" t="s">
        <v>35</v>
      </c>
      <c r="E398" t="s">
        <v>4</v>
      </c>
      <c r="F398" t="str">
        <f>VLOOKUP(A398,L_AIRPORT!A:B,2)</f>
        <v>West Yellowstone, MT: Yellowstone</v>
      </c>
      <c r="G398">
        <v>44.688399169999997</v>
      </c>
      <c r="H398">
        <v>-111.1176375</v>
      </c>
      <c r="I398">
        <v>6649</v>
      </c>
      <c r="J398" t="s">
        <v>22410</v>
      </c>
      <c r="K398" t="s">
        <v>22413</v>
      </c>
    </row>
    <row r="399" spans="1:11" x14ac:dyDescent="0.25">
      <c r="A399" s="8" t="s">
        <v>670</v>
      </c>
      <c r="B399" t="s">
        <v>22281</v>
      </c>
      <c r="C399" t="s">
        <v>22282</v>
      </c>
      <c r="D399" t="s">
        <v>21866</v>
      </c>
      <c r="E399" t="s">
        <v>4</v>
      </c>
      <c r="F399" t="str">
        <f>VLOOKUP(A399,L_AIRPORT!A:B,2)</f>
        <v>Fayetteville, AR: Northwest Arkansas Regional</v>
      </c>
      <c r="G399">
        <v>36.281869440000001</v>
      </c>
      <c r="H399">
        <v>-94.306811109999998</v>
      </c>
      <c r="I399">
        <v>1287</v>
      </c>
      <c r="J399" t="s">
        <v>22410</v>
      </c>
      <c r="K399" t="s">
        <v>22413</v>
      </c>
    </row>
    <row r="400" spans="1:11" x14ac:dyDescent="0.25">
      <c r="A400" s="6" t="s">
        <v>2531</v>
      </c>
      <c r="B400" t="s">
        <v>22398</v>
      </c>
      <c r="C400" t="s">
        <v>21954</v>
      </c>
      <c r="D400" t="s">
        <v>21689</v>
      </c>
      <c r="E400" t="s">
        <v>4</v>
      </c>
      <c r="F400" t="str">
        <f>VLOOKUP(A400,L_AIRPORT!A:B,2)</f>
        <v>Williston, ND: Williston Basin International</v>
      </c>
      <c r="G400">
        <v>48.258386999999999</v>
      </c>
      <c r="H400">
        <v>-103.748797</v>
      </c>
      <c r="I400">
        <v>2344</v>
      </c>
      <c r="J400" t="s">
        <v>22410</v>
      </c>
      <c r="K400" t="s">
        <v>22413</v>
      </c>
    </row>
    <row r="401" spans="1:11" x14ac:dyDescent="0.25">
      <c r="A401" s="8" t="s">
        <v>1559</v>
      </c>
      <c r="B401" t="s">
        <v>22283</v>
      </c>
      <c r="C401" t="s">
        <v>22283</v>
      </c>
      <c r="D401" t="s">
        <v>21639</v>
      </c>
      <c r="E401" t="s">
        <v>4</v>
      </c>
      <c r="F401" t="str">
        <f>VLOOKUP(A401,L_AIRPORT!A:B,2)</f>
        <v>Yakutat, AK: Yakutat Airport</v>
      </c>
      <c r="G401">
        <v>59.503360559999997</v>
      </c>
      <c r="H401">
        <v>-139.66022609999999</v>
      </c>
      <c r="I401">
        <v>33</v>
      </c>
      <c r="J401" t="s">
        <v>22410</v>
      </c>
      <c r="K401" t="s">
        <v>22413</v>
      </c>
    </row>
    <row r="402" spans="1:11" x14ac:dyDescent="0.25">
      <c r="A402" s="6" t="s">
        <v>2943</v>
      </c>
      <c r="B402" t="s">
        <v>22399</v>
      </c>
      <c r="C402" t="s">
        <v>22400</v>
      </c>
      <c r="D402" t="s">
        <v>129</v>
      </c>
      <c r="E402" t="s">
        <v>4</v>
      </c>
      <c r="F402" t="str">
        <f>VLOOKUP(A402,L_AIRPORT!A:B,2)</f>
        <v>Yakima, WA: Yakima Air Terminal/McAllister Field</v>
      </c>
      <c r="G402">
        <v>46.568199159999999</v>
      </c>
      <c r="H402">
        <v>-120.5439987</v>
      </c>
      <c r="I402">
        <v>1099</v>
      </c>
      <c r="J402" t="s">
        <v>22410</v>
      </c>
      <c r="K402" t="s">
        <v>22413</v>
      </c>
    </row>
    <row r="403" spans="1:11" x14ac:dyDescent="0.25">
      <c r="A403" s="6" t="s">
        <v>6789</v>
      </c>
      <c r="B403" t="s">
        <v>22401</v>
      </c>
      <c r="C403" t="s">
        <v>22402</v>
      </c>
      <c r="D403" t="s">
        <v>39</v>
      </c>
      <c r="E403" t="s">
        <v>4</v>
      </c>
      <c r="F403" t="str">
        <f>VLOOKUP(A403,L_AIRPORT!A:B,2)</f>
        <v>Youngstown/Warren, OH: Youngstown-Warren Regional</v>
      </c>
      <c r="G403">
        <v>41.260700229999998</v>
      </c>
      <c r="H403">
        <v>-80.679100039999994</v>
      </c>
      <c r="I403">
        <v>1192</v>
      </c>
      <c r="J403" t="s">
        <v>22410</v>
      </c>
      <c r="K403" t="s">
        <v>22413</v>
      </c>
    </row>
    <row r="404" spans="1:11" x14ac:dyDescent="0.25">
      <c r="A404" s="9" t="s">
        <v>2744</v>
      </c>
      <c r="B404" t="s">
        <v>22284</v>
      </c>
      <c r="C404" t="s">
        <v>22285</v>
      </c>
      <c r="D404" t="s">
        <v>105</v>
      </c>
      <c r="E404" t="s">
        <v>4</v>
      </c>
      <c r="F404" t="str">
        <f>VLOOKUP(A404,L_AIRPORT!A:B,2)</f>
        <v>Yuma, AZ: Yuma MCAS/Yuma International</v>
      </c>
      <c r="G404">
        <v>32.656583329999997</v>
      </c>
      <c r="H404">
        <v>-114.6059722</v>
      </c>
      <c r="I404">
        <v>213</v>
      </c>
      <c r="J404" t="s">
        <v>22410</v>
      </c>
      <c r="K404" t="s">
        <v>22413</v>
      </c>
    </row>
  </sheetData>
  <autoFilter ref="A1:J404" xr:uid="{00000000-0001-0000-0000-000000000000}">
    <sortState xmlns:xlrd2="http://schemas.microsoft.com/office/spreadsheetml/2017/richdata2" ref="A2:J404">
      <sortCondition ref="A1:A404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20FB-EFEA-4A8C-86EB-937E0A499F7B}">
  <dimension ref="A1:B6660"/>
  <sheetViews>
    <sheetView workbookViewId="0">
      <selection activeCell="B4388" sqref="B4388"/>
    </sheetView>
  </sheetViews>
  <sheetFormatPr defaultRowHeight="15" x14ac:dyDescent="0.25"/>
  <cols>
    <col min="2" max="2" width="75.7109375" bestFit="1" customWidth="1"/>
  </cols>
  <sheetData>
    <row r="1" spans="1:2" x14ac:dyDescent="0.25">
      <c r="A1" t="s">
        <v>8769</v>
      </c>
      <c r="B1" t="s">
        <v>8770</v>
      </c>
    </row>
    <row r="2" spans="1:2" x14ac:dyDescent="0.25">
      <c r="A2" t="s">
        <v>8771</v>
      </c>
      <c r="B2" t="s">
        <v>8772</v>
      </c>
    </row>
    <row r="3" spans="1:2" x14ac:dyDescent="0.25">
      <c r="A3" t="s">
        <v>8773</v>
      </c>
      <c r="B3" t="s">
        <v>8774</v>
      </c>
    </row>
    <row r="4" spans="1:2" x14ac:dyDescent="0.25">
      <c r="A4" t="s">
        <v>8775</v>
      </c>
      <c r="B4" t="s">
        <v>8776</v>
      </c>
    </row>
    <row r="5" spans="1:2" x14ac:dyDescent="0.25">
      <c r="A5" t="s">
        <v>8777</v>
      </c>
      <c r="B5" t="s">
        <v>8778</v>
      </c>
    </row>
    <row r="6" spans="1:2" x14ac:dyDescent="0.25">
      <c r="A6" t="s">
        <v>8779</v>
      </c>
      <c r="B6" t="s">
        <v>8780</v>
      </c>
    </row>
    <row r="7" spans="1:2" x14ac:dyDescent="0.25">
      <c r="A7" t="s">
        <v>8781</v>
      </c>
      <c r="B7" t="s">
        <v>8782</v>
      </c>
    </row>
    <row r="8" spans="1:2" x14ac:dyDescent="0.25">
      <c r="A8" t="s">
        <v>8783</v>
      </c>
      <c r="B8" t="s">
        <v>8784</v>
      </c>
    </row>
    <row r="9" spans="1:2" x14ac:dyDescent="0.25">
      <c r="A9" t="s">
        <v>8785</v>
      </c>
      <c r="B9" t="s">
        <v>8786</v>
      </c>
    </row>
    <row r="10" spans="1:2" x14ac:dyDescent="0.25">
      <c r="A10" t="s">
        <v>8787</v>
      </c>
      <c r="B10" t="s">
        <v>8788</v>
      </c>
    </row>
    <row r="11" spans="1:2" x14ac:dyDescent="0.25">
      <c r="A11" t="s">
        <v>8789</v>
      </c>
      <c r="B11" t="s">
        <v>8790</v>
      </c>
    </row>
    <row r="12" spans="1:2" x14ac:dyDescent="0.25">
      <c r="A12" t="s">
        <v>8791</v>
      </c>
      <c r="B12" t="s">
        <v>8792</v>
      </c>
    </row>
    <row r="13" spans="1:2" x14ac:dyDescent="0.25">
      <c r="A13" t="s">
        <v>8793</v>
      </c>
      <c r="B13" t="s">
        <v>8794</v>
      </c>
    </row>
    <row r="14" spans="1:2" x14ac:dyDescent="0.25">
      <c r="A14" t="s">
        <v>8795</v>
      </c>
      <c r="B14" t="s">
        <v>8796</v>
      </c>
    </row>
    <row r="15" spans="1:2" x14ac:dyDescent="0.25">
      <c r="A15" t="s">
        <v>8797</v>
      </c>
      <c r="B15" t="s">
        <v>8798</v>
      </c>
    </row>
    <row r="16" spans="1:2" x14ac:dyDescent="0.25">
      <c r="A16" t="s">
        <v>8799</v>
      </c>
      <c r="B16" t="s">
        <v>8800</v>
      </c>
    </row>
    <row r="17" spans="1:2" x14ac:dyDescent="0.25">
      <c r="A17" t="s">
        <v>8801</v>
      </c>
      <c r="B17" t="s">
        <v>8802</v>
      </c>
    </row>
    <row r="18" spans="1:2" x14ac:dyDescent="0.25">
      <c r="A18" t="s">
        <v>8803</v>
      </c>
      <c r="B18" t="s">
        <v>8804</v>
      </c>
    </row>
    <row r="19" spans="1:2" x14ac:dyDescent="0.25">
      <c r="A19" t="s">
        <v>8805</v>
      </c>
      <c r="B19" t="s">
        <v>8806</v>
      </c>
    </row>
    <row r="20" spans="1:2" x14ac:dyDescent="0.25">
      <c r="A20" t="s">
        <v>8807</v>
      </c>
      <c r="B20" t="s">
        <v>8808</v>
      </c>
    </row>
    <row r="21" spans="1:2" x14ac:dyDescent="0.25">
      <c r="A21" t="s">
        <v>8809</v>
      </c>
      <c r="B21" t="s">
        <v>8810</v>
      </c>
    </row>
    <row r="22" spans="1:2" x14ac:dyDescent="0.25">
      <c r="A22" t="s">
        <v>8811</v>
      </c>
      <c r="B22" t="s">
        <v>8812</v>
      </c>
    </row>
    <row r="23" spans="1:2" x14ac:dyDescent="0.25">
      <c r="A23" t="s">
        <v>8813</v>
      </c>
      <c r="B23" t="s">
        <v>8814</v>
      </c>
    </row>
    <row r="24" spans="1:2" x14ac:dyDescent="0.25">
      <c r="A24" t="s">
        <v>8815</v>
      </c>
      <c r="B24" t="s">
        <v>8816</v>
      </c>
    </row>
    <row r="25" spans="1:2" x14ac:dyDescent="0.25">
      <c r="A25" t="s">
        <v>8817</v>
      </c>
      <c r="B25" t="s">
        <v>8818</v>
      </c>
    </row>
    <row r="26" spans="1:2" x14ac:dyDescent="0.25">
      <c r="A26" t="s">
        <v>8819</v>
      </c>
      <c r="B26" t="s">
        <v>8820</v>
      </c>
    </row>
    <row r="27" spans="1:2" x14ac:dyDescent="0.25">
      <c r="A27" t="s">
        <v>8821</v>
      </c>
      <c r="B27" t="s">
        <v>8822</v>
      </c>
    </row>
    <row r="28" spans="1:2" x14ac:dyDescent="0.25">
      <c r="A28" t="s">
        <v>8823</v>
      </c>
      <c r="B28" t="s">
        <v>8824</v>
      </c>
    </row>
    <row r="29" spans="1:2" x14ac:dyDescent="0.25">
      <c r="A29" t="s">
        <v>8825</v>
      </c>
      <c r="B29" t="s">
        <v>8826</v>
      </c>
    </row>
    <row r="30" spans="1:2" x14ac:dyDescent="0.25">
      <c r="A30" t="s">
        <v>8827</v>
      </c>
      <c r="B30" t="s">
        <v>8828</v>
      </c>
    </row>
    <row r="31" spans="1:2" x14ac:dyDescent="0.25">
      <c r="A31" t="s">
        <v>8829</v>
      </c>
      <c r="B31" t="s">
        <v>8830</v>
      </c>
    </row>
    <row r="32" spans="1:2" x14ac:dyDescent="0.25">
      <c r="A32" t="s">
        <v>8831</v>
      </c>
      <c r="B32" t="s">
        <v>8832</v>
      </c>
    </row>
    <row r="33" spans="1:2" x14ac:dyDescent="0.25">
      <c r="A33" t="s">
        <v>8833</v>
      </c>
      <c r="B33" t="s">
        <v>8834</v>
      </c>
    </row>
    <row r="34" spans="1:2" x14ac:dyDescent="0.25">
      <c r="A34" t="s">
        <v>8835</v>
      </c>
      <c r="B34" t="s">
        <v>8836</v>
      </c>
    </row>
    <row r="35" spans="1:2" x14ac:dyDescent="0.25">
      <c r="A35" t="s">
        <v>8837</v>
      </c>
      <c r="B35" t="s">
        <v>8838</v>
      </c>
    </row>
    <row r="36" spans="1:2" x14ac:dyDescent="0.25">
      <c r="A36" t="s">
        <v>8839</v>
      </c>
      <c r="B36" t="s">
        <v>8840</v>
      </c>
    </row>
    <row r="37" spans="1:2" x14ac:dyDescent="0.25">
      <c r="A37" t="s">
        <v>8841</v>
      </c>
      <c r="B37" t="s">
        <v>8842</v>
      </c>
    </row>
    <row r="38" spans="1:2" x14ac:dyDescent="0.25">
      <c r="A38" t="s">
        <v>8843</v>
      </c>
      <c r="B38" t="s">
        <v>8844</v>
      </c>
    </row>
    <row r="39" spans="1:2" x14ac:dyDescent="0.25">
      <c r="A39" t="s">
        <v>8845</v>
      </c>
      <c r="B39" t="s">
        <v>8846</v>
      </c>
    </row>
    <row r="40" spans="1:2" x14ac:dyDescent="0.25">
      <c r="A40" t="s">
        <v>8847</v>
      </c>
      <c r="B40" t="s">
        <v>8848</v>
      </c>
    </row>
    <row r="41" spans="1:2" x14ac:dyDescent="0.25">
      <c r="A41" t="s">
        <v>8849</v>
      </c>
      <c r="B41" t="s">
        <v>8850</v>
      </c>
    </row>
    <row r="42" spans="1:2" x14ac:dyDescent="0.25">
      <c r="A42" t="s">
        <v>8851</v>
      </c>
      <c r="B42" t="s">
        <v>8852</v>
      </c>
    </row>
    <row r="43" spans="1:2" x14ac:dyDescent="0.25">
      <c r="A43" t="s">
        <v>8853</v>
      </c>
      <c r="B43" t="s">
        <v>8854</v>
      </c>
    </row>
    <row r="44" spans="1:2" x14ac:dyDescent="0.25">
      <c r="A44" t="s">
        <v>8855</v>
      </c>
      <c r="B44" t="s">
        <v>8856</v>
      </c>
    </row>
    <row r="45" spans="1:2" x14ac:dyDescent="0.25">
      <c r="A45" t="s">
        <v>8857</v>
      </c>
      <c r="B45" t="s">
        <v>8858</v>
      </c>
    </row>
    <row r="46" spans="1:2" x14ac:dyDescent="0.25">
      <c r="A46" t="s">
        <v>8859</v>
      </c>
      <c r="B46" t="s">
        <v>8860</v>
      </c>
    </row>
    <row r="47" spans="1:2" x14ac:dyDescent="0.25">
      <c r="A47" t="s">
        <v>8861</v>
      </c>
      <c r="B47" t="s">
        <v>8862</v>
      </c>
    </row>
    <row r="48" spans="1:2" x14ac:dyDescent="0.25">
      <c r="A48" t="s">
        <v>8863</v>
      </c>
      <c r="B48" t="s">
        <v>8864</v>
      </c>
    </row>
    <row r="49" spans="1:2" x14ac:dyDescent="0.25">
      <c r="A49" t="s">
        <v>8865</v>
      </c>
      <c r="B49" t="s">
        <v>8866</v>
      </c>
    </row>
    <row r="50" spans="1:2" x14ac:dyDescent="0.25">
      <c r="A50" t="s">
        <v>8867</v>
      </c>
      <c r="B50" t="s">
        <v>8868</v>
      </c>
    </row>
    <row r="51" spans="1:2" x14ac:dyDescent="0.25">
      <c r="A51" t="s">
        <v>8869</v>
      </c>
      <c r="B51" t="s">
        <v>8870</v>
      </c>
    </row>
    <row r="52" spans="1:2" x14ac:dyDescent="0.25">
      <c r="A52" t="s">
        <v>8871</v>
      </c>
      <c r="B52" t="s">
        <v>8872</v>
      </c>
    </row>
    <row r="53" spans="1:2" x14ac:dyDescent="0.25">
      <c r="A53" t="s">
        <v>8873</v>
      </c>
      <c r="B53" t="s">
        <v>8874</v>
      </c>
    </row>
    <row r="54" spans="1:2" x14ac:dyDescent="0.25">
      <c r="A54" t="s">
        <v>8875</v>
      </c>
      <c r="B54" t="s">
        <v>8876</v>
      </c>
    </row>
    <row r="55" spans="1:2" x14ac:dyDescent="0.25">
      <c r="A55" t="s">
        <v>8877</v>
      </c>
      <c r="B55" t="s">
        <v>8878</v>
      </c>
    </row>
    <row r="56" spans="1:2" x14ac:dyDescent="0.25">
      <c r="A56" t="s">
        <v>8879</v>
      </c>
      <c r="B56" t="s">
        <v>8880</v>
      </c>
    </row>
    <row r="57" spans="1:2" x14ac:dyDescent="0.25">
      <c r="A57" t="s">
        <v>8881</v>
      </c>
      <c r="B57" t="s">
        <v>8882</v>
      </c>
    </row>
    <row r="58" spans="1:2" x14ac:dyDescent="0.25">
      <c r="A58" t="s">
        <v>8883</v>
      </c>
      <c r="B58" t="s">
        <v>8884</v>
      </c>
    </row>
    <row r="59" spans="1:2" x14ac:dyDescent="0.25">
      <c r="A59" t="s">
        <v>8885</v>
      </c>
      <c r="B59" t="s">
        <v>8886</v>
      </c>
    </row>
    <row r="60" spans="1:2" x14ac:dyDescent="0.25">
      <c r="A60" t="s">
        <v>8887</v>
      </c>
      <c r="B60" t="s">
        <v>8888</v>
      </c>
    </row>
    <row r="61" spans="1:2" x14ac:dyDescent="0.25">
      <c r="A61" t="s">
        <v>8889</v>
      </c>
      <c r="B61" t="s">
        <v>8890</v>
      </c>
    </row>
    <row r="62" spans="1:2" x14ac:dyDescent="0.25">
      <c r="A62" t="s">
        <v>8891</v>
      </c>
      <c r="B62" t="s">
        <v>8892</v>
      </c>
    </row>
    <row r="63" spans="1:2" x14ac:dyDescent="0.25">
      <c r="A63" t="s">
        <v>8893</v>
      </c>
      <c r="B63" t="s">
        <v>8894</v>
      </c>
    </row>
    <row r="64" spans="1:2" x14ac:dyDescent="0.25">
      <c r="A64" t="s">
        <v>8895</v>
      </c>
      <c r="B64" t="s">
        <v>8896</v>
      </c>
    </row>
    <row r="65" spans="1:2" x14ac:dyDescent="0.25">
      <c r="A65" t="s">
        <v>8897</v>
      </c>
      <c r="B65" t="s">
        <v>8898</v>
      </c>
    </row>
    <row r="66" spans="1:2" x14ac:dyDescent="0.25">
      <c r="A66" t="s">
        <v>8899</v>
      </c>
      <c r="B66" t="s">
        <v>8900</v>
      </c>
    </row>
    <row r="67" spans="1:2" x14ac:dyDescent="0.25">
      <c r="A67" t="s">
        <v>8901</v>
      </c>
      <c r="B67" t="s">
        <v>8902</v>
      </c>
    </row>
    <row r="68" spans="1:2" x14ac:dyDescent="0.25">
      <c r="A68" t="s">
        <v>8903</v>
      </c>
      <c r="B68" t="s">
        <v>8904</v>
      </c>
    </row>
    <row r="69" spans="1:2" x14ac:dyDescent="0.25">
      <c r="A69" t="s">
        <v>8905</v>
      </c>
      <c r="B69" t="s">
        <v>8906</v>
      </c>
    </row>
    <row r="70" spans="1:2" x14ac:dyDescent="0.25">
      <c r="A70" t="s">
        <v>8907</v>
      </c>
      <c r="B70" t="s">
        <v>8908</v>
      </c>
    </row>
    <row r="71" spans="1:2" x14ac:dyDescent="0.25">
      <c r="A71" t="s">
        <v>8909</v>
      </c>
      <c r="B71" t="s">
        <v>8910</v>
      </c>
    </row>
    <row r="72" spans="1:2" x14ac:dyDescent="0.25">
      <c r="A72" t="s">
        <v>8911</v>
      </c>
      <c r="B72" t="s">
        <v>8912</v>
      </c>
    </row>
    <row r="73" spans="1:2" x14ac:dyDescent="0.25">
      <c r="A73" t="s">
        <v>8913</v>
      </c>
      <c r="B73" t="s">
        <v>8914</v>
      </c>
    </row>
    <row r="74" spans="1:2" x14ac:dyDescent="0.25">
      <c r="A74" t="s">
        <v>8915</v>
      </c>
      <c r="B74" t="s">
        <v>8916</v>
      </c>
    </row>
    <row r="75" spans="1:2" x14ac:dyDescent="0.25">
      <c r="A75" t="s">
        <v>8917</v>
      </c>
      <c r="B75" t="s">
        <v>8918</v>
      </c>
    </row>
    <row r="76" spans="1:2" x14ac:dyDescent="0.25">
      <c r="A76" t="s">
        <v>8919</v>
      </c>
      <c r="B76" t="s">
        <v>8920</v>
      </c>
    </row>
    <row r="77" spans="1:2" x14ac:dyDescent="0.25">
      <c r="A77" t="s">
        <v>8921</v>
      </c>
      <c r="B77" t="s">
        <v>8922</v>
      </c>
    </row>
    <row r="78" spans="1:2" x14ac:dyDescent="0.25">
      <c r="A78" t="s">
        <v>8923</v>
      </c>
      <c r="B78" t="s">
        <v>8924</v>
      </c>
    </row>
    <row r="79" spans="1:2" x14ac:dyDescent="0.25">
      <c r="A79" t="s">
        <v>8925</v>
      </c>
      <c r="B79" t="s">
        <v>8926</v>
      </c>
    </row>
    <row r="80" spans="1:2" x14ac:dyDescent="0.25">
      <c r="A80" t="s">
        <v>8927</v>
      </c>
      <c r="B80" t="s">
        <v>8928</v>
      </c>
    </row>
    <row r="81" spans="1:2" x14ac:dyDescent="0.25">
      <c r="A81" t="s">
        <v>8929</v>
      </c>
      <c r="B81" t="s">
        <v>8930</v>
      </c>
    </row>
    <row r="82" spans="1:2" x14ac:dyDescent="0.25">
      <c r="A82" t="s">
        <v>8931</v>
      </c>
      <c r="B82" t="s">
        <v>8932</v>
      </c>
    </row>
    <row r="83" spans="1:2" x14ac:dyDescent="0.25">
      <c r="A83" t="s">
        <v>8933</v>
      </c>
      <c r="B83" t="s">
        <v>8934</v>
      </c>
    </row>
    <row r="84" spans="1:2" x14ac:dyDescent="0.25">
      <c r="A84" t="s">
        <v>8935</v>
      </c>
      <c r="B84" t="s">
        <v>8936</v>
      </c>
    </row>
    <row r="85" spans="1:2" x14ac:dyDescent="0.25">
      <c r="A85" t="s">
        <v>8937</v>
      </c>
      <c r="B85" t="s">
        <v>8938</v>
      </c>
    </row>
    <row r="86" spans="1:2" x14ac:dyDescent="0.25">
      <c r="A86" t="s">
        <v>8939</v>
      </c>
      <c r="B86" t="s">
        <v>8940</v>
      </c>
    </row>
    <row r="87" spans="1:2" x14ac:dyDescent="0.25">
      <c r="A87" t="s">
        <v>8941</v>
      </c>
      <c r="B87" t="s">
        <v>8942</v>
      </c>
    </row>
    <row r="88" spans="1:2" x14ac:dyDescent="0.25">
      <c r="A88" t="s">
        <v>8943</v>
      </c>
      <c r="B88" t="s">
        <v>8944</v>
      </c>
    </row>
    <row r="89" spans="1:2" x14ac:dyDescent="0.25">
      <c r="A89" t="s">
        <v>8945</v>
      </c>
      <c r="B89" t="s">
        <v>8946</v>
      </c>
    </row>
    <row r="90" spans="1:2" x14ac:dyDescent="0.25">
      <c r="A90" t="s">
        <v>8947</v>
      </c>
      <c r="B90" t="s">
        <v>8948</v>
      </c>
    </row>
    <row r="91" spans="1:2" x14ac:dyDescent="0.25">
      <c r="A91" t="s">
        <v>8949</v>
      </c>
      <c r="B91" t="s">
        <v>8950</v>
      </c>
    </row>
    <row r="92" spans="1:2" x14ac:dyDescent="0.25">
      <c r="A92" t="s">
        <v>8951</v>
      </c>
      <c r="B92" t="s">
        <v>8952</v>
      </c>
    </row>
    <row r="93" spans="1:2" x14ac:dyDescent="0.25">
      <c r="A93" t="s">
        <v>8953</v>
      </c>
      <c r="B93" t="s">
        <v>8954</v>
      </c>
    </row>
    <row r="94" spans="1:2" x14ac:dyDescent="0.25">
      <c r="A94" t="s">
        <v>8955</v>
      </c>
      <c r="B94" t="s">
        <v>8956</v>
      </c>
    </row>
    <row r="95" spans="1:2" x14ac:dyDescent="0.25">
      <c r="A95" t="s">
        <v>8957</v>
      </c>
      <c r="B95" t="s">
        <v>8958</v>
      </c>
    </row>
    <row r="96" spans="1:2" x14ac:dyDescent="0.25">
      <c r="A96" t="s">
        <v>8959</v>
      </c>
      <c r="B96" t="s">
        <v>8960</v>
      </c>
    </row>
    <row r="97" spans="1:2" x14ac:dyDescent="0.25">
      <c r="A97" t="s">
        <v>8961</v>
      </c>
      <c r="B97" t="s">
        <v>8962</v>
      </c>
    </row>
    <row r="98" spans="1:2" x14ac:dyDescent="0.25">
      <c r="A98" t="s">
        <v>8963</v>
      </c>
      <c r="B98" t="s">
        <v>8964</v>
      </c>
    </row>
    <row r="99" spans="1:2" x14ac:dyDescent="0.25">
      <c r="A99" t="s">
        <v>8965</v>
      </c>
      <c r="B99" t="s">
        <v>8966</v>
      </c>
    </row>
    <row r="100" spans="1:2" x14ac:dyDescent="0.25">
      <c r="A100" t="s">
        <v>8967</v>
      </c>
      <c r="B100" t="s">
        <v>8968</v>
      </c>
    </row>
    <row r="101" spans="1:2" x14ac:dyDescent="0.25">
      <c r="A101" t="s">
        <v>8969</v>
      </c>
      <c r="B101" t="s">
        <v>8970</v>
      </c>
    </row>
    <row r="102" spans="1:2" x14ac:dyDescent="0.25">
      <c r="A102" t="s">
        <v>8971</v>
      </c>
      <c r="B102" t="s">
        <v>8972</v>
      </c>
    </row>
    <row r="103" spans="1:2" x14ac:dyDescent="0.25">
      <c r="A103" t="s">
        <v>8973</v>
      </c>
      <c r="B103" t="s">
        <v>8974</v>
      </c>
    </row>
    <row r="104" spans="1:2" x14ac:dyDescent="0.25">
      <c r="A104" t="s">
        <v>8975</v>
      </c>
      <c r="B104" t="s">
        <v>8976</v>
      </c>
    </row>
    <row r="105" spans="1:2" x14ac:dyDescent="0.25">
      <c r="A105" t="s">
        <v>8977</v>
      </c>
      <c r="B105" t="s">
        <v>8978</v>
      </c>
    </row>
    <row r="106" spans="1:2" x14ac:dyDescent="0.25">
      <c r="A106" t="s">
        <v>8979</v>
      </c>
      <c r="B106" t="s">
        <v>8980</v>
      </c>
    </row>
    <row r="107" spans="1:2" x14ac:dyDescent="0.25">
      <c r="A107" t="s">
        <v>8981</v>
      </c>
      <c r="B107" t="s">
        <v>8982</v>
      </c>
    </row>
    <row r="108" spans="1:2" x14ac:dyDescent="0.25">
      <c r="A108" t="s">
        <v>8983</v>
      </c>
      <c r="B108" t="s">
        <v>8984</v>
      </c>
    </row>
    <row r="109" spans="1:2" x14ac:dyDescent="0.25">
      <c r="A109" t="s">
        <v>8985</v>
      </c>
      <c r="B109" t="s">
        <v>8986</v>
      </c>
    </row>
    <row r="110" spans="1:2" x14ac:dyDescent="0.25">
      <c r="A110" t="s">
        <v>8987</v>
      </c>
      <c r="B110" t="s">
        <v>8988</v>
      </c>
    </row>
    <row r="111" spans="1:2" x14ac:dyDescent="0.25">
      <c r="A111" t="s">
        <v>8989</v>
      </c>
      <c r="B111" t="s">
        <v>8990</v>
      </c>
    </row>
    <row r="112" spans="1:2" x14ac:dyDescent="0.25">
      <c r="A112" t="s">
        <v>8991</v>
      </c>
      <c r="B112" t="s">
        <v>8992</v>
      </c>
    </row>
    <row r="113" spans="1:2" x14ac:dyDescent="0.25">
      <c r="A113" t="s">
        <v>8993</v>
      </c>
      <c r="B113" t="s">
        <v>8994</v>
      </c>
    </row>
    <row r="114" spans="1:2" x14ac:dyDescent="0.25">
      <c r="A114" t="s">
        <v>8995</v>
      </c>
      <c r="B114" t="s">
        <v>8996</v>
      </c>
    </row>
    <row r="115" spans="1:2" x14ac:dyDescent="0.25">
      <c r="A115" t="s">
        <v>8997</v>
      </c>
      <c r="B115" t="s">
        <v>8998</v>
      </c>
    </row>
    <row r="116" spans="1:2" x14ac:dyDescent="0.25">
      <c r="A116" t="s">
        <v>8999</v>
      </c>
      <c r="B116" t="s">
        <v>9000</v>
      </c>
    </row>
    <row r="117" spans="1:2" x14ac:dyDescent="0.25">
      <c r="A117" t="s">
        <v>9001</v>
      </c>
      <c r="B117" t="s">
        <v>9002</v>
      </c>
    </row>
    <row r="118" spans="1:2" x14ac:dyDescent="0.25">
      <c r="A118" t="s">
        <v>9003</v>
      </c>
      <c r="B118" t="s">
        <v>9004</v>
      </c>
    </row>
    <row r="119" spans="1:2" x14ac:dyDescent="0.25">
      <c r="A119" t="s">
        <v>9005</v>
      </c>
      <c r="B119" t="s">
        <v>9006</v>
      </c>
    </row>
    <row r="120" spans="1:2" x14ac:dyDescent="0.25">
      <c r="A120" t="s">
        <v>9007</v>
      </c>
      <c r="B120" t="s">
        <v>9008</v>
      </c>
    </row>
    <row r="121" spans="1:2" x14ac:dyDescent="0.25">
      <c r="A121" t="s">
        <v>9009</v>
      </c>
      <c r="B121" t="s">
        <v>9010</v>
      </c>
    </row>
    <row r="122" spans="1:2" x14ac:dyDescent="0.25">
      <c r="A122" t="s">
        <v>9011</v>
      </c>
      <c r="B122" t="s">
        <v>9012</v>
      </c>
    </row>
    <row r="123" spans="1:2" x14ac:dyDescent="0.25">
      <c r="A123" t="s">
        <v>9013</v>
      </c>
      <c r="B123" t="s">
        <v>9014</v>
      </c>
    </row>
    <row r="124" spans="1:2" x14ac:dyDescent="0.25">
      <c r="A124" t="s">
        <v>9015</v>
      </c>
      <c r="B124" t="s">
        <v>9016</v>
      </c>
    </row>
    <row r="125" spans="1:2" x14ac:dyDescent="0.25">
      <c r="A125" t="s">
        <v>9017</v>
      </c>
      <c r="B125" t="s">
        <v>9018</v>
      </c>
    </row>
    <row r="126" spans="1:2" x14ac:dyDescent="0.25">
      <c r="A126" t="s">
        <v>9019</v>
      </c>
      <c r="B126" t="s">
        <v>9020</v>
      </c>
    </row>
    <row r="127" spans="1:2" x14ac:dyDescent="0.25">
      <c r="A127" t="s">
        <v>9021</v>
      </c>
      <c r="B127" t="s">
        <v>9022</v>
      </c>
    </row>
    <row r="128" spans="1:2" x14ac:dyDescent="0.25">
      <c r="A128" t="s">
        <v>9023</v>
      </c>
      <c r="B128" t="s">
        <v>9024</v>
      </c>
    </row>
    <row r="129" spans="1:2" x14ac:dyDescent="0.25">
      <c r="A129" t="s">
        <v>9025</v>
      </c>
      <c r="B129" t="s">
        <v>9026</v>
      </c>
    </row>
    <row r="130" spans="1:2" x14ac:dyDescent="0.25">
      <c r="A130" t="s">
        <v>9027</v>
      </c>
      <c r="B130" t="s">
        <v>9028</v>
      </c>
    </row>
    <row r="131" spans="1:2" x14ac:dyDescent="0.25">
      <c r="A131" t="s">
        <v>9029</v>
      </c>
      <c r="B131" t="s">
        <v>9030</v>
      </c>
    </row>
    <row r="132" spans="1:2" x14ac:dyDescent="0.25">
      <c r="A132" t="s">
        <v>9031</v>
      </c>
      <c r="B132" t="s">
        <v>9032</v>
      </c>
    </row>
    <row r="133" spans="1:2" x14ac:dyDescent="0.25">
      <c r="A133" t="s">
        <v>9033</v>
      </c>
      <c r="B133" t="s">
        <v>9034</v>
      </c>
    </row>
    <row r="134" spans="1:2" x14ac:dyDescent="0.25">
      <c r="A134" t="s">
        <v>9035</v>
      </c>
      <c r="B134" t="s">
        <v>9036</v>
      </c>
    </row>
    <row r="135" spans="1:2" x14ac:dyDescent="0.25">
      <c r="A135" t="s">
        <v>9037</v>
      </c>
      <c r="B135" t="s">
        <v>9038</v>
      </c>
    </row>
    <row r="136" spans="1:2" x14ac:dyDescent="0.25">
      <c r="A136" t="s">
        <v>9039</v>
      </c>
      <c r="B136" t="s">
        <v>9040</v>
      </c>
    </row>
    <row r="137" spans="1:2" x14ac:dyDescent="0.25">
      <c r="A137" t="s">
        <v>9041</v>
      </c>
      <c r="B137" t="s">
        <v>9042</v>
      </c>
    </row>
    <row r="138" spans="1:2" x14ac:dyDescent="0.25">
      <c r="A138" t="s">
        <v>9043</v>
      </c>
      <c r="B138" t="s">
        <v>9044</v>
      </c>
    </row>
    <row r="139" spans="1:2" x14ac:dyDescent="0.25">
      <c r="A139" t="s">
        <v>9045</v>
      </c>
      <c r="B139" t="s">
        <v>9046</v>
      </c>
    </row>
    <row r="140" spans="1:2" x14ac:dyDescent="0.25">
      <c r="A140" t="s">
        <v>9047</v>
      </c>
      <c r="B140" t="s">
        <v>9048</v>
      </c>
    </row>
    <row r="141" spans="1:2" x14ac:dyDescent="0.25">
      <c r="A141" t="s">
        <v>9049</v>
      </c>
      <c r="B141" t="s">
        <v>9050</v>
      </c>
    </row>
    <row r="142" spans="1:2" x14ac:dyDescent="0.25">
      <c r="A142" t="s">
        <v>9051</v>
      </c>
      <c r="B142" t="s">
        <v>9052</v>
      </c>
    </row>
    <row r="143" spans="1:2" x14ac:dyDescent="0.25">
      <c r="A143" t="s">
        <v>9053</v>
      </c>
      <c r="B143" t="s">
        <v>9054</v>
      </c>
    </row>
    <row r="144" spans="1:2" x14ac:dyDescent="0.25">
      <c r="A144" t="s">
        <v>9055</v>
      </c>
      <c r="B144" t="s">
        <v>9056</v>
      </c>
    </row>
    <row r="145" spans="1:2" x14ac:dyDescent="0.25">
      <c r="A145" t="s">
        <v>9057</v>
      </c>
      <c r="B145" t="s">
        <v>9058</v>
      </c>
    </row>
    <row r="146" spans="1:2" x14ac:dyDescent="0.25">
      <c r="A146" t="s">
        <v>9059</v>
      </c>
      <c r="B146" t="s">
        <v>9060</v>
      </c>
    </row>
    <row r="147" spans="1:2" x14ac:dyDescent="0.25">
      <c r="A147" t="s">
        <v>9061</v>
      </c>
      <c r="B147" t="s">
        <v>9062</v>
      </c>
    </row>
    <row r="148" spans="1:2" x14ac:dyDescent="0.25">
      <c r="A148" t="s">
        <v>9063</v>
      </c>
      <c r="B148" t="s">
        <v>9064</v>
      </c>
    </row>
    <row r="149" spans="1:2" x14ac:dyDescent="0.25">
      <c r="A149" t="s">
        <v>9065</v>
      </c>
      <c r="B149" t="s">
        <v>9064</v>
      </c>
    </row>
    <row r="150" spans="1:2" x14ac:dyDescent="0.25">
      <c r="A150" t="s">
        <v>9066</v>
      </c>
      <c r="B150" t="s">
        <v>9064</v>
      </c>
    </row>
    <row r="151" spans="1:2" x14ac:dyDescent="0.25">
      <c r="A151" t="s">
        <v>9067</v>
      </c>
      <c r="B151" t="s">
        <v>9068</v>
      </c>
    </row>
    <row r="152" spans="1:2" x14ac:dyDescent="0.25">
      <c r="A152" t="s">
        <v>9069</v>
      </c>
      <c r="B152" t="s">
        <v>9070</v>
      </c>
    </row>
    <row r="153" spans="1:2" x14ac:dyDescent="0.25">
      <c r="A153" t="s">
        <v>9071</v>
      </c>
      <c r="B153" t="s">
        <v>9072</v>
      </c>
    </row>
    <row r="154" spans="1:2" x14ac:dyDescent="0.25">
      <c r="A154" t="s">
        <v>9073</v>
      </c>
      <c r="B154" t="s">
        <v>9074</v>
      </c>
    </row>
    <row r="155" spans="1:2" x14ac:dyDescent="0.25">
      <c r="A155" t="s">
        <v>9075</v>
      </c>
      <c r="B155" t="s">
        <v>9076</v>
      </c>
    </row>
    <row r="156" spans="1:2" x14ac:dyDescent="0.25">
      <c r="A156" t="s">
        <v>9077</v>
      </c>
      <c r="B156" t="s">
        <v>9078</v>
      </c>
    </row>
    <row r="157" spans="1:2" x14ac:dyDescent="0.25">
      <c r="A157" t="s">
        <v>9079</v>
      </c>
      <c r="B157" t="s">
        <v>9080</v>
      </c>
    </row>
    <row r="158" spans="1:2" x14ac:dyDescent="0.25">
      <c r="A158" t="s">
        <v>9081</v>
      </c>
      <c r="B158" t="s">
        <v>9082</v>
      </c>
    </row>
    <row r="159" spans="1:2" x14ac:dyDescent="0.25">
      <c r="A159" t="s">
        <v>9083</v>
      </c>
      <c r="B159" t="s">
        <v>9084</v>
      </c>
    </row>
    <row r="160" spans="1:2" x14ac:dyDescent="0.25">
      <c r="A160" t="s">
        <v>9085</v>
      </c>
      <c r="B160" t="s">
        <v>9086</v>
      </c>
    </row>
    <row r="161" spans="1:2" x14ac:dyDescent="0.25">
      <c r="A161" t="s">
        <v>9087</v>
      </c>
      <c r="B161" t="s">
        <v>9088</v>
      </c>
    </row>
    <row r="162" spans="1:2" x14ac:dyDescent="0.25">
      <c r="A162" t="s">
        <v>9089</v>
      </c>
      <c r="B162" t="s">
        <v>9090</v>
      </c>
    </row>
    <row r="163" spans="1:2" x14ac:dyDescent="0.25">
      <c r="A163" t="s">
        <v>9091</v>
      </c>
      <c r="B163" t="s">
        <v>9092</v>
      </c>
    </row>
    <row r="164" spans="1:2" x14ac:dyDescent="0.25">
      <c r="A164" t="s">
        <v>9093</v>
      </c>
      <c r="B164" t="s">
        <v>9094</v>
      </c>
    </row>
    <row r="165" spans="1:2" x14ac:dyDescent="0.25">
      <c r="A165" t="s">
        <v>9095</v>
      </c>
      <c r="B165" t="s">
        <v>9096</v>
      </c>
    </row>
    <row r="166" spans="1:2" x14ac:dyDescent="0.25">
      <c r="A166" t="s">
        <v>9097</v>
      </c>
      <c r="B166" t="s">
        <v>9098</v>
      </c>
    </row>
    <row r="167" spans="1:2" x14ac:dyDescent="0.25">
      <c r="A167" t="s">
        <v>9099</v>
      </c>
      <c r="B167" t="s">
        <v>9100</v>
      </c>
    </row>
    <row r="168" spans="1:2" x14ac:dyDescent="0.25">
      <c r="A168" t="s">
        <v>9101</v>
      </c>
      <c r="B168" t="s">
        <v>9102</v>
      </c>
    </row>
    <row r="169" spans="1:2" x14ac:dyDescent="0.25">
      <c r="A169" t="s">
        <v>9103</v>
      </c>
      <c r="B169" t="s">
        <v>9104</v>
      </c>
    </row>
    <row r="170" spans="1:2" x14ac:dyDescent="0.25">
      <c r="A170" t="s">
        <v>9105</v>
      </c>
      <c r="B170" t="s">
        <v>9106</v>
      </c>
    </row>
    <row r="171" spans="1:2" x14ac:dyDescent="0.25">
      <c r="A171" t="s">
        <v>9107</v>
      </c>
      <c r="B171" t="s">
        <v>9108</v>
      </c>
    </row>
    <row r="172" spans="1:2" x14ac:dyDescent="0.25">
      <c r="A172" t="s">
        <v>9109</v>
      </c>
      <c r="B172" t="s">
        <v>9110</v>
      </c>
    </row>
    <row r="173" spans="1:2" x14ac:dyDescent="0.25">
      <c r="A173" t="s">
        <v>9111</v>
      </c>
      <c r="B173" t="s">
        <v>9112</v>
      </c>
    </row>
    <row r="174" spans="1:2" x14ac:dyDescent="0.25">
      <c r="A174" t="s">
        <v>9113</v>
      </c>
      <c r="B174" t="s">
        <v>9114</v>
      </c>
    </row>
    <row r="175" spans="1:2" x14ac:dyDescent="0.25">
      <c r="A175" t="s">
        <v>9115</v>
      </c>
      <c r="B175" t="s">
        <v>9116</v>
      </c>
    </row>
    <row r="176" spans="1:2" x14ac:dyDescent="0.25">
      <c r="A176" t="s">
        <v>9117</v>
      </c>
      <c r="B176" t="s">
        <v>9118</v>
      </c>
    </row>
    <row r="177" spans="1:2" x14ac:dyDescent="0.25">
      <c r="A177" t="s">
        <v>9119</v>
      </c>
      <c r="B177" t="s">
        <v>9120</v>
      </c>
    </row>
    <row r="178" spans="1:2" x14ac:dyDescent="0.25">
      <c r="A178" t="s">
        <v>9121</v>
      </c>
      <c r="B178" t="s">
        <v>9122</v>
      </c>
    </row>
    <row r="179" spans="1:2" x14ac:dyDescent="0.25">
      <c r="A179" t="s">
        <v>9123</v>
      </c>
      <c r="B179" t="s">
        <v>9124</v>
      </c>
    </row>
    <row r="180" spans="1:2" x14ac:dyDescent="0.25">
      <c r="A180" t="s">
        <v>170</v>
      </c>
      <c r="B180" t="s">
        <v>9125</v>
      </c>
    </row>
    <row r="181" spans="1:2" x14ac:dyDescent="0.25">
      <c r="A181" t="s">
        <v>194</v>
      </c>
      <c r="B181" t="s">
        <v>9126</v>
      </c>
    </row>
    <row r="182" spans="1:2" x14ac:dyDescent="0.25">
      <c r="A182" t="s">
        <v>9127</v>
      </c>
      <c r="B182" t="s">
        <v>9128</v>
      </c>
    </row>
    <row r="183" spans="1:2" x14ac:dyDescent="0.25">
      <c r="A183" t="s">
        <v>9129</v>
      </c>
      <c r="B183" t="s">
        <v>9130</v>
      </c>
    </row>
    <row r="184" spans="1:2" x14ac:dyDescent="0.25">
      <c r="A184" t="s">
        <v>9131</v>
      </c>
      <c r="B184" t="s">
        <v>9132</v>
      </c>
    </row>
    <row r="185" spans="1:2" x14ac:dyDescent="0.25">
      <c r="A185" t="s">
        <v>2</v>
      </c>
      <c r="B185" t="s">
        <v>9133</v>
      </c>
    </row>
    <row r="186" spans="1:2" x14ac:dyDescent="0.25">
      <c r="A186" t="s">
        <v>229</v>
      </c>
      <c r="B186" t="s">
        <v>9134</v>
      </c>
    </row>
    <row r="187" spans="1:2" x14ac:dyDescent="0.25">
      <c r="A187" t="s">
        <v>9135</v>
      </c>
      <c r="B187" t="s">
        <v>9136</v>
      </c>
    </row>
    <row r="188" spans="1:2" x14ac:dyDescent="0.25">
      <c r="A188" t="s">
        <v>9137</v>
      </c>
      <c r="B188" t="s">
        <v>9138</v>
      </c>
    </row>
    <row r="189" spans="1:2" x14ac:dyDescent="0.25">
      <c r="A189" t="s">
        <v>9139</v>
      </c>
      <c r="B189" t="s">
        <v>9140</v>
      </c>
    </row>
    <row r="190" spans="1:2" x14ac:dyDescent="0.25">
      <c r="A190" t="s">
        <v>9141</v>
      </c>
      <c r="B190" t="s">
        <v>9142</v>
      </c>
    </row>
    <row r="191" spans="1:2" x14ac:dyDescent="0.25">
      <c r="A191" t="s">
        <v>231</v>
      </c>
      <c r="B191" t="s">
        <v>9143</v>
      </c>
    </row>
    <row r="192" spans="1:2" x14ac:dyDescent="0.25">
      <c r="A192" t="s">
        <v>9144</v>
      </c>
      <c r="B192" t="s">
        <v>9145</v>
      </c>
    </row>
    <row r="193" spans="1:2" x14ac:dyDescent="0.25">
      <c r="A193" t="s">
        <v>9146</v>
      </c>
      <c r="B193" t="s">
        <v>9147</v>
      </c>
    </row>
    <row r="194" spans="1:2" x14ac:dyDescent="0.25">
      <c r="A194" t="s">
        <v>9148</v>
      </c>
      <c r="B194" t="s">
        <v>9149</v>
      </c>
    </row>
    <row r="195" spans="1:2" x14ac:dyDescent="0.25">
      <c r="A195" t="s">
        <v>9150</v>
      </c>
      <c r="B195" t="s">
        <v>9151</v>
      </c>
    </row>
    <row r="196" spans="1:2" x14ac:dyDescent="0.25">
      <c r="A196" t="s">
        <v>9152</v>
      </c>
      <c r="B196" t="s">
        <v>9153</v>
      </c>
    </row>
    <row r="197" spans="1:2" x14ac:dyDescent="0.25">
      <c r="A197" t="s">
        <v>9154</v>
      </c>
      <c r="B197" t="s">
        <v>9155</v>
      </c>
    </row>
    <row r="198" spans="1:2" x14ac:dyDescent="0.25">
      <c r="A198" t="s">
        <v>9156</v>
      </c>
      <c r="B198" t="s">
        <v>9157</v>
      </c>
    </row>
    <row r="199" spans="1:2" x14ac:dyDescent="0.25">
      <c r="A199" t="s">
        <v>5</v>
      </c>
      <c r="B199" t="s">
        <v>9158</v>
      </c>
    </row>
    <row r="200" spans="1:2" x14ac:dyDescent="0.25">
      <c r="A200" t="s">
        <v>245</v>
      </c>
      <c r="B200" t="s">
        <v>9159</v>
      </c>
    </row>
    <row r="201" spans="1:2" x14ac:dyDescent="0.25">
      <c r="A201" t="s">
        <v>9160</v>
      </c>
      <c r="B201" t="s">
        <v>9161</v>
      </c>
    </row>
    <row r="202" spans="1:2" x14ac:dyDescent="0.25">
      <c r="A202" t="s">
        <v>247</v>
      </c>
      <c r="B202" t="s">
        <v>9162</v>
      </c>
    </row>
    <row r="203" spans="1:2" x14ac:dyDescent="0.25">
      <c r="A203" t="s">
        <v>252</v>
      </c>
      <c r="B203" t="s">
        <v>9163</v>
      </c>
    </row>
    <row r="204" spans="1:2" x14ac:dyDescent="0.25">
      <c r="A204" t="s">
        <v>9164</v>
      </c>
      <c r="B204" t="s">
        <v>9165</v>
      </c>
    </row>
    <row r="205" spans="1:2" x14ac:dyDescent="0.25">
      <c r="A205" t="s">
        <v>9166</v>
      </c>
      <c r="B205" t="s">
        <v>9167</v>
      </c>
    </row>
    <row r="206" spans="1:2" x14ac:dyDescent="0.25">
      <c r="A206" t="s">
        <v>9168</v>
      </c>
      <c r="B206" t="s">
        <v>9169</v>
      </c>
    </row>
    <row r="207" spans="1:2" x14ac:dyDescent="0.25">
      <c r="A207" t="s">
        <v>9170</v>
      </c>
      <c r="B207" t="s">
        <v>9171</v>
      </c>
    </row>
    <row r="208" spans="1:2" x14ac:dyDescent="0.25">
      <c r="A208" t="s">
        <v>9172</v>
      </c>
      <c r="B208" t="s">
        <v>9173</v>
      </c>
    </row>
    <row r="209" spans="1:2" x14ac:dyDescent="0.25">
      <c r="A209" t="s">
        <v>9174</v>
      </c>
      <c r="B209" t="s">
        <v>9175</v>
      </c>
    </row>
    <row r="210" spans="1:2" x14ac:dyDescent="0.25">
      <c r="A210" t="s">
        <v>264</v>
      </c>
      <c r="B210" t="s">
        <v>9176</v>
      </c>
    </row>
    <row r="211" spans="1:2" x14ac:dyDescent="0.25">
      <c r="A211" t="s">
        <v>9177</v>
      </c>
      <c r="B211" t="s">
        <v>9178</v>
      </c>
    </row>
    <row r="212" spans="1:2" x14ac:dyDescent="0.25">
      <c r="A212" t="s">
        <v>9179</v>
      </c>
      <c r="B212" t="s">
        <v>9180</v>
      </c>
    </row>
    <row r="213" spans="1:2" x14ac:dyDescent="0.25">
      <c r="A213" t="s">
        <v>9181</v>
      </c>
      <c r="B213" t="s">
        <v>9182</v>
      </c>
    </row>
    <row r="214" spans="1:2" x14ac:dyDescent="0.25">
      <c r="A214" t="s">
        <v>9183</v>
      </c>
      <c r="B214" t="s">
        <v>9184</v>
      </c>
    </row>
    <row r="215" spans="1:2" x14ac:dyDescent="0.25">
      <c r="A215" t="s">
        <v>269</v>
      </c>
      <c r="B215" t="s">
        <v>9185</v>
      </c>
    </row>
    <row r="216" spans="1:2" x14ac:dyDescent="0.25">
      <c r="A216" t="s">
        <v>9186</v>
      </c>
      <c r="B216" t="s">
        <v>9187</v>
      </c>
    </row>
    <row r="217" spans="1:2" x14ac:dyDescent="0.25">
      <c r="A217" t="s">
        <v>9188</v>
      </c>
      <c r="B217" t="s">
        <v>9189</v>
      </c>
    </row>
    <row r="218" spans="1:2" x14ac:dyDescent="0.25">
      <c r="A218" t="s">
        <v>9190</v>
      </c>
      <c r="B218" t="s">
        <v>9191</v>
      </c>
    </row>
    <row r="219" spans="1:2" x14ac:dyDescent="0.25">
      <c r="A219" t="s">
        <v>9192</v>
      </c>
      <c r="B219" t="s">
        <v>9193</v>
      </c>
    </row>
    <row r="220" spans="1:2" x14ac:dyDescent="0.25">
      <c r="A220" t="s">
        <v>9194</v>
      </c>
      <c r="B220" t="s">
        <v>9195</v>
      </c>
    </row>
    <row r="221" spans="1:2" x14ac:dyDescent="0.25">
      <c r="A221" t="s">
        <v>9196</v>
      </c>
      <c r="B221" t="s">
        <v>9197</v>
      </c>
    </row>
    <row r="222" spans="1:2" x14ac:dyDescent="0.25">
      <c r="A222" t="s">
        <v>9198</v>
      </c>
      <c r="B222" t="s">
        <v>9199</v>
      </c>
    </row>
    <row r="223" spans="1:2" x14ac:dyDescent="0.25">
      <c r="A223" t="s">
        <v>9200</v>
      </c>
      <c r="B223" t="s">
        <v>9201</v>
      </c>
    </row>
    <row r="224" spans="1:2" x14ac:dyDescent="0.25">
      <c r="A224" t="s">
        <v>9202</v>
      </c>
      <c r="B224" t="s">
        <v>9203</v>
      </c>
    </row>
    <row r="225" spans="1:2" x14ac:dyDescent="0.25">
      <c r="A225" t="s">
        <v>9204</v>
      </c>
      <c r="B225" t="s">
        <v>9205</v>
      </c>
    </row>
    <row r="226" spans="1:2" x14ac:dyDescent="0.25">
      <c r="A226" t="s">
        <v>9206</v>
      </c>
      <c r="B226" t="s">
        <v>9207</v>
      </c>
    </row>
    <row r="227" spans="1:2" x14ac:dyDescent="0.25">
      <c r="A227" t="s">
        <v>9208</v>
      </c>
      <c r="B227" t="s">
        <v>9209</v>
      </c>
    </row>
    <row r="228" spans="1:2" x14ac:dyDescent="0.25">
      <c r="A228" t="s">
        <v>9210</v>
      </c>
      <c r="B228" t="s">
        <v>9211</v>
      </c>
    </row>
    <row r="229" spans="1:2" x14ac:dyDescent="0.25">
      <c r="A229" t="s">
        <v>9212</v>
      </c>
      <c r="B229" t="s">
        <v>9213</v>
      </c>
    </row>
    <row r="230" spans="1:2" x14ac:dyDescent="0.25">
      <c r="A230" t="s">
        <v>9214</v>
      </c>
      <c r="B230" t="s">
        <v>9215</v>
      </c>
    </row>
    <row r="231" spans="1:2" x14ac:dyDescent="0.25">
      <c r="A231" t="s">
        <v>271</v>
      </c>
      <c r="B231" t="s">
        <v>9216</v>
      </c>
    </row>
    <row r="232" spans="1:2" x14ac:dyDescent="0.25">
      <c r="A232" t="s">
        <v>9217</v>
      </c>
      <c r="B232" t="s">
        <v>9218</v>
      </c>
    </row>
    <row r="233" spans="1:2" x14ac:dyDescent="0.25">
      <c r="A233" t="s">
        <v>9219</v>
      </c>
      <c r="B233" t="s">
        <v>9220</v>
      </c>
    </row>
    <row r="234" spans="1:2" x14ac:dyDescent="0.25">
      <c r="A234" t="s">
        <v>9221</v>
      </c>
      <c r="B234" t="s">
        <v>9222</v>
      </c>
    </row>
    <row r="235" spans="1:2" x14ac:dyDescent="0.25">
      <c r="A235" t="s">
        <v>9223</v>
      </c>
      <c r="B235" t="s">
        <v>9224</v>
      </c>
    </row>
    <row r="236" spans="1:2" x14ac:dyDescent="0.25">
      <c r="A236" t="s">
        <v>9225</v>
      </c>
      <c r="B236" t="s">
        <v>9226</v>
      </c>
    </row>
    <row r="237" spans="1:2" x14ac:dyDescent="0.25">
      <c r="A237" t="s">
        <v>9227</v>
      </c>
      <c r="B237" t="s">
        <v>9228</v>
      </c>
    </row>
    <row r="238" spans="1:2" x14ac:dyDescent="0.25">
      <c r="A238" t="s">
        <v>9229</v>
      </c>
      <c r="B238" t="s">
        <v>9230</v>
      </c>
    </row>
    <row r="239" spans="1:2" x14ac:dyDescent="0.25">
      <c r="A239" t="s">
        <v>9231</v>
      </c>
      <c r="B239" t="s">
        <v>9232</v>
      </c>
    </row>
    <row r="240" spans="1:2" x14ac:dyDescent="0.25">
      <c r="A240" t="s">
        <v>9233</v>
      </c>
      <c r="B240" t="s">
        <v>9234</v>
      </c>
    </row>
    <row r="241" spans="1:2" x14ac:dyDescent="0.25">
      <c r="A241" t="s">
        <v>9235</v>
      </c>
      <c r="B241" t="s">
        <v>9236</v>
      </c>
    </row>
    <row r="242" spans="1:2" x14ac:dyDescent="0.25">
      <c r="A242" t="s">
        <v>9237</v>
      </c>
      <c r="B242" t="s">
        <v>9238</v>
      </c>
    </row>
    <row r="243" spans="1:2" x14ac:dyDescent="0.25">
      <c r="A243" t="s">
        <v>9239</v>
      </c>
      <c r="B243" t="s">
        <v>9240</v>
      </c>
    </row>
    <row r="244" spans="1:2" x14ac:dyDescent="0.25">
      <c r="A244" t="s">
        <v>9241</v>
      </c>
      <c r="B244" t="s">
        <v>9242</v>
      </c>
    </row>
    <row r="245" spans="1:2" x14ac:dyDescent="0.25">
      <c r="A245" t="s">
        <v>9243</v>
      </c>
      <c r="B245" t="s">
        <v>9244</v>
      </c>
    </row>
    <row r="246" spans="1:2" x14ac:dyDescent="0.25">
      <c r="A246" t="s">
        <v>9245</v>
      </c>
      <c r="B246" t="s">
        <v>9246</v>
      </c>
    </row>
    <row r="247" spans="1:2" x14ac:dyDescent="0.25">
      <c r="A247" t="s">
        <v>9247</v>
      </c>
      <c r="B247" t="s">
        <v>9248</v>
      </c>
    </row>
    <row r="248" spans="1:2" x14ac:dyDescent="0.25">
      <c r="A248" t="s">
        <v>9249</v>
      </c>
      <c r="B248" t="s">
        <v>9250</v>
      </c>
    </row>
    <row r="249" spans="1:2" x14ac:dyDescent="0.25">
      <c r="A249" t="s">
        <v>9251</v>
      </c>
      <c r="B249" t="s">
        <v>9252</v>
      </c>
    </row>
    <row r="250" spans="1:2" x14ac:dyDescent="0.25">
      <c r="A250" t="s">
        <v>9253</v>
      </c>
      <c r="B250" t="s">
        <v>9254</v>
      </c>
    </row>
    <row r="251" spans="1:2" x14ac:dyDescent="0.25">
      <c r="A251" t="s">
        <v>9255</v>
      </c>
      <c r="B251" t="s">
        <v>9256</v>
      </c>
    </row>
    <row r="252" spans="1:2" x14ac:dyDescent="0.25">
      <c r="A252" t="s">
        <v>9257</v>
      </c>
      <c r="B252" t="s">
        <v>9258</v>
      </c>
    </row>
    <row r="253" spans="1:2" x14ac:dyDescent="0.25">
      <c r="A253" t="s">
        <v>9259</v>
      </c>
      <c r="B253" t="s">
        <v>9260</v>
      </c>
    </row>
    <row r="254" spans="1:2" x14ac:dyDescent="0.25">
      <c r="A254" t="s">
        <v>9261</v>
      </c>
      <c r="B254" t="s">
        <v>9262</v>
      </c>
    </row>
    <row r="255" spans="1:2" x14ac:dyDescent="0.25">
      <c r="A255" t="s">
        <v>9263</v>
      </c>
      <c r="B255" t="s">
        <v>9264</v>
      </c>
    </row>
    <row r="256" spans="1:2" x14ac:dyDescent="0.25">
      <c r="A256" t="s">
        <v>9265</v>
      </c>
      <c r="B256" t="s">
        <v>9266</v>
      </c>
    </row>
    <row r="257" spans="1:2" x14ac:dyDescent="0.25">
      <c r="A257" t="s">
        <v>276</v>
      </c>
      <c r="B257" t="s">
        <v>9267</v>
      </c>
    </row>
    <row r="258" spans="1:2" x14ac:dyDescent="0.25">
      <c r="A258" t="s">
        <v>9268</v>
      </c>
      <c r="B258" t="s">
        <v>9269</v>
      </c>
    </row>
    <row r="259" spans="1:2" x14ac:dyDescent="0.25">
      <c r="A259" t="s">
        <v>9270</v>
      </c>
      <c r="B259" t="s">
        <v>9271</v>
      </c>
    </row>
    <row r="260" spans="1:2" x14ac:dyDescent="0.25">
      <c r="A260" t="s">
        <v>9272</v>
      </c>
      <c r="B260" t="s">
        <v>9273</v>
      </c>
    </row>
    <row r="261" spans="1:2" x14ac:dyDescent="0.25">
      <c r="A261" t="s">
        <v>9274</v>
      </c>
      <c r="B261" t="s">
        <v>9275</v>
      </c>
    </row>
    <row r="262" spans="1:2" x14ac:dyDescent="0.25">
      <c r="A262" t="s">
        <v>9276</v>
      </c>
      <c r="B262" t="s">
        <v>9277</v>
      </c>
    </row>
    <row r="263" spans="1:2" x14ac:dyDescent="0.25">
      <c r="A263" t="s">
        <v>9278</v>
      </c>
      <c r="B263" t="s">
        <v>9279</v>
      </c>
    </row>
    <row r="264" spans="1:2" x14ac:dyDescent="0.25">
      <c r="A264" t="s">
        <v>9280</v>
      </c>
      <c r="B264" t="s">
        <v>9281</v>
      </c>
    </row>
    <row r="265" spans="1:2" x14ac:dyDescent="0.25">
      <c r="A265" t="s">
        <v>9282</v>
      </c>
      <c r="B265" t="s">
        <v>9283</v>
      </c>
    </row>
    <row r="266" spans="1:2" x14ac:dyDescent="0.25">
      <c r="A266" t="s">
        <v>9284</v>
      </c>
      <c r="B266" t="s">
        <v>9285</v>
      </c>
    </row>
    <row r="267" spans="1:2" x14ac:dyDescent="0.25">
      <c r="A267" t="s">
        <v>9286</v>
      </c>
      <c r="B267" t="s">
        <v>9287</v>
      </c>
    </row>
    <row r="268" spans="1:2" x14ac:dyDescent="0.25">
      <c r="A268" t="s">
        <v>9288</v>
      </c>
      <c r="B268" t="s">
        <v>9289</v>
      </c>
    </row>
    <row r="269" spans="1:2" x14ac:dyDescent="0.25">
      <c r="A269" t="s">
        <v>9290</v>
      </c>
      <c r="B269" t="s">
        <v>9291</v>
      </c>
    </row>
    <row r="270" spans="1:2" x14ac:dyDescent="0.25">
      <c r="A270" t="s">
        <v>9292</v>
      </c>
      <c r="B270" t="s">
        <v>9293</v>
      </c>
    </row>
    <row r="271" spans="1:2" x14ac:dyDescent="0.25">
      <c r="A271" t="s">
        <v>9294</v>
      </c>
      <c r="B271" t="s">
        <v>9295</v>
      </c>
    </row>
    <row r="272" spans="1:2" x14ac:dyDescent="0.25">
      <c r="A272" t="s">
        <v>9296</v>
      </c>
      <c r="B272" t="s">
        <v>9297</v>
      </c>
    </row>
    <row r="273" spans="1:2" x14ac:dyDescent="0.25">
      <c r="A273" t="s">
        <v>9298</v>
      </c>
      <c r="B273" t="s">
        <v>9299</v>
      </c>
    </row>
    <row r="274" spans="1:2" x14ac:dyDescent="0.25">
      <c r="A274" t="s">
        <v>9300</v>
      </c>
      <c r="B274" t="s">
        <v>9301</v>
      </c>
    </row>
    <row r="275" spans="1:2" x14ac:dyDescent="0.25">
      <c r="A275" t="s">
        <v>9302</v>
      </c>
      <c r="B275" t="s">
        <v>9303</v>
      </c>
    </row>
    <row r="276" spans="1:2" x14ac:dyDescent="0.25">
      <c r="A276" t="s">
        <v>9304</v>
      </c>
      <c r="B276" t="s">
        <v>9305</v>
      </c>
    </row>
    <row r="277" spans="1:2" x14ac:dyDescent="0.25">
      <c r="A277" t="s">
        <v>9306</v>
      </c>
      <c r="B277" t="s">
        <v>9307</v>
      </c>
    </row>
    <row r="278" spans="1:2" x14ac:dyDescent="0.25">
      <c r="A278" t="s">
        <v>9308</v>
      </c>
      <c r="B278" t="s">
        <v>9309</v>
      </c>
    </row>
    <row r="279" spans="1:2" x14ac:dyDescent="0.25">
      <c r="A279" t="s">
        <v>9310</v>
      </c>
      <c r="B279" t="s">
        <v>9311</v>
      </c>
    </row>
    <row r="280" spans="1:2" x14ac:dyDescent="0.25">
      <c r="A280" t="s">
        <v>9312</v>
      </c>
      <c r="B280" t="s">
        <v>9313</v>
      </c>
    </row>
    <row r="281" spans="1:2" x14ac:dyDescent="0.25">
      <c r="A281" t="s">
        <v>9314</v>
      </c>
      <c r="B281" t="s">
        <v>9315</v>
      </c>
    </row>
    <row r="282" spans="1:2" x14ac:dyDescent="0.25">
      <c r="A282" t="s">
        <v>9316</v>
      </c>
      <c r="B282" t="s">
        <v>9317</v>
      </c>
    </row>
    <row r="283" spans="1:2" x14ac:dyDescent="0.25">
      <c r="A283" t="s">
        <v>9318</v>
      </c>
      <c r="B283" t="s">
        <v>9319</v>
      </c>
    </row>
    <row r="284" spans="1:2" x14ac:dyDescent="0.25">
      <c r="A284" t="s">
        <v>9320</v>
      </c>
      <c r="B284" t="s">
        <v>9321</v>
      </c>
    </row>
    <row r="285" spans="1:2" x14ac:dyDescent="0.25">
      <c r="A285" t="s">
        <v>9322</v>
      </c>
      <c r="B285" t="s">
        <v>9323</v>
      </c>
    </row>
    <row r="286" spans="1:2" x14ac:dyDescent="0.25">
      <c r="A286" t="s">
        <v>9324</v>
      </c>
      <c r="B286" t="s">
        <v>9325</v>
      </c>
    </row>
    <row r="287" spans="1:2" x14ac:dyDescent="0.25">
      <c r="A287" t="s">
        <v>9326</v>
      </c>
      <c r="B287" t="s">
        <v>9327</v>
      </c>
    </row>
    <row r="288" spans="1:2" x14ac:dyDescent="0.25">
      <c r="A288" t="s">
        <v>9328</v>
      </c>
      <c r="B288" t="s">
        <v>9329</v>
      </c>
    </row>
    <row r="289" spans="1:2" x14ac:dyDescent="0.25">
      <c r="A289" t="s">
        <v>9330</v>
      </c>
      <c r="B289" t="s">
        <v>9331</v>
      </c>
    </row>
    <row r="290" spans="1:2" x14ac:dyDescent="0.25">
      <c r="A290" t="s">
        <v>9332</v>
      </c>
      <c r="B290" t="s">
        <v>9333</v>
      </c>
    </row>
    <row r="291" spans="1:2" x14ac:dyDescent="0.25">
      <c r="A291" t="s">
        <v>9334</v>
      </c>
      <c r="B291" t="s">
        <v>9335</v>
      </c>
    </row>
    <row r="292" spans="1:2" x14ac:dyDescent="0.25">
      <c r="A292" t="s">
        <v>9336</v>
      </c>
      <c r="B292" t="s">
        <v>9337</v>
      </c>
    </row>
    <row r="293" spans="1:2" x14ac:dyDescent="0.25">
      <c r="A293" t="s">
        <v>9338</v>
      </c>
      <c r="B293" t="s">
        <v>9339</v>
      </c>
    </row>
    <row r="294" spans="1:2" x14ac:dyDescent="0.25">
      <c r="A294" t="s">
        <v>9340</v>
      </c>
      <c r="B294" t="s">
        <v>9341</v>
      </c>
    </row>
    <row r="295" spans="1:2" x14ac:dyDescent="0.25">
      <c r="A295" t="s">
        <v>9342</v>
      </c>
      <c r="B295" t="s">
        <v>9343</v>
      </c>
    </row>
    <row r="296" spans="1:2" x14ac:dyDescent="0.25">
      <c r="A296" t="s">
        <v>9344</v>
      </c>
      <c r="B296" t="s">
        <v>9345</v>
      </c>
    </row>
    <row r="297" spans="1:2" x14ac:dyDescent="0.25">
      <c r="A297" t="s">
        <v>9346</v>
      </c>
      <c r="B297" t="s">
        <v>9347</v>
      </c>
    </row>
    <row r="298" spans="1:2" x14ac:dyDescent="0.25">
      <c r="A298" t="s">
        <v>9348</v>
      </c>
      <c r="B298" t="s">
        <v>9349</v>
      </c>
    </row>
    <row r="299" spans="1:2" x14ac:dyDescent="0.25">
      <c r="A299" t="s">
        <v>9350</v>
      </c>
      <c r="B299" t="s">
        <v>9351</v>
      </c>
    </row>
    <row r="300" spans="1:2" x14ac:dyDescent="0.25">
      <c r="A300" t="s">
        <v>9352</v>
      </c>
      <c r="B300" t="s">
        <v>9353</v>
      </c>
    </row>
    <row r="301" spans="1:2" x14ac:dyDescent="0.25">
      <c r="A301" t="s">
        <v>9354</v>
      </c>
      <c r="B301" t="s">
        <v>9355</v>
      </c>
    </row>
    <row r="302" spans="1:2" x14ac:dyDescent="0.25">
      <c r="A302" t="s">
        <v>9356</v>
      </c>
      <c r="B302" t="s">
        <v>9357</v>
      </c>
    </row>
    <row r="303" spans="1:2" x14ac:dyDescent="0.25">
      <c r="A303" t="s">
        <v>9358</v>
      </c>
      <c r="B303" t="s">
        <v>9359</v>
      </c>
    </row>
    <row r="304" spans="1:2" x14ac:dyDescent="0.25">
      <c r="A304" t="s">
        <v>287</v>
      </c>
      <c r="B304" t="s">
        <v>9360</v>
      </c>
    </row>
    <row r="305" spans="1:2" x14ac:dyDescent="0.25">
      <c r="A305" t="s">
        <v>9361</v>
      </c>
      <c r="B305" t="s">
        <v>9362</v>
      </c>
    </row>
    <row r="306" spans="1:2" x14ac:dyDescent="0.25">
      <c r="A306" t="s">
        <v>9363</v>
      </c>
      <c r="B306" t="s">
        <v>9364</v>
      </c>
    </row>
    <row r="307" spans="1:2" x14ac:dyDescent="0.25">
      <c r="A307" t="s">
        <v>9365</v>
      </c>
      <c r="B307" t="s">
        <v>9366</v>
      </c>
    </row>
    <row r="308" spans="1:2" x14ac:dyDescent="0.25">
      <c r="A308" t="s">
        <v>9367</v>
      </c>
      <c r="B308" t="s">
        <v>9368</v>
      </c>
    </row>
    <row r="309" spans="1:2" x14ac:dyDescent="0.25">
      <c r="A309" t="s">
        <v>9369</v>
      </c>
      <c r="B309" t="s">
        <v>9370</v>
      </c>
    </row>
    <row r="310" spans="1:2" x14ac:dyDescent="0.25">
      <c r="A310" t="s">
        <v>9371</v>
      </c>
      <c r="B310" t="s">
        <v>9372</v>
      </c>
    </row>
    <row r="311" spans="1:2" x14ac:dyDescent="0.25">
      <c r="A311" t="s">
        <v>9373</v>
      </c>
      <c r="B311" t="s">
        <v>9374</v>
      </c>
    </row>
    <row r="312" spans="1:2" x14ac:dyDescent="0.25">
      <c r="A312" t="s">
        <v>9375</v>
      </c>
      <c r="B312" t="s">
        <v>9376</v>
      </c>
    </row>
    <row r="313" spans="1:2" x14ac:dyDescent="0.25">
      <c r="A313" t="s">
        <v>9377</v>
      </c>
      <c r="B313" t="s">
        <v>9378</v>
      </c>
    </row>
    <row r="314" spans="1:2" x14ac:dyDescent="0.25">
      <c r="A314" t="s">
        <v>9379</v>
      </c>
      <c r="B314" t="s">
        <v>9380</v>
      </c>
    </row>
    <row r="315" spans="1:2" x14ac:dyDescent="0.25">
      <c r="A315" t="s">
        <v>9381</v>
      </c>
      <c r="B315" t="s">
        <v>9382</v>
      </c>
    </row>
    <row r="316" spans="1:2" x14ac:dyDescent="0.25">
      <c r="A316" t="s">
        <v>9383</v>
      </c>
      <c r="B316" t="s">
        <v>9384</v>
      </c>
    </row>
    <row r="317" spans="1:2" x14ac:dyDescent="0.25">
      <c r="A317" t="s">
        <v>9385</v>
      </c>
      <c r="B317" t="s">
        <v>9386</v>
      </c>
    </row>
    <row r="318" spans="1:2" x14ac:dyDescent="0.25">
      <c r="A318" t="s">
        <v>9387</v>
      </c>
      <c r="B318" t="s">
        <v>9388</v>
      </c>
    </row>
    <row r="319" spans="1:2" x14ac:dyDescent="0.25">
      <c r="A319" t="s">
        <v>9389</v>
      </c>
      <c r="B319" t="s">
        <v>9390</v>
      </c>
    </row>
    <row r="320" spans="1:2" x14ac:dyDescent="0.25">
      <c r="A320" t="s">
        <v>9391</v>
      </c>
      <c r="B320" t="s">
        <v>9392</v>
      </c>
    </row>
    <row r="321" spans="1:2" x14ac:dyDescent="0.25">
      <c r="A321" t="s">
        <v>9393</v>
      </c>
      <c r="B321" t="s">
        <v>9394</v>
      </c>
    </row>
    <row r="322" spans="1:2" x14ac:dyDescent="0.25">
      <c r="A322" t="s">
        <v>7</v>
      </c>
      <c r="B322" t="s">
        <v>9395</v>
      </c>
    </row>
    <row r="323" spans="1:2" x14ac:dyDescent="0.25">
      <c r="A323" t="s">
        <v>9396</v>
      </c>
      <c r="B323" t="s">
        <v>9397</v>
      </c>
    </row>
    <row r="324" spans="1:2" x14ac:dyDescent="0.25">
      <c r="A324" t="s">
        <v>9398</v>
      </c>
      <c r="B324" t="s">
        <v>9399</v>
      </c>
    </row>
    <row r="325" spans="1:2" x14ac:dyDescent="0.25">
      <c r="A325" t="s">
        <v>9400</v>
      </c>
      <c r="B325" t="s">
        <v>9401</v>
      </c>
    </row>
    <row r="326" spans="1:2" x14ac:dyDescent="0.25">
      <c r="A326" t="s">
        <v>9402</v>
      </c>
      <c r="B326" t="s">
        <v>9403</v>
      </c>
    </row>
    <row r="327" spans="1:2" x14ac:dyDescent="0.25">
      <c r="A327" t="s">
        <v>9404</v>
      </c>
      <c r="B327" t="s">
        <v>9405</v>
      </c>
    </row>
    <row r="328" spans="1:2" x14ac:dyDescent="0.25">
      <c r="A328" t="s">
        <v>9406</v>
      </c>
      <c r="B328" t="s">
        <v>9407</v>
      </c>
    </row>
    <row r="329" spans="1:2" x14ac:dyDescent="0.25">
      <c r="A329" t="s">
        <v>9408</v>
      </c>
      <c r="B329" t="s">
        <v>9409</v>
      </c>
    </row>
    <row r="330" spans="1:2" x14ac:dyDescent="0.25">
      <c r="A330" t="s">
        <v>9410</v>
      </c>
      <c r="B330" t="s">
        <v>9411</v>
      </c>
    </row>
    <row r="331" spans="1:2" x14ac:dyDescent="0.25">
      <c r="A331" t="s">
        <v>9412</v>
      </c>
      <c r="B331" t="s">
        <v>9413</v>
      </c>
    </row>
    <row r="332" spans="1:2" x14ac:dyDescent="0.25">
      <c r="A332" t="s">
        <v>9414</v>
      </c>
      <c r="B332" t="s">
        <v>9415</v>
      </c>
    </row>
    <row r="333" spans="1:2" x14ac:dyDescent="0.25">
      <c r="A333" t="s">
        <v>9416</v>
      </c>
      <c r="B333" t="s">
        <v>9417</v>
      </c>
    </row>
    <row r="334" spans="1:2" x14ac:dyDescent="0.25">
      <c r="A334" t="s">
        <v>319</v>
      </c>
      <c r="B334" t="s">
        <v>9418</v>
      </c>
    </row>
    <row r="335" spans="1:2" x14ac:dyDescent="0.25">
      <c r="A335" t="s">
        <v>9419</v>
      </c>
      <c r="B335" t="s">
        <v>9420</v>
      </c>
    </row>
    <row r="336" spans="1:2" x14ac:dyDescent="0.25">
      <c r="A336" t="s">
        <v>9421</v>
      </c>
      <c r="B336" t="s">
        <v>9422</v>
      </c>
    </row>
    <row r="337" spans="1:2" x14ac:dyDescent="0.25">
      <c r="A337" t="s">
        <v>9423</v>
      </c>
      <c r="B337" t="s">
        <v>9424</v>
      </c>
    </row>
    <row r="338" spans="1:2" x14ac:dyDescent="0.25">
      <c r="A338" t="s">
        <v>321</v>
      </c>
      <c r="B338" t="s">
        <v>9425</v>
      </c>
    </row>
    <row r="339" spans="1:2" x14ac:dyDescent="0.25">
      <c r="A339" t="s">
        <v>9426</v>
      </c>
      <c r="B339" t="s">
        <v>9427</v>
      </c>
    </row>
    <row r="340" spans="1:2" x14ac:dyDescent="0.25">
      <c r="A340" t="s">
        <v>9428</v>
      </c>
      <c r="B340" t="s">
        <v>9429</v>
      </c>
    </row>
    <row r="341" spans="1:2" x14ac:dyDescent="0.25">
      <c r="A341" t="s">
        <v>323</v>
      </c>
      <c r="B341" t="s">
        <v>9430</v>
      </c>
    </row>
    <row r="342" spans="1:2" x14ac:dyDescent="0.25">
      <c r="A342" t="s">
        <v>9431</v>
      </c>
      <c r="B342" t="s">
        <v>9432</v>
      </c>
    </row>
    <row r="343" spans="1:2" x14ac:dyDescent="0.25">
      <c r="A343" t="s">
        <v>9433</v>
      </c>
      <c r="B343" t="s">
        <v>9434</v>
      </c>
    </row>
    <row r="344" spans="1:2" x14ac:dyDescent="0.25">
      <c r="A344" t="s">
        <v>9435</v>
      </c>
      <c r="B344" t="s">
        <v>9436</v>
      </c>
    </row>
    <row r="345" spans="1:2" x14ac:dyDescent="0.25">
      <c r="A345" t="s">
        <v>327</v>
      </c>
      <c r="B345" t="s">
        <v>9437</v>
      </c>
    </row>
    <row r="346" spans="1:2" x14ac:dyDescent="0.25">
      <c r="A346" t="s">
        <v>9438</v>
      </c>
      <c r="B346" t="s">
        <v>9439</v>
      </c>
    </row>
    <row r="347" spans="1:2" x14ac:dyDescent="0.25">
      <c r="A347" t="s">
        <v>9440</v>
      </c>
      <c r="B347" t="s">
        <v>9441</v>
      </c>
    </row>
    <row r="348" spans="1:2" x14ac:dyDescent="0.25">
      <c r="A348" t="s">
        <v>9442</v>
      </c>
      <c r="B348" t="s">
        <v>9443</v>
      </c>
    </row>
    <row r="349" spans="1:2" x14ac:dyDescent="0.25">
      <c r="A349" t="s">
        <v>9444</v>
      </c>
      <c r="B349" t="s">
        <v>9445</v>
      </c>
    </row>
    <row r="350" spans="1:2" x14ac:dyDescent="0.25">
      <c r="A350" t="s">
        <v>9446</v>
      </c>
      <c r="B350" t="s">
        <v>9447</v>
      </c>
    </row>
    <row r="351" spans="1:2" x14ac:dyDescent="0.25">
      <c r="A351" t="s">
        <v>9448</v>
      </c>
      <c r="B351" t="s">
        <v>9449</v>
      </c>
    </row>
    <row r="352" spans="1:2" x14ac:dyDescent="0.25">
      <c r="A352" t="s">
        <v>9450</v>
      </c>
      <c r="B352" t="s">
        <v>9451</v>
      </c>
    </row>
    <row r="353" spans="1:2" x14ac:dyDescent="0.25">
      <c r="A353" t="s">
        <v>9452</v>
      </c>
      <c r="B353" t="s">
        <v>9453</v>
      </c>
    </row>
    <row r="354" spans="1:2" x14ac:dyDescent="0.25">
      <c r="A354" t="s">
        <v>9454</v>
      </c>
      <c r="B354" t="s">
        <v>9455</v>
      </c>
    </row>
    <row r="355" spans="1:2" x14ac:dyDescent="0.25">
      <c r="A355" t="s">
        <v>9456</v>
      </c>
      <c r="B355" t="s">
        <v>9457</v>
      </c>
    </row>
    <row r="356" spans="1:2" x14ac:dyDescent="0.25">
      <c r="A356" t="s">
        <v>9458</v>
      </c>
      <c r="B356" t="s">
        <v>9459</v>
      </c>
    </row>
    <row r="357" spans="1:2" x14ac:dyDescent="0.25">
      <c r="A357" t="s">
        <v>9460</v>
      </c>
      <c r="B357" t="s">
        <v>9461</v>
      </c>
    </row>
    <row r="358" spans="1:2" x14ac:dyDescent="0.25">
      <c r="A358" t="s">
        <v>9462</v>
      </c>
      <c r="B358" t="s">
        <v>9463</v>
      </c>
    </row>
    <row r="359" spans="1:2" x14ac:dyDescent="0.25">
      <c r="A359" t="s">
        <v>9464</v>
      </c>
      <c r="B359" t="s">
        <v>9465</v>
      </c>
    </row>
    <row r="360" spans="1:2" x14ac:dyDescent="0.25">
      <c r="A360" t="s">
        <v>9466</v>
      </c>
      <c r="B360" t="s">
        <v>9467</v>
      </c>
    </row>
    <row r="361" spans="1:2" x14ac:dyDescent="0.25">
      <c r="A361" t="s">
        <v>9468</v>
      </c>
      <c r="B361" t="s">
        <v>9469</v>
      </c>
    </row>
    <row r="362" spans="1:2" x14ac:dyDescent="0.25">
      <c r="A362" t="s">
        <v>9470</v>
      </c>
      <c r="B362" t="s">
        <v>9471</v>
      </c>
    </row>
    <row r="363" spans="1:2" x14ac:dyDescent="0.25">
      <c r="A363" t="s">
        <v>9472</v>
      </c>
      <c r="B363" t="s">
        <v>9473</v>
      </c>
    </row>
    <row r="364" spans="1:2" x14ac:dyDescent="0.25">
      <c r="A364" t="s">
        <v>265</v>
      </c>
      <c r="B364" t="s">
        <v>9474</v>
      </c>
    </row>
    <row r="365" spans="1:2" x14ac:dyDescent="0.25">
      <c r="A365" t="s">
        <v>9475</v>
      </c>
      <c r="B365" t="s">
        <v>9476</v>
      </c>
    </row>
    <row r="366" spans="1:2" x14ac:dyDescent="0.25">
      <c r="A366" t="s">
        <v>9477</v>
      </c>
      <c r="B366" t="s">
        <v>9478</v>
      </c>
    </row>
    <row r="367" spans="1:2" x14ac:dyDescent="0.25">
      <c r="A367" t="s">
        <v>9479</v>
      </c>
      <c r="B367" t="s">
        <v>9480</v>
      </c>
    </row>
    <row r="368" spans="1:2" x14ac:dyDescent="0.25">
      <c r="A368" t="s">
        <v>9481</v>
      </c>
      <c r="B368" t="s">
        <v>9482</v>
      </c>
    </row>
    <row r="369" spans="1:2" x14ac:dyDescent="0.25">
      <c r="A369" t="s">
        <v>9483</v>
      </c>
      <c r="B369" t="s">
        <v>9484</v>
      </c>
    </row>
    <row r="370" spans="1:2" x14ac:dyDescent="0.25">
      <c r="A370" t="s">
        <v>9485</v>
      </c>
      <c r="B370" t="s">
        <v>9486</v>
      </c>
    </row>
    <row r="371" spans="1:2" x14ac:dyDescent="0.25">
      <c r="A371" t="s">
        <v>9487</v>
      </c>
      <c r="B371" t="s">
        <v>9488</v>
      </c>
    </row>
    <row r="372" spans="1:2" x14ac:dyDescent="0.25">
      <c r="A372" t="s">
        <v>9489</v>
      </c>
      <c r="B372" t="s">
        <v>9490</v>
      </c>
    </row>
    <row r="373" spans="1:2" x14ac:dyDescent="0.25">
      <c r="A373" t="s">
        <v>9491</v>
      </c>
      <c r="B373" t="s">
        <v>9492</v>
      </c>
    </row>
    <row r="374" spans="1:2" x14ac:dyDescent="0.25">
      <c r="A374" t="s">
        <v>9493</v>
      </c>
      <c r="B374" t="s">
        <v>9494</v>
      </c>
    </row>
    <row r="375" spans="1:2" x14ac:dyDescent="0.25">
      <c r="A375" t="s">
        <v>9495</v>
      </c>
      <c r="B375" t="s">
        <v>9496</v>
      </c>
    </row>
    <row r="376" spans="1:2" x14ac:dyDescent="0.25">
      <c r="A376" t="s">
        <v>9497</v>
      </c>
      <c r="B376" t="s">
        <v>9498</v>
      </c>
    </row>
    <row r="377" spans="1:2" x14ac:dyDescent="0.25">
      <c r="A377" t="s">
        <v>9</v>
      </c>
      <c r="B377" t="s">
        <v>9499</v>
      </c>
    </row>
    <row r="378" spans="1:2" x14ac:dyDescent="0.25">
      <c r="A378" t="s">
        <v>9500</v>
      </c>
      <c r="B378" t="s">
        <v>9501</v>
      </c>
    </row>
    <row r="379" spans="1:2" x14ac:dyDescent="0.25">
      <c r="A379" t="s">
        <v>9502</v>
      </c>
      <c r="B379" t="s">
        <v>9503</v>
      </c>
    </row>
    <row r="380" spans="1:2" x14ac:dyDescent="0.25">
      <c r="A380" t="s">
        <v>9504</v>
      </c>
      <c r="B380" t="s">
        <v>9505</v>
      </c>
    </row>
    <row r="381" spans="1:2" x14ac:dyDescent="0.25">
      <c r="A381" t="s">
        <v>9506</v>
      </c>
      <c r="B381" t="s">
        <v>9507</v>
      </c>
    </row>
    <row r="382" spans="1:2" x14ac:dyDescent="0.25">
      <c r="A382" t="s">
        <v>9508</v>
      </c>
      <c r="B382" t="s">
        <v>9509</v>
      </c>
    </row>
    <row r="383" spans="1:2" x14ac:dyDescent="0.25">
      <c r="A383" t="s">
        <v>9510</v>
      </c>
      <c r="B383" t="s">
        <v>9511</v>
      </c>
    </row>
    <row r="384" spans="1:2" x14ac:dyDescent="0.25">
      <c r="A384" t="s">
        <v>9512</v>
      </c>
      <c r="B384" t="s">
        <v>9513</v>
      </c>
    </row>
    <row r="385" spans="1:2" x14ac:dyDescent="0.25">
      <c r="A385" t="s">
        <v>9514</v>
      </c>
      <c r="B385" t="s">
        <v>9515</v>
      </c>
    </row>
    <row r="386" spans="1:2" x14ac:dyDescent="0.25">
      <c r="A386" t="s">
        <v>9516</v>
      </c>
      <c r="B386" t="s">
        <v>9517</v>
      </c>
    </row>
    <row r="387" spans="1:2" x14ac:dyDescent="0.25">
      <c r="A387" t="s">
        <v>9518</v>
      </c>
      <c r="B387" t="s">
        <v>9519</v>
      </c>
    </row>
    <row r="388" spans="1:2" x14ac:dyDescent="0.25">
      <c r="A388" t="s">
        <v>9520</v>
      </c>
      <c r="B388" t="s">
        <v>9521</v>
      </c>
    </row>
    <row r="389" spans="1:2" x14ac:dyDescent="0.25">
      <c r="A389" t="s">
        <v>9522</v>
      </c>
      <c r="B389" t="s">
        <v>9523</v>
      </c>
    </row>
    <row r="390" spans="1:2" x14ac:dyDescent="0.25">
      <c r="A390" t="s">
        <v>9524</v>
      </c>
      <c r="B390" t="s">
        <v>9525</v>
      </c>
    </row>
    <row r="391" spans="1:2" x14ac:dyDescent="0.25">
      <c r="A391" t="s">
        <v>9526</v>
      </c>
      <c r="B391" t="s">
        <v>9527</v>
      </c>
    </row>
    <row r="392" spans="1:2" x14ac:dyDescent="0.25">
      <c r="A392" t="s">
        <v>9528</v>
      </c>
      <c r="B392" t="s">
        <v>9529</v>
      </c>
    </row>
    <row r="393" spans="1:2" x14ac:dyDescent="0.25">
      <c r="A393" t="s">
        <v>9530</v>
      </c>
      <c r="B393" t="s">
        <v>9531</v>
      </c>
    </row>
    <row r="394" spans="1:2" x14ac:dyDescent="0.25">
      <c r="A394" t="s">
        <v>9532</v>
      </c>
      <c r="B394" t="s">
        <v>9533</v>
      </c>
    </row>
    <row r="395" spans="1:2" x14ac:dyDescent="0.25">
      <c r="A395" t="s">
        <v>9534</v>
      </c>
      <c r="B395" t="s">
        <v>9535</v>
      </c>
    </row>
    <row r="396" spans="1:2" x14ac:dyDescent="0.25">
      <c r="A396" t="s">
        <v>9536</v>
      </c>
      <c r="B396" t="s">
        <v>9537</v>
      </c>
    </row>
    <row r="397" spans="1:2" x14ac:dyDescent="0.25">
      <c r="A397" t="s">
        <v>9538</v>
      </c>
      <c r="B397" t="s">
        <v>9539</v>
      </c>
    </row>
    <row r="398" spans="1:2" x14ac:dyDescent="0.25">
      <c r="A398" t="s">
        <v>385</v>
      </c>
      <c r="B398" t="s">
        <v>9540</v>
      </c>
    </row>
    <row r="399" spans="1:2" x14ac:dyDescent="0.25">
      <c r="A399" t="s">
        <v>9541</v>
      </c>
      <c r="B399" t="s">
        <v>9542</v>
      </c>
    </row>
    <row r="400" spans="1:2" x14ac:dyDescent="0.25">
      <c r="A400" t="s">
        <v>9543</v>
      </c>
      <c r="B400" t="s">
        <v>9544</v>
      </c>
    </row>
    <row r="401" spans="1:2" x14ac:dyDescent="0.25">
      <c r="A401" t="s">
        <v>9545</v>
      </c>
      <c r="B401" t="s">
        <v>9546</v>
      </c>
    </row>
    <row r="402" spans="1:2" x14ac:dyDescent="0.25">
      <c r="A402" t="s">
        <v>9547</v>
      </c>
      <c r="B402" t="s">
        <v>9548</v>
      </c>
    </row>
    <row r="403" spans="1:2" x14ac:dyDescent="0.25">
      <c r="A403" t="s">
        <v>9549</v>
      </c>
      <c r="B403" t="s">
        <v>9550</v>
      </c>
    </row>
    <row r="404" spans="1:2" x14ac:dyDescent="0.25">
      <c r="A404" t="s">
        <v>9551</v>
      </c>
      <c r="B404" t="s">
        <v>9552</v>
      </c>
    </row>
    <row r="405" spans="1:2" x14ac:dyDescent="0.25">
      <c r="A405" t="s">
        <v>9553</v>
      </c>
      <c r="B405" t="s">
        <v>9554</v>
      </c>
    </row>
    <row r="406" spans="1:2" x14ac:dyDescent="0.25">
      <c r="A406" t="s">
        <v>9555</v>
      </c>
      <c r="B406" t="s">
        <v>9556</v>
      </c>
    </row>
    <row r="407" spans="1:2" x14ac:dyDescent="0.25">
      <c r="A407" t="s">
        <v>9557</v>
      </c>
      <c r="B407" t="s">
        <v>9558</v>
      </c>
    </row>
    <row r="408" spans="1:2" x14ac:dyDescent="0.25">
      <c r="A408" t="s">
        <v>9559</v>
      </c>
      <c r="B408" t="s">
        <v>9560</v>
      </c>
    </row>
    <row r="409" spans="1:2" x14ac:dyDescent="0.25">
      <c r="A409" t="s">
        <v>9561</v>
      </c>
      <c r="B409" t="s">
        <v>9562</v>
      </c>
    </row>
    <row r="410" spans="1:2" x14ac:dyDescent="0.25">
      <c r="A410" t="s">
        <v>9563</v>
      </c>
      <c r="B410" t="s">
        <v>9564</v>
      </c>
    </row>
    <row r="411" spans="1:2" x14ac:dyDescent="0.25">
      <c r="A411" t="s">
        <v>9565</v>
      </c>
      <c r="B411" t="s">
        <v>9566</v>
      </c>
    </row>
    <row r="412" spans="1:2" x14ac:dyDescent="0.25">
      <c r="A412" t="s">
        <v>9567</v>
      </c>
      <c r="B412" t="s">
        <v>9568</v>
      </c>
    </row>
    <row r="413" spans="1:2" x14ac:dyDescent="0.25">
      <c r="A413" t="s">
        <v>9569</v>
      </c>
      <c r="B413" t="s">
        <v>9570</v>
      </c>
    </row>
    <row r="414" spans="1:2" x14ac:dyDescent="0.25">
      <c r="A414" t="s">
        <v>9571</v>
      </c>
      <c r="B414" t="s">
        <v>9572</v>
      </c>
    </row>
    <row r="415" spans="1:2" x14ac:dyDescent="0.25">
      <c r="A415" t="s">
        <v>9573</v>
      </c>
      <c r="B415" t="s">
        <v>9574</v>
      </c>
    </row>
    <row r="416" spans="1:2" x14ac:dyDescent="0.25">
      <c r="A416" t="s">
        <v>9575</v>
      </c>
      <c r="B416" t="s">
        <v>9576</v>
      </c>
    </row>
    <row r="417" spans="1:2" x14ac:dyDescent="0.25">
      <c r="A417" t="s">
        <v>9577</v>
      </c>
      <c r="B417" t="s">
        <v>9578</v>
      </c>
    </row>
    <row r="418" spans="1:2" x14ac:dyDescent="0.25">
      <c r="A418" t="s">
        <v>9579</v>
      </c>
      <c r="B418" t="s">
        <v>9580</v>
      </c>
    </row>
    <row r="419" spans="1:2" x14ac:dyDescent="0.25">
      <c r="A419" t="s">
        <v>9581</v>
      </c>
      <c r="B419" t="s">
        <v>9582</v>
      </c>
    </row>
    <row r="420" spans="1:2" x14ac:dyDescent="0.25">
      <c r="A420" t="s">
        <v>9583</v>
      </c>
      <c r="B420" t="s">
        <v>9584</v>
      </c>
    </row>
    <row r="421" spans="1:2" x14ac:dyDescent="0.25">
      <c r="A421" t="s">
        <v>9585</v>
      </c>
      <c r="B421" t="s">
        <v>9586</v>
      </c>
    </row>
    <row r="422" spans="1:2" x14ac:dyDescent="0.25">
      <c r="A422" t="s">
        <v>9587</v>
      </c>
      <c r="B422" t="s">
        <v>9588</v>
      </c>
    </row>
    <row r="423" spans="1:2" x14ac:dyDescent="0.25">
      <c r="A423" t="s">
        <v>9589</v>
      </c>
      <c r="B423" t="s">
        <v>9590</v>
      </c>
    </row>
    <row r="424" spans="1:2" x14ac:dyDescent="0.25">
      <c r="A424" t="s">
        <v>9591</v>
      </c>
      <c r="B424" t="s">
        <v>9592</v>
      </c>
    </row>
    <row r="425" spans="1:2" x14ac:dyDescent="0.25">
      <c r="A425" t="s">
        <v>9593</v>
      </c>
      <c r="B425" t="s">
        <v>9594</v>
      </c>
    </row>
    <row r="426" spans="1:2" x14ac:dyDescent="0.25">
      <c r="A426" t="s">
        <v>9595</v>
      </c>
      <c r="B426" t="s">
        <v>9596</v>
      </c>
    </row>
    <row r="427" spans="1:2" x14ac:dyDescent="0.25">
      <c r="A427" t="s">
        <v>9597</v>
      </c>
      <c r="B427" t="s">
        <v>9598</v>
      </c>
    </row>
    <row r="428" spans="1:2" x14ac:dyDescent="0.25">
      <c r="A428" t="s">
        <v>9599</v>
      </c>
      <c r="B428" t="s">
        <v>9600</v>
      </c>
    </row>
    <row r="429" spans="1:2" x14ac:dyDescent="0.25">
      <c r="A429" t="s">
        <v>391</v>
      </c>
      <c r="B429" t="s">
        <v>9601</v>
      </c>
    </row>
    <row r="430" spans="1:2" x14ac:dyDescent="0.25">
      <c r="A430" t="s">
        <v>9602</v>
      </c>
      <c r="B430" t="s">
        <v>9603</v>
      </c>
    </row>
    <row r="431" spans="1:2" x14ac:dyDescent="0.25">
      <c r="A431" t="s">
        <v>9604</v>
      </c>
      <c r="B431" t="s">
        <v>9605</v>
      </c>
    </row>
    <row r="432" spans="1:2" x14ac:dyDescent="0.25">
      <c r="A432" t="s">
        <v>9606</v>
      </c>
      <c r="B432" t="s">
        <v>9607</v>
      </c>
    </row>
    <row r="433" spans="1:2" x14ac:dyDescent="0.25">
      <c r="A433" t="s">
        <v>9608</v>
      </c>
      <c r="B433" t="s">
        <v>9609</v>
      </c>
    </row>
    <row r="434" spans="1:2" x14ac:dyDescent="0.25">
      <c r="A434" t="s">
        <v>9610</v>
      </c>
      <c r="B434" t="s">
        <v>9611</v>
      </c>
    </row>
    <row r="435" spans="1:2" x14ac:dyDescent="0.25">
      <c r="A435" t="s">
        <v>9612</v>
      </c>
      <c r="B435" t="s">
        <v>9613</v>
      </c>
    </row>
    <row r="436" spans="1:2" x14ac:dyDescent="0.25">
      <c r="A436" t="s">
        <v>9614</v>
      </c>
      <c r="B436" t="s">
        <v>9615</v>
      </c>
    </row>
    <row r="437" spans="1:2" x14ac:dyDescent="0.25">
      <c r="A437" t="s">
        <v>9616</v>
      </c>
      <c r="B437" t="s">
        <v>9617</v>
      </c>
    </row>
    <row r="438" spans="1:2" x14ac:dyDescent="0.25">
      <c r="A438" t="s">
        <v>9618</v>
      </c>
      <c r="B438" t="s">
        <v>9619</v>
      </c>
    </row>
    <row r="439" spans="1:2" x14ac:dyDescent="0.25">
      <c r="A439" t="s">
        <v>9620</v>
      </c>
      <c r="B439" t="s">
        <v>9621</v>
      </c>
    </row>
    <row r="440" spans="1:2" x14ac:dyDescent="0.25">
      <c r="A440" t="s">
        <v>393</v>
      </c>
      <c r="B440" t="s">
        <v>9622</v>
      </c>
    </row>
    <row r="441" spans="1:2" x14ac:dyDescent="0.25">
      <c r="A441" t="s">
        <v>9623</v>
      </c>
      <c r="B441" t="s">
        <v>9624</v>
      </c>
    </row>
    <row r="442" spans="1:2" x14ac:dyDescent="0.25">
      <c r="A442" t="s">
        <v>9625</v>
      </c>
      <c r="B442" t="s">
        <v>9626</v>
      </c>
    </row>
    <row r="443" spans="1:2" x14ac:dyDescent="0.25">
      <c r="A443" t="s">
        <v>9627</v>
      </c>
      <c r="B443" t="s">
        <v>9628</v>
      </c>
    </row>
    <row r="444" spans="1:2" x14ac:dyDescent="0.25">
      <c r="A444" t="s">
        <v>9629</v>
      </c>
      <c r="B444" t="s">
        <v>9630</v>
      </c>
    </row>
    <row r="445" spans="1:2" x14ac:dyDescent="0.25">
      <c r="A445" t="s">
        <v>9631</v>
      </c>
      <c r="B445" t="s">
        <v>9632</v>
      </c>
    </row>
    <row r="446" spans="1:2" x14ac:dyDescent="0.25">
      <c r="A446" t="s">
        <v>9633</v>
      </c>
      <c r="B446" t="s">
        <v>9634</v>
      </c>
    </row>
    <row r="447" spans="1:2" x14ac:dyDescent="0.25">
      <c r="A447" t="s">
        <v>9635</v>
      </c>
      <c r="B447" t="s">
        <v>9636</v>
      </c>
    </row>
    <row r="448" spans="1:2" x14ac:dyDescent="0.25">
      <c r="A448" t="s">
        <v>9637</v>
      </c>
      <c r="B448" t="s">
        <v>9638</v>
      </c>
    </row>
    <row r="449" spans="1:2" x14ac:dyDescent="0.25">
      <c r="A449" t="s">
        <v>9639</v>
      </c>
      <c r="B449" t="s">
        <v>9640</v>
      </c>
    </row>
    <row r="450" spans="1:2" x14ac:dyDescent="0.25">
      <c r="A450" t="s">
        <v>9641</v>
      </c>
      <c r="B450" t="s">
        <v>9642</v>
      </c>
    </row>
    <row r="451" spans="1:2" x14ac:dyDescent="0.25">
      <c r="A451" t="s">
        <v>9643</v>
      </c>
      <c r="B451" t="s">
        <v>9644</v>
      </c>
    </row>
    <row r="452" spans="1:2" x14ac:dyDescent="0.25">
      <c r="A452" t="s">
        <v>9645</v>
      </c>
      <c r="B452" t="s">
        <v>9646</v>
      </c>
    </row>
    <row r="453" spans="1:2" x14ac:dyDescent="0.25">
      <c r="A453" t="s">
        <v>9647</v>
      </c>
      <c r="B453" t="s">
        <v>9648</v>
      </c>
    </row>
    <row r="454" spans="1:2" x14ac:dyDescent="0.25">
      <c r="A454" t="s">
        <v>9649</v>
      </c>
      <c r="B454" t="s">
        <v>9650</v>
      </c>
    </row>
    <row r="455" spans="1:2" x14ac:dyDescent="0.25">
      <c r="A455" t="s">
        <v>9651</v>
      </c>
      <c r="B455" t="s">
        <v>9652</v>
      </c>
    </row>
    <row r="456" spans="1:2" x14ac:dyDescent="0.25">
      <c r="A456" t="s">
        <v>9653</v>
      </c>
      <c r="B456" t="s">
        <v>9654</v>
      </c>
    </row>
    <row r="457" spans="1:2" x14ac:dyDescent="0.25">
      <c r="A457" t="s">
        <v>9655</v>
      </c>
      <c r="B457" t="s">
        <v>9656</v>
      </c>
    </row>
    <row r="458" spans="1:2" x14ac:dyDescent="0.25">
      <c r="A458" t="s">
        <v>9657</v>
      </c>
      <c r="B458" t="s">
        <v>9658</v>
      </c>
    </row>
    <row r="459" spans="1:2" x14ac:dyDescent="0.25">
      <c r="A459" t="s">
        <v>9659</v>
      </c>
      <c r="B459" t="s">
        <v>9660</v>
      </c>
    </row>
    <row r="460" spans="1:2" x14ac:dyDescent="0.25">
      <c r="A460" t="s">
        <v>9661</v>
      </c>
      <c r="B460" t="s">
        <v>9662</v>
      </c>
    </row>
    <row r="461" spans="1:2" x14ac:dyDescent="0.25">
      <c r="A461" t="s">
        <v>9663</v>
      </c>
      <c r="B461" t="s">
        <v>9664</v>
      </c>
    </row>
    <row r="462" spans="1:2" x14ac:dyDescent="0.25">
      <c r="A462" t="s">
        <v>9665</v>
      </c>
      <c r="B462" t="s">
        <v>9666</v>
      </c>
    </row>
    <row r="463" spans="1:2" x14ac:dyDescent="0.25">
      <c r="A463" t="s">
        <v>9667</v>
      </c>
      <c r="B463" t="s">
        <v>9668</v>
      </c>
    </row>
    <row r="464" spans="1:2" x14ac:dyDescent="0.25">
      <c r="A464" t="s">
        <v>9669</v>
      </c>
      <c r="B464" t="s">
        <v>9670</v>
      </c>
    </row>
    <row r="465" spans="1:2" x14ac:dyDescent="0.25">
      <c r="A465" t="s">
        <v>9671</v>
      </c>
      <c r="B465" t="s">
        <v>9672</v>
      </c>
    </row>
    <row r="466" spans="1:2" x14ac:dyDescent="0.25">
      <c r="A466" t="s">
        <v>10</v>
      </c>
      <c r="B466" t="s">
        <v>9673</v>
      </c>
    </row>
    <row r="467" spans="1:2" x14ac:dyDescent="0.25">
      <c r="A467" t="s">
        <v>9674</v>
      </c>
      <c r="B467" t="s">
        <v>9675</v>
      </c>
    </row>
    <row r="468" spans="1:2" x14ac:dyDescent="0.25">
      <c r="A468" t="s">
        <v>9676</v>
      </c>
      <c r="B468" t="s">
        <v>9677</v>
      </c>
    </row>
    <row r="469" spans="1:2" x14ac:dyDescent="0.25">
      <c r="A469" t="s">
        <v>9678</v>
      </c>
      <c r="B469" t="s">
        <v>9679</v>
      </c>
    </row>
    <row r="470" spans="1:2" x14ac:dyDescent="0.25">
      <c r="A470" t="s">
        <v>9680</v>
      </c>
      <c r="B470" t="s">
        <v>9681</v>
      </c>
    </row>
    <row r="471" spans="1:2" x14ac:dyDescent="0.25">
      <c r="A471" t="s">
        <v>9682</v>
      </c>
      <c r="B471" t="s">
        <v>9683</v>
      </c>
    </row>
    <row r="472" spans="1:2" x14ac:dyDescent="0.25">
      <c r="A472" t="s">
        <v>9684</v>
      </c>
      <c r="B472" t="s">
        <v>9685</v>
      </c>
    </row>
    <row r="473" spans="1:2" x14ac:dyDescent="0.25">
      <c r="A473" t="s">
        <v>9686</v>
      </c>
      <c r="B473" t="s">
        <v>9687</v>
      </c>
    </row>
    <row r="474" spans="1:2" x14ac:dyDescent="0.25">
      <c r="A474" t="s">
        <v>9688</v>
      </c>
      <c r="B474" t="s">
        <v>9689</v>
      </c>
    </row>
    <row r="475" spans="1:2" x14ac:dyDescent="0.25">
      <c r="A475" t="s">
        <v>9690</v>
      </c>
      <c r="B475" t="s">
        <v>9691</v>
      </c>
    </row>
    <row r="476" spans="1:2" x14ac:dyDescent="0.25">
      <c r="A476" t="s">
        <v>9692</v>
      </c>
      <c r="B476" t="s">
        <v>9693</v>
      </c>
    </row>
    <row r="477" spans="1:2" x14ac:dyDescent="0.25">
      <c r="A477" t="s">
        <v>416</v>
      </c>
      <c r="B477" t="s">
        <v>9694</v>
      </c>
    </row>
    <row r="478" spans="1:2" x14ac:dyDescent="0.25">
      <c r="A478" t="s">
        <v>690</v>
      </c>
      <c r="B478" t="s">
        <v>9695</v>
      </c>
    </row>
    <row r="479" spans="1:2" x14ac:dyDescent="0.25">
      <c r="A479" t="s">
        <v>9696</v>
      </c>
      <c r="B479" t="s">
        <v>9697</v>
      </c>
    </row>
    <row r="480" spans="1:2" x14ac:dyDescent="0.25">
      <c r="A480" t="s">
        <v>9698</v>
      </c>
      <c r="B480" t="s">
        <v>9699</v>
      </c>
    </row>
    <row r="481" spans="1:2" x14ac:dyDescent="0.25">
      <c r="A481" t="s">
        <v>12</v>
      </c>
      <c r="B481" t="s">
        <v>9700</v>
      </c>
    </row>
    <row r="482" spans="1:2" x14ac:dyDescent="0.25">
      <c r="A482" t="s">
        <v>9701</v>
      </c>
      <c r="B482" t="s">
        <v>9702</v>
      </c>
    </row>
    <row r="483" spans="1:2" x14ac:dyDescent="0.25">
      <c r="A483" t="s">
        <v>9703</v>
      </c>
      <c r="B483" t="s">
        <v>9704</v>
      </c>
    </row>
    <row r="484" spans="1:2" x14ac:dyDescent="0.25">
      <c r="A484" t="s">
        <v>9705</v>
      </c>
      <c r="B484" t="s">
        <v>9706</v>
      </c>
    </row>
    <row r="485" spans="1:2" x14ac:dyDescent="0.25">
      <c r="A485" t="s">
        <v>9707</v>
      </c>
      <c r="B485" t="s">
        <v>9708</v>
      </c>
    </row>
    <row r="486" spans="1:2" x14ac:dyDescent="0.25">
      <c r="A486" t="s">
        <v>9709</v>
      </c>
      <c r="B486" t="s">
        <v>9710</v>
      </c>
    </row>
    <row r="487" spans="1:2" x14ac:dyDescent="0.25">
      <c r="A487" t="s">
        <v>9711</v>
      </c>
      <c r="B487" t="s">
        <v>9712</v>
      </c>
    </row>
    <row r="488" spans="1:2" x14ac:dyDescent="0.25">
      <c r="A488" t="s">
        <v>9713</v>
      </c>
      <c r="B488" t="s">
        <v>9714</v>
      </c>
    </row>
    <row r="489" spans="1:2" x14ac:dyDescent="0.25">
      <c r="A489" t="s">
        <v>9715</v>
      </c>
      <c r="B489" t="s">
        <v>9716</v>
      </c>
    </row>
    <row r="490" spans="1:2" x14ac:dyDescent="0.25">
      <c r="A490" t="s">
        <v>9717</v>
      </c>
      <c r="B490" t="s">
        <v>9718</v>
      </c>
    </row>
    <row r="491" spans="1:2" x14ac:dyDescent="0.25">
      <c r="A491" t="s">
        <v>9719</v>
      </c>
      <c r="B491" t="s">
        <v>9720</v>
      </c>
    </row>
    <row r="492" spans="1:2" x14ac:dyDescent="0.25">
      <c r="A492" t="s">
        <v>9721</v>
      </c>
      <c r="B492" t="s">
        <v>9722</v>
      </c>
    </row>
    <row r="493" spans="1:2" x14ac:dyDescent="0.25">
      <c r="A493" t="s">
        <v>9723</v>
      </c>
      <c r="B493" t="s">
        <v>9724</v>
      </c>
    </row>
    <row r="494" spans="1:2" x14ac:dyDescent="0.25">
      <c r="A494" t="s">
        <v>13</v>
      </c>
      <c r="B494" t="s">
        <v>9725</v>
      </c>
    </row>
    <row r="495" spans="1:2" x14ac:dyDescent="0.25">
      <c r="A495" t="s">
        <v>9726</v>
      </c>
      <c r="B495" t="s">
        <v>9727</v>
      </c>
    </row>
    <row r="496" spans="1:2" x14ac:dyDescent="0.25">
      <c r="A496" t="s">
        <v>9728</v>
      </c>
      <c r="B496" t="s">
        <v>9729</v>
      </c>
    </row>
    <row r="497" spans="1:2" x14ac:dyDescent="0.25">
      <c r="A497" t="s">
        <v>9730</v>
      </c>
      <c r="B497" t="s">
        <v>9731</v>
      </c>
    </row>
    <row r="498" spans="1:2" x14ac:dyDescent="0.25">
      <c r="A498" t="s">
        <v>9732</v>
      </c>
      <c r="B498" t="s">
        <v>9733</v>
      </c>
    </row>
    <row r="499" spans="1:2" x14ac:dyDescent="0.25">
      <c r="A499" t="s">
        <v>9734</v>
      </c>
      <c r="B499" t="s">
        <v>9735</v>
      </c>
    </row>
    <row r="500" spans="1:2" x14ac:dyDescent="0.25">
      <c r="A500" t="s">
        <v>9736</v>
      </c>
      <c r="B500" t="s">
        <v>9737</v>
      </c>
    </row>
    <row r="501" spans="1:2" x14ac:dyDescent="0.25">
      <c r="A501" t="s">
        <v>419</v>
      </c>
      <c r="B501" t="s">
        <v>9738</v>
      </c>
    </row>
    <row r="502" spans="1:2" x14ac:dyDescent="0.25">
      <c r="A502" t="s">
        <v>9739</v>
      </c>
      <c r="B502" t="s">
        <v>9740</v>
      </c>
    </row>
    <row r="503" spans="1:2" x14ac:dyDescent="0.25">
      <c r="A503" t="s">
        <v>9741</v>
      </c>
      <c r="B503" t="s">
        <v>9742</v>
      </c>
    </row>
    <row r="504" spans="1:2" x14ac:dyDescent="0.25">
      <c r="A504" t="s">
        <v>421</v>
      </c>
      <c r="B504" t="s">
        <v>9743</v>
      </c>
    </row>
    <row r="505" spans="1:2" x14ac:dyDescent="0.25">
      <c r="A505" t="s">
        <v>9744</v>
      </c>
      <c r="B505" t="s">
        <v>9745</v>
      </c>
    </row>
    <row r="506" spans="1:2" x14ac:dyDescent="0.25">
      <c r="A506" t="s">
        <v>9746</v>
      </c>
      <c r="B506" t="s">
        <v>9747</v>
      </c>
    </row>
    <row r="507" spans="1:2" x14ac:dyDescent="0.25">
      <c r="A507" t="s">
        <v>9748</v>
      </c>
      <c r="B507" t="s">
        <v>9749</v>
      </c>
    </row>
    <row r="508" spans="1:2" x14ac:dyDescent="0.25">
      <c r="A508" t="s">
        <v>9750</v>
      </c>
      <c r="B508" t="s">
        <v>9751</v>
      </c>
    </row>
    <row r="509" spans="1:2" x14ac:dyDescent="0.25">
      <c r="A509" t="s">
        <v>9752</v>
      </c>
      <c r="B509" t="s">
        <v>9753</v>
      </c>
    </row>
    <row r="510" spans="1:2" x14ac:dyDescent="0.25">
      <c r="A510" t="s">
        <v>9754</v>
      </c>
      <c r="B510" t="s">
        <v>9755</v>
      </c>
    </row>
    <row r="511" spans="1:2" x14ac:dyDescent="0.25">
      <c r="A511" t="s">
        <v>9756</v>
      </c>
      <c r="B511" t="s">
        <v>9757</v>
      </c>
    </row>
    <row r="512" spans="1:2" x14ac:dyDescent="0.25">
      <c r="A512" t="s">
        <v>9758</v>
      </c>
      <c r="B512" t="s">
        <v>9759</v>
      </c>
    </row>
    <row r="513" spans="1:2" x14ac:dyDescent="0.25">
      <c r="A513" t="s">
        <v>9760</v>
      </c>
      <c r="B513" t="s">
        <v>9761</v>
      </c>
    </row>
    <row r="514" spans="1:2" x14ac:dyDescent="0.25">
      <c r="A514" t="s">
        <v>9762</v>
      </c>
      <c r="B514" t="s">
        <v>9763</v>
      </c>
    </row>
    <row r="515" spans="1:2" x14ac:dyDescent="0.25">
      <c r="A515" t="s">
        <v>9764</v>
      </c>
      <c r="B515" t="s">
        <v>9765</v>
      </c>
    </row>
    <row r="516" spans="1:2" x14ac:dyDescent="0.25">
      <c r="A516" t="s">
        <v>9766</v>
      </c>
      <c r="B516" t="s">
        <v>9767</v>
      </c>
    </row>
    <row r="517" spans="1:2" x14ac:dyDescent="0.25">
      <c r="A517" t="s">
        <v>9768</v>
      </c>
      <c r="B517" t="s">
        <v>9769</v>
      </c>
    </row>
    <row r="518" spans="1:2" x14ac:dyDescent="0.25">
      <c r="A518" t="s">
        <v>9770</v>
      </c>
      <c r="B518" t="s">
        <v>9771</v>
      </c>
    </row>
    <row r="519" spans="1:2" x14ac:dyDescent="0.25">
      <c r="A519" t="s">
        <v>9772</v>
      </c>
      <c r="B519" t="s">
        <v>9773</v>
      </c>
    </row>
    <row r="520" spans="1:2" x14ac:dyDescent="0.25">
      <c r="A520" t="s">
        <v>9774</v>
      </c>
      <c r="B520" t="s">
        <v>9775</v>
      </c>
    </row>
    <row r="521" spans="1:2" x14ac:dyDescent="0.25">
      <c r="A521" t="s">
        <v>9776</v>
      </c>
      <c r="B521" t="s">
        <v>9777</v>
      </c>
    </row>
    <row r="522" spans="1:2" x14ac:dyDescent="0.25">
      <c r="A522" t="s">
        <v>9778</v>
      </c>
      <c r="B522" t="s">
        <v>9779</v>
      </c>
    </row>
    <row r="523" spans="1:2" x14ac:dyDescent="0.25">
      <c r="A523" t="s">
        <v>9780</v>
      </c>
      <c r="B523" t="s">
        <v>9781</v>
      </c>
    </row>
    <row r="524" spans="1:2" x14ac:dyDescent="0.25">
      <c r="A524" t="s">
        <v>9782</v>
      </c>
      <c r="B524" t="s">
        <v>9783</v>
      </c>
    </row>
    <row r="525" spans="1:2" x14ac:dyDescent="0.25">
      <c r="A525" t="s">
        <v>9784</v>
      </c>
      <c r="B525" t="s">
        <v>9785</v>
      </c>
    </row>
    <row r="526" spans="1:2" x14ac:dyDescent="0.25">
      <c r="A526" t="s">
        <v>9786</v>
      </c>
      <c r="B526" t="s">
        <v>9787</v>
      </c>
    </row>
    <row r="527" spans="1:2" x14ac:dyDescent="0.25">
      <c r="A527" t="s">
        <v>9788</v>
      </c>
      <c r="B527" t="s">
        <v>9789</v>
      </c>
    </row>
    <row r="528" spans="1:2" x14ac:dyDescent="0.25">
      <c r="A528" t="s">
        <v>9790</v>
      </c>
      <c r="B528" t="s">
        <v>9791</v>
      </c>
    </row>
    <row r="529" spans="1:2" x14ac:dyDescent="0.25">
      <c r="A529" t="s">
        <v>9792</v>
      </c>
      <c r="B529" t="s">
        <v>9793</v>
      </c>
    </row>
    <row r="530" spans="1:2" x14ac:dyDescent="0.25">
      <c r="A530" t="s">
        <v>9794</v>
      </c>
      <c r="B530" t="s">
        <v>9795</v>
      </c>
    </row>
    <row r="531" spans="1:2" x14ac:dyDescent="0.25">
      <c r="A531" t="s">
        <v>9796</v>
      </c>
      <c r="B531" t="s">
        <v>9797</v>
      </c>
    </row>
    <row r="532" spans="1:2" x14ac:dyDescent="0.25">
      <c r="A532" t="s">
        <v>9798</v>
      </c>
      <c r="B532" t="s">
        <v>9799</v>
      </c>
    </row>
    <row r="533" spans="1:2" x14ac:dyDescent="0.25">
      <c r="A533" t="s">
        <v>9800</v>
      </c>
      <c r="B533" t="s">
        <v>9801</v>
      </c>
    </row>
    <row r="534" spans="1:2" x14ac:dyDescent="0.25">
      <c r="A534" t="s">
        <v>9802</v>
      </c>
      <c r="B534" t="s">
        <v>9803</v>
      </c>
    </row>
    <row r="535" spans="1:2" x14ac:dyDescent="0.25">
      <c r="A535" t="s">
        <v>9804</v>
      </c>
      <c r="B535" t="s">
        <v>9805</v>
      </c>
    </row>
    <row r="536" spans="1:2" x14ac:dyDescent="0.25">
      <c r="A536" t="s">
        <v>9806</v>
      </c>
      <c r="B536" t="s">
        <v>9807</v>
      </c>
    </row>
    <row r="537" spans="1:2" x14ac:dyDescent="0.25">
      <c r="A537" t="s">
        <v>9808</v>
      </c>
      <c r="B537" t="s">
        <v>9809</v>
      </c>
    </row>
    <row r="538" spans="1:2" x14ac:dyDescent="0.25">
      <c r="A538" t="s">
        <v>9810</v>
      </c>
      <c r="B538" t="s">
        <v>9811</v>
      </c>
    </row>
    <row r="539" spans="1:2" x14ac:dyDescent="0.25">
      <c r="A539" t="s">
        <v>9812</v>
      </c>
      <c r="B539" t="s">
        <v>9813</v>
      </c>
    </row>
    <row r="540" spans="1:2" x14ac:dyDescent="0.25">
      <c r="A540" t="s">
        <v>9814</v>
      </c>
      <c r="B540" t="s">
        <v>9815</v>
      </c>
    </row>
    <row r="541" spans="1:2" x14ac:dyDescent="0.25">
      <c r="A541" t="s">
        <v>329</v>
      </c>
      <c r="B541" t="s">
        <v>9816</v>
      </c>
    </row>
    <row r="542" spans="1:2" x14ac:dyDescent="0.25">
      <c r="A542" t="s">
        <v>9817</v>
      </c>
      <c r="B542" t="s">
        <v>9818</v>
      </c>
    </row>
    <row r="543" spans="1:2" x14ac:dyDescent="0.25">
      <c r="A543" t="s">
        <v>9819</v>
      </c>
      <c r="B543" t="s">
        <v>9820</v>
      </c>
    </row>
    <row r="544" spans="1:2" x14ac:dyDescent="0.25">
      <c r="A544" t="s">
        <v>9821</v>
      </c>
      <c r="B544" t="s">
        <v>9822</v>
      </c>
    </row>
    <row r="545" spans="1:2" x14ac:dyDescent="0.25">
      <c r="A545" t="s">
        <v>919</v>
      </c>
      <c r="B545" t="s">
        <v>9823</v>
      </c>
    </row>
    <row r="546" spans="1:2" x14ac:dyDescent="0.25">
      <c r="A546" t="s">
        <v>9824</v>
      </c>
      <c r="B546" t="s">
        <v>9825</v>
      </c>
    </row>
    <row r="547" spans="1:2" x14ac:dyDescent="0.25">
      <c r="A547" t="s">
        <v>9826</v>
      </c>
      <c r="B547" t="s">
        <v>9827</v>
      </c>
    </row>
    <row r="548" spans="1:2" x14ac:dyDescent="0.25">
      <c r="A548" t="s">
        <v>9828</v>
      </c>
      <c r="B548" t="s">
        <v>9829</v>
      </c>
    </row>
    <row r="549" spans="1:2" x14ac:dyDescent="0.25">
      <c r="A549" t="s">
        <v>9830</v>
      </c>
      <c r="B549" t="s">
        <v>9831</v>
      </c>
    </row>
    <row r="550" spans="1:2" x14ac:dyDescent="0.25">
      <c r="A550" t="s">
        <v>9832</v>
      </c>
      <c r="B550" t="s">
        <v>9833</v>
      </c>
    </row>
    <row r="551" spans="1:2" x14ac:dyDescent="0.25">
      <c r="A551" t="s">
        <v>9834</v>
      </c>
      <c r="B551" t="s">
        <v>9835</v>
      </c>
    </row>
    <row r="552" spans="1:2" x14ac:dyDescent="0.25">
      <c r="A552" t="s">
        <v>9836</v>
      </c>
      <c r="B552" t="s">
        <v>9837</v>
      </c>
    </row>
    <row r="553" spans="1:2" x14ac:dyDescent="0.25">
      <c r="A553" t="s">
        <v>9838</v>
      </c>
      <c r="B553" t="s">
        <v>9839</v>
      </c>
    </row>
    <row r="554" spans="1:2" x14ac:dyDescent="0.25">
      <c r="A554" t="s">
        <v>9840</v>
      </c>
      <c r="B554" t="s">
        <v>9841</v>
      </c>
    </row>
    <row r="555" spans="1:2" x14ac:dyDescent="0.25">
      <c r="A555" t="s">
        <v>9842</v>
      </c>
      <c r="B555" t="s">
        <v>9843</v>
      </c>
    </row>
    <row r="556" spans="1:2" x14ac:dyDescent="0.25">
      <c r="A556" t="s">
        <v>9844</v>
      </c>
      <c r="B556" t="s">
        <v>9845</v>
      </c>
    </row>
    <row r="557" spans="1:2" x14ac:dyDescent="0.25">
      <c r="A557" t="s">
        <v>9846</v>
      </c>
      <c r="B557" t="s">
        <v>9847</v>
      </c>
    </row>
    <row r="558" spans="1:2" x14ac:dyDescent="0.25">
      <c r="A558" t="s">
        <v>9848</v>
      </c>
      <c r="B558" t="s">
        <v>9849</v>
      </c>
    </row>
    <row r="559" spans="1:2" x14ac:dyDescent="0.25">
      <c r="A559" t="s">
        <v>9850</v>
      </c>
      <c r="B559" t="s">
        <v>9851</v>
      </c>
    </row>
    <row r="560" spans="1:2" x14ac:dyDescent="0.25">
      <c r="A560" t="s">
        <v>9852</v>
      </c>
      <c r="B560" t="s">
        <v>9853</v>
      </c>
    </row>
    <row r="561" spans="1:2" x14ac:dyDescent="0.25">
      <c r="A561" t="s">
        <v>9854</v>
      </c>
      <c r="B561" t="s">
        <v>9855</v>
      </c>
    </row>
    <row r="562" spans="1:2" x14ac:dyDescent="0.25">
      <c r="A562" t="s">
        <v>9856</v>
      </c>
      <c r="B562" t="s">
        <v>9857</v>
      </c>
    </row>
    <row r="563" spans="1:2" x14ac:dyDescent="0.25">
      <c r="A563" t="s">
        <v>9858</v>
      </c>
      <c r="B563" t="s">
        <v>9859</v>
      </c>
    </row>
    <row r="564" spans="1:2" x14ac:dyDescent="0.25">
      <c r="A564" t="s">
        <v>9860</v>
      </c>
      <c r="B564" t="s">
        <v>9861</v>
      </c>
    </row>
    <row r="565" spans="1:2" x14ac:dyDescent="0.25">
      <c r="A565" t="s">
        <v>9862</v>
      </c>
      <c r="B565" t="s">
        <v>9863</v>
      </c>
    </row>
    <row r="566" spans="1:2" x14ac:dyDescent="0.25">
      <c r="A566" t="s">
        <v>9864</v>
      </c>
      <c r="B566" t="s">
        <v>9865</v>
      </c>
    </row>
    <row r="567" spans="1:2" x14ac:dyDescent="0.25">
      <c r="A567" t="s">
        <v>9866</v>
      </c>
      <c r="B567" t="s">
        <v>9867</v>
      </c>
    </row>
    <row r="568" spans="1:2" x14ac:dyDescent="0.25">
      <c r="A568" t="s">
        <v>9868</v>
      </c>
      <c r="B568" t="s">
        <v>9869</v>
      </c>
    </row>
    <row r="569" spans="1:2" x14ac:dyDescent="0.25">
      <c r="A569" t="s">
        <v>9870</v>
      </c>
      <c r="B569" t="s">
        <v>9871</v>
      </c>
    </row>
    <row r="570" spans="1:2" x14ac:dyDescent="0.25">
      <c r="A570" t="s">
        <v>9872</v>
      </c>
      <c r="B570" t="s">
        <v>9873</v>
      </c>
    </row>
    <row r="571" spans="1:2" x14ac:dyDescent="0.25">
      <c r="A571" t="s">
        <v>9874</v>
      </c>
      <c r="B571" t="s">
        <v>9875</v>
      </c>
    </row>
    <row r="572" spans="1:2" x14ac:dyDescent="0.25">
      <c r="A572" t="s">
        <v>9876</v>
      </c>
      <c r="B572" t="s">
        <v>9877</v>
      </c>
    </row>
    <row r="573" spans="1:2" x14ac:dyDescent="0.25">
      <c r="A573" t="s">
        <v>9878</v>
      </c>
      <c r="B573" t="s">
        <v>9879</v>
      </c>
    </row>
    <row r="574" spans="1:2" x14ac:dyDescent="0.25">
      <c r="A574" t="s">
        <v>9880</v>
      </c>
      <c r="B574" t="s">
        <v>9881</v>
      </c>
    </row>
    <row r="575" spans="1:2" x14ac:dyDescent="0.25">
      <c r="A575" t="s">
        <v>9882</v>
      </c>
      <c r="B575" t="s">
        <v>9883</v>
      </c>
    </row>
    <row r="576" spans="1:2" x14ac:dyDescent="0.25">
      <c r="A576" t="s">
        <v>9884</v>
      </c>
      <c r="B576" t="s">
        <v>9885</v>
      </c>
    </row>
    <row r="577" spans="1:2" x14ac:dyDescent="0.25">
      <c r="A577" t="s">
        <v>9886</v>
      </c>
      <c r="B577" t="s">
        <v>9887</v>
      </c>
    </row>
    <row r="578" spans="1:2" x14ac:dyDescent="0.25">
      <c r="A578" t="s">
        <v>9888</v>
      </c>
      <c r="B578" t="s">
        <v>9889</v>
      </c>
    </row>
    <row r="579" spans="1:2" x14ac:dyDescent="0.25">
      <c r="A579" t="s">
        <v>9890</v>
      </c>
      <c r="B579" t="s">
        <v>9891</v>
      </c>
    </row>
    <row r="580" spans="1:2" x14ac:dyDescent="0.25">
      <c r="A580" t="s">
        <v>9892</v>
      </c>
      <c r="B580" t="s">
        <v>9893</v>
      </c>
    </row>
    <row r="581" spans="1:2" x14ac:dyDescent="0.25">
      <c r="A581" t="s">
        <v>9894</v>
      </c>
      <c r="B581" t="s">
        <v>9895</v>
      </c>
    </row>
    <row r="582" spans="1:2" x14ac:dyDescent="0.25">
      <c r="A582" t="s">
        <v>9896</v>
      </c>
      <c r="B582" t="s">
        <v>9897</v>
      </c>
    </row>
    <row r="583" spans="1:2" x14ac:dyDescent="0.25">
      <c r="A583" t="s">
        <v>9898</v>
      </c>
      <c r="B583" t="s">
        <v>9899</v>
      </c>
    </row>
    <row r="584" spans="1:2" x14ac:dyDescent="0.25">
      <c r="A584" t="s">
        <v>9900</v>
      </c>
      <c r="B584" t="s">
        <v>9901</v>
      </c>
    </row>
    <row r="585" spans="1:2" x14ac:dyDescent="0.25">
      <c r="A585" t="s">
        <v>9902</v>
      </c>
      <c r="B585" t="s">
        <v>9903</v>
      </c>
    </row>
    <row r="586" spans="1:2" x14ac:dyDescent="0.25">
      <c r="A586" t="s">
        <v>9904</v>
      </c>
      <c r="B586" t="s">
        <v>9905</v>
      </c>
    </row>
    <row r="587" spans="1:2" x14ac:dyDescent="0.25">
      <c r="A587" t="s">
        <v>9906</v>
      </c>
      <c r="B587" t="s">
        <v>9907</v>
      </c>
    </row>
    <row r="588" spans="1:2" x14ac:dyDescent="0.25">
      <c r="A588" t="s">
        <v>9908</v>
      </c>
      <c r="B588" t="s">
        <v>9909</v>
      </c>
    </row>
    <row r="589" spans="1:2" x14ac:dyDescent="0.25">
      <c r="A589" t="s">
        <v>9910</v>
      </c>
      <c r="B589" t="s">
        <v>9911</v>
      </c>
    </row>
    <row r="590" spans="1:2" x14ac:dyDescent="0.25">
      <c r="A590" t="s">
        <v>9912</v>
      </c>
      <c r="B590" t="s">
        <v>9913</v>
      </c>
    </row>
    <row r="591" spans="1:2" x14ac:dyDescent="0.25">
      <c r="A591" t="s">
        <v>9914</v>
      </c>
      <c r="B591" t="s">
        <v>9915</v>
      </c>
    </row>
    <row r="592" spans="1:2" x14ac:dyDescent="0.25">
      <c r="A592" t="s">
        <v>9916</v>
      </c>
      <c r="B592" t="s">
        <v>9917</v>
      </c>
    </row>
    <row r="593" spans="1:2" x14ac:dyDescent="0.25">
      <c r="A593" t="s">
        <v>9918</v>
      </c>
      <c r="B593" t="s">
        <v>9919</v>
      </c>
    </row>
    <row r="594" spans="1:2" x14ac:dyDescent="0.25">
      <c r="A594" t="s">
        <v>9920</v>
      </c>
      <c r="B594" t="s">
        <v>9921</v>
      </c>
    </row>
    <row r="595" spans="1:2" x14ac:dyDescent="0.25">
      <c r="A595" t="s">
        <v>9922</v>
      </c>
      <c r="B595" t="s">
        <v>9923</v>
      </c>
    </row>
    <row r="596" spans="1:2" x14ac:dyDescent="0.25">
      <c r="A596" t="s">
        <v>9924</v>
      </c>
      <c r="B596" t="s">
        <v>9925</v>
      </c>
    </row>
    <row r="597" spans="1:2" x14ac:dyDescent="0.25">
      <c r="A597" t="s">
        <v>9926</v>
      </c>
      <c r="B597" t="s">
        <v>9927</v>
      </c>
    </row>
    <row r="598" spans="1:2" x14ac:dyDescent="0.25">
      <c r="A598" t="s">
        <v>9928</v>
      </c>
      <c r="B598" t="s">
        <v>9929</v>
      </c>
    </row>
    <row r="599" spans="1:2" x14ac:dyDescent="0.25">
      <c r="A599" t="s">
        <v>9930</v>
      </c>
      <c r="B599" t="s">
        <v>9931</v>
      </c>
    </row>
    <row r="600" spans="1:2" x14ac:dyDescent="0.25">
      <c r="A600" t="s">
        <v>9932</v>
      </c>
      <c r="B600" t="s">
        <v>9933</v>
      </c>
    </row>
    <row r="601" spans="1:2" x14ac:dyDescent="0.25">
      <c r="A601" t="s">
        <v>9934</v>
      </c>
      <c r="B601" t="s">
        <v>9935</v>
      </c>
    </row>
    <row r="602" spans="1:2" x14ac:dyDescent="0.25">
      <c r="A602" t="s">
        <v>9936</v>
      </c>
      <c r="B602" t="s">
        <v>9937</v>
      </c>
    </row>
    <row r="603" spans="1:2" x14ac:dyDescent="0.25">
      <c r="A603" t="s">
        <v>9938</v>
      </c>
      <c r="B603" t="s">
        <v>9939</v>
      </c>
    </row>
    <row r="604" spans="1:2" x14ac:dyDescent="0.25">
      <c r="A604" t="s">
        <v>9940</v>
      </c>
      <c r="B604" t="s">
        <v>9941</v>
      </c>
    </row>
    <row r="605" spans="1:2" x14ac:dyDescent="0.25">
      <c r="A605" t="s">
        <v>9942</v>
      </c>
      <c r="B605" t="s">
        <v>9943</v>
      </c>
    </row>
    <row r="606" spans="1:2" x14ac:dyDescent="0.25">
      <c r="A606" t="s">
        <v>9944</v>
      </c>
      <c r="B606" t="s">
        <v>9945</v>
      </c>
    </row>
    <row r="607" spans="1:2" x14ac:dyDescent="0.25">
      <c r="A607" t="s">
        <v>9946</v>
      </c>
      <c r="B607" t="s">
        <v>9947</v>
      </c>
    </row>
    <row r="608" spans="1:2" x14ac:dyDescent="0.25">
      <c r="A608" t="s">
        <v>9948</v>
      </c>
      <c r="B608" t="s">
        <v>9949</v>
      </c>
    </row>
    <row r="609" spans="1:2" x14ac:dyDescent="0.25">
      <c r="A609" t="s">
        <v>9950</v>
      </c>
      <c r="B609" t="s">
        <v>9951</v>
      </c>
    </row>
    <row r="610" spans="1:2" x14ac:dyDescent="0.25">
      <c r="A610" t="s">
        <v>9952</v>
      </c>
      <c r="B610" t="s">
        <v>9953</v>
      </c>
    </row>
    <row r="611" spans="1:2" x14ac:dyDescent="0.25">
      <c r="A611" t="s">
        <v>9954</v>
      </c>
      <c r="B611" t="s">
        <v>9955</v>
      </c>
    </row>
    <row r="612" spans="1:2" x14ac:dyDescent="0.25">
      <c r="A612" t="s">
        <v>9956</v>
      </c>
      <c r="B612" t="s">
        <v>9957</v>
      </c>
    </row>
    <row r="613" spans="1:2" x14ac:dyDescent="0.25">
      <c r="A613" t="s">
        <v>9958</v>
      </c>
      <c r="B613" t="s">
        <v>9959</v>
      </c>
    </row>
    <row r="614" spans="1:2" x14ac:dyDescent="0.25">
      <c r="A614" t="s">
        <v>9960</v>
      </c>
      <c r="B614" t="s">
        <v>9961</v>
      </c>
    </row>
    <row r="615" spans="1:2" x14ac:dyDescent="0.25">
      <c r="A615" t="s">
        <v>15</v>
      </c>
      <c r="B615" t="s">
        <v>9962</v>
      </c>
    </row>
    <row r="616" spans="1:2" x14ac:dyDescent="0.25">
      <c r="A616" t="s">
        <v>9963</v>
      </c>
      <c r="B616" t="s">
        <v>9964</v>
      </c>
    </row>
    <row r="617" spans="1:2" x14ac:dyDescent="0.25">
      <c r="A617" t="s">
        <v>9965</v>
      </c>
      <c r="B617" t="s">
        <v>9966</v>
      </c>
    </row>
    <row r="618" spans="1:2" x14ac:dyDescent="0.25">
      <c r="A618" t="s">
        <v>9967</v>
      </c>
      <c r="B618" t="s">
        <v>9968</v>
      </c>
    </row>
    <row r="619" spans="1:2" x14ac:dyDescent="0.25">
      <c r="A619" t="s">
        <v>9969</v>
      </c>
      <c r="B619" t="s">
        <v>9970</v>
      </c>
    </row>
    <row r="620" spans="1:2" x14ac:dyDescent="0.25">
      <c r="A620" t="s">
        <v>9971</v>
      </c>
      <c r="B620" t="s">
        <v>9972</v>
      </c>
    </row>
    <row r="621" spans="1:2" x14ac:dyDescent="0.25">
      <c r="A621" t="s">
        <v>9973</v>
      </c>
      <c r="B621" t="s">
        <v>9974</v>
      </c>
    </row>
    <row r="622" spans="1:2" x14ac:dyDescent="0.25">
      <c r="A622" t="s">
        <v>9975</v>
      </c>
      <c r="B622" t="s">
        <v>9976</v>
      </c>
    </row>
    <row r="623" spans="1:2" x14ac:dyDescent="0.25">
      <c r="A623" t="s">
        <v>16</v>
      </c>
      <c r="B623" t="s">
        <v>9977</v>
      </c>
    </row>
    <row r="624" spans="1:2" x14ac:dyDescent="0.25">
      <c r="A624" t="s">
        <v>9978</v>
      </c>
      <c r="B624" t="s">
        <v>9979</v>
      </c>
    </row>
    <row r="625" spans="1:2" x14ac:dyDescent="0.25">
      <c r="A625" t="s">
        <v>9980</v>
      </c>
      <c r="B625" t="s">
        <v>9981</v>
      </c>
    </row>
    <row r="626" spans="1:2" x14ac:dyDescent="0.25">
      <c r="A626" t="s">
        <v>9982</v>
      </c>
      <c r="B626" t="s">
        <v>9983</v>
      </c>
    </row>
    <row r="627" spans="1:2" x14ac:dyDescent="0.25">
      <c r="A627" t="s">
        <v>9984</v>
      </c>
      <c r="B627" t="s">
        <v>9985</v>
      </c>
    </row>
    <row r="628" spans="1:2" x14ac:dyDescent="0.25">
      <c r="A628" t="s">
        <v>9986</v>
      </c>
      <c r="B628" t="s">
        <v>9987</v>
      </c>
    </row>
    <row r="629" spans="1:2" x14ac:dyDescent="0.25">
      <c r="A629" t="s">
        <v>9988</v>
      </c>
      <c r="B629" t="s">
        <v>9989</v>
      </c>
    </row>
    <row r="630" spans="1:2" x14ac:dyDescent="0.25">
      <c r="A630" t="s">
        <v>9990</v>
      </c>
      <c r="B630" t="s">
        <v>9991</v>
      </c>
    </row>
    <row r="631" spans="1:2" x14ac:dyDescent="0.25">
      <c r="A631" t="s">
        <v>9992</v>
      </c>
      <c r="B631" t="s">
        <v>9993</v>
      </c>
    </row>
    <row r="632" spans="1:2" x14ac:dyDescent="0.25">
      <c r="A632" t="s">
        <v>9994</v>
      </c>
      <c r="B632" t="s">
        <v>9995</v>
      </c>
    </row>
    <row r="633" spans="1:2" x14ac:dyDescent="0.25">
      <c r="A633" t="s">
        <v>9996</v>
      </c>
      <c r="B633" t="s">
        <v>9997</v>
      </c>
    </row>
    <row r="634" spans="1:2" x14ac:dyDescent="0.25">
      <c r="A634" t="s">
        <v>9998</v>
      </c>
      <c r="B634" t="s">
        <v>9999</v>
      </c>
    </row>
    <row r="635" spans="1:2" x14ac:dyDescent="0.25">
      <c r="A635" t="s">
        <v>10000</v>
      </c>
      <c r="B635" t="s">
        <v>10001</v>
      </c>
    </row>
    <row r="636" spans="1:2" x14ac:dyDescent="0.25">
      <c r="A636" t="s">
        <v>10002</v>
      </c>
      <c r="B636" t="s">
        <v>10003</v>
      </c>
    </row>
    <row r="637" spans="1:2" x14ac:dyDescent="0.25">
      <c r="A637" t="s">
        <v>10004</v>
      </c>
      <c r="B637" t="s">
        <v>10005</v>
      </c>
    </row>
    <row r="638" spans="1:2" x14ac:dyDescent="0.25">
      <c r="A638" t="s">
        <v>10006</v>
      </c>
      <c r="B638" t="s">
        <v>10007</v>
      </c>
    </row>
    <row r="639" spans="1:2" x14ac:dyDescent="0.25">
      <c r="A639" t="s">
        <v>10008</v>
      </c>
      <c r="B639" t="s">
        <v>10009</v>
      </c>
    </row>
    <row r="640" spans="1:2" x14ac:dyDescent="0.25">
      <c r="A640" t="s">
        <v>10010</v>
      </c>
      <c r="B640" t="s">
        <v>10011</v>
      </c>
    </row>
    <row r="641" spans="1:2" x14ac:dyDescent="0.25">
      <c r="A641" t="s">
        <v>10012</v>
      </c>
      <c r="B641" t="s">
        <v>10013</v>
      </c>
    </row>
    <row r="642" spans="1:2" x14ac:dyDescent="0.25">
      <c r="A642" t="s">
        <v>10014</v>
      </c>
      <c r="B642" t="s">
        <v>10015</v>
      </c>
    </row>
    <row r="643" spans="1:2" x14ac:dyDescent="0.25">
      <c r="A643" t="s">
        <v>10016</v>
      </c>
      <c r="B643" t="s">
        <v>10017</v>
      </c>
    </row>
    <row r="644" spans="1:2" x14ac:dyDescent="0.25">
      <c r="A644" t="s">
        <v>10018</v>
      </c>
      <c r="B644" t="s">
        <v>10019</v>
      </c>
    </row>
    <row r="645" spans="1:2" x14ac:dyDescent="0.25">
      <c r="A645" t="s">
        <v>10020</v>
      </c>
      <c r="B645" t="s">
        <v>10021</v>
      </c>
    </row>
    <row r="646" spans="1:2" x14ac:dyDescent="0.25">
      <c r="A646" t="s">
        <v>10022</v>
      </c>
      <c r="B646" t="s">
        <v>10023</v>
      </c>
    </row>
    <row r="647" spans="1:2" x14ac:dyDescent="0.25">
      <c r="A647" t="s">
        <v>342</v>
      </c>
      <c r="B647" t="s">
        <v>10024</v>
      </c>
    </row>
    <row r="648" spans="1:2" x14ac:dyDescent="0.25">
      <c r="A648" t="s">
        <v>10025</v>
      </c>
      <c r="B648" t="s">
        <v>10026</v>
      </c>
    </row>
    <row r="649" spans="1:2" x14ac:dyDescent="0.25">
      <c r="A649" t="s">
        <v>10027</v>
      </c>
      <c r="B649" t="s">
        <v>10028</v>
      </c>
    </row>
    <row r="650" spans="1:2" x14ac:dyDescent="0.25">
      <c r="A650" t="s">
        <v>10029</v>
      </c>
      <c r="B650" t="s">
        <v>10030</v>
      </c>
    </row>
    <row r="651" spans="1:2" x14ac:dyDescent="0.25">
      <c r="A651" t="s">
        <v>10031</v>
      </c>
      <c r="B651" t="s">
        <v>10032</v>
      </c>
    </row>
    <row r="652" spans="1:2" x14ac:dyDescent="0.25">
      <c r="A652" t="s">
        <v>10033</v>
      </c>
      <c r="B652" t="s">
        <v>10034</v>
      </c>
    </row>
    <row r="653" spans="1:2" x14ac:dyDescent="0.25">
      <c r="A653" t="s">
        <v>10035</v>
      </c>
      <c r="B653" t="s">
        <v>10036</v>
      </c>
    </row>
    <row r="654" spans="1:2" x14ac:dyDescent="0.25">
      <c r="A654" t="s">
        <v>956</v>
      </c>
      <c r="B654" t="s">
        <v>10037</v>
      </c>
    </row>
    <row r="655" spans="1:2" x14ac:dyDescent="0.25">
      <c r="A655" t="s">
        <v>10038</v>
      </c>
      <c r="B655" t="s">
        <v>10039</v>
      </c>
    </row>
    <row r="656" spans="1:2" x14ac:dyDescent="0.25">
      <c r="A656" t="s">
        <v>10040</v>
      </c>
      <c r="B656" t="s">
        <v>10041</v>
      </c>
    </row>
    <row r="657" spans="1:2" x14ac:dyDescent="0.25">
      <c r="A657" t="s">
        <v>10042</v>
      </c>
      <c r="B657" t="s">
        <v>10043</v>
      </c>
    </row>
    <row r="658" spans="1:2" x14ac:dyDescent="0.25">
      <c r="A658" t="s">
        <v>963</v>
      </c>
      <c r="B658" t="s">
        <v>10044</v>
      </c>
    </row>
    <row r="659" spans="1:2" x14ac:dyDescent="0.25">
      <c r="A659" t="s">
        <v>970</v>
      </c>
      <c r="B659" t="s">
        <v>10045</v>
      </c>
    </row>
    <row r="660" spans="1:2" x14ac:dyDescent="0.25">
      <c r="A660" t="s">
        <v>10046</v>
      </c>
      <c r="B660" t="s">
        <v>10047</v>
      </c>
    </row>
    <row r="661" spans="1:2" x14ac:dyDescent="0.25">
      <c r="A661" t="s">
        <v>10048</v>
      </c>
      <c r="B661" t="s">
        <v>10049</v>
      </c>
    </row>
    <row r="662" spans="1:2" x14ac:dyDescent="0.25">
      <c r="A662" t="s">
        <v>10050</v>
      </c>
      <c r="B662" t="s">
        <v>10051</v>
      </c>
    </row>
    <row r="663" spans="1:2" x14ac:dyDescent="0.25">
      <c r="A663" t="s">
        <v>10052</v>
      </c>
      <c r="B663" t="s">
        <v>10053</v>
      </c>
    </row>
    <row r="664" spans="1:2" x14ac:dyDescent="0.25">
      <c r="A664" t="s">
        <v>10054</v>
      </c>
      <c r="B664" t="s">
        <v>10055</v>
      </c>
    </row>
    <row r="665" spans="1:2" x14ac:dyDescent="0.25">
      <c r="A665" t="s">
        <v>10056</v>
      </c>
      <c r="B665" t="s">
        <v>10057</v>
      </c>
    </row>
    <row r="666" spans="1:2" x14ac:dyDescent="0.25">
      <c r="A666" t="s">
        <v>10058</v>
      </c>
      <c r="B666" t="s">
        <v>10059</v>
      </c>
    </row>
    <row r="667" spans="1:2" x14ac:dyDescent="0.25">
      <c r="A667" t="s">
        <v>10060</v>
      </c>
      <c r="B667" t="s">
        <v>10061</v>
      </c>
    </row>
    <row r="668" spans="1:2" x14ac:dyDescent="0.25">
      <c r="A668" t="s">
        <v>10062</v>
      </c>
      <c r="B668" t="s">
        <v>10063</v>
      </c>
    </row>
    <row r="669" spans="1:2" x14ac:dyDescent="0.25">
      <c r="A669" t="s">
        <v>10064</v>
      </c>
      <c r="B669" t="s">
        <v>10065</v>
      </c>
    </row>
    <row r="670" spans="1:2" x14ac:dyDescent="0.25">
      <c r="A670" t="s">
        <v>10066</v>
      </c>
      <c r="B670" t="s">
        <v>10067</v>
      </c>
    </row>
    <row r="671" spans="1:2" x14ac:dyDescent="0.25">
      <c r="A671" t="s">
        <v>10068</v>
      </c>
      <c r="B671" t="s">
        <v>10069</v>
      </c>
    </row>
    <row r="672" spans="1:2" x14ac:dyDescent="0.25">
      <c r="A672" t="s">
        <v>10070</v>
      </c>
      <c r="B672" t="s">
        <v>10071</v>
      </c>
    </row>
    <row r="673" spans="1:2" x14ac:dyDescent="0.25">
      <c r="A673" t="s">
        <v>10072</v>
      </c>
      <c r="B673" t="s">
        <v>10073</v>
      </c>
    </row>
    <row r="674" spans="1:2" x14ac:dyDescent="0.25">
      <c r="A674" t="s">
        <v>18</v>
      </c>
      <c r="B674" t="s">
        <v>10074</v>
      </c>
    </row>
    <row r="675" spans="1:2" x14ac:dyDescent="0.25">
      <c r="A675" t="s">
        <v>10075</v>
      </c>
      <c r="B675" t="s">
        <v>10076</v>
      </c>
    </row>
    <row r="676" spans="1:2" x14ac:dyDescent="0.25">
      <c r="A676" t="s">
        <v>974</v>
      </c>
      <c r="B676" t="s">
        <v>10077</v>
      </c>
    </row>
    <row r="677" spans="1:2" x14ac:dyDescent="0.25">
      <c r="A677" t="s">
        <v>10078</v>
      </c>
      <c r="B677" t="s">
        <v>10079</v>
      </c>
    </row>
    <row r="678" spans="1:2" x14ac:dyDescent="0.25">
      <c r="A678" t="s">
        <v>10080</v>
      </c>
      <c r="B678" t="s">
        <v>10081</v>
      </c>
    </row>
    <row r="679" spans="1:2" x14ac:dyDescent="0.25">
      <c r="A679" t="s">
        <v>10082</v>
      </c>
      <c r="B679" t="s">
        <v>10083</v>
      </c>
    </row>
    <row r="680" spans="1:2" x14ac:dyDescent="0.25">
      <c r="A680" t="s">
        <v>233</v>
      </c>
      <c r="B680" t="s">
        <v>10084</v>
      </c>
    </row>
    <row r="681" spans="1:2" x14ac:dyDescent="0.25">
      <c r="A681" t="s">
        <v>10085</v>
      </c>
      <c r="B681" t="s">
        <v>10086</v>
      </c>
    </row>
    <row r="682" spans="1:2" x14ac:dyDescent="0.25">
      <c r="A682" t="s">
        <v>10087</v>
      </c>
      <c r="B682" t="s">
        <v>10088</v>
      </c>
    </row>
    <row r="683" spans="1:2" x14ac:dyDescent="0.25">
      <c r="A683" t="s">
        <v>10089</v>
      </c>
      <c r="B683" t="s">
        <v>10090</v>
      </c>
    </row>
    <row r="684" spans="1:2" x14ac:dyDescent="0.25">
      <c r="A684" t="s">
        <v>10091</v>
      </c>
      <c r="B684" t="s">
        <v>10092</v>
      </c>
    </row>
    <row r="685" spans="1:2" x14ac:dyDescent="0.25">
      <c r="A685" t="s">
        <v>10093</v>
      </c>
      <c r="B685" t="s">
        <v>10094</v>
      </c>
    </row>
    <row r="686" spans="1:2" x14ac:dyDescent="0.25">
      <c r="A686" t="s">
        <v>10095</v>
      </c>
      <c r="B686" t="s">
        <v>10096</v>
      </c>
    </row>
    <row r="687" spans="1:2" x14ac:dyDescent="0.25">
      <c r="A687" t="s">
        <v>10097</v>
      </c>
      <c r="B687" t="s">
        <v>10098</v>
      </c>
    </row>
    <row r="688" spans="1:2" x14ac:dyDescent="0.25">
      <c r="A688" t="s">
        <v>10099</v>
      </c>
      <c r="B688" t="s">
        <v>10100</v>
      </c>
    </row>
    <row r="689" spans="1:2" x14ac:dyDescent="0.25">
      <c r="A689" t="s">
        <v>10101</v>
      </c>
      <c r="B689" t="s">
        <v>10102</v>
      </c>
    </row>
    <row r="690" spans="1:2" x14ac:dyDescent="0.25">
      <c r="A690" t="s">
        <v>10103</v>
      </c>
      <c r="B690" t="s">
        <v>10104</v>
      </c>
    </row>
    <row r="691" spans="1:2" x14ac:dyDescent="0.25">
      <c r="A691" t="s">
        <v>10105</v>
      </c>
      <c r="B691" t="s">
        <v>10106</v>
      </c>
    </row>
    <row r="692" spans="1:2" x14ac:dyDescent="0.25">
      <c r="A692" t="s">
        <v>10107</v>
      </c>
      <c r="B692" t="s">
        <v>10108</v>
      </c>
    </row>
    <row r="693" spans="1:2" x14ac:dyDescent="0.25">
      <c r="A693" t="s">
        <v>10109</v>
      </c>
      <c r="B693" t="s">
        <v>10110</v>
      </c>
    </row>
    <row r="694" spans="1:2" x14ac:dyDescent="0.25">
      <c r="A694" t="s">
        <v>10111</v>
      </c>
      <c r="B694" t="s">
        <v>10112</v>
      </c>
    </row>
    <row r="695" spans="1:2" x14ac:dyDescent="0.25">
      <c r="A695" t="s">
        <v>10113</v>
      </c>
      <c r="B695" t="s">
        <v>10114</v>
      </c>
    </row>
    <row r="696" spans="1:2" x14ac:dyDescent="0.25">
      <c r="A696" t="s">
        <v>10115</v>
      </c>
      <c r="B696" t="s">
        <v>10116</v>
      </c>
    </row>
    <row r="697" spans="1:2" x14ac:dyDescent="0.25">
      <c r="A697" t="s">
        <v>10117</v>
      </c>
      <c r="B697" t="s">
        <v>10118</v>
      </c>
    </row>
    <row r="698" spans="1:2" x14ac:dyDescent="0.25">
      <c r="A698" t="s">
        <v>425</v>
      </c>
      <c r="B698" t="s">
        <v>10119</v>
      </c>
    </row>
    <row r="699" spans="1:2" x14ac:dyDescent="0.25">
      <c r="A699" t="s">
        <v>10120</v>
      </c>
      <c r="B699" t="s">
        <v>10121</v>
      </c>
    </row>
    <row r="700" spans="1:2" x14ac:dyDescent="0.25">
      <c r="A700" t="s">
        <v>10122</v>
      </c>
      <c r="B700" t="s">
        <v>10123</v>
      </c>
    </row>
    <row r="701" spans="1:2" x14ac:dyDescent="0.25">
      <c r="A701" t="s">
        <v>10124</v>
      </c>
      <c r="B701" t="s">
        <v>10125</v>
      </c>
    </row>
    <row r="702" spans="1:2" x14ac:dyDescent="0.25">
      <c r="A702" t="s">
        <v>10126</v>
      </c>
      <c r="B702" t="s">
        <v>10127</v>
      </c>
    </row>
    <row r="703" spans="1:2" x14ac:dyDescent="0.25">
      <c r="A703" t="s">
        <v>10128</v>
      </c>
      <c r="B703" t="s">
        <v>10129</v>
      </c>
    </row>
    <row r="704" spans="1:2" x14ac:dyDescent="0.25">
      <c r="A704" t="s">
        <v>10130</v>
      </c>
      <c r="B704" t="s">
        <v>10131</v>
      </c>
    </row>
    <row r="705" spans="1:2" x14ac:dyDescent="0.25">
      <c r="A705" t="s">
        <v>10132</v>
      </c>
      <c r="B705" t="s">
        <v>10133</v>
      </c>
    </row>
    <row r="706" spans="1:2" x14ac:dyDescent="0.25">
      <c r="A706" t="s">
        <v>10134</v>
      </c>
      <c r="B706" t="s">
        <v>10135</v>
      </c>
    </row>
    <row r="707" spans="1:2" x14ac:dyDescent="0.25">
      <c r="A707" t="s">
        <v>10136</v>
      </c>
      <c r="B707" t="s">
        <v>10137</v>
      </c>
    </row>
    <row r="708" spans="1:2" x14ac:dyDescent="0.25">
      <c r="A708" t="s">
        <v>10138</v>
      </c>
      <c r="B708" t="s">
        <v>10139</v>
      </c>
    </row>
    <row r="709" spans="1:2" x14ac:dyDescent="0.25">
      <c r="A709" t="s">
        <v>10140</v>
      </c>
      <c r="B709" t="s">
        <v>10141</v>
      </c>
    </row>
    <row r="710" spans="1:2" x14ac:dyDescent="0.25">
      <c r="A710" t="s">
        <v>10142</v>
      </c>
      <c r="B710" t="s">
        <v>10143</v>
      </c>
    </row>
    <row r="711" spans="1:2" x14ac:dyDescent="0.25">
      <c r="A711" t="s">
        <v>10144</v>
      </c>
      <c r="B711" t="s">
        <v>10145</v>
      </c>
    </row>
    <row r="712" spans="1:2" x14ac:dyDescent="0.25">
      <c r="A712" t="s">
        <v>10146</v>
      </c>
      <c r="B712" t="s">
        <v>10147</v>
      </c>
    </row>
    <row r="713" spans="1:2" x14ac:dyDescent="0.25">
      <c r="A713" t="s">
        <v>10148</v>
      </c>
      <c r="B713" t="s">
        <v>10149</v>
      </c>
    </row>
    <row r="714" spans="1:2" x14ac:dyDescent="0.25">
      <c r="A714" t="s">
        <v>10150</v>
      </c>
      <c r="B714" t="s">
        <v>10151</v>
      </c>
    </row>
    <row r="715" spans="1:2" x14ac:dyDescent="0.25">
      <c r="A715" t="s">
        <v>10152</v>
      </c>
      <c r="B715" t="s">
        <v>10153</v>
      </c>
    </row>
    <row r="716" spans="1:2" x14ac:dyDescent="0.25">
      <c r="A716" t="s">
        <v>1021</v>
      </c>
      <c r="B716" t="s">
        <v>10154</v>
      </c>
    </row>
    <row r="717" spans="1:2" x14ac:dyDescent="0.25">
      <c r="A717" t="s">
        <v>10155</v>
      </c>
      <c r="B717" t="s">
        <v>10156</v>
      </c>
    </row>
    <row r="718" spans="1:2" x14ac:dyDescent="0.25">
      <c r="A718" t="s">
        <v>10157</v>
      </c>
      <c r="B718" t="s">
        <v>10158</v>
      </c>
    </row>
    <row r="719" spans="1:2" x14ac:dyDescent="0.25">
      <c r="A719" t="s">
        <v>836</v>
      </c>
      <c r="B719" t="s">
        <v>10159</v>
      </c>
    </row>
    <row r="720" spans="1:2" x14ac:dyDescent="0.25">
      <c r="A720" t="s">
        <v>10160</v>
      </c>
      <c r="B720" t="s">
        <v>10161</v>
      </c>
    </row>
    <row r="721" spans="1:2" x14ac:dyDescent="0.25">
      <c r="A721" t="s">
        <v>10162</v>
      </c>
      <c r="B721" t="s">
        <v>10163</v>
      </c>
    </row>
    <row r="722" spans="1:2" x14ac:dyDescent="0.25">
      <c r="A722" t="s">
        <v>10164</v>
      </c>
      <c r="B722" t="s">
        <v>10165</v>
      </c>
    </row>
    <row r="723" spans="1:2" x14ac:dyDescent="0.25">
      <c r="A723" t="s">
        <v>10166</v>
      </c>
      <c r="B723" t="s">
        <v>10167</v>
      </c>
    </row>
    <row r="724" spans="1:2" x14ac:dyDescent="0.25">
      <c r="A724" t="s">
        <v>10168</v>
      </c>
      <c r="B724" t="s">
        <v>10169</v>
      </c>
    </row>
    <row r="725" spans="1:2" x14ac:dyDescent="0.25">
      <c r="A725" t="s">
        <v>10170</v>
      </c>
      <c r="B725" t="s">
        <v>10171</v>
      </c>
    </row>
    <row r="726" spans="1:2" x14ac:dyDescent="0.25">
      <c r="A726" t="s">
        <v>838</v>
      </c>
      <c r="B726" t="s">
        <v>10172</v>
      </c>
    </row>
    <row r="727" spans="1:2" x14ac:dyDescent="0.25">
      <c r="A727" t="s">
        <v>10173</v>
      </c>
      <c r="B727" t="s">
        <v>10174</v>
      </c>
    </row>
    <row r="728" spans="1:2" x14ac:dyDescent="0.25">
      <c r="A728" t="s">
        <v>10175</v>
      </c>
      <c r="B728" t="s">
        <v>10176</v>
      </c>
    </row>
    <row r="729" spans="1:2" x14ac:dyDescent="0.25">
      <c r="A729" t="s">
        <v>10177</v>
      </c>
      <c r="B729" t="s">
        <v>10178</v>
      </c>
    </row>
    <row r="730" spans="1:2" x14ac:dyDescent="0.25">
      <c r="A730" t="s">
        <v>1052</v>
      </c>
      <c r="B730" t="s">
        <v>10179</v>
      </c>
    </row>
    <row r="731" spans="1:2" x14ac:dyDescent="0.25">
      <c r="A731" t="s">
        <v>10180</v>
      </c>
      <c r="B731" t="s">
        <v>10181</v>
      </c>
    </row>
    <row r="732" spans="1:2" x14ac:dyDescent="0.25">
      <c r="A732" t="s">
        <v>10182</v>
      </c>
      <c r="B732" t="s">
        <v>10183</v>
      </c>
    </row>
    <row r="733" spans="1:2" x14ac:dyDescent="0.25">
      <c r="A733" t="s">
        <v>10184</v>
      </c>
      <c r="B733" t="s">
        <v>10185</v>
      </c>
    </row>
    <row r="734" spans="1:2" x14ac:dyDescent="0.25">
      <c r="A734" t="s">
        <v>10186</v>
      </c>
      <c r="B734" t="s">
        <v>10187</v>
      </c>
    </row>
    <row r="735" spans="1:2" x14ac:dyDescent="0.25">
      <c r="A735" t="s">
        <v>10188</v>
      </c>
      <c r="B735" t="s">
        <v>10189</v>
      </c>
    </row>
    <row r="736" spans="1:2" x14ac:dyDescent="0.25">
      <c r="A736" t="s">
        <v>10190</v>
      </c>
      <c r="B736" t="s">
        <v>10191</v>
      </c>
    </row>
    <row r="737" spans="1:2" x14ac:dyDescent="0.25">
      <c r="A737" t="s">
        <v>10192</v>
      </c>
      <c r="B737" t="s">
        <v>10193</v>
      </c>
    </row>
    <row r="738" spans="1:2" x14ac:dyDescent="0.25">
      <c r="A738" t="s">
        <v>10194</v>
      </c>
      <c r="B738" t="s">
        <v>10195</v>
      </c>
    </row>
    <row r="739" spans="1:2" x14ac:dyDescent="0.25">
      <c r="A739" t="s">
        <v>10196</v>
      </c>
      <c r="B739" t="s">
        <v>10197</v>
      </c>
    </row>
    <row r="740" spans="1:2" x14ac:dyDescent="0.25">
      <c r="A740" t="s">
        <v>10198</v>
      </c>
      <c r="B740" t="s">
        <v>10199</v>
      </c>
    </row>
    <row r="741" spans="1:2" x14ac:dyDescent="0.25">
      <c r="A741" t="s">
        <v>10200</v>
      </c>
      <c r="B741" t="s">
        <v>10201</v>
      </c>
    </row>
    <row r="742" spans="1:2" x14ac:dyDescent="0.25">
      <c r="A742" t="s">
        <v>1054</v>
      </c>
      <c r="B742" t="s">
        <v>10202</v>
      </c>
    </row>
    <row r="743" spans="1:2" x14ac:dyDescent="0.25">
      <c r="A743" t="s">
        <v>10203</v>
      </c>
      <c r="B743" t="s">
        <v>10204</v>
      </c>
    </row>
    <row r="744" spans="1:2" x14ac:dyDescent="0.25">
      <c r="A744" t="s">
        <v>10205</v>
      </c>
      <c r="B744" t="s">
        <v>10206</v>
      </c>
    </row>
    <row r="745" spans="1:2" x14ac:dyDescent="0.25">
      <c r="A745" t="s">
        <v>10207</v>
      </c>
      <c r="B745" t="s">
        <v>10208</v>
      </c>
    </row>
    <row r="746" spans="1:2" x14ac:dyDescent="0.25">
      <c r="A746" t="s">
        <v>10209</v>
      </c>
      <c r="B746" t="s">
        <v>10210</v>
      </c>
    </row>
    <row r="747" spans="1:2" x14ac:dyDescent="0.25">
      <c r="A747" t="s">
        <v>10211</v>
      </c>
      <c r="B747" t="s">
        <v>10212</v>
      </c>
    </row>
    <row r="748" spans="1:2" x14ac:dyDescent="0.25">
      <c r="A748" t="s">
        <v>10213</v>
      </c>
      <c r="B748" t="s">
        <v>10214</v>
      </c>
    </row>
    <row r="749" spans="1:2" x14ac:dyDescent="0.25">
      <c r="A749" t="s">
        <v>10215</v>
      </c>
      <c r="B749" t="s">
        <v>10216</v>
      </c>
    </row>
    <row r="750" spans="1:2" x14ac:dyDescent="0.25">
      <c r="A750" t="s">
        <v>10217</v>
      </c>
      <c r="B750" t="s">
        <v>10218</v>
      </c>
    </row>
    <row r="751" spans="1:2" x14ac:dyDescent="0.25">
      <c r="A751" t="s">
        <v>10219</v>
      </c>
      <c r="B751" t="s">
        <v>10220</v>
      </c>
    </row>
    <row r="752" spans="1:2" x14ac:dyDescent="0.25">
      <c r="A752" t="s">
        <v>10221</v>
      </c>
      <c r="B752" t="s">
        <v>10222</v>
      </c>
    </row>
    <row r="753" spans="1:2" x14ac:dyDescent="0.25">
      <c r="A753" t="s">
        <v>10223</v>
      </c>
      <c r="B753" t="s">
        <v>10224</v>
      </c>
    </row>
    <row r="754" spans="1:2" x14ac:dyDescent="0.25">
      <c r="A754" t="s">
        <v>10225</v>
      </c>
      <c r="B754" t="s">
        <v>10226</v>
      </c>
    </row>
    <row r="755" spans="1:2" x14ac:dyDescent="0.25">
      <c r="A755" t="s">
        <v>10227</v>
      </c>
      <c r="B755" t="s">
        <v>10228</v>
      </c>
    </row>
    <row r="756" spans="1:2" x14ac:dyDescent="0.25">
      <c r="A756" t="s">
        <v>10229</v>
      </c>
      <c r="B756" t="s">
        <v>10230</v>
      </c>
    </row>
    <row r="757" spans="1:2" x14ac:dyDescent="0.25">
      <c r="A757" t="s">
        <v>10231</v>
      </c>
      <c r="B757" t="s">
        <v>10232</v>
      </c>
    </row>
    <row r="758" spans="1:2" x14ac:dyDescent="0.25">
      <c r="A758" t="s">
        <v>10233</v>
      </c>
      <c r="B758" t="s">
        <v>10234</v>
      </c>
    </row>
    <row r="759" spans="1:2" x14ac:dyDescent="0.25">
      <c r="A759" t="s">
        <v>10235</v>
      </c>
      <c r="B759" t="s">
        <v>10236</v>
      </c>
    </row>
    <row r="760" spans="1:2" x14ac:dyDescent="0.25">
      <c r="A760" t="s">
        <v>10237</v>
      </c>
      <c r="B760" t="s">
        <v>10238</v>
      </c>
    </row>
    <row r="761" spans="1:2" x14ac:dyDescent="0.25">
      <c r="A761" t="s">
        <v>10239</v>
      </c>
      <c r="B761" t="s">
        <v>10240</v>
      </c>
    </row>
    <row r="762" spans="1:2" x14ac:dyDescent="0.25">
      <c r="A762" t="s">
        <v>10241</v>
      </c>
      <c r="B762" t="s">
        <v>10242</v>
      </c>
    </row>
    <row r="763" spans="1:2" x14ac:dyDescent="0.25">
      <c r="A763" t="s">
        <v>10243</v>
      </c>
      <c r="B763" t="s">
        <v>10244</v>
      </c>
    </row>
    <row r="764" spans="1:2" x14ac:dyDescent="0.25">
      <c r="A764" t="s">
        <v>344</v>
      </c>
      <c r="B764" t="s">
        <v>10245</v>
      </c>
    </row>
    <row r="765" spans="1:2" x14ac:dyDescent="0.25">
      <c r="A765" t="s">
        <v>10246</v>
      </c>
      <c r="B765" t="s">
        <v>10247</v>
      </c>
    </row>
    <row r="766" spans="1:2" x14ac:dyDescent="0.25">
      <c r="A766" t="s">
        <v>10248</v>
      </c>
      <c r="B766" t="s">
        <v>10249</v>
      </c>
    </row>
    <row r="767" spans="1:2" x14ac:dyDescent="0.25">
      <c r="A767" t="s">
        <v>10250</v>
      </c>
      <c r="B767" t="s">
        <v>10251</v>
      </c>
    </row>
    <row r="768" spans="1:2" x14ac:dyDescent="0.25">
      <c r="A768" t="s">
        <v>10252</v>
      </c>
      <c r="B768" t="s">
        <v>10253</v>
      </c>
    </row>
    <row r="769" spans="1:2" x14ac:dyDescent="0.25">
      <c r="A769" t="s">
        <v>10254</v>
      </c>
      <c r="B769" t="s">
        <v>10255</v>
      </c>
    </row>
    <row r="770" spans="1:2" x14ac:dyDescent="0.25">
      <c r="A770" t="s">
        <v>10256</v>
      </c>
      <c r="B770" t="s">
        <v>10257</v>
      </c>
    </row>
    <row r="771" spans="1:2" x14ac:dyDescent="0.25">
      <c r="A771" t="s">
        <v>10258</v>
      </c>
      <c r="B771" t="s">
        <v>10259</v>
      </c>
    </row>
    <row r="772" spans="1:2" x14ac:dyDescent="0.25">
      <c r="A772" t="s">
        <v>10260</v>
      </c>
      <c r="B772" t="s">
        <v>10261</v>
      </c>
    </row>
    <row r="773" spans="1:2" x14ac:dyDescent="0.25">
      <c r="A773" t="s">
        <v>10262</v>
      </c>
      <c r="B773" t="s">
        <v>10263</v>
      </c>
    </row>
    <row r="774" spans="1:2" x14ac:dyDescent="0.25">
      <c r="A774" t="s">
        <v>841</v>
      </c>
      <c r="B774" t="s">
        <v>10264</v>
      </c>
    </row>
    <row r="775" spans="1:2" x14ac:dyDescent="0.25">
      <c r="A775" t="s">
        <v>10265</v>
      </c>
      <c r="B775" t="s">
        <v>10266</v>
      </c>
    </row>
    <row r="776" spans="1:2" x14ac:dyDescent="0.25">
      <c r="A776" t="s">
        <v>10267</v>
      </c>
      <c r="B776" t="s">
        <v>10268</v>
      </c>
    </row>
    <row r="777" spans="1:2" x14ac:dyDescent="0.25">
      <c r="A777" t="s">
        <v>10269</v>
      </c>
      <c r="B777" t="s">
        <v>10270</v>
      </c>
    </row>
    <row r="778" spans="1:2" x14ac:dyDescent="0.25">
      <c r="A778" t="s">
        <v>10271</v>
      </c>
      <c r="B778" t="s">
        <v>10272</v>
      </c>
    </row>
    <row r="779" spans="1:2" x14ac:dyDescent="0.25">
      <c r="A779" t="s">
        <v>10273</v>
      </c>
      <c r="B779" t="s">
        <v>10274</v>
      </c>
    </row>
    <row r="780" spans="1:2" x14ac:dyDescent="0.25">
      <c r="A780" t="s">
        <v>10275</v>
      </c>
      <c r="B780" t="s">
        <v>10276</v>
      </c>
    </row>
    <row r="781" spans="1:2" x14ac:dyDescent="0.25">
      <c r="A781" t="s">
        <v>10277</v>
      </c>
      <c r="B781" t="s">
        <v>10278</v>
      </c>
    </row>
    <row r="782" spans="1:2" x14ac:dyDescent="0.25">
      <c r="A782" t="s">
        <v>10279</v>
      </c>
      <c r="B782" t="s">
        <v>10280</v>
      </c>
    </row>
    <row r="783" spans="1:2" x14ac:dyDescent="0.25">
      <c r="A783" t="s">
        <v>427</v>
      </c>
      <c r="B783" t="s">
        <v>10281</v>
      </c>
    </row>
    <row r="784" spans="1:2" x14ac:dyDescent="0.25">
      <c r="A784" t="s">
        <v>10282</v>
      </c>
      <c r="B784" t="s">
        <v>10283</v>
      </c>
    </row>
    <row r="785" spans="1:2" x14ac:dyDescent="0.25">
      <c r="A785" t="s">
        <v>10284</v>
      </c>
      <c r="B785" t="s">
        <v>10285</v>
      </c>
    </row>
    <row r="786" spans="1:2" x14ac:dyDescent="0.25">
      <c r="A786" t="s">
        <v>10286</v>
      </c>
      <c r="B786" t="s">
        <v>10287</v>
      </c>
    </row>
    <row r="787" spans="1:2" x14ac:dyDescent="0.25">
      <c r="A787" t="s">
        <v>10288</v>
      </c>
      <c r="B787" t="s">
        <v>10289</v>
      </c>
    </row>
    <row r="788" spans="1:2" x14ac:dyDescent="0.25">
      <c r="A788" t="s">
        <v>10290</v>
      </c>
      <c r="B788" t="s">
        <v>10291</v>
      </c>
    </row>
    <row r="789" spans="1:2" x14ac:dyDescent="0.25">
      <c r="A789" t="s">
        <v>10292</v>
      </c>
      <c r="B789" t="s">
        <v>10293</v>
      </c>
    </row>
    <row r="790" spans="1:2" x14ac:dyDescent="0.25">
      <c r="A790" t="s">
        <v>10294</v>
      </c>
      <c r="B790" t="s">
        <v>10295</v>
      </c>
    </row>
    <row r="791" spans="1:2" x14ac:dyDescent="0.25">
      <c r="A791" t="s">
        <v>10296</v>
      </c>
      <c r="B791" t="s">
        <v>10297</v>
      </c>
    </row>
    <row r="792" spans="1:2" x14ac:dyDescent="0.25">
      <c r="A792" t="s">
        <v>10298</v>
      </c>
      <c r="B792" t="s">
        <v>10299</v>
      </c>
    </row>
    <row r="793" spans="1:2" x14ac:dyDescent="0.25">
      <c r="A793" t="s">
        <v>19</v>
      </c>
      <c r="B793" t="s">
        <v>10300</v>
      </c>
    </row>
    <row r="794" spans="1:2" x14ac:dyDescent="0.25">
      <c r="A794" t="s">
        <v>10301</v>
      </c>
      <c r="B794" t="s">
        <v>10302</v>
      </c>
    </row>
    <row r="795" spans="1:2" x14ac:dyDescent="0.25">
      <c r="A795" t="s">
        <v>10303</v>
      </c>
      <c r="B795" t="s">
        <v>10304</v>
      </c>
    </row>
    <row r="796" spans="1:2" x14ac:dyDescent="0.25">
      <c r="A796" t="s">
        <v>10305</v>
      </c>
      <c r="B796" t="s">
        <v>10306</v>
      </c>
    </row>
    <row r="797" spans="1:2" x14ac:dyDescent="0.25">
      <c r="A797" t="s">
        <v>10307</v>
      </c>
      <c r="B797" t="s">
        <v>10308</v>
      </c>
    </row>
    <row r="798" spans="1:2" x14ac:dyDescent="0.25">
      <c r="A798" t="s">
        <v>10309</v>
      </c>
      <c r="B798" t="s">
        <v>10310</v>
      </c>
    </row>
    <row r="799" spans="1:2" x14ac:dyDescent="0.25">
      <c r="A799" t="s">
        <v>10311</v>
      </c>
      <c r="B799" t="s">
        <v>10312</v>
      </c>
    </row>
    <row r="800" spans="1:2" x14ac:dyDescent="0.25">
      <c r="A800" t="s">
        <v>10313</v>
      </c>
      <c r="B800" t="s">
        <v>10314</v>
      </c>
    </row>
    <row r="801" spans="1:2" x14ac:dyDescent="0.25">
      <c r="A801" t="s">
        <v>10315</v>
      </c>
      <c r="B801" t="s">
        <v>10316</v>
      </c>
    </row>
    <row r="802" spans="1:2" x14ac:dyDescent="0.25">
      <c r="A802" t="s">
        <v>10317</v>
      </c>
      <c r="B802" t="s">
        <v>10318</v>
      </c>
    </row>
    <row r="803" spans="1:2" x14ac:dyDescent="0.25">
      <c r="A803" t="s">
        <v>10319</v>
      </c>
      <c r="B803" t="s">
        <v>10320</v>
      </c>
    </row>
    <row r="804" spans="1:2" x14ac:dyDescent="0.25">
      <c r="A804" t="s">
        <v>10321</v>
      </c>
      <c r="B804" t="s">
        <v>10322</v>
      </c>
    </row>
    <row r="805" spans="1:2" x14ac:dyDescent="0.25">
      <c r="A805" t="s">
        <v>10323</v>
      </c>
      <c r="B805" t="s">
        <v>10324</v>
      </c>
    </row>
    <row r="806" spans="1:2" x14ac:dyDescent="0.25">
      <c r="A806" t="s">
        <v>10325</v>
      </c>
      <c r="B806" t="s">
        <v>10326</v>
      </c>
    </row>
    <row r="807" spans="1:2" x14ac:dyDescent="0.25">
      <c r="A807" t="s">
        <v>10327</v>
      </c>
      <c r="B807" t="s">
        <v>10328</v>
      </c>
    </row>
    <row r="808" spans="1:2" x14ac:dyDescent="0.25">
      <c r="A808" t="s">
        <v>10329</v>
      </c>
      <c r="B808" t="s">
        <v>10330</v>
      </c>
    </row>
    <row r="809" spans="1:2" x14ac:dyDescent="0.25">
      <c r="A809" t="s">
        <v>10331</v>
      </c>
      <c r="B809" t="s">
        <v>10332</v>
      </c>
    </row>
    <row r="810" spans="1:2" x14ac:dyDescent="0.25">
      <c r="A810" t="s">
        <v>10333</v>
      </c>
      <c r="B810" t="s">
        <v>10334</v>
      </c>
    </row>
    <row r="811" spans="1:2" x14ac:dyDescent="0.25">
      <c r="A811" t="s">
        <v>10335</v>
      </c>
      <c r="B811" t="s">
        <v>10336</v>
      </c>
    </row>
    <row r="812" spans="1:2" x14ac:dyDescent="0.25">
      <c r="A812" t="s">
        <v>21</v>
      </c>
      <c r="B812" t="s">
        <v>10337</v>
      </c>
    </row>
    <row r="813" spans="1:2" x14ac:dyDescent="0.25">
      <c r="A813" t="s">
        <v>10338</v>
      </c>
      <c r="B813" t="s">
        <v>10339</v>
      </c>
    </row>
    <row r="814" spans="1:2" x14ac:dyDescent="0.25">
      <c r="A814" t="s">
        <v>22</v>
      </c>
      <c r="B814" t="s">
        <v>10340</v>
      </c>
    </row>
    <row r="815" spans="1:2" x14ac:dyDescent="0.25">
      <c r="A815" t="s">
        <v>10341</v>
      </c>
      <c r="B815" t="s">
        <v>10342</v>
      </c>
    </row>
    <row r="816" spans="1:2" x14ac:dyDescent="0.25">
      <c r="A816" t="s">
        <v>10343</v>
      </c>
      <c r="B816" t="s">
        <v>10344</v>
      </c>
    </row>
    <row r="817" spans="1:2" x14ac:dyDescent="0.25">
      <c r="A817" t="s">
        <v>10345</v>
      </c>
      <c r="B817" t="s">
        <v>10346</v>
      </c>
    </row>
    <row r="818" spans="1:2" x14ac:dyDescent="0.25">
      <c r="A818" t="s">
        <v>10347</v>
      </c>
      <c r="B818" t="s">
        <v>10348</v>
      </c>
    </row>
    <row r="819" spans="1:2" x14ac:dyDescent="0.25">
      <c r="A819" t="s">
        <v>10349</v>
      </c>
      <c r="B819" t="s">
        <v>10350</v>
      </c>
    </row>
    <row r="820" spans="1:2" x14ac:dyDescent="0.25">
      <c r="A820" t="s">
        <v>10351</v>
      </c>
      <c r="B820" t="s">
        <v>10352</v>
      </c>
    </row>
    <row r="821" spans="1:2" x14ac:dyDescent="0.25">
      <c r="A821" t="s">
        <v>10353</v>
      </c>
      <c r="B821" t="s">
        <v>10354</v>
      </c>
    </row>
    <row r="822" spans="1:2" x14ac:dyDescent="0.25">
      <c r="A822" t="s">
        <v>24</v>
      </c>
      <c r="B822" t="s">
        <v>10355</v>
      </c>
    </row>
    <row r="823" spans="1:2" x14ac:dyDescent="0.25">
      <c r="A823" t="s">
        <v>10356</v>
      </c>
      <c r="B823" t="s">
        <v>10357</v>
      </c>
    </row>
    <row r="824" spans="1:2" x14ac:dyDescent="0.25">
      <c r="A824" t="s">
        <v>10358</v>
      </c>
      <c r="B824" t="s">
        <v>10359</v>
      </c>
    </row>
    <row r="825" spans="1:2" x14ac:dyDescent="0.25">
      <c r="A825" t="s">
        <v>10360</v>
      </c>
      <c r="B825" t="s">
        <v>10361</v>
      </c>
    </row>
    <row r="826" spans="1:2" x14ac:dyDescent="0.25">
      <c r="A826" t="s">
        <v>10362</v>
      </c>
      <c r="B826" t="s">
        <v>10363</v>
      </c>
    </row>
    <row r="827" spans="1:2" x14ac:dyDescent="0.25">
      <c r="A827" t="s">
        <v>10364</v>
      </c>
      <c r="B827" t="s">
        <v>10365</v>
      </c>
    </row>
    <row r="828" spans="1:2" x14ac:dyDescent="0.25">
      <c r="A828" t="s">
        <v>10366</v>
      </c>
      <c r="B828" t="s">
        <v>10367</v>
      </c>
    </row>
    <row r="829" spans="1:2" x14ac:dyDescent="0.25">
      <c r="A829" t="s">
        <v>10368</v>
      </c>
      <c r="B829" t="s">
        <v>10369</v>
      </c>
    </row>
    <row r="830" spans="1:2" x14ac:dyDescent="0.25">
      <c r="A830" t="s">
        <v>1317</v>
      </c>
      <c r="B830" t="s">
        <v>10370</v>
      </c>
    </row>
    <row r="831" spans="1:2" x14ac:dyDescent="0.25">
      <c r="A831" t="s">
        <v>10371</v>
      </c>
      <c r="B831" t="s">
        <v>10372</v>
      </c>
    </row>
    <row r="832" spans="1:2" x14ac:dyDescent="0.25">
      <c r="A832" t="s">
        <v>10373</v>
      </c>
      <c r="B832" t="s">
        <v>10374</v>
      </c>
    </row>
    <row r="833" spans="1:2" x14ac:dyDescent="0.25">
      <c r="A833" t="s">
        <v>432</v>
      </c>
      <c r="B833" t="s">
        <v>10375</v>
      </c>
    </row>
    <row r="834" spans="1:2" x14ac:dyDescent="0.25">
      <c r="A834" t="s">
        <v>25</v>
      </c>
      <c r="B834" t="s">
        <v>10376</v>
      </c>
    </row>
    <row r="835" spans="1:2" x14ac:dyDescent="0.25">
      <c r="A835" t="s">
        <v>10377</v>
      </c>
      <c r="B835" t="s">
        <v>10378</v>
      </c>
    </row>
    <row r="836" spans="1:2" x14ac:dyDescent="0.25">
      <c r="A836" t="s">
        <v>10379</v>
      </c>
      <c r="B836" t="s">
        <v>10380</v>
      </c>
    </row>
    <row r="837" spans="1:2" x14ac:dyDescent="0.25">
      <c r="A837" t="s">
        <v>10381</v>
      </c>
      <c r="B837" t="s">
        <v>10382</v>
      </c>
    </row>
    <row r="838" spans="1:2" x14ac:dyDescent="0.25">
      <c r="A838" t="s">
        <v>10383</v>
      </c>
      <c r="B838" t="s">
        <v>10384</v>
      </c>
    </row>
    <row r="839" spans="1:2" x14ac:dyDescent="0.25">
      <c r="A839" t="s">
        <v>10385</v>
      </c>
      <c r="B839" t="s">
        <v>10386</v>
      </c>
    </row>
    <row r="840" spans="1:2" x14ac:dyDescent="0.25">
      <c r="A840" t="s">
        <v>10387</v>
      </c>
      <c r="B840" t="s">
        <v>10388</v>
      </c>
    </row>
    <row r="841" spans="1:2" x14ac:dyDescent="0.25">
      <c r="A841" t="s">
        <v>10389</v>
      </c>
      <c r="B841" t="s">
        <v>10390</v>
      </c>
    </row>
    <row r="842" spans="1:2" x14ac:dyDescent="0.25">
      <c r="A842" t="s">
        <v>1325</v>
      </c>
      <c r="B842" t="s">
        <v>10391</v>
      </c>
    </row>
    <row r="843" spans="1:2" x14ac:dyDescent="0.25">
      <c r="A843" t="s">
        <v>10392</v>
      </c>
      <c r="B843" t="s">
        <v>10393</v>
      </c>
    </row>
    <row r="844" spans="1:2" x14ac:dyDescent="0.25">
      <c r="A844" t="s">
        <v>10394</v>
      </c>
      <c r="B844" t="s">
        <v>10395</v>
      </c>
    </row>
    <row r="845" spans="1:2" x14ac:dyDescent="0.25">
      <c r="A845" t="s">
        <v>10396</v>
      </c>
      <c r="B845" t="s">
        <v>10397</v>
      </c>
    </row>
    <row r="846" spans="1:2" x14ac:dyDescent="0.25">
      <c r="A846" t="s">
        <v>10398</v>
      </c>
      <c r="B846" t="s">
        <v>10399</v>
      </c>
    </row>
    <row r="847" spans="1:2" x14ac:dyDescent="0.25">
      <c r="A847" t="s">
        <v>10400</v>
      </c>
      <c r="B847" t="s">
        <v>10401</v>
      </c>
    </row>
    <row r="848" spans="1:2" x14ac:dyDescent="0.25">
      <c r="A848" t="s">
        <v>10402</v>
      </c>
      <c r="B848" t="s">
        <v>10403</v>
      </c>
    </row>
    <row r="849" spans="1:2" x14ac:dyDescent="0.25">
      <c r="A849" t="s">
        <v>10404</v>
      </c>
      <c r="B849" t="s">
        <v>10405</v>
      </c>
    </row>
    <row r="850" spans="1:2" x14ac:dyDescent="0.25">
      <c r="A850" t="s">
        <v>1327</v>
      </c>
      <c r="B850" t="s">
        <v>10406</v>
      </c>
    </row>
    <row r="851" spans="1:2" x14ac:dyDescent="0.25">
      <c r="A851" t="s">
        <v>10407</v>
      </c>
      <c r="B851" t="s">
        <v>10408</v>
      </c>
    </row>
    <row r="852" spans="1:2" x14ac:dyDescent="0.25">
      <c r="A852" t="s">
        <v>10409</v>
      </c>
      <c r="B852" t="s">
        <v>10410</v>
      </c>
    </row>
    <row r="853" spans="1:2" x14ac:dyDescent="0.25">
      <c r="A853" t="s">
        <v>10411</v>
      </c>
      <c r="B853" t="s">
        <v>10412</v>
      </c>
    </row>
    <row r="854" spans="1:2" x14ac:dyDescent="0.25">
      <c r="A854" t="s">
        <v>10413</v>
      </c>
      <c r="B854" t="s">
        <v>10414</v>
      </c>
    </row>
    <row r="855" spans="1:2" x14ac:dyDescent="0.25">
      <c r="A855" t="s">
        <v>10415</v>
      </c>
      <c r="B855" t="s">
        <v>10416</v>
      </c>
    </row>
    <row r="856" spans="1:2" x14ac:dyDescent="0.25">
      <c r="A856" t="s">
        <v>10417</v>
      </c>
      <c r="B856" t="s">
        <v>10418</v>
      </c>
    </row>
    <row r="857" spans="1:2" x14ac:dyDescent="0.25">
      <c r="A857" t="s">
        <v>346</v>
      </c>
      <c r="B857" t="s">
        <v>10419</v>
      </c>
    </row>
    <row r="858" spans="1:2" x14ac:dyDescent="0.25">
      <c r="A858" t="s">
        <v>10420</v>
      </c>
      <c r="B858" t="s">
        <v>10421</v>
      </c>
    </row>
    <row r="859" spans="1:2" x14ac:dyDescent="0.25">
      <c r="A859" t="s">
        <v>10422</v>
      </c>
      <c r="B859" t="s">
        <v>10423</v>
      </c>
    </row>
    <row r="860" spans="1:2" x14ac:dyDescent="0.25">
      <c r="A860" t="s">
        <v>10424</v>
      </c>
      <c r="B860" t="s">
        <v>10425</v>
      </c>
    </row>
    <row r="861" spans="1:2" x14ac:dyDescent="0.25">
      <c r="A861" t="s">
        <v>10426</v>
      </c>
      <c r="B861" t="s">
        <v>10427</v>
      </c>
    </row>
    <row r="862" spans="1:2" x14ac:dyDescent="0.25">
      <c r="A862" t="s">
        <v>10428</v>
      </c>
      <c r="B862" t="s">
        <v>10429</v>
      </c>
    </row>
    <row r="863" spans="1:2" x14ac:dyDescent="0.25">
      <c r="A863" t="s">
        <v>10430</v>
      </c>
      <c r="B863" t="s">
        <v>10431</v>
      </c>
    </row>
    <row r="864" spans="1:2" x14ac:dyDescent="0.25">
      <c r="A864" t="s">
        <v>10432</v>
      </c>
      <c r="B864" t="s">
        <v>10433</v>
      </c>
    </row>
    <row r="865" spans="1:2" x14ac:dyDescent="0.25">
      <c r="A865" t="s">
        <v>10434</v>
      </c>
      <c r="B865" t="s">
        <v>10435</v>
      </c>
    </row>
    <row r="866" spans="1:2" x14ac:dyDescent="0.25">
      <c r="A866" t="s">
        <v>10436</v>
      </c>
      <c r="B866" t="s">
        <v>10437</v>
      </c>
    </row>
    <row r="867" spans="1:2" x14ac:dyDescent="0.25">
      <c r="A867" t="s">
        <v>10438</v>
      </c>
      <c r="B867" t="s">
        <v>10439</v>
      </c>
    </row>
    <row r="868" spans="1:2" x14ac:dyDescent="0.25">
      <c r="A868" t="s">
        <v>10440</v>
      </c>
      <c r="B868" t="s">
        <v>10441</v>
      </c>
    </row>
    <row r="869" spans="1:2" x14ac:dyDescent="0.25">
      <c r="A869" t="s">
        <v>10442</v>
      </c>
      <c r="B869" t="s">
        <v>9725</v>
      </c>
    </row>
    <row r="870" spans="1:2" x14ac:dyDescent="0.25">
      <c r="A870" t="s">
        <v>10443</v>
      </c>
      <c r="B870" t="s">
        <v>10444</v>
      </c>
    </row>
    <row r="871" spans="1:2" x14ac:dyDescent="0.25">
      <c r="A871" t="s">
        <v>10445</v>
      </c>
      <c r="B871" t="s">
        <v>10446</v>
      </c>
    </row>
    <row r="872" spans="1:2" x14ac:dyDescent="0.25">
      <c r="A872" t="s">
        <v>10447</v>
      </c>
      <c r="B872" t="s">
        <v>10448</v>
      </c>
    </row>
    <row r="873" spans="1:2" x14ac:dyDescent="0.25">
      <c r="A873" t="s">
        <v>10449</v>
      </c>
      <c r="B873" t="s">
        <v>10450</v>
      </c>
    </row>
    <row r="874" spans="1:2" x14ac:dyDescent="0.25">
      <c r="A874" t="s">
        <v>10451</v>
      </c>
      <c r="B874" t="s">
        <v>10452</v>
      </c>
    </row>
    <row r="875" spans="1:2" x14ac:dyDescent="0.25">
      <c r="A875" t="s">
        <v>10453</v>
      </c>
      <c r="B875" t="s">
        <v>10454</v>
      </c>
    </row>
    <row r="876" spans="1:2" x14ac:dyDescent="0.25">
      <c r="A876" t="s">
        <v>10455</v>
      </c>
      <c r="B876" t="s">
        <v>8938</v>
      </c>
    </row>
    <row r="877" spans="1:2" x14ac:dyDescent="0.25">
      <c r="A877" t="s">
        <v>10456</v>
      </c>
      <c r="B877" t="s">
        <v>10457</v>
      </c>
    </row>
    <row r="878" spans="1:2" x14ac:dyDescent="0.25">
      <c r="A878" t="s">
        <v>10458</v>
      </c>
      <c r="B878" t="s">
        <v>10459</v>
      </c>
    </row>
    <row r="879" spans="1:2" x14ac:dyDescent="0.25">
      <c r="A879" t="s">
        <v>10460</v>
      </c>
      <c r="B879" t="s">
        <v>10461</v>
      </c>
    </row>
    <row r="880" spans="1:2" x14ac:dyDescent="0.25">
      <c r="A880" t="s">
        <v>10462</v>
      </c>
      <c r="B880" t="s">
        <v>10463</v>
      </c>
    </row>
    <row r="881" spans="1:2" x14ac:dyDescent="0.25">
      <c r="A881" t="s">
        <v>10464</v>
      </c>
      <c r="B881" t="s">
        <v>10465</v>
      </c>
    </row>
    <row r="882" spans="1:2" x14ac:dyDescent="0.25">
      <c r="A882" t="s">
        <v>10466</v>
      </c>
      <c r="B882" t="s">
        <v>10467</v>
      </c>
    </row>
    <row r="883" spans="1:2" x14ac:dyDescent="0.25">
      <c r="A883" t="s">
        <v>10468</v>
      </c>
      <c r="B883" t="s">
        <v>10469</v>
      </c>
    </row>
    <row r="884" spans="1:2" x14ac:dyDescent="0.25">
      <c r="A884" t="s">
        <v>10470</v>
      </c>
      <c r="B884" t="s">
        <v>10471</v>
      </c>
    </row>
    <row r="885" spans="1:2" x14ac:dyDescent="0.25">
      <c r="A885" t="s">
        <v>1334</v>
      </c>
      <c r="B885" t="s">
        <v>10472</v>
      </c>
    </row>
    <row r="886" spans="1:2" x14ac:dyDescent="0.25">
      <c r="A886" t="s">
        <v>10473</v>
      </c>
      <c r="B886" t="s">
        <v>10474</v>
      </c>
    </row>
    <row r="887" spans="1:2" x14ac:dyDescent="0.25">
      <c r="A887" t="s">
        <v>434</v>
      </c>
      <c r="B887" t="s">
        <v>10475</v>
      </c>
    </row>
    <row r="888" spans="1:2" x14ac:dyDescent="0.25">
      <c r="A888" t="s">
        <v>10476</v>
      </c>
      <c r="B888" t="s">
        <v>10477</v>
      </c>
    </row>
    <row r="889" spans="1:2" x14ac:dyDescent="0.25">
      <c r="A889" t="s">
        <v>10478</v>
      </c>
      <c r="B889" t="s">
        <v>10479</v>
      </c>
    </row>
    <row r="890" spans="1:2" x14ac:dyDescent="0.25">
      <c r="A890" t="s">
        <v>10480</v>
      </c>
      <c r="B890" t="s">
        <v>10481</v>
      </c>
    </row>
    <row r="891" spans="1:2" x14ac:dyDescent="0.25">
      <c r="A891" t="s">
        <v>27</v>
      </c>
      <c r="B891" t="s">
        <v>10482</v>
      </c>
    </row>
    <row r="892" spans="1:2" x14ac:dyDescent="0.25">
      <c r="A892" t="s">
        <v>10483</v>
      </c>
      <c r="B892" t="s">
        <v>10484</v>
      </c>
    </row>
    <row r="893" spans="1:2" x14ac:dyDescent="0.25">
      <c r="A893" t="s">
        <v>10485</v>
      </c>
      <c r="B893" t="s">
        <v>10486</v>
      </c>
    </row>
    <row r="894" spans="1:2" x14ac:dyDescent="0.25">
      <c r="A894" t="s">
        <v>10487</v>
      </c>
      <c r="B894" t="s">
        <v>10488</v>
      </c>
    </row>
    <row r="895" spans="1:2" x14ac:dyDescent="0.25">
      <c r="A895" t="s">
        <v>10489</v>
      </c>
      <c r="B895" t="s">
        <v>10490</v>
      </c>
    </row>
    <row r="896" spans="1:2" x14ac:dyDescent="0.25">
      <c r="A896" t="s">
        <v>10491</v>
      </c>
      <c r="B896" t="s">
        <v>10492</v>
      </c>
    </row>
    <row r="897" spans="1:2" x14ac:dyDescent="0.25">
      <c r="A897" t="s">
        <v>10493</v>
      </c>
      <c r="B897" t="s">
        <v>10494</v>
      </c>
    </row>
    <row r="898" spans="1:2" x14ac:dyDescent="0.25">
      <c r="A898" t="s">
        <v>29</v>
      </c>
      <c r="B898" t="s">
        <v>10495</v>
      </c>
    </row>
    <row r="899" spans="1:2" x14ac:dyDescent="0.25">
      <c r="A899" t="s">
        <v>10496</v>
      </c>
      <c r="B899" t="s">
        <v>10497</v>
      </c>
    </row>
    <row r="900" spans="1:2" x14ac:dyDescent="0.25">
      <c r="A900" t="s">
        <v>10498</v>
      </c>
      <c r="B900" t="s">
        <v>10499</v>
      </c>
    </row>
    <row r="901" spans="1:2" x14ac:dyDescent="0.25">
      <c r="A901" t="s">
        <v>10500</v>
      </c>
      <c r="B901" t="s">
        <v>10501</v>
      </c>
    </row>
    <row r="902" spans="1:2" x14ac:dyDescent="0.25">
      <c r="A902" t="s">
        <v>10502</v>
      </c>
      <c r="B902" t="s">
        <v>10503</v>
      </c>
    </row>
    <row r="903" spans="1:2" x14ac:dyDescent="0.25">
      <c r="A903" t="s">
        <v>10504</v>
      </c>
      <c r="B903" t="s">
        <v>10505</v>
      </c>
    </row>
    <row r="904" spans="1:2" x14ac:dyDescent="0.25">
      <c r="A904" t="s">
        <v>10506</v>
      </c>
      <c r="B904" t="s">
        <v>10507</v>
      </c>
    </row>
    <row r="905" spans="1:2" x14ac:dyDescent="0.25">
      <c r="A905" t="s">
        <v>10508</v>
      </c>
      <c r="B905" t="s">
        <v>10509</v>
      </c>
    </row>
    <row r="906" spans="1:2" x14ac:dyDescent="0.25">
      <c r="A906" t="s">
        <v>30</v>
      </c>
      <c r="B906" t="s">
        <v>10510</v>
      </c>
    </row>
    <row r="907" spans="1:2" x14ac:dyDescent="0.25">
      <c r="A907" t="s">
        <v>10511</v>
      </c>
      <c r="B907" t="s">
        <v>10512</v>
      </c>
    </row>
    <row r="908" spans="1:2" x14ac:dyDescent="0.25">
      <c r="A908" t="s">
        <v>10513</v>
      </c>
      <c r="B908" t="s">
        <v>10514</v>
      </c>
    </row>
    <row r="909" spans="1:2" x14ac:dyDescent="0.25">
      <c r="A909" t="s">
        <v>10515</v>
      </c>
      <c r="B909" t="s">
        <v>10516</v>
      </c>
    </row>
    <row r="910" spans="1:2" x14ac:dyDescent="0.25">
      <c r="A910" t="s">
        <v>10517</v>
      </c>
      <c r="B910" t="s">
        <v>10518</v>
      </c>
    </row>
    <row r="911" spans="1:2" x14ac:dyDescent="0.25">
      <c r="A911" t="s">
        <v>10519</v>
      </c>
      <c r="B911" t="s">
        <v>10520</v>
      </c>
    </row>
    <row r="912" spans="1:2" x14ac:dyDescent="0.25">
      <c r="A912" t="s">
        <v>10521</v>
      </c>
      <c r="B912" t="s">
        <v>10522</v>
      </c>
    </row>
    <row r="913" spans="1:2" x14ac:dyDescent="0.25">
      <c r="A913" t="s">
        <v>10523</v>
      </c>
      <c r="B913" t="s">
        <v>10524</v>
      </c>
    </row>
    <row r="914" spans="1:2" x14ac:dyDescent="0.25">
      <c r="A914" t="s">
        <v>10525</v>
      </c>
      <c r="B914" t="s">
        <v>10526</v>
      </c>
    </row>
    <row r="915" spans="1:2" x14ac:dyDescent="0.25">
      <c r="A915" t="s">
        <v>10527</v>
      </c>
      <c r="B915" t="s">
        <v>10528</v>
      </c>
    </row>
    <row r="916" spans="1:2" x14ac:dyDescent="0.25">
      <c r="A916" t="s">
        <v>10529</v>
      </c>
      <c r="B916" t="s">
        <v>10530</v>
      </c>
    </row>
    <row r="917" spans="1:2" x14ac:dyDescent="0.25">
      <c r="A917" t="s">
        <v>10531</v>
      </c>
      <c r="B917" t="s">
        <v>10532</v>
      </c>
    </row>
    <row r="918" spans="1:2" x14ac:dyDescent="0.25">
      <c r="A918" t="s">
        <v>10533</v>
      </c>
      <c r="B918" t="s">
        <v>10534</v>
      </c>
    </row>
    <row r="919" spans="1:2" x14ac:dyDescent="0.25">
      <c r="A919" t="s">
        <v>10535</v>
      </c>
      <c r="B919" t="s">
        <v>10536</v>
      </c>
    </row>
    <row r="920" spans="1:2" x14ac:dyDescent="0.25">
      <c r="A920" t="s">
        <v>10537</v>
      </c>
      <c r="B920" t="s">
        <v>10538</v>
      </c>
    </row>
    <row r="921" spans="1:2" x14ac:dyDescent="0.25">
      <c r="A921" t="s">
        <v>10539</v>
      </c>
      <c r="B921" t="s">
        <v>10540</v>
      </c>
    </row>
    <row r="922" spans="1:2" x14ac:dyDescent="0.25">
      <c r="A922" t="s">
        <v>10541</v>
      </c>
      <c r="B922" t="s">
        <v>10542</v>
      </c>
    </row>
    <row r="923" spans="1:2" x14ac:dyDescent="0.25">
      <c r="A923" t="s">
        <v>10543</v>
      </c>
      <c r="B923" t="s">
        <v>10544</v>
      </c>
    </row>
    <row r="924" spans="1:2" x14ac:dyDescent="0.25">
      <c r="A924" t="s">
        <v>10545</v>
      </c>
      <c r="B924" t="s">
        <v>10546</v>
      </c>
    </row>
    <row r="925" spans="1:2" x14ac:dyDescent="0.25">
      <c r="A925" t="s">
        <v>10547</v>
      </c>
      <c r="B925" t="s">
        <v>10548</v>
      </c>
    </row>
    <row r="926" spans="1:2" x14ac:dyDescent="0.25">
      <c r="A926" t="s">
        <v>10549</v>
      </c>
      <c r="B926" t="s">
        <v>10550</v>
      </c>
    </row>
    <row r="927" spans="1:2" x14ac:dyDescent="0.25">
      <c r="A927" t="s">
        <v>10551</v>
      </c>
      <c r="B927" t="s">
        <v>10552</v>
      </c>
    </row>
    <row r="928" spans="1:2" x14ac:dyDescent="0.25">
      <c r="A928" t="s">
        <v>10553</v>
      </c>
      <c r="B928" t="s">
        <v>10554</v>
      </c>
    </row>
    <row r="929" spans="1:2" x14ac:dyDescent="0.25">
      <c r="A929" t="s">
        <v>32</v>
      </c>
      <c r="B929" t="s">
        <v>10555</v>
      </c>
    </row>
    <row r="930" spans="1:2" x14ac:dyDescent="0.25">
      <c r="A930" t="s">
        <v>10556</v>
      </c>
      <c r="B930" t="s">
        <v>10557</v>
      </c>
    </row>
    <row r="931" spans="1:2" x14ac:dyDescent="0.25">
      <c r="A931" t="s">
        <v>10558</v>
      </c>
      <c r="B931" t="s">
        <v>10559</v>
      </c>
    </row>
    <row r="932" spans="1:2" x14ac:dyDescent="0.25">
      <c r="A932" t="s">
        <v>10560</v>
      </c>
      <c r="B932" t="s">
        <v>10561</v>
      </c>
    </row>
    <row r="933" spans="1:2" x14ac:dyDescent="0.25">
      <c r="A933" t="s">
        <v>10562</v>
      </c>
      <c r="B933" t="s">
        <v>10563</v>
      </c>
    </row>
    <row r="934" spans="1:2" x14ac:dyDescent="0.25">
      <c r="A934" t="s">
        <v>10564</v>
      </c>
      <c r="B934" t="s">
        <v>10565</v>
      </c>
    </row>
    <row r="935" spans="1:2" x14ac:dyDescent="0.25">
      <c r="A935" t="s">
        <v>10566</v>
      </c>
      <c r="B935" t="s">
        <v>10567</v>
      </c>
    </row>
    <row r="936" spans="1:2" x14ac:dyDescent="0.25">
      <c r="A936" t="s">
        <v>10568</v>
      </c>
      <c r="B936" t="s">
        <v>10569</v>
      </c>
    </row>
    <row r="937" spans="1:2" x14ac:dyDescent="0.25">
      <c r="A937" t="s">
        <v>10570</v>
      </c>
      <c r="B937" t="s">
        <v>10571</v>
      </c>
    </row>
    <row r="938" spans="1:2" x14ac:dyDescent="0.25">
      <c r="A938" t="s">
        <v>10572</v>
      </c>
      <c r="B938" t="s">
        <v>10573</v>
      </c>
    </row>
    <row r="939" spans="1:2" x14ac:dyDescent="0.25">
      <c r="A939" t="s">
        <v>10574</v>
      </c>
      <c r="B939" t="s">
        <v>10575</v>
      </c>
    </row>
    <row r="940" spans="1:2" x14ac:dyDescent="0.25">
      <c r="A940" t="s">
        <v>10576</v>
      </c>
      <c r="B940" t="s">
        <v>10577</v>
      </c>
    </row>
    <row r="941" spans="1:2" x14ac:dyDescent="0.25">
      <c r="A941" t="s">
        <v>10578</v>
      </c>
      <c r="B941" t="s">
        <v>10579</v>
      </c>
    </row>
    <row r="942" spans="1:2" x14ac:dyDescent="0.25">
      <c r="A942" t="s">
        <v>10580</v>
      </c>
      <c r="B942" t="s">
        <v>10581</v>
      </c>
    </row>
    <row r="943" spans="1:2" x14ac:dyDescent="0.25">
      <c r="A943" t="s">
        <v>10582</v>
      </c>
      <c r="B943" t="s">
        <v>10583</v>
      </c>
    </row>
    <row r="944" spans="1:2" x14ac:dyDescent="0.25">
      <c r="A944" t="s">
        <v>10584</v>
      </c>
      <c r="B944" t="s">
        <v>10585</v>
      </c>
    </row>
    <row r="945" spans="1:2" x14ac:dyDescent="0.25">
      <c r="A945" t="s">
        <v>10586</v>
      </c>
      <c r="B945" t="s">
        <v>10587</v>
      </c>
    </row>
    <row r="946" spans="1:2" x14ac:dyDescent="0.25">
      <c r="A946" t="s">
        <v>10588</v>
      </c>
      <c r="B946" t="s">
        <v>10589</v>
      </c>
    </row>
    <row r="947" spans="1:2" x14ac:dyDescent="0.25">
      <c r="A947" t="s">
        <v>10590</v>
      </c>
      <c r="B947" t="s">
        <v>10591</v>
      </c>
    </row>
    <row r="948" spans="1:2" x14ac:dyDescent="0.25">
      <c r="A948" t="s">
        <v>10592</v>
      </c>
      <c r="B948" t="s">
        <v>10593</v>
      </c>
    </row>
    <row r="949" spans="1:2" x14ac:dyDescent="0.25">
      <c r="A949" t="s">
        <v>10594</v>
      </c>
      <c r="B949" t="s">
        <v>10595</v>
      </c>
    </row>
    <row r="950" spans="1:2" x14ac:dyDescent="0.25">
      <c r="A950" t="s">
        <v>10596</v>
      </c>
      <c r="B950" t="s">
        <v>10597</v>
      </c>
    </row>
    <row r="951" spans="1:2" x14ac:dyDescent="0.25">
      <c r="A951" t="s">
        <v>10598</v>
      </c>
      <c r="B951" t="s">
        <v>10599</v>
      </c>
    </row>
    <row r="952" spans="1:2" x14ac:dyDescent="0.25">
      <c r="A952" t="s">
        <v>10600</v>
      </c>
      <c r="B952" t="s">
        <v>10601</v>
      </c>
    </row>
    <row r="953" spans="1:2" x14ac:dyDescent="0.25">
      <c r="A953" t="s">
        <v>10602</v>
      </c>
      <c r="B953" t="s">
        <v>10603</v>
      </c>
    </row>
    <row r="954" spans="1:2" x14ac:dyDescent="0.25">
      <c r="A954" t="s">
        <v>10604</v>
      </c>
      <c r="B954" t="s">
        <v>10605</v>
      </c>
    </row>
    <row r="955" spans="1:2" x14ac:dyDescent="0.25">
      <c r="A955" t="s">
        <v>10606</v>
      </c>
      <c r="B955" t="s">
        <v>10607</v>
      </c>
    </row>
    <row r="956" spans="1:2" x14ac:dyDescent="0.25">
      <c r="A956" t="s">
        <v>10608</v>
      </c>
      <c r="B956" t="s">
        <v>10609</v>
      </c>
    </row>
    <row r="957" spans="1:2" x14ac:dyDescent="0.25">
      <c r="A957" t="s">
        <v>10610</v>
      </c>
      <c r="B957" t="s">
        <v>10611</v>
      </c>
    </row>
    <row r="958" spans="1:2" x14ac:dyDescent="0.25">
      <c r="A958" t="s">
        <v>34</v>
      </c>
      <c r="B958" t="s">
        <v>10612</v>
      </c>
    </row>
    <row r="959" spans="1:2" x14ac:dyDescent="0.25">
      <c r="A959" t="s">
        <v>10613</v>
      </c>
      <c r="B959" t="s">
        <v>10614</v>
      </c>
    </row>
    <row r="960" spans="1:2" x14ac:dyDescent="0.25">
      <c r="A960" t="s">
        <v>10615</v>
      </c>
      <c r="B960" t="s">
        <v>10616</v>
      </c>
    </row>
    <row r="961" spans="1:2" x14ac:dyDescent="0.25">
      <c r="A961" t="s">
        <v>10617</v>
      </c>
      <c r="B961" t="s">
        <v>10618</v>
      </c>
    </row>
    <row r="962" spans="1:2" x14ac:dyDescent="0.25">
      <c r="A962" t="s">
        <v>10619</v>
      </c>
      <c r="B962" t="s">
        <v>10620</v>
      </c>
    </row>
    <row r="963" spans="1:2" x14ac:dyDescent="0.25">
      <c r="A963" t="s">
        <v>10621</v>
      </c>
      <c r="B963" t="s">
        <v>10622</v>
      </c>
    </row>
    <row r="964" spans="1:2" x14ac:dyDescent="0.25">
      <c r="A964" t="s">
        <v>10623</v>
      </c>
      <c r="B964" t="s">
        <v>10624</v>
      </c>
    </row>
    <row r="965" spans="1:2" x14ac:dyDescent="0.25">
      <c r="A965" t="s">
        <v>10625</v>
      </c>
      <c r="B965" t="s">
        <v>10626</v>
      </c>
    </row>
    <row r="966" spans="1:2" x14ac:dyDescent="0.25">
      <c r="A966" t="s">
        <v>10627</v>
      </c>
      <c r="B966" t="s">
        <v>10628</v>
      </c>
    </row>
    <row r="967" spans="1:2" x14ac:dyDescent="0.25">
      <c r="A967" t="s">
        <v>10629</v>
      </c>
      <c r="B967" t="s">
        <v>10630</v>
      </c>
    </row>
    <row r="968" spans="1:2" x14ac:dyDescent="0.25">
      <c r="A968" t="s">
        <v>10631</v>
      </c>
      <c r="B968" t="s">
        <v>10632</v>
      </c>
    </row>
    <row r="969" spans="1:2" x14ac:dyDescent="0.25">
      <c r="A969" t="s">
        <v>10633</v>
      </c>
      <c r="B969" t="s">
        <v>10634</v>
      </c>
    </row>
    <row r="970" spans="1:2" x14ac:dyDescent="0.25">
      <c r="A970" t="s">
        <v>10635</v>
      </c>
      <c r="B970" t="s">
        <v>10636</v>
      </c>
    </row>
    <row r="971" spans="1:2" x14ac:dyDescent="0.25">
      <c r="A971" t="s">
        <v>10637</v>
      </c>
      <c r="B971" t="s">
        <v>10638</v>
      </c>
    </row>
    <row r="972" spans="1:2" x14ac:dyDescent="0.25">
      <c r="A972" t="s">
        <v>10639</v>
      </c>
      <c r="B972" t="s">
        <v>10640</v>
      </c>
    </row>
    <row r="973" spans="1:2" x14ac:dyDescent="0.25">
      <c r="A973" t="s">
        <v>10641</v>
      </c>
      <c r="B973" t="s">
        <v>10642</v>
      </c>
    </row>
    <row r="974" spans="1:2" x14ac:dyDescent="0.25">
      <c r="A974" t="s">
        <v>10643</v>
      </c>
      <c r="B974" t="s">
        <v>10644</v>
      </c>
    </row>
    <row r="975" spans="1:2" x14ac:dyDescent="0.25">
      <c r="A975" t="s">
        <v>10645</v>
      </c>
      <c r="B975" t="s">
        <v>10646</v>
      </c>
    </row>
    <row r="976" spans="1:2" x14ac:dyDescent="0.25">
      <c r="A976" t="s">
        <v>10647</v>
      </c>
      <c r="B976" t="s">
        <v>10648</v>
      </c>
    </row>
    <row r="977" spans="1:2" x14ac:dyDescent="0.25">
      <c r="A977" t="s">
        <v>10649</v>
      </c>
      <c r="B977" t="s">
        <v>10650</v>
      </c>
    </row>
    <row r="978" spans="1:2" x14ac:dyDescent="0.25">
      <c r="A978" t="s">
        <v>10651</v>
      </c>
      <c r="B978" t="s">
        <v>10652</v>
      </c>
    </row>
    <row r="979" spans="1:2" x14ac:dyDescent="0.25">
      <c r="A979" t="s">
        <v>441</v>
      </c>
      <c r="B979" t="s">
        <v>10653</v>
      </c>
    </row>
    <row r="980" spans="1:2" x14ac:dyDescent="0.25">
      <c r="A980" t="s">
        <v>10654</v>
      </c>
      <c r="B980" t="s">
        <v>10655</v>
      </c>
    </row>
    <row r="981" spans="1:2" x14ac:dyDescent="0.25">
      <c r="A981" t="s">
        <v>10656</v>
      </c>
      <c r="B981" t="s">
        <v>10657</v>
      </c>
    </row>
    <row r="982" spans="1:2" x14ac:dyDescent="0.25">
      <c r="A982" t="s">
        <v>10658</v>
      </c>
      <c r="B982" t="s">
        <v>10659</v>
      </c>
    </row>
    <row r="983" spans="1:2" x14ac:dyDescent="0.25">
      <c r="A983" t="s">
        <v>10660</v>
      </c>
      <c r="B983" t="s">
        <v>10661</v>
      </c>
    </row>
    <row r="984" spans="1:2" x14ac:dyDescent="0.25">
      <c r="A984" t="s">
        <v>10662</v>
      </c>
      <c r="B984" t="s">
        <v>10663</v>
      </c>
    </row>
    <row r="985" spans="1:2" x14ac:dyDescent="0.25">
      <c r="A985" t="s">
        <v>443</v>
      </c>
      <c r="B985" t="s">
        <v>10664</v>
      </c>
    </row>
    <row r="986" spans="1:2" x14ac:dyDescent="0.25">
      <c r="A986" t="s">
        <v>10665</v>
      </c>
      <c r="B986" t="s">
        <v>10666</v>
      </c>
    </row>
    <row r="987" spans="1:2" x14ac:dyDescent="0.25">
      <c r="A987" t="s">
        <v>10667</v>
      </c>
      <c r="B987" t="s">
        <v>10668</v>
      </c>
    </row>
    <row r="988" spans="1:2" x14ac:dyDescent="0.25">
      <c r="A988" t="s">
        <v>10669</v>
      </c>
      <c r="B988" t="s">
        <v>10670</v>
      </c>
    </row>
    <row r="989" spans="1:2" x14ac:dyDescent="0.25">
      <c r="A989" t="s">
        <v>10671</v>
      </c>
      <c r="B989" t="s">
        <v>10672</v>
      </c>
    </row>
    <row r="990" spans="1:2" x14ac:dyDescent="0.25">
      <c r="A990" t="s">
        <v>10673</v>
      </c>
      <c r="B990" t="s">
        <v>10674</v>
      </c>
    </row>
    <row r="991" spans="1:2" x14ac:dyDescent="0.25">
      <c r="A991" t="s">
        <v>10675</v>
      </c>
      <c r="B991" t="s">
        <v>10676</v>
      </c>
    </row>
    <row r="992" spans="1:2" x14ac:dyDescent="0.25">
      <c r="A992" t="s">
        <v>10677</v>
      </c>
      <c r="B992" t="s">
        <v>10678</v>
      </c>
    </row>
    <row r="993" spans="1:2" x14ac:dyDescent="0.25">
      <c r="A993" t="s">
        <v>10679</v>
      </c>
      <c r="B993" t="s">
        <v>10680</v>
      </c>
    </row>
    <row r="994" spans="1:2" x14ac:dyDescent="0.25">
      <c r="A994" t="s">
        <v>10681</v>
      </c>
      <c r="B994" t="s">
        <v>10682</v>
      </c>
    </row>
    <row r="995" spans="1:2" x14ac:dyDescent="0.25">
      <c r="A995" t="s">
        <v>10683</v>
      </c>
      <c r="B995" t="s">
        <v>10684</v>
      </c>
    </row>
    <row r="996" spans="1:2" x14ac:dyDescent="0.25">
      <c r="A996" t="s">
        <v>10685</v>
      </c>
      <c r="B996" t="s">
        <v>10686</v>
      </c>
    </row>
    <row r="997" spans="1:2" x14ac:dyDescent="0.25">
      <c r="A997" t="s">
        <v>10687</v>
      </c>
      <c r="B997" t="s">
        <v>10688</v>
      </c>
    </row>
    <row r="998" spans="1:2" x14ac:dyDescent="0.25">
      <c r="A998" t="s">
        <v>10689</v>
      </c>
      <c r="B998" t="s">
        <v>10690</v>
      </c>
    </row>
    <row r="999" spans="1:2" x14ac:dyDescent="0.25">
      <c r="A999" t="s">
        <v>10691</v>
      </c>
      <c r="B999" t="s">
        <v>10692</v>
      </c>
    </row>
    <row r="1000" spans="1:2" x14ac:dyDescent="0.25">
      <c r="A1000" t="s">
        <v>10693</v>
      </c>
      <c r="B1000" t="s">
        <v>10694</v>
      </c>
    </row>
    <row r="1001" spans="1:2" x14ac:dyDescent="0.25">
      <c r="A1001" t="s">
        <v>10695</v>
      </c>
      <c r="B1001" t="s">
        <v>10696</v>
      </c>
    </row>
    <row r="1002" spans="1:2" x14ac:dyDescent="0.25">
      <c r="A1002" t="s">
        <v>10697</v>
      </c>
      <c r="B1002" t="s">
        <v>10698</v>
      </c>
    </row>
    <row r="1003" spans="1:2" x14ac:dyDescent="0.25">
      <c r="A1003" t="s">
        <v>10699</v>
      </c>
      <c r="B1003" t="s">
        <v>10700</v>
      </c>
    </row>
    <row r="1004" spans="1:2" x14ac:dyDescent="0.25">
      <c r="A1004" t="s">
        <v>10701</v>
      </c>
      <c r="B1004" t="s">
        <v>10702</v>
      </c>
    </row>
    <row r="1005" spans="1:2" x14ac:dyDescent="0.25">
      <c r="A1005" t="s">
        <v>10703</v>
      </c>
      <c r="B1005" t="s">
        <v>10704</v>
      </c>
    </row>
    <row r="1006" spans="1:2" x14ac:dyDescent="0.25">
      <c r="A1006" t="s">
        <v>10705</v>
      </c>
      <c r="B1006" t="s">
        <v>10706</v>
      </c>
    </row>
    <row r="1007" spans="1:2" x14ac:dyDescent="0.25">
      <c r="A1007" t="s">
        <v>10707</v>
      </c>
      <c r="B1007" t="s">
        <v>10708</v>
      </c>
    </row>
    <row r="1008" spans="1:2" x14ac:dyDescent="0.25">
      <c r="A1008" t="s">
        <v>10709</v>
      </c>
      <c r="B1008" t="s">
        <v>10710</v>
      </c>
    </row>
    <row r="1009" spans="1:2" x14ac:dyDescent="0.25">
      <c r="A1009" t="s">
        <v>10711</v>
      </c>
      <c r="B1009" t="s">
        <v>10712</v>
      </c>
    </row>
    <row r="1010" spans="1:2" x14ac:dyDescent="0.25">
      <c r="A1010" t="s">
        <v>10713</v>
      </c>
      <c r="B1010" t="s">
        <v>10714</v>
      </c>
    </row>
    <row r="1011" spans="1:2" x14ac:dyDescent="0.25">
      <c r="A1011" t="s">
        <v>10715</v>
      </c>
      <c r="B1011" t="s">
        <v>10716</v>
      </c>
    </row>
    <row r="1012" spans="1:2" x14ac:dyDescent="0.25">
      <c r="A1012" t="s">
        <v>10717</v>
      </c>
      <c r="B1012" t="s">
        <v>10718</v>
      </c>
    </row>
    <row r="1013" spans="1:2" x14ac:dyDescent="0.25">
      <c r="A1013" t="s">
        <v>10719</v>
      </c>
      <c r="B1013" t="s">
        <v>10720</v>
      </c>
    </row>
    <row r="1014" spans="1:2" x14ac:dyDescent="0.25">
      <c r="A1014" t="s">
        <v>10721</v>
      </c>
      <c r="B1014" t="s">
        <v>10722</v>
      </c>
    </row>
    <row r="1015" spans="1:2" x14ac:dyDescent="0.25">
      <c r="A1015" t="s">
        <v>10723</v>
      </c>
      <c r="B1015" t="s">
        <v>10724</v>
      </c>
    </row>
    <row r="1016" spans="1:2" x14ac:dyDescent="0.25">
      <c r="A1016" t="s">
        <v>10725</v>
      </c>
      <c r="B1016" t="s">
        <v>10726</v>
      </c>
    </row>
    <row r="1017" spans="1:2" x14ac:dyDescent="0.25">
      <c r="A1017" t="s">
        <v>10727</v>
      </c>
      <c r="B1017" t="s">
        <v>10728</v>
      </c>
    </row>
    <row r="1018" spans="1:2" x14ac:dyDescent="0.25">
      <c r="A1018" t="s">
        <v>10729</v>
      </c>
      <c r="B1018" t="s">
        <v>10730</v>
      </c>
    </row>
    <row r="1019" spans="1:2" x14ac:dyDescent="0.25">
      <c r="A1019" t="s">
        <v>10731</v>
      </c>
      <c r="B1019" t="s">
        <v>10732</v>
      </c>
    </row>
    <row r="1020" spans="1:2" x14ac:dyDescent="0.25">
      <c r="A1020" t="s">
        <v>10733</v>
      </c>
      <c r="B1020" t="s">
        <v>10734</v>
      </c>
    </row>
    <row r="1021" spans="1:2" x14ac:dyDescent="0.25">
      <c r="A1021" t="s">
        <v>10735</v>
      </c>
      <c r="B1021" t="s">
        <v>10736</v>
      </c>
    </row>
    <row r="1022" spans="1:2" x14ac:dyDescent="0.25">
      <c r="A1022" t="s">
        <v>10737</v>
      </c>
      <c r="B1022" t="s">
        <v>10738</v>
      </c>
    </row>
    <row r="1023" spans="1:2" x14ac:dyDescent="0.25">
      <c r="A1023" t="s">
        <v>10739</v>
      </c>
      <c r="B1023" t="s">
        <v>10740</v>
      </c>
    </row>
    <row r="1024" spans="1:2" x14ac:dyDescent="0.25">
      <c r="A1024" t="s">
        <v>10741</v>
      </c>
      <c r="B1024" t="s">
        <v>10742</v>
      </c>
    </row>
    <row r="1025" spans="1:2" x14ac:dyDescent="0.25">
      <c r="A1025" t="s">
        <v>10743</v>
      </c>
      <c r="B1025" t="s">
        <v>10744</v>
      </c>
    </row>
    <row r="1026" spans="1:2" x14ac:dyDescent="0.25">
      <c r="A1026" t="s">
        <v>10745</v>
      </c>
      <c r="B1026" t="s">
        <v>10746</v>
      </c>
    </row>
    <row r="1027" spans="1:2" x14ac:dyDescent="0.25">
      <c r="A1027" t="s">
        <v>10747</v>
      </c>
      <c r="B1027" t="s">
        <v>10748</v>
      </c>
    </row>
    <row r="1028" spans="1:2" x14ac:dyDescent="0.25">
      <c r="A1028" t="s">
        <v>10749</v>
      </c>
      <c r="B1028" t="s">
        <v>10750</v>
      </c>
    </row>
    <row r="1029" spans="1:2" x14ac:dyDescent="0.25">
      <c r="A1029" t="s">
        <v>267</v>
      </c>
      <c r="B1029" t="s">
        <v>10751</v>
      </c>
    </row>
    <row r="1030" spans="1:2" x14ac:dyDescent="0.25">
      <c r="A1030" t="s">
        <v>1556</v>
      </c>
      <c r="B1030" t="s">
        <v>10752</v>
      </c>
    </row>
    <row r="1031" spans="1:2" x14ac:dyDescent="0.25">
      <c r="A1031" t="s">
        <v>10753</v>
      </c>
      <c r="B1031" t="s">
        <v>10754</v>
      </c>
    </row>
    <row r="1032" spans="1:2" x14ac:dyDescent="0.25">
      <c r="A1032" t="s">
        <v>10755</v>
      </c>
      <c r="B1032" t="s">
        <v>10756</v>
      </c>
    </row>
    <row r="1033" spans="1:2" x14ac:dyDescent="0.25">
      <c r="A1033" t="s">
        <v>10757</v>
      </c>
      <c r="B1033" t="s">
        <v>10758</v>
      </c>
    </row>
    <row r="1034" spans="1:2" x14ac:dyDescent="0.25">
      <c r="A1034" t="s">
        <v>10759</v>
      </c>
      <c r="B1034" t="s">
        <v>10760</v>
      </c>
    </row>
    <row r="1035" spans="1:2" x14ac:dyDescent="0.25">
      <c r="A1035" t="s">
        <v>10761</v>
      </c>
      <c r="B1035" t="s">
        <v>10762</v>
      </c>
    </row>
    <row r="1036" spans="1:2" x14ac:dyDescent="0.25">
      <c r="A1036" t="s">
        <v>10763</v>
      </c>
      <c r="B1036" t="s">
        <v>10764</v>
      </c>
    </row>
    <row r="1037" spans="1:2" x14ac:dyDescent="0.25">
      <c r="A1037" t="s">
        <v>10765</v>
      </c>
      <c r="B1037" t="s">
        <v>10766</v>
      </c>
    </row>
    <row r="1038" spans="1:2" x14ac:dyDescent="0.25">
      <c r="A1038" t="s">
        <v>349</v>
      </c>
      <c r="B1038" t="s">
        <v>10767</v>
      </c>
    </row>
    <row r="1039" spans="1:2" x14ac:dyDescent="0.25">
      <c r="A1039" t="s">
        <v>10768</v>
      </c>
      <c r="B1039" t="s">
        <v>10769</v>
      </c>
    </row>
    <row r="1040" spans="1:2" x14ac:dyDescent="0.25">
      <c r="A1040" t="s">
        <v>10770</v>
      </c>
      <c r="B1040" t="s">
        <v>10771</v>
      </c>
    </row>
    <row r="1041" spans="1:2" x14ac:dyDescent="0.25">
      <c r="A1041" t="s">
        <v>10772</v>
      </c>
      <c r="B1041" t="s">
        <v>10773</v>
      </c>
    </row>
    <row r="1042" spans="1:2" x14ac:dyDescent="0.25">
      <c r="A1042" t="s">
        <v>10774</v>
      </c>
      <c r="B1042" t="s">
        <v>10775</v>
      </c>
    </row>
    <row r="1043" spans="1:2" x14ac:dyDescent="0.25">
      <c r="A1043" t="s">
        <v>10776</v>
      </c>
      <c r="B1043" t="s">
        <v>10777</v>
      </c>
    </row>
    <row r="1044" spans="1:2" x14ac:dyDescent="0.25">
      <c r="A1044" t="s">
        <v>10778</v>
      </c>
      <c r="B1044" t="s">
        <v>10779</v>
      </c>
    </row>
    <row r="1045" spans="1:2" x14ac:dyDescent="0.25">
      <c r="A1045" t="s">
        <v>10780</v>
      </c>
      <c r="B1045" t="s">
        <v>10781</v>
      </c>
    </row>
    <row r="1046" spans="1:2" x14ac:dyDescent="0.25">
      <c r="A1046" t="s">
        <v>10782</v>
      </c>
      <c r="B1046" t="s">
        <v>10783</v>
      </c>
    </row>
    <row r="1047" spans="1:2" x14ac:dyDescent="0.25">
      <c r="A1047" t="s">
        <v>10784</v>
      </c>
      <c r="B1047" t="s">
        <v>10785</v>
      </c>
    </row>
    <row r="1048" spans="1:2" x14ac:dyDescent="0.25">
      <c r="A1048" t="s">
        <v>10786</v>
      </c>
      <c r="B1048" t="s">
        <v>10787</v>
      </c>
    </row>
    <row r="1049" spans="1:2" x14ac:dyDescent="0.25">
      <c r="A1049" t="s">
        <v>10788</v>
      </c>
      <c r="B1049" t="s">
        <v>10789</v>
      </c>
    </row>
    <row r="1050" spans="1:2" x14ac:dyDescent="0.25">
      <c r="A1050" t="s">
        <v>10790</v>
      </c>
      <c r="B1050" t="s">
        <v>10791</v>
      </c>
    </row>
    <row r="1051" spans="1:2" x14ac:dyDescent="0.25">
      <c r="A1051" t="s">
        <v>10792</v>
      </c>
      <c r="B1051" t="s">
        <v>10793</v>
      </c>
    </row>
    <row r="1052" spans="1:2" x14ac:dyDescent="0.25">
      <c r="A1052" t="s">
        <v>10794</v>
      </c>
      <c r="B1052" t="s">
        <v>10795</v>
      </c>
    </row>
    <row r="1053" spans="1:2" x14ac:dyDescent="0.25">
      <c r="A1053" t="s">
        <v>10796</v>
      </c>
      <c r="B1053" t="s">
        <v>10797</v>
      </c>
    </row>
    <row r="1054" spans="1:2" x14ac:dyDescent="0.25">
      <c r="A1054" t="s">
        <v>10798</v>
      </c>
      <c r="B1054" t="s">
        <v>10799</v>
      </c>
    </row>
    <row r="1055" spans="1:2" x14ac:dyDescent="0.25">
      <c r="A1055" t="s">
        <v>10800</v>
      </c>
      <c r="B1055" t="s">
        <v>10801</v>
      </c>
    </row>
    <row r="1056" spans="1:2" x14ac:dyDescent="0.25">
      <c r="A1056" t="s">
        <v>10802</v>
      </c>
      <c r="B1056" t="s">
        <v>10803</v>
      </c>
    </row>
    <row r="1057" spans="1:2" x14ac:dyDescent="0.25">
      <c r="A1057" t="s">
        <v>10804</v>
      </c>
      <c r="B1057" t="s">
        <v>10805</v>
      </c>
    </row>
    <row r="1058" spans="1:2" x14ac:dyDescent="0.25">
      <c r="A1058" t="s">
        <v>10806</v>
      </c>
      <c r="B1058" t="s">
        <v>10807</v>
      </c>
    </row>
    <row r="1059" spans="1:2" x14ac:dyDescent="0.25">
      <c r="A1059" t="s">
        <v>10808</v>
      </c>
      <c r="B1059" t="s">
        <v>10809</v>
      </c>
    </row>
    <row r="1060" spans="1:2" x14ac:dyDescent="0.25">
      <c r="A1060" t="s">
        <v>10810</v>
      </c>
      <c r="B1060" t="s">
        <v>10811</v>
      </c>
    </row>
    <row r="1061" spans="1:2" x14ac:dyDescent="0.25">
      <c r="A1061" t="s">
        <v>10812</v>
      </c>
      <c r="B1061" t="s">
        <v>10813</v>
      </c>
    </row>
    <row r="1062" spans="1:2" x14ac:dyDescent="0.25">
      <c r="A1062" t="s">
        <v>10814</v>
      </c>
      <c r="B1062" t="s">
        <v>10815</v>
      </c>
    </row>
    <row r="1063" spans="1:2" x14ac:dyDescent="0.25">
      <c r="A1063" t="s">
        <v>10816</v>
      </c>
      <c r="B1063" t="s">
        <v>10817</v>
      </c>
    </row>
    <row r="1064" spans="1:2" x14ac:dyDescent="0.25">
      <c r="A1064" t="s">
        <v>10818</v>
      </c>
      <c r="B1064" t="s">
        <v>10819</v>
      </c>
    </row>
    <row r="1065" spans="1:2" x14ac:dyDescent="0.25">
      <c r="A1065" t="s">
        <v>10820</v>
      </c>
      <c r="B1065" t="s">
        <v>10821</v>
      </c>
    </row>
    <row r="1066" spans="1:2" x14ac:dyDescent="0.25">
      <c r="A1066" t="s">
        <v>10822</v>
      </c>
      <c r="B1066" t="s">
        <v>10823</v>
      </c>
    </row>
    <row r="1067" spans="1:2" x14ac:dyDescent="0.25">
      <c r="A1067" t="s">
        <v>10824</v>
      </c>
      <c r="B1067" t="s">
        <v>10825</v>
      </c>
    </row>
    <row r="1068" spans="1:2" x14ac:dyDescent="0.25">
      <c r="A1068" t="s">
        <v>10826</v>
      </c>
      <c r="B1068" t="s">
        <v>10827</v>
      </c>
    </row>
    <row r="1069" spans="1:2" x14ac:dyDescent="0.25">
      <c r="A1069" t="s">
        <v>10828</v>
      </c>
      <c r="B1069" t="s">
        <v>10829</v>
      </c>
    </row>
    <row r="1070" spans="1:2" x14ac:dyDescent="0.25">
      <c r="A1070" t="s">
        <v>10830</v>
      </c>
      <c r="B1070" t="s">
        <v>10831</v>
      </c>
    </row>
    <row r="1071" spans="1:2" x14ac:dyDescent="0.25">
      <c r="A1071" t="s">
        <v>10832</v>
      </c>
      <c r="B1071" t="s">
        <v>10833</v>
      </c>
    </row>
    <row r="1072" spans="1:2" x14ac:dyDescent="0.25">
      <c r="A1072" t="s">
        <v>10834</v>
      </c>
      <c r="B1072" t="s">
        <v>10835</v>
      </c>
    </row>
    <row r="1073" spans="1:2" x14ac:dyDescent="0.25">
      <c r="A1073" t="s">
        <v>10836</v>
      </c>
      <c r="B1073" t="s">
        <v>10837</v>
      </c>
    </row>
    <row r="1074" spans="1:2" x14ac:dyDescent="0.25">
      <c r="A1074" t="s">
        <v>10838</v>
      </c>
      <c r="B1074" t="s">
        <v>10839</v>
      </c>
    </row>
    <row r="1075" spans="1:2" x14ac:dyDescent="0.25">
      <c r="A1075" t="s">
        <v>10840</v>
      </c>
      <c r="B1075" t="s">
        <v>10841</v>
      </c>
    </row>
    <row r="1076" spans="1:2" x14ac:dyDescent="0.25">
      <c r="A1076" t="s">
        <v>10842</v>
      </c>
      <c r="B1076" t="s">
        <v>10843</v>
      </c>
    </row>
    <row r="1077" spans="1:2" x14ac:dyDescent="0.25">
      <c r="A1077" t="s">
        <v>10844</v>
      </c>
      <c r="B1077" t="s">
        <v>10845</v>
      </c>
    </row>
    <row r="1078" spans="1:2" x14ac:dyDescent="0.25">
      <c r="A1078" t="s">
        <v>1561</v>
      </c>
      <c r="B1078" t="s">
        <v>10846</v>
      </c>
    </row>
    <row r="1079" spans="1:2" x14ac:dyDescent="0.25">
      <c r="A1079" t="s">
        <v>10847</v>
      </c>
      <c r="B1079" t="s">
        <v>10848</v>
      </c>
    </row>
    <row r="1080" spans="1:2" x14ac:dyDescent="0.25">
      <c r="A1080" t="s">
        <v>10849</v>
      </c>
      <c r="B1080" t="s">
        <v>10850</v>
      </c>
    </row>
    <row r="1081" spans="1:2" x14ac:dyDescent="0.25">
      <c r="A1081" t="s">
        <v>10851</v>
      </c>
      <c r="B1081" t="s">
        <v>10852</v>
      </c>
    </row>
    <row r="1082" spans="1:2" x14ac:dyDescent="0.25">
      <c r="A1082" t="s">
        <v>10853</v>
      </c>
      <c r="B1082" t="s">
        <v>10854</v>
      </c>
    </row>
    <row r="1083" spans="1:2" x14ac:dyDescent="0.25">
      <c r="A1083" t="s">
        <v>10855</v>
      </c>
      <c r="B1083" t="s">
        <v>10856</v>
      </c>
    </row>
    <row r="1084" spans="1:2" x14ac:dyDescent="0.25">
      <c r="A1084" t="s">
        <v>10857</v>
      </c>
      <c r="B1084" t="s">
        <v>10858</v>
      </c>
    </row>
    <row r="1085" spans="1:2" x14ac:dyDescent="0.25">
      <c r="A1085" t="s">
        <v>10859</v>
      </c>
      <c r="B1085" t="s">
        <v>10860</v>
      </c>
    </row>
    <row r="1086" spans="1:2" x14ac:dyDescent="0.25">
      <c r="A1086" t="s">
        <v>10861</v>
      </c>
      <c r="B1086" t="s">
        <v>10862</v>
      </c>
    </row>
    <row r="1087" spans="1:2" x14ac:dyDescent="0.25">
      <c r="A1087" t="s">
        <v>10863</v>
      </c>
      <c r="B1087" t="s">
        <v>10864</v>
      </c>
    </row>
    <row r="1088" spans="1:2" x14ac:dyDescent="0.25">
      <c r="A1088" t="s">
        <v>10865</v>
      </c>
      <c r="B1088" t="s">
        <v>10866</v>
      </c>
    </row>
    <row r="1089" spans="1:2" x14ac:dyDescent="0.25">
      <c r="A1089" t="s">
        <v>10867</v>
      </c>
      <c r="B1089" t="s">
        <v>10868</v>
      </c>
    </row>
    <row r="1090" spans="1:2" x14ac:dyDescent="0.25">
      <c r="A1090" t="s">
        <v>10869</v>
      </c>
      <c r="B1090" t="s">
        <v>10870</v>
      </c>
    </row>
    <row r="1091" spans="1:2" x14ac:dyDescent="0.25">
      <c r="A1091" t="s">
        <v>10871</v>
      </c>
      <c r="B1091" t="s">
        <v>10872</v>
      </c>
    </row>
    <row r="1092" spans="1:2" x14ac:dyDescent="0.25">
      <c r="A1092" t="s">
        <v>445</v>
      </c>
      <c r="B1092" t="s">
        <v>10873</v>
      </c>
    </row>
    <row r="1093" spans="1:2" x14ac:dyDescent="0.25">
      <c r="A1093" t="s">
        <v>10874</v>
      </c>
      <c r="B1093" t="s">
        <v>10875</v>
      </c>
    </row>
    <row r="1094" spans="1:2" x14ac:dyDescent="0.25">
      <c r="A1094" t="s">
        <v>10876</v>
      </c>
      <c r="B1094" t="s">
        <v>10877</v>
      </c>
    </row>
    <row r="1095" spans="1:2" x14ac:dyDescent="0.25">
      <c r="A1095" t="s">
        <v>10878</v>
      </c>
      <c r="B1095" t="s">
        <v>10879</v>
      </c>
    </row>
    <row r="1096" spans="1:2" x14ac:dyDescent="0.25">
      <c r="A1096" t="s">
        <v>10880</v>
      </c>
      <c r="B1096" t="s">
        <v>10881</v>
      </c>
    </row>
    <row r="1097" spans="1:2" x14ac:dyDescent="0.25">
      <c r="A1097" t="s">
        <v>10882</v>
      </c>
      <c r="B1097" t="s">
        <v>10883</v>
      </c>
    </row>
    <row r="1098" spans="1:2" x14ac:dyDescent="0.25">
      <c r="A1098" t="s">
        <v>10884</v>
      </c>
      <c r="B1098" t="s">
        <v>10885</v>
      </c>
    </row>
    <row r="1099" spans="1:2" x14ac:dyDescent="0.25">
      <c r="A1099" t="s">
        <v>10886</v>
      </c>
      <c r="B1099" t="s">
        <v>10887</v>
      </c>
    </row>
    <row r="1100" spans="1:2" x14ac:dyDescent="0.25">
      <c r="A1100" t="s">
        <v>10888</v>
      </c>
      <c r="B1100" t="s">
        <v>10889</v>
      </c>
    </row>
    <row r="1101" spans="1:2" x14ac:dyDescent="0.25">
      <c r="A1101" t="s">
        <v>447</v>
      </c>
      <c r="B1101" t="s">
        <v>10890</v>
      </c>
    </row>
    <row r="1102" spans="1:2" x14ac:dyDescent="0.25">
      <c r="A1102" t="s">
        <v>10891</v>
      </c>
      <c r="B1102" t="s">
        <v>10892</v>
      </c>
    </row>
    <row r="1103" spans="1:2" x14ac:dyDescent="0.25">
      <c r="A1103" t="s">
        <v>10893</v>
      </c>
      <c r="B1103" t="s">
        <v>10894</v>
      </c>
    </row>
    <row r="1104" spans="1:2" x14ac:dyDescent="0.25">
      <c r="A1104" t="s">
        <v>10895</v>
      </c>
      <c r="B1104" t="s">
        <v>10896</v>
      </c>
    </row>
    <row r="1105" spans="1:2" x14ac:dyDescent="0.25">
      <c r="A1105" t="s">
        <v>36</v>
      </c>
      <c r="B1105" t="s">
        <v>10897</v>
      </c>
    </row>
    <row r="1106" spans="1:2" x14ac:dyDescent="0.25">
      <c r="A1106" t="s">
        <v>10898</v>
      </c>
      <c r="B1106" t="s">
        <v>10899</v>
      </c>
    </row>
    <row r="1107" spans="1:2" x14ac:dyDescent="0.25">
      <c r="A1107" t="s">
        <v>10900</v>
      </c>
      <c r="B1107" t="s">
        <v>10901</v>
      </c>
    </row>
    <row r="1108" spans="1:2" x14ac:dyDescent="0.25">
      <c r="A1108" t="s">
        <v>10902</v>
      </c>
      <c r="B1108" t="s">
        <v>10903</v>
      </c>
    </row>
    <row r="1109" spans="1:2" x14ac:dyDescent="0.25">
      <c r="A1109" t="s">
        <v>10904</v>
      </c>
      <c r="B1109" t="s">
        <v>10905</v>
      </c>
    </row>
    <row r="1110" spans="1:2" x14ac:dyDescent="0.25">
      <c r="A1110" t="s">
        <v>10906</v>
      </c>
      <c r="B1110" t="s">
        <v>10907</v>
      </c>
    </row>
    <row r="1111" spans="1:2" x14ac:dyDescent="0.25">
      <c r="A1111" t="s">
        <v>10908</v>
      </c>
      <c r="B1111" t="s">
        <v>10909</v>
      </c>
    </row>
    <row r="1112" spans="1:2" x14ac:dyDescent="0.25">
      <c r="A1112" t="s">
        <v>10910</v>
      </c>
      <c r="B1112" t="s">
        <v>9749</v>
      </c>
    </row>
    <row r="1113" spans="1:2" x14ac:dyDescent="0.25">
      <c r="A1113" t="s">
        <v>10911</v>
      </c>
      <c r="B1113" t="s">
        <v>10912</v>
      </c>
    </row>
    <row r="1114" spans="1:2" x14ac:dyDescent="0.25">
      <c r="A1114" t="s">
        <v>450</v>
      </c>
      <c r="B1114" t="s">
        <v>10913</v>
      </c>
    </row>
    <row r="1115" spans="1:2" x14ac:dyDescent="0.25">
      <c r="A1115" t="s">
        <v>10914</v>
      </c>
      <c r="B1115" t="s">
        <v>10915</v>
      </c>
    </row>
    <row r="1116" spans="1:2" x14ac:dyDescent="0.25">
      <c r="A1116" t="s">
        <v>10916</v>
      </c>
      <c r="B1116" t="s">
        <v>10917</v>
      </c>
    </row>
    <row r="1117" spans="1:2" x14ac:dyDescent="0.25">
      <c r="A1117" t="s">
        <v>10918</v>
      </c>
      <c r="B1117" t="s">
        <v>10919</v>
      </c>
    </row>
    <row r="1118" spans="1:2" x14ac:dyDescent="0.25">
      <c r="A1118" t="s">
        <v>10920</v>
      </c>
      <c r="B1118" t="s">
        <v>10921</v>
      </c>
    </row>
    <row r="1119" spans="1:2" x14ac:dyDescent="0.25">
      <c r="A1119" t="s">
        <v>10922</v>
      </c>
      <c r="B1119" t="s">
        <v>10923</v>
      </c>
    </row>
    <row r="1120" spans="1:2" x14ac:dyDescent="0.25">
      <c r="A1120" t="s">
        <v>10924</v>
      </c>
      <c r="B1120" t="s">
        <v>10925</v>
      </c>
    </row>
    <row r="1121" spans="1:2" x14ac:dyDescent="0.25">
      <c r="A1121" t="s">
        <v>10926</v>
      </c>
      <c r="B1121" t="s">
        <v>10927</v>
      </c>
    </row>
    <row r="1122" spans="1:2" x14ac:dyDescent="0.25">
      <c r="A1122" t="s">
        <v>10928</v>
      </c>
      <c r="B1122" t="s">
        <v>10929</v>
      </c>
    </row>
    <row r="1123" spans="1:2" x14ac:dyDescent="0.25">
      <c r="A1123" t="s">
        <v>10930</v>
      </c>
      <c r="B1123" t="s">
        <v>10931</v>
      </c>
    </row>
    <row r="1124" spans="1:2" x14ac:dyDescent="0.25">
      <c r="A1124" t="s">
        <v>1652</v>
      </c>
      <c r="B1124" t="s">
        <v>10932</v>
      </c>
    </row>
    <row r="1125" spans="1:2" x14ac:dyDescent="0.25">
      <c r="A1125" t="s">
        <v>10933</v>
      </c>
      <c r="B1125" t="s">
        <v>10934</v>
      </c>
    </row>
    <row r="1126" spans="1:2" x14ac:dyDescent="0.25">
      <c r="A1126" t="s">
        <v>10935</v>
      </c>
      <c r="B1126" t="s">
        <v>10936</v>
      </c>
    </row>
    <row r="1127" spans="1:2" x14ac:dyDescent="0.25">
      <c r="A1127" t="s">
        <v>10937</v>
      </c>
      <c r="B1127" t="s">
        <v>10938</v>
      </c>
    </row>
    <row r="1128" spans="1:2" x14ac:dyDescent="0.25">
      <c r="A1128" t="s">
        <v>10939</v>
      </c>
      <c r="B1128" t="s">
        <v>10940</v>
      </c>
    </row>
    <row r="1129" spans="1:2" x14ac:dyDescent="0.25">
      <c r="A1129" t="s">
        <v>10941</v>
      </c>
      <c r="B1129" t="s">
        <v>10942</v>
      </c>
    </row>
    <row r="1130" spans="1:2" x14ac:dyDescent="0.25">
      <c r="A1130" t="s">
        <v>10943</v>
      </c>
      <c r="B1130" t="s">
        <v>10944</v>
      </c>
    </row>
    <row r="1131" spans="1:2" x14ac:dyDescent="0.25">
      <c r="A1131" t="s">
        <v>10945</v>
      </c>
      <c r="B1131" t="s">
        <v>10946</v>
      </c>
    </row>
    <row r="1132" spans="1:2" x14ac:dyDescent="0.25">
      <c r="A1132" t="s">
        <v>10947</v>
      </c>
      <c r="B1132" t="s">
        <v>10948</v>
      </c>
    </row>
    <row r="1133" spans="1:2" x14ac:dyDescent="0.25">
      <c r="A1133" t="s">
        <v>10949</v>
      </c>
      <c r="B1133" t="s">
        <v>10950</v>
      </c>
    </row>
    <row r="1134" spans="1:2" x14ac:dyDescent="0.25">
      <c r="A1134" t="s">
        <v>10951</v>
      </c>
      <c r="B1134" t="s">
        <v>10952</v>
      </c>
    </row>
    <row r="1135" spans="1:2" x14ac:dyDescent="0.25">
      <c r="A1135" t="s">
        <v>10953</v>
      </c>
      <c r="B1135" t="s">
        <v>10954</v>
      </c>
    </row>
    <row r="1136" spans="1:2" x14ac:dyDescent="0.25">
      <c r="A1136" t="s">
        <v>10955</v>
      </c>
      <c r="B1136" t="s">
        <v>10956</v>
      </c>
    </row>
    <row r="1137" spans="1:2" x14ac:dyDescent="0.25">
      <c r="A1137" t="s">
        <v>10957</v>
      </c>
      <c r="B1137" t="s">
        <v>10958</v>
      </c>
    </row>
    <row r="1138" spans="1:2" x14ac:dyDescent="0.25">
      <c r="A1138" t="s">
        <v>10959</v>
      </c>
      <c r="B1138" t="s">
        <v>10960</v>
      </c>
    </row>
    <row r="1139" spans="1:2" x14ac:dyDescent="0.25">
      <c r="A1139" t="s">
        <v>10961</v>
      </c>
      <c r="B1139" t="s">
        <v>10962</v>
      </c>
    </row>
    <row r="1140" spans="1:2" x14ac:dyDescent="0.25">
      <c r="A1140" t="s">
        <v>1655</v>
      </c>
      <c r="B1140" t="s">
        <v>10963</v>
      </c>
    </row>
    <row r="1141" spans="1:2" x14ac:dyDescent="0.25">
      <c r="A1141" t="s">
        <v>10964</v>
      </c>
      <c r="B1141" t="s">
        <v>10965</v>
      </c>
    </row>
    <row r="1142" spans="1:2" x14ac:dyDescent="0.25">
      <c r="A1142" t="s">
        <v>10966</v>
      </c>
      <c r="B1142" t="s">
        <v>10967</v>
      </c>
    </row>
    <row r="1143" spans="1:2" x14ac:dyDescent="0.25">
      <c r="A1143" t="s">
        <v>10968</v>
      </c>
      <c r="B1143" t="s">
        <v>10969</v>
      </c>
    </row>
    <row r="1144" spans="1:2" x14ac:dyDescent="0.25">
      <c r="A1144" t="s">
        <v>10970</v>
      </c>
      <c r="B1144" t="s">
        <v>10971</v>
      </c>
    </row>
    <row r="1145" spans="1:2" x14ac:dyDescent="0.25">
      <c r="A1145" t="s">
        <v>10972</v>
      </c>
      <c r="B1145" t="s">
        <v>10973</v>
      </c>
    </row>
    <row r="1146" spans="1:2" x14ac:dyDescent="0.25">
      <c r="A1146" t="s">
        <v>10974</v>
      </c>
      <c r="B1146" t="s">
        <v>10975</v>
      </c>
    </row>
    <row r="1147" spans="1:2" x14ac:dyDescent="0.25">
      <c r="A1147" t="s">
        <v>10976</v>
      </c>
      <c r="B1147" t="s">
        <v>10977</v>
      </c>
    </row>
    <row r="1148" spans="1:2" x14ac:dyDescent="0.25">
      <c r="A1148" t="s">
        <v>10978</v>
      </c>
      <c r="B1148" t="s">
        <v>10979</v>
      </c>
    </row>
    <row r="1149" spans="1:2" x14ac:dyDescent="0.25">
      <c r="A1149" t="s">
        <v>10980</v>
      </c>
      <c r="B1149" t="s">
        <v>10981</v>
      </c>
    </row>
    <row r="1150" spans="1:2" x14ac:dyDescent="0.25">
      <c r="A1150" t="s">
        <v>10982</v>
      </c>
      <c r="B1150" t="s">
        <v>10983</v>
      </c>
    </row>
    <row r="1151" spans="1:2" x14ac:dyDescent="0.25">
      <c r="A1151" t="s">
        <v>10984</v>
      </c>
      <c r="B1151" t="s">
        <v>10985</v>
      </c>
    </row>
    <row r="1152" spans="1:2" x14ac:dyDescent="0.25">
      <c r="A1152" t="s">
        <v>10986</v>
      </c>
      <c r="B1152" t="s">
        <v>10987</v>
      </c>
    </row>
    <row r="1153" spans="1:2" x14ac:dyDescent="0.25">
      <c r="A1153" t="s">
        <v>10988</v>
      </c>
      <c r="B1153" t="s">
        <v>10989</v>
      </c>
    </row>
    <row r="1154" spans="1:2" x14ac:dyDescent="0.25">
      <c r="A1154" t="s">
        <v>10990</v>
      </c>
      <c r="B1154" t="s">
        <v>10991</v>
      </c>
    </row>
    <row r="1155" spans="1:2" x14ac:dyDescent="0.25">
      <c r="A1155" t="s">
        <v>38</v>
      </c>
      <c r="B1155" t="s">
        <v>10992</v>
      </c>
    </row>
    <row r="1156" spans="1:2" x14ac:dyDescent="0.25">
      <c r="A1156" t="s">
        <v>10993</v>
      </c>
      <c r="B1156" t="s">
        <v>10994</v>
      </c>
    </row>
    <row r="1157" spans="1:2" x14ac:dyDescent="0.25">
      <c r="A1157" t="s">
        <v>10995</v>
      </c>
      <c r="B1157" t="s">
        <v>10996</v>
      </c>
    </row>
    <row r="1158" spans="1:2" x14ac:dyDescent="0.25">
      <c r="A1158" t="s">
        <v>10997</v>
      </c>
      <c r="B1158" t="s">
        <v>10998</v>
      </c>
    </row>
    <row r="1159" spans="1:2" x14ac:dyDescent="0.25">
      <c r="A1159" t="s">
        <v>10999</v>
      </c>
      <c r="B1159" t="s">
        <v>11000</v>
      </c>
    </row>
    <row r="1160" spans="1:2" x14ac:dyDescent="0.25">
      <c r="A1160" t="s">
        <v>11001</v>
      </c>
      <c r="B1160" t="s">
        <v>11002</v>
      </c>
    </row>
    <row r="1161" spans="1:2" x14ac:dyDescent="0.25">
      <c r="A1161" t="s">
        <v>11003</v>
      </c>
      <c r="B1161" t="s">
        <v>11004</v>
      </c>
    </row>
    <row r="1162" spans="1:2" x14ac:dyDescent="0.25">
      <c r="A1162" t="s">
        <v>997</v>
      </c>
      <c r="B1162" t="s">
        <v>11005</v>
      </c>
    </row>
    <row r="1163" spans="1:2" x14ac:dyDescent="0.25">
      <c r="A1163" t="s">
        <v>11006</v>
      </c>
      <c r="B1163" t="s">
        <v>11007</v>
      </c>
    </row>
    <row r="1164" spans="1:2" x14ac:dyDescent="0.25">
      <c r="A1164" t="s">
        <v>11008</v>
      </c>
      <c r="B1164" t="s">
        <v>11009</v>
      </c>
    </row>
    <row r="1165" spans="1:2" x14ac:dyDescent="0.25">
      <c r="A1165" t="s">
        <v>11010</v>
      </c>
      <c r="B1165" t="s">
        <v>11011</v>
      </c>
    </row>
    <row r="1166" spans="1:2" x14ac:dyDescent="0.25">
      <c r="A1166" t="s">
        <v>11012</v>
      </c>
      <c r="B1166" t="s">
        <v>11013</v>
      </c>
    </row>
    <row r="1167" spans="1:2" x14ac:dyDescent="0.25">
      <c r="A1167" t="s">
        <v>11014</v>
      </c>
      <c r="B1167" t="s">
        <v>11015</v>
      </c>
    </row>
    <row r="1168" spans="1:2" x14ac:dyDescent="0.25">
      <c r="A1168" t="s">
        <v>11016</v>
      </c>
      <c r="B1168" t="s">
        <v>11017</v>
      </c>
    </row>
    <row r="1169" spans="1:2" x14ac:dyDescent="0.25">
      <c r="A1169" t="s">
        <v>11018</v>
      </c>
      <c r="B1169" t="s">
        <v>11019</v>
      </c>
    </row>
    <row r="1170" spans="1:2" x14ac:dyDescent="0.25">
      <c r="A1170" t="s">
        <v>40</v>
      </c>
      <c r="B1170" t="s">
        <v>11020</v>
      </c>
    </row>
    <row r="1171" spans="1:2" x14ac:dyDescent="0.25">
      <c r="A1171" t="s">
        <v>11021</v>
      </c>
      <c r="B1171" t="s">
        <v>11022</v>
      </c>
    </row>
    <row r="1172" spans="1:2" x14ac:dyDescent="0.25">
      <c r="A1172" t="s">
        <v>11023</v>
      </c>
      <c r="B1172" t="s">
        <v>11024</v>
      </c>
    </row>
    <row r="1173" spans="1:2" x14ac:dyDescent="0.25">
      <c r="A1173" t="s">
        <v>11025</v>
      </c>
      <c r="B1173" t="s">
        <v>11026</v>
      </c>
    </row>
    <row r="1174" spans="1:2" x14ac:dyDescent="0.25">
      <c r="A1174" t="s">
        <v>11027</v>
      </c>
      <c r="B1174" t="s">
        <v>11028</v>
      </c>
    </row>
    <row r="1175" spans="1:2" x14ac:dyDescent="0.25">
      <c r="A1175" t="s">
        <v>11029</v>
      </c>
      <c r="B1175" t="s">
        <v>11030</v>
      </c>
    </row>
    <row r="1176" spans="1:2" x14ac:dyDescent="0.25">
      <c r="A1176" t="s">
        <v>11031</v>
      </c>
      <c r="B1176" t="s">
        <v>11032</v>
      </c>
    </row>
    <row r="1177" spans="1:2" x14ac:dyDescent="0.25">
      <c r="A1177" t="s">
        <v>11033</v>
      </c>
      <c r="B1177" t="s">
        <v>11034</v>
      </c>
    </row>
    <row r="1178" spans="1:2" x14ac:dyDescent="0.25">
      <c r="A1178" t="s">
        <v>11035</v>
      </c>
      <c r="B1178" t="s">
        <v>11036</v>
      </c>
    </row>
    <row r="1179" spans="1:2" x14ac:dyDescent="0.25">
      <c r="A1179" t="s">
        <v>454</v>
      </c>
      <c r="B1179" t="s">
        <v>11037</v>
      </c>
    </row>
    <row r="1180" spans="1:2" x14ac:dyDescent="0.25">
      <c r="A1180" t="s">
        <v>1754</v>
      </c>
      <c r="B1180" t="s">
        <v>11038</v>
      </c>
    </row>
    <row r="1181" spans="1:2" x14ac:dyDescent="0.25">
      <c r="A1181" t="s">
        <v>11039</v>
      </c>
      <c r="B1181" t="s">
        <v>11040</v>
      </c>
    </row>
    <row r="1182" spans="1:2" x14ac:dyDescent="0.25">
      <c r="A1182" t="s">
        <v>11041</v>
      </c>
      <c r="B1182" t="s">
        <v>11042</v>
      </c>
    </row>
    <row r="1183" spans="1:2" x14ac:dyDescent="0.25">
      <c r="A1183" t="s">
        <v>11043</v>
      </c>
      <c r="B1183" t="s">
        <v>11044</v>
      </c>
    </row>
    <row r="1184" spans="1:2" x14ac:dyDescent="0.25">
      <c r="A1184" t="s">
        <v>11045</v>
      </c>
      <c r="B1184" t="s">
        <v>11046</v>
      </c>
    </row>
    <row r="1185" spans="1:2" x14ac:dyDescent="0.25">
      <c r="A1185" t="s">
        <v>11047</v>
      </c>
      <c r="B1185" t="s">
        <v>11048</v>
      </c>
    </row>
    <row r="1186" spans="1:2" x14ac:dyDescent="0.25">
      <c r="A1186" t="s">
        <v>11049</v>
      </c>
      <c r="B1186" t="s">
        <v>11050</v>
      </c>
    </row>
    <row r="1187" spans="1:2" x14ac:dyDescent="0.25">
      <c r="A1187" t="s">
        <v>11051</v>
      </c>
      <c r="B1187" t="s">
        <v>11052</v>
      </c>
    </row>
    <row r="1188" spans="1:2" x14ac:dyDescent="0.25">
      <c r="A1188" t="s">
        <v>11053</v>
      </c>
      <c r="B1188" t="s">
        <v>11054</v>
      </c>
    </row>
    <row r="1189" spans="1:2" x14ac:dyDescent="0.25">
      <c r="A1189" t="s">
        <v>1943</v>
      </c>
      <c r="B1189" t="s">
        <v>11055</v>
      </c>
    </row>
    <row r="1190" spans="1:2" x14ac:dyDescent="0.25">
      <c r="A1190" t="s">
        <v>11056</v>
      </c>
      <c r="B1190" t="s">
        <v>11057</v>
      </c>
    </row>
    <row r="1191" spans="1:2" x14ac:dyDescent="0.25">
      <c r="A1191" t="s">
        <v>11058</v>
      </c>
      <c r="B1191" t="s">
        <v>11059</v>
      </c>
    </row>
    <row r="1192" spans="1:2" x14ac:dyDescent="0.25">
      <c r="A1192" t="s">
        <v>11060</v>
      </c>
      <c r="B1192" t="s">
        <v>11061</v>
      </c>
    </row>
    <row r="1193" spans="1:2" x14ac:dyDescent="0.25">
      <c r="A1193" t="s">
        <v>11062</v>
      </c>
      <c r="B1193" t="s">
        <v>11063</v>
      </c>
    </row>
    <row r="1194" spans="1:2" x14ac:dyDescent="0.25">
      <c r="A1194" t="s">
        <v>11064</v>
      </c>
      <c r="B1194" t="s">
        <v>11065</v>
      </c>
    </row>
    <row r="1195" spans="1:2" x14ac:dyDescent="0.25">
      <c r="A1195" t="s">
        <v>11066</v>
      </c>
      <c r="B1195" t="s">
        <v>11067</v>
      </c>
    </row>
    <row r="1196" spans="1:2" x14ac:dyDescent="0.25">
      <c r="A1196" t="s">
        <v>11068</v>
      </c>
      <c r="B1196" t="s">
        <v>11069</v>
      </c>
    </row>
    <row r="1197" spans="1:2" x14ac:dyDescent="0.25">
      <c r="A1197" t="s">
        <v>11070</v>
      </c>
      <c r="B1197" t="s">
        <v>11071</v>
      </c>
    </row>
    <row r="1198" spans="1:2" x14ac:dyDescent="0.25">
      <c r="A1198" t="s">
        <v>11072</v>
      </c>
      <c r="B1198" t="s">
        <v>11073</v>
      </c>
    </row>
    <row r="1199" spans="1:2" x14ac:dyDescent="0.25">
      <c r="A1199" t="s">
        <v>11074</v>
      </c>
      <c r="B1199" t="s">
        <v>11075</v>
      </c>
    </row>
    <row r="1200" spans="1:2" x14ac:dyDescent="0.25">
      <c r="A1200" t="s">
        <v>11076</v>
      </c>
      <c r="B1200" t="s">
        <v>11077</v>
      </c>
    </row>
    <row r="1201" spans="1:2" x14ac:dyDescent="0.25">
      <c r="A1201" t="s">
        <v>11078</v>
      </c>
      <c r="B1201" t="s">
        <v>11079</v>
      </c>
    </row>
    <row r="1202" spans="1:2" x14ac:dyDescent="0.25">
      <c r="A1202" t="s">
        <v>11080</v>
      </c>
      <c r="B1202" t="s">
        <v>11081</v>
      </c>
    </row>
    <row r="1203" spans="1:2" x14ac:dyDescent="0.25">
      <c r="A1203" t="s">
        <v>11082</v>
      </c>
      <c r="B1203" t="s">
        <v>11083</v>
      </c>
    </row>
    <row r="1204" spans="1:2" x14ac:dyDescent="0.25">
      <c r="A1204" t="s">
        <v>11084</v>
      </c>
      <c r="B1204" t="s">
        <v>11085</v>
      </c>
    </row>
    <row r="1205" spans="1:2" x14ac:dyDescent="0.25">
      <c r="A1205" t="s">
        <v>11086</v>
      </c>
      <c r="B1205" t="s">
        <v>11087</v>
      </c>
    </row>
    <row r="1206" spans="1:2" x14ac:dyDescent="0.25">
      <c r="A1206" t="s">
        <v>11088</v>
      </c>
      <c r="B1206" t="s">
        <v>11089</v>
      </c>
    </row>
    <row r="1207" spans="1:2" x14ac:dyDescent="0.25">
      <c r="A1207" t="s">
        <v>11090</v>
      </c>
      <c r="B1207" t="s">
        <v>11091</v>
      </c>
    </row>
    <row r="1208" spans="1:2" x14ac:dyDescent="0.25">
      <c r="A1208" t="s">
        <v>11092</v>
      </c>
      <c r="B1208" t="s">
        <v>11093</v>
      </c>
    </row>
    <row r="1209" spans="1:2" x14ac:dyDescent="0.25">
      <c r="A1209" t="s">
        <v>11094</v>
      </c>
      <c r="B1209" t="s">
        <v>11095</v>
      </c>
    </row>
    <row r="1210" spans="1:2" x14ac:dyDescent="0.25">
      <c r="A1210" t="s">
        <v>11096</v>
      </c>
      <c r="B1210" t="s">
        <v>11097</v>
      </c>
    </row>
    <row r="1211" spans="1:2" x14ac:dyDescent="0.25">
      <c r="A1211" t="s">
        <v>1949</v>
      </c>
      <c r="B1211" t="s">
        <v>11098</v>
      </c>
    </row>
    <row r="1212" spans="1:2" x14ac:dyDescent="0.25">
      <c r="A1212" t="s">
        <v>11099</v>
      </c>
      <c r="B1212" t="s">
        <v>11100</v>
      </c>
    </row>
    <row r="1213" spans="1:2" x14ac:dyDescent="0.25">
      <c r="A1213" t="s">
        <v>11101</v>
      </c>
      <c r="B1213" t="s">
        <v>11102</v>
      </c>
    </row>
    <row r="1214" spans="1:2" x14ac:dyDescent="0.25">
      <c r="A1214" t="s">
        <v>11103</v>
      </c>
      <c r="B1214" t="s">
        <v>11104</v>
      </c>
    </row>
    <row r="1215" spans="1:2" x14ac:dyDescent="0.25">
      <c r="A1215" t="s">
        <v>11105</v>
      </c>
      <c r="B1215" t="s">
        <v>11106</v>
      </c>
    </row>
    <row r="1216" spans="1:2" x14ac:dyDescent="0.25">
      <c r="A1216" t="s">
        <v>11107</v>
      </c>
      <c r="B1216" t="s">
        <v>11108</v>
      </c>
    </row>
    <row r="1217" spans="1:2" x14ac:dyDescent="0.25">
      <c r="A1217" t="s">
        <v>11109</v>
      </c>
      <c r="B1217" t="s">
        <v>11110</v>
      </c>
    </row>
    <row r="1218" spans="1:2" x14ac:dyDescent="0.25">
      <c r="A1218" t="s">
        <v>11111</v>
      </c>
      <c r="B1218" t="s">
        <v>11112</v>
      </c>
    </row>
    <row r="1219" spans="1:2" x14ac:dyDescent="0.25">
      <c r="A1219" t="s">
        <v>11113</v>
      </c>
      <c r="B1219" t="s">
        <v>11114</v>
      </c>
    </row>
    <row r="1220" spans="1:2" x14ac:dyDescent="0.25">
      <c r="A1220" t="s">
        <v>1027</v>
      </c>
      <c r="B1220" t="s">
        <v>11115</v>
      </c>
    </row>
    <row r="1221" spans="1:2" x14ac:dyDescent="0.25">
      <c r="A1221" t="s">
        <v>11116</v>
      </c>
      <c r="B1221" t="s">
        <v>11117</v>
      </c>
    </row>
    <row r="1222" spans="1:2" x14ac:dyDescent="0.25">
      <c r="A1222" t="s">
        <v>11118</v>
      </c>
      <c r="B1222" t="s">
        <v>11119</v>
      </c>
    </row>
    <row r="1223" spans="1:2" x14ac:dyDescent="0.25">
      <c r="A1223" t="s">
        <v>11120</v>
      </c>
      <c r="B1223" t="s">
        <v>11121</v>
      </c>
    </row>
    <row r="1224" spans="1:2" x14ac:dyDescent="0.25">
      <c r="A1224" t="s">
        <v>11122</v>
      </c>
      <c r="B1224" t="s">
        <v>11123</v>
      </c>
    </row>
    <row r="1225" spans="1:2" x14ac:dyDescent="0.25">
      <c r="A1225" t="s">
        <v>11124</v>
      </c>
      <c r="B1225" t="s">
        <v>11125</v>
      </c>
    </row>
    <row r="1226" spans="1:2" x14ac:dyDescent="0.25">
      <c r="A1226" t="s">
        <v>11126</v>
      </c>
      <c r="B1226" t="s">
        <v>11127</v>
      </c>
    </row>
    <row r="1227" spans="1:2" x14ac:dyDescent="0.25">
      <c r="A1227" t="s">
        <v>11128</v>
      </c>
      <c r="B1227" t="s">
        <v>11129</v>
      </c>
    </row>
    <row r="1228" spans="1:2" x14ac:dyDescent="0.25">
      <c r="A1228" t="s">
        <v>11130</v>
      </c>
      <c r="B1228" t="s">
        <v>11131</v>
      </c>
    </row>
    <row r="1229" spans="1:2" x14ac:dyDescent="0.25">
      <c r="A1229" t="s">
        <v>11132</v>
      </c>
      <c r="B1229" t="s">
        <v>11133</v>
      </c>
    </row>
    <row r="1230" spans="1:2" x14ac:dyDescent="0.25">
      <c r="A1230" t="s">
        <v>11134</v>
      </c>
      <c r="B1230" t="s">
        <v>11135</v>
      </c>
    </row>
    <row r="1231" spans="1:2" x14ac:dyDescent="0.25">
      <c r="A1231" t="s">
        <v>11136</v>
      </c>
      <c r="B1231" t="s">
        <v>11137</v>
      </c>
    </row>
    <row r="1232" spans="1:2" x14ac:dyDescent="0.25">
      <c r="A1232" t="s">
        <v>456</v>
      </c>
      <c r="B1232" t="s">
        <v>11138</v>
      </c>
    </row>
    <row r="1233" spans="1:2" x14ac:dyDescent="0.25">
      <c r="A1233" t="s">
        <v>11139</v>
      </c>
      <c r="B1233" t="s">
        <v>11140</v>
      </c>
    </row>
    <row r="1234" spans="1:2" x14ac:dyDescent="0.25">
      <c r="A1234" t="s">
        <v>1977</v>
      </c>
      <c r="B1234" t="s">
        <v>11141</v>
      </c>
    </row>
    <row r="1235" spans="1:2" x14ac:dyDescent="0.25">
      <c r="A1235" t="s">
        <v>11142</v>
      </c>
      <c r="B1235" t="s">
        <v>11143</v>
      </c>
    </row>
    <row r="1236" spans="1:2" x14ac:dyDescent="0.25">
      <c r="A1236" t="s">
        <v>11144</v>
      </c>
      <c r="B1236" t="s">
        <v>11145</v>
      </c>
    </row>
    <row r="1237" spans="1:2" x14ac:dyDescent="0.25">
      <c r="A1237" t="s">
        <v>11146</v>
      </c>
      <c r="B1237" t="s">
        <v>11147</v>
      </c>
    </row>
    <row r="1238" spans="1:2" x14ac:dyDescent="0.25">
      <c r="A1238" t="s">
        <v>11148</v>
      </c>
      <c r="B1238" t="s">
        <v>11149</v>
      </c>
    </row>
    <row r="1239" spans="1:2" x14ac:dyDescent="0.25">
      <c r="A1239" t="s">
        <v>11150</v>
      </c>
      <c r="B1239" t="s">
        <v>11151</v>
      </c>
    </row>
    <row r="1240" spans="1:2" x14ac:dyDescent="0.25">
      <c r="A1240" t="s">
        <v>11152</v>
      </c>
      <c r="B1240" t="s">
        <v>11153</v>
      </c>
    </row>
    <row r="1241" spans="1:2" x14ac:dyDescent="0.25">
      <c r="A1241" t="s">
        <v>11154</v>
      </c>
      <c r="B1241" t="s">
        <v>11155</v>
      </c>
    </row>
    <row r="1242" spans="1:2" x14ac:dyDescent="0.25">
      <c r="A1242" t="s">
        <v>11156</v>
      </c>
      <c r="B1242" t="s">
        <v>11157</v>
      </c>
    </row>
    <row r="1243" spans="1:2" x14ac:dyDescent="0.25">
      <c r="A1243" t="s">
        <v>11158</v>
      </c>
      <c r="B1243" t="s">
        <v>11159</v>
      </c>
    </row>
    <row r="1244" spans="1:2" x14ac:dyDescent="0.25">
      <c r="A1244" t="s">
        <v>11160</v>
      </c>
      <c r="B1244" t="s">
        <v>11161</v>
      </c>
    </row>
    <row r="1245" spans="1:2" x14ac:dyDescent="0.25">
      <c r="A1245" t="s">
        <v>1981</v>
      </c>
      <c r="B1245" t="s">
        <v>11162</v>
      </c>
    </row>
    <row r="1246" spans="1:2" x14ac:dyDescent="0.25">
      <c r="A1246" t="s">
        <v>11163</v>
      </c>
      <c r="B1246" t="s">
        <v>11164</v>
      </c>
    </row>
    <row r="1247" spans="1:2" x14ac:dyDescent="0.25">
      <c r="A1247" t="s">
        <v>11165</v>
      </c>
      <c r="B1247" t="s">
        <v>11166</v>
      </c>
    </row>
    <row r="1248" spans="1:2" x14ac:dyDescent="0.25">
      <c r="A1248" t="s">
        <v>11167</v>
      </c>
      <c r="B1248" t="s">
        <v>11168</v>
      </c>
    </row>
    <row r="1249" spans="1:2" x14ac:dyDescent="0.25">
      <c r="A1249" t="s">
        <v>11169</v>
      </c>
      <c r="B1249" t="s">
        <v>11170</v>
      </c>
    </row>
    <row r="1250" spans="1:2" x14ac:dyDescent="0.25">
      <c r="A1250" t="s">
        <v>11171</v>
      </c>
      <c r="B1250" t="s">
        <v>11172</v>
      </c>
    </row>
    <row r="1251" spans="1:2" x14ac:dyDescent="0.25">
      <c r="A1251" t="s">
        <v>11173</v>
      </c>
      <c r="B1251" t="s">
        <v>11174</v>
      </c>
    </row>
    <row r="1252" spans="1:2" x14ac:dyDescent="0.25">
      <c r="A1252" t="s">
        <v>11175</v>
      </c>
      <c r="B1252" t="s">
        <v>11176</v>
      </c>
    </row>
    <row r="1253" spans="1:2" x14ac:dyDescent="0.25">
      <c r="A1253" t="s">
        <v>11177</v>
      </c>
      <c r="B1253" t="s">
        <v>11178</v>
      </c>
    </row>
    <row r="1254" spans="1:2" x14ac:dyDescent="0.25">
      <c r="A1254" t="s">
        <v>11179</v>
      </c>
      <c r="B1254" t="s">
        <v>11180</v>
      </c>
    </row>
    <row r="1255" spans="1:2" x14ac:dyDescent="0.25">
      <c r="A1255" t="s">
        <v>11181</v>
      </c>
      <c r="B1255" t="s">
        <v>11182</v>
      </c>
    </row>
    <row r="1256" spans="1:2" x14ac:dyDescent="0.25">
      <c r="A1256" t="s">
        <v>11183</v>
      </c>
      <c r="B1256" t="s">
        <v>11184</v>
      </c>
    </row>
    <row r="1257" spans="1:2" x14ac:dyDescent="0.25">
      <c r="A1257" t="s">
        <v>11185</v>
      </c>
      <c r="B1257" t="s">
        <v>11186</v>
      </c>
    </row>
    <row r="1258" spans="1:2" x14ac:dyDescent="0.25">
      <c r="A1258" t="s">
        <v>11187</v>
      </c>
      <c r="B1258" t="s">
        <v>11188</v>
      </c>
    </row>
    <row r="1259" spans="1:2" x14ac:dyDescent="0.25">
      <c r="A1259" t="s">
        <v>11189</v>
      </c>
      <c r="B1259" t="s">
        <v>11190</v>
      </c>
    </row>
    <row r="1260" spans="1:2" x14ac:dyDescent="0.25">
      <c r="A1260" t="s">
        <v>11191</v>
      </c>
      <c r="B1260" t="s">
        <v>11192</v>
      </c>
    </row>
    <row r="1261" spans="1:2" x14ac:dyDescent="0.25">
      <c r="A1261" t="s">
        <v>11193</v>
      </c>
      <c r="B1261" t="s">
        <v>11194</v>
      </c>
    </row>
    <row r="1262" spans="1:2" x14ac:dyDescent="0.25">
      <c r="A1262" t="s">
        <v>11195</v>
      </c>
      <c r="B1262" t="s">
        <v>11196</v>
      </c>
    </row>
    <row r="1263" spans="1:2" x14ac:dyDescent="0.25">
      <c r="A1263" t="s">
        <v>1987</v>
      </c>
      <c r="B1263" t="s">
        <v>11197</v>
      </c>
    </row>
    <row r="1264" spans="1:2" x14ac:dyDescent="0.25">
      <c r="A1264" t="s">
        <v>11198</v>
      </c>
      <c r="B1264" t="s">
        <v>11199</v>
      </c>
    </row>
    <row r="1265" spans="1:2" x14ac:dyDescent="0.25">
      <c r="A1265" t="s">
        <v>11200</v>
      </c>
      <c r="B1265" t="s">
        <v>11201</v>
      </c>
    </row>
    <row r="1266" spans="1:2" x14ac:dyDescent="0.25">
      <c r="A1266" t="s">
        <v>11202</v>
      </c>
      <c r="B1266" t="s">
        <v>11203</v>
      </c>
    </row>
    <row r="1267" spans="1:2" x14ac:dyDescent="0.25">
      <c r="A1267" t="s">
        <v>11204</v>
      </c>
      <c r="B1267" t="s">
        <v>11205</v>
      </c>
    </row>
    <row r="1268" spans="1:2" x14ac:dyDescent="0.25">
      <c r="A1268" t="s">
        <v>11206</v>
      </c>
      <c r="B1268" t="s">
        <v>11207</v>
      </c>
    </row>
    <row r="1269" spans="1:2" x14ac:dyDescent="0.25">
      <c r="A1269" t="s">
        <v>458</v>
      </c>
      <c r="B1269" t="s">
        <v>11208</v>
      </c>
    </row>
    <row r="1270" spans="1:2" x14ac:dyDescent="0.25">
      <c r="A1270" t="s">
        <v>11209</v>
      </c>
      <c r="B1270" t="s">
        <v>11210</v>
      </c>
    </row>
    <row r="1271" spans="1:2" x14ac:dyDescent="0.25">
      <c r="A1271" t="s">
        <v>11211</v>
      </c>
      <c r="B1271" t="s">
        <v>11212</v>
      </c>
    </row>
    <row r="1272" spans="1:2" x14ac:dyDescent="0.25">
      <c r="A1272" t="s">
        <v>11213</v>
      </c>
      <c r="B1272" t="s">
        <v>11214</v>
      </c>
    </row>
    <row r="1273" spans="1:2" x14ac:dyDescent="0.25">
      <c r="A1273" t="s">
        <v>11215</v>
      </c>
      <c r="B1273" t="s">
        <v>11216</v>
      </c>
    </row>
    <row r="1274" spans="1:2" x14ac:dyDescent="0.25">
      <c r="A1274" t="s">
        <v>460</v>
      </c>
      <c r="B1274" t="s">
        <v>11217</v>
      </c>
    </row>
    <row r="1275" spans="1:2" x14ac:dyDescent="0.25">
      <c r="A1275" t="s">
        <v>11218</v>
      </c>
      <c r="B1275" t="s">
        <v>11219</v>
      </c>
    </row>
    <row r="1276" spans="1:2" x14ac:dyDescent="0.25">
      <c r="A1276" t="s">
        <v>11220</v>
      </c>
      <c r="B1276" t="s">
        <v>11221</v>
      </c>
    </row>
    <row r="1277" spans="1:2" x14ac:dyDescent="0.25">
      <c r="A1277" t="s">
        <v>11222</v>
      </c>
      <c r="B1277" t="s">
        <v>11223</v>
      </c>
    </row>
    <row r="1278" spans="1:2" x14ac:dyDescent="0.25">
      <c r="A1278" t="s">
        <v>11224</v>
      </c>
      <c r="B1278" t="s">
        <v>11225</v>
      </c>
    </row>
    <row r="1279" spans="1:2" x14ac:dyDescent="0.25">
      <c r="A1279" t="s">
        <v>11226</v>
      </c>
      <c r="B1279" t="s">
        <v>11227</v>
      </c>
    </row>
    <row r="1280" spans="1:2" x14ac:dyDescent="0.25">
      <c r="A1280" t="s">
        <v>11228</v>
      </c>
      <c r="B1280" t="s">
        <v>11229</v>
      </c>
    </row>
    <row r="1281" spans="1:2" x14ac:dyDescent="0.25">
      <c r="A1281" t="s">
        <v>11230</v>
      </c>
      <c r="B1281" t="s">
        <v>11231</v>
      </c>
    </row>
    <row r="1282" spans="1:2" x14ac:dyDescent="0.25">
      <c r="A1282" t="s">
        <v>11232</v>
      </c>
      <c r="B1282" t="s">
        <v>11233</v>
      </c>
    </row>
    <row r="1283" spans="1:2" x14ac:dyDescent="0.25">
      <c r="A1283" t="s">
        <v>11234</v>
      </c>
      <c r="B1283" t="s">
        <v>11235</v>
      </c>
    </row>
    <row r="1284" spans="1:2" x14ac:dyDescent="0.25">
      <c r="A1284" t="s">
        <v>11236</v>
      </c>
      <c r="B1284" t="s">
        <v>11237</v>
      </c>
    </row>
    <row r="1285" spans="1:2" x14ac:dyDescent="0.25">
      <c r="A1285" t="s">
        <v>11238</v>
      </c>
      <c r="B1285" t="s">
        <v>11239</v>
      </c>
    </row>
    <row r="1286" spans="1:2" x14ac:dyDescent="0.25">
      <c r="A1286" t="s">
        <v>11240</v>
      </c>
      <c r="B1286" t="s">
        <v>11241</v>
      </c>
    </row>
    <row r="1287" spans="1:2" x14ac:dyDescent="0.25">
      <c r="A1287" t="s">
        <v>11242</v>
      </c>
      <c r="B1287" t="s">
        <v>11243</v>
      </c>
    </row>
    <row r="1288" spans="1:2" x14ac:dyDescent="0.25">
      <c r="A1288" t="s">
        <v>11244</v>
      </c>
      <c r="B1288" t="s">
        <v>11245</v>
      </c>
    </row>
    <row r="1289" spans="1:2" x14ac:dyDescent="0.25">
      <c r="A1289" t="s">
        <v>11246</v>
      </c>
      <c r="B1289" t="s">
        <v>11247</v>
      </c>
    </row>
    <row r="1290" spans="1:2" x14ac:dyDescent="0.25">
      <c r="A1290" t="s">
        <v>11248</v>
      </c>
      <c r="B1290" t="s">
        <v>11249</v>
      </c>
    </row>
    <row r="1291" spans="1:2" x14ac:dyDescent="0.25">
      <c r="A1291" t="s">
        <v>11250</v>
      </c>
      <c r="B1291" t="s">
        <v>11251</v>
      </c>
    </row>
    <row r="1292" spans="1:2" x14ac:dyDescent="0.25">
      <c r="A1292" t="s">
        <v>11252</v>
      </c>
      <c r="B1292" t="s">
        <v>11253</v>
      </c>
    </row>
    <row r="1293" spans="1:2" x14ac:dyDescent="0.25">
      <c r="A1293" t="s">
        <v>11254</v>
      </c>
      <c r="B1293" t="s">
        <v>11255</v>
      </c>
    </row>
    <row r="1294" spans="1:2" x14ac:dyDescent="0.25">
      <c r="A1294" t="s">
        <v>11256</v>
      </c>
      <c r="B1294" t="s">
        <v>11257</v>
      </c>
    </row>
    <row r="1295" spans="1:2" x14ac:dyDescent="0.25">
      <c r="A1295" t="s">
        <v>11258</v>
      </c>
      <c r="B1295" t="s">
        <v>11259</v>
      </c>
    </row>
    <row r="1296" spans="1:2" x14ac:dyDescent="0.25">
      <c r="A1296" t="s">
        <v>11260</v>
      </c>
      <c r="B1296" t="s">
        <v>11261</v>
      </c>
    </row>
    <row r="1297" spans="1:2" x14ac:dyDescent="0.25">
      <c r="A1297" t="s">
        <v>42</v>
      </c>
      <c r="B1297" t="s">
        <v>11262</v>
      </c>
    </row>
    <row r="1298" spans="1:2" x14ac:dyDescent="0.25">
      <c r="A1298" t="s">
        <v>11263</v>
      </c>
      <c r="B1298" t="s">
        <v>11264</v>
      </c>
    </row>
    <row r="1299" spans="1:2" x14ac:dyDescent="0.25">
      <c r="A1299" t="s">
        <v>11265</v>
      </c>
      <c r="B1299" t="s">
        <v>11266</v>
      </c>
    </row>
    <row r="1300" spans="1:2" x14ac:dyDescent="0.25">
      <c r="A1300" t="s">
        <v>11267</v>
      </c>
      <c r="B1300" t="s">
        <v>11268</v>
      </c>
    </row>
    <row r="1301" spans="1:2" x14ac:dyDescent="0.25">
      <c r="A1301" t="s">
        <v>11269</v>
      </c>
      <c r="B1301" t="s">
        <v>11270</v>
      </c>
    </row>
    <row r="1302" spans="1:2" x14ac:dyDescent="0.25">
      <c r="A1302" t="s">
        <v>11271</v>
      </c>
      <c r="B1302" t="s">
        <v>11272</v>
      </c>
    </row>
    <row r="1303" spans="1:2" x14ac:dyDescent="0.25">
      <c r="A1303" t="s">
        <v>11273</v>
      </c>
      <c r="B1303" t="s">
        <v>11274</v>
      </c>
    </row>
    <row r="1304" spans="1:2" x14ac:dyDescent="0.25">
      <c r="A1304" t="s">
        <v>11275</v>
      </c>
      <c r="B1304" t="s">
        <v>11276</v>
      </c>
    </row>
    <row r="1305" spans="1:2" x14ac:dyDescent="0.25">
      <c r="A1305" t="s">
        <v>11277</v>
      </c>
      <c r="B1305" t="s">
        <v>11278</v>
      </c>
    </row>
    <row r="1306" spans="1:2" x14ac:dyDescent="0.25">
      <c r="A1306" t="s">
        <v>11279</v>
      </c>
      <c r="B1306" t="s">
        <v>11280</v>
      </c>
    </row>
    <row r="1307" spans="1:2" x14ac:dyDescent="0.25">
      <c r="A1307" t="s">
        <v>11281</v>
      </c>
      <c r="B1307" t="s">
        <v>11282</v>
      </c>
    </row>
    <row r="1308" spans="1:2" x14ac:dyDescent="0.25">
      <c r="A1308" t="s">
        <v>11283</v>
      </c>
      <c r="B1308" t="s">
        <v>11284</v>
      </c>
    </row>
    <row r="1309" spans="1:2" x14ac:dyDescent="0.25">
      <c r="A1309" t="s">
        <v>11285</v>
      </c>
      <c r="B1309" t="s">
        <v>11286</v>
      </c>
    </row>
    <row r="1310" spans="1:2" x14ac:dyDescent="0.25">
      <c r="A1310" t="s">
        <v>11287</v>
      </c>
      <c r="B1310" t="s">
        <v>11288</v>
      </c>
    </row>
    <row r="1311" spans="1:2" x14ac:dyDescent="0.25">
      <c r="A1311" t="s">
        <v>11289</v>
      </c>
      <c r="B1311" t="s">
        <v>11290</v>
      </c>
    </row>
    <row r="1312" spans="1:2" x14ac:dyDescent="0.25">
      <c r="A1312" t="s">
        <v>11291</v>
      </c>
      <c r="B1312" t="s">
        <v>11292</v>
      </c>
    </row>
    <row r="1313" spans="1:2" x14ac:dyDescent="0.25">
      <c r="A1313" t="s">
        <v>11293</v>
      </c>
      <c r="B1313" t="s">
        <v>11294</v>
      </c>
    </row>
    <row r="1314" spans="1:2" x14ac:dyDescent="0.25">
      <c r="A1314" t="s">
        <v>11295</v>
      </c>
      <c r="B1314" t="s">
        <v>11296</v>
      </c>
    </row>
    <row r="1315" spans="1:2" x14ac:dyDescent="0.25">
      <c r="A1315" t="s">
        <v>11297</v>
      </c>
      <c r="B1315" t="s">
        <v>11298</v>
      </c>
    </row>
    <row r="1316" spans="1:2" x14ac:dyDescent="0.25">
      <c r="A1316" t="s">
        <v>43</v>
      </c>
      <c r="B1316" t="s">
        <v>11299</v>
      </c>
    </row>
    <row r="1317" spans="1:2" x14ac:dyDescent="0.25">
      <c r="A1317" t="s">
        <v>11300</v>
      </c>
      <c r="B1317" t="s">
        <v>11301</v>
      </c>
    </row>
    <row r="1318" spans="1:2" x14ac:dyDescent="0.25">
      <c r="A1318" t="s">
        <v>11302</v>
      </c>
      <c r="B1318" t="s">
        <v>11303</v>
      </c>
    </row>
    <row r="1319" spans="1:2" x14ac:dyDescent="0.25">
      <c r="A1319" t="s">
        <v>44</v>
      </c>
      <c r="B1319" t="s">
        <v>11304</v>
      </c>
    </row>
    <row r="1320" spans="1:2" x14ac:dyDescent="0.25">
      <c r="A1320" t="s">
        <v>11305</v>
      </c>
      <c r="B1320" t="s">
        <v>11306</v>
      </c>
    </row>
    <row r="1321" spans="1:2" x14ac:dyDescent="0.25">
      <c r="A1321" t="s">
        <v>11307</v>
      </c>
      <c r="B1321" t="s">
        <v>11308</v>
      </c>
    </row>
    <row r="1322" spans="1:2" x14ac:dyDescent="0.25">
      <c r="A1322" t="s">
        <v>11309</v>
      </c>
      <c r="B1322" t="s">
        <v>11310</v>
      </c>
    </row>
    <row r="1323" spans="1:2" x14ac:dyDescent="0.25">
      <c r="A1323" t="s">
        <v>11311</v>
      </c>
      <c r="B1323" t="s">
        <v>11312</v>
      </c>
    </row>
    <row r="1324" spans="1:2" x14ac:dyDescent="0.25">
      <c r="A1324" t="s">
        <v>11313</v>
      </c>
      <c r="B1324" t="s">
        <v>11314</v>
      </c>
    </row>
    <row r="1325" spans="1:2" x14ac:dyDescent="0.25">
      <c r="A1325" t="s">
        <v>11315</v>
      </c>
      <c r="B1325" t="s">
        <v>11316</v>
      </c>
    </row>
    <row r="1326" spans="1:2" x14ac:dyDescent="0.25">
      <c r="A1326" t="s">
        <v>11317</v>
      </c>
      <c r="B1326" t="s">
        <v>11318</v>
      </c>
    </row>
    <row r="1327" spans="1:2" x14ac:dyDescent="0.25">
      <c r="A1327" t="s">
        <v>462</v>
      </c>
      <c r="B1327" t="s">
        <v>11319</v>
      </c>
    </row>
    <row r="1328" spans="1:2" x14ac:dyDescent="0.25">
      <c r="A1328" t="s">
        <v>11320</v>
      </c>
      <c r="B1328" t="s">
        <v>11321</v>
      </c>
    </row>
    <row r="1329" spans="1:2" x14ac:dyDescent="0.25">
      <c r="A1329" t="s">
        <v>11322</v>
      </c>
      <c r="B1329" t="s">
        <v>11323</v>
      </c>
    </row>
    <row r="1330" spans="1:2" x14ac:dyDescent="0.25">
      <c r="A1330" t="s">
        <v>11324</v>
      </c>
      <c r="B1330" t="s">
        <v>11325</v>
      </c>
    </row>
    <row r="1331" spans="1:2" x14ac:dyDescent="0.25">
      <c r="A1331" t="s">
        <v>11326</v>
      </c>
      <c r="B1331" t="s">
        <v>11327</v>
      </c>
    </row>
    <row r="1332" spans="1:2" x14ac:dyDescent="0.25">
      <c r="A1332" t="s">
        <v>11328</v>
      </c>
      <c r="B1332" t="s">
        <v>11329</v>
      </c>
    </row>
    <row r="1333" spans="1:2" x14ac:dyDescent="0.25">
      <c r="A1333" t="s">
        <v>11330</v>
      </c>
      <c r="B1333" t="s">
        <v>11331</v>
      </c>
    </row>
    <row r="1334" spans="1:2" x14ac:dyDescent="0.25">
      <c r="A1334" t="s">
        <v>11332</v>
      </c>
      <c r="B1334" t="s">
        <v>11333</v>
      </c>
    </row>
    <row r="1335" spans="1:2" x14ac:dyDescent="0.25">
      <c r="A1335" t="s">
        <v>11334</v>
      </c>
      <c r="B1335" t="s">
        <v>11335</v>
      </c>
    </row>
    <row r="1336" spans="1:2" x14ac:dyDescent="0.25">
      <c r="A1336" t="s">
        <v>11336</v>
      </c>
      <c r="B1336" t="s">
        <v>11337</v>
      </c>
    </row>
    <row r="1337" spans="1:2" x14ac:dyDescent="0.25">
      <c r="A1337" t="s">
        <v>2072</v>
      </c>
      <c r="B1337" t="s">
        <v>11338</v>
      </c>
    </row>
    <row r="1338" spans="1:2" x14ac:dyDescent="0.25">
      <c r="A1338" t="s">
        <v>11339</v>
      </c>
      <c r="B1338" t="s">
        <v>11340</v>
      </c>
    </row>
    <row r="1339" spans="1:2" x14ac:dyDescent="0.25">
      <c r="A1339" t="s">
        <v>11341</v>
      </c>
      <c r="B1339" t="s">
        <v>11342</v>
      </c>
    </row>
    <row r="1340" spans="1:2" x14ac:dyDescent="0.25">
      <c r="A1340" t="s">
        <v>11343</v>
      </c>
      <c r="B1340" t="s">
        <v>11344</v>
      </c>
    </row>
    <row r="1341" spans="1:2" x14ac:dyDescent="0.25">
      <c r="A1341" t="s">
        <v>11345</v>
      </c>
      <c r="B1341" t="s">
        <v>11346</v>
      </c>
    </row>
    <row r="1342" spans="1:2" x14ac:dyDescent="0.25">
      <c r="A1342" t="s">
        <v>11347</v>
      </c>
      <c r="B1342" t="s">
        <v>11348</v>
      </c>
    </row>
    <row r="1343" spans="1:2" x14ac:dyDescent="0.25">
      <c r="A1343" t="s">
        <v>11349</v>
      </c>
      <c r="B1343" t="s">
        <v>11350</v>
      </c>
    </row>
    <row r="1344" spans="1:2" x14ac:dyDescent="0.25">
      <c r="A1344" t="s">
        <v>11351</v>
      </c>
      <c r="B1344" t="s">
        <v>11352</v>
      </c>
    </row>
    <row r="1345" spans="1:2" x14ac:dyDescent="0.25">
      <c r="A1345" t="s">
        <v>11353</v>
      </c>
      <c r="B1345" t="s">
        <v>11354</v>
      </c>
    </row>
    <row r="1346" spans="1:2" x14ac:dyDescent="0.25">
      <c r="A1346" t="s">
        <v>11355</v>
      </c>
      <c r="B1346" t="s">
        <v>11356</v>
      </c>
    </row>
    <row r="1347" spans="1:2" x14ac:dyDescent="0.25">
      <c r="A1347" t="s">
        <v>11357</v>
      </c>
      <c r="B1347" t="s">
        <v>11358</v>
      </c>
    </row>
    <row r="1348" spans="1:2" x14ac:dyDescent="0.25">
      <c r="A1348" t="s">
        <v>11359</v>
      </c>
      <c r="B1348" t="s">
        <v>11360</v>
      </c>
    </row>
    <row r="1349" spans="1:2" x14ac:dyDescent="0.25">
      <c r="A1349" t="s">
        <v>11361</v>
      </c>
      <c r="B1349" t="s">
        <v>11362</v>
      </c>
    </row>
    <row r="1350" spans="1:2" x14ac:dyDescent="0.25">
      <c r="A1350" t="s">
        <v>11363</v>
      </c>
      <c r="B1350" t="s">
        <v>11364</v>
      </c>
    </row>
    <row r="1351" spans="1:2" x14ac:dyDescent="0.25">
      <c r="A1351" t="s">
        <v>11365</v>
      </c>
      <c r="B1351" t="s">
        <v>11366</v>
      </c>
    </row>
    <row r="1352" spans="1:2" x14ac:dyDescent="0.25">
      <c r="A1352" t="s">
        <v>11367</v>
      </c>
      <c r="B1352" t="s">
        <v>11368</v>
      </c>
    </row>
    <row r="1353" spans="1:2" x14ac:dyDescent="0.25">
      <c r="A1353" t="s">
        <v>11369</v>
      </c>
      <c r="B1353" t="s">
        <v>11370</v>
      </c>
    </row>
    <row r="1354" spans="1:2" x14ac:dyDescent="0.25">
      <c r="A1354" t="s">
        <v>11371</v>
      </c>
      <c r="B1354" t="s">
        <v>11372</v>
      </c>
    </row>
    <row r="1355" spans="1:2" x14ac:dyDescent="0.25">
      <c r="A1355" t="s">
        <v>11373</v>
      </c>
      <c r="B1355" t="s">
        <v>11374</v>
      </c>
    </row>
    <row r="1356" spans="1:2" x14ac:dyDescent="0.25">
      <c r="A1356" t="s">
        <v>11375</v>
      </c>
      <c r="B1356" t="s">
        <v>11376</v>
      </c>
    </row>
    <row r="1357" spans="1:2" x14ac:dyDescent="0.25">
      <c r="A1357" t="s">
        <v>11377</v>
      </c>
      <c r="B1357" t="s">
        <v>11378</v>
      </c>
    </row>
    <row r="1358" spans="1:2" x14ac:dyDescent="0.25">
      <c r="A1358" t="s">
        <v>11379</v>
      </c>
      <c r="B1358" t="s">
        <v>11380</v>
      </c>
    </row>
    <row r="1359" spans="1:2" x14ac:dyDescent="0.25">
      <c r="A1359" t="s">
        <v>11381</v>
      </c>
      <c r="B1359" t="s">
        <v>11382</v>
      </c>
    </row>
    <row r="1360" spans="1:2" x14ac:dyDescent="0.25">
      <c r="A1360" t="s">
        <v>11383</v>
      </c>
      <c r="B1360" t="s">
        <v>11384</v>
      </c>
    </row>
    <row r="1361" spans="1:2" x14ac:dyDescent="0.25">
      <c r="A1361" t="s">
        <v>11385</v>
      </c>
      <c r="B1361" t="s">
        <v>11386</v>
      </c>
    </row>
    <row r="1362" spans="1:2" x14ac:dyDescent="0.25">
      <c r="A1362" t="s">
        <v>11387</v>
      </c>
      <c r="B1362" t="s">
        <v>11388</v>
      </c>
    </row>
    <row r="1363" spans="1:2" x14ac:dyDescent="0.25">
      <c r="A1363" t="s">
        <v>11389</v>
      </c>
      <c r="B1363" t="s">
        <v>11390</v>
      </c>
    </row>
    <row r="1364" spans="1:2" x14ac:dyDescent="0.25">
      <c r="A1364" t="s">
        <v>11391</v>
      </c>
      <c r="B1364" t="s">
        <v>11392</v>
      </c>
    </row>
    <row r="1365" spans="1:2" x14ac:dyDescent="0.25">
      <c r="A1365" t="s">
        <v>11393</v>
      </c>
      <c r="B1365" t="s">
        <v>11394</v>
      </c>
    </row>
    <row r="1366" spans="1:2" x14ac:dyDescent="0.25">
      <c r="A1366" t="s">
        <v>2076</v>
      </c>
      <c r="B1366" t="s">
        <v>11395</v>
      </c>
    </row>
    <row r="1367" spans="1:2" x14ac:dyDescent="0.25">
      <c r="A1367" t="s">
        <v>11396</v>
      </c>
      <c r="B1367" t="s">
        <v>11397</v>
      </c>
    </row>
    <row r="1368" spans="1:2" x14ac:dyDescent="0.25">
      <c r="A1368" t="s">
        <v>11398</v>
      </c>
      <c r="B1368" t="s">
        <v>11399</v>
      </c>
    </row>
    <row r="1369" spans="1:2" x14ac:dyDescent="0.25">
      <c r="A1369" t="s">
        <v>11400</v>
      </c>
      <c r="B1369" t="s">
        <v>11401</v>
      </c>
    </row>
    <row r="1370" spans="1:2" x14ac:dyDescent="0.25">
      <c r="A1370" t="s">
        <v>11402</v>
      </c>
      <c r="B1370" t="s">
        <v>11403</v>
      </c>
    </row>
    <row r="1371" spans="1:2" x14ac:dyDescent="0.25">
      <c r="A1371" t="s">
        <v>11404</v>
      </c>
      <c r="B1371" t="s">
        <v>11405</v>
      </c>
    </row>
    <row r="1372" spans="1:2" x14ac:dyDescent="0.25">
      <c r="A1372" t="s">
        <v>11406</v>
      </c>
      <c r="B1372" t="s">
        <v>11407</v>
      </c>
    </row>
    <row r="1373" spans="1:2" x14ac:dyDescent="0.25">
      <c r="A1373" t="s">
        <v>11408</v>
      </c>
      <c r="B1373" t="s">
        <v>11409</v>
      </c>
    </row>
    <row r="1374" spans="1:2" x14ac:dyDescent="0.25">
      <c r="A1374" t="s">
        <v>11410</v>
      </c>
      <c r="B1374" t="s">
        <v>11411</v>
      </c>
    </row>
    <row r="1375" spans="1:2" x14ac:dyDescent="0.25">
      <c r="A1375" t="s">
        <v>11412</v>
      </c>
      <c r="B1375" t="s">
        <v>11413</v>
      </c>
    </row>
    <row r="1376" spans="1:2" x14ac:dyDescent="0.25">
      <c r="A1376" t="s">
        <v>11414</v>
      </c>
      <c r="B1376" t="s">
        <v>11415</v>
      </c>
    </row>
    <row r="1377" spans="1:2" x14ac:dyDescent="0.25">
      <c r="A1377" t="s">
        <v>11416</v>
      </c>
      <c r="B1377" t="s">
        <v>11417</v>
      </c>
    </row>
    <row r="1378" spans="1:2" x14ac:dyDescent="0.25">
      <c r="A1378" t="s">
        <v>11418</v>
      </c>
      <c r="B1378" t="s">
        <v>11419</v>
      </c>
    </row>
    <row r="1379" spans="1:2" x14ac:dyDescent="0.25">
      <c r="A1379" t="s">
        <v>11420</v>
      </c>
      <c r="B1379" t="s">
        <v>11421</v>
      </c>
    </row>
    <row r="1380" spans="1:2" x14ac:dyDescent="0.25">
      <c r="A1380" t="s">
        <v>11422</v>
      </c>
      <c r="B1380" t="s">
        <v>11423</v>
      </c>
    </row>
    <row r="1381" spans="1:2" x14ac:dyDescent="0.25">
      <c r="A1381" t="s">
        <v>11424</v>
      </c>
      <c r="B1381" t="s">
        <v>11425</v>
      </c>
    </row>
    <row r="1382" spans="1:2" x14ac:dyDescent="0.25">
      <c r="A1382" t="s">
        <v>11426</v>
      </c>
      <c r="B1382" t="s">
        <v>11427</v>
      </c>
    </row>
    <row r="1383" spans="1:2" x14ac:dyDescent="0.25">
      <c r="A1383" t="s">
        <v>11428</v>
      </c>
      <c r="B1383" t="s">
        <v>11429</v>
      </c>
    </row>
    <row r="1384" spans="1:2" x14ac:dyDescent="0.25">
      <c r="A1384" t="s">
        <v>11430</v>
      </c>
      <c r="B1384" t="s">
        <v>11431</v>
      </c>
    </row>
    <row r="1385" spans="1:2" x14ac:dyDescent="0.25">
      <c r="A1385" t="s">
        <v>464</v>
      </c>
      <c r="B1385" t="s">
        <v>11432</v>
      </c>
    </row>
    <row r="1386" spans="1:2" x14ac:dyDescent="0.25">
      <c r="A1386" t="s">
        <v>11433</v>
      </c>
      <c r="B1386" t="s">
        <v>11434</v>
      </c>
    </row>
    <row r="1387" spans="1:2" x14ac:dyDescent="0.25">
      <c r="A1387" t="s">
        <v>11435</v>
      </c>
      <c r="B1387" t="s">
        <v>11436</v>
      </c>
    </row>
    <row r="1388" spans="1:2" x14ac:dyDescent="0.25">
      <c r="A1388" t="s">
        <v>11437</v>
      </c>
      <c r="B1388" t="s">
        <v>11438</v>
      </c>
    </row>
    <row r="1389" spans="1:2" x14ac:dyDescent="0.25">
      <c r="A1389" t="s">
        <v>11439</v>
      </c>
      <c r="B1389" t="s">
        <v>11440</v>
      </c>
    </row>
    <row r="1390" spans="1:2" x14ac:dyDescent="0.25">
      <c r="A1390" t="s">
        <v>11441</v>
      </c>
      <c r="B1390" t="s">
        <v>11442</v>
      </c>
    </row>
    <row r="1391" spans="1:2" x14ac:dyDescent="0.25">
      <c r="A1391" t="s">
        <v>11443</v>
      </c>
      <c r="B1391" t="s">
        <v>11444</v>
      </c>
    </row>
    <row r="1392" spans="1:2" x14ac:dyDescent="0.25">
      <c r="A1392" t="s">
        <v>201</v>
      </c>
      <c r="B1392" t="s">
        <v>11445</v>
      </c>
    </row>
    <row r="1393" spans="1:2" x14ac:dyDescent="0.25">
      <c r="A1393" t="s">
        <v>11446</v>
      </c>
      <c r="B1393" t="s">
        <v>11447</v>
      </c>
    </row>
    <row r="1394" spans="1:2" x14ac:dyDescent="0.25">
      <c r="A1394" t="s">
        <v>11448</v>
      </c>
      <c r="B1394" t="s">
        <v>11449</v>
      </c>
    </row>
    <row r="1395" spans="1:2" x14ac:dyDescent="0.25">
      <c r="A1395" t="s">
        <v>11450</v>
      </c>
      <c r="B1395" t="s">
        <v>11451</v>
      </c>
    </row>
    <row r="1396" spans="1:2" x14ac:dyDescent="0.25">
      <c r="A1396" t="s">
        <v>11452</v>
      </c>
      <c r="B1396" t="s">
        <v>11453</v>
      </c>
    </row>
    <row r="1397" spans="1:2" x14ac:dyDescent="0.25">
      <c r="A1397" t="s">
        <v>11454</v>
      </c>
      <c r="B1397" t="s">
        <v>11455</v>
      </c>
    </row>
    <row r="1398" spans="1:2" x14ac:dyDescent="0.25">
      <c r="A1398" t="s">
        <v>11456</v>
      </c>
      <c r="B1398" t="s">
        <v>11457</v>
      </c>
    </row>
    <row r="1399" spans="1:2" x14ac:dyDescent="0.25">
      <c r="A1399" t="s">
        <v>11458</v>
      </c>
      <c r="B1399" t="s">
        <v>11459</v>
      </c>
    </row>
    <row r="1400" spans="1:2" x14ac:dyDescent="0.25">
      <c r="A1400" t="s">
        <v>467</v>
      </c>
      <c r="B1400" t="s">
        <v>11460</v>
      </c>
    </row>
    <row r="1401" spans="1:2" x14ac:dyDescent="0.25">
      <c r="A1401" t="s">
        <v>11461</v>
      </c>
      <c r="B1401" t="s">
        <v>11462</v>
      </c>
    </row>
    <row r="1402" spans="1:2" x14ac:dyDescent="0.25">
      <c r="A1402" t="s">
        <v>11463</v>
      </c>
      <c r="B1402" t="s">
        <v>11464</v>
      </c>
    </row>
    <row r="1403" spans="1:2" x14ac:dyDescent="0.25">
      <c r="A1403" t="s">
        <v>11465</v>
      </c>
      <c r="B1403" t="s">
        <v>11466</v>
      </c>
    </row>
    <row r="1404" spans="1:2" x14ac:dyDescent="0.25">
      <c r="A1404" t="s">
        <v>11467</v>
      </c>
      <c r="B1404" t="s">
        <v>11468</v>
      </c>
    </row>
    <row r="1405" spans="1:2" x14ac:dyDescent="0.25">
      <c r="A1405" t="s">
        <v>11469</v>
      </c>
      <c r="B1405" t="s">
        <v>11470</v>
      </c>
    </row>
    <row r="1406" spans="1:2" x14ac:dyDescent="0.25">
      <c r="A1406" t="s">
        <v>2186</v>
      </c>
      <c r="B1406" t="s">
        <v>11471</v>
      </c>
    </row>
    <row r="1407" spans="1:2" x14ac:dyDescent="0.25">
      <c r="A1407" t="s">
        <v>11472</v>
      </c>
      <c r="B1407" t="s">
        <v>11473</v>
      </c>
    </row>
    <row r="1408" spans="1:2" x14ac:dyDescent="0.25">
      <c r="A1408" t="s">
        <v>11474</v>
      </c>
      <c r="B1408" t="s">
        <v>11475</v>
      </c>
    </row>
    <row r="1409" spans="1:2" x14ac:dyDescent="0.25">
      <c r="A1409" t="s">
        <v>11476</v>
      </c>
      <c r="B1409" t="s">
        <v>11477</v>
      </c>
    </row>
    <row r="1410" spans="1:2" x14ac:dyDescent="0.25">
      <c r="A1410" t="s">
        <v>45</v>
      </c>
      <c r="B1410" t="s">
        <v>11478</v>
      </c>
    </row>
    <row r="1411" spans="1:2" x14ac:dyDescent="0.25">
      <c r="A1411" t="s">
        <v>11479</v>
      </c>
      <c r="B1411" t="s">
        <v>11480</v>
      </c>
    </row>
    <row r="1412" spans="1:2" x14ac:dyDescent="0.25">
      <c r="A1412" t="s">
        <v>11481</v>
      </c>
      <c r="B1412" t="s">
        <v>11482</v>
      </c>
    </row>
    <row r="1413" spans="1:2" x14ac:dyDescent="0.25">
      <c r="A1413" t="s">
        <v>11483</v>
      </c>
      <c r="B1413" t="s">
        <v>11484</v>
      </c>
    </row>
    <row r="1414" spans="1:2" x14ac:dyDescent="0.25">
      <c r="A1414" t="s">
        <v>11485</v>
      </c>
      <c r="B1414" t="s">
        <v>11486</v>
      </c>
    </row>
    <row r="1415" spans="1:2" x14ac:dyDescent="0.25">
      <c r="A1415" t="s">
        <v>11487</v>
      </c>
      <c r="B1415" t="s">
        <v>11488</v>
      </c>
    </row>
    <row r="1416" spans="1:2" x14ac:dyDescent="0.25">
      <c r="A1416" t="s">
        <v>2289</v>
      </c>
      <c r="B1416" t="s">
        <v>11489</v>
      </c>
    </row>
    <row r="1417" spans="1:2" x14ac:dyDescent="0.25">
      <c r="A1417" t="s">
        <v>11490</v>
      </c>
      <c r="B1417" t="s">
        <v>11491</v>
      </c>
    </row>
    <row r="1418" spans="1:2" x14ac:dyDescent="0.25">
      <c r="A1418" t="s">
        <v>11492</v>
      </c>
      <c r="B1418" t="s">
        <v>11493</v>
      </c>
    </row>
    <row r="1419" spans="1:2" x14ac:dyDescent="0.25">
      <c r="A1419" t="s">
        <v>11494</v>
      </c>
      <c r="B1419" t="s">
        <v>11495</v>
      </c>
    </row>
    <row r="1420" spans="1:2" x14ac:dyDescent="0.25">
      <c r="A1420" t="s">
        <v>11496</v>
      </c>
      <c r="B1420" t="s">
        <v>11497</v>
      </c>
    </row>
    <row r="1421" spans="1:2" x14ac:dyDescent="0.25">
      <c r="A1421" t="s">
        <v>11498</v>
      </c>
      <c r="B1421" t="s">
        <v>11499</v>
      </c>
    </row>
    <row r="1422" spans="1:2" x14ac:dyDescent="0.25">
      <c r="A1422" t="s">
        <v>11500</v>
      </c>
      <c r="B1422" t="s">
        <v>11501</v>
      </c>
    </row>
    <row r="1423" spans="1:2" x14ac:dyDescent="0.25">
      <c r="A1423" t="s">
        <v>11502</v>
      </c>
      <c r="B1423" t="s">
        <v>11503</v>
      </c>
    </row>
    <row r="1424" spans="1:2" x14ac:dyDescent="0.25">
      <c r="A1424" t="s">
        <v>1562</v>
      </c>
      <c r="B1424" t="s">
        <v>11504</v>
      </c>
    </row>
    <row r="1425" spans="1:2" x14ac:dyDescent="0.25">
      <c r="A1425" t="s">
        <v>11505</v>
      </c>
      <c r="B1425" t="s">
        <v>11506</v>
      </c>
    </row>
    <row r="1426" spans="1:2" x14ac:dyDescent="0.25">
      <c r="A1426" t="s">
        <v>11507</v>
      </c>
      <c r="B1426" t="s">
        <v>11508</v>
      </c>
    </row>
    <row r="1427" spans="1:2" x14ac:dyDescent="0.25">
      <c r="A1427" t="s">
        <v>11509</v>
      </c>
      <c r="B1427" t="s">
        <v>11510</v>
      </c>
    </row>
    <row r="1428" spans="1:2" x14ac:dyDescent="0.25">
      <c r="A1428" t="s">
        <v>47</v>
      </c>
      <c r="B1428" t="s">
        <v>11511</v>
      </c>
    </row>
    <row r="1429" spans="1:2" x14ac:dyDescent="0.25">
      <c r="A1429" t="s">
        <v>11512</v>
      </c>
      <c r="B1429" t="s">
        <v>11513</v>
      </c>
    </row>
    <row r="1430" spans="1:2" x14ac:dyDescent="0.25">
      <c r="A1430" t="s">
        <v>11514</v>
      </c>
      <c r="B1430" t="s">
        <v>11515</v>
      </c>
    </row>
    <row r="1431" spans="1:2" x14ac:dyDescent="0.25">
      <c r="A1431" t="s">
        <v>11516</v>
      </c>
      <c r="B1431" t="s">
        <v>11517</v>
      </c>
    </row>
    <row r="1432" spans="1:2" x14ac:dyDescent="0.25">
      <c r="A1432" t="s">
        <v>11518</v>
      </c>
      <c r="B1432" t="s">
        <v>11519</v>
      </c>
    </row>
    <row r="1433" spans="1:2" x14ac:dyDescent="0.25">
      <c r="A1433" t="s">
        <v>49</v>
      </c>
      <c r="B1433" t="s">
        <v>11520</v>
      </c>
    </row>
    <row r="1434" spans="1:2" x14ac:dyDescent="0.25">
      <c r="A1434" t="s">
        <v>11521</v>
      </c>
      <c r="B1434" t="s">
        <v>11522</v>
      </c>
    </row>
    <row r="1435" spans="1:2" x14ac:dyDescent="0.25">
      <c r="A1435" t="s">
        <v>11523</v>
      </c>
      <c r="B1435" t="s">
        <v>11524</v>
      </c>
    </row>
    <row r="1436" spans="1:2" x14ac:dyDescent="0.25">
      <c r="A1436" t="s">
        <v>11525</v>
      </c>
      <c r="B1436" t="s">
        <v>11526</v>
      </c>
    </row>
    <row r="1437" spans="1:2" x14ac:dyDescent="0.25">
      <c r="A1437" t="s">
        <v>11527</v>
      </c>
      <c r="B1437" t="s">
        <v>11528</v>
      </c>
    </row>
    <row r="1438" spans="1:2" x14ac:dyDescent="0.25">
      <c r="A1438" t="s">
        <v>11529</v>
      </c>
      <c r="B1438" t="s">
        <v>11530</v>
      </c>
    </row>
    <row r="1439" spans="1:2" x14ac:dyDescent="0.25">
      <c r="A1439" t="s">
        <v>11531</v>
      </c>
      <c r="B1439" t="s">
        <v>11532</v>
      </c>
    </row>
    <row r="1440" spans="1:2" x14ac:dyDescent="0.25">
      <c r="A1440" t="s">
        <v>11533</v>
      </c>
      <c r="B1440" t="s">
        <v>11534</v>
      </c>
    </row>
    <row r="1441" spans="1:2" x14ac:dyDescent="0.25">
      <c r="A1441" t="s">
        <v>11535</v>
      </c>
      <c r="B1441" t="s">
        <v>11536</v>
      </c>
    </row>
    <row r="1442" spans="1:2" x14ac:dyDescent="0.25">
      <c r="A1442" t="s">
        <v>11537</v>
      </c>
      <c r="B1442" t="s">
        <v>11538</v>
      </c>
    </row>
    <row r="1443" spans="1:2" x14ac:dyDescent="0.25">
      <c r="A1443" t="s">
        <v>11539</v>
      </c>
      <c r="B1443" t="s">
        <v>11540</v>
      </c>
    </row>
    <row r="1444" spans="1:2" x14ac:dyDescent="0.25">
      <c r="A1444" t="s">
        <v>472</v>
      </c>
      <c r="B1444" t="s">
        <v>11541</v>
      </c>
    </row>
    <row r="1445" spans="1:2" x14ac:dyDescent="0.25">
      <c r="A1445" t="s">
        <v>11542</v>
      </c>
      <c r="B1445" t="s">
        <v>11543</v>
      </c>
    </row>
    <row r="1446" spans="1:2" x14ac:dyDescent="0.25">
      <c r="A1446" t="s">
        <v>11544</v>
      </c>
      <c r="B1446" t="s">
        <v>11545</v>
      </c>
    </row>
    <row r="1447" spans="1:2" x14ac:dyDescent="0.25">
      <c r="A1447" t="s">
        <v>11546</v>
      </c>
      <c r="B1447" t="s">
        <v>11547</v>
      </c>
    </row>
    <row r="1448" spans="1:2" x14ac:dyDescent="0.25">
      <c r="A1448" t="s">
        <v>11548</v>
      </c>
      <c r="B1448" t="s">
        <v>11549</v>
      </c>
    </row>
    <row r="1449" spans="1:2" x14ac:dyDescent="0.25">
      <c r="A1449" t="s">
        <v>11550</v>
      </c>
      <c r="B1449" t="s">
        <v>11551</v>
      </c>
    </row>
    <row r="1450" spans="1:2" x14ac:dyDescent="0.25">
      <c r="A1450" t="s">
        <v>2348</v>
      </c>
      <c r="B1450" t="s">
        <v>11552</v>
      </c>
    </row>
    <row r="1451" spans="1:2" x14ac:dyDescent="0.25">
      <c r="A1451" t="s">
        <v>11553</v>
      </c>
      <c r="B1451" t="s">
        <v>11554</v>
      </c>
    </row>
    <row r="1452" spans="1:2" x14ac:dyDescent="0.25">
      <c r="A1452" t="s">
        <v>11555</v>
      </c>
      <c r="B1452" t="s">
        <v>11556</v>
      </c>
    </row>
    <row r="1453" spans="1:2" x14ac:dyDescent="0.25">
      <c r="A1453" t="s">
        <v>11557</v>
      </c>
      <c r="B1453" t="s">
        <v>11558</v>
      </c>
    </row>
    <row r="1454" spans="1:2" x14ac:dyDescent="0.25">
      <c r="A1454" t="s">
        <v>11559</v>
      </c>
      <c r="B1454" t="s">
        <v>11560</v>
      </c>
    </row>
    <row r="1455" spans="1:2" x14ac:dyDescent="0.25">
      <c r="A1455" t="s">
        <v>11561</v>
      </c>
      <c r="B1455" t="s">
        <v>11562</v>
      </c>
    </row>
    <row r="1456" spans="1:2" x14ac:dyDescent="0.25">
      <c r="A1456" t="s">
        <v>11563</v>
      </c>
      <c r="B1456" t="s">
        <v>11564</v>
      </c>
    </row>
    <row r="1457" spans="1:2" x14ac:dyDescent="0.25">
      <c r="A1457" t="s">
        <v>11565</v>
      </c>
      <c r="B1457" t="s">
        <v>11566</v>
      </c>
    </row>
    <row r="1458" spans="1:2" x14ac:dyDescent="0.25">
      <c r="A1458" t="s">
        <v>11567</v>
      </c>
      <c r="B1458" t="s">
        <v>11568</v>
      </c>
    </row>
    <row r="1459" spans="1:2" x14ac:dyDescent="0.25">
      <c r="A1459" t="s">
        <v>11569</v>
      </c>
      <c r="B1459" t="s">
        <v>11570</v>
      </c>
    </row>
    <row r="1460" spans="1:2" x14ac:dyDescent="0.25">
      <c r="A1460" t="s">
        <v>11571</v>
      </c>
      <c r="B1460" t="s">
        <v>11572</v>
      </c>
    </row>
    <row r="1461" spans="1:2" x14ac:dyDescent="0.25">
      <c r="A1461" t="s">
        <v>11573</v>
      </c>
      <c r="B1461" t="s">
        <v>11574</v>
      </c>
    </row>
    <row r="1462" spans="1:2" x14ac:dyDescent="0.25">
      <c r="A1462" t="s">
        <v>11575</v>
      </c>
      <c r="B1462" t="s">
        <v>11576</v>
      </c>
    </row>
    <row r="1463" spans="1:2" x14ac:dyDescent="0.25">
      <c r="A1463" t="s">
        <v>11577</v>
      </c>
      <c r="B1463" t="s">
        <v>11578</v>
      </c>
    </row>
    <row r="1464" spans="1:2" x14ac:dyDescent="0.25">
      <c r="A1464" t="s">
        <v>11579</v>
      </c>
      <c r="B1464" t="s">
        <v>11580</v>
      </c>
    </row>
    <row r="1465" spans="1:2" x14ac:dyDescent="0.25">
      <c r="A1465" t="s">
        <v>11581</v>
      </c>
      <c r="B1465" t="s">
        <v>11582</v>
      </c>
    </row>
    <row r="1466" spans="1:2" x14ac:dyDescent="0.25">
      <c r="A1466" t="s">
        <v>11583</v>
      </c>
      <c r="B1466" t="s">
        <v>11584</v>
      </c>
    </row>
    <row r="1467" spans="1:2" x14ac:dyDescent="0.25">
      <c r="A1467" t="s">
        <v>11585</v>
      </c>
      <c r="B1467" t="s">
        <v>11586</v>
      </c>
    </row>
    <row r="1468" spans="1:2" x14ac:dyDescent="0.25">
      <c r="A1468" t="s">
        <v>11587</v>
      </c>
      <c r="B1468" t="s">
        <v>11588</v>
      </c>
    </row>
    <row r="1469" spans="1:2" x14ac:dyDescent="0.25">
      <c r="A1469" t="s">
        <v>11589</v>
      </c>
      <c r="B1469" t="s">
        <v>11590</v>
      </c>
    </row>
    <row r="1470" spans="1:2" x14ac:dyDescent="0.25">
      <c r="A1470" t="s">
        <v>11591</v>
      </c>
      <c r="B1470" t="s">
        <v>11592</v>
      </c>
    </row>
    <row r="1471" spans="1:2" x14ac:dyDescent="0.25">
      <c r="A1471" t="s">
        <v>289</v>
      </c>
      <c r="B1471" t="s">
        <v>11593</v>
      </c>
    </row>
    <row r="1472" spans="1:2" x14ac:dyDescent="0.25">
      <c r="A1472" t="s">
        <v>1944</v>
      </c>
      <c r="B1472" t="s">
        <v>11594</v>
      </c>
    </row>
    <row r="1473" spans="1:2" x14ac:dyDescent="0.25">
      <c r="A1473" t="s">
        <v>11595</v>
      </c>
      <c r="B1473" t="s">
        <v>11596</v>
      </c>
    </row>
    <row r="1474" spans="1:2" x14ac:dyDescent="0.25">
      <c r="A1474" t="s">
        <v>11597</v>
      </c>
      <c r="B1474" t="s">
        <v>11598</v>
      </c>
    </row>
    <row r="1475" spans="1:2" x14ac:dyDescent="0.25">
      <c r="A1475" t="s">
        <v>11599</v>
      </c>
      <c r="B1475" t="s">
        <v>11600</v>
      </c>
    </row>
    <row r="1476" spans="1:2" x14ac:dyDescent="0.25">
      <c r="A1476" t="s">
        <v>11601</v>
      </c>
      <c r="B1476" t="s">
        <v>11602</v>
      </c>
    </row>
    <row r="1477" spans="1:2" x14ac:dyDescent="0.25">
      <c r="A1477" t="s">
        <v>11603</v>
      </c>
      <c r="B1477" t="s">
        <v>11604</v>
      </c>
    </row>
    <row r="1478" spans="1:2" x14ac:dyDescent="0.25">
      <c r="A1478" t="s">
        <v>11605</v>
      </c>
      <c r="B1478" t="s">
        <v>11606</v>
      </c>
    </row>
    <row r="1479" spans="1:2" x14ac:dyDescent="0.25">
      <c r="A1479" t="s">
        <v>11607</v>
      </c>
      <c r="B1479" t="s">
        <v>11608</v>
      </c>
    </row>
    <row r="1480" spans="1:2" x14ac:dyDescent="0.25">
      <c r="A1480" t="s">
        <v>11609</v>
      </c>
      <c r="B1480" t="s">
        <v>11610</v>
      </c>
    </row>
    <row r="1481" spans="1:2" x14ac:dyDescent="0.25">
      <c r="A1481" t="s">
        <v>11611</v>
      </c>
      <c r="B1481" t="s">
        <v>11612</v>
      </c>
    </row>
    <row r="1482" spans="1:2" x14ac:dyDescent="0.25">
      <c r="A1482" t="s">
        <v>11613</v>
      </c>
      <c r="B1482" t="s">
        <v>11614</v>
      </c>
    </row>
    <row r="1483" spans="1:2" x14ac:dyDescent="0.25">
      <c r="A1483" t="s">
        <v>11615</v>
      </c>
      <c r="B1483" t="s">
        <v>11616</v>
      </c>
    </row>
    <row r="1484" spans="1:2" x14ac:dyDescent="0.25">
      <c r="A1484" t="s">
        <v>11617</v>
      </c>
      <c r="B1484" t="s">
        <v>11618</v>
      </c>
    </row>
    <row r="1485" spans="1:2" x14ac:dyDescent="0.25">
      <c r="A1485" t="s">
        <v>11619</v>
      </c>
      <c r="B1485" t="s">
        <v>11620</v>
      </c>
    </row>
    <row r="1486" spans="1:2" x14ac:dyDescent="0.25">
      <c r="A1486" t="s">
        <v>11621</v>
      </c>
      <c r="B1486" t="s">
        <v>11622</v>
      </c>
    </row>
    <row r="1487" spans="1:2" x14ac:dyDescent="0.25">
      <c r="A1487" t="s">
        <v>11623</v>
      </c>
      <c r="B1487" t="s">
        <v>11624</v>
      </c>
    </row>
    <row r="1488" spans="1:2" x14ac:dyDescent="0.25">
      <c r="A1488" t="s">
        <v>11625</v>
      </c>
      <c r="B1488" t="s">
        <v>11626</v>
      </c>
    </row>
    <row r="1489" spans="1:2" x14ac:dyDescent="0.25">
      <c r="A1489" t="s">
        <v>11627</v>
      </c>
      <c r="B1489" t="s">
        <v>11628</v>
      </c>
    </row>
    <row r="1490" spans="1:2" x14ac:dyDescent="0.25">
      <c r="A1490" t="s">
        <v>11629</v>
      </c>
      <c r="B1490" t="s">
        <v>11630</v>
      </c>
    </row>
    <row r="1491" spans="1:2" x14ac:dyDescent="0.25">
      <c r="A1491" t="s">
        <v>11631</v>
      </c>
      <c r="B1491" t="s">
        <v>11632</v>
      </c>
    </row>
    <row r="1492" spans="1:2" x14ac:dyDescent="0.25">
      <c r="A1492" t="s">
        <v>11633</v>
      </c>
      <c r="B1492" t="s">
        <v>11634</v>
      </c>
    </row>
    <row r="1493" spans="1:2" x14ac:dyDescent="0.25">
      <c r="A1493" t="s">
        <v>11635</v>
      </c>
      <c r="B1493" t="s">
        <v>11636</v>
      </c>
    </row>
    <row r="1494" spans="1:2" x14ac:dyDescent="0.25">
      <c r="A1494" t="s">
        <v>11637</v>
      </c>
      <c r="B1494" t="s">
        <v>11638</v>
      </c>
    </row>
    <row r="1495" spans="1:2" x14ac:dyDescent="0.25">
      <c r="A1495" t="s">
        <v>11639</v>
      </c>
      <c r="B1495" t="s">
        <v>11640</v>
      </c>
    </row>
    <row r="1496" spans="1:2" x14ac:dyDescent="0.25">
      <c r="A1496" t="s">
        <v>11641</v>
      </c>
      <c r="B1496" t="s">
        <v>11642</v>
      </c>
    </row>
    <row r="1497" spans="1:2" x14ac:dyDescent="0.25">
      <c r="A1497" t="s">
        <v>11643</v>
      </c>
      <c r="B1497" t="s">
        <v>11644</v>
      </c>
    </row>
    <row r="1498" spans="1:2" x14ac:dyDescent="0.25">
      <c r="A1498" t="s">
        <v>11645</v>
      </c>
      <c r="B1498" t="s">
        <v>11646</v>
      </c>
    </row>
    <row r="1499" spans="1:2" x14ac:dyDescent="0.25">
      <c r="A1499" t="s">
        <v>11647</v>
      </c>
      <c r="B1499" t="s">
        <v>11648</v>
      </c>
    </row>
    <row r="1500" spans="1:2" x14ac:dyDescent="0.25">
      <c r="A1500" t="s">
        <v>11649</v>
      </c>
      <c r="B1500" t="s">
        <v>11650</v>
      </c>
    </row>
    <row r="1501" spans="1:2" x14ac:dyDescent="0.25">
      <c r="A1501" t="s">
        <v>11651</v>
      </c>
      <c r="B1501" t="s">
        <v>11652</v>
      </c>
    </row>
    <row r="1502" spans="1:2" x14ac:dyDescent="0.25">
      <c r="A1502" t="s">
        <v>11653</v>
      </c>
      <c r="B1502" t="s">
        <v>11654</v>
      </c>
    </row>
    <row r="1503" spans="1:2" x14ac:dyDescent="0.25">
      <c r="A1503" t="s">
        <v>11655</v>
      </c>
      <c r="B1503" t="s">
        <v>11656</v>
      </c>
    </row>
    <row r="1504" spans="1:2" x14ac:dyDescent="0.25">
      <c r="A1504" t="s">
        <v>11657</v>
      </c>
      <c r="B1504" t="s">
        <v>11658</v>
      </c>
    </row>
    <row r="1505" spans="1:2" x14ac:dyDescent="0.25">
      <c r="A1505" t="s">
        <v>11659</v>
      </c>
      <c r="B1505" t="s">
        <v>11660</v>
      </c>
    </row>
    <row r="1506" spans="1:2" x14ac:dyDescent="0.25">
      <c r="A1506" t="s">
        <v>11661</v>
      </c>
      <c r="B1506" t="s">
        <v>11662</v>
      </c>
    </row>
    <row r="1507" spans="1:2" x14ac:dyDescent="0.25">
      <c r="A1507" t="s">
        <v>11663</v>
      </c>
      <c r="B1507" t="s">
        <v>11664</v>
      </c>
    </row>
    <row r="1508" spans="1:2" x14ac:dyDescent="0.25">
      <c r="A1508" t="s">
        <v>11665</v>
      </c>
      <c r="B1508" t="s">
        <v>11666</v>
      </c>
    </row>
    <row r="1509" spans="1:2" x14ac:dyDescent="0.25">
      <c r="A1509" t="s">
        <v>11667</v>
      </c>
      <c r="B1509" t="s">
        <v>11668</v>
      </c>
    </row>
    <row r="1510" spans="1:2" x14ac:dyDescent="0.25">
      <c r="A1510" t="s">
        <v>11669</v>
      </c>
      <c r="B1510" t="s">
        <v>11670</v>
      </c>
    </row>
    <row r="1511" spans="1:2" x14ac:dyDescent="0.25">
      <c r="A1511" t="s">
        <v>11671</v>
      </c>
      <c r="B1511" t="s">
        <v>11672</v>
      </c>
    </row>
    <row r="1512" spans="1:2" x14ac:dyDescent="0.25">
      <c r="A1512" t="s">
        <v>11673</v>
      </c>
      <c r="B1512" t="s">
        <v>11674</v>
      </c>
    </row>
    <row r="1513" spans="1:2" x14ac:dyDescent="0.25">
      <c r="A1513" t="s">
        <v>11675</v>
      </c>
      <c r="B1513" t="s">
        <v>11676</v>
      </c>
    </row>
    <row r="1514" spans="1:2" x14ac:dyDescent="0.25">
      <c r="A1514" t="s">
        <v>11677</v>
      </c>
      <c r="B1514" t="s">
        <v>11678</v>
      </c>
    </row>
    <row r="1515" spans="1:2" x14ac:dyDescent="0.25">
      <c r="A1515" t="s">
        <v>11679</v>
      </c>
      <c r="B1515" t="s">
        <v>11680</v>
      </c>
    </row>
    <row r="1516" spans="1:2" x14ac:dyDescent="0.25">
      <c r="A1516" t="s">
        <v>11681</v>
      </c>
      <c r="B1516" t="s">
        <v>11682</v>
      </c>
    </row>
    <row r="1517" spans="1:2" x14ac:dyDescent="0.25">
      <c r="A1517" t="s">
        <v>11683</v>
      </c>
      <c r="B1517" t="s">
        <v>11684</v>
      </c>
    </row>
    <row r="1518" spans="1:2" x14ac:dyDescent="0.25">
      <c r="A1518" t="s">
        <v>11685</v>
      </c>
      <c r="B1518" t="s">
        <v>11686</v>
      </c>
    </row>
    <row r="1519" spans="1:2" x14ac:dyDescent="0.25">
      <c r="A1519" t="s">
        <v>11687</v>
      </c>
      <c r="B1519" t="s">
        <v>11688</v>
      </c>
    </row>
    <row r="1520" spans="1:2" x14ac:dyDescent="0.25">
      <c r="A1520" t="s">
        <v>11689</v>
      </c>
      <c r="B1520" t="s">
        <v>11690</v>
      </c>
    </row>
    <row r="1521" spans="1:2" x14ac:dyDescent="0.25">
      <c r="A1521" t="s">
        <v>11691</v>
      </c>
      <c r="B1521" t="s">
        <v>11692</v>
      </c>
    </row>
    <row r="1522" spans="1:2" x14ac:dyDescent="0.25">
      <c r="A1522" t="s">
        <v>11693</v>
      </c>
      <c r="B1522" t="s">
        <v>8918</v>
      </c>
    </row>
    <row r="1523" spans="1:2" x14ac:dyDescent="0.25">
      <c r="A1523" t="s">
        <v>11694</v>
      </c>
      <c r="B1523" t="s">
        <v>11695</v>
      </c>
    </row>
    <row r="1524" spans="1:2" x14ac:dyDescent="0.25">
      <c r="A1524" t="s">
        <v>11696</v>
      </c>
      <c r="B1524" t="s">
        <v>11697</v>
      </c>
    </row>
    <row r="1525" spans="1:2" x14ac:dyDescent="0.25">
      <c r="A1525" t="s">
        <v>11698</v>
      </c>
      <c r="B1525" t="s">
        <v>11699</v>
      </c>
    </row>
    <row r="1526" spans="1:2" x14ac:dyDescent="0.25">
      <c r="A1526" t="s">
        <v>11700</v>
      </c>
      <c r="B1526" t="s">
        <v>11701</v>
      </c>
    </row>
    <row r="1527" spans="1:2" x14ac:dyDescent="0.25">
      <c r="A1527" t="s">
        <v>11702</v>
      </c>
      <c r="B1527" t="s">
        <v>11703</v>
      </c>
    </row>
    <row r="1528" spans="1:2" x14ac:dyDescent="0.25">
      <c r="A1528" t="s">
        <v>11704</v>
      </c>
      <c r="B1528" t="s">
        <v>11705</v>
      </c>
    </row>
    <row r="1529" spans="1:2" x14ac:dyDescent="0.25">
      <c r="A1529" t="s">
        <v>11706</v>
      </c>
      <c r="B1529" t="s">
        <v>11707</v>
      </c>
    </row>
    <row r="1530" spans="1:2" x14ac:dyDescent="0.25">
      <c r="A1530" t="s">
        <v>11708</v>
      </c>
      <c r="B1530" t="s">
        <v>11709</v>
      </c>
    </row>
    <row r="1531" spans="1:2" x14ac:dyDescent="0.25">
      <c r="A1531" t="s">
        <v>11710</v>
      </c>
      <c r="B1531" t="s">
        <v>8796</v>
      </c>
    </row>
    <row r="1532" spans="1:2" x14ac:dyDescent="0.25">
      <c r="A1532" t="s">
        <v>11711</v>
      </c>
      <c r="B1532" t="s">
        <v>11712</v>
      </c>
    </row>
    <row r="1533" spans="1:2" x14ac:dyDescent="0.25">
      <c r="A1533" t="s">
        <v>11713</v>
      </c>
      <c r="B1533" t="s">
        <v>11714</v>
      </c>
    </row>
    <row r="1534" spans="1:2" x14ac:dyDescent="0.25">
      <c r="A1534" t="s">
        <v>11715</v>
      </c>
      <c r="B1534" t="s">
        <v>11716</v>
      </c>
    </row>
    <row r="1535" spans="1:2" x14ac:dyDescent="0.25">
      <c r="A1535" t="s">
        <v>11717</v>
      </c>
      <c r="B1535" t="s">
        <v>11718</v>
      </c>
    </row>
    <row r="1536" spans="1:2" x14ac:dyDescent="0.25">
      <c r="A1536" t="s">
        <v>11719</v>
      </c>
      <c r="B1536" t="s">
        <v>11720</v>
      </c>
    </row>
    <row r="1537" spans="1:2" x14ac:dyDescent="0.25">
      <c r="A1537" t="s">
        <v>11721</v>
      </c>
      <c r="B1537" t="s">
        <v>11722</v>
      </c>
    </row>
    <row r="1538" spans="1:2" x14ac:dyDescent="0.25">
      <c r="A1538" t="s">
        <v>11723</v>
      </c>
      <c r="B1538" t="s">
        <v>11724</v>
      </c>
    </row>
    <row r="1539" spans="1:2" x14ac:dyDescent="0.25">
      <c r="A1539" t="s">
        <v>11725</v>
      </c>
      <c r="B1539" t="s">
        <v>11726</v>
      </c>
    </row>
    <row r="1540" spans="1:2" x14ac:dyDescent="0.25">
      <c r="A1540" t="s">
        <v>11727</v>
      </c>
      <c r="B1540" t="s">
        <v>11728</v>
      </c>
    </row>
    <row r="1541" spans="1:2" x14ac:dyDescent="0.25">
      <c r="A1541" t="s">
        <v>11729</v>
      </c>
      <c r="B1541" t="s">
        <v>11730</v>
      </c>
    </row>
    <row r="1542" spans="1:2" x14ac:dyDescent="0.25">
      <c r="A1542" t="s">
        <v>11731</v>
      </c>
      <c r="B1542" t="s">
        <v>11732</v>
      </c>
    </row>
    <row r="1543" spans="1:2" x14ac:dyDescent="0.25">
      <c r="A1543" t="s">
        <v>11733</v>
      </c>
      <c r="B1543" t="s">
        <v>11734</v>
      </c>
    </row>
    <row r="1544" spans="1:2" x14ac:dyDescent="0.25">
      <c r="A1544" t="s">
        <v>11735</v>
      </c>
      <c r="B1544" t="s">
        <v>11736</v>
      </c>
    </row>
    <row r="1545" spans="1:2" x14ac:dyDescent="0.25">
      <c r="A1545" t="s">
        <v>11737</v>
      </c>
      <c r="B1545" t="s">
        <v>11738</v>
      </c>
    </row>
    <row r="1546" spans="1:2" x14ac:dyDescent="0.25">
      <c r="A1546" t="s">
        <v>2350</v>
      </c>
      <c r="B1546" t="s">
        <v>11739</v>
      </c>
    </row>
    <row r="1547" spans="1:2" x14ac:dyDescent="0.25">
      <c r="A1547" t="s">
        <v>11740</v>
      </c>
      <c r="B1547" t="s">
        <v>11741</v>
      </c>
    </row>
    <row r="1548" spans="1:2" x14ac:dyDescent="0.25">
      <c r="A1548" t="s">
        <v>2583</v>
      </c>
      <c r="B1548" t="s">
        <v>11742</v>
      </c>
    </row>
    <row r="1549" spans="1:2" x14ac:dyDescent="0.25">
      <c r="A1549" t="s">
        <v>11743</v>
      </c>
      <c r="B1549" t="s">
        <v>11744</v>
      </c>
    </row>
    <row r="1550" spans="1:2" x14ac:dyDescent="0.25">
      <c r="A1550" t="s">
        <v>11745</v>
      </c>
      <c r="B1550" t="s">
        <v>11746</v>
      </c>
    </row>
    <row r="1551" spans="1:2" x14ac:dyDescent="0.25">
      <c r="A1551" t="s">
        <v>11747</v>
      </c>
      <c r="B1551" t="s">
        <v>11748</v>
      </c>
    </row>
    <row r="1552" spans="1:2" x14ac:dyDescent="0.25">
      <c r="A1552" t="s">
        <v>11749</v>
      </c>
      <c r="B1552" t="s">
        <v>11750</v>
      </c>
    </row>
    <row r="1553" spans="1:2" x14ac:dyDescent="0.25">
      <c r="A1553" t="s">
        <v>11751</v>
      </c>
      <c r="B1553" t="s">
        <v>11752</v>
      </c>
    </row>
    <row r="1554" spans="1:2" x14ac:dyDescent="0.25">
      <c r="A1554" t="s">
        <v>11753</v>
      </c>
      <c r="B1554" t="s">
        <v>11754</v>
      </c>
    </row>
    <row r="1555" spans="1:2" x14ac:dyDescent="0.25">
      <c r="A1555" t="s">
        <v>11755</v>
      </c>
      <c r="B1555" t="s">
        <v>11756</v>
      </c>
    </row>
    <row r="1556" spans="1:2" x14ac:dyDescent="0.25">
      <c r="A1556" t="s">
        <v>474</v>
      </c>
      <c r="B1556" t="s">
        <v>11757</v>
      </c>
    </row>
    <row r="1557" spans="1:2" x14ac:dyDescent="0.25">
      <c r="A1557" t="s">
        <v>11758</v>
      </c>
      <c r="B1557" t="s">
        <v>11759</v>
      </c>
    </row>
    <row r="1558" spans="1:2" x14ac:dyDescent="0.25">
      <c r="A1558" t="s">
        <v>11760</v>
      </c>
      <c r="B1558" t="s">
        <v>11761</v>
      </c>
    </row>
    <row r="1559" spans="1:2" x14ac:dyDescent="0.25">
      <c r="A1559" t="s">
        <v>11762</v>
      </c>
      <c r="B1559" t="s">
        <v>11763</v>
      </c>
    </row>
    <row r="1560" spans="1:2" x14ac:dyDescent="0.25">
      <c r="A1560" t="s">
        <v>11764</v>
      </c>
      <c r="B1560" t="s">
        <v>11765</v>
      </c>
    </row>
    <row r="1561" spans="1:2" x14ac:dyDescent="0.25">
      <c r="A1561" t="s">
        <v>11766</v>
      </c>
      <c r="B1561" t="s">
        <v>11767</v>
      </c>
    </row>
    <row r="1562" spans="1:2" x14ac:dyDescent="0.25">
      <c r="A1562" t="s">
        <v>11768</v>
      </c>
      <c r="B1562" t="s">
        <v>11769</v>
      </c>
    </row>
    <row r="1563" spans="1:2" x14ac:dyDescent="0.25">
      <c r="A1563" t="s">
        <v>11770</v>
      </c>
      <c r="B1563" t="s">
        <v>11771</v>
      </c>
    </row>
    <row r="1564" spans="1:2" x14ac:dyDescent="0.25">
      <c r="A1564" t="s">
        <v>11772</v>
      </c>
      <c r="B1564" t="s">
        <v>11773</v>
      </c>
    </row>
    <row r="1565" spans="1:2" x14ac:dyDescent="0.25">
      <c r="A1565" t="s">
        <v>11774</v>
      </c>
      <c r="B1565" t="s">
        <v>11775</v>
      </c>
    </row>
    <row r="1566" spans="1:2" x14ac:dyDescent="0.25">
      <c r="A1566" t="s">
        <v>50</v>
      </c>
      <c r="B1566" t="s">
        <v>11776</v>
      </c>
    </row>
    <row r="1567" spans="1:2" x14ac:dyDescent="0.25">
      <c r="A1567" t="s">
        <v>11777</v>
      </c>
      <c r="B1567" t="s">
        <v>11778</v>
      </c>
    </row>
    <row r="1568" spans="1:2" x14ac:dyDescent="0.25">
      <c r="A1568" t="s">
        <v>11779</v>
      </c>
      <c r="B1568" t="s">
        <v>11780</v>
      </c>
    </row>
    <row r="1569" spans="1:2" x14ac:dyDescent="0.25">
      <c r="A1569" t="s">
        <v>11781</v>
      </c>
      <c r="B1569" t="s">
        <v>11782</v>
      </c>
    </row>
    <row r="1570" spans="1:2" x14ac:dyDescent="0.25">
      <c r="A1570" t="s">
        <v>11783</v>
      </c>
      <c r="B1570" t="s">
        <v>11784</v>
      </c>
    </row>
    <row r="1571" spans="1:2" x14ac:dyDescent="0.25">
      <c r="A1571" t="s">
        <v>11785</v>
      </c>
      <c r="B1571" t="s">
        <v>11786</v>
      </c>
    </row>
    <row r="1572" spans="1:2" x14ac:dyDescent="0.25">
      <c r="A1572" t="s">
        <v>11787</v>
      </c>
      <c r="B1572" t="s">
        <v>11788</v>
      </c>
    </row>
    <row r="1573" spans="1:2" x14ac:dyDescent="0.25">
      <c r="A1573" t="s">
        <v>11789</v>
      </c>
      <c r="B1573" t="s">
        <v>11790</v>
      </c>
    </row>
    <row r="1574" spans="1:2" x14ac:dyDescent="0.25">
      <c r="A1574" t="s">
        <v>11791</v>
      </c>
      <c r="B1574" t="s">
        <v>11792</v>
      </c>
    </row>
    <row r="1575" spans="1:2" x14ac:dyDescent="0.25">
      <c r="A1575" t="s">
        <v>11793</v>
      </c>
      <c r="B1575" t="s">
        <v>11794</v>
      </c>
    </row>
    <row r="1576" spans="1:2" x14ac:dyDescent="0.25">
      <c r="A1576" t="s">
        <v>11795</v>
      </c>
      <c r="B1576" t="s">
        <v>11796</v>
      </c>
    </row>
    <row r="1577" spans="1:2" x14ac:dyDescent="0.25">
      <c r="A1577" t="s">
        <v>11797</v>
      </c>
      <c r="B1577" t="s">
        <v>11798</v>
      </c>
    </row>
    <row r="1578" spans="1:2" x14ac:dyDescent="0.25">
      <c r="A1578" t="s">
        <v>355</v>
      </c>
      <c r="B1578" t="s">
        <v>11799</v>
      </c>
    </row>
    <row r="1579" spans="1:2" x14ac:dyDescent="0.25">
      <c r="A1579" t="s">
        <v>11800</v>
      </c>
      <c r="B1579" t="s">
        <v>11801</v>
      </c>
    </row>
    <row r="1580" spans="1:2" x14ac:dyDescent="0.25">
      <c r="A1580" t="s">
        <v>2354</v>
      </c>
      <c r="B1580" t="s">
        <v>11802</v>
      </c>
    </row>
    <row r="1581" spans="1:2" x14ac:dyDescent="0.25">
      <c r="A1581" t="s">
        <v>11803</v>
      </c>
      <c r="B1581" t="s">
        <v>11804</v>
      </c>
    </row>
    <row r="1582" spans="1:2" x14ac:dyDescent="0.25">
      <c r="A1582" t="s">
        <v>11805</v>
      </c>
      <c r="B1582" t="s">
        <v>11806</v>
      </c>
    </row>
    <row r="1583" spans="1:2" x14ac:dyDescent="0.25">
      <c r="A1583" t="s">
        <v>11807</v>
      </c>
      <c r="B1583" t="s">
        <v>11808</v>
      </c>
    </row>
    <row r="1584" spans="1:2" x14ac:dyDescent="0.25">
      <c r="A1584" t="s">
        <v>11809</v>
      </c>
      <c r="B1584" t="s">
        <v>11810</v>
      </c>
    </row>
    <row r="1585" spans="1:2" x14ac:dyDescent="0.25">
      <c r="A1585" t="s">
        <v>11811</v>
      </c>
      <c r="B1585" t="s">
        <v>11812</v>
      </c>
    </row>
    <row r="1586" spans="1:2" x14ac:dyDescent="0.25">
      <c r="A1586" t="s">
        <v>11813</v>
      </c>
      <c r="B1586" t="s">
        <v>11814</v>
      </c>
    </row>
    <row r="1587" spans="1:2" x14ac:dyDescent="0.25">
      <c r="A1587" t="s">
        <v>11815</v>
      </c>
      <c r="B1587" t="s">
        <v>11816</v>
      </c>
    </row>
    <row r="1588" spans="1:2" x14ac:dyDescent="0.25">
      <c r="A1588" t="s">
        <v>11817</v>
      </c>
      <c r="B1588" t="s">
        <v>11818</v>
      </c>
    </row>
    <row r="1589" spans="1:2" x14ac:dyDescent="0.25">
      <c r="A1589" t="s">
        <v>11819</v>
      </c>
      <c r="B1589" t="s">
        <v>11820</v>
      </c>
    </row>
    <row r="1590" spans="1:2" x14ac:dyDescent="0.25">
      <c r="A1590" t="s">
        <v>11821</v>
      </c>
      <c r="B1590" t="s">
        <v>11822</v>
      </c>
    </row>
    <row r="1591" spans="1:2" x14ac:dyDescent="0.25">
      <c r="A1591" t="s">
        <v>11823</v>
      </c>
      <c r="B1591" t="s">
        <v>11824</v>
      </c>
    </row>
    <row r="1592" spans="1:2" x14ac:dyDescent="0.25">
      <c r="A1592" t="s">
        <v>11825</v>
      </c>
      <c r="B1592" t="s">
        <v>11826</v>
      </c>
    </row>
    <row r="1593" spans="1:2" x14ac:dyDescent="0.25">
      <c r="A1593" t="s">
        <v>11827</v>
      </c>
      <c r="B1593" t="s">
        <v>11828</v>
      </c>
    </row>
    <row r="1594" spans="1:2" x14ac:dyDescent="0.25">
      <c r="A1594" t="s">
        <v>11829</v>
      </c>
      <c r="B1594" t="s">
        <v>11830</v>
      </c>
    </row>
    <row r="1595" spans="1:2" x14ac:dyDescent="0.25">
      <c r="A1595" t="s">
        <v>11831</v>
      </c>
      <c r="B1595" t="s">
        <v>11832</v>
      </c>
    </row>
    <row r="1596" spans="1:2" x14ac:dyDescent="0.25">
      <c r="A1596" t="s">
        <v>11833</v>
      </c>
      <c r="B1596" t="s">
        <v>11834</v>
      </c>
    </row>
    <row r="1597" spans="1:2" x14ac:dyDescent="0.25">
      <c r="A1597" t="s">
        <v>11835</v>
      </c>
      <c r="B1597" t="s">
        <v>11836</v>
      </c>
    </row>
    <row r="1598" spans="1:2" x14ac:dyDescent="0.25">
      <c r="A1598" t="s">
        <v>11837</v>
      </c>
      <c r="B1598" t="s">
        <v>11838</v>
      </c>
    </row>
    <row r="1599" spans="1:2" x14ac:dyDescent="0.25">
      <c r="A1599" t="s">
        <v>11839</v>
      </c>
      <c r="B1599" t="s">
        <v>11840</v>
      </c>
    </row>
    <row r="1600" spans="1:2" x14ac:dyDescent="0.25">
      <c r="A1600" t="s">
        <v>11841</v>
      </c>
      <c r="B1600" t="s">
        <v>11842</v>
      </c>
    </row>
    <row r="1601" spans="1:2" x14ac:dyDescent="0.25">
      <c r="A1601" t="s">
        <v>11843</v>
      </c>
      <c r="B1601" t="s">
        <v>11844</v>
      </c>
    </row>
    <row r="1602" spans="1:2" x14ac:dyDescent="0.25">
      <c r="A1602" t="s">
        <v>2356</v>
      </c>
      <c r="B1602" t="s">
        <v>11845</v>
      </c>
    </row>
    <row r="1603" spans="1:2" x14ac:dyDescent="0.25">
      <c r="A1603" t="s">
        <v>11846</v>
      </c>
      <c r="B1603" t="s">
        <v>11847</v>
      </c>
    </row>
    <row r="1604" spans="1:2" x14ac:dyDescent="0.25">
      <c r="A1604" t="s">
        <v>2941</v>
      </c>
      <c r="B1604" t="s">
        <v>11848</v>
      </c>
    </row>
    <row r="1605" spans="1:2" x14ac:dyDescent="0.25">
      <c r="A1605" t="s">
        <v>1946</v>
      </c>
      <c r="B1605" t="s">
        <v>11849</v>
      </c>
    </row>
    <row r="1606" spans="1:2" x14ac:dyDescent="0.25">
      <c r="A1606" t="s">
        <v>11850</v>
      </c>
      <c r="B1606" t="s">
        <v>11851</v>
      </c>
    </row>
    <row r="1607" spans="1:2" x14ac:dyDescent="0.25">
      <c r="A1607" t="s">
        <v>11852</v>
      </c>
      <c r="B1607" t="s">
        <v>11853</v>
      </c>
    </row>
    <row r="1608" spans="1:2" x14ac:dyDescent="0.25">
      <c r="A1608" t="s">
        <v>11854</v>
      </c>
      <c r="B1608" t="s">
        <v>11855</v>
      </c>
    </row>
    <row r="1609" spans="1:2" x14ac:dyDescent="0.25">
      <c r="A1609" t="s">
        <v>11856</v>
      </c>
      <c r="B1609" t="s">
        <v>11857</v>
      </c>
    </row>
    <row r="1610" spans="1:2" x14ac:dyDescent="0.25">
      <c r="A1610" t="s">
        <v>11858</v>
      </c>
      <c r="B1610" t="s">
        <v>11859</v>
      </c>
    </row>
    <row r="1611" spans="1:2" x14ac:dyDescent="0.25">
      <c r="A1611" t="s">
        <v>11860</v>
      </c>
      <c r="B1611" t="s">
        <v>11861</v>
      </c>
    </row>
    <row r="1612" spans="1:2" x14ac:dyDescent="0.25">
      <c r="A1612" t="s">
        <v>11862</v>
      </c>
      <c r="B1612" t="s">
        <v>11863</v>
      </c>
    </row>
    <row r="1613" spans="1:2" x14ac:dyDescent="0.25">
      <c r="A1613" t="s">
        <v>11864</v>
      </c>
      <c r="B1613" t="s">
        <v>11865</v>
      </c>
    </row>
    <row r="1614" spans="1:2" x14ac:dyDescent="0.25">
      <c r="A1614" t="s">
        <v>11866</v>
      </c>
      <c r="B1614" t="s">
        <v>11867</v>
      </c>
    </row>
    <row r="1615" spans="1:2" x14ac:dyDescent="0.25">
      <c r="A1615" t="s">
        <v>11868</v>
      </c>
      <c r="B1615" t="s">
        <v>11869</v>
      </c>
    </row>
    <row r="1616" spans="1:2" x14ac:dyDescent="0.25">
      <c r="A1616" t="s">
        <v>477</v>
      </c>
      <c r="B1616" t="s">
        <v>11870</v>
      </c>
    </row>
    <row r="1617" spans="1:2" x14ac:dyDescent="0.25">
      <c r="A1617" t="s">
        <v>11871</v>
      </c>
      <c r="B1617" t="s">
        <v>11872</v>
      </c>
    </row>
    <row r="1618" spans="1:2" x14ac:dyDescent="0.25">
      <c r="A1618" t="s">
        <v>11873</v>
      </c>
      <c r="B1618" t="s">
        <v>11874</v>
      </c>
    </row>
    <row r="1619" spans="1:2" x14ac:dyDescent="0.25">
      <c r="A1619" t="s">
        <v>11875</v>
      </c>
      <c r="B1619" t="s">
        <v>11876</v>
      </c>
    </row>
    <row r="1620" spans="1:2" x14ac:dyDescent="0.25">
      <c r="A1620" t="s">
        <v>11877</v>
      </c>
      <c r="B1620" t="s">
        <v>11878</v>
      </c>
    </row>
    <row r="1621" spans="1:2" x14ac:dyDescent="0.25">
      <c r="A1621" t="s">
        <v>11879</v>
      </c>
      <c r="B1621" t="s">
        <v>11880</v>
      </c>
    </row>
    <row r="1622" spans="1:2" x14ac:dyDescent="0.25">
      <c r="A1622" t="s">
        <v>11881</v>
      </c>
      <c r="B1622" t="s">
        <v>11882</v>
      </c>
    </row>
    <row r="1623" spans="1:2" x14ac:dyDescent="0.25">
      <c r="A1623" t="s">
        <v>11883</v>
      </c>
      <c r="B1623" t="s">
        <v>11884</v>
      </c>
    </row>
    <row r="1624" spans="1:2" x14ac:dyDescent="0.25">
      <c r="A1624" t="s">
        <v>11885</v>
      </c>
      <c r="B1624" t="s">
        <v>11886</v>
      </c>
    </row>
    <row r="1625" spans="1:2" x14ac:dyDescent="0.25">
      <c r="A1625" t="s">
        <v>11887</v>
      </c>
      <c r="B1625" t="s">
        <v>11888</v>
      </c>
    </row>
    <row r="1626" spans="1:2" x14ac:dyDescent="0.25">
      <c r="A1626" t="s">
        <v>11889</v>
      </c>
      <c r="B1626" t="s">
        <v>11890</v>
      </c>
    </row>
    <row r="1627" spans="1:2" x14ac:dyDescent="0.25">
      <c r="A1627" t="s">
        <v>11891</v>
      </c>
      <c r="B1627" t="s">
        <v>11892</v>
      </c>
    </row>
    <row r="1628" spans="1:2" x14ac:dyDescent="0.25">
      <c r="A1628" t="s">
        <v>11893</v>
      </c>
      <c r="B1628" t="s">
        <v>11894</v>
      </c>
    </row>
    <row r="1629" spans="1:2" x14ac:dyDescent="0.25">
      <c r="A1629" t="s">
        <v>11895</v>
      </c>
      <c r="B1629" t="s">
        <v>11896</v>
      </c>
    </row>
    <row r="1630" spans="1:2" x14ac:dyDescent="0.25">
      <c r="A1630" t="s">
        <v>11897</v>
      </c>
      <c r="B1630" t="s">
        <v>11898</v>
      </c>
    </row>
    <row r="1631" spans="1:2" x14ac:dyDescent="0.25">
      <c r="A1631" t="s">
        <v>11899</v>
      </c>
      <c r="B1631" t="s">
        <v>11900</v>
      </c>
    </row>
    <row r="1632" spans="1:2" x14ac:dyDescent="0.25">
      <c r="A1632" t="s">
        <v>11901</v>
      </c>
      <c r="B1632" t="s">
        <v>11902</v>
      </c>
    </row>
    <row r="1633" spans="1:2" x14ac:dyDescent="0.25">
      <c r="A1633" t="s">
        <v>11903</v>
      </c>
      <c r="B1633" t="s">
        <v>11904</v>
      </c>
    </row>
    <row r="1634" spans="1:2" x14ac:dyDescent="0.25">
      <c r="A1634" t="s">
        <v>11905</v>
      </c>
      <c r="B1634" t="s">
        <v>11906</v>
      </c>
    </row>
    <row r="1635" spans="1:2" x14ac:dyDescent="0.25">
      <c r="A1635" t="s">
        <v>11907</v>
      </c>
      <c r="B1635" t="s">
        <v>11908</v>
      </c>
    </row>
    <row r="1636" spans="1:2" x14ac:dyDescent="0.25">
      <c r="A1636" t="s">
        <v>11909</v>
      </c>
      <c r="B1636" t="s">
        <v>11910</v>
      </c>
    </row>
    <row r="1637" spans="1:2" x14ac:dyDescent="0.25">
      <c r="A1637" t="s">
        <v>11911</v>
      </c>
      <c r="B1637" t="s">
        <v>11912</v>
      </c>
    </row>
    <row r="1638" spans="1:2" x14ac:dyDescent="0.25">
      <c r="A1638" t="s">
        <v>479</v>
      </c>
      <c r="B1638" t="s">
        <v>11913</v>
      </c>
    </row>
    <row r="1639" spans="1:2" x14ac:dyDescent="0.25">
      <c r="A1639" t="s">
        <v>11914</v>
      </c>
      <c r="B1639" t="s">
        <v>11915</v>
      </c>
    </row>
    <row r="1640" spans="1:2" x14ac:dyDescent="0.25">
      <c r="A1640" t="s">
        <v>11916</v>
      </c>
      <c r="B1640" t="s">
        <v>11917</v>
      </c>
    </row>
    <row r="1641" spans="1:2" x14ac:dyDescent="0.25">
      <c r="A1641" t="s">
        <v>11918</v>
      </c>
      <c r="B1641" t="s">
        <v>11919</v>
      </c>
    </row>
    <row r="1642" spans="1:2" x14ac:dyDescent="0.25">
      <c r="A1642" t="s">
        <v>11920</v>
      </c>
      <c r="B1642" t="s">
        <v>11921</v>
      </c>
    </row>
    <row r="1643" spans="1:2" x14ac:dyDescent="0.25">
      <c r="A1643" t="s">
        <v>11922</v>
      </c>
      <c r="B1643" t="s">
        <v>11923</v>
      </c>
    </row>
    <row r="1644" spans="1:2" x14ac:dyDescent="0.25">
      <c r="A1644" t="s">
        <v>11924</v>
      </c>
      <c r="B1644" t="s">
        <v>11925</v>
      </c>
    </row>
    <row r="1645" spans="1:2" x14ac:dyDescent="0.25">
      <c r="A1645" t="s">
        <v>11926</v>
      </c>
      <c r="B1645" t="s">
        <v>11927</v>
      </c>
    </row>
    <row r="1646" spans="1:2" x14ac:dyDescent="0.25">
      <c r="A1646" t="s">
        <v>11928</v>
      </c>
      <c r="B1646" t="s">
        <v>11929</v>
      </c>
    </row>
    <row r="1647" spans="1:2" x14ac:dyDescent="0.25">
      <c r="A1647" t="s">
        <v>11930</v>
      </c>
      <c r="B1647" t="s">
        <v>11931</v>
      </c>
    </row>
    <row r="1648" spans="1:2" x14ac:dyDescent="0.25">
      <c r="A1648" t="s">
        <v>11932</v>
      </c>
      <c r="B1648" t="s">
        <v>11933</v>
      </c>
    </row>
    <row r="1649" spans="1:2" x14ac:dyDescent="0.25">
      <c r="A1649" t="s">
        <v>11934</v>
      </c>
      <c r="B1649" t="s">
        <v>11935</v>
      </c>
    </row>
    <row r="1650" spans="1:2" x14ac:dyDescent="0.25">
      <c r="A1650" t="s">
        <v>11936</v>
      </c>
      <c r="B1650" t="s">
        <v>11937</v>
      </c>
    </row>
    <row r="1651" spans="1:2" x14ac:dyDescent="0.25">
      <c r="A1651" t="s">
        <v>11938</v>
      </c>
      <c r="B1651" t="s">
        <v>11939</v>
      </c>
    </row>
    <row r="1652" spans="1:2" x14ac:dyDescent="0.25">
      <c r="A1652" t="s">
        <v>11940</v>
      </c>
      <c r="B1652" t="s">
        <v>11941</v>
      </c>
    </row>
    <row r="1653" spans="1:2" x14ac:dyDescent="0.25">
      <c r="A1653" t="s">
        <v>11942</v>
      </c>
      <c r="B1653" t="s">
        <v>11943</v>
      </c>
    </row>
    <row r="1654" spans="1:2" x14ac:dyDescent="0.25">
      <c r="A1654" t="s">
        <v>11944</v>
      </c>
      <c r="B1654" t="s">
        <v>11945</v>
      </c>
    </row>
    <row r="1655" spans="1:2" x14ac:dyDescent="0.25">
      <c r="A1655" t="s">
        <v>11946</v>
      </c>
      <c r="B1655" t="s">
        <v>11947</v>
      </c>
    </row>
    <row r="1656" spans="1:2" x14ac:dyDescent="0.25">
      <c r="A1656" t="s">
        <v>11948</v>
      </c>
      <c r="B1656" t="s">
        <v>11949</v>
      </c>
    </row>
    <row r="1657" spans="1:2" x14ac:dyDescent="0.25">
      <c r="A1657" t="s">
        <v>11950</v>
      </c>
      <c r="B1657" t="s">
        <v>11951</v>
      </c>
    </row>
    <row r="1658" spans="1:2" x14ac:dyDescent="0.25">
      <c r="A1658" t="s">
        <v>11952</v>
      </c>
      <c r="B1658" t="s">
        <v>11953</v>
      </c>
    </row>
    <row r="1659" spans="1:2" x14ac:dyDescent="0.25">
      <c r="A1659" t="s">
        <v>2982</v>
      </c>
      <c r="B1659" t="s">
        <v>11954</v>
      </c>
    </row>
    <row r="1660" spans="1:2" x14ac:dyDescent="0.25">
      <c r="A1660" t="s">
        <v>11955</v>
      </c>
      <c r="B1660" t="s">
        <v>11956</v>
      </c>
    </row>
    <row r="1661" spans="1:2" x14ac:dyDescent="0.25">
      <c r="A1661" t="s">
        <v>11957</v>
      </c>
      <c r="B1661" t="s">
        <v>11958</v>
      </c>
    </row>
    <row r="1662" spans="1:2" x14ac:dyDescent="0.25">
      <c r="A1662" t="s">
        <v>11959</v>
      </c>
      <c r="B1662" t="s">
        <v>11960</v>
      </c>
    </row>
    <row r="1663" spans="1:2" x14ac:dyDescent="0.25">
      <c r="A1663" t="s">
        <v>11961</v>
      </c>
      <c r="B1663" t="s">
        <v>11962</v>
      </c>
    </row>
    <row r="1664" spans="1:2" x14ac:dyDescent="0.25">
      <c r="A1664" t="s">
        <v>11963</v>
      </c>
      <c r="B1664" t="s">
        <v>11964</v>
      </c>
    </row>
    <row r="1665" spans="1:2" x14ac:dyDescent="0.25">
      <c r="A1665" t="s">
        <v>11965</v>
      </c>
      <c r="B1665" t="s">
        <v>11966</v>
      </c>
    </row>
    <row r="1666" spans="1:2" x14ac:dyDescent="0.25">
      <c r="A1666" t="s">
        <v>11967</v>
      </c>
      <c r="B1666" t="s">
        <v>11968</v>
      </c>
    </row>
    <row r="1667" spans="1:2" x14ac:dyDescent="0.25">
      <c r="A1667" t="s">
        <v>11969</v>
      </c>
      <c r="B1667" t="s">
        <v>11970</v>
      </c>
    </row>
    <row r="1668" spans="1:2" x14ac:dyDescent="0.25">
      <c r="A1668" t="s">
        <v>11971</v>
      </c>
      <c r="B1668" t="s">
        <v>11972</v>
      </c>
    </row>
    <row r="1669" spans="1:2" x14ac:dyDescent="0.25">
      <c r="A1669" t="s">
        <v>11973</v>
      </c>
      <c r="B1669" t="s">
        <v>11974</v>
      </c>
    </row>
    <row r="1670" spans="1:2" x14ac:dyDescent="0.25">
      <c r="A1670" t="s">
        <v>11975</v>
      </c>
      <c r="B1670" t="s">
        <v>11976</v>
      </c>
    </row>
    <row r="1671" spans="1:2" x14ac:dyDescent="0.25">
      <c r="A1671" t="s">
        <v>481</v>
      </c>
      <c r="B1671" t="s">
        <v>11977</v>
      </c>
    </row>
    <row r="1672" spans="1:2" x14ac:dyDescent="0.25">
      <c r="A1672" t="s">
        <v>11978</v>
      </c>
      <c r="B1672" t="s">
        <v>11979</v>
      </c>
    </row>
    <row r="1673" spans="1:2" x14ac:dyDescent="0.25">
      <c r="A1673" t="s">
        <v>483</v>
      </c>
      <c r="B1673" t="s">
        <v>11980</v>
      </c>
    </row>
    <row r="1674" spans="1:2" x14ac:dyDescent="0.25">
      <c r="A1674" t="s">
        <v>11981</v>
      </c>
      <c r="B1674" t="s">
        <v>11982</v>
      </c>
    </row>
    <row r="1675" spans="1:2" x14ac:dyDescent="0.25">
      <c r="A1675" t="s">
        <v>11983</v>
      </c>
      <c r="B1675" t="s">
        <v>11984</v>
      </c>
    </row>
    <row r="1676" spans="1:2" x14ac:dyDescent="0.25">
      <c r="A1676" t="s">
        <v>11985</v>
      </c>
      <c r="B1676" t="s">
        <v>11986</v>
      </c>
    </row>
    <row r="1677" spans="1:2" x14ac:dyDescent="0.25">
      <c r="A1677" t="s">
        <v>11987</v>
      </c>
      <c r="B1677" t="s">
        <v>11988</v>
      </c>
    </row>
    <row r="1678" spans="1:2" x14ac:dyDescent="0.25">
      <c r="A1678" t="s">
        <v>11989</v>
      </c>
      <c r="B1678" t="s">
        <v>11990</v>
      </c>
    </row>
    <row r="1679" spans="1:2" x14ac:dyDescent="0.25">
      <c r="A1679" t="s">
        <v>11991</v>
      </c>
      <c r="B1679" t="s">
        <v>11992</v>
      </c>
    </row>
    <row r="1680" spans="1:2" x14ac:dyDescent="0.25">
      <c r="A1680" t="s">
        <v>11993</v>
      </c>
      <c r="B1680" t="s">
        <v>11994</v>
      </c>
    </row>
    <row r="1681" spans="1:2" x14ac:dyDescent="0.25">
      <c r="A1681" t="s">
        <v>11995</v>
      </c>
      <c r="B1681" t="s">
        <v>11996</v>
      </c>
    </row>
    <row r="1682" spans="1:2" x14ac:dyDescent="0.25">
      <c r="A1682" t="s">
        <v>11997</v>
      </c>
      <c r="B1682" t="s">
        <v>11998</v>
      </c>
    </row>
    <row r="1683" spans="1:2" x14ac:dyDescent="0.25">
      <c r="A1683" t="s">
        <v>11999</v>
      </c>
      <c r="B1683" t="s">
        <v>12000</v>
      </c>
    </row>
    <row r="1684" spans="1:2" x14ac:dyDescent="0.25">
      <c r="A1684" t="s">
        <v>12001</v>
      </c>
      <c r="B1684" t="s">
        <v>12002</v>
      </c>
    </row>
    <row r="1685" spans="1:2" x14ac:dyDescent="0.25">
      <c r="A1685" t="s">
        <v>12003</v>
      </c>
      <c r="B1685" t="s">
        <v>12004</v>
      </c>
    </row>
    <row r="1686" spans="1:2" x14ac:dyDescent="0.25">
      <c r="A1686" t="s">
        <v>12005</v>
      </c>
      <c r="B1686" t="s">
        <v>12006</v>
      </c>
    </row>
    <row r="1687" spans="1:2" x14ac:dyDescent="0.25">
      <c r="A1687" t="s">
        <v>12007</v>
      </c>
      <c r="B1687" t="s">
        <v>12008</v>
      </c>
    </row>
    <row r="1688" spans="1:2" x14ac:dyDescent="0.25">
      <c r="A1688" t="s">
        <v>12009</v>
      </c>
      <c r="B1688" t="s">
        <v>12010</v>
      </c>
    </row>
    <row r="1689" spans="1:2" x14ac:dyDescent="0.25">
      <c r="A1689" t="s">
        <v>12011</v>
      </c>
      <c r="B1689" t="s">
        <v>12012</v>
      </c>
    </row>
    <row r="1690" spans="1:2" x14ac:dyDescent="0.25">
      <c r="A1690" t="s">
        <v>12013</v>
      </c>
      <c r="B1690" t="s">
        <v>12014</v>
      </c>
    </row>
    <row r="1691" spans="1:2" x14ac:dyDescent="0.25">
      <c r="A1691" t="s">
        <v>12015</v>
      </c>
      <c r="B1691" t="s">
        <v>12016</v>
      </c>
    </row>
    <row r="1692" spans="1:2" x14ac:dyDescent="0.25">
      <c r="A1692" t="s">
        <v>12017</v>
      </c>
      <c r="B1692" t="s">
        <v>12018</v>
      </c>
    </row>
    <row r="1693" spans="1:2" x14ac:dyDescent="0.25">
      <c r="A1693" t="s">
        <v>12019</v>
      </c>
      <c r="B1693" t="s">
        <v>12020</v>
      </c>
    </row>
    <row r="1694" spans="1:2" x14ac:dyDescent="0.25">
      <c r="A1694" t="s">
        <v>12021</v>
      </c>
      <c r="B1694" t="s">
        <v>12022</v>
      </c>
    </row>
    <row r="1695" spans="1:2" x14ac:dyDescent="0.25">
      <c r="A1695" t="s">
        <v>12023</v>
      </c>
      <c r="B1695" t="s">
        <v>12024</v>
      </c>
    </row>
    <row r="1696" spans="1:2" x14ac:dyDescent="0.25">
      <c r="A1696" t="s">
        <v>12025</v>
      </c>
      <c r="B1696" t="s">
        <v>12026</v>
      </c>
    </row>
    <row r="1697" spans="1:2" x14ac:dyDescent="0.25">
      <c r="A1697" t="s">
        <v>12027</v>
      </c>
      <c r="B1697" t="s">
        <v>12028</v>
      </c>
    </row>
    <row r="1698" spans="1:2" x14ac:dyDescent="0.25">
      <c r="A1698" t="s">
        <v>12029</v>
      </c>
      <c r="B1698" t="s">
        <v>12030</v>
      </c>
    </row>
    <row r="1699" spans="1:2" x14ac:dyDescent="0.25">
      <c r="A1699" t="s">
        <v>12031</v>
      </c>
      <c r="B1699" t="s">
        <v>12032</v>
      </c>
    </row>
    <row r="1700" spans="1:2" x14ac:dyDescent="0.25">
      <c r="A1700" t="s">
        <v>12033</v>
      </c>
      <c r="B1700" t="s">
        <v>12034</v>
      </c>
    </row>
    <row r="1701" spans="1:2" x14ac:dyDescent="0.25">
      <c r="A1701" t="s">
        <v>12035</v>
      </c>
      <c r="B1701" t="s">
        <v>12036</v>
      </c>
    </row>
    <row r="1702" spans="1:2" x14ac:dyDescent="0.25">
      <c r="A1702" t="s">
        <v>12037</v>
      </c>
      <c r="B1702" t="s">
        <v>12038</v>
      </c>
    </row>
    <row r="1703" spans="1:2" x14ac:dyDescent="0.25">
      <c r="A1703" t="s">
        <v>12039</v>
      </c>
      <c r="B1703" t="s">
        <v>12040</v>
      </c>
    </row>
    <row r="1704" spans="1:2" x14ac:dyDescent="0.25">
      <c r="A1704" t="s">
        <v>12041</v>
      </c>
      <c r="B1704" t="s">
        <v>12042</v>
      </c>
    </row>
    <row r="1705" spans="1:2" x14ac:dyDescent="0.25">
      <c r="A1705" t="s">
        <v>12043</v>
      </c>
      <c r="B1705" t="s">
        <v>12044</v>
      </c>
    </row>
    <row r="1706" spans="1:2" x14ac:dyDescent="0.25">
      <c r="A1706" t="s">
        <v>12045</v>
      </c>
      <c r="B1706" t="s">
        <v>12046</v>
      </c>
    </row>
    <row r="1707" spans="1:2" x14ac:dyDescent="0.25">
      <c r="A1707" t="s">
        <v>12047</v>
      </c>
      <c r="B1707" t="s">
        <v>12048</v>
      </c>
    </row>
    <row r="1708" spans="1:2" x14ac:dyDescent="0.25">
      <c r="A1708" t="s">
        <v>12049</v>
      </c>
      <c r="B1708" t="s">
        <v>12050</v>
      </c>
    </row>
    <row r="1709" spans="1:2" x14ac:dyDescent="0.25">
      <c r="A1709" t="s">
        <v>12051</v>
      </c>
      <c r="B1709" t="s">
        <v>12052</v>
      </c>
    </row>
    <row r="1710" spans="1:2" x14ac:dyDescent="0.25">
      <c r="A1710" t="s">
        <v>1769</v>
      </c>
      <c r="B1710" t="s">
        <v>12053</v>
      </c>
    </row>
    <row r="1711" spans="1:2" x14ac:dyDescent="0.25">
      <c r="A1711" t="s">
        <v>12054</v>
      </c>
      <c r="B1711" t="s">
        <v>12055</v>
      </c>
    </row>
    <row r="1712" spans="1:2" x14ac:dyDescent="0.25">
      <c r="A1712" t="s">
        <v>12056</v>
      </c>
      <c r="B1712" t="s">
        <v>12057</v>
      </c>
    </row>
    <row r="1713" spans="1:2" x14ac:dyDescent="0.25">
      <c r="A1713" t="s">
        <v>12058</v>
      </c>
      <c r="B1713" t="s">
        <v>12059</v>
      </c>
    </row>
    <row r="1714" spans="1:2" x14ac:dyDescent="0.25">
      <c r="A1714" t="s">
        <v>12060</v>
      </c>
      <c r="B1714" t="s">
        <v>12061</v>
      </c>
    </row>
    <row r="1715" spans="1:2" x14ac:dyDescent="0.25">
      <c r="A1715" t="s">
        <v>12062</v>
      </c>
      <c r="B1715" t="s">
        <v>12063</v>
      </c>
    </row>
    <row r="1716" spans="1:2" x14ac:dyDescent="0.25">
      <c r="A1716" t="s">
        <v>12064</v>
      </c>
      <c r="B1716" t="s">
        <v>12065</v>
      </c>
    </row>
    <row r="1717" spans="1:2" x14ac:dyDescent="0.25">
      <c r="A1717" t="s">
        <v>12066</v>
      </c>
      <c r="B1717" t="s">
        <v>12067</v>
      </c>
    </row>
    <row r="1718" spans="1:2" x14ac:dyDescent="0.25">
      <c r="A1718" t="s">
        <v>12068</v>
      </c>
      <c r="B1718" t="s">
        <v>12069</v>
      </c>
    </row>
    <row r="1719" spans="1:2" x14ac:dyDescent="0.25">
      <c r="A1719" t="s">
        <v>12070</v>
      </c>
      <c r="B1719" t="s">
        <v>12071</v>
      </c>
    </row>
    <row r="1720" spans="1:2" x14ac:dyDescent="0.25">
      <c r="A1720" t="s">
        <v>2843</v>
      </c>
      <c r="B1720" t="s">
        <v>12072</v>
      </c>
    </row>
    <row r="1721" spans="1:2" x14ac:dyDescent="0.25">
      <c r="A1721" t="s">
        <v>12073</v>
      </c>
      <c r="B1721" t="s">
        <v>12074</v>
      </c>
    </row>
    <row r="1722" spans="1:2" x14ac:dyDescent="0.25">
      <c r="A1722" t="s">
        <v>12075</v>
      </c>
      <c r="B1722" t="s">
        <v>12076</v>
      </c>
    </row>
    <row r="1723" spans="1:2" x14ac:dyDescent="0.25">
      <c r="A1723" t="s">
        <v>12077</v>
      </c>
      <c r="B1723" t="s">
        <v>12078</v>
      </c>
    </row>
    <row r="1724" spans="1:2" x14ac:dyDescent="0.25">
      <c r="A1724" t="s">
        <v>12079</v>
      </c>
      <c r="B1724" t="s">
        <v>12080</v>
      </c>
    </row>
    <row r="1725" spans="1:2" x14ac:dyDescent="0.25">
      <c r="A1725" t="s">
        <v>12081</v>
      </c>
      <c r="B1725" t="s">
        <v>12082</v>
      </c>
    </row>
    <row r="1726" spans="1:2" x14ac:dyDescent="0.25">
      <c r="A1726" t="s">
        <v>12083</v>
      </c>
      <c r="B1726" t="s">
        <v>12084</v>
      </c>
    </row>
    <row r="1727" spans="1:2" x14ac:dyDescent="0.25">
      <c r="A1727" t="s">
        <v>12085</v>
      </c>
      <c r="B1727" t="s">
        <v>12086</v>
      </c>
    </row>
    <row r="1728" spans="1:2" x14ac:dyDescent="0.25">
      <c r="A1728" t="s">
        <v>12087</v>
      </c>
      <c r="B1728" t="s">
        <v>12088</v>
      </c>
    </row>
    <row r="1729" spans="1:2" x14ac:dyDescent="0.25">
      <c r="A1729" t="s">
        <v>12089</v>
      </c>
      <c r="B1729" t="s">
        <v>12090</v>
      </c>
    </row>
    <row r="1730" spans="1:2" x14ac:dyDescent="0.25">
      <c r="A1730" t="s">
        <v>12091</v>
      </c>
      <c r="B1730" t="s">
        <v>12092</v>
      </c>
    </row>
    <row r="1731" spans="1:2" x14ac:dyDescent="0.25">
      <c r="A1731" t="s">
        <v>12093</v>
      </c>
      <c r="B1731" t="s">
        <v>12094</v>
      </c>
    </row>
    <row r="1732" spans="1:2" x14ac:dyDescent="0.25">
      <c r="A1732" t="s">
        <v>12095</v>
      </c>
      <c r="B1732" t="s">
        <v>12096</v>
      </c>
    </row>
    <row r="1733" spans="1:2" x14ac:dyDescent="0.25">
      <c r="A1733" t="s">
        <v>12097</v>
      </c>
      <c r="B1733" t="s">
        <v>12098</v>
      </c>
    </row>
    <row r="1734" spans="1:2" x14ac:dyDescent="0.25">
      <c r="A1734" t="s">
        <v>12099</v>
      </c>
      <c r="B1734" t="s">
        <v>12100</v>
      </c>
    </row>
    <row r="1735" spans="1:2" x14ac:dyDescent="0.25">
      <c r="A1735" t="s">
        <v>12101</v>
      </c>
      <c r="B1735" t="s">
        <v>12102</v>
      </c>
    </row>
    <row r="1736" spans="1:2" x14ac:dyDescent="0.25">
      <c r="A1736" t="s">
        <v>12103</v>
      </c>
      <c r="B1736" t="s">
        <v>12104</v>
      </c>
    </row>
    <row r="1737" spans="1:2" x14ac:dyDescent="0.25">
      <c r="A1737" t="s">
        <v>12105</v>
      </c>
      <c r="B1737" t="s">
        <v>12106</v>
      </c>
    </row>
    <row r="1738" spans="1:2" x14ac:dyDescent="0.25">
      <c r="A1738" t="s">
        <v>848</v>
      </c>
      <c r="B1738" t="s">
        <v>12107</v>
      </c>
    </row>
    <row r="1739" spans="1:2" x14ac:dyDescent="0.25">
      <c r="A1739" t="s">
        <v>12108</v>
      </c>
      <c r="B1739" t="s">
        <v>12109</v>
      </c>
    </row>
    <row r="1740" spans="1:2" x14ac:dyDescent="0.25">
      <c r="A1740" t="s">
        <v>12110</v>
      </c>
      <c r="B1740" t="s">
        <v>12111</v>
      </c>
    </row>
    <row r="1741" spans="1:2" x14ac:dyDescent="0.25">
      <c r="A1741" t="s">
        <v>12112</v>
      </c>
      <c r="B1741" t="s">
        <v>12113</v>
      </c>
    </row>
    <row r="1742" spans="1:2" x14ac:dyDescent="0.25">
      <c r="A1742" t="s">
        <v>12114</v>
      </c>
      <c r="B1742" t="s">
        <v>12115</v>
      </c>
    </row>
    <row r="1743" spans="1:2" x14ac:dyDescent="0.25">
      <c r="A1743" t="s">
        <v>12116</v>
      </c>
      <c r="B1743" t="s">
        <v>12117</v>
      </c>
    </row>
    <row r="1744" spans="1:2" x14ac:dyDescent="0.25">
      <c r="A1744" t="s">
        <v>12118</v>
      </c>
      <c r="B1744" t="s">
        <v>12119</v>
      </c>
    </row>
    <row r="1745" spans="1:2" x14ac:dyDescent="0.25">
      <c r="A1745" t="s">
        <v>12120</v>
      </c>
      <c r="B1745" t="s">
        <v>12121</v>
      </c>
    </row>
    <row r="1746" spans="1:2" x14ac:dyDescent="0.25">
      <c r="A1746" t="s">
        <v>485</v>
      </c>
      <c r="B1746" t="s">
        <v>12122</v>
      </c>
    </row>
    <row r="1747" spans="1:2" x14ac:dyDescent="0.25">
      <c r="A1747" t="s">
        <v>12123</v>
      </c>
      <c r="B1747" t="s">
        <v>12124</v>
      </c>
    </row>
    <row r="1748" spans="1:2" x14ac:dyDescent="0.25">
      <c r="A1748" t="s">
        <v>12125</v>
      </c>
      <c r="B1748" t="s">
        <v>12126</v>
      </c>
    </row>
    <row r="1749" spans="1:2" x14ac:dyDescent="0.25">
      <c r="A1749" t="s">
        <v>12127</v>
      </c>
      <c r="B1749" t="s">
        <v>12128</v>
      </c>
    </row>
    <row r="1750" spans="1:2" x14ac:dyDescent="0.25">
      <c r="A1750" t="s">
        <v>12129</v>
      </c>
      <c r="B1750" t="s">
        <v>12130</v>
      </c>
    </row>
    <row r="1751" spans="1:2" x14ac:dyDescent="0.25">
      <c r="A1751" t="s">
        <v>487</v>
      </c>
      <c r="B1751" t="s">
        <v>12131</v>
      </c>
    </row>
    <row r="1752" spans="1:2" x14ac:dyDescent="0.25">
      <c r="A1752" t="s">
        <v>52</v>
      </c>
      <c r="B1752" t="s">
        <v>12132</v>
      </c>
    </row>
    <row r="1753" spans="1:2" x14ac:dyDescent="0.25">
      <c r="A1753" t="s">
        <v>12133</v>
      </c>
      <c r="B1753" t="s">
        <v>12134</v>
      </c>
    </row>
    <row r="1754" spans="1:2" x14ac:dyDescent="0.25">
      <c r="A1754" t="s">
        <v>12135</v>
      </c>
      <c r="B1754" t="s">
        <v>12136</v>
      </c>
    </row>
    <row r="1755" spans="1:2" x14ac:dyDescent="0.25">
      <c r="A1755" t="s">
        <v>12137</v>
      </c>
      <c r="B1755" t="s">
        <v>12138</v>
      </c>
    </row>
    <row r="1756" spans="1:2" x14ac:dyDescent="0.25">
      <c r="A1756" t="s">
        <v>12139</v>
      </c>
      <c r="B1756" t="s">
        <v>12140</v>
      </c>
    </row>
    <row r="1757" spans="1:2" x14ac:dyDescent="0.25">
      <c r="A1757" t="s">
        <v>12141</v>
      </c>
      <c r="B1757" t="s">
        <v>12142</v>
      </c>
    </row>
    <row r="1758" spans="1:2" x14ac:dyDescent="0.25">
      <c r="A1758" t="s">
        <v>54</v>
      </c>
      <c r="B1758" t="s">
        <v>12143</v>
      </c>
    </row>
    <row r="1759" spans="1:2" x14ac:dyDescent="0.25">
      <c r="A1759" t="s">
        <v>12144</v>
      </c>
      <c r="B1759" t="s">
        <v>12145</v>
      </c>
    </row>
    <row r="1760" spans="1:2" x14ac:dyDescent="0.25">
      <c r="A1760" t="s">
        <v>12146</v>
      </c>
      <c r="B1760" t="s">
        <v>12147</v>
      </c>
    </row>
    <row r="1761" spans="1:2" x14ac:dyDescent="0.25">
      <c r="A1761" t="s">
        <v>12148</v>
      </c>
      <c r="B1761" t="s">
        <v>12149</v>
      </c>
    </row>
    <row r="1762" spans="1:2" x14ac:dyDescent="0.25">
      <c r="A1762" t="s">
        <v>12150</v>
      </c>
      <c r="B1762" t="s">
        <v>12151</v>
      </c>
    </row>
    <row r="1763" spans="1:2" x14ac:dyDescent="0.25">
      <c r="A1763" t="s">
        <v>12152</v>
      </c>
      <c r="B1763" t="s">
        <v>12153</v>
      </c>
    </row>
    <row r="1764" spans="1:2" x14ac:dyDescent="0.25">
      <c r="A1764" t="s">
        <v>358</v>
      </c>
      <c r="B1764" t="s">
        <v>12154</v>
      </c>
    </row>
    <row r="1765" spans="1:2" x14ac:dyDescent="0.25">
      <c r="A1765" t="s">
        <v>12155</v>
      </c>
      <c r="B1765" t="s">
        <v>12156</v>
      </c>
    </row>
    <row r="1766" spans="1:2" x14ac:dyDescent="0.25">
      <c r="A1766" t="s">
        <v>12157</v>
      </c>
      <c r="B1766" t="s">
        <v>12158</v>
      </c>
    </row>
    <row r="1767" spans="1:2" x14ac:dyDescent="0.25">
      <c r="A1767" t="s">
        <v>12159</v>
      </c>
      <c r="B1767" t="s">
        <v>12160</v>
      </c>
    </row>
    <row r="1768" spans="1:2" x14ac:dyDescent="0.25">
      <c r="A1768" t="s">
        <v>12161</v>
      </c>
      <c r="B1768" t="s">
        <v>12162</v>
      </c>
    </row>
    <row r="1769" spans="1:2" x14ac:dyDescent="0.25">
      <c r="A1769" t="s">
        <v>12163</v>
      </c>
      <c r="B1769" t="s">
        <v>12164</v>
      </c>
    </row>
    <row r="1770" spans="1:2" x14ac:dyDescent="0.25">
      <c r="A1770" t="s">
        <v>12165</v>
      </c>
      <c r="B1770" t="s">
        <v>12166</v>
      </c>
    </row>
    <row r="1771" spans="1:2" x14ac:dyDescent="0.25">
      <c r="A1771" t="s">
        <v>12167</v>
      </c>
      <c r="B1771" t="s">
        <v>12168</v>
      </c>
    </row>
    <row r="1772" spans="1:2" x14ac:dyDescent="0.25">
      <c r="A1772" t="s">
        <v>491</v>
      </c>
      <c r="B1772" t="s">
        <v>12169</v>
      </c>
    </row>
    <row r="1773" spans="1:2" x14ac:dyDescent="0.25">
      <c r="A1773" t="s">
        <v>2365</v>
      </c>
      <c r="B1773" t="s">
        <v>12170</v>
      </c>
    </row>
    <row r="1774" spans="1:2" x14ac:dyDescent="0.25">
      <c r="A1774" t="s">
        <v>12171</v>
      </c>
      <c r="B1774" t="s">
        <v>12172</v>
      </c>
    </row>
    <row r="1775" spans="1:2" x14ac:dyDescent="0.25">
      <c r="A1775" t="s">
        <v>12173</v>
      </c>
      <c r="B1775" t="s">
        <v>12174</v>
      </c>
    </row>
    <row r="1776" spans="1:2" x14ac:dyDescent="0.25">
      <c r="A1776" t="s">
        <v>493</v>
      </c>
      <c r="B1776" t="s">
        <v>12175</v>
      </c>
    </row>
    <row r="1777" spans="1:2" x14ac:dyDescent="0.25">
      <c r="A1777" t="s">
        <v>12176</v>
      </c>
      <c r="B1777" t="s">
        <v>12177</v>
      </c>
    </row>
    <row r="1778" spans="1:2" x14ac:dyDescent="0.25">
      <c r="A1778" t="s">
        <v>12178</v>
      </c>
      <c r="B1778" t="s">
        <v>12179</v>
      </c>
    </row>
    <row r="1779" spans="1:2" x14ac:dyDescent="0.25">
      <c r="A1779" t="s">
        <v>12180</v>
      </c>
      <c r="B1779" t="s">
        <v>12181</v>
      </c>
    </row>
    <row r="1780" spans="1:2" x14ac:dyDescent="0.25">
      <c r="A1780" t="s">
        <v>12182</v>
      </c>
      <c r="B1780" t="s">
        <v>12183</v>
      </c>
    </row>
    <row r="1781" spans="1:2" x14ac:dyDescent="0.25">
      <c r="A1781" t="s">
        <v>12184</v>
      </c>
      <c r="B1781" t="s">
        <v>12185</v>
      </c>
    </row>
    <row r="1782" spans="1:2" x14ac:dyDescent="0.25">
      <c r="A1782" t="s">
        <v>12186</v>
      </c>
      <c r="B1782" t="s">
        <v>12187</v>
      </c>
    </row>
    <row r="1783" spans="1:2" x14ac:dyDescent="0.25">
      <c r="A1783" t="s">
        <v>56</v>
      </c>
      <c r="B1783" t="s">
        <v>12188</v>
      </c>
    </row>
    <row r="1784" spans="1:2" x14ac:dyDescent="0.25">
      <c r="A1784" t="s">
        <v>12189</v>
      </c>
      <c r="B1784" t="s">
        <v>12190</v>
      </c>
    </row>
    <row r="1785" spans="1:2" x14ac:dyDescent="0.25">
      <c r="A1785" t="s">
        <v>12191</v>
      </c>
      <c r="B1785" t="s">
        <v>12192</v>
      </c>
    </row>
    <row r="1786" spans="1:2" x14ac:dyDescent="0.25">
      <c r="A1786" t="s">
        <v>12193</v>
      </c>
      <c r="B1786" t="s">
        <v>12194</v>
      </c>
    </row>
    <row r="1787" spans="1:2" x14ac:dyDescent="0.25">
      <c r="A1787" t="s">
        <v>12195</v>
      </c>
      <c r="B1787" t="s">
        <v>12196</v>
      </c>
    </row>
    <row r="1788" spans="1:2" x14ac:dyDescent="0.25">
      <c r="A1788" t="s">
        <v>12197</v>
      </c>
      <c r="B1788" t="s">
        <v>12198</v>
      </c>
    </row>
    <row r="1789" spans="1:2" x14ac:dyDescent="0.25">
      <c r="A1789" t="s">
        <v>12199</v>
      </c>
      <c r="B1789" t="s">
        <v>12200</v>
      </c>
    </row>
    <row r="1790" spans="1:2" x14ac:dyDescent="0.25">
      <c r="A1790" t="s">
        <v>12201</v>
      </c>
      <c r="B1790" t="s">
        <v>12202</v>
      </c>
    </row>
    <row r="1791" spans="1:2" x14ac:dyDescent="0.25">
      <c r="A1791" t="s">
        <v>12203</v>
      </c>
      <c r="B1791" t="s">
        <v>12204</v>
      </c>
    </row>
    <row r="1792" spans="1:2" x14ac:dyDescent="0.25">
      <c r="A1792" t="s">
        <v>12205</v>
      </c>
      <c r="B1792" t="s">
        <v>12206</v>
      </c>
    </row>
    <row r="1793" spans="1:2" x14ac:dyDescent="0.25">
      <c r="A1793" t="s">
        <v>12207</v>
      </c>
      <c r="B1793" t="s">
        <v>12208</v>
      </c>
    </row>
    <row r="1794" spans="1:2" x14ac:dyDescent="0.25">
      <c r="A1794" t="s">
        <v>12209</v>
      </c>
      <c r="B1794" t="s">
        <v>12210</v>
      </c>
    </row>
    <row r="1795" spans="1:2" x14ac:dyDescent="0.25">
      <c r="A1795" t="s">
        <v>12211</v>
      </c>
      <c r="B1795" t="s">
        <v>12212</v>
      </c>
    </row>
    <row r="1796" spans="1:2" x14ac:dyDescent="0.25">
      <c r="A1796" t="s">
        <v>12213</v>
      </c>
      <c r="B1796" t="s">
        <v>12214</v>
      </c>
    </row>
    <row r="1797" spans="1:2" x14ac:dyDescent="0.25">
      <c r="A1797" t="s">
        <v>12215</v>
      </c>
      <c r="B1797" t="s">
        <v>12216</v>
      </c>
    </row>
    <row r="1798" spans="1:2" x14ac:dyDescent="0.25">
      <c r="A1798" t="s">
        <v>12217</v>
      </c>
      <c r="B1798" t="s">
        <v>12218</v>
      </c>
    </row>
    <row r="1799" spans="1:2" x14ac:dyDescent="0.25">
      <c r="A1799" t="s">
        <v>12219</v>
      </c>
      <c r="B1799" t="s">
        <v>12220</v>
      </c>
    </row>
    <row r="1800" spans="1:2" x14ac:dyDescent="0.25">
      <c r="A1800" t="s">
        <v>12221</v>
      </c>
      <c r="B1800" t="s">
        <v>12222</v>
      </c>
    </row>
    <row r="1801" spans="1:2" x14ac:dyDescent="0.25">
      <c r="A1801" t="s">
        <v>12223</v>
      </c>
      <c r="B1801" t="s">
        <v>12224</v>
      </c>
    </row>
    <row r="1802" spans="1:2" x14ac:dyDescent="0.25">
      <c r="A1802" t="s">
        <v>12225</v>
      </c>
      <c r="B1802" t="s">
        <v>12226</v>
      </c>
    </row>
    <row r="1803" spans="1:2" x14ac:dyDescent="0.25">
      <c r="A1803" t="s">
        <v>12227</v>
      </c>
      <c r="B1803" t="s">
        <v>12228</v>
      </c>
    </row>
    <row r="1804" spans="1:2" x14ac:dyDescent="0.25">
      <c r="A1804" t="s">
        <v>12229</v>
      </c>
      <c r="B1804" t="s">
        <v>12230</v>
      </c>
    </row>
    <row r="1805" spans="1:2" x14ac:dyDescent="0.25">
      <c r="A1805" t="s">
        <v>12231</v>
      </c>
      <c r="B1805" t="s">
        <v>12232</v>
      </c>
    </row>
    <row r="1806" spans="1:2" x14ac:dyDescent="0.25">
      <c r="A1806" t="s">
        <v>12233</v>
      </c>
      <c r="B1806" t="s">
        <v>12234</v>
      </c>
    </row>
    <row r="1807" spans="1:2" x14ac:dyDescent="0.25">
      <c r="A1807" t="s">
        <v>12235</v>
      </c>
      <c r="B1807" t="s">
        <v>12236</v>
      </c>
    </row>
    <row r="1808" spans="1:2" x14ac:dyDescent="0.25">
      <c r="A1808" t="s">
        <v>12237</v>
      </c>
      <c r="B1808" t="s">
        <v>12238</v>
      </c>
    </row>
    <row r="1809" spans="1:2" x14ac:dyDescent="0.25">
      <c r="A1809" t="s">
        <v>12239</v>
      </c>
      <c r="B1809" t="s">
        <v>12240</v>
      </c>
    </row>
    <row r="1810" spans="1:2" x14ac:dyDescent="0.25">
      <c r="A1810" t="s">
        <v>12241</v>
      </c>
      <c r="B1810" t="s">
        <v>12242</v>
      </c>
    </row>
    <row r="1811" spans="1:2" x14ac:dyDescent="0.25">
      <c r="A1811" t="s">
        <v>12243</v>
      </c>
      <c r="B1811" t="s">
        <v>12244</v>
      </c>
    </row>
    <row r="1812" spans="1:2" x14ac:dyDescent="0.25">
      <c r="A1812" t="s">
        <v>12245</v>
      </c>
      <c r="B1812" t="s">
        <v>12246</v>
      </c>
    </row>
    <row r="1813" spans="1:2" x14ac:dyDescent="0.25">
      <c r="A1813" t="s">
        <v>12247</v>
      </c>
      <c r="B1813" t="s">
        <v>12248</v>
      </c>
    </row>
    <row r="1814" spans="1:2" x14ac:dyDescent="0.25">
      <c r="A1814" t="s">
        <v>12249</v>
      </c>
      <c r="B1814" t="s">
        <v>12250</v>
      </c>
    </row>
    <row r="1815" spans="1:2" x14ac:dyDescent="0.25">
      <c r="A1815" t="s">
        <v>12251</v>
      </c>
      <c r="B1815" t="s">
        <v>12252</v>
      </c>
    </row>
    <row r="1816" spans="1:2" x14ac:dyDescent="0.25">
      <c r="A1816" t="s">
        <v>12253</v>
      </c>
      <c r="B1816" t="s">
        <v>12254</v>
      </c>
    </row>
    <row r="1817" spans="1:2" x14ac:dyDescent="0.25">
      <c r="A1817" t="s">
        <v>12255</v>
      </c>
      <c r="B1817" t="s">
        <v>12256</v>
      </c>
    </row>
    <row r="1818" spans="1:2" x14ac:dyDescent="0.25">
      <c r="A1818" t="s">
        <v>12257</v>
      </c>
      <c r="B1818" t="s">
        <v>12258</v>
      </c>
    </row>
    <row r="1819" spans="1:2" x14ac:dyDescent="0.25">
      <c r="A1819" t="s">
        <v>12259</v>
      </c>
      <c r="B1819" t="s">
        <v>12260</v>
      </c>
    </row>
    <row r="1820" spans="1:2" x14ac:dyDescent="0.25">
      <c r="A1820" t="s">
        <v>12261</v>
      </c>
      <c r="B1820" t="s">
        <v>12262</v>
      </c>
    </row>
    <row r="1821" spans="1:2" x14ac:dyDescent="0.25">
      <c r="A1821" t="s">
        <v>12263</v>
      </c>
      <c r="B1821" t="s">
        <v>12264</v>
      </c>
    </row>
    <row r="1822" spans="1:2" x14ac:dyDescent="0.25">
      <c r="A1822" t="s">
        <v>12265</v>
      </c>
      <c r="B1822" t="s">
        <v>12266</v>
      </c>
    </row>
    <row r="1823" spans="1:2" x14ac:dyDescent="0.25">
      <c r="A1823" t="s">
        <v>12267</v>
      </c>
      <c r="B1823" t="s">
        <v>12268</v>
      </c>
    </row>
    <row r="1824" spans="1:2" x14ac:dyDescent="0.25">
      <c r="A1824" t="s">
        <v>12269</v>
      </c>
      <c r="B1824" t="s">
        <v>12270</v>
      </c>
    </row>
    <row r="1825" spans="1:2" x14ac:dyDescent="0.25">
      <c r="A1825" t="s">
        <v>12271</v>
      </c>
      <c r="B1825" t="s">
        <v>12272</v>
      </c>
    </row>
    <row r="1826" spans="1:2" x14ac:dyDescent="0.25">
      <c r="A1826" t="s">
        <v>12273</v>
      </c>
      <c r="B1826" t="s">
        <v>12274</v>
      </c>
    </row>
    <row r="1827" spans="1:2" x14ac:dyDescent="0.25">
      <c r="A1827" t="s">
        <v>12275</v>
      </c>
      <c r="B1827" t="s">
        <v>12276</v>
      </c>
    </row>
    <row r="1828" spans="1:2" x14ac:dyDescent="0.25">
      <c r="A1828" t="s">
        <v>12277</v>
      </c>
      <c r="B1828" t="s">
        <v>12278</v>
      </c>
    </row>
    <row r="1829" spans="1:2" x14ac:dyDescent="0.25">
      <c r="A1829" t="s">
        <v>12279</v>
      </c>
      <c r="B1829" t="s">
        <v>12280</v>
      </c>
    </row>
    <row r="1830" spans="1:2" x14ac:dyDescent="0.25">
      <c r="A1830" t="s">
        <v>12281</v>
      </c>
      <c r="B1830" t="s">
        <v>12282</v>
      </c>
    </row>
    <row r="1831" spans="1:2" x14ac:dyDescent="0.25">
      <c r="A1831" t="s">
        <v>12283</v>
      </c>
      <c r="B1831" t="s">
        <v>12284</v>
      </c>
    </row>
    <row r="1832" spans="1:2" x14ac:dyDescent="0.25">
      <c r="A1832" t="s">
        <v>12285</v>
      </c>
      <c r="B1832" t="s">
        <v>12286</v>
      </c>
    </row>
    <row r="1833" spans="1:2" x14ac:dyDescent="0.25">
      <c r="A1833" t="s">
        <v>12287</v>
      </c>
      <c r="B1833" t="s">
        <v>12288</v>
      </c>
    </row>
    <row r="1834" spans="1:2" x14ac:dyDescent="0.25">
      <c r="A1834" t="s">
        <v>12289</v>
      </c>
      <c r="B1834" t="s">
        <v>12290</v>
      </c>
    </row>
    <row r="1835" spans="1:2" x14ac:dyDescent="0.25">
      <c r="A1835" t="s">
        <v>12291</v>
      </c>
      <c r="B1835" t="s">
        <v>12292</v>
      </c>
    </row>
    <row r="1836" spans="1:2" x14ac:dyDescent="0.25">
      <c r="A1836" t="s">
        <v>2368</v>
      </c>
      <c r="B1836" t="s">
        <v>12293</v>
      </c>
    </row>
    <row r="1837" spans="1:2" x14ac:dyDescent="0.25">
      <c r="A1837" t="s">
        <v>12294</v>
      </c>
      <c r="B1837" t="s">
        <v>12295</v>
      </c>
    </row>
    <row r="1838" spans="1:2" x14ac:dyDescent="0.25">
      <c r="A1838" t="s">
        <v>57</v>
      </c>
      <c r="B1838" t="s">
        <v>12296</v>
      </c>
    </row>
    <row r="1839" spans="1:2" x14ac:dyDescent="0.25">
      <c r="A1839" t="s">
        <v>12297</v>
      </c>
      <c r="B1839" t="s">
        <v>12298</v>
      </c>
    </row>
    <row r="1840" spans="1:2" x14ac:dyDescent="0.25">
      <c r="A1840" t="s">
        <v>1778</v>
      </c>
      <c r="B1840" t="s">
        <v>12299</v>
      </c>
    </row>
    <row r="1841" spans="1:2" x14ac:dyDescent="0.25">
      <c r="A1841" t="s">
        <v>12300</v>
      </c>
      <c r="B1841" t="s">
        <v>12301</v>
      </c>
    </row>
    <row r="1842" spans="1:2" x14ac:dyDescent="0.25">
      <c r="A1842" t="s">
        <v>12302</v>
      </c>
      <c r="B1842" t="s">
        <v>12303</v>
      </c>
    </row>
    <row r="1843" spans="1:2" x14ac:dyDescent="0.25">
      <c r="A1843" t="s">
        <v>12304</v>
      </c>
      <c r="B1843" t="s">
        <v>12305</v>
      </c>
    </row>
    <row r="1844" spans="1:2" x14ac:dyDescent="0.25">
      <c r="A1844" t="s">
        <v>12306</v>
      </c>
      <c r="B1844" t="s">
        <v>12307</v>
      </c>
    </row>
    <row r="1845" spans="1:2" x14ac:dyDescent="0.25">
      <c r="A1845" t="s">
        <v>12308</v>
      </c>
      <c r="B1845" t="s">
        <v>12309</v>
      </c>
    </row>
    <row r="1846" spans="1:2" x14ac:dyDescent="0.25">
      <c r="A1846" t="s">
        <v>12310</v>
      </c>
      <c r="B1846" t="s">
        <v>12311</v>
      </c>
    </row>
    <row r="1847" spans="1:2" x14ac:dyDescent="0.25">
      <c r="A1847" t="s">
        <v>12312</v>
      </c>
      <c r="B1847" t="s">
        <v>12313</v>
      </c>
    </row>
    <row r="1848" spans="1:2" x14ac:dyDescent="0.25">
      <c r="A1848" t="s">
        <v>12314</v>
      </c>
      <c r="B1848" t="s">
        <v>12315</v>
      </c>
    </row>
    <row r="1849" spans="1:2" x14ac:dyDescent="0.25">
      <c r="A1849" t="s">
        <v>12316</v>
      </c>
      <c r="B1849" t="s">
        <v>12317</v>
      </c>
    </row>
    <row r="1850" spans="1:2" x14ac:dyDescent="0.25">
      <c r="A1850" t="s">
        <v>12318</v>
      </c>
      <c r="B1850" t="s">
        <v>12319</v>
      </c>
    </row>
    <row r="1851" spans="1:2" x14ac:dyDescent="0.25">
      <c r="A1851" t="s">
        <v>12320</v>
      </c>
      <c r="B1851" t="s">
        <v>12321</v>
      </c>
    </row>
    <row r="1852" spans="1:2" x14ac:dyDescent="0.25">
      <c r="A1852" t="s">
        <v>12322</v>
      </c>
      <c r="B1852" t="s">
        <v>12323</v>
      </c>
    </row>
    <row r="1853" spans="1:2" x14ac:dyDescent="0.25">
      <c r="A1853" t="s">
        <v>12324</v>
      </c>
      <c r="B1853" t="s">
        <v>12325</v>
      </c>
    </row>
    <row r="1854" spans="1:2" x14ac:dyDescent="0.25">
      <c r="A1854" t="s">
        <v>12326</v>
      </c>
      <c r="B1854" t="s">
        <v>12327</v>
      </c>
    </row>
    <row r="1855" spans="1:2" x14ac:dyDescent="0.25">
      <c r="A1855" t="s">
        <v>12328</v>
      </c>
      <c r="B1855" t="s">
        <v>12329</v>
      </c>
    </row>
    <row r="1856" spans="1:2" x14ac:dyDescent="0.25">
      <c r="A1856" t="s">
        <v>12330</v>
      </c>
      <c r="B1856" t="s">
        <v>12331</v>
      </c>
    </row>
    <row r="1857" spans="1:2" x14ac:dyDescent="0.25">
      <c r="A1857" t="s">
        <v>12332</v>
      </c>
      <c r="B1857" t="s">
        <v>12333</v>
      </c>
    </row>
    <row r="1858" spans="1:2" x14ac:dyDescent="0.25">
      <c r="A1858" t="s">
        <v>12334</v>
      </c>
      <c r="B1858" t="s">
        <v>12335</v>
      </c>
    </row>
    <row r="1859" spans="1:2" x14ac:dyDescent="0.25">
      <c r="A1859" t="s">
        <v>12336</v>
      </c>
      <c r="B1859" t="s">
        <v>12337</v>
      </c>
    </row>
    <row r="1860" spans="1:2" x14ac:dyDescent="0.25">
      <c r="A1860" t="s">
        <v>12338</v>
      </c>
      <c r="B1860" t="s">
        <v>12339</v>
      </c>
    </row>
    <row r="1861" spans="1:2" x14ac:dyDescent="0.25">
      <c r="A1861" t="s">
        <v>12340</v>
      </c>
      <c r="B1861" t="s">
        <v>12341</v>
      </c>
    </row>
    <row r="1862" spans="1:2" x14ac:dyDescent="0.25">
      <c r="A1862" t="s">
        <v>12342</v>
      </c>
      <c r="B1862" t="s">
        <v>12343</v>
      </c>
    </row>
    <row r="1863" spans="1:2" x14ac:dyDescent="0.25">
      <c r="A1863" t="s">
        <v>12344</v>
      </c>
      <c r="B1863" t="s">
        <v>12345</v>
      </c>
    </row>
    <row r="1864" spans="1:2" x14ac:dyDescent="0.25">
      <c r="A1864" t="s">
        <v>497</v>
      </c>
      <c r="B1864" t="s">
        <v>12346</v>
      </c>
    </row>
    <row r="1865" spans="1:2" x14ac:dyDescent="0.25">
      <c r="A1865" t="s">
        <v>12347</v>
      </c>
      <c r="B1865" t="s">
        <v>12348</v>
      </c>
    </row>
    <row r="1866" spans="1:2" x14ac:dyDescent="0.25">
      <c r="A1866" t="s">
        <v>12349</v>
      </c>
      <c r="B1866" t="s">
        <v>12350</v>
      </c>
    </row>
    <row r="1867" spans="1:2" x14ac:dyDescent="0.25">
      <c r="A1867" t="s">
        <v>12351</v>
      </c>
      <c r="B1867" t="s">
        <v>12352</v>
      </c>
    </row>
    <row r="1868" spans="1:2" x14ac:dyDescent="0.25">
      <c r="A1868" t="s">
        <v>2371</v>
      </c>
      <c r="B1868" t="s">
        <v>12353</v>
      </c>
    </row>
    <row r="1869" spans="1:2" x14ac:dyDescent="0.25">
      <c r="A1869" t="s">
        <v>12354</v>
      </c>
      <c r="B1869" t="s">
        <v>12355</v>
      </c>
    </row>
    <row r="1870" spans="1:2" x14ac:dyDescent="0.25">
      <c r="A1870" t="s">
        <v>12356</v>
      </c>
      <c r="B1870" t="s">
        <v>12357</v>
      </c>
    </row>
    <row r="1871" spans="1:2" x14ac:dyDescent="0.25">
      <c r="A1871" t="s">
        <v>12358</v>
      </c>
      <c r="B1871" t="s">
        <v>12359</v>
      </c>
    </row>
    <row r="1872" spans="1:2" x14ac:dyDescent="0.25">
      <c r="A1872" t="s">
        <v>12360</v>
      </c>
      <c r="B1872" t="s">
        <v>12361</v>
      </c>
    </row>
    <row r="1873" spans="1:2" x14ac:dyDescent="0.25">
      <c r="A1873" t="s">
        <v>12362</v>
      </c>
      <c r="B1873" t="s">
        <v>12363</v>
      </c>
    </row>
    <row r="1874" spans="1:2" x14ac:dyDescent="0.25">
      <c r="A1874" t="s">
        <v>12364</v>
      </c>
      <c r="B1874" t="s">
        <v>12365</v>
      </c>
    </row>
    <row r="1875" spans="1:2" x14ac:dyDescent="0.25">
      <c r="A1875" t="s">
        <v>12366</v>
      </c>
      <c r="B1875" t="s">
        <v>12367</v>
      </c>
    </row>
    <row r="1876" spans="1:2" x14ac:dyDescent="0.25">
      <c r="A1876" t="s">
        <v>12368</v>
      </c>
      <c r="B1876" t="s">
        <v>12369</v>
      </c>
    </row>
    <row r="1877" spans="1:2" x14ac:dyDescent="0.25">
      <c r="A1877" t="s">
        <v>12370</v>
      </c>
      <c r="B1877" t="s">
        <v>12371</v>
      </c>
    </row>
    <row r="1878" spans="1:2" x14ac:dyDescent="0.25">
      <c r="A1878" t="s">
        <v>12372</v>
      </c>
      <c r="B1878" t="s">
        <v>12373</v>
      </c>
    </row>
    <row r="1879" spans="1:2" x14ac:dyDescent="0.25">
      <c r="A1879" t="s">
        <v>12374</v>
      </c>
      <c r="B1879" t="s">
        <v>12375</v>
      </c>
    </row>
    <row r="1880" spans="1:2" x14ac:dyDescent="0.25">
      <c r="A1880" t="s">
        <v>12376</v>
      </c>
      <c r="B1880" t="s">
        <v>12377</v>
      </c>
    </row>
    <row r="1881" spans="1:2" x14ac:dyDescent="0.25">
      <c r="A1881" t="s">
        <v>12378</v>
      </c>
      <c r="B1881" t="s">
        <v>12379</v>
      </c>
    </row>
    <row r="1882" spans="1:2" x14ac:dyDescent="0.25">
      <c r="A1882" t="s">
        <v>12380</v>
      </c>
      <c r="B1882" t="s">
        <v>12381</v>
      </c>
    </row>
    <row r="1883" spans="1:2" x14ac:dyDescent="0.25">
      <c r="A1883" t="s">
        <v>12382</v>
      </c>
      <c r="B1883" t="s">
        <v>12383</v>
      </c>
    </row>
    <row r="1884" spans="1:2" x14ac:dyDescent="0.25">
      <c r="A1884" t="s">
        <v>12384</v>
      </c>
      <c r="B1884" t="s">
        <v>12385</v>
      </c>
    </row>
    <row r="1885" spans="1:2" x14ac:dyDescent="0.25">
      <c r="A1885" t="s">
        <v>12386</v>
      </c>
      <c r="B1885" t="s">
        <v>12387</v>
      </c>
    </row>
    <row r="1886" spans="1:2" x14ac:dyDescent="0.25">
      <c r="A1886" t="s">
        <v>12388</v>
      </c>
      <c r="B1886" t="s">
        <v>12389</v>
      </c>
    </row>
    <row r="1887" spans="1:2" x14ac:dyDescent="0.25">
      <c r="A1887" t="s">
        <v>12390</v>
      </c>
      <c r="B1887" t="s">
        <v>12391</v>
      </c>
    </row>
    <row r="1888" spans="1:2" x14ac:dyDescent="0.25">
      <c r="A1888" t="s">
        <v>12392</v>
      </c>
      <c r="B1888" t="s">
        <v>12393</v>
      </c>
    </row>
    <row r="1889" spans="1:2" x14ac:dyDescent="0.25">
      <c r="A1889" t="s">
        <v>12394</v>
      </c>
      <c r="B1889" t="s">
        <v>12395</v>
      </c>
    </row>
    <row r="1890" spans="1:2" x14ac:dyDescent="0.25">
      <c r="A1890" t="s">
        <v>12396</v>
      </c>
      <c r="B1890" t="s">
        <v>12397</v>
      </c>
    </row>
    <row r="1891" spans="1:2" x14ac:dyDescent="0.25">
      <c r="A1891" t="s">
        <v>12398</v>
      </c>
      <c r="B1891" t="s">
        <v>12399</v>
      </c>
    </row>
    <row r="1892" spans="1:2" x14ac:dyDescent="0.25">
      <c r="A1892" t="s">
        <v>12400</v>
      </c>
      <c r="B1892" t="s">
        <v>12401</v>
      </c>
    </row>
    <row r="1893" spans="1:2" x14ac:dyDescent="0.25">
      <c r="A1893" t="s">
        <v>12402</v>
      </c>
      <c r="B1893" t="s">
        <v>12403</v>
      </c>
    </row>
    <row r="1894" spans="1:2" x14ac:dyDescent="0.25">
      <c r="A1894" t="s">
        <v>12404</v>
      </c>
      <c r="B1894" t="s">
        <v>12405</v>
      </c>
    </row>
    <row r="1895" spans="1:2" x14ac:dyDescent="0.25">
      <c r="A1895" t="s">
        <v>12406</v>
      </c>
      <c r="B1895" t="s">
        <v>12407</v>
      </c>
    </row>
    <row r="1896" spans="1:2" x14ac:dyDescent="0.25">
      <c r="A1896" t="s">
        <v>12408</v>
      </c>
      <c r="B1896" t="s">
        <v>12409</v>
      </c>
    </row>
    <row r="1897" spans="1:2" x14ac:dyDescent="0.25">
      <c r="A1897" t="s">
        <v>12410</v>
      </c>
      <c r="B1897" t="s">
        <v>12411</v>
      </c>
    </row>
    <row r="1898" spans="1:2" x14ac:dyDescent="0.25">
      <c r="A1898" t="s">
        <v>12412</v>
      </c>
      <c r="B1898" t="s">
        <v>12413</v>
      </c>
    </row>
    <row r="1899" spans="1:2" x14ac:dyDescent="0.25">
      <c r="A1899" t="s">
        <v>12414</v>
      </c>
      <c r="B1899" t="s">
        <v>12415</v>
      </c>
    </row>
    <row r="1900" spans="1:2" x14ac:dyDescent="0.25">
      <c r="A1900" t="s">
        <v>12416</v>
      </c>
      <c r="B1900" t="s">
        <v>12417</v>
      </c>
    </row>
    <row r="1901" spans="1:2" x14ac:dyDescent="0.25">
      <c r="A1901" t="s">
        <v>12418</v>
      </c>
      <c r="B1901" t="s">
        <v>12419</v>
      </c>
    </row>
    <row r="1902" spans="1:2" x14ac:dyDescent="0.25">
      <c r="A1902" t="s">
        <v>12420</v>
      </c>
      <c r="B1902" t="s">
        <v>12421</v>
      </c>
    </row>
    <row r="1903" spans="1:2" x14ac:dyDescent="0.25">
      <c r="A1903" t="s">
        <v>12422</v>
      </c>
      <c r="B1903" t="s">
        <v>12423</v>
      </c>
    </row>
    <row r="1904" spans="1:2" x14ac:dyDescent="0.25">
      <c r="A1904" t="s">
        <v>12424</v>
      </c>
      <c r="B1904" t="s">
        <v>12425</v>
      </c>
    </row>
    <row r="1905" spans="1:2" x14ac:dyDescent="0.25">
      <c r="A1905" t="s">
        <v>12426</v>
      </c>
      <c r="B1905" t="s">
        <v>12427</v>
      </c>
    </row>
    <row r="1906" spans="1:2" x14ac:dyDescent="0.25">
      <c r="A1906" t="s">
        <v>12428</v>
      </c>
      <c r="B1906" t="s">
        <v>12429</v>
      </c>
    </row>
    <row r="1907" spans="1:2" x14ac:dyDescent="0.25">
      <c r="A1907" t="s">
        <v>12430</v>
      </c>
      <c r="B1907" t="s">
        <v>12431</v>
      </c>
    </row>
    <row r="1908" spans="1:2" x14ac:dyDescent="0.25">
      <c r="A1908" t="s">
        <v>12432</v>
      </c>
      <c r="B1908" t="s">
        <v>12433</v>
      </c>
    </row>
    <row r="1909" spans="1:2" x14ac:dyDescent="0.25">
      <c r="A1909" t="s">
        <v>12434</v>
      </c>
      <c r="B1909" t="s">
        <v>12435</v>
      </c>
    </row>
    <row r="1910" spans="1:2" x14ac:dyDescent="0.25">
      <c r="A1910" t="s">
        <v>12436</v>
      </c>
      <c r="B1910" t="s">
        <v>12437</v>
      </c>
    </row>
    <row r="1911" spans="1:2" x14ac:dyDescent="0.25">
      <c r="A1911" t="s">
        <v>12438</v>
      </c>
      <c r="B1911" t="s">
        <v>12439</v>
      </c>
    </row>
    <row r="1912" spans="1:2" x14ac:dyDescent="0.25">
      <c r="A1912" t="s">
        <v>12440</v>
      </c>
      <c r="B1912" t="s">
        <v>12441</v>
      </c>
    </row>
    <row r="1913" spans="1:2" x14ac:dyDescent="0.25">
      <c r="A1913" t="s">
        <v>12442</v>
      </c>
      <c r="B1913" t="s">
        <v>12443</v>
      </c>
    </row>
    <row r="1914" spans="1:2" x14ac:dyDescent="0.25">
      <c r="A1914" t="s">
        <v>499</v>
      </c>
      <c r="B1914" t="s">
        <v>12444</v>
      </c>
    </row>
    <row r="1915" spans="1:2" x14ac:dyDescent="0.25">
      <c r="A1915" t="s">
        <v>12445</v>
      </c>
      <c r="B1915" t="s">
        <v>12446</v>
      </c>
    </row>
    <row r="1916" spans="1:2" x14ac:dyDescent="0.25">
      <c r="A1916" t="s">
        <v>12447</v>
      </c>
      <c r="B1916" t="s">
        <v>12448</v>
      </c>
    </row>
    <row r="1917" spans="1:2" x14ac:dyDescent="0.25">
      <c r="A1917" t="s">
        <v>501</v>
      </c>
      <c r="B1917" t="s">
        <v>12449</v>
      </c>
    </row>
    <row r="1918" spans="1:2" x14ac:dyDescent="0.25">
      <c r="A1918" t="s">
        <v>12450</v>
      </c>
      <c r="B1918" t="s">
        <v>12451</v>
      </c>
    </row>
    <row r="1919" spans="1:2" x14ac:dyDescent="0.25">
      <c r="A1919" t="s">
        <v>12452</v>
      </c>
      <c r="B1919" t="s">
        <v>12453</v>
      </c>
    </row>
    <row r="1920" spans="1:2" x14ac:dyDescent="0.25">
      <c r="A1920" t="s">
        <v>12454</v>
      </c>
      <c r="B1920" t="s">
        <v>12455</v>
      </c>
    </row>
    <row r="1921" spans="1:2" x14ac:dyDescent="0.25">
      <c r="A1921" t="s">
        <v>12456</v>
      </c>
      <c r="B1921" t="s">
        <v>12457</v>
      </c>
    </row>
    <row r="1922" spans="1:2" x14ac:dyDescent="0.25">
      <c r="A1922" t="s">
        <v>12458</v>
      </c>
      <c r="B1922" t="s">
        <v>12459</v>
      </c>
    </row>
    <row r="1923" spans="1:2" x14ac:dyDescent="0.25">
      <c r="A1923" t="s">
        <v>12460</v>
      </c>
      <c r="B1923" t="s">
        <v>12461</v>
      </c>
    </row>
    <row r="1924" spans="1:2" x14ac:dyDescent="0.25">
      <c r="A1924" t="s">
        <v>12462</v>
      </c>
      <c r="B1924" t="s">
        <v>12463</v>
      </c>
    </row>
    <row r="1925" spans="1:2" x14ac:dyDescent="0.25">
      <c r="A1925" t="s">
        <v>12464</v>
      </c>
      <c r="B1925" t="s">
        <v>12465</v>
      </c>
    </row>
    <row r="1926" spans="1:2" x14ac:dyDescent="0.25">
      <c r="A1926" t="s">
        <v>12466</v>
      </c>
      <c r="B1926" t="s">
        <v>12467</v>
      </c>
    </row>
    <row r="1927" spans="1:2" x14ac:dyDescent="0.25">
      <c r="A1927" t="s">
        <v>12468</v>
      </c>
      <c r="B1927" t="s">
        <v>12469</v>
      </c>
    </row>
    <row r="1928" spans="1:2" x14ac:dyDescent="0.25">
      <c r="A1928" t="s">
        <v>12470</v>
      </c>
      <c r="B1928" t="s">
        <v>12471</v>
      </c>
    </row>
    <row r="1929" spans="1:2" x14ac:dyDescent="0.25">
      <c r="A1929" t="s">
        <v>12472</v>
      </c>
      <c r="B1929" t="s">
        <v>12473</v>
      </c>
    </row>
    <row r="1930" spans="1:2" x14ac:dyDescent="0.25">
      <c r="A1930" t="s">
        <v>12474</v>
      </c>
      <c r="B1930" t="s">
        <v>12475</v>
      </c>
    </row>
    <row r="1931" spans="1:2" x14ac:dyDescent="0.25">
      <c r="A1931" t="s">
        <v>12476</v>
      </c>
      <c r="B1931" t="s">
        <v>12477</v>
      </c>
    </row>
    <row r="1932" spans="1:2" x14ac:dyDescent="0.25">
      <c r="A1932" t="s">
        <v>12478</v>
      </c>
      <c r="B1932" t="s">
        <v>12479</v>
      </c>
    </row>
    <row r="1933" spans="1:2" x14ac:dyDescent="0.25">
      <c r="A1933" t="s">
        <v>12480</v>
      </c>
      <c r="B1933" t="s">
        <v>12481</v>
      </c>
    </row>
    <row r="1934" spans="1:2" x14ac:dyDescent="0.25">
      <c r="A1934" t="s">
        <v>12482</v>
      </c>
      <c r="B1934" t="s">
        <v>12483</v>
      </c>
    </row>
    <row r="1935" spans="1:2" x14ac:dyDescent="0.25">
      <c r="A1935" t="s">
        <v>12484</v>
      </c>
      <c r="B1935" t="s">
        <v>12485</v>
      </c>
    </row>
    <row r="1936" spans="1:2" x14ac:dyDescent="0.25">
      <c r="A1936" t="s">
        <v>12486</v>
      </c>
      <c r="B1936" t="s">
        <v>12487</v>
      </c>
    </row>
    <row r="1937" spans="1:2" x14ac:dyDescent="0.25">
      <c r="A1937" t="s">
        <v>12488</v>
      </c>
      <c r="B1937" t="s">
        <v>12489</v>
      </c>
    </row>
    <row r="1938" spans="1:2" x14ac:dyDescent="0.25">
      <c r="A1938" t="s">
        <v>12490</v>
      </c>
      <c r="B1938" t="s">
        <v>12491</v>
      </c>
    </row>
    <row r="1939" spans="1:2" x14ac:dyDescent="0.25">
      <c r="A1939" t="s">
        <v>12492</v>
      </c>
      <c r="B1939" t="s">
        <v>12493</v>
      </c>
    </row>
    <row r="1940" spans="1:2" x14ac:dyDescent="0.25">
      <c r="A1940" t="s">
        <v>12494</v>
      </c>
      <c r="B1940" t="s">
        <v>12495</v>
      </c>
    </row>
    <row r="1941" spans="1:2" x14ac:dyDescent="0.25">
      <c r="A1941" t="s">
        <v>12496</v>
      </c>
      <c r="B1941" t="s">
        <v>12497</v>
      </c>
    </row>
    <row r="1942" spans="1:2" x14ac:dyDescent="0.25">
      <c r="A1942" t="s">
        <v>12498</v>
      </c>
      <c r="B1942" t="s">
        <v>12499</v>
      </c>
    </row>
    <row r="1943" spans="1:2" x14ac:dyDescent="0.25">
      <c r="A1943" t="s">
        <v>12500</v>
      </c>
      <c r="B1943" t="s">
        <v>12501</v>
      </c>
    </row>
    <row r="1944" spans="1:2" x14ac:dyDescent="0.25">
      <c r="A1944" t="s">
        <v>12502</v>
      </c>
      <c r="B1944" t="s">
        <v>12503</v>
      </c>
    </row>
    <row r="1945" spans="1:2" x14ac:dyDescent="0.25">
      <c r="A1945" t="s">
        <v>12504</v>
      </c>
      <c r="B1945" t="s">
        <v>12505</v>
      </c>
    </row>
    <row r="1946" spans="1:2" x14ac:dyDescent="0.25">
      <c r="A1946" t="s">
        <v>12506</v>
      </c>
      <c r="B1946" t="s">
        <v>12507</v>
      </c>
    </row>
    <row r="1947" spans="1:2" x14ac:dyDescent="0.25">
      <c r="A1947" t="s">
        <v>12508</v>
      </c>
      <c r="B1947" t="s">
        <v>12509</v>
      </c>
    </row>
    <row r="1948" spans="1:2" x14ac:dyDescent="0.25">
      <c r="A1948" t="s">
        <v>12510</v>
      </c>
      <c r="B1948" t="s">
        <v>12511</v>
      </c>
    </row>
    <row r="1949" spans="1:2" x14ac:dyDescent="0.25">
      <c r="A1949" t="s">
        <v>12512</v>
      </c>
      <c r="B1949" t="s">
        <v>12513</v>
      </c>
    </row>
    <row r="1950" spans="1:2" x14ac:dyDescent="0.25">
      <c r="A1950" t="s">
        <v>12514</v>
      </c>
      <c r="B1950" t="s">
        <v>12515</v>
      </c>
    </row>
    <row r="1951" spans="1:2" x14ac:dyDescent="0.25">
      <c r="A1951" t="s">
        <v>12516</v>
      </c>
      <c r="B1951" t="s">
        <v>12517</v>
      </c>
    </row>
    <row r="1952" spans="1:2" x14ac:dyDescent="0.25">
      <c r="A1952" t="s">
        <v>12518</v>
      </c>
      <c r="B1952" t="s">
        <v>12519</v>
      </c>
    </row>
    <row r="1953" spans="1:2" x14ac:dyDescent="0.25">
      <c r="A1953" t="s">
        <v>12520</v>
      </c>
      <c r="B1953" t="s">
        <v>12521</v>
      </c>
    </row>
    <row r="1954" spans="1:2" x14ac:dyDescent="0.25">
      <c r="A1954" t="s">
        <v>12522</v>
      </c>
      <c r="B1954" t="s">
        <v>12523</v>
      </c>
    </row>
    <row r="1955" spans="1:2" x14ac:dyDescent="0.25">
      <c r="A1955" t="s">
        <v>12524</v>
      </c>
      <c r="B1955" t="s">
        <v>12525</v>
      </c>
    </row>
    <row r="1956" spans="1:2" x14ac:dyDescent="0.25">
      <c r="A1956" t="s">
        <v>12526</v>
      </c>
      <c r="B1956" t="s">
        <v>12527</v>
      </c>
    </row>
    <row r="1957" spans="1:2" x14ac:dyDescent="0.25">
      <c r="A1957" t="s">
        <v>12528</v>
      </c>
      <c r="B1957" t="s">
        <v>12529</v>
      </c>
    </row>
    <row r="1958" spans="1:2" x14ac:dyDescent="0.25">
      <c r="A1958" t="s">
        <v>12530</v>
      </c>
      <c r="B1958" t="s">
        <v>12531</v>
      </c>
    </row>
    <row r="1959" spans="1:2" x14ac:dyDescent="0.25">
      <c r="A1959" t="s">
        <v>12532</v>
      </c>
      <c r="B1959" t="s">
        <v>12533</v>
      </c>
    </row>
    <row r="1960" spans="1:2" x14ac:dyDescent="0.25">
      <c r="A1960" t="s">
        <v>12534</v>
      </c>
      <c r="B1960" t="s">
        <v>12535</v>
      </c>
    </row>
    <row r="1961" spans="1:2" x14ac:dyDescent="0.25">
      <c r="A1961" t="s">
        <v>503</v>
      </c>
      <c r="B1961" t="s">
        <v>12536</v>
      </c>
    </row>
    <row r="1962" spans="1:2" x14ac:dyDescent="0.25">
      <c r="A1962" t="s">
        <v>12537</v>
      </c>
      <c r="B1962" t="s">
        <v>12538</v>
      </c>
    </row>
    <row r="1963" spans="1:2" x14ac:dyDescent="0.25">
      <c r="A1963" t="s">
        <v>12539</v>
      </c>
      <c r="B1963" t="s">
        <v>12540</v>
      </c>
    </row>
    <row r="1964" spans="1:2" x14ac:dyDescent="0.25">
      <c r="A1964" t="s">
        <v>12541</v>
      </c>
      <c r="B1964" t="s">
        <v>12542</v>
      </c>
    </row>
    <row r="1965" spans="1:2" x14ac:dyDescent="0.25">
      <c r="A1965" t="s">
        <v>12543</v>
      </c>
      <c r="B1965" t="s">
        <v>12544</v>
      </c>
    </row>
    <row r="1966" spans="1:2" x14ac:dyDescent="0.25">
      <c r="A1966" t="s">
        <v>12545</v>
      </c>
      <c r="B1966" t="s">
        <v>12546</v>
      </c>
    </row>
    <row r="1967" spans="1:2" x14ac:dyDescent="0.25">
      <c r="A1967" t="s">
        <v>12547</v>
      </c>
      <c r="B1967" t="s">
        <v>12548</v>
      </c>
    </row>
    <row r="1968" spans="1:2" x14ac:dyDescent="0.25">
      <c r="A1968" t="s">
        <v>12549</v>
      </c>
      <c r="B1968" t="s">
        <v>12550</v>
      </c>
    </row>
    <row r="1969" spans="1:2" x14ac:dyDescent="0.25">
      <c r="A1969" t="s">
        <v>12551</v>
      </c>
      <c r="B1969" t="s">
        <v>12552</v>
      </c>
    </row>
    <row r="1970" spans="1:2" x14ac:dyDescent="0.25">
      <c r="A1970" t="s">
        <v>12553</v>
      </c>
      <c r="B1970" t="s">
        <v>12554</v>
      </c>
    </row>
    <row r="1971" spans="1:2" x14ac:dyDescent="0.25">
      <c r="A1971" t="s">
        <v>12555</v>
      </c>
      <c r="B1971" t="s">
        <v>12556</v>
      </c>
    </row>
    <row r="1972" spans="1:2" x14ac:dyDescent="0.25">
      <c r="A1972" t="s">
        <v>12557</v>
      </c>
      <c r="B1972" t="s">
        <v>12558</v>
      </c>
    </row>
    <row r="1973" spans="1:2" x14ac:dyDescent="0.25">
      <c r="A1973" t="s">
        <v>12559</v>
      </c>
      <c r="B1973" t="s">
        <v>12560</v>
      </c>
    </row>
    <row r="1974" spans="1:2" x14ac:dyDescent="0.25">
      <c r="A1974" t="s">
        <v>12561</v>
      </c>
      <c r="B1974" t="s">
        <v>12562</v>
      </c>
    </row>
    <row r="1975" spans="1:2" x14ac:dyDescent="0.25">
      <c r="A1975" t="s">
        <v>12563</v>
      </c>
      <c r="B1975" t="s">
        <v>12564</v>
      </c>
    </row>
    <row r="1976" spans="1:2" x14ac:dyDescent="0.25">
      <c r="A1976" t="s">
        <v>12565</v>
      </c>
      <c r="B1976" t="s">
        <v>12566</v>
      </c>
    </row>
    <row r="1977" spans="1:2" x14ac:dyDescent="0.25">
      <c r="A1977" t="s">
        <v>12567</v>
      </c>
      <c r="B1977" t="s">
        <v>12568</v>
      </c>
    </row>
    <row r="1978" spans="1:2" x14ac:dyDescent="0.25">
      <c r="A1978" t="s">
        <v>12569</v>
      </c>
      <c r="B1978" t="s">
        <v>12570</v>
      </c>
    </row>
    <row r="1979" spans="1:2" x14ac:dyDescent="0.25">
      <c r="A1979" t="s">
        <v>12571</v>
      </c>
      <c r="B1979" t="s">
        <v>12572</v>
      </c>
    </row>
    <row r="1980" spans="1:2" x14ac:dyDescent="0.25">
      <c r="A1980" t="s">
        <v>12573</v>
      </c>
      <c r="B1980" t="s">
        <v>12574</v>
      </c>
    </row>
    <row r="1981" spans="1:2" x14ac:dyDescent="0.25">
      <c r="A1981" t="s">
        <v>12575</v>
      </c>
      <c r="B1981" t="s">
        <v>12576</v>
      </c>
    </row>
    <row r="1982" spans="1:2" x14ac:dyDescent="0.25">
      <c r="A1982" t="s">
        <v>12577</v>
      </c>
      <c r="B1982" t="s">
        <v>12578</v>
      </c>
    </row>
    <row r="1983" spans="1:2" x14ac:dyDescent="0.25">
      <c r="A1983" t="s">
        <v>12579</v>
      </c>
      <c r="B1983" t="s">
        <v>12580</v>
      </c>
    </row>
    <row r="1984" spans="1:2" x14ac:dyDescent="0.25">
      <c r="A1984" t="s">
        <v>12581</v>
      </c>
      <c r="B1984" t="s">
        <v>12582</v>
      </c>
    </row>
    <row r="1985" spans="1:2" x14ac:dyDescent="0.25">
      <c r="A1985" t="s">
        <v>12583</v>
      </c>
      <c r="B1985" t="s">
        <v>12584</v>
      </c>
    </row>
    <row r="1986" spans="1:2" x14ac:dyDescent="0.25">
      <c r="A1986" t="s">
        <v>12585</v>
      </c>
      <c r="B1986" t="s">
        <v>12586</v>
      </c>
    </row>
    <row r="1987" spans="1:2" x14ac:dyDescent="0.25">
      <c r="A1987" t="s">
        <v>12587</v>
      </c>
      <c r="B1987" t="s">
        <v>12588</v>
      </c>
    </row>
    <row r="1988" spans="1:2" x14ac:dyDescent="0.25">
      <c r="A1988" t="s">
        <v>12589</v>
      </c>
      <c r="B1988" t="s">
        <v>12590</v>
      </c>
    </row>
    <row r="1989" spans="1:2" x14ac:dyDescent="0.25">
      <c r="A1989" t="s">
        <v>12591</v>
      </c>
      <c r="B1989" t="s">
        <v>12592</v>
      </c>
    </row>
    <row r="1990" spans="1:2" x14ac:dyDescent="0.25">
      <c r="A1990" t="s">
        <v>12593</v>
      </c>
      <c r="B1990" t="s">
        <v>12594</v>
      </c>
    </row>
    <row r="1991" spans="1:2" x14ac:dyDescent="0.25">
      <c r="A1991" t="s">
        <v>12595</v>
      </c>
      <c r="B1991" t="s">
        <v>12596</v>
      </c>
    </row>
    <row r="1992" spans="1:2" x14ac:dyDescent="0.25">
      <c r="A1992" t="s">
        <v>12597</v>
      </c>
      <c r="B1992" t="s">
        <v>12598</v>
      </c>
    </row>
    <row r="1993" spans="1:2" x14ac:dyDescent="0.25">
      <c r="A1993" t="s">
        <v>12599</v>
      </c>
      <c r="B1993" t="s">
        <v>12600</v>
      </c>
    </row>
    <row r="1994" spans="1:2" x14ac:dyDescent="0.25">
      <c r="A1994" t="s">
        <v>12601</v>
      </c>
      <c r="B1994" t="s">
        <v>12602</v>
      </c>
    </row>
    <row r="1995" spans="1:2" x14ac:dyDescent="0.25">
      <c r="A1995" t="s">
        <v>12603</v>
      </c>
      <c r="B1995" t="s">
        <v>12604</v>
      </c>
    </row>
    <row r="1996" spans="1:2" x14ac:dyDescent="0.25">
      <c r="A1996" t="s">
        <v>12605</v>
      </c>
      <c r="B1996" t="s">
        <v>12606</v>
      </c>
    </row>
    <row r="1997" spans="1:2" x14ac:dyDescent="0.25">
      <c r="A1997" t="s">
        <v>12607</v>
      </c>
      <c r="B1997" t="s">
        <v>12608</v>
      </c>
    </row>
    <row r="1998" spans="1:2" x14ac:dyDescent="0.25">
      <c r="A1998" t="s">
        <v>12609</v>
      </c>
      <c r="B1998" t="s">
        <v>12610</v>
      </c>
    </row>
    <row r="1999" spans="1:2" x14ac:dyDescent="0.25">
      <c r="A1999" t="s">
        <v>12611</v>
      </c>
      <c r="B1999" t="s">
        <v>12612</v>
      </c>
    </row>
    <row r="2000" spans="1:2" x14ac:dyDescent="0.25">
      <c r="A2000" t="s">
        <v>12613</v>
      </c>
      <c r="B2000" t="s">
        <v>12614</v>
      </c>
    </row>
    <row r="2001" spans="1:2" x14ac:dyDescent="0.25">
      <c r="A2001" t="s">
        <v>12615</v>
      </c>
      <c r="B2001" t="s">
        <v>12616</v>
      </c>
    </row>
    <row r="2002" spans="1:2" x14ac:dyDescent="0.25">
      <c r="A2002" t="s">
        <v>12617</v>
      </c>
      <c r="B2002" t="s">
        <v>12618</v>
      </c>
    </row>
    <row r="2003" spans="1:2" x14ac:dyDescent="0.25">
      <c r="A2003" t="s">
        <v>12619</v>
      </c>
      <c r="B2003" t="s">
        <v>12620</v>
      </c>
    </row>
    <row r="2004" spans="1:2" x14ac:dyDescent="0.25">
      <c r="A2004" t="s">
        <v>12621</v>
      </c>
      <c r="B2004" t="s">
        <v>12622</v>
      </c>
    </row>
    <row r="2005" spans="1:2" x14ac:dyDescent="0.25">
      <c r="A2005" t="s">
        <v>12623</v>
      </c>
      <c r="B2005" t="s">
        <v>12624</v>
      </c>
    </row>
    <row r="2006" spans="1:2" x14ac:dyDescent="0.25">
      <c r="A2006" t="s">
        <v>12625</v>
      </c>
      <c r="B2006" t="s">
        <v>12626</v>
      </c>
    </row>
    <row r="2007" spans="1:2" x14ac:dyDescent="0.25">
      <c r="A2007" t="s">
        <v>12627</v>
      </c>
      <c r="B2007" t="s">
        <v>12628</v>
      </c>
    </row>
    <row r="2008" spans="1:2" x14ac:dyDescent="0.25">
      <c r="A2008" t="s">
        <v>12629</v>
      </c>
      <c r="B2008" t="s">
        <v>12630</v>
      </c>
    </row>
    <row r="2009" spans="1:2" x14ac:dyDescent="0.25">
      <c r="A2009" t="s">
        <v>12631</v>
      </c>
      <c r="B2009" t="s">
        <v>12632</v>
      </c>
    </row>
    <row r="2010" spans="1:2" x14ac:dyDescent="0.25">
      <c r="A2010" t="s">
        <v>2374</v>
      </c>
      <c r="B2010" t="s">
        <v>12633</v>
      </c>
    </row>
    <row r="2011" spans="1:2" x14ac:dyDescent="0.25">
      <c r="A2011" t="s">
        <v>12634</v>
      </c>
      <c r="B2011" t="s">
        <v>12635</v>
      </c>
    </row>
    <row r="2012" spans="1:2" x14ac:dyDescent="0.25">
      <c r="A2012" t="s">
        <v>2604</v>
      </c>
      <c r="B2012" t="s">
        <v>12636</v>
      </c>
    </row>
    <row r="2013" spans="1:2" x14ac:dyDescent="0.25">
      <c r="A2013" t="s">
        <v>58</v>
      </c>
      <c r="B2013" t="s">
        <v>12637</v>
      </c>
    </row>
    <row r="2014" spans="1:2" x14ac:dyDescent="0.25">
      <c r="A2014" t="s">
        <v>12638</v>
      </c>
      <c r="B2014" t="s">
        <v>12639</v>
      </c>
    </row>
    <row r="2015" spans="1:2" x14ac:dyDescent="0.25">
      <c r="A2015" t="s">
        <v>12640</v>
      </c>
      <c r="B2015" t="s">
        <v>12641</v>
      </c>
    </row>
    <row r="2016" spans="1:2" x14ac:dyDescent="0.25">
      <c r="A2016" t="s">
        <v>12642</v>
      </c>
      <c r="B2016" t="s">
        <v>12643</v>
      </c>
    </row>
    <row r="2017" spans="1:2" x14ac:dyDescent="0.25">
      <c r="A2017" t="s">
        <v>12644</v>
      </c>
      <c r="B2017" t="s">
        <v>12645</v>
      </c>
    </row>
    <row r="2018" spans="1:2" x14ac:dyDescent="0.25">
      <c r="A2018" t="s">
        <v>12646</v>
      </c>
      <c r="B2018" t="s">
        <v>12647</v>
      </c>
    </row>
    <row r="2019" spans="1:2" x14ac:dyDescent="0.25">
      <c r="A2019" t="s">
        <v>12648</v>
      </c>
      <c r="B2019" t="s">
        <v>12649</v>
      </c>
    </row>
    <row r="2020" spans="1:2" x14ac:dyDescent="0.25">
      <c r="A2020" t="s">
        <v>12650</v>
      </c>
      <c r="B2020" t="s">
        <v>12651</v>
      </c>
    </row>
    <row r="2021" spans="1:2" x14ac:dyDescent="0.25">
      <c r="A2021" t="s">
        <v>12652</v>
      </c>
      <c r="B2021" t="s">
        <v>12653</v>
      </c>
    </row>
    <row r="2022" spans="1:2" x14ac:dyDescent="0.25">
      <c r="A2022" t="s">
        <v>12654</v>
      </c>
      <c r="B2022" t="s">
        <v>12655</v>
      </c>
    </row>
    <row r="2023" spans="1:2" x14ac:dyDescent="0.25">
      <c r="A2023" t="s">
        <v>12656</v>
      </c>
      <c r="B2023" t="s">
        <v>12657</v>
      </c>
    </row>
    <row r="2024" spans="1:2" x14ac:dyDescent="0.25">
      <c r="A2024" t="s">
        <v>12658</v>
      </c>
      <c r="B2024" t="s">
        <v>12659</v>
      </c>
    </row>
    <row r="2025" spans="1:2" x14ac:dyDescent="0.25">
      <c r="A2025" t="s">
        <v>12660</v>
      </c>
      <c r="B2025" t="s">
        <v>12661</v>
      </c>
    </row>
    <row r="2026" spans="1:2" x14ac:dyDescent="0.25">
      <c r="A2026" t="s">
        <v>12662</v>
      </c>
      <c r="B2026" t="s">
        <v>12663</v>
      </c>
    </row>
    <row r="2027" spans="1:2" x14ac:dyDescent="0.25">
      <c r="A2027" t="s">
        <v>12664</v>
      </c>
      <c r="B2027" t="s">
        <v>12665</v>
      </c>
    </row>
    <row r="2028" spans="1:2" x14ac:dyDescent="0.25">
      <c r="A2028" t="s">
        <v>12666</v>
      </c>
      <c r="B2028" t="s">
        <v>12667</v>
      </c>
    </row>
    <row r="2029" spans="1:2" x14ac:dyDescent="0.25">
      <c r="A2029" t="s">
        <v>505</v>
      </c>
      <c r="B2029" t="s">
        <v>12668</v>
      </c>
    </row>
    <row r="2030" spans="1:2" x14ac:dyDescent="0.25">
      <c r="A2030" t="s">
        <v>12669</v>
      </c>
      <c r="B2030" t="s">
        <v>12670</v>
      </c>
    </row>
    <row r="2031" spans="1:2" x14ac:dyDescent="0.25">
      <c r="A2031" t="s">
        <v>12671</v>
      </c>
      <c r="B2031" t="s">
        <v>12672</v>
      </c>
    </row>
    <row r="2032" spans="1:2" x14ac:dyDescent="0.25">
      <c r="A2032" t="s">
        <v>12673</v>
      </c>
      <c r="B2032" t="s">
        <v>12674</v>
      </c>
    </row>
    <row r="2033" spans="1:2" x14ac:dyDescent="0.25">
      <c r="A2033" t="s">
        <v>59</v>
      </c>
      <c r="B2033" t="s">
        <v>12675</v>
      </c>
    </row>
    <row r="2034" spans="1:2" x14ac:dyDescent="0.25">
      <c r="A2034" t="s">
        <v>12676</v>
      </c>
      <c r="B2034" t="s">
        <v>12677</v>
      </c>
    </row>
    <row r="2035" spans="1:2" x14ac:dyDescent="0.25">
      <c r="A2035" t="s">
        <v>12678</v>
      </c>
      <c r="B2035" t="s">
        <v>12679</v>
      </c>
    </row>
    <row r="2036" spans="1:2" x14ac:dyDescent="0.25">
      <c r="A2036" t="s">
        <v>12680</v>
      </c>
      <c r="B2036" t="s">
        <v>12681</v>
      </c>
    </row>
    <row r="2037" spans="1:2" x14ac:dyDescent="0.25">
      <c r="A2037" t="s">
        <v>12682</v>
      </c>
      <c r="B2037" t="s">
        <v>12683</v>
      </c>
    </row>
    <row r="2038" spans="1:2" x14ac:dyDescent="0.25">
      <c r="A2038" t="s">
        <v>12684</v>
      </c>
      <c r="B2038" t="s">
        <v>12685</v>
      </c>
    </row>
    <row r="2039" spans="1:2" x14ac:dyDescent="0.25">
      <c r="A2039" t="s">
        <v>12686</v>
      </c>
      <c r="B2039" t="s">
        <v>12687</v>
      </c>
    </row>
    <row r="2040" spans="1:2" x14ac:dyDescent="0.25">
      <c r="A2040" t="s">
        <v>12688</v>
      </c>
      <c r="B2040" t="s">
        <v>12689</v>
      </c>
    </row>
    <row r="2041" spans="1:2" x14ac:dyDescent="0.25">
      <c r="A2041" t="s">
        <v>12690</v>
      </c>
      <c r="B2041" t="s">
        <v>12691</v>
      </c>
    </row>
    <row r="2042" spans="1:2" x14ac:dyDescent="0.25">
      <c r="A2042" t="s">
        <v>12692</v>
      </c>
      <c r="B2042" t="s">
        <v>12693</v>
      </c>
    </row>
    <row r="2043" spans="1:2" x14ac:dyDescent="0.25">
      <c r="A2043" t="s">
        <v>856</v>
      </c>
      <c r="B2043" t="s">
        <v>12694</v>
      </c>
    </row>
    <row r="2044" spans="1:2" x14ac:dyDescent="0.25">
      <c r="A2044" t="s">
        <v>12695</v>
      </c>
      <c r="B2044" t="s">
        <v>12696</v>
      </c>
    </row>
    <row r="2045" spans="1:2" x14ac:dyDescent="0.25">
      <c r="A2045" t="s">
        <v>12697</v>
      </c>
      <c r="B2045" t="s">
        <v>12698</v>
      </c>
    </row>
    <row r="2046" spans="1:2" x14ac:dyDescent="0.25">
      <c r="A2046" t="s">
        <v>12699</v>
      </c>
      <c r="B2046" t="s">
        <v>12700</v>
      </c>
    </row>
    <row r="2047" spans="1:2" x14ac:dyDescent="0.25">
      <c r="A2047" t="s">
        <v>12701</v>
      </c>
      <c r="B2047" t="s">
        <v>12702</v>
      </c>
    </row>
    <row r="2048" spans="1:2" x14ac:dyDescent="0.25">
      <c r="A2048" t="s">
        <v>12703</v>
      </c>
      <c r="B2048" t="s">
        <v>12704</v>
      </c>
    </row>
    <row r="2049" spans="1:2" x14ac:dyDescent="0.25">
      <c r="A2049" t="s">
        <v>12705</v>
      </c>
      <c r="B2049" t="s">
        <v>12706</v>
      </c>
    </row>
    <row r="2050" spans="1:2" x14ac:dyDescent="0.25">
      <c r="A2050" t="s">
        <v>2607</v>
      </c>
      <c r="B2050" t="s">
        <v>12707</v>
      </c>
    </row>
    <row r="2051" spans="1:2" x14ac:dyDescent="0.25">
      <c r="A2051" t="s">
        <v>12708</v>
      </c>
      <c r="B2051" t="s">
        <v>12709</v>
      </c>
    </row>
    <row r="2052" spans="1:2" x14ac:dyDescent="0.25">
      <c r="A2052" t="s">
        <v>12710</v>
      </c>
      <c r="B2052" t="s">
        <v>12711</v>
      </c>
    </row>
    <row r="2053" spans="1:2" x14ac:dyDescent="0.25">
      <c r="A2053" t="s">
        <v>12712</v>
      </c>
      <c r="B2053" t="s">
        <v>12713</v>
      </c>
    </row>
    <row r="2054" spans="1:2" x14ac:dyDescent="0.25">
      <c r="A2054" t="s">
        <v>12714</v>
      </c>
      <c r="B2054" t="s">
        <v>12715</v>
      </c>
    </row>
    <row r="2055" spans="1:2" x14ac:dyDescent="0.25">
      <c r="A2055" t="s">
        <v>12716</v>
      </c>
      <c r="B2055" t="s">
        <v>12717</v>
      </c>
    </row>
    <row r="2056" spans="1:2" x14ac:dyDescent="0.25">
      <c r="A2056" t="s">
        <v>12718</v>
      </c>
      <c r="B2056" t="s">
        <v>12719</v>
      </c>
    </row>
    <row r="2057" spans="1:2" x14ac:dyDescent="0.25">
      <c r="A2057" t="s">
        <v>12720</v>
      </c>
      <c r="B2057" t="s">
        <v>12721</v>
      </c>
    </row>
    <row r="2058" spans="1:2" x14ac:dyDescent="0.25">
      <c r="A2058" t="s">
        <v>12722</v>
      </c>
      <c r="B2058" t="s">
        <v>12723</v>
      </c>
    </row>
    <row r="2059" spans="1:2" x14ac:dyDescent="0.25">
      <c r="A2059" t="s">
        <v>12724</v>
      </c>
      <c r="B2059" t="s">
        <v>12725</v>
      </c>
    </row>
    <row r="2060" spans="1:2" x14ac:dyDescent="0.25">
      <c r="A2060" t="s">
        <v>12726</v>
      </c>
      <c r="B2060" t="s">
        <v>12727</v>
      </c>
    </row>
    <row r="2061" spans="1:2" x14ac:dyDescent="0.25">
      <c r="A2061" t="s">
        <v>12728</v>
      </c>
      <c r="B2061" t="s">
        <v>12729</v>
      </c>
    </row>
    <row r="2062" spans="1:2" x14ac:dyDescent="0.25">
      <c r="A2062" t="s">
        <v>12730</v>
      </c>
      <c r="B2062" t="s">
        <v>12731</v>
      </c>
    </row>
    <row r="2063" spans="1:2" x14ac:dyDescent="0.25">
      <c r="A2063" t="s">
        <v>12732</v>
      </c>
      <c r="B2063" t="s">
        <v>12733</v>
      </c>
    </row>
    <row r="2064" spans="1:2" x14ac:dyDescent="0.25">
      <c r="A2064" t="s">
        <v>12734</v>
      </c>
      <c r="B2064" t="s">
        <v>12735</v>
      </c>
    </row>
    <row r="2065" spans="1:2" x14ac:dyDescent="0.25">
      <c r="A2065" t="s">
        <v>12736</v>
      </c>
      <c r="B2065" t="s">
        <v>12737</v>
      </c>
    </row>
    <row r="2066" spans="1:2" x14ac:dyDescent="0.25">
      <c r="A2066" t="s">
        <v>12738</v>
      </c>
      <c r="B2066" t="s">
        <v>12739</v>
      </c>
    </row>
    <row r="2067" spans="1:2" x14ac:dyDescent="0.25">
      <c r="A2067" t="s">
        <v>858</v>
      </c>
      <c r="B2067" t="s">
        <v>12740</v>
      </c>
    </row>
    <row r="2068" spans="1:2" x14ac:dyDescent="0.25">
      <c r="A2068" t="s">
        <v>12741</v>
      </c>
      <c r="B2068" t="s">
        <v>12742</v>
      </c>
    </row>
    <row r="2069" spans="1:2" x14ac:dyDescent="0.25">
      <c r="A2069" t="s">
        <v>12743</v>
      </c>
      <c r="B2069" t="s">
        <v>12744</v>
      </c>
    </row>
    <row r="2070" spans="1:2" x14ac:dyDescent="0.25">
      <c r="A2070" t="s">
        <v>12745</v>
      </c>
      <c r="B2070" t="s">
        <v>12746</v>
      </c>
    </row>
    <row r="2071" spans="1:2" x14ac:dyDescent="0.25">
      <c r="A2071" t="s">
        <v>12747</v>
      </c>
      <c r="B2071" t="s">
        <v>12748</v>
      </c>
    </row>
    <row r="2072" spans="1:2" x14ac:dyDescent="0.25">
      <c r="A2072" t="s">
        <v>12749</v>
      </c>
      <c r="B2072" t="s">
        <v>12750</v>
      </c>
    </row>
    <row r="2073" spans="1:2" x14ac:dyDescent="0.25">
      <c r="A2073" t="s">
        <v>12751</v>
      </c>
      <c r="B2073" t="s">
        <v>12752</v>
      </c>
    </row>
    <row r="2074" spans="1:2" x14ac:dyDescent="0.25">
      <c r="A2074" t="s">
        <v>12753</v>
      </c>
      <c r="B2074" t="s">
        <v>12754</v>
      </c>
    </row>
    <row r="2075" spans="1:2" x14ac:dyDescent="0.25">
      <c r="A2075" t="s">
        <v>12755</v>
      </c>
      <c r="B2075" t="s">
        <v>12756</v>
      </c>
    </row>
    <row r="2076" spans="1:2" x14ac:dyDescent="0.25">
      <c r="A2076" t="s">
        <v>12757</v>
      </c>
      <c r="B2076" t="s">
        <v>12758</v>
      </c>
    </row>
    <row r="2077" spans="1:2" x14ac:dyDescent="0.25">
      <c r="A2077" t="s">
        <v>12759</v>
      </c>
      <c r="B2077" t="s">
        <v>12760</v>
      </c>
    </row>
    <row r="2078" spans="1:2" x14ac:dyDescent="0.25">
      <c r="A2078" t="s">
        <v>12761</v>
      </c>
      <c r="B2078" t="s">
        <v>12762</v>
      </c>
    </row>
    <row r="2079" spans="1:2" x14ac:dyDescent="0.25">
      <c r="A2079" t="s">
        <v>12763</v>
      </c>
      <c r="B2079" t="s">
        <v>12764</v>
      </c>
    </row>
    <row r="2080" spans="1:2" x14ac:dyDescent="0.25">
      <c r="A2080" t="s">
        <v>12765</v>
      </c>
      <c r="B2080" t="s">
        <v>12766</v>
      </c>
    </row>
    <row r="2081" spans="1:2" x14ac:dyDescent="0.25">
      <c r="A2081" t="s">
        <v>12767</v>
      </c>
      <c r="B2081" t="s">
        <v>12768</v>
      </c>
    </row>
    <row r="2082" spans="1:2" x14ac:dyDescent="0.25">
      <c r="A2082" t="s">
        <v>12769</v>
      </c>
      <c r="B2082" t="s">
        <v>12770</v>
      </c>
    </row>
    <row r="2083" spans="1:2" x14ac:dyDescent="0.25">
      <c r="A2083" t="s">
        <v>12771</v>
      </c>
      <c r="B2083" t="s">
        <v>12772</v>
      </c>
    </row>
    <row r="2084" spans="1:2" x14ac:dyDescent="0.25">
      <c r="A2084" t="s">
        <v>12773</v>
      </c>
      <c r="B2084" t="s">
        <v>12774</v>
      </c>
    </row>
    <row r="2085" spans="1:2" x14ac:dyDescent="0.25">
      <c r="A2085" t="s">
        <v>12775</v>
      </c>
      <c r="B2085" t="s">
        <v>12776</v>
      </c>
    </row>
    <row r="2086" spans="1:2" x14ac:dyDescent="0.25">
      <c r="A2086" t="s">
        <v>12777</v>
      </c>
      <c r="B2086" t="s">
        <v>12778</v>
      </c>
    </row>
    <row r="2087" spans="1:2" x14ac:dyDescent="0.25">
      <c r="A2087" t="s">
        <v>12779</v>
      </c>
      <c r="B2087" t="s">
        <v>12780</v>
      </c>
    </row>
    <row r="2088" spans="1:2" x14ac:dyDescent="0.25">
      <c r="A2088" t="s">
        <v>12781</v>
      </c>
      <c r="B2088" t="s">
        <v>12782</v>
      </c>
    </row>
    <row r="2089" spans="1:2" x14ac:dyDescent="0.25">
      <c r="A2089" t="s">
        <v>12783</v>
      </c>
      <c r="B2089" t="s">
        <v>12784</v>
      </c>
    </row>
    <row r="2090" spans="1:2" x14ac:dyDescent="0.25">
      <c r="A2090" t="s">
        <v>12785</v>
      </c>
      <c r="B2090" t="s">
        <v>12786</v>
      </c>
    </row>
    <row r="2091" spans="1:2" x14ac:dyDescent="0.25">
      <c r="A2091" t="s">
        <v>12787</v>
      </c>
      <c r="B2091" t="s">
        <v>12788</v>
      </c>
    </row>
    <row r="2092" spans="1:2" x14ac:dyDescent="0.25">
      <c r="A2092" t="s">
        <v>12789</v>
      </c>
      <c r="B2092" t="s">
        <v>12790</v>
      </c>
    </row>
    <row r="2093" spans="1:2" x14ac:dyDescent="0.25">
      <c r="A2093" t="s">
        <v>12791</v>
      </c>
      <c r="B2093" t="s">
        <v>12792</v>
      </c>
    </row>
    <row r="2094" spans="1:2" x14ac:dyDescent="0.25">
      <c r="A2094" t="s">
        <v>12793</v>
      </c>
      <c r="B2094" t="s">
        <v>12794</v>
      </c>
    </row>
    <row r="2095" spans="1:2" x14ac:dyDescent="0.25">
      <c r="A2095" t="s">
        <v>12795</v>
      </c>
      <c r="B2095" t="s">
        <v>12796</v>
      </c>
    </row>
    <row r="2096" spans="1:2" x14ac:dyDescent="0.25">
      <c r="A2096" t="s">
        <v>12797</v>
      </c>
      <c r="B2096" t="s">
        <v>12798</v>
      </c>
    </row>
    <row r="2097" spans="1:2" x14ac:dyDescent="0.25">
      <c r="A2097" t="s">
        <v>12799</v>
      </c>
      <c r="B2097" t="s">
        <v>12800</v>
      </c>
    </row>
    <row r="2098" spans="1:2" x14ac:dyDescent="0.25">
      <c r="A2098" t="s">
        <v>12801</v>
      </c>
      <c r="B2098" t="s">
        <v>12802</v>
      </c>
    </row>
    <row r="2099" spans="1:2" x14ac:dyDescent="0.25">
      <c r="A2099" t="s">
        <v>60</v>
      </c>
      <c r="B2099" t="s">
        <v>12803</v>
      </c>
    </row>
    <row r="2100" spans="1:2" x14ac:dyDescent="0.25">
      <c r="A2100" t="s">
        <v>12804</v>
      </c>
      <c r="B2100" t="s">
        <v>12805</v>
      </c>
    </row>
    <row r="2101" spans="1:2" x14ac:dyDescent="0.25">
      <c r="A2101" t="s">
        <v>12806</v>
      </c>
      <c r="B2101" t="s">
        <v>12807</v>
      </c>
    </row>
    <row r="2102" spans="1:2" x14ac:dyDescent="0.25">
      <c r="A2102" t="s">
        <v>12808</v>
      </c>
      <c r="B2102" t="s">
        <v>12809</v>
      </c>
    </row>
    <row r="2103" spans="1:2" x14ac:dyDescent="0.25">
      <c r="A2103" t="s">
        <v>507</v>
      </c>
      <c r="B2103" t="s">
        <v>12810</v>
      </c>
    </row>
    <row r="2104" spans="1:2" x14ac:dyDescent="0.25">
      <c r="A2104" t="s">
        <v>12811</v>
      </c>
      <c r="B2104" t="s">
        <v>12812</v>
      </c>
    </row>
    <row r="2105" spans="1:2" x14ac:dyDescent="0.25">
      <c r="A2105" t="s">
        <v>12813</v>
      </c>
      <c r="B2105" t="s">
        <v>12814</v>
      </c>
    </row>
    <row r="2106" spans="1:2" x14ac:dyDescent="0.25">
      <c r="A2106" t="s">
        <v>12815</v>
      </c>
      <c r="B2106" t="s">
        <v>12816</v>
      </c>
    </row>
    <row r="2107" spans="1:2" x14ac:dyDescent="0.25">
      <c r="A2107" t="s">
        <v>12817</v>
      </c>
      <c r="B2107" t="s">
        <v>11464</v>
      </c>
    </row>
    <row r="2108" spans="1:2" x14ac:dyDescent="0.25">
      <c r="A2108" t="s">
        <v>12818</v>
      </c>
      <c r="B2108" t="s">
        <v>12819</v>
      </c>
    </row>
    <row r="2109" spans="1:2" x14ac:dyDescent="0.25">
      <c r="A2109" t="s">
        <v>12820</v>
      </c>
      <c r="B2109" t="s">
        <v>12821</v>
      </c>
    </row>
    <row r="2110" spans="1:2" x14ac:dyDescent="0.25">
      <c r="A2110" t="s">
        <v>12822</v>
      </c>
      <c r="B2110" t="s">
        <v>12823</v>
      </c>
    </row>
    <row r="2111" spans="1:2" x14ac:dyDescent="0.25">
      <c r="A2111" t="s">
        <v>12824</v>
      </c>
      <c r="B2111" t="s">
        <v>12825</v>
      </c>
    </row>
    <row r="2112" spans="1:2" x14ac:dyDescent="0.25">
      <c r="A2112" t="s">
        <v>12826</v>
      </c>
      <c r="B2112" t="s">
        <v>12827</v>
      </c>
    </row>
    <row r="2113" spans="1:2" x14ac:dyDescent="0.25">
      <c r="A2113" t="s">
        <v>12828</v>
      </c>
      <c r="B2113" t="s">
        <v>12829</v>
      </c>
    </row>
    <row r="2114" spans="1:2" x14ac:dyDescent="0.25">
      <c r="A2114" t="s">
        <v>12830</v>
      </c>
      <c r="B2114" t="s">
        <v>12831</v>
      </c>
    </row>
    <row r="2115" spans="1:2" x14ac:dyDescent="0.25">
      <c r="A2115" t="s">
        <v>12832</v>
      </c>
      <c r="B2115" t="s">
        <v>12833</v>
      </c>
    </row>
    <row r="2116" spans="1:2" x14ac:dyDescent="0.25">
      <c r="A2116" t="s">
        <v>12834</v>
      </c>
      <c r="B2116" t="s">
        <v>12835</v>
      </c>
    </row>
    <row r="2117" spans="1:2" x14ac:dyDescent="0.25">
      <c r="A2117" t="s">
        <v>12836</v>
      </c>
      <c r="B2117" t="s">
        <v>12837</v>
      </c>
    </row>
    <row r="2118" spans="1:2" x14ac:dyDescent="0.25">
      <c r="A2118" t="s">
        <v>12838</v>
      </c>
      <c r="B2118" t="s">
        <v>12839</v>
      </c>
    </row>
    <row r="2119" spans="1:2" x14ac:dyDescent="0.25">
      <c r="A2119" t="s">
        <v>12840</v>
      </c>
      <c r="B2119" t="s">
        <v>12841</v>
      </c>
    </row>
    <row r="2120" spans="1:2" x14ac:dyDescent="0.25">
      <c r="A2120" t="s">
        <v>12842</v>
      </c>
      <c r="B2120" t="s">
        <v>12843</v>
      </c>
    </row>
    <row r="2121" spans="1:2" x14ac:dyDescent="0.25">
      <c r="A2121" t="s">
        <v>12844</v>
      </c>
      <c r="B2121" t="s">
        <v>12845</v>
      </c>
    </row>
    <row r="2122" spans="1:2" x14ac:dyDescent="0.25">
      <c r="A2122" t="s">
        <v>12846</v>
      </c>
      <c r="B2122" t="s">
        <v>12847</v>
      </c>
    </row>
    <row r="2123" spans="1:2" x14ac:dyDescent="0.25">
      <c r="A2123" t="s">
        <v>509</v>
      </c>
      <c r="B2123" t="s">
        <v>12848</v>
      </c>
    </row>
    <row r="2124" spans="1:2" x14ac:dyDescent="0.25">
      <c r="A2124" t="s">
        <v>12849</v>
      </c>
      <c r="B2124" t="s">
        <v>12850</v>
      </c>
    </row>
    <row r="2125" spans="1:2" x14ac:dyDescent="0.25">
      <c r="A2125" t="s">
        <v>12851</v>
      </c>
      <c r="B2125" t="s">
        <v>12852</v>
      </c>
    </row>
    <row r="2126" spans="1:2" x14ac:dyDescent="0.25">
      <c r="A2126" t="s">
        <v>12853</v>
      </c>
      <c r="B2126" t="s">
        <v>12854</v>
      </c>
    </row>
    <row r="2127" spans="1:2" x14ac:dyDescent="0.25">
      <c r="A2127" t="s">
        <v>511</v>
      </c>
      <c r="B2127" t="s">
        <v>12855</v>
      </c>
    </row>
    <row r="2128" spans="1:2" x14ac:dyDescent="0.25">
      <c r="A2128" t="s">
        <v>12856</v>
      </c>
      <c r="B2128" t="s">
        <v>12857</v>
      </c>
    </row>
    <row r="2129" spans="1:2" x14ac:dyDescent="0.25">
      <c r="A2129" t="s">
        <v>12858</v>
      </c>
      <c r="B2129" t="s">
        <v>12859</v>
      </c>
    </row>
    <row r="2130" spans="1:2" x14ac:dyDescent="0.25">
      <c r="A2130" t="s">
        <v>860</v>
      </c>
      <c r="B2130" t="s">
        <v>12860</v>
      </c>
    </row>
    <row r="2131" spans="1:2" x14ac:dyDescent="0.25">
      <c r="A2131" t="s">
        <v>12861</v>
      </c>
      <c r="B2131" t="s">
        <v>12862</v>
      </c>
    </row>
    <row r="2132" spans="1:2" x14ac:dyDescent="0.25">
      <c r="A2132" t="s">
        <v>513</v>
      </c>
      <c r="B2132" t="s">
        <v>12863</v>
      </c>
    </row>
    <row r="2133" spans="1:2" x14ac:dyDescent="0.25">
      <c r="A2133" t="s">
        <v>12864</v>
      </c>
      <c r="B2133" t="s">
        <v>12865</v>
      </c>
    </row>
    <row r="2134" spans="1:2" x14ac:dyDescent="0.25">
      <c r="A2134" t="s">
        <v>12866</v>
      </c>
      <c r="B2134" t="s">
        <v>12867</v>
      </c>
    </row>
    <row r="2135" spans="1:2" x14ac:dyDescent="0.25">
      <c r="A2135" t="s">
        <v>12868</v>
      </c>
      <c r="B2135" t="s">
        <v>12869</v>
      </c>
    </row>
    <row r="2136" spans="1:2" x14ac:dyDescent="0.25">
      <c r="A2136" t="s">
        <v>515</v>
      </c>
      <c r="B2136" t="s">
        <v>12870</v>
      </c>
    </row>
    <row r="2137" spans="1:2" x14ac:dyDescent="0.25">
      <c r="A2137" t="s">
        <v>12871</v>
      </c>
      <c r="B2137" t="s">
        <v>12872</v>
      </c>
    </row>
    <row r="2138" spans="1:2" x14ac:dyDescent="0.25">
      <c r="A2138" t="s">
        <v>12873</v>
      </c>
      <c r="B2138" t="s">
        <v>12874</v>
      </c>
    </row>
    <row r="2139" spans="1:2" x14ac:dyDescent="0.25">
      <c r="A2139" t="s">
        <v>12875</v>
      </c>
      <c r="B2139" t="s">
        <v>12876</v>
      </c>
    </row>
    <row r="2140" spans="1:2" x14ac:dyDescent="0.25">
      <c r="A2140" t="s">
        <v>12877</v>
      </c>
      <c r="B2140" t="s">
        <v>12878</v>
      </c>
    </row>
    <row r="2141" spans="1:2" x14ac:dyDescent="0.25">
      <c r="A2141" t="s">
        <v>12879</v>
      </c>
      <c r="B2141" t="s">
        <v>12880</v>
      </c>
    </row>
    <row r="2142" spans="1:2" x14ac:dyDescent="0.25">
      <c r="A2142" t="s">
        <v>12881</v>
      </c>
      <c r="B2142" t="s">
        <v>12882</v>
      </c>
    </row>
    <row r="2143" spans="1:2" x14ac:dyDescent="0.25">
      <c r="A2143" t="s">
        <v>12883</v>
      </c>
      <c r="B2143" t="s">
        <v>12884</v>
      </c>
    </row>
    <row r="2144" spans="1:2" x14ac:dyDescent="0.25">
      <c r="A2144" t="s">
        <v>12885</v>
      </c>
      <c r="B2144" t="s">
        <v>12886</v>
      </c>
    </row>
    <row r="2145" spans="1:2" x14ac:dyDescent="0.25">
      <c r="A2145" t="s">
        <v>517</v>
      </c>
      <c r="B2145" t="s">
        <v>12887</v>
      </c>
    </row>
    <row r="2146" spans="1:2" x14ac:dyDescent="0.25">
      <c r="A2146" t="s">
        <v>519</v>
      </c>
      <c r="B2146" t="s">
        <v>12888</v>
      </c>
    </row>
    <row r="2147" spans="1:2" x14ac:dyDescent="0.25">
      <c r="A2147" t="s">
        <v>3571</v>
      </c>
      <c r="B2147" t="s">
        <v>12889</v>
      </c>
    </row>
    <row r="2148" spans="1:2" x14ac:dyDescent="0.25">
      <c r="A2148" t="s">
        <v>12890</v>
      </c>
      <c r="B2148" t="s">
        <v>12891</v>
      </c>
    </row>
    <row r="2149" spans="1:2" x14ac:dyDescent="0.25">
      <c r="A2149" t="s">
        <v>12892</v>
      </c>
      <c r="B2149" t="s">
        <v>12893</v>
      </c>
    </row>
    <row r="2150" spans="1:2" x14ac:dyDescent="0.25">
      <c r="A2150" t="s">
        <v>12894</v>
      </c>
      <c r="B2150" t="s">
        <v>12895</v>
      </c>
    </row>
    <row r="2151" spans="1:2" x14ac:dyDescent="0.25">
      <c r="A2151" t="s">
        <v>12896</v>
      </c>
      <c r="B2151" t="s">
        <v>12897</v>
      </c>
    </row>
    <row r="2152" spans="1:2" x14ac:dyDescent="0.25">
      <c r="A2152" t="s">
        <v>863</v>
      </c>
      <c r="B2152" t="s">
        <v>12898</v>
      </c>
    </row>
    <row r="2153" spans="1:2" x14ac:dyDescent="0.25">
      <c r="A2153" t="s">
        <v>12899</v>
      </c>
      <c r="B2153" t="s">
        <v>12900</v>
      </c>
    </row>
    <row r="2154" spans="1:2" x14ac:dyDescent="0.25">
      <c r="A2154" t="s">
        <v>12901</v>
      </c>
      <c r="B2154" t="s">
        <v>12902</v>
      </c>
    </row>
    <row r="2155" spans="1:2" x14ac:dyDescent="0.25">
      <c r="A2155" t="s">
        <v>12903</v>
      </c>
      <c r="B2155" t="s">
        <v>12904</v>
      </c>
    </row>
    <row r="2156" spans="1:2" x14ac:dyDescent="0.25">
      <c r="A2156" t="s">
        <v>521</v>
      </c>
      <c r="B2156" t="s">
        <v>12905</v>
      </c>
    </row>
    <row r="2157" spans="1:2" x14ac:dyDescent="0.25">
      <c r="A2157" t="s">
        <v>12906</v>
      </c>
      <c r="B2157" t="s">
        <v>12907</v>
      </c>
    </row>
    <row r="2158" spans="1:2" x14ac:dyDescent="0.25">
      <c r="A2158" t="s">
        <v>12908</v>
      </c>
      <c r="B2158" t="s">
        <v>12909</v>
      </c>
    </row>
    <row r="2159" spans="1:2" x14ac:dyDescent="0.25">
      <c r="A2159" t="s">
        <v>12910</v>
      </c>
      <c r="B2159" t="s">
        <v>12911</v>
      </c>
    </row>
    <row r="2160" spans="1:2" x14ac:dyDescent="0.25">
      <c r="A2160" t="s">
        <v>61</v>
      </c>
      <c r="B2160" t="s">
        <v>12912</v>
      </c>
    </row>
    <row r="2161" spans="1:2" x14ac:dyDescent="0.25">
      <c r="A2161" t="s">
        <v>12913</v>
      </c>
      <c r="B2161" t="s">
        <v>12914</v>
      </c>
    </row>
    <row r="2162" spans="1:2" x14ac:dyDescent="0.25">
      <c r="A2162" t="s">
        <v>2383</v>
      </c>
      <c r="B2162" t="s">
        <v>12915</v>
      </c>
    </row>
    <row r="2163" spans="1:2" x14ac:dyDescent="0.25">
      <c r="A2163" t="s">
        <v>12916</v>
      </c>
      <c r="B2163" t="s">
        <v>12917</v>
      </c>
    </row>
    <row r="2164" spans="1:2" x14ac:dyDescent="0.25">
      <c r="A2164" t="s">
        <v>12918</v>
      </c>
      <c r="B2164" t="s">
        <v>12919</v>
      </c>
    </row>
    <row r="2165" spans="1:2" x14ac:dyDescent="0.25">
      <c r="A2165" t="s">
        <v>12920</v>
      </c>
      <c r="B2165" t="s">
        <v>12921</v>
      </c>
    </row>
    <row r="2166" spans="1:2" x14ac:dyDescent="0.25">
      <c r="A2166" t="s">
        <v>12922</v>
      </c>
      <c r="B2166" t="s">
        <v>12923</v>
      </c>
    </row>
    <row r="2167" spans="1:2" x14ac:dyDescent="0.25">
      <c r="A2167" t="s">
        <v>3587</v>
      </c>
      <c r="B2167" t="s">
        <v>12924</v>
      </c>
    </row>
    <row r="2168" spans="1:2" x14ac:dyDescent="0.25">
      <c r="A2168" t="s">
        <v>12925</v>
      </c>
      <c r="B2168" t="s">
        <v>12926</v>
      </c>
    </row>
    <row r="2169" spans="1:2" x14ac:dyDescent="0.25">
      <c r="A2169" t="s">
        <v>12927</v>
      </c>
      <c r="B2169" t="s">
        <v>12928</v>
      </c>
    </row>
    <row r="2170" spans="1:2" x14ac:dyDescent="0.25">
      <c r="A2170" t="s">
        <v>12929</v>
      </c>
      <c r="B2170" t="s">
        <v>12930</v>
      </c>
    </row>
    <row r="2171" spans="1:2" x14ac:dyDescent="0.25">
      <c r="A2171" t="s">
        <v>12931</v>
      </c>
      <c r="B2171" t="s">
        <v>12932</v>
      </c>
    </row>
    <row r="2172" spans="1:2" x14ac:dyDescent="0.25">
      <c r="A2172" t="s">
        <v>12933</v>
      </c>
      <c r="B2172" t="s">
        <v>12934</v>
      </c>
    </row>
    <row r="2173" spans="1:2" x14ac:dyDescent="0.25">
      <c r="A2173" t="s">
        <v>12935</v>
      </c>
      <c r="B2173" t="s">
        <v>12936</v>
      </c>
    </row>
    <row r="2174" spans="1:2" x14ac:dyDescent="0.25">
      <c r="A2174" t="s">
        <v>12937</v>
      </c>
      <c r="B2174" t="s">
        <v>12938</v>
      </c>
    </row>
    <row r="2175" spans="1:2" x14ac:dyDescent="0.25">
      <c r="A2175" t="s">
        <v>12939</v>
      </c>
      <c r="B2175" t="s">
        <v>12940</v>
      </c>
    </row>
    <row r="2176" spans="1:2" x14ac:dyDescent="0.25">
      <c r="A2176" t="s">
        <v>12941</v>
      </c>
      <c r="B2176" t="s">
        <v>12942</v>
      </c>
    </row>
    <row r="2177" spans="1:2" x14ac:dyDescent="0.25">
      <c r="A2177" t="s">
        <v>12943</v>
      </c>
      <c r="B2177" t="s">
        <v>12944</v>
      </c>
    </row>
    <row r="2178" spans="1:2" x14ac:dyDescent="0.25">
      <c r="A2178" t="s">
        <v>12945</v>
      </c>
      <c r="B2178" t="s">
        <v>12946</v>
      </c>
    </row>
    <row r="2179" spans="1:2" x14ac:dyDescent="0.25">
      <c r="A2179" t="s">
        <v>12947</v>
      </c>
      <c r="B2179" t="s">
        <v>12948</v>
      </c>
    </row>
    <row r="2180" spans="1:2" x14ac:dyDescent="0.25">
      <c r="A2180" t="s">
        <v>12949</v>
      </c>
      <c r="B2180" t="s">
        <v>12950</v>
      </c>
    </row>
    <row r="2181" spans="1:2" x14ac:dyDescent="0.25">
      <c r="A2181" t="s">
        <v>12951</v>
      </c>
      <c r="B2181" t="s">
        <v>12952</v>
      </c>
    </row>
    <row r="2182" spans="1:2" x14ac:dyDescent="0.25">
      <c r="A2182" t="s">
        <v>12953</v>
      </c>
      <c r="B2182" t="s">
        <v>12954</v>
      </c>
    </row>
    <row r="2183" spans="1:2" x14ac:dyDescent="0.25">
      <c r="A2183" t="s">
        <v>12955</v>
      </c>
      <c r="B2183" t="s">
        <v>12956</v>
      </c>
    </row>
    <row r="2184" spans="1:2" x14ac:dyDescent="0.25">
      <c r="A2184" t="s">
        <v>12957</v>
      </c>
      <c r="B2184" t="s">
        <v>12958</v>
      </c>
    </row>
    <row r="2185" spans="1:2" x14ac:dyDescent="0.25">
      <c r="A2185" t="s">
        <v>12959</v>
      </c>
      <c r="B2185" t="s">
        <v>12960</v>
      </c>
    </row>
    <row r="2186" spans="1:2" x14ac:dyDescent="0.25">
      <c r="A2186" t="s">
        <v>12961</v>
      </c>
      <c r="B2186" t="s">
        <v>12962</v>
      </c>
    </row>
    <row r="2187" spans="1:2" x14ac:dyDescent="0.25">
      <c r="A2187" t="s">
        <v>12963</v>
      </c>
      <c r="B2187" t="s">
        <v>12964</v>
      </c>
    </row>
    <row r="2188" spans="1:2" x14ac:dyDescent="0.25">
      <c r="A2188" t="s">
        <v>12965</v>
      </c>
      <c r="B2188" t="s">
        <v>12966</v>
      </c>
    </row>
    <row r="2189" spans="1:2" x14ac:dyDescent="0.25">
      <c r="A2189" t="s">
        <v>12967</v>
      </c>
      <c r="B2189" t="s">
        <v>12968</v>
      </c>
    </row>
    <row r="2190" spans="1:2" x14ac:dyDescent="0.25">
      <c r="A2190" t="s">
        <v>12969</v>
      </c>
      <c r="B2190" t="s">
        <v>12970</v>
      </c>
    </row>
    <row r="2191" spans="1:2" x14ac:dyDescent="0.25">
      <c r="A2191" t="s">
        <v>12971</v>
      </c>
      <c r="B2191" t="s">
        <v>12972</v>
      </c>
    </row>
    <row r="2192" spans="1:2" x14ac:dyDescent="0.25">
      <c r="A2192" t="s">
        <v>12973</v>
      </c>
      <c r="B2192" t="s">
        <v>12974</v>
      </c>
    </row>
    <row r="2193" spans="1:2" x14ac:dyDescent="0.25">
      <c r="A2193" t="s">
        <v>12975</v>
      </c>
      <c r="B2193" t="s">
        <v>12976</v>
      </c>
    </row>
    <row r="2194" spans="1:2" x14ac:dyDescent="0.25">
      <c r="A2194" t="s">
        <v>12977</v>
      </c>
      <c r="B2194" t="s">
        <v>12978</v>
      </c>
    </row>
    <row r="2195" spans="1:2" x14ac:dyDescent="0.25">
      <c r="A2195" t="s">
        <v>12979</v>
      </c>
      <c r="B2195" t="s">
        <v>12980</v>
      </c>
    </row>
    <row r="2196" spans="1:2" x14ac:dyDescent="0.25">
      <c r="A2196" t="s">
        <v>12981</v>
      </c>
      <c r="B2196" t="s">
        <v>12982</v>
      </c>
    </row>
    <row r="2197" spans="1:2" x14ac:dyDescent="0.25">
      <c r="A2197" t="s">
        <v>12983</v>
      </c>
      <c r="B2197" t="s">
        <v>12984</v>
      </c>
    </row>
    <row r="2198" spans="1:2" x14ac:dyDescent="0.25">
      <c r="A2198" t="s">
        <v>12985</v>
      </c>
      <c r="B2198" t="s">
        <v>12986</v>
      </c>
    </row>
    <row r="2199" spans="1:2" x14ac:dyDescent="0.25">
      <c r="A2199" t="s">
        <v>12987</v>
      </c>
      <c r="B2199" t="s">
        <v>12988</v>
      </c>
    </row>
    <row r="2200" spans="1:2" x14ac:dyDescent="0.25">
      <c r="A2200" t="s">
        <v>62</v>
      </c>
      <c r="B2200" t="s">
        <v>12989</v>
      </c>
    </row>
    <row r="2201" spans="1:2" x14ac:dyDescent="0.25">
      <c r="A2201" t="s">
        <v>12990</v>
      </c>
      <c r="B2201" t="s">
        <v>12991</v>
      </c>
    </row>
    <row r="2202" spans="1:2" x14ac:dyDescent="0.25">
      <c r="A2202" t="s">
        <v>12992</v>
      </c>
      <c r="B2202" t="s">
        <v>12993</v>
      </c>
    </row>
    <row r="2203" spans="1:2" x14ac:dyDescent="0.25">
      <c r="A2203" t="s">
        <v>12994</v>
      </c>
      <c r="B2203" t="s">
        <v>12995</v>
      </c>
    </row>
    <row r="2204" spans="1:2" x14ac:dyDescent="0.25">
      <c r="A2204" t="s">
        <v>12996</v>
      </c>
      <c r="B2204" t="s">
        <v>12997</v>
      </c>
    </row>
    <row r="2205" spans="1:2" x14ac:dyDescent="0.25">
      <c r="A2205" t="s">
        <v>12998</v>
      </c>
      <c r="B2205" t="s">
        <v>12999</v>
      </c>
    </row>
    <row r="2206" spans="1:2" x14ac:dyDescent="0.25">
      <c r="A2206" t="s">
        <v>13000</v>
      </c>
      <c r="B2206" t="s">
        <v>13001</v>
      </c>
    </row>
    <row r="2207" spans="1:2" x14ac:dyDescent="0.25">
      <c r="A2207" t="s">
        <v>13002</v>
      </c>
      <c r="B2207" t="s">
        <v>13003</v>
      </c>
    </row>
    <row r="2208" spans="1:2" x14ac:dyDescent="0.25">
      <c r="A2208" t="s">
        <v>13004</v>
      </c>
      <c r="B2208" t="s">
        <v>13005</v>
      </c>
    </row>
    <row r="2209" spans="1:2" x14ac:dyDescent="0.25">
      <c r="A2209" t="s">
        <v>13006</v>
      </c>
      <c r="B2209" t="s">
        <v>13007</v>
      </c>
    </row>
    <row r="2210" spans="1:2" x14ac:dyDescent="0.25">
      <c r="A2210" t="s">
        <v>13008</v>
      </c>
      <c r="B2210" t="s">
        <v>13009</v>
      </c>
    </row>
    <row r="2211" spans="1:2" x14ac:dyDescent="0.25">
      <c r="A2211" t="s">
        <v>13010</v>
      </c>
      <c r="B2211" t="s">
        <v>13011</v>
      </c>
    </row>
    <row r="2212" spans="1:2" x14ac:dyDescent="0.25">
      <c r="A2212" t="s">
        <v>13012</v>
      </c>
      <c r="B2212" t="s">
        <v>13013</v>
      </c>
    </row>
    <row r="2213" spans="1:2" x14ac:dyDescent="0.25">
      <c r="A2213" t="s">
        <v>13014</v>
      </c>
      <c r="B2213" t="s">
        <v>13015</v>
      </c>
    </row>
    <row r="2214" spans="1:2" x14ac:dyDescent="0.25">
      <c r="A2214" t="s">
        <v>13016</v>
      </c>
      <c r="B2214" t="s">
        <v>13017</v>
      </c>
    </row>
    <row r="2215" spans="1:2" x14ac:dyDescent="0.25">
      <c r="A2215" t="s">
        <v>13018</v>
      </c>
      <c r="B2215" t="s">
        <v>13019</v>
      </c>
    </row>
    <row r="2216" spans="1:2" x14ac:dyDescent="0.25">
      <c r="A2216" t="s">
        <v>13020</v>
      </c>
      <c r="B2216" t="s">
        <v>13021</v>
      </c>
    </row>
    <row r="2217" spans="1:2" x14ac:dyDescent="0.25">
      <c r="A2217" t="s">
        <v>13022</v>
      </c>
      <c r="B2217" t="s">
        <v>13023</v>
      </c>
    </row>
    <row r="2218" spans="1:2" x14ac:dyDescent="0.25">
      <c r="A2218" t="s">
        <v>13024</v>
      </c>
      <c r="B2218" t="s">
        <v>13025</v>
      </c>
    </row>
    <row r="2219" spans="1:2" x14ac:dyDescent="0.25">
      <c r="A2219" t="s">
        <v>13026</v>
      </c>
      <c r="B2219" t="s">
        <v>13027</v>
      </c>
    </row>
    <row r="2220" spans="1:2" x14ac:dyDescent="0.25">
      <c r="A2220" t="s">
        <v>13028</v>
      </c>
      <c r="B2220" t="s">
        <v>13029</v>
      </c>
    </row>
    <row r="2221" spans="1:2" x14ac:dyDescent="0.25">
      <c r="A2221" t="s">
        <v>13030</v>
      </c>
      <c r="B2221" t="s">
        <v>13031</v>
      </c>
    </row>
    <row r="2222" spans="1:2" x14ac:dyDescent="0.25">
      <c r="A2222" t="s">
        <v>63</v>
      </c>
      <c r="B2222" t="s">
        <v>13032</v>
      </c>
    </row>
    <row r="2223" spans="1:2" x14ac:dyDescent="0.25">
      <c r="A2223" t="s">
        <v>13033</v>
      </c>
      <c r="B2223" t="s">
        <v>13034</v>
      </c>
    </row>
    <row r="2224" spans="1:2" x14ac:dyDescent="0.25">
      <c r="A2224" t="s">
        <v>13035</v>
      </c>
      <c r="B2224" t="s">
        <v>13036</v>
      </c>
    </row>
    <row r="2225" spans="1:2" x14ac:dyDescent="0.25">
      <c r="A2225" t="s">
        <v>13037</v>
      </c>
      <c r="B2225" t="s">
        <v>13038</v>
      </c>
    </row>
    <row r="2226" spans="1:2" x14ac:dyDescent="0.25">
      <c r="A2226" t="s">
        <v>13039</v>
      </c>
      <c r="B2226" t="s">
        <v>13040</v>
      </c>
    </row>
    <row r="2227" spans="1:2" x14ac:dyDescent="0.25">
      <c r="A2227" t="s">
        <v>13041</v>
      </c>
      <c r="B2227" t="s">
        <v>13042</v>
      </c>
    </row>
    <row r="2228" spans="1:2" x14ac:dyDescent="0.25">
      <c r="A2228" t="s">
        <v>13043</v>
      </c>
      <c r="B2228" t="s">
        <v>13044</v>
      </c>
    </row>
    <row r="2229" spans="1:2" x14ac:dyDescent="0.25">
      <c r="A2229" t="s">
        <v>13045</v>
      </c>
      <c r="B2229" t="s">
        <v>13046</v>
      </c>
    </row>
    <row r="2230" spans="1:2" x14ac:dyDescent="0.25">
      <c r="A2230" t="s">
        <v>13047</v>
      </c>
      <c r="B2230" t="s">
        <v>13048</v>
      </c>
    </row>
    <row r="2231" spans="1:2" x14ac:dyDescent="0.25">
      <c r="A2231" t="s">
        <v>13049</v>
      </c>
      <c r="B2231" t="s">
        <v>13050</v>
      </c>
    </row>
    <row r="2232" spans="1:2" x14ac:dyDescent="0.25">
      <c r="A2232" t="s">
        <v>13051</v>
      </c>
      <c r="B2232" t="s">
        <v>13052</v>
      </c>
    </row>
    <row r="2233" spans="1:2" x14ac:dyDescent="0.25">
      <c r="A2233" t="s">
        <v>13053</v>
      </c>
      <c r="B2233" t="s">
        <v>13054</v>
      </c>
    </row>
    <row r="2234" spans="1:2" x14ac:dyDescent="0.25">
      <c r="A2234" t="s">
        <v>13055</v>
      </c>
      <c r="B2234" t="s">
        <v>13056</v>
      </c>
    </row>
    <row r="2235" spans="1:2" x14ac:dyDescent="0.25">
      <c r="A2235" t="s">
        <v>13057</v>
      </c>
      <c r="B2235" t="s">
        <v>13058</v>
      </c>
    </row>
    <row r="2236" spans="1:2" x14ac:dyDescent="0.25">
      <c r="A2236" t="s">
        <v>13059</v>
      </c>
      <c r="B2236" t="s">
        <v>13060</v>
      </c>
    </row>
    <row r="2237" spans="1:2" x14ac:dyDescent="0.25">
      <c r="A2237" t="s">
        <v>13061</v>
      </c>
      <c r="B2237" t="s">
        <v>11178</v>
      </c>
    </row>
    <row r="2238" spans="1:2" x14ac:dyDescent="0.25">
      <c r="A2238" t="s">
        <v>13062</v>
      </c>
      <c r="B2238" t="s">
        <v>13063</v>
      </c>
    </row>
    <row r="2239" spans="1:2" x14ac:dyDescent="0.25">
      <c r="A2239" t="s">
        <v>13064</v>
      </c>
      <c r="B2239" t="s">
        <v>13065</v>
      </c>
    </row>
    <row r="2240" spans="1:2" x14ac:dyDescent="0.25">
      <c r="A2240" t="s">
        <v>13066</v>
      </c>
      <c r="B2240" t="s">
        <v>13067</v>
      </c>
    </row>
    <row r="2241" spans="1:2" x14ac:dyDescent="0.25">
      <c r="A2241" t="s">
        <v>13068</v>
      </c>
      <c r="B2241" t="s">
        <v>13069</v>
      </c>
    </row>
    <row r="2242" spans="1:2" x14ac:dyDescent="0.25">
      <c r="A2242" t="s">
        <v>13070</v>
      </c>
      <c r="B2242" t="s">
        <v>13071</v>
      </c>
    </row>
    <row r="2243" spans="1:2" x14ac:dyDescent="0.25">
      <c r="A2243" t="s">
        <v>13072</v>
      </c>
      <c r="B2243" t="s">
        <v>13073</v>
      </c>
    </row>
    <row r="2244" spans="1:2" x14ac:dyDescent="0.25">
      <c r="A2244" t="s">
        <v>13074</v>
      </c>
      <c r="B2244" t="s">
        <v>13075</v>
      </c>
    </row>
    <row r="2245" spans="1:2" x14ac:dyDescent="0.25">
      <c r="A2245" t="s">
        <v>64</v>
      </c>
      <c r="B2245" t="s">
        <v>13076</v>
      </c>
    </row>
    <row r="2246" spans="1:2" x14ac:dyDescent="0.25">
      <c r="A2246" t="s">
        <v>13077</v>
      </c>
      <c r="B2246" t="s">
        <v>13078</v>
      </c>
    </row>
    <row r="2247" spans="1:2" x14ac:dyDescent="0.25">
      <c r="A2247" t="s">
        <v>13079</v>
      </c>
      <c r="B2247" t="s">
        <v>13080</v>
      </c>
    </row>
    <row r="2248" spans="1:2" x14ac:dyDescent="0.25">
      <c r="A2248" t="s">
        <v>13081</v>
      </c>
      <c r="B2248" t="s">
        <v>13082</v>
      </c>
    </row>
    <row r="2249" spans="1:2" x14ac:dyDescent="0.25">
      <c r="A2249" t="s">
        <v>13083</v>
      </c>
      <c r="B2249" t="s">
        <v>13084</v>
      </c>
    </row>
    <row r="2250" spans="1:2" x14ac:dyDescent="0.25">
      <c r="A2250" t="s">
        <v>13085</v>
      </c>
      <c r="B2250" t="s">
        <v>13086</v>
      </c>
    </row>
    <row r="2251" spans="1:2" x14ac:dyDescent="0.25">
      <c r="A2251" t="s">
        <v>13087</v>
      </c>
      <c r="B2251" t="s">
        <v>13088</v>
      </c>
    </row>
    <row r="2252" spans="1:2" x14ac:dyDescent="0.25">
      <c r="A2252" t="s">
        <v>13089</v>
      </c>
      <c r="B2252" t="s">
        <v>13090</v>
      </c>
    </row>
    <row r="2253" spans="1:2" x14ac:dyDescent="0.25">
      <c r="A2253" t="s">
        <v>13091</v>
      </c>
      <c r="B2253" t="s">
        <v>13092</v>
      </c>
    </row>
    <row r="2254" spans="1:2" x14ac:dyDescent="0.25">
      <c r="A2254" t="s">
        <v>13093</v>
      </c>
      <c r="B2254" t="s">
        <v>13094</v>
      </c>
    </row>
    <row r="2255" spans="1:2" x14ac:dyDescent="0.25">
      <c r="A2255" t="s">
        <v>13095</v>
      </c>
      <c r="B2255" t="s">
        <v>13096</v>
      </c>
    </row>
    <row r="2256" spans="1:2" x14ac:dyDescent="0.25">
      <c r="A2256" t="s">
        <v>13097</v>
      </c>
      <c r="B2256" t="s">
        <v>13098</v>
      </c>
    </row>
    <row r="2257" spans="1:2" x14ac:dyDescent="0.25">
      <c r="A2257" t="s">
        <v>13099</v>
      </c>
      <c r="B2257" t="s">
        <v>13100</v>
      </c>
    </row>
    <row r="2258" spans="1:2" x14ac:dyDescent="0.25">
      <c r="A2258" t="s">
        <v>13101</v>
      </c>
      <c r="B2258" t="s">
        <v>13102</v>
      </c>
    </row>
    <row r="2259" spans="1:2" x14ac:dyDescent="0.25">
      <c r="A2259" t="s">
        <v>13103</v>
      </c>
      <c r="B2259" t="s">
        <v>13104</v>
      </c>
    </row>
    <row r="2260" spans="1:2" x14ac:dyDescent="0.25">
      <c r="A2260" t="s">
        <v>13105</v>
      </c>
      <c r="B2260" t="s">
        <v>13106</v>
      </c>
    </row>
    <row r="2261" spans="1:2" x14ac:dyDescent="0.25">
      <c r="A2261" t="s">
        <v>13107</v>
      </c>
      <c r="B2261" t="s">
        <v>13108</v>
      </c>
    </row>
    <row r="2262" spans="1:2" x14ac:dyDescent="0.25">
      <c r="A2262" t="s">
        <v>13109</v>
      </c>
      <c r="B2262" t="s">
        <v>13110</v>
      </c>
    </row>
    <row r="2263" spans="1:2" x14ac:dyDescent="0.25">
      <c r="A2263" t="s">
        <v>13111</v>
      </c>
      <c r="B2263" t="s">
        <v>13112</v>
      </c>
    </row>
    <row r="2264" spans="1:2" x14ac:dyDescent="0.25">
      <c r="A2264" t="s">
        <v>13113</v>
      </c>
      <c r="B2264" t="s">
        <v>13114</v>
      </c>
    </row>
    <row r="2265" spans="1:2" x14ac:dyDescent="0.25">
      <c r="A2265" t="s">
        <v>13115</v>
      </c>
      <c r="B2265" t="s">
        <v>13116</v>
      </c>
    </row>
    <row r="2266" spans="1:2" x14ac:dyDescent="0.25">
      <c r="A2266" t="s">
        <v>13117</v>
      </c>
      <c r="B2266" t="s">
        <v>13118</v>
      </c>
    </row>
    <row r="2267" spans="1:2" x14ac:dyDescent="0.25">
      <c r="A2267" t="s">
        <v>13119</v>
      </c>
      <c r="B2267" t="s">
        <v>13120</v>
      </c>
    </row>
    <row r="2268" spans="1:2" x14ac:dyDescent="0.25">
      <c r="A2268" t="s">
        <v>13121</v>
      </c>
      <c r="B2268" t="s">
        <v>13122</v>
      </c>
    </row>
    <row r="2269" spans="1:2" x14ac:dyDescent="0.25">
      <c r="A2269" t="s">
        <v>13123</v>
      </c>
      <c r="B2269" t="s">
        <v>13124</v>
      </c>
    </row>
    <row r="2270" spans="1:2" x14ac:dyDescent="0.25">
      <c r="A2270" t="s">
        <v>3612</v>
      </c>
      <c r="B2270" t="s">
        <v>13125</v>
      </c>
    </row>
    <row r="2271" spans="1:2" x14ac:dyDescent="0.25">
      <c r="A2271" t="s">
        <v>13126</v>
      </c>
      <c r="B2271" t="s">
        <v>13127</v>
      </c>
    </row>
    <row r="2272" spans="1:2" x14ac:dyDescent="0.25">
      <c r="A2272" t="s">
        <v>13128</v>
      </c>
      <c r="B2272" t="s">
        <v>13129</v>
      </c>
    </row>
    <row r="2273" spans="1:2" x14ac:dyDescent="0.25">
      <c r="A2273" t="s">
        <v>13130</v>
      </c>
      <c r="B2273" t="s">
        <v>13131</v>
      </c>
    </row>
    <row r="2274" spans="1:2" x14ac:dyDescent="0.25">
      <c r="A2274" t="s">
        <v>13132</v>
      </c>
      <c r="B2274" t="s">
        <v>13133</v>
      </c>
    </row>
    <row r="2275" spans="1:2" x14ac:dyDescent="0.25">
      <c r="A2275" t="s">
        <v>524</v>
      </c>
      <c r="B2275" t="s">
        <v>13134</v>
      </c>
    </row>
    <row r="2276" spans="1:2" x14ac:dyDescent="0.25">
      <c r="A2276" t="s">
        <v>13135</v>
      </c>
      <c r="B2276" t="s">
        <v>13136</v>
      </c>
    </row>
    <row r="2277" spans="1:2" x14ac:dyDescent="0.25">
      <c r="A2277" t="s">
        <v>13137</v>
      </c>
      <c r="B2277" t="s">
        <v>13138</v>
      </c>
    </row>
    <row r="2278" spans="1:2" x14ac:dyDescent="0.25">
      <c r="A2278" t="s">
        <v>13139</v>
      </c>
      <c r="B2278" t="s">
        <v>13140</v>
      </c>
    </row>
    <row r="2279" spans="1:2" x14ac:dyDescent="0.25">
      <c r="A2279" t="s">
        <v>13141</v>
      </c>
      <c r="B2279" t="s">
        <v>13142</v>
      </c>
    </row>
    <row r="2280" spans="1:2" x14ac:dyDescent="0.25">
      <c r="A2280" t="s">
        <v>13143</v>
      </c>
      <c r="B2280" t="s">
        <v>13144</v>
      </c>
    </row>
    <row r="2281" spans="1:2" x14ac:dyDescent="0.25">
      <c r="A2281" t="s">
        <v>3633</v>
      </c>
      <c r="B2281" t="s">
        <v>13145</v>
      </c>
    </row>
    <row r="2282" spans="1:2" x14ac:dyDescent="0.25">
      <c r="A2282" t="s">
        <v>13146</v>
      </c>
      <c r="B2282" t="s">
        <v>13147</v>
      </c>
    </row>
    <row r="2283" spans="1:2" x14ac:dyDescent="0.25">
      <c r="A2283" t="s">
        <v>13148</v>
      </c>
      <c r="B2283" t="s">
        <v>13149</v>
      </c>
    </row>
    <row r="2284" spans="1:2" x14ac:dyDescent="0.25">
      <c r="A2284" t="s">
        <v>13150</v>
      </c>
      <c r="B2284" t="s">
        <v>13151</v>
      </c>
    </row>
    <row r="2285" spans="1:2" x14ac:dyDescent="0.25">
      <c r="A2285" t="s">
        <v>13152</v>
      </c>
      <c r="B2285" t="s">
        <v>13153</v>
      </c>
    </row>
    <row r="2286" spans="1:2" x14ac:dyDescent="0.25">
      <c r="A2286" t="s">
        <v>13154</v>
      </c>
      <c r="B2286" t="s">
        <v>13155</v>
      </c>
    </row>
    <row r="2287" spans="1:2" x14ac:dyDescent="0.25">
      <c r="A2287" t="s">
        <v>13156</v>
      </c>
      <c r="B2287" t="s">
        <v>13157</v>
      </c>
    </row>
    <row r="2288" spans="1:2" x14ac:dyDescent="0.25">
      <c r="A2288" t="s">
        <v>13158</v>
      </c>
      <c r="B2288" t="s">
        <v>13159</v>
      </c>
    </row>
    <row r="2289" spans="1:2" x14ac:dyDescent="0.25">
      <c r="A2289" t="s">
        <v>13160</v>
      </c>
      <c r="B2289" t="s">
        <v>13161</v>
      </c>
    </row>
    <row r="2290" spans="1:2" x14ac:dyDescent="0.25">
      <c r="A2290" t="s">
        <v>13162</v>
      </c>
      <c r="B2290" t="s">
        <v>13163</v>
      </c>
    </row>
    <row r="2291" spans="1:2" x14ac:dyDescent="0.25">
      <c r="A2291" t="s">
        <v>13164</v>
      </c>
      <c r="B2291" t="s">
        <v>13165</v>
      </c>
    </row>
    <row r="2292" spans="1:2" x14ac:dyDescent="0.25">
      <c r="A2292" t="s">
        <v>13166</v>
      </c>
      <c r="B2292" t="s">
        <v>13167</v>
      </c>
    </row>
    <row r="2293" spans="1:2" x14ac:dyDescent="0.25">
      <c r="A2293" t="s">
        <v>13168</v>
      </c>
      <c r="B2293" t="s">
        <v>13169</v>
      </c>
    </row>
    <row r="2294" spans="1:2" x14ac:dyDescent="0.25">
      <c r="A2294" t="s">
        <v>13170</v>
      </c>
      <c r="B2294" t="s">
        <v>13171</v>
      </c>
    </row>
    <row r="2295" spans="1:2" x14ac:dyDescent="0.25">
      <c r="A2295" t="s">
        <v>13172</v>
      </c>
      <c r="B2295" t="s">
        <v>13173</v>
      </c>
    </row>
    <row r="2296" spans="1:2" x14ac:dyDescent="0.25">
      <c r="A2296" t="s">
        <v>13174</v>
      </c>
      <c r="B2296" t="s">
        <v>13175</v>
      </c>
    </row>
    <row r="2297" spans="1:2" x14ac:dyDescent="0.25">
      <c r="A2297" t="s">
        <v>13176</v>
      </c>
      <c r="B2297" t="s">
        <v>13177</v>
      </c>
    </row>
    <row r="2298" spans="1:2" x14ac:dyDescent="0.25">
      <c r="A2298" t="s">
        <v>13178</v>
      </c>
      <c r="B2298" t="s">
        <v>13179</v>
      </c>
    </row>
    <row r="2299" spans="1:2" x14ac:dyDescent="0.25">
      <c r="A2299" t="s">
        <v>13180</v>
      </c>
      <c r="B2299" t="s">
        <v>13181</v>
      </c>
    </row>
    <row r="2300" spans="1:2" x14ac:dyDescent="0.25">
      <c r="A2300" t="s">
        <v>13182</v>
      </c>
      <c r="B2300" t="s">
        <v>13183</v>
      </c>
    </row>
    <row r="2301" spans="1:2" x14ac:dyDescent="0.25">
      <c r="A2301" t="s">
        <v>13184</v>
      </c>
      <c r="B2301" t="s">
        <v>13185</v>
      </c>
    </row>
    <row r="2302" spans="1:2" x14ac:dyDescent="0.25">
      <c r="A2302" t="s">
        <v>13186</v>
      </c>
      <c r="B2302" t="s">
        <v>13187</v>
      </c>
    </row>
    <row r="2303" spans="1:2" x14ac:dyDescent="0.25">
      <c r="A2303" t="s">
        <v>13188</v>
      </c>
      <c r="B2303" t="s">
        <v>13189</v>
      </c>
    </row>
    <row r="2304" spans="1:2" x14ac:dyDescent="0.25">
      <c r="A2304" t="s">
        <v>13190</v>
      </c>
      <c r="B2304" t="s">
        <v>13191</v>
      </c>
    </row>
    <row r="2305" spans="1:2" x14ac:dyDescent="0.25">
      <c r="A2305" t="s">
        <v>13192</v>
      </c>
      <c r="B2305" t="s">
        <v>13193</v>
      </c>
    </row>
    <row r="2306" spans="1:2" x14ac:dyDescent="0.25">
      <c r="A2306" t="s">
        <v>13194</v>
      </c>
      <c r="B2306" t="s">
        <v>13195</v>
      </c>
    </row>
    <row r="2307" spans="1:2" x14ac:dyDescent="0.25">
      <c r="A2307" t="s">
        <v>13196</v>
      </c>
      <c r="B2307" t="s">
        <v>13197</v>
      </c>
    </row>
    <row r="2308" spans="1:2" x14ac:dyDescent="0.25">
      <c r="A2308" t="s">
        <v>2386</v>
      </c>
      <c r="B2308" t="s">
        <v>13198</v>
      </c>
    </row>
    <row r="2309" spans="1:2" x14ac:dyDescent="0.25">
      <c r="A2309" t="s">
        <v>13199</v>
      </c>
      <c r="B2309" t="s">
        <v>13200</v>
      </c>
    </row>
    <row r="2310" spans="1:2" x14ac:dyDescent="0.25">
      <c r="A2310" t="s">
        <v>13201</v>
      </c>
      <c r="B2310" t="s">
        <v>13202</v>
      </c>
    </row>
    <row r="2311" spans="1:2" x14ac:dyDescent="0.25">
      <c r="A2311" t="s">
        <v>13203</v>
      </c>
      <c r="B2311" t="s">
        <v>13204</v>
      </c>
    </row>
    <row r="2312" spans="1:2" x14ac:dyDescent="0.25">
      <c r="A2312" t="s">
        <v>13205</v>
      </c>
      <c r="B2312" t="s">
        <v>13206</v>
      </c>
    </row>
    <row r="2313" spans="1:2" x14ac:dyDescent="0.25">
      <c r="A2313" t="s">
        <v>13207</v>
      </c>
      <c r="B2313" t="s">
        <v>13208</v>
      </c>
    </row>
    <row r="2314" spans="1:2" x14ac:dyDescent="0.25">
      <c r="A2314" t="s">
        <v>13209</v>
      </c>
      <c r="B2314" t="s">
        <v>13210</v>
      </c>
    </row>
    <row r="2315" spans="1:2" x14ac:dyDescent="0.25">
      <c r="A2315" t="s">
        <v>13211</v>
      </c>
      <c r="B2315" t="s">
        <v>13212</v>
      </c>
    </row>
    <row r="2316" spans="1:2" x14ac:dyDescent="0.25">
      <c r="A2316" t="s">
        <v>13213</v>
      </c>
      <c r="B2316" t="s">
        <v>13214</v>
      </c>
    </row>
    <row r="2317" spans="1:2" x14ac:dyDescent="0.25">
      <c r="A2317" t="s">
        <v>13215</v>
      </c>
      <c r="B2317" t="s">
        <v>13216</v>
      </c>
    </row>
    <row r="2318" spans="1:2" x14ac:dyDescent="0.25">
      <c r="A2318" t="s">
        <v>13217</v>
      </c>
      <c r="B2318" t="s">
        <v>13218</v>
      </c>
    </row>
    <row r="2319" spans="1:2" x14ac:dyDescent="0.25">
      <c r="A2319" t="s">
        <v>13219</v>
      </c>
      <c r="B2319" t="s">
        <v>13220</v>
      </c>
    </row>
    <row r="2320" spans="1:2" x14ac:dyDescent="0.25">
      <c r="A2320" t="s">
        <v>13221</v>
      </c>
      <c r="B2320" t="s">
        <v>13222</v>
      </c>
    </row>
    <row r="2321" spans="1:2" x14ac:dyDescent="0.25">
      <c r="A2321" t="s">
        <v>13223</v>
      </c>
      <c r="B2321" t="s">
        <v>13224</v>
      </c>
    </row>
    <row r="2322" spans="1:2" x14ac:dyDescent="0.25">
      <c r="A2322" t="s">
        <v>13225</v>
      </c>
      <c r="B2322" t="s">
        <v>13226</v>
      </c>
    </row>
    <row r="2323" spans="1:2" x14ac:dyDescent="0.25">
      <c r="A2323" t="s">
        <v>13227</v>
      </c>
      <c r="B2323" t="s">
        <v>13228</v>
      </c>
    </row>
    <row r="2324" spans="1:2" x14ac:dyDescent="0.25">
      <c r="A2324" t="s">
        <v>13229</v>
      </c>
      <c r="B2324" t="s">
        <v>13230</v>
      </c>
    </row>
    <row r="2325" spans="1:2" x14ac:dyDescent="0.25">
      <c r="A2325" t="s">
        <v>13231</v>
      </c>
      <c r="B2325" t="s">
        <v>13232</v>
      </c>
    </row>
    <row r="2326" spans="1:2" x14ac:dyDescent="0.25">
      <c r="A2326" t="s">
        <v>360</v>
      </c>
      <c r="B2326" t="s">
        <v>13155</v>
      </c>
    </row>
    <row r="2327" spans="1:2" x14ac:dyDescent="0.25">
      <c r="A2327" t="s">
        <v>13233</v>
      </c>
      <c r="B2327" t="s">
        <v>13234</v>
      </c>
    </row>
    <row r="2328" spans="1:2" x14ac:dyDescent="0.25">
      <c r="A2328" t="s">
        <v>13235</v>
      </c>
      <c r="B2328" t="s">
        <v>13236</v>
      </c>
    </row>
    <row r="2329" spans="1:2" x14ac:dyDescent="0.25">
      <c r="A2329" t="s">
        <v>2389</v>
      </c>
      <c r="B2329" t="s">
        <v>13237</v>
      </c>
    </row>
    <row r="2330" spans="1:2" x14ac:dyDescent="0.25">
      <c r="A2330" t="s">
        <v>13238</v>
      </c>
      <c r="B2330" t="s">
        <v>13239</v>
      </c>
    </row>
    <row r="2331" spans="1:2" x14ac:dyDescent="0.25">
      <c r="A2331" t="s">
        <v>13240</v>
      </c>
      <c r="B2331" t="s">
        <v>13241</v>
      </c>
    </row>
    <row r="2332" spans="1:2" x14ac:dyDescent="0.25">
      <c r="A2332" t="s">
        <v>13242</v>
      </c>
      <c r="B2332" t="s">
        <v>13243</v>
      </c>
    </row>
    <row r="2333" spans="1:2" x14ac:dyDescent="0.25">
      <c r="A2333" t="s">
        <v>13244</v>
      </c>
      <c r="B2333" t="s">
        <v>13245</v>
      </c>
    </row>
    <row r="2334" spans="1:2" x14ac:dyDescent="0.25">
      <c r="A2334" t="s">
        <v>13246</v>
      </c>
      <c r="B2334" t="s">
        <v>13247</v>
      </c>
    </row>
    <row r="2335" spans="1:2" x14ac:dyDescent="0.25">
      <c r="A2335" t="s">
        <v>13248</v>
      </c>
      <c r="B2335" t="s">
        <v>13249</v>
      </c>
    </row>
    <row r="2336" spans="1:2" x14ac:dyDescent="0.25">
      <c r="A2336" t="s">
        <v>13250</v>
      </c>
      <c r="B2336" t="s">
        <v>13251</v>
      </c>
    </row>
    <row r="2337" spans="1:2" x14ac:dyDescent="0.25">
      <c r="A2337" t="s">
        <v>13252</v>
      </c>
      <c r="B2337" t="s">
        <v>13253</v>
      </c>
    </row>
    <row r="2338" spans="1:2" x14ac:dyDescent="0.25">
      <c r="A2338" t="s">
        <v>13254</v>
      </c>
      <c r="B2338" t="s">
        <v>13255</v>
      </c>
    </row>
    <row r="2339" spans="1:2" x14ac:dyDescent="0.25">
      <c r="A2339" t="s">
        <v>13256</v>
      </c>
      <c r="B2339" t="s">
        <v>13257</v>
      </c>
    </row>
    <row r="2340" spans="1:2" x14ac:dyDescent="0.25">
      <c r="A2340" t="s">
        <v>13258</v>
      </c>
      <c r="B2340" t="s">
        <v>13259</v>
      </c>
    </row>
    <row r="2341" spans="1:2" x14ac:dyDescent="0.25">
      <c r="A2341" t="s">
        <v>13260</v>
      </c>
      <c r="B2341" t="s">
        <v>13261</v>
      </c>
    </row>
    <row r="2342" spans="1:2" x14ac:dyDescent="0.25">
      <c r="A2342" t="s">
        <v>205</v>
      </c>
      <c r="B2342" t="s">
        <v>13262</v>
      </c>
    </row>
    <row r="2343" spans="1:2" x14ac:dyDescent="0.25">
      <c r="A2343" t="s">
        <v>13263</v>
      </c>
      <c r="B2343" t="s">
        <v>13264</v>
      </c>
    </row>
    <row r="2344" spans="1:2" x14ac:dyDescent="0.25">
      <c r="A2344" t="s">
        <v>13265</v>
      </c>
      <c r="B2344" t="s">
        <v>13266</v>
      </c>
    </row>
    <row r="2345" spans="1:2" x14ac:dyDescent="0.25">
      <c r="A2345" t="s">
        <v>13267</v>
      </c>
      <c r="B2345" t="s">
        <v>13268</v>
      </c>
    </row>
    <row r="2346" spans="1:2" x14ac:dyDescent="0.25">
      <c r="A2346" t="s">
        <v>13269</v>
      </c>
      <c r="B2346" t="s">
        <v>13270</v>
      </c>
    </row>
    <row r="2347" spans="1:2" x14ac:dyDescent="0.25">
      <c r="A2347" t="s">
        <v>13271</v>
      </c>
      <c r="B2347" t="s">
        <v>13272</v>
      </c>
    </row>
    <row r="2348" spans="1:2" x14ac:dyDescent="0.25">
      <c r="A2348" t="s">
        <v>65</v>
      </c>
      <c r="B2348" t="s">
        <v>13273</v>
      </c>
    </row>
    <row r="2349" spans="1:2" x14ac:dyDescent="0.25">
      <c r="A2349" t="s">
        <v>13274</v>
      </c>
      <c r="B2349" t="s">
        <v>13275</v>
      </c>
    </row>
    <row r="2350" spans="1:2" x14ac:dyDescent="0.25">
      <c r="A2350" t="s">
        <v>13276</v>
      </c>
      <c r="B2350" t="s">
        <v>13277</v>
      </c>
    </row>
    <row r="2351" spans="1:2" x14ac:dyDescent="0.25">
      <c r="A2351" t="s">
        <v>13278</v>
      </c>
      <c r="B2351" t="s">
        <v>13279</v>
      </c>
    </row>
    <row r="2352" spans="1:2" x14ac:dyDescent="0.25">
      <c r="A2352" t="s">
        <v>13280</v>
      </c>
      <c r="B2352" t="s">
        <v>13281</v>
      </c>
    </row>
    <row r="2353" spans="1:2" x14ac:dyDescent="0.25">
      <c r="A2353" t="s">
        <v>13282</v>
      </c>
      <c r="B2353" t="s">
        <v>13283</v>
      </c>
    </row>
    <row r="2354" spans="1:2" x14ac:dyDescent="0.25">
      <c r="A2354" t="s">
        <v>13284</v>
      </c>
      <c r="B2354" t="s">
        <v>13285</v>
      </c>
    </row>
    <row r="2355" spans="1:2" x14ac:dyDescent="0.25">
      <c r="A2355" t="s">
        <v>13286</v>
      </c>
      <c r="B2355" t="s">
        <v>13287</v>
      </c>
    </row>
    <row r="2356" spans="1:2" x14ac:dyDescent="0.25">
      <c r="A2356" t="s">
        <v>13288</v>
      </c>
      <c r="B2356" t="s">
        <v>13289</v>
      </c>
    </row>
    <row r="2357" spans="1:2" x14ac:dyDescent="0.25">
      <c r="A2357" t="s">
        <v>729</v>
      </c>
      <c r="B2357" t="s">
        <v>13290</v>
      </c>
    </row>
    <row r="2358" spans="1:2" x14ac:dyDescent="0.25">
      <c r="A2358" t="s">
        <v>13291</v>
      </c>
      <c r="B2358" t="s">
        <v>13292</v>
      </c>
    </row>
    <row r="2359" spans="1:2" x14ac:dyDescent="0.25">
      <c r="A2359" t="s">
        <v>13293</v>
      </c>
      <c r="B2359" t="s">
        <v>13294</v>
      </c>
    </row>
    <row r="2360" spans="1:2" x14ac:dyDescent="0.25">
      <c r="A2360" t="s">
        <v>13295</v>
      </c>
      <c r="B2360" t="s">
        <v>13296</v>
      </c>
    </row>
    <row r="2361" spans="1:2" x14ac:dyDescent="0.25">
      <c r="A2361" t="s">
        <v>13297</v>
      </c>
      <c r="B2361" t="s">
        <v>13298</v>
      </c>
    </row>
    <row r="2362" spans="1:2" x14ac:dyDescent="0.25">
      <c r="A2362" t="s">
        <v>13299</v>
      </c>
      <c r="B2362" t="s">
        <v>13300</v>
      </c>
    </row>
    <row r="2363" spans="1:2" x14ac:dyDescent="0.25">
      <c r="A2363" t="s">
        <v>13301</v>
      </c>
      <c r="B2363" t="s">
        <v>13302</v>
      </c>
    </row>
    <row r="2364" spans="1:2" x14ac:dyDescent="0.25">
      <c r="A2364" t="s">
        <v>13303</v>
      </c>
      <c r="B2364" t="s">
        <v>13304</v>
      </c>
    </row>
    <row r="2365" spans="1:2" x14ac:dyDescent="0.25">
      <c r="A2365" t="s">
        <v>13305</v>
      </c>
      <c r="B2365" t="s">
        <v>13306</v>
      </c>
    </row>
    <row r="2366" spans="1:2" x14ac:dyDescent="0.25">
      <c r="A2366" t="s">
        <v>13307</v>
      </c>
      <c r="B2366" t="s">
        <v>13308</v>
      </c>
    </row>
    <row r="2367" spans="1:2" x14ac:dyDescent="0.25">
      <c r="A2367" t="s">
        <v>13309</v>
      </c>
      <c r="B2367" t="s">
        <v>13310</v>
      </c>
    </row>
    <row r="2368" spans="1:2" x14ac:dyDescent="0.25">
      <c r="A2368" t="s">
        <v>529</v>
      </c>
      <c r="B2368" t="s">
        <v>13311</v>
      </c>
    </row>
    <row r="2369" spans="1:2" x14ac:dyDescent="0.25">
      <c r="A2369" t="s">
        <v>13312</v>
      </c>
      <c r="B2369" t="s">
        <v>13313</v>
      </c>
    </row>
    <row r="2370" spans="1:2" x14ac:dyDescent="0.25">
      <c r="A2370" t="s">
        <v>13314</v>
      </c>
      <c r="B2370" t="s">
        <v>13315</v>
      </c>
    </row>
    <row r="2371" spans="1:2" x14ac:dyDescent="0.25">
      <c r="A2371" t="s">
        <v>13316</v>
      </c>
      <c r="B2371" t="s">
        <v>13317</v>
      </c>
    </row>
    <row r="2372" spans="1:2" x14ac:dyDescent="0.25">
      <c r="A2372" t="s">
        <v>13318</v>
      </c>
      <c r="B2372" t="s">
        <v>13319</v>
      </c>
    </row>
    <row r="2373" spans="1:2" x14ac:dyDescent="0.25">
      <c r="A2373" t="s">
        <v>13320</v>
      </c>
      <c r="B2373" t="s">
        <v>13321</v>
      </c>
    </row>
    <row r="2374" spans="1:2" x14ac:dyDescent="0.25">
      <c r="A2374" t="s">
        <v>1793</v>
      </c>
      <c r="B2374" t="s">
        <v>13322</v>
      </c>
    </row>
    <row r="2375" spans="1:2" x14ac:dyDescent="0.25">
      <c r="A2375" t="s">
        <v>13323</v>
      </c>
      <c r="B2375" t="s">
        <v>13324</v>
      </c>
    </row>
    <row r="2376" spans="1:2" x14ac:dyDescent="0.25">
      <c r="A2376" t="s">
        <v>13325</v>
      </c>
      <c r="B2376" t="s">
        <v>13326</v>
      </c>
    </row>
    <row r="2377" spans="1:2" x14ac:dyDescent="0.25">
      <c r="A2377" t="s">
        <v>13327</v>
      </c>
      <c r="B2377" t="s">
        <v>13328</v>
      </c>
    </row>
    <row r="2378" spans="1:2" x14ac:dyDescent="0.25">
      <c r="A2378" t="s">
        <v>13329</v>
      </c>
      <c r="B2378" t="s">
        <v>13330</v>
      </c>
    </row>
    <row r="2379" spans="1:2" x14ac:dyDescent="0.25">
      <c r="A2379" t="s">
        <v>13331</v>
      </c>
      <c r="B2379" t="s">
        <v>13332</v>
      </c>
    </row>
    <row r="2380" spans="1:2" x14ac:dyDescent="0.25">
      <c r="A2380" t="s">
        <v>13333</v>
      </c>
      <c r="B2380" t="s">
        <v>13334</v>
      </c>
    </row>
    <row r="2381" spans="1:2" x14ac:dyDescent="0.25">
      <c r="A2381" t="s">
        <v>13335</v>
      </c>
      <c r="B2381" t="s">
        <v>13336</v>
      </c>
    </row>
    <row r="2382" spans="1:2" x14ac:dyDescent="0.25">
      <c r="A2382" t="s">
        <v>13337</v>
      </c>
      <c r="B2382" t="s">
        <v>13338</v>
      </c>
    </row>
    <row r="2383" spans="1:2" x14ac:dyDescent="0.25">
      <c r="A2383" t="s">
        <v>13339</v>
      </c>
      <c r="B2383" t="s">
        <v>13340</v>
      </c>
    </row>
    <row r="2384" spans="1:2" x14ac:dyDescent="0.25">
      <c r="A2384" t="s">
        <v>13341</v>
      </c>
      <c r="B2384" t="s">
        <v>13342</v>
      </c>
    </row>
    <row r="2385" spans="1:2" x14ac:dyDescent="0.25">
      <c r="A2385" t="s">
        <v>13343</v>
      </c>
      <c r="B2385" t="s">
        <v>13344</v>
      </c>
    </row>
    <row r="2386" spans="1:2" x14ac:dyDescent="0.25">
      <c r="A2386" t="s">
        <v>13345</v>
      </c>
      <c r="B2386" t="s">
        <v>13346</v>
      </c>
    </row>
    <row r="2387" spans="1:2" x14ac:dyDescent="0.25">
      <c r="A2387" t="s">
        <v>13347</v>
      </c>
      <c r="B2387" t="s">
        <v>13348</v>
      </c>
    </row>
    <row r="2388" spans="1:2" x14ac:dyDescent="0.25">
      <c r="A2388" t="s">
        <v>13349</v>
      </c>
      <c r="B2388" t="s">
        <v>13350</v>
      </c>
    </row>
    <row r="2389" spans="1:2" x14ac:dyDescent="0.25">
      <c r="A2389" t="s">
        <v>13351</v>
      </c>
      <c r="B2389" t="s">
        <v>13352</v>
      </c>
    </row>
    <row r="2390" spans="1:2" x14ac:dyDescent="0.25">
      <c r="A2390" t="s">
        <v>13353</v>
      </c>
      <c r="B2390" t="s">
        <v>13354</v>
      </c>
    </row>
    <row r="2391" spans="1:2" x14ac:dyDescent="0.25">
      <c r="A2391" t="s">
        <v>13355</v>
      </c>
      <c r="B2391" t="s">
        <v>13356</v>
      </c>
    </row>
    <row r="2392" spans="1:2" x14ac:dyDescent="0.25">
      <c r="A2392" t="s">
        <v>13357</v>
      </c>
      <c r="B2392" t="s">
        <v>13358</v>
      </c>
    </row>
    <row r="2393" spans="1:2" x14ac:dyDescent="0.25">
      <c r="A2393" t="s">
        <v>13359</v>
      </c>
      <c r="B2393" t="s">
        <v>13360</v>
      </c>
    </row>
    <row r="2394" spans="1:2" x14ac:dyDescent="0.25">
      <c r="A2394" t="s">
        <v>13361</v>
      </c>
      <c r="B2394" t="s">
        <v>13362</v>
      </c>
    </row>
    <row r="2395" spans="1:2" x14ac:dyDescent="0.25">
      <c r="A2395" t="s">
        <v>13363</v>
      </c>
      <c r="B2395" t="s">
        <v>13364</v>
      </c>
    </row>
    <row r="2396" spans="1:2" x14ac:dyDescent="0.25">
      <c r="A2396" t="s">
        <v>13365</v>
      </c>
      <c r="B2396" t="s">
        <v>13366</v>
      </c>
    </row>
    <row r="2397" spans="1:2" x14ac:dyDescent="0.25">
      <c r="A2397" t="s">
        <v>13367</v>
      </c>
      <c r="B2397" t="s">
        <v>13368</v>
      </c>
    </row>
    <row r="2398" spans="1:2" x14ac:dyDescent="0.25">
      <c r="A2398" t="s">
        <v>1795</v>
      </c>
      <c r="B2398" t="s">
        <v>13369</v>
      </c>
    </row>
    <row r="2399" spans="1:2" x14ac:dyDescent="0.25">
      <c r="A2399" t="s">
        <v>13370</v>
      </c>
      <c r="B2399" t="s">
        <v>13371</v>
      </c>
    </row>
    <row r="2400" spans="1:2" x14ac:dyDescent="0.25">
      <c r="A2400" t="s">
        <v>13372</v>
      </c>
      <c r="B2400" t="s">
        <v>13373</v>
      </c>
    </row>
    <row r="2401" spans="1:2" x14ac:dyDescent="0.25">
      <c r="A2401" t="s">
        <v>13374</v>
      </c>
      <c r="B2401" t="s">
        <v>13375</v>
      </c>
    </row>
    <row r="2402" spans="1:2" x14ac:dyDescent="0.25">
      <c r="A2402" t="s">
        <v>13376</v>
      </c>
      <c r="B2402" t="s">
        <v>13377</v>
      </c>
    </row>
    <row r="2403" spans="1:2" x14ac:dyDescent="0.25">
      <c r="A2403" t="s">
        <v>13378</v>
      </c>
      <c r="B2403" t="s">
        <v>13379</v>
      </c>
    </row>
    <row r="2404" spans="1:2" x14ac:dyDescent="0.25">
      <c r="A2404" t="s">
        <v>66</v>
      </c>
      <c r="B2404" t="s">
        <v>13380</v>
      </c>
    </row>
    <row r="2405" spans="1:2" x14ac:dyDescent="0.25">
      <c r="A2405" t="s">
        <v>13381</v>
      </c>
      <c r="B2405" t="s">
        <v>13382</v>
      </c>
    </row>
    <row r="2406" spans="1:2" x14ac:dyDescent="0.25">
      <c r="A2406" t="s">
        <v>13383</v>
      </c>
      <c r="B2406" t="s">
        <v>13384</v>
      </c>
    </row>
    <row r="2407" spans="1:2" x14ac:dyDescent="0.25">
      <c r="A2407" t="s">
        <v>13385</v>
      </c>
      <c r="B2407" t="s">
        <v>13386</v>
      </c>
    </row>
    <row r="2408" spans="1:2" x14ac:dyDescent="0.25">
      <c r="A2408" t="s">
        <v>13387</v>
      </c>
      <c r="B2408" t="s">
        <v>13388</v>
      </c>
    </row>
    <row r="2409" spans="1:2" x14ac:dyDescent="0.25">
      <c r="A2409" t="s">
        <v>2394</v>
      </c>
      <c r="B2409" t="s">
        <v>13389</v>
      </c>
    </row>
    <row r="2410" spans="1:2" x14ac:dyDescent="0.25">
      <c r="A2410" t="s">
        <v>13390</v>
      </c>
      <c r="B2410" t="s">
        <v>13391</v>
      </c>
    </row>
    <row r="2411" spans="1:2" x14ac:dyDescent="0.25">
      <c r="A2411" t="s">
        <v>13392</v>
      </c>
      <c r="B2411" t="s">
        <v>13393</v>
      </c>
    </row>
    <row r="2412" spans="1:2" x14ac:dyDescent="0.25">
      <c r="A2412" t="s">
        <v>13394</v>
      </c>
      <c r="B2412" t="s">
        <v>13395</v>
      </c>
    </row>
    <row r="2413" spans="1:2" x14ac:dyDescent="0.25">
      <c r="A2413" t="s">
        <v>13396</v>
      </c>
      <c r="B2413" t="s">
        <v>13397</v>
      </c>
    </row>
    <row r="2414" spans="1:2" x14ac:dyDescent="0.25">
      <c r="A2414" t="s">
        <v>13398</v>
      </c>
      <c r="B2414" t="s">
        <v>13399</v>
      </c>
    </row>
    <row r="2415" spans="1:2" x14ac:dyDescent="0.25">
      <c r="A2415" t="s">
        <v>13400</v>
      </c>
      <c r="B2415" t="s">
        <v>13401</v>
      </c>
    </row>
    <row r="2416" spans="1:2" x14ac:dyDescent="0.25">
      <c r="A2416" t="s">
        <v>13402</v>
      </c>
      <c r="B2416" t="s">
        <v>13403</v>
      </c>
    </row>
    <row r="2417" spans="1:2" x14ac:dyDescent="0.25">
      <c r="A2417" t="s">
        <v>13404</v>
      </c>
      <c r="B2417" t="s">
        <v>13405</v>
      </c>
    </row>
    <row r="2418" spans="1:2" x14ac:dyDescent="0.25">
      <c r="A2418" t="s">
        <v>176</v>
      </c>
      <c r="B2418" t="s">
        <v>13406</v>
      </c>
    </row>
    <row r="2419" spans="1:2" x14ac:dyDescent="0.25">
      <c r="A2419" t="s">
        <v>2988</v>
      </c>
      <c r="B2419" t="s">
        <v>13407</v>
      </c>
    </row>
    <row r="2420" spans="1:2" x14ac:dyDescent="0.25">
      <c r="A2420" t="s">
        <v>67</v>
      </c>
      <c r="B2420" t="s">
        <v>13408</v>
      </c>
    </row>
    <row r="2421" spans="1:2" x14ac:dyDescent="0.25">
      <c r="A2421" t="s">
        <v>13409</v>
      </c>
      <c r="B2421" t="s">
        <v>13410</v>
      </c>
    </row>
    <row r="2422" spans="1:2" x14ac:dyDescent="0.25">
      <c r="A2422" t="s">
        <v>13411</v>
      </c>
      <c r="B2422" t="s">
        <v>13412</v>
      </c>
    </row>
    <row r="2423" spans="1:2" x14ac:dyDescent="0.25">
      <c r="A2423" t="s">
        <v>13413</v>
      </c>
      <c r="B2423" t="s">
        <v>13414</v>
      </c>
    </row>
    <row r="2424" spans="1:2" x14ac:dyDescent="0.25">
      <c r="A2424" t="s">
        <v>13415</v>
      </c>
      <c r="B2424" t="s">
        <v>13416</v>
      </c>
    </row>
    <row r="2425" spans="1:2" x14ac:dyDescent="0.25">
      <c r="A2425" t="s">
        <v>13417</v>
      </c>
      <c r="B2425" t="s">
        <v>13418</v>
      </c>
    </row>
    <row r="2426" spans="1:2" x14ac:dyDescent="0.25">
      <c r="A2426" t="s">
        <v>13419</v>
      </c>
      <c r="B2426" t="s">
        <v>13420</v>
      </c>
    </row>
    <row r="2427" spans="1:2" x14ac:dyDescent="0.25">
      <c r="A2427" t="s">
        <v>13421</v>
      </c>
      <c r="B2427" t="s">
        <v>13422</v>
      </c>
    </row>
    <row r="2428" spans="1:2" x14ac:dyDescent="0.25">
      <c r="A2428" t="s">
        <v>13423</v>
      </c>
      <c r="B2428" t="s">
        <v>13424</v>
      </c>
    </row>
    <row r="2429" spans="1:2" x14ac:dyDescent="0.25">
      <c r="A2429" t="s">
        <v>13425</v>
      </c>
      <c r="B2429" t="s">
        <v>13426</v>
      </c>
    </row>
    <row r="2430" spans="1:2" x14ac:dyDescent="0.25">
      <c r="A2430" t="s">
        <v>13427</v>
      </c>
      <c r="B2430" t="s">
        <v>13428</v>
      </c>
    </row>
    <row r="2431" spans="1:2" x14ac:dyDescent="0.25">
      <c r="A2431" t="s">
        <v>13429</v>
      </c>
      <c r="B2431" t="s">
        <v>13430</v>
      </c>
    </row>
    <row r="2432" spans="1:2" x14ac:dyDescent="0.25">
      <c r="A2432" t="s">
        <v>533</v>
      </c>
      <c r="B2432" t="s">
        <v>13431</v>
      </c>
    </row>
    <row r="2433" spans="1:2" x14ac:dyDescent="0.25">
      <c r="A2433" t="s">
        <v>13432</v>
      </c>
      <c r="B2433" t="s">
        <v>13433</v>
      </c>
    </row>
    <row r="2434" spans="1:2" x14ac:dyDescent="0.25">
      <c r="A2434" t="s">
        <v>13434</v>
      </c>
      <c r="B2434" t="s">
        <v>13435</v>
      </c>
    </row>
    <row r="2435" spans="1:2" x14ac:dyDescent="0.25">
      <c r="A2435" t="s">
        <v>13436</v>
      </c>
      <c r="B2435" t="s">
        <v>13437</v>
      </c>
    </row>
    <row r="2436" spans="1:2" x14ac:dyDescent="0.25">
      <c r="A2436" t="s">
        <v>13438</v>
      </c>
      <c r="B2436" t="s">
        <v>13439</v>
      </c>
    </row>
    <row r="2437" spans="1:2" x14ac:dyDescent="0.25">
      <c r="A2437" t="s">
        <v>13440</v>
      </c>
      <c r="B2437" t="s">
        <v>13441</v>
      </c>
    </row>
    <row r="2438" spans="1:2" x14ac:dyDescent="0.25">
      <c r="A2438" t="s">
        <v>867</v>
      </c>
      <c r="B2438" t="s">
        <v>13442</v>
      </c>
    </row>
    <row r="2439" spans="1:2" x14ac:dyDescent="0.25">
      <c r="A2439" t="s">
        <v>13443</v>
      </c>
      <c r="B2439" t="s">
        <v>13444</v>
      </c>
    </row>
    <row r="2440" spans="1:2" x14ac:dyDescent="0.25">
      <c r="A2440" t="s">
        <v>13445</v>
      </c>
      <c r="B2440" t="s">
        <v>13446</v>
      </c>
    </row>
    <row r="2441" spans="1:2" x14ac:dyDescent="0.25">
      <c r="A2441" t="s">
        <v>13447</v>
      </c>
      <c r="B2441" t="s">
        <v>13448</v>
      </c>
    </row>
    <row r="2442" spans="1:2" x14ac:dyDescent="0.25">
      <c r="A2442" t="s">
        <v>13449</v>
      </c>
      <c r="B2442" t="s">
        <v>13450</v>
      </c>
    </row>
    <row r="2443" spans="1:2" x14ac:dyDescent="0.25">
      <c r="A2443" t="s">
        <v>13451</v>
      </c>
      <c r="B2443" t="s">
        <v>13452</v>
      </c>
    </row>
    <row r="2444" spans="1:2" x14ac:dyDescent="0.25">
      <c r="A2444" t="s">
        <v>13453</v>
      </c>
      <c r="B2444" t="s">
        <v>13454</v>
      </c>
    </row>
    <row r="2445" spans="1:2" x14ac:dyDescent="0.25">
      <c r="A2445" t="s">
        <v>13455</v>
      </c>
      <c r="B2445" t="s">
        <v>13456</v>
      </c>
    </row>
    <row r="2446" spans="1:2" x14ac:dyDescent="0.25">
      <c r="A2446" t="s">
        <v>13457</v>
      </c>
      <c r="B2446" t="s">
        <v>13458</v>
      </c>
    </row>
    <row r="2447" spans="1:2" x14ac:dyDescent="0.25">
      <c r="A2447" t="s">
        <v>13459</v>
      </c>
      <c r="B2447" t="s">
        <v>13460</v>
      </c>
    </row>
    <row r="2448" spans="1:2" x14ac:dyDescent="0.25">
      <c r="A2448" t="s">
        <v>13461</v>
      </c>
      <c r="B2448" t="s">
        <v>13462</v>
      </c>
    </row>
    <row r="2449" spans="1:2" x14ac:dyDescent="0.25">
      <c r="A2449" t="s">
        <v>13463</v>
      </c>
      <c r="B2449" t="s">
        <v>13464</v>
      </c>
    </row>
    <row r="2450" spans="1:2" x14ac:dyDescent="0.25">
      <c r="A2450" t="s">
        <v>4108</v>
      </c>
      <c r="B2450" t="s">
        <v>13465</v>
      </c>
    </row>
    <row r="2451" spans="1:2" x14ac:dyDescent="0.25">
      <c r="A2451" t="s">
        <v>13466</v>
      </c>
      <c r="B2451" t="s">
        <v>13467</v>
      </c>
    </row>
    <row r="2452" spans="1:2" x14ac:dyDescent="0.25">
      <c r="A2452" t="s">
        <v>13468</v>
      </c>
      <c r="B2452" t="s">
        <v>13469</v>
      </c>
    </row>
    <row r="2453" spans="1:2" x14ac:dyDescent="0.25">
      <c r="A2453" t="s">
        <v>13470</v>
      </c>
      <c r="B2453" t="s">
        <v>13471</v>
      </c>
    </row>
    <row r="2454" spans="1:2" x14ac:dyDescent="0.25">
      <c r="A2454" t="s">
        <v>13472</v>
      </c>
      <c r="B2454" t="s">
        <v>13473</v>
      </c>
    </row>
    <row r="2455" spans="1:2" x14ac:dyDescent="0.25">
      <c r="A2455" t="s">
        <v>13474</v>
      </c>
      <c r="B2455" t="s">
        <v>13475</v>
      </c>
    </row>
    <row r="2456" spans="1:2" x14ac:dyDescent="0.25">
      <c r="A2456" t="s">
        <v>13476</v>
      </c>
      <c r="B2456" t="s">
        <v>13477</v>
      </c>
    </row>
    <row r="2457" spans="1:2" x14ac:dyDescent="0.25">
      <c r="A2457" t="s">
        <v>13478</v>
      </c>
      <c r="B2457" t="s">
        <v>13479</v>
      </c>
    </row>
    <row r="2458" spans="1:2" x14ac:dyDescent="0.25">
      <c r="A2458" t="s">
        <v>13480</v>
      </c>
      <c r="B2458" t="s">
        <v>13481</v>
      </c>
    </row>
    <row r="2459" spans="1:2" x14ac:dyDescent="0.25">
      <c r="A2459" t="s">
        <v>13482</v>
      </c>
      <c r="B2459" t="s">
        <v>13483</v>
      </c>
    </row>
    <row r="2460" spans="1:2" x14ac:dyDescent="0.25">
      <c r="A2460" t="s">
        <v>13484</v>
      </c>
      <c r="B2460" t="s">
        <v>13485</v>
      </c>
    </row>
    <row r="2461" spans="1:2" x14ac:dyDescent="0.25">
      <c r="A2461" t="s">
        <v>13486</v>
      </c>
      <c r="B2461" t="s">
        <v>13487</v>
      </c>
    </row>
    <row r="2462" spans="1:2" x14ac:dyDescent="0.25">
      <c r="A2462" t="s">
        <v>13488</v>
      </c>
      <c r="B2462" t="s">
        <v>13489</v>
      </c>
    </row>
    <row r="2463" spans="1:2" x14ac:dyDescent="0.25">
      <c r="A2463" t="s">
        <v>13490</v>
      </c>
      <c r="B2463" t="s">
        <v>13491</v>
      </c>
    </row>
    <row r="2464" spans="1:2" x14ac:dyDescent="0.25">
      <c r="A2464" t="s">
        <v>13492</v>
      </c>
      <c r="B2464" t="s">
        <v>13493</v>
      </c>
    </row>
    <row r="2465" spans="1:2" x14ac:dyDescent="0.25">
      <c r="A2465" t="s">
        <v>13494</v>
      </c>
      <c r="B2465" t="s">
        <v>13495</v>
      </c>
    </row>
    <row r="2466" spans="1:2" x14ac:dyDescent="0.25">
      <c r="A2466" t="s">
        <v>13496</v>
      </c>
      <c r="B2466" t="s">
        <v>13497</v>
      </c>
    </row>
    <row r="2467" spans="1:2" x14ac:dyDescent="0.25">
      <c r="A2467" t="s">
        <v>13498</v>
      </c>
      <c r="B2467" t="s">
        <v>13499</v>
      </c>
    </row>
    <row r="2468" spans="1:2" x14ac:dyDescent="0.25">
      <c r="A2468" t="s">
        <v>13500</v>
      </c>
      <c r="B2468" t="s">
        <v>13501</v>
      </c>
    </row>
    <row r="2469" spans="1:2" x14ac:dyDescent="0.25">
      <c r="A2469" t="s">
        <v>13502</v>
      </c>
      <c r="B2469" t="s">
        <v>13503</v>
      </c>
    </row>
    <row r="2470" spans="1:2" x14ac:dyDescent="0.25">
      <c r="A2470" t="s">
        <v>13504</v>
      </c>
      <c r="B2470" t="s">
        <v>13505</v>
      </c>
    </row>
    <row r="2471" spans="1:2" x14ac:dyDescent="0.25">
      <c r="A2471" t="s">
        <v>13506</v>
      </c>
      <c r="B2471" t="s">
        <v>13507</v>
      </c>
    </row>
    <row r="2472" spans="1:2" x14ac:dyDescent="0.25">
      <c r="A2472" t="s">
        <v>13508</v>
      </c>
      <c r="B2472" t="s">
        <v>13509</v>
      </c>
    </row>
    <row r="2473" spans="1:2" x14ac:dyDescent="0.25">
      <c r="A2473" t="s">
        <v>13510</v>
      </c>
      <c r="B2473" t="s">
        <v>13511</v>
      </c>
    </row>
    <row r="2474" spans="1:2" x14ac:dyDescent="0.25">
      <c r="A2474" t="s">
        <v>13512</v>
      </c>
      <c r="B2474" t="s">
        <v>13513</v>
      </c>
    </row>
    <row r="2475" spans="1:2" x14ac:dyDescent="0.25">
      <c r="A2475" t="s">
        <v>13514</v>
      </c>
      <c r="B2475" t="s">
        <v>13515</v>
      </c>
    </row>
    <row r="2476" spans="1:2" x14ac:dyDescent="0.25">
      <c r="A2476" t="s">
        <v>13516</v>
      </c>
      <c r="B2476" t="s">
        <v>13517</v>
      </c>
    </row>
    <row r="2477" spans="1:2" x14ac:dyDescent="0.25">
      <c r="A2477" t="s">
        <v>13518</v>
      </c>
      <c r="B2477" t="s">
        <v>13519</v>
      </c>
    </row>
    <row r="2478" spans="1:2" x14ac:dyDescent="0.25">
      <c r="A2478" t="s">
        <v>13520</v>
      </c>
      <c r="B2478" t="s">
        <v>13521</v>
      </c>
    </row>
    <row r="2479" spans="1:2" x14ac:dyDescent="0.25">
      <c r="A2479" t="s">
        <v>13522</v>
      </c>
      <c r="B2479" t="s">
        <v>13523</v>
      </c>
    </row>
    <row r="2480" spans="1:2" x14ac:dyDescent="0.25">
      <c r="A2480" t="s">
        <v>4110</v>
      </c>
      <c r="B2480" t="s">
        <v>13524</v>
      </c>
    </row>
    <row r="2481" spans="1:2" x14ac:dyDescent="0.25">
      <c r="A2481" t="s">
        <v>13525</v>
      </c>
      <c r="B2481" t="s">
        <v>13526</v>
      </c>
    </row>
    <row r="2482" spans="1:2" x14ac:dyDescent="0.25">
      <c r="A2482" t="s">
        <v>13527</v>
      </c>
      <c r="B2482" t="s">
        <v>13528</v>
      </c>
    </row>
    <row r="2483" spans="1:2" x14ac:dyDescent="0.25">
      <c r="A2483" t="s">
        <v>535</v>
      </c>
      <c r="B2483" t="s">
        <v>13529</v>
      </c>
    </row>
    <row r="2484" spans="1:2" x14ac:dyDescent="0.25">
      <c r="A2484" t="s">
        <v>13530</v>
      </c>
      <c r="B2484" t="s">
        <v>13531</v>
      </c>
    </row>
    <row r="2485" spans="1:2" x14ac:dyDescent="0.25">
      <c r="A2485" t="s">
        <v>13532</v>
      </c>
      <c r="B2485" t="s">
        <v>13533</v>
      </c>
    </row>
    <row r="2486" spans="1:2" x14ac:dyDescent="0.25">
      <c r="A2486" t="s">
        <v>13534</v>
      </c>
      <c r="B2486" t="s">
        <v>13535</v>
      </c>
    </row>
    <row r="2487" spans="1:2" x14ac:dyDescent="0.25">
      <c r="A2487" t="s">
        <v>13536</v>
      </c>
      <c r="B2487" t="s">
        <v>13537</v>
      </c>
    </row>
    <row r="2488" spans="1:2" x14ac:dyDescent="0.25">
      <c r="A2488" t="s">
        <v>13538</v>
      </c>
      <c r="B2488" t="s">
        <v>13539</v>
      </c>
    </row>
    <row r="2489" spans="1:2" x14ac:dyDescent="0.25">
      <c r="A2489" t="s">
        <v>13540</v>
      </c>
      <c r="B2489" t="s">
        <v>13541</v>
      </c>
    </row>
    <row r="2490" spans="1:2" x14ac:dyDescent="0.25">
      <c r="A2490" t="s">
        <v>13542</v>
      </c>
      <c r="B2490" t="s">
        <v>13543</v>
      </c>
    </row>
    <row r="2491" spans="1:2" x14ac:dyDescent="0.25">
      <c r="A2491" t="s">
        <v>13544</v>
      </c>
      <c r="B2491" t="s">
        <v>13545</v>
      </c>
    </row>
    <row r="2492" spans="1:2" x14ac:dyDescent="0.25">
      <c r="A2492" t="s">
        <v>13546</v>
      </c>
      <c r="B2492" t="s">
        <v>13547</v>
      </c>
    </row>
    <row r="2493" spans="1:2" x14ac:dyDescent="0.25">
      <c r="A2493" t="s">
        <v>13548</v>
      </c>
      <c r="B2493" t="s">
        <v>13549</v>
      </c>
    </row>
    <row r="2494" spans="1:2" x14ac:dyDescent="0.25">
      <c r="A2494" t="s">
        <v>13550</v>
      </c>
      <c r="B2494" t="s">
        <v>13551</v>
      </c>
    </row>
    <row r="2495" spans="1:2" x14ac:dyDescent="0.25">
      <c r="A2495" t="s">
        <v>2859</v>
      </c>
      <c r="B2495" t="s">
        <v>13552</v>
      </c>
    </row>
    <row r="2496" spans="1:2" x14ac:dyDescent="0.25">
      <c r="A2496" t="s">
        <v>13553</v>
      </c>
      <c r="B2496" t="s">
        <v>13554</v>
      </c>
    </row>
    <row r="2497" spans="1:2" x14ac:dyDescent="0.25">
      <c r="A2497" t="s">
        <v>13555</v>
      </c>
      <c r="B2497" t="s">
        <v>13556</v>
      </c>
    </row>
    <row r="2498" spans="1:2" x14ac:dyDescent="0.25">
      <c r="A2498" t="s">
        <v>13557</v>
      </c>
      <c r="B2498" t="s">
        <v>13558</v>
      </c>
    </row>
    <row r="2499" spans="1:2" x14ac:dyDescent="0.25">
      <c r="A2499" t="s">
        <v>13559</v>
      </c>
      <c r="B2499" t="s">
        <v>13560</v>
      </c>
    </row>
    <row r="2500" spans="1:2" x14ac:dyDescent="0.25">
      <c r="A2500" t="s">
        <v>13561</v>
      </c>
      <c r="B2500" t="s">
        <v>13562</v>
      </c>
    </row>
    <row r="2501" spans="1:2" x14ac:dyDescent="0.25">
      <c r="A2501" t="s">
        <v>13563</v>
      </c>
      <c r="B2501" t="s">
        <v>13564</v>
      </c>
    </row>
    <row r="2502" spans="1:2" x14ac:dyDescent="0.25">
      <c r="A2502" t="s">
        <v>13565</v>
      </c>
      <c r="B2502" t="s">
        <v>13566</v>
      </c>
    </row>
    <row r="2503" spans="1:2" x14ac:dyDescent="0.25">
      <c r="A2503" t="s">
        <v>13567</v>
      </c>
      <c r="B2503" t="s">
        <v>13568</v>
      </c>
    </row>
    <row r="2504" spans="1:2" x14ac:dyDescent="0.25">
      <c r="A2504" t="s">
        <v>13569</v>
      </c>
      <c r="B2504" t="s">
        <v>13570</v>
      </c>
    </row>
    <row r="2505" spans="1:2" x14ac:dyDescent="0.25">
      <c r="A2505" t="s">
        <v>13571</v>
      </c>
      <c r="B2505" t="s">
        <v>13572</v>
      </c>
    </row>
    <row r="2506" spans="1:2" x14ac:dyDescent="0.25">
      <c r="A2506" t="s">
        <v>537</v>
      </c>
      <c r="B2506" t="s">
        <v>13573</v>
      </c>
    </row>
    <row r="2507" spans="1:2" x14ac:dyDescent="0.25">
      <c r="A2507" t="s">
        <v>13574</v>
      </c>
      <c r="B2507" t="s">
        <v>13575</v>
      </c>
    </row>
    <row r="2508" spans="1:2" x14ac:dyDescent="0.25">
      <c r="A2508" t="s">
        <v>13576</v>
      </c>
      <c r="B2508" t="s">
        <v>13577</v>
      </c>
    </row>
    <row r="2509" spans="1:2" x14ac:dyDescent="0.25">
      <c r="A2509" t="s">
        <v>13578</v>
      </c>
      <c r="B2509" t="s">
        <v>13579</v>
      </c>
    </row>
    <row r="2510" spans="1:2" x14ac:dyDescent="0.25">
      <c r="A2510" t="s">
        <v>3197</v>
      </c>
      <c r="B2510" t="s">
        <v>13580</v>
      </c>
    </row>
    <row r="2511" spans="1:2" x14ac:dyDescent="0.25">
      <c r="A2511" t="s">
        <v>13581</v>
      </c>
      <c r="B2511" t="s">
        <v>13582</v>
      </c>
    </row>
    <row r="2512" spans="1:2" x14ac:dyDescent="0.25">
      <c r="A2512" t="s">
        <v>13583</v>
      </c>
      <c r="B2512" t="s">
        <v>13584</v>
      </c>
    </row>
    <row r="2513" spans="1:2" x14ac:dyDescent="0.25">
      <c r="A2513" t="s">
        <v>13585</v>
      </c>
      <c r="B2513" t="s">
        <v>13586</v>
      </c>
    </row>
    <row r="2514" spans="1:2" x14ac:dyDescent="0.25">
      <c r="A2514" t="s">
        <v>13587</v>
      </c>
      <c r="B2514" t="s">
        <v>13588</v>
      </c>
    </row>
    <row r="2515" spans="1:2" x14ac:dyDescent="0.25">
      <c r="A2515" t="s">
        <v>13589</v>
      </c>
      <c r="B2515" t="s">
        <v>13590</v>
      </c>
    </row>
    <row r="2516" spans="1:2" x14ac:dyDescent="0.25">
      <c r="A2516" t="s">
        <v>13591</v>
      </c>
      <c r="B2516" t="s">
        <v>13592</v>
      </c>
    </row>
    <row r="2517" spans="1:2" x14ac:dyDescent="0.25">
      <c r="A2517" t="s">
        <v>13593</v>
      </c>
      <c r="B2517" t="s">
        <v>13594</v>
      </c>
    </row>
    <row r="2518" spans="1:2" x14ac:dyDescent="0.25">
      <c r="A2518" t="s">
        <v>13595</v>
      </c>
      <c r="B2518" t="s">
        <v>13596</v>
      </c>
    </row>
    <row r="2519" spans="1:2" x14ac:dyDescent="0.25">
      <c r="A2519" t="s">
        <v>13597</v>
      </c>
      <c r="B2519" t="s">
        <v>13598</v>
      </c>
    </row>
    <row r="2520" spans="1:2" x14ac:dyDescent="0.25">
      <c r="A2520" t="s">
        <v>13599</v>
      </c>
      <c r="B2520" t="s">
        <v>13600</v>
      </c>
    </row>
    <row r="2521" spans="1:2" x14ac:dyDescent="0.25">
      <c r="A2521" t="s">
        <v>13601</v>
      </c>
      <c r="B2521" t="s">
        <v>13602</v>
      </c>
    </row>
    <row r="2522" spans="1:2" x14ac:dyDescent="0.25">
      <c r="A2522" t="s">
        <v>13603</v>
      </c>
      <c r="B2522" t="s">
        <v>13604</v>
      </c>
    </row>
    <row r="2523" spans="1:2" x14ac:dyDescent="0.25">
      <c r="A2523" t="s">
        <v>13605</v>
      </c>
      <c r="B2523" t="s">
        <v>13606</v>
      </c>
    </row>
    <row r="2524" spans="1:2" x14ac:dyDescent="0.25">
      <c r="A2524" t="s">
        <v>13607</v>
      </c>
      <c r="B2524" t="s">
        <v>13608</v>
      </c>
    </row>
    <row r="2525" spans="1:2" x14ac:dyDescent="0.25">
      <c r="A2525" t="s">
        <v>13609</v>
      </c>
      <c r="B2525" t="s">
        <v>13610</v>
      </c>
    </row>
    <row r="2526" spans="1:2" x14ac:dyDescent="0.25">
      <c r="A2526" t="s">
        <v>13611</v>
      </c>
      <c r="B2526" t="s">
        <v>13612</v>
      </c>
    </row>
    <row r="2527" spans="1:2" x14ac:dyDescent="0.25">
      <c r="A2527" t="s">
        <v>13613</v>
      </c>
      <c r="B2527" t="s">
        <v>13614</v>
      </c>
    </row>
    <row r="2528" spans="1:2" x14ac:dyDescent="0.25">
      <c r="A2528" t="s">
        <v>13615</v>
      </c>
      <c r="B2528" t="s">
        <v>13616</v>
      </c>
    </row>
    <row r="2529" spans="1:2" x14ac:dyDescent="0.25">
      <c r="A2529" t="s">
        <v>13617</v>
      </c>
      <c r="B2529" t="s">
        <v>13618</v>
      </c>
    </row>
    <row r="2530" spans="1:2" x14ac:dyDescent="0.25">
      <c r="A2530" t="s">
        <v>13619</v>
      </c>
      <c r="B2530" t="s">
        <v>13620</v>
      </c>
    </row>
    <row r="2531" spans="1:2" x14ac:dyDescent="0.25">
      <c r="A2531" t="s">
        <v>13621</v>
      </c>
      <c r="B2531" t="s">
        <v>13622</v>
      </c>
    </row>
    <row r="2532" spans="1:2" x14ac:dyDescent="0.25">
      <c r="A2532" t="s">
        <v>1801</v>
      </c>
      <c r="B2532" t="s">
        <v>13623</v>
      </c>
    </row>
    <row r="2533" spans="1:2" x14ac:dyDescent="0.25">
      <c r="A2533" t="s">
        <v>13624</v>
      </c>
      <c r="B2533" t="s">
        <v>13625</v>
      </c>
    </row>
    <row r="2534" spans="1:2" x14ac:dyDescent="0.25">
      <c r="A2534" t="s">
        <v>13626</v>
      </c>
      <c r="B2534" t="s">
        <v>13627</v>
      </c>
    </row>
    <row r="2535" spans="1:2" x14ac:dyDescent="0.25">
      <c r="A2535" t="s">
        <v>13628</v>
      </c>
      <c r="B2535" t="s">
        <v>13629</v>
      </c>
    </row>
    <row r="2536" spans="1:2" x14ac:dyDescent="0.25">
      <c r="A2536" t="s">
        <v>13630</v>
      </c>
      <c r="B2536" t="s">
        <v>13631</v>
      </c>
    </row>
    <row r="2537" spans="1:2" x14ac:dyDescent="0.25">
      <c r="A2537" t="s">
        <v>13632</v>
      </c>
      <c r="B2537" t="s">
        <v>13633</v>
      </c>
    </row>
    <row r="2538" spans="1:2" x14ac:dyDescent="0.25">
      <c r="A2538" t="s">
        <v>13634</v>
      </c>
      <c r="B2538" t="s">
        <v>13635</v>
      </c>
    </row>
    <row r="2539" spans="1:2" x14ac:dyDescent="0.25">
      <c r="A2539" t="s">
        <v>13636</v>
      </c>
      <c r="B2539" t="s">
        <v>13637</v>
      </c>
    </row>
    <row r="2540" spans="1:2" x14ac:dyDescent="0.25">
      <c r="A2540" t="s">
        <v>13638</v>
      </c>
      <c r="B2540" t="s">
        <v>13639</v>
      </c>
    </row>
    <row r="2541" spans="1:2" x14ac:dyDescent="0.25">
      <c r="A2541" t="s">
        <v>13640</v>
      </c>
      <c r="B2541" t="s">
        <v>13641</v>
      </c>
    </row>
    <row r="2542" spans="1:2" x14ac:dyDescent="0.25">
      <c r="A2542" t="s">
        <v>13642</v>
      </c>
      <c r="B2542" t="s">
        <v>13643</v>
      </c>
    </row>
    <row r="2543" spans="1:2" x14ac:dyDescent="0.25">
      <c r="A2543" t="s">
        <v>13644</v>
      </c>
      <c r="B2543" t="s">
        <v>13645</v>
      </c>
    </row>
    <row r="2544" spans="1:2" x14ac:dyDescent="0.25">
      <c r="A2544" t="s">
        <v>13646</v>
      </c>
      <c r="B2544" t="s">
        <v>13647</v>
      </c>
    </row>
    <row r="2545" spans="1:2" x14ac:dyDescent="0.25">
      <c r="A2545" t="s">
        <v>13648</v>
      </c>
      <c r="B2545" t="s">
        <v>13649</v>
      </c>
    </row>
    <row r="2546" spans="1:2" x14ac:dyDescent="0.25">
      <c r="A2546" t="s">
        <v>13650</v>
      </c>
      <c r="B2546" t="s">
        <v>13651</v>
      </c>
    </row>
    <row r="2547" spans="1:2" x14ac:dyDescent="0.25">
      <c r="A2547" t="s">
        <v>13652</v>
      </c>
      <c r="B2547" t="s">
        <v>13653</v>
      </c>
    </row>
    <row r="2548" spans="1:2" x14ac:dyDescent="0.25">
      <c r="A2548" t="s">
        <v>13654</v>
      </c>
      <c r="B2548" t="s">
        <v>13655</v>
      </c>
    </row>
    <row r="2549" spans="1:2" x14ac:dyDescent="0.25">
      <c r="A2549" t="s">
        <v>13656</v>
      </c>
      <c r="B2549" t="s">
        <v>13657</v>
      </c>
    </row>
    <row r="2550" spans="1:2" x14ac:dyDescent="0.25">
      <c r="A2550" t="s">
        <v>13658</v>
      </c>
      <c r="B2550" t="s">
        <v>13659</v>
      </c>
    </row>
    <row r="2551" spans="1:2" x14ac:dyDescent="0.25">
      <c r="A2551" t="s">
        <v>13660</v>
      </c>
      <c r="B2551" t="s">
        <v>13661</v>
      </c>
    </row>
    <row r="2552" spans="1:2" x14ac:dyDescent="0.25">
      <c r="A2552" t="s">
        <v>13662</v>
      </c>
      <c r="B2552" t="s">
        <v>13663</v>
      </c>
    </row>
    <row r="2553" spans="1:2" x14ac:dyDescent="0.25">
      <c r="A2553" t="s">
        <v>13664</v>
      </c>
      <c r="B2553" t="s">
        <v>13665</v>
      </c>
    </row>
    <row r="2554" spans="1:2" x14ac:dyDescent="0.25">
      <c r="A2554" t="s">
        <v>13666</v>
      </c>
      <c r="B2554" t="s">
        <v>13667</v>
      </c>
    </row>
    <row r="2555" spans="1:2" x14ac:dyDescent="0.25">
      <c r="A2555" t="s">
        <v>13668</v>
      </c>
      <c r="B2555" t="s">
        <v>13669</v>
      </c>
    </row>
    <row r="2556" spans="1:2" x14ac:dyDescent="0.25">
      <c r="A2556" t="s">
        <v>2401</v>
      </c>
      <c r="B2556" t="s">
        <v>13670</v>
      </c>
    </row>
    <row r="2557" spans="1:2" x14ac:dyDescent="0.25">
      <c r="A2557" t="s">
        <v>13671</v>
      </c>
      <c r="B2557" t="s">
        <v>13672</v>
      </c>
    </row>
    <row r="2558" spans="1:2" x14ac:dyDescent="0.25">
      <c r="A2558" t="s">
        <v>539</v>
      </c>
      <c r="B2558" t="s">
        <v>13673</v>
      </c>
    </row>
    <row r="2559" spans="1:2" x14ac:dyDescent="0.25">
      <c r="A2559" t="s">
        <v>13674</v>
      </c>
      <c r="B2559" t="s">
        <v>13675</v>
      </c>
    </row>
    <row r="2560" spans="1:2" x14ac:dyDescent="0.25">
      <c r="A2560" t="s">
        <v>13676</v>
      </c>
      <c r="B2560" t="s">
        <v>13677</v>
      </c>
    </row>
    <row r="2561" spans="1:2" x14ac:dyDescent="0.25">
      <c r="A2561" t="s">
        <v>13678</v>
      </c>
      <c r="B2561" t="s">
        <v>13679</v>
      </c>
    </row>
    <row r="2562" spans="1:2" x14ac:dyDescent="0.25">
      <c r="A2562" t="s">
        <v>13680</v>
      </c>
      <c r="B2562" t="s">
        <v>13681</v>
      </c>
    </row>
    <row r="2563" spans="1:2" x14ac:dyDescent="0.25">
      <c r="A2563" t="s">
        <v>13682</v>
      </c>
      <c r="B2563" t="s">
        <v>13683</v>
      </c>
    </row>
    <row r="2564" spans="1:2" x14ac:dyDescent="0.25">
      <c r="A2564" t="s">
        <v>13684</v>
      </c>
      <c r="B2564" t="s">
        <v>13685</v>
      </c>
    </row>
    <row r="2565" spans="1:2" x14ac:dyDescent="0.25">
      <c r="A2565" t="s">
        <v>13686</v>
      </c>
      <c r="B2565" t="s">
        <v>13687</v>
      </c>
    </row>
    <row r="2566" spans="1:2" x14ac:dyDescent="0.25">
      <c r="A2566" t="s">
        <v>13688</v>
      </c>
      <c r="B2566" t="s">
        <v>13689</v>
      </c>
    </row>
    <row r="2567" spans="1:2" x14ac:dyDescent="0.25">
      <c r="A2567" t="s">
        <v>1803</v>
      </c>
      <c r="B2567" t="s">
        <v>13690</v>
      </c>
    </row>
    <row r="2568" spans="1:2" x14ac:dyDescent="0.25">
      <c r="A2568" t="s">
        <v>13691</v>
      </c>
      <c r="B2568" t="s">
        <v>13692</v>
      </c>
    </row>
    <row r="2569" spans="1:2" x14ac:dyDescent="0.25">
      <c r="A2569" t="s">
        <v>13693</v>
      </c>
      <c r="B2569" t="s">
        <v>13694</v>
      </c>
    </row>
    <row r="2570" spans="1:2" x14ac:dyDescent="0.25">
      <c r="A2570" t="s">
        <v>13695</v>
      </c>
      <c r="B2570" t="s">
        <v>13696</v>
      </c>
    </row>
    <row r="2571" spans="1:2" x14ac:dyDescent="0.25">
      <c r="A2571" t="s">
        <v>13697</v>
      </c>
      <c r="B2571" t="s">
        <v>13698</v>
      </c>
    </row>
    <row r="2572" spans="1:2" x14ac:dyDescent="0.25">
      <c r="A2572" t="s">
        <v>3653</v>
      </c>
      <c r="B2572" t="s">
        <v>13699</v>
      </c>
    </row>
    <row r="2573" spans="1:2" x14ac:dyDescent="0.25">
      <c r="A2573" t="s">
        <v>13700</v>
      </c>
      <c r="B2573" t="s">
        <v>13701</v>
      </c>
    </row>
    <row r="2574" spans="1:2" x14ac:dyDescent="0.25">
      <c r="A2574" t="s">
        <v>13702</v>
      </c>
      <c r="B2574" t="s">
        <v>13703</v>
      </c>
    </row>
    <row r="2575" spans="1:2" x14ac:dyDescent="0.25">
      <c r="A2575" t="s">
        <v>13704</v>
      </c>
      <c r="B2575" t="s">
        <v>13705</v>
      </c>
    </row>
    <row r="2576" spans="1:2" x14ac:dyDescent="0.25">
      <c r="A2576" t="s">
        <v>13706</v>
      </c>
      <c r="B2576" t="s">
        <v>13707</v>
      </c>
    </row>
    <row r="2577" spans="1:2" x14ac:dyDescent="0.25">
      <c r="A2577" t="s">
        <v>13708</v>
      </c>
      <c r="B2577" t="s">
        <v>13709</v>
      </c>
    </row>
    <row r="2578" spans="1:2" x14ac:dyDescent="0.25">
      <c r="A2578" t="s">
        <v>13710</v>
      </c>
      <c r="B2578" t="s">
        <v>13711</v>
      </c>
    </row>
    <row r="2579" spans="1:2" x14ac:dyDescent="0.25">
      <c r="A2579" t="s">
        <v>13712</v>
      </c>
      <c r="B2579" t="s">
        <v>13713</v>
      </c>
    </row>
    <row r="2580" spans="1:2" x14ac:dyDescent="0.25">
      <c r="A2580" t="s">
        <v>13714</v>
      </c>
      <c r="B2580" t="s">
        <v>13715</v>
      </c>
    </row>
    <row r="2581" spans="1:2" x14ac:dyDescent="0.25">
      <c r="A2581" t="s">
        <v>13716</v>
      </c>
      <c r="B2581" t="s">
        <v>13717</v>
      </c>
    </row>
    <row r="2582" spans="1:2" x14ac:dyDescent="0.25">
      <c r="A2582" t="s">
        <v>13718</v>
      </c>
      <c r="B2582" t="s">
        <v>13719</v>
      </c>
    </row>
    <row r="2583" spans="1:2" x14ac:dyDescent="0.25">
      <c r="A2583" t="s">
        <v>13720</v>
      </c>
      <c r="B2583" t="s">
        <v>13721</v>
      </c>
    </row>
    <row r="2584" spans="1:2" x14ac:dyDescent="0.25">
      <c r="A2584" t="s">
        <v>13722</v>
      </c>
      <c r="B2584" t="s">
        <v>13723</v>
      </c>
    </row>
    <row r="2585" spans="1:2" x14ac:dyDescent="0.25">
      <c r="A2585" t="s">
        <v>13724</v>
      </c>
      <c r="B2585" t="s">
        <v>13725</v>
      </c>
    </row>
    <row r="2586" spans="1:2" x14ac:dyDescent="0.25">
      <c r="A2586" t="s">
        <v>13726</v>
      </c>
      <c r="B2586" t="s">
        <v>13727</v>
      </c>
    </row>
    <row r="2587" spans="1:2" x14ac:dyDescent="0.25">
      <c r="A2587" t="s">
        <v>13728</v>
      </c>
      <c r="B2587" t="s">
        <v>13729</v>
      </c>
    </row>
    <row r="2588" spans="1:2" x14ac:dyDescent="0.25">
      <c r="A2588" t="s">
        <v>13730</v>
      </c>
      <c r="B2588" t="s">
        <v>13731</v>
      </c>
    </row>
    <row r="2589" spans="1:2" x14ac:dyDescent="0.25">
      <c r="A2589" t="s">
        <v>13732</v>
      </c>
      <c r="B2589" t="s">
        <v>13733</v>
      </c>
    </row>
    <row r="2590" spans="1:2" x14ac:dyDescent="0.25">
      <c r="A2590" t="s">
        <v>13734</v>
      </c>
      <c r="B2590" t="s">
        <v>13735</v>
      </c>
    </row>
    <row r="2591" spans="1:2" x14ac:dyDescent="0.25">
      <c r="A2591" t="s">
        <v>13736</v>
      </c>
      <c r="B2591" t="s">
        <v>13737</v>
      </c>
    </row>
    <row r="2592" spans="1:2" x14ac:dyDescent="0.25">
      <c r="A2592" t="s">
        <v>13738</v>
      </c>
      <c r="B2592" t="s">
        <v>13739</v>
      </c>
    </row>
    <row r="2593" spans="1:2" x14ac:dyDescent="0.25">
      <c r="A2593" t="s">
        <v>13740</v>
      </c>
      <c r="B2593" t="s">
        <v>13741</v>
      </c>
    </row>
    <row r="2594" spans="1:2" x14ac:dyDescent="0.25">
      <c r="A2594" t="s">
        <v>13742</v>
      </c>
      <c r="B2594" t="s">
        <v>13743</v>
      </c>
    </row>
    <row r="2595" spans="1:2" x14ac:dyDescent="0.25">
      <c r="A2595" t="s">
        <v>13744</v>
      </c>
      <c r="B2595" t="s">
        <v>13745</v>
      </c>
    </row>
    <row r="2596" spans="1:2" x14ac:dyDescent="0.25">
      <c r="A2596" t="s">
        <v>13746</v>
      </c>
      <c r="B2596" t="s">
        <v>13747</v>
      </c>
    </row>
    <row r="2597" spans="1:2" x14ac:dyDescent="0.25">
      <c r="A2597" t="s">
        <v>13748</v>
      </c>
      <c r="B2597" t="s">
        <v>13749</v>
      </c>
    </row>
    <row r="2598" spans="1:2" x14ac:dyDescent="0.25">
      <c r="A2598" t="s">
        <v>13750</v>
      </c>
      <c r="B2598" t="s">
        <v>13751</v>
      </c>
    </row>
    <row r="2599" spans="1:2" x14ac:dyDescent="0.25">
      <c r="A2599" t="s">
        <v>13752</v>
      </c>
      <c r="B2599" t="s">
        <v>13753</v>
      </c>
    </row>
    <row r="2600" spans="1:2" x14ac:dyDescent="0.25">
      <c r="A2600" t="s">
        <v>13754</v>
      </c>
      <c r="B2600" t="s">
        <v>13755</v>
      </c>
    </row>
    <row r="2601" spans="1:2" x14ac:dyDescent="0.25">
      <c r="A2601" t="s">
        <v>13756</v>
      </c>
      <c r="B2601" t="s">
        <v>13757</v>
      </c>
    </row>
    <row r="2602" spans="1:2" x14ac:dyDescent="0.25">
      <c r="A2602" t="s">
        <v>13758</v>
      </c>
      <c r="B2602" t="s">
        <v>13759</v>
      </c>
    </row>
    <row r="2603" spans="1:2" x14ac:dyDescent="0.25">
      <c r="A2603" t="s">
        <v>13760</v>
      </c>
      <c r="B2603" t="s">
        <v>13761</v>
      </c>
    </row>
    <row r="2604" spans="1:2" x14ac:dyDescent="0.25">
      <c r="A2604" t="s">
        <v>13762</v>
      </c>
      <c r="B2604" t="s">
        <v>13763</v>
      </c>
    </row>
    <row r="2605" spans="1:2" x14ac:dyDescent="0.25">
      <c r="A2605" t="s">
        <v>13764</v>
      </c>
      <c r="B2605" t="s">
        <v>13765</v>
      </c>
    </row>
    <row r="2606" spans="1:2" x14ac:dyDescent="0.25">
      <c r="A2606" t="s">
        <v>13766</v>
      </c>
      <c r="B2606" t="s">
        <v>13767</v>
      </c>
    </row>
    <row r="2607" spans="1:2" x14ac:dyDescent="0.25">
      <c r="A2607" t="s">
        <v>13768</v>
      </c>
      <c r="B2607" t="s">
        <v>13769</v>
      </c>
    </row>
    <row r="2608" spans="1:2" x14ac:dyDescent="0.25">
      <c r="A2608" t="s">
        <v>13770</v>
      </c>
      <c r="B2608" t="s">
        <v>13771</v>
      </c>
    </row>
    <row r="2609" spans="1:2" x14ac:dyDescent="0.25">
      <c r="A2609" t="s">
        <v>13772</v>
      </c>
      <c r="B2609" t="s">
        <v>13773</v>
      </c>
    </row>
    <row r="2610" spans="1:2" x14ac:dyDescent="0.25">
      <c r="A2610" t="s">
        <v>13774</v>
      </c>
      <c r="B2610" t="s">
        <v>13775</v>
      </c>
    </row>
    <row r="2611" spans="1:2" x14ac:dyDescent="0.25">
      <c r="A2611" t="s">
        <v>13776</v>
      </c>
      <c r="B2611" t="s">
        <v>13777</v>
      </c>
    </row>
    <row r="2612" spans="1:2" x14ac:dyDescent="0.25">
      <c r="A2612" t="s">
        <v>13778</v>
      </c>
      <c r="B2612" t="s">
        <v>13779</v>
      </c>
    </row>
    <row r="2613" spans="1:2" x14ac:dyDescent="0.25">
      <c r="A2613" t="s">
        <v>13780</v>
      </c>
      <c r="B2613" t="s">
        <v>13781</v>
      </c>
    </row>
    <row r="2614" spans="1:2" x14ac:dyDescent="0.25">
      <c r="A2614" t="s">
        <v>541</v>
      </c>
      <c r="B2614" t="s">
        <v>13782</v>
      </c>
    </row>
    <row r="2615" spans="1:2" x14ac:dyDescent="0.25">
      <c r="A2615" t="s">
        <v>13783</v>
      </c>
      <c r="B2615" t="s">
        <v>13784</v>
      </c>
    </row>
    <row r="2616" spans="1:2" x14ac:dyDescent="0.25">
      <c r="A2616" t="s">
        <v>13785</v>
      </c>
      <c r="B2616" t="s">
        <v>13786</v>
      </c>
    </row>
    <row r="2617" spans="1:2" x14ac:dyDescent="0.25">
      <c r="A2617" t="s">
        <v>13787</v>
      </c>
      <c r="B2617" t="s">
        <v>13788</v>
      </c>
    </row>
    <row r="2618" spans="1:2" x14ac:dyDescent="0.25">
      <c r="A2618" t="s">
        <v>13789</v>
      </c>
      <c r="B2618" t="s">
        <v>13790</v>
      </c>
    </row>
    <row r="2619" spans="1:2" x14ac:dyDescent="0.25">
      <c r="A2619" t="s">
        <v>13791</v>
      </c>
      <c r="B2619" t="s">
        <v>13792</v>
      </c>
    </row>
    <row r="2620" spans="1:2" x14ac:dyDescent="0.25">
      <c r="A2620" t="s">
        <v>13793</v>
      </c>
      <c r="B2620" t="s">
        <v>13794</v>
      </c>
    </row>
    <row r="2621" spans="1:2" x14ac:dyDescent="0.25">
      <c r="A2621" t="s">
        <v>543</v>
      </c>
      <c r="B2621" t="s">
        <v>13795</v>
      </c>
    </row>
    <row r="2622" spans="1:2" x14ac:dyDescent="0.25">
      <c r="A2622" t="s">
        <v>13796</v>
      </c>
      <c r="B2622" t="s">
        <v>13797</v>
      </c>
    </row>
    <row r="2623" spans="1:2" x14ac:dyDescent="0.25">
      <c r="A2623" t="s">
        <v>13798</v>
      </c>
      <c r="B2623" t="s">
        <v>13799</v>
      </c>
    </row>
    <row r="2624" spans="1:2" x14ac:dyDescent="0.25">
      <c r="A2624" t="s">
        <v>68</v>
      </c>
      <c r="B2624" t="s">
        <v>13800</v>
      </c>
    </row>
    <row r="2625" spans="1:2" x14ac:dyDescent="0.25">
      <c r="A2625" t="s">
        <v>13801</v>
      </c>
      <c r="B2625" t="s">
        <v>13802</v>
      </c>
    </row>
    <row r="2626" spans="1:2" x14ac:dyDescent="0.25">
      <c r="A2626" t="s">
        <v>13803</v>
      </c>
      <c r="B2626" t="s">
        <v>13804</v>
      </c>
    </row>
    <row r="2627" spans="1:2" x14ac:dyDescent="0.25">
      <c r="A2627" t="s">
        <v>13805</v>
      </c>
      <c r="B2627" t="s">
        <v>13806</v>
      </c>
    </row>
    <row r="2628" spans="1:2" x14ac:dyDescent="0.25">
      <c r="A2628" t="s">
        <v>13807</v>
      </c>
      <c r="B2628" t="s">
        <v>13808</v>
      </c>
    </row>
    <row r="2629" spans="1:2" x14ac:dyDescent="0.25">
      <c r="A2629" t="s">
        <v>13809</v>
      </c>
      <c r="B2629" t="s">
        <v>13810</v>
      </c>
    </row>
    <row r="2630" spans="1:2" x14ac:dyDescent="0.25">
      <c r="A2630" t="s">
        <v>13811</v>
      </c>
      <c r="B2630" t="s">
        <v>13812</v>
      </c>
    </row>
    <row r="2631" spans="1:2" x14ac:dyDescent="0.25">
      <c r="A2631" t="s">
        <v>13813</v>
      </c>
      <c r="B2631" t="s">
        <v>13814</v>
      </c>
    </row>
    <row r="2632" spans="1:2" x14ac:dyDescent="0.25">
      <c r="A2632" t="s">
        <v>13815</v>
      </c>
      <c r="B2632" t="s">
        <v>13816</v>
      </c>
    </row>
    <row r="2633" spans="1:2" x14ac:dyDescent="0.25">
      <c r="A2633" t="s">
        <v>13817</v>
      </c>
      <c r="B2633" t="s">
        <v>13818</v>
      </c>
    </row>
    <row r="2634" spans="1:2" x14ac:dyDescent="0.25">
      <c r="A2634" t="s">
        <v>13819</v>
      </c>
      <c r="B2634" t="s">
        <v>13820</v>
      </c>
    </row>
    <row r="2635" spans="1:2" x14ac:dyDescent="0.25">
      <c r="A2635" t="s">
        <v>13821</v>
      </c>
      <c r="B2635" t="s">
        <v>13822</v>
      </c>
    </row>
    <row r="2636" spans="1:2" x14ac:dyDescent="0.25">
      <c r="A2636" t="s">
        <v>13823</v>
      </c>
      <c r="B2636" t="s">
        <v>13824</v>
      </c>
    </row>
    <row r="2637" spans="1:2" x14ac:dyDescent="0.25">
      <c r="A2637" t="s">
        <v>13825</v>
      </c>
      <c r="B2637" t="s">
        <v>13826</v>
      </c>
    </row>
    <row r="2638" spans="1:2" x14ac:dyDescent="0.25">
      <c r="A2638" t="s">
        <v>13827</v>
      </c>
      <c r="B2638" t="s">
        <v>13828</v>
      </c>
    </row>
    <row r="2639" spans="1:2" x14ac:dyDescent="0.25">
      <c r="A2639" t="s">
        <v>13829</v>
      </c>
      <c r="B2639" t="s">
        <v>13830</v>
      </c>
    </row>
    <row r="2640" spans="1:2" x14ac:dyDescent="0.25">
      <c r="A2640" t="s">
        <v>13831</v>
      </c>
      <c r="B2640" t="s">
        <v>13832</v>
      </c>
    </row>
    <row r="2641" spans="1:2" x14ac:dyDescent="0.25">
      <c r="A2641" t="s">
        <v>13833</v>
      </c>
      <c r="B2641" t="s">
        <v>13834</v>
      </c>
    </row>
    <row r="2642" spans="1:2" x14ac:dyDescent="0.25">
      <c r="A2642" t="s">
        <v>13835</v>
      </c>
      <c r="B2642" t="s">
        <v>13836</v>
      </c>
    </row>
    <row r="2643" spans="1:2" x14ac:dyDescent="0.25">
      <c r="A2643" t="s">
        <v>13837</v>
      </c>
      <c r="B2643" t="s">
        <v>13838</v>
      </c>
    </row>
    <row r="2644" spans="1:2" x14ac:dyDescent="0.25">
      <c r="A2644" t="s">
        <v>13839</v>
      </c>
      <c r="B2644" t="s">
        <v>13840</v>
      </c>
    </row>
    <row r="2645" spans="1:2" x14ac:dyDescent="0.25">
      <c r="A2645" t="s">
        <v>13841</v>
      </c>
      <c r="B2645" t="s">
        <v>13842</v>
      </c>
    </row>
    <row r="2646" spans="1:2" x14ac:dyDescent="0.25">
      <c r="A2646" t="s">
        <v>13843</v>
      </c>
      <c r="B2646" t="s">
        <v>13844</v>
      </c>
    </row>
    <row r="2647" spans="1:2" x14ac:dyDescent="0.25">
      <c r="A2647" t="s">
        <v>13845</v>
      </c>
      <c r="B2647" t="s">
        <v>13846</v>
      </c>
    </row>
    <row r="2648" spans="1:2" x14ac:dyDescent="0.25">
      <c r="A2648" t="s">
        <v>13847</v>
      </c>
      <c r="B2648" t="s">
        <v>13848</v>
      </c>
    </row>
    <row r="2649" spans="1:2" x14ac:dyDescent="0.25">
      <c r="A2649" t="s">
        <v>13849</v>
      </c>
      <c r="B2649" t="s">
        <v>13850</v>
      </c>
    </row>
    <row r="2650" spans="1:2" x14ac:dyDescent="0.25">
      <c r="A2650" t="s">
        <v>13851</v>
      </c>
      <c r="B2650" t="s">
        <v>13852</v>
      </c>
    </row>
    <row r="2651" spans="1:2" x14ac:dyDescent="0.25">
      <c r="A2651" t="s">
        <v>69</v>
      </c>
      <c r="B2651" t="s">
        <v>13853</v>
      </c>
    </row>
    <row r="2652" spans="1:2" x14ac:dyDescent="0.25">
      <c r="A2652" t="s">
        <v>13854</v>
      </c>
      <c r="B2652" t="s">
        <v>13855</v>
      </c>
    </row>
    <row r="2653" spans="1:2" x14ac:dyDescent="0.25">
      <c r="A2653" t="s">
        <v>13856</v>
      </c>
      <c r="B2653" t="s">
        <v>13857</v>
      </c>
    </row>
    <row r="2654" spans="1:2" x14ac:dyDescent="0.25">
      <c r="A2654" t="s">
        <v>13858</v>
      </c>
      <c r="B2654" t="s">
        <v>13859</v>
      </c>
    </row>
    <row r="2655" spans="1:2" x14ac:dyDescent="0.25">
      <c r="A2655" t="s">
        <v>13860</v>
      </c>
      <c r="B2655" t="s">
        <v>13861</v>
      </c>
    </row>
    <row r="2656" spans="1:2" x14ac:dyDescent="0.25">
      <c r="A2656" t="s">
        <v>13862</v>
      </c>
      <c r="B2656" t="s">
        <v>13863</v>
      </c>
    </row>
    <row r="2657" spans="1:2" x14ac:dyDescent="0.25">
      <c r="A2657" t="s">
        <v>13864</v>
      </c>
      <c r="B2657" t="s">
        <v>13865</v>
      </c>
    </row>
    <row r="2658" spans="1:2" x14ac:dyDescent="0.25">
      <c r="A2658" t="s">
        <v>13866</v>
      </c>
      <c r="B2658" t="s">
        <v>13867</v>
      </c>
    </row>
    <row r="2659" spans="1:2" x14ac:dyDescent="0.25">
      <c r="A2659" t="s">
        <v>13868</v>
      </c>
      <c r="B2659" t="s">
        <v>13869</v>
      </c>
    </row>
    <row r="2660" spans="1:2" x14ac:dyDescent="0.25">
      <c r="A2660" t="s">
        <v>13870</v>
      </c>
      <c r="B2660" t="s">
        <v>13871</v>
      </c>
    </row>
    <row r="2661" spans="1:2" x14ac:dyDescent="0.25">
      <c r="A2661" t="s">
        <v>13872</v>
      </c>
      <c r="B2661" t="s">
        <v>13873</v>
      </c>
    </row>
    <row r="2662" spans="1:2" x14ac:dyDescent="0.25">
      <c r="A2662" t="s">
        <v>13874</v>
      </c>
      <c r="B2662" t="s">
        <v>13875</v>
      </c>
    </row>
    <row r="2663" spans="1:2" x14ac:dyDescent="0.25">
      <c r="A2663" t="s">
        <v>13876</v>
      </c>
      <c r="B2663" t="s">
        <v>13877</v>
      </c>
    </row>
    <row r="2664" spans="1:2" x14ac:dyDescent="0.25">
      <c r="A2664" t="s">
        <v>3656</v>
      </c>
      <c r="B2664" t="s">
        <v>13878</v>
      </c>
    </row>
    <row r="2665" spans="1:2" x14ac:dyDescent="0.25">
      <c r="A2665" t="s">
        <v>13879</v>
      </c>
      <c r="B2665" t="s">
        <v>13880</v>
      </c>
    </row>
    <row r="2666" spans="1:2" x14ac:dyDescent="0.25">
      <c r="A2666" t="s">
        <v>13881</v>
      </c>
      <c r="B2666" t="s">
        <v>13882</v>
      </c>
    </row>
    <row r="2667" spans="1:2" x14ac:dyDescent="0.25">
      <c r="A2667" t="s">
        <v>13883</v>
      </c>
      <c r="B2667" t="s">
        <v>13884</v>
      </c>
    </row>
    <row r="2668" spans="1:2" x14ac:dyDescent="0.25">
      <c r="A2668" t="s">
        <v>13885</v>
      </c>
      <c r="B2668" t="s">
        <v>13886</v>
      </c>
    </row>
    <row r="2669" spans="1:2" x14ac:dyDescent="0.25">
      <c r="A2669" t="s">
        <v>13887</v>
      </c>
      <c r="B2669" t="s">
        <v>13888</v>
      </c>
    </row>
    <row r="2670" spans="1:2" x14ac:dyDescent="0.25">
      <c r="A2670" t="s">
        <v>13889</v>
      </c>
      <c r="B2670" t="s">
        <v>13890</v>
      </c>
    </row>
    <row r="2671" spans="1:2" x14ac:dyDescent="0.25">
      <c r="A2671" t="s">
        <v>13891</v>
      </c>
      <c r="B2671" t="s">
        <v>13892</v>
      </c>
    </row>
    <row r="2672" spans="1:2" x14ac:dyDescent="0.25">
      <c r="A2672" t="s">
        <v>13893</v>
      </c>
      <c r="B2672" t="s">
        <v>13894</v>
      </c>
    </row>
    <row r="2673" spans="1:2" x14ac:dyDescent="0.25">
      <c r="A2673" t="s">
        <v>13895</v>
      </c>
      <c r="B2673" t="s">
        <v>13896</v>
      </c>
    </row>
    <row r="2674" spans="1:2" x14ac:dyDescent="0.25">
      <c r="A2674" t="s">
        <v>13897</v>
      </c>
      <c r="B2674" t="s">
        <v>13898</v>
      </c>
    </row>
    <row r="2675" spans="1:2" x14ac:dyDescent="0.25">
      <c r="A2675" t="s">
        <v>13899</v>
      </c>
      <c r="B2675" t="s">
        <v>13900</v>
      </c>
    </row>
    <row r="2676" spans="1:2" x14ac:dyDescent="0.25">
      <c r="A2676" t="s">
        <v>13901</v>
      </c>
      <c r="B2676" t="s">
        <v>13902</v>
      </c>
    </row>
    <row r="2677" spans="1:2" x14ac:dyDescent="0.25">
      <c r="A2677" t="s">
        <v>13903</v>
      </c>
      <c r="B2677" t="s">
        <v>13904</v>
      </c>
    </row>
    <row r="2678" spans="1:2" x14ac:dyDescent="0.25">
      <c r="A2678" t="s">
        <v>13905</v>
      </c>
      <c r="B2678" t="s">
        <v>13906</v>
      </c>
    </row>
    <row r="2679" spans="1:2" x14ac:dyDescent="0.25">
      <c r="A2679" t="s">
        <v>13907</v>
      </c>
      <c r="B2679" t="s">
        <v>13908</v>
      </c>
    </row>
    <row r="2680" spans="1:2" x14ac:dyDescent="0.25">
      <c r="A2680" t="s">
        <v>13909</v>
      </c>
      <c r="B2680" t="s">
        <v>13910</v>
      </c>
    </row>
    <row r="2681" spans="1:2" x14ac:dyDescent="0.25">
      <c r="A2681" t="s">
        <v>13911</v>
      </c>
      <c r="B2681" t="s">
        <v>13912</v>
      </c>
    </row>
    <row r="2682" spans="1:2" x14ac:dyDescent="0.25">
      <c r="A2682" t="s">
        <v>13913</v>
      </c>
      <c r="B2682" t="s">
        <v>13914</v>
      </c>
    </row>
    <row r="2683" spans="1:2" x14ac:dyDescent="0.25">
      <c r="A2683" t="s">
        <v>13915</v>
      </c>
      <c r="B2683" t="s">
        <v>13916</v>
      </c>
    </row>
    <row r="2684" spans="1:2" x14ac:dyDescent="0.25">
      <c r="A2684" t="s">
        <v>2407</v>
      </c>
      <c r="B2684" t="s">
        <v>13917</v>
      </c>
    </row>
    <row r="2685" spans="1:2" x14ac:dyDescent="0.25">
      <c r="A2685" t="s">
        <v>13918</v>
      </c>
      <c r="B2685" t="s">
        <v>13919</v>
      </c>
    </row>
    <row r="2686" spans="1:2" x14ac:dyDescent="0.25">
      <c r="A2686" t="s">
        <v>13920</v>
      </c>
      <c r="B2686" t="s">
        <v>13921</v>
      </c>
    </row>
    <row r="2687" spans="1:2" x14ac:dyDescent="0.25">
      <c r="A2687" t="s">
        <v>13922</v>
      </c>
      <c r="B2687" t="s">
        <v>13923</v>
      </c>
    </row>
    <row r="2688" spans="1:2" x14ac:dyDescent="0.25">
      <c r="A2688" t="s">
        <v>13924</v>
      </c>
      <c r="B2688" t="s">
        <v>13925</v>
      </c>
    </row>
    <row r="2689" spans="1:2" x14ac:dyDescent="0.25">
      <c r="A2689" t="s">
        <v>13926</v>
      </c>
      <c r="B2689" t="s">
        <v>13927</v>
      </c>
    </row>
    <row r="2690" spans="1:2" x14ac:dyDescent="0.25">
      <c r="A2690" t="s">
        <v>13928</v>
      </c>
      <c r="B2690" t="s">
        <v>13929</v>
      </c>
    </row>
    <row r="2691" spans="1:2" x14ac:dyDescent="0.25">
      <c r="A2691" t="s">
        <v>13930</v>
      </c>
      <c r="B2691" t="s">
        <v>13931</v>
      </c>
    </row>
    <row r="2692" spans="1:2" x14ac:dyDescent="0.25">
      <c r="A2692" t="s">
        <v>2409</v>
      </c>
      <c r="B2692" t="s">
        <v>13932</v>
      </c>
    </row>
    <row r="2693" spans="1:2" x14ac:dyDescent="0.25">
      <c r="A2693" t="s">
        <v>13933</v>
      </c>
      <c r="B2693" t="s">
        <v>13934</v>
      </c>
    </row>
    <row r="2694" spans="1:2" x14ac:dyDescent="0.25">
      <c r="A2694" t="s">
        <v>13935</v>
      </c>
      <c r="B2694" t="s">
        <v>13936</v>
      </c>
    </row>
    <row r="2695" spans="1:2" x14ac:dyDescent="0.25">
      <c r="A2695" t="s">
        <v>13937</v>
      </c>
      <c r="B2695" t="s">
        <v>13938</v>
      </c>
    </row>
    <row r="2696" spans="1:2" x14ac:dyDescent="0.25">
      <c r="A2696" t="s">
        <v>13939</v>
      </c>
      <c r="B2696" t="s">
        <v>13940</v>
      </c>
    </row>
    <row r="2697" spans="1:2" x14ac:dyDescent="0.25">
      <c r="A2697" t="s">
        <v>364</v>
      </c>
      <c r="B2697" t="s">
        <v>13941</v>
      </c>
    </row>
    <row r="2698" spans="1:2" x14ac:dyDescent="0.25">
      <c r="A2698" t="s">
        <v>13942</v>
      </c>
      <c r="B2698" t="s">
        <v>13943</v>
      </c>
    </row>
    <row r="2699" spans="1:2" x14ac:dyDescent="0.25">
      <c r="A2699" t="s">
        <v>13944</v>
      </c>
      <c r="B2699" t="s">
        <v>13945</v>
      </c>
    </row>
    <row r="2700" spans="1:2" x14ac:dyDescent="0.25">
      <c r="A2700" t="s">
        <v>13946</v>
      </c>
      <c r="B2700" t="s">
        <v>13947</v>
      </c>
    </row>
    <row r="2701" spans="1:2" x14ac:dyDescent="0.25">
      <c r="A2701" t="s">
        <v>13948</v>
      </c>
      <c r="B2701" t="s">
        <v>13949</v>
      </c>
    </row>
    <row r="2702" spans="1:2" x14ac:dyDescent="0.25">
      <c r="A2702" t="s">
        <v>13950</v>
      </c>
      <c r="B2702" t="s">
        <v>13951</v>
      </c>
    </row>
    <row r="2703" spans="1:2" x14ac:dyDescent="0.25">
      <c r="A2703" t="s">
        <v>13952</v>
      </c>
      <c r="B2703" t="s">
        <v>13953</v>
      </c>
    </row>
    <row r="2704" spans="1:2" x14ac:dyDescent="0.25">
      <c r="A2704" t="s">
        <v>13954</v>
      </c>
      <c r="B2704" t="s">
        <v>13955</v>
      </c>
    </row>
    <row r="2705" spans="1:2" x14ac:dyDescent="0.25">
      <c r="A2705" t="s">
        <v>13956</v>
      </c>
      <c r="B2705" t="s">
        <v>13957</v>
      </c>
    </row>
    <row r="2706" spans="1:2" x14ac:dyDescent="0.25">
      <c r="A2706" t="s">
        <v>13958</v>
      </c>
      <c r="B2706" t="s">
        <v>13959</v>
      </c>
    </row>
    <row r="2707" spans="1:2" x14ac:dyDescent="0.25">
      <c r="A2707" t="s">
        <v>13960</v>
      </c>
      <c r="B2707" t="s">
        <v>13961</v>
      </c>
    </row>
    <row r="2708" spans="1:2" x14ac:dyDescent="0.25">
      <c r="A2708" t="s">
        <v>13962</v>
      </c>
      <c r="B2708" t="s">
        <v>13963</v>
      </c>
    </row>
    <row r="2709" spans="1:2" x14ac:dyDescent="0.25">
      <c r="A2709" t="s">
        <v>13964</v>
      </c>
      <c r="B2709" t="s">
        <v>13965</v>
      </c>
    </row>
    <row r="2710" spans="1:2" x14ac:dyDescent="0.25">
      <c r="A2710" t="s">
        <v>13966</v>
      </c>
      <c r="B2710" t="s">
        <v>13967</v>
      </c>
    </row>
    <row r="2711" spans="1:2" x14ac:dyDescent="0.25">
      <c r="A2711" t="s">
        <v>13968</v>
      </c>
      <c r="B2711" t="s">
        <v>13969</v>
      </c>
    </row>
    <row r="2712" spans="1:2" x14ac:dyDescent="0.25">
      <c r="A2712" t="s">
        <v>13970</v>
      </c>
      <c r="B2712" t="s">
        <v>13971</v>
      </c>
    </row>
    <row r="2713" spans="1:2" x14ac:dyDescent="0.25">
      <c r="A2713" t="s">
        <v>13972</v>
      </c>
      <c r="B2713" t="s">
        <v>13725</v>
      </c>
    </row>
    <row r="2714" spans="1:2" x14ac:dyDescent="0.25">
      <c r="A2714" t="s">
        <v>13973</v>
      </c>
      <c r="B2714" t="s">
        <v>13974</v>
      </c>
    </row>
    <row r="2715" spans="1:2" x14ac:dyDescent="0.25">
      <c r="A2715" t="s">
        <v>13975</v>
      </c>
      <c r="B2715" t="s">
        <v>13976</v>
      </c>
    </row>
    <row r="2716" spans="1:2" x14ac:dyDescent="0.25">
      <c r="A2716" t="s">
        <v>13977</v>
      </c>
      <c r="B2716" t="s">
        <v>13978</v>
      </c>
    </row>
    <row r="2717" spans="1:2" x14ac:dyDescent="0.25">
      <c r="A2717" t="s">
        <v>13979</v>
      </c>
      <c r="B2717" t="s">
        <v>13980</v>
      </c>
    </row>
    <row r="2718" spans="1:2" x14ac:dyDescent="0.25">
      <c r="A2718" t="s">
        <v>13981</v>
      </c>
      <c r="B2718" t="s">
        <v>13982</v>
      </c>
    </row>
    <row r="2719" spans="1:2" x14ac:dyDescent="0.25">
      <c r="A2719" t="s">
        <v>13983</v>
      </c>
      <c r="B2719" t="s">
        <v>13984</v>
      </c>
    </row>
    <row r="2720" spans="1:2" x14ac:dyDescent="0.25">
      <c r="A2720" t="s">
        <v>13985</v>
      </c>
      <c r="B2720" t="s">
        <v>13986</v>
      </c>
    </row>
    <row r="2721" spans="1:2" x14ac:dyDescent="0.25">
      <c r="A2721" t="s">
        <v>13987</v>
      </c>
      <c r="B2721" t="s">
        <v>13988</v>
      </c>
    </row>
    <row r="2722" spans="1:2" x14ac:dyDescent="0.25">
      <c r="A2722" t="s">
        <v>13989</v>
      </c>
      <c r="B2722" t="s">
        <v>13990</v>
      </c>
    </row>
    <row r="2723" spans="1:2" x14ac:dyDescent="0.25">
      <c r="A2723" t="s">
        <v>13991</v>
      </c>
      <c r="B2723" t="s">
        <v>13992</v>
      </c>
    </row>
    <row r="2724" spans="1:2" x14ac:dyDescent="0.25">
      <c r="A2724" t="s">
        <v>13993</v>
      </c>
      <c r="B2724" t="s">
        <v>13994</v>
      </c>
    </row>
    <row r="2725" spans="1:2" x14ac:dyDescent="0.25">
      <c r="A2725" t="s">
        <v>13995</v>
      </c>
      <c r="B2725" t="s">
        <v>13996</v>
      </c>
    </row>
    <row r="2726" spans="1:2" x14ac:dyDescent="0.25">
      <c r="A2726" t="s">
        <v>13997</v>
      </c>
      <c r="B2726" t="s">
        <v>13998</v>
      </c>
    </row>
    <row r="2727" spans="1:2" x14ac:dyDescent="0.25">
      <c r="A2727" t="s">
        <v>13999</v>
      </c>
      <c r="B2727" t="s">
        <v>14000</v>
      </c>
    </row>
    <row r="2728" spans="1:2" x14ac:dyDescent="0.25">
      <c r="A2728" t="s">
        <v>14001</v>
      </c>
      <c r="B2728" t="s">
        <v>14002</v>
      </c>
    </row>
    <row r="2729" spans="1:2" x14ac:dyDescent="0.25">
      <c r="A2729" t="s">
        <v>14003</v>
      </c>
      <c r="B2729" t="s">
        <v>14004</v>
      </c>
    </row>
    <row r="2730" spans="1:2" x14ac:dyDescent="0.25">
      <c r="A2730" t="s">
        <v>14005</v>
      </c>
      <c r="B2730" t="s">
        <v>14006</v>
      </c>
    </row>
    <row r="2731" spans="1:2" x14ac:dyDescent="0.25">
      <c r="A2731" t="s">
        <v>14007</v>
      </c>
      <c r="B2731" t="s">
        <v>14008</v>
      </c>
    </row>
    <row r="2732" spans="1:2" x14ac:dyDescent="0.25">
      <c r="A2732" t="s">
        <v>14009</v>
      </c>
      <c r="B2732" t="s">
        <v>14010</v>
      </c>
    </row>
    <row r="2733" spans="1:2" x14ac:dyDescent="0.25">
      <c r="A2733" t="s">
        <v>14011</v>
      </c>
      <c r="B2733" t="s">
        <v>14012</v>
      </c>
    </row>
    <row r="2734" spans="1:2" x14ac:dyDescent="0.25">
      <c r="A2734" t="s">
        <v>1658</v>
      </c>
      <c r="B2734" t="s">
        <v>14013</v>
      </c>
    </row>
    <row r="2735" spans="1:2" x14ac:dyDescent="0.25">
      <c r="A2735" t="s">
        <v>14014</v>
      </c>
      <c r="B2735" t="s">
        <v>14015</v>
      </c>
    </row>
    <row r="2736" spans="1:2" x14ac:dyDescent="0.25">
      <c r="A2736" t="s">
        <v>14016</v>
      </c>
      <c r="B2736" t="s">
        <v>14017</v>
      </c>
    </row>
    <row r="2737" spans="1:2" x14ac:dyDescent="0.25">
      <c r="A2737" t="s">
        <v>14018</v>
      </c>
      <c r="B2737" t="s">
        <v>14019</v>
      </c>
    </row>
    <row r="2738" spans="1:2" x14ac:dyDescent="0.25">
      <c r="A2738" t="s">
        <v>14020</v>
      </c>
      <c r="B2738" t="s">
        <v>14021</v>
      </c>
    </row>
    <row r="2739" spans="1:2" x14ac:dyDescent="0.25">
      <c r="A2739" t="s">
        <v>14022</v>
      </c>
      <c r="B2739" t="s">
        <v>14023</v>
      </c>
    </row>
    <row r="2740" spans="1:2" x14ac:dyDescent="0.25">
      <c r="A2740" t="s">
        <v>14024</v>
      </c>
      <c r="B2740" t="s">
        <v>14025</v>
      </c>
    </row>
    <row r="2741" spans="1:2" x14ac:dyDescent="0.25">
      <c r="A2741" t="s">
        <v>14026</v>
      </c>
      <c r="B2741" t="s">
        <v>14027</v>
      </c>
    </row>
    <row r="2742" spans="1:2" x14ac:dyDescent="0.25">
      <c r="A2742" t="s">
        <v>14028</v>
      </c>
      <c r="B2742" t="s">
        <v>14029</v>
      </c>
    </row>
    <row r="2743" spans="1:2" x14ac:dyDescent="0.25">
      <c r="A2743" t="s">
        <v>14030</v>
      </c>
      <c r="B2743" t="s">
        <v>14031</v>
      </c>
    </row>
    <row r="2744" spans="1:2" x14ac:dyDescent="0.25">
      <c r="A2744" t="s">
        <v>14032</v>
      </c>
      <c r="B2744" t="s">
        <v>14033</v>
      </c>
    </row>
    <row r="2745" spans="1:2" x14ac:dyDescent="0.25">
      <c r="A2745" t="s">
        <v>14034</v>
      </c>
      <c r="B2745" t="s">
        <v>14035</v>
      </c>
    </row>
    <row r="2746" spans="1:2" x14ac:dyDescent="0.25">
      <c r="A2746" t="s">
        <v>14036</v>
      </c>
      <c r="B2746" t="s">
        <v>14037</v>
      </c>
    </row>
    <row r="2747" spans="1:2" x14ac:dyDescent="0.25">
      <c r="A2747" t="s">
        <v>14038</v>
      </c>
      <c r="B2747" t="s">
        <v>14039</v>
      </c>
    </row>
    <row r="2748" spans="1:2" x14ac:dyDescent="0.25">
      <c r="A2748" t="s">
        <v>14040</v>
      </c>
      <c r="B2748" t="s">
        <v>14041</v>
      </c>
    </row>
    <row r="2749" spans="1:2" x14ac:dyDescent="0.25">
      <c r="A2749" t="s">
        <v>14042</v>
      </c>
      <c r="B2749" t="s">
        <v>14043</v>
      </c>
    </row>
    <row r="2750" spans="1:2" x14ac:dyDescent="0.25">
      <c r="A2750" t="s">
        <v>14044</v>
      </c>
      <c r="B2750" t="s">
        <v>14045</v>
      </c>
    </row>
    <row r="2751" spans="1:2" x14ac:dyDescent="0.25">
      <c r="A2751" t="s">
        <v>14046</v>
      </c>
      <c r="B2751" t="s">
        <v>14047</v>
      </c>
    </row>
    <row r="2752" spans="1:2" x14ac:dyDescent="0.25">
      <c r="A2752" t="s">
        <v>14048</v>
      </c>
      <c r="B2752" t="s">
        <v>14049</v>
      </c>
    </row>
    <row r="2753" spans="1:2" x14ac:dyDescent="0.25">
      <c r="A2753" t="s">
        <v>14050</v>
      </c>
      <c r="B2753" t="s">
        <v>14051</v>
      </c>
    </row>
    <row r="2754" spans="1:2" x14ac:dyDescent="0.25">
      <c r="A2754" t="s">
        <v>14052</v>
      </c>
      <c r="B2754" t="s">
        <v>14053</v>
      </c>
    </row>
    <row r="2755" spans="1:2" x14ac:dyDescent="0.25">
      <c r="A2755" t="s">
        <v>14054</v>
      </c>
      <c r="B2755" t="s">
        <v>14055</v>
      </c>
    </row>
    <row r="2756" spans="1:2" x14ac:dyDescent="0.25">
      <c r="A2756" t="s">
        <v>14056</v>
      </c>
      <c r="B2756" t="s">
        <v>14057</v>
      </c>
    </row>
    <row r="2757" spans="1:2" x14ac:dyDescent="0.25">
      <c r="A2757" t="s">
        <v>14058</v>
      </c>
      <c r="B2757" t="s">
        <v>14059</v>
      </c>
    </row>
    <row r="2758" spans="1:2" x14ac:dyDescent="0.25">
      <c r="A2758" t="s">
        <v>14060</v>
      </c>
      <c r="B2758" t="s">
        <v>14061</v>
      </c>
    </row>
    <row r="2759" spans="1:2" x14ac:dyDescent="0.25">
      <c r="A2759" t="s">
        <v>14062</v>
      </c>
      <c r="B2759" t="s">
        <v>14063</v>
      </c>
    </row>
    <row r="2760" spans="1:2" x14ac:dyDescent="0.25">
      <c r="A2760" t="s">
        <v>14064</v>
      </c>
      <c r="B2760" t="s">
        <v>14065</v>
      </c>
    </row>
    <row r="2761" spans="1:2" x14ac:dyDescent="0.25">
      <c r="A2761" t="s">
        <v>14066</v>
      </c>
      <c r="B2761" t="s">
        <v>14067</v>
      </c>
    </row>
    <row r="2762" spans="1:2" x14ac:dyDescent="0.25">
      <c r="A2762" t="s">
        <v>14068</v>
      </c>
      <c r="B2762" t="s">
        <v>14069</v>
      </c>
    </row>
    <row r="2763" spans="1:2" x14ac:dyDescent="0.25">
      <c r="A2763" t="s">
        <v>14070</v>
      </c>
      <c r="B2763" t="s">
        <v>14071</v>
      </c>
    </row>
    <row r="2764" spans="1:2" x14ac:dyDescent="0.25">
      <c r="A2764" t="s">
        <v>14072</v>
      </c>
      <c r="B2764" t="s">
        <v>14073</v>
      </c>
    </row>
    <row r="2765" spans="1:2" x14ac:dyDescent="0.25">
      <c r="A2765" t="s">
        <v>14074</v>
      </c>
      <c r="B2765" t="s">
        <v>14075</v>
      </c>
    </row>
    <row r="2766" spans="1:2" x14ac:dyDescent="0.25">
      <c r="A2766" t="s">
        <v>14076</v>
      </c>
      <c r="B2766" t="s">
        <v>14077</v>
      </c>
    </row>
    <row r="2767" spans="1:2" x14ac:dyDescent="0.25">
      <c r="A2767" t="s">
        <v>14078</v>
      </c>
      <c r="B2767" t="s">
        <v>14079</v>
      </c>
    </row>
    <row r="2768" spans="1:2" x14ac:dyDescent="0.25">
      <c r="A2768" t="s">
        <v>14080</v>
      </c>
      <c r="B2768" t="s">
        <v>14081</v>
      </c>
    </row>
    <row r="2769" spans="1:2" x14ac:dyDescent="0.25">
      <c r="A2769" t="s">
        <v>14082</v>
      </c>
      <c r="B2769" t="s">
        <v>14083</v>
      </c>
    </row>
    <row r="2770" spans="1:2" x14ac:dyDescent="0.25">
      <c r="A2770" t="s">
        <v>14084</v>
      </c>
      <c r="B2770" t="s">
        <v>14085</v>
      </c>
    </row>
    <row r="2771" spans="1:2" x14ac:dyDescent="0.25">
      <c r="A2771" t="s">
        <v>14086</v>
      </c>
      <c r="B2771" t="s">
        <v>14087</v>
      </c>
    </row>
    <row r="2772" spans="1:2" x14ac:dyDescent="0.25">
      <c r="A2772" t="s">
        <v>14088</v>
      </c>
      <c r="B2772" t="s">
        <v>14089</v>
      </c>
    </row>
    <row r="2773" spans="1:2" x14ac:dyDescent="0.25">
      <c r="A2773" t="s">
        <v>14090</v>
      </c>
      <c r="B2773" t="s">
        <v>14091</v>
      </c>
    </row>
    <row r="2774" spans="1:2" x14ac:dyDescent="0.25">
      <c r="A2774" t="s">
        <v>14092</v>
      </c>
      <c r="B2774" t="s">
        <v>14093</v>
      </c>
    </row>
    <row r="2775" spans="1:2" x14ac:dyDescent="0.25">
      <c r="A2775" t="s">
        <v>14094</v>
      </c>
      <c r="B2775" t="s">
        <v>14095</v>
      </c>
    </row>
    <row r="2776" spans="1:2" x14ac:dyDescent="0.25">
      <c r="A2776" t="s">
        <v>14096</v>
      </c>
      <c r="B2776" t="s">
        <v>14097</v>
      </c>
    </row>
    <row r="2777" spans="1:2" x14ac:dyDescent="0.25">
      <c r="A2777" t="s">
        <v>14098</v>
      </c>
      <c r="B2777" t="s">
        <v>14099</v>
      </c>
    </row>
    <row r="2778" spans="1:2" x14ac:dyDescent="0.25">
      <c r="A2778" t="s">
        <v>14100</v>
      </c>
      <c r="B2778" t="s">
        <v>14101</v>
      </c>
    </row>
    <row r="2779" spans="1:2" x14ac:dyDescent="0.25">
      <c r="A2779" t="s">
        <v>14102</v>
      </c>
      <c r="B2779" t="s">
        <v>14103</v>
      </c>
    </row>
    <row r="2780" spans="1:2" x14ac:dyDescent="0.25">
      <c r="A2780" t="s">
        <v>14104</v>
      </c>
      <c r="B2780" t="s">
        <v>14105</v>
      </c>
    </row>
    <row r="2781" spans="1:2" x14ac:dyDescent="0.25">
      <c r="A2781" t="s">
        <v>14106</v>
      </c>
      <c r="B2781" t="s">
        <v>14107</v>
      </c>
    </row>
    <row r="2782" spans="1:2" x14ac:dyDescent="0.25">
      <c r="A2782" t="s">
        <v>14108</v>
      </c>
      <c r="B2782" t="s">
        <v>14109</v>
      </c>
    </row>
    <row r="2783" spans="1:2" x14ac:dyDescent="0.25">
      <c r="A2783" t="s">
        <v>14110</v>
      </c>
      <c r="B2783" t="s">
        <v>14111</v>
      </c>
    </row>
    <row r="2784" spans="1:2" x14ac:dyDescent="0.25">
      <c r="A2784" t="s">
        <v>14112</v>
      </c>
      <c r="B2784" t="s">
        <v>14113</v>
      </c>
    </row>
    <row r="2785" spans="1:2" x14ac:dyDescent="0.25">
      <c r="A2785" t="s">
        <v>14114</v>
      </c>
      <c r="B2785" t="s">
        <v>14115</v>
      </c>
    </row>
    <row r="2786" spans="1:2" x14ac:dyDescent="0.25">
      <c r="A2786" t="s">
        <v>14116</v>
      </c>
      <c r="B2786" t="s">
        <v>14117</v>
      </c>
    </row>
    <row r="2787" spans="1:2" x14ac:dyDescent="0.25">
      <c r="A2787" t="s">
        <v>14118</v>
      </c>
      <c r="B2787" t="s">
        <v>14119</v>
      </c>
    </row>
    <row r="2788" spans="1:2" x14ac:dyDescent="0.25">
      <c r="A2788" t="s">
        <v>14120</v>
      </c>
      <c r="B2788" t="s">
        <v>14121</v>
      </c>
    </row>
    <row r="2789" spans="1:2" x14ac:dyDescent="0.25">
      <c r="A2789" t="s">
        <v>14122</v>
      </c>
      <c r="B2789" t="s">
        <v>14123</v>
      </c>
    </row>
    <row r="2790" spans="1:2" x14ac:dyDescent="0.25">
      <c r="A2790" t="s">
        <v>14124</v>
      </c>
      <c r="B2790" t="s">
        <v>14125</v>
      </c>
    </row>
    <row r="2791" spans="1:2" x14ac:dyDescent="0.25">
      <c r="A2791" t="s">
        <v>14126</v>
      </c>
      <c r="B2791" t="s">
        <v>14127</v>
      </c>
    </row>
    <row r="2792" spans="1:2" x14ac:dyDescent="0.25">
      <c r="A2792" t="s">
        <v>14128</v>
      </c>
      <c r="B2792" t="s">
        <v>14129</v>
      </c>
    </row>
    <row r="2793" spans="1:2" x14ac:dyDescent="0.25">
      <c r="A2793" t="s">
        <v>14130</v>
      </c>
      <c r="B2793" t="s">
        <v>14131</v>
      </c>
    </row>
    <row r="2794" spans="1:2" x14ac:dyDescent="0.25">
      <c r="A2794" t="s">
        <v>14132</v>
      </c>
      <c r="B2794" t="s">
        <v>14133</v>
      </c>
    </row>
    <row r="2795" spans="1:2" x14ac:dyDescent="0.25">
      <c r="A2795" t="s">
        <v>14134</v>
      </c>
      <c r="B2795" t="s">
        <v>14135</v>
      </c>
    </row>
    <row r="2796" spans="1:2" x14ac:dyDescent="0.25">
      <c r="A2796" t="s">
        <v>14136</v>
      </c>
      <c r="B2796" t="s">
        <v>14137</v>
      </c>
    </row>
    <row r="2797" spans="1:2" x14ac:dyDescent="0.25">
      <c r="A2797" t="s">
        <v>14138</v>
      </c>
      <c r="B2797" t="s">
        <v>14139</v>
      </c>
    </row>
    <row r="2798" spans="1:2" x14ac:dyDescent="0.25">
      <c r="A2798" t="s">
        <v>14140</v>
      </c>
      <c r="B2798" t="s">
        <v>14141</v>
      </c>
    </row>
    <row r="2799" spans="1:2" x14ac:dyDescent="0.25">
      <c r="A2799" t="s">
        <v>14142</v>
      </c>
      <c r="B2799" t="s">
        <v>14143</v>
      </c>
    </row>
    <row r="2800" spans="1:2" x14ac:dyDescent="0.25">
      <c r="A2800" t="s">
        <v>14144</v>
      </c>
      <c r="B2800" t="s">
        <v>14145</v>
      </c>
    </row>
    <row r="2801" spans="1:2" x14ac:dyDescent="0.25">
      <c r="A2801" t="s">
        <v>14146</v>
      </c>
      <c r="B2801" t="s">
        <v>14147</v>
      </c>
    </row>
    <row r="2802" spans="1:2" x14ac:dyDescent="0.25">
      <c r="A2802" t="s">
        <v>14148</v>
      </c>
      <c r="B2802" t="s">
        <v>14149</v>
      </c>
    </row>
    <row r="2803" spans="1:2" x14ac:dyDescent="0.25">
      <c r="A2803" t="s">
        <v>14150</v>
      </c>
      <c r="B2803" t="s">
        <v>14151</v>
      </c>
    </row>
    <row r="2804" spans="1:2" x14ac:dyDescent="0.25">
      <c r="A2804" t="s">
        <v>14152</v>
      </c>
      <c r="B2804" t="s">
        <v>14153</v>
      </c>
    </row>
    <row r="2805" spans="1:2" x14ac:dyDescent="0.25">
      <c r="A2805" t="s">
        <v>14154</v>
      </c>
      <c r="B2805" t="s">
        <v>14155</v>
      </c>
    </row>
    <row r="2806" spans="1:2" x14ac:dyDescent="0.25">
      <c r="A2806" t="s">
        <v>14156</v>
      </c>
      <c r="B2806" t="s">
        <v>14157</v>
      </c>
    </row>
    <row r="2807" spans="1:2" x14ac:dyDescent="0.25">
      <c r="A2807" t="s">
        <v>14158</v>
      </c>
      <c r="B2807" t="s">
        <v>14159</v>
      </c>
    </row>
    <row r="2808" spans="1:2" x14ac:dyDescent="0.25">
      <c r="A2808" t="s">
        <v>14160</v>
      </c>
      <c r="B2808" t="s">
        <v>14161</v>
      </c>
    </row>
    <row r="2809" spans="1:2" x14ac:dyDescent="0.25">
      <c r="A2809" t="s">
        <v>14162</v>
      </c>
      <c r="B2809" t="s">
        <v>14163</v>
      </c>
    </row>
    <row r="2810" spans="1:2" x14ac:dyDescent="0.25">
      <c r="A2810" t="s">
        <v>14164</v>
      </c>
      <c r="B2810" t="s">
        <v>14165</v>
      </c>
    </row>
    <row r="2811" spans="1:2" x14ac:dyDescent="0.25">
      <c r="A2811" t="s">
        <v>14166</v>
      </c>
      <c r="B2811" t="s">
        <v>14167</v>
      </c>
    </row>
    <row r="2812" spans="1:2" x14ac:dyDescent="0.25">
      <c r="A2812" t="s">
        <v>14168</v>
      </c>
      <c r="B2812" t="s">
        <v>14169</v>
      </c>
    </row>
    <row r="2813" spans="1:2" x14ac:dyDescent="0.25">
      <c r="A2813" t="s">
        <v>14170</v>
      </c>
      <c r="B2813" t="s">
        <v>14171</v>
      </c>
    </row>
    <row r="2814" spans="1:2" x14ac:dyDescent="0.25">
      <c r="A2814" t="s">
        <v>14172</v>
      </c>
      <c r="B2814" t="s">
        <v>14173</v>
      </c>
    </row>
    <row r="2815" spans="1:2" x14ac:dyDescent="0.25">
      <c r="A2815" t="s">
        <v>14174</v>
      </c>
      <c r="B2815" t="s">
        <v>14175</v>
      </c>
    </row>
    <row r="2816" spans="1:2" x14ac:dyDescent="0.25">
      <c r="A2816" t="s">
        <v>14176</v>
      </c>
      <c r="B2816" t="s">
        <v>14177</v>
      </c>
    </row>
    <row r="2817" spans="1:2" x14ac:dyDescent="0.25">
      <c r="A2817" t="s">
        <v>14178</v>
      </c>
      <c r="B2817" t="s">
        <v>14179</v>
      </c>
    </row>
    <row r="2818" spans="1:2" x14ac:dyDescent="0.25">
      <c r="A2818" t="s">
        <v>14180</v>
      </c>
      <c r="B2818" t="s">
        <v>14181</v>
      </c>
    </row>
    <row r="2819" spans="1:2" x14ac:dyDescent="0.25">
      <c r="A2819" t="s">
        <v>14182</v>
      </c>
      <c r="B2819" t="s">
        <v>14183</v>
      </c>
    </row>
    <row r="2820" spans="1:2" x14ac:dyDescent="0.25">
      <c r="A2820" t="s">
        <v>14184</v>
      </c>
      <c r="B2820" t="s">
        <v>14185</v>
      </c>
    </row>
    <row r="2821" spans="1:2" x14ac:dyDescent="0.25">
      <c r="A2821" t="s">
        <v>14186</v>
      </c>
      <c r="B2821" t="s">
        <v>14187</v>
      </c>
    </row>
    <row r="2822" spans="1:2" x14ac:dyDescent="0.25">
      <c r="A2822" t="s">
        <v>14188</v>
      </c>
      <c r="B2822" t="s">
        <v>14189</v>
      </c>
    </row>
    <row r="2823" spans="1:2" x14ac:dyDescent="0.25">
      <c r="A2823" t="s">
        <v>14190</v>
      </c>
      <c r="B2823" t="s">
        <v>14191</v>
      </c>
    </row>
    <row r="2824" spans="1:2" x14ac:dyDescent="0.25">
      <c r="A2824" t="s">
        <v>14192</v>
      </c>
      <c r="B2824" t="s">
        <v>14193</v>
      </c>
    </row>
    <row r="2825" spans="1:2" x14ac:dyDescent="0.25">
      <c r="A2825" t="s">
        <v>14194</v>
      </c>
      <c r="B2825" t="s">
        <v>14195</v>
      </c>
    </row>
    <row r="2826" spans="1:2" x14ac:dyDescent="0.25">
      <c r="A2826" t="s">
        <v>14196</v>
      </c>
      <c r="B2826" t="s">
        <v>14197</v>
      </c>
    </row>
    <row r="2827" spans="1:2" x14ac:dyDescent="0.25">
      <c r="A2827" t="s">
        <v>14198</v>
      </c>
      <c r="B2827" t="s">
        <v>14199</v>
      </c>
    </row>
    <row r="2828" spans="1:2" x14ac:dyDescent="0.25">
      <c r="A2828" t="s">
        <v>14200</v>
      </c>
      <c r="B2828" t="s">
        <v>14201</v>
      </c>
    </row>
    <row r="2829" spans="1:2" x14ac:dyDescent="0.25">
      <c r="A2829" t="s">
        <v>14202</v>
      </c>
      <c r="B2829" t="s">
        <v>14203</v>
      </c>
    </row>
    <row r="2830" spans="1:2" x14ac:dyDescent="0.25">
      <c r="A2830" t="s">
        <v>14204</v>
      </c>
      <c r="B2830" t="s">
        <v>14205</v>
      </c>
    </row>
    <row r="2831" spans="1:2" x14ac:dyDescent="0.25">
      <c r="A2831" t="s">
        <v>14206</v>
      </c>
      <c r="B2831" t="s">
        <v>14207</v>
      </c>
    </row>
    <row r="2832" spans="1:2" x14ac:dyDescent="0.25">
      <c r="A2832" t="s">
        <v>14208</v>
      </c>
      <c r="B2832" t="s">
        <v>14209</v>
      </c>
    </row>
    <row r="2833" spans="1:2" x14ac:dyDescent="0.25">
      <c r="A2833" t="s">
        <v>14210</v>
      </c>
      <c r="B2833" t="s">
        <v>14211</v>
      </c>
    </row>
    <row r="2834" spans="1:2" x14ac:dyDescent="0.25">
      <c r="A2834" t="s">
        <v>14212</v>
      </c>
      <c r="B2834" t="s">
        <v>14213</v>
      </c>
    </row>
    <row r="2835" spans="1:2" x14ac:dyDescent="0.25">
      <c r="A2835" t="s">
        <v>14214</v>
      </c>
      <c r="B2835" t="s">
        <v>14215</v>
      </c>
    </row>
    <row r="2836" spans="1:2" x14ac:dyDescent="0.25">
      <c r="A2836" t="s">
        <v>14216</v>
      </c>
      <c r="B2836" t="s">
        <v>14217</v>
      </c>
    </row>
    <row r="2837" spans="1:2" x14ac:dyDescent="0.25">
      <c r="A2837" t="s">
        <v>14218</v>
      </c>
      <c r="B2837" t="s">
        <v>14219</v>
      </c>
    </row>
    <row r="2838" spans="1:2" x14ac:dyDescent="0.25">
      <c r="A2838" t="s">
        <v>14220</v>
      </c>
      <c r="B2838" t="s">
        <v>14221</v>
      </c>
    </row>
    <row r="2839" spans="1:2" x14ac:dyDescent="0.25">
      <c r="A2839" t="s">
        <v>14222</v>
      </c>
      <c r="B2839" t="s">
        <v>14223</v>
      </c>
    </row>
    <row r="2840" spans="1:2" x14ac:dyDescent="0.25">
      <c r="A2840" t="s">
        <v>14224</v>
      </c>
      <c r="B2840" t="s">
        <v>14225</v>
      </c>
    </row>
    <row r="2841" spans="1:2" x14ac:dyDescent="0.25">
      <c r="A2841" t="s">
        <v>14226</v>
      </c>
      <c r="B2841" t="s">
        <v>14227</v>
      </c>
    </row>
    <row r="2842" spans="1:2" x14ac:dyDescent="0.25">
      <c r="A2842" t="s">
        <v>14228</v>
      </c>
      <c r="B2842" t="s">
        <v>14229</v>
      </c>
    </row>
    <row r="2843" spans="1:2" x14ac:dyDescent="0.25">
      <c r="A2843" t="s">
        <v>14230</v>
      </c>
      <c r="B2843" t="s">
        <v>14231</v>
      </c>
    </row>
    <row r="2844" spans="1:2" x14ac:dyDescent="0.25">
      <c r="A2844" t="s">
        <v>14232</v>
      </c>
      <c r="B2844" t="s">
        <v>14233</v>
      </c>
    </row>
    <row r="2845" spans="1:2" x14ac:dyDescent="0.25">
      <c r="A2845" t="s">
        <v>14234</v>
      </c>
      <c r="B2845" t="s">
        <v>14235</v>
      </c>
    </row>
    <row r="2846" spans="1:2" x14ac:dyDescent="0.25">
      <c r="A2846" t="s">
        <v>14236</v>
      </c>
      <c r="B2846" t="s">
        <v>14237</v>
      </c>
    </row>
    <row r="2847" spans="1:2" x14ac:dyDescent="0.25">
      <c r="A2847" t="s">
        <v>14238</v>
      </c>
      <c r="B2847" t="s">
        <v>14239</v>
      </c>
    </row>
    <row r="2848" spans="1:2" x14ac:dyDescent="0.25">
      <c r="A2848" t="s">
        <v>14240</v>
      </c>
      <c r="B2848" t="s">
        <v>14241</v>
      </c>
    </row>
    <row r="2849" spans="1:2" x14ac:dyDescent="0.25">
      <c r="A2849" t="s">
        <v>14242</v>
      </c>
      <c r="B2849" t="s">
        <v>14243</v>
      </c>
    </row>
    <row r="2850" spans="1:2" x14ac:dyDescent="0.25">
      <c r="A2850" t="s">
        <v>14244</v>
      </c>
      <c r="B2850" t="s">
        <v>14245</v>
      </c>
    </row>
    <row r="2851" spans="1:2" x14ac:dyDescent="0.25">
      <c r="A2851" t="s">
        <v>14246</v>
      </c>
      <c r="B2851" t="s">
        <v>14247</v>
      </c>
    </row>
    <row r="2852" spans="1:2" x14ac:dyDescent="0.25">
      <c r="A2852" t="s">
        <v>14248</v>
      </c>
      <c r="B2852" t="s">
        <v>14249</v>
      </c>
    </row>
    <row r="2853" spans="1:2" x14ac:dyDescent="0.25">
      <c r="A2853" t="s">
        <v>14250</v>
      </c>
      <c r="B2853" t="s">
        <v>14251</v>
      </c>
    </row>
    <row r="2854" spans="1:2" x14ac:dyDescent="0.25">
      <c r="A2854" t="s">
        <v>14252</v>
      </c>
      <c r="B2854" t="s">
        <v>14253</v>
      </c>
    </row>
    <row r="2855" spans="1:2" x14ac:dyDescent="0.25">
      <c r="A2855" t="s">
        <v>14254</v>
      </c>
      <c r="B2855" t="s">
        <v>14255</v>
      </c>
    </row>
    <row r="2856" spans="1:2" x14ac:dyDescent="0.25">
      <c r="A2856" t="s">
        <v>14256</v>
      </c>
      <c r="B2856" t="s">
        <v>14257</v>
      </c>
    </row>
    <row r="2857" spans="1:2" x14ac:dyDescent="0.25">
      <c r="A2857" t="s">
        <v>70</v>
      </c>
      <c r="B2857" t="s">
        <v>14258</v>
      </c>
    </row>
    <row r="2858" spans="1:2" x14ac:dyDescent="0.25">
      <c r="A2858" t="s">
        <v>14259</v>
      </c>
      <c r="B2858" t="s">
        <v>14260</v>
      </c>
    </row>
    <row r="2859" spans="1:2" x14ac:dyDescent="0.25">
      <c r="A2859" t="s">
        <v>14261</v>
      </c>
      <c r="B2859" t="s">
        <v>14262</v>
      </c>
    </row>
    <row r="2860" spans="1:2" x14ac:dyDescent="0.25">
      <c r="A2860" t="s">
        <v>14263</v>
      </c>
      <c r="B2860" t="s">
        <v>14264</v>
      </c>
    </row>
    <row r="2861" spans="1:2" x14ac:dyDescent="0.25">
      <c r="A2861" t="s">
        <v>14265</v>
      </c>
      <c r="B2861" t="s">
        <v>14266</v>
      </c>
    </row>
    <row r="2862" spans="1:2" x14ac:dyDescent="0.25">
      <c r="A2862" t="s">
        <v>14267</v>
      </c>
      <c r="B2862" t="s">
        <v>14268</v>
      </c>
    </row>
    <row r="2863" spans="1:2" x14ac:dyDescent="0.25">
      <c r="A2863" t="s">
        <v>14269</v>
      </c>
      <c r="B2863" t="s">
        <v>14270</v>
      </c>
    </row>
    <row r="2864" spans="1:2" x14ac:dyDescent="0.25">
      <c r="A2864" t="s">
        <v>14271</v>
      </c>
      <c r="B2864" t="s">
        <v>14272</v>
      </c>
    </row>
    <row r="2865" spans="1:2" x14ac:dyDescent="0.25">
      <c r="A2865" t="s">
        <v>14273</v>
      </c>
      <c r="B2865" t="s">
        <v>14274</v>
      </c>
    </row>
    <row r="2866" spans="1:2" x14ac:dyDescent="0.25">
      <c r="A2866" t="s">
        <v>14275</v>
      </c>
      <c r="B2866" t="s">
        <v>14276</v>
      </c>
    </row>
    <row r="2867" spans="1:2" x14ac:dyDescent="0.25">
      <c r="A2867" t="s">
        <v>14277</v>
      </c>
      <c r="B2867" t="s">
        <v>14278</v>
      </c>
    </row>
    <row r="2868" spans="1:2" x14ac:dyDescent="0.25">
      <c r="A2868" t="s">
        <v>14279</v>
      </c>
      <c r="B2868" t="s">
        <v>14280</v>
      </c>
    </row>
    <row r="2869" spans="1:2" x14ac:dyDescent="0.25">
      <c r="A2869" t="s">
        <v>14281</v>
      </c>
      <c r="B2869" t="s">
        <v>14282</v>
      </c>
    </row>
    <row r="2870" spans="1:2" x14ac:dyDescent="0.25">
      <c r="A2870" t="s">
        <v>14283</v>
      </c>
      <c r="B2870" t="s">
        <v>14284</v>
      </c>
    </row>
    <row r="2871" spans="1:2" x14ac:dyDescent="0.25">
      <c r="A2871" t="s">
        <v>14285</v>
      </c>
      <c r="B2871" t="s">
        <v>14286</v>
      </c>
    </row>
    <row r="2872" spans="1:2" x14ac:dyDescent="0.25">
      <c r="A2872" t="s">
        <v>14287</v>
      </c>
      <c r="B2872" t="s">
        <v>14288</v>
      </c>
    </row>
    <row r="2873" spans="1:2" x14ac:dyDescent="0.25">
      <c r="A2873" t="s">
        <v>14289</v>
      </c>
      <c r="B2873" t="s">
        <v>14290</v>
      </c>
    </row>
    <row r="2874" spans="1:2" x14ac:dyDescent="0.25">
      <c r="A2874" t="s">
        <v>14291</v>
      </c>
      <c r="B2874" t="s">
        <v>14292</v>
      </c>
    </row>
    <row r="2875" spans="1:2" x14ac:dyDescent="0.25">
      <c r="A2875" t="s">
        <v>14293</v>
      </c>
      <c r="B2875" t="s">
        <v>14294</v>
      </c>
    </row>
    <row r="2876" spans="1:2" x14ac:dyDescent="0.25">
      <c r="A2876" t="s">
        <v>14295</v>
      </c>
      <c r="B2876" t="s">
        <v>14296</v>
      </c>
    </row>
    <row r="2877" spans="1:2" x14ac:dyDescent="0.25">
      <c r="A2877" t="s">
        <v>14297</v>
      </c>
      <c r="B2877" t="s">
        <v>14298</v>
      </c>
    </row>
    <row r="2878" spans="1:2" x14ac:dyDescent="0.25">
      <c r="A2878" t="s">
        <v>14299</v>
      </c>
      <c r="B2878" t="s">
        <v>14300</v>
      </c>
    </row>
    <row r="2879" spans="1:2" x14ac:dyDescent="0.25">
      <c r="A2879" t="s">
        <v>14301</v>
      </c>
      <c r="B2879" t="s">
        <v>14302</v>
      </c>
    </row>
    <row r="2880" spans="1:2" x14ac:dyDescent="0.25">
      <c r="A2880" t="s">
        <v>14303</v>
      </c>
      <c r="B2880" t="s">
        <v>14304</v>
      </c>
    </row>
    <row r="2881" spans="1:2" x14ac:dyDescent="0.25">
      <c r="A2881" t="s">
        <v>14305</v>
      </c>
      <c r="B2881" t="s">
        <v>14306</v>
      </c>
    </row>
    <row r="2882" spans="1:2" x14ac:dyDescent="0.25">
      <c r="A2882" t="s">
        <v>14307</v>
      </c>
      <c r="B2882" t="s">
        <v>14308</v>
      </c>
    </row>
    <row r="2883" spans="1:2" x14ac:dyDescent="0.25">
      <c r="A2883" t="s">
        <v>14309</v>
      </c>
      <c r="B2883" t="s">
        <v>14310</v>
      </c>
    </row>
    <row r="2884" spans="1:2" x14ac:dyDescent="0.25">
      <c r="A2884" t="s">
        <v>14311</v>
      </c>
      <c r="B2884" t="s">
        <v>14312</v>
      </c>
    </row>
    <row r="2885" spans="1:2" x14ac:dyDescent="0.25">
      <c r="A2885" t="s">
        <v>14313</v>
      </c>
      <c r="B2885" t="s">
        <v>14314</v>
      </c>
    </row>
    <row r="2886" spans="1:2" x14ac:dyDescent="0.25">
      <c r="A2886" t="s">
        <v>14315</v>
      </c>
      <c r="B2886" t="s">
        <v>14316</v>
      </c>
    </row>
    <row r="2887" spans="1:2" x14ac:dyDescent="0.25">
      <c r="A2887" t="s">
        <v>14317</v>
      </c>
      <c r="B2887" t="s">
        <v>14318</v>
      </c>
    </row>
    <row r="2888" spans="1:2" x14ac:dyDescent="0.25">
      <c r="A2888" t="s">
        <v>14319</v>
      </c>
      <c r="B2888" t="s">
        <v>14320</v>
      </c>
    </row>
    <row r="2889" spans="1:2" x14ac:dyDescent="0.25">
      <c r="A2889" t="s">
        <v>14321</v>
      </c>
      <c r="B2889" t="s">
        <v>14322</v>
      </c>
    </row>
    <row r="2890" spans="1:2" x14ac:dyDescent="0.25">
      <c r="A2890" t="s">
        <v>14323</v>
      </c>
      <c r="B2890" t="s">
        <v>14324</v>
      </c>
    </row>
    <row r="2891" spans="1:2" x14ac:dyDescent="0.25">
      <c r="A2891" t="s">
        <v>14325</v>
      </c>
      <c r="B2891" t="s">
        <v>14326</v>
      </c>
    </row>
    <row r="2892" spans="1:2" x14ac:dyDescent="0.25">
      <c r="A2892" t="s">
        <v>14327</v>
      </c>
      <c r="B2892" t="s">
        <v>14328</v>
      </c>
    </row>
    <row r="2893" spans="1:2" x14ac:dyDescent="0.25">
      <c r="A2893" t="s">
        <v>14329</v>
      </c>
      <c r="B2893" t="s">
        <v>14330</v>
      </c>
    </row>
    <row r="2894" spans="1:2" x14ac:dyDescent="0.25">
      <c r="A2894" t="s">
        <v>14331</v>
      </c>
      <c r="B2894" t="s">
        <v>14332</v>
      </c>
    </row>
    <row r="2895" spans="1:2" x14ac:dyDescent="0.25">
      <c r="A2895" t="s">
        <v>14333</v>
      </c>
      <c r="B2895" t="s">
        <v>14334</v>
      </c>
    </row>
    <row r="2896" spans="1:2" x14ac:dyDescent="0.25">
      <c r="A2896" t="s">
        <v>14335</v>
      </c>
      <c r="B2896" t="s">
        <v>14336</v>
      </c>
    </row>
    <row r="2897" spans="1:2" x14ac:dyDescent="0.25">
      <c r="A2897" t="s">
        <v>14337</v>
      </c>
      <c r="B2897" t="s">
        <v>14338</v>
      </c>
    </row>
    <row r="2898" spans="1:2" x14ac:dyDescent="0.25">
      <c r="A2898" t="s">
        <v>14339</v>
      </c>
      <c r="B2898" t="s">
        <v>14340</v>
      </c>
    </row>
    <row r="2899" spans="1:2" x14ac:dyDescent="0.25">
      <c r="A2899" t="s">
        <v>14341</v>
      </c>
      <c r="B2899" t="s">
        <v>14342</v>
      </c>
    </row>
    <row r="2900" spans="1:2" x14ac:dyDescent="0.25">
      <c r="A2900" t="s">
        <v>14343</v>
      </c>
      <c r="B2900" t="s">
        <v>14344</v>
      </c>
    </row>
    <row r="2901" spans="1:2" x14ac:dyDescent="0.25">
      <c r="A2901" t="s">
        <v>14345</v>
      </c>
      <c r="B2901" t="s">
        <v>14346</v>
      </c>
    </row>
    <row r="2902" spans="1:2" x14ac:dyDescent="0.25">
      <c r="A2902" t="s">
        <v>14347</v>
      </c>
      <c r="B2902" t="s">
        <v>14348</v>
      </c>
    </row>
    <row r="2903" spans="1:2" x14ac:dyDescent="0.25">
      <c r="A2903" t="s">
        <v>14349</v>
      </c>
      <c r="B2903" t="s">
        <v>14350</v>
      </c>
    </row>
    <row r="2904" spans="1:2" x14ac:dyDescent="0.25">
      <c r="A2904" t="s">
        <v>14351</v>
      </c>
      <c r="B2904" t="s">
        <v>14352</v>
      </c>
    </row>
    <row r="2905" spans="1:2" x14ac:dyDescent="0.25">
      <c r="A2905" t="s">
        <v>14353</v>
      </c>
      <c r="B2905" t="s">
        <v>14354</v>
      </c>
    </row>
    <row r="2906" spans="1:2" x14ac:dyDescent="0.25">
      <c r="A2906" t="s">
        <v>14355</v>
      </c>
      <c r="B2906" t="s">
        <v>14356</v>
      </c>
    </row>
    <row r="2907" spans="1:2" x14ac:dyDescent="0.25">
      <c r="A2907" t="s">
        <v>14357</v>
      </c>
      <c r="B2907" t="s">
        <v>14358</v>
      </c>
    </row>
    <row r="2908" spans="1:2" x14ac:dyDescent="0.25">
      <c r="A2908" t="s">
        <v>14359</v>
      </c>
      <c r="B2908" t="s">
        <v>14360</v>
      </c>
    </row>
    <row r="2909" spans="1:2" x14ac:dyDescent="0.25">
      <c r="A2909" t="s">
        <v>14361</v>
      </c>
      <c r="B2909" t="s">
        <v>14362</v>
      </c>
    </row>
    <row r="2910" spans="1:2" x14ac:dyDescent="0.25">
      <c r="A2910" t="s">
        <v>14363</v>
      </c>
      <c r="B2910" t="s">
        <v>14364</v>
      </c>
    </row>
    <row r="2911" spans="1:2" x14ac:dyDescent="0.25">
      <c r="A2911" t="s">
        <v>14365</v>
      </c>
      <c r="B2911" t="s">
        <v>14366</v>
      </c>
    </row>
    <row r="2912" spans="1:2" x14ac:dyDescent="0.25">
      <c r="A2912" t="s">
        <v>14367</v>
      </c>
      <c r="B2912" t="s">
        <v>14368</v>
      </c>
    </row>
    <row r="2913" spans="1:2" x14ac:dyDescent="0.25">
      <c r="A2913" t="s">
        <v>14369</v>
      </c>
      <c r="B2913" t="s">
        <v>14370</v>
      </c>
    </row>
    <row r="2914" spans="1:2" x14ac:dyDescent="0.25">
      <c r="A2914" t="s">
        <v>14371</v>
      </c>
      <c r="B2914" t="s">
        <v>14372</v>
      </c>
    </row>
    <row r="2915" spans="1:2" x14ac:dyDescent="0.25">
      <c r="A2915" t="s">
        <v>14373</v>
      </c>
      <c r="B2915" t="s">
        <v>14374</v>
      </c>
    </row>
    <row r="2916" spans="1:2" x14ac:dyDescent="0.25">
      <c r="A2916" t="s">
        <v>14375</v>
      </c>
      <c r="B2916" t="s">
        <v>14376</v>
      </c>
    </row>
    <row r="2917" spans="1:2" x14ac:dyDescent="0.25">
      <c r="A2917" t="s">
        <v>14377</v>
      </c>
      <c r="B2917" t="s">
        <v>14378</v>
      </c>
    </row>
    <row r="2918" spans="1:2" x14ac:dyDescent="0.25">
      <c r="A2918" t="s">
        <v>14379</v>
      </c>
      <c r="B2918" t="s">
        <v>14380</v>
      </c>
    </row>
    <row r="2919" spans="1:2" x14ac:dyDescent="0.25">
      <c r="A2919" t="s">
        <v>14381</v>
      </c>
      <c r="B2919" t="s">
        <v>14382</v>
      </c>
    </row>
    <row r="2920" spans="1:2" x14ac:dyDescent="0.25">
      <c r="A2920" t="s">
        <v>14383</v>
      </c>
      <c r="B2920" t="s">
        <v>14384</v>
      </c>
    </row>
    <row r="2921" spans="1:2" x14ac:dyDescent="0.25">
      <c r="A2921" t="s">
        <v>14385</v>
      </c>
      <c r="B2921" t="s">
        <v>14386</v>
      </c>
    </row>
    <row r="2922" spans="1:2" x14ac:dyDescent="0.25">
      <c r="A2922" t="s">
        <v>14387</v>
      </c>
      <c r="B2922" t="s">
        <v>14388</v>
      </c>
    </row>
    <row r="2923" spans="1:2" x14ac:dyDescent="0.25">
      <c r="A2923" t="s">
        <v>366</v>
      </c>
      <c r="B2923" t="s">
        <v>14389</v>
      </c>
    </row>
    <row r="2924" spans="1:2" x14ac:dyDescent="0.25">
      <c r="A2924" t="s">
        <v>14390</v>
      </c>
      <c r="B2924" t="s">
        <v>14391</v>
      </c>
    </row>
    <row r="2925" spans="1:2" x14ac:dyDescent="0.25">
      <c r="A2925" t="s">
        <v>14392</v>
      </c>
      <c r="B2925" t="s">
        <v>14393</v>
      </c>
    </row>
    <row r="2926" spans="1:2" x14ac:dyDescent="0.25">
      <c r="A2926" t="s">
        <v>14394</v>
      </c>
      <c r="B2926" t="s">
        <v>14395</v>
      </c>
    </row>
    <row r="2927" spans="1:2" x14ac:dyDescent="0.25">
      <c r="A2927" t="s">
        <v>14396</v>
      </c>
      <c r="B2927" t="s">
        <v>14397</v>
      </c>
    </row>
    <row r="2928" spans="1:2" x14ac:dyDescent="0.25">
      <c r="A2928" t="s">
        <v>14398</v>
      </c>
      <c r="B2928" t="s">
        <v>14399</v>
      </c>
    </row>
    <row r="2929" spans="1:2" x14ac:dyDescent="0.25">
      <c r="A2929" t="s">
        <v>14400</v>
      </c>
      <c r="B2929" t="s">
        <v>14401</v>
      </c>
    </row>
    <row r="2930" spans="1:2" x14ac:dyDescent="0.25">
      <c r="A2930" t="s">
        <v>14402</v>
      </c>
      <c r="B2930" t="s">
        <v>14403</v>
      </c>
    </row>
    <row r="2931" spans="1:2" x14ac:dyDescent="0.25">
      <c r="A2931" t="s">
        <v>14404</v>
      </c>
      <c r="B2931" t="s">
        <v>14405</v>
      </c>
    </row>
    <row r="2932" spans="1:2" x14ac:dyDescent="0.25">
      <c r="A2932" t="s">
        <v>14406</v>
      </c>
      <c r="B2932" t="s">
        <v>14407</v>
      </c>
    </row>
    <row r="2933" spans="1:2" x14ac:dyDescent="0.25">
      <c r="A2933" t="s">
        <v>14408</v>
      </c>
      <c r="B2933" t="s">
        <v>14409</v>
      </c>
    </row>
    <row r="2934" spans="1:2" x14ac:dyDescent="0.25">
      <c r="A2934" t="s">
        <v>14410</v>
      </c>
      <c r="B2934" t="s">
        <v>14411</v>
      </c>
    </row>
    <row r="2935" spans="1:2" x14ac:dyDescent="0.25">
      <c r="A2935" t="s">
        <v>14412</v>
      </c>
      <c r="B2935" t="s">
        <v>14413</v>
      </c>
    </row>
    <row r="2936" spans="1:2" x14ac:dyDescent="0.25">
      <c r="A2936" t="s">
        <v>14414</v>
      </c>
      <c r="B2936" t="s">
        <v>14415</v>
      </c>
    </row>
    <row r="2937" spans="1:2" x14ac:dyDescent="0.25">
      <c r="A2937" t="s">
        <v>14416</v>
      </c>
      <c r="B2937" t="s">
        <v>14417</v>
      </c>
    </row>
    <row r="2938" spans="1:2" x14ac:dyDescent="0.25">
      <c r="A2938" t="s">
        <v>14418</v>
      </c>
      <c r="B2938" t="s">
        <v>14419</v>
      </c>
    </row>
    <row r="2939" spans="1:2" x14ac:dyDescent="0.25">
      <c r="A2939" t="s">
        <v>14420</v>
      </c>
      <c r="B2939" t="s">
        <v>14421</v>
      </c>
    </row>
    <row r="2940" spans="1:2" x14ac:dyDescent="0.25">
      <c r="A2940" t="s">
        <v>14422</v>
      </c>
      <c r="B2940" t="s">
        <v>14423</v>
      </c>
    </row>
    <row r="2941" spans="1:2" x14ac:dyDescent="0.25">
      <c r="A2941" t="s">
        <v>14424</v>
      </c>
      <c r="B2941" t="s">
        <v>14425</v>
      </c>
    </row>
    <row r="2942" spans="1:2" x14ac:dyDescent="0.25">
      <c r="A2942" t="s">
        <v>14426</v>
      </c>
      <c r="B2942" t="s">
        <v>14427</v>
      </c>
    </row>
    <row r="2943" spans="1:2" x14ac:dyDescent="0.25">
      <c r="A2943" t="s">
        <v>14428</v>
      </c>
      <c r="B2943" t="s">
        <v>14429</v>
      </c>
    </row>
    <row r="2944" spans="1:2" x14ac:dyDescent="0.25">
      <c r="A2944" t="s">
        <v>14430</v>
      </c>
      <c r="B2944" t="s">
        <v>14431</v>
      </c>
    </row>
    <row r="2945" spans="1:2" x14ac:dyDescent="0.25">
      <c r="A2945" t="s">
        <v>14432</v>
      </c>
      <c r="B2945" t="s">
        <v>14433</v>
      </c>
    </row>
    <row r="2946" spans="1:2" x14ac:dyDescent="0.25">
      <c r="A2946" t="s">
        <v>14434</v>
      </c>
      <c r="B2946" t="s">
        <v>14435</v>
      </c>
    </row>
    <row r="2947" spans="1:2" x14ac:dyDescent="0.25">
      <c r="A2947" t="s">
        <v>14436</v>
      </c>
      <c r="B2947" t="s">
        <v>14437</v>
      </c>
    </row>
    <row r="2948" spans="1:2" x14ac:dyDescent="0.25">
      <c r="A2948" t="s">
        <v>14438</v>
      </c>
      <c r="B2948" t="s">
        <v>14439</v>
      </c>
    </row>
    <row r="2949" spans="1:2" x14ac:dyDescent="0.25">
      <c r="A2949" t="s">
        <v>14440</v>
      </c>
      <c r="B2949" t="s">
        <v>14441</v>
      </c>
    </row>
    <row r="2950" spans="1:2" x14ac:dyDescent="0.25">
      <c r="A2950" t="s">
        <v>14442</v>
      </c>
      <c r="B2950" t="s">
        <v>14443</v>
      </c>
    </row>
    <row r="2951" spans="1:2" x14ac:dyDescent="0.25">
      <c r="A2951" t="s">
        <v>14444</v>
      </c>
      <c r="B2951" t="s">
        <v>14445</v>
      </c>
    </row>
    <row r="2952" spans="1:2" x14ac:dyDescent="0.25">
      <c r="A2952" t="s">
        <v>14446</v>
      </c>
      <c r="B2952" t="s">
        <v>14447</v>
      </c>
    </row>
    <row r="2953" spans="1:2" x14ac:dyDescent="0.25">
      <c r="A2953" t="s">
        <v>14448</v>
      </c>
      <c r="B2953" t="s">
        <v>14449</v>
      </c>
    </row>
    <row r="2954" spans="1:2" x14ac:dyDescent="0.25">
      <c r="A2954" t="s">
        <v>14450</v>
      </c>
      <c r="B2954" t="s">
        <v>14451</v>
      </c>
    </row>
    <row r="2955" spans="1:2" x14ac:dyDescent="0.25">
      <c r="A2955" t="s">
        <v>14452</v>
      </c>
      <c r="B2955" t="s">
        <v>14453</v>
      </c>
    </row>
    <row r="2956" spans="1:2" x14ac:dyDescent="0.25">
      <c r="A2956" t="s">
        <v>14454</v>
      </c>
      <c r="B2956" t="s">
        <v>14455</v>
      </c>
    </row>
    <row r="2957" spans="1:2" x14ac:dyDescent="0.25">
      <c r="A2957" t="s">
        <v>14456</v>
      </c>
      <c r="B2957" t="s">
        <v>14457</v>
      </c>
    </row>
    <row r="2958" spans="1:2" x14ac:dyDescent="0.25">
      <c r="A2958" t="s">
        <v>14458</v>
      </c>
      <c r="B2958" t="s">
        <v>14459</v>
      </c>
    </row>
    <row r="2959" spans="1:2" x14ac:dyDescent="0.25">
      <c r="A2959" t="s">
        <v>14460</v>
      </c>
      <c r="B2959" t="s">
        <v>14461</v>
      </c>
    </row>
    <row r="2960" spans="1:2" x14ac:dyDescent="0.25">
      <c r="A2960" t="s">
        <v>14462</v>
      </c>
      <c r="B2960" t="s">
        <v>14463</v>
      </c>
    </row>
    <row r="2961" spans="1:2" x14ac:dyDescent="0.25">
      <c r="A2961" t="s">
        <v>14464</v>
      </c>
      <c r="B2961" t="s">
        <v>14465</v>
      </c>
    </row>
    <row r="2962" spans="1:2" x14ac:dyDescent="0.25">
      <c r="A2962" t="s">
        <v>14466</v>
      </c>
      <c r="B2962" t="s">
        <v>14467</v>
      </c>
    </row>
    <row r="2963" spans="1:2" x14ac:dyDescent="0.25">
      <c r="A2963" t="s">
        <v>14468</v>
      </c>
      <c r="B2963" t="s">
        <v>14469</v>
      </c>
    </row>
    <row r="2964" spans="1:2" x14ac:dyDescent="0.25">
      <c r="A2964" t="s">
        <v>14470</v>
      </c>
      <c r="B2964" t="s">
        <v>13144</v>
      </c>
    </row>
    <row r="2965" spans="1:2" x14ac:dyDescent="0.25">
      <c r="A2965" t="s">
        <v>14471</v>
      </c>
      <c r="B2965" t="s">
        <v>14472</v>
      </c>
    </row>
    <row r="2966" spans="1:2" x14ac:dyDescent="0.25">
      <c r="A2966" t="s">
        <v>14473</v>
      </c>
      <c r="B2966" t="s">
        <v>14474</v>
      </c>
    </row>
    <row r="2967" spans="1:2" x14ac:dyDescent="0.25">
      <c r="A2967" t="s">
        <v>14475</v>
      </c>
      <c r="B2967" t="s">
        <v>14476</v>
      </c>
    </row>
    <row r="2968" spans="1:2" x14ac:dyDescent="0.25">
      <c r="A2968" t="s">
        <v>14477</v>
      </c>
      <c r="B2968" t="s">
        <v>14478</v>
      </c>
    </row>
    <row r="2969" spans="1:2" x14ac:dyDescent="0.25">
      <c r="A2969" t="s">
        <v>14479</v>
      </c>
      <c r="B2969" t="s">
        <v>14480</v>
      </c>
    </row>
    <row r="2970" spans="1:2" x14ac:dyDescent="0.25">
      <c r="A2970" t="s">
        <v>14481</v>
      </c>
      <c r="B2970" t="s">
        <v>14482</v>
      </c>
    </row>
    <row r="2971" spans="1:2" x14ac:dyDescent="0.25">
      <c r="A2971" t="s">
        <v>14483</v>
      </c>
      <c r="B2971" t="s">
        <v>14484</v>
      </c>
    </row>
    <row r="2972" spans="1:2" x14ac:dyDescent="0.25">
      <c r="A2972" t="s">
        <v>14485</v>
      </c>
      <c r="B2972" t="s">
        <v>14486</v>
      </c>
    </row>
    <row r="2973" spans="1:2" x14ac:dyDescent="0.25">
      <c r="A2973" t="s">
        <v>14487</v>
      </c>
      <c r="B2973" t="s">
        <v>14488</v>
      </c>
    </row>
    <row r="2974" spans="1:2" x14ac:dyDescent="0.25">
      <c r="A2974" t="s">
        <v>14489</v>
      </c>
      <c r="B2974" t="s">
        <v>14490</v>
      </c>
    </row>
    <row r="2975" spans="1:2" x14ac:dyDescent="0.25">
      <c r="A2975" t="s">
        <v>14491</v>
      </c>
      <c r="B2975" t="s">
        <v>14492</v>
      </c>
    </row>
    <row r="2976" spans="1:2" x14ac:dyDescent="0.25">
      <c r="A2976" t="s">
        <v>14493</v>
      </c>
      <c r="B2976" t="s">
        <v>14494</v>
      </c>
    </row>
    <row r="2977" spans="1:2" x14ac:dyDescent="0.25">
      <c r="A2977" t="s">
        <v>14495</v>
      </c>
      <c r="B2977" t="s">
        <v>14496</v>
      </c>
    </row>
    <row r="2978" spans="1:2" x14ac:dyDescent="0.25">
      <c r="A2978" t="s">
        <v>14497</v>
      </c>
      <c r="B2978" t="s">
        <v>14498</v>
      </c>
    </row>
    <row r="2979" spans="1:2" x14ac:dyDescent="0.25">
      <c r="A2979" t="s">
        <v>14499</v>
      </c>
      <c r="B2979" t="s">
        <v>14500</v>
      </c>
    </row>
    <row r="2980" spans="1:2" x14ac:dyDescent="0.25">
      <c r="A2980" t="s">
        <v>14501</v>
      </c>
      <c r="B2980" t="s">
        <v>14502</v>
      </c>
    </row>
    <row r="2981" spans="1:2" x14ac:dyDescent="0.25">
      <c r="A2981" t="s">
        <v>14503</v>
      </c>
      <c r="B2981" t="s">
        <v>14504</v>
      </c>
    </row>
    <row r="2982" spans="1:2" x14ac:dyDescent="0.25">
      <c r="A2982" t="s">
        <v>14505</v>
      </c>
      <c r="B2982" t="s">
        <v>14506</v>
      </c>
    </row>
    <row r="2983" spans="1:2" x14ac:dyDescent="0.25">
      <c r="A2983" t="s">
        <v>14507</v>
      </c>
      <c r="B2983" t="s">
        <v>14508</v>
      </c>
    </row>
    <row r="2984" spans="1:2" x14ac:dyDescent="0.25">
      <c r="A2984" t="s">
        <v>14509</v>
      </c>
      <c r="B2984" t="s">
        <v>14510</v>
      </c>
    </row>
    <row r="2985" spans="1:2" x14ac:dyDescent="0.25">
      <c r="A2985" t="s">
        <v>4385</v>
      </c>
      <c r="B2985" t="s">
        <v>14511</v>
      </c>
    </row>
    <row r="2986" spans="1:2" x14ac:dyDescent="0.25">
      <c r="A2986" t="s">
        <v>14512</v>
      </c>
      <c r="B2986" t="s">
        <v>14513</v>
      </c>
    </row>
    <row r="2987" spans="1:2" x14ac:dyDescent="0.25">
      <c r="A2987" t="s">
        <v>14514</v>
      </c>
      <c r="B2987" t="s">
        <v>14515</v>
      </c>
    </row>
    <row r="2988" spans="1:2" x14ac:dyDescent="0.25">
      <c r="A2988" t="s">
        <v>14516</v>
      </c>
      <c r="B2988" t="s">
        <v>14517</v>
      </c>
    </row>
    <row r="2989" spans="1:2" x14ac:dyDescent="0.25">
      <c r="A2989" t="s">
        <v>14518</v>
      </c>
      <c r="B2989" t="s">
        <v>14519</v>
      </c>
    </row>
    <row r="2990" spans="1:2" x14ac:dyDescent="0.25">
      <c r="A2990" t="s">
        <v>14520</v>
      </c>
      <c r="B2990" t="s">
        <v>14521</v>
      </c>
    </row>
    <row r="2991" spans="1:2" x14ac:dyDescent="0.25">
      <c r="A2991" t="s">
        <v>14522</v>
      </c>
      <c r="B2991" t="s">
        <v>14523</v>
      </c>
    </row>
    <row r="2992" spans="1:2" x14ac:dyDescent="0.25">
      <c r="A2992" t="s">
        <v>14524</v>
      </c>
      <c r="B2992" t="s">
        <v>14525</v>
      </c>
    </row>
    <row r="2993" spans="1:2" x14ac:dyDescent="0.25">
      <c r="A2993" t="s">
        <v>14526</v>
      </c>
      <c r="B2993" t="s">
        <v>14527</v>
      </c>
    </row>
    <row r="2994" spans="1:2" x14ac:dyDescent="0.25">
      <c r="A2994" t="s">
        <v>14528</v>
      </c>
      <c r="B2994" t="s">
        <v>14529</v>
      </c>
    </row>
    <row r="2995" spans="1:2" x14ac:dyDescent="0.25">
      <c r="A2995" t="s">
        <v>14530</v>
      </c>
      <c r="B2995" t="s">
        <v>14531</v>
      </c>
    </row>
    <row r="2996" spans="1:2" x14ac:dyDescent="0.25">
      <c r="A2996" t="s">
        <v>14532</v>
      </c>
      <c r="B2996" t="s">
        <v>14533</v>
      </c>
    </row>
    <row r="2997" spans="1:2" x14ac:dyDescent="0.25">
      <c r="A2997" t="s">
        <v>14534</v>
      </c>
      <c r="B2997" t="s">
        <v>14535</v>
      </c>
    </row>
    <row r="2998" spans="1:2" x14ac:dyDescent="0.25">
      <c r="A2998" t="s">
        <v>14536</v>
      </c>
      <c r="B2998" t="s">
        <v>14537</v>
      </c>
    </row>
    <row r="2999" spans="1:2" x14ac:dyDescent="0.25">
      <c r="A2999" t="s">
        <v>14538</v>
      </c>
      <c r="B2999" t="s">
        <v>14539</v>
      </c>
    </row>
    <row r="3000" spans="1:2" x14ac:dyDescent="0.25">
      <c r="A3000" t="s">
        <v>14540</v>
      </c>
      <c r="B3000" t="s">
        <v>14541</v>
      </c>
    </row>
    <row r="3001" spans="1:2" x14ac:dyDescent="0.25">
      <c r="A3001" t="s">
        <v>14542</v>
      </c>
      <c r="B3001" t="s">
        <v>14543</v>
      </c>
    </row>
    <row r="3002" spans="1:2" x14ac:dyDescent="0.25">
      <c r="A3002" t="s">
        <v>14544</v>
      </c>
      <c r="B3002" t="s">
        <v>14545</v>
      </c>
    </row>
    <row r="3003" spans="1:2" x14ac:dyDescent="0.25">
      <c r="A3003" t="s">
        <v>14546</v>
      </c>
      <c r="B3003" t="s">
        <v>14547</v>
      </c>
    </row>
    <row r="3004" spans="1:2" x14ac:dyDescent="0.25">
      <c r="A3004" t="s">
        <v>14548</v>
      </c>
      <c r="B3004" t="s">
        <v>14549</v>
      </c>
    </row>
    <row r="3005" spans="1:2" x14ac:dyDescent="0.25">
      <c r="A3005" t="s">
        <v>14550</v>
      </c>
      <c r="B3005" t="s">
        <v>14551</v>
      </c>
    </row>
    <row r="3006" spans="1:2" x14ac:dyDescent="0.25">
      <c r="A3006" t="s">
        <v>14552</v>
      </c>
      <c r="B3006" t="s">
        <v>14553</v>
      </c>
    </row>
    <row r="3007" spans="1:2" x14ac:dyDescent="0.25">
      <c r="A3007" t="s">
        <v>14554</v>
      </c>
      <c r="B3007" t="s">
        <v>14555</v>
      </c>
    </row>
    <row r="3008" spans="1:2" x14ac:dyDescent="0.25">
      <c r="A3008" t="s">
        <v>14556</v>
      </c>
      <c r="B3008" t="s">
        <v>14557</v>
      </c>
    </row>
    <row r="3009" spans="1:2" x14ac:dyDescent="0.25">
      <c r="A3009" t="s">
        <v>14558</v>
      </c>
      <c r="B3009" t="s">
        <v>14559</v>
      </c>
    </row>
    <row r="3010" spans="1:2" x14ac:dyDescent="0.25">
      <c r="A3010" t="s">
        <v>14560</v>
      </c>
      <c r="B3010" t="s">
        <v>14561</v>
      </c>
    </row>
    <row r="3011" spans="1:2" x14ac:dyDescent="0.25">
      <c r="A3011" t="s">
        <v>14562</v>
      </c>
      <c r="B3011" t="s">
        <v>14563</v>
      </c>
    </row>
    <row r="3012" spans="1:2" x14ac:dyDescent="0.25">
      <c r="A3012" t="s">
        <v>14564</v>
      </c>
      <c r="B3012" t="s">
        <v>14565</v>
      </c>
    </row>
    <row r="3013" spans="1:2" x14ac:dyDescent="0.25">
      <c r="A3013" t="s">
        <v>14566</v>
      </c>
      <c r="B3013" t="s">
        <v>14567</v>
      </c>
    </row>
    <row r="3014" spans="1:2" x14ac:dyDescent="0.25">
      <c r="A3014" t="s">
        <v>14568</v>
      </c>
      <c r="B3014" t="s">
        <v>14569</v>
      </c>
    </row>
    <row r="3015" spans="1:2" x14ac:dyDescent="0.25">
      <c r="A3015" t="s">
        <v>14570</v>
      </c>
      <c r="B3015" t="s">
        <v>14571</v>
      </c>
    </row>
    <row r="3016" spans="1:2" x14ac:dyDescent="0.25">
      <c r="A3016" t="s">
        <v>14572</v>
      </c>
      <c r="B3016" t="s">
        <v>14573</v>
      </c>
    </row>
    <row r="3017" spans="1:2" x14ac:dyDescent="0.25">
      <c r="A3017" t="s">
        <v>14574</v>
      </c>
      <c r="B3017" t="s">
        <v>14575</v>
      </c>
    </row>
    <row r="3018" spans="1:2" x14ac:dyDescent="0.25">
      <c r="A3018" t="s">
        <v>14576</v>
      </c>
      <c r="B3018" t="s">
        <v>14577</v>
      </c>
    </row>
    <row r="3019" spans="1:2" x14ac:dyDescent="0.25">
      <c r="A3019" t="s">
        <v>14578</v>
      </c>
      <c r="B3019" t="s">
        <v>14579</v>
      </c>
    </row>
    <row r="3020" spans="1:2" x14ac:dyDescent="0.25">
      <c r="A3020" t="s">
        <v>14580</v>
      </c>
      <c r="B3020" t="s">
        <v>14581</v>
      </c>
    </row>
    <row r="3021" spans="1:2" x14ac:dyDescent="0.25">
      <c r="A3021" t="s">
        <v>14582</v>
      </c>
      <c r="B3021" t="s">
        <v>14583</v>
      </c>
    </row>
    <row r="3022" spans="1:2" x14ac:dyDescent="0.25">
      <c r="A3022" t="s">
        <v>14584</v>
      </c>
      <c r="B3022" t="s">
        <v>14585</v>
      </c>
    </row>
    <row r="3023" spans="1:2" x14ac:dyDescent="0.25">
      <c r="A3023" t="s">
        <v>14586</v>
      </c>
      <c r="B3023" t="s">
        <v>14587</v>
      </c>
    </row>
    <row r="3024" spans="1:2" x14ac:dyDescent="0.25">
      <c r="A3024" t="s">
        <v>14588</v>
      </c>
      <c r="B3024" t="s">
        <v>14589</v>
      </c>
    </row>
    <row r="3025" spans="1:2" x14ac:dyDescent="0.25">
      <c r="A3025" t="s">
        <v>14590</v>
      </c>
      <c r="B3025" t="s">
        <v>14591</v>
      </c>
    </row>
    <row r="3026" spans="1:2" x14ac:dyDescent="0.25">
      <c r="A3026" t="s">
        <v>14592</v>
      </c>
      <c r="B3026" t="s">
        <v>14593</v>
      </c>
    </row>
    <row r="3027" spans="1:2" x14ac:dyDescent="0.25">
      <c r="A3027" t="s">
        <v>14594</v>
      </c>
      <c r="B3027" t="s">
        <v>14595</v>
      </c>
    </row>
    <row r="3028" spans="1:2" x14ac:dyDescent="0.25">
      <c r="A3028" t="s">
        <v>14596</v>
      </c>
      <c r="B3028" t="s">
        <v>14597</v>
      </c>
    </row>
    <row r="3029" spans="1:2" x14ac:dyDescent="0.25">
      <c r="A3029" t="s">
        <v>14598</v>
      </c>
      <c r="B3029" t="s">
        <v>14599</v>
      </c>
    </row>
    <row r="3030" spans="1:2" x14ac:dyDescent="0.25">
      <c r="A3030" t="s">
        <v>14600</v>
      </c>
      <c r="B3030" t="s">
        <v>14601</v>
      </c>
    </row>
    <row r="3031" spans="1:2" x14ac:dyDescent="0.25">
      <c r="A3031" t="s">
        <v>14602</v>
      </c>
      <c r="B3031" t="s">
        <v>14603</v>
      </c>
    </row>
    <row r="3032" spans="1:2" x14ac:dyDescent="0.25">
      <c r="A3032" t="s">
        <v>14604</v>
      </c>
      <c r="B3032" t="s">
        <v>14605</v>
      </c>
    </row>
    <row r="3033" spans="1:2" x14ac:dyDescent="0.25">
      <c r="A3033" t="s">
        <v>14606</v>
      </c>
      <c r="B3033" t="s">
        <v>14607</v>
      </c>
    </row>
    <row r="3034" spans="1:2" x14ac:dyDescent="0.25">
      <c r="A3034" t="s">
        <v>14608</v>
      </c>
      <c r="B3034" t="s">
        <v>14609</v>
      </c>
    </row>
    <row r="3035" spans="1:2" x14ac:dyDescent="0.25">
      <c r="A3035" t="s">
        <v>14610</v>
      </c>
      <c r="B3035" t="s">
        <v>14611</v>
      </c>
    </row>
    <row r="3036" spans="1:2" x14ac:dyDescent="0.25">
      <c r="A3036" t="s">
        <v>14612</v>
      </c>
      <c r="B3036" t="s">
        <v>14613</v>
      </c>
    </row>
    <row r="3037" spans="1:2" x14ac:dyDescent="0.25">
      <c r="A3037" t="s">
        <v>14614</v>
      </c>
      <c r="B3037" t="s">
        <v>14615</v>
      </c>
    </row>
    <row r="3038" spans="1:2" x14ac:dyDescent="0.25">
      <c r="A3038" t="s">
        <v>14616</v>
      </c>
      <c r="B3038" t="s">
        <v>14617</v>
      </c>
    </row>
    <row r="3039" spans="1:2" x14ac:dyDescent="0.25">
      <c r="A3039" t="s">
        <v>14618</v>
      </c>
      <c r="B3039" t="s">
        <v>14619</v>
      </c>
    </row>
    <row r="3040" spans="1:2" x14ac:dyDescent="0.25">
      <c r="A3040" t="s">
        <v>14620</v>
      </c>
      <c r="B3040" t="s">
        <v>14621</v>
      </c>
    </row>
    <row r="3041" spans="1:2" x14ac:dyDescent="0.25">
      <c r="A3041" t="s">
        <v>14622</v>
      </c>
      <c r="B3041" t="s">
        <v>14623</v>
      </c>
    </row>
    <row r="3042" spans="1:2" x14ac:dyDescent="0.25">
      <c r="A3042" t="s">
        <v>14624</v>
      </c>
      <c r="B3042" t="s">
        <v>14625</v>
      </c>
    </row>
    <row r="3043" spans="1:2" x14ac:dyDescent="0.25">
      <c r="A3043" t="s">
        <v>14626</v>
      </c>
      <c r="B3043" t="s">
        <v>14627</v>
      </c>
    </row>
    <row r="3044" spans="1:2" x14ac:dyDescent="0.25">
      <c r="A3044" t="s">
        <v>14628</v>
      </c>
      <c r="B3044" t="s">
        <v>14629</v>
      </c>
    </row>
    <row r="3045" spans="1:2" x14ac:dyDescent="0.25">
      <c r="A3045" t="s">
        <v>14630</v>
      </c>
      <c r="B3045" t="s">
        <v>14631</v>
      </c>
    </row>
    <row r="3046" spans="1:2" x14ac:dyDescent="0.25">
      <c r="A3046" t="s">
        <v>14632</v>
      </c>
      <c r="B3046" t="s">
        <v>14633</v>
      </c>
    </row>
    <row r="3047" spans="1:2" x14ac:dyDescent="0.25">
      <c r="A3047" t="s">
        <v>14634</v>
      </c>
      <c r="B3047" t="s">
        <v>14635</v>
      </c>
    </row>
    <row r="3048" spans="1:2" x14ac:dyDescent="0.25">
      <c r="A3048" t="s">
        <v>14636</v>
      </c>
      <c r="B3048" t="s">
        <v>14637</v>
      </c>
    </row>
    <row r="3049" spans="1:2" x14ac:dyDescent="0.25">
      <c r="A3049" t="s">
        <v>14638</v>
      </c>
      <c r="B3049" t="s">
        <v>14639</v>
      </c>
    </row>
    <row r="3050" spans="1:2" x14ac:dyDescent="0.25">
      <c r="A3050" t="s">
        <v>14640</v>
      </c>
      <c r="B3050" t="s">
        <v>14641</v>
      </c>
    </row>
    <row r="3051" spans="1:2" x14ac:dyDescent="0.25">
      <c r="A3051" t="s">
        <v>14642</v>
      </c>
      <c r="B3051" t="s">
        <v>14643</v>
      </c>
    </row>
    <row r="3052" spans="1:2" x14ac:dyDescent="0.25">
      <c r="A3052" t="s">
        <v>14644</v>
      </c>
      <c r="B3052" t="s">
        <v>14645</v>
      </c>
    </row>
    <row r="3053" spans="1:2" x14ac:dyDescent="0.25">
      <c r="A3053" t="s">
        <v>14646</v>
      </c>
      <c r="B3053" t="s">
        <v>14647</v>
      </c>
    </row>
    <row r="3054" spans="1:2" x14ac:dyDescent="0.25">
      <c r="A3054" t="s">
        <v>14648</v>
      </c>
      <c r="B3054" t="s">
        <v>14649</v>
      </c>
    </row>
    <row r="3055" spans="1:2" x14ac:dyDescent="0.25">
      <c r="A3055" t="s">
        <v>14650</v>
      </c>
      <c r="B3055" t="s">
        <v>14651</v>
      </c>
    </row>
    <row r="3056" spans="1:2" x14ac:dyDescent="0.25">
      <c r="A3056" t="s">
        <v>2236</v>
      </c>
      <c r="B3056" t="s">
        <v>14652</v>
      </c>
    </row>
    <row r="3057" spans="1:2" x14ac:dyDescent="0.25">
      <c r="A3057" t="s">
        <v>14653</v>
      </c>
      <c r="B3057" t="s">
        <v>14654</v>
      </c>
    </row>
    <row r="3058" spans="1:2" x14ac:dyDescent="0.25">
      <c r="A3058" t="s">
        <v>14655</v>
      </c>
      <c r="B3058" t="s">
        <v>14656</v>
      </c>
    </row>
    <row r="3059" spans="1:2" x14ac:dyDescent="0.25">
      <c r="A3059" t="s">
        <v>14657</v>
      </c>
      <c r="B3059" t="s">
        <v>14658</v>
      </c>
    </row>
    <row r="3060" spans="1:2" x14ac:dyDescent="0.25">
      <c r="A3060" t="s">
        <v>958</v>
      </c>
      <c r="B3060" t="s">
        <v>14659</v>
      </c>
    </row>
    <row r="3061" spans="1:2" x14ac:dyDescent="0.25">
      <c r="A3061" t="s">
        <v>71</v>
      </c>
      <c r="B3061" t="s">
        <v>14660</v>
      </c>
    </row>
    <row r="3062" spans="1:2" x14ac:dyDescent="0.25">
      <c r="A3062" t="s">
        <v>14661</v>
      </c>
      <c r="B3062" t="s">
        <v>14662</v>
      </c>
    </row>
    <row r="3063" spans="1:2" x14ac:dyDescent="0.25">
      <c r="A3063" t="s">
        <v>2637</v>
      </c>
      <c r="B3063" t="s">
        <v>14663</v>
      </c>
    </row>
    <row r="3064" spans="1:2" x14ac:dyDescent="0.25">
      <c r="A3064" t="s">
        <v>73</v>
      </c>
      <c r="B3064" t="s">
        <v>14664</v>
      </c>
    </row>
    <row r="3065" spans="1:2" x14ac:dyDescent="0.25">
      <c r="A3065" t="s">
        <v>14665</v>
      </c>
      <c r="B3065" t="s">
        <v>14666</v>
      </c>
    </row>
    <row r="3066" spans="1:2" x14ac:dyDescent="0.25">
      <c r="A3066" t="s">
        <v>14667</v>
      </c>
      <c r="B3066" t="s">
        <v>14668</v>
      </c>
    </row>
    <row r="3067" spans="1:2" x14ac:dyDescent="0.25">
      <c r="A3067" t="s">
        <v>14669</v>
      </c>
      <c r="B3067" t="s">
        <v>14670</v>
      </c>
    </row>
    <row r="3068" spans="1:2" x14ac:dyDescent="0.25">
      <c r="A3068" t="s">
        <v>738</v>
      </c>
      <c r="B3068" t="s">
        <v>14671</v>
      </c>
    </row>
    <row r="3069" spans="1:2" x14ac:dyDescent="0.25">
      <c r="A3069" t="s">
        <v>14672</v>
      </c>
      <c r="B3069" t="s">
        <v>14673</v>
      </c>
    </row>
    <row r="3070" spans="1:2" x14ac:dyDescent="0.25">
      <c r="A3070" t="s">
        <v>3295</v>
      </c>
      <c r="B3070" t="s">
        <v>14674</v>
      </c>
    </row>
    <row r="3071" spans="1:2" x14ac:dyDescent="0.25">
      <c r="A3071" t="s">
        <v>960</v>
      </c>
      <c r="B3071" t="s">
        <v>14675</v>
      </c>
    </row>
    <row r="3072" spans="1:2" x14ac:dyDescent="0.25">
      <c r="A3072" t="s">
        <v>14676</v>
      </c>
      <c r="B3072" t="s">
        <v>14677</v>
      </c>
    </row>
    <row r="3073" spans="1:2" x14ac:dyDescent="0.25">
      <c r="A3073" t="s">
        <v>14678</v>
      </c>
      <c r="B3073" t="s">
        <v>14679</v>
      </c>
    </row>
    <row r="3074" spans="1:2" x14ac:dyDescent="0.25">
      <c r="A3074" t="s">
        <v>2291</v>
      </c>
      <c r="B3074" t="s">
        <v>14680</v>
      </c>
    </row>
    <row r="3075" spans="1:2" x14ac:dyDescent="0.25">
      <c r="A3075" t="s">
        <v>14681</v>
      </c>
      <c r="B3075" t="s">
        <v>14682</v>
      </c>
    </row>
    <row r="3076" spans="1:2" x14ac:dyDescent="0.25">
      <c r="A3076" t="s">
        <v>14683</v>
      </c>
      <c r="B3076" t="s">
        <v>14684</v>
      </c>
    </row>
    <row r="3077" spans="1:2" x14ac:dyDescent="0.25">
      <c r="A3077" t="s">
        <v>14685</v>
      </c>
      <c r="B3077" t="s">
        <v>14686</v>
      </c>
    </row>
    <row r="3078" spans="1:2" x14ac:dyDescent="0.25">
      <c r="A3078" t="s">
        <v>14687</v>
      </c>
      <c r="B3078" t="s">
        <v>14688</v>
      </c>
    </row>
    <row r="3079" spans="1:2" x14ac:dyDescent="0.25">
      <c r="A3079" t="s">
        <v>14689</v>
      </c>
      <c r="B3079" t="s">
        <v>14690</v>
      </c>
    </row>
    <row r="3080" spans="1:2" x14ac:dyDescent="0.25">
      <c r="A3080" t="s">
        <v>14691</v>
      </c>
      <c r="B3080" t="s">
        <v>14692</v>
      </c>
    </row>
    <row r="3081" spans="1:2" x14ac:dyDescent="0.25">
      <c r="A3081" t="s">
        <v>14693</v>
      </c>
      <c r="B3081" t="s">
        <v>14694</v>
      </c>
    </row>
    <row r="3082" spans="1:2" x14ac:dyDescent="0.25">
      <c r="A3082" t="s">
        <v>14695</v>
      </c>
      <c r="B3082" t="s">
        <v>14696</v>
      </c>
    </row>
    <row r="3083" spans="1:2" x14ac:dyDescent="0.25">
      <c r="A3083" t="s">
        <v>14697</v>
      </c>
      <c r="B3083" t="s">
        <v>14698</v>
      </c>
    </row>
    <row r="3084" spans="1:2" x14ac:dyDescent="0.25">
      <c r="A3084" t="s">
        <v>14699</v>
      </c>
      <c r="B3084" t="s">
        <v>14700</v>
      </c>
    </row>
    <row r="3085" spans="1:2" x14ac:dyDescent="0.25">
      <c r="A3085" t="s">
        <v>14701</v>
      </c>
      <c r="B3085" t="s">
        <v>14702</v>
      </c>
    </row>
    <row r="3086" spans="1:2" x14ac:dyDescent="0.25">
      <c r="A3086" t="s">
        <v>14703</v>
      </c>
      <c r="B3086" t="s">
        <v>14704</v>
      </c>
    </row>
    <row r="3087" spans="1:2" x14ac:dyDescent="0.25">
      <c r="A3087" t="s">
        <v>2641</v>
      </c>
      <c r="B3087" t="s">
        <v>14705</v>
      </c>
    </row>
    <row r="3088" spans="1:2" x14ac:dyDescent="0.25">
      <c r="A3088" t="s">
        <v>14706</v>
      </c>
      <c r="B3088" t="s">
        <v>14707</v>
      </c>
    </row>
    <row r="3089" spans="1:2" x14ac:dyDescent="0.25">
      <c r="A3089" t="s">
        <v>14708</v>
      </c>
      <c r="B3089" t="s">
        <v>14709</v>
      </c>
    </row>
    <row r="3090" spans="1:2" x14ac:dyDescent="0.25">
      <c r="A3090" t="s">
        <v>740</v>
      </c>
      <c r="B3090" t="s">
        <v>14710</v>
      </c>
    </row>
    <row r="3091" spans="1:2" x14ac:dyDescent="0.25">
      <c r="A3091" t="s">
        <v>14711</v>
      </c>
      <c r="B3091" t="s">
        <v>14712</v>
      </c>
    </row>
    <row r="3092" spans="1:2" x14ac:dyDescent="0.25">
      <c r="A3092" t="s">
        <v>14713</v>
      </c>
      <c r="B3092" t="s">
        <v>14714</v>
      </c>
    </row>
    <row r="3093" spans="1:2" x14ac:dyDescent="0.25">
      <c r="A3093" t="s">
        <v>14715</v>
      </c>
      <c r="B3093" t="s">
        <v>14716</v>
      </c>
    </row>
    <row r="3094" spans="1:2" x14ac:dyDescent="0.25">
      <c r="A3094" t="s">
        <v>14717</v>
      </c>
      <c r="B3094" t="s">
        <v>14718</v>
      </c>
    </row>
    <row r="3095" spans="1:2" x14ac:dyDescent="0.25">
      <c r="A3095" t="s">
        <v>14719</v>
      </c>
      <c r="B3095" t="s">
        <v>14720</v>
      </c>
    </row>
    <row r="3096" spans="1:2" x14ac:dyDescent="0.25">
      <c r="A3096" t="s">
        <v>14721</v>
      </c>
      <c r="B3096" t="s">
        <v>14722</v>
      </c>
    </row>
    <row r="3097" spans="1:2" x14ac:dyDescent="0.25">
      <c r="A3097" t="s">
        <v>14723</v>
      </c>
      <c r="B3097" t="s">
        <v>14724</v>
      </c>
    </row>
    <row r="3098" spans="1:2" x14ac:dyDescent="0.25">
      <c r="A3098" t="s">
        <v>14725</v>
      </c>
      <c r="B3098" t="s">
        <v>14726</v>
      </c>
    </row>
    <row r="3099" spans="1:2" x14ac:dyDescent="0.25">
      <c r="A3099" t="s">
        <v>14727</v>
      </c>
      <c r="B3099" t="s">
        <v>14728</v>
      </c>
    </row>
    <row r="3100" spans="1:2" x14ac:dyDescent="0.25">
      <c r="A3100" t="s">
        <v>14729</v>
      </c>
      <c r="B3100" t="s">
        <v>14730</v>
      </c>
    </row>
    <row r="3101" spans="1:2" x14ac:dyDescent="0.25">
      <c r="A3101" t="s">
        <v>14731</v>
      </c>
      <c r="B3101" t="s">
        <v>14732</v>
      </c>
    </row>
    <row r="3102" spans="1:2" x14ac:dyDescent="0.25">
      <c r="A3102" t="s">
        <v>14733</v>
      </c>
      <c r="B3102" t="s">
        <v>14734</v>
      </c>
    </row>
    <row r="3103" spans="1:2" x14ac:dyDescent="0.25">
      <c r="A3103" t="s">
        <v>14735</v>
      </c>
      <c r="B3103" t="s">
        <v>14736</v>
      </c>
    </row>
    <row r="3104" spans="1:2" x14ac:dyDescent="0.25">
      <c r="A3104" t="s">
        <v>14737</v>
      </c>
      <c r="B3104" t="s">
        <v>14738</v>
      </c>
    </row>
    <row r="3105" spans="1:2" x14ac:dyDescent="0.25">
      <c r="A3105" t="s">
        <v>14739</v>
      </c>
      <c r="B3105" t="s">
        <v>14740</v>
      </c>
    </row>
    <row r="3106" spans="1:2" x14ac:dyDescent="0.25">
      <c r="A3106" t="s">
        <v>14741</v>
      </c>
      <c r="B3106" t="s">
        <v>14742</v>
      </c>
    </row>
    <row r="3107" spans="1:2" x14ac:dyDescent="0.25">
      <c r="A3107" t="s">
        <v>14743</v>
      </c>
      <c r="B3107" t="s">
        <v>14744</v>
      </c>
    </row>
    <row r="3108" spans="1:2" x14ac:dyDescent="0.25">
      <c r="A3108" t="s">
        <v>14745</v>
      </c>
      <c r="B3108" t="s">
        <v>14746</v>
      </c>
    </row>
    <row r="3109" spans="1:2" x14ac:dyDescent="0.25">
      <c r="A3109" t="s">
        <v>14747</v>
      </c>
      <c r="B3109" t="s">
        <v>14748</v>
      </c>
    </row>
    <row r="3110" spans="1:2" x14ac:dyDescent="0.25">
      <c r="A3110" t="s">
        <v>14749</v>
      </c>
      <c r="B3110" t="s">
        <v>14750</v>
      </c>
    </row>
    <row r="3111" spans="1:2" x14ac:dyDescent="0.25">
      <c r="A3111" t="s">
        <v>14751</v>
      </c>
      <c r="B3111" t="s">
        <v>14752</v>
      </c>
    </row>
    <row r="3112" spans="1:2" x14ac:dyDescent="0.25">
      <c r="A3112" t="s">
        <v>14753</v>
      </c>
      <c r="B3112" t="s">
        <v>14754</v>
      </c>
    </row>
    <row r="3113" spans="1:2" x14ac:dyDescent="0.25">
      <c r="A3113" t="s">
        <v>14755</v>
      </c>
      <c r="B3113" t="s">
        <v>14756</v>
      </c>
    </row>
    <row r="3114" spans="1:2" x14ac:dyDescent="0.25">
      <c r="A3114" t="s">
        <v>14757</v>
      </c>
      <c r="B3114" t="s">
        <v>14758</v>
      </c>
    </row>
    <row r="3115" spans="1:2" x14ac:dyDescent="0.25">
      <c r="A3115" t="s">
        <v>14759</v>
      </c>
      <c r="B3115" t="s">
        <v>14760</v>
      </c>
    </row>
    <row r="3116" spans="1:2" x14ac:dyDescent="0.25">
      <c r="A3116" t="s">
        <v>14761</v>
      </c>
      <c r="B3116" t="s">
        <v>14762</v>
      </c>
    </row>
    <row r="3117" spans="1:2" x14ac:dyDescent="0.25">
      <c r="A3117" t="s">
        <v>14763</v>
      </c>
      <c r="B3117" t="s">
        <v>14764</v>
      </c>
    </row>
    <row r="3118" spans="1:2" x14ac:dyDescent="0.25">
      <c r="A3118" t="s">
        <v>14765</v>
      </c>
      <c r="B3118" t="s">
        <v>14766</v>
      </c>
    </row>
    <row r="3119" spans="1:2" x14ac:dyDescent="0.25">
      <c r="A3119" t="s">
        <v>549</v>
      </c>
      <c r="B3119" t="s">
        <v>14767</v>
      </c>
    </row>
    <row r="3120" spans="1:2" x14ac:dyDescent="0.25">
      <c r="A3120" t="s">
        <v>14768</v>
      </c>
      <c r="B3120" t="s">
        <v>14769</v>
      </c>
    </row>
    <row r="3121" spans="1:2" x14ac:dyDescent="0.25">
      <c r="A3121" t="s">
        <v>14770</v>
      </c>
      <c r="B3121" t="s">
        <v>14771</v>
      </c>
    </row>
    <row r="3122" spans="1:2" x14ac:dyDescent="0.25">
      <c r="A3122" t="s">
        <v>14772</v>
      </c>
      <c r="B3122" t="s">
        <v>14773</v>
      </c>
    </row>
    <row r="3123" spans="1:2" x14ac:dyDescent="0.25">
      <c r="A3123" t="s">
        <v>14774</v>
      </c>
      <c r="B3123" t="s">
        <v>14775</v>
      </c>
    </row>
    <row r="3124" spans="1:2" x14ac:dyDescent="0.25">
      <c r="A3124" t="s">
        <v>551</v>
      </c>
      <c r="B3124" t="s">
        <v>14776</v>
      </c>
    </row>
    <row r="3125" spans="1:2" x14ac:dyDescent="0.25">
      <c r="A3125" t="s">
        <v>14777</v>
      </c>
      <c r="B3125" t="s">
        <v>14778</v>
      </c>
    </row>
    <row r="3126" spans="1:2" x14ac:dyDescent="0.25">
      <c r="A3126" t="s">
        <v>74</v>
      </c>
      <c r="B3126" t="s">
        <v>14779</v>
      </c>
    </row>
    <row r="3127" spans="1:2" x14ac:dyDescent="0.25">
      <c r="A3127" t="s">
        <v>742</v>
      </c>
      <c r="B3127" t="s">
        <v>14780</v>
      </c>
    </row>
    <row r="3128" spans="1:2" x14ac:dyDescent="0.25">
      <c r="A3128" t="s">
        <v>14781</v>
      </c>
      <c r="B3128" t="s">
        <v>14782</v>
      </c>
    </row>
    <row r="3129" spans="1:2" x14ac:dyDescent="0.25">
      <c r="A3129" t="s">
        <v>14783</v>
      </c>
      <c r="B3129" t="s">
        <v>14784</v>
      </c>
    </row>
    <row r="3130" spans="1:2" x14ac:dyDescent="0.25">
      <c r="A3130" t="s">
        <v>14785</v>
      </c>
      <c r="B3130" t="s">
        <v>14786</v>
      </c>
    </row>
    <row r="3131" spans="1:2" x14ac:dyDescent="0.25">
      <c r="A3131" t="s">
        <v>14787</v>
      </c>
      <c r="B3131" t="s">
        <v>14788</v>
      </c>
    </row>
    <row r="3132" spans="1:2" x14ac:dyDescent="0.25">
      <c r="A3132" t="s">
        <v>14789</v>
      </c>
      <c r="B3132" t="s">
        <v>14790</v>
      </c>
    </row>
    <row r="3133" spans="1:2" x14ac:dyDescent="0.25">
      <c r="A3133" t="s">
        <v>14791</v>
      </c>
      <c r="B3133" t="s">
        <v>14792</v>
      </c>
    </row>
    <row r="3134" spans="1:2" x14ac:dyDescent="0.25">
      <c r="A3134" t="s">
        <v>14793</v>
      </c>
      <c r="B3134" t="s">
        <v>14794</v>
      </c>
    </row>
    <row r="3135" spans="1:2" x14ac:dyDescent="0.25">
      <c r="A3135" t="s">
        <v>14795</v>
      </c>
      <c r="B3135" t="s">
        <v>14796</v>
      </c>
    </row>
    <row r="3136" spans="1:2" x14ac:dyDescent="0.25">
      <c r="A3136" t="s">
        <v>14797</v>
      </c>
      <c r="B3136" t="s">
        <v>14798</v>
      </c>
    </row>
    <row r="3137" spans="1:2" x14ac:dyDescent="0.25">
      <c r="A3137" t="s">
        <v>14799</v>
      </c>
      <c r="B3137" t="s">
        <v>14800</v>
      </c>
    </row>
    <row r="3138" spans="1:2" x14ac:dyDescent="0.25">
      <c r="A3138" t="s">
        <v>14801</v>
      </c>
      <c r="B3138" t="s">
        <v>14802</v>
      </c>
    </row>
    <row r="3139" spans="1:2" x14ac:dyDescent="0.25">
      <c r="A3139" t="s">
        <v>75</v>
      </c>
      <c r="B3139" t="s">
        <v>14803</v>
      </c>
    </row>
    <row r="3140" spans="1:2" x14ac:dyDescent="0.25">
      <c r="A3140" t="s">
        <v>14804</v>
      </c>
      <c r="B3140" t="s">
        <v>14805</v>
      </c>
    </row>
    <row r="3141" spans="1:2" x14ac:dyDescent="0.25">
      <c r="A3141" t="s">
        <v>14806</v>
      </c>
      <c r="B3141" t="s">
        <v>14807</v>
      </c>
    </row>
    <row r="3142" spans="1:2" x14ac:dyDescent="0.25">
      <c r="A3142" t="s">
        <v>14808</v>
      </c>
      <c r="B3142" t="s">
        <v>14809</v>
      </c>
    </row>
    <row r="3143" spans="1:2" x14ac:dyDescent="0.25">
      <c r="A3143" t="s">
        <v>14810</v>
      </c>
      <c r="B3143" t="s">
        <v>14811</v>
      </c>
    </row>
    <row r="3144" spans="1:2" x14ac:dyDescent="0.25">
      <c r="A3144" t="s">
        <v>14812</v>
      </c>
      <c r="B3144" t="s">
        <v>14813</v>
      </c>
    </row>
    <row r="3145" spans="1:2" x14ac:dyDescent="0.25">
      <c r="A3145" t="s">
        <v>76</v>
      </c>
      <c r="B3145" t="s">
        <v>14814</v>
      </c>
    </row>
    <row r="3146" spans="1:2" x14ac:dyDescent="0.25">
      <c r="A3146" t="s">
        <v>14815</v>
      </c>
      <c r="B3146" t="s">
        <v>13151</v>
      </c>
    </row>
    <row r="3147" spans="1:2" x14ac:dyDescent="0.25">
      <c r="A3147" t="s">
        <v>14816</v>
      </c>
      <c r="B3147" t="s">
        <v>14817</v>
      </c>
    </row>
    <row r="3148" spans="1:2" x14ac:dyDescent="0.25">
      <c r="A3148" t="s">
        <v>14818</v>
      </c>
      <c r="B3148" t="s">
        <v>14819</v>
      </c>
    </row>
    <row r="3149" spans="1:2" x14ac:dyDescent="0.25">
      <c r="A3149" t="s">
        <v>14820</v>
      </c>
      <c r="B3149" t="s">
        <v>14821</v>
      </c>
    </row>
    <row r="3150" spans="1:2" x14ac:dyDescent="0.25">
      <c r="A3150" t="s">
        <v>14822</v>
      </c>
      <c r="B3150" t="s">
        <v>14823</v>
      </c>
    </row>
    <row r="3151" spans="1:2" x14ac:dyDescent="0.25">
      <c r="A3151" t="s">
        <v>14824</v>
      </c>
      <c r="B3151" t="s">
        <v>14825</v>
      </c>
    </row>
    <row r="3152" spans="1:2" x14ac:dyDescent="0.25">
      <c r="A3152" t="s">
        <v>14826</v>
      </c>
      <c r="B3152" t="s">
        <v>14827</v>
      </c>
    </row>
    <row r="3153" spans="1:2" x14ac:dyDescent="0.25">
      <c r="A3153" t="s">
        <v>14828</v>
      </c>
      <c r="B3153" t="s">
        <v>14829</v>
      </c>
    </row>
    <row r="3154" spans="1:2" x14ac:dyDescent="0.25">
      <c r="A3154" t="s">
        <v>14830</v>
      </c>
      <c r="B3154" t="s">
        <v>14831</v>
      </c>
    </row>
    <row r="3155" spans="1:2" x14ac:dyDescent="0.25">
      <c r="A3155" t="s">
        <v>2421</v>
      </c>
      <c r="B3155" t="s">
        <v>14832</v>
      </c>
    </row>
    <row r="3156" spans="1:2" x14ac:dyDescent="0.25">
      <c r="A3156" t="s">
        <v>14833</v>
      </c>
      <c r="B3156" t="s">
        <v>14834</v>
      </c>
    </row>
    <row r="3157" spans="1:2" x14ac:dyDescent="0.25">
      <c r="A3157" t="s">
        <v>14835</v>
      </c>
      <c r="B3157" t="s">
        <v>14836</v>
      </c>
    </row>
    <row r="3158" spans="1:2" x14ac:dyDescent="0.25">
      <c r="A3158" t="s">
        <v>14837</v>
      </c>
      <c r="B3158" t="s">
        <v>14838</v>
      </c>
    </row>
    <row r="3159" spans="1:2" x14ac:dyDescent="0.25">
      <c r="A3159" t="s">
        <v>77</v>
      </c>
      <c r="B3159" t="s">
        <v>14839</v>
      </c>
    </row>
    <row r="3160" spans="1:2" x14ac:dyDescent="0.25">
      <c r="A3160" t="s">
        <v>14840</v>
      </c>
      <c r="B3160" t="s">
        <v>14841</v>
      </c>
    </row>
    <row r="3161" spans="1:2" x14ac:dyDescent="0.25">
      <c r="A3161" t="s">
        <v>14842</v>
      </c>
      <c r="B3161" t="s">
        <v>14843</v>
      </c>
    </row>
    <row r="3162" spans="1:2" x14ac:dyDescent="0.25">
      <c r="A3162" t="s">
        <v>14844</v>
      </c>
      <c r="B3162" t="s">
        <v>14845</v>
      </c>
    </row>
    <row r="3163" spans="1:2" x14ac:dyDescent="0.25">
      <c r="A3163" t="s">
        <v>78</v>
      </c>
      <c r="B3163" t="s">
        <v>14846</v>
      </c>
    </row>
    <row r="3164" spans="1:2" x14ac:dyDescent="0.25">
      <c r="A3164" t="s">
        <v>14847</v>
      </c>
      <c r="B3164" t="s">
        <v>14848</v>
      </c>
    </row>
    <row r="3165" spans="1:2" x14ac:dyDescent="0.25">
      <c r="A3165" t="s">
        <v>554</v>
      </c>
      <c r="B3165" t="s">
        <v>14849</v>
      </c>
    </row>
    <row r="3166" spans="1:2" x14ac:dyDescent="0.25">
      <c r="A3166" t="s">
        <v>14850</v>
      </c>
      <c r="B3166" t="s">
        <v>14851</v>
      </c>
    </row>
    <row r="3167" spans="1:2" x14ac:dyDescent="0.25">
      <c r="A3167" t="s">
        <v>14852</v>
      </c>
      <c r="B3167" t="s">
        <v>14853</v>
      </c>
    </row>
    <row r="3168" spans="1:2" x14ac:dyDescent="0.25">
      <c r="A3168" t="s">
        <v>14854</v>
      </c>
      <c r="B3168" t="s">
        <v>14855</v>
      </c>
    </row>
    <row r="3169" spans="1:2" x14ac:dyDescent="0.25">
      <c r="A3169" t="s">
        <v>14856</v>
      </c>
      <c r="B3169" t="s">
        <v>14857</v>
      </c>
    </row>
    <row r="3170" spans="1:2" x14ac:dyDescent="0.25">
      <c r="A3170" t="s">
        <v>14858</v>
      </c>
      <c r="B3170" t="s">
        <v>14859</v>
      </c>
    </row>
    <row r="3171" spans="1:2" x14ac:dyDescent="0.25">
      <c r="A3171" t="s">
        <v>14860</v>
      </c>
      <c r="B3171" t="s">
        <v>14861</v>
      </c>
    </row>
    <row r="3172" spans="1:2" x14ac:dyDescent="0.25">
      <c r="A3172" t="s">
        <v>14862</v>
      </c>
      <c r="B3172" t="s">
        <v>14863</v>
      </c>
    </row>
    <row r="3173" spans="1:2" x14ac:dyDescent="0.25">
      <c r="A3173" t="s">
        <v>14864</v>
      </c>
      <c r="B3173" t="s">
        <v>14865</v>
      </c>
    </row>
    <row r="3174" spans="1:2" x14ac:dyDescent="0.25">
      <c r="A3174" t="s">
        <v>14866</v>
      </c>
      <c r="B3174" t="s">
        <v>14867</v>
      </c>
    </row>
    <row r="3175" spans="1:2" x14ac:dyDescent="0.25">
      <c r="A3175" t="s">
        <v>14868</v>
      </c>
      <c r="B3175" t="s">
        <v>14869</v>
      </c>
    </row>
    <row r="3176" spans="1:2" x14ac:dyDescent="0.25">
      <c r="A3176" t="s">
        <v>14870</v>
      </c>
      <c r="B3176" t="s">
        <v>14871</v>
      </c>
    </row>
    <row r="3177" spans="1:2" x14ac:dyDescent="0.25">
      <c r="A3177" t="s">
        <v>14872</v>
      </c>
      <c r="B3177" t="s">
        <v>14873</v>
      </c>
    </row>
    <row r="3178" spans="1:2" x14ac:dyDescent="0.25">
      <c r="A3178" t="s">
        <v>14874</v>
      </c>
      <c r="B3178" t="s">
        <v>14875</v>
      </c>
    </row>
    <row r="3179" spans="1:2" x14ac:dyDescent="0.25">
      <c r="A3179" t="s">
        <v>14876</v>
      </c>
      <c r="B3179" t="s">
        <v>14877</v>
      </c>
    </row>
    <row r="3180" spans="1:2" x14ac:dyDescent="0.25">
      <c r="A3180" t="s">
        <v>14878</v>
      </c>
      <c r="B3180" t="s">
        <v>14879</v>
      </c>
    </row>
    <row r="3181" spans="1:2" x14ac:dyDescent="0.25">
      <c r="A3181" t="s">
        <v>14880</v>
      </c>
      <c r="B3181" t="s">
        <v>14881</v>
      </c>
    </row>
    <row r="3182" spans="1:2" x14ac:dyDescent="0.25">
      <c r="A3182" t="s">
        <v>14882</v>
      </c>
      <c r="B3182" t="s">
        <v>14883</v>
      </c>
    </row>
    <row r="3183" spans="1:2" x14ac:dyDescent="0.25">
      <c r="A3183" t="s">
        <v>14884</v>
      </c>
      <c r="B3183" t="s">
        <v>14885</v>
      </c>
    </row>
    <row r="3184" spans="1:2" x14ac:dyDescent="0.25">
      <c r="A3184" t="s">
        <v>14886</v>
      </c>
      <c r="B3184" t="s">
        <v>14887</v>
      </c>
    </row>
    <row r="3185" spans="1:2" x14ac:dyDescent="0.25">
      <c r="A3185" t="s">
        <v>14888</v>
      </c>
      <c r="B3185" t="s">
        <v>14889</v>
      </c>
    </row>
    <row r="3186" spans="1:2" x14ac:dyDescent="0.25">
      <c r="A3186" t="s">
        <v>14890</v>
      </c>
      <c r="B3186" t="s">
        <v>14891</v>
      </c>
    </row>
    <row r="3187" spans="1:2" x14ac:dyDescent="0.25">
      <c r="A3187" t="s">
        <v>14892</v>
      </c>
      <c r="B3187" t="s">
        <v>14893</v>
      </c>
    </row>
    <row r="3188" spans="1:2" x14ac:dyDescent="0.25">
      <c r="A3188" t="s">
        <v>14894</v>
      </c>
      <c r="B3188" t="s">
        <v>14895</v>
      </c>
    </row>
    <row r="3189" spans="1:2" x14ac:dyDescent="0.25">
      <c r="A3189" t="s">
        <v>14896</v>
      </c>
      <c r="B3189" t="s">
        <v>14897</v>
      </c>
    </row>
    <row r="3190" spans="1:2" x14ac:dyDescent="0.25">
      <c r="A3190" t="s">
        <v>14898</v>
      </c>
      <c r="B3190" t="s">
        <v>14899</v>
      </c>
    </row>
    <row r="3191" spans="1:2" x14ac:dyDescent="0.25">
      <c r="A3191" t="s">
        <v>14900</v>
      </c>
      <c r="B3191" t="s">
        <v>14901</v>
      </c>
    </row>
    <row r="3192" spans="1:2" x14ac:dyDescent="0.25">
      <c r="A3192" t="s">
        <v>14902</v>
      </c>
      <c r="B3192" t="s">
        <v>14903</v>
      </c>
    </row>
    <row r="3193" spans="1:2" x14ac:dyDescent="0.25">
      <c r="A3193" t="s">
        <v>14904</v>
      </c>
      <c r="B3193" t="s">
        <v>14905</v>
      </c>
    </row>
    <row r="3194" spans="1:2" x14ac:dyDescent="0.25">
      <c r="A3194" t="s">
        <v>14906</v>
      </c>
      <c r="B3194" t="s">
        <v>14907</v>
      </c>
    </row>
    <row r="3195" spans="1:2" x14ac:dyDescent="0.25">
      <c r="A3195" t="s">
        <v>14908</v>
      </c>
      <c r="B3195" t="s">
        <v>14909</v>
      </c>
    </row>
    <row r="3196" spans="1:2" x14ac:dyDescent="0.25">
      <c r="A3196" t="s">
        <v>14910</v>
      </c>
      <c r="B3196" t="s">
        <v>14911</v>
      </c>
    </row>
    <row r="3197" spans="1:2" x14ac:dyDescent="0.25">
      <c r="A3197" t="s">
        <v>14912</v>
      </c>
      <c r="B3197" t="s">
        <v>14913</v>
      </c>
    </row>
    <row r="3198" spans="1:2" x14ac:dyDescent="0.25">
      <c r="A3198" t="s">
        <v>14914</v>
      </c>
      <c r="B3198" t="s">
        <v>14915</v>
      </c>
    </row>
    <row r="3199" spans="1:2" x14ac:dyDescent="0.25">
      <c r="A3199" t="s">
        <v>14916</v>
      </c>
      <c r="B3199" t="s">
        <v>14917</v>
      </c>
    </row>
    <row r="3200" spans="1:2" x14ac:dyDescent="0.25">
      <c r="A3200" t="s">
        <v>14918</v>
      </c>
      <c r="B3200" t="s">
        <v>14919</v>
      </c>
    </row>
    <row r="3201" spans="1:2" x14ac:dyDescent="0.25">
      <c r="A3201" t="s">
        <v>14920</v>
      </c>
      <c r="B3201" t="s">
        <v>14921</v>
      </c>
    </row>
    <row r="3202" spans="1:2" x14ac:dyDescent="0.25">
      <c r="A3202" t="s">
        <v>556</v>
      </c>
      <c r="B3202" t="s">
        <v>14922</v>
      </c>
    </row>
    <row r="3203" spans="1:2" x14ac:dyDescent="0.25">
      <c r="A3203" t="s">
        <v>14923</v>
      </c>
      <c r="B3203" t="s">
        <v>14924</v>
      </c>
    </row>
    <row r="3204" spans="1:2" x14ac:dyDescent="0.25">
      <c r="A3204" t="s">
        <v>14925</v>
      </c>
      <c r="B3204" t="s">
        <v>14926</v>
      </c>
    </row>
    <row r="3205" spans="1:2" x14ac:dyDescent="0.25">
      <c r="A3205" t="s">
        <v>14927</v>
      </c>
      <c r="B3205" t="s">
        <v>14928</v>
      </c>
    </row>
    <row r="3206" spans="1:2" x14ac:dyDescent="0.25">
      <c r="A3206" t="s">
        <v>14929</v>
      </c>
      <c r="B3206" t="s">
        <v>14930</v>
      </c>
    </row>
    <row r="3207" spans="1:2" x14ac:dyDescent="0.25">
      <c r="A3207" t="s">
        <v>14931</v>
      </c>
      <c r="B3207" t="s">
        <v>14932</v>
      </c>
    </row>
    <row r="3208" spans="1:2" x14ac:dyDescent="0.25">
      <c r="A3208" t="s">
        <v>14933</v>
      </c>
      <c r="B3208" t="s">
        <v>14934</v>
      </c>
    </row>
    <row r="3209" spans="1:2" x14ac:dyDescent="0.25">
      <c r="A3209" t="s">
        <v>3663</v>
      </c>
      <c r="B3209" t="s">
        <v>14935</v>
      </c>
    </row>
    <row r="3210" spans="1:2" x14ac:dyDescent="0.25">
      <c r="A3210" t="s">
        <v>14936</v>
      </c>
      <c r="B3210" t="s">
        <v>14937</v>
      </c>
    </row>
    <row r="3211" spans="1:2" x14ac:dyDescent="0.25">
      <c r="A3211" t="s">
        <v>14938</v>
      </c>
      <c r="B3211" t="s">
        <v>14939</v>
      </c>
    </row>
    <row r="3212" spans="1:2" x14ac:dyDescent="0.25">
      <c r="A3212" t="s">
        <v>14940</v>
      </c>
      <c r="B3212" t="s">
        <v>14941</v>
      </c>
    </row>
    <row r="3213" spans="1:2" x14ac:dyDescent="0.25">
      <c r="A3213" t="s">
        <v>14942</v>
      </c>
      <c r="B3213" t="s">
        <v>14943</v>
      </c>
    </row>
    <row r="3214" spans="1:2" x14ac:dyDescent="0.25">
      <c r="A3214" t="s">
        <v>14944</v>
      </c>
      <c r="B3214" t="s">
        <v>14945</v>
      </c>
    </row>
    <row r="3215" spans="1:2" x14ac:dyDescent="0.25">
      <c r="A3215" t="s">
        <v>14946</v>
      </c>
      <c r="B3215" t="s">
        <v>14947</v>
      </c>
    </row>
    <row r="3216" spans="1:2" x14ac:dyDescent="0.25">
      <c r="A3216" t="s">
        <v>14948</v>
      </c>
      <c r="B3216" t="s">
        <v>14949</v>
      </c>
    </row>
    <row r="3217" spans="1:2" x14ac:dyDescent="0.25">
      <c r="A3217" t="s">
        <v>14950</v>
      </c>
      <c r="B3217" t="s">
        <v>14951</v>
      </c>
    </row>
    <row r="3218" spans="1:2" x14ac:dyDescent="0.25">
      <c r="A3218" t="s">
        <v>14952</v>
      </c>
      <c r="B3218" t="s">
        <v>14953</v>
      </c>
    </row>
    <row r="3219" spans="1:2" x14ac:dyDescent="0.25">
      <c r="A3219" t="s">
        <v>14954</v>
      </c>
      <c r="B3219" t="s">
        <v>13493</v>
      </c>
    </row>
    <row r="3220" spans="1:2" x14ac:dyDescent="0.25">
      <c r="A3220" t="s">
        <v>14955</v>
      </c>
      <c r="B3220" t="s">
        <v>14956</v>
      </c>
    </row>
    <row r="3221" spans="1:2" x14ac:dyDescent="0.25">
      <c r="A3221" t="s">
        <v>14957</v>
      </c>
      <c r="B3221" t="s">
        <v>14958</v>
      </c>
    </row>
    <row r="3222" spans="1:2" x14ac:dyDescent="0.25">
      <c r="A3222" t="s">
        <v>14959</v>
      </c>
      <c r="B3222" t="s">
        <v>14960</v>
      </c>
    </row>
    <row r="3223" spans="1:2" x14ac:dyDescent="0.25">
      <c r="A3223" t="s">
        <v>14961</v>
      </c>
      <c r="B3223" t="s">
        <v>14962</v>
      </c>
    </row>
    <row r="3224" spans="1:2" x14ac:dyDescent="0.25">
      <c r="A3224" t="s">
        <v>14963</v>
      </c>
      <c r="B3224" t="s">
        <v>14964</v>
      </c>
    </row>
    <row r="3225" spans="1:2" x14ac:dyDescent="0.25">
      <c r="A3225" t="s">
        <v>14965</v>
      </c>
      <c r="B3225" t="s">
        <v>14966</v>
      </c>
    </row>
    <row r="3226" spans="1:2" x14ac:dyDescent="0.25">
      <c r="A3226" t="s">
        <v>14967</v>
      </c>
      <c r="B3226" t="s">
        <v>14968</v>
      </c>
    </row>
    <row r="3227" spans="1:2" x14ac:dyDescent="0.25">
      <c r="A3227" t="s">
        <v>14969</v>
      </c>
      <c r="B3227" t="s">
        <v>14970</v>
      </c>
    </row>
    <row r="3228" spans="1:2" x14ac:dyDescent="0.25">
      <c r="A3228" t="s">
        <v>14971</v>
      </c>
      <c r="B3228" t="s">
        <v>14972</v>
      </c>
    </row>
    <row r="3229" spans="1:2" x14ac:dyDescent="0.25">
      <c r="A3229" t="s">
        <v>14973</v>
      </c>
      <c r="B3229" t="s">
        <v>14974</v>
      </c>
    </row>
    <row r="3230" spans="1:2" x14ac:dyDescent="0.25">
      <c r="A3230" t="s">
        <v>14975</v>
      </c>
      <c r="B3230" t="s">
        <v>14976</v>
      </c>
    </row>
    <row r="3231" spans="1:2" x14ac:dyDescent="0.25">
      <c r="A3231" t="s">
        <v>14977</v>
      </c>
      <c r="B3231" t="s">
        <v>14978</v>
      </c>
    </row>
    <row r="3232" spans="1:2" x14ac:dyDescent="0.25">
      <c r="A3232" t="s">
        <v>14979</v>
      </c>
      <c r="B3232" t="s">
        <v>14980</v>
      </c>
    </row>
    <row r="3233" spans="1:2" x14ac:dyDescent="0.25">
      <c r="A3233" t="s">
        <v>14981</v>
      </c>
      <c r="B3233" t="s">
        <v>14982</v>
      </c>
    </row>
    <row r="3234" spans="1:2" x14ac:dyDescent="0.25">
      <c r="A3234" t="s">
        <v>14983</v>
      </c>
      <c r="B3234" t="s">
        <v>14984</v>
      </c>
    </row>
    <row r="3235" spans="1:2" x14ac:dyDescent="0.25">
      <c r="A3235" t="s">
        <v>14985</v>
      </c>
      <c r="B3235" t="s">
        <v>14986</v>
      </c>
    </row>
    <row r="3236" spans="1:2" x14ac:dyDescent="0.25">
      <c r="A3236" t="s">
        <v>14987</v>
      </c>
      <c r="B3236" t="s">
        <v>14988</v>
      </c>
    </row>
    <row r="3237" spans="1:2" x14ac:dyDescent="0.25">
      <c r="A3237" t="s">
        <v>14989</v>
      </c>
      <c r="B3237" t="s">
        <v>14990</v>
      </c>
    </row>
    <row r="3238" spans="1:2" x14ac:dyDescent="0.25">
      <c r="A3238" t="s">
        <v>14991</v>
      </c>
      <c r="B3238" t="s">
        <v>14992</v>
      </c>
    </row>
    <row r="3239" spans="1:2" x14ac:dyDescent="0.25">
      <c r="A3239" t="s">
        <v>2649</v>
      </c>
      <c r="B3239" t="s">
        <v>14993</v>
      </c>
    </row>
    <row r="3240" spans="1:2" x14ac:dyDescent="0.25">
      <c r="A3240" t="s">
        <v>14994</v>
      </c>
      <c r="B3240" t="s">
        <v>14995</v>
      </c>
    </row>
    <row r="3241" spans="1:2" x14ac:dyDescent="0.25">
      <c r="A3241" t="s">
        <v>14996</v>
      </c>
      <c r="B3241" t="s">
        <v>14997</v>
      </c>
    </row>
    <row r="3242" spans="1:2" x14ac:dyDescent="0.25">
      <c r="A3242" t="s">
        <v>14998</v>
      </c>
      <c r="B3242" t="s">
        <v>14999</v>
      </c>
    </row>
    <row r="3243" spans="1:2" x14ac:dyDescent="0.25">
      <c r="A3243" t="s">
        <v>15000</v>
      </c>
      <c r="B3243" t="s">
        <v>15001</v>
      </c>
    </row>
    <row r="3244" spans="1:2" x14ac:dyDescent="0.25">
      <c r="A3244" t="s">
        <v>15002</v>
      </c>
      <c r="B3244" t="s">
        <v>15003</v>
      </c>
    </row>
    <row r="3245" spans="1:2" x14ac:dyDescent="0.25">
      <c r="A3245" t="s">
        <v>15004</v>
      </c>
      <c r="B3245" t="s">
        <v>15005</v>
      </c>
    </row>
    <row r="3246" spans="1:2" x14ac:dyDescent="0.25">
      <c r="A3246" t="s">
        <v>15006</v>
      </c>
      <c r="B3246" t="s">
        <v>15007</v>
      </c>
    </row>
    <row r="3247" spans="1:2" x14ac:dyDescent="0.25">
      <c r="A3247" t="s">
        <v>15008</v>
      </c>
      <c r="B3247" t="s">
        <v>15009</v>
      </c>
    </row>
    <row r="3248" spans="1:2" x14ac:dyDescent="0.25">
      <c r="A3248" t="s">
        <v>15010</v>
      </c>
      <c r="B3248" t="s">
        <v>15011</v>
      </c>
    </row>
    <row r="3249" spans="1:2" x14ac:dyDescent="0.25">
      <c r="A3249" t="s">
        <v>15012</v>
      </c>
      <c r="B3249" t="s">
        <v>15013</v>
      </c>
    </row>
    <row r="3250" spans="1:2" x14ac:dyDescent="0.25">
      <c r="A3250" t="s">
        <v>15014</v>
      </c>
      <c r="B3250" t="s">
        <v>15015</v>
      </c>
    </row>
    <row r="3251" spans="1:2" x14ac:dyDescent="0.25">
      <c r="A3251" t="s">
        <v>15016</v>
      </c>
      <c r="B3251" t="s">
        <v>15017</v>
      </c>
    </row>
    <row r="3252" spans="1:2" x14ac:dyDescent="0.25">
      <c r="A3252" t="s">
        <v>15018</v>
      </c>
      <c r="B3252" t="s">
        <v>15019</v>
      </c>
    </row>
    <row r="3253" spans="1:2" x14ac:dyDescent="0.25">
      <c r="A3253" t="s">
        <v>15020</v>
      </c>
      <c r="B3253" t="s">
        <v>15021</v>
      </c>
    </row>
    <row r="3254" spans="1:2" x14ac:dyDescent="0.25">
      <c r="A3254" t="s">
        <v>2874</v>
      </c>
      <c r="B3254" t="s">
        <v>15022</v>
      </c>
    </row>
    <row r="3255" spans="1:2" x14ac:dyDescent="0.25">
      <c r="A3255" t="s">
        <v>15023</v>
      </c>
      <c r="B3255" t="s">
        <v>15024</v>
      </c>
    </row>
    <row r="3256" spans="1:2" x14ac:dyDescent="0.25">
      <c r="A3256" t="s">
        <v>15025</v>
      </c>
      <c r="B3256" t="s">
        <v>15026</v>
      </c>
    </row>
    <row r="3257" spans="1:2" x14ac:dyDescent="0.25">
      <c r="A3257" t="s">
        <v>15027</v>
      </c>
      <c r="B3257" t="s">
        <v>15028</v>
      </c>
    </row>
    <row r="3258" spans="1:2" x14ac:dyDescent="0.25">
      <c r="A3258" t="s">
        <v>15029</v>
      </c>
      <c r="B3258" t="s">
        <v>15030</v>
      </c>
    </row>
    <row r="3259" spans="1:2" x14ac:dyDescent="0.25">
      <c r="A3259" t="s">
        <v>15031</v>
      </c>
      <c r="B3259" t="s">
        <v>15032</v>
      </c>
    </row>
    <row r="3260" spans="1:2" x14ac:dyDescent="0.25">
      <c r="A3260" t="s">
        <v>15033</v>
      </c>
      <c r="B3260" t="s">
        <v>15034</v>
      </c>
    </row>
    <row r="3261" spans="1:2" x14ac:dyDescent="0.25">
      <c r="A3261" t="s">
        <v>15035</v>
      </c>
      <c r="B3261" t="s">
        <v>15036</v>
      </c>
    </row>
    <row r="3262" spans="1:2" x14ac:dyDescent="0.25">
      <c r="A3262" t="s">
        <v>15037</v>
      </c>
      <c r="B3262" t="s">
        <v>15038</v>
      </c>
    </row>
    <row r="3263" spans="1:2" x14ac:dyDescent="0.25">
      <c r="A3263" t="s">
        <v>15039</v>
      </c>
      <c r="B3263" t="s">
        <v>15040</v>
      </c>
    </row>
    <row r="3264" spans="1:2" x14ac:dyDescent="0.25">
      <c r="A3264" t="s">
        <v>15041</v>
      </c>
      <c r="B3264" t="s">
        <v>15042</v>
      </c>
    </row>
    <row r="3265" spans="1:2" x14ac:dyDescent="0.25">
      <c r="A3265" t="s">
        <v>15043</v>
      </c>
      <c r="B3265" t="s">
        <v>15044</v>
      </c>
    </row>
    <row r="3266" spans="1:2" x14ac:dyDescent="0.25">
      <c r="A3266" t="s">
        <v>15045</v>
      </c>
      <c r="B3266" t="s">
        <v>15046</v>
      </c>
    </row>
    <row r="3267" spans="1:2" x14ac:dyDescent="0.25">
      <c r="A3267" t="s">
        <v>15047</v>
      </c>
      <c r="B3267" t="s">
        <v>15048</v>
      </c>
    </row>
    <row r="3268" spans="1:2" x14ac:dyDescent="0.25">
      <c r="A3268" t="s">
        <v>15049</v>
      </c>
      <c r="B3268" t="s">
        <v>15050</v>
      </c>
    </row>
    <row r="3269" spans="1:2" x14ac:dyDescent="0.25">
      <c r="A3269" t="s">
        <v>15051</v>
      </c>
      <c r="B3269" t="s">
        <v>15052</v>
      </c>
    </row>
    <row r="3270" spans="1:2" x14ac:dyDescent="0.25">
      <c r="A3270" t="s">
        <v>15053</v>
      </c>
      <c r="B3270" t="s">
        <v>15054</v>
      </c>
    </row>
    <row r="3271" spans="1:2" x14ac:dyDescent="0.25">
      <c r="A3271" t="s">
        <v>15055</v>
      </c>
      <c r="B3271" t="s">
        <v>15056</v>
      </c>
    </row>
    <row r="3272" spans="1:2" x14ac:dyDescent="0.25">
      <c r="A3272" t="s">
        <v>15057</v>
      </c>
      <c r="B3272" t="s">
        <v>15058</v>
      </c>
    </row>
    <row r="3273" spans="1:2" x14ac:dyDescent="0.25">
      <c r="A3273" t="s">
        <v>15059</v>
      </c>
      <c r="B3273" t="s">
        <v>15060</v>
      </c>
    </row>
    <row r="3274" spans="1:2" x14ac:dyDescent="0.25">
      <c r="A3274" t="s">
        <v>15061</v>
      </c>
      <c r="B3274" t="s">
        <v>15062</v>
      </c>
    </row>
    <row r="3275" spans="1:2" x14ac:dyDescent="0.25">
      <c r="A3275" t="s">
        <v>15063</v>
      </c>
      <c r="B3275" t="s">
        <v>15064</v>
      </c>
    </row>
    <row r="3276" spans="1:2" x14ac:dyDescent="0.25">
      <c r="A3276" t="s">
        <v>15065</v>
      </c>
      <c r="B3276" t="s">
        <v>15066</v>
      </c>
    </row>
    <row r="3277" spans="1:2" x14ac:dyDescent="0.25">
      <c r="A3277" t="s">
        <v>15067</v>
      </c>
      <c r="B3277" t="s">
        <v>15068</v>
      </c>
    </row>
    <row r="3278" spans="1:2" x14ac:dyDescent="0.25">
      <c r="A3278" t="s">
        <v>15069</v>
      </c>
      <c r="B3278" t="s">
        <v>15070</v>
      </c>
    </row>
    <row r="3279" spans="1:2" x14ac:dyDescent="0.25">
      <c r="A3279" t="s">
        <v>15071</v>
      </c>
      <c r="B3279" t="s">
        <v>15072</v>
      </c>
    </row>
    <row r="3280" spans="1:2" x14ac:dyDescent="0.25">
      <c r="A3280" t="s">
        <v>15073</v>
      </c>
      <c r="B3280" t="s">
        <v>15074</v>
      </c>
    </row>
    <row r="3281" spans="1:2" x14ac:dyDescent="0.25">
      <c r="A3281" t="s">
        <v>15075</v>
      </c>
      <c r="B3281" t="s">
        <v>15076</v>
      </c>
    </row>
    <row r="3282" spans="1:2" x14ac:dyDescent="0.25">
      <c r="A3282" t="s">
        <v>15077</v>
      </c>
      <c r="B3282" t="s">
        <v>15078</v>
      </c>
    </row>
    <row r="3283" spans="1:2" x14ac:dyDescent="0.25">
      <c r="A3283" t="s">
        <v>15079</v>
      </c>
      <c r="B3283" t="s">
        <v>15080</v>
      </c>
    </row>
    <row r="3284" spans="1:2" x14ac:dyDescent="0.25">
      <c r="A3284" t="s">
        <v>15081</v>
      </c>
      <c r="B3284" t="s">
        <v>15082</v>
      </c>
    </row>
    <row r="3285" spans="1:2" x14ac:dyDescent="0.25">
      <c r="A3285" t="s">
        <v>15083</v>
      </c>
      <c r="B3285" t="s">
        <v>15084</v>
      </c>
    </row>
    <row r="3286" spans="1:2" x14ac:dyDescent="0.25">
      <c r="A3286" t="s">
        <v>15085</v>
      </c>
      <c r="B3286" t="s">
        <v>15086</v>
      </c>
    </row>
    <row r="3287" spans="1:2" x14ac:dyDescent="0.25">
      <c r="A3287" t="s">
        <v>15087</v>
      </c>
      <c r="B3287" t="s">
        <v>15088</v>
      </c>
    </row>
    <row r="3288" spans="1:2" x14ac:dyDescent="0.25">
      <c r="A3288" t="s">
        <v>15089</v>
      </c>
      <c r="B3288" t="s">
        <v>15090</v>
      </c>
    </row>
    <row r="3289" spans="1:2" x14ac:dyDescent="0.25">
      <c r="A3289" t="s">
        <v>15091</v>
      </c>
      <c r="B3289" t="s">
        <v>15092</v>
      </c>
    </row>
    <row r="3290" spans="1:2" x14ac:dyDescent="0.25">
      <c r="A3290" t="s">
        <v>15093</v>
      </c>
      <c r="B3290" t="s">
        <v>15094</v>
      </c>
    </row>
    <row r="3291" spans="1:2" x14ac:dyDescent="0.25">
      <c r="A3291" t="s">
        <v>15095</v>
      </c>
      <c r="B3291" t="s">
        <v>15096</v>
      </c>
    </row>
    <row r="3292" spans="1:2" x14ac:dyDescent="0.25">
      <c r="A3292" t="s">
        <v>15097</v>
      </c>
      <c r="B3292" t="s">
        <v>15098</v>
      </c>
    </row>
    <row r="3293" spans="1:2" x14ac:dyDescent="0.25">
      <c r="A3293" t="s">
        <v>15099</v>
      </c>
      <c r="B3293" t="s">
        <v>15100</v>
      </c>
    </row>
    <row r="3294" spans="1:2" x14ac:dyDescent="0.25">
      <c r="A3294" t="s">
        <v>15101</v>
      </c>
      <c r="B3294" t="s">
        <v>15102</v>
      </c>
    </row>
    <row r="3295" spans="1:2" x14ac:dyDescent="0.25">
      <c r="A3295" t="s">
        <v>15103</v>
      </c>
      <c r="B3295" t="s">
        <v>15104</v>
      </c>
    </row>
    <row r="3296" spans="1:2" x14ac:dyDescent="0.25">
      <c r="A3296" t="s">
        <v>15105</v>
      </c>
      <c r="B3296" t="s">
        <v>15106</v>
      </c>
    </row>
    <row r="3297" spans="1:2" x14ac:dyDescent="0.25">
      <c r="A3297" t="s">
        <v>15107</v>
      </c>
      <c r="B3297" t="s">
        <v>15108</v>
      </c>
    </row>
    <row r="3298" spans="1:2" x14ac:dyDescent="0.25">
      <c r="A3298" t="s">
        <v>15109</v>
      </c>
      <c r="B3298" t="s">
        <v>15110</v>
      </c>
    </row>
    <row r="3299" spans="1:2" x14ac:dyDescent="0.25">
      <c r="A3299" t="s">
        <v>15111</v>
      </c>
      <c r="B3299" t="s">
        <v>15112</v>
      </c>
    </row>
    <row r="3300" spans="1:2" x14ac:dyDescent="0.25">
      <c r="A3300" t="s">
        <v>15113</v>
      </c>
      <c r="B3300" t="s">
        <v>15114</v>
      </c>
    </row>
    <row r="3301" spans="1:2" x14ac:dyDescent="0.25">
      <c r="A3301" t="s">
        <v>15115</v>
      </c>
      <c r="B3301" t="s">
        <v>15116</v>
      </c>
    </row>
    <row r="3302" spans="1:2" x14ac:dyDescent="0.25">
      <c r="A3302" t="s">
        <v>3876</v>
      </c>
      <c r="B3302" t="s">
        <v>15117</v>
      </c>
    </row>
    <row r="3303" spans="1:2" x14ac:dyDescent="0.25">
      <c r="A3303" t="s">
        <v>15118</v>
      </c>
      <c r="B3303" t="s">
        <v>15119</v>
      </c>
    </row>
    <row r="3304" spans="1:2" x14ac:dyDescent="0.25">
      <c r="A3304" t="s">
        <v>15120</v>
      </c>
      <c r="B3304" t="s">
        <v>15121</v>
      </c>
    </row>
    <row r="3305" spans="1:2" x14ac:dyDescent="0.25">
      <c r="A3305" t="s">
        <v>15122</v>
      </c>
      <c r="B3305" t="s">
        <v>15123</v>
      </c>
    </row>
    <row r="3306" spans="1:2" x14ac:dyDescent="0.25">
      <c r="A3306" t="s">
        <v>15124</v>
      </c>
      <c r="B3306" t="s">
        <v>15125</v>
      </c>
    </row>
    <row r="3307" spans="1:2" x14ac:dyDescent="0.25">
      <c r="A3307" t="s">
        <v>15126</v>
      </c>
      <c r="B3307" t="s">
        <v>15127</v>
      </c>
    </row>
    <row r="3308" spans="1:2" x14ac:dyDescent="0.25">
      <c r="A3308" t="s">
        <v>1208</v>
      </c>
      <c r="B3308" t="s">
        <v>15128</v>
      </c>
    </row>
    <row r="3309" spans="1:2" x14ac:dyDescent="0.25">
      <c r="A3309" t="s">
        <v>15129</v>
      </c>
      <c r="B3309" t="s">
        <v>15130</v>
      </c>
    </row>
    <row r="3310" spans="1:2" x14ac:dyDescent="0.25">
      <c r="A3310" t="s">
        <v>15131</v>
      </c>
      <c r="B3310" t="s">
        <v>15132</v>
      </c>
    </row>
    <row r="3311" spans="1:2" x14ac:dyDescent="0.25">
      <c r="A3311" t="s">
        <v>15133</v>
      </c>
      <c r="B3311" t="s">
        <v>15134</v>
      </c>
    </row>
    <row r="3312" spans="1:2" x14ac:dyDescent="0.25">
      <c r="A3312" t="s">
        <v>15135</v>
      </c>
      <c r="B3312" t="s">
        <v>15136</v>
      </c>
    </row>
    <row r="3313" spans="1:2" x14ac:dyDescent="0.25">
      <c r="A3313" t="s">
        <v>15137</v>
      </c>
      <c r="B3313" t="s">
        <v>15138</v>
      </c>
    </row>
    <row r="3314" spans="1:2" x14ac:dyDescent="0.25">
      <c r="A3314" t="s">
        <v>15139</v>
      </c>
      <c r="B3314" t="s">
        <v>15140</v>
      </c>
    </row>
    <row r="3315" spans="1:2" x14ac:dyDescent="0.25">
      <c r="A3315" t="s">
        <v>15141</v>
      </c>
      <c r="B3315" t="s">
        <v>15142</v>
      </c>
    </row>
    <row r="3316" spans="1:2" x14ac:dyDescent="0.25">
      <c r="A3316" t="s">
        <v>15143</v>
      </c>
      <c r="B3316" t="s">
        <v>15144</v>
      </c>
    </row>
    <row r="3317" spans="1:2" x14ac:dyDescent="0.25">
      <c r="A3317" t="s">
        <v>15145</v>
      </c>
      <c r="B3317" t="s">
        <v>15146</v>
      </c>
    </row>
    <row r="3318" spans="1:2" x14ac:dyDescent="0.25">
      <c r="A3318" t="s">
        <v>15147</v>
      </c>
      <c r="B3318" t="s">
        <v>15148</v>
      </c>
    </row>
    <row r="3319" spans="1:2" x14ac:dyDescent="0.25">
      <c r="A3319" t="s">
        <v>15149</v>
      </c>
      <c r="B3319" t="s">
        <v>15150</v>
      </c>
    </row>
    <row r="3320" spans="1:2" x14ac:dyDescent="0.25">
      <c r="A3320" t="s">
        <v>15151</v>
      </c>
      <c r="B3320" t="s">
        <v>15152</v>
      </c>
    </row>
    <row r="3321" spans="1:2" x14ac:dyDescent="0.25">
      <c r="A3321" t="s">
        <v>1815</v>
      </c>
      <c r="B3321" t="s">
        <v>15153</v>
      </c>
    </row>
    <row r="3322" spans="1:2" x14ac:dyDescent="0.25">
      <c r="A3322" t="s">
        <v>15154</v>
      </c>
      <c r="B3322" t="s">
        <v>15155</v>
      </c>
    </row>
    <row r="3323" spans="1:2" x14ac:dyDescent="0.25">
      <c r="A3323" t="s">
        <v>15156</v>
      </c>
      <c r="B3323" t="s">
        <v>15157</v>
      </c>
    </row>
    <row r="3324" spans="1:2" x14ac:dyDescent="0.25">
      <c r="A3324" t="s">
        <v>15158</v>
      </c>
      <c r="B3324" t="s">
        <v>15159</v>
      </c>
    </row>
    <row r="3325" spans="1:2" x14ac:dyDescent="0.25">
      <c r="A3325" t="s">
        <v>15160</v>
      </c>
      <c r="B3325" t="s">
        <v>15161</v>
      </c>
    </row>
    <row r="3326" spans="1:2" x14ac:dyDescent="0.25">
      <c r="A3326" t="s">
        <v>15162</v>
      </c>
      <c r="B3326" t="s">
        <v>15163</v>
      </c>
    </row>
    <row r="3327" spans="1:2" x14ac:dyDescent="0.25">
      <c r="A3327" t="s">
        <v>15164</v>
      </c>
      <c r="B3327" t="s">
        <v>15165</v>
      </c>
    </row>
    <row r="3328" spans="1:2" x14ac:dyDescent="0.25">
      <c r="A3328" t="s">
        <v>15166</v>
      </c>
      <c r="B3328" t="s">
        <v>15167</v>
      </c>
    </row>
    <row r="3329" spans="1:2" x14ac:dyDescent="0.25">
      <c r="A3329" t="s">
        <v>15168</v>
      </c>
      <c r="B3329" t="s">
        <v>15169</v>
      </c>
    </row>
    <row r="3330" spans="1:2" x14ac:dyDescent="0.25">
      <c r="A3330" t="s">
        <v>15170</v>
      </c>
      <c r="B3330" t="s">
        <v>15171</v>
      </c>
    </row>
    <row r="3331" spans="1:2" x14ac:dyDescent="0.25">
      <c r="A3331" t="s">
        <v>15172</v>
      </c>
      <c r="B3331" t="s">
        <v>15173</v>
      </c>
    </row>
    <row r="3332" spans="1:2" x14ac:dyDescent="0.25">
      <c r="A3332" t="s">
        <v>15174</v>
      </c>
      <c r="B3332" t="s">
        <v>15175</v>
      </c>
    </row>
    <row r="3333" spans="1:2" x14ac:dyDescent="0.25">
      <c r="A3333" t="s">
        <v>15176</v>
      </c>
      <c r="B3333" t="s">
        <v>15177</v>
      </c>
    </row>
    <row r="3334" spans="1:2" x14ac:dyDescent="0.25">
      <c r="A3334" t="s">
        <v>15178</v>
      </c>
      <c r="B3334" t="s">
        <v>15179</v>
      </c>
    </row>
    <row r="3335" spans="1:2" x14ac:dyDescent="0.25">
      <c r="A3335" t="s">
        <v>15180</v>
      </c>
      <c r="B3335" t="s">
        <v>15181</v>
      </c>
    </row>
    <row r="3336" spans="1:2" x14ac:dyDescent="0.25">
      <c r="A3336" t="s">
        <v>15182</v>
      </c>
      <c r="B3336" t="s">
        <v>15183</v>
      </c>
    </row>
    <row r="3337" spans="1:2" x14ac:dyDescent="0.25">
      <c r="A3337" t="s">
        <v>15184</v>
      </c>
      <c r="B3337" t="s">
        <v>15185</v>
      </c>
    </row>
    <row r="3338" spans="1:2" x14ac:dyDescent="0.25">
      <c r="A3338" t="s">
        <v>15186</v>
      </c>
      <c r="B3338" t="s">
        <v>15187</v>
      </c>
    </row>
    <row r="3339" spans="1:2" x14ac:dyDescent="0.25">
      <c r="A3339" t="s">
        <v>15188</v>
      </c>
      <c r="B3339" t="s">
        <v>15189</v>
      </c>
    </row>
    <row r="3340" spans="1:2" x14ac:dyDescent="0.25">
      <c r="A3340" t="s">
        <v>15190</v>
      </c>
      <c r="B3340" t="s">
        <v>15191</v>
      </c>
    </row>
    <row r="3341" spans="1:2" x14ac:dyDescent="0.25">
      <c r="A3341" t="s">
        <v>15192</v>
      </c>
      <c r="B3341" t="s">
        <v>15193</v>
      </c>
    </row>
    <row r="3342" spans="1:2" x14ac:dyDescent="0.25">
      <c r="A3342" t="s">
        <v>15194</v>
      </c>
      <c r="B3342" t="s">
        <v>15195</v>
      </c>
    </row>
    <row r="3343" spans="1:2" x14ac:dyDescent="0.25">
      <c r="A3343" t="s">
        <v>15196</v>
      </c>
      <c r="B3343" t="s">
        <v>15197</v>
      </c>
    </row>
    <row r="3344" spans="1:2" x14ac:dyDescent="0.25">
      <c r="A3344" t="s">
        <v>744</v>
      </c>
      <c r="B3344" t="s">
        <v>15198</v>
      </c>
    </row>
    <row r="3345" spans="1:2" x14ac:dyDescent="0.25">
      <c r="A3345" t="s">
        <v>15199</v>
      </c>
      <c r="B3345" t="s">
        <v>15200</v>
      </c>
    </row>
    <row r="3346" spans="1:2" x14ac:dyDescent="0.25">
      <c r="A3346" t="s">
        <v>15201</v>
      </c>
      <c r="B3346" t="s">
        <v>15202</v>
      </c>
    </row>
    <row r="3347" spans="1:2" x14ac:dyDescent="0.25">
      <c r="A3347" t="s">
        <v>15203</v>
      </c>
      <c r="B3347" t="s">
        <v>15204</v>
      </c>
    </row>
    <row r="3348" spans="1:2" x14ac:dyDescent="0.25">
      <c r="A3348" t="s">
        <v>15205</v>
      </c>
      <c r="B3348" t="s">
        <v>15206</v>
      </c>
    </row>
    <row r="3349" spans="1:2" x14ac:dyDescent="0.25">
      <c r="A3349" t="s">
        <v>15207</v>
      </c>
      <c r="B3349" t="s">
        <v>15208</v>
      </c>
    </row>
    <row r="3350" spans="1:2" x14ac:dyDescent="0.25">
      <c r="A3350" t="s">
        <v>15209</v>
      </c>
      <c r="B3350" t="s">
        <v>15210</v>
      </c>
    </row>
    <row r="3351" spans="1:2" x14ac:dyDescent="0.25">
      <c r="A3351" t="s">
        <v>15211</v>
      </c>
      <c r="B3351" t="s">
        <v>15212</v>
      </c>
    </row>
    <row r="3352" spans="1:2" x14ac:dyDescent="0.25">
      <c r="A3352" t="s">
        <v>15213</v>
      </c>
      <c r="B3352" t="s">
        <v>15214</v>
      </c>
    </row>
    <row r="3353" spans="1:2" x14ac:dyDescent="0.25">
      <c r="A3353" t="s">
        <v>15215</v>
      </c>
      <c r="B3353" t="s">
        <v>15216</v>
      </c>
    </row>
    <row r="3354" spans="1:2" x14ac:dyDescent="0.25">
      <c r="A3354" t="s">
        <v>15217</v>
      </c>
      <c r="B3354" t="s">
        <v>15218</v>
      </c>
    </row>
    <row r="3355" spans="1:2" x14ac:dyDescent="0.25">
      <c r="A3355" t="s">
        <v>15219</v>
      </c>
      <c r="B3355" t="s">
        <v>15220</v>
      </c>
    </row>
    <row r="3356" spans="1:2" x14ac:dyDescent="0.25">
      <c r="A3356" t="s">
        <v>15221</v>
      </c>
      <c r="B3356" t="s">
        <v>15222</v>
      </c>
    </row>
    <row r="3357" spans="1:2" x14ac:dyDescent="0.25">
      <c r="A3357" t="s">
        <v>15223</v>
      </c>
      <c r="B3357" t="s">
        <v>15224</v>
      </c>
    </row>
    <row r="3358" spans="1:2" x14ac:dyDescent="0.25">
      <c r="A3358" t="s">
        <v>15225</v>
      </c>
      <c r="B3358" t="s">
        <v>15226</v>
      </c>
    </row>
    <row r="3359" spans="1:2" x14ac:dyDescent="0.25">
      <c r="A3359" t="s">
        <v>15227</v>
      </c>
      <c r="B3359" t="s">
        <v>15228</v>
      </c>
    </row>
    <row r="3360" spans="1:2" x14ac:dyDescent="0.25">
      <c r="A3360" t="s">
        <v>15229</v>
      </c>
      <c r="B3360" t="s">
        <v>15230</v>
      </c>
    </row>
    <row r="3361" spans="1:2" x14ac:dyDescent="0.25">
      <c r="A3361" t="s">
        <v>15231</v>
      </c>
      <c r="B3361" t="s">
        <v>15232</v>
      </c>
    </row>
    <row r="3362" spans="1:2" x14ac:dyDescent="0.25">
      <c r="A3362" t="s">
        <v>15233</v>
      </c>
      <c r="B3362" t="s">
        <v>15234</v>
      </c>
    </row>
    <row r="3363" spans="1:2" x14ac:dyDescent="0.25">
      <c r="A3363" t="s">
        <v>15235</v>
      </c>
      <c r="B3363" t="s">
        <v>15236</v>
      </c>
    </row>
    <row r="3364" spans="1:2" x14ac:dyDescent="0.25">
      <c r="A3364" t="s">
        <v>15237</v>
      </c>
      <c r="B3364" t="s">
        <v>15238</v>
      </c>
    </row>
    <row r="3365" spans="1:2" x14ac:dyDescent="0.25">
      <c r="A3365" t="s">
        <v>15239</v>
      </c>
      <c r="B3365" t="s">
        <v>15240</v>
      </c>
    </row>
    <row r="3366" spans="1:2" x14ac:dyDescent="0.25">
      <c r="A3366" t="s">
        <v>15241</v>
      </c>
      <c r="B3366" t="s">
        <v>15242</v>
      </c>
    </row>
    <row r="3367" spans="1:2" x14ac:dyDescent="0.25">
      <c r="A3367" t="s">
        <v>79</v>
      </c>
      <c r="B3367" t="s">
        <v>15243</v>
      </c>
    </row>
    <row r="3368" spans="1:2" x14ac:dyDescent="0.25">
      <c r="A3368" t="s">
        <v>15244</v>
      </c>
      <c r="B3368" t="s">
        <v>15245</v>
      </c>
    </row>
    <row r="3369" spans="1:2" x14ac:dyDescent="0.25">
      <c r="A3369" t="s">
        <v>15246</v>
      </c>
      <c r="B3369" t="s">
        <v>15247</v>
      </c>
    </row>
    <row r="3370" spans="1:2" x14ac:dyDescent="0.25">
      <c r="A3370" t="s">
        <v>15248</v>
      </c>
      <c r="B3370" t="s">
        <v>15249</v>
      </c>
    </row>
    <row r="3371" spans="1:2" x14ac:dyDescent="0.25">
      <c r="A3371" t="s">
        <v>387</v>
      </c>
      <c r="B3371" t="s">
        <v>15250</v>
      </c>
    </row>
    <row r="3372" spans="1:2" x14ac:dyDescent="0.25">
      <c r="A3372" t="s">
        <v>15251</v>
      </c>
      <c r="B3372" t="s">
        <v>15252</v>
      </c>
    </row>
    <row r="3373" spans="1:2" x14ac:dyDescent="0.25">
      <c r="A3373" t="s">
        <v>15253</v>
      </c>
      <c r="B3373" t="s">
        <v>15254</v>
      </c>
    </row>
    <row r="3374" spans="1:2" x14ac:dyDescent="0.25">
      <c r="A3374" t="s">
        <v>15255</v>
      </c>
      <c r="B3374" t="s">
        <v>15256</v>
      </c>
    </row>
    <row r="3375" spans="1:2" x14ac:dyDescent="0.25">
      <c r="A3375" t="s">
        <v>15257</v>
      </c>
      <c r="B3375" t="s">
        <v>15258</v>
      </c>
    </row>
    <row r="3376" spans="1:2" x14ac:dyDescent="0.25">
      <c r="A3376" t="s">
        <v>15259</v>
      </c>
      <c r="B3376" t="s">
        <v>15260</v>
      </c>
    </row>
    <row r="3377" spans="1:2" x14ac:dyDescent="0.25">
      <c r="A3377" t="s">
        <v>15261</v>
      </c>
      <c r="B3377" t="s">
        <v>15262</v>
      </c>
    </row>
    <row r="3378" spans="1:2" x14ac:dyDescent="0.25">
      <c r="A3378" t="s">
        <v>15263</v>
      </c>
      <c r="B3378" t="s">
        <v>15264</v>
      </c>
    </row>
    <row r="3379" spans="1:2" x14ac:dyDescent="0.25">
      <c r="A3379" t="s">
        <v>15265</v>
      </c>
      <c r="B3379" t="s">
        <v>15266</v>
      </c>
    </row>
    <row r="3380" spans="1:2" x14ac:dyDescent="0.25">
      <c r="A3380" t="s">
        <v>15267</v>
      </c>
      <c r="B3380" t="s">
        <v>15268</v>
      </c>
    </row>
    <row r="3381" spans="1:2" x14ac:dyDescent="0.25">
      <c r="A3381" t="s">
        <v>15269</v>
      </c>
      <c r="B3381" t="s">
        <v>15270</v>
      </c>
    </row>
    <row r="3382" spans="1:2" x14ac:dyDescent="0.25">
      <c r="A3382" t="s">
        <v>15271</v>
      </c>
      <c r="B3382" t="s">
        <v>15272</v>
      </c>
    </row>
    <row r="3383" spans="1:2" x14ac:dyDescent="0.25">
      <c r="A3383" t="s">
        <v>15273</v>
      </c>
      <c r="B3383" t="s">
        <v>15274</v>
      </c>
    </row>
    <row r="3384" spans="1:2" x14ac:dyDescent="0.25">
      <c r="A3384" t="s">
        <v>15275</v>
      </c>
      <c r="B3384" t="s">
        <v>15276</v>
      </c>
    </row>
    <row r="3385" spans="1:2" x14ac:dyDescent="0.25">
      <c r="A3385" t="s">
        <v>80</v>
      </c>
      <c r="B3385" t="s">
        <v>15277</v>
      </c>
    </row>
    <row r="3386" spans="1:2" x14ac:dyDescent="0.25">
      <c r="A3386" t="s">
        <v>15278</v>
      </c>
      <c r="B3386" t="s">
        <v>15279</v>
      </c>
    </row>
    <row r="3387" spans="1:2" x14ac:dyDescent="0.25">
      <c r="A3387" t="s">
        <v>15280</v>
      </c>
      <c r="B3387" t="s">
        <v>15281</v>
      </c>
    </row>
    <row r="3388" spans="1:2" x14ac:dyDescent="0.25">
      <c r="A3388" t="s">
        <v>15282</v>
      </c>
      <c r="B3388" t="s">
        <v>15283</v>
      </c>
    </row>
    <row r="3389" spans="1:2" x14ac:dyDescent="0.25">
      <c r="A3389" t="s">
        <v>15284</v>
      </c>
      <c r="B3389" t="s">
        <v>15285</v>
      </c>
    </row>
    <row r="3390" spans="1:2" x14ac:dyDescent="0.25">
      <c r="A3390" t="s">
        <v>15286</v>
      </c>
      <c r="B3390" t="s">
        <v>15287</v>
      </c>
    </row>
    <row r="3391" spans="1:2" x14ac:dyDescent="0.25">
      <c r="A3391" t="s">
        <v>82</v>
      </c>
      <c r="B3391" t="s">
        <v>15288</v>
      </c>
    </row>
    <row r="3392" spans="1:2" x14ac:dyDescent="0.25">
      <c r="A3392" t="s">
        <v>15289</v>
      </c>
      <c r="B3392" t="s">
        <v>15290</v>
      </c>
    </row>
    <row r="3393" spans="1:2" x14ac:dyDescent="0.25">
      <c r="A3393" t="s">
        <v>15291</v>
      </c>
      <c r="B3393" t="s">
        <v>15292</v>
      </c>
    </row>
    <row r="3394" spans="1:2" x14ac:dyDescent="0.25">
      <c r="A3394" t="s">
        <v>15293</v>
      </c>
      <c r="B3394" t="s">
        <v>15294</v>
      </c>
    </row>
    <row r="3395" spans="1:2" x14ac:dyDescent="0.25">
      <c r="A3395" t="s">
        <v>15295</v>
      </c>
      <c r="B3395" t="s">
        <v>15296</v>
      </c>
    </row>
    <row r="3396" spans="1:2" x14ac:dyDescent="0.25">
      <c r="A3396" t="s">
        <v>15297</v>
      </c>
      <c r="B3396" t="s">
        <v>15298</v>
      </c>
    </row>
    <row r="3397" spans="1:2" x14ac:dyDescent="0.25">
      <c r="A3397" t="s">
        <v>15299</v>
      </c>
      <c r="B3397" t="s">
        <v>15300</v>
      </c>
    </row>
    <row r="3398" spans="1:2" x14ac:dyDescent="0.25">
      <c r="A3398" t="s">
        <v>3369</v>
      </c>
      <c r="B3398" t="s">
        <v>15301</v>
      </c>
    </row>
    <row r="3399" spans="1:2" x14ac:dyDescent="0.25">
      <c r="A3399" t="s">
        <v>15302</v>
      </c>
      <c r="B3399" t="s">
        <v>15303</v>
      </c>
    </row>
    <row r="3400" spans="1:2" x14ac:dyDescent="0.25">
      <c r="A3400" t="s">
        <v>15304</v>
      </c>
      <c r="B3400" t="s">
        <v>15305</v>
      </c>
    </row>
    <row r="3401" spans="1:2" x14ac:dyDescent="0.25">
      <c r="A3401" t="s">
        <v>15306</v>
      </c>
      <c r="B3401" t="s">
        <v>15307</v>
      </c>
    </row>
    <row r="3402" spans="1:2" x14ac:dyDescent="0.25">
      <c r="A3402" t="s">
        <v>15308</v>
      </c>
      <c r="B3402" t="s">
        <v>15309</v>
      </c>
    </row>
    <row r="3403" spans="1:2" x14ac:dyDescent="0.25">
      <c r="A3403" t="s">
        <v>15310</v>
      </c>
      <c r="B3403" t="s">
        <v>15311</v>
      </c>
    </row>
    <row r="3404" spans="1:2" x14ac:dyDescent="0.25">
      <c r="A3404" t="s">
        <v>15312</v>
      </c>
      <c r="B3404" t="s">
        <v>15313</v>
      </c>
    </row>
    <row r="3405" spans="1:2" x14ac:dyDescent="0.25">
      <c r="A3405" t="s">
        <v>15314</v>
      </c>
      <c r="B3405" t="s">
        <v>15315</v>
      </c>
    </row>
    <row r="3406" spans="1:2" x14ac:dyDescent="0.25">
      <c r="A3406" t="s">
        <v>15316</v>
      </c>
      <c r="B3406" t="s">
        <v>15317</v>
      </c>
    </row>
    <row r="3407" spans="1:2" x14ac:dyDescent="0.25">
      <c r="A3407" t="s">
        <v>83</v>
      </c>
      <c r="B3407" t="s">
        <v>15318</v>
      </c>
    </row>
    <row r="3408" spans="1:2" x14ac:dyDescent="0.25">
      <c r="A3408" t="s">
        <v>15319</v>
      </c>
      <c r="B3408" t="s">
        <v>15320</v>
      </c>
    </row>
    <row r="3409" spans="1:2" x14ac:dyDescent="0.25">
      <c r="A3409" t="s">
        <v>15321</v>
      </c>
      <c r="B3409" t="s">
        <v>15322</v>
      </c>
    </row>
    <row r="3410" spans="1:2" x14ac:dyDescent="0.25">
      <c r="A3410" t="s">
        <v>15323</v>
      </c>
      <c r="B3410" t="s">
        <v>15324</v>
      </c>
    </row>
    <row r="3411" spans="1:2" x14ac:dyDescent="0.25">
      <c r="A3411" t="s">
        <v>15325</v>
      </c>
      <c r="B3411" t="s">
        <v>15326</v>
      </c>
    </row>
    <row r="3412" spans="1:2" x14ac:dyDescent="0.25">
      <c r="A3412" t="s">
        <v>15327</v>
      </c>
      <c r="B3412" t="s">
        <v>15328</v>
      </c>
    </row>
    <row r="3413" spans="1:2" x14ac:dyDescent="0.25">
      <c r="A3413" t="s">
        <v>15329</v>
      </c>
      <c r="B3413" t="s">
        <v>15330</v>
      </c>
    </row>
    <row r="3414" spans="1:2" x14ac:dyDescent="0.25">
      <c r="A3414" t="s">
        <v>15331</v>
      </c>
      <c r="B3414" t="s">
        <v>15332</v>
      </c>
    </row>
    <row r="3415" spans="1:2" x14ac:dyDescent="0.25">
      <c r="A3415" t="s">
        <v>15333</v>
      </c>
      <c r="B3415" t="s">
        <v>15334</v>
      </c>
    </row>
    <row r="3416" spans="1:2" x14ac:dyDescent="0.25">
      <c r="A3416" t="s">
        <v>15335</v>
      </c>
      <c r="B3416" t="s">
        <v>15336</v>
      </c>
    </row>
    <row r="3417" spans="1:2" x14ac:dyDescent="0.25">
      <c r="A3417" t="s">
        <v>15337</v>
      </c>
      <c r="B3417" t="s">
        <v>15338</v>
      </c>
    </row>
    <row r="3418" spans="1:2" x14ac:dyDescent="0.25">
      <c r="A3418" t="s">
        <v>15339</v>
      </c>
      <c r="B3418" t="s">
        <v>15340</v>
      </c>
    </row>
    <row r="3419" spans="1:2" x14ac:dyDescent="0.25">
      <c r="A3419" t="s">
        <v>178</v>
      </c>
      <c r="B3419" t="s">
        <v>15341</v>
      </c>
    </row>
    <row r="3420" spans="1:2" x14ac:dyDescent="0.25">
      <c r="A3420" t="s">
        <v>15342</v>
      </c>
      <c r="B3420" t="s">
        <v>15343</v>
      </c>
    </row>
    <row r="3421" spans="1:2" x14ac:dyDescent="0.25">
      <c r="A3421" t="s">
        <v>180</v>
      </c>
      <c r="B3421" t="s">
        <v>15344</v>
      </c>
    </row>
    <row r="3422" spans="1:2" x14ac:dyDescent="0.25">
      <c r="A3422" t="s">
        <v>15345</v>
      </c>
      <c r="B3422" t="s">
        <v>15346</v>
      </c>
    </row>
    <row r="3423" spans="1:2" x14ac:dyDescent="0.25">
      <c r="A3423" t="s">
        <v>15347</v>
      </c>
      <c r="B3423" t="s">
        <v>15348</v>
      </c>
    </row>
    <row r="3424" spans="1:2" x14ac:dyDescent="0.25">
      <c r="A3424" t="s">
        <v>15349</v>
      </c>
      <c r="B3424" t="s">
        <v>15350</v>
      </c>
    </row>
    <row r="3425" spans="1:2" x14ac:dyDescent="0.25">
      <c r="A3425" t="s">
        <v>15351</v>
      </c>
      <c r="B3425" t="s">
        <v>15352</v>
      </c>
    </row>
    <row r="3426" spans="1:2" x14ac:dyDescent="0.25">
      <c r="A3426" t="s">
        <v>15353</v>
      </c>
      <c r="B3426" t="s">
        <v>15354</v>
      </c>
    </row>
    <row r="3427" spans="1:2" x14ac:dyDescent="0.25">
      <c r="A3427" t="s">
        <v>15355</v>
      </c>
      <c r="B3427" t="s">
        <v>15356</v>
      </c>
    </row>
    <row r="3428" spans="1:2" x14ac:dyDescent="0.25">
      <c r="A3428" t="s">
        <v>15357</v>
      </c>
      <c r="B3428" t="s">
        <v>15358</v>
      </c>
    </row>
    <row r="3429" spans="1:2" x14ac:dyDescent="0.25">
      <c r="A3429" t="s">
        <v>15359</v>
      </c>
      <c r="B3429" t="s">
        <v>15360</v>
      </c>
    </row>
    <row r="3430" spans="1:2" x14ac:dyDescent="0.25">
      <c r="A3430" t="s">
        <v>15361</v>
      </c>
      <c r="B3430" t="s">
        <v>15362</v>
      </c>
    </row>
    <row r="3431" spans="1:2" x14ac:dyDescent="0.25">
      <c r="A3431" t="s">
        <v>15363</v>
      </c>
      <c r="B3431" t="s">
        <v>15364</v>
      </c>
    </row>
    <row r="3432" spans="1:2" x14ac:dyDescent="0.25">
      <c r="A3432" t="s">
        <v>15365</v>
      </c>
      <c r="B3432" t="s">
        <v>15366</v>
      </c>
    </row>
    <row r="3433" spans="1:2" x14ac:dyDescent="0.25">
      <c r="A3433" t="s">
        <v>15367</v>
      </c>
      <c r="B3433" t="s">
        <v>15368</v>
      </c>
    </row>
    <row r="3434" spans="1:2" x14ac:dyDescent="0.25">
      <c r="A3434" t="s">
        <v>15369</v>
      </c>
      <c r="B3434" t="s">
        <v>15370</v>
      </c>
    </row>
    <row r="3435" spans="1:2" x14ac:dyDescent="0.25">
      <c r="A3435" t="s">
        <v>15371</v>
      </c>
      <c r="B3435" t="s">
        <v>15372</v>
      </c>
    </row>
    <row r="3436" spans="1:2" x14ac:dyDescent="0.25">
      <c r="A3436" t="s">
        <v>15373</v>
      </c>
      <c r="B3436" t="s">
        <v>15374</v>
      </c>
    </row>
    <row r="3437" spans="1:2" x14ac:dyDescent="0.25">
      <c r="A3437" t="s">
        <v>15375</v>
      </c>
      <c r="B3437" t="s">
        <v>15376</v>
      </c>
    </row>
    <row r="3438" spans="1:2" x14ac:dyDescent="0.25">
      <c r="A3438" t="s">
        <v>2656</v>
      </c>
      <c r="B3438" t="s">
        <v>15377</v>
      </c>
    </row>
    <row r="3439" spans="1:2" x14ac:dyDescent="0.25">
      <c r="A3439" t="s">
        <v>15378</v>
      </c>
      <c r="B3439" t="s">
        <v>15379</v>
      </c>
    </row>
    <row r="3440" spans="1:2" x14ac:dyDescent="0.25">
      <c r="A3440" t="s">
        <v>15380</v>
      </c>
      <c r="B3440" t="s">
        <v>15381</v>
      </c>
    </row>
    <row r="3441" spans="1:2" x14ac:dyDescent="0.25">
      <c r="A3441" t="s">
        <v>563</v>
      </c>
      <c r="B3441" t="s">
        <v>15382</v>
      </c>
    </row>
    <row r="3442" spans="1:2" x14ac:dyDescent="0.25">
      <c r="A3442" t="s">
        <v>15383</v>
      </c>
      <c r="B3442" t="s">
        <v>15384</v>
      </c>
    </row>
    <row r="3443" spans="1:2" x14ac:dyDescent="0.25">
      <c r="A3443" t="s">
        <v>15385</v>
      </c>
      <c r="B3443" t="s">
        <v>15386</v>
      </c>
    </row>
    <row r="3444" spans="1:2" x14ac:dyDescent="0.25">
      <c r="A3444" t="s">
        <v>15387</v>
      </c>
      <c r="B3444" t="s">
        <v>15388</v>
      </c>
    </row>
    <row r="3445" spans="1:2" x14ac:dyDescent="0.25">
      <c r="A3445" t="s">
        <v>15389</v>
      </c>
      <c r="B3445" t="s">
        <v>15390</v>
      </c>
    </row>
    <row r="3446" spans="1:2" x14ac:dyDescent="0.25">
      <c r="A3446" t="s">
        <v>15391</v>
      </c>
      <c r="B3446" t="s">
        <v>15392</v>
      </c>
    </row>
    <row r="3447" spans="1:2" x14ac:dyDescent="0.25">
      <c r="A3447" t="s">
        <v>15393</v>
      </c>
      <c r="B3447" t="s">
        <v>15394</v>
      </c>
    </row>
    <row r="3448" spans="1:2" x14ac:dyDescent="0.25">
      <c r="A3448" t="s">
        <v>15395</v>
      </c>
      <c r="B3448" t="s">
        <v>15396</v>
      </c>
    </row>
    <row r="3449" spans="1:2" x14ac:dyDescent="0.25">
      <c r="A3449" t="s">
        <v>15397</v>
      </c>
      <c r="B3449" t="s">
        <v>15398</v>
      </c>
    </row>
    <row r="3450" spans="1:2" x14ac:dyDescent="0.25">
      <c r="A3450" t="s">
        <v>15399</v>
      </c>
      <c r="B3450" t="s">
        <v>15400</v>
      </c>
    </row>
    <row r="3451" spans="1:2" x14ac:dyDescent="0.25">
      <c r="A3451" t="s">
        <v>15401</v>
      </c>
      <c r="B3451" t="s">
        <v>15402</v>
      </c>
    </row>
    <row r="3452" spans="1:2" x14ac:dyDescent="0.25">
      <c r="A3452" t="s">
        <v>15403</v>
      </c>
      <c r="B3452" t="s">
        <v>15404</v>
      </c>
    </row>
    <row r="3453" spans="1:2" x14ac:dyDescent="0.25">
      <c r="A3453" t="s">
        <v>750</v>
      </c>
      <c r="B3453" t="s">
        <v>15405</v>
      </c>
    </row>
    <row r="3454" spans="1:2" x14ac:dyDescent="0.25">
      <c r="A3454" t="s">
        <v>15406</v>
      </c>
      <c r="B3454" t="s">
        <v>15407</v>
      </c>
    </row>
    <row r="3455" spans="1:2" x14ac:dyDescent="0.25">
      <c r="A3455" t="s">
        <v>15408</v>
      </c>
      <c r="B3455" t="s">
        <v>15409</v>
      </c>
    </row>
    <row r="3456" spans="1:2" x14ac:dyDescent="0.25">
      <c r="A3456" t="s">
        <v>15410</v>
      </c>
      <c r="B3456" t="s">
        <v>15411</v>
      </c>
    </row>
    <row r="3457" spans="1:2" x14ac:dyDescent="0.25">
      <c r="A3457" t="s">
        <v>15412</v>
      </c>
      <c r="B3457" t="s">
        <v>15413</v>
      </c>
    </row>
    <row r="3458" spans="1:2" x14ac:dyDescent="0.25">
      <c r="A3458" t="s">
        <v>15414</v>
      </c>
      <c r="B3458" t="s">
        <v>15415</v>
      </c>
    </row>
    <row r="3459" spans="1:2" x14ac:dyDescent="0.25">
      <c r="A3459" t="s">
        <v>15416</v>
      </c>
      <c r="B3459" t="s">
        <v>15417</v>
      </c>
    </row>
    <row r="3460" spans="1:2" x14ac:dyDescent="0.25">
      <c r="A3460" t="s">
        <v>15418</v>
      </c>
      <c r="B3460" t="s">
        <v>15419</v>
      </c>
    </row>
    <row r="3461" spans="1:2" x14ac:dyDescent="0.25">
      <c r="A3461" t="s">
        <v>875</v>
      </c>
      <c r="B3461" t="s">
        <v>15420</v>
      </c>
    </row>
    <row r="3462" spans="1:2" x14ac:dyDescent="0.25">
      <c r="A3462" t="s">
        <v>15421</v>
      </c>
      <c r="B3462" t="s">
        <v>15422</v>
      </c>
    </row>
    <row r="3463" spans="1:2" x14ac:dyDescent="0.25">
      <c r="A3463" t="s">
        <v>15423</v>
      </c>
      <c r="B3463" t="s">
        <v>15424</v>
      </c>
    </row>
    <row r="3464" spans="1:2" x14ac:dyDescent="0.25">
      <c r="A3464" t="s">
        <v>15425</v>
      </c>
      <c r="B3464" t="s">
        <v>15426</v>
      </c>
    </row>
    <row r="3465" spans="1:2" x14ac:dyDescent="0.25">
      <c r="A3465" t="s">
        <v>15427</v>
      </c>
      <c r="B3465" t="s">
        <v>15428</v>
      </c>
    </row>
    <row r="3466" spans="1:2" x14ac:dyDescent="0.25">
      <c r="A3466" t="s">
        <v>15429</v>
      </c>
      <c r="B3466" t="s">
        <v>15430</v>
      </c>
    </row>
    <row r="3467" spans="1:2" x14ac:dyDescent="0.25">
      <c r="A3467" t="s">
        <v>15431</v>
      </c>
      <c r="B3467" t="s">
        <v>15432</v>
      </c>
    </row>
    <row r="3468" spans="1:2" x14ac:dyDescent="0.25">
      <c r="A3468" t="s">
        <v>15433</v>
      </c>
      <c r="B3468" t="s">
        <v>15434</v>
      </c>
    </row>
    <row r="3469" spans="1:2" x14ac:dyDescent="0.25">
      <c r="A3469" t="s">
        <v>15435</v>
      </c>
      <c r="B3469" t="s">
        <v>15436</v>
      </c>
    </row>
    <row r="3470" spans="1:2" x14ac:dyDescent="0.25">
      <c r="A3470" t="s">
        <v>15437</v>
      </c>
      <c r="B3470" t="s">
        <v>15438</v>
      </c>
    </row>
    <row r="3471" spans="1:2" x14ac:dyDescent="0.25">
      <c r="A3471" t="s">
        <v>15439</v>
      </c>
      <c r="B3471" t="s">
        <v>15440</v>
      </c>
    </row>
    <row r="3472" spans="1:2" x14ac:dyDescent="0.25">
      <c r="A3472" t="s">
        <v>15441</v>
      </c>
      <c r="B3472" t="s">
        <v>15442</v>
      </c>
    </row>
    <row r="3473" spans="1:2" x14ac:dyDescent="0.25">
      <c r="A3473" t="s">
        <v>15443</v>
      </c>
      <c r="B3473" t="s">
        <v>15444</v>
      </c>
    </row>
    <row r="3474" spans="1:2" x14ac:dyDescent="0.25">
      <c r="A3474" t="s">
        <v>565</v>
      </c>
      <c r="B3474" t="s">
        <v>15445</v>
      </c>
    </row>
    <row r="3475" spans="1:2" x14ac:dyDescent="0.25">
      <c r="A3475" t="s">
        <v>15446</v>
      </c>
      <c r="B3475" t="s">
        <v>15447</v>
      </c>
    </row>
    <row r="3476" spans="1:2" x14ac:dyDescent="0.25">
      <c r="A3476" t="s">
        <v>15448</v>
      </c>
      <c r="B3476" t="s">
        <v>15449</v>
      </c>
    </row>
    <row r="3477" spans="1:2" x14ac:dyDescent="0.25">
      <c r="A3477" t="s">
        <v>15450</v>
      </c>
      <c r="B3477" t="s">
        <v>15451</v>
      </c>
    </row>
    <row r="3478" spans="1:2" x14ac:dyDescent="0.25">
      <c r="A3478" t="s">
        <v>15452</v>
      </c>
      <c r="B3478" t="s">
        <v>15453</v>
      </c>
    </row>
    <row r="3479" spans="1:2" x14ac:dyDescent="0.25">
      <c r="A3479" t="s">
        <v>15454</v>
      </c>
      <c r="B3479" t="s">
        <v>15455</v>
      </c>
    </row>
    <row r="3480" spans="1:2" x14ac:dyDescent="0.25">
      <c r="A3480" t="s">
        <v>15456</v>
      </c>
      <c r="B3480" t="s">
        <v>15457</v>
      </c>
    </row>
    <row r="3481" spans="1:2" x14ac:dyDescent="0.25">
      <c r="A3481" t="s">
        <v>15458</v>
      </c>
      <c r="B3481" t="s">
        <v>15459</v>
      </c>
    </row>
    <row r="3482" spans="1:2" x14ac:dyDescent="0.25">
      <c r="A3482" t="s">
        <v>15460</v>
      </c>
      <c r="B3482" t="s">
        <v>15461</v>
      </c>
    </row>
    <row r="3483" spans="1:2" x14ac:dyDescent="0.25">
      <c r="A3483" t="s">
        <v>15462</v>
      </c>
      <c r="B3483" t="s">
        <v>15463</v>
      </c>
    </row>
    <row r="3484" spans="1:2" x14ac:dyDescent="0.25">
      <c r="A3484" t="s">
        <v>15464</v>
      </c>
      <c r="B3484" t="s">
        <v>15465</v>
      </c>
    </row>
    <row r="3485" spans="1:2" x14ac:dyDescent="0.25">
      <c r="A3485" t="s">
        <v>15466</v>
      </c>
      <c r="B3485" t="s">
        <v>15467</v>
      </c>
    </row>
    <row r="3486" spans="1:2" x14ac:dyDescent="0.25">
      <c r="A3486" t="s">
        <v>15468</v>
      </c>
      <c r="B3486" t="s">
        <v>15469</v>
      </c>
    </row>
    <row r="3487" spans="1:2" x14ac:dyDescent="0.25">
      <c r="A3487" t="s">
        <v>2661</v>
      </c>
      <c r="B3487" t="s">
        <v>15470</v>
      </c>
    </row>
    <row r="3488" spans="1:2" x14ac:dyDescent="0.25">
      <c r="A3488" t="s">
        <v>15471</v>
      </c>
      <c r="B3488" t="s">
        <v>15472</v>
      </c>
    </row>
    <row r="3489" spans="1:2" x14ac:dyDescent="0.25">
      <c r="A3489" t="s">
        <v>15473</v>
      </c>
      <c r="B3489" t="s">
        <v>15474</v>
      </c>
    </row>
    <row r="3490" spans="1:2" x14ac:dyDescent="0.25">
      <c r="A3490" t="s">
        <v>15475</v>
      </c>
      <c r="B3490" t="s">
        <v>15476</v>
      </c>
    </row>
    <row r="3491" spans="1:2" x14ac:dyDescent="0.25">
      <c r="A3491" t="s">
        <v>15477</v>
      </c>
      <c r="B3491" t="s">
        <v>15478</v>
      </c>
    </row>
    <row r="3492" spans="1:2" x14ac:dyDescent="0.25">
      <c r="A3492" t="s">
        <v>15479</v>
      </c>
      <c r="B3492" t="s">
        <v>15480</v>
      </c>
    </row>
    <row r="3493" spans="1:2" x14ac:dyDescent="0.25">
      <c r="A3493" t="s">
        <v>567</v>
      </c>
      <c r="B3493" t="s">
        <v>15481</v>
      </c>
    </row>
    <row r="3494" spans="1:2" x14ac:dyDescent="0.25">
      <c r="A3494" t="s">
        <v>15482</v>
      </c>
      <c r="B3494" t="s">
        <v>15483</v>
      </c>
    </row>
    <row r="3495" spans="1:2" x14ac:dyDescent="0.25">
      <c r="A3495" t="s">
        <v>15484</v>
      </c>
      <c r="B3495" t="s">
        <v>15485</v>
      </c>
    </row>
    <row r="3496" spans="1:2" x14ac:dyDescent="0.25">
      <c r="A3496" t="s">
        <v>15486</v>
      </c>
      <c r="B3496" t="s">
        <v>15487</v>
      </c>
    </row>
    <row r="3497" spans="1:2" x14ac:dyDescent="0.25">
      <c r="A3497" t="s">
        <v>15488</v>
      </c>
      <c r="B3497" t="s">
        <v>15489</v>
      </c>
    </row>
    <row r="3498" spans="1:2" x14ac:dyDescent="0.25">
      <c r="A3498" t="s">
        <v>15490</v>
      </c>
      <c r="B3498" t="s">
        <v>15491</v>
      </c>
    </row>
    <row r="3499" spans="1:2" x14ac:dyDescent="0.25">
      <c r="A3499" t="s">
        <v>15492</v>
      </c>
      <c r="B3499" t="s">
        <v>15493</v>
      </c>
    </row>
    <row r="3500" spans="1:2" x14ac:dyDescent="0.25">
      <c r="A3500" t="s">
        <v>15494</v>
      </c>
      <c r="B3500" t="s">
        <v>15495</v>
      </c>
    </row>
    <row r="3501" spans="1:2" x14ac:dyDescent="0.25">
      <c r="A3501" t="s">
        <v>15496</v>
      </c>
      <c r="B3501" t="s">
        <v>15497</v>
      </c>
    </row>
    <row r="3502" spans="1:2" x14ac:dyDescent="0.25">
      <c r="A3502" t="s">
        <v>15498</v>
      </c>
      <c r="B3502" t="s">
        <v>15499</v>
      </c>
    </row>
    <row r="3503" spans="1:2" x14ac:dyDescent="0.25">
      <c r="A3503" t="s">
        <v>84</v>
      </c>
      <c r="B3503" t="s">
        <v>15500</v>
      </c>
    </row>
    <row r="3504" spans="1:2" x14ac:dyDescent="0.25">
      <c r="A3504" t="s">
        <v>15501</v>
      </c>
      <c r="B3504" t="s">
        <v>15502</v>
      </c>
    </row>
    <row r="3505" spans="1:2" x14ac:dyDescent="0.25">
      <c r="A3505" t="s">
        <v>15503</v>
      </c>
      <c r="B3505" t="s">
        <v>15504</v>
      </c>
    </row>
    <row r="3506" spans="1:2" x14ac:dyDescent="0.25">
      <c r="A3506" t="s">
        <v>15505</v>
      </c>
      <c r="B3506" t="s">
        <v>15506</v>
      </c>
    </row>
    <row r="3507" spans="1:2" x14ac:dyDescent="0.25">
      <c r="A3507" t="s">
        <v>15507</v>
      </c>
      <c r="B3507" t="s">
        <v>15508</v>
      </c>
    </row>
    <row r="3508" spans="1:2" x14ac:dyDescent="0.25">
      <c r="A3508" t="s">
        <v>15509</v>
      </c>
      <c r="B3508" t="s">
        <v>15510</v>
      </c>
    </row>
    <row r="3509" spans="1:2" x14ac:dyDescent="0.25">
      <c r="A3509" t="s">
        <v>15511</v>
      </c>
      <c r="B3509" t="s">
        <v>15512</v>
      </c>
    </row>
    <row r="3510" spans="1:2" x14ac:dyDescent="0.25">
      <c r="A3510" t="s">
        <v>15513</v>
      </c>
      <c r="B3510" t="s">
        <v>15514</v>
      </c>
    </row>
    <row r="3511" spans="1:2" x14ac:dyDescent="0.25">
      <c r="A3511" t="s">
        <v>15515</v>
      </c>
      <c r="B3511" t="s">
        <v>15516</v>
      </c>
    </row>
    <row r="3512" spans="1:2" x14ac:dyDescent="0.25">
      <c r="A3512" t="s">
        <v>15517</v>
      </c>
      <c r="B3512" t="s">
        <v>15518</v>
      </c>
    </row>
    <row r="3513" spans="1:2" x14ac:dyDescent="0.25">
      <c r="A3513" t="s">
        <v>15519</v>
      </c>
      <c r="B3513" t="s">
        <v>15520</v>
      </c>
    </row>
    <row r="3514" spans="1:2" x14ac:dyDescent="0.25">
      <c r="A3514" t="s">
        <v>15521</v>
      </c>
      <c r="B3514" t="s">
        <v>15522</v>
      </c>
    </row>
    <row r="3515" spans="1:2" x14ac:dyDescent="0.25">
      <c r="A3515" t="s">
        <v>15523</v>
      </c>
      <c r="B3515" t="s">
        <v>15524</v>
      </c>
    </row>
    <row r="3516" spans="1:2" x14ac:dyDescent="0.25">
      <c r="A3516" t="s">
        <v>15525</v>
      </c>
      <c r="B3516" t="s">
        <v>15526</v>
      </c>
    </row>
    <row r="3517" spans="1:2" x14ac:dyDescent="0.25">
      <c r="A3517" t="s">
        <v>15527</v>
      </c>
      <c r="B3517" t="s">
        <v>15528</v>
      </c>
    </row>
    <row r="3518" spans="1:2" x14ac:dyDescent="0.25">
      <c r="A3518" t="s">
        <v>15529</v>
      </c>
      <c r="B3518" t="s">
        <v>15530</v>
      </c>
    </row>
    <row r="3519" spans="1:2" x14ac:dyDescent="0.25">
      <c r="A3519" t="s">
        <v>15531</v>
      </c>
      <c r="B3519" t="s">
        <v>15532</v>
      </c>
    </row>
    <row r="3520" spans="1:2" x14ac:dyDescent="0.25">
      <c r="A3520" t="s">
        <v>15533</v>
      </c>
      <c r="B3520" t="s">
        <v>15534</v>
      </c>
    </row>
    <row r="3521" spans="1:2" x14ac:dyDescent="0.25">
      <c r="A3521" t="s">
        <v>15535</v>
      </c>
      <c r="B3521" t="s">
        <v>15536</v>
      </c>
    </row>
    <row r="3522" spans="1:2" x14ac:dyDescent="0.25">
      <c r="A3522" t="s">
        <v>15537</v>
      </c>
      <c r="B3522" t="s">
        <v>15538</v>
      </c>
    </row>
    <row r="3523" spans="1:2" x14ac:dyDescent="0.25">
      <c r="A3523" t="s">
        <v>15539</v>
      </c>
      <c r="B3523" t="s">
        <v>15540</v>
      </c>
    </row>
    <row r="3524" spans="1:2" x14ac:dyDescent="0.25">
      <c r="A3524" t="s">
        <v>15541</v>
      </c>
      <c r="B3524" t="s">
        <v>15542</v>
      </c>
    </row>
    <row r="3525" spans="1:2" x14ac:dyDescent="0.25">
      <c r="A3525" t="s">
        <v>15543</v>
      </c>
      <c r="B3525" t="s">
        <v>15544</v>
      </c>
    </row>
    <row r="3526" spans="1:2" x14ac:dyDescent="0.25">
      <c r="A3526" t="s">
        <v>15545</v>
      </c>
      <c r="B3526" t="s">
        <v>15546</v>
      </c>
    </row>
    <row r="3527" spans="1:2" x14ac:dyDescent="0.25">
      <c r="A3527" t="s">
        <v>15547</v>
      </c>
      <c r="B3527" t="s">
        <v>15548</v>
      </c>
    </row>
    <row r="3528" spans="1:2" x14ac:dyDescent="0.25">
      <c r="A3528" t="s">
        <v>15549</v>
      </c>
      <c r="B3528" t="s">
        <v>15550</v>
      </c>
    </row>
    <row r="3529" spans="1:2" x14ac:dyDescent="0.25">
      <c r="A3529" t="s">
        <v>15551</v>
      </c>
      <c r="B3529" t="s">
        <v>15552</v>
      </c>
    </row>
    <row r="3530" spans="1:2" x14ac:dyDescent="0.25">
      <c r="A3530" t="s">
        <v>15553</v>
      </c>
      <c r="B3530" t="s">
        <v>15554</v>
      </c>
    </row>
    <row r="3531" spans="1:2" x14ac:dyDescent="0.25">
      <c r="A3531" t="s">
        <v>15555</v>
      </c>
      <c r="B3531" t="s">
        <v>15556</v>
      </c>
    </row>
    <row r="3532" spans="1:2" x14ac:dyDescent="0.25">
      <c r="A3532" t="s">
        <v>15557</v>
      </c>
      <c r="B3532" t="s">
        <v>15558</v>
      </c>
    </row>
    <row r="3533" spans="1:2" x14ac:dyDescent="0.25">
      <c r="A3533" t="s">
        <v>15559</v>
      </c>
      <c r="B3533" t="s">
        <v>15560</v>
      </c>
    </row>
    <row r="3534" spans="1:2" x14ac:dyDescent="0.25">
      <c r="A3534" t="s">
        <v>15561</v>
      </c>
      <c r="B3534" t="s">
        <v>15562</v>
      </c>
    </row>
    <row r="3535" spans="1:2" x14ac:dyDescent="0.25">
      <c r="A3535" t="s">
        <v>15563</v>
      </c>
      <c r="B3535" t="s">
        <v>15564</v>
      </c>
    </row>
    <row r="3536" spans="1:2" x14ac:dyDescent="0.25">
      <c r="A3536" t="s">
        <v>15565</v>
      </c>
      <c r="B3536" t="s">
        <v>15566</v>
      </c>
    </row>
    <row r="3537" spans="1:2" x14ac:dyDescent="0.25">
      <c r="A3537" t="s">
        <v>15567</v>
      </c>
      <c r="B3537" t="s">
        <v>15568</v>
      </c>
    </row>
    <row r="3538" spans="1:2" x14ac:dyDescent="0.25">
      <c r="A3538" t="s">
        <v>15569</v>
      </c>
      <c r="B3538" t="s">
        <v>15570</v>
      </c>
    </row>
    <row r="3539" spans="1:2" x14ac:dyDescent="0.25">
      <c r="A3539" t="s">
        <v>15571</v>
      </c>
      <c r="B3539" t="s">
        <v>15572</v>
      </c>
    </row>
    <row r="3540" spans="1:2" x14ac:dyDescent="0.25">
      <c r="A3540" t="s">
        <v>15573</v>
      </c>
      <c r="B3540" t="s">
        <v>15574</v>
      </c>
    </row>
    <row r="3541" spans="1:2" x14ac:dyDescent="0.25">
      <c r="A3541" t="s">
        <v>15575</v>
      </c>
      <c r="B3541" t="s">
        <v>15576</v>
      </c>
    </row>
    <row r="3542" spans="1:2" x14ac:dyDescent="0.25">
      <c r="A3542" t="s">
        <v>85</v>
      </c>
      <c r="B3542" t="s">
        <v>15577</v>
      </c>
    </row>
    <row r="3543" spans="1:2" x14ac:dyDescent="0.25">
      <c r="A3543" t="s">
        <v>5438</v>
      </c>
      <c r="B3543" t="s">
        <v>15578</v>
      </c>
    </row>
    <row r="3544" spans="1:2" x14ac:dyDescent="0.25">
      <c r="A3544" t="s">
        <v>15579</v>
      </c>
      <c r="B3544" t="s">
        <v>15580</v>
      </c>
    </row>
    <row r="3545" spans="1:2" x14ac:dyDescent="0.25">
      <c r="A3545" t="s">
        <v>15581</v>
      </c>
      <c r="B3545" t="s">
        <v>15582</v>
      </c>
    </row>
    <row r="3546" spans="1:2" x14ac:dyDescent="0.25">
      <c r="A3546" t="s">
        <v>3666</v>
      </c>
      <c r="B3546" t="s">
        <v>15583</v>
      </c>
    </row>
    <row r="3547" spans="1:2" x14ac:dyDescent="0.25">
      <c r="A3547" t="s">
        <v>15584</v>
      </c>
      <c r="B3547" t="s">
        <v>15585</v>
      </c>
    </row>
    <row r="3548" spans="1:2" x14ac:dyDescent="0.25">
      <c r="A3548" t="s">
        <v>15586</v>
      </c>
      <c r="B3548" t="s">
        <v>15587</v>
      </c>
    </row>
    <row r="3549" spans="1:2" x14ac:dyDescent="0.25">
      <c r="A3549" t="s">
        <v>15588</v>
      </c>
      <c r="B3549" t="s">
        <v>15589</v>
      </c>
    </row>
    <row r="3550" spans="1:2" x14ac:dyDescent="0.25">
      <c r="A3550" t="s">
        <v>15590</v>
      </c>
      <c r="B3550" t="s">
        <v>15591</v>
      </c>
    </row>
    <row r="3551" spans="1:2" x14ac:dyDescent="0.25">
      <c r="A3551" t="s">
        <v>15592</v>
      </c>
      <c r="B3551" t="s">
        <v>15593</v>
      </c>
    </row>
    <row r="3552" spans="1:2" x14ac:dyDescent="0.25">
      <c r="A3552" t="s">
        <v>15594</v>
      </c>
      <c r="B3552" t="s">
        <v>15595</v>
      </c>
    </row>
    <row r="3553" spans="1:2" x14ac:dyDescent="0.25">
      <c r="A3553" t="s">
        <v>15596</v>
      </c>
      <c r="B3553" t="s">
        <v>15597</v>
      </c>
    </row>
    <row r="3554" spans="1:2" x14ac:dyDescent="0.25">
      <c r="A3554" t="s">
        <v>15598</v>
      </c>
      <c r="B3554" t="s">
        <v>15599</v>
      </c>
    </row>
    <row r="3555" spans="1:2" x14ac:dyDescent="0.25">
      <c r="A3555" t="s">
        <v>15600</v>
      </c>
      <c r="B3555" t="s">
        <v>15601</v>
      </c>
    </row>
    <row r="3556" spans="1:2" x14ac:dyDescent="0.25">
      <c r="A3556" t="s">
        <v>15602</v>
      </c>
      <c r="B3556" t="s">
        <v>15603</v>
      </c>
    </row>
    <row r="3557" spans="1:2" x14ac:dyDescent="0.25">
      <c r="A3557" t="s">
        <v>15604</v>
      </c>
      <c r="B3557" t="s">
        <v>15605</v>
      </c>
    </row>
    <row r="3558" spans="1:2" x14ac:dyDescent="0.25">
      <c r="A3558" t="s">
        <v>15606</v>
      </c>
      <c r="B3558" t="s">
        <v>15607</v>
      </c>
    </row>
    <row r="3559" spans="1:2" x14ac:dyDescent="0.25">
      <c r="A3559" t="s">
        <v>15608</v>
      </c>
      <c r="B3559" t="s">
        <v>15609</v>
      </c>
    </row>
    <row r="3560" spans="1:2" x14ac:dyDescent="0.25">
      <c r="A3560" t="s">
        <v>571</v>
      </c>
      <c r="B3560" t="s">
        <v>15610</v>
      </c>
    </row>
    <row r="3561" spans="1:2" x14ac:dyDescent="0.25">
      <c r="A3561" t="s">
        <v>15611</v>
      </c>
      <c r="B3561" t="s">
        <v>15612</v>
      </c>
    </row>
    <row r="3562" spans="1:2" x14ac:dyDescent="0.25">
      <c r="A3562" t="s">
        <v>15613</v>
      </c>
      <c r="B3562" t="s">
        <v>15614</v>
      </c>
    </row>
    <row r="3563" spans="1:2" x14ac:dyDescent="0.25">
      <c r="A3563" t="s">
        <v>15615</v>
      </c>
      <c r="B3563" t="s">
        <v>15616</v>
      </c>
    </row>
    <row r="3564" spans="1:2" x14ac:dyDescent="0.25">
      <c r="A3564" t="s">
        <v>15617</v>
      </c>
      <c r="B3564" t="s">
        <v>15618</v>
      </c>
    </row>
    <row r="3565" spans="1:2" x14ac:dyDescent="0.25">
      <c r="A3565" t="s">
        <v>15619</v>
      </c>
      <c r="B3565" t="s">
        <v>15620</v>
      </c>
    </row>
    <row r="3566" spans="1:2" x14ac:dyDescent="0.25">
      <c r="A3566" t="s">
        <v>15621</v>
      </c>
      <c r="B3566" t="s">
        <v>10441</v>
      </c>
    </row>
    <row r="3567" spans="1:2" x14ac:dyDescent="0.25">
      <c r="A3567" t="s">
        <v>573</v>
      </c>
      <c r="B3567" t="s">
        <v>15622</v>
      </c>
    </row>
    <row r="3568" spans="1:2" x14ac:dyDescent="0.25">
      <c r="A3568" t="s">
        <v>15623</v>
      </c>
      <c r="B3568" t="s">
        <v>15624</v>
      </c>
    </row>
    <row r="3569" spans="1:2" x14ac:dyDescent="0.25">
      <c r="A3569" t="s">
        <v>15625</v>
      </c>
      <c r="B3569" t="s">
        <v>15626</v>
      </c>
    </row>
    <row r="3570" spans="1:2" x14ac:dyDescent="0.25">
      <c r="A3570" t="s">
        <v>15627</v>
      </c>
      <c r="B3570" t="s">
        <v>15628</v>
      </c>
    </row>
    <row r="3571" spans="1:2" x14ac:dyDescent="0.25">
      <c r="A3571" t="s">
        <v>15629</v>
      </c>
      <c r="B3571" t="s">
        <v>15630</v>
      </c>
    </row>
    <row r="3572" spans="1:2" x14ac:dyDescent="0.25">
      <c r="A3572" t="s">
        <v>15631</v>
      </c>
      <c r="B3572" t="s">
        <v>15632</v>
      </c>
    </row>
    <row r="3573" spans="1:2" x14ac:dyDescent="0.25">
      <c r="A3573" t="s">
        <v>15633</v>
      </c>
      <c r="B3573" t="s">
        <v>15634</v>
      </c>
    </row>
    <row r="3574" spans="1:2" x14ac:dyDescent="0.25">
      <c r="A3574" t="s">
        <v>15635</v>
      </c>
      <c r="B3574" t="s">
        <v>15636</v>
      </c>
    </row>
    <row r="3575" spans="1:2" x14ac:dyDescent="0.25">
      <c r="A3575" t="s">
        <v>15637</v>
      </c>
      <c r="B3575" t="s">
        <v>15638</v>
      </c>
    </row>
    <row r="3576" spans="1:2" x14ac:dyDescent="0.25">
      <c r="A3576" t="s">
        <v>15639</v>
      </c>
      <c r="B3576" t="s">
        <v>15640</v>
      </c>
    </row>
    <row r="3577" spans="1:2" x14ac:dyDescent="0.25">
      <c r="A3577" t="s">
        <v>575</v>
      </c>
      <c r="B3577" t="s">
        <v>15641</v>
      </c>
    </row>
    <row r="3578" spans="1:2" x14ac:dyDescent="0.25">
      <c r="A3578" t="s">
        <v>15642</v>
      </c>
      <c r="B3578" t="s">
        <v>15643</v>
      </c>
    </row>
    <row r="3579" spans="1:2" x14ac:dyDescent="0.25">
      <c r="A3579" t="s">
        <v>15644</v>
      </c>
      <c r="B3579" t="s">
        <v>15645</v>
      </c>
    </row>
    <row r="3580" spans="1:2" x14ac:dyDescent="0.25">
      <c r="A3580" t="s">
        <v>15646</v>
      </c>
      <c r="B3580" t="s">
        <v>15647</v>
      </c>
    </row>
    <row r="3581" spans="1:2" x14ac:dyDescent="0.25">
      <c r="A3581" t="s">
        <v>15648</v>
      </c>
      <c r="B3581" t="s">
        <v>15649</v>
      </c>
    </row>
    <row r="3582" spans="1:2" x14ac:dyDescent="0.25">
      <c r="A3582" t="s">
        <v>15650</v>
      </c>
      <c r="B3582" t="s">
        <v>15651</v>
      </c>
    </row>
    <row r="3583" spans="1:2" x14ac:dyDescent="0.25">
      <c r="A3583" t="s">
        <v>15652</v>
      </c>
      <c r="B3583" t="s">
        <v>15653</v>
      </c>
    </row>
    <row r="3584" spans="1:2" x14ac:dyDescent="0.25">
      <c r="A3584" t="s">
        <v>15654</v>
      </c>
      <c r="B3584" t="s">
        <v>15655</v>
      </c>
    </row>
    <row r="3585" spans="1:2" x14ac:dyDescent="0.25">
      <c r="A3585" t="s">
        <v>15656</v>
      </c>
      <c r="B3585" t="s">
        <v>15657</v>
      </c>
    </row>
    <row r="3586" spans="1:2" x14ac:dyDescent="0.25">
      <c r="A3586" t="s">
        <v>15658</v>
      </c>
      <c r="B3586" t="s">
        <v>15659</v>
      </c>
    </row>
    <row r="3587" spans="1:2" x14ac:dyDescent="0.25">
      <c r="A3587" t="s">
        <v>15660</v>
      </c>
      <c r="B3587" t="s">
        <v>15661</v>
      </c>
    </row>
    <row r="3588" spans="1:2" x14ac:dyDescent="0.25">
      <c r="A3588" t="s">
        <v>2436</v>
      </c>
      <c r="B3588" t="s">
        <v>15662</v>
      </c>
    </row>
    <row r="3589" spans="1:2" x14ac:dyDescent="0.25">
      <c r="A3589" t="s">
        <v>15663</v>
      </c>
      <c r="B3589" t="s">
        <v>15664</v>
      </c>
    </row>
    <row r="3590" spans="1:2" x14ac:dyDescent="0.25">
      <c r="A3590" t="s">
        <v>15665</v>
      </c>
      <c r="B3590" t="s">
        <v>15666</v>
      </c>
    </row>
    <row r="3591" spans="1:2" x14ac:dyDescent="0.25">
      <c r="A3591" t="s">
        <v>15667</v>
      </c>
      <c r="B3591" t="s">
        <v>15668</v>
      </c>
    </row>
    <row r="3592" spans="1:2" x14ac:dyDescent="0.25">
      <c r="A3592" t="s">
        <v>15669</v>
      </c>
      <c r="B3592" t="s">
        <v>15670</v>
      </c>
    </row>
    <row r="3593" spans="1:2" x14ac:dyDescent="0.25">
      <c r="A3593" t="s">
        <v>15671</v>
      </c>
      <c r="B3593" t="s">
        <v>15672</v>
      </c>
    </row>
    <row r="3594" spans="1:2" x14ac:dyDescent="0.25">
      <c r="A3594" t="s">
        <v>15673</v>
      </c>
      <c r="B3594" t="s">
        <v>15674</v>
      </c>
    </row>
    <row r="3595" spans="1:2" x14ac:dyDescent="0.25">
      <c r="A3595" t="s">
        <v>15675</v>
      </c>
      <c r="B3595" t="s">
        <v>15676</v>
      </c>
    </row>
    <row r="3596" spans="1:2" x14ac:dyDescent="0.25">
      <c r="A3596" t="s">
        <v>15677</v>
      </c>
      <c r="B3596" t="s">
        <v>15678</v>
      </c>
    </row>
    <row r="3597" spans="1:2" x14ac:dyDescent="0.25">
      <c r="A3597" t="s">
        <v>15679</v>
      </c>
      <c r="B3597" t="s">
        <v>15680</v>
      </c>
    </row>
    <row r="3598" spans="1:2" x14ac:dyDescent="0.25">
      <c r="A3598" t="s">
        <v>15681</v>
      </c>
      <c r="B3598" t="s">
        <v>15682</v>
      </c>
    </row>
    <row r="3599" spans="1:2" x14ac:dyDescent="0.25">
      <c r="A3599" t="s">
        <v>15683</v>
      </c>
      <c r="B3599" t="s">
        <v>15684</v>
      </c>
    </row>
    <row r="3600" spans="1:2" x14ac:dyDescent="0.25">
      <c r="A3600" t="s">
        <v>15685</v>
      </c>
      <c r="B3600" t="s">
        <v>15686</v>
      </c>
    </row>
    <row r="3601" spans="1:2" x14ac:dyDescent="0.25">
      <c r="A3601" t="s">
        <v>15687</v>
      </c>
      <c r="B3601" t="s">
        <v>15688</v>
      </c>
    </row>
    <row r="3602" spans="1:2" x14ac:dyDescent="0.25">
      <c r="A3602" t="s">
        <v>15689</v>
      </c>
      <c r="B3602" t="s">
        <v>15690</v>
      </c>
    </row>
    <row r="3603" spans="1:2" x14ac:dyDescent="0.25">
      <c r="A3603" t="s">
        <v>15691</v>
      </c>
      <c r="B3603" t="s">
        <v>15692</v>
      </c>
    </row>
    <row r="3604" spans="1:2" x14ac:dyDescent="0.25">
      <c r="A3604" t="s">
        <v>15693</v>
      </c>
      <c r="B3604" t="s">
        <v>15694</v>
      </c>
    </row>
    <row r="3605" spans="1:2" x14ac:dyDescent="0.25">
      <c r="A3605" t="s">
        <v>15695</v>
      </c>
      <c r="B3605" t="s">
        <v>15696</v>
      </c>
    </row>
    <row r="3606" spans="1:2" x14ac:dyDescent="0.25">
      <c r="A3606" t="s">
        <v>15697</v>
      </c>
      <c r="B3606" t="s">
        <v>15698</v>
      </c>
    </row>
    <row r="3607" spans="1:2" x14ac:dyDescent="0.25">
      <c r="A3607" t="s">
        <v>15699</v>
      </c>
      <c r="B3607" t="s">
        <v>15700</v>
      </c>
    </row>
    <row r="3608" spans="1:2" x14ac:dyDescent="0.25">
      <c r="A3608" t="s">
        <v>15701</v>
      </c>
      <c r="B3608" t="s">
        <v>15702</v>
      </c>
    </row>
    <row r="3609" spans="1:2" x14ac:dyDescent="0.25">
      <c r="A3609" t="s">
        <v>15703</v>
      </c>
      <c r="B3609" t="s">
        <v>15704</v>
      </c>
    </row>
    <row r="3610" spans="1:2" x14ac:dyDescent="0.25">
      <c r="A3610" t="s">
        <v>15705</v>
      </c>
      <c r="B3610" t="s">
        <v>15706</v>
      </c>
    </row>
    <row r="3611" spans="1:2" x14ac:dyDescent="0.25">
      <c r="A3611" t="s">
        <v>15707</v>
      </c>
      <c r="B3611" t="s">
        <v>15708</v>
      </c>
    </row>
    <row r="3612" spans="1:2" x14ac:dyDescent="0.25">
      <c r="A3612" t="s">
        <v>15709</v>
      </c>
      <c r="B3612" t="s">
        <v>15710</v>
      </c>
    </row>
    <row r="3613" spans="1:2" x14ac:dyDescent="0.25">
      <c r="A3613" t="s">
        <v>15711</v>
      </c>
      <c r="B3613" t="s">
        <v>15712</v>
      </c>
    </row>
    <row r="3614" spans="1:2" x14ac:dyDescent="0.25">
      <c r="A3614" t="s">
        <v>15713</v>
      </c>
      <c r="B3614" t="s">
        <v>15714</v>
      </c>
    </row>
    <row r="3615" spans="1:2" x14ac:dyDescent="0.25">
      <c r="A3615" t="s">
        <v>15715</v>
      </c>
      <c r="B3615" t="s">
        <v>15716</v>
      </c>
    </row>
    <row r="3616" spans="1:2" x14ac:dyDescent="0.25">
      <c r="A3616" t="s">
        <v>15717</v>
      </c>
      <c r="B3616" t="s">
        <v>15718</v>
      </c>
    </row>
    <row r="3617" spans="1:2" x14ac:dyDescent="0.25">
      <c r="A3617" t="s">
        <v>15719</v>
      </c>
      <c r="B3617" t="s">
        <v>15720</v>
      </c>
    </row>
    <row r="3618" spans="1:2" x14ac:dyDescent="0.25">
      <c r="A3618" t="s">
        <v>15721</v>
      </c>
      <c r="B3618" t="s">
        <v>15722</v>
      </c>
    </row>
    <row r="3619" spans="1:2" x14ac:dyDescent="0.25">
      <c r="A3619" t="s">
        <v>15723</v>
      </c>
      <c r="B3619" t="s">
        <v>15724</v>
      </c>
    </row>
    <row r="3620" spans="1:2" x14ac:dyDescent="0.25">
      <c r="A3620" t="s">
        <v>15725</v>
      </c>
      <c r="B3620" t="s">
        <v>15726</v>
      </c>
    </row>
    <row r="3621" spans="1:2" x14ac:dyDescent="0.25">
      <c r="A3621" t="s">
        <v>15727</v>
      </c>
      <c r="B3621" t="s">
        <v>15728</v>
      </c>
    </row>
    <row r="3622" spans="1:2" x14ac:dyDescent="0.25">
      <c r="A3622" t="s">
        <v>15729</v>
      </c>
      <c r="B3622" t="s">
        <v>15730</v>
      </c>
    </row>
    <row r="3623" spans="1:2" x14ac:dyDescent="0.25">
      <c r="A3623" t="s">
        <v>15731</v>
      </c>
      <c r="B3623" t="s">
        <v>15732</v>
      </c>
    </row>
    <row r="3624" spans="1:2" x14ac:dyDescent="0.25">
      <c r="A3624" t="s">
        <v>15733</v>
      </c>
      <c r="B3624" t="s">
        <v>15734</v>
      </c>
    </row>
    <row r="3625" spans="1:2" x14ac:dyDescent="0.25">
      <c r="A3625" t="s">
        <v>15735</v>
      </c>
      <c r="B3625" t="s">
        <v>15736</v>
      </c>
    </row>
    <row r="3626" spans="1:2" x14ac:dyDescent="0.25">
      <c r="A3626" t="s">
        <v>15737</v>
      </c>
      <c r="B3626" t="s">
        <v>15738</v>
      </c>
    </row>
    <row r="3627" spans="1:2" x14ac:dyDescent="0.25">
      <c r="A3627" t="s">
        <v>15739</v>
      </c>
      <c r="B3627" t="s">
        <v>15740</v>
      </c>
    </row>
    <row r="3628" spans="1:2" x14ac:dyDescent="0.25">
      <c r="A3628" t="s">
        <v>15741</v>
      </c>
      <c r="B3628" t="s">
        <v>15742</v>
      </c>
    </row>
    <row r="3629" spans="1:2" x14ac:dyDescent="0.25">
      <c r="A3629" t="s">
        <v>15743</v>
      </c>
      <c r="B3629" t="s">
        <v>15744</v>
      </c>
    </row>
    <row r="3630" spans="1:2" x14ac:dyDescent="0.25">
      <c r="A3630" t="s">
        <v>577</v>
      </c>
      <c r="B3630" t="s">
        <v>15745</v>
      </c>
    </row>
    <row r="3631" spans="1:2" x14ac:dyDescent="0.25">
      <c r="A3631" t="s">
        <v>15746</v>
      </c>
      <c r="B3631" t="s">
        <v>15747</v>
      </c>
    </row>
    <row r="3632" spans="1:2" x14ac:dyDescent="0.25">
      <c r="A3632" t="s">
        <v>15748</v>
      </c>
      <c r="B3632" t="s">
        <v>15749</v>
      </c>
    </row>
    <row r="3633" spans="1:2" x14ac:dyDescent="0.25">
      <c r="A3633" t="s">
        <v>15750</v>
      </c>
      <c r="B3633" t="s">
        <v>15751</v>
      </c>
    </row>
    <row r="3634" spans="1:2" x14ac:dyDescent="0.25">
      <c r="A3634" t="s">
        <v>15752</v>
      </c>
      <c r="B3634" t="s">
        <v>15753</v>
      </c>
    </row>
    <row r="3635" spans="1:2" x14ac:dyDescent="0.25">
      <c r="A3635" t="s">
        <v>15754</v>
      </c>
      <c r="B3635" t="s">
        <v>15755</v>
      </c>
    </row>
    <row r="3636" spans="1:2" x14ac:dyDescent="0.25">
      <c r="A3636" t="s">
        <v>15756</v>
      </c>
      <c r="B3636" t="s">
        <v>15757</v>
      </c>
    </row>
    <row r="3637" spans="1:2" x14ac:dyDescent="0.25">
      <c r="A3637" t="s">
        <v>15758</v>
      </c>
      <c r="B3637" t="s">
        <v>15759</v>
      </c>
    </row>
    <row r="3638" spans="1:2" x14ac:dyDescent="0.25">
      <c r="A3638" t="s">
        <v>15760</v>
      </c>
      <c r="B3638" t="s">
        <v>15761</v>
      </c>
    </row>
    <row r="3639" spans="1:2" x14ac:dyDescent="0.25">
      <c r="A3639" t="s">
        <v>15762</v>
      </c>
      <c r="B3639" t="s">
        <v>15763</v>
      </c>
    </row>
    <row r="3640" spans="1:2" x14ac:dyDescent="0.25">
      <c r="A3640" t="s">
        <v>15764</v>
      </c>
      <c r="B3640" t="s">
        <v>15765</v>
      </c>
    </row>
    <row r="3641" spans="1:2" x14ac:dyDescent="0.25">
      <c r="A3641" t="s">
        <v>879</v>
      </c>
      <c r="B3641" t="s">
        <v>15766</v>
      </c>
    </row>
    <row r="3642" spans="1:2" x14ac:dyDescent="0.25">
      <c r="A3642" t="s">
        <v>15767</v>
      </c>
      <c r="B3642" t="s">
        <v>15768</v>
      </c>
    </row>
    <row r="3643" spans="1:2" x14ac:dyDescent="0.25">
      <c r="A3643" t="s">
        <v>15769</v>
      </c>
      <c r="B3643" t="s">
        <v>15770</v>
      </c>
    </row>
    <row r="3644" spans="1:2" x14ac:dyDescent="0.25">
      <c r="A3644" t="s">
        <v>15771</v>
      </c>
      <c r="B3644" t="s">
        <v>15772</v>
      </c>
    </row>
    <row r="3645" spans="1:2" x14ac:dyDescent="0.25">
      <c r="A3645" t="s">
        <v>15773</v>
      </c>
      <c r="B3645" t="s">
        <v>15774</v>
      </c>
    </row>
    <row r="3646" spans="1:2" x14ac:dyDescent="0.25">
      <c r="A3646" t="s">
        <v>15775</v>
      </c>
      <c r="B3646" t="s">
        <v>15776</v>
      </c>
    </row>
    <row r="3647" spans="1:2" x14ac:dyDescent="0.25">
      <c r="A3647" t="s">
        <v>15777</v>
      </c>
      <c r="B3647" t="s">
        <v>15778</v>
      </c>
    </row>
    <row r="3648" spans="1:2" x14ac:dyDescent="0.25">
      <c r="A3648" t="s">
        <v>15779</v>
      </c>
      <c r="B3648" t="s">
        <v>15780</v>
      </c>
    </row>
    <row r="3649" spans="1:2" x14ac:dyDescent="0.25">
      <c r="A3649" t="s">
        <v>15781</v>
      </c>
      <c r="B3649" t="s">
        <v>15782</v>
      </c>
    </row>
    <row r="3650" spans="1:2" x14ac:dyDescent="0.25">
      <c r="A3650" t="s">
        <v>15783</v>
      </c>
      <c r="B3650" t="s">
        <v>15784</v>
      </c>
    </row>
    <row r="3651" spans="1:2" x14ac:dyDescent="0.25">
      <c r="A3651" t="s">
        <v>15785</v>
      </c>
      <c r="B3651" t="s">
        <v>15786</v>
      </c>
    </row>
    <row r="3652" spans="1:2" x14ac:dyDescent="0.25">
      <c r="A3652" t="s">
        <v>15787</v>
      </c>
      <c r="B3652" t="s">
        <v>15788</v>
      </c>
    </row>
    <row r="3653" spans="1:2" x14ac:dyDescent="0.25">
      <c r="A3653" t="s">
        <v>15789</v>
      </c>
      <c r="B3653" t="s">
        <v>15790</v>
      </c>
    </row>
    <row r="3654" spans="1:2" x14ac:dyDescent="0.25">
      <c r="A3654" t="s">
        <v>15791</v>
      </c>
      <c r="B3654" t="s">
        <v>15792</v>
      </c>
    </row>
    <row r="3655" spans="1:2" x14ac:dyDescent="0.25">
      <c r="A3655" t="s">
        <v>15793</v>
      </c>
      <c r="B3655" t="s">
        <v>15794</v>
      </c>
    </row>
    <row r="3656" spans="1:2" x14ac:dyDescent="0.25">
      <c r="A3656" t="s">
        <v>15795</v>
      </c>
      <c r="B3656" t="s">
        <v>15796</v>
      </c>
    </row>
    <row r="3657" spans="1:2" x14ac:dyDescent="0.25">
      <c r="A3657" t="s">
        <v>15797</v>
      </c>
      <c r="B3657" t="s">
        <v>15798</v>
      </c>
    </row>
    <row r="3658" spans="1:2" x14ac:dyDescent="0.25">
      <c r="A3658" t="s">
        <v>15799</v>
      </c>
      <c r="B3658" t="s">
        <v>15800</v>
      </c>
    </row>
    <row r="3659" spans="1:2" x14ac:dyDescent="0.25">
      <c r="A3659" t="s">
        <v>15801</v>
      </c>
      <c r="B3659" t="s">
        <v>15802</v>
      </c>
    </row>
    <row r="3660" spans="1:2" x14ac:dyDescent="0.25">
      <c r="A3660" t="s">
        <v>15803</v>
      </c>
      <c r="B3660" t="s">
        <v>15804</v>
      </c>
    </row>
    <row r="3661" spans="1:2" x14ac:dyDescent="0.25">
      <c r="A3661" t="s">
        <v>15805</v>
      </c>
      <c r="B3661" t="s">
        <v>15806</v>
      </c>
    </row>
    <row r="3662" spans="1:2" x14ac:dyDescent="0.25">
      <c r="A3662" t="s">
        <v>15807</v>
      </c>
      <c r="B3662" t="s">
        <v>15808</v>
      </c>
    </row>
    <row r="3663" spans="1:2" x14ac:dyDescent="0.25">
      <c r="A3663" t="s">
        <v>15809</v>
      </c>
      <c r="B3663" t="s">
        <v>15810</v>
      </c>
    </row>
    <row r="3664" spans="1:2" x14ac:dyDescent="0.25">
      <c r="A3664" t="s">
        <v>15811</v>
      </c>
      <c r="B3664" t="s">
        <v>15812</v>
      </c>
    </row>
    <row r="3665" spans="1:2" x14ac:dyDescent="0.25">
      <c r="A3665" t="s">
        <v>15813</v>
      </c>
      <c r="B3665" t="s">
        <v>15814</v>
      </c>
    </row>
    <row r="3666" spans="1:2" x14ac:dyDescent="0.25">
      <c r="A3666" t="s">
        <v>15815</v>
      </c>
      <c r="B3666" t="s">
        <v>15816</v>
      </c>
    </row>
    <row r="3667" spans="1:2" x14ac:dyDescent="0.25">
      <c r="A3667" t="s">
        <v>15817</v>
      </c>
      <c r="B3667" t="s">
        <v>15818</v>
      </c>
    </row>
    <row r="3668" spans="1:2" x14ac:dyDescent="0.25">
      <c r="A3668" t="s">
        <v>15819</v>
      </c>
      <c r="B3668" t="s">
        <v>15820</v>
      </c>
    </row>
    <row r="3669" spans="1:2" x14ac:dyDescent="0.25">
      <c r="A3669" t="s">
        <v>15821</v>
      </c>
      <c r="B3669" t="s">
        <v>15822</v>
      </c>
    </row>
    <row r="3670" spans="1:2" x14ac:dyDescent="0.25">
      <c r="A3670" t="s">
        <v>2886</v>
      </c>
      <c r="B3670" t="s">
        <v>15823</v>
      </c>
    </row>
    <row r="3671" spans="1:2" x14ac:dyDescent="0.25">
      <c r="A3671" t="s">
        <v>15824</v>
      </c>
      <c r="B3671" t="s">
        <v>15825</v>
      </c>
    </row>
    <row r="3672" spans="1:2" x14ac:dyDescent="0.25">
      <c r="A3672" t="s">
        <v>15826</v>
      </c>
      <c r="B3672" t="s">
        <v>15827</v>
      </c>
    </row>
    <row r="3673" spans="1:2" x14ac:dyDescent="0.25">
      <c r="A3673" t="s">
        <v>15828</v>
      </c>
      <c r="B3673" t="s">
        <v>15829</v>
      </c>
    </row>
    <row r="3674" spans="1:2" x14ac:dyDescent="0.25">
      <c r="A3674" t="s">
        <v>15830</v>
      </c>
      <c r="B3674" t="s">
        <v>15831</v>
      </c>
    </row>
    <row r="3675" spans="1:2" x14ac:dyDescent="0.25">
      <c r="A3675" t="s">
        <v>15832</v>
      </c>
      <c r="B3675" t="s">
        <v>15833</v>
      </c>
    </row>
    <row r="3676" spans="1:2" x14ac:dyDescent="0.25">
      <c r="A3676" t="s">
        <v>15834</v>
      </c>
      <c r="B3676" t="s">
        <v>15835</v>
      </c>
    </row>
    <row r="3677" spans="1:2" x14ac:dyDescent="0.25">
      <c r="A3677" t="s">
        <v>15836</v>
      </c>
      <c r="B3677" t="s">
        <v>15837</v>
      </c>
    </row>
    <row r="3678" spans="1:2" x14ac:dyDescent="0.25">
      <c r="A3678" t="s">
        <v>15838</v>
      </c>
      <c r="B3678" t="s">
        <v>15839</v>
      </c>
    </row>
    <row r="3679" spans="1:2" x14ac:dyDescent="0.25">
      <c r="A3679" t="s">
        <v>15840</v>
      </c>
      <c r="B3679" t="s">
        <v>15841</v>
      </c>
    </row>
    <row r="3680" spans="1:2" x14ac:dyDescent="0.25">
      <c r="A3680" t="s">
        <v>15842</v>
      </c>
      <c r="B3680" t="s">
        <v>15843</v>
      </c>
    </row>
    <row r="3681" spans="1:2" x14ac:dyDescent="0.25">
      <c r="A3681" t="s">
        <v>15844</v>
      </c>
      <c r="B3681" t="s">
        <v>15845</v>
      </c>
    </row>
    <row r="3682" spans="1:2" x14ac:dyDescent="0.25">
      <c r="A3682" t="s">
        <v>15846</v>
      </c>
      <c r="B3682" t="s">
        <v>15847</v>
      </c>
    </row>
    <row r="3683" spans="1:2" x14ac:dyDescent="0.25">
      <c r="A3683" t="s">
        <v>15848</v>
      </c>
      <c r="B3683" t="s">
        <v>15849</v>
      </c>
    </row>
    <row r="3684" spans="1:2" x14ac:dyDescent="0.25">
      <c r="A3684" t="s">
        <v>15850</v>
      </c>
      <c r="B3684" t="s">
        <v>15851</v>
      </c>
    </row>
    <row r="3685" spans="1:2" x14ac:dyDescent="0.25">
      <c r="A3685" t="s">
        <v>15852</v>
      </c>
      <c r="B3685" t="s">
        <v>15853</v>
      </c>
    </row>
    <row r="3686" spans="1:2" x14ac:dyDescent="0.25">
      <c r="A3686" t="s">
        <v>15854</v>
      </c>
      <c r="B3686" t="s">
        <v>15855</v>
      </c>
    </row>
    <row r="3687" spans="1:2" x14ac:dyDescent="0.25">
      <c r="A3687" t="s">
        <v>15856</v>
      </c>
      <c r="B3687" t="s">
        <v>15857</v>
      </c>
    </row>
    <row r="3688" spans="1:2" x14ac:dyDescent="0.25">
      <c r="A3688" t="s">
        <v>2439</v>
      </c>
      <c r="B3688" t="s">
        <v>15858</v>
      </c>
    </row>
    <row r="3689" spans="1:2" x14ac:dyDescent="0.25">
      <c r="A3689" t="s">
        <v>15859</v>
      </c>
      <c r="B3689" t="s">
        <v>15860</v>
      </c>
    </row>
    <row r="3690" spans="1:2" x14ac:dyDescent="0.25">
      <c r="A3690" t="s">
        <v>15861</v>
      </c>
      <c r="B3690" t="s">
        <v>15862</v>
      </c>
    </row>
    <row r="3691" spans="1:2" x14ac:dyDescent="0.25">
      <c r="A3691" t="s">
        <v>15863</v>
      </c>
      <c r="B3691" t="s">
        <v>15864</v>
      </c>
    </row>
    <row r="3692" spans="1:2" x14ac:dyDescent="0.25">
      <c r="A3692" t="s">
        <v>15865</v>
      </c>
      <c r="B3692" t="s">
        <v>15866</v>
      </c>
    </row>
    <row r="3693" spans="1:2" x14ac:dyDescent="0.25">
      <c r="A3693" t="s">
        <v>15867</v>
      </c>
      <c r="B3693" t="s">
        <v>15868</v>
      </c>
    </row>
    <row r="3694" spans="1:2" x14ac:dyDescent="0.25">
      <c r="A3694" t="s">
        <v>15869</v>
      </c>
      <c r="B3694" t="s">
        <v>15870</v>
      </c>
    </row>
    <row r="3695" spans="1:2" x14ac:dyDescent="0.25">
      <c r="A3695" t="s">
        <v>15871</v>
      </c>
      <c r="B3695" t="s">
        <v>15872</v>
      </c>
    </row>
    <row r="3696" spans="1:2" x14ac:dyDescent="0.25">
      <c r="A3696" t="s">
        <v>15873</v>
      </c>
      <c r="B3696" t="s">
        <v>15874</v>
      </c>
    </row>
    <row r="3697" spans="1:2" x14ac:dyDescent="0.25">
      <c r="A3697" t="s">
        <v>15875</v>
      </c>
      <c r="B3697" t="s">
        <v>15876</v>
      </c>
    </row>
    <row r="3698" spans="1:2" x14ac:dyDescent="0.25">
      <c r="A3698" t="s">
        <v>15877</v>
      </c>
      <c r="B3698" t="s">
        <v>15878</v>
      </c>
    </row>
    <row r="3699" spans="1:2" x14ac:dyDescent="0.25">
      <c r="A3699" t="s">
        <v>15879</v>
      </c>
      <c r="B3699" t="s">
        <v>15880</v>
      </c>
    </row>
    <row r="3700" spans="1:2" x14ac:dyDescent="0.25">
      <c r="A3700" t="s">
        <v>15881</v>
      </c>
      <c r="B3700" t="s">
        <v>15882</v>
      </c>
    </row>
    <row r="3701" spans="1:2" x14ac:dyDescent="0.25">
      <c r="A3701" t="s">
        <v>579</v>
      </c>
      <c r="B3701" t="s">
        <v>15883</v>
      </c>
    </row>
    <row r="3702" spans="1:2" x14ac:dyDescent="0.25">
      <c r="A3702" t="s">
        <v>581</v>
      </c>
      <c r="B3702" t="s">
        <v>15884</v>
      </c>
    </row>
    <row r="3703" spans="1:2" x14ac:dyDescent="0.25">
      <c r="A3703" t="s">
        <v>87</v>
      </c>
      <c r="B3703" t="s">
        <v>15885</v>
      </c>
    </row>
    <row r="3704" spans="1:2" x14ac:dyDescent="0.25">
      <c r="A3704" t="s">
        <v>15886</v>
      </c>
      <c r="B3704" t="s">
        <v>15887</v>
      </c>
    </row>
    <row r="3705" spans="1:2" x14ac:dyDescent="0.25">
      <c r="A3705" t="s">
        <v>15888</v>
      </c>
      <c r="B3705" t="s">
        <v>15889</v>
      </c>
    </row>
    <row r="3706" spans="1:2" x14ac:dyDescent="0.25">
      <c r="A3706" t="s">
        <v>15890</v>
      </c>
      <c r="B3706" t="s">
        <v>15891</v>
      </c>
    </row>
    <row r="3707" spans="1:2" x14ac:dyDescent="0.25">
      <c r="A3707" t="s">
        <v>15892</v>
      </c>
      <c r="B3707" t="s">
        <v>15893</v>
      </c>
    </row>
    <row r="3708" spans="1:2" x14ac:dyDescent="0.25">
      <c r="A3708" t="s">
        <v>15894</v>
      </c>
      <c r="B3708" t="s">
        <v>15895</v>
      </c>
    </row>
    <row r="3709" spans="1:2" x14ac:dyDescent="0.25">
      <c r="A3709" t="s">
        <v>15896</v>
      </c>
      <c r="B3709" t="s">
        <v>15897</v>
      </c>
    </row>
    <row r="3710" spans="1:2" x14ac:dyDescent="0.25">
      <c r="A3710" t="s">
        <v>15898</v>
      </c>
      <c r="B3710" t="s">
        <v>15899</v>
      </c>
    </row>
    <row r="3711" spans="1:2" x14ac:dyDescent="0.25">
      <c r="A3711" t="s">
        <v>89</v>
      </c>
      <c r="B3711" t="s">
        <v>15900</v>
      </c>
    </row>
    <row r="3712" spans="1:2" x14ac:dyDescent="0.25">
      <c r="A3712" t="s">
        <v>15901</v>
      </c>
      <c r="B3712" t="s">
        <v>15902</v>
      </c>
    </row>
    <row r="3713" spans="1:2" x14ac:dyDescent="0.25">
      <c r="A3713" t="s">
        <v>15903</v>
      </c>
      <c r="B3713" t="s">
        <v>15904</v>
      </c>
    </row>
    <row r="3714" spans="1:2" x14ac:dyDescent="0.25">
      <c r="A3714" t="s">
        <v>15905</v>
      </c>
      <c r="B3714" t="s">
        <v>12519</v>
      </c>
    </row>
    <row r="3715" spans="1:2" x14ac:dyDescent="0.25">
      <c r="A3715" t="s">
        <v>15906</v>
      </c>
      <c r="B3715" t="s">
        <v>15907</v>
      </c>
    </row>
    <row r="3716" spans="1:2" x14ac:dyDescent="0.25">
      <c r="A3716" t="s">
        <v>15908</v>
      </c>
      <c r="B3716" t="s">
        <v>15909</v>
      </c>
    </row>
    <row r="3717" spans="1:2" x14ac:dyDescent="0.25">
      <c r="A3717" t="s">
        <v>15910</v>
      </c>
      <c r="B3717" t="s">
        <v>15911</v>
      </c>
    </row>
    <row r="3718" spans="1:2" x14ac:dyDescent="0.25">
      <c r="A3718" t="s">
        <v>15912</v>
      </c>
      <c r="B3718" t="s">
        <v>15913</v>
      </c>
    </row>
    <row r="3719" spans="1:2" x14ac:dyDescent="0.25">
      <c r="A3719" t="s">
        <v>15914</v>
      </c>
      <c r="B3719" t="s">
        <v>15915</v>
      </c>
    </row>
    <row r="3720" spans="1:2" x14ac:dyDescent="0.25">
      <c r="A3720" t="s">
        <v>91</v>
      </c>
      <c r="B3720" t="s">
        <v>15916</v>
      </c>
    </row>
    <row r="3721" spans="1:2" x14ac:dyDescent="0.25">
      <c r="A3721" t="s">
        <v>15917</v>
      </c>
      <c r="B3721" t="s">
        <v>15918</v>
      </c>
    </row>
    <row r="3722" spans="1:2" x14ac:dyDescent="0.25">
      <c r="A3722" t="s">
        <v>15919</v>
      </c>
      <c r="B3722" t="s">
        <v>15920</v>
      </c>
    </row>
    <row r="3723" spans="1:2" x14ac:dyDescent="0.25">
      <c r="A3723" t="s">
        <v>15921</v>
      </c>
      <c r="B3723" t="s">
        <v>15922</v>
      </c>
    </row>
    <row r="3724" spans="1:2" x14ac:dyDescent="0.25">
      <c r="A3724" t="s">
        <v>15923</v>
      </c>
      <c r="B3724" t="s">
        <v>15924</v>
      </c>
    </row>
    <row r="3725" spans="1:2" x14ac:dyDescent="0.25">
      <c r="A3725" t="s">
        <v>15925</v>
      </c>
      <c r="B3725" t="s">
        <v>15926</v>
      </c>
    </row>
    <row r="3726" spans="1:2" x14ac:dyDescent="0.25">
      <c r="A3726" t="s">
        <v>15927</v>
      </c>
      <c r="B3726" t="s">
        <v>15928</v>
      </c>
    </row>
    <row r="3727" spans="1:2" x14ac:dyDescent="0.25">
      <c r="A3727" t="s">
        <v>15929</v>
      </c>
      <c r="B3727" t="s">
        <v>15930</v>
      </c>
    </row>
    <row r="3728" spans="1:2" x14ac:dyDescent="0.25">
      <c r="A3728" t="s">
        <v>15931</v>
      </c>
      <c r="B3728" t="s">
        <v>15932</v>
      </c>
    </row>
    <row r="3729" spans="1:2" x14ac:dyDescent="0.25">
      <c r="A3729" t="s">
        <v>15933</v>
      </c>
      <c r="B3729" t="s">
        <v>15934</v>
      </c>
    </row>
    <row r="3730" spans="1:2" x14ac:dyDescent="0.25">
      <c r="A3730" t="s">
        <v>15935</v>
      </c>
      <c r="B3730" t="s">
        <v>15936</v>
      </c>
    </row>
    <row r="3731" spans="1:2" x14ac:dyDescent="0.25">
      <c r="A3731" t="s">
        <v>15937</v>
      </c>
      <c r="B3731" t="s">
        <v>15938</v>
      </c>
    </row>
    <row r="3732" spans="1:2" x14ac:dyDescent="0.25">
      <c r="A3732" t="s">
        <v>15939</v>
      </c>
      <c r="B3732" t="s">
        <v>15940</v>
      </c>
    </row>
    <row r="3733" spans="1:2" x14ac:dyDescent="0.25">
      <c r="A3733" t="s">
        <v>15941</v>
      </c>
      <c r="B3733" t="s">
        <v>15942</v>
      </c>
    </row>
    <row r="3734" spans="1:2" x14ac:dyDescent="0.25">
      <c r="A3734" t="s">
        <v>15943</v>
      </c>
      <c r="B3734" t="s">
        <v>15944</v>
      </c>
    </row>
    <row r="3735" spans="1:2" x14ac:dyDescent="0.25">
      <c r="A3735" t="s">
        <v>15945</v>
      </c>
      <c r="B3735" t="s">
        <v>15946</v>
      </c>
    </row>
    <row r="3736" spans="1:2" x14ac:dyDescent="0.25">
      <c r="A3736" t="s">
        <v>15947</v>
      </c>
      <c r="B3736" t="s">
        <v>15948</v>
      </c>
    </row>
    <row r="3737" spans="1:2" x14ac:dyDescent="0.25">
      <c r="A3737" t="s">
        <v>15949</v>
      </c>
      <c r="B3737" t="s">
        <v>15950</v>
      </c>
    </row>
    <row r="3738" spans="1:2" x14ac:dyDescent="0.25">
      <c r="A3738" t="s">
        <v>15951</v>
      </c>
      <c r="B3738" t="s">
        <v>15952</v>
      </c>
    </row>
    <row r="3739" spans="1:2" x14ac:dyDescent="0.25">
      <c r="A3739" t="s">
        <v>15953</v>
      </c>
      <c r="B3739" t="s">
        <v>15954</v>
      </c>
    </row>
    <row r="3740" spans="1:2" x14ac:dyDescent="0.25">
      <c r="A3740" t="s">
        <v>15955</v>
      </c>
      <c r="B3740" t="s">
        <v>15956</v>
      </c>
    </row>
    <row r="3741" spans="1:2" x14ac:dyDescent="0.25">
      <c r="A3741" t="s">
        <v>15957</v>
      </c>
      <c r="B3741" t="s">
        <v>15958</v>
      </c>
    </row>
    <row r="3742" spans="1:2" x14ac:dyDescent="0.25">
      <c r="A3742" t="s">
        <v>15959</v>
      </c>
      <c r="B3742" t="s">
        <v>15960</v>
      </c>
    </row>
    <row r="3743" spans="1:2" x14ac:dyDescent="0.25">
      <c r="A3743" t="s">
        <v>15961</v>
      </c>
      <c r="B3743" t="s">
        <v>15962</v>
      </c>
    </row>
    <row r="3744" spans="1:2" x14ac:dyDescent="0.25">
      <c r="A3744" t="s">
        <v>15963</v>
      </c>
      <c r="B3744" t="s">
        <v>15964</v>
      </c>
    </row>
    <row r="3745" spans="1:2" x14ac:dyDescent="0.25">
      <c r="A3745" t="s">
        <v>15965</v>
      </c>
      <c r="B3745" t="s">
        <v>15966</v>
      </c>
    </row>
    <row r="3746" spans="1:2" x14ac:dyDescent="0.25">
      <c r="A3746" t="s">
        <v>15967</v>
      </c>
      <c r="B3746" t="s">
        <v>15968</v>
      </c>
    </row>
    <row r="3747" spans="1:2" x14ac:dyDescent="0.25">
      <c r="A3747" t="s">
        <v>15969</v>
      </c>
      <c r="B3747" t="s">
        <v>15970</v>
      </c>
    </row>
    <row r="3748" spans="1:2" x14ac:dyDescent="0.25">
      <c r="A3748" t="s">
        <v>15971</v>
      </c>
      <c r="B3748" t="s">
        <v>15972</v>
      </c>
    </row>
    <row r="3749" spans="1:2" x14ac:dyDescent="0.25">
      <c r="A3749" t="s">
        <v>15973</v>
      </c>
      <c r="B3749" t="s">
        <v>15974</v>
      </c>
    </row>
    <row r="3750" spans="1:2" x14ac:dyDescent="0.25">
      <c r="A3750" t="s">
        <v>15975</v>
      </c>
      <c r="B3750" t="s">
        <v>15976</v>
      </c>
    </row>
    <row r="3751" spans="1:2" x14ac:dyDescent="0.25">
      <c r="A3751" t="s">
        <v>15977</v>
      </c>
      <c r="B3751" t="s">
        <v>15978</v>
      </c>
    </row>
    <row r="3752" spans="1:2" x14ac:dyDescent="0.25">
      <c r="A3752" t="s">
        <v>15979</v>
      </c>
      <c r="B3752" t="s">
        <v>15980</v>
      </c>
    </row>
    <row r="3753" spans="1:2" x14ac:dyDescent="0.25">
      <c r="A3753" t="s">
        <v>15981</v>
      </c>
      <c r="B3753" t="s">
        <v>15982</v>
      </c>
    </row>
    <row r="3754" spans="1:2" x14ac:dyDescent="0.25">
      <c r="A3754" t="s">
        <v>15983</v>
      </c>
      <c r="B3754" t="s">
        <v>15984</v>
      </c>
    </row>
    <row r="3755" spans="1:2" x14ac:dyDescent="0.25">
      <c r="A3755" t="s">
        <v>15985</v>
      </c>
      <c r="B3755" t="s">
        <v>15986</v>
      </c>
    </row>
    <row r="3756" spans="1:2" x14ac:dyDescent="0.25">
      <c r="A3756" t="s">
        <v>15987</v>
      </c>
      <c r="B3756" t="s">
        <v>15988</v>
      </c>
    </row>
    <row r="3757" spans="1:2" x14ac:dyDescent="0.25">
      <c r="A3757" t="s">
        <v>92</v>
      </c>
      <c r="B3757" t="s">
        <v>15989</v>
      </c>
    </row>
    <row r="3758" spans="1:2" x14ac:dyDescent="0.25">
      <c r="A3758" t="s">
        <v>15990</v>
      </c>
      <c r="B3758" t="s">
        <v>15991</v>
      </c>
    </row>
    <row r="3759" spans="1:2" x14ac:dyDescent="0.25">
      <c r="A3759" t="s">
        <v>15992</v>
      </c>
      <c r="B3759" t="s">
        <v>15993</v>
      </c>
    </row>
    <row r="3760" spans="1:2" x14ac:dyDescent="0.25">
      <c r="A3760" t="s">
        <v>15994</v>
      </c>
      <c r="B3760" t="s">
        <v>15995</v>
      </c>
    </row>
    <row r="3761" spans="1:2" x14ac:dyDescent="0.25">
      <c r="A3761" t="s">
        <v>15996</v>
      </c>
      <c r="B3761" t="s">
        <v>15997</v>
      </c>
    </row>
    <row r="3762" spans="1:2" x14ac:dyDescent="0.25">
      <c r="A3762" t="s">
        <v>15998</v>
      </c>
      <c r="B3762" t="s">
        <v>15999</v>
      </c>
    </row>
    <row r="3763" spans="1:2" x14ac:dyDescent="0.25">
      <c r="A3763" t="s">
        <v>16000</v>
      </c>
      <c r="B3763" t="s">
        <v>16001</v>
      </c>
    </row>
    <row r="3764" spans="1:2" x14ac:dyDescent="0.25">
      <c r="A3764" t="s">
        <v>16002</v>
      </c>
      <c r="B3764" t="s">
        <v>16003</v>
      </c>
    </row>
    <row r="3765" spans="1:2" x14ac:dyDescent="0.25">
      <c r="A3765" t="s">
        <v>16004</v>
      </c>
      <c r="B3765" t="s">
        <v>16005</v>
      </c>
    </row>
    <row r="3766" spans="1:2" x14ac:dyDescent="0.25">
      <c r="A3766" t="s">
        <v>16006</v>
      </c>
      <c r="B3766" t="s">
        <v>16007</v>
      </c>
    </row>
    <row r="3767" spans="1:2" x14ac:dyDescent="0.25">
      <c r="A3767" t="s">
        <v>16008</v>
      </c>
      <c r="B3767" t="s">
        <v>16009</v>
      </c>
    </row>
    <row r="3768" spans="1:2" x14ac:dyDescent="0.25">
      <c r="A3768" t="s">
        <v>16010</v>
      </c>
      <c r="B3768" t="s">
        <v>16011</v>
      </c>
    </row>
    <row r="3769" spans="1:2" x14ac:dyDescent="0.25">
      <c r="A3769" t="s">
        <v>16012</v>
      </c>
      <c r="B3769" t="s">
        <v>16013</v>
      </c>
    </row>
    <row r="3770" spans="1:2" x14ac:dyDescent="0.25">
      <c r="A3770" t="s">
        <v>16014</v>
      </c>
      <c r="B3770" t="s">
        <v>16015</v>
      </c>
    </row>
    <row r="3771" spans="1:2" x14ac:dyDescent="0.25">
      <c r="A3771" t="s">
        <v>16016</v>
      </c>
      <c r="B3771" t="s">
        <v>16017</v>
      </c>
    </row>
    <row r="3772" spans="1:2" x14ac:dyDescent="0.25">
      <c r="A3772" t="s">
        <v>16018</v>
      </c>
      <c r="B3772" t="s">
        <v>16019</v>
      </c>
    </row>
    <row r="3773" spans="1:2" x14ac:dyDescent="0.25">
      <c r="A3773" t="s">
        <v>16020</v>
      </c>
      <c r="B3773" t="s">
        <v>16021</v>
      </c>
    </row>
    <row r="3774" spans="1:2" x14ac:dyDescent="0.25">
      <c r="A3774" t="s">
        <v>16022</v>
      </c>
      <c r="B3774" t="s">
        <v>16023</v>
      </c>
    </row>
    <row r="3775" spans="1:2" x14ac:dyDescent="0.25">
      <c r="A3775" t="s">
        <v>16024</v>
      </c>
      <c r="B3775" t="s">
        <v>16025</v>
      </c>
    </row>
    <row r="3776" spans="1:2" x14ac:dyDescent="0.25">
      <c r="A3776" t="s">
        <v>16026</v>
      </c>
      <c r="B3776" t="s">
        <v>16027</v>
      </c>
    </row>
    <row r="3777" spans="1:2" x14ac:dyDescent="0.25">
      <c r="A3777" t="s">
        <v>16028</v>
      </c>
      <c r="B3777" t="s">
        <v>16029</v>
      </c>
    </row>
    <row r="3778" spans="1:2" x14ac:dyDescent="0.25">
      <c r="A3778" t="s">
        <v>16030</v>
      </c>
      <c r="B3778" t="s">
        <v>16031</v>
      </c>
    </row>
    <row r="3779" spans="1:2" x14ac:dyDescent="0.25">
      <c r="A3779" t="s">
        <v>16032</v>
      </c>
      <c r="B3779" t="s">
        <v>16033</v>
      </c>
    </row>
    <row r="3780" spans="1:2" x14ac:dyDescent="0.25">
      <c r="A3780" t="s">
        <v>16034</v>
      </c>
      <c r="B3780" t="s">
        <v>16035</v>
      </c>
    </row>
    <row r="3781" spans="1:2" x14ac:dyDescent="0.25">
      <c r="A3781" t="s">
        <v>16036</v>
      </c>
      <c r="B3781" t="s">
        <v>16037</v>
      </c>
    </row>
    <row r="3782" spans="1:2" x14ac:dyDescent="0.25">
      <c r="A3782" t="s">
        <v>16038</v>
      </c>
      <c r="B3782" t="s">
        <v>16039</v>
      </c>
    </row>
    <row r="3783" spans="1:2" x14ac:dyDescent="0.25">
      <c r="A3783" t="s">
        <v>16040</v>
      </c>
      <c r="B3783" t="s">
        <v>16041</v>
      </c>
    </row>
    <row r="3784" spans="1:2" x14ac:dyDescent="0.25">
      <c r="A3784" t="s">
        <v>16042</v>
      </c>
      <c r="B3784" t="s">
        <v>16043</v>
      </c>
    </row>
    <row r="3785" spans="1:2" x14ac:dyDescent="0.25">
      <c r="A3785" t="s">
        <v>16044</v>
      </c>
      <c r="B3785" t="s">
        <v>16045</v>
      </c>
    </row>
    <row r="3786" spans="1:2" x14ac:dyDescent="0.25">
      <c r="A3786" t="s">
        <v>16046</v>
      </c>
      <c r="B3786" t="s">
        <v>16047</v>
      </c>
    </row>
    <row r="3787" spans="1:2" x14ac:dyDescent="0.25">
      <c r="A3787" t="s">
        <v>16048</v>
      </c>
      <c r="B3787" t="s">
        <v>16049</v>
      </c>
    </row>
    <row r="3788" spans="1:2" x14ac:dyDescent="0.25">
      <c r="A3788" t="s">
        <v>16050</v>
      </c>
      <c r="B3788" t="s">
        <v>16051</v>
      </c>
    </row>
    <row r="3789" spans="1:2" x14ac:dyDescent="0.25">
      <c r="A3789" t="s">
        <v>16052</v>
      </c>
      <c r="B3789" t="s">
        <v>16053</v>
      </c>
    </row>
    <row r="3790" spans="1:2" x14ac:dyDescent="0.25">
      <c r="A3790" t="s">
        <v>16054</v>
      </c>
      <c r="B3790" t="s">
        <v>16055</v>
      </c>
    </row>
    <row r="3791" spans="1:2" x14ac:dyDescent="0.25">
      <c r="A3791" t="s">
        <v>16056</v>
      </c>
      <c r="B3791" t="s">
        <v>16057</v>
      </c>
    </row>
    <row r="3792" spans="1:2" x14ac:dyDescent="0.25">
      <c r="A3792" t="s">
        <v>16058</v>
      </c>
      <c r="B3792" t="s">
        <v>16059</v>
      </c>
    </row>
    <row r="3793" spans="1:2" x14ac:dyDescent="0.25">
      <c r="A3793" t="s">
        <v>16060</v>
      </c>
      <c r="B3793" t="s">
        <v>16061</v>
      </c>
    </row>
    <row r="3794" spans="1:2" x14ac:dyDescent="0.25">
      <c r="A3794" t="s">
        <v>182</v>
      </c>
      <c r="B3794" t="s">
        <v>16062</v>
      </c>
    </row>
    <row r="3795" spans="1:2" x14ac:dyDescent="0.25">
      <c r="A3795" t="s">
        <v>16063</v>
      </c>
      <c r="B3795" t="s">
        <v>16064</v>
      </c>
    </row>
    <row r="3796" spans="1:2" x14ac:dyDescent="0.25">
      <c r="A3796" t="s">
        <v>16065</v>
      </c>
      <c r="B3796" t="s">
        <v>16066</v>
      </c>
    </row>
    <row r="3797" spans="1:2" x14ac:dyDescent="0.25">
      <c r="A3797" t="s">
        <v>16067</v>
      </c>
      <c r="B3797" t="s">
        <v>16068</v>
      </c>
    </row>
    <row r="3798" spans="1:2" x14ac:dyDescent="0.25">
      <c r="A3798" t="s">
        <v>16069</v>
      </c>
      <c r="B3798" t="s">
        <v>16070</v>
      </c>
    </row>
    <row r="3799" spans="1:2" x14ac:dyDescent="0.25">
      <c r="A3799" t="s">
        <v>16071</v>
      </c>
      <c r="B3799" t="s">
        <v>16072</v>
      </c>
    </row>
    <row r="3800" spans="1:2" x14ac:dyDescent="0.25">
      <c r="A3800" t="s">
        <v>16073</v>
      </c>
      <c r="B3800" t="s">
        <v>16074</v>
      </c>
    </row>
    <row r="3801" spans="1:2" x14ac:dyDescent="0.25">
      <c r="A3801" t="s">
        <v>16075</v>
      </c>
      <c r="B3801" t="s">
        <v>16076</v>
      </c>
    </row>
    <row r="3802" spans="1:2" x14ac:dyDescent="0.25">
      <c r="A3802" t="s">
        <v>16077</v>
      </c>
      <c r="B3802" t="s">
        <v>16078</v>
      </c>
    </row>
    <row r="3803" spans="1:2" x14ac:dyDescent="0.25">
      <c r="A3803" t="s">
        <v>16079</v>
      </c>
      <c r="B3803" t="s">
        <v>16080</v>
      </c>
    </row>
    <row r="3804" spans="1:2" x14ac:dyDescent="0.25">
      <c r="A3804" t="s">
        <v>16081</v>
      </c>
      <c r="B3804" t="s">
        <v>16082</v>
      </c>
    </row>
    <row r="3805" spans="1:2" x14ac:dyDescent="0.25">
      <c r="A3805" t="s">
        <v>16083</v>
      </c>
      <c r="B3805" t="s">
        <v>16084</v>
      </c>
    </row>
    <row r="3806" spans="1:2" x14ac:dyDescent="0.25">
      <c r="A3806" t="s">
        <v>16085</v>
      </c>
      <c r="B3806" t="s">
        <v>16086</v>
      </c>
    </row>
    <row r="3807" spans="1:2" x14ac:dyDescent="0.25">
      <c r="A3807" t="s">
        <v>16087</v>
      </c>
      <c r="B3807" t="s">
        <v>16088</v>
      </c>
    </row>
    <row r="3808" spans="1:2" x14ac:dyDescent="0.25">
      <c r="A3808" t="s">
        <v>16089</v>
      </c>
      <c r="B3808" t="s">
        <v>16090</v>
      </c>
    </row>
    <row r="3809" spans="1:2" x14ac:dyDescent="0.25">
      <c r="A3809" t="s">
        <v>16091</v>
      </c>
      <c r="B3809" t="s">
        <v>16092</v>
      </c>
    </row>
    <row r="3810" spans="1:2" x14ac:dyDescent="0.25">
      <c r="A3810" t="s">
        <v>16093</v>
      </c>
      <c r="B3810" t="s">
        <v>16094</v>
      </c>
    </row>
    <row r="3811" spans="1:2" x14ac:dyDescent="0.25">
      <c r="A3811" t="s">
        <v>16095</v>
      </c>
      <c r="B3811" t="s">
        <v>16096</v>
      </c>
    </row>
    <row r="3812" spans="1:2" x14ac:dyDescent="0.25">
      <c r="A3812" t="s">
        <v>16097</v>
      </c>
      <c r="B3812" t="s">
        <v>16098</v>
      </c>
    </row>
    <row r="3813" spans="1:2" x14ac:dyDescent="0.25">
      <c r="A3813" t="s">
        <v>16099</v>
      </c>
      <c r="B3813" t="s">
        <v>16100</v>
      </c>
    </row>
    <row r="3814" spans="1:2" x14ac:dyDescent="0.25">
      <c r="A3814" t="s">
        <v>16101</v>
      </c>
      <c r="B3814" t="s">
        <v>16102</v>
      </c>
    </row>
    <row r="3815" spans="1:2" x14ac:dyDescent="0.25">
      <c r="A3815" t="s">
        <v>16103</v>
      </c>
      <c r="B3815" t="s">
        <v>16104</v>
      </c>
    </row>
    <row r="3816" spans="1:2" x14ac:dyDescent="0.25">
      <c r="A3816" t="s">
        <v>16105</v>
      </c>
      <c r="B3816" t="s">
        <v>16106</v>
      </c>
    </row>
    <row r="3817" spans="1:2" x14ac:dyDescent="0.25">
      <c r="A3817" t="s">
        <v>16107</v>
      </c>
      <c r="B3817" t="s">
        <v>16108</v>
      </c>
    </row>
    <row r="3818" spans="1:2" x14ac:dyDescent="0.25">
      <c r="A3818" t="s">
        <v>16109</v>
      </c>
      <c r="B3818" t="s">
        <v>16110</v>
      </c>
    </row>
    <row r="3819" spans="1:2" x14ac:dyDescent="0.25">
      <c r="A3819" t="s">
        <v>16111</v>
      </c>
      <c r="B3819" t="s">
        <v>16112</v>
      </c>
    </row>
    <row r="3820" spans="1:2" x14ac:dyDescent="0.25">
      <c r="A3820" t="s">
        <v>16113</v>
      </c>
      <c r="B3820" t="s">
        <v>16114</v>
      </c>
    </row>
    <row r="3821" spans="1:2" x14ac:dyDescent="0.25">
      <c r="A3821" t="s">
        <v>16115</v>
      </c>
      <c r="B3821" t="s">
        <v>16116</v>
      </c>
    </row>
    <row r="3822" spans="1:2" x14ac:dyDescent="0.25">
      <c r="A3822" t="s">
        <v>16117</v>
      </c>
      <c r="B3822" t="s">
        <v>16118</v>
      </c>
    </row>
    <row r="3823" spans="1:2" x14ac:dyDescent="0.25">
      <c r="A3823" t="s">
        <v>16119</v>
      </c>
      <c r="B3823" t="s">
        <v>16120</v>
      </c>
    </row>
    <row r="3824" spans="1:2" x14ac:dyDescent="0.25">
      <c r="A3824" t="s">
        <v>16121</v>
      </c>
      <c r="B3824" t="s">
        <v>16122</v>
      </c>
    </row>
    <row r="3825" spans="1:2" x14ac:dyDescent="0.25">
      <c r="A3825" t="s">
        <v>16123</v>
      </c>
      <c r="B3825" t="s">
        <v>16124</v>
      </c>
    </row>
    <row r="3826" spans="1:2" x14ac:dyDescent="0.25">
      <c r="A3826" t="s">
        <v>16125</v>
      </c>
      <c r="B3826" t="s">
        <v>16126</v>
      </c>
    </row>
    <row r="3827" spans="1:2" x14ac:dyDescent="0.25">
      <c r="A3827" t="s">
        <v>16127</v>
      </c>
      <c r="B3827" t="s">
        <v>16128</v>
      </c>
    </row>
    <row r="3828" spans="1:2" x14ac:dyDescent="0.25">
      <c r="A3828" t="s">
        <v>16129</v>
      </c>
      <c r="B3828" t="s">
        <v>16130</v>
      </c>
    </row>
    <row r="3829" spans="1:2" x14ac:dyDescent="0.25">
      <c r="A3829" t="s">
        <v>16131</v>
      </c>
      <c r="B3829" t="s">
        <v>16132</v>
      </c>
    </row>
    <row r="3830" spans="1:2" x14ac:dyDescent="0.25">
      <c r="A3830" t="s">
        <v>16133</v>
      </c>
      <c r="B3830" t="s">
        <v>16134</v>
      </c>
    </row>
    <row r="3831" spans="1:2" x14ac:dyDescent="0.25">
      <c r="A3831" t="s">
        <v>16135</v>
      </c>
      <c r="B3831" t="s">
        <v>16136</v>
      </c>
    </row>
    <row r="3832" spans="1:2" x14ac:dyDescent="0.25">
      <c r="A3832" t="s">
        <v>16137</v>
      </c>
      <c r="B3832" t="s">
        <v>16138</v>
      </c>
    </row>
    <row r="3833" spans="1:2" x14ac:dyDescent="0.25">
      <c r="A3833" t="s">
        <v>16139</v>
      </c>
      <c r="B3833" t="s">
        <v>16140</v>
      </c>
    </row>
    <row r="3834" spans="1:2" x14ac:dyDescent="0.25">
      <c r="A3834" t="s">
        <v>16141</v>
      </c>
      <c r="B3834" t="s">
        <v>16142</v>
      </c>
    </row>
    <row r="3835" spans="1:2" x14ac:dyDescent="0.25">
      <c r="A3835" t="s">
        <v>16143</v>
      </c>
      <c r="B3835" t="s">
        <v>16144</v>
      </c>
    </row>
    <row r="3836" spans="1:2" x14ac:dyDescent="0.25">
      <c r="A3836" t="s">
        <v>16145</v>
      </c>
      <c r="B3836" t="s">
        <v>16146</v>
      </c>
    </row>
    <row r="3837" spans="1:2" x14ac:dyDescent="0.25">
      <c r="A3837" t="s">
        <v>16147</v>
      </c>
      <c r="B3837" t="s">
        <v>16148</v>
      </c>
    </row>
    <row r="3838" spans="1:2" x14ac:dyDescent="0.25">
      <c r="A3838" t="s">
        <v>16149</v>
      </c>
      <c r="B3838" t="s">
        <v>16150</v>
      </c>
    </row>
    <row r="3839" spans="1:2" x14ac:dyDescent="0.25">
      <c r="A3839" t="s">
        <v>16151</v>
      </c>
      <c r="B3839" t="s">
        <v>16152</v>
      </c>
    </row>
    <row r="3840" spans="1:2" x14ac:dyDescent="0.25">
      <c r="A3840" t="s">
        <v>93</v>
      </c>
      <c r="B3840" t="s">
        <v>16153</v>
      </c>
    </row>
    <row r="3841" spans="1:2" x14ac:dyDescent="0.25">
      <c r="A3841" t="s">
        <v>16154</v>
      </c>
      <c r="B3841" t="s">
        <v>16155</v>
      </c>
    </row>
    <row r="3842" spans="1:2" x14ac:dyDescent="0.25">
      <c r="A3842" t="s">
        <v>16156</v>
      </c>
      <c r="B3842" t="s">
        <v>16157</v>
      </c>
    </row>
    <row r="3843" spans="1:2" x14ac:dyDescent="0.25">
      <c r="A3843" t="s">
        <v>16158</v>
      </c>
      <c r="B3843" t="s">
        <v>16159</v>
      </c>
    </row>
    <row r="3844" spans="1:2" x14ac:dyDescent="0.25">
      <c r="A3844" t="s">
        <v>16160</v>
      </c>
      <c r="B3844" t="s">
        <v>16161</v>
      </c>
    </row>
    <row r="3845" spans="1:2" x14ac:dyDescent="0.25">
      <c r="A3845" t="s">
        <v>16162</v>
      </c>
      <c r="B3845" t="s">
        <v>16163</v>
      </c>
    </row>
    <row r="3846" spans="1:2" x14ac:dyDescent="0.25">
      <c r="A3846" t="s">
        <v>16164</v>
      </c>
      <c r="B3846" t="s">
        <v>16165</v>
      </c>
    </row>
    <row r="3847" spans="1:2" x14ac:dyDescent="0.25">
      <c r="A3847" t="s">
        <v>16166</v>
      </c>
      <c r="B3847" t="s">
        <v>16167</v>
      </c>
    </row>
    <row r="3848" spans="1:2" x14ac:dyDescent="0.25">
      <c r="A3848" t="s">
        <v>16168</v>
      </c>
      <c r="B3848" t="s">
        <v>16169</v>
      </c>
    </row>
    <row r="3849" spans="1:2" x14ac:dyDescent="0.25">
      <c r="A3849" t="s">
        <v>16170</v>
      </c>
      <c r="B3849" t="s">
        <v>16171</v>
      </c>
    </row>
    <row r="3850" spans="1:2" x14ac:dyDescent="0.25">
      <c r="A3850" t="s">
        <v>16172</v>
      </c>
      <c r="B3850" t="s">
        <v>16173</v>
      </c>
    </row>
    <row r="3851" spans="1:2" x14ac:dyDescent="0.25">
      <c r="A3851" t="s">
        <v>16174</v>
      </c>
      <c r="B3851" t="s">
        <v>16175</v>
      </c>
    </row>
    <row r="3852" spans="1:2" x14ac:dyDescent="0.25">
      <c r="A3852" t="s">
        <v>16176</v>
      </c>
      <c r="B3852" t="s">
        <v>16177</v>
      </c>
    </row>
    <row r="3853" spans="1:2" x14ac:dyDescent="0.25">
      <c r="A3853" t="s">
        <v>16178</v>
      </c>
      <c r="B3853" t="s">
        <v>16179</v>
      </c>
    </row>
    <row r="3854" spans="1:2" x14ac:dyDescent="0.25">
      <c r="A3854" t="s">
        <v>16180</v>
      </c>
      <c r="B3854" t="s">
        <v>16181</v>
      </c>
    </row>
    <row r="3855" spans="1:2" x14ac:dyDescent="0.25">
      <c r="A3855" t="s">
        <v>16182</v>
      </c>
      <c r="B3855" t="s">
        <v>16183</v>
      </c>
    </row>
    <row r="3856" spans="1:2" x14ac:dyDescent="0.25">
      <c r="A3856" t="s">
        <v>16184</v>
      </c>
      <c r="B3856" t="s">
        <v>16185</v>
      </c>
    </row>
    <row r="3857" spans="1:2" x14ac:dyDescent="0.25">
      <c r="A3857" t="s">
        <v>16186</v>
      </c>
      <c r="B3857" t="s">
        <v>16187</v>
      </c>
    </row>
    <row r="3858" spans="1:2" x14ac:dyDescent="0.25">
      <c r="A3858" t="s">
        <v>16188</v>
      </c>
      <c r="B3858" t="s">
        <v>16189</v>
      </c>
    </row>
    <row r="3859" spans="1:2" x14ac:dyDescent="0.25">
      <c r="A3859" t="s">
        <v>16190</v>
      </c>
      <c r="B3859" t="s">
        <v>16191</v>
      </c>
    </row>
    <row r="3860" spans="1:2" x14ac:dyDescent="0.25">
      <c r="A3860" t="s">
        <v>16192</v>
      </c>
      <c r="B3860" t="s">
        <v>16193</v>
      </c>
    </row>
    <row r="3861" spans="1:2" x14ac:dyDescent="0.25">
      <c r="A3861" t="s">
        <v>16194</v>
      </c>
      <c r="B3861" t="s">
        <v>16195</v>
      </c>
    </row>
    <row r="3862" spans="1:2" x14ac:dyDescent="0.25">
      <c r="A3862" t="s">
        <v>16196</v>
      </c>
      <c r="B3862" t="s">
        <v>16197</v>
      </c>
    </row>
    <row r="3863" spans="1:2" x14ac:dyDescent="0.25">
      <c r="A3863" t="s">
        <v>16198</v>
      </c>
      <c r="B3863" t="s">
        <v>16199</v>
      </c>
    </row>
    <row r="3864" spans="1:2" x14ac:dyDescent="0.25">
      <c r="A3864" t="s">
        <v>16200</v>
      </c>
      <c r="B3864" t="s">
        <v>16201</v>
      </c>
    </row>
    <row r="3865" spans="1:2" x14ac:dyDescent="0.25">
      <c r="A3865" t="s">
        <v>16202</v>
      </c>
      <c r="B3865" t="s">
        <v>16203</v>
      </c>
    </row>
    <row r="3866" spans="1:2" x14ac:dyDescent="0.25">
      <c r="A3866" t="s">
        <v>16204</v>
      </c>
      <c r="B3866" t="s">
        <v>16205</v>
      </c>
    </row>
    <row r="3867" spans="1:2" x14ac:dyDescent="0.25">
      <c r="A3867" t="s">
        <v>16206</v>
      </c>
      <c r="B3867" t="s">
        <v>16207</v>
      </c>
    </row>
    <row r="3868" spans="1:2" x14ac:dyDescent="0.25">
      <c r="A3868" t="s">
        <v>16208</v>
      </c>
      <c r="B3868" t="s">
        <v>16209</v>
      </c>
    </row>
    <row r="3869" spans="1:2" x14ac:dyDescent="0.25">
      <c r="A3869" t="s">
        <v>16210</v>
      </c>
      <c r="B3869" t="s">
        <v>16211</v>
      </c>
    </row>
    <row r="3870" spans="1:2" x14ac:dyDescent="0.25">
      <c r="A3870" t="s">
        <v>16212</v>
      </c>
      <c r="B3870" t="s">
        <v>16213</v>
      </c>
    </row>
    <row r="3871" spans="1:2" x14ac:dyDescent="0.25">
      <c r="A3871" t="s">
        <v>16214</v>
      </c>
      <c r="B3871" t="s">
        <v>16215</v>
      </c>
    </row>
    <row r="3872" spans="1:2" x14ac:dyDescent="0.25">
      <c r="A3872" t="s">
        <v>16216</v>
      </c>
      <c r="B3872" t="s">
        <v>15438</v>
      </c>
    </row>
    <row r="3873" spans="1:2" x14ac:dyDescent="0.25">
      <c r="A3873" t="s">
        <v>16217</v>
      </c>
      <c r="B3873" t="s">
        <v>16218</v>
      </c>
    </row>
    <row r="3874" spans="1:2" x14ac:dyDescent="0.25">
      <c r="A3874" t="s">
        <v>16219</v>
      </c>
      <c r="B3874" t="s">
        <v>16220</v>
      </c>
    </row>
    <row r="3875" spans="1:2" x14ac:dyDescent="0.25">
      <c r="A3875" t="s">
        <v>16221</v>
      </c>
      <c r="B3875" t="s">
        <v>16222</v>
      </c>
    </row>
    <row r="3876" spans="1:2" x14ac:dyDescent="0.25">
      <c r="A3876" t="s">
        <v>16223</v>
      </c>
      <c r="B3876" t="s">
        <v>16224</v>
      </c>
    </row>
    <row r="3877" spans="1:2" x14ac:dyDescent="0.25">
      <c r="A3877" t="s">
        <v>16225</v>
      </c>
      <c r="B3877" t="s">
        <v>16226</v>
      </c>
    </row>
    <row r="3878" spans="1:2" x14ac:dyDescent="0.25">
      <c r="A3878" t="s">
        <v>16227</v>
      </c>
      <c r="B3878" t="s">
        <v>16228</v>
      </c>
    </row>
    <row r="3879" spans="1:2" x14ac:dyDescent="0.25">
      <c r="A3879" t="s">
        <v>16229</v>
      </c>
      <c r="B3879" t="s">
        <v>16230</v>
      </c>
    </row>
    <row r="3880" spans="1:2" x14ac:dyDescent="0.25">
      <c r="A3880" t="s">
        <v>16231</v>
      </c>
      <c r="B3880" t="s">
        <v>16232</v>
      </c>
    </row>
    <row r="3881" spans="1:2" x14ac:dyDescent="0.25">
      <c r="A3881" t="s">
        <v>16233</v>
      </c>
      <c r="B3881" t="s">
        <v>16234</v>
      </c>
    </row>
    <row r="3882" spans="1:2" x14ac:dyDescent="0.25">
      <c r="A3882" t="s">
        <v>16235</v>
      </c>
      <c r="B3882" t="s">
        <v>16236</v>
      </c>
    </row>
    <row r="3883" spans="1:2" x14ac:dyDescent="0.25">
      <c r="A3883" t="s">
        <v>16237</v>
      </c>
      <c r="B3883" t="s">
        <v>16238</v>
      </c>
    </row>
    <row r="3884" spans="1:2" x14ac:dyDescent="0.25">
      <c r="A3884" t="s">
        <v>16239</v>
      </c>
      <c r="B3884" t="s">
        <v>16240</v>
      </c>
    </row>
    <row r="3885" spans="1:2" x14ac:dyDescent="0.25">
      <c r="A3885" t="s">
        <v>16241</v>
      </c>
      <c r="B3885" t="s">
        <v>16242</v>
      </c>
    </row>
    <row r="3886" spans="1:2" x14ac:dyDescent="0.25">
      <c r="A3886" t="s">
        <v>16243</v>
      </c>
      <c r="B3886" t="s">
        <v>16244</v>
      </c>
    </row>
    <row r="3887" spans="1:2" x14ac:dyDescent="0.25">
      <c r="A3887" t="s">
        <v>16245</v>
      </c>
      <c r="B3887" t="s">
        <v>16246</v>
      </c>
    </row>
    <row r="3888" spans="1:2" x14ac:dyDescent="0.25">
      <c r="A3888" t="s">
        <v>16247</v>
      </c>
      <c r="B3888" t="s">
        <v>16248</v>
      </c>
    </row>
    <row r="3889" spans="1:2" x14ac:dyDescent="0.25">
      <c r="A3889" t="s">
        <v>16249</v>
      </c>
      <c r="B3889" t="s">
        <v>16250</v>
      </c>
    </row>
    <row r="3890" spans="1:2" x14ac:dyDescent="0.25">
      <c r="A3890" t="s">
        <v>16251</v>
      </c>
      <c r="B3890" t="s">
        <v>14875</v>
      </c>
    </row>
    <row r="3891" spans="1:2" x14ac:dyDescent="0.25">
      <c r="A3891" t="s">
        <v>16252</v>
      </c>
      <c r="B3891" t="s">
        <v>16253</v>
      </c>
    </row>
    <row r="3892" spans="1:2" x14ac:dyDescent="0.25">
      <c r="A3892" t="s">
        <v>16254</v>
      </c>
      <c r="B3892" t="s">
        <v>16255</v>
      </c>
    </row>
    <row r="3893" spans="1:2" x14ac:dyDescent="0.25">
      <c r="A3893" t="s">
        <v>16256</v>
      </c>
      <c r="B3893" t="s">
        <v>10678</v>
      </c>
    </row>
    <row r="3894" spans="1:2" x14ac:dyDescent="0.25">
      <c r="A3894" t="s">
        <v>16257</v>
      </c>
      <c r="B3894" t="s">
        <v>16258</v>
      </c>
    </row>
    <row r="3895" spans="1:2" x14ac:dyDescent="0.25">
      <c r="A3895" t="s">
        <v>16259</v>
      </c>
      <c r="B3895" t="s">
        <v>16260</v>
      </c>
    </row>
    <row r="3896" spans="1:2" x14ac:dyDescent="0.25">
      <c r="A3896" t="s">
        <v>16261</v>
      </c>
      <c r="B3896" t="s">
        <v>16262</v>
      </c>
    </row>
    <row r="3897" spans="1:2" x14ac:dyDescent="0.25">
      <c r="A3897" t="s">
        <v>16263</v>
      </c>
      <c r="B3897" t="s">
        <v>16264</v>
      </c>
    </row>
    <row r="3898" spans="1:2" x14ac:dyDescent="0.25">
      <c r="A3898" t="s">
        <v>16265</v>
      </c>
      <c r="B3898" t="s">
        <v>16266</v>
      </c>
    </row>
    <row r="3899" spans="1:2" x14ac:dyDescent="0.25">
      <c r="A3899" t="s">
        <v>16267</v>
      </c>
      <c r="B3899" t="s">
        <v>16268</v>
      </c>
    </row>
    <row r="3900" spans="1:2" x14ac:dyDescent="0.25">
      <c r="A3900" t="s">
        <v>16269</v>
      </c>
      <c r="B3900" t="s">
        <v>16270</v>
      </c>
    </row>
    <row r="3901" spans="1:2" x14ac:dyDescent="0.25">
      <c r="A3901" t="s">
        <v>16271</v>
      </c>
      <c r="B3901" t="s">
        <v>16272</v>
      </c>
    </row>
    <row r="3902" spans="1:2" x14ac:dyDescent="0.25">
      <c r="A3902" t="s">
        <v>16273</v>
      </c>
      <c r="B3902" t="s">
        <v>16274</v>
      </c>
    </row>
    <row r="3903" spans="1:2" x14ac:dyDescent="0.25">
      <c r="A3903" t="s">
        <v>16275</v>
      </c>
      <c r="B3903" t="s">
        <v>16276</v>
      </c>
    </row>
    <row r="3904" spans="1:2" x14ac:dyDescent="0.25">
      <c r="A3904" t="s">
        <v>16277</v>
      </c>
      <c r="B3904" t="s">
        <v>16278</v>
      </c>
    </row>
    <row r="3905" spans="1:2" x14ac:dyDescent="0.25">
      <c r="A3905" t="s">
        <v>16279</v>
      </c>
      <c r="B3905" t="s">
        <v>16280</v>
      </c>
    </row>
    <row r="3906" spans="1:2" x14ac:dyDescent="0.25">
      <c r="A3906" t="s">
        <v>16281</v>
      </c>
      <c r="B3906" t="s">
        <v>16282</v>
      </c>
    </row>
    <row r="3907" spans="1:2" x14ac:dyDescent="0.25">
      <c r="A3907" t="s">
        <v>16283</v>
      </c>
      <c r="B3907" t="s">
        <v>16284</v>
      </c>
    </row>
    <row r="3908" spans="1:2" x14ac:dyDescent="0.25">
      <c r="A3908" t="s">
        <v>16285</v>
      </c>
      <c r="B3908" t="s">
        <v>16286</v>
      </c>
    </row>
    <row r="3909" spans="1:2" x14ac:dyDescent="0.25">
      <c r="A3909" t="s">
        <v>16287</v>
      </c>
      <c r="B3909" t="s">
        <v>16288</v>
      </c>
    </row>
    <row r="3910" spans="1:2" x14ac:dyDescent="0.25">
      <c r="A3910" t="s">
        <v>16289</v>
      </c>
      <c r="B3910" t="s">
        <v>16290</v>
      </c>
    </row>
    <row r="3911" spans="1:2" x14ac:dyDescent="0.25">
      <c r="A3911" t="s">
        <v>16291</v>
      </c>
      <c r="B3911" t="s">
        <v>16292</v>
      </c>
    </row>
    <row r="3912" spans="1:2" x14ac:dyDescent="0.25">
      <c r="A3912" t="s">
        <v>16293</v>
      </c>
      <c r="B3912" t="s">
        <v>16294</v>
      </c>
    </row>
    <row r="3913" spans="1:2" x14ac:dyDescent="0.25">
      <c r="A3913" t="s">
        <v>16295</v>
      </c>
      <c r="B3913" t="s">
        <v>16296</v>
      </c>
    </row>
    <row r="3914" spans="1:2" x14ac:dyDescent="0.25">
      <c r="A3914" t="s">
        <v>16297</v>
      </c>
      <c r="B3914" t="s">
        <v>16298</v>
      </c>
    </row>
    <row r="3915" spans="1:2" x14ac:dyDescent="0.25">
      <c r="A3915" t="s">
        <v>16299</v>
      </c>
      <c r="B3915" t="s">
        <v>16300</v>
      </c>
    </row>
    <row r="3916" spans="1:2" x14ac:dyDescent="0.25">
      <c r="A3916" t="s">
        <v>16301</v>
      </c>
      <c r="B3916" t="s">
        <v>16302</v>
      </c>
    </row>
    <row r="3917" spans="1:2" x14ac:dyDescent="0.25">
      <c r="A3917" t="s">
        <v>16303</v>
      </c>
      <c r="B3917" t="s">
        <v>16304</v>
      </c>
    </row>
    <row r="3918" spans="1:2" x14ac:dyDescent="0.25">
      <c r="A3918" t="s">
        <v>16305</v>
      </c>
      <c r="B3918" t="s">
        <v>16306</v>
      </c>
    </row>
    <row r="3919" spans="1:2" x14ac:dyDescent="0.25">
      <c r="A3919" t="s">
        <v>16307</v>
      </c>
      <c r="B3919" t="s">
        <v>16308</v>
      </c>
    </row>
    <row r="3920" spans="1:2" x14ac:dyDescent="0.25">
      <c r="A3920" t="s">
        <v>16309</v>
      </c>
      <c r="B3920" t="s">
        <v>16310</v>
      </c>
    </row>
    <row r="3921" spans="1:2" x14ac:dyDescent="0.25">
      <c r="A3921" t="s">
        <v>16311</v>
      </c>
      <c r="B3921" t="s">
        <v>16312</v>
      </c>
    </row>
    <row r="3922" spans="1:2" x14ac:dyDescent="0.25">
      <c r="A3922" t="s">
        <v>16313</v>
      </c>
      <c r="B3922" t="s">
        <v>11867</v>
      </c>
    </row>
    <row r="3923" spans="1:2" x14ac:dyDescent="0.25">
      <c r="A3923" t="s">
        <v>16314</v>
      </c>
      <c r="B3923" t="s">
        <v>16315</v>
      </c>
    </row>
    <row r="3924" spans="1:2" x14ac:dyDescent="0.25">
      <c r="A3924" t="s">
        <v>16316</v>
      </c>
      <c r="B3924" t="s">
        <v>16317</v>
      </c>
    </row>
    <row r="3925" spans="1:2" x14ac:dyDescent="0.25">
      <c r="A3925" t="s">
        <v>16318</v>
      </c>
      <c r="B3925" t="s">
        <v>16319</v>
      </c>
    </row>
    <row r="3926" spans="1:2" x14ac:dyDescent="0.25">
      <c r="A3926" t="s">
        <v>16320</v>
      </c>
      <c r="B3926" t="s">
        <v>16321</v>
      </c>
    </row>
    <row r="3927" spans="1:2" x14ac:dyDescent="0.25">
      <c r="A3927" t="s">
        <v>16322</v>
      </c>
      <c r="B3927" t="s">
        <v>16323</v>
      </c>
    </row>
    <row r="3928" spans="1:2" x14ac:dyDescent="0.25">
      <c r="A3928" t="s">
        <v>16324</v>
      </c>
      <c r="B3928" t="s">
        <v>16325</v>
      </c>
    </row>
    <row r="3929" spans="1:2" x14ac:dyDescent="0.25">
      <c r="A3929" t="s">
        <v>16326</v>
      </c>
      <c r="B3929" t="s">
        <v>16327</v>
      </c>
    </row>
    <row r="3930" spans="1:2" x14ac:dyDescent="0.25">
      <c r="A3930" t="s">
        <v>16328</v>
      </c>
      <c r="B3930" t="s">
        <v>16329</v>
      </c>
    </row>
    <row r="3931" spans="1:2" x14ac:dyDescent="0.25">
      <c r="A3931" t="s">
        <v>16330</v>
      </c>
      <c r="B3931" t="s">
        <v>16331</v>
      </c>
    </row>
    <row r="3932" spans="1:2" x14ac:dyDescent="0.25">
      <c r="A3932" t="s">
        <v>16332</v>
      </c>
      <c r="B3932" t="s">
        <v>16333</v>
      </c>
    </row>
    <row r="3933" spans="1:2" x14ac:dyDescent="0.25">
      <c r="A3933" t="s">
        <v>16334</v>
      </c>
      <c r="B3933" t="s">
        <v>16335</v>
      </c>
    </row>
    <row r="3934" spans="1:2" x14ac:dyDescent="0.25">
      <c r="A3934" t="s">
        <v>16336</v>
      </c>
      <c r="B3934" t="s">
        <v>16337</v>
      </c>
    </row>
    <row r="3935" spans="1:2" x14ac:dyDescent="0.25">
      <c r="A3935" t="s">
        <v>16338</v>
      </c>
      <c r="B3935" t="s">
        <v>16339</v>
      </c>
    </row>
    <row r="3936" spans="1:2" x14ac:dyDescent="0.25">
      <c r="A3936" t="s">
        <v>16340</v>
      </c>
      <c r="B3936" t="s">
        <v>16341</v>
      </c>
    </row>
    <row r="3937" spans="1:2" x14ac:dyDescent="0.25">
      <c r="A3937" t="s">
        <v>16342</v>
      </c>
      <c r="B3937" t="s">
        <v>16343</v>
      </c>
    </row>
    <row r="3938" spans="1:2" x14ac:dyDescent="0.25">
      <c r="A3938" t="s">
        <v>16344</v>
      </c>
      <c r="B3938" t="s">
        <v>16345</v>
      </c>
    </row>
    <row r="3939" spans="1:2" x14ac:dyDescent="0.25">
      <c r="A3939" t="s">
        <v>16346</v>
      </c>
      <c r="B3939" t="s">
        <v>16347</v>
      </c>
    </row>
    <row r="3940" spans="1:2" x14ac:dyDescent="0.25">
      <c r="A3940" t="s">
        <v>16348</v>
      </c>
      <c r="B3940" t="s">
        <v>16349</v>
      </c>
    </row>
    <row r="3941" spans="1:2" x14ac:dyDescent="0.25">
      <c r="A3941" t="s">
        <v>16350</v>
      </c>
      <c r="B3941" t="s">
        <v>16351</v>
      </c>
    </row>
    <row r="3942" spans="1:2" x14ac:dyDescent="0.25">
      <c r="A3942" t="s">
        <v>16352</v>
      </c>
      <c r="B3942" t="s">
        <v>16353</v>
      </c>
    </row>
    <row r="3943" spans="1:2" x14ac:dyDescent="0.25">
      <c r="A3943" t="s">
        <v>16354</v>
      </c>
      <c r="B3943" t="s">
        <v>16355</v>
      </c>
    </row>
    <row r="3944" spans="1:2" x14ac:dyDescent="0.25">
      <c r="A3944" t="s">
        <v>16356</v>
      </c>
      <c r="B3944" t="s">
        <v>16357</v>
      </c>
    </row>
    <row r="3945" spans="1:2" x14ac:dyDescent="0.25">
      <c r="A3945" t="s">
        <v>16358</v>
      </c>
      <c r="B3945" t="s">
        <v>16359</v>
      </c>
    </row>
    <row r="3946" spans="1:2" x14ac:dyDescent="0.25">
      <c r="A3946" t="s">
        <v>16360</v>
      </c>
      <c r="B3946" t="s">
        <v>16361</v>
      </c>
    </row>
    <row r="3947" spans="1:2" x14ac:dyDescent="0.25">
      <c r="A3947" t="s">
        <v>16362</v>
      </c>
      <c r="B3947" t="s">
        <v>16363</v>
      </c>
    </row>
    <row r="3948" spans="1:2" x14ac:dyDescent="0.25">
      <c r="A3948" t="s">
        <v>16364</v>
      </c>
      <c r="B3948" t="s">
        <v>16365</v>
      </c>
    </row>
    <row r="3949" spans="1:2" x14ac:dyDescent="0.25">
      <c r="A3949" t="s">
        <v>16366</v>
      </c>
      <c r="B3949" t="s">
        <v>16367</v>
      </c>
    </row>
    <row r="3950" spans="1:2" x14ac:dyDescent="0.25">
      <c r="A3950" t="s">
        <v>16368</v>
      </c>
      <c r="B3950" t="s">
        <v>16369</v>
      </c>
    </row>
    <row r="3951" spans="1:2" x14ac:dyDescent="0.25">
      <c r="A3951" t="s">
        <v>16370</v>
      </c>
      <c r="B3951" t="s">
        <v>16371</v>
      </c>
    </row>
    <row r="3952" spans="1:2" x14ac:dyDescent="0.25">
      <c r="A3952" t="s">
        <v>16372</v>
      </c>
      <c r="B3952" t="s">
        <v>16373</v>
      </c>
    </row>
    <row r="3953" spans="1:2" x14ac:dyDescent="0.25">
      <c r="A3953" t="s">
        <v>16374</v>
      </c>
      <c r="B3953" t="s">
        <v>16375</v>
      </c>
    </row>
    <row r="3954" spans="1:2" x14ac:dyDescent="0.25">
      <c r="A3954" t="s">
        <v>16376</v>
      </c>
      <c r="B3954" t="s">
        <v>16377</v>
      </c>
    </row>
    <row r="3955" spans="1:2" x14ac:dyDescent="0.25">
      <c r="A3955" t="s">
        <v>16378</v>
      </c>
      <c r="B3955" t="s">
        <v>16379</v>
      </c>
    </row>
    <row r="3956" spans="1:2" x14ac:dyDescent="0.25">
      <c r="A3956" t="s">
        <v>16380</v>
      </c>
      <c r="B3956" t="s">
        <v>16381</v>
      </c>
    </row>
    <row r="3957" spans="1:2" x14ac:dyDescent="0.25">
      <c r="A3957" t="s">
        <v>16382</v>
      </c>
      <c r="B3957" t="s">
        <v>16383</v>
      </c>
    </row>
    <row r="3958" spans="1:2" x14ac:dyDescent="0.25">
      <c r="A3958" t="s">
        <v>16384</v>
      </c>
      <c r="B3958" t="s">
        <v>16385</v>
      </c>
    </row>
    <row r="3959" spans="1:2" x14ac:dyDescent="0.25">
      <c r="A3959" t="s">
        <v>16386</v>
      </c>
      <c r="B3959" t="s">
        <v>16387</v>
      </c>
    </row>
    <row r="3960" spans="1:2" x14ac:dyDescent="0.25">
      <c r="A3960" t="s">
        <v>16388</v>
      </c>
      <c r="B3960" t="s">
        <v>16389</v>
      </c>
    </row>
    <row r="3961" spans="1:2" x14ac:dyDescent="0.25">
      <c r="A3961" t="s">
        <v>16390</v>
      </c>
      <c r="B3961" t="s">
        <v>16391</v>
      </c>
    </row>
    <row r="3962" spans="1:2" x14ac:dyDescent="0.25">
      <c r="A3962" t="s">
        <v>16392</v>
      </c>
      <c r="B3962" t="s">
        <v>16393</v>
      </c>
    </row>
    <row r="3963" spans="1:2" x14ac:dyDescent="0.25">
      <c r="A3963" t="s">
        <v>16394</v>
      </c>
      <c r="B3963" t="s">
        <v>16395</v>
      </c>
    </row>
    <row r="3964" spans="1:2" x14ac:dyDescent="0.25">
      <c r="A3964" t="s">
        <v>16396</v>
      </c>
      <c r="B3964" t="s">
        <v>16397</v>
      </c>
    </row>
    <row r="3965" spans="1:2" x14ac:dyDescent="0.25">
      <c r="A3965" t="s">
        <v>16398</v>
      </c>
      <c r="B3965" t="s">
        <v>16399</v>
      </c>
    </row>
    <row r="3966" spans="1:2" x14ac:dyDescent="0.25">
      <c r="A3966" t="s">
        <v>16400</v>
      </c>
      <c r="B3966" t="s">
        <v>16401</v>
      </c>
    </row>
    <row r="3967" spans="1:2" x14ac:dyDescent="0.25">
      <c r="A3967" t="s">
        <v>16402</v>
      </c>
      <c r="B3967" t="s">
        <v>16403</v>
      </c>
    </row>
    <row r="3968" spans="1:2" x14ac:dyDescent="0.25">
      <c r="A3968" t="s">
        <v>16404</v>
      </c>
      <c r="B3968" t="s">
        <v>16405</v>
      </c>
    </row>
    <row r="3969" spans="1:2" x14ac:dyDescent="0.25">
      <c r="A3969" t="s">
        <v>16406</v>
      </c>
      <c r="B3969" t="s">
        <v>16407</v>
      </c>
    </row>
    <row r="3970" spans="1:2" x14ac:dyDescent="0.25">
      <c r="A3970" t="s">
        <v>16408</v>
      </c>
      <c r="B3970" t="s">
        <v>16409</v>
      </c>
    </row>
    <row r="3971" spans="1:2" x14ac:dyDescent="0.25">
      <c r="A3971" t="s">
        <v>16410</v>
      </c>
      <c r="B3971" t="s">
        <v>16411</v>
      </c>
    </row>
    <row r="3972" spans="1:2" x14ac:dyDescent="0.25">
      <c r="A3972" t="s">
        <v>16412</v>
      </c>
      <c r="B3972" t="s">
        <v>16413</v>
      </c>
    </row>
    <row r="3973" spans="1:2" x14ac:dyDescent="0.25">
      <c r="A3973" t="s">
        <v>16414</v>
      </c>
      <c r="B3973" t="s">
        <v>16415</v>
      </c>
    </row>
    <row r="3974" spans="1:2" x14ac:dyDescent="0.25">
      <c r="A3974" t="s">
        <v>16416</v>
      </c>
      <c r="B3974" t="s">
        <v>16417</v>
      </c>
    </row>
    <row r="3975" spans="1:2" x14ac:dyDescent="0.25">
      <c r="A3975" t="s">
        <v>16418</v>
      </c>
      <c r="B3975" t="s">
        <v>16419</v>
      </c>
    </row>
    <row r="3976" spans="1:2" x14ac:dyDescent="0.25">
      <c r="A3976" t="s">
        <v>16420</v>
      </c>
      <c r="B3976" t="s">
        <v>16421</v>
      </c>
    </row>
    <row r="3977" spans="1:2" x14ac:dyDescent="0.25">
      <c r="A3977" t="s">
        <v>16422</v>
      </c>
      <c r="B3977" t="s">
        <v>16423</v>
      </c>
    </row>
    <row r="3978" spans="1:2" x14ac:dyDescent="0.25">
      <c r="A3978" t="s">
        <v>16424</v>
      </c>
      <c r="B3978" t="s">
        <v>16425</v>
      </c>
    </row>
    <row r="3979" spans="1:2" x14ac:dyDescent="0.25">
      <c r="A3979" t="s">
        <v>16426</v>
      </c>
      <c r="B3979" t="s">
        <v>16427</v>
      </c>
    </row>
    <row r="3980" spans="1:2" x14ac:dyDescent="0.25">
      <c r="A3980" t="s">
        <v>16428</v>
      </c>
      <c r="B3980" t="s">
        <v>16429</v>
      </c>
    </row>
    <row r="3981" spans="1:2" x14ac:dyDescent="0.25">
      <c r="A3981" t="s">
        <v>16430</v>
      </c>
      <c r="B3981" t="s">
        <v>16431</v>
      </c>
    </row>
    <row r="3982" spans="1:2" x14ac:dyDescent="0.25">
      <c r="A3982" t="s">
        <v>16432</v>
      </c>
      <c r="B3982" t="s">
        <v>16433</v>
      </c>
    </row>
    <row r="3983" spans="1:2" x14ac:dyDescent="0.25">
      <c r="A3983" t="s">
        <v>16434</v>
      </c>
      <c r="B3983" t="s">
        <v>16435</v>
      </c>
    </row>
    <row r="3984" spans="1:2" x14ac:dyDescent="0.25">
      <c r="A3984" t="s">
        <v>16436</v>
      </c>
      <c r="B3984" t="s">
        <v>16437</v>
      </c>
    </row>
    <row r="3985" spans="1:2" x14ac:dyDescent="0.25">
      <c r="A3985" t="s">
        <v>16438</v>
      </c>
      <c r="B3985" t="s">
        <v>16439</v>
      </c>
    </row>
    <row r="3986" spans="1:2" x14ac:dyDescent="0.25">
      <c r="A3986" t="s">
        <v>16440</v>
      </c>
      <c r="B3986" t="s">
        <v>16441</v>
      </c>
    </row>
    <row r="3987" spans="1:2" x14ac:dyDescent="0.25">
      <c r="A3987" t="s">
        <v>16442</v>
      </c>
      <c r="B3987" t="s">
        <v>16443</v>
      </c>
    </row>
    <row r="3988" spans="1:2" x14ac:dyDescent="0.25">
      <c r="A3988" t="s">
        <v>16444</v>
      </c>
      <c r="B3988" t="s">
        <v>16445</v>
      </c>
    </row>
    <row r="3989" spans="1:2" x14ac:dyDescent="0.25">
      <c r="A3989" t="s">
        <v>16446</v>
      </c>
      <c r="B3989" t="s">
        <v>16447</v>
      </c>
    </row>
    <row r="3990" spans="1:2" x14ac:dyDescent="0.25">
      <c r="A3990" t="s">
        <v>16448</v>
      </c>
      <c r="B3990" t="s">
        <v>16449</v>
      </c>
    </row>
    <row r="3991" spans="1:2" x14ac:dyDescent="0.25">
      <c r="A3991" t="s">
        <v>16450</v>
      </c>
      <c r="B3991" t="s">
        <v>16451</v>
      </c>
    </row>
    <row r="3992" spans="1:2" x14ac:dyDescent="0.25">
      <c r="A3992" t="s">
        <v>16452</v>
      </c>
      <c r="B3992" t="s">
        <v>16453</v>
      </c>
    </row>
    <row r="3993" spans="1:2" x14ac:dyDescent="0.25">
      <c r="A3993" t="s">
        <v>16454</v>
      </c>
      <c r="B3993" t="s">
        <v>16455</v>
      </c>
    </row>
    <row r="3994" spans="1:2" x14ac:dyDescent="0.25">
      <c r="A3994" t="s">
        <v>16456</v>
      </c>
      <c r="B3994" t="s">
        <v>16457</v>
      </c>
    </row>
    <row r="3995" spans="1:2" x14ac:dyDescent="0.25">
      <c r="A3995" t="s">
        <v>16458</v>
      </c>
      <c r="B3995" t="s">
        <v>16459</v>
      </c>
    </row>
    <row r="3996" spans="1:2" x14ac:dyDescent="0.25">
      <c r="A3996" t="s">
        <v>16460</v>
      </c>
      <c r="B3996" t="s">
        <v>16461</v>
      </c>
    </row>
    <row r="3997" spans="1:2" x14ac:dyDescent="0.25">
      <c r="A3997" t="s">
        <v>16462</v>
      </c>
      <c r="B3997" t="s">
        <v>16463</v>
      </c>
    </row>
    <row r="3998" spans="1:2" x14ac:dyDescent="0.25">
      <c r="A3998" t="s">
        <v>16464</v>
      </c>
      <c r="B3998" t="s">
        <v>16465</v>
      </c>
    </row>
    <row r="3999" spans="1:2" x14ac:dyDescent="0.25">
      <c r="A3999" t="s">
        <v>16466</v>
      </c>
      <c r="B3999" t="s">
        <v>16467</v>
      </c>
    </row>
    <row r="4000" spans="1:2" x14ac:dyDescent="0.25">
      <c r="A4000" t="s">
        <v>16468</v>
      </c>
      <c r="B4000" t="s">
        <v>16469</v>
      </c>
    </row>
    <row r="4001" spans="1:2" x14ac:dyDescent="0.25">
      <c r="A4001" t="s">
        <v>16470</v>
      </c>
      <c r="B4001" t="s">
        <v>16471</v>
      </c>
    </row>
    <row r="4002" spans="1:2" x14ac:dyDescent="0.25">
      <c r="A4002" t="s">
        <v>16472</v>
      </c>
      <c r="B4002" t="s">
        <v>16473</v>
      </c>
    </row>
    <row r="4003" spans="1:2" x14ac:dyDescent="0.25">
      <c r="A4003" t="s">
        <v>16474</v>
      </c>
      <c r="B4003" t="s">
        <v>16475</v>
      </c>
    </row>
    <row r="4004" spans="1:2" x14ac:dyDescent="0.25">
      <c r="A4004" t="s">
        <v>16476</v>
      </c>
      <c r="B4004" t="s">
        <v>16477</v>
      </c>
    </row>
    <row r="4005" spans="1:2" x14ac:dyDescent="0.25">
      <c r="A4005" t="s">
        <v>16478</v>
      </c>
      <c r="B4005" t="s">
        <v>16479</v>
      </c>
    </row>
    <row r="4006" spans="1:2" x14ac:dyDescent="0.25">
      <c r="A4006" t="s">
        <v>16480</v>
      </c>
      <c r="B4006" t="s">
        <v>16481</v>
      </c>
    </row>
    <row r="4007" spans="1:2" x14ac:dyDescent="0.25">
      <c r="A4007" t="s">
        <v>16482</v>
      </c>
      <c r="B4007" t="s">
        <v>16483</v>
      </c>
    </row>
    <row r="4008" spans="1:2" x14ac:dyDescent="0.25">
      <c r="A4008" t="s">
        <v>16484</v>
      </c>
      <c r="B4008" t="s">
        <v>16485</v>
      </c>
    </row>
    <row r="4009" spans="1:2" x14ac:dyDescent="0.25">
      <c r="A4009" t="s">
        <v>16486</v>
      </c>
      <c r="B4009" t="s">
        <v>16487</v>
      </c>
    </row>
    <row r="4010" spans="1:2" x14ac:dyDescent="0.25">
      <c r="A4010" t="s">
        <v>16488</v>
      </c>
      <c r="B4010" t="s">
        <v>9191</v>
      </c>
    </row>
    <row r="4011" spans="1:2" x14ac:dyDescent="0.25">
      <c r="A4011" t="s">
        <v>16489</v>
      </c>
      <c r="B4011" t="s">
        <v>16490</v>
      </c>
    </row>
    <row r="4012" spans="1:2" x14ac:dyDescent="0.25">
      <c r="A4012" t="s">
        <v>16491</v>
      </c>
      <c r="B4012" t="s">
        <v>16492</v>
      </c>
    </row>
    <row r="4013" spans="1:2" x14ac:dyDescent="0.25">
      <c r="A4013" t="s">
        <v>16493</v>
      </c>
      <c r="B4013" t="s">
        <v>16494</v>
      </c>
    </row>
    <row r="4014" spans="1:2" x14ac:dyDescent="0.25">
      <c r="A4014" t="s">
        <v>16495</v>
      </c>
      <c r="B4014" t="s">
        <v>16496</v>
      </c>
    </row>
    <row r="4015" spans="1:2" x14ac:dyDescent="0.25">
      <c r="A4015" t="s">
        <v>16497</v>
      </c>
      <c r="B4015" t="s">
        <v>16498</v>
      </c>
    </row>
    <row r="4016" spans="1:2" x14ac:dyDescent="0.25">
      <c r="A4016" t="s">
        <v>16499</v>
      </c>
      <c r="B4016" t="s">
        <v>16500</v>
      </c>
    </row>
    <row r="4017" spans="1:2" x14ac:dyDescent="0.25">
      <c r="A4017" t="s">
        <v>16501</v>
      </c>
      <c r="B4017" t="s">
        <v>16502</v>
      </c>
    </row>
    <row r="4018" spans="1:2" x14ac:dyDescent="0.25">
      <c r="A4018" t="s">
        <v>16503</v>
      </c>
      <c r="B4018" t="s">
        <v>16504</v>
      </c>
    </row>
    <row r="4019" spans="1:2" x14ac:dyDescent="0.25">
      <c r="A4019" t="s">
        <v>16505</v>
      </c>
      <c r="B4019" t="s">
        <v>16506</v>
      </c>
    </row>
    <row r="4020" spans="1:2" x14ac:dyDescent="0.25">
      <c r="A4020" t="s">
        <v>16507</v>
      </c>
      <c r="B4020" t="s">
        <v>16508</v>
      </c>
    </row>
    <row r="4021" spans="1:2" x14ac:dyDescent="0.25">
      <c r="A4021" t="s">
        <v>16509</v>
      </c>
      <c r="B4021" t="s">
        <v>16510</v>
      </c>
    </row>
    <row r="4022" spans="1:2" x14ac:dyDescent="0.25">
      <c r="A4022" t="s">
        <v>16511</v>
      </c>
      <c r="B4022" t="s">
        <v>16512</v>
      </c>
    </row>
    <row r="4023" spans="1:2" x14ac:dyDescent="0.25">
      <c r="A4023" t="s">
        <v>16513</v>
      </c>
      <c r="B4023" t="s">
        <v>16514</v>
      </c>
    </row>
    <row r="4024" spans="1:2" x14ac:dyDescent="0.25">
      <c r="A4024" t="s">
        <v>16515</v>
      </c>
      <c r="B4024" t="s">
        <v>16516</v>
      </c>
    </row>
    <row r="4025" spans="1:2" x14ac:dyDescent="0.25">
      <c r="A4025" t="s">
        <v>16517</v>
      </c>
      <c r="B4025" t="s">
        <v>16518</v>
      </c>
    </row>
    <row r="4026" spans="1:2" x14ac:dyDescent="0.25">
      <c r="A4026" t="s">
        <v>16519</v>
      </c>
      <c r="B4026" t="s">
        <v>16520</v>
      </c>
    </row>
    <row r="4027" spans="1:2" x14ac:dyDescent="0.25">
      <c r="A4027" t="s">
        <v>16521</v>
      </c>
      <c r="B4027" t="s">
        <v>16522</v>
      </c>
    </row>
    <row r="4028" spans="1:2" x14ac:dyDescent="0.25">
      <c r="A4028" t="s">
        <v>16523</v>
      </c>
      <c r="B4028" t="s">
        <v>16524</v>
      </c>
    </row>
    <row r="4029" spans="1:2" x14ac:dyDescent="0.25">
      <c r="A4029" t="s">
        <v>16525</v>
      </c>
      <c r="B4029" t="s">
        <v>16526</v>
      </c>
    </row>
    <row r="4030" spans="1:2" x14ac:dyDescent="0.25">
      <c r="A4030" t="s">
        <v>16527</v>
      </c>
      <c r="B4030" t="s">
        <v>16528</v>
      </c>
    </row>
    <row r="4031" spans="1:2" x14ac:dyDescent="0.25">
      <c r="A4031" t="s">
        <v>16529</v>
      </c>
      <c r="B4031" t="s">
        <v>16530</v>
      </c>
    </row>
    <row r="4032" spans="1:2" x14ac:dyDescent="0.25">
      <c r="A4032" t="s">
        <v>16531</v>
      </c>
      <c r="B4032" t="s">
        <v>16532</v>
      </c>
    </row>
    <row r="4033" spans="1:2" x14ac:dyDescent="0.25">
      <c r="A4033" t="s">
        <v>16533</v>
      </c>
      <c r="B4033" t="s">
        <v>16534</v>
      </c>
    </row>
    <row r="4034" spans="1:2" x14ac:dyDescent="0.25">
      <c r="A4034" t="s">
        <v>16535</v>
      </c>
      <c r="B4034" t="s">
        <v>16536</v>
      </c>
    </row>
    <row r="4035" spans="1:2" x14ac:dyDescent="0.25">
      <c r="A4035" t="s">
        <v>16537</v>
      </c>
      <c r="B4035" t="s">
        <v>16538</v>
      </c>
    </row>
    <row r="4036" spans="1:2" x14ac:dyDescent="0.25">
      <c r="A4036" t="s">
        <v>16539</v>
      </c>
      <c r="B4036" t="s">
        <v>16540</v>
      </c>
    </row>
    <row r="4037" spans="1:2" x14ac:dyDescent="0.25">
      <c r="A4037" t="s">
        <v>16541</v>
      </c>
      <c r="B4037" t="s">
        <v>16542</v>
      </c>
    </row>
    <row r="4038" spans="1:2" x14ac:dyDescent="0.25">
      <c r="A4038" t="s">
        <v>16543</v>
      </c>
      <c r="B4038" t="s">
        <v>16544</v>
      </c>
    </row>
    <row r="4039" spans="1:2" x14ac:dyDescent="0.25">
      <c r="A4039" t="s">
        <v>16545</v>
      </c>
      <c r="B4039" t="s">
        <v>16546</v>
      </c>
    </row>
    <row r="4040" spans="1:2" x14ac:dyDescent="0.25">
      <c r="A4040" t="s">
        <v>16547</v>
      </c>
      <c r="B4040" t="s">
        <v>16548</v>
      </c>
    </row>
    <row r="4041" spans="1:2" x14ac:dyDescent="0.25">
      <c r="A4041" t="s">
        <v>16549</v>
      </c>
      <c r="B4041" t="s">
        <v>16550</v>
      </c>
    </row>
    <row r="4042" spans="1:2" x14ac:dyDescent="0.25">
      <c r="A4042" t="s">
        <v>16551</v>
      </c>
      <c r="B4042" t="s">
        <v>16552</v>
      </c>
    </row>
    <row r="4043" spans="1:2" x14ac:dyDescent="0.25">
      <c r="A4043" t="s">
        <v>16553</v>
      </c>
      <c r="B4043" t="s">
        <v>16554</v>
      </c>
    </row>
    <row r="4044" spans="1:2" x14ac:dyDescent="0.25">
      <c r="A4044" t="s">
        <v>16555</v>
      </c>
      <c r="B4044" t="s">
        <v>16556</v>
      </c>
    </row>
    <row r="4045" spans="1:2" x14ac:dyDescent="0.25">
      <c r="A4045" t="s">
        <v>16557</v>
      </c>
      <c r="B4045" t="s">
        <v>16558</v>
      </c>
    </row>
    <row r="4046" spans="1:2" x14ac:dyDescent="0.25">
      <c r="A4046" t="s">
        <v>16559</v>
      </c>
      <c r="B4046" t="s">
        <v>16560</v>
      </c>
    </row>
    <row r="4047" spans="1:2" x14ac:dyDescent="0.25">
      <c r="A4047" t="s">
        <v>16561</v>
      </c>
      <c r="B4047" t="s">
        <v>16562</v>
      </c>
    </row>
    <row r="4048" spans="1:2" x14ac:dyDescent="0.25">
      <c r="A4048" t="s">
        <v>16563</v>
      </c>
      <c r="B4048" t="s">
        <v>16564</v>
      </c>
    </row>
    <row r="4049" spans="1:2" x14ac:dyDescent="0.25">
      <c r="A4049" t="s">
        <v>16565</v>
      </c>
      <c r="B4049" t="s">
        <v>16566</v>
      </c>
    </row>
    <row r="4050" spans="1:2" x14ac:dyDescent="0.25">
      <c r="A4050" t="s">
        <v>16567</v>
      </c>
      <c r="B4050" t="s">
        <v>16568</v>
      </c>
    </row>
    <row r="4051" spans="1:2" x14ac:dyDescent="0.25">
      <c r="A4051" t="s">
        <v>16569</v>
      </c>
      <c r="B4051" t="s">
        <v>16570</v>
      </c>
    </row>
    <row r="4052" spans="1:2" x14ac:dyDescent="0.25">
      <c r="A4052" t="s">
        <v>16571</v>
      </c>
      <c r="B4052" t="s">
        <v>16572</v>
      </c>
    </row>
    <row r="4053" spans="1:2" x14ac:dyDescent="0.25">
      <c r="A4053" t="s">
        <v>16573</v>
      </c>
      <c r="B4053" t="s">
        <v>16574</v>
      </c>
    </row>
    <row r="4054" spans="1:2" x14ac:dyDescent="0.25">
      <c r="A4054" t="s">
        <v>16575</v>
      </c>
      <c r="B4054" t="s">
        <v>16576</v>
      </c>
    </row>
    <row r="4055" spans="1:2" x14ac:dyDescent="0.25">
      <c r="A4055" t="s">
        <v>16577</v>
      </c>
      <c r="B4055" t="s">
        <v>16578</v>
      </c>
    </row>
    <row r="4056" spans="1:2" x14ac:dyDescent="0.25">
      <c r="A4056" t="s">
        <v>16579</v>
      </c>
      <c r="B4056" t="s">
        <v>16580</v>
      </c>
    </row>
    <row r="4057" spans="1:2" x14ac:dyDescent="0.25">
      <c r="A4057" t="s">
        <v>16581</v>
      </c>
      <c r="B4057" t="s">
        <v>16582</v>
      </c>
    </row>
    <row r="4058" spans="1:2" x14ac:dyDescent="0.25">
      <c r="A4058" t="s">
        <v>16583</v>
      </c>
      <c r="B4058" t="s">
        <v>16584</v>
      </c>
    </row>
    <row r="4059" spans="1:2" x14ac:dyDescent="0.25">
      <c r="A4059" t="s">
        <v>16585</v>
      </c>
      <c r="B4059" t="s">
        <v>16586</v>
      </c>
    </row>
    <row r="4060" spans="1:2" x14ac:dyDescent="0.25">
      <c r="A4060" t="s">
        <v>16587</v>
      </c>
      <c r="B4060" t="s">
        <v>16588</v>
      </c>
    </row>
    <row r="4061" spans="1:2" x14ac:dyDescent="0.25">
      <c r="A4061" t="s">
        <v>16589</v>
      </c>
      <c r="B4061" t="s">
        <v>16590</v>
      </c>
    </row>
    <row r="4062" spans="1:2" x14ac:dyDescent="0.25">
      <c r="A4062" t="s">
        <v>16591</v>
      </c>
      <c r="B4062" t="s">
        <v>16592</v>
      </c>
    </row>
    <row r="4063" spans="1:2" x14ac:dyDescent="0.25">
      <c r="A4063" t="s">
        <v>16593</v>
      </c>
      <c r="B4063" t="s">
        <v>16594</v>
      </c>
    </row>
    <row r="4064" spans="1:2" x14ac:dyDescent="0.25">
      <c r="A4064" t="s">
        <v>16595</v>
      </c>
      <c r="B4064" t="s">
        <v>16596</v>
      </c>
    </row>
    <row r="4065" spans="1:2" x14ac:dyDescent="0.25">
      <c r="A4065" t="s">
        <v>16597</v>
      </c>
      <c r="B4065" t="s">
        <v>16598</v>
      </c>
    </row>
    <row r="4066" spans="1:2" x14ac:dyDescent="0.25">
      <c r="A4066" t="s">
        <v>16599</v>
      </c>
      <c r="B4066" t="s">
        <v>16600</v>
      </c>
    </row>
    <row r="4067" spans="1:2" x14ac:dyDescent="0.25">
      <c r="A4067" t="s">
        <v>16601</v>
      </c>
      <c r="B4067" t="s">
        <v>16602</v>
      </c>
    </row>
    <row r="4068" spans="1:2" x14ac:dyDescent="0.25">
      <c r="A4068" t="s">
        <v>16603</v>
      </c>
      <c r="B4068" t="s">
        <v>16604</v>
      </c>
    </row>
    <row r="4069" spans="1:2" x14ac:dyDescent="0.25">
      <c r="A4069" t="s">
        <v>16605</v>
      </c>
      <c r="B4069" t="s">
        <v>16606</v>
      </c>
    </row>
    <row r="4070" spans="1:2" x14ac:dyDescent="0.25">
      <c r="A4070" t="s">
        <v>16607</v>
      </c>
      <c r="B4070" t="s">
        <v>16608</v>
      </c>
    </row>
    <row r="4071" spans="1:2" x14ac:dyDescent="0.25">
      <c r="A4071" t="s">
        <v>16609</v>
      </c>
      <c r="B4071" t="s">
        <v>16610</v>
      </c>
    </row>
    <row r="4072" spans="1:2" x14ac:dyDescent="0.25">
      <c r="A4072" t="s">
        <v>16611</v>
      </c>
      <c r="B4072" t="s">
        <v>16612</v>
      </c>
    </row>
    <row r="4073" spans="1:2" x14ac:dyDescent="0.25">
      <c r="A4073" t="s">
        <v>16613</v>
      </c>
      <c r="B4073" t="s">
        <v>16614</v>
      </c>
    </row>
    <row r="4074" spans="1:2" x14ac:dyDescent="0.25">
      <c r="A4074" t="s">
        <v>16615</v>
      </c>
      <c r="B4074" t="s">
        <v>16616</v>
      </c>
    </row>
    <row r="4075" spans="1:2" x14ac:dyDescent="0.25">
      <c r="A4075" t="s">
        <v>16617</v>
      </c>
      <c r="B4075" t="s">
        <v>16618</v>
      </c>
    </row>
    <row r="4076" spans="1:2" x14ac:dyDescent="0.25">
      <c r="A4076" t="s">
        <v>16619</v>
      </c>
      <c r="B4076" t="s">
        <v>16620</v>
      </c>
    </row>
    <row r="4077" spans="1:2" x14ac:dyDescent="0.25">
      <c r="A4077" t="s">
        <v>16621</v>
      </c>
      <c r="B4077" t="s">
        <v>16622</v>
      </c>
    </row>
    <row r="4078" spans="1:2" x14ac:dyDescent="0.25">
      <c r="A4078" t="s">
        <v>16623</v>
      </c>
      <c r="B4078" t="s">
        <v>16624</v>
      </c>
    </row>
    <row r="4079" spans="1:2" x14ac:dyDescent="0.25">
      <c r="A4079" t="s">
        <v>16625</v>
      </c>
      <c r="B4079" t="s">
        <v>16626</v>
      </c>
    </row>
    <row r="4080" spans="1:2" x14ac:dyDescent="0.25">
      <c r="A4080" t="s">
        <v>16627</v>
      </c>
      <c r="B4080" t="s">
        <v>16628</v>
      </c>
    </row>
    <row r="4081" spans="1:2" x14ac:dyDescent="0.25">
      <c r="A4081" t="s">
        <v>16629</v>
      </c>
      <c r="B4081" t="s">
        <v>16630</v>
      </c>
    </row>
    <row r="4082" spans="1:2" x14ac:dyDescent="0.25">
      <c r="A4082" t="s">
        <v>16631</v>
      </c>
      <c r="B4082" t="s">
        <v>16632</v>
      </c>
    </row>
    <row r="4083" spans="1:2" x14ac:dyDescent="0.25">
      <c r="A4083" t="s">
        <v>16633</v>
      </c>
      <c r="B4083" t="s">
        <v>16634</v>
      </c>
    </row>
    <row r="4084" spans="1:2" x14ac:dyDescent="0.25">
      <c r="A4084" t="s">
        <v>16635</v>
      </c>
      <c r="B4084" t="s">
        <v>16636</v>
      </c>
    </row>
    <row r="4085" spans="1:2" x14ac:dyDescent="0.25">
      <c r="A4085" t="s">
        <v>587</v>
      </c>
      <c r="B4085" t="s">
        <v>16637</v>
      </c>
    </row>
    <row r="4086" spans="1:2" x14ac:dyDescent="0.25">
      <c r="A4086" t="s">
        <v>215</v>
      </c>
      <c r="B4086" t="s">
        <v>16638</v>
      </c>
    </row>
    <row r="4087" spans="1:2" x14ac:dyDescent="0.25">
      <c r="A4087" t="s">
        <v>16639</v>
      </c>
      <c r="B4087" t="s">
        <v>16640</v>
      </c>
    </row>
    <row r="4088" spans="1:2" x14ac:dyDescent="0.25">
      <c r="A4088" t="s">
        <v>16641</v>
      </c>
      <c r="B4088" t="s">
        <v>16642</v>
      </c>
    </row>
    <row r="4089" spans="1:2" x14ac:dyDescent="0.25">
      <c r="A4089" t="s">
        <v>16643</v>
      </c>
      <c r="B4089" t="s">
        <v>16644</v>
      </c>
    </row>
    <row r="4090" spans="1:2" x14ac:dyDescent="0.25">
      <c r="A4090" t="s">
        <v>16645</v>
      </c>
      <c r="B4090" t="s">
        <v>16646</v>
      </c>
    </row>
    <row r="4091" spans="1:2" x14ac:dyDescent="0.25">
      <c r="A4091" t="s">
        <v>16647</v>
      </c>
      <c r="B4091" t="s">
        <v>16648</v>
      </c>
    </row>
    <row r="4092" spans="1:2" x14ac:dyDescent="0.25">
      <c r="A4092" t="s">
        <v>16649</v>
      </c>
      <c r="B4092" t="s">
        <v>16650</v>
      </c>
    </row>
    <row r="4093" spans="1:2" x14ac:dyDescent="0.25">
      <c r="A4093" t="s">
        <v>16651</v>
      </c>
      <c r="B4093" t="s">
        <v>16652</v>
      </c>
    </row>
    <row r="4094" spans="1:2" x14ac:dyDescent="0.25">
      <c r="A4094" t="s">
        <v>16653</v>
      </c>
      <c r="B4094" t="s">
        <v>16654</v>
      </c>
    </row>
    <row r="4095" spans="1:2" x14ac:dyDescent="0.25">
      <c r="A4095" t="s">
        <v>16655</v>
      </c>
      <c r="B4095" t="s">
        <v>16656</v>
      </c>
    </row>
    <row r="4096" spans="1:2" x14ac:dyDescent="0.25">
      <c r="A4096" t="s">
        <v>16657</v>
      </c>
      <c r="B4096" t="s">
        <v>16658</v>
      </c>
    </row>
    <row r="4097" spans="1:2" x14ac:dyDescent="0.25">
      <c r="A4097" t="s">
        <v>16659</v>
      </c>
      <c r="B4097" t="s">
        <v>14199</v>
      </c>
    </row>
    <row r="4098" spans="1:2" x14ac:dyDescent="0.25">
      <c r="A4098" t="s">
        <v>16660</v>
      </c>
      <c r="B4098" t="s">
        <v>16661</v>
      </c>
    </row>
    <row r="4099" spans="1:2" x14ac:dyDescent="0.25">
      <c r="A4099" t="s">
        <v>16662</v>
      </c>
      <c r="B4099" t="s">
        <v>16663</v>
      </c>
    </row>
    <row r="4100" spans="1:2" x14ac:dyDescent="0.25">
      <c r="A4100" t="s">
        <v>16664</v>
      </c>
      <c r="B4100" t="s">
        <v>16665</v>
      </c>
    </row>
    <row r="4101" spans="1:2" x14ac:dyDescent="0.25">
      <c r="A4101" t="s">
        <v>16666</v>
      </c>
      <c r="B4101" t="s">
        <v>16667</v>
      </c>
    </row>
    <row r="4102" spans="1:2" x14ac:dyDescent="0.25">
      <c r="A4102" t="s">
        <v>16668</v>
      </c>
      <c r="B4102" t="s">
        <v>16669</v>
      </c>
    </row>
    <row r="4103" spans="1:2" x14ac:dyDescent="0.25">
      <c r="A4103" t="s">
        <v>16670</v>
      </c>
      <c r="B4103" t="s">
        <v>16671</v>
      </c>
    </row>
    <row r="4104" spans="1:2" x14ac:dyDescent="0.25">
      <c r="A4104" t="s">
        <v>16672</v>
      </c>
      <c r="B4104" t="s">
        <v>16673</v>
      </c>
    </row>
    <row r="4105" spans="1:2" x14ac:dyDescent="0.25">
      <c r="A4105" t="s">
        <v>16674</v>
      </c>
      <c r="B4105" t="s">
        <v>16675</v>
      </c>
    </row>
    <row r="4106" spans="1:2" x14ac:dyDescent="0.25">
      <c r="A4106" t="s">
        <v>16676</v>
      </c>
      <c r="B4106" t="s">
        <v>16677</v>
      </c>
    </row>
    <row r="4107" spans="1:2" x14ac:dyDescent="0.25">
      <c r="A4107" t="s">
        <v>16678</v>
      </c>
      <c r="B4107" t="s">
        <v>16679</v>
      </c>
    </row>
    <row r="4108" spans="1:2" x14ac:dyDescent="0.25">
      <c r="A4108" t="s">
        <v>16680</v>
      </c>
      <c r="B4108" t="s">
        <v>16681</v>
      </c>
    </row>
    <row r="4109" spans="1:2" x14ac:dyDescent="0.25">
      <c r="A4109" t="s">
        <v>16682</v>
      </c>
      <c r="B4109" t="s">
        <v>16683</v>
      </c>
    </row>
    <row r="4110" spans="1:2" x14ac:dyDescent="0.25">
      <c r="A4110" t="s">
        <v>16684</v>
      </c>
      <c r="B4110" t="s">
        <v>16685</v>
      </c>
    </row>
    <row r="4111" spans="1:2" x14ac:dyDescent="0.25">
      <c r="A4111" t="s">
        <v>16686</v>
      </c>
      <c r="B4111" t="s">
        <v>16687</v>
      </c>
    </row>
    <row r="4112" spans="1:2" x14ac:dyDescent="0.25">
      <c r="A4112" t="s">
        <v>16688</v>
      </c>
      <c r="B4112" t="s">
        <v>16689</v>
      </c>
    </row>
    <row r="4113" spans="1:2" x14ac:dyDescent="0.25">
      <c r="A4113" t="s">
        <v>16690</v>
      </c>
      <c r="B4113" t="s">
        <v>16691</v>
      </c>
    </row>
    <row r="4114" spans="1:2" x14ac:dyDescent="0.25">
      <c r="A4114" t="s">
        <v>16692</v>
      </c>
      <c r="B4114" t="s">
        <v>16693</v>
      </c>
    </row>
    <row r="4115" spans="1:2" x14ac:dyDescent="0.25">
      <c r="A4115" t="s">
        <v>16694</v>
      </c>
      <c r="B4115" t="s">
        <v>16695</v>
      </c>
    </row>
    <row r="4116" spans="1:2" x14ac:dyDescent="0.25">
      <c r="A4116" t="s">
        <v>16696</v>
      </c>
      <c r="B4116" t="s">
        <v>16697</v>
      </c>
    </row>
    <row r="4117" spans="1:2" x14ac:dyDescent="0.25">
      <c r="A4117" t="s">
        <v>16698</v>
      </c>
      <c r="B4117" t="s">
        <v>16699</v>
      </c>
    </row>
    <row r="4118" spans="1:2" x14ac:dyDescent="0.25">
      <c r="A4118" t="s">
        <v>16700</v>
      </c>
      <c r="B4118" t="s">
        <v>16701</v>
      </c>
    </row>
    <row r="4119" spans="1:2" x14ac:dyDescent="0.25">
      <c r="A4119" t="s">
        <v>16702</v>
      </c>
      <c r="B4119" t="s">
        <v>16703</v>
      </c>
    </row>
    <row r="4120" spans="1:2" x14ac:dyDescent="0.25">
      <c r="A4120" t="s">
        <v>16704</v>
      </c>
      <c r="B4120" t="s">
        <v>16705</v>
      </c>
    </row>
    <row r="4121" spans="1:2" x14ac:dyDescent="0.25">
      <c r="A4121" t="s">
        <v>16706</v>
      </c>
      <c r="B4121" t="s">
        <v>16707</v>
      </c>
    </row>
    <row r="4122" spans="1:2" x14ac:dyDescent="0.25">
      <c r="A4122" t="s">
        <v>16708</v>
      </c>
      <c r="B4122" t="s">
        <v>16709</v>
      </c>
    </row>
    <row r="4123" spans="1:2" x14ac:dyDescent="0.25">
      <c r="A4123" t="s">
        <v>884</v>
      </c>
      <c r="B4123" t="s">
        <v>16710</v>
      </c>
    </row>
    <row r="4124" spans="1:2" x14ac:dyDescent="0.25">
      <c r="A4124" t="s">
        <v>371</v>
      </c>
      <c r="B4124" t="s">
        <v>16711</v>
      </c>
    </row>
    <row r="4125" spans="1:2" x14ac:dyDescent="0.25">
      <c r="A4125" t="s">
        <v>16712</v>
      </c>
      <c r="B4125" t="s">
        <v>16713</v>
      </c>
    </row>
    <row r="4126" spans="1:2" x14ac:dyDescent="0.25">
      <c r="A4126" t="s">
        <v>3889</v>
      </c>
      <c r="B4126" t="s">
        <v>16714</v>
      </c>
    </row>
    <row r="4127" spans="1:2" x14ac:dyDescent="0.25">
      <c r="A4127" t="s">
        <v>16715</v>
      </c>
      <c r="B4127" t="s">
        <v>16716</v>
      </c>
    </row>
    <row r="4128" spans="1:2" x14ac:dyDescent="0.25">
      <c r="A4128" t="s">
        <v>16717</v>
      </c>
      <c r="B4128" t="s">
        <v>16718</v>
      </c>
    </row>
    <row r="4129" spans="1:2" x14ac:dyDescent="0.25">
      <c r="A4129" t="s">
        <v>16719</v>
      </c>
      <c r="B4129" t="s">
        <v>16720</v>
      </c>
    </row>
    <row r="4130" spans="1:2" x14ac:dyDescent="0.25">
      <c r="A4130" t="s">
        <v>16721</v>
      </c>
      <c r="B4130" t="s">
        <v>16722</v>
      </c>
    </row>
    <row r="4131" spans="1:2" x14ac:dyDescent="0.25">
      <c r="A4131" t="s">
        <v>16723</v>
      </c>
      <c r="B4131" t="s">
        <v>16724</v>
      </c>
    </row>
    <row r="4132" spans="1:2" x14ac:dyDescent="0.25">
      <c r="A4132" t="s">
        <v>16725</v>
      </c>
      <c r="B4132" t="s">
        <v>16726</v>
      </c>
    </row>
    <row r="4133" spans="1:2" x14ac:dyDescent="0.25">
      <c r="A4133" t="s">
        <v>16727</v>
      </c>
      <c r="B4133" t="s">
        <v>16728</v>
      </c>
    </row>
    <row r="4134" spans="1:2" x14ac:dyDescent="0.25">
      <c r="A4134" t="s">
        <v>16729</v>
      </c>
      <c r="B4134" t="s">
        <v>16730</v>
      </c>
    </row>
    <row r="4135" spans="1:2" x14ac:dyDescent="0.25">
      <c r="A4135" t="s">
        <v>16731</v>
      </c>
      <c r="B4135" t="s">
        <v>16732</v>
      </c>
    </row>
    <row r="4136" spans="1:2" x14ac:dyDescent="0.25">
      <c r="A4136" t="s">
        <v>16733</v>
      </c>
      <c r="B4136" t="s">
        <v>16734</v>
      </c>
    </row>
    <row r="4137" spans="1:2" x14ac:dyDescent="0.25">
      <c r="A4137" t="s">
        <v>16735</v>
      </c>
      <c r="B4137" t="s">
        <v>16736</v>
      </c>
    </row>
    <row r="4138" spans="1:2" x14ac:dyDescent="0.25">
      <c r="A4138" t="s">
        <v>16737</v>
      </c>
      <c r="B4138" t="s">
        <v>16738</v>
      </c>
    </row>
    <row r="4139" spans="1:2" x14ac:dyDescent="0.25">
      <c r="A4139" t="s">
        <v>16739</v>
      </c>
      <c r="B4139" t="s">
        <v>16740</v>
      </c>
    </row>
    <row r="4140" spans="1:2" x14ac:dyDescent="0.25">
      <c r="A4140" t="s">
        <v>16741</v>
      </c>
      <c r="B4140" t="s">
        <v>16742</v>
      </c>
    </row>
    <row r="4141" spans="1:2" x14ac:dyDescent="0.25">
      <c r="A4141" t="s">
        <v>16743</v>
      </c>
      <c r="B4141" t="s">
        <v>16744</v>
      </c>
    </row>
    <row r="4142" spans="1:2" x14ac:dyDescent="0.25">
      <c r="A4142" t="s">
        <v>16745</v>
      </c>
      <c r="B4142" t="s">
        <v>16746</v>
      </c>
    </row>
    <row r="4143" spans="1:2" x14ac:dyDescent="0.25">
      <c r="A4143" t="s">
        <v>16747</v>
      </c>
      <c r="B4143" t="s">
        <v>16748</v>
      </c>
    </row>
    <row r="4144" spans="1:2" x14ac:dyDescent="0.25">
      <c r="A4144" t="s">
        <v>16749</v>
      </c>
      <c r="B4144" t="s">
        <v>16750</v>
      </c>
    </row>
    <row r="4145" spans="1:2" x14ac:dyDescent="0.25">
      <c r="A4145" t="s">
        <v>16751</v>
      </c>
      <c r="B4145" t="s">
        <v>16752</v>
      </c>
    </row>
    <row r="4146" spans="1:2" x14ac:dyDescent="0.25">
      <c r="A4146" t="s">
        <v>590</v>
      </c>
      <c r="B4146" t="s">
        <v>16753</v>
      </c>
    </row>
    <row r="4147" spans="1:2" x14ac:dyDescent="0.25">
      <c r="A4147" t="s">
        <v>16754</v>
      </c>
      <c r="B4147" t="s">
        <v>16755</v>
      </c>
    </row>
    <row r="4148" spans="1:2" x14ac:dyDescent="0.25">
      <c r="A4148" t="s">
        <v>16756</v>
      </c>
      <c r="B4148" t="s">
        <v>16757</v>
      </c>
    </row>
    <row r="4149" spans="1:2" x14ac:dyDescent="0.25">
      <c r="A4149" t="s">
        <v>16758</v>
      </c>
      <c r="B4149" t="s">
        <v>16759</v>
      </c>
    </row>
    <row r="4150" spans="1:2" x14ac:dyDescent="0.25">
      <c r="A4150" t="s">
        <v>16760</v>
      </c>
      <c r="B4150" t="s">
        <v>16761</v>
      </c>
    </row>
    <row r="4151" spans="1:2" x14ac:dyDescent="0.25">
      <c r="A4151" t="s">
        <v>16762</v>
      </c>
      <c r="B4151" t="s">
        <v>16763</v>
      </c>
    </row>
    <row r="4152" spans="1:2" x14ac:dyDescent="0.25">
      <c r="A4152" t="s">
        <v>16764</v>
      </c>
      <c r="B4152" t="s">
        <v>16765</v>
      </c>
    </row>
    <row r="4153" spans="1:2" x14ac:dyDescent="0.25">
      <c r="A4153" t="s">
        <v>16766</v>
      </c>
      <c r="B4153" t="s">
        <v>16767</v>
      </c>
    </row>
    <row r="4154" spans="1:2" x14ac:dyDescent="0.25">
      <c r="A4154" t="s">
        <v>16768</v>
      </c>
      <c r="B4154" t="s">
        <v>16769</v>
      </c>
    </row>
    <row r="4155" spans="1:2" x14ac:dyDescent="0.25">
      <c r="A4155" t="s">
        <v>16770</v>
      </c>
      <c r="B4155" t="s">
        <v>16771</v>
      </c>
    </row>
    <row r="4156" spans="1:2" x14ac:dyDescent="0.25">
      <c r="A4156" t="s">
        <v>16772</v>
      </c>
      <c r="B4156" t="s">
        <v>16773</v>
      </c>
    </row>
    <row r="4157" spans="1:2" x14ac:dyDescent="0.25">
      <c r="A4157" t="s">
        <v>16774</v>
      </c>
      <c r="B4157" t="s">
        <v>16775</v>
      </c>
    </row>
    <row r="4158" spans="1:2" x14ac:dyDescent="0.25">
      <c r="A4158" t="s">
        <v>16776</v>
      </c>
      <c r="B4158" t="s">
        <v>16777</v>
      </c>
    </row>
    <row r="4159" spans="1:2" x14ac:dyDescent="0.25">
      <c r="A4159" t="s">
        <v>16778</v>
      </c>
      <c r="B4159" t="s">
        <v>16779</v>
      </c>
    </row>
    <row r="4160" spans="1:2" x14ac:dyDescent="0.25">
      <c r="A4160" t="s">
        <v>16780</v>
      </c>
      <c r="B4160" t="s">
        <v>16781</v>
      </c>
    </row>
    <row r="4161" spans="1:2" x14ac:dyDescent="0.25">
      <c r="A4161" t="s">
        <v>16782</v>
      </c>
      <c r="B4161" t="s">
        <v>16783</v>
      </c>
    </row>
    <row r="4162" spans="1:2" x14ac:dyDescent="0.25">
      <c r="A4162" t="s">
        <v>16784</v>
      </c>
      <c r="B4162" t="s">
        <v>16785</v>
      </c>
    </row>
    <row r="4163" spans="1:2" x14ac:dyDescent="0.25">
      <c r="A4163" t="s">
        <v>16786</v>
      </c>
      <c r="B4163" t="s">
        <v>16787</v>
      </c>
    </row>
    <row r="4164" spans="1:2" x14ac:dyDescent="0.25">
      <c r="A4164" t="s">
        <v>16788</v>
      </c>
      <c r="B4164" t="s">
        <v>16789</v>
      </c>
    </row>
    <row r="4165" spans="1:2" x14ac:dyDescent="0.25">
      <c r="A4165" t="s">
        <v>16790</v>
      </c>
      <c r="B4165" t="s">
        <v>16791</v>
      </c>
    </row>
    <row r="4166" spans="1:2" x14ac:dyDescent="0.25">
      <c r="A4166" t="s">
        <v>16792</v>
      </c>
      <c r="B4166" t="s">
        <v>16793</v>
      </c>
    </row>
    <row r="4167" spans="1:2" x14ac:dyDescent="0.25">
      <c r="A4167" t="s">
        <v>592</v>
      </c>
      <c r="B4167" t="s">
        <v>16794</v>
      </c>
    </row>
    <row r="4168" spans="1:2" x14ac:dyDescent="0.25">
      <c r="A4168" t="s">
        <v>16795</v>
      </c>
      <c r="B4168" t="s">
        <v>16796</v>
      </c>
    </row>
    <row r="4169" spans="1:2" x14ac:dyDescent="0.25">
      <c r="A4169" t="s">
        <v>16797</v>
      </c>
      <c r="B4169" t="s">
        <v>16798</v>
      </c>
    </row>
    <row r="4170" spans="1:2" x14ac:dyDescent="0.25">
      <c r="A4170" t="s">
        <v>373</v>
      </c>
      <c r="B4170" t="s">
        <v>16799</v>
      </c>
    </row>
    <row r="4171" spans="1:2" x14ac:dyDescent="0.25">
      <c r="A4171" t="s">
        <v>16800</v>
      </c>
      <c r="B4171" t="s">
        <v>16801</v>
      </c>
    </row>
    <row r="4172" spans="1:2" x14ac:dyDescent="0.25">
      <c r="A4172" t="s">
        <v>16802</v>
      </c>
      <c r="B4172" t="s">
        <v>16803</v>
      </c>
    </row>
    <row r="4173" spans="1:2" x14ac:dyDescent="0.25">
      <c r="A4173" t="s">
        <v>16804</v>
      </c>
      <c r="B4173" t="s">
        <v>16805</v>
      </c>
    </row>
    <row r="4174" spans="1:2" x14ac:dyDescent="0.25">
      <c r="A4174" t="s">
        <v>16806</v>
      </c>
      <c r="B4174" t="s">
        <v>16807</v>
      </c>
    </row>
    <row r="4175" spans="1:2" x14ac:dyDescent="0.25">
      <c r="A4175" t="s">
        <v>16808</v>
      </c>
      <c r="B4175" t="s">
        <v>16809</v>
      </c>
    </row>
    <row r="4176" spans="1:2" x14ac:dyDescent="0.25">
      <c r="A4176" t="s">
        <v>16810</v>
      </c>
      <c r="B4176" t="s">
        <v>16811</v>
      </c>
    </row>
    <row r="4177" spans="1:2" x14ac:dyDescent="0.25">
      <c r="A4177" t="s">
        <v>16812</v>
      </c>
      <c r="B4177" t="s">
        <v>16813</v>
      </c>
    </row>
    <row r="4178" spans="1:2" x14ac:dyDescent="0.25">
      <c r="A4178" t="s">
        <v>16814</v>
      </c>
      <c r="B4178" t="s">
        <v>16815</v>
      </c>
    </row>
    <row r="4179" spans="1:2" x14ac:dyDescent="0.25">
      <c r="A4179" t="s">
        <v>16816</v>
      </c>
      <c r="B4179" t="s">
        <v>16817</v>
      </c>
    </row>
    <row r="4180" spans="1:2" x14ac:dyDescent="0.25">
      <c r="A4180" t="s">
        <v>16818</v>
      </c>
      <c r="B4180" t="s">
        <v>16819</v>
      </c>
    </row>
    <row r="4181" spans="1:2" x14ac:dyDescent="0.25">
      <c r="A4181" t="s">
        <v>16820</v>
      </c>
      <c r="B4181" t="s">
        <v>16821</v>
      </c>
    </row>
    <row r="4182" spans="1:2" x14ac:dyDescent="0.25">
      <c r="A4182" t="s">
        <v>16822</v>
      </c>
      <c r="B4182" t="s">
        <v>16823</v>
      </c>
    </row>
    <row r="4183" spans="1:2" x14ac:dyDescent="0.25">
      <c r="A4183" t="s">
        <v>16824</v>
      </c>
      <c r="B4183" t="s">
        <v>16825</v>
      </c>
    </row>
    <row r="4184" spans="1:2" x14ac:dyDescent="0.25">
      <c r="A4184" t="s">
        <v>16826</v>
      </c>
      <c r="B4184" t="s">
        <v>16827</v>
      </c>
    </row>
    <row r="4185" spans="1:2" x14ac:dyDescent="0.25">
      <c r="A4185" t="s">
        <v>16828</v>
      </c>
      <c r="B4185" t="s">
        <v>16829</v>
      </c>
    </row>
    <row r="4186" spans="1:2" x14ac:dyDescent="0.25">
      <c r="A4186" t="s">
        <v>16830</v>
      </c>
      <c r="B4186" t="s">
        <v>16831</v>
      </c>
    </row>
    <row r="4187" spans="1:2" x14ac:dyDescent="0.25">
      <c r="A4187" t="s">
        <v>16832</v>
      </c>
      <c r="B4187" t="s">
        <v>16833</v>
      </c>
    </row>
    <row r="4188" spans="1:2" x14ac:dyDescent="0.25">
      <c r="A4188" t="s">
        <v>16834</v>
      </c>
      <c r="B4188" t="s">
        <v>16835</v>
      </c>
    </row>
    <row r="4189" spans="1:2" x14ac:dyDescent="0.25">
      <c r="A4189" t="s">
        <v>16836</v>
      </c>
      <c r="B4189" t="s">
        <v>16837</v>
      </c>
    </row>
    <row r="4190" spans="1:2" x14ac:dyDescent="0.25">
      <c r="A4190" t="s">
        <v>94</v>
      </c>
      <c r="B4190" t="s">
        <v>16838</v>
      </c>
    </row>
    <row r="4191" spans="1:2" x14ac:dyDescent="0.25">
      <c r="A4191" t="s">
        <v>16839</v>
      </c>
      <c r="B4191" t="s">
        <v>16840</v>
      </c>
    </row>
    <row r="4192" spans="1:2" x14ac:dyDescent="0.25">
      <c r="A4192" t="s">
        <v>16841</v>
      </c>
      <c r="B4192" t="s">
        <v>16842</v>
      </c>
    </row>
    <row r="4193" spans="1:2" x14ac:dyDescent="0.25">
      <c r="A4193" t="s">
        <v>16843</v>
      </c>
      <c r="B4193" t="s">
        <v>16844</v>
      </c>
    </row>
    <row r="4194" spans="1:2" x14ac:dyDescent="0.25">
      <c r="A4194" t="s">
        <v>16845</v>
      </c>
      <c r="B4194" t="s">
        <v>16846</v>
      </c>
    </row>
    <row r="4195" spans="1:2" x14ac:dyDescent="0.25">
      <c r="A4195" t="s">
        <v>16847</v>
      </c>
      <c r="B4195" t="s">
        <v>16848</v>
      </c>
    </row>
    <row r="4196" spans="1:2" x14ac:dyDescent="0.25">
      <c r="A4196" t="s">
        <v>16849</v>
      </c>
      <c r="B4196" t="s">
        <v>16850</v>
      </c>
    </row>
    <row r="4197" spans="1:2" x14ac:dyDescent="0.25">
      <c r="A4197" t="s">
        <v>16851</v>
      </c>
      <c r="B4197" t="s">
        <v>16852</v>
      </c>
    </row>
    <row r="4198" spans="1:2" x14ac:dyDescent="0.25">
      <c r="A4198" t="s">
        <v>16853</v>
      </c>
      <c r="B4198" t="s">
        <v>16854</v>
      </c>
    </row>
    <row r="4199" spans="1:2" x14ac:dyDescent="0.25">
      <c r="A4199" t="s">
        <v>16855</v>
      </c>
      <c r="B4199" t="s">
        <v>16856</v>
      </c>
    </row>
    <row r="4200" spans="1:2" x14ac:dyDescent="0.25">
      <c r="A4200" t="s">
        <v>16857</v>
      </c>
      <c r="B4200" t="s">
        <v>16858</v>
      </c>
    </row>
    <row r="4201" spans="1:2" x14ac:dyDescent="0.25">
      <c r="A4201" t="s">
        <v>16859</v>
      </c>
      <c r="B4201" t="s">
        <v>16860</v>
      </c>
    </row>
    <row r="4202" spans="1:2" x14ac:dyDescent="0.25">
      <c r="A4202" t="s">
        <v>16861</v>
      </c>
      <c r="B4202" t="s">
        <v>16862</v>
      </c>
    </row>
    <row r="4203" spans="1:2" x14ac:dyDescent="0.25">
      <c r="A4203" t="s">
        <v>16863</v>
      </c>
      <c r="B4203" t="s">
        <v>16864</v>
      </c>
    </row>
    <row r="4204" spans="1:2" x14ac:dyDescent="0.25">
      <c r="A4204" t="s">
        <v>16865</v>
      </c>
      <c r="B4204" t="s">
        <v>16866</v>
      </c>
    </row>
    <row r="4205" spans="1:2" x14ac:dyDescent="0.25">
      <c r="A4205" t="s">
        <v>16867</v>
      </c>
      <c r="B4205" t="s">
        <v>16868</v>
      </c>
    </row>
    <row r="4206" spans="1:2" x14ac:dyDescent="0.25">
      <c r="A4206" t="s">
        <v>16869</v>
      </c>
      <c r="B4206" t="s">
        <v>16870</v>
      </c>
    </row>
    <row r="4207" spans="1:2" x14ac:dyDescent="0.25">
      <c r="A4207" t="s">
        <v>16871</v>
      </c>
      <c r="B4207" t="s">
        <v>16872</v>
      </c>
    </row>
    <row r="4208" spans="1:2" x14ac:dyDescent="0.25">
      <c r="A4208" t="s">
        <v>16873</v>
      </c>
      <c r="B4208" t="s">
        <v>16874</v>
      </c>
    </row>
    <row r="4209" spans="1:2" x14ac:dyDescent="0.25">
      <c r="A4209" t="s">
        <v>16875</v>
      </c>
      <c r="B4209" t="s">
        <v>16876</v>
      </c>
    </row>
    <row r="4210" spans="1:2" x14ac:dyDescent="0.25">
      <c r="A4210" t="s">
        <v>16877</v>
      </c>
      <c r="B4210" t="s">
        <v>16878</v>
      </c>
    </row>
    <row r="4211" spans="1:2" x14ac:dyDescent="0.25">
      <c r="A4211" t="s">
        <v>16879</v>
      </c>
      <c r="B4211" t="s">
        <v>16880</v>
      </c>
    </row>
    <row r="4212" spans="1:2" x14ac:dyDescent="0.25">
      <c r="A4212" t="s">
        <v>16881</v>
      </c>
      <c r="B4212" t="s">
        <v>16882</v>
      </c>
    </row>
    <row r="4213" spans="1:2" x14ac:dyDescent="0.25">
      <c r="A4213" t="s">
        <v>16883</v>
      </c>
      <c r="B4213" t="s">
        <v>16884</v>
      </c>
    </row>
    <row r="4214" spans="1:2" x14ac:dyDescent="0.25">
      <c r="A4214" t="s">
        <v>16885</v>
      </c>
      <c r="B4214" t="s">
        <v>16886</v>
      </c>
    </row>
    <row r="4215" spans="1:2" x14ac:dyDescent="0.25">
      <c r="A4215" t="s">
        <v>16887</v>
      </c>
      <c r="B4215" t="s">
        <v>16888</v>
      </c>
    </row>
    <row r="4216" spans="1:2" x14ac:dyDescent="0.25">
      <c r="A4216" t="s">
        <v>16889</v>
      </c>
      <c r="B4216" t="s">
        <v>16890</v>
      </c>
    </row>
    <row r="4217" spans="1:2" x14ac:dyDescent="0.25">
      <c r="A4217" t="s">
        <v>16891</v>
      </c>
      <c r="B4217" t="s">
        <v>16892</v>
      </c>
    </row>
    <row r="4218" spans="1:2" x14ac:dyDescent="0.25">
      <c r="A4218" t="s">
        <v>16893</v>
      </c>
      <c r="B4218" t="s">
        <v>16894</v>
      </c>
    </row>
    <row r="4219" spans="1:2" x14ac:dyDescent="0.25">
      <c r="A4219" t="s">
        <v>16895</v>
      </c>
      <c r="B4219" t="s">
        <v>16896</v>
      </c>
    </row>
    <row r="4220" spans="1:2" x14ac:dyDescent="0.25">
      <c r="A4220" t="s">
        <v>16897</v>
      </c>
      <c r="B4220" t="s">
        <v>16898</v>
      </c>
    </row>
    <row r="4221" spans="1:2" x14ac:dyDescent="0.25">
      <c r="A4221" t="s">
        <v>16899</v>
      </c>
      <c r="B4221" t="s">
        <v>16900</v>
      </c>
    </row>
    <row r="4222" spans="1:2" x14ac:dyDescent="0.25">
      <c r="A4222" t="s">
        <v>16901</v>
      </c>
      <c r="B4222" t="s">
        <v>16902</v>
      </c>
    </row>
    <row r="4223" spans="1:2" x14ac:dyDescent="0.25">
      <c r="A4223" t="s">
        <v>16903</v>
      </c>
      <c r="B4223" t="s">
        <v>16904</v>
      </c>
    </row>
    <row r="4224" spans="1:2" x14ac:dyDescent="0.25">
      <c r="A4224" t="s">
        <v>16905</v>
      </c>
      <c r="B4224" t="s">
        <v>16906</v>
      </c>
    </row>
    <row r="4225" spans="1:2" x14ac:dyDescent="0.25">
      <c r="A4225" t="s">
        <v>16907</v>
      </c>
      <c r="B4225" t="s">
        <v>16908</v>
      </c>
    </row>
    <row r="4226" spans="1:2" x14ac:dyDescent="0.25">
      <c r="A4226" t="s">
        <v>16909</v>
      </c>
      <c r="B4226" t="s">
        <v>16910</v>
      </c>
    </row>
    <row r="4227" spans="1:2" x14ac:dyDescent="0.25">
      <c r="A4227" t="s">
        <v>95</v>
      </c>
      <c r="B4227" t="s">
        <v>16911</v>
      </c>
    </row>
    <row r="4228" spans="1:2" x14ac:dyDescent="0.25">
      <c r="A4228" t="s">
        <v>596</v>
      </c>
      <c r="B4228" t="s">
        <v>16912</v>
      </c>
    </row>
    <row r="4229" spans="1:2" x14ac:dyDescent="0.25">
      <c r="A4229" t="s">
        <v>16913</v>
      </c>
      <c r="B4229" t="s">
        <v>16914</v>
      </c>
    </row>
    <row r="4230" spans="1:2" x14ac:dyDescent="0.25">
      <c r="A4230" t="s">
        <v>97</v>
      </c>
      <c r="B4230" t="s">
        <v>16915</v>
      </c>
    </row>
    <row r="4231" spans="1:2" x14ac:dyDescent="0.25">
      <c r="A4231" t="s">
        <v>16916</v>
      </c>
      <c r="B4231" t="s">
        <v>16917</v>
      </c>
    </row>
    <row r="4232" spans="1:2" x14ac:dyDescent="0.25">
      <c r="A4232" t="s">
        <v>16918</v>
      </c>
      <c r="B4232" t="s">
        <v>16919</v>
      </c>
    </row>
    <row r="4233" spans="1:2" x14ac:dyDescent="0.25">
      <c r="A4233" t="s">
        <v>16920</v>
      </c>
      <c r="B4233" t="s">
        <v>16921</v>
      </c>
    </row>
    <row r="4234" spans="1:2" x14ac:dyDescent="0.25">
      <c r="A4234" t="s">
        <v>16922</v>
      </c>
      <c r="B4234" t="s">
        <v>16923</v>
      </c>
    </row>
    <row r="4235" spans="1:2" x14ac:dyDescent="0.25">
      <c r="A4235" t="s">
        <v>16924</v>
      </c>
      <c r="B4235" t="s">
        <v>16925</v>
      </c>
    </row>
    <row r="4236" spans="1:2" x14ac:dyDescent="0.25">
      <c r="A4236" t="s">
        <v>16926</v>
      </c>
      <c r="B4236" t="s">
        <v>16927</v>
      </c>
    </row>
    <row r="4237" spans="1:2" x14ac:dyDescent="0.25">
      <c r="A4237" t="s">
        <v>16928</v>
      </c>
      <c r="B4237" t="s">
        <v>16929</v>
      </c>
    </row>
    <row r="4238" spans="1:2" x14ac:dyDescent="0.25">
      <c r="A4238" t="s">
        <v>16930</v>
      </c>
      <c r="B4238" t="s">
        <v>16931</v>
      </c>
    </row>
    <row r="4239" spans="1:2" x14ac:dyDescent="0.25">
      <c r="A4239" t="s">
        <v>16932</v>
      </c>
      <c r="B4239" t="s">
        <v>16933</v>
      </c>
    </row>
    <row r="4240" spans="1:2" x14ac:dyDescent="0.25">
      <c r="A4240" t="s">
        <v>16934</v>
      </c>
      <c r="B4240" t="s">
        <v>16935</v>
      </c>
    </row>
    <row r="4241" spans="1:2" x14ac:dyDescent="0.25">
      <c r="A4241" t="s">
        <v>16936</v>
      </c>
      <c r="B4241" t="s">
        <v>16937</v>
      </c>
    </row>
    <row r="4242" spans="1:2" x14ac:dyDescent="0.25">
      <c r="A4242" t="s">
        <v>16938</v>
      </c>
      <c r="B4242" t="s">
        <v>16939</v>
      </c>
    </row>
    <row r="4243" spans="1:2" x14ac:dyDescent="0.25">
      <c r="A4243" t="s">
        <v>16940</v>
      </c>
      <c r="B4243" t="s">
        <v>16941</v>
      </c>
    </row>
    <row r="4244" spans="1:2" x14ac:dyDescent="0.25">
      <c r="A4244" t="s">
        <v>16942</v>
      </c>
      <c r="B4244" t="s">
        <v>16943</v>
      </c>
    </row>
    <row r="4245" spans="1:2" x14ac:dyDescent="0.25">
      <c r="A4245" t="s">
        <v>16944</v>
      </c>
      <c r="B4245" t="s">
        <v>16945</v>
      </c>
    </row>
    <row r="4246" spans="1:2" x14ac:dyDescent="0.25">
      <c r="A4246" t="s">
        <v>16946</v>
      </c>
      <c r="B4246" t="s">
        <v>16947</v>
      </c>
    </row>
    <row r="4247" spans="1:2" x14ac:dyDescent="0.25">
      <c r="A4247" t="s">
        <v>16948</v>
      </c>
      <c r="B4247" t="s">
        <v>16949</v>
      </c>
    </row>
    <row r="4248" spans="1:2" x14ac:dyDescent="0.25">
      <c r="A4248" t="s">
        <v>16950</v>
      </c>
      <c r="B4248" t="s">
        <v>12674</v>
      </c>
    </row>
    <row r="4249" spans="1:2" x14ac:dyDescent="0.25">
      <c r="A4249" t="s">
        <v>16951</v>
      </c>
      <c r="B4249" t="s">
        <v>16952</v>
      </c>
    </row>
    <row r="4250" spans="1:2" x14ac:dyDescent="0.25">
      <c r="A4250" t="s">
        <v>16953</v>
      </c>
      <c r="B4250" t="s">
        <v>16954</v>
      </c>
    </row>
    <row r="4251" spans="1:2" x14ac:dyDescent="0.25">
      <c r="A4251" t="s">
        <v>16955</v>
      </c>
      <c r="B4251" t="s">
        <v>16956</v>
      </c>
    </row>
    <row r="4252" spans="1:2" x14ac:dyDescent="0.25">
      <c r="A4252" t="s">
        <v>16957</v>
      </c>
      <c r="B4252" t="s">
        <v>16958</v>
      </c>
    </row>
    <row r="4253" spans="1:2" x14ac:dyDescent="0.25">
      <c r="A4253" t="s">
        <v>16959</v>
      </c>
      <c r="B4253" t="s">
        <v>16960</v>
      </c>
    </row>
    <row r="4254" spans="1:2" x14ac:dyDescent="0.25">
      <c r="A4254" t="s">
        <v>16961</v>
      </c>
      <c r="B4254" t="s">
        <v>16962</v>
      </c>
    </row>
    <row r="4255" spans="1:2" x14ac:dyDescent="0.25">
      <c r="A4255" t="s">
        <v>16963</v>
      </c>
      <c r="B4255" t="s">
        <v>16964</v>
      </c>
    </row>
    <row r="4256" spans="1:2" x14ac:dyDescent="0.25">
      <c r="A4256" t="s">
        <v>16965</v>
      </c>
      <c r="B4256" t="s">
        <v>16966</v>
      </c>
    </row>
    <row r="4257" spans="1:2" x14ac:dyDescent="0.25">
      <c r="A4257" t="s">
        <v>16967</v>
      </c>
      <c r="B4257" t="s">
        <v>16968</v>
      </c>
    </row>
    <row r="4258" spans="1:2" x14ac:dyDescent="0.25">
      <c r="A4258" t="s">
        <v>16969</v>
      </c>
      <c r="B4258" t="s">
        <v>16970</v>
      </c>
    </row>
    <row r="4259" spans="1:2" x14ac:dyDescent="0.25">
      <c r="A4259" t="s">
        <v>16971</v>
      </c>
      <c r="B4259" t="s">
        <v>16972</v>
      </c>
    </row>
    <row r="4260" spans="1:2" x14ac:dyDescent="0.25">
      <c r="A4260" t="s">
        <v>2454</v>
      </c>
      <c r="B4260" t="s">
        <v>16973</v>
      </c>
    </row>
    <row r="4261" spans="1:2" x14ac:dyDescent="0.25">
      <c r="A4261" t="s">
        <v>16974</v>
      </c>
      <c r="B4261" t="s">
        <v>16975</v>
      </c>
    </row>
    <row r="4262" spans="1:2" x14ac:dyDescent="0.25">
      <c r="A4262" t="s">
        <v>16976</v>
      </c>
      <c r="B4262" t="s">
        <v>16977</v>
      </c>
    </row>
    <row r="4263" spans="1:2" x14ac:dyDescent="0.25">
      <c r="A4263" t="s">
        <v>16978</v>
      </c>
      <c r="B4263" t="s">
        <v>16979</v>
      </c>
    </row>
    <row r="4264" spans="1:2" x14ac:dyDescent="0.25">
      <c r="A4264" t="s">
        <v>16980</v>
      </c>
      <c r="B4264" t="s">
        <v>16981</v>
      </c>
    </row>
    <row r="4265" spans="1:2" x14ac:dyDescent="0.25">
      <c r="A4265" t="s">
        <v>16982</v>
      </c>
      <c r="B4265" t="s">
        <v>16983</v>
      </c>
    </row>
    <row r="4266" spans="1:2" x14ac:dyDescent="0.25">
      <c r="A4266" t="s">
        <v>376</v>
      </c>
      <c r="B4266" t="s">
        <v>16984</v>
      </c>
    </row>
    <row r="4267" spans="1:2" x14ac:dyDescent="0.25">
      <c r="A4267" t="s">
        <v>16985</v>
      </c>
      <c r="B4267" t="s">
        <v>16986</v>
      </c>
    </row>
    <row r="4268" spans="1:2" x14ac:dyDescent="0.25">
      <c r="A4268" t="s">
        <v>16987</v>
      </c>
      <c r="B4268" t="s">
        <v>16988</v>
      </c>
    </row>
    <row r="4269" spans="1:2" x14ac:dyDescent="0.25">
      <c r="A4269" t="s">
        <v>16989</v>
      </c>
      <c r="B4269" t="s">
        <v>16990</v>
      </c>
    </row>
    <row r="4270" spans="1:2" x14ac:dyDescent="0.25">
      <c r="A4270" t="s">
        <v>16991</v>
      </c>
      <c r="B4270" t="s">
        <v>16992</v>
      </c>
    </row>
    <row r="4271" spans="1:2" x14ac:dyDescent="0.25">
      <c r="A4271" t="s">
        <v>16993</v>
      </c>
      <c r="B4271" t="s">
        <v>16994</v>
      </c>
    </row>
    <row r="4272" spans="1:2" x14ac:dyDescent="0.25">
      <c r="A4272" t="s">
        <v>16995</v>
      </c>
      <c r="B4272" t="s">
        <v>16996</v>
      </c>
    </row>
    <row r="4273" spans="1:2" x14ac:dyDescent="0.25">
      <c r="A4273" t="s">
        <v>16997</v>
      </c>
      <c r="B4273" t="s">
        <v>16998</v>
      </c>
    </row>
    <row r="4274" spans="1:2" x14ac:dyDescent="0.25">
      <c r="A4274" t="s">
        <v>16999</v>
      </c>
      <c r="B4274" t="s">
        <v>17000</v>
      </c>
    </row>
    <row r="4275" spans="1:2" x14ac:dyDescent="0.25">
      <c r="A4275" t="s">
        <v>17001</v>
      </c>
      <c r="B4275" t="s">
        <v>17002</v>
      </c>
    </row>
    <row r="4276" spans="1:2" x14ac:dyDescent="0.25">
      <c r="A4276" t="s">
        <v>17003</v>
      </c>
      <c r="B4276" t="s">
        <v>17004</v>
      </c>
    </row>
    <row r="4277" spans="1:2" x14ac:dyDescent="0.25">
      <c r="A4277" t="s">
        <v>17005</v>
      </c>
      <c r="B4277" t="s">
        <v>17006</v>
      </c>
    </row>
    <row r="4278" spans="1:2" x14ac:dyDescent="0.25">
      <c r="A4278" t="s">
        <v>17007</v>
      </c>
      <c r="B4278" t="s">
        <v>17008</v>
      </c>
    </row>
    <row r="4279" spans="1:2" x14ac:dyDescent="0.25">
      <c r="A4279" t="s">
        <v>6268</v>
      </c>
      <c r="B4279" t="s">
        <v>17009</v>
      </c>
    </row>
    <row r="4280" spans="1:2" x14ac:dyDescent="0.25">
      <c r="A4280" t="s">
        <v>17010</v>
      </c>
      <c r="B4280" t="s">
        <v>17011</v>
      </c>
    </row>
    <row r="4281" spans="1:2" x14ac:dyDescent="0.25">
      <c r="A4281" t="s">
        <v>17012</v>
      </c>
      <c r="B4281" t="s">
        <v>17013</v>
      </c>
    </row>
    <row r="4282" spans="1:2" x14ac:dyDescent="0.25">
      <c r="A4282" t="s">
        <v>17014</v>
      </c>
      <c r="B4282" t="s">
        <v>17015</v>
      </c>
    </row>
    <row r="4283" spans="1:2" x14ac:dyDescent="0.25">
      <c r="A4283" t="s">
        <v>17016</v>
      </c>
      <c r="B4283" t="s">
        <v>17017</v>
      </c>
    </row>
    <row r="4284" spans="1:2" x14ac:dyDescent="0.25">
      <c r="A4284" t="s">
        <v>17018</v>
      </c>
      <c r="B4284" t="s">
        <v>17019</v>
      </c>
    </row>
    <row r="4285" spans="1:2" x14ac:dyDescent="0.25">
      <c r="A4285" t="s">
        <v>17020</v>
      </c>
      <c r="B4285" t="s">
        <v>17021</v>
      </c>
    </row>
    <row r="4286" spans="1:2" x14ac:dyDescent="0.25">
      <c r="A4286" t="s">
        <v>17022</v>
      </c>
      <c r="B4286" t="s">
        <v>17023</v>
      </c>
    </row>
    <row r="4287" spans="1:2" x14ac:dyDescent="0.25">
      <c r="A4287" t="s">
        <v>17024</v>
      </c>
      <c r="B4287" t="s">
        <v>17025</v>
      </c>
    </row>
    <row r="4288" spans="1:2" x14ac:dyDescent="0.25">
      <c r="A4288" t="s">
        <v>17026</v>
      </c>
      <c r="B4288" t="s">
        <v>17027</v>
      </c>
    </row>
    <row r="4289" spans="1:2" x14ac:dyDescent="0.25">
      <c r="A4289" t="s">
        <v>17028</v>
      </c>
      <c r="B4289" t="s">
        <v>17029</v>
      </c>
    </row>
    <row r="4290" spans="1:2" x14ac:dyDescent="0.25">
      <c r="A4290" t="s">
        <v>17030</v>
      </c>
      <c r="B4290" t="s">
        <v>17031</v>
      </c>
    </row>
    <row r="4291" spans="1:2" x14ac:dyDescent="0.25">
      <c r="A4291" t="s">
        <v>17032</v>
      </c>
      <c r="B4291" t="s">
        <v>17033</v>
      </c>
    </row>
    <row r="4292" spans="1:2" x14ac:dyDescent="0.25">
      <c r="A4292" t="s">
        <v>17034</v>
      </c>
      <c r="B4292" t="s">
        <v>17035</v>
      </c>
    </row>
    <row r="4293" spans="1:2" x14ac:dyDescent="0.25">
      <c r="A4293" t="s">
        <v>17036</v>
      </c>
      <c r="B4293" t="s">
        <v>17037</v>
      </c>
    </row>
    <row r="4294" spans="1:2" x14ac:dyDescent="0.25">
      <c r="A4294" t="s">
        <v>17038</v>
      </c>
      <c r="B4294" t="s">
        <v>17039</v>
      </c>
    </row>
    <row r="4295" spans="1:2" x14ac:dyDescent="0.25">
      <c r="A4295" t="s">
        <v>17040</v>
      </c>
      <c r="B4295" t="s">
        <v>17041</v>
      </c>
    </row>
    <row r="4296" spans="1:2" x14ac:dyDescent="0.25">
      <c r="A4296" t="s">
        <v>17042</v>
      </c>
      <c r="B4296" t="s">
        <v>17043</v>
      </c>
    </row>
    <row r="4297" spans="1:2" x14ac:dyDescent="0.25">
      <c r="A4297" t="s">
        <v>17044</v>
      </c>
      <c r="B4297" t="s">
        <v>17045</v>
      </c>
    </row>
    <row r="4298" spans="1:2" x14ac:dyDescent="0.25">
      <c r="A4298" t="s">
        <v>17046</v>
      </c>
      <c r="B4298" t="s">
        <v>17047</v>
      </c>
    </row>
    <row r="4299" spans="1:2" x14ac:dyDescent="0.25">
      <c r="A4299" t="s">
        <v>17048</v>
      </c>
      <c r="B4299" t="s">
        <v>17049</v>
      </c>
    </row>
    <row r="4300" spans="1:2" x14ac:dyDescent="0.25">
      <c r="A4300" t="s">
        <v>17050</v>
      </c>
      <c r="B4300" t="s">
        <v>17051</v>
      </c>
    </row>
    <row r="4301" spans="1:2" x14ac:dyDescent="0.25">
      <c r="A4301" t="s">
        <v>17052</v>
      </c>
      <c r="B4301" t="s">
        <v>17053</v>
      </c>
    </row>
    <row r="4302" spans="1:2" x14ac:dyDescent="0.25">
      <c r="A4302" t="s">
        <v>17054</v>
      </c>
      <c r="B4302" t="s">
        <v>17055</v>
      </c>
    </row>
    <row r="4303" spans="1:2" x14ac:dyDescent="0.25">
      <c r="A4303" t="s">
        <v>17056</v>
      </c>
      <c r="B4303" t="s">
        <v>17057</v>
      </c>
    </row>
    <row r="4304" spans="1:2" x14ac:dyDescent="0.25">
      <c r="A4304" t="s">
        <v>17058</v>
      </c>
      <c r="B4304" t="s">
        <v>17059</v>
      </c>
    </row>
    <row r="4305" spans="1:2" x14ac:dyDescent="0.25">
      <c r="A4305" t="s">
        <v>17060</v>
      </c>
      <c r="B4305" t="s">
        <v>17061</v>
      </c>
    </row>
    <row r="4306" spans="1:2" x14ac:dyDescent="0.25">
      <c r="A4306" t="s">
        <v>17062</v>
      </c>
      <c r="B4306" t="s">
        <v>17063</v>
      </c>
    </row>
    <row r="4307" spans="1:2" x14ac:dyDescent="0.25">
      <c r="A4307" t="s">
        <v>17064</v>
      </c>
      <c r="B4307" t="s">
        <v>17065</v>
      </c>
    </row>
    <row r="4308" spans="1:2" x14ac:dyDescent="0.25">
      <c r="A4308" t="s">
        <v>17066</v>
      </c>
      <c r="B4308" t="s">
        <v>17067</v>
      </c>
    </row>
    <row r="4309" spans="1:2" x14ac:dyDescent="0.25">
      <c r="A4309" t="s">
        <v>17068</v>
      </c>
      <c r="B4309" t="s">
        <v>17069</v>
      </c>
    </row>
    <row r="4310" spans="1:2" x14ac:dyDescent="0.25">
      <c r="A4310" t="s">
        <v>17070</v>
      </c>
      <c r="B4310" t="s">
        <v>17071</v>
      </c>
    </row>
    <row r="4311" spans="1:2" x14ac:dyDescent="0.25">
      <c r="A4311" t="s">
        <v>1214</v>
      </c>
      <c r="B4311" t="s">
        <v>17072</v>
      </c>
    </row>
    <row r="4312" spans="1:2" x14ac:dyDescent="0.25">
      <c r="A4312" t="s">
        <v>17073</v>
      </c>
      <c r="B4312" t="s">
        <v>17074</v>
      </c>
    </row>
    <row r="4313" spans="1:2" x14ac:dyDescent="0.25">
      <c r="A4313" t="s">
        <v>1566</v>
      </c>
      <c r="B4313" t="s">
        <v>17075</v>
      </c>
    </row>
    <row r="4314" spans="1:2" x14ac:dyDescent="0.25">
      <c r="A4314" t="s">
        <v>17076</v>
      </c>
      <c r="B4314" t="s">
        <v>17077</v>
      </c>
    </row>
    <row r="4315" spans="1:2" x14ac:dyDescent="0.25">
      <c r="A4315" t="s">
        <v>17078</v>
      </c>
      <c r="B4315" t="s">
        <v>17079</v>
      </c>
    </row>
    <row r="4316" spans="1:2" x14ac:dyDescent="0.25">
      <c r="A4316" t="s">
        <v>17080</v>
      </c>
      <c r="B4316" t="s">
        <v>17081</v>
      </c>
    </row>
    <row r="4317" spans="1:2" x14ac:dyDescent="0.25">
      <c r="A4317" t="s">
        <v>17082</v>
      </c>
      <c r="B4317" t="s">
        <v>17083</v>
      </c>
    </row>
    <row r="4318" spans="1:2" x14ac:dyDescent="0.25">
      <c r="A4318" t="s">
        <v>98</v>
      </c>
      <c r="B4318" t="s">
        <v>17084</v>
      </c>
    </row>
    <row r="4319" spans="1:2" x14ac:dyDescent="0.25">
      <c r="A4319" t="s">
        <v>17085</v>
      </c>
      <c r="B4319" t="s">
        <v>17086</v>
      </c>
    </row>
    <row r="4320" spans="1:2" x14ac:dyDescent="0.25">
      <c r="A4320" t="s">
        <v>17087</v>
      </c>
      <c r="B4320" t="s">
        <v>17088</v>
      </c>
    </row>
    <row r="4321" spans="1:2" x14ac:dyDescent="0.25">
      <c r="A4321" t="s">
        <v>17089</v>
      </c>
      <c r="B4321" t="s">
        <v>17090</v>
      </c>
    </row>
    <row r="4322" spans="1:2" x14ac:dyDescent="0.25">
      <c r="A4322" t="s">
        <v>17091</v>
      </c>
      <c r="B4322" t="s">
        <v>17092</v>
      </c>
    </row>
    <row r="4323" spans="1:2" x14ac:dyDescent="0.25">
      <c r="A4323" t="s">
        <v>17093</v>
      </c>
      <c r="B4323" t="s">
        <v>17094</v>
      </c>
    </row>
    <row r="4324" spans="1:2" x14ac:dyDescent="0.25">
      <c r="A4324" t="s">
        <v>17095</v>
      </c>
      <c r="B4324" t="s">
        <v>17096</v>
      </c>
    </row>
    <row r="4325" spans="1:2" x14ac:dyDescent="0.25">
      <c r="A4325" t="s">
        <v>17097</v>
      </c>
      <c r="B4325" t="s">
        <v>17098</v>
      </c>
    </row>
    <row r="4326" spans="1:2" x14ac:dyDescent="0.25">
      <c r="A4326" t="s">
        <v>17099</v>
      </c>
      <c r="B4326" t="s">
        <v>17100</v>
      </c>
    </row>
    <row r="4327" spans="1:2" x14ac:dyDescent="0.25">
      <c r="A4327" t="s">
        <v>17101</v>
      </c>
      <c r="B4327" t="s">
        <v>17102</v>
      </c>
    </row>
    <row r="4328" spans="1:2" x14ac:dyDescent="0.25">
      <c r="A4328" t="s">
        <v>17103</v>
      </c>
      <c r="B4328" t="s">
        <v>17104</v>
      </c>
    </row>
    <row r="4329" spans="1:2" x14ac:dyDescent="0.25">
      <c r="A4329" t="s">
        <v>17105</v>
      </c>
      <c r="B4329" t="s">
        <v>17106</v>
      </c>
    </row>
    <row r="4330" spans="1:2" x14ac:dyDescent="0.25">
      <c r="A4330" t="s">
        <v>17107</v>
      </c>
      <c r="B4330" t="s">
        <v>17108</v>
      </c>
    </row>
    <row r="4331" spans="1:2" x14ac:dyDescent="0.25">
      <c r="A4331" t="s">
        <v>3316</v>
      </c>
      <c r="B4331" t="s">
        <v>17109</v>
      </c>
    </row>
    <row r="4332" spans="1:2" x14ac:dyDescent="0.25">
      <c r="A4332" t="s">
        <v>17110</v>
      </c>
      <c r="B4332" t="s">
        <v>17111</v>
      </c>
    </row>
    <row r="4333" spans="1:2" x14ac:dyDescent="0.25">
      <c r="A4333" t="s">
        <v>99</v>
      </c>
      <c r="B4333" t="s">
        <v>17112</v>
      </c>
    </row>
    <row r="4334" spans="1:2" x14ac:dyDescent="0.25">
      <c r="A4334" t="s">
        <v>17113</v>
      </c>
      <c r="B4334" t="s">
        <v>17114</v>
      </c>
    </row>
    <row r="4335" spans="1:2" x14ac:dyDescent="0.25">
      <c r="A4335" t="s">
        <v>17115</v>
      </c>
      <c r="B4335" t="s">
        <v>17116</v>
      </c>
    </row>
    <row r="4336" spans="1:2" x14ac:dyDescent="0.25">
      <c r="A4336" t="s">
        <v>17117</v>
      </c>
      <c r="B4336" t="s">
        <v>17118</v>
      </c>
    </row>
    <row r="4337" spans="1:2" x14ac:dyDescent="0.25">
      <c r="A4337" t="s">
        <v>17119</v>
      </c>
      <c r="B4337" t="s">
        <v>17120</v>
      </c>
    </row>
    <row r="4338" spans="1:2" x14ac:dyDescent="0.25">
      <c r="A4338" t="s">
        <v>17121</v>
      </c>
      <c r="B4338" t="s">
        <v>17122</v>
      </c>
    </row>
    <row r="4339" spans="1:2" x14ac:dyDescent="0.25">
      <c r="A4339" t="s">
        <v>17123</v>
      </c>
      <c r="B4339" t="s">
        <v>17124</v>
      </c>
    </row>
    <row r="4340" spans="1:2" x14ac:dyDescent="0.25">
      <c r="A4340" t="s">
        <v>17125</v>
      </c>
      <c r="B4340" t="s">
        <v>17126</v>
      </c>
    </row>
    <row r="4341" spans="1:2" x14ac:dyDescent="0.25">
      <c r="A4341" t="s">
        <v>17127</v>
      </c>
      <c r="B4341" t="s">
        <v>17128</v>
      </c>
    </row>
    <row r="4342" spans="1:2" x14ac:dyDescent="0.25">
      <c r="A4342" t="s">
        <v>17129</v>
      </c>
      <c r="B4342" t="s">
        <v>17130</v>
      </c>
    </row>
    <row r="4343" spans="1:2" x14ac:dyDescent="0.25">
      <c r="A4343" t="s">
        <v>17131</v>
      </c>
      <c r="B4343" t="s">
        <v>17132</v>
      </c>
    </row>
    <row r="4344" spans="1:2" x14ac:dyDescent="0.25">
      <c r="A4344" t="s">
        <v>17133</v>
      </c>
      <c r="B4344" t="s">
        <v>17134</v>
      </c>
    </row>
    <row r="4345" spans="1:2" x14ac:dyDescent="0.25">
      <c r="A4345" t="s">
        <v>17135</v>
      </c>
      <c r="B4345" t="s">
        <v>17136</v>
      </c>
    </row>
    <row r="4346" spans="1:2" x14ac:dyDescent="0.25">
      <c r="A4346" t="s">
        <v>17137</v>
      </c>
      <c r="B4346" t="s">
        <v>17138</v>
      </c>
    </row>
    <row r="4347" spans="1:2" x14ac:dyDescent="0.25">
      <c r="A4347" t="s">
        <v>17139</v>
      </c>
      <c r="B4347" t="s">
        <v>17140</v>
      </c>
    </row>
    <row r="4348" spans="1:2" x14ac:dyDescent="0.25">
      <c r="A4348" t="s">
        <v>17141</v>
      </c>
      <c r="B4348" t="s">
        <v>17142</v>
      </c>
    </row>
    <row r="4349" spans="1:2" x14ac:dyDescent="0.25">
      <c r="A4349" t="s">
        <v>17143</v>
      </c>
      <c r="B4349" t="s">
        <v>17144</v>
      </c>
    </row>
    <row r="4350" spans="1:2" x14ac:dyDescent="0.25">
      <c r="A4350" t="s">
        <v>17145</v>
      </c>
      <c r="B4350" t="s">
        <v>17146</v>
      </c>
    </row>
    <row r="4351" spans="1:2" x14ac:dyDescent="0.25">
      <c r="A4351" t="s">
        <v>17147</v>
      </c>
      <c r="B4351" t="s">
        <v>17148</v>
      </c>
    </row>
    <row r="4352" spans="1:2" x14ac:dyDescent="0.25">
      <c r="A4352" t="s">
        <v>17149</v>
      </c>
      <c r="B4352" t="s">
        <v>17150</v>
      </c>
    </row>
    <row r="4353" spans="1:2" x14ac:dyDescent="0.25">
      <c r="A4353" t="s">
        <v>17151</v>
      </c>
      <c r="B4353" t="s">
        <v>17152</v>
      </c>
    </row>
    <row r="4354" spans="1:2" x14ac:dyDescent="0.25">
      <c r="A4354" t="s">
        <v>17153</v>
      </c>
      <c r="B4354" t="s">
        <v>17154</v>
      </c>
    </row>
    <row r="4355" spans="1:2" x14ac:dyDescent="0.25">
      <c r="A4355" t="s">
        <v>17155</v>
      </c>
      <c r="B4355" t="s">
        <v>17156</v>
      </c>
    </row>
    <row r="4356" spans="1:2" x14ac:dyDescent="0.25">
      <c r="A4356" t="s">
        <v>17157</v>
      </c>
      <c r="B4356" t="s">
        <v>17158</v>
      </c>
    </row>
    <row r="4357" spans="1:2" x14ac:dyDescent="0.25">
      <c r="A4357" t="s">
        <v>17159</v>
      </c>
      <c r="B4357" t="s">
        <v>17160</v>
      </c>
    </row>
    <row r="4358" spans="1:2" x14ac:dyDescent="0.25">
      <c r="A4358" t="s">
        <v>17161</v>
      </c>
      <c r="B4358" t="s">
        <v>17162</v>
      </c>
    </row>
    <row r="4359" spans="1:2" x14ac:dyDescent="0.25">
      <c r="A4359" t="s">
        <v>17163</v>
      </c>
      <c r="B4359" t="s">
        <v>17164</v>
      </c>
    </row>
    <row r="4360" spans="1:2" x14ac:dyDescent="0.25">
      <c r="A4360" t="s">
        <v>17165</v>
      </c>
      <c r="B4360" t="s">
        <v>17166</v>
      </c>
    </row>
    <row r="4361" spans="1:2" x14ac:dyDescent="0.25">
      <c r="A4361" t="s">
        <v>100</v>
      </c>
      <c r="B4361" t="s">
        <v>17167</v>
      </c>
    </row>
    <row r="4362" spans="1:2" x14ac:dyDescent="0.25">
      <c r="A4362" t="s">
        <v>17168</v>
      </c>
      <c r="B4362" t="s">
        <v>17169</v>
      </c>
    </row>
    <row r="4363" spans="1:2" x14ac:dyDescent="0.25">
      <c r="A4363" t="s">
        <v>17170</v>
      </c>
      <c r="B4363" t="s">
        <v>17171</v>
      </c>
    </row>
    <row r="4364" spans="1:2" x14ac:dyDescent="0.25">
      <c r="A4364" t="s">
        <v>17172</v>
      </c>
      <c r="B4364" t="s">
        <v>17173</v>
      </c>
    </row>
    <row r="4365" spans="1:2" x14ac:dyDescent="0.25">
      <c r="A4365" t="s">
        <v>17174</v>
      </c>
      <c r="B4365" t="s">
        <v>17175</v>
      </c>
    </row>
    <row r="4366" spans="1:2" x14ac:dyDescent="0.25">
      <c r="A4366" t="s">
        <v>17176</v>
      </c>
      <c r="B4366" t="s">
        <v>17177</v>
      </c>
    </row>
    <row r="4367" spans="1:2" x14ac:dyDescent="0.25">
      <c r="A4367" t="s">
        <v>17178</v>
      </c>
      <c r="B4367" t="s">
        <v>17179</v>
      </c>
    </row>
    <row r="4368" spans="1:2" x14ac:dyDescent="0.25">
      <c r="A4368" t="s">
        <v>17180</v>
      </c>
      <c r="B4368" t="s">
        <v>17181</v>
      </c>
    </row>
    <row r="4369" spans="1:2" x14ac:dyDescent="0.25">
      <c r="A4369" t="s">
        <v>17182</v>
      </c>
      <c r="B4369" t="s">
        <v>17183</v>
      </c>
    </row>
    <row r="4370" spans="1:2" x14ac:dyDescent="0.25">
      <c r="A4370" t="s">
        <v>17184</v>
      </c>
      <c r="B4370" t="s">
        <v>17185</v>
      </c>
    </row>
    <row r="4371" spans="1:2" x14ac:dyDescent="0.25">
      <c r="A4371" t="s">
        <v>17186</v>
      </c>
      <c r="B4371" t="s">
        <v>17187</v>
      </c>
    </row>
    <row r="4372" spans="1:2" x14ac:dyDescent="0.25">
      <c r="A4372" t="s">
        <v>17188</v>
      </c>
      <c r="B4372" t="s">
        <v>17189</v>
      </c>
    </row>
    <row r="4373" spans="1:2" x14ac:dyDescent="0.25">
      <c r="A4373" t="s">
        <v>17190</v>
      </c>
      <c r="B4373" t="s">
        <v>17191</v>
      </c>
    </row>
    <row r="4374" spans="1:2" x14ac:dyDescent="0.25">
      <c r="A4374" t="s">
        <v>17192</v>
      </c>
      <c r="B4374" t="s">
        <v>17193</v>
      </c>
    </row>
    <row r="4375" spans="1:2" x14ac:dyDescent="0.25">
      <c r="A4375" t="s">
        <v>17194</v>
      </c>
      <c r="B4375" t="s">
        <v>17195</v>
      </c>
    </row>
    <row r="4376" spans="1:2" x14ac:dyDescent="0.25">
      <c r="A4376" t="s">
        <v>17196</v>
      </c>
      <c r="B4376" t="s">
        <v>17197</v>
      </c>
    </row>
    <row r="4377" spans="1:2" x14ac:dyDescent="0.25">
      <c r="A4377" t="s">
        <v>17198</v>
      </c>
      <c r="B4377" t="s">
        <v>17199</v>
      </c>
    </row>
    <row r="4378" spans="1:2" x14ac:dyDescent="0.25">
      <c r="A4378" t="s">
        <v>17200</v>
      </c>
      <c r="B4378" t="s">
        <v>17201</v>
      </c>
    </row>
    <row r="4379" spans="1:2" x14ac:dyDescent="0.25">
      <c r="A4379" t="s">
        <v>17202</v>
      </c>
      <c r="B4379" t="s">
        <v>17203</v>
      </c>
    </row>
    <row r="4380" spans="1:2" x14ac:dyDescent="0.25">
      <c r="A4380" t="s">
        <v>17204</v>
      </c>
      <c r="B4380" t="s">
        <v>17205</v>
      </c>
    </row>
    <row r="4381" spans="1:2" x14ac:dyDescent="0.25">
      <c r="A4381" t="s">
        <v>17206</v>
      </c>
      <c r="B4381" t="s">
        <v>17207</v>
      </c>
    </row>
    <row r="4382" spans="1:2" x14ac:dyDescent="0.25">
      <c r="A4382" t="s">
        <v>17208</v>
      </c>
      <c r="B4382" t="s">
        <v>17209</v>
      </c>
    </row>
    <row r="4383" spans="1:2" x14ac:dyDescent="0.25">
      <c r="A4383" t="s">
        <v>17210</v>
      </c>
      <c r="B4383" t="s">
        <v>17211</v>
      </c>
    </row>
    <row r="4384" spans="1:2" x14ac:dyDescent="0.25">
      <c r="A4384" t="s">
        <v>17212</v>
      </c>
      <c r="B4384" t="s">
        <v>17213</v>
      </c>
    </row>
    <row r="4385" spans="1:2" x14ac:dyDescent="0.25">
      <c r="A4385" t="s">
        <v>17214</v>
      </c>
      <c r="B4385" t="s">
        <v>17215</v>
      </c>
    </row>
    <row r="4386" spans="1:2" x14ac:dyDescent="0.25">
      <c r="A4386" t="s">
        <v>17216</v>
      </c>
      <c r="B4386" t="s">
        <v>17217</v>
      </c>
    </row>
    <row r="4387" spans="1:2" x14ac:dyDescent="0.25">
      <c r="A4387" t="s">
        <v>17218</v>
      </c>
      <c r="B4387" t="s">
        <v>17219</v>
      </c>
    </row>
    <row r="4388" spans="1:2" x14ac:dyDescent="0.25">
      <c r="A4388" t="s">
        <v>185</v>
      </c>
      <c r="B4388" t="s">
        <v>17220</v>
      </c>
    </row>
    <row r="4389" spans="1:2" x14ac:dyDescent="0.25">
      <c r="A4389" t="s">
        <v>17221</v>
      </c>
      <c r="B4389" t="s">
        <v>17222</v>
      </c>
    </row>
    <row r="4390" spans="1:2" x14ac:dyDescent="0.25">
      <c r="A4390" t="s">
        <v>17223</v>
      </c>
      <c r="B4390" t="s">
        <v>17224</v>
      </c>
    </row>
    <row r="4391" spans="1:2" x14ac:dyDescent="0.25">
      <c r="A4391" t="s">
        <v>17225</v>
      </c>
      <c r="B4391" t="s">
        <v>17226</v>
      </c>
    </row>
    <row r="4392" spans="1:2" x14ac:dyDescent="0.25">
      <c r="A4392" t="s">
        <v>17227</v>
      </c>
      <c r="B4392" t="s">
        <v>17228</v>
      </c>
    </row>
    <row r="4393" spans="1:2" x14ac:dyDescent="0.25">
      <c r="A4393" t="s">
        <v>17229</v>
      </c>
      <c r="B4393" t="s">
        <v>17230</v>
      </c>
    </row>
    <row r="4394" spans="1:2" x14ac:dyDescent="0.25">
      <c r="A4394" t="s">
        <v>17231</v>
      </c>
      <c r="B4394" t="s">
        <v>17232</v>
      </c>
    </row>
    <row r="4395" spans="1:2" x14ac:dyDescent="0.25">
      <c r="A4395" t="s">
        <v>17233</v>
      </c>
      <c r="B4395" t="s">
        <v>17234</v>
      </c>
    </row>
    <row r="4396" spans="1:2" x14ac:dyDescent="0.25">
      <c r="A4396" t="s">
        <v>17235</v>
      </c>
      <c r="B4396" t="s">
        <v>17236</v>
      </c>
    </row>
    <row r="4397" spans="1:2" x14ac:dyDescent="0.25">
      <c r="A4397" t="s">
        <v>17237</v>
      </c>
      <c r="B4397" t="s">
        <v>17238</v>
      </c>
    </row>
    <row r="4398" spans="1:2" x14ac:dyDescent="0.25">
      <c r="A4398" t="s">
        <v>1842</v>
      </c>
      <c r="B4398" t="s">
        <v>17239</v>
      </c>
    </row>
    <row r="4399" spans="1:2" x14ac:dyDescent="0.25">
      <c r="A4399" t="s">
        <v>17240</v>
      </c>
      <c r="B4399" t="s">
        <v>17241</v>
      </c>
    </row>
    <row r="4400" spans="1:2" x14ac:dyDescent="0.25">
      <c r="A4400" t="s">
        <v>17242</v>
      </c>
      <c r="B4400" t="s">
        <v>17243</v>
      </c>
    </row>
    <row r="4401" spans="1:2" x14ac:dyDescent="0.25">
      <c r="A4401" t="s">
        <v>17244</v>
      </c>
      <c r="B4401" t="s">
        <v>17245</v>
      </c>
    </row>
    <row r="4402" spans="1:2" x14ac:dyDescent="0.25">
      <c r="A4402" t="s">
        <v>17246</v>
      </c>
      <c r="B4402" t="s">
        <v>17247</v>
      </c>
    </row>
    <row r="4403" spans="1:2" x14ac:dyDescent="0.25">
      <c r="A4403" t="s">
        <v>17248</v>
      </c>
      <c r="B4403" t="s">
        <v>17249</v>
      </c>
    </row>
    <row r="4404" spans="1:2" x14ac:dyDescent="0.25">
      <c r="A4404" t="s">
        <v>600</v>
      </c>
      <c r="B4404" t="s">
        <v>17250</v>
      </c>
    </row>
    <row r="4405" spans="1:2" x14ac:dyDescent="0.25">
      <c r="A4405" t="s">
        <v>17251</v>
      </c>
      <c r="B4405" t="s">
        <v>17252</v>
      </c>
    </row>
    <row r="4406" spans="1:2" x14ac:dyDescent="0.25">
      <c r="A4406" t="s">
        <v>102</v>
      </c>
      <c r="B4406" t="s">
        <v>17253</v>
      </c>
    </row>
    <row r="4407" spans="1:2" x14ac:dyDescent="0.25">
      <c r="A4407" t="s">
        <v>17254</v>
      </c>
      <c r="B4407" t="s">
        <v>17255</v>
      </c>
    </row>
    <row r="4408" spans="1:2" x14ac:dyDescent="0.25">
      <c r="A4408" t="s">
        <v>17256</v>
      </c>
      <c r="B4408" t="s">
        <v>17257</v>
      </c>
    </row>
    <row r="4409" spans="1:2" x14ac:dyDescent="0.25">
      <c r="A4409" t="s">
        <v>17258</v>
      </c>
      <c r="B4409" t="s">
        <v>17259</v>
      </c>
    </row>
    <row r="4410" spans="1:2" x14ac:dyDescent="0.25">
      <c r="A4410" t="s">
        <v>17260</v>
      </c>
      <c r="B4410" t="s">
        <v>17261</v>
      </c>
    </row>
    <row r="4411" spans="1:2" x14ac:dyDescent="0.25">
      <c r="A4411" t="s">
        <v>17262</v>
      </c>
      <c r="B4411" t="s">
        <v>17263</v>
      </c>
    </row>
    <row r="4412" spans="1:2" x14ac:dyDescent="0.25">
      <c r="A4412" t="s">
        <v>17264</v>
      </c>
      <c r="B4412" t="s">
        <v>17265</v>
      </c>
    </row>
    <row r="4413" spans="1:2" x14ac:dyDescent="0.25">
      <c r="A4413" t="s">
        <v>104</v>
      </c>
      <c r="B4413" t="s">
        <v>17266</v>
      </c>
    </row>
    <row r="4414" spans="1:2" x14ac:dyDescent="0.25">
      <c r="A4414" t="s">
        <v>604</v>
      </c>
      <c r="B4414" t="s">
        <v>17267</v>
      </c>
    </row>
    <row r="4415" spans="1:2" x14ac:dyDescent="0.25">
      <c r="A4415" t="s">
        <v>2688</v>
      </c>
      <c r="B4415" t="s">
        <v>17268</v>
      </c>
    </row>
    <row r="4416" spans="1:2" x14ac:dyDescent="0.25">
      <c r="A4416" t="s">
        <v>17269</v>
      </c>
      <c r="B4416" t="s">
        <v>17270</v>
      </c>
    </row>
    <row r="4417" spans="1:2" x14ac:dyDescent="0.25">
      <c r="A4417" t="s">
        <v>17271</v>
      </c>
      <c r="B4417" t="s">
        <v>17272</v>
      </c>
    </row>
    <row r="4418" spans="1:2" x14ac:dyDescent="0.25">
      <c r="A4418" t="s">
        <v>188</v>
      </c>
      <c r="B4418" t="s">
        <v>17273</v>
      </c>
    </row>
    <row r="4419" spans="1:2" x14ac:dyDescent="0.25">
      <c r="A4419" t="s">
        <v>6791</v>
      </c>
      <c r="B4419" t="s">
        <v>17274</v>
      </c>
    </row>
    <row r="4420" spans="1:2" x14ac:dyDescent="0.25">
      <c r="A4420" t="s">
        <v>17275</v>
      </c>
      <c r="B4420" t="s">
        <v>17276</v>
      </c>
    </row>
    <row r="4421" spans="1:2" x14ac:dyDescent="0.25">
      <c r="A4421" t="s">
        <v>17277</v>
      </c>
      <c r="B4421" t="s">
        <v>17278</v>
      </c>
    </row>
    <row r="4422" spans="1:2" x14ac:dyDescent="0.25">
      <c r="A4422" t="s">
        <v>17279</v>
      </c>
      <c r="B4422" t="s">
        <v>17280</v>
      </c>
    </row>
    <row r="4423" spans="1:2" x14ac:dyDescent="0.25">
      <c r="A4423" t="s">
        <v>17281</v>
      </c>
      <c r="B4423" t="s">
        <v>17282</v>
      </c>
    </row>
    <row r="4424" spans="1:2" x14ac:dyDescent="0.25">
      <c r="A4424" t="s">
        <v>17283</v>
      </c>
      <c r="B4424" t="s">
        <v>17284</v>
      </c>
    </row>
    <row r="4425" spans="1:2" x14ac:dyDescent="0.25">
      <c r="A4425" t="s">
        <v>17285</v>
      </c>
      <c r="B4425" t="s">
        <v>17286</v>
      </c>
    </row>
    <row r="4426" spans="1:2" x14ac:dyDescent="0.25">
      <c r="A4426" t="s">
        <v>693</v>
      </c>
      <c r="B4426" t="s">
        <v>17287</v>
      </c>
    </row>
    <row r="4427" spans="1:2" x14ac:dyDescent="0.25">
      <c r="A4427" t="s">
        <v>17288</v>
      </c>
      <c r="B4427" t="s">
        <v>17289</v>
      </c>
    </row>
    <row r="4428" spans="1:2" x14ac:dyDescent="0.25">
      <c r="A4428" t="s">
        <v>106</v>
      </c>
      <c r="B4428" t="s">
        <v>17290</v>
      </c>
    </row>
    <row r="4429" spans="1:2" x14ac:dyDescent="0.25">
      <c r="A4429" t="s">
        <v>17291</v>
      </c>
      <c r="B4429" t="s">
        <v>17292</v>
      </c>
    </row>
    <row r="4430" spans="1:2" x14ac:dyDescent="0.25">
      <c r="A4430" t="s">
        <v>17293</v>
      </c>
      <c r="B4430" t="s">
        <v>17294</v>
      </c>
    </row>
    <row r="4431" spans="1:2" x14ac:dyDescent="0.25">
      <c r="A4431" t="s">
        <v>17295</v>
      </c>
      <c r="B4431" t="s">
        <v>17296</v>
      </c>
    </row>
    <row r="4432" spans="1:2" x14ac:dyDescent="0.25">
      <c r="A4432" t="s">
        <v>17297</v>
      </c>
      <c r="B4432" t="s">
        <v>17298</v>
      </c>
    </row>
    <row r="4433" spans="1:2" x14ac:dyDescent="0.25">
      <c r="A4433" t="s">
        <v>17299</v>
      </c>
      <c r="B4433" t="s">
        <v>17300</v>
      </c>
    </row>
    <row r="4434" spans="1:2" x14ac:dyDescent="0.25">
      <c r="A4434" t="s">
        <v>17301</v>
      </c>
      <c r="B4434" t="s">
        <v>17302</v>
      </c>
    </row>
    <row r="4435" spans="1:2" x14ac:dyDescent="0.25">
      <c r="A4435" t="s">
        <v>17303</v>
      </c>
      <c r="B4435" t="s">
        <v>17304</v>
      </c>
    </row>
    <row r="4436" spans="1:2" x14ac:dyDescent="0.25">
      <c r="A4436" t="s">
        <v>17305</v>
      </c>
      <c r="B4436" t="s">
        <v>17306</v>
      </c>
    </row>
    <row r="4437" spans="1:2" x14ac:dyDescent="0.25">
      <c r="A4437" t="s">
        <v>17307</v>
      </c>
      <c r="B4437" t="s">
        <v>17308</v>
      </c>
    </row>
    <row r="4438" spans="1:2" x14ac:dyDescent="0.25">
      <c r="A4438" t="s">
        <v>17309</v>
      </c>
      <c r="B4438" t="s">
        <v>17310</v>
      </c>
    </row>
    <row r="4439" spans="1:2" x14ac:dyDescent="0.25">
      <c r="A4439" t="s">
        <v>17311</v>
      </c>
      <c r="B4439" t="s">
        <v>17312</v>
      </c>
    </row>
    <row r="4440" spans="1:2" x14ac:dyDescent="0.25">
      <c r="A4440" t="s">
        <v>17313</v>
      </c>
      <c r="B4440" t="s">
        <v>17314</v>
      </c>
    </row>
    <row r="4441" spans="1:2" x14ac:dyDescent="0.25">
      <c r="A4441" t="s">
        <v>17315</v>
      </c>
      <c r="B4441" t="s">
        <v>17316</v>
      </c>
    </row>
    <row r="4442" spans="1:2" x14ac:dyDescent="0.25">
      <c r="A4442" t="s">
        <v>17317</v>
      </c>
      <c r="B4442" t="s">
        <v>17318</v>
      </c>
    </row>
    <row r="4443" spans="1:2" x14ac:dyDescent="0.25">
      <c r="A4443" t="s">
        <v>17319</v>
      </c>
      <c r="B4443" t="s">
        <v>17320</v>
      </c>
    </row>
    <row r="4444" spans="1:2" x14ac:dyDescent="0.25">
      <c r="A4444" t="s">
        <v>17321</v>
      </c>
      <c r="B4444" t="s">
        <v>17322</v>
      </c>
    </row>
    <row r="4445" spans="1:2" x14ac:dyDescent="0.25">
      <c r="A4445" t="s">
        <v>17323</v>
      </c>
      <c r="B4445" t="s">
        <v>17324</v>
      </c>
    </row>
    <row r="4446" spans="1:2" x14ac:dyDescent="0.25">
      <c r="A4446" t="s">
        <v>17325</v>
      </c>
      <c r="B4446" t="s">
        <v>17326</v>
      </c>
    </row>
    <row r="4447" spans="1:2" x14ac:dyDescent="0.25">
      <c r="A4447" t="s">
        <v>17327</v>
      </c>
      <c r="B4447" t="s">
        <v>17328</v>
      </c>
    </row>
    <row r="4448" spans="1:2" x14ac:dyDescent="0.25">
      <c r="A4448" t="s">
        <v>17329</v>
      </c>
      <c r="B4448" t="s">
        <v>17330</v>
      </c>
    </row>
    <row r="4449" spans="1:2" x14ac:dyDescent="0.25">
      <c r="A4449" t="s">
        <v>17331</v>
      </c>
      <c r="B4449" t="s">
        <v>17332</v>
      </c>
    </row>
    <row r="4450" spans="1:2" x14ac:dyDescent="0.25">
      <c r="A4450" t="s">
        <v>17333</v>
      </c>
      <c r="B4450" t="s">
        <v>17334</v>
      </c>
    </row>
    <row r="4451" spans="1:2" x14ac:dyDescent="0.25">
      <c r="A4451" t="s">
        <v>17335</v>
      </c>
      <c r="B4451" t="s">
        <v>17336</v>
      </c>
    </row>
    <row r="4452" spans="1:2" x14ac:dyDescent="0.25">
      <c r="A4452" t="s">
        <v>17337</v>
      </c>
      <c r="B4452" t="s">
        <v>17338</v>
      </c>
    </row>
    <row r="4453" spans="1:2" x14ac:dyDescent="0.25">
      <c r="A4453" t="s">
        <v>17339</v>
      </c>
      <c r="B4453" t="s">
        <v>17340</v>
      </c>
    </row>
    <row r="4454" spans="1:2" x14ac:dyDescent="0.25">
      <c r="A4454" t="s">
        <v>17341</v>
      </c>
      <c r="B4454" t="s">
        <v>17342</v>
      </c>
    </row>
    <row r="4455" spans="1:2" x14ac:dyDescent="0.25">
      <c r="A4455" t="s">
        <v>17343</v>
      </c>
      <c r="B4455" t="s">
        <v>17344</v>
      </c>
    </row>
    <row r="4456" spans="1:2" x14ac:dyDescent="0.25">
      <c r="A4456" t="s">
        <v>17345</v>
      </c>
      <c r="B4456" t="s">
        <v>17346</v>
      </c>
    </row>
    <row r="4457" spans="1:2" x14ac:dyDescent="0.25">
      <c r="A4457" t="s">
        <v>17347</v>
      </c>
      <c r="B4457" t="s">
        <v>17348</v>
      </c>
    </row>
    <row r="4458" spans="1:2" x14ac:dyDescent="0.25">
      <c r="A4458" t="s">
        <v>389</v>
      </c>
      <c r="B4458" t="s">
        <v>17349</v>
      </c>
    </row>
    <row r="4459" spans="1:2" x14ac:dyDescent="0.25">
      <c r="A4459" t="s">
        <v>17350</v>
      </c>
      <c r="B4459" t="s">
        <v>17351</v>
      </c>
    </row>
    <row r="4460" spans="1:2" x14ac:dyDescent="0.25">
      <c r="A4460" t="s">
        <v>17352</v>
      </c>
      <c r="B4460" t="s">
        <v>17353</v>
      </c>
    </row>
    <row r="4461" spans="1:2" x14ac:dyDescent="0.25">
      <c r="A4461" t="s">
        <v>107</v>
      </c>
      <c r="B4461" t="s">
        <v>17354</v>
      </c>
    </row>
    <row r="4462" spans="1:2" x14ac:dyDescent="0.25">
      <c r="A4462" t="s">
        <v>17355</v>
      </c>
      <c r="B4462" t="s">
        <v>17356</v>
      </c>
    </row>
    <row r="4463" spans="1:2" x14ac:dyDescent="0.25">
      <c r="A4463" t="s">
        <v>17357</v>
      </c>
      <c r="B4463" t="s">
        <v>17358</v>
      </c>
    </row>
    <row r="4464" spans="1:2" x14ac:dyDescent="0.25">
      <c r="A4464" t="s">
        <v>17359</v>
      </c>
      <c r="B4464" t="s">
        <v>17360</v>
      </c>
    </row>
    <row r="4465" spans="1:2" x14ac:dyDescent="0.25">
      <c r="A4465" t="s">
        <v>17361</v>
      </c>
      <c r="B4465" t="s">
        <v>17362</v>
      </c>
    </row>
    <row r="4466" spans="1:2" x14ac:dyDescent="0.25">
      <c r="A4466" t="s">
        <v>17363</v>
      </c>
      <c r="B4466" t="s">
        <v>17364</v>
      </c>
    </row>
    <row r="4467" spans="1:2" x14ac:dyDescent="0.25">
      <c r="A4467" t="s">
        <v>17365</v>
      </c>
      <c r="B4467" t="s">
        <v>17366</v>
      </c>
    </row>
    <row r="4468" spans="1:2" x14ac:dyDescent="0.25">
      <c r="A4468" t="s">
        <v>17367</v>
      </c>
      <c r="B4468" t="s">
        <v>17368</v>
      </c>
    </row>
    <row r="4469" spans="1:2" x14ac:dyDescent="0.25">
      <c r="A4469" t="s">
        <v>17369</v>
      </c>
      <c r="B4469" t="s">
        <v>17370</v>
      </c>
    </row>
    <row r="4470" spans="1:2" x14ac:dyDescent="0.25">
      <c r="A4470" t="s">
        <v>17371</v>
      </c>
      <c r="B4470" t="s">
        <v>17372</v>
      </c>
    </row>
    <row r="4471" spans="1:2" x14ac:dyDescent="0.25">
      <c r="A4471" t="s">
        <v>17373</v>
      </c>
      <c r="B4471" t="s">
        <v>17374</v>
      </c>
    </row>
    <row r="4472" spans="1:2" x14ac:dyDescent="0.25">
      <c r="A4472" t="s">
        <v>17375</v>
      </c>
      <c r="B4472" t="s">
        <v>17376</v>
      </c>
    </row>
    <row r="4473" spans="1:2" x14ac:dyDescent="0.25">
      <c r="A4473" t="s">
        <v>17377</v>
      </c>
      <c r="B4473" t="s">
        <v>17378</v>
      </c>
    </row>
    <row r="4474" spans="1:2" x14ac:dyDescent="0.25">
      <c r="A4474" t="s">
        <v>17379</v>
      </c>
      <c r="B4474" t="s">
        <v>17380</v>
      </c>
    </row>
    <row r="4475" spans="1:2" x14ac:dyDescent="0.25">
      <c r="A4475" t="s">
        <v>17381</v>
      </c>
      <c r="B4475" t="s">
        <v>17382</v>
      </c>
    </row>
    <row r="4476" spans="1:2" x14ac:dyDescent="0.25">
      <c r="A4476" t="s">
        <v>17383</v>
      </c>
      <c r="B4476" t="s">
        <v>17384</v>
      </c>
    </row>
    <row r="4477" spans="1:2" x14ac:dyDescent="0.25">
      <c r="A4477" t="s">
        <v>17385</v>
      </c>
      <c r="B4477" t="s">
        <v>17386</v>
      </c>
    </row>
    <row r="4478" spans="1:2" x14ac:dyDescent="0.25">
      <c r="A4478" t="s">
        <v>17387</v>
      </c>
      <c r="B4478" t="s">
        <v>17388</v>
      </c>
    </row>
    <row r="4479" spans="1:2" x14ac:dyDescent="0.25">
      <c r="A4479" t="s">
        <v>17389</v>
      </c>
      <c r="B4479" t="s">
        <v>17390</v>
      </c>
    </row>
    <row r="4480" spans="1:2" x14ac:dyDescent="0.25">
      <c r="A4480" t="s">
        <v>17391</v>
      </c>
      <c r="B4480" t="s">
        <v>17392</v>
      </c>
    </row>
    <row r="4481" spans="1:2" x14ac:dyDescent="0.25">
      <c r="A4481" t="s">
        <v>17393</v>
      </c>
      <c r="B4481" t="s">
        <v>17394</v>
      </c>
    </row>
    <row r="4482" spans="1:2" x14ac:dyDescent="0.25">
      <c r="A4482" t="s">
        <v>17395</v>
      </c>
      <c r="B4482" t="s">
        <v>17396</v>
      </c>
    </row>
    <row r="4483" spans="1:2" x14ac:dyDescent="0.25">
      <c r="A4483" t="s">
        <v>17397</v>
      </c>
      <c r="B4483" t="s">
        <v>17398</v>
      </c>
    </row>
    <row r="4484" spans="1:2" x14ac:dyDescent="0.25">
      <c r="A4484" t="s">
        <v>17399</v>
      </c>
      <c r="B4484" t="s">
        <v>17400</v>
      </c>
    </row>
    <row r="4485" spans="1:2" x14ac:dyDescent="0.25">
      <c r="A4485" t="s">
        <v>17401</v>
      </c>
      <c r="B4485" t="s">
        <v>17402</v>
      </c>
    </row>
    <row r="4486" spans="1:2" x14ac:dyDescent="0.25">
      <c r="A4486" t="s">
        <v>17403</v>
      </c>
      <c r="B4486" t="s">
        <v>17404</v>
      </c>
    </row>
    <row r="4487" spans="1:2" x14ac:dyDescent="0.25">
      <c r="A4487" t="s">
        <v>17405</v>
      </c>
      <c r="B4487" t="s">
        <v>17406</v>
      </c>
    </row>
    <row r="4488" spans="1:2" x14ac:dyDescent="0.25">
      <c r="A4488" t="s">
        <v>17407</v>
      </c>
      <c r="B4488" t="s">
        <v>17408</v>
      </c>
    </row>
    <row r="4489" spans="1:2" x14ac:dyDescent="0.25">
      <c r="A4489" t="s">
        <v>17409</v>
      </c>
      <c r="B4489" t="s">
        <v>17410</v>
      </c>
    </row>
    <row r="4490" spans="1:2" x14ac:dyDescent="0.25">
      <c r="A4490" t="s">
        <v>17411</v>
      </c>
      <c r="B4490" t="s">
        <v>17412</v>
      </c>
    </row>
    <row r="4491" spans="1:2" x14ac:dyDescent="0.25">
      <c r="A4491" t="s">
        <v>17413</v>
      </c>
      <c r="B4491" t="s">
        <v>17414</v>
      </c>
    </row>
    <row r="4492" spans="1:2" x14ac:dyDescent="0.25">
      <c r="A4492" t="s">
        <v>17415</v>
      </c>
      <c r="B4492" t="s">
        <v>17416</v>
      </c>
    </row>
    <row r="4493" spans="1:2" x14ac:dyDescent="0.25">
      <c r="A4493" t="s">
        <v>17417</v>
      </c>
      <c r="B4493" t="s">
        <v>17418</v>
      </c>
    </row>
    <row r="4494" spans="1:2" x14ac:dyDescent="0.25">
      <c r="A4494" t="s">
        <v>17419</v>
      </c>
      <c r="B4494" t="s">
        <v>17420</v>
      </c>
    </row>
    <row r="4495" spans="1:2" x14ac:dyDescent="0.25">
      <c r="A4495" t="s">
        <v>17421</v>
      </c>
      <c r="B4495" t="s">
        <v>17422</v>
      </c>
    </row>
    <row r="4496" spans="1:2" x14ac:dyDescent="0.25">
      <c r="A4496" t="s">
        <v>17423</v>
      </c>
      <c r="B4496" t="s">
        <v>17424</v>
      </c>
    </row>
    <row r="4497" spans="1:2" x14ac:dyDescent="0.25">
      <c r="A4497" t="s">
        <v>17425</v>
      </c>
      <c r="B4497" t="s">
        <v>17426</v>
      </c>
    </row>
    <row r="4498" spans="1:2" x14ac:dyDescent="0.25">
      <c r="A4498" t="s">
        <v>17427</v>
      </c>
      <c r="B4498" t="s">
        <v>17428</v>
      </c>
    </row>
    <row r="4499" spans="1:2" x14ac:dyDescent="0.25">
      <c r="A4499" t="s">
        <v>17429</v>
      </c>
      <c r="B4499" t="s">
        <v>17430</v>
      </c>
    </row>
    <row r="4500" spans="1:2" x14ac:dyDescent="0.25">
      <c r="A4500" t="s">
        <v>17431</v>
      </c>
      <c r="B4500" t="s">
        <v>17432</v>
      </c>
    </row>
    <row r="4501" spans="1:2" x14ac:dyDescent="0.25">
      <c r="A4501" t="s">
        <v>17433</v>
      </c>
      <c r="B4501" t="s">
        <v>17434</v>
      </c>
    </row>
    <row r="4502" spans="1:2" x14ac:dyDescent="0.25">
      <c r="A4502" t="s">
        <v>607</v>
      </c>
      <c r="B4502" t="s">
        <v>17435</v>
      </c>
    </row>
    <row r="4503" spans="1:2" x14ac:dyDescent="0.25">
      <c r="A4503" t="s">
        <v>17436</v>
      </c>
      <c r="B4503" t="s">
        <v>17437</v>
      </c>
    </row>
    <row r="4504" spans="1:2" x14ac:dyDescent="0.25">
      <c r="A4504" t="s">
        <v>17438</v>
      </c>
      <c r="B4504" t="s">
        <v>17439</v>
      </c>
    </row>
    <row r="4505" spans="1:2" x14ac:dyDescent="0.25">
      <c r="A4505" t="s">
        <v>17440</v>
      </c>
      <c r="B4505" t="s">
        <v>17441</v>
      </c>
    </row>
    <row r="4506" spans="1:2" x14ac:dyDescent="0.25">
      <c r="A4506" t="s">
        <v>17442</v>
      </c>
      <c r="B4506" t="s">
        <v>17443</v>
      </c>
    </row>
    <row r="4507" spans="1:2" x14ac:dyDescent="0.25">
      <c r="A4507" t="s">
        <v>17444</v>
      </c>
      <c r="B4507" t="s">
        <v>17445</v>
      </c>
    </row>
    <row r="4508" spans="1:2" x14ac:dyDescent="0.25">
      <c r="A4508" t="s">
        <v>17446</v>
      </c>
      <c r="B4508" t="s">
        <v>17447</v>
      </c>
    </row>
    <row r="4509" spans="1:2" x14ac:dyDescent="0.25">
      <c r="A4509" t="s">
        <v>17448</v>
      </c>
      <c r="B4509" t="s">
        <v>17209</v>
      </c>
    </row>
    <row r="4510" spans="1:2" x14ac:dyDescent="0.25">
      <c r="A4510" t="s">
        <v>17449</v>
      </c>
      <c r="B4510" t="s">
        <v>17450</v>
      </c>
    </row>
    <row r="4511" spans="1:2" x14ac:dyDescent="0.25">
      <c r="A4511" t="s">
        <v>17451</v>
      </c>
      <c r="B4511" t="s">
        <v>17452</v>
      </c>
    </row>
    <row r="4512" spans="1:2" x14ac:dyDescent="0.25">
      <c r="A4512" t="s">
        <v>17453</v>
      </c>
      <c r="B4512" t="s">
        <v>17454</v>
      </c>
    </row>
    <row r="4513" spans="1:2" x14ac:dyDescent="0.25">
      <c r="A4513" t="s">
        <v>17455</v>
      </c>
      <c r="B4513" t="s">
        <v>17456</v>
      </c>
    </row>
    <row r="4514" spans="1:2" x14ac:dyDescent="0.25">
      <c r="A4514" t="s">
        <v>17457</v>
      </c>
      <c r="B4514" t="s">
        <v>17458</v>
      </c>
    </row>
    <row r="4515" spans="1:2" x14ac:dyDescent="0.25">
      <c r="A4515" t="s">
        <v>17459</v>
      </c>
      <c r="B4515" t="s">
        <v>17460</v>
      </c>
    </row>
    <row r="4516" spans="1:2" x14ac:dyDescent="0.25">
      <c r="A4516" t="s">
        <v>17461</v>
      </c>
      <c r="B4516" t="s">
        <v>17462</v>
      </c>
    </row>
    <row r="4517" spans="1:2" x14ac:dyDescent="0.25">
      <c r="A4517" t="s">
        <v>108</v>
      </c>
      <c r="B4517" t="s">
        <v>17463</v>
      </c>
    </row>
    <row r="4518" spans="1:2" x14ac:dyDescent="0.25">
      <c r="A4518" t="s">
        <v>17464</v>
      </c>
      <c r="B4518" t="s">
        <v>17465</v>
      </c>
    </row>
    <row r="4519" spans="1:2" x14ac:dyDescent="0.25">
      <c r="A4519" t="s">
        <v>17466</v>
      </c>
      <c r="B4519" t="s">
        <v>17467</v>
      </c>
    </row>
    <row r="4520" spans="1:2" x14ac:dyDescent="0.25">
      <c r="A4520" t="s">
        <v>109</v>
      </c>
      <c r="B4520" t="s">
        <v>17468</v>
      </c>
    </row>
    <row r="4521" spans="1:2" x14ac:dyDescent="0.25">
      <c r="A4521" t="s">
        <v>17469</v>
      </c>
      <c r="B4521" t="s">
        <v>17470</v>
      </c>
    </row>
    <row r="4522" spans="1:2" x14ac:dyDescent="0.25">
      <c r="A4522" t="s">
        <v>17471</v>
      </c>
      <c r="B4522" t="s">
        <v>17472</v>
      </c>
    </row>
    <row r="4523" spans="1:2" x14ac:dyDescent="0.25">
      <c r="A4523" t="s">
        <v>17473</v>
      </c>
      <c r="B4523" t="s">
        <v>17474</v>
      </c>
    </row>
    <row r="4524" spans="1:2" x14ac:dyDescent="0.25">
      <c r="A4524" t="s">
        <v>17475</v>
      </c>
      <c r="B4524" t="s">
        <v>17476</v>
      </c>
    </row>
    <row r="4525" spans="1:2" x14ac:dyDescent="0.25">
      <c r="A4525" t="s">
        <v>17477</v>
      </c>
      <c r="B4525" t="s">
        <v>17478</v>
      </c>
    </row>
    <row r="4526" spans="1:2" x14ac:dyDescent="0.25">
      <c r="A4526" t="s">
        <v>17479</v>
      </c>
      <c r="B4526" t="s">
        <v>17480</v>
      </c>
    </row>
    <row r="4527" spans="1:2" x14ac:dyDescent="0.25">
      <c r="A4527" t="s">
        <v>17481</v>
      </c>
      <c r="B4527" t="s">
        <v>17482</v>
      </c>
    </row>
    <row r="4528" spans="1:2" x14ac:dyDescent="0.25">
      <c r="A4528" t="s">
        <v>17483</v>
      </c>
      <c r="B4528" t="s">
        <v>17484</v>
      </c>
    </row>
    <row r="4529" spans="1:2" x14ac:dyDescent="0.25">
      <c r="A4529" t="s">
        <v>17485</v>
      </c>
      <c r="B4529" t="s">
        <v>17486</v>
      </c>
    </row>
    <row r="4530" spans="1:2" x14ac:dyDescent="0.25">
      <c r="A4530" t="s">
        <v>17487</v>
      </c>
      <c r="B4530" t="s">
        <v>17488</v>
      </c>
    </row>
    <row r="4531" spans="1:2" x14ac:dyDescent="0.25">
      <c r="A4531" t="s">
        <v>17489</v>
      </c>
      <c r="B4531" t="s">
        <v>17490</v>
      </c>
    </row>
    <row r="4532" spans="1:2" x14ac:dyDescent="0.25">
      <c r="A4532" t="s">
        <v>3675</v>
      </c>
      <c r="B4532" t="s">
        <v>17491</v>
      </c>
    </row>
    <row r="4533" spans="1:2" x14ac:dyDescent="0.25">
      <c r="A4533" t="s">
        <v>17492</v>
      </c>
      <c r="B4533" t="s">
        <v>17493</v>
      </c>
    </row>
    <row r="4534" spans="1:2" x14ac:dyDescent="0.25">
      <c r="A4534" t="s">
        <v>17494</v>
      </c>
      <c r="B4534" t="s">
        <v>17495</v>
      </c>
    </row>
    <row r="4535" spans="1:2" x14ac:dyDescent="0.25">
      <c r="A4535" t="s">
        <v>17496</v>
      </c>
      <c r="B4535" t="s">
        <v>17497</v>
      </c>
    </row>
    <row r="4536" spans="1:2" x14ac:dyDescent="0.25">
      <c r="A4536" t="s">
        <v>17498</v>
      </c>
      <c r="B4536" t="s">
        <v>17499</v>
      </c>
    </row>
    <row r="4537" spans="1:2" x14ac:dyDescent="0.25">
      <c r="A4537" t="s">
        <v>17500</v>
      </c>
      <c r="B4537" t="s">
        <v>17501</v>
      </c>
    </row>
    <row r="4538" spans="1:2" x14ac:dyDescent="0.25">
      <c r="A4538" t="s">
        <v>17502</v>
      </c>
      <c r="B4538" t="s">
        <v>17503</v>
      </c>
    </row>
    <row r="4539" spans="1:2" x14ac:dyDescent="0.25">
      <c r="A4539" t="s">
        <v>17504</v>
      </c>
      <c r="B4539" t="s">
        <v>17505</v>
      </c>
    </row>
    <row r="4540" spans="1:2" x14ac:dyDescent="0.25">
      <c r="A4540" t="s">
        <v>17506</v>
      </c>
      <c r="B4540" t="s">
        <v>17507</v>
      </c>
    </row>
    <row r="4541" spans="1:2" x14ac:dyDescent="0.25">
      <c r="A4541" t="s">
        <v>17508</v>
      </c>
      <c r="B4541" t="s">
        <v>17509</v>
      </c>
    </row>
    <row r="4542" spans="1:2" x14ac:dyDescent="0.25">
      <c r="A4542" t="s">
        <v>3126</v>
      </c>
      <c r="B4542" t="s">
        <v>17510</v>
      </c>
    </row>
    <row r="4543" spans="1:2" x14ac:dyDescent="0.25">
      <c r="A4543" t="s">
        <v>17511</v>
      </c>
      <c r="B4543" t="s">
        <v>17512</v>
      </c>
    </row>
    <row r="4544" spans="1:2" x14ac:dyDescent="0.25">
      <c r="A4544" t="s">
        <v>17513</v>
      </c>
      <c r="B4544" t="s">
        <v>17514</v>
      </c>
    </row>
    <row r="4545" spans="1:2" x14ac:dyDescent="0.25">
      <c r="A4545" t="s">
        <v>17515</v>
      </c>
      <c r="B4545" t="s">
        <v>17516</v>
      </c>
    </row>
    <row r="4546" spans="1:2" x14ac:dyDescent="0.25">
      <c r="A4546" t="s">
        <v>17517</v>
      </c>
      <c r="B4546" t="s">
        <v>17518</v>
      </c>
    </row>
    <row r="4547" spans="1:2" x14ac:dyDescent="0.25">
      <c r="A4547" t="s">
        <v>17519</v>
      </c>
      <c r="B4547" t="s">
        <v>17520</v>
      </c>
    </row>
    <row r="4548" spans="1:2" x14ac:dyDescent="0.25">
      <c r="A4548" t="s">
        <v>2465</v>
      </c>
      <c r="B4548" t="s">
        <v>17521</v>
      </c>
    </row>
    <row r="4549" spans="1:2" x14ac:dyDescent="0.25">
      <c r="A4549" t="s">
        <v>17522</v>
      </c>
      <c r="B4549" t="s">
        <v>17523</v>
      </c>
    </row>
    <row r="4550" spans="1:2" x14ac:dyDescent="0.25">
      <c r="A4550" t="s">
        <v>17524</v>
      </c>
      <c r="B4550" t="s">
        <v>17525</v>
      </c>
    </row>
    <row r="4551" spans="1:2" x14ac:dyDescent="0.25">
      <c r="A4551" t="s">
        <v>17526</v>
      </c>
      <c r="B4551" t="s">
        <v>17527</v>
      </c>
    </row>
    <row r="4552" spans="1:2" x14ac:dyDescent="0.25">
      <c r="A4552" t="s">
        <v>17528</v>
      </c>
      <c r="B4552" t="s">
        <v>17529</v>
      </c>
    </row>
    <row r="4553" spans="1:2" x14ac:dyDescent="0.25">
      <c r="A4553" t="s">
        <v>17530</v>
      </c>
      <c r="B4553" t="s">
        <v>17531</v>
      </c>
    </row>
    <row r="4554" spans="1:2" x14ac:dyDescent="0.25">
      <c r="A4554" t="s">
        <v>17532</v>
      </c>
      <c r="B4554" t="s">
        <v>17533</v>
      </c>
    </row>
    <row r="4555" spans="1:2" x14ac:dyDescent="0.25">
      <c r="A4555" t="s">
        <v>17534</v>
      </c>
      <c r="B4555" t="s">
        <v>17535</v>
      </c>
    </row>
    <row r="4556" spans="1:2" x14ac:dyDescent="0.25">
      <c r="A4556" t="s">
        <v>17536</v>
      </c>
      <c r="B4556" t="s">
        <v>17537</v>
      </c>
    </row>
    <row r="4557" spans="1:2" x14ac:dyDescent="0.25">
      <c r="A4557" t="s">
        <v>17538</v>
      </c>
      <c r="B4557" t="s">
        <v>17539</v>
      </c>
    </row>
    <row r="4558" spans="1:2" x14ac:dyDescent="0.25">
      <c r="A4558" t="s">
        <v>17540</v>
      </c>
      <c r="B4558" t="s">
        <v>17541</v>
      </c>
    </row>
    <row r="4559" spans="1:2" x14ac:dyDescent="0.25">
      <c r="A4559" t="s">
        <v>17542</v>
      </c>
      <c r="B4559" t="s">
        <v>17543</v>
      </c>
    </row>
    <row r="4560" spans="1:2" x14ac:dyDescent="0.25">
      <c r="A4560" t="s">
        <v>17544</v>
      </c>
      <c r="B4560" t="s">
        <v>17545</v>
      </c>
    </row>
    <row r="4561" spans="1:2" x14ac:dyDescent="0.25">
      <c r="A4561" t="s">
        <v>17546</v>
      </c>
      <c r="B4561" t="s">
        <v>17547</v>
      </c>
    </row>
    <row r="4562" spans="1:2" x14ac:dyDescent="0.25">
      <c r="A4562" t="s">
        <v>890</v>
      </c>
      <c r="B4562" t="s">
        <v>17548</v>
      </c>
    </row>
    <row r="4563" spans="1:2" x14ac:dyDescent="0.25">
      <c r="A4563" t="s">
        <v>17549</v>
      </c>
      <c r="B4563" t="s">
        <v>17550</v>
      </c>
    </row>
    <row r="4564" spans="1:2" x14ac:dyDescent="0.25">
      <c r="A4564" t="s">
        <v>110</v>
      </c>
      <c r="B4564" t="s">
        <v>17551</v>
      </c>
    </row>
    <row r="4565" spans="1:2" x14ac:dyDescent="0.25">
      <c r="A4565" t="s">
        <v>17552</v>
      </c>
      <c r="B4565" t="s">
        <v>17553</v>
      </c>
    </row>
    <row r="4566" spans="1:2" x14ac:dyDescent="0.25">
      <c r="A4566" t="s">
        <v>4387</v>
      </c>
      <c r="B4566" t="s">
        <v>17554</v>
      </c>
    </row>
    <row r="4567" spans="1:2" x14ac:dyDescent="0.25">
      <c r="A4567" t="s">
        <v>17555</v>
      </c>
      <c r="B4567" t="s">
        <v>17556</v>
      </c>
    </row>
    <row r="4568" spans="1:2" x14ac:dyDescent="0.25">
      <c r="A4568" t="s">
        <v>17557</v>
      </c>
      <c r="B4568" t="s">
        <v>17558</v>
      </c>
    </row>
    <row r="4569" spans="1:2" x14ac:dyDescent="0.25">
      <c r="A4569" t="s">
        <v>1164</v>
      </c>
      <c r="B4569" t="s">
        <v>17559</v>
      </c>
    </row>
    <row r="4570" spans="1:2" x14ac:dyDescent="0.25">
      <c r="A4570" t="s">
        <v>17560</v>
      </c>
      <c r="B4570" t="s">
        <v>17561</v>
      </c>
    </row>
    <row r="4571" spans="1:2" x14ac:dyDescent="0.25">
      <c r="A4571" t="s">
        <v>17562</v>
      </c>
      <c r="B4571" t="s">
        <v>17563</v>
      </c>
    </row>
    <row r="4572" spans="1:2" x14ac:dyDescent="0.25">
      <c r="A4572" t="s">
        <v>111</v>
      </c>
      <c r="B4572" t="s">
        <v>17564</v>
      </c>
    </row>
    <row r="4573" spans="1:2" x14ac:dyDescent="0.25">
      <c r="A4573" t="s">
        <v>17565</v>
      </c>
      <c r="B4573" t="s">
        <v>17566</v>
      </c>
    </row>
    <row r="4574" spans="1:2" x14ac:dyDescent="0.25">
      <c r="A4574" t="s">
        <v>17567</v>
      </c>
      <c r="B4574" t="s">
        <v>17568</v>
      </c>
    </row>
    <row r="4575" spans="1:2" x14ac:dyDescent="0.25">
      <c r="A4575" t="s">
        <v>17569</v>
      </c>
      <c r="B4575" t="s">
        <v>17570</v>
      </c>
    </row>
    <row r="4576" spans="1:2" x14ac:dyDescent="0.25">
      <c r="A4576" t="s">
        <v>17571</v>
      </c>
      <c r="B4576" t="s">
        <v>17572</v>
      </c>
    </row>
    <row r="4577" spans="1:2" x14ac:dyDescent="0.25">
      <c r="A4577" t="s">
        <v>17573</v>
      </c>
      <c r="B4577" t="s">
        <v>17574</v>
      </c>
    </row>
    <row r="4578" spans="1:2" x14ac:dyDescent="0.25">
      <c r="A4578" t="s">
        <v>17575</v>
      </c>
      <c r="B4578" t="s">
        <v>17576</v>
      </c>
    </row>
    <row r="4579" spans="1:2" x14ac:dyDescent="0.25">
      <c r="A4579" t="s">
        <v>17577</v>
      </c>
      <c r="B4579" t="s">
        <v>17578</v>
      </c>
    </row>
    <row r="4580" spans="1:2" x14ac:dyDescent="0.25">
      <c r="A4580" t="s">
        <v>17579</v>
      </c>
      <c r="B4580" t="s">
        <v>17580</v>
      </c>
    </row>
    <row r="4581" spans="1:2" x14ac:dyDescent="0.25">
      <c r="A4581" t="s">
        <v>17581</v>
      </c>
      <c r="B4581" t="s">
        <v>17582</v>
      </c>
    </row>
    <row r="4582" spans="1:2" x14ac:dyDescent="0.25">
      <c r="A4582" t="s">
        <v>17583</v>
      </c>
      <c r="B4582" t="s">
        <v>17584</v>
      </c>
    </row>
    <row r="4583" spans="1:2" x14ac:dyDescent="0.25">
      <c r="A4583" t="s">
        <v>17585</v>
      </c>
      <c r="B4583" t="s">
        <v>17586</v>
      </c>
    </row>
    <row r="4584" spans="1:2" x14ac:dyDescent="0.25">
      <c r="A4584" t="s">
        <v>17587</v>
      </c>
      <c r="B4584" t="s">
        <v>17588</v>
      </c>
    </row>
    <row r="4585" spans="1:2" x14ac:dyDescent="0.25">
      <c r="A4585" t="s">
        <v>17589</v>
      </c>
      <c r="B4585" t="s">
        <v>17590</v>
      </c>
    </row>
    <row r="4586" spans="1:2" x14ac:dyDescent="0.25">
      <c r="A4586" t="s">
        <v>17591</v>
      </c>
      <c r="B4586" t="s">
        <v>17592</v>
      </c>
    </row>
    <row r="4587" spans="1:2" x14ac:dyDescent="0.25">
      <c r="A4587" t="s">
        <v>17593</v>
      </c>
      <c r="B4587" t="s">
        <v>17594</v>
      </c>
    </row>
    <row r="4588" spans="1:2" x14ac:dyDescent="0.25">
      <c r="A4588" t="s">
        <v>17595</v>
      </c>
      <c r="B4588" t="s">
        <v>17596</v>
      </c>
    </row>
    <row r="4589" spans="1:2" x14ac:dyDescent="0.25">
      <c r="A4589" t="s">
        <v>17597</v>
      </c>
      <c r="B4589" t="s">
        <v>17598</v>
      </c>
    </row>
    <row r="4590" spans="1:2" x14ac:dyDescent="0.25">
      <c r="A4590" t="s">
        <v>112</v>
      </c>
      <c r="B4590" t="s">
        <v>17599</v>
      </c>
    </row>
    <row r="4591" spans="1:2" x14ac:dyDescent="0.25">
      <c r="A4591" t="s">
        <v>17600</v>
      </c>
      <c r="B4591" t="s">
        <v>17601</v>
      </c>
    </row>
    <row r="4592" spans="1:2" x14ac:dyDescent="0.25">
      <c r="A4592" t="s">
        <v>17602</v>
      </c>
      <c r="B4592" t="s">
        <v>17603</v>
      </c>
    </row>
    <row r="4593" spans="1:2" x14ac:dyDescent="0.25">
      <c r="A4593" t="s">
        <v>17604</v>
      </c>
      <c r="B4593" t="s">
        <v>17605</v>
      </c>
    </row>
    <row r="4594" spans="1:2" x14ac:dyDescent="0.25">
      <c r="A4594" t="s">
        <v>17606</v>
      </c>
      <c r="B4594" t="s">
        <v>17607</v>
      </c>
    </row>
    <row r="4595" spans="1:2" x14ac:dyDescent="0.25">
      <c r="A4595" t="s">
        <v>17608</v>
      </c>
      <c r="B4595" t="s">
        <v>17609</v>
      </c>
    </row>
    <row r="4596" spans="1:2" x14ac:dyDescent="0.25">
      <c r="A4596" t="s">
        <v>17610</v>
      </c>
      <c r="B4596" t="s">
        <v>17611</v>
      </c>
    </row>
    <row r="4597" spans="1:2" x14ac:dyDescent="0.25">
      <c r="A4597" t="s">
        <v>17612</v>
      </c>
      <c r="B4597" t="s">
        <v>17613</v>
      </c>
    </row>
    <row r="4598" spans="1:2" x14ac:dyDescent="0.25">
      <c r="A4598" t="s">
        <v>17614</v>
      </c>
      <c r="B4598" t="s">
        <v>17615</v>
      </c>
    </row>
    <row r="4599" spans="1:2" x14ac:dyDescent="0.25">
      <c r="A4599" t="s">
        <v>17616</v>
      </c>
      <c r="B4599" t="s">
        <v>17617</v>
      </c>
    </row>
    <row r="4600" spans="1:2" x14ac:dyDescent="0.25">
      <c r="A4600" t="s">
        <v>2469</v>
      </c>
      <c r="B4600" t="s">
        <v>17618</v>
      </c>
    </row>
    <row r="4601" spans="1:2" x14ac:dyDescent="0.25">
      <c r="A4601" t="s">
        <v>17619</v>
      </c>
      <c r="B4601" t="s">
        <v>17620</v>
      </c>
    </row>
    <row r="4602" spans="1:2" x14ac:dyDescent="0.25">
      <c r="A4602" t="s">
        <v>17621</v>
      </c>
      <c r="B4602" t="s">
        <v>17622</v>
      </c>
    </row>
    <row r="4603" spans="1:2" x14ac:dyDescent="0.25">
      <c r="A4603" t="s">
        <v>17623</v>
      </c>
      <c r="B4603" t="s">
        <v>17624</v>
      </c>
    </row>
    <row r="4604" spans="1:2" x14ac:dyDescent="0.25">
      <c r="A4604" t="s">
        <v>17625</v>
      </c>
      <c r="B4604" t="s">
        <v>17626</v>
      </c>
    </row>
    <row r="4605" spans="1:2" x14ac:dyDescent="0.25">
      <c r="A4605" t="s">
        <v>113</v>
      </c>
      <c r="B4605" t="s">
        <v>17627</v>
      </c>
    </row>
    <row r="4606" spans="1:2" x14ac:dyDescent="0.25">
      <c r="A4606" t="s">
        <v>17628</v>
      </c>
      <c r="B4606" t="s">
        <v>17629</v>
      </c>
    </row>
    <row r="4607" spans="1:2" x14ac:dyDescent="0.25">
      <c r="A4607" t="s">
        <v>17630</v>
      </c>
      <c r="B4607" t="s">
        <v>17631</v>
      </c>
    </row>
    <row r="4608" spans="1:2" x14ac:dyDescent="0.25">
      <c r="A4608" t="s">
        <v>17632</v>
      </c>
      <c r="B4608" t="s">
        <v>17633</v>
      </c>
    </row>
    <row r="4609" spans="1:2" x14ac:dyDescent="0.25">
      <c r="A4609" t="s">
        <v>17634</v>
      </c>
      <c r="B4609" t="s">
        <v>17635</v>
      </c>
    </row>
    <row r="4610" spans="1:2" x14ac:dyDescent="0.25">
      <c r="A4610" t="s">
        <v>17636</v>
      </c>
      <c r="B4610" t="s">
        <v>17637</v>
      </c>
    </row>
    <row r="4611" spans="1:2" x14ac:dyDescent="0.25">
      <c r="A4611" t="s">
        <v>17638</v>
      </c>
      <c r="B4611" t="s">
        <v>17639</v>
      </c>
    </row>
    <row r="4612" spans="1:2" x14ac:dyDescent="0.25">
      <c r="A4612" t="s">
        <v>17640</v>
      </c>
      <c r="B4612" t="s">
        <v>17641</v>
      </c>
    </row>
    <row r="4613" spans="1:2" x14ac:dyDescent="0.25">
      <c r="A4613" t="s">
        <v>17642</v>
      </c>
      <c r="B4613" t="s">
        <v>17643</v>
      </c>
    </row>
    <row r="4614" spans="1:2" x14ac:dyDescent="0.25">
      <c r="A4614" t="s">
        <v>17644</v>
      </c>
      <c r="B4614" t="s">
        <v>17645</v>
      </c>
    </row>
    <row r="4615" spans="1:2" x14ac:dyDescent="0.25">
      <c r="A4615" t="s">
        <v>324</v>
      </c>
      <c r="B4615" t="s">
        <v>17646</v>
      </c>
    </row>
    <row r="4616" spans="1:2" x14ac:dyDescent="0.25">
      <c r="A4616" t="s">
        <v>17647</v>
      </c>
      <c r="B4616" t="s">
        <v>17648</v>
      </c>
    </row>
    <row r="4617" spans="1:2" x14ac:dyDescent="0.25">
      <c r="A4617" t="s">
        <v>17649</v>
      </c>
      <c r="B4617" t="s">
        <v>17650</v>
      </c>
    </row>
    <row r="4618" spans="1:2" x14ac:dyDescent="0.25">
      <c r="A4618" t="s">
        <v>17651</v>
      </c>
      <c r="B4618" t="s">
        <v>17652</v>
      </c>
    </row>
    <row r="4619" spans="1:2" x14ac:dyDescent="0.25">
      <c r="A4619" t="s">
        <v>114</v>
      </c>
      <c r="B4619" t="s">
        <v>17653</v>
      </c>
    </row>
    <row r="4620" spans="1:2" x14ac:dyDescent="0.25">
      <c r="A4620" t="s">
        <v>17654</v>
      </c>
      <c r="B4620" t="s">
        <v>17655</v>
      </c>
    </row>
    <row r="4621" spans="1:2" x14ac:dyDescent="0.25">
      <c r="A4621" t="s">
        <v>17656</v>
      </c>
      <c r="B4621" t="s">
        <v>17657</v>
      </c>
    </row>
    <row r="4622" spans="1:2" x14ac:dyDescent="0.25">
      <c r="A4622" t="s">
        <v>17658</v>
      </c>
      <c r="B4622" t="s">
        <v>17659</v>
      </c>
    </row>
    <row r="4623" spans="1:2" x14ac:dyDescent="0.25">
      <c r="A4623" t="s">
        <v>17660</v>
      </c>
      <c r="B4623" t="s">
        <v>17661</v>
      </c>
    </row>
    <row r="4624" spans="1:2" x14ac:dyDescent="0.25">
      <c r="A4624" t="s">
        <v>116</v>
      </c>
      <c r="B4624" t="s">
        <v>17662</v>
      </c>
    </row>
    <row r="4625" spans="1:2" x14ac:dyDescent="0.25">
      <c r="A4625" t="s">
        <v>17663</v>
      </c>
      <c r="B4625" t="s">
        <v>17664</v>
      </c>
    </row>
    <row r="4626" spans="1:2" x14ac:dyDescent="0.25">
      <c r="A4626" t="s">
        <v>772</v>
      </c>
      <c r="B4626" t="s">
        <v>17665</v>
      </c>
    </row>
    <row r="4627" spans="1:2" x14ac:dyDescent="0.25">
      <c r="A4627" t="s">
        <v>17666</v>
      </c>
      <c r="B4627" t="s">
        <v>17667</v>
      </c>
    </row>
    <row r="4628" spans="1:2" x14ac:dyDescent="0.25">
      <c r="A4628" t="s">
        <v>17668</v>
      </c>
      <c r="B4628" t="s">
        <v>17669</v>
      </c>
    </row>
    <row r="4629" spans="1:2" x14ac:dyDescent="0.25">
      <c r="A4629" t="s">
        <v>17670</v>
      </c>
      <c r="B4629" t="s">
        <v>17671</v>
      </c>
    </row>
    <row r="4630" spans="1:2" x14ac:dyDescent="0.25">
      <c r="A4630" t="s">
        <v>17672</v>
      </c>
      <c r="B4630" t="s">
        <v>17673</v>
      </c>
    </row>
    <row r="4631" spans="1:2" x14ac:dyDescent="0.25">
      <c r="A4631" t="s">
        <v>17674</v>
      </c>
      <c r="B4631" t="s">
        <v>17675</v>
      </c>
    </row>
    <row r="4632" spans="1:2" x14ac:dyDescent="0.25">
      <c r="A4632" t="s">
        <v>17676</v>
      </c>
      <c r="B4632" t="s">
        <v>17677</v>
      </c>
    </row>
    <row r="4633" spans="1:2" x14ac:dyDescent="0.25">
      <c r="A4633" t="s">
        <v>117</v>
      </c>
      <c r="B4633" t="s">
        <v>17678</v>
      </c>
    </row>
    <row r="4634" spans="1:2" x14ac:dyDescent="0.25">
      <c r="A4634" t="s">
        <v>17679</v>
      </c>
      <c r="B4634" t="s">
        <v>17680</v>
      </c>
    </row>
    <row r="4635" spans="1:2" x14ac:dyDescent="0.25">
      <c r="A4635" t="s">
        <v>17681</v>
      </c>
      <c r="B4635" t="s">
        <v>17682</v>
      </c>
    </row>
    <row r="4636" spans="1:2" x14ac:dyDescent="0.25">
      <c r="A4636" t="s">
        <v>17683</v>
      </c>
      <c r="B4636" t="s">
        <v>17684</v>
      </c>
    </row>
    <row r="4637" spans="1:2" x14ac:dyDescent="0.25">
      <c r="A4637" t="s">
        <v>17685</v>
      </c>
      <c r="B4637" t="s">
        <v>17686</v>
      </c>
    </row>
    <row r="4638" spans="1:2" x14ac:dyDescent="0.25">
      <c r="A4638" t="s">
        <v>17687</v>
      </c>
      <c r="B4638" t="s">
        <v>17688</v>
      </c>
    </row>
    <row r="4639" spans="1:2" x14ac:dyDescent="0.25">
      <c r="A4639" t="s">
        <v>17689</v>
      </c>
      <c r="B4639" t="s">
        <v>17690</v>
      </c>
    </row>
    <row r="4640" spans="1:2" x14ac:dyDescent="0.25">
      <c r="A4640" t="s">
        <v>17691</v>
      </c>
      <c r="B4640" t="s">
        <v>17692</v>
      </c>
    </row>
    <row r="4641" spans="1:2" x14ac:dyDescent="0.25">
      <c r="A4641" t="s">
        <v>17693</v>
      </c>
      <c r="B4641" t="s">
        <v>17694</v>
      </c>
    </row>
    <row r="4642" spans="1:2" x14ac:dyDescent="0.25">
      <c r="A4642" t="s">
        <v>17695</v>
      </c>
      <c r="B4642" t="s">
        <v>17696</v>
      </c>
    </row>
    <row r="4643" spans="1:2" x14ac:dyDescent="0.25">
      <c r="A4643" t="s">
        <v>17697</v>
      </c>
      <c r="B4643" t="s">
        <v>17698</v>
      </c>
    </row>
    <row r="4644" spans="1:2" x14ac:dyDescent="0.25">
      <c r="A4644" t="s">
        <v>17699</v>
      </c>
      <c r="B4644" t="s">
        <v>17700</v>
      </c>
    </row>
    <row r="4645" spans="1:2" x14ac:dyDescent="0.25">
      <c r="A4645" t="s">
        <v>17701</v>
      </c>
      <c r="B4645" t="s">
        <v>17702</v>
      </c>
    </row>
    <row r="4646" spans="1:2" x14ac:dyDescent="0.25">
      <c r="A4646" t="s">
        <v>17703</v>
      </c>
      <c r="B4646" t="s">
        <v>17704</v>
      </c>
    </row>
    <row r="4647" spans="1:2" x14ac:dyDescent="0.25">
      <c r="A4647" t="s">
        <v>17705</v>
      </c>
      <c r="B4647" t="s">
        <v>17706</v>
      </c>
    </row>
    <row r="4648" spans="1:2" x14ac:dyDescent="0.25">
      <c r="A4648" t="s">
        <v>17707</v>
      </c>
      <c r="B4648" t="s">
        <v>17708</v>
      </c>
    </row>
    <row r="4649" spans="1:2" x14ac:dyDescent="0.25">
      <c r="A4649" t="s">
        <v>17709</v>
      </c>
      <c r="B4649" t="s">
        <v>17710</v>
      </c>
    </row>
    <row r="4650" spans="1:2" x14ac:dyDescent="0.25">
      <c r="A4650" t="s">
        <v>17711</v>
      </c>
      <c r="B4650" t="s">
        <v>17712</v>
      </c>
    </row>
    <row r="4651" spans="1:2" x14ac:dyDescent="0.25">
      <c r="A4651" t="s">
        <v>17713</v>
      </c>
      <c r="B4651" t="s">
        <v>17714</v>
      </c>
    </row>
    <row r="4652" spans="1:2" x14ac:dyDescent="0.25">
      <c r="A4652" t="s">
        <v>17715</v>
      </c>
      <c r="B4652" t="s">
        <v>17716</v>
      </c>
    </row>
    <row r="4653" spans="1:2" x14ac:dyDescent="0.25">
      <c r="A4653" t="s">
        <v>17717</v>
      </c>
      <c r="B4653" t="s">
        <v>17718</v>
      </c>
    </row>
    <row r="4654" spans="1:2" x14ac:dyDescent="0.25">
      <c r="A4654" t="s">
        <v>17719</v>
      </c>
      <c r="B4654" t="s">
        <v>17720</v>
      </c>
    </row>
    <row r="4655" spans="1:2" x14ac:dyDescent="0.25">
      <c r="A4655" t="s">
        <v>17721</v>
      </c>
      <c r="B4655" t="s">
        <v>17722</v>
      </c>
    </row>
    <row r="4656" spans="1:2" x14ac:dyDescent="0.25">
      <c r="A4656" t="s">
        <v>17723</v>
      </c>
      <c r="B4656" t="s">
        <v>17724</v>
      </c>
    </row>
    <row r="4657" spans="1:2" x14ac:dyDescent="0.25">
      <c r="A4657" t="s">
        <v>17725</v>
      </c>
      <c r="B4657" t="s">
        <v>14893</v>
      </c>
    </row>
    <row r="4658" spans="1:2" x14ac:dyDescent="0.25">
      <c r="A4658" t="s">
        <v>17726</v>
      </c>
      <c r="B4658" t="s">
        <v>17727</v>
      </c>
    </row>
    <row r="4659" spans="1:2" x14ac:dyDescent="0.25">
      <c r="A4659" t="s">
        <v>17728</v>
      </c>
      <c r="B4659" t="s">
        <v>17729</v>
      </c>
    </row>
    <row r="4660" spans="1:2" x14ac:dyDescent="0.25">
      <c r="A4660" t="s">
        <v>17730</v>
      </c>
      <c r="B4660" t="s">
        <v>17731</v>
      </c>
    </row>
    <row r="4661" spans="1:2" x14ac:dyDescent="0.25">
      <c r="A4661" t="s">
        <v>17732</v>
      </c>
      <c r="B4661" t="s">
        <v>17733</v>
      </c>
    </row>
    <row r="4662" spans="1:2" x14ac:dyDescent="0.25">
      <c r="A4662" t="s">
        <v>17734</v>
      </c>
      <c r="B4662" t="s">
        <v>17735</v>
      </c>
    </row>
    <row r="4663" spans="1:2" x14ac:dyDescent="0.25">
      <c r="A4663" t="s">
        <v>17736</v>
      </c>
      <c r="B4663" t="s">
        <v>17737</v>
      </c>
    </row>
    <row r="4664" spans="1:2" x14ac:dyDescent="0.25">
      <c r="A4664" t="s">
        <v>17738</v>
      </c>
      <c r="B4664" t="s">
        <v>17739</v>
      </c>
    </row>
    <row r="4665" spans="1:2" x14ac:dyDescent="0.25">
      <c r="A4665" t="s">
        <v>17740</v>
      </c>
      <c r="B4665" t="s">
        <v>17741</v>
      </c>
    </row>
    <row r="4666" spans="1:2" x14ac:dyDescent="0.25">
      <c r="A4666" t="s">
        <v>17742</v>
      </c>
      <c r="B4666" t="s">
        <v>17743</v>
      </c>
    </row>
    <row r="4667" spans="1:2" x14ac:dyDescent="0.25">
      <c r="A4667" t="s">
        <v>17744</v>
      </c>
      <c r="B4667" t="s">
        <v>17745</v>
      </c>
    </row>
    <row r="4668" spans="1:2" x14ac:dyDescent="0.25">
      <c r="A4668" t="s">
        <v>17746</v>
      </c>
      <c r="B4668" t="s">
        <v>17747</v>
      </c>
    </row>
    <row r="4669" spans="1:2" x14ac:dyDescent="0.25">
      <c r="A4669" t="s">
        <v>17748</v>
      </c>
      <c r="B4669" t="s">
        <v>17749</v>
      </c>
    </row>
    <row r="4670" spans="1:2" x14ac:dyDescent="0.25">
      <c r="A4670" t="s">
        <v>17750</v>
      </c>
      <c r="B4670" t="s">
        <v>10887</v>
      </c>
    </row>
    <row r="4671" spans="1:2" x14ac:dyDescent="0.25">
      <c r="A4671" t="s">
        <v>17751</v>
      </c>
      <c r="B4671" t="s">
        <v>17752</v>
      </c>
    </row>
    <row r="4672" spans="1:2" x14ac:dyDescent="0.25">
      <c r="A4672" t="s">
        <v>17753</v>
      </c>
      <c r="B4672" t="s">
        <v>17754</v>
      </c>
    </row>
    <row r="4673" spans="1:2" x14ac:dyDescent="0.25">
      <c r="A4673" t="s">
        <v>17755</v>
      </c>
      <c r="B4673" t="s">
        <v>17756</v>
      </c>
    </row>
    <row r="4674" spans="1:2" x14ac:dyDescent="0.25">
      <c r="A4674" t="s">
        <v>17757</v>
      </c>
      <c r="B4674" t="s">
        <v>17758</v>
      </c>
    </row>
    <row r="4675" spans="1:2" x14ac:dyDescent="0.25">
      <c r="A4675" t="s">
        <v>17759</v>
      </c>
      <c r="B4675" t="s">
        <v>11616</v>
      </c>
    </row>
    <row r="4676" spans="1:2" x14ac:dyDescent="0.25">
      <c r="A4676" t="s">
        <v>17760</v>
      </c>
      <c r="B4676" t="s">
        <v>17761</v>
      </c>
    </row>
    <row r="4677" spans="1:2" x14ac:dyDescent="0.25">
      <c r="A4677" t="s">
        <v>17762</v>
      </c>
      <c r="B4677" t="s">
        <v>17763</v>
      </c>
    </row>
    <row r="4678" spans="1:2" x14ac:dyDescent="0.25">
      <c r="A4678" t="s">
        <v>17764</v>
      </c>
      <c r="B4678" t="s">
        <v>17765</v>
      </c>
    </row>
    <row r="4679" spans="1:2" x14ac:dyDescent="0.25">
      <c r="A4679" t="s">
        <v>17766</v>
      </c>
      <c r="B4679" t="s">
        <v>17767</v>
      </c>
    </row>
    <row r="4680" spans="1:2" x14ac:dyDescent="0.25">
      <c r="A4680" t="s">
        <v>17768</v>
      </c>
      <c r="B4680" t="s">
        <v>17769</v>
      </c>
    </row>
    <row r="4681" spans="1:2" x14ac:dyDescent="0.25">
      <c r="A4681" t="s">
        <v>17770</v>
      </c>
      <c r="B4681" t="s">
        <v>17771</v>
      </c>
    </row>
    <row r="4682" spans="1:2" x14ac:dyDescent="0.25">
      <c r="A4682" t="s">
        <v>17772</v>
      </c>
      <c r="B4682" t="s">
        <v>17773</v>
      </c>
    </row>
    <row r="4683" spans="1:2" x14ac:dyDescent="0.25">
      <c r="A4683" t="s">
        <v>17774</v>
      </c>
      <c r="B4683" t="s">
        <v>17775</v>
      </c>
    </row>
    <row r="4684" spans="1:2" x14ac:dyDescent="0.25">
      <c r="A4684" t="s">
        <v>17776</v>
      </c>
      <c r="B4684" t="s">
        <v>17777</v>
      </c>
    </row>
    <row r="4685" spans="1:2" x14ac:dyDescent="0.25">
      <c r="A4685" t="s">
        <v>17778</v>
      </c>
      <c r="B4685" t="s">
        <v>17779</v>
      </c>
    </row>
    <row r="4686" spans="1:2" x14ac:dyDescent="0.25">
      <c r="A4686" t="s">
        <v>17780</v>
      </c>
      <c r="B4686" t="s">
        <v>17781</v>
      </c>
    </row>
    <row r="4687" spans="1:2" x14ac:dyDescent="0.25">
      <c r="A4687" t="s">
        <v>17782</v>
      </c>
      <c r="B4687" t="s">
        <v>17783</v>
      </c>
    </row>
    <row r="4688" spans="1:2" x14ac:dyDescent="0.25">
      <c r="A4688" t="s">
        <v>17784</v>
      </c>
      <c r="B4688" t="s">
        <v>17785</v>
      </c>
    </row>
    <row r="4689" spans="1:2" x14ac:dyDescent="0.25">
      <c r="A4689" t="s">
        <v>17786</v>
      </c>
      <c r="B4689" t="s">
        <v>16606</v>
      </c>
    </row>
    <row r="4690" spans="1:2" x14ac:dyDescent="0.25">
      <c r="A4690" t="s">
        <v>17787</v>
      </c>
      <c r="B4690" t="s">
        <v>17788</v>
      </c>
    </row>
    <row r="4691" spans="1:2" x14ac:dyDescent="0.25">
      <c r="A4691" t="s">
        <v>17789</v>
      </c>
      <c r="B4691" t="s">
        <v>17790</v>
      </c>
    </row>
    <row r="4692" spans="1:2" x14ac:dyDescent="0.25">
      <c r="A4692" t="s">
        <v>17791</v>
      </c>
      <c r="B4692" t="s">
        <v>17792</v>
      </c>
    </row>
    <row r="4693" spans="1:2" x14ac:dyDescent="0.25">
      <c r="A4693" t="s">
        <v>17793</v>
      </c>
      <c r="B4693" t="s">
        <v>17794</v>
      </c>
    </row>
    <row r="4694" spans="1:2" x14ac:dyDescent="0.25">
      <c r="A4694" t="s">
        <v>17795</v>
      </c>
      <c r="B4694" t="s">
        <v>17796</v>
      </c>
    </row>
    <row r="4695" spans="1:2" x14ac:dyDescent="0.25">
      <c r="A4695" t="s">
        <v>17797</v>
      </c>
      <c r="B4695" t="s">
        <v>17798</v>
      </c>
    </row>
    <row r="4696" spans="1:2" x14ac:dyDescent="0.25">
      <c r="A4696" t="s">
        <v>17799</v>
      </c>
      <c r="B4696" t="s">
        <v>17800</v>
      </c>
    </row>
    <row r="4697" spans="1:2" x14ac:dyDescent="0.25">
      <c r="A4697" t="s">
        <v>17801</v>
      </c>
      <c r="B4697" t="s">
        <v>17802</v>
      </c>
    </row>
    <row r="4698" spans="1:2" x14ac:dyDescent="0.25">
      <c r="A4698" t="s">
        <v>17803</v>
      </c>
      <c r="B4698" t="s">
        <v>17804</v>
      </c>
    </row>
    <row r="4699" spans="1:2" x14ac:dyDescent="0.25">
      <c r="A4699" t="s">
        <v>17805</v>
      </c>
      <c r="B4699" t="s">
        <v>17806</v>
      </c>
    </row>
    <row r="4700" spans="1:2" x14ac:dyDescent="0.25">
      <c r="A4700" t="s">
        <v>17807</v>
      </c>
      <c r="B4700" t="s">
        <v>17808</v>
      </c>
    </row>
    <row r="4701" spans="1:2" x14ac:dyDescent="0.25">
      <c r="A4701" t="s">
        <v>17809</v>
      </c>
      <c r="B4701" t="s">
        <v>17810</v>
      </c>
    </row>
    <row r="4702" spans="1:2" x14ac:dyDescent="0.25">
      <c r="A4702" t="s">
        <v>17811</v>
      </c>
      <c r="B4702" t="s">
        <v>17812</v>
      </c>
    </row>
    <row r="4703" spans="1:2" x14ac:dyDescent="0.25">
      <c r="A4703" t="s">
        <v>17813</v>
      </c>
      <c r="B4703" t="s">
        <v>17814</v>
      </c>
    </row>
    <row r="4704" spans="1:2" x14ac:dyDescent="0.25">
      <c r="A4704" t="s">
        <v>17815</v>
      </c>
      <c r="B4704" t="s">
        <v>17816</v>
      </c>
    </row>
    <row r="4705" spans="1:2" x14ac:dyDescent="0.25">
      <c r="A4705" t="s">
        <v>17817</v>
      </c>
      <c r="B4705" t="s">
        <v>17818</v>
      </c>
    </row>
    <row r="4706" spans="1:2" x14ac:dyDescent="0.25">
      <c r="A4706" t="s">
        <v>17819</v>
      </c>
      <c r="B4706" t="s">
        <v>17820</v>
      </c>
    </row>
    <row r="4707" spans="1:2" x14ac:dyDescent="0.25">
      <c r="A4707" t="s">
        <v>17821</v>
      </c>
      <c r="B4707" t="s">
        <v>17822</v>
      </c>
    </row>
    <row r="4708" spans="1:2" x14ac:dyDescent="0.25">
      <c r="A4708" t="s">
        <v>17823</v>
      </c>
      <c r="B4708" t="s">
        <v>17824</v>
      </c>
    </row>
    <row r="4709" spans="1:2" x14ac:dyDescent="0.25">
      <c r="A4709" t="s">
        <v>17825</v>
      </c>
      <c r="B4709" t="s">
        <v>17826</v>
      </c>
    </row>
    <row r="4710" spans="1:2" x14ac:dyDescent="0.25">
      <c r="A4710" t="s">
        <v>17827</v>
      </c>
      <c r="B4710" t="s">
        <v>17828</v>
      </c>
    </row>
    <row r="4711" spans="1:2" x14ac:dyDescent="0.25">
      <c r="A4711" t="s">
        <v>17829</v>
      </c>
      <c r="B4711" t="s">
        <v>17830</v>
      </c>
    </row>
    <row r="4712" spans="1:2" x14ac:dyDescent="0.25">
      <c r="A4712" t="s">
        <v>17831</v>
      </c>
      <c r="B4712" t="s">
        <v>17832</v>
      </c>
    </row>
    <row r="4713" spans="1:2" x14ac:dyDescent="0.25">
      <c r="A4713" t="s">
        <v>17833</v>
      </c>
      <c r="B4713" t="s">
        <v>17834</v>
      </c>
    </row>
    <row r="4714" spans="1:2" x14ac:dyDescent="0.25">
      <c r="A4714" t="s">
        <v>17835</v>
      </c>
      <c r="B4714" t="s">
        <v>17836</v>
      </c>
    </row>
    <row r="4715" spans="1:2" x14ac:dyDescent="0.25">
      <c r="A4715" t="s">
        <v>17837</v>
      </c>
      <c r="B4715" t="s">
        <v>17838</v>
      </c>
    </row>
    <row r="4716" spans="1:2" x14ac:dyDescent="0.25">
      <c r="A4716" t="s">
        <v>17839</v>
      </c>
      <c r="B4716" t="s">
        <v>17840</v>
      </c>
    </row>
    <row r="4717" spans="1:2" x14ac:dyDescent="0.25">
      <c r="A4717" t="s">
        <v>17841</v>
      </c>
      <c r="B4717" t="s">
        <v>17842</v>
      </c>
    </row>
    <row r="4718" spans="1:2" x14ac:dyDescent="0.25">
      <c r="A4718" t="s">
        <v>17843</v>
      </c>
      <c r="B4718" t="s">
        <v>17844</v>
      </c>
    </row>
    <row r="4719" spans="1:2" x14ac:dyDescent="0.25">
      <c r="A4719" t="s">
        <v>17845</v>
      </c>
      <c r="B4719" t="s">
        <v>17846</v>
      </c>
    </row>
    <row r="4720" spans="1:2" x14ac:dyDescent="0.25">
      <c r="A4720" t="s">
        <v>17847</v>
      </c>
      <c r="B4720" t="s">
        <v>17848</v>
      </c>
    </row>
    <row r="4721" spans="1:2" x14ac:dyDescent="0.25">
      <c r="A4721" t="s">
        <v>17849</v>
      </c>
      <c r="B4721" t="s">
        <v>17850</v>
      </c>
    </row>
    <row r="4722" spans="1:2" x14ac:dyDescent="0.25">
      <c r="A4722" t="s">
        <v>17851</v>
      </c>
      <c r="B4722" t="s">
        <v>17852</v>
      </c>
    </row>
    <row r="4723" spans="1:2" x14ac:dyDescent="0.25">
      <c r="A4723" t="s">
        <v>17853</v>
      </c>
      <c r="B4723" t="s">
        <v>17854</v>
      </c>
    </row>
    <row r="4724" spans="1:2" x14ac:dyDescent="0.25">
      <c r="A4724" t="s">
        <v>17855</v>
      </c>
      <c r="B4724" t="s">
        <v>17856</v>
      </c>
    </row>
    <row r="4725" spans="1:2" x14ac:dyDescent="0.25">
      <c r="A4725" t="s">
        <v>17857</v>
      </c>
      <c r="B4725" t="s">
        <v>17858</v>
      </c>
    </row>
    <row r="4726" spans="1:2" x14ac:dyDescent="0.25">
      <c r="A4726" t="s">
        <v>612</v>
      </c>
      <c r="B4726" t="s">
        <v>17859</v>
      </c>
    </row>
    <row r="4727" spans="1:2" x14ac:dyDescent="0.25">
      <c r="A4727" t="s">
        <v>17860</v>
      </c>
      <c r="B4727" t="s">
        <v>17861</v>
      </c>
    </row>
    <row r="4728" spans="1:2" x14ac:dyDescent="0.25">
      <c r="A4728" t="s">
        <v>17862</v>
      </c>
      <c r="B4728" t="s">
        <v>17863</v>
      </c>
    </row>
    <row r="4729" spans="1:2" x14ac:dyDescent="0.25">
      <c r="A4729" t="s">
        <v>17864</v>
      </c>
      <c r="B4729" t="s">
        <v>17865</v>
      </c>
    </row>
    <row r="4730" spans="1:2" x14ac:dyDescent="0.25">
      <c r="A4730" t="s">
        <v>17866</v>
      </c>
      <c r="B4730" t="s">
        <v>17867</v>
      </c>
    </row>
    <row r="4731" spans="1:2" x14ac:dyDescent="0.25">
      <c r="A4731" t="s">
        <v>17868</v>
      </c>
      <c r="B4731" t="s">
        <v>17869</v>
      </c>
    </row>
    <row r="4732" spans="1:2" x14ac:dyDescent="0.25">
      <c r="A4732" t="s">
        <v>17870</v>
      </c>
      <c r="B4732" t="s">
        <v>17871</v>
      </c>
    </row>
    <row r="4733" spans="1:2" x14ac:dyDescent="0.25">
      <c r="A4733" t="s">
        <v>17872</v>
      </c>
      <c r="B4733" t="s">
        <v>17873</v>
      </c>
    </row>
    <row r="4734" spans="1:2" x14ac:dyDescent="0.25">
      <c r="A4734" t="s">
        <v>17874</v>
      </c>
      <c r="B4734" t="s">
        <v>17875</v>
      </c>
    </row>
    <row r="4735" spans="1:2" x14ac:dyDescent="0.25">
      <c r="A4735" t="s">
        <v>17876</v>
      </c>
      <c r="B4735" t="s">
        <v>17877</v>
      </c>
    </row>
    <row r="4736" spans="1:2" x14ac:dyDescent="0.25">
      <c r="A4736" t="s">
        <v>17878</v>
      </c>
      <c r="B4736" t="s">
        <v>17879</v>
      </c>
    </row>
    <row r="4737" spans="1:2" x14ac:dyDescent="0.25">
      <c r="A4737" t="s">
        <v>17880</v>
      </c>
      <c r="B4737" t="s">
        <v>17881</v>
      </c>
    </row>
    <row r="4738" spans="1:2" x14ac:dyDescent="0.25">
      <c r="A4738" t="s">
        <v>17882</v>
      </c>
      <c r="B4738" t="s">
        <v>12149</v>
      </c>
    </row>
    <row r="4739" spans="1:2" x14ac:dyDescent="0.25">
      <c r="A4739" t="s">
        <v>17883</v>
      </c>
      <c r="B4739" t="s">
        <v>17884</v>
      </c>
    </row>
    <row r="4740" spans="1:2" x14ac:dyDescent="0.25">
      <c r="A4740" t="s">
        <v>17885</v>
      </c>
      <c r="B4740" t="s">
        <v>17886</v>
      </c>
    </row>
    <row r="4741" spans="1:2" x14ac:dyDescent="0.25">
      <c r="A4741" t="s">
        <v>17887</v>
      </c>
      <c r="B4741" t="s">
        <v>17888</v>
      </c>
    </row>
    <row r="4742" spans="1:2" x14ac:dyDescent="0.25">
      <c r="A4742" t="s">
        <v>17889</v>
      </c>
      <c r="B4742" t="s">
        <v>17890</v>
      </c>
    </row>
    <row r="4743" spans="1:2" x14ac:dyDescent="0.25">
      <c r="A4743" t="s">
        <v>17891</v>
      </c>
      <c r="B4743" t="s">
        <v>17892</v>
      </c>
    </row>
    <row r="4744" spans="1:2" x14ac:dyDescent="0.25">
      <c r="A4744" t="s">
        <v>17893</v>
      </c>
      <c r="B4744" t="s">
        <v>17894</v>
      </c>
    </row>
    <row r="4745" spans="1:2" x14ac:dyDescent="0.25">
      <c r="A4745" t="s">
        <v>17895</v>
      </c>
      <c r="B4745" t="s">
        <v>17896</v>
      </c>
    </row>
    <row r="4746" spans="1:2" x14ac:dyDescent="0.25">
      <c r="A4746" t="s">
        <v>17897</v>
      </c>
      <c r="B4746" t="s">
        <v>17898</v>
      </c>
    </row>
    <row r="4747" spans="1:2" x14ac:dyDescent="0.25">
      <c r="A4747" t="s">
        <v>17899</v>
      </c>
      <c r="B4747" t="s">
        <v>17900</v>
      </c>
    </row>
    <row r="4748" spans="1:2" x14ac:dyDescent="0.25">
      <c r="A4748" t="s">
        <v>17901</v>
      </c>
      <c r="B4748" t="s">
        <v>17902</v>
      </c>
    </row>
    <row r="4749" spans="1:2" x14ac:dyDescent="0.25">
      <c r="A4749" t="s">
        <v>17903</v>
      </c>
      <c r="B4749" t="s">
        <v>17904</v>
      </c>
    </row>
    <row r="4750" spans="1:2" x14ac:dyDescent="0.25">
      <c r="A4750" t="s">
        <v>17905</v>
      </c>
      <c r="B4750" t="s">
        <v>17906</v>
      </c>
    </row>
    <row r="4751" spans="1:2" x14ac:dyDescent="0.25">
      <c r="A4751" t="s">
        <v>17907</v>
      </c>
      <c r="B4751" t="s">
        <v>17908</v>
      </c>
    </row>
    <row r="4752" spans="1:2" x14ac:dyDescent="0.25">
      <c r="A4752" t="s">
        <v>17909</v>
      </c>
      <c r="B4752" t="s">
        <v>17910</v>
      </c>
    </row>
    <row r="4753" spans="1:2" x14ac:dyDescent="0.25">
      <c r="A4753" t="s">
        <v>17911</v>
      </c>
      <c r="B4753" t="s">
        <v>17912</v>
      </c>
    </row>
    <row r="4754" spans="1:2" x14ac:dyDescent="0.25">
      <c r="A4754" t="s">
        <v>17913</v>
      </c>
      <c r="B4754" t="s">
        <v>17914</v>
      </c>
    </row>
    <row r="4755" spans="1:2" x14ac:dyDescent="0.25">
      <c r="A4755" t="s">
        <v>17915</v>
      </c>
      <c r="B4755" t="s">
        <v>17916</v>
      </c>
    </row>
    <row r="4756" spans="1:2" x14ac:dyDescent="0.25">
      <c r="A4756" t="s">
        <v>17917</v>
      </c>
      <c r="B4756" t="s">
        <v>17918</v>
      </c>
    </row>
    <row r="4757" spans="1:2" x14ac:dyDescent="0.25">
      <c r="A4757" t="s">
        <v>4655</v>
      </c>
      <c r="B4757" t="s">
        <v>17919</v>
      </c>
    </row>
    <row r="4758" spans="1:2" x14ac:dyDescent="0.25">
      <c r="A4758" t="s">
        <v>17920</v>
      </c>
      <c r="B4758" t="s">
        <v>17921</v>
      </c>
    </row>
    <row r="4759" spans="1:2" x14ac:dyDescent="0.25">
      <c r="A4759" t="s">
        <v>894</v>
      </c>
      <c r="B4759" t="s">
        <v>17922</v>
      </c>
    </row>
    <row r="4760" spans="1:2" x14ac:dyDescent="0.25">
      <c r="A4760" t="s">
        <v>17923</v>
      </c>
      <c r="B4760" t="s">
        <v>17924</v>
      </c>
    </row>
    <row r="4761" spans="1:2" x14ac:dyDescent="0.25">
      <c r="A4761" t="s">
        <v>17925</v>
      </c>
      <c r="B4761" t="s">
        <v>17926</v>
      </c>
    </row>
    <row r="4762" spans="1:2" x14ac:dyDescent="0.25">
      <c r="A4762" t="s">
        <v>119</v>
      </c>
      <c r="B4762" t="s">
        <v>17927</v>
      </c>
    </row>
    <row r="4763" spans="1:2" x14ac:dyDescent="0.25">
      <c r="A4763" t="s">
        <v>17928</v>
      </c>
      <c r="B4763" t="s">
        <v>17929</v>
      </c>
    </row>
    <row r="4764" spans="1:2" x14ac:dyDescent="0.25">
      <c r="A4764" t="s">
        <v>17930</v>
      </c>
      <c r="B4764" t="s">
        <v>17931</v>
      </c>
    </row>
    <row r="4765" spans="1:2" x14ac:dyDescent="0.25">
      <c r="A4765" t="s">
        <v>17932</v>
      </c>
      <c r="B4765" t="s">
        <v>17933</v>
      </c>
    </row>
    <row r="4766" spans="1:2" x14ac:dyDescent="0.25">
      <c r="A4766" t="s">
        <v>17934</v>
      </c>
      <c r="B4766" t="s">
        <v>17935</v>
      </c>
    </row>
    <row r="4767" spans="1:2" x14ac:dyDescent="0.25">
      <c r="A4767" t="s">
        <v>17936</v>
      </c>
      <c r="B4767" t="s">
        <v>17937</v>
      </c>
    </row>
    <row r="4768" spans="1:2" x14ac:dyDescent="0.25">
      <c r="A4768" t="s">
        <v>17938</v>
      </c>
      <c r="B4768" t="s">
        <v>17939</v>
      </c>
    </row>
    <row r="4769" spans="1:2" x14ac:dyDescent="0.25">
      <c r="A4769" t="s">
        <v>17940</v>
      </c>
      <c r="B4769" t="s">
        <v>17941</v>
      </c>
    </row>
    <row r="4770" spans="1:2" x14ac:dyDescent="0.25">
      <c r="A4770" t="s">
        <v>17942</v>
      </c>
      <c r="B4770" t="s">
        <v>17943</v>
      </c>
    </row>
    <row r="4771" spans="1:2" x14ac:dyDescent="0.25">
      <c r="A4771" t="s">
        <v>17944</v>
      </c>
      <c r="B4771" t="s">
        <v>17945</v>
      </c>
    </row>
    <row r="4772" spans="1:2" x14ac:dyDescent="0.25">
      <c r="A4772" t="s">
        <v>17946</v>
      </c>
      <c r="B4772" t="s">
        <v>17947</v>
      </c>
    </row>
    <row r="4773" spans="1:2" x14ac:dyDescent="0.25">
      <c r="A4773" t="s">
        <v>17948</v>
      </c>
      <c r="B4773" t="s">
        <v>17949</v>
      </c>
    </row>
    <row r="4774" spans="1:2" x14ac:dyDescent="0.25">
      <c r="A4774" t="s">
        <v>17950</v>
      </c>
      <c r="B4774" t="s">
        <v>17951</v>
      </c>
    </row>
    <row r="4775" spans="1:2" x14ac:dyDescent="0.25">
      <c r="A4775" t="s">
        <v>17952</v>
      </c>
      <c r="B4775" t="s">
        <v>17953</v>
      </c>
    </row>
    <row r="4776" spans="1:2" x14ac:dyDescent="0.25">
      <c r="A4776" t="s">
        <v>17954</v>
      </c>
      <c r="B4776" t="s">
        <v>17955</v>
      </c>
    </row>
    <row r="4777" spans="1:2" x14ac:dyDescent="0.25">
      <c r="A4777" t="s">
        <v>17956</v>
      </c>
      <c r="B4777" t="s">
        <v>17957</v>
      </c>
    </row>
    <row r="4778" spans="1:2" x14ac:dyDescent="0.25">
      <c r="A4778" t="s">
        <v>17958</v>
      </c>
      <c r="B4778" t="s">
        <v>17959</v>
      </c>
    </row>
    <row r="4779" spans="1:2" x14ac:dyDescent="0.25">
      <c r="A4779" t="s">
        <v>17960</v>
      </c>
      <c r="B4779" t="s">
        <v>17961</v>
      </c>
    </row>
    <row r="4780" spans="1:2" x14ac:dyDescent="0.25">
      <c r="A4780" t="s">
        <v>17962</v>
      </c>
      <c r="B4780" t="s">
        <v>17963</v>
      </c>
    </row>
    <row r="4781" spans="1:2" x14ac:dyDescent="0.25">
      <c r="A4781" t="s">
        <v>896</v>
      </c>
      <c r="B4781" t="s">
        <v>17964</v>
      </c>
    </row>
    <row r="4782" spans="1:2" x14ac:dyDescent="0.25">
      <c r="A4782" t="s">
        <v>17965</v>
      </c>
      <c r="B4782" t="s">
        <v>17966</v>
      </c>
    </row>
    <row r="4783" spans="1:2" x14ac:dyDescent="0.25">
      <c r="A4783" t="s">
        <v>17967</v>
      </c>
      <c r="B4783" t="s">
        <v>17968</v>
      </c>
    </row>
    <row r="4784" spans="1:2" x14ac:dyDescent="0.25">
      <c r="A4784" t="s">
        <v>17969</v>
      </c>
      <c r="B4784" t="s">
        <v>17970</v>
      </c>
    </row>
    <row r="4785" spans="1:2" x14ac:dyDescent="0.25">
      <c r="A4785" t="s">
        <v>17971</v>
      </c>
      <c r="B4785" t="s">
        <v>17972</v>
      </c>
    </row>
    <row r="4786" spans="1:2" x14ac:dyDescent="0.25">
      <c r="A4786" t="s">
        <v>17973</v>
      </c>
      <c r="B4786" t="s">
        <v>17974</v>
      </c>
    </row>
    <row r="4787" spans="1:2" x14ac:dyDescent="0.25">
      <c r="A4787" t="s">
        <v>17975</v>
      </c>
      <c r="B4787" t="s">
        <v>17976</v>
      </c>
    </row>
    <row r="4788" spans="1:2" x14ac:dyDescent="0.25">
      <c r="A4788" t="s">
        <v>17977</v>
      </c>
      <c r="B4788" t="s">
        <v>17978</v>
      </c>
    </row>
    <row r="4789" spans="1:2" x14ac:dyDescent="0.25">
      <c r="A4789" t="s">
        <v>17979</v>
      </c>
      <c r="B4789" t="s">
        <v>17980</v>
      </c>
    </row>
    <row r="4790" spans="1:2" x14ac:dyDescent="0.25">
      <c r="A4790" t="s">
        <v>5655</v>
      </c>
      <c r="B4790" t="s">
        <v>17981</v>
      </c>
    </row>
    <row r="4791" spans="1:2" x14ac:dyDescent="0.25">
      <c r="A4791" t="s">
        <v>17982</v>
      </c>
      <c r="B4791" t="s">
        <v>17983</v>
      </c>
    </row>
    <row r="4792" spans="1:2" x14ac:dyDescent="0.25">
      <c r="A4792" t="s">
        <v>17984</v>
      </c>
      <c r="B4792" t="s">
        <v>17985</v>
      </c>
    </row>
    <row r="4793" spans="1:2" x14ac:dyDescent="0.25">
      <c r="A4793" t="s">
        <v>17986</v>
      </c>
      <c r="B4793" t="s">
        <v>17987</v>
      </c>
    </row>
    <row r="4794" spans="1:2" x14ac:dyDescent="0.25">
      <c r="A4794" t="s">
        <v>120</v>
      </c>
      <c r="B4794" t="s">
        <v>17988</v>
      </c>
    </row>
    <row r="4795" spans="1:2" x14ac:dyDescent="0.25">
      <c r="A4795" t="s">
        <v>17989</v>
      </c>
      <c r="B4795" t="s">
        <v>17990</v>
      </c>
    </row>
    <row r="4796" spans="1:2" x14ac:dyDescent="0.25">
      <c r="A4796" t="s">
        <v>17991</v>
      </c>
      <c r="B4796" t="s">
        <v>17992</v>
      </c>
    </row>
    <row r="4797" spans="1:2" x14ac:dyDescent="0.25">
      <c r="A4797" t="s">
        <v>17993</v>
      </c>
      <c r="B4797" t="s">
        <v>17994</v>
      </c>
    </row>
    <row r="4798" spans="1:2" x14ac:dyDescent="0.25">
      <c r="A4798" t="s">
        <v>17995</v>
      </c>
      <c r="B4798" t="s">
        <v>17996</v>
      </c>
    </row>
    <row r="4799" spans="1:2" x14ac:dyDescent="0.25">
      <c r="A4799" t="s">
        <v>17997</v>
      </c>
      <c r="B4799" t="s">
        <v>17998</v>
      </c>
    </row>
    <row r="4800" spans="1:2" x14ac:dyDescent="0.25">
      <c r="A4800" t="s">
        <v>17999</v>
      </c>
      <c r="B4800" t="s">
        <v>18000</v>
      </c>
    </row>
    <row r="4801" spans="1:2" x14ac:dyDescent="0.25">
      <c r="A4801" t="s">
        <v>18001</v>
      </c>
      <c r="B4801" t="s">
        <v>18002</v>
      </c>
    </row>
    <row r="4802" spans="1:2" x14ac:dyDescent="0.25">
      <c r="A4802" t="s">
        <v>18003</v>
      </c>
      <c r="B4802" t="s">
        <v>18004</v>
      </c>
    </row>
    <row r="4803" spans="1:2" x14ac:dyDescent="0.25">
      <c r="A4803" t="s">
        <v>18005</v>
      </c>
      <c r="B4803" t="s">
        <v>18006</v>
      </c>
    </row>
    <row r="4804" spans="1:2" x14ac:dyDescent="0.25">
      <c r="A4804" t="s">
        <v>2478</v>
      </c>
      <c r="B4804" t="s">
        <v>18007</v>
      </c>
    </row>
    <row r="4805" spans="1:2" x14ac:dyDescent="0.25">
      <c r="A4805" t="s">
        <v>18008</v>
      </c>
      <c r="B4805" t="s">
        <v>18009</v>
      </c>
    </row>
    <row r="4806" spans="1:2" x14ac:dyDescent="0.25">
      <c r="A4806" t="s">
        <v>18010</v>
      </c>
      <c r="B4806" t="s">
        <v>18011</v>
      </c>
    </row>
    <row r="4807" spans="1:2" x14ac:dyDescent="0.25">
      <c r="A4807" t="s">
        <v>18012</v>
      </c>
      <c r="B4807" t="s">
        <v>18013</v>
      </c>
    </row>
    <row r="4808" spans="1:2" x14ac:dyDescent="0.25">
      <c r="A4808" t="s">
        <v>18014</v>
      </c>
      <c r="B4808" t="s">
        <v>18015</v>
      </c>
    </row>
    <row r="4809" spans="1:2" x14ac:dyDescent="0.25">
      <c r="A4809" t="s">
        <v>18016</v>
      </c>
      <c r="B4809" t="s">
        <v>18017</v>
      </c>
    </row>
    <row r="4810" spans="1:2" x14ac:dyDescent="0.25">
      <c r="A4810" t="s">
        <v>18018</v>
      </c>
      <c r="B4810" t="s">
        <v>18019</v>
      </c>
    </row>
    <row r="4811" spans="1:2" x14ac:dyDescent="0.25">
      <c r="A4811" t="s">
        <v>18020</v>
      </c>
      <c r="B4811" t="s">
        <v>18021</v>
      </c>
    </row>
    <row r="4812" spans="1:2" x14ac:dyDescent="0.25">
      <c r="A4812" t="s">
        <v>18022</v>
      </c>
      <c r="B4812" t="s">
        <v>18023</v>
      </c>
    </row>
    <row r="4813" spans="1:2" x14ac:dyDescent="0.25">
      <c r="A4813" t="s">
        <v>18024</v>
      </c>
      <c r="B4813" t="s">
        <v>18025</v>
      </c>
    </row>
    <row r="4814" spans="1:2" x14ac:dyDescent="0.25">
      <c r="A4814" t="s">
        <v>2480</v>
      </c>
      <c r="B4814" t="s">
        <v>18026</v>
      </c>
    </row>
    <row r="4815" spans="1:2" x14ac:dyDescent="0.25">
      <c r="A4815" t="s">
        <v>18027</v>
      </c>
      <c r="B4815" t="s">
        <v>18028</v>
      </c>
    </row>
    <row r="4816" spans="1:2" x14ac:dyDescent="0.25">
      <c r="A4816" t="s">
        <v>18029</v>
      </c>
      <c r="B4816" t="s">
        <v>18030</v>
      </c>
    </row>
    <row r="4817" spans="1:2" x14ac:dyDescent="0.25">
      <c r="A4817" t="s">
        <v>18031</v>
      </c>
      <c r="B4817" t="s">
        <v>18032</v>
      </c>
    </row>
    <row r="4818" spans="1:2" x14ac:dyDescent="0.25">
      <c r="A4818" t="s">
        <v>18033</v>
      </c>
      <c r="B4818" t="s">
        <v>18034</v>
      </c>
    </row>
    <row r="4819" spans="1:2" x14ac:dyDescent="0.25">
      <c r="A4819" t="s">
        <v>18035</v>
      </c>
      <c r="B4819" t="s">
        <v>18036</v>
      </c>
    </row>
    <row r="4820" spans="1:2" x14ac:dyDescent="0.25">
      <c r="A4820" t="s">
        <v>18037</v>
      </c>
      <c r="B4820" t="s">
        <v>18038</v>
      </c>
    </row>
    <row r="4821" spans="1:2" x14ac:dyDescent="0.25">
      <c r="A4821" t="s">
        <v>18039</v>
      </c>
      <c r="B4821" t="s">
        <v>18040</v>
      </c>
    </row>
    <row r="4822" spans="1:2" x14ac:dyDescent="0.25">
      <c r="A4822" t="s">
        <v>18041</v>
      </c>
      <c r="B4822" t="s">
        <v>18042</v>
      </c>
    </row>
    <row r="4823" spans="1:2" x14ac:dyDescent="0.25">
      <c r="A4823" t="s">
        <v>18043</v>
      </c>
      <c r="B4823" t="s">
        <v>18044</v>
      </c>
    </row>
    <row r="4824" spans="1:2" x14ac:dyDescent="0.25">
      <c r="A4824" t="s">
        <v>18045</v>
      </c>
      <c r="B4824" t="s">
        <v>18046</v>
      </c>
    </row>
    <row r="4825" spans="1:2" x14ac:dyDescent="0.25">
      <c r="A4825" t="s">
        <v>18047</v>
      </c>
      <c r="B4825" t="s">
        <v>18048</v>
      </c>
    </row>
    <row r="4826" spans="1:2" x14ac:dyDescent="0.25">
      <c r="A4826" t="s">
        <v>18049</v>
      </c>
      <c r="B4826" t="s">
        <v>18050</v>
      </c>
    </row>
    <row r="4827" spans="1:2" x14ac:dyDescent="0.25">
      <c r="A4827" t="s">
        <v>18051</v>
      </c>
      <c r="B4827" t="s">
        <v>18052</v>
      </c>
    </row>
    <row r="4828" spans="1:2" x14ac:dyDescent="0.25">
      <c r="A4828" t="s">
        <v>18053</v>
      </c>
      <c r="B4828" t="s">
        <v>18054</v>
      </c>
    </row>
    <row r="4829" spans="1:2" x14ac:dyDescent="0.25">
      <c r="A4829" t="s">
        <v>18055</v>
      </c>
      <c r="B4829" t="s">
        <v>18056</v>
      </c>
    </row>
    <row r="4830" spans="1:2" x14ac:dyDescent="0.25">
      <c r="A4830" t="s">
        <v>18057</v>
      </c>
      <c r="B4830" t="s">
        <v>18058</v>
      </c>
    </row>
    <row r="4831" spans="1:2" x14ac:dyDescent="0.25">
      <c r="A4831" t="s">
        <v>18059</v>
      </c>
      <c r="B4831" t="s">
        <v>18060</v>
      </c>
    </row>
    <row r="4832" spans="1:2" x14ac:dyDescent="0.25">
      <c r="A4832" t="s">
        <v>18061</v>
      </c>
      <c r="B4832" t="s">
        <v>18062</v>
      </c>
    </row>
    <row r="4833" spans="1:2" x14ac:dyDescent="0.25">
      <c r="A4833" t="s">
        <v>18063</v>
      </c>
      <c r="B4833" t="s">
        <v>18064</v>
      </c>
    </row>
    <row r="4834" spans="1:2" x14ac:dyDescent="0.25">
      <c r="A4834" t="s">
        <v>18065</v>
      </c>
      <c r="B4834" t="s">
        <v>18066</v>
      </c>
    </row>
    <row r="4835" spans="1:2" x14ac:dyDescent="0.25">
      <c r="A4835" t="s">
        <v>18067</v>
      </c>
      <c r="B4835" t="s">
        <v>18068</v>
      </c>
    </row>
    <row r="4836" spans="1:2" x14ac:dyDescent="0.25">
      <c r="A4836" t="s">
        <v>18069</v>
      </c>
      <c r="B4836" t="s">
        <v>18070</v>
      </c>
    </row>
    <row r="4837" spans="1:2" x14ac:dyDescent="0.25">
      <c r="A4837" t="s">
        <v>18071</v>
      </c>
      <c r="B4837" t="s">
        <v>18072</v>
      </c>
    </row>
    <row r="4838" spans="1:2" x14ac:dyDescent="0.25">
      <c r="A4838" t="s">
        <v>18073</v>
      </c>
      <c r="B4838" t="s">
        <v>18074</v>
      </c>
    </row>
    <row r="4839" spans="1:2" x14ac:dyDescent="0.25">
      <c r="A4839" t="s">
        <v>18075</v>
      </c>
      <c r="B4839" t="s">
        <v>18076</v>
      </c>
    </row>
    <row r="4840" spans="1:2" x14ac:dyDescent="0.25">
      <c r="A4840" t="s">
        <v>18077</v>
      </c>
      <c r="B4840" t="s">
        <v>18078</v>
      </c>
    </row>
    <row r="4841" spans="1:2" x14ac:dyDescent="0.25">
      <c r="A4841" t="s">
        <v>18079</v>
      </c>
      <c r="B4841" t="s">
        <v>18080</v>
      </c>
    </row>
    <row r="4842" spans="1:2" x14ac:dyDescent="0.25">
      <c r="A4842" t="s">
        <v>18081</v>
      </c>
      <c r="B4842" t="s">
        <v>18082</v>
      </c>
    </row>
    <row r="4843" spans="1:2" x14ac:dyDescent="0.25">
      <c r="A4843" t="s">
        <v>18083</v>
      </c>
      <c r="B4843" t="s">
        <v>18084</v>
      </c>
    </row>
    <row r="4844" spans="1:2" x14ac:dyDescent="0.25">
      <c r="A4844" t="s">
        <v>121</v>
      </c>
      <c r="B4844" t="s">
        <v>18085</v>
      </c>
    </row>
    <row r="4845" spans="1:2" x14ac:dyDescent="0.25">
      <c r="A4845" t="s">
        <v>18086</v>
      </c>
      <c r="B4845" t="s">
        <v>18087</v>
      </c>
    </row>
    <row r="4846" spans="1:2" x14ac:dyDescent="0.25">
      <c r="A4846" t="s">
        <v>18088</v>
      </c>
      <c r="B4846" t="s">
        <v>18089</v>
      </c>
    </row>
    <row r="4847" spans="1:2" x14ac:dyDescent="0.25">
      <c r="A4847" t="s">
        <v>18090</v>
      </c>
      <c r="B4847" t="s">
        <v>18091</v>
      </c>
    </row>
    <row r="4848" spans="1:2" x14ac:dyDescent="0.25">
      <c r="A4848" t="s">
        <v>18092</v>
      </c>
      <c r="B4848" t="s">
        <v>18093</v>
      </c>
    </row>
    <row r="4849" spans="1:2" x14ac:dyDescent="0.25">
      <c r="A4849" t="s">
        <v>617</v>
      </c>
      <c r="B4849" t="s">
        <v>18094</v>
      </c>
    </row>
    <row r="4850" spans="1:2" x14ac:dyDescent="0.25">
      <c r="A4850" t="s">
        <v>18095</v>
      </c>
      <c r="B4850" t="s">
        <v>18096</v>
      </c>
    </row>
    <row r="4851" spans="1:2" x14ac:dyDescent="0.25">
      <c r="A4851" t="s">
        <v>122</v>
      </c>
      <c r="B4851" t="s">
        <v>18097</v>
      </c>
    </row>
    <row r="4852" spans="1:2" x14ac:dyDescent="0.25">
      <c r="A4852" t="s">
        <v>18098</v>
      </c>
      <c r="B4852" t="s">
        <v>18099</v>
      </c>
    </row>
    <row r="4853" spans="1:2" x14ac:dyDescent="0.25">
      <c r="A4853" t="s">
        <v>18100</v>
      </c>
      <c r="B4853" t="s">
        <v>18101</v>
      </c>
    </row>
    <row r="4854" spans="1:2" x14ac:dyDescent="0.25">
      <c r="A4854" t="s">
        <v>18102</v>
      </c>
      <c r="B4854" t="s">
        <v>18103</v>
      </c>
    </row>
    <row r="4855" spans="1:2" x14ac:dyDescent="0.25">
      <c r="A4855" t="s">
        <v>18104</v>
      </c>
      <c r="B4855" t="s">
        <v>18105</v>
      </c>
    </row>
    <row r="4856" spans="1:2" x14ac:dyDescent="0.25">
      <c r="A4856" t="s">
        <v>18106</v>
      </c>
      <c r="B4856" t="s">
        <v>18107</v>
      </c>
    </row>
    <row r="4857" spans="1:2" x14ac:dyDescent="0.25">
      <c r="A4857" t="s">
        <v>3589</v>
      </c>
      <c r="B4857" t="s">
        <v>18108</v>
      </c>
    </row>
    <row r="4858" spans="1:2" x14ac:dyDescent="0.25">
      <c r="A4858" t="s">
        <v>18109</v>
      </c>
      <c r="B4858" t="s">
        <v>18110</v>
      </c>
    </row>
    <row r="4859" spans="1:2" x14ac:dyDescent="0.25">
      <c r="A4859" t="s">
        <v>18111</v>
      </c>
      <c r="B4859" t="s">
        <v>18112</v>
      </c>
    </row>
    <row r="4860" spans="1:2" x14ac:dyDescent="0.25">
      <c r="A4860" t="s">
        <v>18113</v>
      </c>
      <c r="B4860" t="s">
        <v>18114</v>
      </c>
    </row>
    <row r="4861" spans="1:2" x14ac:dyDescent="0.25">
      <c r="A4861" t="s">
        <v>18115</v>
      </c>
      <c r="B4861" t="s">
        <v>18116</v>
      </c>
    </row>
    <row r="4862" spans="1:2" x14ac:dyDescent="0.25">
      <c r="A4862" t="s">
        <v>18117</v>
      </c>
      <c r="B4862" t="s">
        <v>18118</v>
      </c>
    </row>
    <row r="4863" spans="1:2" x14ac:dyDescent="0.25">
      <c r="A4863" t="s">
        <v>2698</v>
      </c>
      <c r="B4863" t="s">
        <v>18119</v>
      </c>
    </row>
    <row r="4864" spans="1:2" x14ac:dyDescent="0.25">
      <c r="A4864" t="s">
        <v>18120</v>
      </c>
      <c r="B4864" t="s">
        <v>18121</v>
      </c>
    </row>
    <row r="4865" spans="1:2" x14ac:dyDescent="0.25">
      <c r="A4865" t="s">
        <v>18122</v>
      </c>
      <c r="B4865" t="s">
        <v>18123</v>
      </c>
    </row>
    <row r="4866" spans="1:2" x14ac:dyDescent="0.25">
      <c r="A4866" t="s">
        <v>18124</v>
      </c>
      <c r="B4866" t="s">
        <v>18125</v>
      </c>
    </row>
    <row r="4867" spans="1:2" x14ac:dyDescent="0.25">
      <c r="A4867" t="s">
        <v>18126</v>
      </c>
      <c r="B4867" t="s">
        <v>18127</v>
      </c>
    </row>
    <row r="4868" spans="1:2" x14ac:dyDescent="0.25">
      <c r="A4868" t="s">
        <v>18128</v>
      </c>
      <c r="B4868" t="s">
        <v>18129</v>
      </c>
    </row>
    <row r="4869" spans="1:2" x14ac:dyDescent="0.25">
      <c r="A4869" t="s">
        <v>18130</v>
      </c>
      <c r="B4869" t="s">
        <v>18131</v>
      </c>
    </row>
    <row r="4870" spans="1:2" x14ac:dyDescent="0.25">
      <c r="A4870" t="s">
        <v>18132</v>
      </c>
      <c r="B4870" t="s">
        <v>18133</v>
      </c>
    </row>
    <row r="4871" spans="1:2" x14ac:dyDescent="0.25">
      <c r="A4871" t="s">
        <v>18134</v>
      </c>
      <c r="B4871" t="s">
        <v>18135</v>
      </c>
    </row>
    <row r="4872" spans="1:2" x14ac:dyDescent="0.25">
      <c r="A4872" t="s">
        <v>18136</v>
      </c>
      <c r="B4872" t="s">
        <v>18137</v>
      </c>
    </row>
    <row r="4873" spans="1:2" x14ac:dyDescent="0.25">
      <c r="A4873" t="s">
        <v>18138</v>
      </c>
      <c r="B4873" t="s">
        <v>18139</v>
      </c>
    </row>
    <row r="4874" spans="1:2" x14ac:dyDescent="0.25">
      <c r="A4874" t="s">
        <v>18140</v>
      </c>
      <c r="B4874" t="s">
        <v>18141</v>
      </c>
    </row>
    <row r="4875" spans="1:2" x14ac:dyDescent="0.25">
      <c r="A4875" t="s">
        <v>18142</v>
      </c>
      <c r="B4875" t="s">
        <v>18143</v>
      </c>
    </row>
    <row r="4876" spans="1:2" x14ac:dyDescent="0.25">
      <c r="A4876" t="s">
        <v>18144</v>
      </c>
      <c r="B4876" t="s">
        <v>18145</v>
      </c>
    </row>
    <row r="4877" spans="1:2" x14ac:dyDescent="0.25">
      <c r="A4877" t="s">
        <v>18146</v>
      </c>
      <c r="B4877" t="s">
        <v>18147</v>
      </c>
    </row>
    <row r="4878" spans="1:2" x14ac:dyDescent="0.25">
      <c r="A4878" t="s">
        <v>18148</v>
      </c>
      <c r="B4878" t="s">
        <v>18149</v>
      </c>
    </row>
    <row r="4879" spans="1:2" x14ac:dyDescent="0.25">
      <c r="A4879" t="s">
        <v>18150</v>
      </c>
      <c r="B4879" t="s">
        <v>18151</v>
      </c>
    </row>
    <row r="4880" spans="1:2" x14ac:dyDescent="0.25">
      <c r="A4880" t="s">
        <v>18152</v>
      </c>
      <c r="B4880" t="s">
        <v>18153</v>
      </c>
    </row>
    <row r="4881" spans="1:2" x14ac:dyDescent="0.25">
      <c r="A4881" t="s">
        <v>18154</v>
      </c>
      <c r="B4881" t="s">
        <v>18155</v>
      </c>
    </row>
    <row r="4882" spans="1:2" x14ac:dyDescent="0.25">
      <c r="A4882" t="s">
        <v>18156</v>
      </c>
      <c r="B4882" t="s">
        <v>18157</v>
      </c>
    </row>
    <row r="4883" spans="1:2" x14ac:dyDescent="0.25">
      <c r="A4883" t="s">
        <v>18158</v>
      </c>
      <c r="B4883" t="s">
        <v>18159</v>
      </c>
    </row>
    <row r="4884" spans="1:2" x14ac:dyDescent="0.25">
      <c r="A4884" t="s">
        <v>18160</v>
      </c>
      <c r="B4884" t="s">
        <v>18161</v>
      </c>
    </row>
    <row r="4885" spans="1:2" x14ac:dyDescent="0.25">
      <c r="A4885" t="s">
        <v>18162</v>
      </c>
      <c r="B4885" t="s">
        <v>18163</v>
      </c>
    </row>
    <row r="4886" spans="1:2" x14ac:dyDescent="0.25">
      <c r="A4886" t="s">
        <v>18164</v>
      </c>
      <c r="B4886" t="s">
        <v>18165</v>
      </c>
    </row>
    <row r="4887" spans="1:2" x14ac:dyDescent="0.25">
      <c r="A4887" t="s">
        <v>18166</v>
      </c>
      <c r="B4887" t="s">
        <v>18167</v>
      </c>
    </row>
    <row r="4888" spans="1:2" x14ac:dyDescent="0.25">
      <c r="A4888" t="s">
        <v>18168</v>
      </c>
      <c r="B4888" t="s">
        <v>18169</v>
      </c>
    </row>
    <row r="4889" spans="1:2" x14ac:dyDescent="0.25">
      <c r="A4889" t="s">
        <v>18170</v>
      </c>
      <c r="B4889" t="s">
        <v>18171</v>
      </c>
    </row>
    <row r="4890" spans="1:2" x14ac:dyDescent="0.25">
      <c r="A4890" t="s">
        <v>18172</v>
      </c>
      <c r="B4890" t="s">
        <v>18173</v>
      </c>
    </row>
    <row r="4891" spans="1:2" x14ac:dyDescent="0.25">
      <c r="A4891" t="s">
        <v>18174</v>
      </c>
      <c r="B4891" t="s">
        <v>18175</v>
      </c>
    </row>
    <row r="4892" spans="1:2" x14ac:dyDescent="0.25">
      <c r="A4892" t="s">
        <v>18176</v>
      </c>
      <c r="B4892" t="s">
        <v>18177</v>
      </c>
    </row>
    <row r="4893" spans="1:2" x14ac:dyDescent="0.25">
      <c r="A4893" t="s">
        <v>18178</v>
      </c>
      <c r="B4893" t="s">
        <v>18179</v>
      </c>
    </row>
    <row r="4894" spans="1:2" x14ac:dyDescent="0.25">
      <c r="A4894" t="s">
        <v>18180</v>
      </c>
      <c r="B4894" t="s">
        <v>18181</v>
      </c>
    </row>
    <row r="4895" spans="1:2" x14ac:dyDescent="0.25">
      <c r="A4895" t="s">
        <v>18182</v>
      </c>
      <c r="B4895" t="s">
        <v>18183</v>
      </c>
    </row>
    <row r="4896" spans="1:2" x14ac:dyDescent="0.25">
      <c r="A4896" t="s">
        <v>18184</v>
      </c>
      <c r="B4896" t="s">
        <v>18185</v>
      </c>
    </row>
    <row r="4897" spans="1:2" x14ac:dyDescent="0.25">
      <c r="A4897" t="s">
        <v>18186</v>
      </c>
      <c r="B4897" t="s">
        <v>18187</v>
      </c>
    </row>
    <row r="4898" spans="1:2" x14ac:dyDescent="0.25">
      <c r="A4898" t="s">
        <v>18188</v>
      </c>
      <c r="B4898" t="s">
        <v>18189</v>
      </c>
    </row>
    <row r="4899" spans="1:2" x14ac:dyDescent="0.25">
      <c r="A4899" t="s">
        <v>18190</v>
      </c>
      <c r="B4899" t="s">
        <v>18191</v>
      </c>
    </row>
    <row r="4900" spans="1:2" x14ac:dyDescent="0.25">
      <c r="A4900" t="s">
        <v>18192</v>
      </c>
      <c r="B4900" t="s">
        <v>18193</v>
      </c>
    </row>
    <row r="4901" spans="1:2" x14ac:dyDescent="0.25">
      <c r="A4901" t="s">
        <v>18194</v>
      </c>
      <c r="B4901" t="s">
        <v>18195</v>
      </c>
    </row>
    <row r="4902" spans="1:2" x14ac:dyDescent="0.25">
      <c r="A4902" t="s">
        <v>18196</v>
      </c>
      <c r="B4902" t="s">
        <v>18197</v>
      </c>
    </row>
    <row r="4903" spans="1:2" x14ac:dyDescent="0.25">
      <c r="A4903" t="s">
        <v>18198</v>
      </c>
      <c r="B4903" t="s">
        <v>18199</v>
      </c>
    </row>
    <row r="4904" spans="1:2" x14ac:dyDescent="0.25">
      <c r="A4904" t="s">
        <v>18200</v>
      </c>
      <c r="B4904" t="s">
        <v>18201</v>
      </c>
    </row>
    <row r="4905" spans="1:2" x14ac:dyDescent="0.25">
      <c r="A4905" t="s">
        <v>18202</v>
      </c>
      <c r="B4905" t="s">
        <v>18203</v>
      </c>
    </row>
    <row r="4906" spans="1:2" x14ac:dyDescent="0.25">
      <c r="A4906" t="s">
        <v>18204</v>
      </c>
      <c r="B4906" t="s">
        <v>18205</v>
      </c>
    </row>
    <row r="4907" spans="1:2" x14ac:dyDescent="0.25">
      <c r="A4907" t="s">
        <v>18206</v>
      </c>
      <c r="B4907" t="s">
        <v>18207</v>
      </c>
    </row>
    <row r="4908" spans="1:2" x14ac:dyDescent="0.25">
      <c r="A4908" t="s">
        <v>620</v>
      </c>
      <c r="B4908" t="s">
        <v>18208</v>
      </c>
    </row>
    <row r="4909" spans="1:2" x14ac:dyDescent="0.25">
      <c r="A4909" t="s">
        <v>18209</v>
      </c>
      <c r="B4909" t="s">
        <v>18210</v>
      </c>
    </row>
    <row r="4910" spans="1:2" x14ac:dyDescent="0.25">
      <c r="A4910" t="s">
        <v>123</v>
      </c>
      <c r="B4910" t="s">
        <v>18211</v>
      </c>
    </row>
    <row r="4911" spans="1:2" x14ac:dyDescent="0.25">
      <c r="A4911" t="s">
        <v>18212</v>
      </c>
      <c r="B4911" t="s">
        <v>18213</v>
      </c>
    </row>
    <row r="4912" spans="1:2" x14ac:dyDescent="0.25">
      <c r="A4912" t="s">
        <v>18214</v>
      </c>
      <c r="B4912" t="s">
        <v>18215</v>
      </c>
    </row>
    <row r="4913" spans="1:2" x14ac:dyDescent="0.25">
      <c r="A4913" t="s">
        <v>18216</v>
      </c>
      <c r="B4913" t="s">
        <v>18217</v>
      </c>
    </row>
    <row r="4914" spans="1:2" x14ac:dyDescent="0.25">
      <c r="A4914" t="s">
        <v>18218</v>
      </c>
      <c r="B4914" t="s">
        <v>18219</v>
      </c>
    </row>
    <row r="4915" spans="1:2" x14ac:dyDescent="0.25">
      <c r="A4915" t="s">
        <v>18220</v>
      </c>
      <c r="B4915" t="s">
        <v>18221</v>
      </c>
    </row>
    <row r="4916" spans="1:2" x14ac:dyDescent="0.25">
      <c r="A4916" t="s">
        <v>18222</v>
      </c>
      <c r="B4916" t="s">
        <v>18223</v>
      </c>
    </row>
    <row r="4917" spans="1:2" x14ac:dyDescent="0.25">
      <c r="A4917" t="s">
        <v>18224</v>
      </c>
      <c r="B4917" t="s">
        <v>18225</v>
      </c>
    </row>
    <row r="4918" spans="1:2" x14ac:dyDescent="0.25">
      <c r="A4918" t="s">
        <v>18226</v>
      </c>
      <c r="B4918" t="s">
        <v>18227</v>
      </c>
    </row>
    <row r="4919" spans="1:2" x14ac:dyDescent="0.25">
      <c r="A4919" t="s">
        <v>18228</v>
      </c>
      <c r="B4919" t="s">
        <v>18229</v>
      </c>
    </row>
    <row r="4920" spans="1:2" x14ac:dyDescent="0.25">
      <c r="A4920" t="s">
        <v>18230</v>
      </c>
      <c r="B4920" t="s">
        <v>18231</v>
      </c>
    </row>
    <row r="4921" spans="1:2" x14ac:dyDescent="0.25">
      <c r="A4921" t="s">
        <v>18232</v>
      </c>
      <c r="B4921" t="s">
        <v>18233</v>
      </c>
    </row>
    <row r="4922" spans="1:2" x14ac:dyDescent="0.25">
      <c r="A4922" t="s">
        <v>18234</v>
      </c>
      <c r="B4922" t="s">
        <v>18235</v>
      </c>
    </row>
    <row r="4923" spans="1:2" x14ac:dyDescent="0.25">
      <c r="A4923" t="s">
        <v>18236</v>
      </c>
      <c r="B4923" t="s">
        <v>18237</v>
      </c>
    </row>
    <row r="4924" spans="1:2" x14ac:dyDescent="0.25">
      <c r="A4924" t="s">
        <v>18238</v>
      </c>
      <c r="B4924" t="s">
        <v>18239</v>
      </c>
    </row>
    <row r="4925" spans="1:2" x14ac:dyDescent="0.25">
      <c r="A4925" t="s">
        <v>18240</v>
      </c>
      <c r="B4925" t="s">
        <v>18241</v>
      </c>
    </row>
    <row r="4926" spans="1:2" x14ac:dyDescent="0.25">
      <c r="A4926" t="s">
        <v>18242</v>
      </c>
      <c r="B4926" t="s">
        <v>18243</v>
      </c>
    </row>
    <row r="4927" spans="1:2" x14ac:dyDescent="0.25">
      <c r="A4927" t="s">
        <v>18244</v>
      </c>
      <c r="B4927" t="s">
        <v>18245</v>
      </c>
    </row>
    <row r="4928" spans="1:2" x14ac:dyDescent="0.25">
      <c r="A4928" t="s">
        <v>18246</v>
      </c>
      <c r="B4928" t="s">
        <v>18247</v>
      </c>
    </row>
    <row r="4929" spans="1:2" x14ac:dyDescent="0.25">
      <c r="A4929" t="s">
        <v>18248</v>
      </c>
      <c r="B4929" t="s">
        <v>18249</v>
      </c>
    </row>
    <row r="4930" spans="1:2" x14ac:dyDescent="0.25">
      <c r="A4930" t="s">
        <v>18250</v>
      </c>
      <c r="B4930" t="s">
        <v>18251</v>
      </c>
    </row>
    <row r="4931" spans="1:2" x14ac:dyDescent="0.25">
      <c r="A4931" t="s">
        <v>18252</v>
      </c>
      <c r="B4931" t="s">
        <v>18253</v>
      </c>
    </row>
    <row r="4932" spans="1:2" x14ac:dyDescent="0.25">
      <c r="A4932" t="s">
        <v>18254</v>
      </c>
      <c r="B4932" t="s">
        <v>18255</v>
      </c>
    </row>
    <row r="4933" spans="1:2" x14ac:dyDescent="0.25">
      <c r="A4933" t="s">
        <v>18256</v>
      </c>
      <c r="B4933" t="s">
        <v>18257</v>
      </c>
    </row>
    <row r="4934" spans="1:2" x14ac:dyDescent="0.25">
      <c r="A4934" t="s">
        <v>18258</v>
      </c>
      <c r="B4934" t="s">
        <v>18259</v>
      </c>
    </row>
    <row r="4935" spans="1:2" x14ac:dyDescent="0.25">
      <c r="A4935" t="s">
        <v>18260</v>
      </c>
      <c r="B4935" t="s">
        <v>18261</v>
      </c>
    </row>
    <row r="4936" spans="1:2" x14ac:dyDescent="0.25">
      <c r="A4936" t="s">
        <v>18262</v>
      </c>
      <c r="B4936" t="s">
        <v>18263</v>
      </c>
    </row>
    <row r="4937" spans="1:2" x14ac:dyDescent="0.25">
      <c r="A4937" t="s">
        <v>18264</v>
      </c>
      <c r="B4937" t="s">
        <v>18265</v>
      </c>
    </row>
    <row r="4938" spans="1:2" x14ac:dyDescent="0.25">
      <c r="A4938" t="s">
        <v>18266</v>
      </c>
      <c r="B4938" t="s">
        <v>18267</v>
      </c>
    </row>
    <row r="4939" spans="1:2" x14ac:dyDescent="0.25">
      <c r="A4939" t="s">
        <v>18268</v>
      </c>
      <c r="B4939" t="s">
        <v>18269</v>
      </c>
    </row>
    <row r="4940" spans="1:2" x14ac:dyDescent="0.25">
      <c r="A4940" t="s">
        <v>18270</v>
      </c>
      <c r="B4940" t="s">
        <v>18271</v>
      </c>
    </row>
    <row r="4941" spans="1:2" x14ac:dyDescent="0.25">
      <c r="A4941" t="s">
        <v>18272</v>
      </c>
      <c r="B4941" t="s">
        <v>18273</v>
      </c>
    </row>
    <row r="4942" spans="1:2" x14ac:dyDescent="0.25">
      <c r="A4942" t="s">
        <v>18274</v>
      </c>
      <c r="B4942" t="s">
        <v>18275</v>
      </c>
    </row>
    <row r="4943" spans="1:2" x14ac:dyDescent="0.25">
      <c r="A4943" t="s">
        <v>18276</v>
      </c>
      <c r="B4943" t="s">
        <v>18277</v>
      </c>
    </row>
    <row r="4944" spans="1:2" x14ac:dyDescent="0.25">
      <c r="A4944" t="s">
        <v>18278</v>
      </c>
      <c r="B4944" t="s">
        <v>18279</v>
      </c>
    </row>
    <row r="4945" spans="1:2" x14ac:dyDescent="0.25">
      <c r="A4945" t="s">
        <v>18280</v>
      </c>
      <c r="B4945" t="s">
        <v>18281</v>
      </c>
    </row>
    <row r="4946" spans="1:2" x14ac:dyDescent="0.25">
      <c r="A4946" t="s">
        <v>18282</v>
      </c>
      <c r="B4946" t="s">
        <v>18283</v>
      </c>
    </row>
    <row r="4947" spans="1:2" x14ac:dyDescent="0.25">
      <c r="A4947" t="s">
        <v>18284</v>
      </c>
      <c r="B4947" t="s">
        <v>18285</v>
      </c>
    </row>
    <row r="4948" spans="1:2" x14ac:dyDescent="0.25">
      <c r="A4948" t="s">
        <v>18286</v>
      </c>
      <c r="B4948" t="s">
        <v>18287</v>
      </c>
    </row>
    <row r="4949" spans="1:2" x14ac:dyDescent="0.25">
      <c r="A4949" t="s">
        <v>18288</v>
      </c>
      <c r="B4949" t="s">
        <v>18289</v>
      </c>
    </row>
    <row r="4950" spans="1:2" x14ac:dyDescent="0.25">
      <c r="A4950" t="s">
        <v>18290</v>
      </c>
      <c r="B4950" t="s">
        <v>18291</v>
      </c>
    </row>
    <row r="4951" spans="1:2" x14ac:dyDescent="0.25">
      <c r="A4951" t="s">
        <v>18292</v>
      </c>
      <c r="B4951" t="s">
        <v>18293</v>
      </c>
    </row>
    <row r="4952" spans="1:2" x14ac:dyDescent="0.25">
      <c r="A4952" t="s">
        <v>18294</v>
      </c>
      <c r="B4952" t="s">
        <v>18295</v>
      </c>
    </row>
    <row r="4953" spans="1:2" x14ac:dyDescent="0.25">
      <c r="A4953" t="s">
        <v>18296</v>
      </c>
      <c r="B4953" t="s">
        <v>18297</v>
      </c>
    </row>
    <row r="4954" spans="1:2" x14ac:dyDescent="0.25">
      <c r="A4954" t="s">
        <v>18298</v>
      </c>
      <c r="B4954" t="s">
        <v>18299</v>
      </c>
    </row>
    <row r="4955" spans="1:2" x14ac:dyDescent="0.25">
      <c r="A4955" t="s">
        <v>2486</v>
      </c>
      <c r="B4955" t="s">
        <v>18300</v>
      </c>
    </row>
    <row r="4956" spans="1:2" x14ac:dyDescent="0.25">
      <c r="A4956" t="s">
        <v>18301</v>
      </c>
      <c r="B4956" t="s">
        <v>18302</v>
      </c>
    </row>
    <row r="4957" spans="1:2" x14ac:dyDescent="0.25">
      <c r="A4957" t="s">
        <v>18303</v>
      </c>
      <c r="B4957" t="s">
        <v>18304</v>
      </c>
    </row>
    <row r="4958" spans="1:2" x14ac:dyDescent="0.25">
      <c r="A4958" t="s">
        <v>18305</v>
      </c>
      <c r="B4958" t="s">
        <v>18306</v>
      </c>
    </row>
    <row r="4959" spans="1:2" x14ac:dyDescent="0.25">
      <c r="A4959" t="s">
        <v>18307</v>
      </c>
      <c r="B4959" t="s">
        <v>18308</v>
      </c>
    </row>
    <row r="4960" spans="1:2" x14ac:dyDescent="0.25">
      <c r="A4960" t="s">
        <v>124</v>
      </c>
      <c r="B4960" t="s">
        <v>18309</v>
      </c>
    </row>
    <row r="4961" spans="1:2" x14ac:dyDescent="0.25">
      <c r="A4961" t="s">
        <v>18310</v>
      </c>
      <c r="B4961" t="s">
        <v>18311</v>
      </c>
    </row>
    <row r="4962" spans="1:2" x14ac:dyDescent="0.25">
      <c r="A4962" t="s">
        <v>18312</v>
      </c>
      <c r="B4962" t="s">
        <v>18313</v>
      </c>
    </row>
    <row r="4963" spans="1:2" x14ac:dyDescent="0.25">
      <c r="A4963" t="s">
        <v>18314</v>
      </c>
      <c r="B4963" t="s">
        <v>18315</v>
      </c>
    </row>
    <row r="4964" spans="1:2" x14ac:dyDescent="0.25">
      <c r="A4964" t="s">
        <v>125</v>
      </c>
      <c r="B4964" t="s">
        <v>18316</v>
      </c>
    </row>
    <row r="4965" spans="1:2" x14ac:dyDescent="0.25">
      <c r="A4965" t="s">
        <v>18317</v>
      </c>
      <c r="B4965" t="s">
        <v>18318</v>
      </c>
    </row>
    <row r="4966" spans="1:2" x14ac:dyDescent="0.25">
      <c r="A4966" t="s">
        <v>126</v>
      </c>
      <c r="B4966" t="s">
        <v>18319</v>
      </c>
    </row>
    <row r="4967" spans="1:2" x14ac:dyDescent="0.25">
      <c r="A4967" t="s">
        <v>18320</v>
      </c>
      <c r="B4967" t="s">
        <v>18321</v>
      </c>
    </row>
    <row r="4968" spans="1:2" x14ac:dyDescent="0.25">
      <c r="A4968" t="s">
        <v>18322</v>
      </c>
      <c r="B4968" t="s">
        <v>18323</v>
      </c>
    </row>
    <row r="4969" spans="1:2" x14ac:dyDescent="0.25">
      <c r="A4969" t="s">
        <v>18324</v>
      </c>
      <c r="B4969" t="s">
        <v>18325</v>
      </c>
    </row>
    <row r="4970" spans="1:2" x14ac:dyDescent="0.25">
      <c r="A4970" t="s">
        <v>967</v>
      </c>
      <c r="B4970" t="s">
        <v>18326</v>
      </c>
    </row>
    <row r="4971" spans="1:2" x14ac:dyDescent="0.25">
      <c r="A4971" t="s">
        <v>18327</v>
      </c>
      <c r="B4971" t="s">
        <v>18328</v>
      </c>
    </row>
    <row r="4972" spans="1:2" x14ac:dyDescent="0.25">
      <c r="A4972" t="s">
        <v>18329</v>
      </c>
      <c r="B4972" t="s">
        <v>18330</v>
      </c>
    </row>
    <row r="4973" spans="1:2" x14ac:dyDescent="0.25">
      <c r="A4973" t="s">
        <v>18331</v>
      </c>
      <c r="B4973" t="s">
        <v>18332</v>
      </c>
    </row>
    <row r="4974" spans="1:2" x14ac:dyDescent="0.25">
      <c r="A4974" t="s">
        <v>18333</v>
      </c>
      <c r="B4974" t="s">
        <v>18334</v>
      </c>
    </row>
    <row r="4975" spans="1:2" x14ac:dyDescent="0.25">
      <c r="A4975" t="s">
        <v>18335</v>
      </c>
      <c r="B4975" t="s">
        <v>18336</v>
      </c>
    </row>
    <row r="4976" spans="1:2" x14ac:dyDescent="0.25">
      <c r="A4976" t="s">
        <v>18337</v>
      </c>
      <c r="B4976" t="s">
        <v>18338</v>
      </c>
    </row>
    <row r="4977" spans="1:2" x14ac:dyDescent="0.25">
      <c r="A4977" t="s">
        <v>626</v>
      </c>
      <c r="B4977" t="s">
        <v>18339</v>
      </c>
    </row>
    <row r="4978" spans="1:2" x14ac:dyDescent="0.25">
      <c r="A4978" t="s">
        <v>18340</v>
      </c>
      <c r="B4978" t="s">
        <v>18341</v>
      </c>
    </row>
    <row r="4979" spans="1:2" x14ac:dyDescent="0.25">
      <c r="A4979" t="s">
        <v>2493</v>
      </c>
      <c r="B4979" t="s">
        <v>18342</v>
      </c>
    </row>
    <row r="4980" spans="1:2" x14ac:dyDescent="0.25">
      <c r="A4980" t="s">
        <v>18343</v>
      </c>
      <c r="B4980" t="s">
        <v>18344</v>
      </c>
    </row>
    <row r="4981" spans="1:2" x14ac:dyDescent="0.25">
      <c r="A4981" t="s">
        <v>18345</v>
      </c>
      <c r="B4981" t="s">
        <v>18346</v>
      </c>
    </row>
    <row r="4982" spans="1:2" x14ac:dyDescent="0.25">
      <c r="A4982" t="s">
        <v>18347</v>
      </c>
      <c r="B4982" t="s">
        <v>18348</v>
      </c>
    </row>
    <row r="4983" spans="1:2" x14ac:dyDescent="0.25">
      <c r="A4983" t="s">
        <v>18349</v>
      </c>
      <c r="B4983" t="s">
        <v>18350</v>
      </c>
    </row>
    <row r="4984" spans="1:2" x14ac:dyDescent="0.25">
      <c r="A4984" t="s">
        <v>18351</v>
      </c>
      <c r="B4984" t="s">
        <v>18352</v>
      </c>
    </row>
    <row r="4985" spans="1:2" x14ac:dyDescent="0.25">
      <c r="A4985" t="s">
        <v>1863</v>
      </c>
      <c r="B4985" t="s">
        <v>18353</v>
      </c>
    </row>
    <row r="4986" spans="1:2" x14ac:dyDescent="0.25">
      <c r="A4986" t="s">
        <v>18354</v>
      </c>
      <c r="B4986" t="s">
        <v>18355</v>
      </c>
    </row>
    <row r="4987" spans="1:2" x14ac:dyDescent="0.25">
      <c r="A4987" t="s">
        <v>18356</v>
      </c>
      <c r="B4987" t="s">
        <v>18357</v>
      </c>
    </row>
    <row r="4988" spans="1:2" x14ac:dyDescent="0.25">
      <c r="A4988" t="s">
        <v>18358</v>
      </c>
      <c r="B4988" t="s">
        <v>18359</v>
      </c>
    </row>
    <row r="4989" spans="1:2" x14ac:dyDescent="0.25">
      <c r="A4989" t="s">
        <v>18360</v>
      </c>
      <c r="B4989" t="s">
        <v>18361</v>
      </c>
    </row>
    <row r="4990" spans="1:2" x14ac:dyDescent="0.25">
      <c r="A4990" t="s">
        <v>18362</v>
      </c>
      <c r="B4990" t="s">
        <v>18363</v>
      </c>
    </row>
    <row r="4991" spans="1:2" x14ac:dyDescent="0.25">
      <c r="A4991" t="s">
        <v>18364</v>
      </c>
      <c r="B4991" t="s">
        <v>18365</v>
      </c>
    </row>
    <row r="4992" spans="1:2" x14ac:dyDescent="0.25">
      <c r="A4992" t="s">
        <v>18366</v>
      </c>
      <c r="B4992" t="s">
        <v>18367</v>
      </c>
    </row>
    <row r="4993" spans="1:2" x14ac:dyDescent="0.25">
      <c r="A4993" t="s">
        <v>380</v>
      </c>
      <c r="B4993" t="s">
        <v>18368</v>
      </c>
    </row>
    <row r="4994" spans="1:2" x14ac:dyDescent="0.25">
      <c r="A4994" t="s">
        <v>628</v>
      </c>
      <c r="B4994" t="s">
        <v>18369</v>
      </c>
    </row>
    <row r="4995" spans="1:2" x14ac:dyDescent="0.25">
      <c r="A4995" t="s">
        <v>18370</v>
      </c>
      <c r="B4995" t="s">
        <v>18371</v>
      </c>
    </row>
    <row r="4996" spans="1:2" x14ac:dyDescent="0.25">
      <c r="A4996" t="s">
        <v>18372</v>
      </c>
      <c r="B4996" t="s">
        <v>18373</v>
      </c>
    </row>
    <row r="4997" spans="1:2" x14ac:dyDescent="0.25">
      <c r="A4997" t="s">
        <v>18374</v>
      </c>
      <c r="B4997" t="s">
        <v>18375</v>
      </c>
    </row>
    <row r="4998" spans="1:2" x14ac:dyDescent="0.25">
      <c r="A4998" t="s">
        <v>18376</v>
      </c>
      <c r="B4998" t="s">
        <v>18377</v>
      </c>
    </row>
    <row r="4999" spans="1:2" x14ac:dyDescent="0.25">
      <c r="A4999" t="s">
        <v>900</v>
      </c>
      <c r="B4999" t="s">
        <v>18378</v>
      </c>
    </row>
    <row r="5000" spans="1:2" x14ac:dyDescent="0.25">
      <c r="A5000" t="s">
        <v>18379</v>
      </c>
      <c r="B5000" t="s">
        <v>18380</v>
      </c>
    </row>
    <row r="5001" spans="1:2" x14ac:dyDescent="0.25">
      <c r="A5001" t="s">
        <v>18381</v>
      </c>
      <c r="B5001" t="s">
        <v>18382</v>
      </c>
    </row>
    <row r="5002" spans="1:2" x14ac:dyDescent="0.25">
      <c r="A5002" t="s">
        <v>18383</v>
      </c>
      <c r="B5002" t="s">
        <v>18384</v>
      </c>
    </row>
    <row r="5003" spans="1:2" x14ac:dyDescent="0.25">
      <c r="A5003" t="s">
        <v>18385</v>
      </c>
      <c r="B5003" t="s">
        <v>18386</v>
      </c>
    </row>
    <row r="5004" spans="1:2" x14ac:dyDescent="0.25">
      <c r="A5004" t="s">
        <v>18387</v>
      </c>
      <c r="B5004" t="s">
        <v>18388</v>
      </c>
    </row>
    <row r="5005" spans="1:2" x14ac:dyDescent="0.25">
      <c r="A5005" t="s">
        <v>18389</v>
      </c>
      <c r="B5005" t="s">
        <v>18390</v>
      </c>
    </row>
    <row r="5006" spans="1:2" x14ac:dyDescent="0.25">
      <c r="A5006" t="s">
        <v>18391</v>
      </c>
      <c r="B5006" t="s">
        <v>18392</v>
      </c>
    </row>
    <row r="5007" spans="1:2" x14ac:dyDescent="0.25">
      <c r="A5007" t="s">
        <v>18393</v>
      </c>
      <c r="B5007" t="s">
        <v>18394</v>
      </c>
    </row>
    <row r="5008" spans="1:2" x14ac:dyDescent="0.25">
      <c r="A5008" t="s">
        <v>18395</v>
      </c>
      <c r="B5008" t="s">
        <v>18396</v>
      </c>
    </row>
    <row r="5009" spans="1:2" x14ac:dyDescent="0.25">
      <c r="A5009" t="s">
        <v>18397</v>
      </c>
      <c r="B5009" t="s">
        <v>18398</v>
      </c>
    </row>
    <row r="5010" spans="1:2" x14ac:dyDescent="0.25">
      <c r="A5010" t="s">
        <v>18399</v>
      </c>
      <c r="B5010" t="s">
        <v>18400</v>
      </c>
    </row>
    <row r="5011" spans="1:2" x14ac:dyDescent="0.25">
      <c r="A5011" t="s">
        <v>18401</v>
      </c>
      <c r="B5011" t="s">
        <v>18402</v>
      </c>
    </row>
    <row r="5012" spans="1:2" x14ac:dyDescent="0.25">
      <c r="A5012" t="s">
        <v>18403</v>
      </c>
      <c r="B5012" t="s">
        <v>18404</v>
      </c>
    </row>
    <row r="5013" spans="1:2" x14ac:dyDescent="0.25">
      <c r="A5013" t="s">
        <v>18405</v>
      </c>
      <c r="B5013" t="s">
        <v>18406</v>
      </c>
    </row>
    <row r="5014" spans="1:2" x14ac:dyDescent="0.25">
      <c r="A5014" t="s">
        <v>18407</v>
      </c>
      <c r="B5014" t="s">
        <v>18408</v>
      </c>
    </row>
    <row r="5015" spans="1:2" x14ac:dyDescent="0.25">
      <c r="A5015" t="s">
        <v>18409</v>
      </c>
      <c r="B5015" t="s">
        <v>18410</v>
      </c>
    </row>
    <row r="5016" spans="1:2" x14ac:dyDescent="0.25">
      <c r="A5016" t="s">
        <v>630</v>
      </c>
      <c r="B5016" t="s">
        <v>18411</v>
      </c>
    </row>
    <row r="5017" spans="1:2" x14ac:dyDescent="0.25">
      <c r="A5017" t="s">
        <v>18412</v>
      </c>
      <c r="B5017" t="s">
        <v>18413</v>
      </c>
    </row>
    <row r="5018" spans="1:2" x14ac:dyDescent="0.25">
      <c r="A5018" t="s">
        <v>18414</v>
      </c>
      <c r="B5018" t="s">
        <v>18415</v>
      </c>
    </row>
    <row r="5019" spans="1:2" x14ac:dyDescent="0.25">
      <c r="A5019" t="s">
        <v>18416</v>
      </c>
      <c r="B5019" t="s">
        <v>18417</v>
      </c>
    </row>
    <row r="5020" spans="1:2" x14ac:dyDescent="0.25">
      <c r="A5020" t="s">
        <v>18418</v>
      </c>
      <c r="B5020" t="s">
        <v>18419</v>
      </c>
    </row>
    <row r="5021" spans="1:2" x14ac:dyDescent="0.25">
      <c r="A5021" t="s">
        <v>18420</v>
      </c>
      <c r="B5021" t="s">
        <v>18421</v>
      </c>
    </row>
    <row r="5022" spans="1:2" x14ac:dyDescent="0.25">
      <c r="A5022" t="s">
        <v>18422</v>
      </c>
      <c r="B5022" t="s">
        <v>18423</v>
      </c>
    </row>
    <row r="5023" spans="1:2" x14ac:dyDescent="0.25">
      <c r="A5023" t="s">
        <v>18424</v>
      </c>
      <c r="B5023" t="s">
        <v>18425</v>
      </c>
    </row>
    <row r="5024" spans="1:2" x14ac:dyDescent="0.25">
      <c r="A5024" t="s">
        <v>18426</v>
      </c>
      <c r="B5024" t="s">
        <v>18427</v>
      </c>
    </row>
    <row r="5025" spans="1:2" x14ac:dyDescent="0.25">
      <c r="A5025" t="s">
        <v>127</v>
      </c>
      <c r="B5025" t="s">
        <v>18428</v>
      </c>
    </row>
    <row r="5026" spans="1:2" x14ac:dyDescent="0.25">
      <c r="A5026" t="s">
        <v>18429</v>
      </c>
      <c r="B5026" t="s">
        <v>18430</v>
      </c>
    </row>
    <row r="5027" spans="1:2" x14ac:dyDescent="0.25">
      <c r="A5027" t="s">
        <v>18431</v>
      </c>
      <c r="B5027" t="s">
        <v>18432</v>
      </c>
    </row>
    <row r="5028" spans="1:2" x14ac:dyDescent="0.25">
      <c r="A5028" t="s">
        <v>18433</v>
      </c>
      <c r="B5028" t="s">
        <v>18434</v>
      </c>
    </row>
    <row r="5029" spans="1:2" x14ac:dyDescent="0.25">
      <c r="A5029" t="s">
        <v>18435</v>
      </c>
      <c r="B5029" t="s">
        <v>18436</v>
      </c>
    </row>
    <row r="5030" spans="1:2" x14ac:dyDescent="0.25">
      <c r="A5030" t="s">
        <v>18437</v>
      </c>
      <c r="B5030" t="s">
        <v>18438</v>
      </c>
    </row>
    <row r="5031" spans="1:2" x14ac:dyDescent="0.25">
      <c r="A5031" t="s">
        <v>18439</v>
      </c>
      <c r="B5031" t="s">
        <v>18440</v>
      </c>
    </row>
    <row r="5032" spans="1:2" x14ac:dyDescent="0.25">
      <c r="A5032" t="s">
        <v>18441</v>
      </c>
      <c r="B5032" t="s">
        <v>18442</v>
      </c>
    </row>
    <row r="5033" spans="1:2" x14ac:dyDescent="0.25">
      <c r="A5033" t="s">
        <v>128</v>
      </c>
      <c r="B5033" t="s">
        <v>18443</v>
      </c>
    </row>
    <row r="5034" spans="1:2" x14ac:dyDescent="0.25">
      <c r="A5034" t="s">
        <v>18444</v>
      </c>
      <c r="B5034" t="s">
        <v>18445</v>
      </c>
    </row>
    <row r="5035" spans="1:2" x14ac:dyDescent="0.25">
      <c r="A5035" t="s">
        <v>18446</v>
      </c>
      <c r="B5035" t="s">
        <v>18447</v>
      </c>
    </row>
    <row r="5036" spans="1:2" x14ac:dyDescent="0.25">
      <c r="A5036" t="s">
        <v>18448</v>
      </c>
      <c r="B5036" t="s">
        <v>18449</v>
      </c>
    </row>
    <row r="5037" spans="1:2" x14ac:dyDescent="0.25">
      <c r="A5037" t="s">
        <v>18450</v>
      </c>
      <c r="B5037" t="s">
        <v>18451</v>
      </c>
    </row>
    <row r="5038" spans="1:2" x14ac:dyDescent="0.25">
      <c r="A5038" t="s">
        <v>18452</v>
      </c>
      <c r="B5038" t="s">
        <v>18453</v>
      </c>
    </row>
    <row r="5039" spans="1:2" x14ac:dyDescent="0.25">
      <c r="A5039" t="s">
        <v>18454</v>
      </c>
      <c r="B5039" t="s">
        <v>18455</v>
      </c>
    </row>
    <row r="5040" spans="1:2" x14ac:dyDescent="0.25">
      <c r="A5040" t="s">
        <v>18456</v>
      </c>
      <c r="B5040" t="s">
        <v>18457</v>
      </c>
    </row>
    <row r="5041" spans="1:2" x14ac:dyDescent="0.25">
      <c r="A5041" t="s">
        <v>18458</v>
      </c>
      <c r="B5041" t="s">
        <v>18459</v>
      </c>
    </row>
    <row r="5042" spans="1:2" x14ac:dyDescent="0.25">
      <c r="A5042" t="s">
        <v>18460</v>
      </c>
      <c r="B5042" t="s">
        <v>18461</v>
      </c>
    </row>
    <row r="5043" spans="1:2" x14ac:dyDescent="0.25">
      <c r="A5043" t="s">
        <v>18462</v>
      </c>
      <c r="B5043" t="s">
        <v>18463</v>
      </c>
    </row>
    <row r="5044" spans="1:2" x14ac:dyDescent="0.25">
      <c r="A5044" t="s">
        <v>18464</v>
      </c>
      <c r="B5044" t="s">
        <v>18465</v>
      </c>
    </row>
    <row r="5045" spans="1:2" x14ac:dyDescent="0.25">
      <c r="A5045" t="s">
        <v>18466</v>
      </c>
      <c r="B5045" t="s">
        <v>18467</v>
      </c>
    </row>
    <row r="5046" spans="1:2" x14ac:dyDescent="0.25">
      <c r="A5046" t="s">
        <v>18468</v>
      </c>
      <c r="B5046" t="s">
        <v>18469</v>
      </c>
    </row>
    <row r="5047" spans="1:2" x14ac:dyDescent="0.25">
      <c r="A5047" t="s">
        <v>191</v>
      </c>
      <c r="B5047" t="s">
        <v>18470</v>
      </c>
    </row>
    <row r="5048" spans="1:2" x14ac:dyDescent="0.25">
      <c r="A5048" t="s">
        <v>18471</v>
      </c>
      <c r="B5048" t="s">
        <v>18472</v>
      </c>
    </row>
    <row r="5049" spans="1:2" x14ac:dyDescent="0.25">
      <c r="A5049" t="s">
        <v>18473</v>
      </c>
      <c r="B5049" t="s">
        <v>18474</v>
      </c>
    </row>
    <row r="5050" spans="1:2" x14ac:dyDescent="0.25">
      <c r="A5050" t="s">
        <v>18475</v>
      </c>
      <c r="B5050" t="s">
        <v>18476</v>
      </c>
    </row>
    <row r="5051" spans="1:2" x14ac:dyDescent="0.25">
      <c r="A5051" t="s">
        <v>18477</v>
      </c>
      <c r="B5051" t="s">
        <v>18478</v>
      </c>
    </row>
    <row r="5052" spans="1:2" x14ac:dyDescent="0.25">
      <c r="A5052" t="s">
        <v>18479</v>
      </c>
      <c r="B5052" t="s">
        <v>18480</v>
      </c>
    </row>
    <row r="5053" spans="1:2" x14ac:dyDescent="0.25">
      <c r="A5053" t="s">
        <v>18481</v>
      </c>
      <c r="B5053" t="s">
        <v>18482</v>
      </c>
    </row>
    <row r="5054" spans="1:2" x14ac:dyDescent="0.25">
      <c r="A5054" t="s">
        <v>18483</v>
      </c>
      <c r="B5054" t="s">
        <v>18484</v>
      </c>
    </row>
    <row r="5055" spans="1:2" x14ac:dyDescent="0.25">
      <c r="A5055" t="s">
        <v>18485</v>
      </c>
      <c r="B5055" t="s">
        <v>18486</v>
      </c>
    </row>
    <row r="5056" spans="1:2" x14ac:dyDescent="0.25">
      <c r="A5056" t="s">
        <v>18487</v>
      </c>
      <c r="B5056" t="s">
        <v>18488</v>
      </c>
    </row>
    <row r="5057" spans="1:2" x14ac:dyDescent="0.25">
      <c r="A5057" t="s">
        <v>130</v>
      </c>
      <c r="B5057" t="s">
        <v>18489</v>
      </c>
    </row>
    <row r="5058" spans="1:2" x14ac:dyDescent="0.25">
      <c r="A5058" t="s">
        <v>18490</v>
      </c>
      <c r="B5058" t="s">
        <v>18491</v>
      </c>
    </row>
    <row r="5059" spans="1:2" x14ac:dyDescent="0.25">
      <c r="A5059" t="s">
        <v>18492</v>
      </c>
      <c r="B5059" t="s">
        <v>18493</v>
      </c>
    </row>
    <row r="5060" spans="1:2" x14ac:dyDescent="0.25">
      <c r="A5060" t="s">
        <v>18494</v>
      </c>
      <c r="B5060" t="s">
        <v>18495</v>
      </c>
    </row>
    <row r="5061" spans="1:2" x14ac:dyDescent="0.25">
      <c r="A5061" t="s">
        <v>18496</v>
      </c>
      <c r="B5061" t="s">
        <v>18497</v>
      </c>
    </row>
    <row r="5062" spans="1:2" x14ac:dyDescent="0.25">
      <c r="A5062" t="s">
        <v>18498</v>
      </c>
      <c r="B5062" t="s">
        <v>18499</v>
      </c>
    </row>
    <row r="5063" spans="1:2" x14ac:dyDescent="0.25">
      <c r="A5063" t="s">
        <v>18500</v>
      </c>
      <c r="B5063" t="s">
        <v>18501</v>
      </c>
    </row>
    <row r="5064" spans="1:2" x14ac:dyDescent="0.25">
      <c r="A5064" t="s">
        <v>18502</v>
      </c>
      <c r="B5064" t="s">
        <v>18503</v>
      </c>
    </row>
    <row r="5065" spans="1:2" x14ac:dyDescent="0.25">
      <c r="A5065" t="s">
        <v>18504</v>
      </c>
      <c r="B5065" t="s">
        <v>18505</v>
      </c>
    </row>
    <row r="5066" spans="1:2" x14ac:dyDescent="0.25">
      <c r="A5066" t="s">
        <v>18506</v>
      </c>
      <c r="B5066" t="s">
        <v>18507</v>
      </c>
    </row>
    <row r="5067" spans="1:2" x14ac:dyDescent="0.25">
      <c r="A5067" t="s">
        <v>18508</v>
      </c>
      <c r="B5067" t="s">
        <v>18509</v>
      </c>
    </row>
    <row r="5068" spans="1:2" x14ac:dyDescent="0.25">
      <c r="A5068" t="s">
        <v>18510</v>
      </c>
      <c r="B5068" t="s">
        <v>18511</v>
      </c>
    </row>
    <row r="5069" spans="1:2" x14ac:dyDescent="0.25">
      <c r="A5069" t="s">
        <v>634</v>
      </c>
      <c r="B5069" t="s">
        <v>18512</v>
      </c>
    </row>
    <row r="5070" spans="1:2" x14ac:dyDescent="0.25">
      <c r="A5070" t="s">
        <v>18513</v>
      </c>
      <c r="B5070" t="s">
        <v>18514</v>
      </c>
    </row>
    <row r="5071" spans="1:2" x14ac:dyDescent="0.25">
      <c r="A5071" t="s">
        <v>18515</v>
      </c>
      <c r="B5071" t="s">
        <v>18516</v>
      </c>
    </row>
    <row r="5072" spans="1:2" x14ac:dyDescent="0.25">
      <c r="A5072" t="s">
        <v>18517</v>
      </c>
      <c r="B5072" t="s">
        <v>18518</v>
      </c>
    </row>
    <row r="5073" spans="1:2" x14ac:dyDescent="0.25">
      <c r="A5073" t="s">
        <v>18519</v>
      </c>
      <c r="B5073" t="s">
        <v>18520</v>
      </c>
    </row>
    <row r="5074" spans="1:2" x14ac:dyDescent="0.25">
      <c r="A5074" t="s">
        <v>18521</v>
      </c>
      <c r="B5074" t="s">
        <v>18522</v>
      </c>
    </row>
    <row r="5075" spans="1:2" x14ac:dyDescent="0.25">
      <c r="A5075" t="s">
        <v>18523</v>
      </c>
      <c r="B5075" t="s">
        <v>18524</v>
      </c>
    </row>
    <row r="5076" spans="1:2" x14ac:dyDescent="0.25">
      <c r="A5076" t="s">
        <v>18525</v>
      </c>
      <c r="B5076" t="s">
        <v>18526</v>
      </c>
    </row>
    <row r="5077" spans="1:2" x14ac:dyDescent="0.25">
      <c r="A5077" t="s">
        <v>18527</v>
      </c>
      <c r="B5077" t="s">
        <v>18528</v>
      </c>
    </row>
    <row r="5078" spans="1:2" x14ac:dyDescent="0.25">
      <c r="A5078" t="s">
        <v>18529</v>
      </c>
      <c r="B5078" t="s">
        <v>18530</v>
      </c>
    </row>
    <row r="5079" spans="1:2" x14ac:dyDescent="0.25">
      <c r="A5079" t="s">
        <v>904</v>
      </c>
      <c r="B5079" t="s">
        <v>18531</v>
      </c>
    </row>
    <row r="5080" spans="1:2" x14ac:dyDescent="0.25">
      <c r="A5080" t="s">
        <v>18532</v>
      </c>
      <c r="B5080" t="s">
        <v>18533</v>
      </c>
    </row>
    <row r="5081" spans="1:2" x14ac:dyDescent="0.25">
      <c r="A5081" t="s">
        <v>18534</v>
      </c>
      <c r="B5081" t="s">
        <v>18535</v>
      </c>
    </row>
    <row r="5082" spans="1:2" x14ac:dyDescent="0.25">
      <c r="A5082" t="s">
        <v>18536</v>
      </c>
      <c r="B5082" t="s">
        <v>18537</v>
      </c>
    </row>
    <row r="5083" spans="1:2" x14ac:dyDescent="0.25">
      <c r="A5083" t="s">
        <v>18538</v>
      </c>
      <c r="B5083" t="s">
        <v>18539</v>
      </c>
    </row>
    <row r="5084" spans="1:2" x14ac:dyDescent="0.25">
      <c r="A5084" t="s">
        <v>18540</v>
      </c>
      <c r="B5084" t="s">
        <v>18541</v>
      </c>
    </row>
    <row r="5085" spans="1:2" x14ac:dyDescent="0.25">
      <c r="A5085" t="s">
        <v>18542</v>
      </c>
      <c r="B5085" t="s">
        <v>18543</v>
      </c>
    </row>
    <row r="5086" spans="1:2" x14ac:dyDescent="0.25">
      <c r="A5086" t="s">
        <v>18544</v>
      </c>
      <c r="B5086" t="s">
        <v>18545</v>
      </c>
    </row>
    <row r="5087" spans="1:2" x14ac:dyDescent="0.25">
      <c r="A5087" t="s">
        <v>3916</v>
      </c>
      <c r="B5087" t="s">
        <v>18546</v>
      </c>
    </row>
    <row r="5088" spans="1:2" x14ac:dyDescent="0.25">
      <c r="A5088" t="s">
        <v>18547</v>
      </c>
      <c r="B5088" t="s">
        <v>18548</v>
      </c>
    </row>
    <row r="5089" spans="1:2" x14ac:dyDescent="0.25">
      <c r="A5089" t="s">
        <v>18549</v>
      </c>
      <c r="B5089" t="s">
        <v>18550</v>
      </c>
    </row>
    <row r="5090" spans="1:2" x14ac:dyDescent="0.25">
      <c r="A5090" t="s">
        <v>18551</v>
      </c>
      <c r="B5090" t="s">
        <v>18552</v>
      </c>
    </row>
    <row r="5091" spans="1:2" x14ac:dyDescent="0.25">
      <c r="A5091" t="s">
        <v>18553</v>
      </c>
      <c r="B5091" t="s">
        <v>18554</v>
      </c>
    </row>
    <row r="5092" spans="1:2" x14ac:dyDescent="0.25">
      <c r="A5092" t="s">
        <v>18555</v>
      </c>
      <c r="B5092" t="s">
        <v>18556</v>
      </c>
    </row>
    <row r="5093" spans="1:2" x14ac:dyDescent="0.25">
      <c r="A5093" t="s">
        <v>18557</v>
      </c>
      <c r="B5093" t="s">
        <v>18558</v>
      </c>
    </row>
    <row r="5094" spans="1:2" x14ac:dyDescent="0.25">
      <c r="A5094" t="s">
        <v>18559</v>
      </c>
      <c r="B5094" t="s">
        <v>18560</v>
      </c>
    </row>
    <row r="5095" spans="1:2" x14ac:dyDescent="0.25">
      <c r="A5095" t="s">
        <v>18561</v>
      </c>
      <c r="B5095" t="s">
        <v>18562</v>
      </c>
    </row>
    <row r="5096" spans="1:2" x14ac:dyDescent="0.25">
      <c r="A5096" t="s">
        <v>18563</v>
      </c>
      <c r="B5096" t="s">
        <v>18564</v>
      </c>
    </row>
    <row r="5097" spans="1:2" x14ac:dyDescent="0.25">
      <c r="A5097" t="s">
        <v>2500</v>
      </c>
      <c r="B5097" t="s">
        <v>18565</v>
      </c>
    </row>
    <row r="5098" spans="1:2" x14ac:dyDescent="0.25">
      <c r="A5098" t="s">
        <v>18566</v>
      </c>
      <c r="B5098" t="s">
        <v>18567</v>
      </c>
    </row>
    <row r="5099" spans="1:2" x14ac:dyDescent="0.25">
      <c r="A5099" t="s">
        <v>636</v>
      </c>
      <c r="B5099" t="s">
        <v>18568</v>
      </c>
    </row>
    <row r="5100" spans="1:2" x14ac:dyDescent="0.25">
      <c r="A5100" t="s">
        <v>18569</v>
      </c>
      <c r="B5100" t="s">
        <v>18570</v>
      </c>
    </row>
    <row r="5101" spans="1:2" x14ac:dyDescent="0.25">
      <c r="A5101" t="s">
        <v>18571</v>
      </c>
      <c r="B5101" t="s">
        <v>18572</v>
      </c>
    </row>
    <row r="5102" spans="1:2" x14ac:dyDescent="0.25">
      <c r="A5102" t="s">
        <v>18573</v>
      </c>
      <c r="B5102" t="s">
        <v>18574</v>
      </c>
    </row>
    <row r="5103" spans="1:2" x14ac:dyDescent="0.25">
      <c r="A5103" t="s">
        <v>18575</v>
      </c>
      <c r="B5103" t="s">
        <v>18576</v>
      </c>
    </row>
    <row r="5104" spans="1:2" x14ac:dyDescent="0.25">
      <c r="A5104" t="s">
        <v>18577</v>
      </c>
      <c r="B5104" t="s">
        <v>18578</v>
      </c>
    </row>
    <row r="5105" spans="1:2" x14ac:dyDescent="0.25">
      <c r="A5105" t="s">
        <v>18579</v>
      </c>
      <c r="B5105" t="s">
        <v>18580</v>
      </c>
    </row>
    <row r="5106" spans="1:2" x14ac:dyDescent="0.25">
      <c r="A5106" t="s">
        <v>18581</v>
      </c>
      <c r="B5106" t="s">
        <v>18582</v>
      </c>
    </row>
    <row r="5107" spans="1:2" x14ac:dyDescent="0.25">
      <c r="A5107" t="s">
        <v>18583</v>
      </c>
      <c r="B5107" t="s">
        <v>18584</v>
      </c>
    </row>
    <row r="5108" spans="1:2" x14ac:dyDescent="0.25">
      <c r="A5108" t="s">
        <v>18585</v>
      </c>
      <c r="B5108" t="s">
        <v>18586</v>
      </c>
    </row>
    <row r="5109" spans="1:2" x14ac:dyDescent="0.25">
      <c r="A5109" t="s">
        <v>18587</v>
      </c>
      <c r="B5109" t="s">
        <v>18588</v>
      </c>
    </row>
    <row r="5110" spans="1:2" x14ac:dyDescent="0.25">
      <c r="A5110" t="s">
        <v>18589</v>
      </c>
      <c r="B5110" t="s">
        <v>18590</v>
      </c>
    </row>
    <row r="5111" spans="1:2" x14ac:dyDescent="0.25">
      <c r="A5111" t="s">
        <v>18591</v>
      </c>
      <c r="B5111" t="s">
        <v>18592</v>
      </c>
    </row>
    <row r="5112" spans="1:2" x14ac:dyDescent="0.25">
      <c r="A5112" t="s">
        <v>18593</v>
      </c>
      <c r="B5112" t="s">
        <v>18594</v>
      </c>
    </row>
    <row r="5113" spans="1:2" x14ac:dyDescent="0.25">
      <c r="A5113" t="s">
        <v>18595</v>
      </c>
      <c r="B5113" t="s">
        <v>18596</v>
      </c>
    </row>
    <row r="5114" spans="1:2" x14ac:dyDescent="0.25">
      <c r="A5114" t="s">
        <v>4390</v>
      </c>
      <c r="B5114" t="s">
        <v>18597</v>
      </c>
    </row>
    <row r="5115" spans="1:2" x14ac:dyDescent="0.25">
      <c r="A5115" t="s">
        <v>18598</v>
      </c>
      <c r="B5115" t="s">
        <v>18599</v>
      </c>
    </row>
    <row r="5116" spans="1:2" x14ac:dyDescent="0.25">
      <c r="A5116" t="s">
        <v>18600</v>
      </c>
      <c r="B5116" t="s">
        <v>18601</v>
      </c>
    </row>
    <row r="5117" spans="1:2" x14ac:dyDescent="0.25">
      <c r="A5117" t="s">
        <v>131</v>
      </c>
      <c r="B5117" t="s">
        <v>18602</v>
      </c>
    </row>
    <row r="5118" spans="1:2" x14ac:dyDescent="0.25">
      <c r="A5118" t="s">
        <v>132</v>
      </c>
      <c r="B5118" t="s">
        <v>18603</v>
      </c>
    </row>
    <row r="5119" spans="1:2" x14ac:dyDescent="0.25">
      <c r="A5119" t="s">
        <v>18604</v>
      </c>
      <c r="B5119" t="s">
        <v>18605</v>
      </c>
    </row>
    <row r="5120" spans="1:2" x14ac:dyDescent="0.25">
      <c r="A5120" t="s">
        <v>18606</v>
      </c>
      <c r="B5120" t="s">
        <v>18607</v>
      </c>
    </row>
    <row r="5121" spans="1:2" x14ac:dyDescent="0.25">
      <c r="A5121" t="s">
        <v>18608</v>
      </c>
      <c r="B5121" t="s">
        <v>18609</v>
      </c>
    </row>
    <row r="5122" spans="1:2" x14ac:dyDescent="0.25">
      <c r="A5122" t="s">
        <v>18610</v>
      </c>
      <c r="B5122" t="s">
        <v>18611</v>
      </c>
    </row>
    <row r="5123" spans="1:2" x14ac:dyDescent="0.25">
      <c r="A5123" t="s">
        <v>18612</v>
      </c>
      <c r="B5123" t="s">
        <v>18613</v>
      </c>
    </row>
    <row r="5124" spans="1:2" x14ac:dyDescent="0.25">
      <c r="A5124" t="s">
        <v>133</v>
      </c>
      <c r="B5124" t="s">
        <v>18614</v>
      </c>
    </row>
    <row r="5125" spans="1:2" x14ac:dyDescent="0.25">
      <c r="A5125" t="s">
        <v>18615</v>
      </c>
      <c r="B5125" t="s">
        <v>18616</v>
      </c>
    </row>
    <row r="5126" spans="1:2" x14ac:dyDescent="0.25">
      <c r="A5126" t="s">
        <v>18617</v>
      </c>
      <c r="B5126" t="s">
        <v>18618</v>
      </c>
    </row>
    <row r="5127" spans="1:2" x14ac:dyDescent="0.25">
      <c r="A5127" t="s">
        <v>18619</v>
      </c>
      <c r="B5127" t="s">
        <v>18620</v>
      </c>
    </row>
    <row r="5128" spans="1:2" x14ac:dyDescent="0.25">
      <c r="A5128" t="s">
        <v>2715</v>
      </c>
      <c r="B5128" t="s">
        <v>18621</v>
      </c>
    </row>
    <row r="5129" spans="1:2" x14ac:dyDescent="0.25">
      <c r="A5129" t="s">
        <v>134</v>
      </c>
      <c r="B5129" t="s">
        <v>18622</v>
      </c>
    </row>
    <row r="5130" spans="1:2" x14ac:dyDescent="0.25">
      <c r="A5130" t="s">
        <v>18623</v>
      </c>
      <c r="B5130" t="s">
        <v>18624</v>
      </c>
    </row>
    <row r="5131" spans="1:2" x14ac:dyDescent="0.25">
      <c r="A5131" t="s">
        <v>18625</v>
      </c>
      <c r="B5131" t="s">
        <v>18626</v>
      </c>
    </row>
    <row r="5132" spans="1:2" x14ac:dyDescent="0.25">
      <c r="A5132" t="s">
        <v>18627</v>
      </c>
      <c r="B5132" t="s">
        <v>18628</v>
      </c>
    </row>
    <row r="5133" spans="1:2" x14ac:dyDescent="0.25">
      <c r="A5133" t="s">
        <v>18629</v>
      </c>
      <c r="B5133" t="s">
        <v>18630</v>
      </c>
    </row>
    <row r="5134" spans="1:2" x14ac:dyDescent="0.25">
      <c r="A5134" t="s">
        <v>18631</v>
      </c>
      <c r="B5134" t="s">
        <v>18632</v>
      </c>
    </row>
    <row r="5135" spans="1:2" x14ac:dyDescent="0.25">
      <c r="A5135" t="s">
        <v>18633</v>
      </c>
      <c r="B5135" t="s">
        <v>18634</v>
      </c>
    </row>
    <row r="5136" spans="1:2" x14ac:dyDescent="0.25">
      <c r="A5136" t="s">
        <v>18635</v>
      </c>
      <c r="B5136" t="s">
        <v>18636</v>
      </c>
    </row>
    <row r="5137" spans="1:2" x14ac:dyDescent="0.25">
      <c r="A5137" t="s">
        <v>18637</v>
      </c>
      <c r="B5137" t="s">
        <v>18638</v>
      </c>
    </row>
    <row r="5138" spans="1:2" x14ac:dyDescent="0.25">
      <c r="A5138" t="s">
        <v>18639</v>
      </c>
      <c r="B5138" t="s">
        <v>18640</v>
      </c>
    </row>
    <row r="5139" spans="1:2" x14ac:dyDescent="0.25">
      <c r="A5139" t="s">
        <v>18641</v>
      </c>
      <c r="B5139" t="s">
        <v>18642</v>
      </c>
    </row>
    <row r="5140" spans="1:2" x14ac:dyDescent="0.25">
      <c r="A5140" t="s">
        <v>18643</v>
      </c>
      <c r="B5140" t="s">
        <v>18644</v>
      </c>
    </row>
    <row r="5141" spans="1:2" x14ac:dyDescent="0.25">
      <c r="A5141" t="s">
        <v>18645</v>
      </c>
      <c r="B5141" t="s">
        <v>18646</v>
      </c>
    </row>
    <row r="5142" spans="1:2" x14ac:dyDescent="0.25">
      <c r="A5142" t="s">
        <v>18647</v>
      </c>
      <c r="B5142" t="s">
        <v>18648</v>
      </c>
    </row>
    <row r="5143" spans="1:2" x14ac:dyDescent="0.25">
      <c r="A5143" t="s">
        <v>18649</v>
      </c>
      <c r="B5143" t="s">
        <v>18650</v>
      </c>
    </row>
    <row r="5144" spans="1:2" x14ac:dyDescent="0.25">
      <c r="A5144" t="s">
        <v>18651</v>
      </c>
      <c r="B5144" t="s">
        <v>18652</v>
      </c>
    </row>
    <row r="5145" spans="1:2" x14ac:dyDescent="0.25">
      <c r="A5145" t="s">
        <v>18653</v>
      </c>
      <c r="B5145" t="s">
        <v>18654</v>
      </c>
    </row>
    <row r="5146" spans="1:2" x14ac:dyDescent="0.25">
      <c r="A5146" t="s">
        <v>18655</v>
      </c>
      <c r="B5146" t="s">
        <v>18656</v>
      </c>
    </row>
    <row r="5147" spans="1:2" x14ac:dyDescent="0.25">
      <c r="A5147" t="s">
        <v>18657</v>
      </c>
      <c r="B5147" t="s">
        <v>18658</v>
      </c>
    </row>
    <row r="5148" spans="1:2" x14ac:dyDescent="0.25">
      <c r="A5148" t="s">
        <v>18659</v>
      </c>
      <c r="B5148" t="s">
        <v>18660</v>
      </c>
    </row>
    <row r="5149" spans="1:2" x14ac:dyDescent="0.25">
      <c r="A5149" t="s">
        <v>18661</v>
      </c>
      <c r="B5149" t="s">
        <v>18662</v>
      </c>
    </row>
    <row r="5150" spans="1:2" x14ac:dyDescent="0.25">
      <c r="A5150" t="s">
        <v>18663</v>
      </c>
      <c r="B5150" t="s">
        <v>18664</v>
      </c>
    </row>
    <row r="5151" spans="1:2" x14ac:dyDescent="0.25">
      <c r="A5151" t="s">
        <v>18665</v>
      </c>
      <c r="B5151" t="s">
        <v>18666</v>
      </c>
    </row>
    <row r="5152" spans="1:2" x14ac:dyDescent="0.25">
      <c r="A5152" t="s">
        <v>18667</v>
      </c>
      <c r="B5152" t="s">
        <v>18668</v>
      </c>
    </row>
    <row r="5153" spans="1:2" x14ac:dyDescent="0.25">
      <c r="A5153" t="s">
        <v>18669</v>
      </c>
      <c r="B5153" t="s">
        <v>18670</v>
      </c>
    </row>
    <row r="5154" spans="1:2" x14ac:dyDescent="0.25">
      <c r="A5154" t="s">
        <v>18671</v>
      </c>
      <c r="B5154" t="s">
        <v>18672</v>
      </c>
    </row>
    <row r="5155" spans="1:2" x14ac:dyDescent="0.25">
      <c r="A5155" t="s">
        <v>18673</v>
      </c>
      <c r="B5155" t="s">
        <v>18674</v>
      </c>
    </row>
    <row r="5156" spans="1:2" x14ac:dyDescent="0.25">
      <c r="A5156" t="s">
        <v>135</v>
      </c>
      <c r="B5156" t="s">
        <v>18675</v>
      </c>
    </row>
    <row r="5157" spans="1:2" x14ac:dyDescent="0.25">
      <c r="A5157" t="s">
        <v>18676</v>
      </c>
      <c r="B5157" t="s">
        <v>18677</v>
      </c>
    </row>
    <row r="5158" spans="1:2" x14ac:dyDescent="0.25">
      <c r="A5158" t="s">
        <v>18678</v>
      </c>
      <c r="B5158" t="s">
        <v>18679</v>
      </c>
    </row>
    <row r="5159" spans="1:2" x14ac:dyDescent="0.25">
      <c r="A5159" t="s">
        <v>18680</v>
      </c>
      <c r="B5159" t="s">
        <v>18681</v>
      </c>
    </row>
    <row r="5160" spans="1:2" x14ac:dyDescent="0.25">
      <c r="A5160" t="s">
        <v>18682</v>
      </c>
      <c r="B5160" t="s">
        <v>18683</v>
      </c>
    </row>
    <row r="5161" spans="1:2" x14ac:dyDescent="0.25">
      <c r="A5161" t="s">
        <v>18684</v>
      </c>
      <c r="B5161" t="s">
        <v>18685</v>
      </c>
    </row>
    <row r="5162" spans="1:2" x14ac:dyDescent="0.25">
      <c r="A5162" t="s">
        <v>18686</v>
      </c>
      <c r="B5162" t="s">
        <v>18687</v>
      </c>
    </row>
    <row r="5163" spans="1:2" x14ac:dyDescent="0.25">
      <c r="A5163" t="s">
        <v>18688</v>
      </c>
      <c r="B5163" t="s">
        <v>18689</v>
      </c>
    </row>
    <row r="5164" spans="1:2" x14ac:dyDescent="0.25">
      <c r="A5164" t="s">
        <v>18690</v>
      </c>
      <c r="B5164" t="s">
        <v>18691</v>
      </c>
    </row>
    <row r="5165" spans="1:2" x14ac:dyDescent="0.25">
      <c r="A5165" t="s">
        <v>2505</v>
      </c>
      <c r="B5165" t="s">
        <v>18692</v>
      </c>
    </row>
    <row r="5166" spans="1:2" x14ac:dyDescent="0.25">
      <c r="A5166" t="s">
        <v>18693</v>
      </c>
      <c r="B5166" t="s">
        <v>18694</v>
      </c>
    </row>
    <row r="5167" spans="1:2" x14ac:dyDescent="0.25">
      <c r="A5167" t="s">
        <v>18695</v>
      </c>
      <c r="B5167" t="s">
        <v>18696</v>
      </c>
    </row>
    <row r="5168" spans="1:2" x14ac:dyDescent="0.25">
      <c r="A5168" t="s">
        <v>18697</v>
      </c>
      <c r="B5168" t="s">
        <v>18698</v>
      </c>
    </row>
    <row r="5169" spans="1:2" x14ac:dyDescent="0.25">
      <c r="A5169" t="s">
        <v>18699</v>
      </c>
      <c r="B5169" t="s">
        <v>18700</v>
      </c>
    </row>
    <row r="5170" spans="1:2" x14ac:dyDescent="0.25">
      <c r="A5170" t="s">
        <v>18701</v>
      </c>
      <c r="B5170" t="s">
        <v>18702</v>
      </c>
    </row>
    <row r="5171" spans="1:2" x14ac:dyDescent="0.25">
      <c r="A5171" t="s">
        <v>18703</v>
      </c>
      <c r="B5171" t="s">
        <v>18704</v>
      </c>
    </row>
    <row r="5172" spans="1:2" x14ac:dyDescent="0.25">
      <c r="A5172" t="s">
        <v>18705</v>
      </c>
      <c r="B5172" t="s">
        <v>18706</v>
      </c>
    </row>
    <row r="5173" spans="1:2" x14ac:dyDescent="0.25">
      <c r="A5173" t="s">
        <v>18707</v>
      </c>
      <c r="B5173" t="s">
        <v>18708</v>
      </c>
    </row>
    <row r="5174" spans="1:2" x14ac:dyDescent="0.25">
      <c r="A5174" t="s">
        <v>18709</v>
      </c>
      <c r="B5174" t="s">
        <v>18710</v>
      </c>
    </row>
    <row r="5175" spans="1:2" x14ac:dyDescent="0.25">
      <c r="A5175" t="s">
        <v>18711</v>
      </c>
      <c r="B5175" t="s">
        <v>18712</v>
      </c>
    </row>
    <row r="5176" spans="1:2" x14ac:dyDescent="0.25">
      <c r="A5176" t="s">
        <v>18713</v>
      </c>
      <c r="B5176" t="s">
        <v>18714</v>
      </c>
    </row>
    <row r="5177" spans="1:2" x14ac:dyDescent="0.25">
      <c r="A5177" t="s">
        <v>18715</v>
      </c>
      <c r="B5177" t="s">
        <v>18716</v>
      </c>
    </row>
    <row r="5178" spans="1:2" x14ac:dyDescent="0.25">
      <c r="A5178" t="s">
        <v>18717</v>
      </c>
      <c r="B5178" t="s">
        <v>18718</v>
      </c>
    </row>
    <row r="5179" spans="1:2" x14ac:dyDescent="0.25">
      <c r="A5179" t="s">
        <v>18719</v>
      </c>
      <c r="B5179" t="s">
        <v>18720</v>
      </c>
    </row>
    <row r="5180" spans="1:2" x14ac:dyDescent="0.25">
      <c r="A5180" t="s">
        <v>18721</v>
      </c>
      <c r="B5180" t="s">
        <v>18722</v>
      </c>
    </row>
    <row r="5181" spans="1:2" x14ac:dyDescent="0.25">
      <c r="A5181" t="s">
        <v>137</v>
      </c>
      <c r="B5181" t="s">
        <v>18723</v>
      </c>
    </row>
    <row r="5182" spans="1:2" x14ac:dyDescent="0.25">
      <c r="A5182" t="s">
        <v>18724</v>
      </c>
      <c r="B5182" t="s">
        <v>18725</v>
      </c>
    </row>
    <row r="5183" spans="1:2" x14ac:dyDescent="0.25">
      <c r="A5183" t="s">
        <v>18726</v>
      </c>
      <c r="B5183" t="s">
        <v>18727</v>
      </c>
    </row>
    <row r="5184" spans="1:2" x14ac:dyDescent="0.25">
      <c r="A5184" t="s">
        <v>18728</v>
      </c>
      <c r="B5184" t="s">
        <v>18729</v>
      </c>
    </row>
    <row r="5185" spans="1:2" x14ac:dyDescent="0.25">
      <c r="A5185" t="s">
        <v>18730</v>
      </c>
      <c r="B5185" t="s">
        <v>18731</v>
      </c>
    </row>
    <row r="5186" spans="1:2" x14ac:dyDescent="0.25">
      <c r="A5186" t="s">
        <v>18732</v>
      </c>
      <c r="B5186" t="s">
        <v>18733</v>
      </c>
    </row>
    <row r="5187" spans="1:2" x14ac:dyDescent="0.25">
      <c r="A5187" t="s">
        <v>18734</v>
      </c>
      <c r="B5187" t="s">
        <v>18735</v>
      </c>
    </row>
    <row r="5188" spans="1:2" x14ac:dyDescent="0.25">
      <c r="A5188" t="s">
        <v>18736</v>
      </c>
      <c r="B5188" t="s">
        <v>18737</v>
      </c>
    </row>
    <row r="5189" spans="1:2" x14ac:dyDescent="0.25">
      <c r="A5189" t="s">
        <v>18738</v>
      </c>
      <c r="B5189" t="s">
        <v>18739</v>
      </c>
    </row>
    <row r="5190" spans="1:2" x14ac:dyDescent="0.25">
      <c r="A5190" t="s">
        <v>18740</v>
      </c>
      <c r="B5190" t="s">
        <v>18741</v>
      </c>
    </row>
    <row r="5191" spans="1:2" x14ac:dyDescent="0.25">
      <c r="A5191" t="s">
        <v>18742</v>
      </c>
      <c r="B5191" t="s">
        <v>18743</v>
      </c>
    </row>
    <row r="5192" spans="1:2" x14ac:dyDescent="0.25">
      <c r="A5192" t="s">
        <v>18744</v>
      </c>
      <c r="B5192" t="s">
        <v>18745</v>
      </c>
    </row>
    <row r="5193" spans="1:2" x14ac:dyDescent="0.25">
      <c r="A5193" t="s">
        <v>906</v>
      </c>
      <c r="B5193" t="s">
        <v>18746</v>
      </c>
    </row>
    <row r="5194" spans="1:2" x14ac:dyDescent="0.25">
      <c r="A5194" t="s">
        <v>18747</v>
      </c>
      <c r="B5194" t="s">
        <v>18748</v>
      </c>
    </row>
    <row r="5195" spans="1:2" x14ac:dyDescent="0.25">
      <c r="A5195" t="s">
        <v>18749</v>
      </c>
      <c r="B5195" t="s">
        <v>18750</v>
      </c>
    </row>
    <row r="5196" spans="1:2" x14ac:dyDescent="0.25">
      <c r="A5196" t="s">
        <v>227</v>
      </c>
      <c r="B5196" t="s">
        <v>18751</v>
      </c>
    </row>
    <row r="5197" spans="1:2" x14ac:dyDescent="0.25">
      <c r="A5197" t="s">
        <v>18752</v>
      </c>
      <c r="B5197" t="s">
        <v>18753</v>
      </c>
    </row>
    <row r="5198" spans="1:2" x14ac:dyDescent="0.25">
      <c r="A5198" t="s">
        <v>18754</v>
      </c>
      <c r="B5198" t="s">
        <v>18755</v>
      </c>
    </row>
    <row r="5199" spans="1:2" x14ac:dyDescent="0.25">
      <c r="A5199" t="s">
        <v>18756</v>
      </c>
      <c r="B5199" t="s">
        <v>18757</v>
      </c>
    </row>
    <row r="5200" spans="1:2" x14ac:dyDescent="0.25">
      <c r="A5200" t="s">
        <v>18758</v>
      </c>
      <c r="B5200" t="s">
        <v>18759</v>
      </c>
    </row>
    <row r="5201" spans="1:2" x14ac:dyDescent="0.25">
      <c r="A5201" t="s">
        <v>18760</v>
      </c>
      <c r="B5201" t="s">
        <v>18761</v>
      </c>
    </row>
    <row r="5202" spans="1:2" x14ac:dyDescent="0.25">
      <c r="A5202" t="s">
        <v>18762</v>
      </c>
      <c r="B5202" t="s">
        <v>18763</v>
      </c>
    </row>
    <row r="5203" spans="1:2" x14ac:dyDescent="0.25">
      <c r="A5203" t="s">
        <v>18764</v>
      </c>
      <c r="B5203" t="s">
        <v>18765</v>
      </c>
    </row>
    <row r="5204" spans="1:2" x14ac:dyDescent="0.25">
      <c r="A5204" t="s">
        <v>18766</v>
      </c>
      <c r="B5204" t="s">
        <v>18767</v>
      </c>
    </row>
    <row r="5205" spans="1:2" x14ac:dyDescent="0.25">
      <c r="A5205" t="s">
        <v>18768</v>
      </c>
      <c r="B5205" t="s">
        <v>18769</v>
      </c>
    </row>
    <row r="5206" spans="1:2" x14ac:dyDescent="0.25">
      <c r="A5206" t="s">
        <v>18770</v>
      </c>
      <c r="B5206" t="s">
        <v>18771</v>
      </c>
    </row>
    <row r="5207" spans="1:2" x14ac:dyDescent="0.25">
      <c r="A5207" t="s">
        <v>18772</v>
      </c>
      <c r="B5207" t="s">
        <v>18773</v>
      </c>
    </row>
    <row r="5208" spans="1:2" x14ac:dyDescent="0.25">
      <c r="A5208" t="s">
        <v>18774</v>
      </c>
      <c r="B5208" t="s">
        <v>18775</v>
      </c>
    </row>
    <row r="5209" spans="1:2" x14ac:dyDescent="0.25">
      <c r="A5209" t="s">
        <v>18776</v>
      </c>
      <c r="B5209" t="s">
        <v>18777</v>
      </c>
    </row>
    <row r="5210" spans="1:2" x14ac:dyDescent="0.25">
      <c r="A5210" t="s">
        <v>18778</v>
      </c>
      <c r="B5210" t="s">
        <v>18779</v>
      </c>
    </row>
    <row r="5211" spans="1:2" x14ac:dyDescent="0.25">
      <c r="A5211" t="s">
        <v>18780</v>
      </c>
      <c r="B5211" t="s">
        <v>18781</v>
      </c>
    </row>
    <row r="5212" spans="1:2" x14ac:dyDescent="0.25">
      <c r="A5212" t="s">
        <v>18782</v>
      </c>
      <c r="B5212" t="s">
        <v>18783</v>
      </c>
    </row>
    <row r="5213" spans="1:2" x14ac:dyDescent="0.25">
      <c r="A5213" t="s">
        <v>18784</v>
      </c>
      <c r="B5213" t="s">
        <v>18785</v>
      </c>
    </row>
    <row r="5214" spans="1:2" x14ac:dyDescent="0.25">
      <c r="A5214" t="s">
        <v>18786</v>
      </c>
      <c r="B5214" t="s">
        <v>18787</v>
      </c>
    </row>
    <row r="5215" spans="1:2" x14ac:dyDescent="0.25">
      <c r="A5215" t="s">
        <v>18788</v>
      </c>
      <c r="B5215" t="s">
        <v>18789</v>
      </c>
    </row>
    <row r="5216" spans="1:2" x14ac:dyDescent="0.25">
      <c r="A5216" t="s">
        <v>18790</v>
      </c>
      <c r="B5216" t="s">
        <v>18791</v>
      </c>
    </row>
    <row r="5217" spans="1:2" x14ac:dyDescent="0.25">
      <c r="A5217" t="s">
        <v>18792</v>
      </c>
      <c r="B5217" t="s">
        <v>18793</v>
      </c>
    </row>
    <row r="5218" spans="1:2" x14ac:dyDescent="0.25">
      <c r="A5218" t="s">
        <v>18794</v>
      </c>
      <c r="B5218" t="s">
        <v>18795</v>
      </c>
    </row>
    <row r="5219" spans="1:2" x14ac:dyDescent="0.25">
      <c r="A5219" t="s">
        <v>18796</v>
      </c>
      <c r="B5219" t="s">
        <v>18797</v>
      </c>
    </row>
    <row r="5220" spans="1:2" x14ac:dyDescent="0.25">
      <c r="A5220" t="s">
        <v>18798</v>
      </c>
      <c r="B5220" t="s">
        <v>18799</v>
      </c>
    </row>
    <row r="5221" spans="1:2" x14ac:dyDescent="0.25">
      <c r="A5221" t="s">
        <v>18800</v>
      </c>
      <c r="B5221" t="s">
        <v>18801</v>
      </c>
    </row>
    <row r="5222" spans="1:2" x14ac:dyDescent="0.25">
      <c r="A5222" t="s">
        <v>18802</v>
      </c>
      <c r="B5222" t="s">
        <v>18803</v>
      </c>
    </row>
    <row r="5223" spans="1:2" x14ac:dyDescent="0.25">
      <c r="A5223" t="s">
        <v>18804</v>
      </c>
      <c r="B5223" t="s">
        <v>18805</v>
      </c>
    </row>
    <row r="5224" spans="1:2" x14ac:dyDescent="0.25">
      <c r="A5224" t="s">
        <v>18806</v>
      </c>
      <c r="B5224" t="s">
        <v>18807</v>
      </c>
    </row>
    <row r="5225" spans="1:2" x14ac:dyDescent="0.25">
      <c r="A5225" t="s">
        <v>18808</v>
      </c>
      <c r="B5225" t="s">
        <v>18809</v>
      </c>
    </row>
    <row r="5226" spans="1:2" x14ac:dyDescent="0.25">
      <c r="A5226" t="s">
        <v>18810</v>
      </c>
      <c r="B5226" t="s">
        <v>18811</v>
      </c>
    </row>
    <row r="5227" spans="1:2" x14ac:dyDescent="0.25">
      <c r="A5227" t="s">
        <v>18812</v>
      </c>
      <c r="B5227" t="s">
        <v>18813</v>
      </c>
    </row>
    <row r="5228" spans="1:2" x14ac:dyDescent="0.25">
      <c r="A5228" t="s">
        <v>18814</v>
      </c>
      <c r="B5228" t="s">
        <v>18815</v>
      </c>
    </row>
    <row r="5229" spans="1:2" x14ac:dyDescent="0.25">
      <c r="A5229" t="s">
        <v>18816</v>
      </c>
      <c r="B5229" t="s">
        <v>18817</v>
      </c>
    </row>
    <row r="5230" spans="1:2" x14ac:dyDescent="0.25">
      <c r="A5230" t="s">
        <v>18818</v>
      </c>
      <c r="B5230" t="s">
        <v>18819</v>
      </c>
    </row>
    <row r="5231" spans="1:2" x14ac:dyDescent="0.25">
      <c r="A5231" t="s">
        <v>18820</v>
      </c>
      <c r="B5231" t="s">
        <v>18821</v>
      </c>
    </row>
    <row r="5232" spans="1:2" x14ac:dyDescent="0.25">
      <c r="A5232" t="s">
        <v>18822</v>
      </c>
      <c r="B5232" t="s">
        <v>18823</v>
      </c>
    </row>
    <row r="5233" spans="1:2" x14ac:dyDescent="0.25">
      <c r="A5233" t="s">
        <v>18824</v>
      </c>
      <c r="B5233" t="s">
        <v>18825</v>
      </c>
    </row>
    <row r="5234" spans="1:2" x14ac:dyDescent="0.25">
      <c r="A5234" t="s">
        <v>18826</v>
      </c>
      <c r="B5234" t="s">
        <v>18827</v>
      </c>
    </row>
    <row r="5235" spans="1:2" x14ac:dyDescent="0.25">
      <c r="A5235" t="s">
        <v>18828</v>
      </c>
      <c r="B5235" t="s">
        <v>18829</v>
      </c>
    </row>
    <row r="5236" spans="1:2" x14ac:dyDescent="0.25">
      <c r="A5236" t="s">
        <v>18830</v>
      </c>
      <c r="B5236" t="s">
        <v>18831</v>
      </c>
    </row>
    <row r="5237" spans="1:2" x14ac:dyDescent="0.25">
      <c r="A5237" t="s">
        <v>18832</v>
      </c>
      <c r="B5237" t="s">
        <v>18833</v>
      </c>
    </row>
    <row r="5238" spans="1:2" x14ac:dyDescent="0.25">
      <c r="A5238" t="s">
        <v>18834</v>
      </c>
      <c r="B5238" t="s">
        <v>18835</v>
      </c>
    </row>
    <row r="5239" spans="1:2" x14ac:dyDescent="0.25">
      <c r="A5239" t="s">
        <v>909</v>
      </c>
      <c r="B5239" t="s">
        <v>18836</v>
      </c>
    </row>
    <row r="5240" spans="1:2" x14ac:dyDescent="0.25">
      <c r="A5240" t="s">
        <v>18837</v>
      </c>
      <c r="B5240" t="s">
        <v>18838</v>
      </c>
    </row>
    <row r="5241" spans="1:2" x14ac:dyDescent="0.25">
      <c r="A5241" t="s">
        <v>18839</v>
      </c>
      <c r="B5241" t="s">
        <v>18840</v>
      </c>
    </row>
    <row r="5242" spans="1:2" x14ac:dyDescent="0.25">
      <c r="A5242" t="s">
        <v>3592</v>
      </c>
      <c r="B5242" t="s">
        <v>18841</v>
      </c>
    </row>
    <row r="5243" spans="1:2" x14ac:dyDescent="0.25">
      <c r="A5243" t="s">
        <v>18842</v>
      </c>
      <c r="B5243" t="s">
        <v>18843</v>
      </c>
    </row>
    <row r="5244" spans="1:2" x14ac:dyDescent="0.25">
      <c r="A5244" t="s">
        <v>18844</v>
      </c>
      <c r="B5244" t="s">
        <v>18845</v>
      </c>
    </row>
    <row r="5245" spans="1:2" x14ac:dyDescent="0.25">
      <c r="A5245" t="s">
        <v>18846</v>
      </c>
      <c r="B5245" t="s">
        <v>18847</v>
      </c>
    </row>
    <row r="5246" spans="1:2" x14ac:dyDescent="0.25">
      <c r="A5246" t="s">
        <v>2722</v>
      </c>
      <c r="B5246" t="s">
        <v>18848</v>
      </c>
    </row>
    <row r="5247" spans="1:2" x14ac:dyDescent="0.25">
      <c r="A5247" t="s">
        <v>18849</v>
      </c>
      <c r="B5247" t="s">
        <v>18850</v>
      </c>
    </row>
    <row r="5248" spans="1:2" x14ac:dyDescent="0.25">
      <c r="A5248" t="s">
        <v>18851</v>
      </c>
      <c r="B5248" t="s">
        <v>18852</v>
      </c>
    </row>
    <row r="5249" spans="1:2" x14ac:dyDescent="0.25">
      <c r="A5249" t="s">
        <v>18853</v>
      </c>
      <c r="B5249" t="s">
        <v>18854</v>
      </c>
    </row>
    <row r="5250" spans="1:2" x14ac:dyDescent="0.25">
      <c r="A5250" t="s">
        <v>18855</v>
      </c>
      <c r="B5250" t="s">
        <v>18856</v>
      </c>
    </row>
    <row r="5251" spans="1:2" x14ac:dyDescent="0.25">
      <c r="A5251" t="s">
        <v>18857</v>
      </c>
      <c r="B5251" t="s">
        <v>18858</v>
      </c>
    </row>
    <row r="5252" spans="1:2" x14ac:dyDescent="0.25">
      <c r="A5252" t="s">
        <v>18859</v>
      </c>
      <c r="B5252" t="s">
        <v>18860</v>
      </c>
    </row>
    <row r="5253" spans="1:2" x14ac:dyDescent="0.25">
      <c r="A5253" t="s">
        <v>18861</v>
      </c>
      <c r="B5253" t="s">
        <v>18862</v>
      </c>
    </row>
    <row r="5254" spans="1:2" x14ac:dyDescent="0.25">
      <c r="A5254" t="s">
        <v>18863</v>
      </c>
      <c r="B5254" t="s">
        <v>18864</v>
      </c>
    </row>
    <row r="5255" spans="1:2" x14ac:dyDescent="0.25">
      <c r="A5255" t="s">
        <v>18865</v>
      </c>
      <c r="B5255" t="s">
        <v>18866</v>
      </c>
    </row>
    <row r="5256" spans="1:2" x14ac:dyDescent="0.25">
      <c r="A5256" t="s">
        <v>18867</v>
      </c>
      <c r="B5256" t="s">
        <v>18868</v>
      </c>
    </row>
    <row r="5257" spans="1:2" x14ac:dyDescent="0.25">
      <c r="A5257" t="s">
        <v>18869</v>
      </c>
      <c r="B5257" t="s">
        <v>18870</v>
      </c>
    </row>
    <row r="5258" spans="1:2" x14ac:dyDescent="0.25">
      <c r="A5258" t="s">
        <v>18871</v>
      </c>
      <c r="B5258" t="s">
        <v>18872</v>
      </c>
    </row>
    <row r="5259" spans="1:2" x14ac:dyDescent="0.25">
      <c r="A5259" t="s">
        <v>18873</v>
      </c>
      <c r="B5259" t="s">
        <v>18874</v>
      </c>
    </row>
    <row r="5260" spans="1:2" x14ac:dyDescent="0.25">
      <c r="A5260" t="s">
        <v>18875</v>
      </c>
      <c r="B5260" t="s">
        <v>18876</v>
      </c>
    </row>
    <row r="5261" spans="1:2" x14ac:dyDescent="0.25">
      <c r="A5261" t="s">
        <v>18877</v>
      </c>
      <c r="B5261" t="s">
        <v>18878</v>
      </c>
    </row>
    <row r="5262" spans="1:2" x14ac:dyDescent="0.25">
      <c r="A5262" t="s">
        <v>18879</v>
      </c>
      <c r="B5262" t="s">
        <v>18880</v>
      </c>
    </row>
    <row r="5263" spans="1:2" x14ac:dyDescent="0.25">
      <c r="A5263" t="s">
        <v>18881</v>
      </c>
      <c r="B5263" t="s">
        <v>18882</v>
      </c>
    </row>
    <row r="5264" spans="1:2" x14ac:dyDescent="0.25">
      <c r="A5264" t="s">
        <v>18883</v>
      </c>
      <c r="B5264" t="s">
        <v>18884</v>
      </c>
    </row>
    <row r="5265" spans="1:2" x14ac:dyDescent="0.25">
      <c r="A5265" t="s">
        <v>18885</v>
      </c>
      <c r="B5265" t="s">
        <v>18886</v>
      </c>
    </row>
    <row r="5266" spans="1:2" x14ac:dyDescent="0.25">
      <c r="A5266" t="s">
        <v>18887</v>
      </c>
      <c r="B5266" t="s">
        <v>18888</v>
      </c>
    </row>
    <row r="5267" spans="1:2" x14ac:dyDescent="0.25">
      <c r="A5267" t="s">
        <v>18889</v>
      </c>
      <c r="B5267" t="s">
        <v>18890</v>
      </c>
    </row>
    <row r="5268" spans="1:2" x14ac:dyDescent="0.25">
      <c r="A5268" t="s">
        <v>18891</v>
      </c>
      <c r="B5268" t="s">
        <v>18892</v>
      </c>
    </row>
    <row r="5269" spans="1:2" x14ac:dyDescent="0.25">
      <c r="A5269" t="s">
        <v>18893</v>
      </c>
      <c r="B5269" t="s">
        <v>18894</v>
      </c>
    </row>
    <row r="5270" spans="1:2" x14ac:dyDescent="0.25">
      <c r="A5270" t="s">
        <v>18895</v>
      </c>
      <c r="B5270" t="s">
        <v>18896</v>
      </c>
    </row>
    <row r="5271" spans="1:2" x14ac:dyDescent="0.25">
      <c r="A5271" t="s">
        <v>18897</v>
      </c>
      <c r="B5271" t="s">
        <v>18898</v>
      </c>
    </row>
    <row r="5272" spans="1:2" x14ac:dyDescent="0.25">
      <c r="A5272" t="s">
        <v>138</v>
      </c>
      <c r="B5272" t="s">
        <v>18899</v>
      </c>
    </row>
    <row r="5273" spans="1:2" x14ac:dyDescent="0.25">
      <c r="A5273" t="s">
        <v>18900</v>
      </c>
      <c r="B5273" t="s">
        <v>18901</v>
      </c>
    </row>
    <row r="5274" spans="1:2" x14ac:dyDescent="0.25">
      <c r="A5274" t="s">
        <v>18902</v>
      </c>
      <c r="B5274" t="s">
        <v>18903</v>
      </c>
    </row>
    <row r="5275" spans="1:2" x14ac:dyDescent="0.25">
      <c r="A5275" t="s">
        <v>18904</v>
      </c>
      <c r="B5275" t="s">
        <v>18905</v>
      </c>
    </row>
    <row r="5276" spans="1:2" x14ac:dyDescent="0.25">
      <c r="A5276" t="s">
        <v>18906</v>
      </c>
      <c r="B5276" t="s">
        <v>18907</v>
      </c>
    </row>
    <row r="5277" spans="1:2" x14ac:dyDescent="0.25">
      <c r="A5277" t="s">
        <v>18908</v>
      </c>
      <c r="B5277" t="s">
        <v>18909</v>
      </c>
    </row>
    <row r="5278" spans="1:2" x14ac:dyDescent="0.25">
      <c r="A5278" t="s">
        <v>18910</v>
      </c>
      <c r="B5278" t="s">
        <v>18911</v>
      </c>
    </row>
    <row r="5279" spans="1:2" x14ac:dyDescent="0.25">
      <c r="A5279" t="s">
        <v>18912</v>
      </c>
      <c r="B5279" t="s">
        <v>18913</v>
      </c>
    </row>
    <row r="5280" spans="1:2" x14ac:dyDescent="0.25">
      <c r="A5280" t="s">
        <v>18914</v>
      </c>
      <c r="B5280" t="s">
        <v>18915</v>
      </c>
    </row>
    <row r="5281" spans="1:2" x14ac:dyDescent="0.25">
      <c r="A5281" t="s">
        <v>18916</v>
      </c>
      <c r="B5281" t="s">
        <v>18917</v>
      </c>
    </row>
    <row r="5282" spans="1:2" x14ac:dyDescent="0.25">
      <c r="A5282" t="s">
        <v>18918</v>
      </c>
      <c r="B5282" t="s">
        <v>18919</v>
      </c>
    </row>
    <row r="5283" spans="1:2" x14ac:dyDescent="0.25">
      <c r="A5283" t="s">
        <v>18920</v>
      </c>
      <c r="B5283" t="s">
        <v>18921</v>
      </c>
    </row>
    <row r="5284" spans="1:2" x14ac:dyDescent="0.25">
      <c r="A5284" t="s">
        <v>18922</v>
      </c>
      <c r="B5284" t="s">
        <v>18923</v>
      </c>
    </row>
    <row r="5285" spans="1:2" x14ac:dyDescent="0.25">
      <c r="A5285" t="s">
        <v>18924</v>
      </c>
      <c r="B5285" t="s">
        <v>18925</v>
      </c>
    </row>
    <row r="5286" spans="1:2" x14ac:dyDescent="0.25">
      <c r="A5286" t="s">
        <v>18926</v>
      </c>
      <c r="B5286" t="s">
        <v>18927</v>
      </c>
    </row>
    <row r="5287" spans="1:2" x14ac:dyDescent="0.25">
      <c r="A5287" t="s">
        <v>18928</v>
      </c>
      <c r="B5287" t="s">
        <v>18929</v>
      </c>
    </row>
    <row r="5288" spans="1:2" x14ac:dyDescent="0.25">
      <c r="A5288" t="s">
        <v>18930</v>
      </c>
      <c r="B5288" t="s">
        <v>18931</v>
      </c>
    </row>
    <row r="5289" spans="1:2" x14ac:dyDescent="0.25">
      <c r="A5289" t="s">
        <v>18932</v>
      </c>
      <c r="B5289" t="s">
        <v>18933</v>
      </c>
    </row>
    <row r="5290" spans="1:2" x14ac:dyDescent="0.25">
      <c r="A5290" t="s">
        <v>18934</v>
      </c>
      <c r="B5290" t="s">
        <v>18935</v>
      </c>
    </row>
    <row r="5291" spans="1:2" x14ac:dyDescent="0.25">
      <c r="A5291" t="s">
        <v>18936</v>
      </c>
      <c r="B5291" t="s">
        <v>18937</v>
      </c>
    </row>
    <row r="5292" spans="1:2" x14ac:dyDescent="0.25">
      <c r="A5292" t="s">
        <v>18938</v>
      </c>
      <c r="B5292" t="s">
        <v>18939</v>
      </c>
    </row>
    <row r="5293" spans="1:2" x14ac:dyDescent="0.25">
      <c r="A5293" t="s">
        <v>18940</v>
      </c>
      <c r="B5293" t="s">
        <v>18941</v>
      </c>
    </row>
    <row r="5294" spans="1:2" x14ac:dyDescent="0.25">
      <c r="A5294" t="s">
        <v>18942</v>
      </c>
      <c r="B5294" t="s">
        <v>18943</v>
      </c>
    </row>
    <row r="5295" spans="1:2" x14ac:dyDescent="0.25">
      <c r="A5295" t="s">
        <v>911</v>
      </c>
      <c r="B5295" t="s">
        <v>18944</v>
      </c>
    </row>
    <row r="5296" spans="1:2" x14ac:dyDescent="0.25">
      <c r="A5296" t="s">
        <v>18945</v>
      </c>
      <c r="B5296" t="s">
        <v>18946</v>
      </c>
    </row>
    <row r="5297" spans="1:2" x14ac:dyDescent="0.25">
      <c r="A5297" t="s">
        <v>18947</v>
      </c>
      <c r="B5297" t="s">
        <v>18948</v>
      </c>
    </row>
    <row r="5298" spans="1:2" x14ac:dyDescent="0.25">
      <c r="A5298" t="s">
        <v>18949</v>
      </c>
      <c r="B5298" t="s">
        <v>18950</v>
      </c>
    </row>
    <row r="5299" spans="1:2" x14ac:dyDescent="0.25">
      <c r="A5299" t="s">
        <v>18951</v>
      </c>
      <c r="B5299" t="s">
        <v>18952</v>
      </c>
    </row>
    <row r="5300" spans="1:2" x14ac:dyDescent="0.25">
      <c r="A5300" t="s">
        <v>139</v>
      </c>
      <c r="B5300" t="s">
        <v>18953</v>
      </c>
    </row>
    <row r="5301" spans="1:2" x14ac:dyDescent="0.25">
      <c r="A5301" t="s">
        <v>18954</v>
      </c>
      <c r="B5301" t="s">
        <v>18955</v>
      </c>
    </row>
    <row r="5302" spans="1:2" x14ac:dyDescent="0.25">
      <c r="A5302" t="s">
        <v>18956</v>
      </c>
      <c r="B5302" t="s">
        <v>18957</v>
      </c>
    </row>
    <row r="5303" spans="1:2" x14ac:dyDescent="0.25">
      <c r="A5303" t="s">
        <v>644</v>
      </c>
      <c r="B5303" t="s">
        <v>18958</v>
      </c>
    </row>
    <row r="5304" spans="1:2" x14ac:dyDescent="0.25">
      <c r="A5304" t="s">
        <v>18959</v>
      </c>
      <c r="B5304" t="s">
        <v>18960</v>
      </c>
    </row>
    <row r="5305" spans="1:2" x14ac:dyDescent="0.25">
      <c r="A5305" t="s">
        <v>18961</v>
      </c>
      <c r="B5305" t="s">
        <v>18962</v>
      </c>
    </row>
    <row r="5306" spans="1:2" x14ac:dyDescent="0.25">
      <c r="A5306" t="s">
        <v>18963</v>
      </c>
      <c r="B5306" t="s">
        <v>18964</v>
      </c>
    </row>
    <row r="5307" spans="1:2" x14ac:dyDescent="0.25">
      <c r="A5307" t="s">
        <v>18965</v>
      </c>
      <c r="B5307" t="s">
        <v>18966</v>
      </c>
    </row>
    <row r="5308" spans="1:2" x14ac:dyDescent="0.25">
      <c r="A5308" t="s">
        <v>18967</v>
      </c>
      <c r="B5308" t="s">
        <v>18968</v>
      </c>
    </row>
    <row r="5309" spans="1:2" x14ac:dyDescent="0.25">
      <c r="A5309" t="s">
        <v>18969</v>
      </c>
      <c r="B5309" t="s">
        <v>18970</v>
      </c>
    </row>
    <row r="5310" spans="1:2" x14ac:dyDescent="0.25">
      <c r="A5310" t="s">
        <v>1413</v>
      </c>
      <c r="B5310" t="s">
        <v>18971</v>
      </c>
    </row>
    <row r="5311" spans="1:2" x14ac:dyDescent="0.25">
      <c r="A5311" t="s">
        <v>140</v>
      </c>
      <c r="B5311" t="s">
        <v>18972</v>
      </c>
    </row>
    <row r="5312" spans="1:2" x14ac:dyDescent="0.25">
      <c r="A5312" t="s">
        <v>18973</v>
      </c>
      <c r="B5312" t="s">
        <v>18974</v>
      </c>
    </row>
    <row r="5313" spans="1:2" x14ac:dyDescent="0.25">
      <c r="A5313" t="s">
        <v>18975</v>
      </c>
      <c r="B5313" t="s">
        <v>18976</v>
      </c>
    </row>
    <row r="5314" spans="1:2" x14ac:dyDescent="0.25">
      <c r="A5314" t="s">
        <v>647</v>
      </c>
      <c r="B5314" t="s">
        <v>18977</v>
      </c>
    </row>
    <row r="5315" spans="1:2" x14ac:dyDescent="0.25">
      <c r="A5315" t="s">
        <v>18978</v>
      </c>
      <c r="B5315" t="s">
        <v>18979</v>
      </c>
    </row>
    <row r="5316" spans="1:2" x14ac:dyDescent="0.25">
      <c r="A5316" t="s">
        <v>18980</v>
      </c>
      <c r="B5316" t="s">
        <v>18981</v>
      </c>
    </row>
    <row r="5317" spans="1:2" x14ac:dyDescent="0.25">
      <c r="A5317" t="s">
        <v>18982</v>
      </c>
      <c r="B5317" t="s">
        <v>18983</v>
      </c>
    </row>
    <row r="5318" spans="1:2" x14ac:dyDescent="0.25">
      <c r="A5318" t="s">
        <v>18984</v>
      </c>
      <c r="B5318" t="s">
        <v>18985</v>
      </c>
    </row>
    <row r="5319" spans="1:2" x14ac:dyDescent="0.25">
      <c r="A5319" t="s">
        <v>18986</v>
      </c>
      <c r="B5319" t="s">
        <v>18987</v>
      </c>
    </row>
    <row r="5320" spans="1:2" x14ac:dyDescent="0.25">
      <c r="A5320" t="s">
        <v>18988</v>
      </c>
      <c r="B5320" t="s">
        <v>18989</v>
      </c>
    </row>
    <row r="5321" spans="1:2" x14ac:dyDescent="0.25">
      <c r="A5321" t="s">
        <v>18990</v>
      </c>
      <c r="B5321" t="s">
        <v>18991</v>
      </c>
    </row>
    <row r="5322" spans="1:2" x14ac:dyDescent="0.25">
      <c r="A5322" t="s">
        <v>18992</v>
      </c>
      <c r="B5322" t="s">
        <v>18993</v>
      </c>
    </row>
    <row r="5323" spans="1:2" x14ac:dyDescent="0.25">
      <c r="A5323" t="s">
        <v>18994</v>
      </c>
      <c r="B5323" t="s">
        <v>18995</v>
      </c>
    </row>
    <row r="5324" spans="1:2" x14ac:dyDescent="0.25">
      <c r="A5324" t="s">
        <v>18996</v>
      </c>
      <c r="B5324" t="s">
        <v>18997</v>
      </c>
    </row>
    <row r="5325" spans="1:2" x14ac:dyDescent="0.25">
      <c r="A5325" t="s">
        <v>18998</v>
      </c>
      <c r="B5325" t="s">
        <v>18999</v>
      </c>
    </row>
    <row r="5326" spans="1:2" x14ac:dyDescent="0.25">
      <c r="A5326" t="s">
        <v>19000</v>
      </c>
      <c r="B5326" t="s">
        <v>19001</v>
      </c>
    </row>
    <row r="5327" spans="1:2" x14ac:dyDescent="0.25">
      <c r="A5327" t="s">
        <v>2512</v>
      </c>
      <c r="B5327" t="s">
        <v>19002</v>
      </c>
    </row>
    <row r="5328" spans="1:2" x14ac:dyDescent="0.25">
      <c r="A5328" t="s">
        <v>19003</v>
      </c>
      <c r="B5328" t="s">
        <v>19004</v>
      </c>
    </row>
    <row r="5329" spans="1:2" x14ac:dyDescent="0.25">
      <c r="A5329" t="s">
        <v>19005</v>
      </c>
      <c r="B5329" t="s">
        <v>19006</v>
      </c>
    </row>
    <row r="5330" spans="1:2" x14ac:dyDescent="0.25">
      <c r="A5330" t="s">
        <v>19007</v>
      </c>
      <c r="B5330" t="s">
        <v>19008</v>
      </c>
    </row>
    <row r="5331" spans="1:2" x14ac:dyDescent="0.25">
      <c r="A5331" t="s">
        <v>19009</v>
      </c>
      <c r="B5331" t="s">
        <v>19010</v>
      </c>
    </row>
    <row r="5332" spans="1:2" x14ac:dyDescent="0.25">
      <c r="A5332" t="s">
        <v>19011</v>
      </c>
      <c r="B5332" t="s">
        <v>19012</v>
      </c>
    </row>
    <row r="5333" spans="1:2" x14ac:dyDescent="0.25">
      <c r="A5333" t="s">
        <v>19013</v>
      </c>
      <c r="B5333" t="s">
        <v>19014</v>
      </c>
    </row>
    <row r="5334" spans="1:2" x14ac:dyDescent="0.25">
      <c r="A5334" t="s">
        <v>2514</v>
      </c>
      <c r="B5334" t="s">
        <v>19015</v>
      </c>
    </row>
    <row r="5335" spans="1:2" x14ac:dyDescent="0.25">
      <c r="A5335" t="s">
        <v>19016</v>
      </c>
      <c r="B5335" t="s">
        <v>19017</v>
      </c>
    </row>
    <row r="5336" spans="1:2" x14ac:dyDescent="0.25">
      <c r="A5336" t="s">
        <v>19018</v>
      </c>
      <c r="B5336" t="s">
        <v>19019</v>
      </c>
    </row>
    <row r="5337" spans="1:2" x14ac:dyDescent="0.25">
      <c r="A5337" t="s">
        <v>19020</v>
      </c>
      <c r="B5337" t="s">
        <v>19021</v>
      </c>
    </row>
    <row r="5338" spans="1:2" x14ac:dyDescent="0.25">
      <c r="A5338" t="s">
        <v>19022</v>
      </c>
      <c r="B5338" t="s">
        <v>19023</v>
      </c>
    </row>
    <row r="5339" spans="1:2" x14ac:dyDescent="0.25">
      <c r="A5339" t="s">
        <v>19024</v>
      </c>
      <c r="B5339" t="s">
        <v>19025</v>
      </c>
    </row>
    <row r="5340" spans="1:2" x14ac:dyDescent="0.25">
      <c r="A5340" t="s">
        <v>19026</v>
      </c>
      <c r="B5340" t="s">
        <v>19027</v>
      </c>
    </row>
    <row r="5341" spans="1:2" x14ac:dyDescent="0.25">
      <c r="A5341" t="s">
        <v>19028</v>
      </c>
      <c r="B5341" t="s">
        <v>19029</v>
      </c>
    </row>
    <row r="5342" spans="1:2" x14ac:dyDescent="0.25">
      <c r="A5342" t="s">
        <v>19030</v>
      </c>
      <c r="B5342" t="s">
        <v>19031</v>
      </c>
    </row>
    <row r="5343" spans="1:2" x14ac:dyDescent="0.25">
      <c r="A5343" t="s">
        <v>19032</v>
      </c>
      <c r="B5343" t="s">
        <v>19033</v>
      </c>
    </row>
    <row r="5344" spans="1:2" x14ac:dyDescent="0.25">
      <c r="A5344" t="s">
        <v>19034</v>
      </c>
      <c r="B5344" t="s">
        <v>19035</v>
      </c>
    </row>
    <row r="5345" spans="1:2" x14ac:dyDescent="0.25">
      <c r="A5345" t="s">
        <v>19036</v>
      </c>
      <c r="B5345" t="s">
        <v>19037</v>
      </c>
    </row>
    <row r="5346" spans="1:2" x14ac:dyDescent="0.25">
      <c r="A5346" t="s">
        <v>19038</v>
      </c>
      <c r="B5346" t="s">
        <v>19039</v>
      </c>
    </row>
    <row r="5347" spans="1:2" x14ac:dyDescent="0.25">
      <c r="A5347" t="s">
        <v>19040</v>
      </c>
      <c r="B5347" t="s">
        <v>19041</v>
      </c>
    </row>
    <row r="5348" spans="1:2" x14ac:dyDescent="0.25">
      <c r="A5348" t="s">
        <v>19042</v>
      </c>
      <c r="B5348" t="s">
        <v>19043</v>
      </c>
    </row>
    <row r="5349" spans="1:2" x14ac:dyDescent="0.25">
      <c r="A5349" t="s">
        <v>19044</v>
      </c>
      <c r="B5349" t="s">
        <v>19045</v>
      </c>
    </row>
    <row r="5350" spans="1:2" x14ac:dyDescent="0.25">
      <c r="A5350" t="s">
        <v>19046</v>
      </c>
      <c r="B5350" t="s">
        <v>19047</v>
      </c>
    </row>
    <row r="5351" spans="1:2" x14ac:dyDescent="0.25">
      <c r="A5351" t="s">
        <v>19048</v>
      </c>
      <c r="B5351" t="s">
        <v>19049</v>
      </c>
    </row>
    <row r="5352" spans="1:2" x14ac:dyDescent="0.25">
      <c r="A5352" t="s">
        <v>19050</v>
      </c>
      <c r="B5352" t="s">
        <v>19051</v>
      </c>
    </row>
    <row r="5353" spans="1:2" x14ac:dyDescent="0.25">
      <c r="A5353" t="s">
        <v>19052</v>
      </c>
      <c r="B5353" t="s">
        <v>19053</v>
      </c>
    </row>
    <row r="5354" spans="1:2" x14ac:dyDescent="0.25">
      <c r="A5354" t="s">
        <v>19054</v>
      </c>
      <c r="B5354" t="s">
        <v>19055</v>
      </c>
    </row>
    <row r="5355" spans="1:2" x14ac:dyDescent="0.25">
      <c r="A5355" t="s">
        <v>19056</v>
      </c>
      <c r="B5355" t="s">
        <v>19057</v>
      </c>
    </row>
    <row r="5356" spans="1:2" x14ac:dyDescent="0.25">
      <c r="A5356" t="s">
        <v>142</v>
      </c>
      <c r="B5356" t="s">
        <v>19058</v>
      </c>
    </row>
    <row r="5357" spans="1:2" x14ac:dyDescent="0.25">
      <c r="A5357" t="s">
        <v>19059</v>
      </c>
      <c r="B5357" t="s">
        <v>19060</v>
      </c>
    </row>
    <row r="5358" spans="1:2" x14ac:dyDescent="0.25">
      <c r="A5358" t="s">
        <v>19061</v>
      </c>
      <c r="B5358" t="s">
        <v>19062</v>
      </c>
    </row>
    <row r="5359" spans="1:2" x14ac:dyDescent="0.25">
      <c r="A5359" t="s">
        <v>19063</v>
      </c>
      <c r="B5359" t="s">
        <v>19064</v>
      </c>
    </row>
    <row r="5360" spans="1:2" x14ac:dyDescent="0.25">
      <c r="A5360" t="s">
        <v>2729</v>
      </c>
      <c r="B5360" t="s">
        <v>19065</v>
      </c>
    </row>
    <row r="5361" spans="1:2" x14ac:dyDescent="0.25">
      <c r="A5361" t="s">
        <v>19066</v>
      </c>
      <c r="B5361" t="s">
        <v>19067</v>
      </c>
    </row>
    <row r="5362" spans="1:2" x14ac:dyDescent="0.25">
      <c r="A5362" t="s">
        <v>19068</v>
      </c>
      <c r="B5362" t="s">
        <v>19069</v>
      </c>
    </row>
    <row r="5363" spans="1:2" x14ac:dyDescent="0.25">
      <c r="A5363" t="s">
        <v>19070</v>
      </c>
      <c r="B5363" t="s">
        <v>19071</v>
      </c>
    </row>
    <row r="5364" spans="1:2" x14ac:dyDescent="0.25">
      <c r="A5364" t="s">
        <v>19072</v>
      </c>
      <c r="B5364" t="s">
        <v>19073</v>
      </c>
    </row>
    <row r="5365" spans="1:2" x14ac:dyDescent="0.25">
      <c r="A5365" t="s">
        <v>19074</v>
      </c>
      <c r="B5365" t="s">
        <v>19075</v>
      </c>
    </row>
    <row r="5366" spans="1:2" x14ac:dyDescent="0.25">
      <c r="A5366" t="s">
        <v>19076</v>
      </c>
      <c r="B5366" t="s">
        <v>19077</v>
      </c>
    </row>
    <row r="5367" spans="1:2" x14ac:dyDescent="0.25">
      <c r="A5367" t="s">
        <v>19078</v>
      </c>
      <c r="B5367" t="s">
        <v>19079</v>
      </c>
    </row>
    <row r="5368" spans="1:2" x14ac:dyDescent="0.25">
      <c r="A5368" t="s">
        <v>19080</v>
      </c>
      <c r="B5368" t="s">
        <v>19081</v>
      </c>
    </row>
    <row r="5369" spans="1:2" x14ac:dyDescent="0.25">
      <c r="A5369" t="s">
        <v>19082</v>
      </c>
      <c r="B5369" t="s">
        <v>19083</v>
      </c>
    </row>
    <row r="5370" spans="1:2" x14ac:dyDescent="0.25">
      <c r="A5370" t="s">
        <v>143</v>
      </c>
      <c r="B5370" t="s">
        <v>19084</v>
      </c>
    </row>
    <row r="5371" spans="1:2" x14ac:dyDescent="0.25">
      <c r="A5371" t="s">
        <v>19085</v>
      </c>
      <c r="B5371" t="s">
        <v>19086</v>
      </c>
    </row>
    <row r="5372" spans="1:2" x14ac:dyDescent="0.25">
      <c r="A5372" t="s">
        <v>19087</v>
      </c>
      <c r="B5372" t="s">
        <v>19088</v>
      </c>
    </row>
    <row r="5373" spans="1:2" x14ac:dyDescent="0.25">
      <c r="A5373" t="s">
        <v>19089</v>
      </c>
      <c r="B5373" t="s">
        <v>19090</v>
      </c>
    </row>
    <row r="5374" spans="1:2" x14ac:dyDescent="0.25">
      <c r="A5374" t="s">
        <v>19091</v>
      </c>
      <c r="B5374" t="s">
        <v>19092</v>
      </c>
    </row>
    <row r="5375" spans="1:2" x14ac:dyDescent="0.25">
      <c r="A5375" t="s">
        <v>19093</v>
      </c>
      <c r="B5375" t="s">
        <v>19094</v>
      </c>
    </row>
    <row r="5376" spans="1:2" x14ac:dyDescent="0.25">
      <c r="A5376" t="s">
        <v>19095</v>
      </c>
      <c r="B5376" t="s">
        <v>19096</v>
      </c>
    </row>
    <row r="5377" spans="1:2" x14ac:dyDescent="0.25">
      <c r="A5377" t="s">
        <v>19097</v>
      </c>
      <c r="B5377" t="s">
        <v>19098</v>
      </c>
    </row>
    <row r="5378" spans="1:2" x14ac:dyDescent="0.25">
      <c r="A5378" t="s">
        <v>19099</v>
      </c>
      <c r="B5378" t="s">
        <v>19100</v>
      </c>
    </row>
    <row r="5379" spans="1:2" x14ac:dyDescent="0.25">
      <c r="A5379" t="s">
        <v>19101</v>
      </c>
      <c r="B5379" t="s">
        <v>19102</v>
      </c>
    </row>
    <row r="5380" spans="1:2" x14ac:dyDescent="0.25">
      <c r="A5380" t="s">
        <v>19103</v>
      </c>
      <c r="B5380" t="s">
        <v>19104</v>
      </c>
    </row>
    <row r="5381" spans="1:2" x14ac:dyDescent="0.25">
      <c r="A5381" t="s">
        <v>19105</v>
      </c>
      <c r="B5381" t="s">
        <v>19106</v>
      </c>
    </row>
    <row r="5382" spans="1:2" x14ac:dyDescent="0.25">
      <c r="A5382" t="s">
        <v>144</v>
      </c>
      <c r="B5382" t="s">
        <v>19107</v>
      </c>
    </row>
    <row r="5383" spans="1:2" x14ac:dyDescent="0.25">
      <c r="A5383" t="s">
        <v>19108</v>
      </c>
      <c r="B5383" t="s">
        <v>19109</v>
      </c>
    </row>
    <row r="5384" spans="1:2" x14ac:dyDescent="0.25">
      <c r="A5384" t="s">
        <v>19110</v>
      </c>
      <c r="B5384" t="s">
        <v>19111</v>
      </c>
    </row>
    <row r="5385" spans="1:2" x14ac:dyDescent="0.25">
      <c r="A5385" t="s">
        <v>19112</v>
      </c>
      <c r="B5385" t="s">
        <v>19113</v>
      </c>
    </row>
    <row r="5386" spans="1:2" x14ac:dyDescent="0.25">
      <c r="A5386" t="s">
        <v>19114</v>
      </c>
      <c r="B5386" t="s">
        <v>19115</v>
      </c>
    </row>
    <row r="5387" spans="1:2" x14ac:dyDescent="0.25">
      <c r="A5387" t="s">
        <v>19116</v>
      </c>
      <c r="B5387" t="s">
        <v>19117</v>
      </c>
    </row>
    <row r="5388" spans="1:2" x14ac:dyDescent="0.25">
      <c r="A5388" t="s">
        <v>19118</v>
      </c>
      <c r="B5388" t="s">
        <v>19119</v>
      </c>
    </row>
    <row r="5389" spans="1:2" x14ac:dyDescent="0.25">
      <c r="A5389" t="s">
        <v>19120</v>
      </c>
      <c r="B5389" t="s">
        <v>19121</v>
      </c>
    </row>
    <row r="5390" spans="1:2" x14ac:dyDescent="0.25">
      <c r="A5390" t="s">
        <v>19122</v>
      </c>
      <c r="B5390" t="s">
        <v>19123</v>
      </c>
    </row>
    <row r="5391" spans="1:2" x14ac:dyDescent="0.25">
      <c r="A5391" t="s">
        <v>19124</v>
      </c>
      <c r="B5391" t="s">
        <v>19125</v>
      </c>
    </row>
    <row r="5392" spans="1:2" x14ac:dyDescent="0.25">
      <c r="A5392" t="s">
        <v>19126</v>
      </c>
      <c r="B5392" t="s">
        <v>19127</v>
      </c>
    </row>
    <row r="5393" spans="1:2" x14ac:dyDescent="0.25">
      <c r="A5393" t="s">
        <v>19128</v>
      </c>
      <c r="B5393" t="s">
        <v>19129</v>
      </c>
    </row>
    <row r="5394" spans="1:2" x14ac:dyDescent="0.25">
      <c r="A5394" t="s">
        <v>19130</v>
      </c>
      <c r="B5394" t="s">
        <v>19131</v>
      </c>
    </row>
    <row r="5395" spans="1:2" x14ac:dyDescent="0.25">
      <c r="A5395" t="s">
        <v>19132</v>
      </c>
      <c r="B5395" t="s">
        <v>19133</v>
      </c>
    </row>
    <row r="5396" spans="1:2" x14ac:dyDescent="0.25">
      <c r="A5396" t="s">
        <v>19134</v>
      </c>
      <c r="B5396" t="s">
        <v>19135</v>
      </c>
    </row>
    <row r="5397" spans="1:2" x14ac:dyDescent="0.25">
      <c r="A5397" t="s">
        <v>19136</v>
      </c>
      <c r="B5397" t="s">
        <v>19137</v>
      </c>
    </row>
    <row r="5398" spans="1:2" x14ac:dyDescent="0.25">
      <c r="A5398" t="s">
        <v>19138</v>
      </c>
      <c r="B5398" t="s">
        <v>19139</v>
      </c>
    </row>
    <row r="5399" spans="1:2" x14ac:dyDescent="0.25">
      <c r="A5399" t="s">
        <v>19140</v>
      </c>
      <c r="B5399" t="s">
        <v>19141</v>
      </c>
    </row>
    <row r="5400" spans="1:2" x14ac:dyDescent="0.25">
      <c r="A5400" t="s">
        <v>19142</v>
      </c>
      <c r="B5400" t="s">
        <v>19143</v>
      </c>
    </row>
    <row r="5401" spans="1:2" x14ac:dyDescent="0.25">
      <c r="A5401" t="s">
        <v>19144</v>
      </c>
      <c r="B5401" t="s">
        <v>19145</v>
      </c>
    </row>
    <row r="5402" spans="1:2" x14ac:dyDescent="0.25">
      <c r="A5402" t="s">
        <v>19146</v>
      </c>
      <c r="B5402" t="s">
        <v>19147</v>
      </c>
    </row>
    <row r="5403" spans="1:2" x14ac:dyDescent="0.25">
      <c r="A5403" t="s">
        <v>19148</v>
      </c>
      <c r="B5403" t="s">
        <v>12758</v>
      </c>
    </row>
    <row r="5404" spans="1:2" x14ac:dyDescent="0.25">
      <c r="A5404" t="s">
        <v>19149</v>
      </c>
      <c r="B5404" t="s">
        <v>19150</v>
      </c>
    </row>
    <row r="5405" spans="1:2" x14ac:dyDescent="0.25">
      <c r="A5405" t="s">
        <v>19151</v>
      </c>
      <c r="B5405" t="s">
        <v>19152</v>
      </c>
    </row>
    <row r="5406" spans="1:2" x14ac:dyDescent="0.25">
      <c r="A5406" t="s">
        <v>19153</v>
      </c>
      <c r="B5406" t="s">
        <v>19154</v>
      </c>
    </row>
    <row r="5407" spans="1:2" x14ac:dyDescent="0.25">
      <c r="A5407" t="s">
        <v>19155</v>
      </c>
      <c r="B5407" t="s">
        <v>19156</v>
      </c>
    </row>
    <row r="5408" spans="1:2" x14ac:dyDescent="0.25">
      <c r="A5408" t="s">
        <v>19157</v>
      </c>
      <c r="B5408" t="s">
        <v>19158</v>
      </c>
    </row>
    <row r="5409" spans="1:2" x14ac:dyDescent="0.25">
      <c r="A5409" t="s">
        <v>19159</v>
      </c>
      <c r="B5409" t="s">
        <v>19160</v>
      </c>
    </row>
    <row r="5410" spans="1:2" x14ac:dyDescent="0.25">
      <c r="A5410" t="s">
        <v>19161</v>
      </c>
      <c r="B5410" t="s">
        <v>19162</v>
      </c>
    </row>
    <row r="5411" spans="1:2" x14ac:dyDescent="0.25">
      <c r="A5411" t="s">
        <v>19163</v>
      </c>
      <c r="B5411" t="s">
        <v>19164</v>
      </c>
    </row>
    <row r="5412" spans="1:2" x14ac:dyDescent="0.25">
      <c r="A5412" t="s">
        <v>19165</v>
      </c>
      <c r="B5412" t="s">
        <v>19166</v>
      </c>
    </row>
    <row r="5413" spans="1:2" x14ac:dyDescent="0.25">
      <c r="A5413" t="s">
        <v>19167</v>
      </c>
      <c r="B5413" t="s">
        <v>19168</v>
      </c>
    </row>
    <row r="5414" spans="1:2" x14ac:dyDescent="0.25">
      <c r="A5414" t="s">
        <v>19169</v>
      </c>
      <c r="B5414" t="s">
        <v>19170</v>
      </c>
    </row>
    <row r="5415" spans="1:2" x14ac:dyDescent="0.25">
      <c r="A5415" t="s">
        <v>19171</v>
      </c>
      <c r="B5415" t="s">
        <v>19172</v>
      </c>
    </row>
    <row r="5416" spans="1:2" x14ac:dyDescent="0.25">
      <c r="A5416" t="s">
        <v>19173</v>
      </c>
      <c r="B5416" t="s">
        <v>19174</v>
      </c>
    </row>
    <row r="5417" spans="1:2" x14ac:dyDescent="0.25">
      <c r="A5417" t="s">
        <v>19175</v>
      </c>
      <c r="B5417" t="s">
        <v>19176</v>
      </c>
    </row>
    <row r="5418" spans="1:2" x14ac:dyDescent="0.25">
      <c r="A5418" t="s">
        <v>19177</v>
      </c>
      <c r="B5418" t="s">
        <v>19178</v>
      </c>
    </row>
    <row r="5419" spans="1:2" x14ac:dyDescent="0.25">
      <c r="A5419" t="s">
        <v>19179</v>
      </c>
      <c r="B5419" t="s">
        <v>19180</v>
      </c>
    </row>
    <row r="5420" spans="1:2" x14ac:dyDescent="0.25">
      <c r="A5420" t="s">
        <v>19181</v>
      </c>
      <c r="B5420" t="s">
        <v>19182</v>
      </c>
    </row>
    <row r="5421" spans="1:2" x14ac:dyDescent="0.25">
      <c r="A5421" t="s">
        <v>19183</v>
      </c>
      <c r="B5421" t="s">
        <v>19184</v>
      </c>
    </row>
    <row r="5422" spans="1:2" x14ac:dyDescent="0.25">
      <c r="A5422" t="s">
        <v>19185</v>
      </c>
      <c r="B5422" t="s">
        <v>19186</v>
      </c>
    </row>
    <row r="5423" spans="1:2" x14ac:dyDescent="0.25">
      <c r="A5423" t="s">
        <v>19187</v>
      </c>
      <c r="B5423" t="s">
        <v>19188</v>
      </c>
    </row>
    <row r="5424" spans="1:2" x14ac:dyDescent="0.25">
      <c r="A5424" t="s">
        <v>19189</v>
      </c>
      <c r="B5424" t="s">
        <v>19190</v>
      </c>
    </row>
    <row r="5425" spans="1:2" x14ac:dyDescent="0.25">
      <c r="A5425" t="s">
        <v>19191</v>
      </c>
      <c r="B5425" t="s">
        <v>19192</v>
      </c>
    </row>
    <row r="5426" spans="1:2" x14ac:dyDescent="0.25">
      <c r="A5426" t="s">
        <v>19193</v>
      </c>
      <c r="B5426" t="s">
        <v>19194</v>
      </c>
    </row>
    <row r="5427" spans="1:2" x14ac:dyDescent="0.25">
      <c r="A5427" t="s">
        <v>19195</v>
      </c>
      <c r="B5427" t="s">
        <v>19196</v>
      </c>
    </row>
    <row r="5428" spans="1:2" x14ac:dyDescent="0.25">
      <c r="A5428" t="s">
        <v>19197</v>
      </c>
      <c r="B5428" t="s">
        <v>19198</v>
      </c>
    </row>
    <row r="5429" spans="1:2" x14ac:dyDescent="0.25">
      <c r="A5429" t="s">
        <v>19199</v>
      </c>
      <c r="B5429" t="s">
        <v>19200</v>
      </c>
    </row>
    <row r="5430" spans="1:2" x14ac:dyDescent="0.25">
      <c r="A5430" t="s">
        <v>19201</v>
      </c>
      <c r="B5430" t="s">
        <v>19202</v>
      </c>
    </row>
    <row r="5431" spans="1:2" x14ac:dyDescent="0.25">
      <c r="A5431" t="s">
        <v>19203</v>
      </c>
      <c r="B5431" t="s">
        <v>19204</v>
      </c>
    </row>
    <row r="5432" spans="1:2" x14ac:dyDescent="0.25">
      <c r="A5432" t="s">
        <v>19205</v>
      </c>
      <c r="B5432" t="s">
        <v>19206</v>
      </c>
    </row>
    <row r="5433" spans="1:2" x14ac:dyDescent="0.25">
      <c r="A5433" t="s">
        <v>19207</v>
      </c>
      <c r="B5433" t="s">
        <v>19208</v>
      </c>
    </row>
    <row r="5434" spans="1:2" x14ac:dyDescent="0.25">
      <c r="A5434" t="s">
        <v>19209</v>
      </c>
      <c r="B5434" t="s">
        <v>19210</v>
      </c>
    </row>
    <row r="5435" spans="1:2" x14ac:dyDescent="0.25">
      <c r="A5435" t="s">
        <v>19211</v>
      </c>
      <c r="B5435" t="s">
        <v>19212</v>
      </c>
    </row>
    <row r="5436" spans="1:2" x14ac:dyDescent="0.25">
      <c r="A5436" t="s">
        <v>19213</v>
      </c>
      <c r="B5436" t="s">
        <v>19214</v>
      </c>
    </row>
    <row r="5437" spans="1:2" x14ac:dyDescent="0.25">
      <c r="A5437" t="s">
        <v>19215</v>
      </c>
      <c r="B5437" t="s">
        <v>19216</v>
      </c>
    </row>
    <row r="5438" spans="1:2" x14ac:dyDescent="0.25">
      <c r="A5438" t="s">
        <v>2296</v>
      </c>
      <c r="B5438" t="s">
        <v>19217</v>
      </c>
    </row>
    <row r="5439" spans="1:2" x14ac:dyDescent="0.25">
      <c r="A5439" t="s">
        <v>19218</v>
      </c>
      <c r="B5439" t="s">
        <v>19219</v>
      </c>
    </row>
    <row r="5440" spans="1:2" x14ac:dyDescent="0.25">
      <c r="A5440" t="s">
        <v>19220</v>
      </c>
      <c r="B5440" t="s">
        <v>19221</v>
      </c>
    </row>
    <row r="5441" spans="1:2" x14ac:dyDescent="0.25">
      <c r="A5441" t="s">
        <v>19222</v>
      </c>
      <c r="B5441" t="s">
        <v>19223</v>
      </c>
    </row>
    <row r="5442" spans="1:2" x14ac:dyDescent="0.25">
      <c r="A5442" t="s">
        <v>19224</v>
      </c>
      <c r="B5442" t="s">
        <v>19225</v>
      </c>
    </row>
    <row r="5443" spans="1:2" x14ac:dyDescent="0.25">
      <c r="A5443" t="s">
        <v>19226</v>
      </c>
      <c r="B5443" t="s">
        <v>19227</v>
      </c>
    </row>
    <row r="5444" spans="1:2" x14ac:dyDescent="0.25">
      <c r="A5444" t="s">
        <v>19228</v>
      </c>
      <c r="B5444" t="s">
        <v>19229</v>
      </c>
    </row>
    <row r="5445" spans="1:2" x14ac:dyDescent="0.25">
      <c r="A5445" t="s">
        <v>19230</v>
      </c>
      <c r="B5445" t="s">
        <v>19231</v>
      </c>
    </row>
    <row r="5446" spans="1:2" x14ac:dyDescent="0.25">
      <c r="A5446" t="s">
        <v>19232</v>
      </c>
      <c r="B5446" t="s">
        <v>19233</v>
      </c>
    </row>
    <row r="5447" spans="1:2" x14ac:dyDescent="0.25">
      <c r="A5447" t="s">
        <v>19234</v>
      </c>
      <c r="B5447" t="s">
        <v>19235</v>
      </c>
    </row>
    <row r="5448" spans="1:2" x14ac:dyDescent="0.25">
      <c r="A5448" t="s">
        <v>19236</v>
      </c>
      <c r="B5448" t="s">
        <v>19237</v>
      </c>
    </row>
    <row r="5449" spans="1:2" x14ac:dyDescent="0.25">
      <c r="A5449" t="s">
        <v>19238</v>
      </c>
      <c r="B5449" t="s">
        <v>19239</v>
      </c>
    </row>
    <row r="5450" spans="1:2" x14ac:dyDescent="0.25">
      <c r="A5450" t="s">
        <v>19240</v>
      </c>
      <c r="B5450" t="s">
        <v>19241</v>
      </c>
    </row>
    <row r="5451" spans="1:2" x14ac:dyDescent="0.25">
      <c r="A5451" t="s">
        <v>19242</v>
      </c>
      <c r="B5451" t="s">
        <v>19243</v>
      </c>
    </row>
    <row r="5452" spans="1:2" x14ac:dyDescent="0.25">
      <c r="A5452" t="s">
        <v>19244</v>
      </c>
      <c r="B5452" t="s">
        <v>19245</v>
      </c>
    </row>
    <row r="5453" spans="1:2" x14ac:dyDescent="0.25">
      <c r="A5453" t="s">
        <v>19246</v>
      </c>
      <c r="B5453" t="s">
        <v>19247</v>
      </c>
    </row>
    <row r="5454" spans="1:2" x14ac:dyDescent="0.25">
      <c r="A5454" t="s">
        <v>19248</v>
      </c>
      <c r="B5454" t="s">
        <v>19249</v>
      </c>
    </row>
    <row r="5455" spans="1:2" x14ac:dyDescent="0.25">
      <c r="A5455" t="s">
        <v>19250</v>
      </c>
      <c r="B5455" t="s">
        <v>19251</v>
      </c>
    </row>
    <row r="5456" spans="1:2" x14ac:dyDescent="0.25">
      <c r="A5456" t="s">
        <v>19252</v>
      </c>
      <c r="B5456" t="s">
        <v>19253</v>
      </c>
    </row>
    <row r="5457" spans="1:2" x14ac:dyDescent="0.25">
      <c r="A5457" t="s">
        <v>19254</v>
      </c>
      <c r="B5457" t="s">
        <v>19255</v>
      </c>
    </row>
    <row r="5458" spans="1:2" x14ac:dyDescent="0.25">
      <c r="A5458" t="s">
        <v>19256</v>
      </c>
      <c r="B5458" t="s">
        <v>19257</v>
      </c>
    </row>
    <row r="5459" spans="1:2" x14ac:dyDescent="0.25">
      <c r="A5459" t="s">
        <v>19258</v>
      </c>
      <c r="B5459" t="s">
        <v>19259</v>
      </c>
    </row>
    <row r="5460" spans="1:2" x14ac:dyDescent="0.25">
      <c r="A5460" t="s">
        <v>19260</v>
      </c>
      <c r="B5460" t="s">
        <v>19261</v>
      </c>
    </row>
    <row r="5461" spans="1:2" x14ac:dyDescent="0.25">
      <c r="A5461" t="s">
        <v>19262</v>
      </c>
      <c r="B5461" t="s">
        <v>19263</v>
      </c>
    </row>
    <row r="5462" spans="1:2" x14ac:dyDescent="0.25">
      <c r="A5462" t="s">
        <v>19264</v>
      </c>
      <c r="B5462" t="s">
        <v>19265</v>
      </c>
    </row>
    <row r="5463" spans="1:2" x14ac:dyDescent="0.25">
      <c r="A5463" t="s">
        <v>19266</v>
      </c>
      <c r="B5463" t="s">
        <v>19267</v>
      </c>
    </row>
    <row r="5464" spans="1:2" x14ac:dyDescent="0.25">
      <c r="A5464" t="s">
        <v>19268</v>
      </c>
      <c r="B5464" t="s">
        <v>19269</v>
      </c>
    </row>
    <row r="5465" spans="1:2" x14ac:dyDescent="0.25">
      <c r="A5465" t="s">
        <v>19270</v>
      </c>
      <c r="B5465" t="s">
        <v>19271</v>
      </c>
    </row>
    <row r="5466" spans="1:2" x14ac:dyDescent="0.25">
      <c r="A5466" t="s">
        <v>19272</v>
      </c>
      <c r="B5466" t="s">
        <v>19273</v>
      </c>
    </row>
    <row r="5467" spans="1:2" x14ac:dyDescent="0.25">
      <c r="A5467" t="s">
        <v>19274</v>
      </c>
      <c r="B5467" t="s">
        <v>19275</v>
      </c>
    </row>
    <row r="5468" spans="1:2" x14ac:dyDescent="0.25">
      <c r="A5468" t="s">
        <v>19276</v>
      </c>
      <c r="B5468" t="s">
        <v>19277</v>
      </c>
    </row>
    <row r="5469" spans="1:2" x14ac:dyDescent="0.25">
      <c r="A5469" t="s">
        <v>19278</v>
      </c>
      <c r="B5469" t="s">
        <v>19279</v>
      </c>
    </row>
    <row r="5470" spans="1:2" x14ac:dyDescent="0.25">
      <c r="A5470" t="s">
        <v>19280</v>
      </c>
      <c r="B5470" t="s">
        <v>19281</v>
      </c>
    </row>
    <row r="5471" spans="1:2" x14ac:dyDescent="0.25">
      <c r="A5471" t="s">
        <v>19282</v>
      </c>
      <c r="B5471" t="s">
        <v>19283</v>
      </c>
    </row>
    <row r="5472" spans="1:2" x14ac:dyDescent="0.25">
      <c r="A5472" t="s">
        <v>19284</v>
      </c>
      <c r="B5472" t="s">
        <v>19285</v>
      </c>
    </row>
    <row r="5473" spans="1:2" x14ac:dyDescent="0.25">
      <c r="A5473" t="s">
        <v>19286</v>
      </c>
      <c r="B5473" t="s">
        <v>19287</v>
      </c>
    </row>
    <row r="5474" spans="1:2" x14ac:dyDescent="0.25">
      <c r="A5474" t="s">
        <v>19288</v>
      </c>
      <c r="B5474" t="s">
        <v>19289</v>
      </c>
    </row>
    <row r="5475" spans="1:2" x14ac:dyDescent="0.25">
      <c r="A5475" t="s">
        <v>19290</v>
      </c>
      <c r="B5475" t="s">
        <v>19291</v>
      </c>
    </row>
    <row r="5476" spans="1:2" x14ac:dyDescent="0.25">
      <c r="A5476" t="s">
        <v>19292</v>
      </c>
      <c r="B5476" t="s">
        <v>19293</v>
      </c>
    </row>
    <row r="5477" spans="1:2" x14ac:dyDescent="0.25">
      <c r="A5477" t="s">
        <v>19294</v>
      </c>
      <c r="B5477" t="s">
        <v>19295</v>
      </c>
    </row>
    <row r="5478" spans="1:2" x14ac:dyDescent="0.25">
      <c r="A5478" t="s">
        <v>19296</v>
      </c>
      <c r="B5478" t="s">
        <v>19297</v>
      </c>
    </row>
    <row r="5479" spans="1:2" x14ac:dyDescent="0.25">
      <c r="A5479" t="s">
        <v>19298</v>
      </c>
      <c r="B5479" t="s">
        <v>19299</v>
      </c>
    </row>
    <row r="5480" spans="1:2" x14ac:dyDescent="0.25">
      <c r="A5480" t="s">
        <v>19300</v>
      </c>
      <c r="B5480" t="s">
        <v>14722</v>
      </c>
    </row>
    <row r="5481" spans="1:2" x14ac:dyDescent="0.25">
      <c r="A5481" t="s">
        <v>19301</v>
      </c>
      <c r="B5481" t="s">
        <v>19302</v>
      </c>
    </row>
    <row r="5482" spans="1:2" x14ac:dyDescent="0.25">
      <c r="A5482" t="s">
        <v>19303</v>
      </c>
      <c r="B5482" t="s">
        <v>19304</v>
      </c>
    </row>
    <row r="5483" spans="1:2" x14ac:dyDescent="0.25">
      <c r="A5483" t="s">
        <v>19305</v>
      </c>
      <c r="B5483" t="s">
        <v>19306</v>
      </c>
    </row>
    <row r="5484" spans="1:2" x14ac:dyDescent="0.25">
      <c r="A5484" t="s">
        <v>19307</v>
      </c>
      <c r="B5484" t="s">
        <v>19308</v>
      </c>
    </row>
    <row r="5485" spans="1:2" x14ac:dyDescent="0.25">
      <c r="A5485" t="s">
        <v>19309</v>
      </c>
      <c r="B5485" t="s">
        <v>19310</v>
      </c>
    </row>
    <row r="5486" spans="1:2" x14ac:dyDescent="0.25">
      <c r="A5486" t="s">
        <v>19311</v>
      </c>
      <c r="B5486" t="s">
        <v>19312</v>
      </c>
    </row>
    <row r="5487" spans="1:2" x14ac:dyDescent="0.25">
      <c r="A5487" t="s">
        <v>19313</v>
      </c>
      <c r="B5487" t="s">
        <v>19314</v>
      </c>
    </row>
    <row r="5488" spans="1:2" x14ac:dyDescent="0.25">
      <c r="A5488" t="s">
        <v>19315</v>
      </c>
      <c r="B5488" t="s">
        <v>19316</v>
      </c>
    </row>
    <row r="5489" spans="1:2" x14ac:dyDescent="0.25">
      <c r="A5489" t="s">
        <v>19317</v>
      </c>
      <c r="B5489" t="s">
        <v>19318</v>
      </c>
    </row>
    <row r="5490" spans="1:2" x14ac:dyDescent="0.25">
      <c r="A5490" t="s">
        <v>19319</v>
      </c>
      <c r="B5490" t="s">
        <v>19320</v>
      </c>
    </row>
    <row r="5491" spans="1:2" x14ac:dyDescent="0.25">
      <c r="A5491" t="s">
        <v>19321</v>
      </c>
      <c r="B5491" t="s">
        <v>19322</v>
      </c>
    </row>
    <row r="5492" spans="1:2" x14ac:dyDescent="0.25">
      <c r="A5492" t="s">
        <v>19323</v>
      </c>
      <c r="B5492" t="s">
        <v>19324</v>
      </c>
    </row>
    <row r="5493" spans="1:2" x14ac:dyDescent="0.25">
      <c r="A5493" t="s">
        <v>19325</v>
      </c>
      <c r="B5493" t="s">
        <v>19326</v>
      </c>
    </row>
    <row r="5494" spans="1:2" x14ac:dyDescent="0.25">
      <c r="A5494" t="s">
        <v>19327</v>
      </c>
      <c r="B5494" t="s">
        <v>19328</v>
      </c>
    </row>
    <row r="5495" spans="1:2" x14ac:dyDescent="0.25">
      <c r="A5495" t="s">
        <v>19329</v>
      </c>
      <c r="B5495" t="s">
        <v>19330</v>
      </c>
    </row>
    <row r="5496" spans="1:2" x14ac:dyDescent="0.25">
      <c r="A5496" t="s">
        <v>19331</v>
      </c>
      <c r="B5496" t="s">
        <v>19332</v>
      </c>
    </row>
    <row r="5497" spans="1:2" x14ac:dyDescent="0.25">
      <c r="A5497" t="s">
        <v>19333</v>
      </c>
      <c r="B5497" t="s">
        <v>19334</v>
      </c>
    </row>
    <row r="5498" spans="1:2" x14ac:dyDescent="0.25">
      <c r="A5498" t="s">
        <v>19335</v>
      </c>
      <c r="B5498" t="s">
        <v>19336</v>
      </c>
    </row>
    <row r="5499" spans="1:2" x14ac:dyDescent="0.25">
      <c r="A5499" t="s">
        <v>19337</v>
      </c>
      <c r="B5499" t="s">
        <v>19338</v>
      </c>
    </row>
    <row r="5500" spans="1:2" x14ac:dyDescent="0.25">
      <c r="A5500" t="s">
        <v>19339</v>
      </c>
      <c r="B5500" t="s">
        <v>19340</v>
      </c>
    </row>
    <row r="5501" spans="1:2" x14ac:dyDescent="0.25">
      <c r="A5501" t="s">
        <v>19341</v>
      </c>
      <c r="B5501" t="s">
        <v>19342</v>
      </c>
    </row>
    <row r="5502" spans="1:2" x14ac:dyDescent="0.25">
      <c r="A5502" t="s">
        <v>19343</v>
      </c>
      <c r="B5502" t="s">
        <v>19344</v>
      </c>
    </row>
    <row r="5503" spans="1:2" x14ac:dyDescent="0.25">
      <c r="A5503" t="s">
        <v>19345</v>
      </c>
      <c r="B5503" t="s">
        <v>19346</v>
      </c>
    </row>
    <row r="5504" spans="1:2" x14ac:dyDescent="0.25">
      <c r="A5504" t="s">
        <v>19347</v>
      </c>
      <c r="B5504" t="s">
        <v>19348</v>
      </c>
    </row>
    <row r="5505" spans="1:2" x14ac:dyDescent="0.25">
      <c r="A5505" t="s">
        <v>19349</v>
      </c>
      <c r="B5505" t="s">
        <v>19350</v>
      </c>
    </row>
    <row r="5506" spans="1:2" x14ac:dyDescent="0.25">
      <c r="A5506" t="s">
        <v>19351</v>
      </c>
      <c r="B5506" t="s">
        <v>19352</v>
      </c>
    </row>
    <row r="5507" spans="1:2" x14ac:dyDescent="0.25">
      <c r="A5507" t="s">
        <v>19353</v>
      </c>
      <c r="B5507" t="s">
        <v>19354</v>
      </c>
    </row>
    <row r="5508" spans="1:2" x14ac:dyDescent="0.25">
      <c r="A5508" t="s">
        <v>19355</v>
      </c>
      <c r="B5508" t="s">
        <v>19356</v>
      </c>
    </row>
    <row r="5509" spans="1:2" x14ac:dyDescent="0.25">
      <c r="A5509" t="s">
        <v>19357</v>
      </c>
      <c r="B5509" t="s">
        <v>19358</v>
      </c>
    </row>
    <row r="5510" spans="1:2" x14ac:dyDescent="0.25">
      <c r="A5510" t="s">
        <v>19359</v>
      </c>
      <c r="B5510" t="s">
        <v>19360</v>
      </c>
    </row>
    <row r="5511" spans="1:2" x14ac:dyDescent="0.25">
      <c r="A5511" t="s">
        <v>19361</v>
      </c>
      <c r="B5511" t="s">
        <v>19362</v>
      </c>
    </row>
    <row r="5512" spans="1:2" x14ac:dyDescent="0.25">
      <c r="A5512" t="s">
        <v>19363</v>
      </c>
      <c r="B5512" t="s">
        <v>19364</v>
      </c>
    </row>
    <row r="5513" spans="1:2" x14ac:dyDescent="0.25">
      <c r="A5513" t="s">
        <v>19365</v>
      </c>
      <c r="B5513" t="s">
        <v>19366</v>
      </c>
    </row>
    <row r="5514" spans="1:2" x14ac:dyDescent="0.25">
      <c r="A5514" t="s">
        <v>19367</v>
      </c>
      <c r="B5514" t="s">
        <v>19368</v>
      </c>
    </row>
    <row r="5515" spans="1:2" x14ac:dyDescent="0.25">
      <c r="A5515" t="s">
        <v>19369</v>
      </c>
      <c r="B5515" t="s">
        <v>19370</v>
      </c>
    </row>
    <row r="5516" spans="1:2" x14ac:dyDescent="0.25">
      <c r="A5516" t="s">
        <v>19371</v>
      </c>
      <c r="B5516" t="s">
        <v>19372</v>
      </c>
    </row>
    <row r="5517" spans="1:2" x14ac:dyDescent="0.25">
      <c r="A5517" t="s">
        <v>19373</v>
      </c>
      <c r="B5517" t="s">
        <v>19374</v>
      </c>
    </row>
    <row r="5518" spans="1:2" x14ac:dyDescent="0.25">
      <c r="A5518" t="s">
        <v>19375</v>
      </c>
      <c r="B5518" t="s">
        <v>19376</v>
      </c>
    </row>
    <row r="5519" spans="1:2" x14ac:dyDescent="0.25">
      <c r="A5519" t="s">
        <v>19377</v>
      </c>
      <c r="B5519" t="s">
        <v>19378</v>
      </c>
    </row>
    <row r="5520" spans="1:2" x14ac:dyDescent="0.25">
      <c r="A5520" t="s">
        <v>19379</v>
      </c>
      <c r="B5520" t="s">
        <v>19380</v>
      </c>
    </row>
    <row r="5521" spans="1:2" x14ac:dyDescent="0.25">
      <c r="A5521" t="s">
        <v>19381</v>
      </c>
      <c r="B5521" t="s">
        <v>19382</v>
      </c>
    </row>
    <row r="5522" spans="1:2" x14ac:dyDescent="0.25">
      <c r="A5522" t="s">
        <v>19383</v>
      </c>
      <c r="B5522" t="s">
        <v>19384</v>
      </c>
    </row>
    <row r="5523" spans="1:2" x14ac:dyDescent="0.25">
      <c r="A5523" t="s">
        <v>19385</v>
      </c>
      <c r="B5523" t="s">
        <v>19386</v>
      </c>
    </row>
    <row r="5524" spans="1:2" x14ac:dyDescent="0.25">
      <c r="A5524" t="s">
        <v>19387</v>
      </c>
      <c r="B5524" t="s">
        <v>19388</v>
      </c>
    </row>
    <row r="5525" spans="1:2" x14ac:dyDescent="0.25">
      <c r="A5525" t="s">
        <v>19389</v>
      </c>
      <c r="B5525" t="s">
        <v>19390</v>
      </c>
    </row>
    <row r="5526" spans="1:2" x14ac:dyDescent="0.25">
      <c r="A5526" t="s">
        <v>19391</v>
      </c>
      <c r="B5526" t="s">
        <v>19392</v>
      </c>
    </row>
    <row r="5527" spans="1:2" x14ac:dyDescent="0.25">
      <c r="A5527" t="s">
        <v>19393</v>
      </c>
      <c r="B5527" t="s">
        <v>19394</v>
      </c>
    </row>
    <row r="5528" spans="1:2" x14ac:dyDescent="0.25">
      <c r="A5528" t="s">
        <v>19395</v>
      </c>
      <c r="B5528" t="s">
        <v>19396</v>
      </c>
    </row>
    <row r="5529" spans="1:2" x14ac:dyDescent="0.25">
      <c r="A5529" t="s">
        <v>19397</v>
      </c>
      <c r="B5529" t="s">
        <v>19398</v>
      </c>
    </row>
    <row r="5530" spans="1:2" x14ac:dyDescent="0.25">
      <c r="A5530" t="s">
        <v>19399</v>
      </c>
      <c r="B5530" t="s">
        <v>19400</v>
      </c>
    </row>
    <row r="5531" spans="1:2" x14ac:dyDescent="0.25">
      <c r="A5531" t="s">
        <v>19401</v>
      </c>
      <c r="B5531" t="s">
        <v>19402</v>
      </c>
    </row>
    <row r="5532" spans="1:2" x14ac:dyDescent="0.25">
      <c r="A5532" t="s">
        <v>19403</v>
      </c>
      <c r="B5532" t="s">
        <v>19404</v>
      </c>
    </row>
    <row r="5533" spans="1:2" x14ac:dyDescent="0.25">
      <c r="A5533" t="s">
        <v>19405</v>
      </c>
      <c r="B5533" t="s">
        <v>19406</v>
      </c>
    </row>
    <row r="5534" spans="1:2" x14ac:dyDescent="0.25">
      <c r="A5534" t="s">
        <v>19407</v>
      </c>
      <c r="B5534" t="s">
        <v>19408</v>
      </c>
    </row>
    <row r="5535" spans="1:2" x14ac:dyDescent="0.25">
      <c r="A5535" t="s">
        <v>19409</v>
      </c>
      <c r="B5535" t="s">
        <v>19410</v>
      </c>
    </row>
    <row r="5536" spans="1:2" x14ac:dyDescent="0.25">
      <c r="A5536" t="s">
        <v>19411</v>
      </c>
      <c r="B5536" t="s">
        <v>19412</v>
      </c>
    </row>
    <row r="5537" spans="1:2" x14ac:dyDescent="0.25">
      <c r="A5537" t="s">
        <v>19413</v>
      </c>
      <c r="B5537" t="s">
        <v>19414</v>
      </c>
    </row>
    <row r="5538" spans="1:2" x14ac:dyDescent="0.25">
      <c r="A5538" t="s">
        <v>19415</v>
      </c>
      <c r="B5538" t="s">
        <v>19416</v>
      </c>
    </row>
    <row r="5539" spans="1:2" x14ac:dyDescent="0.25">
      <c r="A5539" t="s">
        <v>19417</v>
      </c>
      <c r="B5539" t="s">
        <v>19418</v>
      </c>
    </row>
    <row r="5540" spans="1:2" x14ac:dyDescent="0.25">
      <c r="A5540" t="s">
        <v>19419</v>
      </c>
      <c r="B5540" t="s">
        <v>19420</v>
      </c>
    </row>
    <row r="5541" spans="1:2" x14ac:dyDescent="0.25">
      <c r="A5541" t="s">
        <v>19421</v>
      </c>
      <c r="B5541" t="s">
        <v>19422</v>
      </c>
    </row>
    <row r="5542" spans="1:2" x14ac:dyDescent="0.25">
      <c r="A5542" t="s">
        <v>19423</v>
      </c>
      <c r="B5542" t="s">
        <v>19424</v>
      </c>
    </row>
    <row r="5543" spans="1:2" x14ac:dyDescent="0.25">
      <c r="A5543" t="s">
        <v>19425</v>
      </c>
      <c r="B5543" t="s">
        <v>19426</v>
      </c>
    </row>
    <row r="5544" spans="1:2" x14ac:dyDescent="0.25">
      <c r="A5544" t="s">
        <v>19427</v>
      </c>
      <c r="B5544" t="s">
        <v>19428</v>
      </c>
    </row>
    <row r="5545" spans="1:2" x14ac:dyDescent="0.25">
      <c r="A5545" t="s">
        <v>19429</v>
      </c>
      <c r="B5545" t="s">
        <v>19430</v>
      </c>
    </row>
    <row r="5546" spans="1:2" x14ac:dyDescent="0.25">
      <c r="A5546" t="s">
        <v>19431</v>
      </c>
      <c r="B5546" t="s">
        <v>19432</v>
      </c>
    </row>
    <row r="5547" spans="1:2" x14ac:dyDescent="0.25">
      <c r="A5547" t="s">
        <v>651</v>
      </c>
      <c r="B5547" t="s">
        <v>19433</v>
      </c>
    </row>
    <row r="5548" spans="1:2" x14ac:dyDescent="0.25">
      <c r="A5548" t="s">
        <v>19434</v>
      </c>
      <c r="B5548" t="s">
        <v>19435</v>
      </c>
    </row>
    <row r="5549" spans="1:2" x14ac:dyDescent="0.25">
      <c r="A5549" t="s">
        <v>19436</v>
      </c>
      <c r="B5549" t="s">
        <v>14506</v>
      </c>
    </row>
    <row r="5550" spans="1:2" x14ac:dyDescent="0.25">
      <c r="A5550" t="s">
        <v>19437</v>
      </c>
      <c r="B5550" t="s">
        <v>19438</v>
      </c>
    </row>
    <row r="5551" spans="1:2" x14ac:dyDescent="0.25">
      <c r="A5551" t="s">
        <v>19439</v>
      </c>
      <c r="B5551" t="s">
        <v>19440</v>
      </c>
    </row>
    <row r="5552" spans="1:2" x14ac:dyDescent="0.25">
      <c r="A5552" t="s">
        <v>19441</v>
      </c>
      <c r="B5552" t="s">
        <v>19442</v>
      </c>
    </row>
    <row r="5553" spans="1:2" x14ac:dyDescent="0.25">
      <c r="A5553" t="s">
        <v>19443</v>
      </c>
      <c r="B5553" t="s">
        <v>19444</v>
      </c>
    </row>
    <row r="5554" spans="1:2" x14ac:dyDescent="0.25">
      <c r="A5554" t="s">
        <v>19445</v>
      </c>
      <c r="B5554" t="s">
        <v>19446</v>
      </c>
    </row>
    <row r="5555" spans="1:2" x14ac:dyDescent="0.25">
      <c r="A5555" t="s">
        <v>19447</v>
      </c>
      <c r="B5555" t="s">
        <v>19448</v>
      </c>
    </row>
    <row r="5556" spans="1:2" x14ac:dyDescent="0.25">
      <c r="A5556" t="s">
        <v>19449</v>
      </c>
      <c r="B5556" t="s">
        <v>19450</v>
      </c>
    </row>
    <row r="5557" spans="1:2" x14ac:dyDescent="0.25">
      <c r="A5557" t="s">
        <v>19451</v>
      </c>
      <c r="B5557" t="s">
        <v>19452</v>
      </c>
    </row>
    <row r="5558" spans="1:2" x14ac:dyDescent="0.25">
      <c r="A5558" t="s">
        <v>19453</v>
      </c>
      <c r="B5558" t="s">
        <v>19454</v>
      </c>
    </row>
    <row r="5559" spans="1:2" x14ac:dyDescent="0.25">
      <c r="A5559" t="s">
        <v>19455</v>
      </c>
      <c r="B5559" t="s">
        <v>19456</v>
      </c>
    </row>
    <row r="5560" spans="1:2" x14ac:dyDescent="0.25">
      <c r="A5560" t="s">
        <v>19457</v>
      </c>
      <c r="B5560" t="s">
        <v>19458</v>
      </c>
    </row>
    <row r="5561" spans="1:2" x14ac:dyDescent="0.25">
      <c r="A5561" t="s">
        <v>19459</v>
      </c>
      <c r="B5561" t="s">
        <v>19460</v>
      </c>
    </row>
    <row r="5562" spans="1:2" x14ac:dyDescent="0.25">
      <c r="A5562" t="s">
        <v>19461</v>
      </c>
      <c r="B5562" t="s">
        <v>19462</v>
      </c>
    </row>
    <row r="5563" spans="1:2" x14ac:dyDescent="0.25">
      <c r="A5563" t="s">
        <v>19463</v>
      </c>
      <c r="B5563" t="s">
        <v>19464</v>
      </c>
    </row>
    <row r="5564" spans="1:2" x14ac:dyDescent="0.25">
      <c r="A5564" t="s">
        <v>19465</v>
      </c>
      <c r="B5564" t="s">
        <v>19466</v>
      </c>
    </row>
    <row r="5565" spans="1:2" x14ac:dyDescent="0.25">
      <c r="A5565" t="s">
        <v>19467</v>
      </c>
      <c r="B5565" t="s">
        <v>19468</v>
      </c>
    </row>
    <row r="5566" spans="1:2" x14ac:dyDescent="0.25">
      <c r="A5566" t="s">
        <v>19469</v>
      </c>
      <c r="B5566" t="s">
        <v>19470</v>
      </c>
    </row>
    <row r="5567" spans="1:2" x14ac:dyDescent="0.25">
      <c r="A5567" t="s">
        <v>19471</v>
      </c>
      <c r="B5567" t="s">
        <v>19472</v>
      </c>
    </row>
    <row r="5568" spans="1:2" x14ac:dyDescent="0.25">
      <c r="A5568" t="s">
        <v>19473</v>
      </c>
      <c r="B5568" t="s">
        <v>19474</v>
      </c>
    </row>
    <row r="5569" spans="1:2" x14ac:dyDescent="0.25">
      <c r="A5569" t="s">
        <v>19475</v>
      </c>
      <c r="B5569" t="s">
        <v>19476</v>
      </c>
    </row>
    <row r="5570" spans="1:2" x14ac:dyDescent="0.25">
      <c r="A5570" t="s">
        <v>19477</v>
      </c>
      <c r="B5570" t="s">
        <v>19478</v>
      </c>
    </row>
    <row r="5571" spans="1:2" x14ac:dyDescent="0.25">
      <c r="A5571" t="s">
        <v>19479</v>
      </c>
      <c r="B5571" t="s">
        <v>19480</v>
      </c>
    </row>
    <row r="5572" spans="1:2" x14ac:dyDescent="0.25">
      <c r="A5572" t="s">
        <v>19481</v>
      </c>
      <c r="B5572" t="s">
        <v>19482</v>
      </c>
    </row>
    <row r="5573" spans="1:2" x14ac:dyDescent="0.25">
      <c r="A5573" t="s">
        <v>19483</v>
      </c>
      <c r="B5573" t="s">
        <v>19484</v>
      </c>
    </row>
    <row r="5574" spans="1:2" x14ac:dyDescent="0.25">
      <c r="A5574" t="s">
        <v>19485</v>
      </c>
      <c r="B5574" t="s">
        <v>19486</v>
      </c>
    </row>
    <row r="5575" spans="1:2" x14ac:dyDescent="0.25">
      <c r="A5575" t="s">
        <v>19487</v>
      </c>
      <c r="B5575" t="s">
        <v>19488</v>
      </c>
    </row>
    <row r="5576" spans="1:2" x14ac:dyDescent="0.25">
      <c r="A5576" t="s">
        <v>19489</v>
      </c>
      <c r="B5576" t="s">
        <v>19490</v>
      </c>
    </row>
    <row r="5577" spans="1:2" x14ac:dyDescent="0.25">
      <c r="A5577" t="s">
        <v>19491</v>
      </c>
      <c r="B5577" t="s">
        <v>19492</v>
      </c>
    </row>
    <row r="5578" spans="1:2" x14ac:dyDescent="0.25">
      <c r="A5578" t="s">
        <v>19493</v>
      </c>
      <c r="B5578" t="s">
        <v>19494</v>
      </c>
    </row>
    <row r="5579" spans="1:2" x14ac:dyDescent="0.25">
      <c r="A5579" t="s">
        <v>19495</v>
      </c>
      <c r="B5579" t="s">
        <v>19496</v>
      </c>
    </row>
    <row r="5580" spans="1:2" x14ac:dyDescent="0.25">
      <c r="A5580" t="s">
        <v>19497</v>
      </c>
      <c r="B5580" t="s">
        <v>19498</v>
      </c>
    </row>
    <row r="5581" spans="1:2" x14ac:dyDescent="0.25">
      <c r="A5581" t="s">
        <v>19499</v>
      </c>
      <c r="B5581" t="s">
        <v>19500</v>
      </c>
    </row>
    <row r="5582" spans="1:2" x14ac:dyDescent="0.25">
      <c r="A5582" t="s">
        <v>19501</v>
      </c>
      <c r="B5582" t="s">
        <v>19502</v>
      </c>
    </row>
    <row r="5583" spans="1:2" x14ac:dyDescent="0.25">
      <c r="A5583" t="s">
        <v>19503</v>
      </c>
      <c r="B5583" t="s">
        <v>19504</v>
      </c>
    </row>
    <row r="5584" spans="1:2" x14ac:dyDescent="0.25">
      <c r="A5584" t="s">
        <v>19505</v>
      </c>
      <c r="B5584" t="s">
        <v>19506</v>
      </c>
    </row>
    <row r="5585" spans="1:2" x14ac:dyDescent="0.25">
      <c r="A5585" t="s">
        <v>19507</v>
      </c>
      <c r="B5585" t="s">
        <v>19508</v>
      </c>
    </row>
    <row r="5586" spans="1:2" x14ac:dyDescent="0.25">
      <c r="A5586" t="s">
        <v>19509</v>
      </c>
      <c r="B5586" t="s">
        <v>19510</v>
      </c>
    </row>
    <row r="5587" spans="1:2" x14ac:dyDescent="0.25">
      <c r="A5587" t="s">
        <v>19511</v>
      </c>
      <c r="B5587" t="s">
        <v>19512</v>
      </c>
    </row>
    <row r="5588" spans="1:2" x14ac:dyDescent="0.25">
      <c r="A5588" t="s">
        <v>19513</v>
      </c>
      <c r="B5588" t="s">
        <v>19514</v>
      </c>
    </row>
    <row r="5589" spans="1:2" x14ac:dyDescent="0.25">
      <c r="A5589" t="s">
        <v>19515</v>
      </c>
      <c r="B5589" t="s">
        <v>19516</v>
      </c>
    </row>
    <row r="5590" spans="1:2" x14ac:dyDescent="0.25">
      <c r="A5590" t="s">
        <v>19517</v>
      </c>
      <c r="B5590" t="s">
        <v>19518</v>
      </c>
    </row>
    <row r="5591" spans="1:2" x14ac:dyDescent="0.25">
      <c r="A5591" t="s">
        <v>19519</v>
      </c>
      <c r="B5591" t="s">
        <v>19520</v>
      </c>
    </row>
    <row r="5592" spans="1:2" x14ac:dyDescent="0.25">
      <c r="A5592" t="s">
        <v>19521</v>
      </c>
      <c r="B5592" t="s">
        <v>19522</v>
      </c>
    </row>
    <row r="5593" spans="1:2" x14ac:dyDescent="0.25">
      <c r="A5593" t="s">
        <v>19523</v>
      </c>
      <c r="B5593" t="s">
        <v>19524</v>
      </c>
    </row>
    <row r="5594" spans="1:2" x14ac:dyDescent="0.25">
      <c r="A5594" t="s">
        <v>19525</v>
      </c>
      <c r="B5594" t="s">
        <v>19526</v>
      </c>
    </row>
    <row r="5595" spans="1:2" x14ac:dyDescent="0.25">
      <c r="A5595" t="s">
        <v>19527</v>
      </c>
      <c r="B5595" t="s">
        <v>19528</v>
      </c>
    </row>
    <row r="5596" spans="1:2" x14ac:dyDescent="0.25">
      <c r="A5596" t="s">
        <v>19529</v>
      </c>
      <c r="B5596" t="s">
        <v>19530</v>
      </c>
    </row>
    <row r="5597" spans="1:2" x14ac:dyDescent="0.25">
      <c r="A5597" t="s">
        <v>19531</v>
      </c>
      <c r="B5597" t="s">
        <v>19532</v>
      </c>
    </row>
    <row r="5598" spans="1:2" x14ac:dyDescent="0.25">
      <c r="A5598" t="s">
        <v>913</v>
      </c>
      <c r="B5598" t="s">
        <v>19533</v>
      </c>
    </row>
    <row r="5599" spans="1:2" x14ac:dyDescent="0.25">
      <c r="A5599" t="s">
        <v>19534</v>
      </c>
      <c r="B5599" t="s">
        <v>19535</v>
      </c>
    </row>
    <row r="5600" spans="1:2" x14ac:dyDescent="0.25">
      <c r="A5600" t="s">
        <v>19536</v>
      </c>
      <c r="B5600" t="s">
        <v>19537</v>
      </c>
    </row>
    <row r="5601" spans="1:2" x14ac:dyDescent="0.25">
      <c r="A5601" t="s">
        <v>19538</v>
      </c>
      <c r="B5601" t="s">
        <v>19539</v>
      </c>
    </row>
    <row r="5602" spans="1:2" x14ac:dyDescent="0.25">
      <c r="A5602" t="s">
        <v>19540</v>
      </c>
      <c r="B5602" t="s">
        <v>19541</v>
      </c>
    </row>
    <row r="5603" spans="1:2" x14ac:dyDescent="0.25">
      <c r="A5603" t="s">
        <v>19542</v>
      </c>
      <c r="B5603" t="s">
        <v>19543</v>
      </c>
    </row>
    <row r="5604" spans="1:2" x14ac:dyDescent="0.25">
      <c r="A5604" t="s">
        <v>19544</v>
      </c>
      <c r="B5604" t="s">
        <v>19545</v>
      </c>
    </row>
    <row r="5605" spans="1:2" x14ac:dyDescent="0.25">
      <c r="A5605" t="s">
        <v>19546</v>
      </c>
      <c r="B5605" t="s">
        <v>19547</v>
      </c>
    </row>
    <row r="5606" spans="1:2" x14ac:dyDescent="0.25">
      <c r="A5606" t="s">
        <v>19548</v>
      </c>
      <c r="B5606" t="s">
        <v>19549</v>
      </c>
    </row>
    <row r="5607" spans="1:2" x14ac:dyDescent="0.25">
      <c r="A5607" t="s">
        <v>145</v>
      </c>
      <c r="B5607" t="s">
        <v>19550</v>
      </c>
    </row>
    <row r="5608" spans="1:2" x14ac:dyDescent="0.25">
      <c r="A5608" t="s">
        <v>19551</v>
      </c>
      <c r="B5608" t="s">
        <v>19552</v>
      </c>
    </row>
    <row r="5609" spans="1:2" x14ac:dyDescent="0.25">
      <c r="A5609" t="s">
        <v>19553</v>
      </c>
      <c r="B5609" t="s">
        <v>19554</v>
      </c>
    </row>
    <row r="5610" spans="1:2" x14ac:dyDescent="0.25">
      <c r="A5610" t="s">
        <v>19555</v>
      </c>
      <c r="B5610" t="s">
        <v>19556</v>
      </c>
    </row>
    <row r="5611" spans="1:2" x14ac:dyDescent="0.25">
      <c r="A5611" t="s">
        <v>19557</v>
      </c>
      <c r="B5611" t="s">
        <v>19558</v>
      </c>
    </row>
    <row r="5612" spans="1:2" x14ac:dyDescent="0.25">
      <c r="A5612" t="s">
        <v>19559</v>
      </c>
      <c r="B5612" t="s">
        <v>19560</v>
      </c>
    </row>
    <row r="5613" spans="1:2" x14ac:dyDescent="0.25">
      <c r="A5613" t="s">
        <v>19561</v>
      </c>
      <c r="B5613" t="s">
        <v>19562</v>
      </c>
    </row>
    <row r="5614" spans="1:2" x14ac:dyDescent="0.25">
      <c r="A5614" t="s">
        <v>19563</v>
      </c>
      <c r="B5614" t="s">
        <v>19564</v>
      </c>
    </row>
    <row r="5615" spans="1:2" x14ac:dyDescent="0.25">
      <c r="A5615" t="s">
        <v>19565</v>
      </c>
      <c r="B5615" t="s">
        <v>19566</v>
      </c>
    </row>
    <row r="5616" spans="1:2" x14ac:dyDescent="0.25">
      <c r="A5616" t="s">
        <v>19567</v>
      </c>
      <c r="B5616" t="s">
        <v>19568</v>
      </c>
    </row>
    <row r="5617" spans="1:2" x14ac:dyDescent="0.25">
      <c r="A5617" t="s">
        <v>19569</v>
      </c>
      <c r="B5617" t="s">
        <v>19570</v>
      </c>
    </row>
    <row r="5618" spans="1:2" x14ac:dyDescent="0.25">
      <c r="A5618" t="s">
        <v>19571</v>
      </c>
      <c r="B5618" t="s">
        <v>19572</v>
      </c>
    </row>
    <row r="5619" spans="1:2" x14ac:dyDescent="0.25">
      <c r="A5619" t="s">
        <v>19573</v>
      </c>
      <c r="B5619" t="s">
        <v>19574</v>
      </c>
    </row>
    <row r="5620" spans="1:2" x14ac:dyDescent="0.25">
      <c r="A5620" t="s">
        <v>19575</v>
      </c>
      <c r="B5620" t="s">
        <v>19576</v>
      </c>
    </row>
    <row r="5621" spans="1:2" x14ac:dyDescent="0.25">
      <c r="A5621" t="s">
        <v>19577</v>
      </c>
      <c r="B5621" t="s">
        <v>19578</v>
      </c>
    </row>
    <row r="5622" spans="1:2" x14ac:dyDescent="0.25">
      <c r="A5622" t="s">
        <v>19579</v>
      </c>
      <c r="B5622" t="s">
        <v>19580</v>
      </c>
    </row>
    <row r="5623" spans="1:2" x14ac:dyDescent="0.25">
      <c r="A5623" t="s">
        <v>19581</v>
      </c>
      <c r="B5623" t="s">
        <v>19582</v>
      </c>
    </row>
    <row r="5624" spans="1:2" x14ac:dyDescent="0.25">
      <c r="A5624" t="s">
        <v>19583</v>
      </c>
      <c r="B5624" t="s">
        <v>19584</v>
      </c>
    </row>
    <row r="5625" spans="1:2" x14ac:dyDescent="0.25">
      <c r="A5625" t="s">
        <v>654</v>
      </c>
      <c r="B5625" t="s">
        <v>19585</v>
      </c>
    </row>
    <row r="5626" spans="1:2" x14ac:dyDescent="0.25">
      <c r="A5626" t="s">
        <v>19586</v>
      </c>
      <c r="B5626" t="s">
        <v>19587</v>
      </c>
    </row>
    <row r="5627" spans="1:2" x14ac:dyDescent="0.25">
      <c r="A5627" t="s">
        <v>19588</v>
      </c>
      <c r="B5627" t="s">
        <v>19589</v>
      </c>
    </row>
    <row r="5628" spans="1:2" x14ac:dyDescent="0.25">
      <c r="A5628" t="s">
        <v>19590</v>
      </c>
      <c r="B5628" t="s">
        <v>19591</v>
      </c>
    </row>
    <row r="5629" spans="1:2" x14ac:dyDescent="0.25">
      <c r="A5629" t="s">
        <v>19592</v>
      </c>
      <c r="B5629" t="s">
        <v>19593</v>
      </c>
    </row>
    <row r="5630" spans="1:2" x14ac:dyDescent="0.25">
      <c r="A5630" t="s">
        <v>19594</v>
      </c>
      <c r="B5630" t="s">
        <v>19595</v>
      </c>
    </row>
    <row r="5631" spans="1:2" x14ac:dyDescent="0.25">
      <c r="A5631" t="s">
        <v>19596</v>
      </c>
      <c r="B5631" t="s">
        <v>19597</v>
      </c>
    </row>
    <row r="5632" spans="1:2" x14ac:dyDescent="0.25">
      <c r="A5632" t="s">
        <v>19598</v>
      </c>
      <c r="B5632" t="s">
        <v>19599</v>
      </c>
    </row>
    <row r="5633" spans="1:2" x14ac:dyDescent="0.25">
      <c r="A5633" t="s">
        <v>19600</v>
      </c>
      <c r="B5633" t="s">
        <v>19601</v>
      </c>
    </row>
    <row r="5634" spans="1:2" x14ac:dyDescent="0.25">
      <c r="A5634" t="s">
        <v>19602</v>
      </c>
      <c r="B5634" t="s">
        <v>19603</v>
      </c>
    </row>
    <row r="5635" spans="1:2" x14ac:dyDescent="0.25">
      <c r="A5635" t="s">
        <v>19604</v>
      </c>
      <c r="B5635" t="s">
        <v>19605</v>
      </c>
    </row>
    <row r="5636" spans="1:2" x14ac:dyDescent="0.25">
      <c r="A5636" t="s">
        <v>19606</v>
      </c>
      <c r="B5636" t="s">
        <v>19607</v>
      </c>
    </row>
    <row r="5637" spans="1:2" x14ac:dyDescent="0.25">
      <c r="A5637" t="s">
        <v>19608</v>
      </c>
      <c r="B5637" t="s">
        <v>19609</v>
      </c>
    </row>
    <row r="5638" spans="1:2" x14ac:dyDescent="0.25">
      <c r="A5638" t="s">
        <v>19610</v>
      </c>
      <c r="B5638" t="s">
        <v>19611</v>
      </c>
    </row>
    <row r="5639" spans="1:2" x14ac:dyDescent="0.25">
      <c r="A5639" t="s">
        <v>19612</v>
      </c>
      <c r="B5639" t="s">
        <v>16467</v>
      </c>
    </row>
    <row r="5640" spans="1:2" x14ac:dyDescent="0.25">
      <c r="A5640" t="s">
        <v>19613</v>
      </c>
      <c r="B5640" t="s">
        <v>19614</v>
      </c>
    </row>
    <row r="5641" spans="1:2" x14ac:dyDescent="0.25">
      <c r="A5641" t="s">
        <v>19615</v>
      </c>
      <c r="B5641" t="s">
        <v>19616</v>
      </c>
    </row>
    <row r="5642" spans="1:2" x14ac:dyDescent="0.25">
      <c r="A5642" t="s">
        <v>19617</v>
      </c>
      <c r="B5642" t="s">
        <v>19618</v>
      </c>
    </row>
    <row r="5643" spans="1:2" x14ac:dyDescent="0.25">
      <c r="A5643" t="s">
        <v>19619</v>
      </c>
      <c r="B5643" t="s">
        <v>19620</v>
      </c>
    </row>
    <row r="5644" spans="1:2" x14ac:dyDescent="0.25">
      <c r="A5644" t="s">
        <v>19621</v>
      </c>
      <c r="B5644" t="s">
        <v>19622</v>
      </c>
    </row>
    <row r="5645" spans="1:2" x14ac:dyDescent="0.25">
      <c r="A5645" t="s">
        <v>19623</v>
      </c>
      <c r="B5645" t="s">
        <v>19624</v>
      </c>
    </row>
    <row r="5646" spans="1:2" x14ac:dyDescent="0.25">
      <c r="A5646" t="s">
        <v>19625</v>
      </c>
      <c r="B5646" t="s">
        <v>19626</v>
      </c>
    </row>
    <row r="5647" spans="1:2" x14ac:dyDescent="0.25">
      <c r="A5647" t="s">
        <v>19627</v>
      </c>
      <c r="B5647" t="s">
        <v>19628</v>
      </c>
    </row>
    <row r="5648" spans="1:2" x14ac:dyDescent="0.25">
      <c r="A5648" t="s">
        <v>19629</v>
      </c>
      <c r="B5648" t="s">
        <v>19630</v>
      </c>
    </row>
    <row r="5649" spans="1:2" x14ac:dyDescent="0.25">
      <c r="A5649" t="s">
        <v>19631</v>
      </c>
      <c r="B5649" t="s">
        <v>19632</v>
      </c>
    </row>
    <row r="5650" spans="1:2" x14ac:dyDescent="0.25">
      <c r="A5650" t="s">
        <v>19633</v>
      </c>
      <c r="B5650" t="s">
        <v>19634</v>
      </c>
    </row>
    <row r="5651" spans="1:2" x14ac:dyDescent="0.25">
      <c r="A5651" t="s">
        <v>19635</v>
      </c>
      <c r="B5651" t="s">
        <v>19636</v>
      </c>
    </row>
    <row r="5652" spans="1:2" x14ac:dyDescent="0.25">
      <c r="A5652" t="s">
        <v>19637</v>
      </c>
      <c r="B5652" t="s">
        <v>19638</v>
      </c>
    </row>
    <row r="5653" spans="1:2" x14ac:dyDescent="0.25">
      <c r="A5653" t="s">
        <v>19639</v>
      </c>
      <c r="B5653" t="s">
        <v>19640</v>
      </c>
    </row>
    <row r="5654" spans="1:2" x14ac:dyDescent="0.25">
      <c r="A5654" t="s">
        <v>19641</v>
      </c>
      <c r="B5654" t="s">
        <v>19642</v>
      </c>
    </row>
    <row r="5655" spans="1:2" x14ac:dyDescent="0.25">
      <c r="A5655" t="s">
        <v>19643</v>
      </c>
      <c r="B5655" t="s">
        <v>19644</v>
      </c>
    </row>
    <row r="5656" spans="1:2" x14ac:dyDescent="0.25">
      <c r="A5656" t="s">
        <v>19645</v>
      </c>
      <c r="B5656" t="s">
        <v>19646</v>
      </c>
    </row>
    <row r="5657" spans="1:2" x14ac:dyDescent="0.25">
      <c r="A5657" t="s">
        <v>656</v>
      </c>
      <c r="B5657" t="s">
        <v>19647</v>
      </c>
    </row>
    <row r="5658" spans="1:2" x14ac:dyDescent="0.25">
      <c r="A5658" t="s">
        <v>19648</v>
      </c>
      <c r="B5658" t="s">
        <v>19649</v>
      </c>
    </row>
    <row r="5659" spans="1:2" x14ac:dyDescent="0.25">
      <c r="A5659" t="s">
        <v>19650</v>
      </c>
      <c r="B5659" t="s">
        <v>19651</v>
      </c>
    </row>
    <row r="5660" spans="1:2" x14ac:dyDescent="0.25">
      <c r="A5660" t="s">
        <v>19652</v>
      </c>
      <c r="B5660" t="s">
        <v>19653</v>
      </c>
    </row>
    <row r="5661" spans="1:2" x14ac:dyDescent="0.25">
      <c r="A5661" t="s">
        <v>19654</v>
      </c>
      <c r="B5661" t="s">
        <v>19655</v>
      </c>
    </row>
    <row r="5662" spans="1:2" x14ac:dyDescent="0.25">
      <c r="A5662" t="s">
        <v>19656</v>
      </c>
      <c r="B5662" t="s">
        <v>19657</v>
      </c>
    </row>
    <row r="5663" spans="1:2" x14ac:dyDescent="0.25">
      <c r="A5663" t="s">
        <v>19658</v>
      </c>
      <c r="B5663" t="s">
        <v>19659</v>
      </c>
    </row>
    <row r="5664" spans="1:2" x14ac:dyDescent="0.25">
      <c r="A5664" t="s">
        <v>19660</v>
      </c>
      <c r="B5664" t="s">
        <v>19661</v>
      </c>
    </row>
    <row r="5665" spans="1:2" x14ac:dyDescent="0.25">
      <c r="A5665" t="s">
        <v>19662</v>
      </c>
      <c r="B5665" t="s">
        <v>19663</v>
      </c>
    </row>
    <row r="5666" spans="1:2" x14ac:dyDescent="0.25">
      <c r="A5666" t="s">
        <v>19664</v>
      </c>
      <c r="B5666" t="s">
        <v>19665</v>
      </c>
    </row>
    <row r="5667" spans="1:2" x14ac:dyDescent="0.25">
      <c r="A5667" t="s">
        <v>19666</v>
      </c>
      <c r="B5667" t="s">
        <v>19667</v>
      </c>
    </row>
    <row r="5668" spans="1:2" x14ac:dyDescent="0.25">
      <c r="A5668" t="s">
        <v>19668</v>
      </c>
      <c r="B5668" t="s">
        <v>19669</v>
      </c>
    </row>
    <row r="5669" spans="1:2" x14ac:dyDescent="0.25">
      <c r="A5669" t="s">
        <v>19670</v>
      </c>
      <c r="B5669" t="s">
        <v>19671</v>
      </c>
    </row>
    <row r="5670" spans="1:2" x14ac:dyDescent="0.25">
      <c r="A5670" t="s">
        <v>658</v>
      </c>
      <c r="B5670" t="s">
        <v>19672</v>
      </c>
    </row>
    <row r="5671" spans="1:2" x14ac:dyDescent="0.25">
      <c r="A5671" t="s">
        <v>19673</v>
      </c>
      <c r="B5671" t="s">
        <v>19674</v>
      </c>
    </row>
    <row r="5672" spans="1:2" x14ac:dyDescent="0.25">
      <c r="A5672" t="s">
        <v>19675</v>
      </c>
      <c r="B5672" t="s">
        <v>19676</v>
      </c>
    </row>
    <row r="5673" spans="1:2" x14ac:dyDescent="0.25">
      <c r="A5673" t="s">
        <v>19677</v>
      </c>
      <c r="B5673" t="s">
        <v>19678</v>
      </c>
    </row>
    <row r="5674" spans="1:2" x14ac:dyDescent="0.25">
      <c r="A5674" t="s">
        <v>19679</v>
      </c>
      <c r="B5674" t="s">
        <v>19680</v>
      </c>
    </row>
    <row r="5675" spans="1:2" x14ac:dyDescent="0.25">
      <c r="A5675" t="s">
        <v>19681</v>
      </c>
      <c r="B5675" t="s">
        <v>19682</v>
      </c>
    </row>
    <row r="5676" spans="1:2" x14ac:dyDescent="0.25">
      <c r="A5676" t="s">
        <v>660</v>
      </c>
      <c r="B5676" t="s">
        <v>19683</v>
      </c>
    </row>
    <row r="5677" spans="1:2" x14ac:dyDescent="0.25">
      <c r="A5677" t="s">
        <v>19684</v>
      </c>
      <c r="B5677" t="s">
        <v>19685</v>
      </c>
    </row>
    <row r="5678" spans="1:2" x14ac:dyDescent="0.25">
      <c r="A5678" t="s">
        <v>19686</v>
      </c>
      <c r="B5678" t="s">
        <v>19687</v>
      </c>
    </row>
    <row r="5679" spans="1:2" x14ac:dyDescent="0.25">
      <c r="A5679" t="s">
        <v>19688</v>
      </c>
      <c r="B5679" t="s">
        <v>19689</v>
      </c>
    </row>
    <row r="5680" spans="1:2" x14ac:dyDescent="0.25">
      <c r="A5680" t="s">
        <v>662</v>
      </c>
      <c r="B5680" t="s">
        <v>19690</v>
      </c>
    </row>
    <row r="5681" spans="1:2" x14ac:dyDescent="0.25">
      <c r="A5681" t="s">
        <v>19691</v>
      </c>
      <c r="B5681" t="s">
        <v>19692</v>
      </c>
    </row>
    <row r="5682" spans="1:2" x14ac:dyDescent="0.25">
      <c r="A5682" t="s">
        <v>19693</v>
      </c>
      <c r="B5682" t="s">
        <v>19694</v>
      </c>
    </row>
    <row r="5683" spans="1:2" x14ac:dyDescent="0.25">
      <c r="A5683" t="s">
        <v>19695</v>
      </c>
      <c r="B5683" t="s">
        <v>19696</v>
      </c>
    </row>
    <row r="5684" spans="1:2" x14ac:dyDescent="0.25">
      <c r="A5684" t="s">
        <v>19697</v>
      </c>
      <c r="B5684" t="s">
        <v>19698</v>
      </c>
    </row>
    <row r="5685" spans="1:2" x14ac:dyDescent="0.25">
      <c r="A5685" t="s">
        <v>19699</v>
      </c>
      <c r="B5685" t="s">
        <v>19700</v>
      </c>
    </row>
    <row r="5686" spans="1:2" x14ac:dyDescent="0.25">
      <c r="A5686" t="s">
        <v>19701</v>
      </c>
      <c r="B5686" t="s">
        <v>19702</v>
      </c>
    </row>
    <row r="5687" spans="1:2" x14ac:dyDescent="0.25">
      <c r="A5687" t="s">
        <v>19703</v>
      </c>
      <c r="B5687" t="s">
        <v>19704</v>
      </c>
    </row>
    <row r="5688" spans="1:2" x14ac:dyDescent="0.25">
      <c r="A5688" t="s">
        <v>19705</v>
      </c>
      <c r="B5688" t="s">
        <v>19706</v>
      </c>
    </row>
    <row r="5689" spans="1:2" x14ac:dyDescent="0.25">
      <c r="A5689" t="s">
        <v>2521</v>
      </c>
      <c r="B5689" t="s">
        <v>19707</v>
      </c>
    </row>
    <row r="5690" spans="1:2" x14ac:dyDescent="0.25">
      <c r="A5690" t="s">
        <v>19708</v>
      </c>
      <c r="B5690" t="s">
        <v>19709</v>
      </c>
    </row>
    <row r="5691" spans="1:2" x14ac:dyDescent="0.25">
      <c r="A5691" t="s">
        <v>19710</v>
      </c>
      <c r="B5691" t="s">
        <v>19711</v>
      </c>
    </row>
    <row r="5692" spans="1:2" x14ac:dyDescent="0.25">
      <c r="A5692" t="s">
        <v>19712</v>
      </c>
      <c r="B5692" t="s">
        <v>19713</v>
      </c>
    </row>
    <row r="5693" spans="1:2" x14ac:dyDescent="0.25">
      <c r="A5693" t="s">
        <v>19714</v>
      </c>
      <c r="B5693" t="s">
        <v>19715</v>
      </c>
    </row>
    <row r="5694" spans="1:2" x14ac:dyDescent="0.25">
      <c r="A5694" t="s">
        <v>19716</v>
      </c>
      <c r="B5694" t="s">
        <v>19717</v>
      </c>
    </row>
    <row r="5695" spans="1:2" x14ac:dyDescent="0.25">
      <c r="A5695" t="s">
        <v>19718</v>
      </c>
      <c r="B5695" t="s">
        <v>19719</v>
      </c>
    </row>
    <row r="5696" spans="1:2" x14ac:dyDescent="0.25">
      <c r="A5696" t="s">
        <v>19720</v>
      </c>
      <c r="B5696" t="s">
        <v>19721</v>
      </c>
    </row>
    <row r="5697" spans="1:2" x14ac:dyDescent="0.25">
      <c r="A5697" t="s">
        <v>19722</v>
      </c>
      <c r="B5697" t="s">
        <v>19723</v>
      </c>
    </row>
    <row r="5698" spans="1:2" x14ac:dyDescent="0.25">
      <c r="A5698" t="s">
        <v>19724</v>
      </c>
      <c r="B5698" t="s">
        <v>19725</v>
      </c>
    </row>
    <row r="5699" spans="1:2" x14ac:dyDescent="0.25">
      <c r="A5699" t="s">
        <v>19726</v>
      </c>
      <c r="B5699" t="s">
        <v>19727</v>
      </c>
    </row>
    <row r="5700" spans="1:2" x14ac:dyDescent="0.25">
      <c r="A5700" t="s">
        <v>19728</v>
      </c>
      <c r="B5700" t="s">
        <v>19729</v>
      </c>
    </row>
    <row r="5701" spans="1:2" x14ac:dyDescent="0.25">
      <c r="A5701" t="s">
        <v>19730</v>
      </c>
      <c r="B5701" t="s">
        <v>19731</v>
      </c>
    </row>
    <row r="5702" spans="1:2" x14ac:dyDescent="0.25">
      <c r="A5702" t="s">
        <v>2738</v>
      </c>
      <c r="B5702" t="s">
        <v>19732</v>
      </c>
    </row>
    <row r="5703" spans="1:2" x14ac:dyDescent="0.25">
      <c r="A5703" t="s">
        <v>19733</v>
      </c>
      <c r="B5703" t="s">
        <v>19734</v>
      </c>
    </row>
    <row r="5704" spans="1:2" x14ac:dyDescent="0.25">
      <c r="A5704" t="s">
        <v>19735</v>
      </c>
      <c r="B5704" t="s">
        <v>19736</v>
      </c>
    </row>
    <row r="5705" spans="1:2" x14ac:dyDescent="0.25">
      <c r="A5705" t="s">
        <v>19737</v>
      </c>
      <c r="B5705" t="s">
        <v>19738</v>
      </c>
    </row>
    <row r="5706" spans="1:2" x14ac:dyDescent="0.25">
      <c r="A5706" t="s">
        <v>19739</v>
      </c>
      <c r="B5706" t="s">
        <v>19740</v>
      </c>
    </row>
    <row r="5707" spans="1:2" x14ac:dyDescent="0.25">
      <c r="A5707" t="s">
        <v>19741</v>
      </c>
      <c r="B5707" t="s">
        <v>19742</v>
      </c>
    </row>
    <row r="5708" spans="1:2" x14ac:dyDescent="0.25">
      <c r="A5708" t="s">
        <v>19743</v>
      </c>
      <c r="B5708" t="s">
        <v>19744</v>
      </c>
    </row>
    <row r="5709" spans="1:2" x14ac:dyDescent="0.25">
      <c r="A5709" t="s">
        <v>19745</v>
      </c>
      <c r="B5709" t="s">
        <v>19746</v>
      </c>
    </row>
    <row r="5710" spans="1:2" x14ac:dyDescent="0.25">
      <c r="A5710" t="s">
        <v>19747</v>
      </c>
      <c r="B5710" t="s">
        <v>19748</v>
      </c>
    </row>
    <row r="5711" spans="1:2" x14ac:dyDescent="0.25">
      <c r="A5711" t="s">
        <v>19749</v>
      </c>
      <c r="B5711" t="s">
        <v>19750</v>
      </c>
    </row>
    <row r="5712" spans="1:2" x14ac:dyDescent="0.25">
      <c r="A5712" t="s">
        <v>2523</v>
      </c>
      <c r="B5712" t="s">
        <v>19751</v>
      </c>
    </row>
    <row r="5713" spans="1:2" x14ac:dyDescent="0.25">
      <c r="A5713" t="s">
        <v>664</v>
      </c>
      <c r="B5713" t="s">
        <v>19752</v>
      </c>
    </row>
    <row r="5714" spans="1:2" x14ac:dyDescent="0.25">
      <c r="A5714" t="s">
        <v>19753</v>
      </c>
      <c r="B5714" t="s">
        <v>19754</v>
      </c>
    </row>
    <row r="5715" spans="1:2" x14ac:dyDescent="0.25">
      <c r="A5715" t="s">
        <v>19755</v>
      </c>
      <c r="B5715" t="s">
        <v>19756</v>
      </c>
    </row>
    <row r="5716" spans="1:2" x14ac:dyDescent="0.25">
      <c r="A5716" t="s">
        <v>19757</v>
      </c>
      <c r="B5716" t="s">
        <v>19758</v>
      </c>
    </row>
    <row r="5717" spans="1:2" x14ac:dyDescent="0.25">
      <c r="A5717" t="s">
        <v>19759</v>
      </c>
      <c r="B5717" t="s">
        <v>19760</v>
      </c>
    </row>
    <row r="5718" spans="1:2" x14ac:dyDescent="0.25">
      <c r="A5718" t="s">
        <v>19761</v>
      </c>
      <c r="B5718" t="s">
        <v>19762</v>
      </c>
    </row>
    <row r="5719" spans="1:2" x14ac:dyDescent="0.25">
      <c r="A5719" t="s">
        <v>19763</v>
      </c>
      <c r="B5719" t="s">
        <v>19764</v>
      </c>
    </row>
    <row r="5720" spans="1:2" x14ac:dyDescent="0.25">
      <c r="A5720" t="s">
        <v>19765</v>
      </c>
      <c r="B5720" t="s">
        <v>19766</v>
      </c>
    </row>
    <row r="5721" spans="1:2" x14ac:dyDescent="0.25">
      <c r="A5721" t="s">
        <v>19767</v>
      </c>
      <c r="B5721" t="s">
        <v>19768</v>
      </c>
    </row>
    <row r="5722" spans="1:2" x14ac:dyDescent="0.25">
      <c r="A5722" t="s">
        <v>19769</v>
      </c>
      <c r="B5722" t="s">
        <v>19770</v>
      </c>
    </row>
    <row r="5723" spans="1:2" x14ac:dyDescent="0.25">
      <c r="A5723" t="s">
        <v>19771</v>
      </c>
      <c r="B5723" t="s">
        <v>19772</v>
      </c>
    </row>
    <row r="5724" spans="1:2" x14ac:dyDescent="0.25">
      <c r="A5724" t="s">
        <v>19773</v>
      </c>
      <c r="B5724" t="s">
        <v>19774</v>
      </c>
    </row>
    <row r="5725" spans="1:2" x14ac:dyDescent="0.25">
      <c r="A5725" t="s">
        <v>19775</v>
      </c>
      <c r="B5725" t="s">
        <v>19776</v>
      </c>
    </row>
    <row r="5726" spans="1:2" x14ac:dyDescent="0.25">
      <c r="A5726" t="s">
        <v>19777</v>
      </c>
      <c r="B5726" t="s">
        <v>19778</v>
      </c>
    </row>
    <row r="5727" spans="1:2" x14ac:dyDescent="0.25">
      <c r="A5727" t="s">
        <v>19779</v>
      </c>
      <c r="B5727" t="s">
        <v>19780</v>
      </c>
    </row>
    <row r="5728" spans="1:2" x14ac:dyDescent="0.25">
      <c r="A5728" t="s">
        <v>19781</v>
      </c>
      <c r="B5728" t="s">
        <v>19782</v>
      </c>
    </row>
    <row r="5729" spans="1:2" x14ac:dyDescent="0.25">
      <c r="A5729" t="s">
        <v>19783</v>
      </c>
      <c r="B5729" t="s">
        <v>19784</v>
      </c>
    </row>
    <row r="5730" spans="1:2" x14ac:dyDescent="0.25">
      <c r="A5730" t="s">
        <v>19785</v>
      </c>
      <c r="B5730" t="s">
        <v>19786</v>
      </c>
    </row>
    <row r="5731" spans="1:2" x14ac:dyDescent="0.25">
      <c r="A5731" t="s">
        <v>19787</v>
      </c>
      <c r="B5731" t="s">
        <v>19788</v>
      </c>
    </row>
    <row r="5732" spans="1:2" x14ac:dyDescent="0.25">
      <c r="A5732" t="s">
        <v>19789</v>
      </c>
      <c r="B5732" t="s">
        <v>19790</v>
      </c>
    </row>
    <row r="5733" spans="1:2" x14ac:dyDescent="0.25">
      <c r="A5733" t="s">
        <v>19791</v>
      </c>
      <c r="B5733" t="s">
        <v>19792</v>
      </c>
    </row>
    <row r="5734" spans="1:2" x14ac:dyDescent="0.25">
      <c r="A5734" t="s">
        <v>19793</v>
      </c>
      <c r="B5734" t="s">
        <v>19794</v>
      </c>
    </row>
    <row r="5735" spans="1:2" x14ac:dyDescent="0.25">
      <c r="A5735" t="s">
        <v>19795</v>
      </c>
      <c r="B5735" t="s">
        <v>19796</v>
      </c>
    </row>
    <row r="5736" spans="1:2" x14ac:dyDescent="0.25">
      <c r="A5736" t="s">
        <v>19797</v>
      </c>
      <c r="B5736" t="s">
        <v>19798</v>
      </c>
    </row>
    <row r="5737" spans="1:2" x14ac:dyDescent="0.25">
      <c r="A5737" t="s">
        <v>19799</v>
      </c>
      <c r="B5737" t="s">
        <v>19800</v>
      </c>
    </row>
    <row r="5738" spans="1:2" x14ac:dyDescent="0.25">
      <c r="A5738" t="s">
        <v>19801</v>
      </c>
      <c r="B5738" t="s">
        <v>19802</v>
      </c>
    </row>
    <row r="5739" spans="1:2" x14ac:dyDescent="0.25">
      <c r="A5739" t="s">
        <v>19803</v>
      </c>
      <c r="B5739" t="s">
        <v>19804</v>
      </c>
    </row>
    <row r="5740" spans="1:2" x14ac:dyDescent="0.25">
      <c r="A5740" t="s">
        <v>19805</v>
      </c>
      <c r="B5740" t="s">
        <v>19806</v>
      </c>
    </row>
    <row r="5741" spans="1:2" x14ac:dyDescent="0.25">
      <c r="A5741" t="s">
        <v>19807</v>
      </c>
      <c r="B5741" t="s">
        <v>19808</v>
      </c>
    </row>
    <row r="5742" spans="1:2" x14ac:dyDescent="0.25">
      <c r="A5742" t="s">
        <v>19809</v>
      </c>
      <c r="B5742" t="s">
        <v>19810</v>
      </c>
    </row>
    <row r="5743" spans="1:2" x14ac:dyDescent="0.25">
      <c r="A5743" t="s">
        <v>19811</v>
      </c>
      <c r="B5743" t="s">
        <v>19812</v>
      </c>
    </row>
    <row r="5744" spans="1:2" x14ac:dyDescent="0.25">
      <c r="A5744" t="s">
        <v>19813</v>
      </c>
      <c r="B5744" t="s">
        <v>19814</v>
      </c>
    </row>
    <row r="5745" spans="1:2" x14ac:dyDescent="0.25">
      <c r="A5745" t="s">
        <v>19815</v>
      </c>
      <c r="B5745" t="s">
        <v>19816</v>
      </c>
    </row>
    <row r="5746" spans="1:2" x14ac:dyDescent="0.25">
      <c r="A5746" t="s">
        <v>19817</v>
      </c>
      <c r="B5746" t="s">
        <v>19818</v>
      </c>
    </row>
    <row r="5747" spans="1:2" x14ac:dyDescent="0.25">
      <c r="A5747" t="s">
        <v>19819</v>
      </c>
      <c r="B5747" t="s">
        <v>19820</v>
      </c>
    </row>
    <row r="5748" spans="1:2" x14ac:dyDescent="0.25">
      <c r="A5748" t="s">
        <v>19821</v>
      </c>
      <c r="B5748" t="s">
        <v>19822</v>
      </c>
    </row>
    <row r="5749" spans="1:2" x14ac:dyDescent="0.25">
      <c r="A5749" t="s">
        <v>19823</v>
      </c>
      <c r="B5749" t="s">
        <v>19824</v>
      </c>
    </row>
    <row r="5750" spans="1:2" x14ac:dyDescent="0.25">
      <c r="A5750" t="s">
        <v>19825</v>
      </c>
      <c r="B5750" t="s">
        <v>19826</v>
      </c>
    </row>
    <row r="5751" spans="1:2" x14ac:dyDescent="0.25">
      <c r="A5751" t="s">
        <v>19827</v>
      </c>
      <c r="B5751" t="s">
        <v>19818</v>
      </c>
    </row>
    <row r="5752" spans="1:2" x14ac:dyDescent="0.25">
      <c r="A5752" t="s">
        <v>19828</v>
      </c>
      <c r="B5752" t="s">
        <v>19829</v>
      </c>
    </row>
    <row r="5753" spans="1:2" x14ac:dyDescent="0.25">
      <c r="A5753" t="s">
        <v>19830</v>
      </c>
      <c r="B5753" t="s">
        <v>19831</v>
      </c>
    </row>
    <row r="5754" spans="1:2" x14ac:dyDescent="0.25">
      <c r="A5754" t="s">
        <v>19832</v>
      </c>
      <c r="B5754" t="s">
        <v>19833</v>
      </c>
    </row>
    <row r="5755" spans="1:2" x14ac:dyDescent="0.25">
      <c r="A5755" t="s">
        <v>19834</v>
      </c>
      <c r="B5755" t="s">
        <v>19835</v>
      </c>
    </row>
    <row r="5756" spans="1:2" x14ac:dyDescent="0.25">
      <c r="A5756" t="s">
        <v>19836</v>
      </c>
      <c r="B5756" t="s">
        <v>19837</v>
      </c>
    </row>
    <row r="5757" spans="1:2" x14ac:dyDescent="0.25">
      <c r="A5757" t="s">
        <v>1568</v>
      </c>
      <c r="B5757" t="s">
        <v>19838</v>
      </c>
    </row>
    <row r="5758" spans="1:2" x14ac:dyDescent="0.25">
      <c r="A5758" t="s">
        <v>146</v>
      </c>
      <c r="B5758" t="s">
        <v>19839</v>
      </c>
    </row>
    <row r="5759" spans="1:2" x14ac:dyDescent="0.25">
      <c r="A5759" t="s">
        <v>19840</v>
      </c>
      <c r="B5759" t="s">
        <v>19841</v>
      </c>
    </row>
    <row r="5760" spans="1:2" x14ac:dyDescent="0.25">
      <c r="A5760" t="s">
        <v>19842</v>
      </c>
      <c r="B5760" t="s">
        <v>19843</v>
      </c>
    </row>
    <row r="5761" spans="1:2" x14ac:dyDescent="0.25">
      <c r="A5761" t="s">
        <v>19844</v>
      </c>
      <c r="B5761" t="s">
        <v>19845</v>
      </c>
    </row>
    <row r="5762" spans="1:2" x14ac:dyDescent="0.25">
      <c r="A5762" t="s">
        <v>19846</v>
      </c>
      <c r="B5762" t="s">
        <v>19847</v>
      </c>
    </row>
    <row r="5763" spans="1:2" x14ac:dyDescent="0.25">
      <c r="A5763" t="s">
        <v>19848</v>
      </c>
      <c r="B5763" t="s">
        <v>19849</v>
      </c>
    </row>
    <row r="5764" spans="1:2" x14ac:dyDescent="0.25">
      <c r="A5764" t="s">
        <v>19850</v>
      </c>
      <c r="B5764" t="s">
        <v>19851</v>
      </c>
    </row>
    <row r="5765" spans="1:2" x14ac:dyDescent="0.25">
      <c r="A5765" t="s">
        <v>19852</v>
      </c>
      <c r="B5765" t="s">
        <v>19853</v>
      </c>
    </row>
    <row r="5766" spans="1:2" x14ac:dyDescent="0.25">
      <c r="A5766" t="s">
        <v>19854</v>
      </c>
      <c r="B5766" t="s">
        <v>19855</v>
      </c>
    </row>
    <row r="5767" spans="1:2" x14ac:dyDescent="0.25">
      <c r="A5767" t="s">
        <v>19856</v>
      </c>
      <c r="B5767" t="s">
        <v>19857</v>
      </c>
    </row>
    <row r="5768" spans="1:2" x14ac:dyDescent="0.25">
      <c r="A5768" t="s">
        <v>19858</v>
      </c>
      <c r="B5768" t="s">
        <v>19859</v>
      </c>
    </row>
    <row r="5769" spans="1:2" x14ac:dyDescent="0.25">
      <c r="A5769" t="s">
        <v>19860</v>
      </c>
      <c r="B5769" t="s">
        <v>19861</v>
      </c>
    </row>
    <row r="5770" spans="1:2" x14ac:dyDescent="0.25">
      <c r="A5770" t="s">
        <v>19862</v>
      </c>
      <c r="B5770" t="s">
        <v>19863</v>
      </c>
    </row>
    <row r="5771" spans="1:2" x14ac:dyDescent="0.25">
      <c r="A5771" t="s">
        <v>19864</v>
      </c>
      <c r="B5771" t="s">
        <v>19865</v>
      </c>
    </row>
    <row r="5772" spans="1:2" x14ac:dyDescent="0.25">
      <c r="A5772" t="s">
        <v>19866</v>
      </c>
      <c r="B5772" t="s">
        <v>19867</v>
      </c>
    </row>
    <row r="5773" spans="1:2" x14ac:dyDescent="0.25">
      <c r="A5773" t="s">
        <v>19868</v>
      </c>
      <c r="B5773" t="s">
        <v>19869</v>
      </c>
    </row>
    <row r="5774" spans="1:2" x14ac:dyDescent="0.25">
      <c r="A5774" t="s">
        <v>19870</v>
      </c>
      <c r="B5774" t="s">
        <v>19871</v>
      </c>
    </row>
    <row r="5775" spans="1:2" x14ac:dyDescent="0.25">
      <c r="A5775" t="s">
        <v>19872</v>
      </c>
      <c r="B5775" t="s">
        <v>19873</v>
      </c>
    </row>
    <row r="5776" spans="1:2" x14ac:dyDescent="0.25">
      <c r="A5776" t="s">
        <v>19874</v>
      </c>
      <c r="B5776" t="s">
        <v>19875</v>
      </c>
    </row>
    <row r="5777" spans="1:2" x14ac:dyDescent="0.25">
      <c r="A5777" t="s">
        <v>19876</v>
      </c>
      <c r="B5777" t="s">
        <v>19877</v>
      </c>
    </row>
    <row r="5778" spans="1:2" x14ac:dyDescent="0.25">
      <c r="A5778" t="s">
        <v>19878</v>
      </c>
      <c r="B5778" t="s">
        <v>19879</v>
      </c>
    </row>
    <row r="5779" spans="1:2" x14ac:dyDescent="0.25">
      <c r="A5779" t="s">
        <v>19880</v>
      </c>
      <c r="B5779" t="s">
        <v>19881</v>
      </c>
    </row>
    <row r="5780" spans="1:2" x14ac:dyDescent="0.25">
      <c r="A5780" t="s">
        <v>19882</v>
      </c>
      <c r="B5780" t="s">
        <v>19883</v>
      </c>
    </row>
    <row r="5781" spans="1:2" x14ac:dyDescent="0.25">
      <c r="A5781" t="s">
        <v>19884</v>
      </c>
      <c r="B5781" t="s">
        <v>19885</v>
      </c>
    </row>
    <row r="5782" spans="1:2" x14ac:dyDescent="0.25">
      <c r="A5782" t="s">
        <v>19886</v>
      </c>
      <c r="B5782" t="s">
        <v>19887</v>
      </c>
    </row>
    <row r="5783" spans="1:2" x14ac:dyDescent="0.25">
      <c r="A5783" t="s">
        <v>19888</v>
      </c>
      <c r="B5783" t="s">
        <v>19889</v>
      </c>
    </row>
    <row r="5784" spans="1:2" x14ac:dyDescent="0.25">
      <c r="A5784" t="s">
        <v>19890</v>
      </c>
      <c r="B5784" t="s">
        <v>19891</v>
      </c>
    </row>
    <row r="5785" spans="1:2" x14ac:dyDescent="0.25">
      <c r="A5785" t="s">
        <v>19892</v>
      </c>
      <c r="B5785" t="s">
        <v>19893</v>
      </c>
    </row>
    <row r="5786" spans="1:2" x14ac:dyDescent="0.25">
      <c r="A5786" t="s">
        <v>19894</v>
      </c>
      <c r="B5786" t="s">
        <v>19895</v>
      </c>
    </row>
    <row r="5787" spans="1:2" x14ac:dyDescent="0.25">
      <c r="A5787" t="s">
        <v>19896</v>
      </c>
      <c r="B5787" t="s">
        <v>19897</v>
      </c>
    </row>
    <row r="5788" spans="1:2" x14ac:dyDescent="0.25">
      <c r="A5788" t="s">
        <v>19898</v>
      </c>
      <c r="B5788" t="s">
        <v>19899</v>
      </c>
    </row>
    <row r="5789" spans="1:2" x14ac:dyDescent="0.25">
      <c r="A5789" t="s">
        <v>19900</v>
      </c>
      <c r="B5789" t="s">
        <v>19901</v>
      </c>
    </row>
    <row r="5790" spans="1:2" x14ac:dyDescent="0.25">
      <c r="A5790" t="s">
        <v>19902</v>
      </c>
      <c r="B5790" t="s">
        <v>19903</v>
      </c>
    </row>
    <row r="5791" spans="1:2" x14ac:dyDescent="0.25">
      <c r="A5791" t="s">
        <v>19904</v>
      </c>
      <c r="B5791" t="s">
        <v>19905</v>
      </c>
    </row>
    <row r="5792" spans="1:2" x14ac:dyDescent="0.25">
      <c r="A5792" t="s">
        <v>19906</v>
      </c>
      <c r="B5792" t="s">
        <v>19907</v>
      </c>
    </row>
    <row r="5793" spans="1:2" x14ac:dyDescent="0.25">
      <c r="A5793" t="s">
        <v>19908</v>
      </c>
      <c r="B5793" t="s">
        <v>19909</v>
      </c>
    </row>
    <row r="5794" spans="1:2" x14ac:dyDescent="0.25">
      <c r="A5794" t="s">
        <v>19910</v>
      </c>
      <c r="B5794" t="s">
        <v>19911</v>
      </c>
    </row>
    <row r="5795" spans="1:2" x14ac:dyDescent="0.25">
      <c r="A5795" t="s">
        <v>19912</v>
      </c>
      <c r="B5795" t="s">
        <v>19913</v>
      </c>
    </row>
    <row r="5796" spans="1:2" x14ac:dyDescent="0.25">
      <c r="A5796" t="s">
        <v>19914</v>
      </c>
      <c r="B5796" t="s">
        <v>19915</v>
      </c>
    </row>
    <row r="5797" spans="1:2" x14ac:dyDescent="0.25">
      <c r="A5797" t="s">
        <v>4</v>
      </c>
      <c r="B5797" t="s">
        <v>19916</v>
      </c>
    </row>
    <row r="5798" spans="1:2" x14ac:dyDescent="0.25">
      <c r="A5798" t="s">
        <v>19917</v>
      </c>
      <c r="B5798" t="s">
        <v>19918</v>
      </c>
    </row>
    <row r="5799" spans="1:2" x14ac:dyDescent="0.25">
      <c r="A5799" t="s">
        <v>19919</v>
      </c>
      <c r="B5799" t="s">
        <v>19920</v>
      </c>
    </row>
    <row r="5800" spans="1:2" x14ac:dyDescent="0.25">
      <c r="A5800" t="s">
        <v>19921</v>
      </c>
      <c r="B5800" t="s">
        <v>19922</v>
      </c>
    </row>
    <row r="5801" spans="1:2" x14ac:dyDescent="0.25">
      <c r="A5801" t="s">
        <v>19923</v>
      </c>
      <c r="B5801" t="s">
        <v>19924</v>
      </c>
    </row>
    <row r="5802" spans="1:2" x14ac:dyDescent="0.25">
      <c r="A5802" t="s">
        <v>19925</v>
      </c>
      <c r="B5802" t="s">
        <v>19926</v>
      </c>
    </row>
    <row r="5803" spans="1:2" x14ac:dyDescent="0.25">
      <c r="A5803" t="s">
        <v>19927</v>
      </c>
      <c r="B5803" t="s">
        <v>19928</v>
      </c>
    </row>
    <row r="5804" spans="1:2" x14ac:dyDescent="0.25">
      <c r="A5804" t="s">
        <v>19929</v>
      </c>
      <c r="B5804" t="s">
        <v>19930</v>
      </c>
    </row>
    <row r="5805" spans="1:2" x14ac:dyDescent="0.25">
      <c r="A5805" t="s">
        <v>19931</v>
      </c>
      <c r="B5805" t="s">
        <v>19932</v>
      </c>
    </row>
    <row r="5806" spans="1:2" x14ac:dyDescent="0.25">
      <c r="A5806" t="s">
        <v>19933</v>
      </c>
      <c r="B5806" t="s">
        <v>19934</v>
      </c>
    </row>
    <row r="5807" spans="1:2" x14ac:dyDescent="0.25">
      <c r="A5807" t="s">
        <v>19935</v>
      </c>
      <c r="B5807" t="s">
        <v>19936</v>
      </c>
    </row>
    <row r="5808" spans="1:2" x14ac:dyDescent="0.25">
      <c r="A5808" t="s">
        <v>19937</v>
      </c>
      <c r="B5808" t="s">
        <v>19938</v>
      </c>
    </row>
    <row r="5809" spans="1:2" x14ac:dyDescent="0.25">
      <c r="A5809" t="s">
        <v>19939</v>
      </c>
      <c r="B5809" t="s">
        <v>19940</v>
      </c>
    </row>
    <row r="5810" spans="1:2" x14ac:dyDescent="0.25">
      <c r="A5810" t="s">
        <v>19941</v>
      </c>
      <c r="B5810" t="s">
        <v>19942</v>
      </c>
    </row>
    <row r="5811" spans="1:2" x14ac:dyDescent="0.25">
      <c r="A5811" t="s">
        <v>19943</v>
      </c>
      <c r="B5811" t="s">
        <v>19944</v>
      </c>
    </row>
    <row r="5812" spans="1:2" x14ac:dyDescent="0.25">
      <c r="A5812" t="s">
        <v>19945</v>
      </c>
      <c r="B5812" t="s">
        <v>19946</v>
      </c>
    </row>
    <row r="5813" spans="1:2" x14ac:dyDescent="0.25">
      <c r="A5813" t="s">
        <v>19947</v>
      </c>
      <c r="B5813" t="s">
        <v>19948</v>
      </c>
    </row>
    <row r="5814" spans="1:2" x14ac:dyDescent="0.25">
      <c r="A5814" t="s">
        <v>19949</v>
      </c>
      <c r="B5814" t="s">
        <v>19950</v>
      </c>
    </row>
    <row r="5815" spans="1:2" x14ac:dyDescent="0.25">
      <c r="A5815" t="s">
        <v>19951</v>
      </c>
      <c r="B5815" t="s">
        <v>19952</v>
      </c>
    </row>
    <row r="5816" spans="1:2" x14ac:dyDescent="0.25">
      <c r="A5816" t="s">
        <v>19953</v>
      </c>
      <c r="B5816" t="s">
        <v>19954</v>
      </c>
    </row>
    <row r="5817" spans="1:2" x14ac:dyDescent="0.25">
      <c r="A5817" t="s">
        <v>19955</v>
      </c>
      <c r="B5817" t="s">
        <v>19956</v>
      </c>
    </row>
    <row r="5818" spans="1:2" x14ac:dyDescent="0.25">
      <c r="A5818" t="s">
        <v>19957</v>
      </c>
      <c r="B5818" t="s">
        <v>19958</v>
      </c>
    </row>
    <row r="5819" spans="1:2" x14ac:dyDescent="0.25">
      <c r="A5819" t="s">
        <v>19959</v>
      </c>
      <c r="B5819" t="s">
        <v>19960</v>
      </c>
    </row>
    <row r="5820" spans="1:2" x14ac:dyDescent="0.25">
      <c r="A5820" t="s">
        <v>19961</v>
      </c>
      <c r="B5820" t="s">
        <v>19962</v>
      </c>
    </row>
    <row r="5821" spans="1:2" x14ac:dyDescent="0.25">
      <c r="A5821" t="s">
        <v>147</v>
      </c>
      <c r="B5821" t="s">
        <v>19963</v>
      </c>
    </row>
    <row r="5822" spans="1:2" x14ac:dyDescent="0.25">
      <c r="A5822" t="s">
        <v>19964</v>
      </c>
      <c r="B5822" t="s">
        <v>19965</v>
      </c>
    </row>
    <row r="5823" spans="1:2" x14ac:dyDescent="0.25">
      <c r="A5823" t="s">
        <v>19966</v>
      </c>
      <c r="B5823" t="s">
        <v>19967</v>
      </c>
    </row>
    <row r="5824" spans="1:2" x14ac:dyDescent="0.25">
      <c r="A5824" t="s">
        <v>19968</v>
      </c>
      <c r="B5824" t="s">
        <v>19969</v>
      </c>
    </row>
    <row r="5825" spans="1:2" x14ac:dyDescent="0.25">
      <c r="A5825" t="s">
        <v>19970</v>
      </c>
      <c r="B5825" t="s">
        <v>19971</v>
      </c>
    </row>
    <row r="5826" spans="1:2" x14ac:dyDescent="0.25">
      <c r="A5826" t="s">
        <v>19972</v>
      </c>
      <c r="B5826" t="s">
        <v>19973</v>
      </c>
    </row>
    <row r="5827" spans="1:2" x14ac:dyDescent="0.25">
      <c r="A5827" t="s">
        <v>19974</v>
      </c>
      <c r="B5827" t="s">
        <v>19975</v>
      </c>
    </row>
    <row r="5828" spans="1:2" x14ac:dyDescent="0.25">
      <c r="A5828" t="s">
        <v>19976</v>
      </c>
      <c r="B5828" t="s">
        <v>19977</v>
      </c>
    </row>
    <row r="5829" spans="1:2" x14ac:dyDescent="0.25">
      <c r="A5829" t="s">
        <v>19978</v>
      </c>
      <c r="B5829" t="s">
        <v>19979</v>
      </c>
    </row>
    <row r="5830" spans="1:2" x14ac:dyDescent="0.25">
      <c r="A5830" t="s">
        <v>19980</v>
      </c>
      <c r="B5830" t="s">
        <v>19981</v>
      </c>
    </row>
    <row r="5831" spans="1:2" x14ac:dyDescent="0.25">
      <c r="A5831" t="s">
        <v>19982</v>
      </c>
      <c r="B5831" t="s">
        <v>19983</v>
      </c>
    </row>
    <row r="5832" spans="1:2" x14ac:dyDescent="0.25">
      <c r="A5832" t="s">
        <v>19984</v>
      </c>
      <c r="B5832" t="s">
        <v>19985</v>
      </c>
    </row>
    <row r="5833" spans="1:2" x14ac:dyDescent="0.25">
      <c r="A5833" t="s">
        <v>19986</v>
      </c>
      <c r="B5833" t="s">
        <v>19987</v>
      </c>
    </row>
    <row r="5834" spans="1:2" x14ac:dyDescent="0.25">
      <c r="A5834" t="s">
        <v>19988</v>
      </c>
      <c r="B5834" t="s">
        <v>19989</v>
      </c>
    </row>
    <row r="5835" spans="1:2" x14ac:dyDescent="0.25">
      <c r="A5835" t="s">
        <v>19990</v>
      </c>
      <c r="B5835" t="s">
        <v>19991</v>
      </c>
    </row>
    <row r="5836" spans="1:2" x14ac:dyDescent="0.25">
      <c r="A5836" t="s">
        <v>19992</v>
      </c>
      <c r="B5836" t="s">
        <v>19993</v>
      </c>
    </row>
    <row r="5837" spans="1:2" x14ac:dyDescent="0.25">
      <c r="A5837" t="s">
        <v>19994</v>
      </c>
      <c r="B5837" t="s">
        <v>19995</v>
      </c>
    </row>
    <row r="5838" spans="1:2" x14ac:dyDescent="0.25">
      <c r="A5838" t="s">
        <v>19996</v>
      </c>
      <c r="B5838" t="s">
        <v>19997</v>
      </c>
    </row>
    <row r="5839" spans="1:2" x14ac:dyDescent="0.25">
      <c r="A5839" t="s">
        <v>19998</v>
      </c>
      <c r="B5839" t="s">
        <v>19999</v>
      </c>
    </row>
    <row r="5840" spans="1:2" x14ac:dyDescent="0.25">
      <c r="A5840" t="s">
        <v>20000</v>
      </c>
      <c r="B5840" t="s">
        <v>20001</v>
      </c>
    </row>
    <row r="5841" spans="1:2" x14ac:dyDescent="0.25">
      <c r="A5841" t="s">
        <v>20002</v>
      </c>
      <c r="B5841" t="s">
        <v>20003</v>
      </c>
    </row>
    <row r="5842" spans="1:2" x14ac:dyDescent="0.25">
      <c r="A5842" t="s">
        <v>20004</v>
      </c>
      <c r="B5842" t="s">
        <v>20005</v>
      </c>
    </row>
    <row r="5843" spans="1:2" x14ac:dyDescent="0.25">
      <c r="A5843" t="s">
        <v>20006</v>
      </c>
      <c r="B5843" t="s">
        <v>20007</v>
      </c>
    </row>
    <row r="5844" spans="1:2" x14ac:dyDescent="0.25">
      <c r="A5844" t="s">
        <v>20008</v>
      </c>
      <c r="B5844" t="s">
        <v>20009</v>
      </c>
    </row>
    <row r="5845" spans="1:2" x14ac:dyDescent="0.25">
      <c r="A5845" t="s">
        <v>20010</v>
      </c>
      <c r="B5845" t="s">
        <v>20011</v>
      </c>
    </row>
    <row r="5846" spans="1:2" x14ac:dyDescent="0.25">
      <c r="A5846" t="s">
        <v>20012</v>
      </c>
      <c r="B5846" t="s">
        <v>20013</v>
      </c>
    </row>
    <row r="5847" spans="1:2" x14ac:dyDescent="0.25">
      <c r="A5847" t="s">
        <v>20014</v>
      </c>
      <c r="B5847" t="s">
        <v>20015</v>
      </c>
    </row>
    <row r="5848" spans="1:2" x14ac:dyDescent="0.25">
      <c r="A5848" t="s">
        <v>20016</v>
      </c>
      <c r="B5848" t="s">
        <v>20017</v>
      </c>
    </row>
    <row r="5849" spans="1:2" x14ac:dyDescent="0.25">
      <c r="A5849" t="s">
        <v>20018</v>
      </c>
      <c r="B5849" t="s">
        <v>20019</v>
      </c>
    </row>
    <row r="5850" spans="1:2" x14ac:dyDescent="0.25">
      <c r="A5850" t="s">
        <v>20020</v>
      </c>
      <c r="B5850" t="s">
        <v>20021</v>
      </c>
    </row>
    <row r="5851" spans="1:2" x14ac:dyDescent="0.25">
      <c r="A5851" t="s">
        <v>20022</v>
      </c>
      <c r="B5851" t="s">
        <v>20023</v>
      </c>
    </row>
    <row r="5852" spans="1:2" x14ac:dyDescent="0.25">
      <c r="A5852" t="s">
        <v>20024</v>
      </c>
      <c r="B5852" t="s">
        <v>20025</v>
      </c>
    </row>
    <row r="5853" spans="1:2" x14ac:dyDescent="0.25">
      <c r="A5853" t="s">
        <v>20026</v>
      </c>
      <c r="B5853" t="s">
        <v>20027</v>
      </c>
    </row>
    <row r="5854" spans="1:2" x14ac:dyDescent="0.25">
      <c r="A5854" t="s">
        <v>20028</v>
      </c>
      <c r="B5854" t="s">
        <v>20029</v>
      </c>
    </row>
    <row r="5855" spans="1:2" x14ac:dyDescent="0.25">
      <c r="A5855" t="s">
        <v>20030</v>
      </c>
      <c r="B5855" t="s">
        <v>20031</v>
      </c>
    </row>
    <row r="5856" spans="1:2" x14ac:dyDescent="0.25">
      <c r="A5856" t="s">
        <v>20032</v>
      </c>
      <c r="B5856" t="s">
        <v>20033</v>
      </c>
    </row>
    <row r="5857" spans="1:2" x14ac:dyDescent="0.25">
      <c r="A5857" t="s">
        <v>20034</v>
      </c>
      <c r="B5857" t="s">
        <v>20035</v>
      </c>
    </row>
    <row r="5858" spans="1:2" x14ac:dyDescent="0.25">
      <c r="A5858" t="s">
        <v>20036</v>
      </c>
      <c r="B5858" t="s">
        <v>20037</v>
      </c>
    </row>
    <row r="5859" spans="1:2" x14ac:dyDescent="0.25">
      <c r="A5859" t="s">
        <v>20038</v>
      </c>
      <c r="B5859" t="s">
        <v>20039</v>
      </c>
    </row>
    <row r="5860" spans="1:2" x14ac:dyDescent="0.25">
      <c r="A5860" t="s">
        <v>20040</v>
      </c>
      <c r="B5860" t="s">
        <v>20041</v>
      </c>
    </row>
    <row r="5861" spans="1:2" x14ac:dyDescent="0.25">
      <c r="A5861" t="s">
        <v>20042</v>
      </c>
      <c r="B5861" t="s">
        <v>20043</v>
      </c>
    </row>
    <row r="5862" spans="1:2" x14ac:dyDescent="0.25">
      <c r="A5862" t="s">
        <v>20044</v>
      </c>
      <c r="B5862" t="s">
        <v>20045</v>
      </c>
    </row>
    <row r="5863" spans="1:2" x14ac:dyDescent="0.25">
      <c r="A5863" t="s">
        <v>20046</v>
      </c>
      <c r="B5863" t="s">
        <v>20047</v>
      </c>
    </row>
    <row r="5864" spans="1:2" x14ac:dyDescent="0.25">
      <c r="A5864" t="s">
        <v>20048</v>
      </c>
      <c r="B5864" t="s">
        <v>20049</v>
      </c>
    </row>
    <row r="5865" spans="1:2" x14ac:dyDescent="0.25">
      <c r="A5865" t="s">
        <v>20050</v>
      </c>
      <c r="B5865" t="s">
        <v>20051</v>
      </c>
    </row>
    <row r="5866" spans="1:2" x14ac:dyDescent="0.25">
      <c r="A5866" t="s">
        <v>20052</v>
      </c>
      <c r="B5866" t="s">
        <v>20053</v>
      </c>
    </row>
    <row r="5867" spans="1:2" x14ac:dyDescent="0.25">
      <c r="A5867" t="s">
        <v>20054</v>
      </c>
      <c r="B5867" t="s">
        <v>20055</v>
      </c>
    </row>
    <row r="5868" spans="1:2" x14ac:dyDescent="0.25">
      <c r="A5868" t="s">
        <v>20056</v>
      </c>
      <c r="B5868" t="s">
        <v>20057</v>
      </c>
    </row>
    <row r="5869" spans="1:2" x14ac:dyDescent="0.25">
      <c r="A5869" t="s">
        <v>20058</v>
      </c>
      <c r="B5869" t="s">
        <v>20059</v>
      </c>
    </row>
    <row r="5870" spans="1:2" x14ac:dyDescent="0.25">
      <c r="A5870" t="s">
        <v>20060</v>
      </c>
      <c r="B5870" t="s">
        <v>20061</v>
      </c>
    </row>
    <row r="5871" spans="1:2" x14ac:dyDescent="0.25">
      <c r="A5871" t="s">
        <v>20062</v>
      </c>
      <c r="B5871" t="s">
        <v>20063</v>
      </c>
    </row>
    <row r="5872" spans="1:2" x14ac:dyDescent="0.25">
      <c r="A5872" t="s">
        <v>20064</v>
      </c>
      <c r="B5872" t="s">
        <v>20065</v>
      </c>
    </row>
    <row r="5873" spans="1:2" x14ac:dyDescent="0.25">
      <c r="A5873" t="s">
        <v>20066</v>
      </c>
      <c r="B5873" t="s">
        <v>20067</v>
      </c>
    </row>
    <row r="5874" spans="1:2" x14ac:dyDescent="0.25">
      <c r="A5874" t="s">
        <v>20068</v>
      </c>
      <c r="B5874" t="s">
        <v>20069</v>
      </c>
    </row>
    <row r="5875" spans="1:2" x14ac:dyDescent="0.25">
      <c r="A5875" t="s">
        <v>20070</v>
      </c>
      <c r="B5875" t="s">
        <v>20071</v>
      </c>
    </row>
    <row r="5876" spans="1:2" x14ac:dyDescent="0.25">
      <c r="A5876" t="s">
        <v>20072</v>
      </c>
      <c r="B5876" t="s">
        <v>20073</v>
      </c>
    </row>
    <row r="5877" spans="1:2" x14ac:dyDescent="0.25">
      <c r="A5877" t="s">
        <v>20074</v>
      </c>
      <c r="B5877" t="s">
        <v>20075</v>
      </c>
    </row>
    <row r="5878" spans="1:2" x14ac:dyDescent="0.25">
      <c r="A5878" t="s">
        <v>20076</v>
      </c>
      <c r="B5878" t="s">
        <v>20077</v>
      </c>
    </row>
    <row r="5879" spans="1:2" x14ac:dyDescent="0.25">
      <c r="A5879" t="s">
        <v>4068</v>
      </c>
      <c r="B5879" t="s">
        <v>20078</v>
      </c>
    </row>
    <row r="5880" spans="1:2" x14ac:dyDescent="0.25">
      <c r="A5880" t="s">
        <v>20079</v>
      </c>
      <c r="B5880" t="s">
        <v>20080</v>
      </c>
    </row>
    <row r="5881" spans="1:2" x14ac:dyDescent="0.25">
      <c r="A5881" t="s">
        <v>20081</v>
      </c>
      <c r="B5881" t="s">
        <v>20082</v>
      </c>
    </row>
    <row r="5882" spans="1:2" x14ac:dyDescent="0.25">
      <c r="A5882" t="s">
        <v>20083</v>
      </c>
      <c r="B5882" t="s">
        <v>20084</v>
      </c>
    </row>
    <row r="5883" spans="1:2" x14ac:dyDescent="0.25">
      <c r="A5883" t="s">
        <v>20085</v>
      </c>
      <c r="B5883" t="s">
        <v>20086</v>
      </c>
    </row>
    <row r="5884" spans="1:2" x14ac:dyDescent="0.25">
      <c r="A5884" t="s">
        <v>20087</v>
      </c>
      <c r="B5884" t="s">
        <v>20088</v>
      </c>
    </row>
    <row r="5885" spans="1:2" x14ac:dyDescent="0.25">
      <c r="A5885" t="s">
        <v>20089</v>
      </c>
      <c r="B5885" t="s">
        <v>20090</v>
      </c>
    </row>
    <row r="5886" spans="1:2" x14ac:dyDescent="0.25">
      <c r="A5886" t="s">
        <v>20091</v>
      </c>
      <c r="B5886" t="s">
        <v>20092</v>
      </c>
    </row>
    <row r="5887" spans="1:2" x14ac:dyDescent="0.25">
      <c r="A5887" t="s">
        <v>20093</v>
      </c>
      <c r="B5887" t="s">
        <v>20094</v>
      </c>
    </row>
    <row r="5888" spans="1:2" x14ac:dyDescent="0.25">
      <c r="A5888" t="s">
        <v>20095</v>
      </c>
      <c r="B5888" t="s">
        <v>20096</v>
      </c>
    </row>
    <row r="5889" spans="1:2" x14ac:dyDescent="0.25">
      <c r="A5889" t="s">
        <v>20097</v>
      </c>
      <c r="B5889" t="s">
        <v>20098</v>
      </c>
    </row>
    <row r="5890" spans="1:2" x14ac:dyDescent="0.25">
      <c r="A5890" t="s">
        <v>20099</v>
      </c>
      <c r="B5890" t="s">
        <v>20100</v>
      </c>
    </row>
    <row r="5891" spans="1:2" x14ac:dyDescent="0.25">
      <c r="A5891" t="s">
        <v>1952</v>
      </c>
      <c r="B5891" t="s">
        <v>20101</v>
      </c>
    </row>
    <row r="5892" spans="1:2" x14ac:dyDescent="0.25">
      <c r="A5892" t="s">
        <v>20102</v>
      </c>
      <c r="B5892" t="s">
        <v>20103</v>
      </c>
    </row>
    <row r="5893" spans="1:2" x14ac:dyDescent="0.25">
      <c r="A5893" t="s">
        <v>20104</v>
      </c>
      <c r="B5893" t="s">
        <v>20105</v>
      </c>
    </row>
    <row r="5894" spans="1:2" x14ac:dyDescent="0.25">
      <c r="A5894" t="s">
        <v>20106</v>
      </c>
      <c r="B5894" t="s">
        <v>20107</v>
      </c>
    </row>
    <row r="5895" spans="1:2" x14ac:dyDescent="0.25">
      <c r="A5895" t="s">
        <v>20108</v>
      </c>
      <c r="B5895" t="s">
        <v>20109</v>
      </c>
    </row>
    <row r="5896" spans="1:2" x14ac:dyDescent="0.25">
      <c r="A5896" t="s">
        <v>20110</v>
      </c>
      <c r="B5896" t="s">
        <v>20111</v>
      </c>
    </row>
    <row r="5897" spans="1:2" x14ac:dyDescent="0.25">
      <c r="A5897" t="s">
        <v>20112</v>
      </c>
      <c r="B5897" t="s">
        <v>20113</v>
      </c>
    </row>
    <row r="5898" spans="1:2" x14ac:dyDescent="0.25">
      <c r="A5898" t="s">
        <v>20114</v>
      </c>
      <c r="B5898" t="s">
        <v>20115</v>
      </c>
    </row>
    <row r="5899" spans="1:2" x14ac:dyDescent="0.25">
      <c r="A5899" t="s">
        <v>20116</v>
      </c>
      <c r="B5899" t="s">
        <v>20117</v>
      </c>
    </row>
    <row r="5900" spans="1:2" x14ac:dyDescent="0.25">
      <c r="A5900" t="s">
        <v>20118</v>
      </c>
      <c r="B5900" t="s">
        <v>20119</v>
      </c>
    </row>
    <row r="5901" spans="1:2" x14ac:dyDescent="0.25">
      <c r="A5901" t="s">
        <v>20120</v>
      </c>
      <c r="B5901" t="s">
        <v>20121</v>
      </c>
    </row>
    <row r="5902" spans="1:2" x14ac:dyDescent="0.25">
      <c r="A5902" t="s">
        <v>20122</v>
      </c>
      <c r="B5902" t="s">
        <v>20123</v>
      </c>
    </row>
    <row r="5903" spans="1:2" x14ac:dyDescent="0.25">
      <c r="A5903" t="s">
        <v>20124</v>
      </c>
      <c r="B5903" t="s">
        <v>20125</v>
      </c>
    </row>
    <row r="5904" spans="1:2" x14ac:dyDescent="0.25">
      <c r="A5904" t="s">
        <v>20126</v>
      </c>
      <c r="B5904" t="s">
        <v>20127</v>
      </c>
    </row>
    <row r="5905" spans="1:2" x14ac:dyDescent="0.25">
      <c r="A5905" t="s">
        <v>20128</v>
      </c>
      <c r="B5905" t="s">
        <v>20129</v>
      </c>
    </row>
    <row r="5906" spans="1:2" x14ac:dyDescent="0.25">
      <c r="A5906" t="s">
        <v>20130</v>
      </c>
      <c r="B5906" t="s">
        <v>20131</v>
      </c>
    </row>
    <row r="5907" spans="1:2" x14ac:dyDescent="0.25">
      <c r="A5907" t="s">
        <v>20132</v>
      </c>
      <c r="B5907" t="s">
        <v>20133</v>
      </c>
    </row>
    <row r="5908" spans="1:2" x14ac:dyDescent="0.25">
      <c r="A5908" t="s">
        <v>20134</v>
      </c>
      <c r="B5908" t="s">
        <v>20135</v>
      </c>
    </row>
    <row r="5909" spans="1:2" x14ac:dyDescent="0.25">
      <c r="A5909" t="s">
        <v>20136</v>
      </c>
      <c r="B5909" t="s">
        <v>20137</v>
      </c>
    </row>
    <row r="5910" spans="1:2" x14ac:dyDescent="0.25">
      <c r="A5910" t="s">
        <v>20138</v>
      </c>
      <c r="B5910" t="s">
        <v>20139</v>
      </c>
    </row>
    <row r="5911" spans="1:2" x14ac:dyDescent="0.25">
      <c r="A5911" t="s">
        <v>20140</v>
      </c>
      <c r="B5911" t="s">
        <v>20141</v>
      </c>
    </row>
    <row r="5912" spans="1:2" x14ac:dyDescent="0.25">
      <c r="A5912" t="s">
        <v>20142</v>
      </c>
      <c r="B5912" t="s">
        <v>20143</v>
      </c>
    </row>
    <row r="5913" spans="1:2" x14ac:dyDescent="0.25">
      <c r="A5913" t="s">
        <v>20144</v>
      </c>
      <c r="B5913" t="s">
        <v>20145</v>
      </c>
    </row>
    <row r="5914" spans="1:2" x14ac:dyDescent="0.25">
      <c r="A5914" t="s">
        <v>20146</v>
      </c>
      <c r="B5914" t="s">
        <v>20147</v>
      </c>
    </row>
    <row r="5915" spans="1:2" x14ac:dyDescent="0.25">
      <c r="A5915" t="s">
        <v>20148</v>
      </c>
      <c r="B5915" t="s">
        <v>20149</v>
      </c>
    </row>
    <row r="5916" spans="1:2" x14ac:dyDescent="0.25">
      <c r="A5916" t="s">
        <v>20150</v>
      </c>
      <c r="B5916" t="s">
        <v>20151</v>
      </c>
    </row>
    <row r="5917" spans="1:2" x14ac:dyDescent="0.25">
      <c r="A5917" t="s">
        <v>20152</v>
      </c>
      <c r="B5917" t="s">
        <v>20153</v>
      </c>
    </row>
    <row r="5918" spans="1:2" x14ac:dyDescent="0.25">
      <c r="A5918" t="s">
        <v>20154</v>
      </c>
      <c r="B5918" t="s">
        <v>20155</v>
      </c>
    </row>
    <row r="5919" spans="1:2" x14ac:dyDescent="0.25">
      <c r="A5919" t="s">
        <v>20156</v>
      </c>
      <c r="B5919" t="s">
        <v>20157</v>
      </c>
    </row>
    <row r="5920" spans="1:2" x14ac:dyDescent="0.25">
      <c r="A5920" t="s">
        <v>666</v>
      </c>
      <c r="B5920" t="s">
        <v>20158</v>
      </c>
    </row>
    <row r="5921" spans="1:2" x14ac:dyDescent="0.25">
      <c r="A5921" t="s">
        <v>20159</v>
      </c>
      <c r="B5921" t="s">
        <v>20160</v>
      </c>
    </row>
    <row r="5922" spans="1:2" x14ac:dyDescent="0.25">
      <c r="A5922" t="s">
        <v>20161</v>
      </c>
      <c r="B5922" t="s">
        <v>20162</v>
      </c>
    </row>
    <row r="5923" spans="1:2" x14ac:dyDescent="0.25">
      <c r="A5923" t="s">
        <v>20163</v>
      </c>
      <c r="B5923" t="s">
        <v>20164</v>
      </c>
    </row>
    <row r="5924" spans="1:2" x14ac:dyDescent="0.25">
      <c r="A5924" t="s">
        <v>20165</v>
      </c>
      <c r="B5924" t="s">
        <v>20166</v>
      </c>
    </row>
    <row r="5925" spans="1:2" x14ac:dyDescent="0.25">
      <c r="A5925" t="s">
        <v>20167</v>
      </c>
      <c r="B5925" t="s">
        <v>20168</v>
      </c>
    </row>
    <row r="5926" spans="1:2" x14ac:dyDescent="0.25">
      <c r="A5926" t="s">
        <v>20169</v>
      </c>
      <c r="B5926" t="s">
        <v>20170</v>
      </c>
    </row>
    <row r="5927" spans="1:2" x14ac:dyDescent="0.25">
      <c r="A5927" t="s">
        <v>20171</v>
      </c>
      <c r="B5927" t="s">
        <v>20172</v>
      </c>
    </row>
    <row r="5928" spans="1:2" x14ac:dyDescent="0.25">
      <c r="A5928" t="s">
        <v>20173</v>
      </c>
      <c r="B5928" t="s">
        <v>20174</v>
      </c>
    </row>
    <row r="5929" spans="1:2" x14ac:dyDescent="0.25">
      <c r="A5929" t="s">
        <v>20175</v>
      </c>
      <c r="B5929" t="s">
        <v>20176</v>
      </c>
    </row>
    <row r="5930" spans="1:2" x14ac:dyDescent="0.25">
      <c r="A5930" t="s">
        <v>20177</v>
      </c>
      <c r="B5930" t="s">
        <v>20178</v>
      </c>
    </row>
    <row r="5931" spans="1:2" x14ac:dyDescent="0.25">
      <c r="A5931" t="s">
        <v>20179</v>
      </c>
      <c r="B5931" t="s">
        <v>20180</v>
      </c>
    </row>
    <row r="5932" spans="1:2" x14ac:dyDescent="0.25">
      <c r="A5932" t="s">
        <v>20181</v>
      </c>
      <c r="B5932" t="s">
        <v>20182</v>
      </c>
    </row>
    <row r="5933" spans="1:2" x14ac:dyDescent="0.25">
      <c r="A5933" t="s">
        <v>20183</v>
      </c>
      <c r="B5933" t="s">
        <v>20184</v>
      </c>
    </row>
    <row r="5934" spans="1:2" x14ac:dyDescent="0.25">
      <c r="A5934" t="s">
        <v>20185</v>
      </c>
      <c r="B5934" t="s">
        <v>12580</v>
      </c>
    </row>
    <row r="5935" spans="1:2" x14ac:dyDescent="0.25">
      <c r="A5935" t="s">
        <v>20186</v>
      </c>
      <c r="B5935" t="s">
        <v>20187</v>
      </c>
    </row>
    <row r="5936" spans="1:2" x14ac:dyDescent="0.25">
      <c r="A5936" t="s">
        <v>668</v>
      </c>
      <c r="B5936" t="s">
        <v>20188</v>
      </c>
    </row>
    <row r="5937" spans="1:2" x14ac:dyDescent="0.25">
      <c r="A5937" t="s">
        <v>20189</v>
      </c>
      <c r="B5937" t="s">
        <v>20190</v>
      </c>
    </row>
    <row r="5938" spans="1:2" x14ac:dyDescent="0.25">
      <c r="A5938" t="s">
        <v>20191</v>
      </c>
      <c r="B5938" t="s">
        <v>20192</v>
      </c>
    </row>
    <row r="5939" spans="1:2" x14ac:dyDescent="0.25">
      <c r="A5939" t="s">
        <v>20193</v>
      </c>
      <c r="B5939" t="s">
        <v>20194</v>
      </c>
    </row>
    <row r="5940" spans="1:2" x14ac:dyDescent="0.25">
      <c r="A5940" t="s">
        <v>20195</v>
      </c>
      <c r="B5940" t="s">
        <v>20196</v>
      </c>
    </row>
    <row r="5941" spans="1:2" x14ac:dyDescent="0.25">
      <c r="A5941" t="s">
        <v>20197</v>
      </c>
      <c r="B5941" t="s">
        <v>20198</v>
      </c>
    </row>
    <row r="5942" spans="1:2" x14ac:dyDescent="0.25">
      <c r="A5942" t="s">
        <v>20199</v>
      </c>
      <c r="B5942" t="s">
        <v>20200</v>
      </c>
    </row>
    <row r="5943" spans="1:2" x14ac:dyDescent="0.25">
      <c r="A5943" t="s">
        <v>20201</v>
      </c>
      <c r="B5943" t="s">
        <v>20202</v>
      </c>
    </row>
    <row r="5944" spans="1:2" x14ac:dyDescent="0.25">
      <c r="A5944" t="s">
        <v>20203</v>
      </c>
      <c r="B5944" t="s">
        <v>20204</v>
      </c>
    </row>
    <row r="5945" spans="1:2" x14ac:dyDescent="0.25">
      <c r="A5945" t="s">
        <v>20205</v>
      </c>
      <c r="B5945" t="s">
        <v>20206</v>
      </c>
    </row>
    <row r="5946" spans="1:2" x14ac:dyDescent="0.25">
      <c r="A5946" t="s">
        <v>20207</v>
      </c>
      <c r="B5946" t="s">
        <v>20208</v>
      </c>
    </row>
    <row r="5947" spans="1:2" x14ac:dyDescent="0.25">
      <c r="A5947" t="s">
        <v>20209</v>
      </c>
      <c r="B5947" t="s">
        <v>20210</v>
      </c>
    </row>
    <row r="5948" spans="1:2" x14ac:dyDescent="0.25">
      <c r="A5948" t="s">
        <v>20211</v>
      </c>
      <c r="B5948" t="s">
        <v>20212</v>
      </c>
    </row>
    <row r="5949" spans="1:2" x14ac:dyDescent="0.25">
      <c r="A5949" t="s">
        <v>20213</v>
      </c>
      <c r="B5949" t="s">
        <v>20214</v>
      </c>
    </row>
    <row r="5950" spans="1:2" x14ac:dyDescent="0.25">
      <c r="A5950" t="s">
        <v>20215</v>
      </c>
      <c r="B5950" t="s">
        <v>20216</v>
      </c>
    </row>
    <row r="5951" spans="1:2" x14ac:dyDescent="0.25">
      <c r="A5951" t="s">
        <v>20217</v>
      </c>
      <c r="B5951" t="s">
        <v>20218</v>
      </c>
    </row>
    <row r="5952" spans="1:2" x14ac:dyDescent="0.25">
      <c r="A5952" t="s">
        <v>20219</v>
      </c>
      <c r="B5952" t="s">
        <v>20220</v>
      </c>
    </row>
    <row r="5953" spans="1:2" x14ac:dyDescent="0.25">
      <c r="A5953" t="s">
        <v>20221</v>
      </c>
      <c r="B5953" t="s">
        <v>20222</v>
      </c>
    </row>
    <row r="5954" spans="1:2" x14ac:dyDescent="0.25">
      <c r="A5954" t="s">
        <v>20223</v>
      </c>
      <c r="B5954" t="s">
        <v>20224</v>
      </c>
    </row>
    <row r="5955" spans="1:2" x14ac:dyDescent="0.25">
      <c r="A5955" t="s">
        <v>20225</v>
      </c>
      <c r="B5955" t="s">
        <v>20226</v>
      </c>
    </row>
    <row r="5956" spans="1:2" x14ac:dyDescent="0.25">
      <c r="A5956" t="s">
        <v>20227</v>
      </c>
      <c r="B5956" t="s">
        <v>20228</v>
      </c>
    </row>
    <row r="5957" spans="1:2" x14ac:dyDescent="0.25">
      <c r="A5957" t="s">
        <v>20229</v>
      </c>
      <c r="B5957" t="s">
        <v>20230</v>
      </c>
    </row>
    <row r="5958" spans="1:2" x14ac:dyDescent="0.25">
      <c r="A5958" t="s">
        <v>20231</v>
      </c>
      <c r="B5958" t="s">
        <v>20232</v>
      </c>
    </row>
    <row r="5959" spans="1:2" x14ac:dyDescent="0.25">
      <c r="A5959" t="s">
        <v>20233</v>
      </c>
      <c r="B5959" t="s">
        <v>20234</v>
      </c>
    </row>
    <row r="5960" spans="1:2" x14ac:dyDescent="0.25">
      <c r="A5960" t="s">
        <v>20235</v>
      </c>
      <c r="B5960" t="s">
        <v>20236</v>
      </c>
    </row>
    <row r="5961" spans="1:2" x14ac:dyDescent="0.25">
      <c r="A5961" t="s">
        <v>20237</v>
      </c>
      <c r="B5961" t="s">
        <v>20238</v>
      </c>
    </row>
    <row r="5962" spans="1:2" x14ac:dyDescent="0.25">
      <c r="A5962" t="s">
        <v>20239</v>
      </c>
      <c r="B5962" t="s">
        <v>20240</v>
      </c>
    </row>
    <row r="5963" spans="1:2" x14ac:dyDescent="0.25">
      <c r="A5963" t="s">
        <v>20241</v>
      </c>
      <c r="B5963" t="s">
        <v>20242</v>
      </c>
    </row>
    <row r="5964" spans="1:2" x14ac:dyDescent="0.25">
      <c r="A5964" t="s">
        <v>20243</v>
      </c>
      <c r="B5964" t="s">
        <v>20244</v>
      </c>
    </row>
    <row r="5965" spans="1:2" x14ac:dyDescent="0.25">
      <c r="A5965" t="s">
        <v>20245</v>
      </c>
      <c r="B5965" t="s">
        <v>20246</v>
      </c>
    </row>
    <row r="5966" spans="1:2" x14ac:dyDescent="0.25">
      <c r="A5966" t="s">
        <v>20247</v>
      </c>
      <c r="B5966" t="s">
        <v>20248</v>
      </c>
    </row>
    <row r="5967" spans="1:2" x14ac:dyDescent="0.25">
      <c r="A5967" t="s">
        <v>20249</v>
      </c>
      <c r="B5967" t="s">
        <v>20250</v>
      </c>
    </row>
    <row r="5968" spans="1:2" x14ac:dyDescent="0.25">
      <c r="A5968" t="s">
        <v>20251</v>
      </c>
      <c r="B5968" t="s">
        <v>20252</v>
      </c>
    </row>
    <row r="5969" spans="1:2" x14ac:dyDescent="0.25">
      <c r="A5969" t="s">
        <v>20253</v>
      </c>
      <c r="B5969" t="s">
        <v>20254</v>
      </c>
    </row>
    <row r="5970" spans="1:2" x14ac:dyDescent="0.25">
      <c r="A5970" t="s">
        <v>20255</v>
      </c>
      <c r="B5970" t="s">
        <v>20256</v>
      </c>
    </row>
    <row r="5971" spans="1:2" x14ac:dyDescent="0.25">
      <c r="A5971" t="s">
        <v>20257</v>
      </c>
      <c r="B5971" t="s">
        <v>20258</v>
      </c>
    </row>
    <row r="5972" spans="1:2" x14ac:dyDescent="0.25">
      <c r="A5972" t="s">
        <v>20259</v>
      </c>
      <c r="B5972" t="s">
        <v>20260</v>
      </c>
    </row>
    <row r="5973" spans="1:2" x14ac:dyDescent="0.25">
      <c r="A5973" t="s">
        <v>20261</v>
      </c>
      <c r="B5973" t="s">
        <v>20262</v>
      </c>
    </row>
    <row r="5974" spans="1:2" x14ac:dyDescent="0.25">
      <c r="A5974" t="s">
        <v>20263</v>
      </c>
      <c r="B5974" t="s">
        <v>20264</v>
      </c>
    </row>
    <row r="5975" spans="1:2" x14ac:dyDescent="0.25">
      <c r="A5975" t="s">
        <v>20265</v>
      </c>
      <c r="B5975" t="s">
        <v>20266</v>
      </c>
    </row>
    <row r="5976" spans="1:2" x14ac:dyDescent="0.25">
      <c r="A5976" t="s">
        <v>20267</v>
      </c>
      <c r="B5976" t="s">
        <v>20268</v>
      </c>
    </row>
    <row r="5977" spans="1:2" x14ac:dyDescent="0.25">
      <c r="A5977" t="s">
        <v>20269</v>
      </c>
      <c r="B5977" t="s">
        <v>20270</v>
      </c>
    </row>
    <row r="5978" spans="1:2" x14ac:dyDescent="0.25">
      <c r="A5978" t="s">
        <v>20271</v>
      </c>
      <c r="B5978" t="s">
        <v>20272</v>
      </c>
    </row>
    <row r="5979" spans="1:2" x14ac:dyDescent="0.25">
      <c r="A5979" t="s">
        <v>20273</v>
      </c>
      <c r="B5979" t="s">
        <v>20274</v>
      </c>
    </row>
    <row r="5980" spans="1:2" x14ac:dyDescent="0.25">
      <c r="A5980" t="s">
        <v>20275</v>
      </c>
      <c r="B5980" t="s">
        <v>20276</v>
      </c>
    </row>
    <row r="5981" spans="1:2" x14ac:dyDescent="0.25">
      <c r="A5981" t="s">
        <v>20277</v>
      </c>
      <c r="B5981" t="s">
        <v>20278</v>
      </c>
    </row>
    <row r="5982" spans="1:2" x14ac:dyDescent="0.25">
      <c r="A5982" t="s">
        <v>20279</v>
      </c>
      <c r="B5982" t="s">
        <v>20280</v>
      </c>
    </row>
    <row r="5983" spans="1:2" x14ac:dyDescent="0.25">
      <c r="A5983" t="s">
        <v>20281</v>
      </c>
      <c r="B5983" t="s">
        <v>20282</v>
      </c>
    </row>
    <row r="5984" spans="1:2" x14ac:dyDescent="0.25">
      <c r="A5984" t="s">
        <v>20283</v>
      </c>
      <c r="B5984" t="s">
        <v>20284</v>
      </c>
    </row>
    <row r="5985" spans="1:2" x14ac:dyDescent="0.25">
      <c r="A5985" t="s">
        <v>20285</v>
      </c>
      <c r="B5985" t="s">
        <v>20286</v>
      </c>
    </row>
    <row r="5986" spans="1:2" x14ac:dyDescent="0.25">
      <c r="A5986" t="s">
        <v>20287</v>
      </c>
      <c r="B5986" t="s">
        <v>20288</v>
      </c>
    </row>
    <row r="5987" spans="1:2" x14ac:dyDescent="0.25">
      <c r="A5987" t="s">
        <v>20289</v>
      </c>
      <c r="B5987" t="s">
        <v>20290</v>
      </c>
    </row>
    <row r="5988" spans="1:2" x14ac:dyDescent="0.25">
      <c r="A5988" t="s">
        <v>20291</v>
      </c>
      <c r="B5988" t="s">
        <v>20292</v>
      </c>
    </row>
    <row r="5989" spans="1:2" x14ac:dyDescent="0.25">
      <c r="A5989" t="s">
        <v>20293</v>
      </c>
      <c r="B5989" t="s">
        <v>20294</v>
      </c>
    </row>
    <row r="5990" spans="1:2" x14ac:dyDescent="0.25">
      <c r="A5990" t="s">
        <v>20295</v>
      </c>
      <c r="B5990" t="s">
        <v>20296</v>
      </c>
    </row>
    <row r="5991" spans="1:2" x14ac:dyDescent="0.25">
      <c r="A5991" t="s">
        <v>20297</v>
      </c>
      <c r="B5991" t="s">
        <v>20298</v>
      </c>
    </row>
    <row r="5992" spans="1:2" x14ac:dyDescent="0.25">
      <c r="A5992" t="s">
        <v>20299</v>
      </c>
      <c r="B5992" t="s">
        <v>20300</v>
      </c>
    </row>
    <row r="5993" spans="1:2" x14ac:dyDescent="0.25">
      <c r="A5993" t="s">
        <v>20301</v>
      </c>
      <c r="B5993" t="s">
        <v>20302</v>
      </c>
    </row>
    <row r="5994" spans="1:2" x14ac:dyDescent="0.25">
      <c r="A5994" t="s">
        <v>20303</v>
      </c>
      <c r="B5994" t="s">
        <v>20304</v>
      </c>
    </row>
    <row r="5995" spans="1:2" x14ac:dyDescent="0.25">
      <c r="A5995" t="s">
        <v>20305</v>
      </c>
      <c r="B5995" t="s">
        <v>20306</v>
      </c>
    </row>
    <row r="5996" spans="1:2" x14ac:dyDescent="0.25">
      <c r="A5996" t="s">
        <v>20307</v>
      </c>
      <c r="B5996" t="s">
        <v>20308</v>
      </c>
    </row>
    <row r="5997" spans="1:2" x14ac:dyDescent="0.25">
      <c r="A5997" t="s">
        <v>20309</v>
      </c>
      <c r="B5997" t="s">
        <v>20310</v>
      </c>
    </row>
    <row r="5998" spans="1:2" x14ac:dyDescent="0.25">
      <c r="A5998" t="s">
        <v>20311</v>
      </c>
      <c r="B5998" t="s">
        <v>20312</v>
      </c>
    </row>
    <row r="5999" spans="1:2" x14ac:dyDescent="0.25">
      <c r="A5999" t="s">
        <v>20313</v>
      </c>
      <c r="B5999" t="s">
        <v>8992</v>
      </c>
    </row>
    <row r="6000" spans="1:2" x14ac:dyDescent="0.25">
      <c r="A6000" t="s">
        <v>20314</v>
      </c>
      <c r="B6000" t="s">
        <v>20315</v>
      </c>
    </row>
    <row r="6001" spans="1:2" x14ac:dyDescent="0.25">
      <c r="A6001" t="s">
        <v>20316</v>
      </c>
      <c r="B6001" t="s">
        <v>20317</v>
      </c>
    </row>
    <row r="6002" spans="1:2" x14ac:dyDescent="0.25">
      <c r="A6002" t="s">
        <v>20318</v>
      </c>
      <c r="B6002" t="s">
        <v>20319</v>
      </c>
    </row>
    <row r="6003" spans="1:2" x14ac:dyDescent="0.25">
      <c r="A6003" t="s">
        <v>20320</v>
      </c>
      <c r="B6003" t="s">
        <v>20321</v>
      </c>
    </row>
    <row r="6004" spans="1:2" x14ac:dyDescent="0.25">
      <c r="A6004" t="s">
        <v>20322</v>
      </c>
      <c r="B6004" t="s">
        <v>20323</v>
      </c>
    </row>
    <row r="6005" spans="1:2" x14ac:dyDescent="0.25">
      <c r="A6005" t="s">
        <v>20324</v>
      </c>
      <c r="B6005" t="s">
        <v>20325</v>
      </c>
    </row>
    <row r="6006" spans="1:2" x14ac:dyDescent="0.25">
      <c r="A6006" t="s">
        <v>20326</v>
      </c>
      <c r="B6006" t="s">
        <v>20327</v>
      </c>
    </row>
    <row r="6007" spans="1:2" x14ac:dyDescent="0.25">
      <c r="A6007" t="s">
        <v>20328</v>
      </c>
      <c r="B6007" t="s">
        <v>20329</v>
      </c>
    </row>
    <row r="6008" spans="1:2" x14ac:dyDescent="0.25">
      <c r="A6008" t="s">
        <v>20330</v>
      </c>
      <c r="B6008" t="s">
        <v>20331</v>
      </c>
    </row>
    <row r="6009" spans="1:2" x14ac:dyDescent="0.25">
      <c r="A6009" t="s">
        <v>20332</v>
      </c>
      <c r="B6009" t="s">
        <v>20333</v>
      </c>
    </row>
    <row r="6010" spans="1:2" x14ac:dyDescent="0.25">
      <c r="A6010" t="s">
        <v>20334</v>
      </c>
      <c r="B6010" t="s">
        <v>20335</v>
      </c>
    </row>
    <row r="6011" spans="1:2" x14ac:dyDescent="0.25">
      <c r="A6011" t="s">
        <v>20336</v>
      </c>
      <c r="B6011" t="s">
        <v>20337</v>
      </c>
    </row>
    <row r="6012" spans="1:2" x14ac:dyDescent="0.25">
      <c r="A6012" t="s">
        <v>20338</v>
      </c>
      <c r="B6012" t="s">
        <v>20339</v>
      </c>
    </row>
    <row r="6013" spans="1:2" x14ac:dyDescent="0.25">
      <c r="A6013" t="s">
        <v>20340</v>
      </c>
      <c r="B6013" t="s">
        <v>20341</v>
      </c>
    </row>
    <row r="6014" spans="1:2" x14ac:dyDescent="0.25">
      <c r="A6014" t="s">
        <v>20342</v>
      </c>
      <c r="B6014" t="s">
        <v>20343</v>
      </c>
    </row>
    <row r="6015" spans="1:2" x14ac:dyDescent="0.25">
      <c r="A6015" t="s">
        <v>20344</v>
      </c>
      <c r="B6015" t="s">
        <v>20345</v>
      </c>
    </row>
    <row r="6016" spans="1:2" x14ac:dyDescent="0.25">
      <c r="A6016" t="s">
        <v>20346</v>
      </c>
      <c r="B6016" t="s">
        <v>20347</v>
      </c>
    </row>
    <row r="6017" spans="1:2" x14ac:dyDescent="0.25">
      <c r="A6017" t="s">
        <v>20348</v>
      </c>
      <c r="B6017" t="s">
        <v>20349</v>
      </c>
    </row>
    <row r="6018" spans="1:2" x14ac:dyDescent="0.25">
      <c r="A6018" t="s">
        <v>20350</v>
      </c>
      <c r="B6018" t="s">
        <v>20351</v>
      </c>
    </row>
    <row r="6019" spans="1:2" x14ac:dyDescent="0.25">
      <c r="A6019" t="s">
        <v>20352</v>
      </c>
      <c r="B6019" t="s">
        <v>20353</v>
      </c>
    </row>
    <row r="6020" spans="1:2" x14ac:dyDescent="0.25">
      <c r="A6020" t="s">
        <v>20354</v>
      </c>
      <c r="B6020" t="s">
        <v>20355</v>
      </c>
    </row>
    <row r="6021" spans="1:2" x14ac:dyDescent="0.25">
      <c r="A6021" t="s">
        <v>20356</v>
      </c>
      <c r="B6021" t="s">
        <v>20357</v>
      </c>
    </row>
    <row r="6022" spans="1:2" x14ac:dyDescent="0.25">
      <c r="A6022" t="s">
        <v>20358</v>
      </c>
      <c r="B6022" t="s">
        <v>20359</v>
      </c>
    </row>
    <row r="6023" spans="1:2" x14ac:dyDescent="0.25">
      <c r="A6023" t="s">
        <v>20360</v>
      </c>
      <c r="B6023" t="s">
        <v>20361</v>
      </c>
    </row>
    <row r="6024" spans="1:2" x14ac:dyDescent="0.25">
      <c r="A6024" t="s">
        <v>20362</v>
      </c>
      <c r="B6024" t="s">
        <v>20363</v>
      </c>
    </row>
    <row r="6025" spans="1:2" x14ac:dyDescent="0.25">
      <c r="A6025" t="s">
        <v>20364</v>
      </c>
      <c r="B6025" t="s">
        <v>20365</v>
      </c>
    </row>
    <row r="6026" spans="1:2" x14ac:dyDescent="0.25">
      <c r="A6026" t="s">
        <v>20366</v>
      </c>
      <c r="B6026" t="s">
        <v>20367</v>
      </c>
    </row>
    <row r="6027" spans="1:2" x14ac:dyDescent="0.25">
      <c r="A6027" t="s">
        <v>20368</v>
      </c>
      <c r="B6027" t="s">
        <v>20369</v>
      </c>
    </row>
    <row r="6028" spans="1:2" x14ac:dyDescent="0.25">
      <c r="A6028" t="s">
        <v>20370</v>
      </c>
      <c r="B6028" t="s">
        <v>20371</v>
      </c>
    </row>
    <row r="6029" spans="1:2" x14ac:dyDescent="0.25">
      <c r="A6029" t="s">
        <v>20372</v>
      </c>
      <c r="B6029" t="s">
        <v>20373</v>
      </c>
    </row>
    <row r="6030" spans="1:2" x14ac:dyDescent="0.25">
      <c r="A6030" t="s">
        <v>20374</v>
      </c>
      <c r="B6030" t="s">
        <v>20375</v>
      </c>
    </row>
    <row r="6031" spans="1:2" x14ac:dyDescent="0.25">
      <c r="A6031" t="s">
        <v>20376</v>
      </c>
      <c r="B6031" t="s">
        <v>20377</v>
      </c>
    </row>
    <row r="6032" spans="1:2" x14ac:dyDescent="0.25">
      <c r="A6032" t="s">
        <v>20378</v>
      </c>
      <c r="B6032" t="s">
        <v>20379</v>
      </c>
    </row>
    <row r="6033" spans="1:2" x14ac:dyDescent="0.25">
      <c r="A6033" t="s">
        <v>20380</v>
      </c>
      <c r="B6033" t="s">
        <v>18189</v>
      </c>
    </row>
    <row r="6034" spans="1:2" x14ac:dyDescent="0.25">
      <c r="A6034" t="s">
        <v>20381</v>
      </c>
      <c r="B6034" t="s">
        <v>20382</v>
      </c>
    </row>
    <row r="6035" spans="1:2" x14ac:dyDescent="0.25">
      <c r="A6035" t="s">
        <v>20383</v>
      </c>
      <c r="B6035" t="s">
        <v>20384</v>
      </c>
    </row>
    <row r="6036" spans="1:2" x14ac:dyDescent="0.25">
      <c r="A6036" t="s">
        <v>20385</v>
      </c>
      <c r="B6036" t="s">
        <v>20386</v>
      </c>
    </row>
    <row r="6037" spans="1:2" x14ac:dyDescent="0.25">
      <c r="A6037" t="s">
        <v>20387</v>
      </c>
      <c r="B6037" t="s">
        <v>20388</v>
      </c>
    </row>
    <row r="6038" spans="1:2" x14ac:dyDescent="0.25">
      <c r="A6038" t="s">
        <v>20389</v>
      </c>
      <c r="B6038" t="s">
        <v>20390</v>
      </c>
    </row>
    <row r="6039" spans="1:2" x14ac:dyDescent="0.25">
      <c r="A6039" t="s">
        <v>20391</v>
      </c>
      <c r="B6039" t="s">
        <v>20392</v>
      </c>
    </row>
    <row r="6040" spans="1:2" x14ac:dyDescent="0.25">
      <c r="A6040" t="s">
        <v>20393</v>
      </c>
      <c r="B6040" t="s">
        <v>20394</v>
      </c>
    </row>
    <row r="6041" spans="1:2" x14ac:dyDescent="0.25">
      <c r="A6041" t="s">
        <v>20395</v>
      </c>
      <c r="B6041" t="s">
        <v>20396</v>
      </c>
    </row>
    <row r="6042" spans="1:2" x14ac:dyDescent="0.25">
      <c r="A6042" t="s">
        <v>20397</v>
      </c>
      <c r="B6042" t="s">
        <v>20398</v>
      </c>
    </row>
    <row r="6043" spans="1:2" x14ac:dyDescent="0.25">
      <c r="A6043" t="s">
        <v>20399</v>
      </c>
      <c r="B6043" t="s">
        <v>20400</v>
      </c>
    </row>
    <row r="6044" spans="1:2" x14ac:dyDescent="0.25">
      <c r="A6044" t="s">
        <v>20401</v>
      </c>
      <c r="B6044" t="s">
        <v>20402</v>
      </c>
    </row>
    <row r="6045" spans="1:2" x14ac:dyDescent="0.25">
      <c r="A6045" t="s">
        <v>20403</v>
      </c>
      <c r="B6045" t="s">
        <v>20404</v>
      </c>
    </row>
    <row r="6046" spans="1:2" x14ac:dyDescent="0.25">
      <c r="A6046" t="s">
        <v>20405</v>
      </c>
      <c r="B6046" t="s">
        <v>20406</v>
      </c>
    </row>
    <row r="6047" spans="1:2" x14ac:dyDescent="0.25">
      <c r="A6047" t="s">
        <v>20407</v>
      </c>
      <c r="B6047" t="s">
        <v>20408</v>
      </c>
    </row>
    <row r="6048" spans="1:2" x14ac:dyDescent="0.25">
      <c r="A6048" t="s">
        <v>20409</v>
      </c>
      <c r="B6048" t="s">
        <v>20410</v>
      </c>
    </row>
    <row r="6049" spans="1:2" x14ac:dyDescent="0.25">
      <c r="A6049" t="s">
        <v>20411</v>
      </c>
      <c r="B6049" t="s">
        <v>20412</v>
      </c>
    </row>
    <row r="6050" spans="1:2" x14ac:dyDescent="0.25">
      <c r="A6050" t="s">
        <v>20413</v>
      </c>
      <c r="B6050" t="s">
        <v>20414</v>
      </c>
    </row>
    <row r="6051" spans="1:2" x14ac:dyDescent="0.25">
      <c r="A6051" t="s">
        <v>20415</v>
      </c>
      <c r="B6051" t="s">
        <v>20416</v>
      </c>
    </row>
    <row r="6052" spans="1:2" x14ac:dyDescent="0.25">
      <c r="A6052" t="s">
        <v>20417</v>
      </c>
      <c r="B6052" t="s">
        <v>20418</v>
      </c>
    </row>
    <row r="6053" spans="1:2" x14ac:dyDescent="0.25">
      <c r="A6053" t="s">
        <v>20419</v>
      </c>
      <c r="B6053" t="s">
        <v>20420</v>
      </c>
    </row>
    <row r="6054" spans="1:2" x14ac:dyDescent="0.25">
      <c r="A6054" t="s">
        <v>20421</v>
      </c>
      <c r="B6054" t="s">
        <v>20422</v>
      </c>
    </row>
    <row r="6055" spans="1:2" x14ac:dyDescent="0.25">
      <c r="A6055" t="s">
        <v>20423</v>
      </c>
      <c r="B6055" t="s">
        <v>20424</v>
      </c>
    </row>
    <row r="6056" spans="1:2" x14ac:dyDescent="0.25">
      <c r="A6056" t="s">
        <v>20425</v>
      </c>
      <c r="B6056" t="s">
        <v>20426</v>
      </c>
    </row>
    <row r="6057" spans="1:2" x14ac:dyDescent="0.25">
      <c r="A6057" t="s">
        <v>20427</v>
      </c>
      <c r="B6057" t="s">
        <v>20428</v>
      </c>
    </row>
    <row r="6058" spans="1:2" x14ac:dyDescent="0.25">
      <c r="A6058" t="s">
        <v>20429</v>
      </c>
      <c r="B6058" t="s">
        <v>20430</v>
      </c>
    </row>
    <row r="6059" spans="1:2" x14ac:dyDescent="0.25">
      <c r="A6059" t="s">
        <v>20431</v>
      </c>
      <c r="B6059" t="s">
        <v>20432</v>
      </c>
    </row>
    <row r="6060" spans="1:2" x14ac:dyDescent="0.25">
      <c r="A6060" t="s">
        <v>20433</v>
      </c>
      <c r="B6060" t="s">
        <v>20434</v>
      </c>
    </row>
    <row r="6061" spans="1:2" x14ac:dyDescent="0.25">
      <c r="A6061" t="s">
        <v>20435</v>
      </c>
      <c r="B6061" t="s">
        <v>20436</v>
      </c>
    </row>
    <row r="6062" spans="1:2" x14ac:dyDescent="0.25">
      <c r="A6062" t="s">
        <v>20437</v>
      </c>
      <c r="B6062" t="s">
        <v>20438</v>
      </c>
    </row>
    <row r="6063" spans="1:2" x14ac:dyDescent="0.25">
      <c r="A6063" t="s">
        <v>20439</v>
      </c>
      <c r="B6063" t="s">
        <v>20440</v>
      </c>
    </row>
    <row r="6064" spans="1:2" x14ac:dyDescent="0.25">
      <c r="A6064" t="s">
        <v>20441</v>
      </c>
      <c r="B6064" t="s">
        <v>20442</v>
      </c>
    </row>
    <row r="6065" spans="1:2" x14ac:dyDescent="0.25">
      <c r="A6065" t="s">
        <v>20443</v>
      </c>
      <c r="B6065" t="s">
        <v>20444</v>
      </c>
    </row>
    <row r="6066" spans="1:2" x14ac:dyDescent="0.25">
      <c r="A6066" t="s">
        <v>20445</v>
      </c>
      <c r="B6066" t="s">
        <v>20446</v>
      </c>
    </row>
    <row r="6067" spans="1:2" x14ac:dyDescent="0.25">
      <c r="A6067" t="s">
        <v>20447</v>
      </c>
      <c r="B6067" t="s">
        <v>20448</v>
      </c>
    </row>
    <row r="6068" spans="1:2" x14ac:dyDescent="0.25">
      <c r="A6068" t="s">
        <v>20449</v>
      </c>
      <c r="B6068" t="s">
        <v>20450</v>
      </c>
    </row>
    <row r="6069" spans="1:2" x14ac:dyDescent="0.25">
      <c r="A6069" t="s">
        <v>20451</v>
      </c>
      <c r="B6069" t="s">
        <v>20452</v>
      </c>
    </row>
    <row r="6070" spans="1:2" x14ac:dyDescent="0.25">
      <c r="A6070" t="s">
        <v>20453</v>
      </c>
      <c r="B6070" t="s">
        <v>20454</v>
      </c>
    </row>
    <row r="6071" spans="1:2" x14ac:dyDescent="0.25">
      <c r="A6071" t="s">
        <v>20455</v>
      </c>
      <c r="B6071" t="s">
        <v>20456</v>
      </c>
    </row>
    <row r="6072" spans="1:2" x14ac:dyDescent="0.25">
      <c r="A6072" t="s">
        <v>20457</v>
      </c>
      <c r="B6072" t="s">
        <v>20458</v>
      </c>
    </row>
    <row r="6073" spans="1:2" x14ac:dyDescent="0.25">
      <c r="A6073" t="s">
        <v>20459</v>
      </c>
      <c r="B6073" t="s">
        <v>20460</v>
      </c>
    </row>
    <row r="6074" spans="1:2" x14ac:dyDescent="0.25">
      <c r="A6074" t="s">
        <v>20461</v>
      </c>
      <c r="B6074" t="s">
        <v>20462</v>
      </c>
    </row>
    <row r="6075" spans="1:2" x14ac:dyDescent="0.25">
      <c r="A6075" t="s">
        <v>20463</v>
      </c>
      <c r="B6075" t="s">
        <v>20464</v>
      </c>
    </row>
    <row r="6076" spans="1:2" x14ac:dyDescent="0.25">
      <c r="A6076" t="s">
        <v>20465</v>
      </c>
      <c r="B6076" t="s">
        <v>20466</v>
      </c>
    </row>
    <row r="6077" spans="1:2" x14ac:dyDescent="0.25">
      <c r="A6077" t="s">
        <v>20467</v>
      </c>
      <c r="B6077" t="s">
        <v>20468</v>
      </c>
    </row>
    <row r="6078" spans="1:2" x14ac:dyDescent="0.25">
      <c r="A6078" t="s">
        <v>20469</v>
      </c>
      <c r="B6078" t="s">
        <v>20470</v>
      </c>
    </row>
    <row r="6079" spans="1:2" x14ac:dyDescent="0.25">
      <c r="A6079" t="s">
        <v>20471</v>
      </c>
      <c r="B6079" t="s">
        <v>20472</v>
      </c>
    </row>
    <row r="6080" spans="1:2" x14ac:dyDescent="0.25">
      <c r="A6080" t="s">
        <v>20473</v>
      </c>
      <c r="B6080" t="s">
        <v>20474</v>
      </c>
    </row>
    <row r="6081" spans="1:2" x14ac:dyDescent="0.25">
      <c r="A6081" t="s">
        <v>20475</v>
      </c>
      <c r="B6081" t="s">
        <v>20476</v>
      </c>
    </row>
    <row r="6082" spans="1:2" x14ac:dyDescent="0.25">
      <c r="A6082" t="s">
        <v>20477</v>
      </c>
      <c r="B6082" t="s">
        <v>20478</v>
      </c>
    </row>
    <row r="6083" spans="1:2" x14ac:dyDescent="0.25">
      <c r="A6083" t="s">
        <v>20479</v>
      </c>
      <c r="B6083" t="s">
        <v>20480</v>
      </c>
    </row>
    <row r="6084" spans="1:2" x14ac:dyDescent="0.25">
      <c r="A6084" t="s">
        <v>20481</v>
      </c>
      <c r="B6084" t="s">
        <v>20482</v>
      </c>
    </row>
    <row r="6085" spans="1:2" x14ac:dyDescent="0.25">
      <c r="A6085" t="s">
        <v>20483</v>
      </c>
      <c r="B6085" t="s">
        <v>20484</v>
      </c>
    </row>
    <row r="6086" spans="1:2" x14ac:dyDescent="0.25">
      <c r="A6086" t="s">
        <v>20485</v>
      </c>
      <c r="B6086" t="s">
        <v>20486</v>
      </c>
    </row>
    <row r="6087" spans="1:2" x14ac:dyDescent="0.25">
      <c r="A6087" t="s">
        <v>20487</v>
      </c>
      <c r="B6087" t="s">
        <v>20488</v>
      </c>
    </row>
    <row r="6088" spans="1:2" x14ac:dyDescent="0.25">
      <c r="A6088" t="s">
        <v>20489</v>
      </c>
      <c r="B6088" t="s">
        <v>20490</v>
      </c>
    </row>
    <row r="6089" spans="1:2" x14ac:dyDescent="0.25">
      <c r="A6089" t="s">
        <v>20491</v>
      </c>
      <c r="B6089" t="s">
        <v>20492</v>
      </c>
    </row>
    <row r="6090" spans="1:2" x14ac:dyDescent="0.25">
      <c r="A6090" t="s">
        <v>20493</v>
      </c>
      <c r="B6090" t="s">
        <v>20494</v>
      </c>
    </row>
    <row r="6091" spans="1:2" x14ac:dyDescent="0.25">
      <c r="A6091" t="s">
        <v>20495</v>
      </c>
      <c r="B6091" t="s">
        <v>20496</v>
      </c>
    </row>
    <row r="6092" spans="1:2" x14ac:dyDescent="0.25">
      <c r="A6092" t="s">
        <v>20497</v>
      </c>
      <c r="B6092" t="s">
        <v>20498</v>
      </c>
    </row>
    <row r="6093" spans="1:2" x14ac:dyDescent="0.25">
      <c r="A6093" t="s">
        <v>20499</v>
      </c>
      <c r="B6093" t="s">
        <v>20500</v>
      </c>
    </row>
    <row r="6094" spans="1:2" x14ac:dyDescent="0.25">
      <c r="A6094" t="s">
        <v>20501</v>
      </c>
      <c r="B6094" t="s">
        <v>20502</v>
      </c>
    </row>
    <row r="6095" spans="1:2" x14ac:dyDescent="0.25">
      <c r="A6095" t="s">
        <v>20503</v>
      </c>
      <c r="B6095" t="s">
        <v>14999</v>
      </c>
    </row>
    <row r="6096" spans="1:2" x14ac:dyDescent="0.25">
      <c r="A6096" t="s">
        <v>20504</v>
      </c>
      <c r="B6096" t="s">
        <v>20505</v>
      </c>
    </row>
    <row r="6097" spans="1:2" x14ac:dyDescent="0.25">
      <c r="A6097" t="s">
        <v>20506</v>
      </c>
      <c r="B6097" t="s">
        <v>20507</v>
      </c>
    </row>
    <row r="6098" spans="1:2" x14ac:dyDescent="0.25">
      <c r="A6098" t="s">
        <v>20508</v>
      </c>
      <c r="B6098" t="s">
        <v>20509</v>
      </c>
    </row>
    <row r="6099" spans="1:2" x14ac:dyDescent="0.25">
      <c r="A6099" t="s">
        <v>20510</v>
      </c>
      <c r="B6099" t="s">
        <v>20511</v>
      </c>
    </row>
    <row r="6100" spans="1:2" x14ac:dyDescent="0.25">
      <c r="A6100" t="s">
        <v>20512</v>
      </c>
      <c r="B6100" t="s">
        <v>20513</v>
      </c>
    </row>
    <row r="6101" spans="1:2" x14ac:dyDescent="0.25">
      <c r="A6101" t="s">
        <v>20514</v>
      </c>
      <c r="B6101" t="s">
        <v>20515</v>
      </c>
    </row>
    <row r="6102" spans="1:2" x14ac:dyDescent="0.25">
      <c r="A6102" t="s">
        <v>20516</v>
      </c>
      <c r="B6102" t="s">
        <v>20517</v>
      </c>
    </row>
    <row r="6103" spans="1:2" x14ac:dyDescent="0.25">
      <c r="A6103" t="s">
        <v>20518</v>
      </c>
      <c r="B6103" t="s">
        <v>20519</v>
      </c>
    </row>
    <row r="6104" spans="1:2" x14ac:dyDescent="0.25">
      <c r="A6104" t="s">
        <v>20520</v>
      </c>
      <c r="B6104" t="s">
        <v>20521</v>
      </c>
    </row>
    <row r="6105" spans="1:2" x14ac:dyDescent="0.25">
      <c r="A6105" t="s">
        <v>20522</v>
      </c>
      <c r="B6105" t="s">
        <v>20523</v>
      </c>
    </row>
    <row r="6106" spans="1:2" x14ac:dyDescent="0.25">
      <c r="A6106" t="s">
        <v>20524</v>
      </c>
      <c r="B6106" t="s">
        <v>20525</v>
      </c>
    </row>
    <row r="6107" spans="1:2" x14ac:dyDescent="0.25">
      <c r="A6107" t="s">
        <v>20526</v>
      </c>
      <c r="B6107" t="s">
        <v>20527</v>
      </c>
    </row>
    <row r="6108" spans="1:2" x14ac:dyDescent="0.25">
      <c r="A6108" t="s">
        <v>20528</v>
      </c>
      <c r="B6108" t="s">
        <v>20529</v>
      </c>
    </row>
    <row r="6109" spans="1:2" x14ac:dyDescent="0.25">
      <c r="A6109" t="s">
        <v>20530</v>
      </c>
      <c r="B6109" t="s">
        <v>20531</v>
      </c>
    </row>
    <row r="6110" spans="1:2" x14ac:dyDescent="0.25">
      <c r="A6110" t="s">
        <v>20532</v>
      </c>
      <c r="B6110" t="s">
        <v>20533</v>
      </c>
    </row>
    <row r="6111" spans="1:2" x14ac:dyDescent="0.25">
      <c r="A6111" t="s">
        <v>20534</v>
      </c>
      <c r="B6111" t="s">
        <v>10565</v>
      </c>
    </row>
    <row r="6112" spans="1:2" x14ac:dyDescent="0.25">
      <c r="A6112" t="s">
        <v>20535</v>
      </c>
      <c r="B6112" t="s">
        <v>20536</v>
      </c>
    </row>
    <row r="6113" spans="1:2" x14ac:dyDescent="0.25">
      <c r="A6113" t="s">
        <v>20537</v>
      </c>
      <c r="B6113" t="s">
        <v>20538</v>
      </c>
    </row>
    <row r="6114" spans="1:2" x14ac:dyDescent="0.25">
      <c r="A6114" t="s">
        <v>20539</v>
      </c>
      <c r="B6114" t="s">
        <v>20540</v>
      </c>
    </row>
    <row r="6115" spans="1:2" x14ac:dyDescent="0.25">
      <c r="A6115" t="s">
        <v>20541</v>
      </c>
      <c r="B6115" t="s">
        <v>20542</v>
      </c>
    </row>
    <row r="6116" spans="1:2" x14ac:dyDescent="0.25">
      <c r="A6116" t="s">
        <v>20543</v>
      </c>
      <c r="B6116" t="s">
        <v>20544</v>
      </c>
    </row>
    <row r="6117" spans="1:2" x14ac:dyDescent="0.25">
      <c r="A6117" t="s">
        <v>20545</v>
      </c>
      <c r="B6117" t="s">
        <v>20546</v>
      </c>
    </row>
    <row r="6118" spans="1:2" x14ac:dyDescent="0.25">
      <c r="A6118" t="s">
        <v>20547</v>
      </c>
      <c r="B6118" t="s">
        <v>20548</v>
      </c>
    </row>
    <row r="6119" spans="1:2" x14ac:dyDescent="0.25">
      <c r="A6119" t="s">
        <v>20549</v>
      </c>
      <c r="B6119" t="s">
        <v>20550</v>
      </c>
    </row>
    <row r="6120" spans="1:2" x14ac:dyDescent="0.25">
      <c r="A6120" t="s">
        <v>20551</v>
      </c>
      <c r="B6120" t="s">
        <v>20552</v>
      </c>
    </row>
    <row r="6121" spans="1:2" x14ac:dyDescent="0.25">
      <c r="A6121" t="s">
        <v>20553</v>
      </c>
      <c r="B6121" t="s">
        <v>20554</v>
      </c>
    </row>
    <row r="6122" spans="1:2" x14ac:dyDescent="0.25">
      <c r="A6122" t="s">
        <v>20555</v>
      </c>
      <c r="B6122" t="s">
        <v>20556</v>
      </c>
    </row>
    <row r="6123" spans="1:2" x14ac:dyDescent="0.25">
      <c r="A6123" t="s">
        <v>20557</v>
      </c>
      <c r="B6123" t="s">
        <v>20558</v>
      </c>
    </row>
    <row r="6124" spans="1:2" x14ac:dyDescent="0.25">
      <c r="A6124" t="s">
        <v>20559</v>
      </c>
      <c r="B6124" t="s">
        <v>20560</v>
      </c>
    </row>
    <row r="6125" spans="1:2" x14ac:dyDescent="0.25">
      <c r="A6125" t="s">
        <v>20561</v>
      </c>
      <c r="B6125" t="s">
        <v>20562</v>
      </c>
    </row>
    <row r="6126" spans="1:2" x14ac:dyDescent="0.25">
      <c r="A6126" t="s">
        <v>20563</v>
      </c>
      <c r="B6126" t="s">
        <v>20564</v>
      </c>
    </row>
    <row r="6127" spans="1:2" x14ac:dyDescent="0.25">
      <c r="A6127" t="s">
        <v>20565</v>
      </c>
      <c r="B6127" t="s">
        <v>20566</v>
      </c>
    </row>
    <row r="6128" spans="1:2" x14ac:dyDescent="0.25">
      <c r="A6128" t="s">
        <v>20567</v>
      </c>
      <c r="B6128" t="s">
        <v>20568</v>
      </c>
    </row>
    <row r="6129" spans="1:2" x14ac:dyDescent="0.25">
      <c r="A6129" t="s">
        <v>20569</v>
      </c>
      <c r="B6129" t="s">
        <v>20570</v>
      </c>
    </row>
    <row r="6130" spans="1:2" x14ac:dyDescent="0.25">
      <c r="A6130" t="s">
        <v>20571</v>
      </c>
      <c r="B6130" t="s">
        <v>20572</v>
      </c>
    </row>
    <row r="6131" spans="1:2" x14ac:dyDescent="0.25">
      <c r="A6131" t="s">
        <v>20573</v>
      </c>
      <c r="B6131" t="s">
        <v>20574</v>
      </c>
    </row>
    <row r="6132" spans="1:2" x14ac:dyDescent="0.25">
      <c r="A6132" t="s">
        <v>20575</v>
      </c>
      <c r="B6132" t="s">
        <v>20576</v>
      </c>
    </row>
    <row r="6133" spans="1:2" x14ac:dyDescent="0.25">
      <c r="A6133" t="s">
        <v>20577</v>
      </c>
      <c r="B6133" t="s">
        <v>20578</v>
      </c>
    </row>
    <row r="6134" spans="1:2" x14ac:dyDescent="0.25">
      <c r="A6134" t="s">
        <v>20579</v>
      </c>
      <c r="B6134" t="s">
        <v>20580</v>
      </c>
    </row>
    <row r="6135" spans="1:2" x14ac:dyDescent="0.25">
      <c r="A6135" t="s">
        <v>20581</v>
      </c>
      <c r="B6135" t="s">
        <v>20582</v>
      </c>
    </row>
    <row r="6136" spans="1:2" x14ac:dyDescent="0.25">
      <c r="A6136" t="s">
        <v>20583</v>
      </c>
      <c r="B6136" t="s">
        <v>20584</v>
      </c>
    </row>
    <row r="6137" spans="1:2" x14ac:dyDescent="0.25">
      <c r="A6137" t="s">
        <v>20585</v>
      </c>
      <c r="B6137" t="s">
        <v>20586</v>
      </c>
    </row>
    <row r="6138" spans="1:2" x14ac:dyDescent="0.25">
      <c r="A6138" t="s">
        <v>20587</v>
      </c>
      <c r="B6138" t="s">
        <v>20588</v>
      </c>
    </row>
    <row r="6139" spans="1:2" x14ac:dyDescent="0.25">
      <c r="A6139" t="s">
        <v>20589</v>
      </c>
      <c r="B6139" t="s">
        <v>20590</v>
      </c>
    </row>
    <row r="6140" spans="1:2" x14ac:dyDescent="0.25">
      <c r="A6140" t="s">
        <v>20591</v>
      </c>
      <c r="B6140" t="s">
        <v>20592</v>
      </c>
    </row>
    <row r="6141" spans="1:2" x14ac:dyDescent="0.25">
      <c r="A6141" t="s">
        <v>20593</v>
      </c>
      <c r="B6141" t="s">
        <v>20594</v>
      </c>
    </row>
    <row r="6142" spans="1:2" x14ac:dyDescent="0.25">
      <c r="A6142" t="s">
        <v>20595</v>
      </c>
      <c r="B6142" t="s">
        <v>20596</v>
      </c>
    </row>
    <row r="6143" spans="1:2" x14ac:dyDescent="0.25">
      <c r="A6143" t="s">
        <v>20597</v>
      </c>
      <c r="B6143" t="s">
        <v>20598</v>
      </c>
    </row>
    <row r="6144" spans="1:2" x14ac:dyDescent="0.25">
      <c r="A6144" t="s">
        <v>20599</v>
      </c>
      <c r="B6144" t="s">
        <v>20600</v>
      </c>
    </row>
    <row r="6145" spans="1:2" x14ac:dyDescent="0.25">
      <c r="A6145" t="s">
        <v>4417</v>
      </c>
      <c r="B6145" t="s">
        <v>20601</v>
      </c>
    </row>
    <row r="6146" spans="1:2" x14ac:dyDescent="0.25">
      <c r="A6146" t="s">
        <v>20602</v>
      </c>
      <c r="B6146" t="s">
        <v>20603</v>
      </c>
    </row>
    <row r="6147" spans="1:2" x14ac:dyDescent="0.25">
      <c r="A6147" t="s">
        <v>20604</v>
      </c>
      <c r="B6147" t="s">
        <v>20605</v>
      </c>
    </row>
    <row r="6148" spans="1:2" x14ac:dyDescent="0.25">
      <c r="A6148" t="s">
        <v>20606</v>
      </c>
      <c r="B6148" t="s">
        <v>20607</v>
      </c>
    </row>
    <row r="6149" spans="1:2" x14ac:dyDescent="0.25">
      <c r="A6149" t="s">
        <v>20608</v>
      </c>
      <c r="B6149" t="s">
        <v>20609</v>
      </c>
    </row>
    <row r="6150" spans="1:2" x14ac:dyDescent="0.25">
      <c r="A6150" t="s">
        <v>20610</v>
      </c>
      <c r="B6150" t="s">
        <v>20611</v>
      </c>
    </row>
    <row r="6151" spans="1:2" x14ac:dyDescent="0.25">
      <c r="A6151" t="s">
        <v>20612</v>
      </c>
      <c r="B6151" t="s">
        <v>20613</v>
      </c>
    </row>
    <row r="6152" spans="1:2" x14ac:dyDescent="0.25">
      <c r="A6152" t="s">
        <v>20614</v>
      </c>
      <c r="B6152" t="s">
        <v>20615</v>
      </c>
    </row>
    <row r="6153" spans="1:2" x14ac:dyDescent="0.25">
      <c r="A6153" t="s">
        <v>20616</v>
      </c>
      <c r="B6153" t="s">
        <v>20617</v>
      </c>
    </row>
    <row r="6154" spans="1:2" x14ac:dyDescent="0.25">
      <c r="A6154" t="s">
        <v>20618</v>
      </c>
      <c r="B6154" t="s">
        <v>20619</v>
      </c>
    </row>
    <row r="6155" spans="1:2" x14ac:dyDescent="0.25">
      <c r="A6155" t="s">
        <v>20620</v>
      </c>
      <c r="B6155" t="s">
        <v>20621</v>
      </c>
    </row>
    <row r="6156" spans="1:2" x14ac:dyDescent="0.25">
      <c r="A6156" t="s">
        <v>20622</v>
      </c>
      <c r="B6156" t="s">
        <v>20623</v>
      </c>
    </row>
    <row r="6157" spans="1:2" x14ac:dyDescent="0.25">
      <c r="A6157" t="s">
        <v>20624</v>
      </c>
      <c r="B6157" t="s">
        <v>20625</v>
      </c>
    </row>
    <row r="6158" spans="1:2" x14ac:dyDescent="0.25">
      <c r="A6158" t="s">
        <v>20626</v>
      </c>
      <c r="B6158" t="s">
        <v>20627</v>
      </c>
    </row>
    <row r="6159" spans="1:2" x14ac:dyDescent="0.25">
      <c r="A6159" t="s">
        <v>20628</v>
      </c>
      <c r="B6159" t="s">
        <v>20629</v>
      </c>
    </row>
    <row r="6160" spans="1:2" x14ac:dyDescent="0.25">
      <c r="A6160" t="s">
        <v>20630</v>
      </c>
      <c r="B6160" t="s">
        <v>20631</v>
      </c>
    </row>
    <row r="6161" spans="1:2" x14ac:dyDescent="0.25">
      <c r="A6161" t="s">
        <v>20632</v>
      </c>
      <c r="B6161" t="s">
        <v>20633</v>
      </c>
    </row>
    <row r="6162" spans="1:2" x14ac:dyDescent="0.25">
      <c r="A6162" t="s">
        <v>20634</v>
      </c>
      <c r="B6162" t="s">
        <v>20635</v>
      </c>
    </row>
    <row r="6163" spans="1:2" x14ac:dyDescent="0.25">
      <c r="A6163" t="s">
        <v>20636</v>
      </c>
      <c r="B6163" t="s">
        <v>20637</v>
      </c>
    </row>
    <row r="6164" spans="1:2" x14ac:dyDescent="0.25">
      <c r="A6164" t="s">
        <v>20638</v>
      </c>
      <c r="B6164" t="s">
        <v>20639</v>
      </c>
    </row>
    <row r="6165" spans="1:2" x14ac:dyDescent="0.25">
      <c r="A6165" t="s">
        <v>20640</v>
      </c>
      <c r="B6165" t="s">
        <v>20641</v>
      </c>
    </row>
    <row r="6166" spans="1:2" x14ac:dyDescent="0.25">
      <c r="A6166" t="s">
        <v>20642</v>
      </c>
      <c r="B6166" t="s">
        <v>20643</v>
      </c>
    </row>
    <row r="6167" spans="1:2" x14ac:dyDescent="0.25">
      <c r="A6167" t="s">
        <v>20644</v>
      </c>
      <c r="B6167" t="s">
        <v>20645</v>
      </c>
    </row>
    <row r="6168" spans="1:2" x14ac:dyDescent="0.25">
      <c r="A6168" t="s">
        <v>20646</v>
      </c>
      <c r="B6168" t="s">
        <v>20647</v>
      </c>
    </row>
    <row r="6169" spans="1:2" x14ac:dyDescent="0.25">
      <c r="A6169" t="s">
        <v>20648</v>
      </c>
      <c r="B6169" t="s">
        <v>20649</v>
      </c>
    </row>
    <row r="6170" spans="1:2" x14ac:dyDescent="0.25">
      <c r="A6170" t="s">
        <v>20650</v>
      </c>
      <c r="B6170" t="s">
        <v>20651</v>
      </c>
    </row>
    <row r="6171" spans="1:2" x14ac:dyDescent="0.25">
      <c r="A6171" t="s">
        <v>20652</v>
      </c>
      <c r="B6171" t="s">
        <v>20653</v>
      </c>
    </row>
    <row r="6172" spans="1:2" x14ac:dyDescent="0.25">
      <c r="A6172" t="s">
        <v>20654</v>
      </c>
      <c r="B6172" t="s">
        <v>20655</v>
      </c>
    </row>
    <row r="6173" spans="1:2" x14ac:dyDescent="0.25">
      <c r="A6173" t="s">
        <v>20656</v>
      </c>
      <c r="B6173" t="s">
        <v>20657</v>
      </c>
    </row>
    <row r="6174" spans="1:2" x14ac:dyDescent="0.25">
      <c r="A6174" t="s">
        <v>20658</v>
      </c>
      <c r="B6174" t="s">
        <v>20659</v>
      </c>
    </row>
    <row r="6175" spans="1:2" x14ac:dyDescent="0.25">
      <c r="A6175" t="s">
        <v>20660</v>
      </c>
      <c r="B6175" t="s">
        <v>20661</v>
      </c>
    </row>
    <row r="6176" spans="1:2" x14ac:dyDescent="0.25">
      <c r="A6176" t="s">
        <v>20662</v>
      </c>
      <c r="B6176" t="s">
        <v>20663</v>
      </c>
    </row>
    <row r="6177" spans="1:2" x14ac:dyDescent="0.25">
      <c r="A6177" t="s">
        <v>20664</v>
      </c>
      <c r="B6177" t="s">
        <v>20665</v>
      </c>
    </row>
    <row r="6178" spans="1:2" x14ac:dyDescent="0.25">
      <c r="A6178" t="s">
        <v>20666</v>
      </c>
      <c r="B6178" t="s">
        <v>20667</v>
      </c>
    </row>
    <row r="6179" spans="1:2" x14ac:dyDescent="0.25">
      <c r="A6179" t="s">
        <v>20668</v>
      </c>
      <c r="B6179" t="s">
        <v>20669</v>
      </c>
    </row>
    <row r="6180" spans="1:2" x14ac:dyDescent="0.25">
      <c r="A6180" t="s">
        <v>20670</v>
      </c>
      <c r="B6180" t="s">
        <v>20671</v>
      </c>
    </row>
    <row r="6181" spans="1:2" x14ac:dyDescent="0.25">
      <c r="A6181" t="s">
        <v>20672</v>
      </c>
      <c r="B6181" t="s">
        <v>20673</v>
      </c>
    </row>
    <row r="6182" spans="1:2" x14ac:dyDescent="0.25">
      <c r="A6182" t="s">
        <v>20674</v>
      </c>
      <c r="B6182" t="s">
        <v>20615</v>
      </c>
    </row>
    <row r="6183" spans="1:2" x14ac:dyDescent="0.25">
      <c r="A6183" t="s">
        <v>20675</v>
      </c>
      <c r="B6183" t="s">
        <v>20676</v>
      </c>
    </row>
    <row r="6184" spans="1:2" x14ac:dyDescent="0.25">
      <c r="A6184" t="s">
        <v>20677</v>
      </c>
      <c r="B6184" t="s">
        <v>20678</v>
      </c>
    </row>
    <row r="6185" spans="1:2" x14ac:dyDescent="0.25">
      <c r="A6185" t="s">
        <v>20679</v>
      </c>
      <c r="B6185" t="s">
        <v>20680</v>
      </c>
    </row>
    <row r="6186" spans="1:2" x14ac:dyDescent="0.25">
      <c r="A6186" t="s">
        <v>20681</v>
      </c>
      <c r="B6186" t="s">
        <v>20682</v>
      </c>
    </row>
    <row r="6187" spans="1:2" x14ac:dyDescent="0.25">
      <c r="A6187" t="s">
        <v>20683</v>
      </c>
      <c r="B6187" t="s">
        <v>20684</v>
      </c>
    </row>
    <row r="6188" spans="1:2" x14ac:dyDescent="0.25">
      <c r="A6188" t="s">
        <v>20685</v>
      </c>
      <c r="B6188" t="s">
        <v>20686</v>
      </c>
    </row>
    <row r="6189" spans="1:2" x14ac:dyDescent="0.25">
      <c r="A6189" t="s">
        <v>20687</v>
      </c>
      <c r="B6189" t="s">
        <v>20688</v>
      </c>
    </row>
    <row r="6190" spans="1:2" x14ac:dyDescent="0.25">
      <c r="A6190" t="s">
        <v>20689</v>
      </c>
      <c r="B6190" t="s">
        <v>20690</v>
      </c>
    </row>
    <row r="6191" spans="1:2" x14ac:dyDescent="0.25">
      <c r="A6191" t="s">
        <v>20691</v>
      </c>
      <c r="B6191" t="s">
        <v>20692</v>
      </c>
    </row>
    <row r="6192" spans="1:2" x14ac:dyDescent="0.25">
      <c r="A6192" t="s">
        <v>20693</v>
      </c>
      <c r="B6192" t="s">
        <v>20694</v>
      </c>
    </row>
    <row r="6193" spans="1:2" x14ac:dyDescent="0.25">
      <c r="A6193" t="s">
        <v>2528</v>
      </c>
      <c r="B6193" t="s">
        <v>20695</v>
      </c>
    </row>
    <row r="6194" spans="1:2" x14ac:dyDescent="0.25">
      <c r="A6194" t="s">
        <v>20696</v>
      </c>
      <c r="B6194" t="s">
        <v>20697</v>
      </c>
    </row>
    <row r="6195" spans="1:2" x14ac:dyDescent="0.25">
      <c r="A6195" t="s">
        <v>20698</v>
      </c>
      <c r="B6195" t="s">
        <v>20699</v>
      </c>
    </row>
    <row r="6196" spans="1:2" x14ac:dyDescent="0.25">
      <c r="A6196" t="s">
        <v>20700</v>
      </c>
      <c r="B6196" t="s">
        <v>20701</v>
      </c>
    </row>
    <row r="6197" spans="1:2" x14ac:dyDescent="0.25">
      <c r="A6197" t="s">
        <v>20702</v>
      </c>
      <c r="B6197" t="s">
        <v>20703</v>
      </c>
    </row>
    <row r="6198" spans="1:2" x14ac:dyDescent="0.25">
      <c r="A6198" t="s">
        <v>20704</v>
      </c>
      <c r="B6198" t="s">
        <v>20705</v>
      </c>
    </row>
    <row r="6199" spans="1:2" x14ac:dyDescent="0.25">
      <c r="A6199" t="s">
        <v>20706</v>
      </c>
      <c r="B6199" t="s">
        <v>20707</v>
      </c>
    </row>
    <row r="6200" spans="1:2" x14ac:dyDescent="0.25">
      <c r="A6200" t="s">
        <v>20708</v>
      </c>
      <c r="B6200" t="s">
        <v>20709</v>
      </c>
    </row>
    <row r="6201" spans="1:2" x14ac:dyDescent="0.25">
      <c r="A6201" t="s">
        <v>20710</v>
      </c>
      <c r="B6201" t="s">
        <v>20711</v>
      </c>
    </row>
    <row r="6202" spans="1:2" x14ac:dyDescent="0.25">
      <c r="A6202" t="s">
        <v>20712</v>
      </c>
      <c r="B6202" t="s">
        <v>20713</v>
      </c>
    </row>
    <row r="6203" spans="1:2" x14ac:dyDescent="0.25">
      <c r="A6203" t="s">
        <v>20714</v>
      </c>
      <c r="B6203" t="s">
        <v>20715</v>
      </c>
    </row>
    <row r="6204" spans="1:2" x14ac:dyDescent="0.25">
      <c r="A6204" t="s">
        <v>20716</v>
      </c>
      <c r="B6204" t="s">
        <v>20717</v>
      </c>
    </row>
    <row r="6205" spans="1:2" x14ac:dyDescent="0.25">
      <c r="A6205" t="s">
        <v>20718</v>
      </c>
      <c r="B6205" t="s">
        <v>20719</v>
      </c>
    </row>
    <row r="6206" spans="1:2" x14ac:dyDescent="0.25">
      <c r="A6206" t="s">
        <v>20720</v>
      </c>
      <c r="B6206" t="s">
        <v>9238</v>
      </c>
    </row>
    <row r="6207" spans="1:2" x14ac:dyDescent="0.25">
      <c r="A6207" t="s">
        <v>20721</v>
      </c>
      <c r="B6207" t="s">
        <v>20722</v>
      </c>
    </row>
    <row r="6208" spans="1:2" x14ac:dyDescent="0.25">
      <c r="A6208" t="s">
        <v>20723</v>
      </c>
      <c r="B6208" t="s">
        <v>20724</v>
      </c>
    </row>
    <row r="6209" spans="1:2" x14ac:dyDescent="0.25">
      <c r="A6209" t="s">
        <v>20725</v>
      </c>
      <c r="B6209" t="s">
        <v>20726</v>
      </c>
    </row>
    <row r="6210" spans="1:2" x14ac:dyDescent="0.25">
      <c r="A6210" t="s">
        <v>20727</v>
      </c>
      <c r="B6210" t="s">
        <v>20728</v>
      </c>
    </row>
    <row r="6211" spans="1:2" x14ac:dyDescent="0.25">
      <c r="A6211" t="s">
        <v>20729</v>
      </c>
      <c r="B6211" t="s">
        <v>20730</v>
      </c>
    </row>
    <row r="6212" spans="1:2" x14ac:dyDescent="0.25">
      <c r="A6212" t="s">
        <v>20731</v>
      </c>
      <c r="B6212" t="s">
        <v>20732</v>
      </c>
    </row>
    <row r="6213" spans="1:2" x14ac:dyDescent="0.25">
      <c r="A6213" t="s">
        <v>20733</v>
      </c>
      <c r="B6213" t="s">
        <v>20734</v>
      </c>
    </row>
    <row r="6214" spans="1:2" x14ac:dyDescent="0.25">
      <c r="A6214" t="s">
        <v>670</v>
      </c>
      <c r="B6214" t="s">
        <v>20735</v>
      </c>
    </row>
    <row r="6215" spans="1:2" x14ac:dyDescent="0.25">
      <c r="A6215" t="s">
        <v>20736</v>
      </c>
      <c r="B6215" t="s">
        <v>20737</v>
      </c>
    </row>
    <row r="6216" spans="1:2" x14ac:dyDescent="0.25">
      <c r="A6216" t="s">
        <v>20738</v>
      </c>
      <c r="B6216" t="s">
        <v>20739</v>
      </c>
    </row>
    <row r="6217" spans="1:2" x14ac:dyDescent="0.25">
      <c r="A6217" t="s">
        <v>20740</v>
      </c>
      <c r="B6217" t="s">
        <v>20741</v>
      </c>
    </row>
    <row r="6218" spans="1:2" x14ac:dyDescent="0.25">
      <c r="A6218" t="s">
        <v>20742</v>
      </c>
      <c r="B6218" t="s">
        <v>20743</v>
      </c>
    </row>
    <row r="6219" spans="1:2" x14ac:dyDescent="0.25">
      <c r="A6219" t="s">
        <v>20744</v>
      </c>
      <c r="B6219" t="s">
        <v>20745</v>
      </c>
    </row>
    <row r="6220" spans="1:2" x14ac:dyDescent="0.25">
      <c r="A6220" t="s">
        <v>20746</v>
      </c>
      <c r="B6220" t="s">
        <v>20747</v>
      </c>
    </row>
    <row r="6221" spans="1:2" x14ac:dyDescent="0.25">
      <c r="A6221" t="s">
        <v>20748</v>
      </c>
      <c r="B6221" t="s">
        <v>20749</v>
      </c>
    </row>
    <row r="6222" spans="1:2" x14ac:dyDescent="0.25">
      <c r="A6222" t="s">
        <v>20750</v>
      </c>
      <c r="B6222" t="s">
        <v>20751</v>
      </c>
    </row>
    <row r="6223" spans="1:2" x14ac:dyDescent="0.25">
      <c r="A6223" t="s">
        <v>20752</v>
      </c>
      <c r="B6223" t="s">
        <v>20753</v>
      </c>
    </row>
    <row r="6224" spans="1:2" x14ac:dyDescent="0.25">
      <c r="A6224" t="s">
        <v>20754</v>
      </c>
      <c r="B6224" t="s">
        <v>20755</v>
      </c>
    </row>
    <row r="6225" spans="1:2" x14ac:dyDescent="0.25">
      <c r="A6225" t="s">
        <v>20756</v>
      </c>
      <c r="B6225" t="s">
        <v>20757</v>
      </c>
    </row>
    <row r="6226" spans="1:2" x14ac:dyDescent="0.25">
      <c r="A6226" t="s">
        <v>20758</v>
      </c>
      <c r="B6226" t="s">
        <v>20759</v>
      </c>
    </row>
    <row r="6227" spans="1:2" x14ac:dyDescent="0.25">
      <c r="A6227" t="s">
        <v>20760</v>
      </c>
      <c r="B6227" t="s">
        <v>20761</v>
      </c>
    </row>
    <row r="6228" spans="1:2" x14ac:dyDescent="0.25">
      <c r="A6228" t="s">
        <v>20762</v>
      </c>
      <c r="B6228" t="s">
        <v>20763</v>
      </c>
    </row>
    <row r="6229" spans="1:2" x14ac:dyDescent="0.25">
      <c r="A6229" t="s">
        <v>20764</v>
      </c>
      <c r="B6229" t="s">
        <v>20765</v>
      </c>
    </row>
    <row r="6230" spans="1:2" x14ac:dyDescent="0.25">
      <c r="A6230" t="s">
        <v>20766</v>
      </c>
      <c r="B6230" t="s">
        <v>20767</v>
      </c>
    </row>
    <row r="6231" spans="1:2" x14ac:dyDescent="0.25">
      <c r="A6231" t="s">
        <v>2531</v>
      </c>
      <c r="B6231" t="s">
        <v>20768</v>
      </c>
    </row>
    <row r="6232" spans="1:2" x14ac:dyDescent="0.25">
      <c r="A6232" t="s">
        <v>20769</v>
      </c>
      <c r="B6232" t="s">
        <v>20770</v>
      </c>
    </row>
    <row r="6233" spans="1:2" x14ac:dyDescent="0.25">
      <c r="A6233" t="s">
        <v>20771</v>
      </c>
      <c r="B6233" t="s">
        <v>12000</v>
      </c>
    </row>
    <row r="6234" spans="1:2" x14ac:dyDescent="0.25">
      <c r="A6234" t="s">
        <v>20772</v>
      </c>
      <c r="B6234" t="s">
        <v>20773</v>
      </c>
    </row>
    <row r="6235" spans="1:2" x14ac:dyDescent="0.25">
      <c r="A6235" t="s">
        <v>20774</v>
      </c>
      <c r="B6235" t="s">
        <v>20775</v>
      </c>
    </row>
    <row r="6236" spans="1:2" x14ac:dyDescent="0.25">
      <c r="A6236" t="s">
        <v>20776</v>
      </c>
      <c r="B6236" t="s">
        <v>20777</v>
      </c>
    </row>
    <row r="6237" spans="1:2" x14ac:dyDescent="0.25">
      <c r="A6237" t="s">
        <v>20778</v>
      </c>
      <c r="B6237" t="s">
        <v>20779</v>
      </c>
    </row>
    <row r="6238" spans="1:2" x14ac:dyDescent="0.25">
      <c r="A6238" t="s">
        <v>20780</v>
      </c>
      <c r="B6238" t="s">
        <v>20781</v>
      </c>
    </row>
    <row r="6239" spans="1:2" x14ac:dyDescent="0.25">
      <c r="A6239" t="s">
        <v>20782</v>
      </c>
      <c r="B6239" t="s">
        <v>20783</v>
      </c>
    </row>
    <row r="6240" spans="1:2" x14ac:dyDescent="0.25">
      <c r="A6240" t="s">
        <v>20784</v>
      </c>
      <c r="B6240" t="s">
        <v>20785</v>
      </c>
    </row>
    <row r="6241" spans="1:2" x14ac:dyDescent="0.25">
      <c r="A6241" t="s">
        <v>20786</v>
      </c>
      <c r="B6241" t="s">
        <v>20787</v>
      </c>
    </row>
    <row r="6242" spans="1:2" x14ac:dyDescent="0.25">
      <c r="A6242" t="s">
        <v>20788</v>
      </c>
      <c r="B6242" t="s">
        <v>20789</v>
      </c>
    </row>
    <row r="6243" spans="1:2" x14ac:dyDescent="0.25">
      <c r="A6243" t="s">
        <v>20790</v>
      </c>
      <c r="B6243" t="s">
        <v>20791</v>
      </c>
    </row>
    <row r="6244" spans="1:2" x14ac:dyDescent="0.25">
      <c r="A6244" t="s">
        <v>20792</v>
      </c>
      <c r="B6244" t="s">
        <v>20793</v>
      </c>
    </row>
    <row r="6245" spans="1:2" x14ac:dyDescent="0.25">
      <c r="A6245" t="s">
        <v>20794</v>
      </c>
      <c r="B6245" t="s">
        <v>13725</v>
      </c>
    </row>
    <row r="6246" spans="1:2" x14ac:dyDescent="0.25">
      <c r="A6246" t="s">
        <v>20795</v>
      </c>
      <c r="B6246" t="s">
        <v>20796</v>
      </c>
    </row>
    <row r="6247" spans="1:2" x14ac:dyDescent="0.25">
      <c r="A6247" t="s">
        <v>20797</v>
      </c>
      <c r="B6247" t="s">
        <v>20798</v>
      </c>
    </row>
    <row r="6248" spans="1:2" x14ac:dyDescent="0.25">
      <c r="A6248" t="s">
        <v>20799</v>
      </c>
      <c r="B6248" t="s">
        <v>20800</v>
      </c>
    </row>
    <row r="6249" spans="1:2" x14ac:dyDescent="0.25">
      <c r="A6249" t="s">
        <v>20801</v>
      </c>
      <c r="B6249" t="s">
        <v>20802</v>
      </c>
    </row>
    <row r="6250" spans="1:2" x14ac:dyDescent="0.25">
      <c r="A6250" t="s">
        <v>20803</v>
      </c>
      <c r="B6250" t="s">
        <v>12020</v>
      </c>
    </row>
    <row r="6251" spans="1:2" x14ac:dyDescent="0.25">
      <c r="A6251" t="s">
        <v>20804</v>
      </c>
      <c r="B6251" t="s">
        <v>20805</v>
      </c>
    </row>
    <row r="6252" spans="1:2" x14ac:dyDescent="0.25">
      <c r="A6252" t="s">
        <v>20806</v>
      </c>
      <c r="B6252" t="s">
        <v>20807</v>
      </c>
    </row>
    <row r="6253" spans="1:2" x14ac:dyDescent="0.25">
      <c r="A6253" t="s">
        <v>20808</v>
      </c>
      <c r="B6253" t="s">
        <v>20809</v>
      </c>
    </row>
    <row r="6254" spans="1:2" x14ac:dyDescent="0.25">
      <c r="A6254" t="s">
        <v>20810</v>
      </c>
      <c r="B6254" t="s">
        <v>20811</v>
      </c>
    </row>
    <row r="6255" spans="1:2" x14ac:dyDescent="0.25">
      <c r="A6255" t="s">
        <v>20812</v>
      </c>
      <c r="B6255" t="s">
        <v>9238</v>
      </c>
    </row>
    <row r="6256" spans="1:2" x14ac:dyDescent="0.25">
      <c r="A6256" t="s">
        <v>20813</v>
      </c>
      <c r="B6256" t="s">
        <v>20814</v>
      </c>
    </row>
    <row r="6257" spans="1:2" x14ac:dyDescent="0.25">
      <c r="A6257" t="s">
        <v>20815</v>
      </c>
      <c r="B6257" t="s">
        <v>20816</v>
      </c>
    </row>
    <row r="6258" spans="1:2" x14ac:dyDescent="0.25">
      <c r="A6258" t="s">
        <v>20817</v>
      </c>
      <c r="B6258" t="s">
        <v>20818</v>
      </c>
    </row>
    <row r="6259" spans="1:2" x14ac:dyDescent="0.25">
      <c r="A6259" t="s">
        <v>20819</v>
      </c>
      <c r="B6259" t="s">
        <v>20820</v>
      </c>
    </row>
    <row r="6260" spans="1:2" x14ac:dyDescent="0.25">
      <c r="A6260" t="s">
        <v>20821</v>
      </c>
      <c r="B6260" t="s">
        <v>20822</v>
      </c>
    </row>
    <row r="6261" spans="1:2" x14ac:dyDescent="0.25">
      <c r="A6261" t="s">
        <v>20823</v>
      </c>
      <c r="B6261" t="s">
        <v>20824</v>
      </c>
    </row>
    <row r="6262" spans="1:2" x14ac:dyDescent="0.25">
      <c r="A6262" t="s">
        <v>20825</v>
      </c>
      <c r="B6262" t="s">
        <v>20826</v>
      </c>
    </row>
    <row r="6263" spans="1:2" x14ac:dyDescent="0.25">
      <c r="A6263" t="s">
        <v>20827</v>
      </c>
      <c r="B6263" t="s">
        <v>20828</v>
      </c>
    </row>
    <row r="6264" spans="1:2" x14ac:dyDescent="0.25">
      <c r="A6264" t="s">
        <v>20829</v>
      </c>
      <c r="B6264" t="s">
        <v>14714</v>
      </c>
    </row>
    <row r="6265" spans="1:2" x14ac:dyDescent="0.25">
      <c r="A6265" t="s">
        <v>20830</v>
      </c>
      <c r="B6265" t="s">
        <v>20831</v>
      </c>
    </row>
    <row r="6266" spans="1:2" x14ac:dyDescent="0.25">
      <c r="A6266" t="s">
        <v>20832</v>
      </c>
      <c r="B6266" t="s">
        <v>20833</v>
      </c>
    </row>
    <row r="6267" spans="1:2" x14ac:dyDescent="0.25">
      <c r="A6267" t="s">
        <v>20834</v>
      </c>
      <c r="B6267" t="s">
        <v>20835</v>
      </c>
    </row>
    <row r="6268" spans="1:2" x14ac:dyDescent="0.25">
      <c r="A6268" t="s">
        <v>20836</v>
      </c>
      <c r="B6268" t="s">
        <v>20837</v>
      </c>
    </row>
    <row r="6269" spans="1:2" x14ac:dyDescent="0.25">
      <c r="A6269" t="s">
        <v>20838</v>
      </c>
      <c r="B6269" t="s">
        <v>20839</v>
      </c>
    </row>
    <row r="6270" spans="1:2" x14ac:dyDescent="0.25">
      <c r="A6270" t="s">
        <v>20840</v>
      </c>
      <c r="B6270" t="s">
        <v>20841</v>
      </c>
    </row>
    <row r="6271" spans="1:2" x14ac:dyDescent="0.25">
      <c r="A6271" t="s">
        <v>20842</v>
      </c>
      <c r="B6271" t="s">
        <v>20843</v>
      </c>
    </row>
    <row r="6272" spans="1:2" x14ac:dyDescent="0.25">
      <c r="A6272" t="s">
        <v>20844</v>
      </c>
      <c r="B6272" t="s">
        <v>20845</v>
      </c>
    </row>
    <row r="6273" spans="1:2" x14ac:dyDescent="0.25">
      <c r="A6273" t="s">
        <v>20846</v>
      </c>
      <c r="B6273" t="s">
        <v>20847</v>
      </c>
    </row>
    <row r="6274" spans="1:2" x14ac:dyDescent="0.25">
      <c r="A6274" t="s">
        <v>1559</v>
      </c>
      <c r="B6274" t="s">
        <v>20848</v>
      </c>
    </row>
    <row r="6275" spans="1:2" x14ac:dyDescent="0.25">
      <c r="A6275" t="s">
        <v>20849</v>
      </c>
      <c r="B6275" t="s">
        <v>20850</v>
      </c>
    </row>
    <row r="6276" spans="1:2" x14ac:dyDescent="0.25">
      <c r="A6276" t="s">
        <v>20851</v>
      </c>
      <c r="B6276" t="s">
        <v>20852</v>
      </c>
    </row>
    <row r="6277" spans="1:2" x14ac:dyDescent="0.25">
      <c r="A6277" t="s">
        <v>20853</v>
      </c>
      <c r="B6277" t="s">
        <v>20854</v>
      </c>
    </row>
    <row r="6278" spans="1:2" x14ac:dyDescent="0.25">
      <c r="A6278" t="s">
        <v>20855</v>
      </c>
      <c r="B6278" t="s">
        <v>20856</v>
      </c>
    </row>
    <row r="6279" spans="1:2" x14ac:dyDescent="0.25">
      <c r="A6279" t="s">
        <v>20857</v>
      </c>
      <c r="B6279" t="s">
        <v>20858</v>
      </c>
    </row>
    <row r="6280" spans="1:2" x14ac:dyDescent="0.25">
      <c r="A6280" t="s">
        <v>20859</v>
      </c>
      <c r="B6280" t="s">
        <v>20860</v>
      </c>
    </row>
    <row r="6281" spans="1:2" x14ac:dyDescent="0.25">
      <c r="A6281" t="s">
        <v>20861</v>
      </c>
      <c r="B6281" t="s">
        <v>20862</v>
      </c>
    </row>
    <row r="6282" spans="1:2" x14ac:dyDescent="0.25">
      <c r="A6282" t="s">
        <v>20863</v>
      </c>
      <c r="B6282" t="s">
        <v>20864</v>
      </c>
    </row>
    <row r="6283" spans="1:2" x14ac:dyDescent="0.25">
      <c r="A6283" t="s">
        <v>20865</v>
      </c>
      <c r="B6283" t="s">
        <v>20866</v>
      </c>
    </row>
    <row r="6284" spans="1:2" x14ac:dyDescent="0.25">
      <c r="A6284" t="s">
        <v>20867</v>
      </c>
      <c r="B6284" t="s">
        <v>20868</v>
      </c>
    </row>
    <row r="6285" spans="1:2" x14ac:dyDescent="0.25">
      <c r="A6285" t="s">
        <v>20869</v>
      </c>
      <c r="B6285" t="s">
        <v>20870</v>
      </c>
    </row>
    <row r="6286" spans="1:2" x14ac:dyDescent="0.25">
      <c r="A6286" t="s">
        <v>20871</v>
      </c>
      <c r="B6286" t="s">
        <v>20872</v>
      </c>
    </row>
    <row r="6287" spans="1:2" x14ac:dyDescent="0.25">
      <c r="A6287" t="s">
        <v>20873</v>
      </c>
      <c r="B6287" t="s">
        <v>20874</v>
      </c>
    </row>
    <row r="6288" spans="1:2" x14ac:dyDescent="0.25">
      <c r="A6288" t="s">
        <v>20875</v>
      </c>
      <c r="B6288" t="s">
        <v>20876</v>
      </c>
    </row>
    <row r="6289" spans="1:2" x14ac:dyDescent="0.25">
      <c r="A6289" t="s">
        <v>20877</v>
      </c>
      <c r="B6289" t="s">
        <v>20878</v>
      </c>
    </row>
    <row r="6290" spans="1:2" x14ac:dyDescent="0.25">
      <c r="A6290" t="s">
        <v>20879</v>
      </c>
      <c r="B6290" t="s">
        <v>20880</v>
      </c>
    </row>
    <row r="6291" spans="1:2" x14ac:dyDescent="0.25">
      <c r="A6291" t="s">
        <v>20881</v>
      </c>
      <c r="B6291" t="s">
        <v>20882</v>
      </c>
    </row>
    <row r="6292" spans="1:2" x14ac:dyDescent="0.25">
      <c r="A6292" t="s">
        <v>20883</v>
      </c>
      <c r="B6292" t="s">
        <v>20884</v>
      </c>
    </row>
    <row r="6293" spans="1:2" x14ac:dyDescent="0.25">
      <c r="A6293" t="s">
        <v>20885</v>
      </c>
      <c r="B6293" t="s">
        <v>20886</v>
      </c>
    </row>
    <row r="6294" spans="1:2" x14ac:dyDescent="0.25">
      <c r="A6294" t="s">
        <v>20887</v>
      </c>
      <c r="B6294" t="s">
        <v>20888</v>
      </c>
    </row>
    <row r="6295" spans="1:2" x14ac:dyDescent="0.25">
      <c r="A6295" t="s">
        <v>20889</v>
      </c>
      <c r="B6295" t="s">
        <v>20890</v>
      </c>
    </row>
    <row r="6296" spans="1:2" x14ac:dyDescent="0.25">
      <c r="A6296" t="s">
        <v>20891</v>
      </c>
      <c r="B6296" t="s">
        <v>20892</v>
      </c>
    </row>
    <row r="6297" spans="1:2" x14ac:dyDescent="0.25">
      <c r="A6297" t="s">
        <v>20893</v>
      </c>
      <c r="B6297" t="s">
        <v>20894</v>
      </c>
    </row>
    <row r="6298" spans="1:2" x14ac:dyDescent="0.25">
      <c r="A6298" t="s">
        <v>20895</v>
      </c>
      <c r="B6298" t="s">
        <v>20896</v>
      </c>
    </row>
    <row r="6299" spans="1:2" x14ac:dyDescent="0.25">
      <c r="A6299" t="s">
        <v>20897</v>
      </c>
      <c r="B6299" t="s">
        <v>20898</v>
      </c>
    </row>
    <row r="6300" spans="1:2" x14ac:dyDescent="0.25">
      <c r="A6300" t="s">
        <v>20899</v>
      </c>
      <c r="B6300" t="s">
        <v>20900</v>
      </c>
    </row>
    <row r="6301" spans="1:2" x14ac:dyDescent="0.25">
      <c r="A6301" t="s">
        <v>20901</v>
      </c>
      <c r="B6301" t="s">
        <v>20902</v>
      </c>
    </row>
    <row r="6302" spans="1:2" x14ac:dyDescent="0.25">
      <c r="A6302" t="s">
        <v>20903</v>
      </c>
      <c r="B6302" t="s">
        <v>20904</v>
      </c>
    </row>
    <row r="6303" spans="1:2" x14ac:dyDescent="0.25">
      <c r="A6303" t="s">
        <v>20905</v>
      </c>
      <c r="B6303" t="s">
        <v>20906</v>
      </c>
    </row>
    <row r="6304" spans="1:2" x14ac:dyDescent="0.25">
      <c r="A6304" t="s">
        <v>20907</v>
      </c>
      <c r="B6304" t="s">
        <v>20908</v>
      </c>
    </row>
    <row r="6305" spans="1:2" x14ac:dyDescent="0.25">
      <c r="A6305" t="s">
        <v>20909</v>
      </c>
      <c r="B6305" t="s">
        <v>20910</v>
      </c>
    </row>
    <row r="6306" spans="1:2" x14ac:dyDescent="0.25">
      <c r="A6306" t="s">
        <v>20911</v>
      </c>
      <c r="B6306" t="s">
        <v>20912</v>
      </c>
    </row>
    <row r="6307" spans="1:2" x14ac:dyDescent="0.25">
      <c r="A6307" t="s">
        <v>20913</v>
      </c>
      <c r="B6307" t="s">
        <v>20914</v>
      </c>
    </row>
    <row r="6308" spans="1:2" x14ac:dyDescent="0.25">
      <c r="A6308" t="s">
        <v>20915</v>
      </c>
      <c r="B6308" t="s">
        <v>20916</v>
      </c>
    </row>
    <row r="6309" spans="1:2" x14ac:dyDescent="0.25">
      <c r="A6309" t="s">
        <v>20917</v>
      </c>
      <c r="B6309" t="s">
        <v>20918</v>
      </c>
    </row>
    <row r="6310" spans="1:2" x14ac:dyDescent="0.25">
      <c r="A6310" t="s">
        <v>20919</v>
      </c>
      <c r="B6310" t="s">
        <v>20920</v>
      </c>
    </row>
    <row r="6311" spans="1:2" x14ac:dyDescent="0.25">
      <c r="A6311" t="s">
        <v>20921</v>
      </c>
      <c r="B6311" t="s">
        <v>20922</v>
      </c>
    </row>
    <row r="6312" spans="1:2" x14ac:dyDescent="0.25">
      <c r="A6312" t="s">
        <v>20923</v>
      </c>
      <c r="B6312" t="s">
        <v>20924</v>
      </c>
    </row>
    <row r="6313" spans="1:2" x14ac:dyDescent="0.25">
      <c r="A6313" t="s">
        <v>20925</v>
      </c>
      <c r="B6313" t="s">
        <v>20926</v>
      </c>
    </row>
    <row r="6314" spans="1:2" x14ac:dyDescent="0.25">
      <c r="A6314" t="s">
        <v>20927</v>
      </c>
      <c r="B6314" t="s">
        <v>20928</v>
      </c>
    </row>
    <row r="6315" spans="1:2" x14ac:dyDescent="0.25">
      <c r="A6315" t="s">
        <v>20929</v>
      </c>
      <c r="B6315" t="s">
        <v>20930</v>
      </c>
    </row>
    <row r="6316" spans="1:2" x14ac:dyDescent="0.25">
      <c r="A6316" t="s">
        <v>20931</v>
      </c>
      <c r="B6316" t="s">
        <v>20932</v>
      </c>
    </row>
    <row r="6317" spans="1:2" x14ac:dyDescent="0.25">
      <c r="A6317" t="s">
        <v>20933</v>
      </c>
      <c r="B6317" t="s">
        <v>20934</v>
      </c>
    </row>
    <row r="6318" spans="1:2" x14ac:dyDescent="0.25">
      <c r="A6318" t="s">
        <v>20935</v>
      </c>
      <c r="B6318" t="s">
        <v>20936</v>
      </c>
    </row>
    <row r="6319" spans="1:2" x14ac:dyDescent="0.25">
      <c r="A6319" t="s">
        <v>20937</v>
      </c>
      <c r="B6319" t="s">
        <v>20938</v>
      </c>
    </row>
    <row r="6320" spans="1:2" x14ac:dyDescent="0.25">
      <c r="A6320" t="s">
        <v>20939</v>
      </c>
      <c r="B6320" t="s">
        <v>20940</v>
      </c>
    </row>
    <row r="6321" spans="1:2" x14ac:dyDescent="0.25">
      <c r="A6321" t="s">
        <v>20941</v>
      </c>
      <c r="B6321" t="s">
        <v>20942</v>
      </c>
    </row>
    <row r="6322" spans="1:2" x14ac:dyDescent="0.25">
      <c r="A6322" t="s">
        <v>20943</v>
      </c>
      <c r="B6322" t="s">
        <v>20944</v>
      </c>
    </row>
    <row r="6323" spans="1:2" x14ac:dyDescent="0.25">
      <c r="A6323" t="s">
        <v>20945</v>
      </c>
      <c r="B6323" t="s">
        <v>20337</v>
      </c>
    </row>
    <row r="6324" spans="1:2" x14ac:dyDescent="0.25">
      <c r="A6324" t="s">
        <v>20946</v>
      </c>
      <c r="B6324" t="s">
        <v>20947</v>
      </c>
    </row>
    <row r="6325" spans="1:2" x14ac:dyDescent="0.25">
      <c r="A6325" t="s">
        <v>20948</v>
      </c>
      <c r="B6325" t="s">
        <v>20949</v>
      </c>
    </row>
    <row r="6326" spans="1:2" x14ac:dyDescent="0.25">
      <c r="A6326" t="s">
        <v>20950</v>
      </c>
      <c r="B6326" t="s">
        <v>20951</v>
      </c>
    </row>
    <row r="6327" spans="1:2" x14ac:dyDescent="0.25">
      <c r="A6327" t="s">
        <v>20952</v>
      </c>
      <c r="B6327" t="s">
        <v>20953</v>
      </c>
    </row>
    <row r="6328" spans="1:2" x14ac:dyDescent="0.25">
      <c r="A6328" t="s">
        <v>20954</v>
      </c>
      <c r="B6328" t="s">
        <v>20955</v>
      </c>
    </row>
    <row r="6329" spans="1:2" x14ac:dyDescent="0.25">
      <c r="A6329" t="s">
        <v>20956</v>
      </c>
      <c r="B6329" t="s">
        <v>20957</v>
      </c>
    </row>
    <row r="6330" spans="1:2" x14ac:dyDescent="0.25">
      <c r="A6330" t="s">
        <v>20958</v>
      </c>
      <c r="B6330" t="s">
        <v>20959</v>
      </c>
    </row>
    <row r="6331" spans="1:2" x14ac:dyDescent="0.25">
      <c r="A6331" t="s">
        <v>20960</v>
      </c>
      <c r="B6331" t="s">
        <v>20961</v>
      </c>
    </row>
    <row r="6332" spans="1:2" x14ac:dyDescent="0.25">
      <c r="A6332" t="s">
        <v>20962</v>
      </c>
      <c r="B6332" t="s">
        <v>20963</v>
      </c>
    </row>
    <row r="6333" spans="1:2" x14ac:dyDescent="0.25">
      <c r="A6333" t="s">
        <v>20964</v>
      </c>
      <c r="B6333" t="s">
        <v>20965</v>
      </c>
    </row>
    <row r="6334" spans="1:2" x14ac:dyDescent="0.25">
      <c r="A6334" t="s">
        <v>20966</v>
      </c>
      <c r="B6334" t="s">
        <v>20967</v>
      </c>
    </row>
    <row r="6335" spans="1:2" x14ac:dyDescent="0.25">
      <c r="A6335" t="s">
        <v>20968</v>
      </c>
      <c r="B6335" t="s">
        <v>20969</v>
      </c>
    </row>
    <row r="6336" spans="1:2" x14ac:dyDescent="0.25">
      <c r="A6336" t="s">
        <v>20970</v>
      </c>
      <c r="B6336" t="s">
        <v>20971</v>
      </c>
    </row>
    <row r="6337" spans="1:2" x14ac:dyDescent="0.25">
      <c r="A6337" t="s">
        <v>20972</v>
      </c>
      <c r="B6337" t="s">
        <v>20973</v>
      </c>
    </row>
    <row r="6338" spans="1:2" x14ac:dyDescent="0.25">
      <c r="A6338" t="s">
        <v>20974</v>
      </c>
      <c r="B6338" t="s">
        <v>20975</v>
      </c>
    </row>
    <row r="6339" spans="1:2" x14ac:dyDescent="0.25">
      <c r="A6339" t="s">
        <v>20976</v>
      </c>
      <c r="B6339" t="s">
        <v>20977</v>
      </c>
    </row>
    <row r="6340" spans="1:2" x14ac:dyDescent="0.25">
      <c r="A6340" t="s">
        <v>20978</v>
      </c>
      <c r="B6340" t="s">
        <v>20979</v>
      </c>
    </row>
    <row r="6341" spans="1:2" x14ac:dyDescent="0.25">
      <c r="A6341" t="s">
        <v>20980</v>
      </c>
      <c r="B6341" t="s">
        <v>20981</v>
      </c>
    </row>
    <row r="6342" spans="1:2" x14ac:dyDescent="0.25">
      <c r="A6342" t="s">
        <v>20982</v>
      </c>
      <c r="B6342" t="s">
        <v>20983</v>
      </c>
    </row>
    <row r="6343" spans="1:2" x14ac:dyDescent="0.25">
      <c r="A6343" t="s">
        <v>20984</v>
      </c>
      <c r="B6343" t="s">
        <v>20985</v>
      </c>
    </row>
    <row r="6344" spans="1:2" x14ac:dyDescent="0.25">
      <c r="A6344" t="s">
        <v>20986</v>
      </c>
      <c r="B6344" t="s">
        <v>20987</v>
      </c>
    </row>
    <row r="6345" spans="1:2" x14ac:dyDescent="0.25">
      <c r="A6345" t="s">
        <v>20988</v>
      </c>
      <c r="B6345" t="s">
        <v>20989</v>
      </c>
    </row>
    <row r="6346" spans="1:2" x14ac:dyDescent="0.25">
      <c r="A6346" t="s">
        <v>20990</v>
      </c>
      <c r="B6346" t="s">
        <v>20991</v>
      </c>
    </row>
    <row r="6347" spans="1:2" x14ac:dyDescent="0.25">
      <c r="A6347" t="s">
        <v>20992</v>
      </c>
      <c r="B6347" t="s">
        <v>20993</v>
      </c>
    </row>
    <row r="6348" spans="1:2" x14ac:dyDescent="0.25">
      <c r="A6348" t="s">
        <v>20994</v>
      </c>
      <c r="B6348" t="s">
        <v>20995</v>
      </c>
    </row>
    <row r="6349" spans="1:2" x14ac:dyDescent="0.25">
      <c r="A6349" t="s">
        <v>20996</v>
      </c>
      <c r="B6349" t="s">
        <v>20997</v>
      </c>
    </row>
    <row r="6350" spans="1:2" x14ac:dyDescent="0.25">
      <c r="A6350" t="s">
        <v>20998</v>
      </c>
      <c r="B6350" t="s">
        <v>20999</v>
      </c>
    </row>
    <row r="6351" spans="1:2" x14ac:dyDescent="0.25">
      <c r="A6351" t="s">
        <v>21000</v>
      </c>
      <c r="B6351" t="s">
        <v>21001</v>
      </c>
    </row>
    <row r="6352" spans="1:2" x14ac:dyDescent="0.25">
      <c r="A6352" t="s">
        <v>21002</v>
      </c>
      <c r="B6352" t="s">
        <v>21003</v>
      </c>
    </row>
    <row r="6353" spans="1:2" x14ac:dyDescent="0.25">
      <c r="A6353" t="s">
        <v>21004</v>
      </c>
      <c r="B6353" t="s">
        <v>21005</v>
      </c>
    </row>
    <row r="6354" spans="1:2" x14ac:dyDescent="0.25">
      <c r="A6354" t="s">
        <v>21006</v>
      </c>
      <c r="B6354" t="s">
        <v>21007</v>
      </c>
    </row>
    <row r="6355" spans="1:2" x14ac:dyDescent="0.25">
      <c r="A6355" t="s">
        <v>21008</v>
      </c>
      <c r="B6355" t="s">
        <v>21009</v>
      </c>
    </row>
    <row r="6356" spans="1:2" x14ac:dyDescent="0.25">
      <c r="A6356" t="s">
        <v>21010</v>
      </c>
      <c r="B6356" t="s">
        <v>21011</v>
      </c>
    </row>
    <row r="6357" spans="1:2" x14ac:dyDescent="0.25">
      <c r="A6357" t="s">
        <v>21012</v>
      </c>
      <c r="B6357" t="s">
        <v>21013</v>
      </c>
    </row>
    <row r="6358" spans="1:2" x14ac:dyDescent="0.25">
      <c r="A6358" t="s">
        <v>21014</v>
      </c>
      <c r="B6358" t="s">
        <v>21015</v>
      </c>
    </row>
    <row r="6359" spans="1:2" x14ac:dyDescent="0.25">
      <c r="A6359" t="s">
        <v>21016</v>
      </c>
      <c r="B6359" t="s">
        <v>21017</v>
      </c>
    </row>
    <row r="6360" spans="1:2" x14ac:dyDescent="0.25">
      <c r="A6360" t="s">
        <v>21018</v>
      </c>
      <c r="B6360" t="s">
        <v>21019</v>
      </c>
    </row>
    <row r="6361" spans="1:2" x14ac:dyDescent="0.25">
      <c r="A6361" t="s">
        <v>21020</v>
      </c>
      <c r="B6361" t="s">
        <v>21021</v>
      </c>
    </row>
    <row r="6362" spans="1:2" x14ac:dyDescent="0.25">
      <c r="A6362" t="s">
        <v>21022</v>
      </c>
      <c r="B6362" t="s">
        <v>21023</v>
      </c>
    </row>
    <row r="6363" spans="1:2" x14ac:dyDescent="0.25">
      <c r="A6363" t="s">
        <v>21024</v>
      </c>
      <c r="B6363" t="s">
        <v>21025</v>
      </c>
    </row>
    <row r="6364" spans="1:2" x14ac:dyDescent="0.25">
      <c r="A6364" t="s">
        <v>21026</v>
      </c>
      <c r="B6364" t="s">
        <v>21027</v>
      </c>
    </row>
    <row r="6365" spans="1:2" x14ac:dyDescent="0.25">
      <c r="A6365" t="s">
        <v>21028</v>
      </c>
      <c r="B6365" t="s">
        <v>21029</v>
      </c>
    </row>
    <row r="6366" spans="1:2" x14ac:dyDescent="0.25">
      <c r="A6366" t="s">
        <v>21030</v>
      </c>
      <c r="B6366" t="s">
        <v>21031</v>
      </c>
    </row>
    <row r="6367" spans="1:2" x14ac:dyDescent="0.25">
      <c r="A6367" t="s">
        <v>21032</v>
      </c>
      <c r="B6367" t="s">
        <v>21033</v>
      </c>
    </row>
    <row r="6368" spans="1:2" x14ac:dyDescent="0.25">
      <c r="A6368" t="s">
        <v>21034</v>
      </c>
      <c r="B6368" t="s">
        <v>21035</v>
      </c>
    </row>
    <row r="6369" spans="1:2" x14ac:dyDescent="0.25">
      <c r="A6369" t="s">
        <v>21036</v>
      </c>
      <c r="B6369" t="s">
        <v>21037</v>
      </c>
    </row>
    <row r="6370" spans="1:2" x14ac:dyDescent="0.25">
      <c r="A6370" t="s">
        <v>21038</v>
      </c>
      <c r="B6370" t="s">
        <v>21039</v>
      </c>
    </row>
    <row r="6371" spans="1:2" x14ac:dyDescent="0.25">
      <c r="A6371" t="s">
        <v>21040</v>
      </c>
      <c r="B6371" t="s">
        <v>21041</v>
      </c>
    </row>
    <row r="6372" spans="1:2" x14ac:dyDescent="0.25">
      <c r="A6372" t="s">
        <v>21042</v>
      </c>
      <c r="B6372" t="s">
        <v>21043</v>
      </c>
    </row>
    <row r="6373" spans="1:2" x14ac:dyDescent="0.25">
      <c r="A6373" t="s">
        <v>21044</v>
      </c>
      <c r="B6373" t="s">
        <v>21045</v>
      </c>
    </row>
    <row r="6374" spans="1:2" x14ac:dyDescent="0.25">
      <c r="A6374" t="s">
        <v>21046</v>
      </c>
      <c r="B6374" t="s">
        <v>21047</v>
      </c>
    </row>
    <row r="6375" spans="1:2" x14ac:dyDescent="0.25">
      <c r="A6375" t="s">
        <v>21048</v>
      </c>
      <c r="B6375" t="s">
        <v>21049</v>
      </c>
    </row>
    <row r="6376" spans="1:2" x14ac:dyDescent="0.25">
      <c r="A6376" t="s">
        <v>21050</v>
      </c>
      <c r="B6376" t="s">
        <v>21051</v>
      </c>
    </row>
    <row r="6377" spans="1:2" x14ac:dyDescent="0.25">
      <c r="A6377" t="s">
        <v>21052</v>
      </c>
      <c r="B6377" t="s">
        <v>21053</v>
      </c>
    </row>
    <row r="6378" spans="1:2" x14ac:dyDescent="0.25">
      <c r="A6378" t="s">
        <v>21054</v>
      </c>
      <c r="B6378" t="s">
        <v>21055</v>
      </c>
    </row>
    <row r="6379" spans="1:2" x14ac:dyDescent="0.25">
      <c r="A6379" t="s">
        <v>21056</v>
      </c>
      <c r="B6379" t="s">
        <v>21057</v>
      </c>
    </row>
    <row r="6380" spans="1:2" x14ac:dyDescent="0.25">
      <c r="A6380" t="s">
        <v>21058</v>
      </c>
      <c r="B6380" t="s">
        <v>21059</v>
      </c>
    </row>
    <row r="6381" spans="1:2" x14ac:dyDescent="0.25">
      <c r="A6381" t="s">
        <v>21060</v>
      </c>
      <c r="B6381" t="s">
        <v>21061</v>
      </c>
    </row>
    <row r="6382" spans="1:2" x14ac:dyDescent="0.25">
      <c r="A6382" t="s">
        <v>21062</v>
      </c>
      <c r="B6382" t="s">
        <v>21063</v>
      </c>
    </row>
    <row r="6383" spans="1:2" x14ac:dyDescent="0.25">
      <c r="A6383" t="s">
        <v>21064</v>
      </c>
      <c r="B6383" t="s">
        <v>21065</v>
      </c>
    </row>
    <row r="6384" spans="1:2" x14ac:dyDescent="0.25">
      <c r="A6384" t="s">
        <v>21066</v>
      </c>
      <c r="B6384" t="s">
        <v>21067</v>
      </c>
    </row>
    <row r="6385" spans="1:2" x14ac:dyDescent="0.25">
      <c r="A6385" t="s">
        <v>21068</v>
      </c>
      <c r="B6385" t="s">
        <v>21069</v>
      </c>
    </row>
    <row r="6386" spans="1:2" x14ac:dyDescent="0.25">
      <c r="A6386" t="s">
        <v>2943</v>
      </c>
      <c r="B6386" t="s">
        <v>21070</v>
      </c>
    </row>
    <row r="6387" spans="1:2" x14ac:dyDescent="0.25">
      <c r="A6387" t="s">
        <v>21071</v>
      </c>
      <c r="B6387" t="s">
        <v>21072</v>
      </c>
    </row>
    <row r="6388" spans="1:2" x14ac:dyDescent="0.25">
      <c r="A6388" t="s">
        <v>21073</v>
      </c>
      <c r="B6388" t="s">
        <v>21074</v>
      </c>
    </row>
    <row r="6389" spans="1:2" x14ac:dyDescent="0.25">
      <c r="A6389" t="s">
        <v>21075</v>
      </c>
      <c r="B6389" t="s">
        <v>21076</v>
      </c>
    </row>
    <row r="6390" spans="1:2" x14ac:dyDescent="0.25">
      <c r="A6390" t="s">
        <v>21077</v>
      </c>
      <c r="B6390" t="s">
        <v>21078</v>
      </c>
    </row>
    <row r="6391" spans="1:2" x14ac:dyDescent="0.25">
      <c r="A6391" t="s">
        <v>21079</v>
      </c>
      <c r="B6391" t="s">
        <v>21080</v>
      </c>
    </row>
    <row r="6392" spans="1:2" x14ac:dyDescent="0.25">
      <c r="A6392" t="s">
        <v>21081</v>
      </c>
      <c r="B6392" t="s">
        <v>21082</v>
      </c>
    </row>
    <row r="6393" spans="1:2" x14ac:dyDescent="0.25">
      <c r="A6393" t="s">
        <v>21083</v>
      </c>
      <c r="B6393" t="s">
        <v>21084</v>
      </c>
    </row>
    <row r="6394" spans="1:2" x14ac:dyDescent="0.25">
      <c r="A6394" t="s">
        <v>21085</v>
      </c>
      <c r="B6394" t="s">
        <v>21086</v>
      </c>
    </row>
    <row r="6395" spans="1:2" x14ac:dyDescent="0.25">
      <c r="A6395" t="s">
        <v>21087</v>
      </c>
      <c r="B6395" t="s">
        <v>21088</v>
      </c>
    </row>
    <row r="6396" spans="1:2" x14ac:dyDescent="0.25">
      <c r="A6396" t="s">
        <v>21089</v>
      </c>
      <c r="B6396" t="s">
        <v>21090</v>
      </c>
    </row>
    <row r="6397" spans="1:2" x14ac:dyDescent="0.25">
      <c r="A6397" t="s">
        <v>21091</v>
      </c>
      <c r="B6397" t="s">
        <v>21092</v>
      </c>
    </row>
    <row r="6398" spans="1:2" x14ac:dyDescent="0.25">
      <c r="A6398" t="s">
        <v>21093</v>
      </c>
      <c r="B6398" t="s">
        <v>21094</v>
      </c>
    </row>
    <row r="6399" spans="1:2" x14ac:dyDescent="0.25">
      <c r="A6399" t="s">
        <v>21095</v>
      </c>
      <c r="B6399" t="s">
        <v>21096</v>
      </c>
    </row>
    <row r="6400" spans="1:2" x14ac:dyDescent="0.25">
      <c r="A6400" t="s">
        <v>21097</v>
      </c>
      <c r="B6400" t="s">
        <v>21098</v>
      </c>
    </row>
    <row r="6401" spans="1:2" x14ac:dyDescent="0.25">
      <c r="A6401" t="s">
        <v>21099</v>
      </c>
      <c r="B6401" t="s">
        <v>21100</v>
      </c>
    </row>
    <row r="6402" spans="1:2" x14ac:dyDescent="0.25">
      <c r="A6402" t="s">
        <v>21101</v>
      </c>
      <c r="B6402" t="s">
        <v>21102</v>
      </c>
    </row>
    <row r="6403" spans="1:2" x14ac:dyDescent="0.25">
      <c r="A6403" t="s">
        <v>21103</v>
      </c>
      <c r="B6403" t="s">
        <v>21104</v>
      </c>
    </row>
    <row r="6404" spans="1:2" x14ac:dyDescent="0.25">
      <c r="A6404" t="s">
        <v>21105</v>
      </c>
      <c r="B6404" t="s">
        <v>21106</v>
      </c>
    </row>
    <row r="6405" spans="1:2" x14ac:dyDescent="0.25">
      <c r="A6405" t="s">
        <v>21107</v>
      </c>
      <c r="B6405" t="s">
        <v>21108</v>
      </c>
    </row>
    <row r="6406" spans="1:2" x14ac:dyDescent="0.25">
      <c r="A6406" t="s">
        <v>21109</v>
      </c>
      <c r="B6406" t="s">
        <v>21110</v>
      </c>
    </row>
    <row r="6407" spans="1:2" x14ac:dyDescent="0.25">
      <c r="A6407" t="s">
        <v>21111</v>
      </c>
      <c r="B6407" t="s">
        <v>21112</v>
      </c>
    </row>
    <row r="6408" spans="1:2" x14ac:dyDescent="0.25">
      <c r="A6408" t="s">
        <v>21113</v>
      </c>
      <c r="B6408" t="s">
        <v>21114</v>
      </c>
    </row>
    <row r="6409" spans="1:2" x14ac:dyDescent="0.25">
      <c r="A6409" t="s">
        <v>21115</v>
      </c>
      <c r="B6409" t="s">
        <v>21116</v>
      </c>
    </row>
    <row r="6410" spans="1:2" x14ac:dyDescent="0.25">
      <c r="A6410" t="s">
        <v>21117</v>
      </c>
      <c r="B6410" t="s">
        <v>21118</v>
      </c>
    </row>
    <row r="6411" spans="1:2" x14ac:dyDescent="0.25">
      <c r="A6411" t="s">
        <v>21119</v>
      </c>
      <c r="B6411" t="s">
        <v>21120</v>
      </c>
    </row>
    <row r="6412" spans="1:2" x14ac:dyDescent="0.25">
      <c r="A6412" t="s">
        <v>21121</v>
      </c>
      <c r="B6412" t="s">
        <v>21122</v>
      </c>
    </row>
    <row r="6413" spans="1:2" x14ac:dyDescent="0.25">
      <c r="A6413" t="s">
        <v>21123</v>
      </c>
      <c r="B6413" t="s">
        <v>21124</v>
      </c>
    </row>
    <row r="6414" spans="1:2" x14ac:dyDescent="0.25">
      <c r="A6414" t="s">
        <v>21125</v>
      </c>
      <c r="B6414" t="s">
        <v>21126</v>
      </c>
    </row>
    <row r="6415" spans="1:2" x14ac:dyDescent="0.25">
      <c r="A6415" t="s">
        <v>21127</v>
      </c>
      <c r="B6415" t="s">
        <v>21128</v>
      </c>
    </row>
    <row r="6416" spans="1:2" x14ac:dyDescent="0.25">
      <c r="A6416" t="s">
        <v>21129</v>
      </c>
      <c r="B6416" t="s">
        <v>21130</v>
      </c>
    </row>
    <row r="6417" spans="1:2" x14ac:dyDescent="0.25">
      <c r="A6417" t="s">
        <v>21131</v>
      </c>
      <c r="B6417" t="s">
        <v>21132</v>
      </c>
    </row>
    <row r="6418" spans="1:2" x14ac:dyDescent="0.25">
      <c r="A6418" t="s">
        <v>21133</v>
      </c>
      <c r="B6418" t="s">
        <v>21134</v>
      </c>
    </row>
    <row r="6419" spans="1:2" x14ac:dyDescent="0.25">
      <c r="A6419" t="s">
        <v>21135</v>
      </c>
      <c r="B6419" t="s">
        <v>21136</v>
      </c>
    </row>
    <row r="6420" spans="1:2" x14ac:dyDescent="0.25">
      <c r="A6420" t="s">
        <v>21137</v>
      </c>
      <c r="B6420" t="s">
        <v>21138</v>
      </c>
    </row>
    <row r="6421" spans="1:2" x14ac:dyDescent="0.25">
      <c r="A6421" t="s">
        <v>21139</v>
      </c>
      <c r="B6421" t="s">
        <v>21140</v>
      </c>
    </row>
    <row r="6422" spans="1:2" x14ac:dyDescent="0.25">
      <c r="A6422" t="s">
        <v>21141</v>
      </c>
      <c r="B6422" t="s">
        <v>21142</v>
      </c>
    </row>
    <row r="6423" spans="1:2" x14ac:dyDescent="0.25">
      <c r="A6423" t="s">
        <v>6789</v>
      </c>
      <c r="B6423" t="s">
        <v>21143</v>
      </c>
    </row>
    <row r="6424" spans="1:2" x14ac:dyDescent="0.25">
      <c r="A6424" t="s">
        <v>21144</v>
      </c>
      <c r="B6424" t="s">
        <v>21145</v>
      </c>
    </row>
    <row r="6425" spans="1:2" x14ac:dyDescent="0.25">
      <c r="A6425" t="s">
        <v>21146</v>
      </c>
      <c r="B6425" t="s">
        <v>21147</v>
      </c>
    </row>
    <row r="6426" spans="1:2" x14ac:dyDescent="0.25">
      <c r="A6426" t="s">
        <v>21148</v>
      </c>
      <c r="B6426" t="s">
        <v>21149</v>
      </c>
    </row>
    <row r="6427" spans="1:2" x14ac:dyDescent="0.25">
      <c r="A6427" t="s">
        <v>21150</v>
      </c>
      <c r="B6427" t="s">
        <v>21151</v>
      </c>
    </row>
    <row r="6428" spans="1:2" x14ac:dyDescent="0.25">
      <c r="A6428" t="s">
        <v>21152</v>
      </c>
      <c r="B6428" t="s">
        <v>21153</v>
      </c>
    </row>
    <row r="6429" spans="1:2" x14ac:dyDescent="0.25">
      <c r="A6429" t="s">
        <v>21154</v>
      </c>
      <c r="B6429" t="s">
        <v>21155</v>
      </c>
    </row>
    <row r="6430" spans="1:2" x14ac:dyDescent="0.25">
      <c r="A6430" t="s">
        <v>21156</v>
      </c>
      <c r="B6430" t="s">
        <v>21157</v>
      </c>
    </row>
    <row r="6431" spans="1:2" x14ac:dyDescent="0.25">
      <c r="A6431" t="s">
        <v>21158</v>
      </c>
      <c r="B6431" t="s">
        <v>21159</v>
      </c>
    </row>
    <row r="6432" spans="1:2" x14ac:dyDescent="0.25">
      <c r="A6432" t="s">
        <v>21160</v>
      </c>
      <c r="B6432" t="s">
        <v>21161</v>
      </c>
    </row>
    <row r="6433" spans="1:2" x14ac:dyDescent="0.25">
      <c r="A6433" t="s">
        <v>21162</v>
      </c>
      <c r="B6433" t="s">
        <v>21163</v>
      </c>
    </row>
    <row r="6434" spans="1:2" x14ac:dyDescent="0.25">
      <c r="A6434" t="s">
        <v>21164</v>
      </c>
      <c r="B6434" t="s">
        <v>21165</v>
      </c>
    </row>
    <row r="6435" spans="1:2" x14ac:dyDescent="0.25">
      <c r="A6435" t="s">
        <v>21166</v>
      </c>
      <c r="B6435" t="s">
        <v>21167</v>
      </c>
    </row>
    <row r="6436" spans="1:2" x14ac:dyDescent="0.25">
      <c r="A6436" t="s">
        <v>21168</v>
      </c>
      <c r="B6436" t="s">
        <v>21169</v>
      </c>
    </row>
    <row r="6437" spans="1:2" x14ac:dyDescent="0.25">
      <c r="A6437" t="s">
        <v>21170</v>
      </c>
      <c r="B6437" t="s">
        <v>21171</v>
      </c>
    </row>
    <row r="6438" spans="1:2" x14ac:dyDescent="0.25">
      <c r="A6438" t="s">
        <v>21172</v>
      </c>
      <c r="B6438" t="s">
        <v>21173</v>
      </c>
    </row>
    <row r="6439" spans="1:2" x14ac:dyDescent="0.25">
      <c r="A6439" t="s">
        <v>21174</v>
      </c>
      <c r="B6439" t="s">
        <v>21175</v>
      </c>
    </row>
    <row r="6440" spans="1:2" x14ac:dyDescent="0.25">
      <c r="A6440" t="s">
        <v>21176</v>
      </c>
      <c r="B6440" t="s">
        <v>21177</v>
      </c>
    </row>
    <row r="6441" spans="1:2" x14ac:dyDescent="0.25">
      <c r="A6441" t="s">
        <v>21178</v>
      </c>
      <c r="B6441" t="s">
        <v>21179</v>
      </c>
    </row>
    <row r="6442" spans="1:2" x14ac:dyDescent="0.25">
      <c r="A6442" t="s">
        <v>21180</v>
      </c>
      <c r="B6442" t="s">
        <v>21181</v>
      </c>
    </row>
    <row r="6443" spans="1:2" x14ac:dyDescent="0.25">
      <c r="A6443" t="s">
        <v>21182</v>
      </c>
      <c r="B6443" t="s">
        <v>21183</v>
      </c>
    </row>
    <row r="6444" spans="1:2" x14ac:dyDescent="0.25">
      <c r="A6444" t="s">
        <v>21184</v>
      </c>
      <c r="B6444" t="s">
        <v>21185</v>
      </c>
    </row>
    <row r="6445" spans="1:2" x14ac:dyDescent="0.25">
      <c r="A6445" t="s">
        <v>21186</v>
      </c>
      <c r="B6445" t="s">
        <v>21187</v>
      </c>
    </row>
    <row r="6446" spans="1:2" x14ac:dyDescent="0.25">
      <c r="A6446" t="s">
        <v>21188</v>
      </c>
      <c r="B6446" t="s">
        <v>21189</v>
      </c>
    </row>
    <row r="6447" spans="1:2" x14ac:dyDescent="0.25">
      <c r="A6447" t="s">
        <v>21190</v>
      </c>
      <c r="B6447" t="s">
        <v>21191</v>
      </c>
    </row>
    <row r="6448" spans="1:2" x14ac:dyDescent="0.25">
      <c r="A6448" t="s">
        <v>21192</v>
      </c>
      <c r="B6448" t="s">
        <v>21193</v>
      </c>
    </row>
    <row r="6449" spans="1:2" x14ac:dyDescent="0.25">
      <c r="A6449" t="s">
        <v>21194</v>
      </c>
      <c r="B6449" t="s">
        <v>21195</v>
      </c>
    </row>
    <row r="6450" spans="1:2" x14ac:dyDescent="0.25">
      <c r="A6450" t="s">
        <v>21196</v>
      </c>
      <c r="B6450" t="s">
        <v>21197</v>
      </c>
    </row>
    <row r="6451" spans="1:2" x14ac:dyDescent="0.25">
      <c r="A6451" t="s">
        <v>21198</v>
      </c>
      <c r="B6451" t="s">
        <v>21199</v>
      </c>
    </row>
    <row r="6452" spans="1:2" x14ac:dyDescent="0.25">
      <c r="A6452" t="s">
        <v>21200</v>
      </c>
      <c r="B6452" t="s">
        <v>21201</v>
      </c>
    </row>
    <row r="6453" spans="1:2" x14ac:dyDescent="0.25">
      <c r="A6453" t="s">
        <v>21202</v>
      </c>
      <c r="B6453" t="s">
        <v>21203</v>
      </c>
    </row>
    <row r="6454" spans="1:2" x14ac:dyDescent="0.25">
      <c r="A6454" t="s">
        <v>21204</v>
      </c>
      <c r="B6454" t="s">
        <v>21205</v>
      </c>
    </row>
    <row r="6455" spans="1:2" x14ac:dyDescent="0.25">
      <c r="A6455" t="s">
        <v>21206</v>
      </c>
      <c r="B6455" t="s">
        <v>21207</v>
      </c>
    </row>
    <row r="6456" spans="1:2" x14ac:dyDescent="0.25">
      <c r="A6456" t="s">
        <v>21208</v>
      </c>
      <c r="B6456" t="s">
        <v>21209</v>
      </c>
    </row>
    <row r="6457" spans="1:2" x14ac:dyDescent="0.25">
      <c r="A6457" t="s">
        <v>21210</v>
      </c>
      <c r="B6457" t="s">
        <v>21211</v>
      </c>
    </row>
    <row r="6458" spans="1:2" x14ac:dyDescent="0.25">
      <c r="A6458" t="s">
        <v>21212</v>
      </c>
      <c r="B6458" t="s">
        <v>21213</v>
      </c>
    </row>
    <row r="6459" spans="1:2" x14ac:dyDescent="0.25">
      <c r="A6459" t="s">
        <v>21214</v>
      </c>
      <c r="B6459" t="s">
        <v>21215</v>
      </c>
    </row>
    <row r="6460" spans="1:2" x14ac:dyDescent="0.25">
      <c r="A6460" t="s">
        <v>21216</v>
      </c>
      <c r="B6460" t="s">
        <v>21217</v>
      </c>
    </row>
    <row r="6461" spans="1:2" x14ac:dyDescent="0.25">
      <c r="A6461" t="s">
        <v>21218</v>
      </c>
      <c r="B6461" t="s">
        <v>21219</v>
      </c>
    </row>
    <row r="6462" spans="1:2" x14ac:dyDescent="0.25">
      <c r="A6462" t="s">
        <v>21220</v>
      </c>
      <c r="B6462" t="s">
        <v>21221</v>
      </c>
    </row>
    <row r="6463" spans="1:2" x14ac:dyDescent="0.25">
      <c r="A6463" t="s">
        <v>21222</v>
      </c>
      <c r="B6463" t="s">
        <v>21223</v>
      </c>
    </row>
    <row r="6464" spans="1:2" x14ac:dyDescent="0.25">
      <c r="A6464" t="s">
        <v>21224</v>
      </c>
      <c r="B6464" t="s">
        <v>21225</v>
      </c>
    </row>
    <row r="6465" spans="1:2" x14ac:dyDescent="0.25">
      <c r="A6465" t="s">
        <v>21226</v>
      </c>
      <c r="B6465" t="s">
        <v>21227</v>
      </c>
    </row>
    <row r="6466" spans="1:2" x14ac:dyDescent="0.25">
      <c r="A6466" t="s">
        <v>21228</v>
      </c>
      <c r="B6466" t="s">
        <v>21229</v>
      </c>
    </row>
    <row r="6467" spans="1:2" x14ac:dyDescent="0.25">
      <c r="A6467" t="s">
        <v>21230</v>
      </c>
      <c r="B6467" t="s">
        <v>21231</v>
      </c>
    </row>
    <row r="6468" spans="1:2" x14ac:dyDescent="0.25">
      <c r="A6468" t="s">
        <v>21232</v>
      </c>
      <c r="B6468" t="s">
        <v>21233</v>
      </c>
    </row>
    <row r="6469" spans="1:2" x14ac:dyDescent="0.25">
      <c r="A6469" t="s">
        <v>21234</v>
      </c>
      <c r="B6469" t="s">
        <v>21235</v>
      </c>
    </row>
    <row r="6470" spans="1:2" x14ac:dyDescent="0.25">
      <c r="A6470" t="s">
        <v>21236</v>
      </c>
      <c r="B6470" t="s">
        <v>21237</v>
      </c>
    </row>
    <row r="6471" spans="1:2" x14ac:dyDescent="0.25">
      <c r="A6471" t="s">
        <v>21238</v>
      </c>
      <c r="B6471" t="s">
        <v>21239</v>
      </c>
    </row>
    <row r="6472" spans="1:2" x14ac:dyDescent="0.25">
      <c r="A6472" t="s">
        <v>21240</v>
      </c>
      <c r="B6472" t="s">
        <v>21241</v>
      </c>
    </row>
    <row r="6473" spans="1:2" x14ac:dyDescent="0.25">
      <c r="A6473" t="s">
        <v>21242</v>
      </c>
      <c r="B6473" t="s">
        <v>21243</v>
      </c>
    </row>
    <row r="6474" spans="1:2" x14ac:dyDescent="0.25">
      <c r="A6474" t="s">
        <v>21244</v>
      </c>
      <c r="B6474" t="s">
        <v>21245</v>
      </c>
    </row>
    <row r="6475" spans="1:2" x14ac:dyDescent="0.25">
      <c r="A6475" t="s">
        <v>21246</v>
      </c>
      <c r="B6475" t="s">
        <v>21247</v>
      </c>
    </row>
    <row r="6476" spans="1:2" x14ac:dyDescent="0.25">
      <c r="A6476" t="s">
        <v>21248</v>
      </c>
      <c r="B6476" t="s">
        <v>21249</v>
      </c>
    </row>
    <row r="6477" spans="1:2" x14ac:dyDescent="0.25">
      <c r="A6477" t="s">
        <v>21250</v>
      </c>
      <c r="B6477" t="s">
        <v>21251</v>
      </c>
    </row>
    <row r="6478" spans="1:2" x14ac:dyDescent="0.25">
      <c r="A6478" t="s">
        <v>21252</v>
      </c>
      <c r="B6478" t="s">
        <v>21253</v>
      </c>
    </row>
    <row r="6479" spans="1:2" x14ac:dyDescent="0.25">
      <c r="A6479" t="s">
        <v>21254</v>
      </c>
      <c r="B6479" t="s">
        <v>21255</v>
      </c>
    </row>
    <row r="6480" spans="1:2" x14ac:dyDescent="0.25">
      <c r="A6480" t="s">
        <v>21256</v>
      </c>
      <c r="B6480" t="s">
        <v>21257</v>
      </c>
    </row>
    <row r="6481" spans="1:2" x14ac:dyDescent="0.25">
      <c r="A6481" t="s">
        <v>21258</v>
      </c>
      <c r="B6481" t="s">
        <v>21259</v>
      </c>
    </row>
    <row r="6482" spans="1:2" x14ac:dyDescent="0.25">
      <c r="A6482" t="s">
        <v>21260</v>
      </c>
      <c r="B6482" t="s">
        <v>21261</v>
      </c>
    </row>
    <row r="6483" spans="1:2" x14ac:dyDescent="0.25">
      <c r="A6483" t="s">
        <v>21262</v>
      </c>
      <c r="B6483" t="s">
        <v>21263</v>
      </c>
    </row>
    <row r="6484" spans="1:2" x14ac:dyDescent="0.25">
      <c r="A6484" t="s">
        <v>21264</v>
      </c>
      <c r="B6484" t="s">
        <v>21265</v>
      </c>
    </row>
    <row r="6485" spans="1:2" x14ac:dyDescent="0.25">
      <c r="A6485" t="s">
        <v>21266</v>
      </c>
      <c r="B6485" t="s">
        <v>21267</v>
      </c>
    </row>
    <row r="6486" spans="1:2" x14ac:dyDescent="0.25">
      <c r="A6486" t="s">
        <v>21268</v>
      </c>
      <c r="B6486" t="s">
        <v>21269</v>
      </c>
    </row>
    <row r="6487" spans="1:2" x14ac:dyDescent="0.25">
      <c r="A6487" t="s">
        <v>21270</v>
      </c>
      <c r="B6487" t="s">
        <v>21271</v>
      </c>
    </row>
    <row r="6488" spans="1:2" x14ac:dyDescent="0.25">
      <c r="A6488" t="s">
        <v>21272</v>
      </c>
      <c r="B6488" t="s">
        <v>21273</v>
      </c>
    </row>
    <row r="6489" spans="1:2" x14ac:dyDescent="0.25">
      <c r="A6489" t="s">
        <v>21274</v>
      </c>
      <c r="B6489" t="s">
        <v>21275</v>
      </c>
    </row>
    <row r="6490" spans="1:2" x14ac:dyDescent="0.25">
      <c r="A6490" t="s">
        <v>21276</v>
      </c>
      <c r="B6490" t="s">
        <v>21277</v>
      </c>
    </row>
    <row r="6491" spans="1:2" x14ac:dyDescent="0.25">
      <c r="A6491" t="s">
        <v>21278</v>
      </c>
      <c r="B6491" t="s">
        <v>21279</v>
      </c>
    </row>
    <row r="6492" spans="1:2" x14ac:dyDescent="0.25">
      <c r="A6492" t="s">
        <v>21280</v>
      </c>
      <c r="B6492" t="s">
        <v>21281</v>
      </c>
    </row>
    <row r="6493" spans="1:2" x14ac:dyDescent="0.25">
      <c r="A6493" t="s">
        <v>21282</v>
      </c>
      <c r="B6493" t="s">
        <v>21283</v>
      </c>
    </row>
    <row r="6494" spans="1:2" x14ac:dyDescent="0.25">
      <c r="A6494" t="s">
        <v>21284</v>
      </c>
      <c r="B6494" t="s">
        <v>21285</v>
      </c>
    </row>
    <row r="6495" spans="1:2" x14ac:dyDescent="0.25">
      <c r="A6495" t="s">
        <v>21286</v>
      </c>
      <c r="B6495" t="s">
        <v>21287</v>
      </c>
    </row>
    <row r="6496" spans="1:2" x14ac:dyDescent="0.25">
      <c r="A6496" t="s">
        <v>21288</v>
      </c>
      <c r="B6496" t="s">
        <v>21289</v>
      </c>
    </row>
    <row r="6497" spans="1:2" x14ac:dyDescent="0.25">
      <c r="A6497" t="s">
        <v>21290</v>
      </c>
      <c r="B6497" t="s">
        <v>21291</v>
      </c>
    </row>
    <row r="6498" spans="1:2" x14ac:dyDescent="0.25">
      <c r="A6498" t="s">
        <v>21292</v>
      </c>
      <c r="B6498" t="s">
        <v>21293</v>
      </c>
    </row>
    <row r="6499" spans="1:2" x14ac:dyDescent="0.25">
      <c r="A6499" t="s">
        <v>21294</v>
      </c>
      <c r="B6499" t="s">
        <v>21295</v>
      </c>
    </row>
    <row r="6500" spans="1:2" x14ac:dyDescent="0.25">
      <c r="A6500" t="s">
        <v>21296</v>
      </c>
      <c r="B6500" t="s">
        <v>21297</v>
      </c>
    </row>
    <row r="6501" spans="1:2" x14ac:dyDescent="0.25">
      <c r="A6501" t="s">
        <v>21298</v>
      </c>
      <c r="B6501" t="s">
        <v>21299</v>
      </c>
    </row>
    <row r="6502" spans="1:2" x14ac:dyDescent="0.25">
      <c r="A6502" t="s">
        <v>21300</v>
      </c>
      <c r="B6502" t="s">
        <v>21301</v>
      </c>
    </row>
    <row r="6503" spans="1:2" x14ac:dyDescent="0.25">
      <c r="A6503" t="s">
        <v>21302</v>
      </c>
      <c r="B6503" t="s">
        <v>21303</v>
      </c>
    </row>
    <row r="6504" spans="1:2" x14ac:dyDescent="0.25">
      <c r="A6504" t="s">
        <v>21304</v>
      </c>
      <c r="B6504" t="s">
        <v>21305</v>
      </c>
    </row>
    <row r="6505" spans="1:2" x14ac:dyDescent="0.25">
      <c r="A6505" t="s">
        <v>21306</v>
      </c>
      <c r="B6505" t="s">
        <v>21307</v>
      </c>
    </row>
    <row r="6506" spans="1:2" x14ac:dyDescent="0.25">
      <c r="A6506" t="s">
        <v>21308</v>
      </c>
      <c r="B6506" t="s">
        <v>21309</v>
      </c>
    </row>
    <row r="6507" spans="1:2" x14ac:dyDescent="0.25">
      <c r="A6507" t="s">
        <v>21310</v>
      </c>
      <c r="B6507" t="s">
        <v>21311</v>
      </c>
    </row>
    <row r="6508" spans="1:2" x14ac:dyDescent="0.25">
      <c r="A6508" t="s">
        <v>21312</v>
      </c>
      <c r="B6508" t="s">
        <v>21313</v>
      </c>
    </row>
    <row r="6509" spans="1:2" x14ac:dyDescent="0.25">
      <c r="A6509" t="s">
        <v>21314</v>
      </c>
      <c r="B6509" t="s">
        <v>21315</v>
      </c>
    </row>
    <row r="6510" spans="1:2" x14ac:dyDescent="0.25">
      <c r="A6510" t="s">
        <v>21316</v>
      </c>
      <c r="B6510" t="s">
        <v>21317</v>
      </c>
    </row>
    <row r="6511" spans="1:2" x14ac:dyDescent="0.25">
      <c r="A6511" t="s">
        <v>21318</v>
      </c>
      <c r="B6511" t="s">
        <v>21319</v>
      </c>
    </row>
    <row r="6512" spans="1:2" x14ac:dyDescent="0.25">
      <c r="A6512" t="s">
        <v>21320</v>
      </c>
      <c r="B6512" t="s">
        <v>21321</v>
      </c>
    </row>
    <row r="6513" spans="1:2" x14ac:dyDescent="0.25">
      <c r="A6513" t="s">
        <v>2744</v>
      </c>
      <c r="B6513" t="s">
        <v>16602</v>
      </c>
    </row>
    <row r="6514" spans="1:2" x14ac:dyDescent="0.25">
      <c r="A6514" t="s">
        <v>21322</v>
      </c>
      <c r="B6514" t="s">
        <v>21323</v>
      </c>
    </row>
    <row r="6515" spans="1:2" x14ac:dyDescent="0.25">
      <c r="A6515" t="s">
        <v>21324</v>
      </c>
      <c r="B6515" t="s">
        <v>21325</v>
      </c>
    </row>
    <row r="6516" spans="1:2" x14ac:dyDescent="0.25">
      <c r="A6516" t="s">
        <v>21326</v>
      </c>
      <c r="B6516" t="s">
        <v>21327</v>
      </c>
    </row>
    <row r="6517" spans="1:2" x14ac:dyDescent="0.25">
      <c r="A6517" t="s">
        <v>21328</v>
      </c>
      <c r="B6517" t="s">
        <v>21329</v>
      </c>
    </row>
    <row r="6518" spans="1:2" x14ac:dyDescent="0.25">
      <c r="A6518" t="s">
        <v>21330</v>
      </c>
      <c r="B6518" t="s">
        <v>21331</v>
      </c>
    </row>
    <row r="6519" spans="1:2" x14ac:dyDescent="0.25">
      <c r="A6519" t="s">
        <v>21332</v>
      </c>
      <c r="B6519" t="s">
        <v>21333</v>
      </c>
    </row>
    <row r="6520" spans="1:2" x14ac:dyDescent="0.25">
      <c r="A6520" t="s">
        <v>21334</v>
      </c>
      <c r="B6520" t="s">
        <v>21335</v>
      </c>
    </row>
    <row r="6521" spans="1:2" x14ac:dyDescent="0.25">
      <c r="A6521" t="s">
        <v>21336</v>
      </c>
      <c r="B6521" t="s">
        <v>21337</v>
      </c>
    </row>
    <row r="6522" spans="1:2" x14ac:dyDescent="0.25">
      <c r="A6522" t="s">
        <v>21338</v>
      </c>
      <c r="B6522" t="s">
        <v>21339</v>
      </c>
    </row>
    <row r="6523" spans="1:2" x14ac:dyDescent="0.25">
      <c r="A6523" t="s">
        <v>21340</v>
      </c>
      <c r="B6523" t="s">
        <v>21341</v>
      </c>
    </row>
    <row r="6524" spans="1:2" x14ac:dyDescent="0.25">
      <c r="A6524" t="s">
        <v>21342</v>
      </c>
      <c r="B6524" t="s">
        <v>21343</v>
      </c>
    </row>
    <row r="6525" spans="1:2" x14ac:dyDescent="0.25">
      <c r="A6525" t="s">
        <v>21344</v>
      </c>
      <c r="B6525" t="s">
        <v>21345</v>
      </c>
    </row>
    <row r="6526" spans="1:2" x14ac:dyDescent="0.25">
      <c r="A6526" t="s">
        <v>21346</v>
      </c>
      <c r="B6526" t="s">
        <v>21347</v>
      </c>
    </row>
    <row r="6527" spans="1:2" x14ac:dyDescent="0.25">
      <c r="A6527" t="s">
        <v>21348</v>
      </c>
      <c r="B6527" t="s">
        <v>21349</v>
      </c>
    </row>
    <row r="6528" spans="1:2" x14ac:dyDescent="0.25">
      <c r="A6528" t="s">
        <v>21350</v>
      </c>
      <c r="B6528" t="s">
        <v>21351</v>
      </c>
    </row>
    <row r="6529" spans="1:2" x14ac:dyDescent="0.25">
      <c r="A6529" t="s">
        <v>21352</v>
      </c>
      <c r="B6529" t="s">
        <v>21353</v>
      </c>
    </row>
    <row r="6530" spans="1:2" x14ac:dyDescent="0.25">
      <c r="A6530" t="s">
        <v>21354</v>
      </c>
      <c r="B6530" t="s">
        <v>21355</v>
      </c>
    </row>
    <row r="6531" spans="1:2" x14ac:dyDescent="0.25">
      <c r="A6531" t="s">
        <v>21356</v>
      </c>
      <c r="B6531" t="s">
        <v>21357</v>
      </c>
    </row>
    <row r="6532" spans="1:2" x14ac:dyDescent="0.25">
      <c r="A6532" t="s">
        <v>21358</v>
      </c>
      <c r="B6532" t="s">
        <v>21359</v>
      </c>
    </row>
    <row r="6533" spans="1:2" x14ac:dyDescent="0.25">
      <c r="A6533" t="s">
        <v>21360</v>
      </c>
      <c r="B6533" t="s">
        <v>21361</v>
      </c>
    </row>
    <row r="6534" spans="1:2" x14ac:dyDescent="0.25">
      <c r="A6534" t="s">
        <v>21362</v>
      </c>
      <c r="B6534" t="s">
        <v>21363</v>
      </c>
    </row>
    <row r="6535" spans="1:2" x14ac:dyDescent="0.25">
      <c r="A6535" t="s">
        <v>21364</v>
      </c>
      <c r="B6535" t="s">
        <v>21365</v>
      </c>
    </row>
    <row r="6536" spans="1:2" x14ac:dyDescent="0.25">
      <c r="A6536" t="s">
        <v>21366</v>
      </c>
      <c r="B6536" t="s">
        <v>21367</v>
      </c>
    </row>
    <row r="6537" spans="1:2" x14ac:dyDescent="0.25">
      <c r="A6537" t="s">
        <v>21368</v>
      </c>
      <c r="B6537" t="s">
        <v>21369</v>
      </c>
    </row>
    <row r="6538" spans="1:2" x14ac:dyDescent="0.25">
      <c r="A6538" t="s">
        <v>21370</v>
      </c>
      <c r="B6538" t="s">
        <v>21371</v>
      </c>
    </row>
    <row r="6539" spans="1:2" x14ac:dyDescent="0.25">
      <c r="A6539" t="s">
        <v>21372</v>
      </c>
      <c r="B6539" t="s">
        <v>21373</v>
      </c>
    </row>
    <row r="6540" spans="1:2" x14ac:dyDescent="0.25">
      <c r="A6540" t="s">
        <v>21374</v>
      </c>
      <c r="B6540" t="s">
        <v>21375</v>
      </c>
    </row>
    <row r="6541" spans="1:2" x14ac:dyDescent="0.25">
      <c r="A6541" t="s">
        <v>21376</v>
      </c>
      <c r="B6541" t="s">
        <v>21377</v>
      </c>
    </row>
    <row r="6542" spans="1:2" x14ac:dyDescent="0.25">
      <c r="A6542" t="s">
        <v>21378</v>
      </c>
      <c r="B6542" t="s">
        <v>21379</v>
      </c>
    </row>
    <row r="6543" spans="1:2" x14ac:dyDescent="0.25">
      <c r="A6543" t="s">
        <v>21380</v>
      </c>
      <c r="B6543" t="s">
        <v>21381</v>
      </c>
    </row>
    <row r="6544" spans="1:2" x14ac:dyDescent="0.25">
      <c r="A6544" t="s">
        <v>21382</v>
      </c>
      <c r="B6544" t="s">
        <v>21383</v>
      </c>
    </row>
    <row r="6545" spans="1:2" x14ac:dyDescent="0.25">
      <c r="A6545" t="s">
        <v>21384</v>
      </c>
      <c r="B6545" t="s">
        <v>21385</v>
      </c>
    </row>
    <row r="6546" spans="1:2" x14ac:dyDescent="0.25">
      <c r="A6546" t="s">
        <v>21386</v>
      </c>
      <c r="B6546" t="s">
        <v>21387</v>
      </c>
    </row>
    <row r="6547" spans="1:2" x14ac:dyDescent="0.25">
      <c r="A6547" t="s">
        <v>21388</v>
      </c>
      <c r="B6547" t="s">
        <v>21389</v>
      </c>
    </row>
    <row r="6548" spans="1:2" x14ac:dyDescent="0.25">
      <c r="A6548" t="s">
        <v>21390</v>
      </c>
      <c r="B6548" t="s">
        <v>21391</v>
      </c>
    </row>
    <row r="6549" spans="1:2" x14ac:dyDescent="0.25">
      <c r="A6549" t="s">
        <v>21392</v>
      </c>
      <c r="B6549" t="s">
        <v>21393</v>
      </c>
    </row>
    <row r="6550" spans="1:2" x14ac:dyDescent="0.25">
      <c r="A6550" t="s">
        <v>21394</v>
      </c>
      <c r="B6550" t="s">
        <v>21395</v>
      </c>
    </row>
    <row r="6551" spans="1:2" x14ac:dyDescent="0.25">
      <c r="A6551" t="s">
        <v>21396</v>
      </c>
      <c r="B6551" t="s">
        <v>21397</v>
      </c>
    </row>
    <row r="6552" spans="1:2" x14ac:dyDescent="0.25">
      <c r="A6552" t="s">
        <v>21398</v>
      </c>
      <c r="B6552" t="s">
        <v>21399</v>
      </c>
    </row>
    <row r="6553" spans="1:2" x14ac:dyDescent="0.25">
      <c r="A6553" t="s">
        <v>21400</v>
      </c>
      <c r="B6553" t="s">
        <v>21401</v>
      </c>
    </row>
    <row r="6554" spans="1:2" x14ac:dyDescent="0.25">
      <c r="A6554" t="s">
        <v>21402</v>
      </c>
      <c r="B6554" t="s">
        <v>21403</v>
      </c>
    </row>
    <row r="6555" spans="1:2" x14ac:dyDescent="0.25">
      <c r="A6555" t="s">
        <v>21404</v>
      </c>
      <c r="B6555" t="s">
        <v>21405</v>
      </c>
    </row>
    <row r="6556" spans="1:2" x14ac:dyDescent="0.25">
      <c r="A6556" t="s">
        <v>21406</v>
      </c>
      <c r="B6556" t="s">
        <v>21407</v>
      </c>
    </row>
    <row r="6557" spans="1:2" x14ac:dyDescent="0.25">
      <c r="A6557" t="s">
        <v>21408</v>
      </c>
      <c r="B6557" t="s">
        <v>21409</v>
      </c>
    </row>
    <row r="6558" spans="1:2" x14ac:dyDescent="0.25">
      <c r="A6558" t="s">
        <v>21410</v>
      </c>
      <c r="B6558" t="s">
        <v>21411</v>
      </c>
    </row>
    <row r="6559" spans="1:2" x14ac:dyDescent="0.25">
      <c r="A6559" t="s">
        <v>21412</v>
      </c>
      <c r="B6559" t="s">
        <v>21413</v>
      </c>
    </row>
    <row r="6560" spans="1:2" x14ac:dyDescent="0.25">
      <c r="A6560" t="s">
        <v>21414</v>
      </c>
      <c r="B6560" t="s">
        <v>21415</v>
      </c>
    </row>
    <row r="6561" spans="1:2" x14ac:dyDescent="0.25">
      <c r="A6561" t="s">
        <v>21416</v>
      </c>
      <c r="B6561" t="s">
        <v>21417</v>
      </c>
    </row>
    <row r="6562" spans="1:2" x14ac:dyDescent="0.25">
      <c r="A6562" t="s">
        <v>21418</v>
      </c>
      <c r="B6562" t="s">
        <v>21419</v>
      </c>
    </row>
    <row r="6563" spans="1:2" x14ac:dyDescent="0.25">
      <c r="A6563" t="s">
        <v>21420</v>
      </c>
      <c r="B6563" t="s">
        <v>21421</v>
      </c>
    </row>
    <row r="6564" spans="1:2" x14ac:dyDescent="0.25">
      <c r="A6564" t="s">
        <v>21422</v>
      </c>
      <c r="B6564" t="s">
        <v>21423</v>
      </c>
    </row>
    <row r="6565" spans="1:2" x14ac:dyDescent="0.25">
      <c r="A6565" t="s">
        <v>21424</v>
      </c>
      <c r="B6565" t="s">
        <v>21425</v>
      </c>
    </row>
    <row r="6566" spans="1:2" x14ac:dyDescent="0.25">
      <c r="A6566" t="s">
        <v>21426</v>
      </c>
      <c r="B6566" t="s">
        <v>21427</v>
      </c>
    </row>
    <row r="6567" spans="1:2" x14ac:dyDescent="0.25">
      <c r="A6567" t="s">
        <v>21428</v>
      </c>
      <c r="B6567" t="s">
        <v>21429</v>
      </c>
    </row>
    <row r="6568" spans="1:2" x14ac:dyDescent="0.25">
      <c r="A6568" t="s">
        <v>21430</v>
      </c>
      <c r="B6568" t="s">
        <v>21431</v>
      </c>
    </row>
    <row r="6569" spans="1:2" x14ac:dyDescent="0.25">
      <c r="A6569" t="s">
        <v>21432</v>
      </c>
      <c r="B6569" t="s">
        <v>21433</v>
      </c>
    </row>
    <row r="6570" spans="1:2" x14ac:dyDescent="0.25">
      <c r="A6570" t="s">
        <v>21434</v>
      </c>
      <c r="B6570" t="s">
        <v>21435</v>
      </c>
    </row>
    <row r="6571" spans="1:2" x14ac:dyDescent="0.25">
      <c r="A6571" t="s">
        <v>21436</v>
      </c>
      <c r="B6571" t="s">
        <v>21437</v>
      </c>
    </row>
    <row r="6572" spans="1:2" x14ac:dyDescent="0.25">
      <c r="A6572" t="s">
        <v>21438</v>
      </c>
      <c r="B6572" t="s">
        <v>21439</v>
      </c>
    </row>
    <row r="6573" spans="1:2" x14ac:dyDescent="0.25">
      <c r="A6573" t="s">
        <v>21440</v>
      </c>
      <c r="B6573" t="s">
        <v>21441</v>
      </c>
    </row>
    <row r="6574" spans="1:2" x14ac:dyDescent="0.25">
      <c r="A6574" t="s">
        <v>21442</v>
      </c>
      <c r="B6574" t="s">
        <v>21443</v>
      </c>
    </row>
    <row r="6575" spans="1:2" x14ac:dyDescent="0.25">
      <c r="A6575" t="s">
        <v>21444</v>
      </c>
      <c r="B6575" t="s">
        <v>21445</v>
      </c>
    </row>
    <row r="6576" spans="1:2" x14ac:dyDescent="0.25">
      <c r="A6576" t="s">
        <v>21446</v>
      </c>
      <c r="B6576" t="s">
        <v>21447</v>
      </c>
    </row>
    <row r="6577" spans="1:2" x14ac:dyDescent="0.25">
      <c r="A6577" t="s">
        <v>21448</v>
      </c>
      <c r="B6577" t="s">
        <v>21449</v>
      </c>
    </row>
    <row r="6578" spans="1:2" x14ac:dyDescent="0.25">
      <c r="A6578" t="s">
        <v>21450</v>
      </c>
      <c r="B6578" t="s">
        <v>21451</v>
      </c>
    </row>
    <row r="6579" spans="1:2" x14ac:dyDescent="0.25">
      <c r="A6579" t="s">
        <v>21452</v>
      </c>
      <c r="B6579" t="s">
        <v>21453</v>
      </c>
    </row>
    <row r="6580" spans="1:2" x14ac:dyDescent="0.25">
      <c r="A6580" t="s">
        <v>21454</v>
      </c>
      <c r="B6580" t="s">
        <v>21455</v>
      </c>
    </row>
    <row r="6581" spans="1:2" x14ac:dyDescent="0.25">
      <c r="A6581" t="s">
        <v>21456</v>
      </c>
      <c r="B6581" t="s">
        <v>21457</v>
      </c>
    </row>
    <row r="6582" spans="1:2" x14ac:dyDescent="0.25">
      <c r="A6582" t="s">
        <v>21458</v>
      </c>
      <c r="B6582" t="s">
        <v>21459</v>
      </c>
    </row>
    <row r="6583" spans="1:2" x14ac:dyDescent="0.25">
      <c r="A6583" t="s">
        <v>21460</v>
      </c>
      <c r="B6583" t="s">
        <v>21461</v>
      </c>
    </row>
    <row r="6584" spans="1:2" x14ac:dyDescent="0.25">
      <c r="A6584" t="s">
        <v>21462</v>
      </c>
      <c r="B6584" t="s">
        <v>21463</v>
      </c>
    </row>
    <row r="6585" spans="1:2" x14ac:dyDescent="0.25">
      <c r="A6585" t="s">
        <v>21464</v>
      </c>
      <c r="B6585" t="s">
        <v>21465</v>
      </c>
    </row>
    <row r="6586" spans="1:2" x14ac:dyDescent="0.25">
      <c r="A6586" t="s">
        <v>21466</v>
      </c>
      <c r="B6586" t="s">
        <v>19332</v>
      </c>
    </row>
    <row r="6587" spans="1:2" x14ac:dyDescent="0.25">
      <c r="A6587" t="s">
        <v>21467</v>
      </c>
      <c r="B6587" t="s">
        <v>21468</v>
      </c>
    </row>
    <row r="6588" spans="1:2" x14ac:dyDescent="0.25">
      <c r="A6588" t="s">
        <v>21469</v>
      </c>
      <c r="B6588" t="s">
        <v>21470</v>
      </c>
    </row>
    <row r="6589" spans="1:2" x14ac:dyDescent="0.25">
      <c r="A6589" t="s">
        <v>21471</v>
      </c>
      <c r="B6589" t="s">
        <v>21472</v>
      </c>
    </row>
    <row r="6590" spans="1:2" x14ac:dyDescent="0.25">
      <c r="A6590" t="s">
        <v>21473</v>
      </c>
      <c r="B6590" t="s">
        <v>21474</v>
      </c>
    </row>
    <row r="6591" spans="1:2" x14ac:dyDescent="0.25">
      <c r="A6591" t="s">
        <v>21475</v>
      </c>
      <c r="B6591" t="s">
        <v>21476</v>
      </c>
    </row>
    <row r="6592" spans="1:2" x14ac:dyDescent="0.25">
      <c r="A6592" t="s">
        <v>21477</v>
      </c>
      <c r="B6592" t="s">
        <v>21478</v>
      </c>
    </row>
    <row r="6593" spans="1:2" x14ac:dyDescent="0.25">
      <c r="A6593" t="s">
        <v>21479</v>
      </c>
      <c r="B6593" t="s">
        <v>21480</v>
      </c>
    </row>
    <row r="6594" spans="1:2" x14ac:dyDescent="0.25">
      <c r="A6594" t="s">
        <v>21481</v>
      </c>
      <c r="B6594" t="s">
        <v>21482</v>
      </c>
    </row>
    <row r="6595" spans="1:2" x14ac:dyDescent="0.25">
      <c r="A6595" t="s">
        <v>21483</v>
      </c>
      <c r="B6595" t="s">
        <v>21484</v>
      </c>
    </row>
    <row r="6596" spans="1:2" x14ac:dyDescent="0.25">
      <c r="A6596" t="s">
        <v>21485</v>
      </c>
      <c r="B6596" t="s">
        <v>21486</v>
      </c>
    </row>
    <row r="6597" spans="1:2" x14ac:dyDescent="0.25">
      <c r="A6597" t="s">
        <v>21487</v>
      </c>
      <c r="B6597" t="s">
        <v>21488</v>
      </c>
    </row>
    <row r="6598" spans="1:2" x14ac:dyDescent="0.25">
      <c r="A6598" t="s">
        <v>21489</v>
      </c>
      <c r="B6598" t="s">
        <v>21490</v>
      </c>
    </row>
    <row r="6599" spans="1:2" x14ac:dyDescent="0.25">
      <c r="A6599" t="s">
        <v>21491</v>
      </c>
      <c r="B6599" t="s">
        <v>21492</v>
      </c>
    </row>
    <row r="6600" spans="1:2" x14ac:dyDescent="0.25">
      <c r="A6600" t="s">
        <v>21493</v>
      </c>
      <c r="B6600" t="s">
        <v>21494</v>
      </c>
    </row>
    <row r="6601" spans="1:2" x14ac:dyDescent="0.25">
      <c r="A6601" t="s">
        <v>21495</v>
      </c>
      <c r="B6601" t="s">
        <v>21496</v>
      </c>
    </row>
    <row r="6602" spans="1:2" x14ac:dyDescent="0.25">
      <c r="A6602" t="s">
        <v>21497</v>
      </c>
      <c r="B6602" t="s">
        <v>21498</v>
      </c>
    </row>
    <row r="6603" spans="1:2" x14ac:dyDescent="0.25">
      <c r="A6603" t="s">
        <v>21499</v>
      </c>
      <c r="B6603" t="s">
        <v>21500</v>
      </c>
    </row>
    <row r="6604" spans="1:2" x14ac:dyDescent="0.25">
      <c r="A6604" t="s">
        <v>21501</v>
      </c>
      <c r="B6604" t="s">
        <v>21502</v>
      </c>
    </row>
    <row r="6605" spans="1:2" x14ac:dyDescent="0.25">
      <c r="A6605" t="s">
        <v>21503</v>
      </c>
      <c r="B6605" t="s">
        <v>21504</v>
      </c>
    </row>
    <row r="6606" spans="1:2" x14ac:dyDescent="0.25">
      <c r="A6606" t="s">
        <v>21505</v>
      </c>
      <c r="B6606" t="s">
        <v>21506</v>
      </c>
    </row>
    <row r="6607" spans="1:2" x14ac:dyDescent="0.25">
      <c r="A6607" t="s">
        <v>21507</v>
      </c>
      <c r="B6607" t="s">
        <v>21508</v>
      </c>
    </row>
    <row r="6608" spans="1:2" x14ac:dyDescent="0.25">
      <c r="A6608" t="s">
        <v>21509</v>
      </c>
      <c r="B6608" t="s">
        <v>21510</v>
      </c>
    </row>
    <row r="6609" spans="1:2" x14ac:dyDescent="0.25">
      <c r="A6609" t="s">
        <v>21511</v>
      </c>
      <c r="B6609" t="s">
        <v>21512</v>
      </c>
    </row>
    <row r="6610" spans="1:2" x14ac:dyDescent="0.25">
      <c r="A6610" t="s">
        <v>21513</v>
      </c>
      <c r="B6610" t="s">
        <v>21514</v>
      </c>
    </row>
    <row r="6611" spans="1:2" x14ac:dyDescent="0.25">
      <c r="A6611" t="s">
        <v>21515</v>
      </c>
      <c r="B6611" t="s">
        <v>21516</v>
      </c>
    </row>
    <row r="6612" spans="1:2" x14ac:dyDescent="0.25">
      <c r="A6612" t="s">
        <v>21517</v>
      </c>
      <c r="B6612" t="s">
        <v>21518</v>
      </c>
    </row>
    <row r="6613" spans="1:2" x14ac:dyDescent="0.25">
      <c r="A6613" t="s">
        <v>21519</v>
      </c>
      <c r="B6613" t="s">
        <v>21520</v>
      </c>
    </row>
    <row r="6614" spans="1:2" x14ac:dyDescent="0.25">
      <c r="A6614" t="s">
        <v>21521</v>
      </c>
      <c r="B6614" t="s">
        <v>21522</v>
      </c>
    </row>
    <row r="6615" spans="1:2" x14ac:dyDescent="0.25">
      <c r="A6615" t="s">
        <v>21523</v>
      </c>
      <c r="B6615" t="s">
        <v>21524</v>
      </c>
    </row>
    <row r="6616" spans="1:2" x14ac:dyDescent="0.25">
      <c r="A6616" t="s">
        <v>21525</v>
      </c>
      <c r="B6616" t="s">
        <v>21526</v>
      </c>
    </row>
    <row r="6617" spans="1:2" x14ac:dyDescent="0.25">
      <c r="A6617" t="s">
        <v>21527</v>
      </c>
      <c r="B6617" t="s">
        <v>21528</v>
      </c>
    </row>
    <row r="6618" spans="1:2" x14ac:dyDescent="0.25">
      <c r="A6618" t="s">
        <v>21529</v>
      </c>
      <c r="B6618" t="s">
        <v>21530</v>
      </c>
    </row>
    <row r="6619" spans="1:2" x14ac:dyDescent="0.25">
      <c r="A6619" t="s">
        <v>21531</v>
      </c>
      <c r="B6619" t="s">
        <v>21532</v>
      </c>
    </row>
    <row r="6620" spans="1:2" x14ac:dyDescent="0.25">
      <c r="A6620" t="s">
        <v>21533</v>
      </c>
      <c r="B6620" t="s">
        <v>21534</v>
      </c>
    </row>
    <row r="6621" spans="1:2" x14ac:dyDescent="0.25">
      <c r="A6621" t="s">
        <v>21535</v>
      </c>
      <c r="B6621" t="s">
        <v>21536</v>
      </c>
    </row>
    <row r="6622" spans="1:2" x14ac:dyDescent="0.25">
      <c r="A6622" t="s">
        <v>21537</v>
      </c>
      <c r="B6622" t="s">
        <v>21538</v>
      </c>
    </row>
    <row r="6623" spans="1:2" x14ac:dyDescent="0.25">
      <c r="A6623" t="s">
        <v>21539</v>
      </c>
      <c r="B6623" t="s">
        <v>21540</v>
      </c>
    </row>
    <row r="6624" spans="1:2" x14ac:dyDescent="0.25">
      <c r="A6624" t="s">
        <v>21541</v>
      </c>
      <c r="B6624" t="s">
        <v>21542</v>
      </c>
    </row>
    <row r="6625" spans="1:2" x14ac:dyDescent="0.25">
      <c r="A6625" t="s">
        <v>21543</v>
      </c>
      <c r="B6625" t="s">
        <v>21544</v>
      </c>
    </row>
    <row r="6626" spans="1:2" x14ac:dyDescent="0.25">
      <c r="A6626" t="s">
        <v>21545</v>
      </c>
      <c r="B6626" t="s">
        <v>21546</v>
      </c>
    </row>
    <row r="6627" spans="1:2" x14ac:dyDescent="0.25">
      <c r="A6627" t="s">
        <v>21547</v>
      </c>
      <c r="B6627" t="s">
        <v>21548</v>
      </c>
    </row>
    <row r="6628" spans="1:2" x14ac:dyDescent="0.25">
      <c r="A6628" t="s">
        <v>21549</v>
      </c>
      <c r="B6628" t="s">
        <v>21550</v>
      </c>
    </row>
    <row r="6629" spans="1:2" x14ac:dyDescent="0.25">
      <c r="A6629" t="s">
        <v>21551</v>
      </c>
      <c r="B6629" t="s">
        <v>21552</v>
      </c>
    </row>
    <row r="6630" spans="1:2" x14ac:dyDescent="0.25">
      <c r="A6630" t="s">
        <v>21553</v>
      </c>
      <c r="B6630" t="s">
        <v>21554</v>
      </c>
    </row>
    <row r="6631" spans="1:2" x14ac:dyDescent="0.25">
      <c r="A6631" t="s">
        <v>21555</v>
      </c>
      <c r="B6631" t="s">
        <v>21556</v>
      </c>
    </row>
    <row r="6632" spans="1:2" x14ac:dyDescent="0.25">
      <c r="A6632" t="s">
        <v>21557</v>
      </c>
      <c r="B6632" t="s">
        <v>21558</v>
      </c>
    </row>
    <row r="6633" spans="1:2" x14ac:dyDescent="0.25">
      <c r="A6633" t="s">
        <v>21559</v>
      </c>
      <c r="B6633" t="s">
        <v>21560</v>
      </c>
    </row>
    <row r="6634" spans="1:2" x14ac:dyDescent="0.25">
      <c r="A6634" t="s">
        <v>21561</v>
      </c>
      <c r="B6634" t="s">
        <v>18123</v>
      </c>
    </row>
    <row r="6635" spans="1:2" x14ac:dyDescent="0.25">
      <c r="A6635" t="s">
        <v>21562</v>
      </c>
      <c r="B6635" t="s">
        <v>21563</v>
      </c>
    </row>
    <row r="6636" spans="1:2" x14ac:dyDescent="0.25">
      <c r="A6636" t="s">
        <v>21564</v>
      </c>
      <c r="B6636" t="s">
        <v>21565</v>
      </c>
    </row>
    <row r="6637" spans="1:2" x14ac:dyDescent="0.25">
      <c r="A6637" t="s">
        <v>21566</v>
      </c>
      <c r="B6637" t="s">
        <v>21567</v>
      </c>
    </row>
    <row r="6638" spans="1:2" x14ac:dyDescent="0.25">
      <c r="A6638" t="s">
        <v>21568</v>
      </c>
      <c r="B6638" t="s">
        <v>21569</v>
      </c>
    </row>
    <row r="6639" spans="1:2" x14ac:dyDescent="0.25">
      <c r="A6639" t="s">
        <v>21570</v>
      </c>
      <c r="B6639" t="s">
        <v>21571</v>
      </c>
    </row>
    <row r="6640" spans="1:2" x14ac:dyDescent="0.25">
      <c r="A6640" t="s">
        <v>21572</v>
      </c>
      <c r="B6640" t="s">
        <v>21573</v>
      </c>
    </row>
    <row r="6641" spans="1:2" x14ac:dyDescent="0.25">
      <c r="A6641" t="s">
        <v>21574</v>
      </c>
      <c r="B6641" t="s">
        <v>21575</v>
      </c>
    </row>
    <row r="6642" spans="1:2" x14ac:dyDescent="0.25">
      <c r="A6642" t="s">
        <v>21576</v>
      </c>
      <c r="B6642" t="s">
        <v>21577</v>
      </c>
    </row>
    <row r="6643" spans="1:2" x14ac:dyDescent="0.25">
      <c r="A6643" t="s">
        <v>21578</v>
      </c>
      <c r="B6643" t="s">
        <v>21579</v>
      </c>
    </row>
    <row r="6644" spans="1:2" x14ac:dyDescent="0.25">
      <c r="A6644" t="s">
        <v>21580</v>
      </c>
      <c r="B6644" t="s">
        <v>21581</v>
      </c>
    </row>
    <row r="6645" spans="1:2" x14ac:dyDescent="0.25">
      <c r="A6645" t="s">
        <v>21582</v>
      </c>
      <c r="B6645" t="s">
        <v>21583</v>
      </c>
    </row>
    <row r="6646" spans="1:2" x14ac:dyDescent="0.25">
      <c r="A6646" t="s">
        <v>21584</v>
      </c>
      <c r="B6646" t="s">
        <v>21585</v>
      </c>
    </row>
    <row r="6647" spans="1:2" x14ac:dyDescent="0.25">
      <c r="A6647" t="s">
        <v>21586</v>
      </c>
      <c r="B6647" t="s">
        <v>21587</v>
      </c>
    </row>
    <row r="6648" spans="1:2" x14ac:dyDescent="0.25">
      <c r="A6648" t="s">
        <v>21588</v>
      </c>
      <c r="B6648" t="s">
        <v>21589</v>
      </c>
    </row>
    <row r="6649" spans="1:2" x14ac:dyDescent="0.25">
      <c r="A6649" t="s">
        <v>21590</v>
      </c>
      <c r="B6649" t="s">
        <v>18858</v>
      </c>
    </row>
    <row r="6650" spans="1:2" x14ac:dyDescent="0.25">
      <c r="A6650" t="s">
        <v>21591</v>
      </c>
      <c r="B6650" t="s">
        <v>21592</v>
      </c>
    </row>
    <row r="6651" spans="1:2" x14ac:dyDescent="0.25">
      <c r="A6651" t="s">
        <v>21593</v>
      </c>
      <c r="B6651" t="s">
        <v>21594</v>
      </c>
    </row>
    <row r="6652" spans="1:2" x14ac:dyDescent="0.25">
      <c r="A6652" t="s">
        <v>21595</v>
      </c>
      <c r="B6652" t="s">
        <v>21596</v>
      </c>
    </row>
    <row r="6653" spans="1:2" x14ac:dyDescent="0.25">
      <c r="A6653" t="s">
        <v>21597</v>
      </c>
      <c r="B6653" t="s">
        <v>21598</v>
      </c>
    </row>
    <row r="6654" spans="1:2" x14ac:dyDescent="0.25">
      <c r="A6654" t="s">
        <v>21599</v>
      </c>
      <c r="B6654" t="s">
        <v>21600</v>
      </c>
    </row>
    <row r="6655" spans="1:2" x14ac:dyDescent="0.25">
      <c r="A6655" t="s">
        <v>21601</v>
      </c>
      <c r="B6655" t="s">
        <v>21602</v>
      </c>
    </row>
    <row r="6656" spans="1:2" x14ac:dyDescent="0.25">
      <c r="A6656" t="s">
        <v>21603</v>
      </c>
      <c r="B6656" t="s">
        <v>21604</v>
      </c>
    </row>
    <row r="6657" spans="1:2" x14ac:dyDescent="0.25">
      <c r="A6657" t="s">
        <v>21605</v>
      </c>
      <c r="B6657" t="s">
        <v>21606</v>
      </c>
    </row>
    <row r="6658" spans="1:2" x14ac:dyDescent="0.25">
      <c r="A6658" t="s">
        <v>21607</v>
      </c>
      <c r="B6658" t="s">
        <v>21608</v>
      </c>
    </row>
    <row r="6659" spans="1:2" x14ac:dyDescent="0.25">
      <c r="A6659" t="s">
        <v>21609</v>
      </c>
      <c r="B6659" t="s">
        <v>21610</v>
      </c>
    </row>
    <row r="6660" spans="1:2" x14ac:dyDescent="0.25">
      <c r="A6660" t="s">
        <v>21611</v>
      </c>
      <c r="B6660" t="s">
        <v>21612</v>
      </c>
    </row>
  </sheetData>
  <autoFilter ref="A1:B6660" xr:uid="{EA0720FB-EFEA-4A8C-86EB-937E0A499F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J3" sqref="J3"/>
    </sheetView>
  </sheetViews>
  <sheetFormatPr defaultRowHeight="15" x14ac:dyDescent="0.25"/>
  <cols>
    <col min="1" max="1" width="11.28515625" bestFit="1" customWidth="1"/>
    <col min="3" max="3" width="10" bestFit="1" customWidth="1"/>
    <col min="4" max="4" width="10.7109375" bestFit="1" customWidth="1"/>
    <col min="6" max="6" width="12" bestFit="1" customWidth="1"/>
    <col min="8" max="8" width="10" customWidth="1"/>
  </cols>
  <sheetData>
    <row r="1" spans="1:8" x14ac:dyDescent="0.25">
      <c r="C1" t="s">
        <v>151</v>
      </c>
      <c r="D1" t="s">
        <v>152</v>
      </c>
      <c r="E1" t="s">
        <v>148</v>
      </c>
      <c r="F1">
        <v>6371</v>
      </c>
    </row>
    <row r="2" spans="1:8" x14ac:dyDescent="0.25">
      <c r="A2" t="s">
        <v>153</v>
      </c>
      <c r="B2" t="str">
        <f ca="1">OFFSET(airports!A1,'Distance Calc'!H2,0,1,1)</f>
        <v>ABQ</v>
      </c>
      <c r="C2">
        <f ca="1">VLOOKUP(B2,airports!A1:H117,7,FALSE)</f>
        <v>35.040222219999997</v>
      </c>
      <c r="D2">
        <f ca="1">VLOOKUP(B2,airports!A1:H117,8,FALSE)</f>
        <v>-106.60919440000001</v>
      </c>
      <c r="E2" t="s">
        <v>150</v>
      </c>
      <c r="F2" s="1">
        <f ca="1">SIN(ABS(C3-C2)*PI()/180/2)^2+COS(C2*PI()/180)*COS(C3*PI()/180)*SIN(ABS(D3-D2)*PI()/180/2)^2</f>
        <v>4.6602395600977141E-2</v>
      </c>
      <c r="H2">
        <v>3</v>
      </c>
    </row>
    <row r="3" spans="1:8" x14ac:dyDescent="0.25">
      <c r="A3" t="s">
        <v>0</v>
      </c>
      <c r="B3" t="str">
        <f ca="1">OFFSET(airports!A1,'Distance Calc'!H3,0,1,1)</f>
        <v>AVP</v>
      </c>
      <c r="C3">
        <f ca="1">VLOOKUP(B3,airports!A1:H117,7,FALSE)</f>
        <v>41.338149440000002</v>
      </c>
      <c r="D3">
        <f ca="1">VLOOKUP(B3,airports!A1:H117,8,FALSE)</f>
        <v>-75.724267499999996</v>
      </c>
      <c r="E3" t="s">
        <v>154</v>
      </c>
      <c r="F3">
        <f ca="1">2*ATAN2(SQRT(1-F2),SQRT(F2))</f>
        <v>0.43517754475968889</v>
      </c>
      <c r="H3">
        <v>29</v>
      </c>
    </row>
    <row r="4" spans="1:8" x14ac:dyDescent="0.25">
      <c r="E4" t="s">
        <v>149</v>
      </c>
      <c r="F4">
        <f ca="1">+F1*F3</f>
        <v>2772.516137663978</v>
      </c>
    </row>
    <row r="7" spans="1:8" x14ac:dyDescent="0.25">
      <c r="D7" t="s">
        <v>155</v>
      </c>
      <c r="E7">
        <f ca="1">ROUND(ACOS(COS(RADIANS(90-C2)) * COS(RADIANS(90-C3)) + SIN(RADIANS(90-C2)) * SIN(RADIANS(90-C3)) * COS(RADIANS(D2-D3))) * 3959,1)</f>
        <v>1722.9</v>
      </c>
    </row>
    <row r="8" spans="1:8" x14ac:dyDescent="0.25">
      <c r="D8" t="s">
        <v>156</v>
      </c>
      <c r="E8">
        <f ca="1">ROUND(ACOS(COS(RADIANS(90-C2)) * COS(RADIANS(90-C3)) + SIN(RADIANS(90-C2)) * SIN(RADIANS(90-C3)) * COS(RADIANS(D2-D3))) * 6371,1)</f>
        <v>2772.5</v>
      </c>
    </row>
    <row r="11" spans="1:8" x14ac:dyDescent="0.25">
      <c r="C11" t="s">
        <v>157</v>
      </c>
      <c r="D11" t="s">
        <v>158</v>
      </c>
      <c r="E11" t="s">
        <v>0</v>
      </c>
      <c r="F11" t="s">
        <v>159</v>
      </c>
    </row>
    <row r="12" spans="1:8" x14ac:dyDescent="0.25">
      <c r="D12" t="s">
        <v>5</v>
      </c>
      <c r="E12" t="s">
        <v>45</v>
      </c>
      <c r="F12">
        <v>650.79999999999995</v>
      </c>
    </row>
    <row r="13" spans="1:8" x14ac:dyDescent="0.25">
      <c r="D13" t="s">
        <v>57</v>
      </c>
      <c r="E13" t="s">
        <v>69</v>
      </c>
      <c r="F13">
        <v>1723.4</v>
      </c>
    </row>
    <row r="14" spans="1:8" x14ac:dyDescent="0.25">
      <c r="D14" t="s">
        <v>57</v>
      </c>
      <c r="E14" t="s">
        <v>134</v>
      </c>
      <c r="F14">
        <v>1683.7</v>
      </c>
    </row>
  </sheetData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7</xdr:col>
                    <xdr:colOff>9525</xdr:colOff>
                    <xdr:row>1</xdr:row>
                    <xdr:rowOff>0</xdr:rowOff>
                  </from>
                  <to>
                    <xdr:col>7</xdr:col>
                    <xdr:colOff>657225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7</xdr:col>
                    <xdr:colOff>9525</xdr:colOff>
                    <xdr:row>2</xdr:row>
                    <xdr:rowOff>9525</xdr:rowOff>
                  </from>
                  <to>
                    <xdr:col>7</xdr:col>
                    <xdr:colOff>657225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286"/>
  <sheetViews>
    <sheetView workbookViewId="0">
      <selection activeCell="B1" sqref="B1"/>
    </sheetView>
  </sheetViews>
  <sheetFormatPr defaultRowHeight="15" x14ac:dyDescent="0.25"/>
  <cols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</cols>
  <sheetData>
    <row r="1" spans="1:9" x14ac:dyDescent="0.25">
      <c r="A1" s="4" t="s">
        <v>167</v>
      </c>
      <c r="B1" s="4" t="s">
        <v>168</v>
      </c>
      <c r="C1" s="4" t="s">
        <v>169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165</v>
      </c>
      <c r="I1" s="2" t="s">
        <v>166</v>
      </c>
    </row>
    <row r="2" spans="1:9" x14ac:dyDescent="0.25">
      <c r="A2" s="5" t="s">
        <v>170</v>
      </c>
      <c r="B2" s="5" t="s">
        <v>10</v>
      </c>
      <c r="C2" s="5" t="s">
        <v>171</v>
      </c>
      <c r="D2" s="3">
        <f>VLOOKUP(A2,airports!A:H,7,FALSE)</f>
        <v>40.652362779999997</v>
      </c>
      <c r="E2" s="3">
        <f>VLOOKUP(A2,airports!A:H,8,FALSE)</f>
        <v>-75.44040167</v>
      </c>
      <c r="F2" s="3">
        <f>VLOOKUP(B2,airports!A:H,7,FALSE)</f>
        <v>33.640444440000003</v>
      </c>
      <c r="G2" s="3">
        <f>VLOOKUP(B2,airports!A:H,8,FALSE)</f>
        <v>-84.42694444</v>
      </c>
      <c r="H2">
        <f>ROUND(ACOS(COS(RADIANS(90-D2)) * COS(RADIANS(90-F2)) + SIN(RADIANS(90-D2)) * SIN(RADIANS(90-F2)) * COS(RADIANS(E2-G2))) * 6371,1)</f>
        <v>1113.4000000000001</v>
      </c>
      <c r="I2">
        <f>ROUND(ACOS(COS(RADIANS(90-D2)) * COS(RADIANS(90-F2)) + SIN(RADIANS(90-D2)) * SIN(RADIANS(90-F2)) * COS(RADIANS(E2-G2))) * 3959,1)</f>
        <v>691.9</v>
      </c>
    </row>
    <row r="3" spans="1:9" ht="30" x14ac:dyDescent="0.25">
      <c r="A3" s="5" t="s">
        <v>170</v>
      </c>
      <c r="B3" s="5" t="s">
        <v>19</v>
      </c>
      <c r="C3" s="5" t="s">
        <v>172</v>
      </c>
      <c r="D3" s="3">
        <f>VLOOKUP(A3,airports!A:H,7,FALSE)</f>
        <v>40.652362779999997</v>
      </c>
      <c r="E3" s="3">
        <f>VLOOKUP(A3,airports!A:H,8,FALSE)</f>
        <v>-75.44040167</v>
      </c>
      <c r="F3" s="3">
        <f>VLOOKUP(B3,airports!A:H,7,FALSE)</f>
        <v>36.12447667</v>
      </c>
      <c r="G3" s="3">
        <f>VLOOKUP(B3,airports!A:H,8,FALSE)</f>
        <v>-86.678182219999997</v>
      </c>
      <c r="H3">
        <f>ROUND(ACOS(COS(RADIANS(90-D3)) * COS(RADIANS(90-F3)) + SIN(RADIANS(90-D3)) * SIN(RADIANS(90-F3)) * COS(RADIANS(E3-G3))) * 6371,1)</f>
        <v>1100.0999999999999</v>
      </c>
      <c r="I3">
        <f>ROUND(ACOS(COS(RADIANS(90-D3)) * COS(RADIANS(90-F3)) + SIN(RADIANS(90-D3)) * SIN(RADIANS(90-F3)) * COS(RADIANS(E3-G3))) * 3959,1)</f>
        <v>683.6</v>
      </c>
    </row>
    <row r="4" spans="1:9" x14ac:dyDescent="0.25">
      <c r="A4" s="5" t="s">
        <v>170</v>
      </c>
      <c r="B4" s="5" t="s">
        <v>40</v>
      </c>
      <c r="C4" s="5" t="s">
        <v>173</v>
      </c>
      <c r="D4" s="3">
        <f>VLOOKUP(A4,airports!A:H,7,FALSE)</f>
        <v>40.652362779999997</v>
      </c>
      <c r="E4" s="3">
        <f>VLOOKUP(A4,airports!A:H,8,FALSE)</f>
        <v>-75.44040167</v>
      </c>
      <c r="F4" s="3">
        <f>VLOOKUP(B4,airports!A:H,7,FALSE)</f>
        <v>35.214011110000001</v>
      </c>
      <c r="G4" s="3">
        <f>VLOOKUP(B4,airports!A:H,8,FALSE)</f>
        <v>-80.94312583</v>
      </c>
      <c r="H4">
        <f t="shared" ref="H4:H67" si="0">ROUND(ACOS(COS(RADIANS(90-D4)) * COS(RADIANS(90-F4)) + SIN(RADIANS(90-D4)) * SIN(RADIANS(90-F4)) * COS(RADIANS(E4-G4))) * 6371,1)</f>
        <v>773.3</v>
      </c>
      <c r="I4">
        <f t="shared" ref="I4:I67" si="1">ROUND(ACOS(COS(RADIANS(90-D4)) * COS(RADIANS(90-F4)) + SIN(RADIANS(90-D4)) * SIN(RADIANS(90-F4)) * COS(RADIANS(E4-G4))) * 3959,1)</f>
        <v>480.5</v>
      </c>
    </row>
    <row r="5" spans="1:9" ht="30" x14ac:dyDescent="0.25">
      <c r="A5" s="5" t="s">
        <v>170</v>
      </c>
      <c r="B5" s="5" t="s">
        <v>50</v>
      </c>
      <c r="C5" s="5" t="s">
        <v>174</v>
      </c>
      <c r="D5" s="3">
        <f>VLOOKUP(A5,airports!A:H,7,FALSE)</f>
        <v>40.652362779999997</v>
      </c>
      <c r="E5" s="3">
        <f>VLOOKUP(A5,airports!A:H,8,FALSE)</f>
        <v>-75.44040167</v>
      </c>
      <c r="F5" s="3">
        <f>VLOOKUP(B5,airports!A:H,7,FALSE)</f>
        <v>42.212058890000002</v>
      </c>
      <c r="G5" s="3">
        <f>VLOOKUP(B5,airports!A:H,8,FALSE)</f>
        <v>-83.348835829999999</v>
      </c>
      <c r="H5">
        <f t="shared" si="0"/>
        <v>681.4</v>
      </c>
      <c r="I5">
        <f t="shared" si="1"/>
        <v>423.5</v>
      </c>
    </row>
    <row r="6" spans="1:9" x14ac:dyDescent="0.25">
      <c r="A6" s="5" t="s">
        <v>170</v>
      </c>
      <c r="B6" s="5" t="s">
        <v>57</v>
      </c>
      <c r="C6" s="5" t="s">
        <v>175</v>
      </c>
      <c r="D6" s="3">
        <f>VLOOKUP(A6,airports!A:H,7,FALSE)</f>
        <v>40.652362779999997</v>
      </c>
      <c r="E6" s="3">
        <f>VLOOKUP(A6,airports!A:H,8,FALSE)</f>
        <v>-75.44040167</v>
      </c>
      <c r="F6" s="3">
        <f>VLOOKUP(B6,airports!A:H,7,FALSE)</f>
        <v>26.072583330000001</v>
      </c>
      <c r="G6" s="3">
        <f>VLOOKUP(B6,airports!A:H,8,FALSE)</f>
        <v>-80.152749999999997</v>
      </c>
      <c r="H6">
        <f t="shared" si="0"/>
        <v>1678.5</v>
      </c>
      <c r="I6">
        <f t="shared" si="1"/>
        <v>1043</v>
      </c>
    </row>
    <row r="7" spans="1:9" x14ac:dyDescent="0.25">
      <c r="A7" s="5" t="s">
        <v>170</v>
      </c>
      <c r="B7" s="5" t="s">
        <v>176</v>
      </c>
      <c r="C7" s="5" t="s">
        <v>177</v>
      </c>
      <c r="D7" s="3">
        <f>VLOOKUP(A7,airports!A:H,7,FALSE)</f>
        <v>40.652362779999997</v>
      </c>
      <c r="E7" s="3">
        <f>VLOOKUP(A7,airports!A:H,8,FALSE)</f>
        <v>-75.44040167</v>
      </c>
      <c r="F7" s="3">
        <f>VLOOKUP(B7,airports!A:H,7,FALSE)</f>
        <v>38.944531939999997</v>
      </c>
      <c r="G7" s="3">
        <f>VLOOKUP(B7,airports!A:H,8,FALSE)</f>
        <v>-77.455809720000005</v>
      </c>
      <c r="H7">
        <f t="shared" si="0"/>
        <v>256.3</v>
      </c>
      <c r="I7">
        <f t="shared" si="1"/>
        <v>159.30000000000001</v>
      </c>
    </row>
    <row r="8" spans="1:9" ht="30" x14ac:dyDescent="0.25">
      <c r="A8" s="5" t="s">
        <v>170</v>
      </c>
      <c r="B8" s="5" t="s">
        <v>178</v>
      </c>
      <c r="C8" s="5" t="s">
        <v>179</v>
      </c>
      <c r="D8" s="3">
        <f>VLOOKUP(A8,airports!A:H,7,FALSE)</f>
        <v>40.652362779999997</v>
      </c>
      <c r="E8" s="3">
        <f>VLOOKUP(A8,airports!A:H,8,FALSE)</f>
        <v>-75.44040167</v>
      </c>
      <c r="F8" s="3">
        <f>VLOOKUP(B8,airports!A:H,7,FALSE)</f>
        <v>40.19349528</v>
      </c>
      <c r="G8" s="3">
        <f>VLOOKUP(B8,airports!A:H,8,FALSE)</f>
        <v>-76.763403609999997</v>
      </c>
      <c r="H8">
        <f t="shared" si="0"/>
        <v>123.1</v>
      </c>
      <c r="I8">
        <f t="shared" si="1"/>
        <v>76.5</v>
      </c>
    </row>
    <row r="9" spans="1:9" ht="30" x14ac:dyDescent="0.25">
      <c r="A9" s="5" t="s">
        <v>170</v>
      </c>
      <c r="B9" s="5" t="s">
        <v>180</v>
      </c>
      <c r="C9" s="5" t="s">
        <v>181</v>
      </c>
      <c r="D9" s="3">
        <f>VLOOKUP(A9,airports!A:H,7,FALSE)</f>
        <v>40.652362779999997</v>
      </c>
      <c r="E9" s="3">
        <f>VLOOKUP(A9,airports!A:H,8,FALSE)</f>
        <v>-75.44040167</v>
      </c>
      <c r="F9" s="3">
        <f>VLOOKUP(B9,airports!A:H,7,FALSE)</f>
        <v>41.785982500000003</v>
      </c>
      <c r="G9" s="3">
        <f>VLOOKUP(B9,airports!A:H,8,FALSE)</f>
        <v>-87.752424439999999</v>
      </c>
      <c r="H9">
        <f t="shared" si="0"/>
        <v>1036.5999999999999</v>
      </c>
      <c r="I9">
        <f t="shared" si="1"/>
        <v>644.1</v>
      </c>
    </row>
    <row r="10" spans="1:9" ht="30" x14ac:dyDescent="0.25">
      <c r="A10" s="5" t="s">
        <v>170</v>
      </c>
      <c r="B10" s="5" t="s">
        <v>182</v>
      </c>
      <c r="C10" s="5" t="s">
        <v>183</v>
      </c>
      <c r="D10" s="3">
        <f>VLOOKUP(A10,airports!A:H,7,FALSE)</f>
        <v>40.652362779999997</v>
      </c>
      <c r="E10" s="3">
        <f>VLOOKUP(A10,airports!A:H,8,FALSE)</f>
        <v>-75.44040167</v>
      </c>
      <c r="F10" s="3">
        <f>VLOOKUP(B10,airports!A:H,7,FALSE)</f>
        <v>33.679749999999999</v>
      </c>
      <c r="G10" s="3">
        <f>VLOOKUP(B10,airports!A:H,8,FALSE)</f>
        <v>-78.928333330000001</v>
      </c>
      <c r="H10">
        <f t="shared" si="0"/>
        <v>834.5</v>
      </c>
      <c r="I10">
        <f t="shared" si="1"/>
        <v>518.5</v>
      </c>
    </row>
    <row r="11" spans="1:9" ht="30" x14ac:dyDescent="0.25">
      <c r="A11" s="5" t="s">
        <v>170</v>
      </c>
      <c r="B11" s="5" t="s">
        <v>95</v>
      </c>
      <c r="C11" s="5" t="s">
        <v>184</v>
      </c>
      <c r="D11" s="3">
        <f>VLOOKUP(A11,airports!A:H,7,FALSE)</f>
        <v>40.652362779999997</v>
      </c>
      <c r="E11" s="3">
        <f>VLOOKUP(A11,airports!A:H,8,FALSE)</f>
        <v>-75.44040167</v>
      </c>
      <c r="F11" s="3">
        <f>VLOOKUP(B11,airports!A:H,7,FALSE)</f>
        <v>41.979595000000003</v>
      </c>
      <c r="G11" s="3">
        <f>VLOOKUP(B11,airports!A:H,8,FALSE)</f>
        <v>-87.904464169999997</v>
      </c>
      <c r="H11">
        <f t="shared" si="0"/>
        <v>1050.4000000000001</v>
      </c>
      <c r="I11">
        <f t="shared" si="1"/>
        <v>652.70000000000005</v>
      </c>
    </row>
    <row r="12" spans="1:9" ht="30" x14ac:dyDescent="0.25">
      <c r="A12" s="5" t="s">
        <v>170</v>
      </c>
      <c r="B12" s="5" t="s">
        <v>185</v>
      </c>
      <c r="C12" s="5" t="s">
        <v>186</v>
      </c>
      <c r="D12" s="3">
        <f>VLOOKUP(A12,airports!A:H,7,FALSE)</f>
        <v>40.652362779999997</v>
      </c>
      <c r="E12" s="3">
        <f>VLOOKUP(A12,airports!A:H,8,FALSE)</f>
        <v>-75.44040167</v>
      </c>
      <c r="F12" s="3">
        <f>VLOOKUP(B12,airports!A:H,7,FALSE)</f>
        <v>26.919699999999999</v>
      </c>
      <c r="G12" s="3">
        <f>VLOOKUP(B12,airports!A:H,8,FALSE)</f>
        <v>-81.995999999999995</v>
      </c>
      <c r="H12">
        <f t="shared" si="0"/>
        <v>1641.5</v>
      </c>
      <c r="I12">
        <f t="shared" si="1"/>
        <v>1020</v>
      </c>
    </row>
    <row r="13" spans="1:9" ht="30" x14ac:dyDescent="0.25">
      <c r="A13" s="5" t="s">
        <v>170</v>
      </c>
      <c r="B13" s="5" t="s">
        <v>102</v>
      </c>
      <c r="C13" s="5" t="s">
        <v>187</v>
      </c>
      <c r="D13" s="3">
        <f>VLOOKUP(A13,airports!A:H,7,FALSE)</f>
        <v>40.652362779999997</v>
      </c>
      <c r="E13" s="3">
        <f>VLOOKUP(A13,airports!A:H,8,FALSE)</f>
        <v>-75.44040167</v>
      </c>
      <c r="F13" s="3">
        <f>VLOOKUP(B13,airports!A:H,7,FALSE)</f>
        <v>39.871952780000001</v>
      </c>
      <c r="G13" s="3">
        <f>VLOOKUP(B13,airports!A:H,8,FALSE)</f>
        <v>-75.241140830000006</v>
      </c>
      <c r="H13">
        <f t="shared" si="0"/>
        <v>88.4</v>
      </c>
      <c r="I13">
        <f t="shared" si="1"/>
        <v>54.9</v>
      </c>
    </row>
    <row r="14" spans="1:9" x14ac:dyDescent="0.25">
      <c r="A14" s="5" t="s">
        <v>170</v>
      </c>
      <c r="B14" s="5" t="s">
        <v>188</v>
      </c>
      <c r="C14" s="5" t="s">
        <v>189</v>
      </c>
      <c r="D14" s="3">
        <f>VLOOKUP(A14,airports!A:H,7,FALSE)</f>
        <v>40.652362779999997</v>
      </c>
      <c r="E14" s="3">
        <f>VLOOKUP(A14,airports!A:H,8,FALSE)</f>
        <v>-75.44040167</v>
      </c>
      <c r="F14" s="3">
        <f>VLOOKUP(B14,airports!A:H,7,FALSE)</f>
        <v>27.910763330000002</v>
      </c>
      <c r="G14" s="3">
        <f>VLOOKUP(B14,airports!A:H,8,FALSE)</f>
        <v>-82.687439440000006</v>
      </c>
      <c r="H14">
        <f t="shared" si="0"/>
        <v>1564</v>
      </c>
      <c r="I14">
        <f t="shared" si="1"/>
        <v>971.9</v>
      </c>
    </row>
    <row r="15" spans="1:9" ht="30" x14ac:dyDescent="0.25">
      <c r="A15" s="5" t="s">
        <v>170</v>
      </c>
      <c r="B15" s="5" t="s">
        <v>126</v>
      </c>
      <c r="C15" s="5" t="s">
        <v>190</v>
      </c>
      <c r="D15" s="3">
        <f>VLOOKUP(A15,airports!A:H,7,FALSE)</f>
        <v>40.652362779999997</v>
      </c>
      <c r="E15" s="3">
        <f>VLOOKUP(A15,airports!A:H,8,FALSE)</f>
        <v>-75.44040167</v>
      </c>
      <c r="F15" s="3">
        <f>VLOOKUP(B15,airports!A:H,7,FALSE)</f>
        <v>32.12758333</v>
      </c>
      <c r="G15" s="3">
        <f>VLOOKUP(B15,airports!A:H,8,FALSE)</f>
        <v>-81.202138890000001</v>
      </c>
      <c r="H15">
        <f t="shared" si="0"/>
        <v>1078.5</v>
      </c>
      <c r="I15">
        <f t="shared" si="1"/>
        <v>670.2</v>
      </c>
    </row>
    <row r="16" spans="1:9" x14ac:dyDescent="0.25">
      <c r="A16" s="5" t="s">
        <v>170</v>
      </c>
      <c r="B16" s="5" t="s">
        <v>191</v>
      </c>
      <c r="C16" s="5" t="s">
        <v>192</v>
      </c>
      <c r="D16" s="3">
        <f>VLOOKUP(A16,airports!A:H,7,FALSE)</f>
        <v>40.652362779999997</v>
      </c>
      <c r="E16" s="3">
        <f>VLOOKUP(A16,airports!A:H,8,FALSE)</f>
        <v>-75.44040167</v>
      </c>
      <c r="F16" s="3">
        <f>VLOOKUP(B16,airports!A:H,7,FALSE)</f>
        <v>28.7776</v>
      </c>
      <c r="G16" s="3">
        <f>VLOOKUP(B16,airports!A:H,8,FALSE)</f>
        <v>-81.237499999999997</v>
      </c>
      <c r="H16">
        <f t="shared" si="0"/>
        <v>1421.9</v>
      </c>
      <c r="I16">
        <f t="shared" si="1"/>
        <v>883.6</v>
      </c>
    </row>
    <row r="17" spans="1:9" ht="30" x14ac:dyDescent="0.25">
      <c r="A17" s="5" t="s">
        <v>170</v>
      </c>
      <c r="B17" s="5" t="s">
        <v>138</v>
      </c>
      <c r="C17" s="5" t="s">
        <v>193</v>
      </c>
      <c r="D17" s="3">
        <f>VLOOKUP(A17,airports!A:H,7,FALSE)</f>
        <v>40.652362779999997</v>
      </c>
      <c r="E17" s="3">
        <f>VLOOKUP(A17,airports!A:H,8,FALSE)</f>
        <v>-75.44040167</v>
      </c>
      <c r="F17" s="3">
        <f>VLOOKUP(B17,airports!A:H,7,FALSE)</f>
        <v>27.39533333</v>
      </c>
      <c r="G17" s="3">
        <f>VLOOKUP(B17,airports!A:H,8,FALSE)</f>
        <v>-82.554111109999994</v>
      </c>
      <c r="H17">
        <f t="shared" si="0"/>
        <v>1611.9</v>
      </c>
      <c r="I17">
        <f t="shared" si="1"/>
        <v>1001.6</v>
      </c>
    </row>
    <row r="18" spans="1:9" ht="30" x14ac:dyDescent="0.25">
      <c r="A18" s="5" t="s">
        <v>194</v>
      </c>
      <c r="B18" s="5" t="s">
        <v>49</v>
      </c>
      <c r="C18" s="5" t="s">
        <v>195</v>
      </c>
      <c r="D18" s="3">
        <f>VLOOKUP(A18,airports!A:H,7,FALSE)</f>
        <v>32.411320000000003</v>
      </c>
      <c r="E18" s="3">
        <f>VLOOKUP(A18,airports!A:H,8,FALSE)</f>
        <v>-99.681897219999996</v>
      </c>
      <c r="F18" s="3">
        <f>VLOOKUP(B18,airports!A:H,7,FALSE)</f>
        <v>32.895950560000003</v>
      </c>
      <c r="G18" s="3">
        <f>VLOOKUP(B18,airports!A:H,8,FALSE)</f>
        <v>-97.037199999999999</v>
      </c>
      <c r="H18">
        <f t="shared" si="0"/>
        <v>253.4</v>
      </c>
      <c r="I18">
        <f t="shared" si="1"/>
        <v>157.5</v>
      </c>
    </row>
    <row r="19" spans="1:9" x14ac:dyDescent="0.25">
      <c r="A19" s="5" t="s">
        <v>194</v>
      </c>
      <c r="B19" s="5" t="s">
        <v>67</v>
      </c>
      <c r="C19" s="5" t="s">
        <v>196</v>
      </c>
      <c r="D19" s="3">
        <f>VLOOKUP(A19,airports!A:H,7,FALSE)</f>
        <v>32.411320000000003</v>
      </c>
      <c r="E19" s="3">
        <f>VLOOKUP(A19,airports!A:H,8,FALSE)</f>
        <v>-99.681897219999996</v>
      </c>
      <c r="F19" s="3">
        <f>VLOOKUP(B19,airports!A:H,7,FALSE)</f>
        <v>29.980472219999999</v>
      </c>
      <c r="G19" s="3">
        <f>VLOOKUP(B19,airports!A:H,8,FALSE)</f>
        <v>-95.339722219999999</v>
      </c>
      <c r="H19">
        <f t="shared" si="0"/>
        <v>493.5</v>
      </c>
      <c r="I19">
        <f t="shared" si="1"/>
        <v>306.7</v>
      </c>
    </row>
    <row r="20" spans="1:9" ht="30" x14ac:dyDescent="0.25">
      <c r="A20" s="5" t="s">
        <v>2</v>
      </c>
      <c r="B20" s="5" t="s">
        <v>10</v>
      </c>
      <c r="C20" s="5" t="s">
        <v>197</v>
      </c>
      <c r="D20" s="3">
        <f>VLOOKUP(A20,airports!A:H,7,FALSE)</f>
        <v>35.040222219999997</v>
      </c>
      <c r="E20" s="3">
        <f>VLOOKUP(A20,airports!A:H,8,FALSE)</f>
        <v>-106.60919440000001</v>
      </c>
      <c r="F20" s="3">
        <f>VLOOKUP(B20,airports!A:H,7,FALSE)</f>
        <v>33.640444440000003</v>
      </c>
      <c r="G20" s="3">
        <f>VLOOKUP(B20,airports!A:H,8,FALSE)</f>
        <v>-84.42694444</v>
      </c>
      <c r="H20">
        <f t="shared" si="0"/>
        <v>2038.4</v>
      </c>
      <c r="I20">
        <f t="shared" si="1"/>
        <v>1266.7</v>
      </c>
    </row>
    <row r="21" spans="1:9" ht="30" x14ac:dyDescent="0.25">
      <c r="A21" s="5" t="s">
        <v>2</v>
      </c>
      <c r="B21" s="5" t="s">
        <v>13</v>
      </c>
      <c r="C21" s="5" t="s">
        <v>198</v>
      </c>
      <c r="D21" s="3">
        <f>VLOOKUP(A21,airports!A:H,7,FALSE)</f>
        <v>35.040222219999997</v>
      </c>
      <c r="E21" s="3">
        <f>VLOOKUP(A21,airports!A:H,8,FALSE)</f>
        <v>-106.60919440000001</v>
      </c>
      <c r="F21" s="3">
        <f>VLOOKUP(B21,airports!A:H,7,FALSE)</f>
        <v>30.194532779999999</v>
      </c>
      <c r="G21" s="3">
        <f>VLOOKUP(B21,airports!A:H,8,FALSE)</f>
        <v>-97.669871939999993</v>
      </c>
      <c r="H21">
        <f t="shared" si="0"/>
        <v>995</v>
      </c>
      <c r="I21">
        <f t="shared" si="1"/>
        <v>618.29999999999995</v>
      </c>
    </row>
    <row r="22" spans="1:9" ht="30" x14ac:dyDescent="0.25">
      <c r="A22" s="5" t="s">
        <v>2</v>
      </c>
      <c r="B22" s="5" t="s">
        <v>30</v>
      </c>
      <c r="C22" s="5" t="s">
        <v>199</v>
      </c>
      <c r="D22" s="3">
        <f>VLOOKUP(A22,airports!A:H,7,FALSE)</f>
        <v>35.040222219999997</v>
      </c>
      <c r="E22" s="3">
        <f>VLOOKUP(A22,airports!A:H,8,FALSE)</f>
        <v>-106.60919440000001</v>
      </c>
      <c r="F22" s="3">
        <f>VLOOKUP(B22,airports!A:H,7,FALSE)</f>
        <v>34.200619170000003</v>
      </c>
      <c r="G22" s="3">
        <f>VLOOKUP(B22,airports!A:H,8,FALSE)</f>
        <v>-118.35849690000001</v>
      </c>
      <c r="H22">
        <f t="shared" si="0"/>
        <v>1078.5</v>
      </c>
      <c r="I22">
        <f t="shared" si="1"/>
        <v>670.2</v>
      </c>
    </row>
    <row r="23" spans="1:9" ht="30" x14ac:dyDescent="0.25">
      <c r="A23" s="5" t="s">
        <v>2</v>
      </c>
      <c r="B23" s="5" t="s">
        <v>32</v>
      </c>
      <c r="C23" s="5" t="s">
        <v>200</v>
      </c>
      <c r="D23" s="3">
        <f>VLOOKUP(A23,airports!A:H,7,FALSE)</f>
        <v>35.040222219999997</v>
      </c>
      <c r="E23" s="3">
        <f>VLOOKUP(A23,airports!A:H,8,FALSE)</f>
        <v>-106.60919440000001</v>
      </c>
      <c r="F23" s="3">
        <f>VLOOKUP(B23,airports!A:H,7,FALSE)</f>
        <v>39.175401669999999</v>
      </c>
      <c r="G23" s="3">
        <f>VLOOKUP(B23,airports!A:H,8,FALSE)</f>
        <v>-76.668198329999996</v>
      </c>
      <c r="H23">
        <f t="shared" si="0"/>
        <v>2682.1</v>
      </c>
      <c r="I23">
        <f t="shared" si="1"/>
        <v>1666.7</v>
      </c>
    </row>
    <row r="24" spans="1:9" ht="30" x14ac:dyDescent="0.25">
      <c r="A24" s="5" t="s">
        <v>2</v>
      </c>
      <c r="B24" s="5" t="s">
        <v>201</v>
      </c>
      <c r="C24" s="5" t="s">
        <v>202</v>
      </c>
      <c r="D24" s="3">
        <f>VLOOKUP(A24,airports!A:H,7,FALSE)</f>
        <v>35.040222219999997</v>
      </c>
      <c r="E24" s="3">
        <f>VLOOKUP(A24,airports!A:H,8,FALSE)</f>
        <v>-106.60919440000001</v>
      </c>
      <c r="F24" s="3">
        <f>VLOOKUP(B24,airports!A:H,7,FALSE)</f>
        <v>32.847113890000003</v>
      </c>
      <c r="G24" s="3">
        <f>VLOOKUP(B24,airports!A:H,8,FALSE)</f>
        <v>-96.851772220000001</v>
      </c>
      <c r="H24">
        <f t="shared" si="0"/>
        <v>932.1</v>
      </c>
      <c r="I24">
        <f t="shared" si="1"/>
        <v>579.20000000000005</v>
      </c>
    </row>
    <row r="25" spans="1:9" ht="30" x14ac:dyDescent="0.25">
      <c r="A25" s="5" t="s">
        <v>2</v>
      </c>
      <c r="B25" s="5" t="s">
        <v>47</v>
      </c>
      <c r="C25" s="5" t="s">
        <v>203</v>
      </c>
      <c r="D25" s="3">
        <f>VLOOKUP(A25,airports!A:H,7,FALSE)</f>
        <v>35.040222219999997</v>
      </c>
      <c r="E25" s="3">
        <f>VLOOKUP(A25,airports!A:H,8,FALSE)</f>
        <v>-106.60919440000001</v>
      </c>
      <c r="F25" s="3">
        <f>VLOOKUP(B25,airports!A:H,7,FALSE)</f>
        <v>39.858408060000002</v>
      </c>
      <c r="G25" s="3">
        <f>VLOOKUP(B25,airports!A:H,8,FALSE)</f>
        <v>-104.6670019</v>
      </c>
      <c r="H25">
        <f t="shared" si="0"/>
        <v>562.5</v>
      </c>
      <c r="I25">
        <f t="shared" si="1"/>
        <v>349.5</v>
      </c>
    </row>
    <row r="26" spans="1:9" ht="30" x14ac:dyDescent="0.25">
      <c r="A26" s="5" t="s">
        <v>2</v>
      </c>
      <c r="B26" s="5" t="s">
        <v>49</v>
      </c>
      <c r="C26" s="5" t="s">
        <v>204</v>
      </c>
      <c r="D26" s="3">
        <f>VLOOKUP(A26,airports!A:H,7,FALSE)</f>
        <v>35.040222219999997</v>
      </c>
      <c r="E26" s="3">
        <f>VLOOKUP(A26,airports!A:H,8,FALSE)</f>
        <v>-106.60919440000001</v>
      </c>
      <c r="F26" s="3">
        <f>VLOOKUP(B26,airports!A:H,7,FALSE)</f>
        <v>32.895950560000003</v>
      </c>
      <c r="G26" s="3">
        <f>VLOOKUP(B26,airports!A:H,8,FALSE)</f>
        <v>-97.037199999999999</v>
      </c>
      <c r="H26">
        <f t="shared" si="0"/>
        <v>913.9</v>
      </c>
      <c r="I26">
        <f t="shared" si="1"/>
        <v>567.9</v>
      </c>
    </row>
    <row r="27" spans="1:9" ht="30" x14ac:dyDescent="0.25">
      <c r="A27" s="5" t="s">
        <v>2</v>
      </c>
      <c r="B27" s="5" t="s">
        <v>205</v>
      </c>
      <c r="C27" s="5" t="s">
        <v>206</v>
      </c>
      <c r="D27" s="3">
        <f>VLOOKUP(A27,airports!A:H,7,FALSE)</f>
        <v>35.040222219999997</v>
      </c>
      <c r="E27" s="3">
        <f>VLOOKUP(A27,airports!A:H,8,FALSE)</f>
        <v>-106.60919440000001</v>
      </c>
      <c r="F27" s="3">
        <f>VLOOKUP(B27,airports!A:H,7,FALSE)</f>
        <v>29.64541861</v>
      </c>
      <c r="G27" s="3">
        <f>VLOOKUP(B27,airports!A:H,8,FALSE)</f>
        <v>-95.278888890000005</v>
      </c>
      <c r="H27">
        <f t="shared" si="0"/>
        <v>1220.5999999999999</v>
      </c>
      <c r="I27">
        <f t="shared" si="1"/>
        <v>758.5</v>
      </c>
    </row>
    <row r="28" spans="1:9" ht="30" x14ac:dyDescent="0.25">
      <c r="A28" s="5" t="s">
        <v>2</v>
      </c>
      <c r="B28" s="5" t="s">
        <v>67</v>
      </c>
      <c r="C28" s="5" t="s">
        <v>207</v>
      </c>
      <c r="D28" s="3">
        <f>VLOOKUP(A28,airports!A:H,7,FALSE)</f>
        <v>35.040222219999997</v>
      </c>
      <c r="E28" s="3">
        <f>VLOOKUP(A28,airports!A:H,8,FALSE)</f>
        <v>-106.60919440000001</v>
      </c>
      <c r="F28" s="3">
        <f>VLOOKUP(B28,airports!A:H,7,FALSE)</f>
        <v>29.980472219999999</v>
      </c>
      <c r="G28" s="3">
        <f>VLOOKUP(B28,airports!A:H,8,FALSE)</f>
        <v>-95.339722219999999</v>
      </c>
      <c r="H28">
        <f t="shared" si="0"/>
        <v>1196.0999999999999</v>
      </c>
      <c r="I28">
        <f t="shared" si="1"/>
        <v>743.2</v>
      </c>
    </row>
    <row r="29" spans="1:9" ht="30" x14ac:dyDescent="0.25">
      <c r="A29" s="5" t="s">
        <v>2</v>
      </c>
      <c r="B29" s="5" t="s">
        <v>69</v>
      </c>
      <c r="C29" s="5" t="s">
        <v>208</v>
      </c>
      <c r="D29" s="3">
        <f>VLOOKUP(A29,airports!A:H,7,FALSE)</f>
        <v>35.040222219999997</v>
      </c>
      <c r="E29" s="3">
        <f>VLOOKUP(A29,airports!A:H,8,FALSE)</f>
        <v>-106.60919440000001</v>
      </c>
      <c r="F29" s="3">
        <f>VLOOKUP(B29,airports!A:H,7,FALSE)</f>
        <v>40.639751109999999</v>
      </c>
      <c r="G29" s="3">
        <f>VLOOKUP(B29,airports!A:H,8,FALSE)</f>
        <v>-73.778925560000005</v>
      </c>
      <c r="H29">
        <f t="shared" si="0"/>
        <v>2931.5</v>
      </c>
      <c r="I29">
        <f t="shared" si="1"/>
        <v>1821.6</v>
      </c>
    </row>
    <row r="30" spans="1:9" ht="30" x14ac:dyDescent="0.25">
      <c r="A30" s="5" t="s">
        <v>2</v>
      </c>
      <c r="B30" s="5" t="s">
        <v>71</v>
      </c>
      <c r="C30" s="5" t="s">
        <v>209</v>
      </c>
      <c r="D30" s="3">
        <f>VLOOKUP(A30,airports!A:H,7,FALSE)</f>
        <v>35.040222219999997</v>
      </c>
      <c r="E30" s="3">
        <f>VLOOKUP(A30,airports!A:H,8,FALSE)</f>
        <v>-106.60919440000001</v>
      </c>
      <c r="F30" s="3">
        <f>VLOOKUP(B30,airports!A:H,7,FALSE)</f>
        <v>36.080361109999998</v>
      </c>
      <c r="G30" s="3">
        <f>VLOOKUP(B30,airports!A:H,8,FALSE)</f>
        <v>-115.1523333</v>
      </c>
      <c r="H30">
        <f t="shared" si="0"/>
        <v>781.1</v>
      </c>
      <c r="I30">
        <f t="shared" si="1"/>
        <v>485.4</v>
      </c>
    </row>
    <row r="31" spans="1:9" ht="30" x14ac:dyDescent="0.25">
      <c r="A31" s="5" t="s">
        <v>2</v>
      </c>
      <c r="B31" s="5" t="s">
        <v>73</v>
      </c>
      <c r="C31" s="5" t="s">
        <v>210</v>
      </c>
      <c r="D31" s="3">
        <f>VLOOKUP(A31,airports!A:H,7,FALSE)</f>
        <v>35.040222219999997</v>
      </c>
      <c r="E31" s="3">
        <f>VLOOKUP(A31,airports!A:H,8,FALSE)</f>
        <v>-106.60919440000001</v>
      </c>
      <c r="F31" s="3">
        <f>VLOOKUP(B31,airports!A:H,7,FALSE)</f>
        <v>33.942536109999999</v>
      </c>
      <c r="G31" s="3">
        <f>VLOOKUP(B31,airports!A:H,8,FALSE)</f>
        <v>-118.4080744</v>
      </c>
      <c r="H31">
        <f t="shared" si="0"/>
        <v>1087.5999999999999</v>
      </c>
      <c r="I31">
        <f t="shared" si="1"/>
        <v>675.8</v>
      </c>
    </row>
    <row r="32" spans="1:9" ht="30" x14ac:dyDescent="0.25">
      <c r="A32" s="5" t="s">
        <v>2</v>
      </c>
      <c r="B32" s="5" t="s">
        <v>80</v>
      </c>
      <c r="C32" s="5" t="s">
        <v>211</v>
      </c>
      <c r="D32" s="3">
        <f>VLOOKUP(A32,airports!A:H,7,FALSE)</f>
        <v>35.040222219999997</v>
      </c>
      <c r="E32" s="3">
        <f>VLOOKUP(A32,airports!A:H,8,FALSE)</f>
        <v>-106.60919440000001</v>
      </c>
      <c r="F32" s="3">
        <f>VLOOKUP(B32,airports!A:H,7,FALSE)</f>
        <v>39.297605279999999</v>
      </c>
      <c r="G32" s="3">
        <f>VLOOKUP(B32,airports!A:H,8,FALSE)</f>
        <v>-94.713905560000001</v>
      </c>
      <c r="H32">
        <f t="shared" si="0"/>
        <v>1154.2</v>
      </c>
      <c r="I32">
        <f t="shared" si="1"/>
        <v>717.2</v>
      </c>
    </row>
    <row r="33" spans="1:9" ht="30" x14ac:dyDescent="0.25">
      <c r="A33" s="5" t="s">
        <v>2</v>
      </c>
      <c r="B33" s="5" t="s">
        <v>82</v>
      </c>
      <c r="C33" s="5" t="s">
        <v>212</v>
      </c>
      <c r="D33" s="3">
        <f>VLOOKUP(A33,airports!A:H,7,FALSE)</f>
        <v>35.040222219999997</v>
      </c>
      <c r="E33" s="3">
        <f>VLOOKUP(A33,airports!A:H,8,FALSE)</f>
        <v>-106.60919440000001</v>
      </c>
      <c r="F33" s="3">
        <f>VLOOKUP(B33,airports!A:H,7,FALSE)</f>
        <v>28.42888889</v>
      </c>
      <c r="G33" s="3">
        <f>VLOOKUP(B33,airports!A:H,8,FALSE)</f>
        <v>-81.316027779999999</v>
      </c>
      <c r="H33">
        <f t="shared" si="0"/>
        <v>2494.5</v>
      </c>
      <c r="I33">
        <f t="shared" si="1"/>
        <v>1550.1</v>
      </c>
    </row>
    <row r="34" spans="1:9" ht="30" x14ac:dyDescent="0.25">
      <c r="A34" s="5" t="s">
        <v>2</v>
      </c>
      <c r="B34" s="5" t="s">
        <v>180</v>
      </c>
      <c r="C34" s="5" t="s">
        <v>213</v>
      </c>
      <c r="D34" s="3">
        <f>VLOOKUP(A34,airports!A:H,7,FALSE)</f>
        <v>35.040222219999997</v>
      </c>
      <c r="E34" s="3">
        <f>VLOOKUP(A34,airports!A:H,8,FALSE)</f>
        <v>-106.60919440000001</v>
      </c>
      <c r="F34" s="3">
        <f>VLOOKUP(B34,airports!A:H,7,FALSE)</f>
        <v>41.785982500000003</v>
      </c>
      <c r="G34" s="3">
        <f>VLOOKUP(B34,airports!A:H,8,FALSE)</f>
        <v>-87.752424439999999</v>
      </c>
      <c r="H34">
        <f t="shared" si="0"/>
        <v>1800.9</v>
      </c>
      <c r="I34">
        <f t="shared" si="1"/>
        <v>1119.0999999999999</v>
      </c>
    </row>
    <row r="35" spans="1:9" ht="30" x14ac:dyDescent="0.25">
      <c r="A35" s="5" t="s">
        <v>2</v>
      </c>
      <c r="B35" s="5" t="s">
        <v>87</v>
      </c>
      <c r="C35" s="5" t="s">
        <v>214</v>
      </c>
      <c r="D35" s="3">
        <f>VLOOKUP(A35,airports!A:H,7,FALSE)</f>
        <v>35.040222219999997</v>
      </c>
      <c r="E35" s="3">
        <f>VLOOKUP(A35,airports!A:H,8,FALSE)</f>
        <v>-106.60919440000001</v>
      </c>
      <c r="F35" s="3">
        <f>VLOOKUP(B35,airports!A:H,7,FALSE)</f>
        <v>44.880546940000002</v>
      </c>
      <c r="G35" s="3">
        <f>VLOOKUP(B35,airports!A:H,8,FALSE)</f>
        <v>-93.216922499999995</v>
      </c>
      <c r="H35">
        <f t="shared" si="0"/>
        <v>1577.2</v>
      </c>
      <c r="I35">
        <f t="shared" si="1"/>
        <v>980.1</v>
      </c>
    </row>
    <row r="36" spans="1:9" ht="30" x14ac:dyDescent="0.25">
      <c r="A36" s="5" t="s">
        <v>2</v>
      </c>
      <c r="B36" s="5" t="s">
        <v>215</v>
      </c>
      <c r="C36" s="5" t="s">
        <v>216</v>
      </c>
      <c r="D36" s="3">
        <f>VLOOKUP(A36,airports!A:H,7,FALSE)</f>
        <v>35.040222219999997</v>
      </c>
      <c r="E36" s="3">
        <f>VLOOKUP(A36,airports!A:H,8,FALSE)</f>
        <v>-106.60919440000001</v>
      </c>
      <c r="F36" s="3">
        <f>VLOOKUP(B36,airports!A:H,7,FALSE)</f>
        <v>37.721290830000001</v>
      </c>
      <c r="G36" s="3">
        <f>VLOOKUP(B36,airports!A:H,8,FALSE)</f>
        <v>-122.2207167</v>
      </c>
      <c r="H36">
        <f t="shared" si="0"/>
        <v>1427.2</v>
      </c>
      <c r="I36">
        <f t="shared" si="1"/>
        <v>886.9</v>
      </c>
    </row>
    <row r="37" spans="1:9" ht="30" x14ac:dyDescent="0.25">
      <c r="A37" s="5" t="s">
        <v>2</v>
      </c>
      <c r="B37" s="5" t="s">
        <v>95</v>
      </c>
      <c r="C37" s="5" t="s">
        <v>217</v>
      </c>
      <c r="D37" s="3">
        <f>VLOOKUP(A37,airports!A:H,7,FALSE)</f>
        <v>35.040222219999997</v>
      </c>
      <c r="E37" s="3">
        <f>VLOOKUP(A37,airports!A:H,8,FALSE)</f>
        <v>-106.60919440000001</v>
      </c>
      <c r="F37" s="3">
        <f>VLOOKUP(B37,airports!A:H,7,FALSE)</f>
        <v>41.979595000000003</v>
      </c>
      <c r="G37" s="3">
        <f>VLOOKUP(B37,airports!A:H,8,FALSE)</f>
        <v>-87.904464169999997</v>
      </c>
      <c r="H37">
        <f t="shared" si="0"/>
        <v>1796</v>
      </c>
      <c r="I37">
        <f t="shared" si="1"/>
        <v>1116</v>
      </c>
    </row>
    <row r="38" spans="1:9" ht="30" x14ac:dyDescent="0.25">
      <c r="A38" s="5" t="s">
        <v>2</v>
      </c>
      <c r="B38" s="5" t="s">
        <v>100</v>
      </c>
      <c r="C38" s="5" t="s">
        <v>218</v>
      </c>
      <c r="D38" s="3">
        <f>VLOOKUP(A38,airports!A:H,7,FALSE)</f>
        <v>35.040222219999997</v>
      </c>
      <c r="E38" s="3">
        <f>VLOOKUP(A38,airports!A:H,8,FALSE)</f>
        <v>-106.60919440000001</v>
      </c>
      <c r="F38" s="3">
        <f>VLOOKUP(B38,airports!A:H,7,FALSE)</f>
        <v>45.588722220000001</v>
      </c>
      <c r="G38" s="3">
        <f>VLOOKUP(B38,airports!A:H,8,FALSE)</f>
        <v>-122.5975</v>
      </c>
      <c r="H38">
        <f t="shared" si="0"/>
        <v>1786.6</v>
      </c>
      <c r="I38">
        <f t="shared" si="1"/>
        <v>1110.2</v>
      </c>
    </row>
    <row r="39" spans="1:9" ht="30" x14ac:dyDescent="0.25">
      <c r="A39" s="5" t="s">
        <v>2</v>
      </c>
      <c r="B39" s="5" t="s">
        <v>104</v>
      </c>
      <c r="C39" s="5" t="s">
        <v>219</v>
      </c>
      <c r="D39" s="3">
        <f>VLOOKUP(A39,airports!A:H,7,FALSE)</f>
        <v>35.040222219999997</v>
      </c>
      <c r="E39" s="3">
        <f>VLOOKUP(A39,airports!A:H,8,FALSE)</f>
        <v>-106.60919440000001</v>
      </c>
      <c r="F39" s="3">
        <f>VLOOKUP(B39,airports!A:H,7,FALSE)</f>
        <v>33.434166670000003</v>
      </c>
      <c r="G39" s="3">
        <f>VLOOKUP(B39,airports!A:H,8,FALSE)</f>
        <v>-112.00805560000001</v>
      </c>
      <c r="H39">
        <f t="shared" si="0"/>
        <v>527.4</v>
      </c>
      <c r="I39">
        <f t="shared" si="1"/>
        <v>327.7</v>
      </c>
    </row>
    <row r="40" spans="1:9" ht="30" x14ac:dyDescent="0.25">
      <c r="A40" s="5" t="s">
        <v>2</v>
      </c>
      <c r="B40" s="5" t="s">
        <v>124</v>
      </c>
      <c r="C40" s="5" t="s">
        <v>220</v>
      </c>
      <c r="D40" s="3">
        <f>VLOOKUP(A40,airports!A:H,7,FALSE)</f>
        <v>35.040222219999997</v>
      </c>
      <c r="E40" s="3">
        <f>VLOOKUP(A40,airports!A:H,8,FALSE)</f>
        <v>-106.60919440000001</v>
      </c>
      <c r="F40" s="3">
        <f>VLOOKUP(B40,airports!A:H,7,FALSE)</f>
        <v>32.733556110000002</v>
      </c>
      <c r="G40" s="3">
        <f>VLOOKUP(B40,airports!A:H,8,FALSE)</f>
        <v>-117.1896567</v>
      </c>
      <c r="H40">
        <f t="shared" si="0"/>
        <v>1009.2</v>
      </c>
      <c r="I40">
        <f t="shared" si="1"/>
        <v>627.1</v>
      </c>
    </row>
    <row r="41" spans="1:9" ht="30" x14ac:dyDescent="0.25">
      <c r="A41" s="5" t="s">
        <v>2</v>
      </c>
      <c r="B41" s="5" t="s">
        <v>125</v>
      </c>
      <c r="C41" s="5" t="s">
        <v>221</v>
      </c>
      <c r="D41" s="3">
        <f>VLOOKUP(A41,airports!A:H,7,FALSE)</f>
        <v>35.040222219999997</v>
      </c>
      <c r="E41" s="3">
        <f>VLOOKUP(A41,airports!A:H,8,FALSE)</f>
        <v>-106.60919440000001</v>
      </c>
      <c r="F41" s="3">
        <f>VLOOKUP(B41,airports!A:H,7,FALSE)</f>
        <v>29.533694440000001</v>
      </c>
      <c r="G41" s="3">
        <f>VLOOKUP(B41,airports!A:H,8,FALSE)</f>
        <v>-98.469777780000001</v>
      </c>
      <c r="H41">
        <f t="shared" si="0"/>
        <v>979.3</v>
      </c>
      <c r="I41">
        <f t="shared" si="1"/>
        <v>608.6</v>
      </c>
    </row>
    <row r="42" spans="1:9" ht="30" x14ac:dyDescent="0.25">
      <c r="A42" s="5" t="s">
        <v>2</v>
      </c>
      <c r="B42" s="5" t="s">
        <v>128</v>
      </c>
      <c r="C42" s="5" t="s">
        <v>222</v>
      </c>
      <c r="D42" s="3">
        <f>VLOOKUP(A42,airports!A:H,7,FALSE)</f>
        <v>35.040222219999997</v>
      </c>
      <c r="E42" s="3">
        <f>VLOOKUP(A42,airports!A:H,8,FALSE)</f>
        <v>-106.60919440000001</v>
      </c>
      <c r="F42" s="3">
        <f>VLOOKUP(B42,airports!A:H,7,FALSE)</f>
        <v>47.448981940000003</v>
      </c>
      <c r="G42" s="3">
        <f>VLOOKUP(B42,airports!A:H,8,FALSE)</f>
        <v>-122.3093131</v>
      </c>
      <c r="H42">
        <f t="shared" si="0"/>
        <v>1897.3</v>
      </c>
      <c r="I42">
        <f t="shared" si="1"/>
        <v>1179</v>
      </c>
    </row>
    <row r="43" spans="1:9" ht="30" x14ac:dyDescent="0.25">
      <c r="A43" s="5" t="s">
        <v>2</v>
      </c>
      <c r="B43" s="5" t="s">
        <v>191</v>
      </c>
      <c r="C43" s="5" t="s">
        <v>223</v>
      </c>
      <c r="D43" s="3">
        <f>VLOOKUP(A43,airports!A:H,7,FALSE)</f>
        <v>35.040222219999997</v>
      </c>
      <c r="E43" s="3">
        <f>VLOOKUP(A43,airports!A:H,8,FALSE)</f>
        <v>-106.60919440000001</v>
      </c>
      <c r="F43" s="3">
        <f>VLOOKUP(B43,airports!A:H,7,FALSE)</f>
        <v>28.7776</v>
      </c>
      <c r="G43" s="3">
        <f>VLOOKUP(B43,airports!A:H,8,FALSE)</f>
        <v>-81.237499999999997</v>
      </c>
      <c r="H43">
        <f t="shared" si="0"/>
        <v>2486.3000000000002</v>
      </c>
      <c r="I43">
        <f t="shared" si="1"/>
        <v>1545</v>
      </c>
    </row>
    <row r="44" spans="1:9" ht="30" x14ac:dyDescent="0.25">
      <c r="A44" s="5" t="s">
        <v>2</v>
      </c>
      <c r="B44" s="5" t="s">
        <v>130</v>
      </c>
      <c r="C44" s="5" t="s">
        <v>224</v>
      </c>
      <c r="D44" s="3">
        <f>VLOOKUP(A44,airports!A:H,7,FALSE)</f>
        <v>35.040222219999997</v>
      </c>
      <c r="E44" s="3">
        <f>VLOOKUP(A44,airports!A:H,8,FALSE)</f>
        <v>-106.60919440000001</v>
      </c>
      <c r="F44" s="3">
        <f>VLOOKUP(B44,airports!A:H,7,FALSE)</f>
        <v>37.619001939999997</v>
      </c>
      <c r="G44" s="3">
        <f>VLOOKUP(B44,airports!A:H,8,FALSE)</f>
        <v>-122.37484329999999</v>
      </c>
      <c r="H44">
        <f t="shared" si="0"/>
        <v>1439.3</v>
      </c>
      <c r="I44">
        <f t="shared" si="1"/>
        <v>894.4</v>
      </c>
    </row>
    <row r="45" spans="1:9" ht="30" x14ac:dyDescent="0.25">
      <c r="A45" s="5" t="s">
        <v>2</v>
      </c>
      <c r="B45" s="5" t="s">
        <v>131</v>
      </c>
      <c r="C45" s="5" t="s">
        <v>225</v>
      </c>
      <c r="D45" s="3">
        <f>VLOOKUP(A45,airports!A:H,7,FALSE)</f>
        <v>35.040222219999997</v>
      </c>
      <c r="E45" s="3">
        <f>VLOOKUP(A45,airports!A:H,8,FALSE)</f>
        <v>-106.60919440000001</v>
      </c>
      <c r="F45" s="3">
        <f>VLOOKUP(B45,airports!A:H,7,FALSE)</f>
        <v>37.361861939999997</v>
      </c>
      <c r="G45" s="3">
        <f>VLOOKUP(B45,airports!A:H,8,FALSE)</f>
        <v>-121.9290089</v>
      </c>
      <c r="H45">
        <f t="shared" si="0"/>
        <v>1397</v>
      </c>
      <c r="I45">
        <f t="shared" si="1"/>
        <v>868.1</v>
      </c>
    </row>
    <row r="46" spans="1:9" ht="30" x14ac:dyDescent="0.25">
      <c r="A46" s="5" t="s">
        <v>2</v>
      </c>
      <c r="B46" s="5" t="s">
        <v>135</v>
      </c>
      <c r="C46" s="5" t="s">
        <v>226</v>
      </c>
      <c r="D46" s="3">
        <f>VLOOKUP(A46,airports!A:H,7,FALSE)</f>
        <v>35.040222219999997</v>
      </c>
      <c r="E46" s="3">
        <f>VLOOKUP(A46,airports!A:H,8,FALSE)</f>
        <v>-106.60919440000001</v>
      </c>
      <c r="F46" s="3">
        <f>VLOOKUP(B46,airports!A:H,7,FALSE)</f>
        <v>40.788387780000001</v>
      </c>
      <c r="G46" s="3">
        <f>VLOOKUP(B46,airports!A:H,8,FALSE)</f>
        <v>-111.97777309999999</v>
      </c>
      <c r="H46">
        <f t="shared" si="0"/>
        <v>793.6</v>
      </c>
      <c r="I46">
        <f t="shared" si="1"/>
        <v>493.1</v>
      </c>
    </row>
    <row r="47" spans="1:9" ht="30" x14ac:dyDescent="0.25">
      <c r="A47" s="5" t="s">
        <v>2</v>
      </c>
      <c r="B47" s="5" t="s">
        <v>227</v>
      </c>
      <c r="C47" s="5" t="s">
        <v>228</v>
      </c>
      <c r="D47" s="3">
        <f>VLOOKUP(A47,airports!A:H,7,FALSE)</f>
        <v>35.040222219999997</v>
      </c>
      <c r="E47" s="3">
        <f>VLOOKUP(A47,airports!A:H,8,FALSE)</f>
        <v>-106.60919440000001</v>
      </c>
      <c r="F47" s="3">
        <f>VLOOKUP(B47,airports!A:H,7,FALSE)</f>
        <v>33.675658609999999</v>
      </c>
      <c r="G47" s="3">
        <f>VLOOKUP(B47,airports!A:H,8,FALSE)</f>
        <v>-117.8682225</v>
      </c>
      <c r="H47">
        <f t="shared" si="0"/>
        <v>1044</v>
      </c>
      <c r="I47">
        <f t="shared" si="1"/>
        <v>648.79999999999995</v>
      </c>
    </row>
    <row r="48" spans="1:9" ht="30" x14ac:dyDescent="0.25">
      <c r="A48" s="5" t="s">
        <v>229</v>
      </c>
      <c r="B48" s="5" t="s">
        <v>87</v>
      </c>
      <c r="C48" s="5" t="s">
        <v>230</v>
      </c>
      <c r="D48" s="3">
        <f>VLOOKUP(A48,airports!A:H,7,FALSE)</f>
        <v>45.449055559999998</v>
      </c>
      <c r="E48" s="3">
        <f>VLOOKUP(A48,airports!A:H,8,FALSE)</f>
        <v>-98.421833329999998</v>
      </c>
      <c r="F48" s="3">
        <f>VLOOKUP(B48,airports!A:H,7,FALSE)</f>
        <v>44.880546940000002</v>
      </c>
      <c r="G48" s="3">
        <f>VLOOKUP(B48,airports!A:H,8,FALSE)</f>
        <v>-93.216922499999995</v>
      </c>
      <c r="H48">
        <f t="shared" si="0"/>
        <v>412.9</v>
      </c>
      <c r="I48">
        <f t="shared" si="1"/>
        <v>256.60000000000002</v>
      </c>
    </row>
    <row r="49" spans="1:9" x14ac:dyDescent="0.25">
      <c r="A49" s="5" t="s">
        <v>231</v>
      </c>
      <c r="B49" s="5" t="s">
        <v>10</v>
      </c>
      <c r="C49" s="5" t="s">
        <v>232</v>
      </c>
      <c r="D49" s="3">
        <f>VLOOKUP(A49,airports!A:H,7,FALSE)</f>
        <v>31.535515</v>
      </c>
      <c r="E49" s="3">
        <f>VLOOKUP(A49,airports!A:H,8,FALSE)</f>
        <v>-84.194473329999994</v>
      </c>
      <c r="F49" s="3">
        <f>VLOOKUP(B49,airports!A:H,7,FALSE)</f>
        <v>33.640444440000003</v>
      </c>
      <c r="G49" s="3">
        <f>VLOOKUP(B49,airports!A:H,8,FALSE)</f>
        <v>-84.42694444</v>
      </c>
      <c r="H49">
        <f t="shared" si="0"/>
        <v>235.1</v>
      </c>
      <c r="I49">
        <f t="shared" si="1"/>
        <v>146.1</v>
      </c>
    </row>
    <row r="50" spans="1:9" ht="30" x14ac:dyDescent="0.25">
      <c r="A50" s="5" t="s">
        <v>5</v>
      </c>
      <c r="B50" s="5" t="s">
        <v>233</v>
      </c>
      <c r="C50" s="5" t="s">
        <v>234</v>
      </c>
      <c r="D50" s="3">
        <f>VLOOKUP(A50,airports!A:H,7,FALSE)</f>
        <v>41.253051939999999</v>
      </c>
      <c r="E50" s="3">
        <f>VLOOKUP(A50,airports!A:H,8,FALSE)</f>
        <v>-70.060181389999997</v>
      </c>
      <c r="F50" s="3">
        <f>VLOOKUP(B50,airports!A:H,7,FALSE)</f>
        <v>44.807444439999998</v>
      </c>
      <c r="G50" s="3">
        <f>VLOOKUP(B50,airports!A:H,8,FALSE)</f>
        <v>-68.828138890000005</v>
      </c>
      <c r="H50">
        <f t="shared" si="0"/>
        <v>407.7</v>
      </c>
      <c r="I50">
        <f t="shared" si="1"/>
        <v>253.4</v>
      </c>
    </row>
    <row r="51" spans="1:9" ht="30" x14ac:dyDescent="0.25">
      <c r="A51" s="5" t="s">
        <v>5</v>
      </c>
      <c r="B51" s="5" t="s">
        <v>24</v>
      </c>
      <c r="C51" s="5" t="s">
        <v>235</v>
      </c>
      <c r="D51" s="3">
        <f>VLOOKUP(A51,airports!A:H,7,FALSE)</f>
        <v>41.253051939999999</v>
      </c>
      <c r="E51" s="3">
        <f>VLOOKUP(A51,airports!A:H,8,FALSE)</f>
        <v>-70.060181389999997</v>
      </c>
      <c r="F51" s="3">
        <f>VLOOKUP(B51,airports!A:H,7,FALSE)</f>
        <v>42.364347500000001</v>
      </c>
      <c r="G51" s="3">
        <f>VLOOKUP(B51,airports!A:H,8,FALSE)</f>
        <v>-71.005179170000005</v>
      </c>
      <c r="H51">
        <f t="shared" si="0"/>
        <v>146.30000000000001</v>
      </c>
      <c r="I51">
        <f t="shared" si="1"/>
        <v>90.9</v>
      </c>
    </row>
    <row r="52" spans="1:9" x14ac:dyDescent="0.25">
      <c r="A52" s="5" t="s">
        <v>5</v>
      </c>
      <c r="B52" s="5" t="s">
        <v>40</v>
      </c>
      <c r="C52" s="5" t="s">
        <v>236</v>
      </c>
      <c r="D52" s="3">
        <f>VLOOKUP(A52,airports!A:H,7,FALSE)</f>
        <v>41.253051939999999</v>
      </c>
      <c r="E52" s="3">
        <f>VLOOKUP(A52,airports!A:H,8,FALSE)</f>
        <v>-70.060181389999997</v>
      </c>
      <c r="F52" s="3">
        <f>VLOOKUP(B52,airports!A:H,7,FALSE)</f>
        <v>35.214011110000001</v>
      </c>
      <c r="G52" s="3">
        <f>VLOOKUP(B52,airports!A:H,8,FALSE)</f>
        <v>-80.94312583</v>
      </c>
      <c r="H52">
        <f t="shared" si="0"/>
        <v>1162.3</v>
      </c>
      <c r="I52">
        <f t="shared" si="1"/>
        <v>722.3</v>
      </c>
    </row>
    <row r="53" spans="1:9" ht="30" x14ac:dyDescent="0.25">
      <c r="A53" s="5" t="s">
        <v>5</v>
      </c>
      <c r="B53" s="5" t="s">
        <v>45</v>
      </c>
      <c r="C53" s="5" t="s">
        <v>237</v>
      </c>
      <c r="D53" s="3">
        <f>VLOOKUP(A53,airports!A:H,7,FALSE)</f>
        <v>41.253051939999999</v>
      </c>
      <c r="E53" s="3">
        <f>VLOOKUP(A53,airports!A:H,8,FALSE)</f>
        <v>-70.060181389999997</v>
      </c>
      <c r="F53" s="3">
        <f>VLOOKUP(B53,airports!A:H,7,FALSE)</f>
        <v>38.852083329999999</v>
      </c>
      <c r="G53" s="3">
        <f>VLOOKUP(B53,airports!A:H,8,FALSE)</f>
        <v>-77.037722220000006</v>
      </c>
      <c r="H53">
        <f t="shared" si="0"/>
        <v>650.9</v>
      </c>
      <c r="I53">
        <f t="shared" si="1"/>
        <v>404.5</v>
      </c>
    </row>
    <row r="54" spans="1:9" ht="30" x14ac:dyDescent="0.25">
      <c r="A54" s="5" t="s">
        <v>5</v>
      </c>
      <c r="B54" s="5" t="s">
        <v>52</v>
      </c>
      <c r="C54" s="5" t="s">
        <v>238</v>
      </c>
      <c r="D54" s="3">
        <f>VLOOKUP(A54,airports!A:H,7,FALSE)</f>
        <v>41.253051939999999</v>
      </c>
      <c r="E54" s="3">
        <f>VLOOKUP(A54,airports!A:H,8,FALSE)</f>
        <v>-70.060181389999997</v>
      </c>
      <c r="F54" s="3">
        <f>VLOOKUP(B54,airports!A:H,7,FALSE)</f>
        <v>40.69249722</v>
      </c>
      <c r="G54" s="3">
        <f>VLOOKUP(B54,airports!A:H,8,FALSE)</f>
        <v>-74.168660560000006</v>
      </c>
      <c r="H54">
        <f t="shared" si="0"/>
        <v>350.5</v>
      </c>
      <c r="I54">
        <f t="shared" si="1"/>
        <v>217.8</v>
      </c>
    </row>
    <row r="55" spans="1:9" ht="30" x14ac:dyDescent="0.25">
      <c r="A55" s="5" t="s">
        <v>5</v>
      </c>
      <c r="B55" s="5" t="s">
        <v>65</v>
      </c>
      <c r="C55" s="5" t="s">
        <v>239</v>
      </c>
      <c r="D55" s="3">
        <f>VLOOKUP(A55,airports!A:H,7,FALSE)</f>
        <v>41.253051939999999</v>
      </c>
      <c r="E55" s="3">
        <f>VLOOKUP(A55,airports!A:H,8,FALSE)</f>
        <v>-70.060181389999997</v>
      </c>
      <c r="F55" s="3">
        <f>VLOOKUP(B55,airports!A:H,7,FALSE)</f>
        <v>41.066957780000003</v>
      </c>
      <c r="G55" s="3">
        <f>VLOOKUP(B55,airports!A:H,8,FALSE)</f>
        <v>-73.707574440000002</v>
      </c>
      <c r="H55">
        <f t="shared" si="0"/>
        <v>306</v>
      </c>
      <c r="I55">
        <f t="shared" si="1"/>
        <v>190.2</v>
      </c>
    </row>
    <row r="56" spans="1:9" ht="30" x14ac:dyDescent="0.25">
      <c r="A56" s="5" t="s">
        <v>5</v>
      </c>
      <c r="B56" s="5" t="s">
        <v>176</v>
      </c>
      <c r="C56" s="5" t="s">
        <v>240</v>
      </c>
      <c r="D56" s="3">
        <f>VLOOKUP(A56,airports!A:H,7,FALSE)</f>
        <v>41.253051939999999</v>
      </c>
      <c r="E56" s="3">
        <f>VLOOKUP(A56,airports!A:H,8,FALSE)</f>
        <v>-70.060181389999997</v>
      </c>
      <c r="F56" s="3">
        <f>VLOOKUP(B56,airports!A:H,7,FALSE)</f>
        <v>38.944531939999997</v>
      </c>
      <c r="G56" s="3">
        <f>VLOOKUP(B56,airports!A:H,8,FALSE)</f>
        <v>-77.455809720000005</v>
      </c>
      <c r="H56">
        <f t="shared" si="0"/>
        <v>679.1</v>
      </c>
      <c r="I56">
        <f t="shared" si="1"/>
        <v>422</v>
      </c>
    </row>
    <row r="57" spans="1:9" x14ac:dyDescent="0.25">
      <c r="A57" s="5" t="s">
        <v>5</v>
      </c>
      <c r="B57" s="5" t="s">
        <v>69</v>
      </c>
      <c r="C57" s="5" t="s">
        <v>241</v>
      </c>
      <c r="D57" s="3">
        <f>VLOOKUP(A57,airports!A:H,7,FALSE)</f>
        <v>41.253051939999999</v>
      </c>
      <c r="E57" s="3">
        <f>VLOOKUP(A57,airports!A:H,8,FALSE)</f>
        <v>-70.060181389999997</v>
      </c>
      <c r="F57" s="3">
        <f>VLOOKUP(B57,airports!A:H,7,FALSE)</f>
        <v>40.639751109999999</v>
      </c>
      <c r="G57" s="3">
        <f>VLOOKUP(B57,airports!A:H,8,FALSE)</f>
        <v>-73.778925560000005</v>
      </c>
      <c r="H57">
        <f t="shared" si="0"/>
        <v>319.7</v>
      </c>
      <c r="I57">
        <f t="shared" si="1"/>
        <v>198.6</v>
      </c>
    </row>
    <row r="58" spans="1:9" ht="30" x14ac:dyDescent="0.25">
      <c r="A58" s="5" t="s">
        <v>5</v>
      </c>
      <c r="B58" s="5" t="s">
        <v>74</v>
      </c>
      <c r="C58" s="5" t="s">
        <v>242</v>
      </c>
      <c r="D58" s="3">
        <f>VLOOKUP(A58,airports!A:H,7,FALSE)</f>
        <v>41.253051939999999</v>
      </c>
      <c r="E58" s="3">
        <f>VLOOKUP(A58,airports!A:H,8,FALSE)</f>
        <v>-70.060181389999997</v>
      </c>
      <c r="F58" s="3">
        <f>VLOOKUP(B58,airports!A:H,7,FALSE)</f>
        <v>40.777243060000004</v>
      </c>
      <c r="G58" s="3">
        <f>VLOOKUP(B58,airports!A:H,8,FALSE)</f>
        <v>-73.872609170000004</v>
      </c>
      <c r="H58">
        <f t="shared" si="0"/>
        <v>324.2</v>
      </c>
      <c r="I58">
        <f t="shared" si="1"/>
        <v>201.5</v>
      </c>
    </row>
    <row r="59" spans="1:9" ht="30" x14ac:dyDescent="0.25">
      <c r="A59" s="5" t="s">
        <v>5</v>
      </c>
      <c r="B59" s="5" t="s">
        <v>95</v>
      </c>
      <c r="C59" s="5" t="s">
        <v>243</v>
      </c>
      <c r="D59" s="3">
        <f>VLOOKUP(A59,airports!A:H,7,FALSE)</f>
        <v>41.253051939999999</v>
      </c>
      <c r="E59" s="3">
        <f>VLOOKUP(A59,airports!A:H,8,FALSE)</f>
        <v>-70.060181389999997</v>
      </c>
      <c r="F59" s="3">
        <f>VLOOKUP(B59,airports!A:H,7,FALSE)</f>
        <v>41.979595000000003</v>
      </c>
      <c r="G59" s="3">
        <f>VLOOKUP(B59,airports!A:H,8,FALSE)</f>
        <v>-87.904464169999997</v>
      </c>
      <c r="H59">
        <f t="shared" si="0"/>
        <v>1482.9</v>
      </c>
      <c r="I59">
        <f t="shared" si="1"/>
        <v>921.5</v>
      </c>
    </row>
    <row r="60" spans="1:9" ht="30" x14ac:dyDescent="0.25">
      <c r="A60" s="5" t="s">
        <v>5</v>
      </c>
      <c r="B60" s="5" t="s">
        <v>102</v>
      </c>
      <c r="C60" s="5" t="s">
        <v>244</v>
      </c>
      <c r="D60" s="3">
        <f>VLOOKUP(A60,airports!A:H,7,FALSE)</f>
        <v>41.253051939999999</v>
      </c>
      <c r="E60" s="3">
        <f>VLOOKUP(A60,airports!A:H,8,FALSE)</f>
        <v>-70.060181389999997</v>
      </c>
      <c r="F60" s="3">
        <f>VLOOKUP(B60,airports!A:H,7,FALSE)</f>
        <v>39.871952780000001</v>
      </c>
      <c r="G60" s="3">
        <f>VLOOKUP(B60,airports!A:H,8,FALSE)</f>
        <v>-75.241140830000006</v>
      </c>
      <c r="H60">
        <f t="shared" si="0"/>
        <v>463.7</v>
      </c>
      <c r="I60">
        <f t="shared" si="1"/>
        <v>288.2</v>
      </c>
    </row>
    <row r="61" spans="1:9" ht="30" x14ac:dyDescent="0.25">
      <c r="A61" s="5" t="s">
        <v>245</v>
      </c>
      <c r="B61" s="5" t="s">
        <v>49</v>
      </c>
      <c r="C61" s="5" t="s">
        <v>246</v>
      </c>
      <c r="D61" s="3">
        <f>VLOOKUP(A61,airports!A:H,7,FALSE)</f>
        <v>31.611288330000001</v>
      </c>
      <c r="E61" s="3">
        <f>VLOOKUP(A61,airports!A:H,8,FALSE)</f>
        <v>-97.230519169999994</v>
      </c>
      <c r="F61" s="3">
        <f>VLOOKUP(B61,airports!A:H,7,FALSE)</f>
        <v>32.895950560000003</v>
      </c>
      <c r="G61" s="3">
        <f>VLOOKUP(B61,airports!A:H,8,FALSE)</f>
        <v>-97.037199999999999</v>
      </c>
      <c r="H61">
        <f t="shared" si="0"/>
        <v>144</v>
      </c>
      <c r="I61">
        <f t="shared" si="1"/>
        <v>89.5</v>
      </c>
    </row>
    <row r="62" spans="1:9" ht="30" x14ac:dyDescent="0.25">
      <c r="A62" s="5" t="s">
        <v>247</v>
      </c>
      <c r="B62" s="5" t="s">
        <v>47</v>
      </c>
      <c r="C62" s="5" t="s">
        <v>248</v>
      </c>
      <c r="D62" s="3">
        <f>VLOOKUP(A62,airports!A:H,7,FALSE)</f>
        <v>40.978115279999997</v>
      </c>
      <c r="E62" s="3">
        <f>VLOOKUP(A62,airports!A:H,8,FALSE)</f>
        <v>-124.1086189</v>
      </c>
      <c r="F62" s="3">
        <f>VLOOKUP(B62,airports!A:H,7,FALSE)</f>
        <v>39.858408060000002</v>
      </c>
      <c r="G62" s="3">
        <f>VLOOKUP(B62,airports!A:H,8,FALSE)</f>
        <v>-104.6670019</v>
      </c>
      <c r="H62">
        <f t="shared" si="0"/>
        <v>1647.1</v>
      </c>
      <c r="I62">
        <f t="shared" si="1"/>
        <v>1023.6</v>
      </c>
    </row>
    <row r="63" spans="1:9" ht="30" x14ac:dyDescent="0.25">
      <c r="A63" s="5" t="s">
        <v>247</v>
      </c>
      <c r="B63" s="5" t="s">
        <v>73</v>
      </c>
      <c r="C63" s="5" t="s">
        <v>249</v>
      </c>
      <c r="D63" s="3">
        <f>VLOOKUP(A63,airports!A:H,7,FALSE)</f>
        <v>40.978115279999997</v>
      </c>
      <c r="E63" s="3">
        <f>VLOOKUP(A63,airports!A:H,8,FALSE)</f>
        <v>-124.1086189</v>
      </c>
      <c r="F63" s="3">
        <f>VLOOKUP(B63,airports!A:H,7,FALSE)</f>
        <v>33.942536109999999</v>
      </c>
      <c r="G63" s="3">
        <f>VLOOKUP(B63,airports!A:H,8,FALSE)</f>
        <v>-118.4080744</v>
      </c>
      <c r="H63">
        <f t="shared" si="0"/>
        <v>929.6</v>
      </c>
      <c r="I63">
        <f t="shared" si="1"/>
        <v>577.70000000000005</v>
      </c>
    </row>
    <row r="64" spans="1:9" ht="30" x14ac:dyDescent="0.25">
      <c r="A64" s="5" t="s">
        <v>247</v>
      </c>
      <c r="B64" s="5" t="s">
        <v>104</v>
      </c>
      <c r="C64" s="5" t="s">
        <v>250</v>
      </c>
      <c r="D64" s="3">
        <f>VLOOKUP(A64,airports!A:H,7,FALSE)</f>
        <v>40.978115279999997</v>
      </c>
      <c r="E64" s="3">
        <f>VLOOKUP(A64,airports!A:H,8,FALSE)</f>
        <v>-124.1086189</v>
      </c>
      <c r="F64" s="3">
        <f>VLOOKUP(B64,airports!A:H,7,FALSE)</f>
        <v>33.434166670000003</v>
      </c>
      <c r="G64" s="3">
        <f>VLOOKUP(B64,airports!A:H,8,FALSE)</f>
        <v>-112.00805560000001</v>
      </c>
      <c r="H64">
        <f t="shared" si="0"/>
        <v>1358.7</v>
      </c>
      <c r="I64">
        <f t="shared" si="1"/>
        <v>844.3</v>
      </c>
    </row>
    <row r="65" spans="1:9" ht="30" x14ac:dyDescent="0.25">
      <c r="A65" s="5" t="s">
        <v>247</v>
      </c>
      <c r="B65" s="5" t="s">
        <v>130</v>
      </c>
      <c r="C65" s="5" t="s">
        <v>251</v>
      </c>
      <c r="D65" s="3">
        <f>VLOOKUP(A65,airports!A:H,7,FALSE)</f>
        <v>40.978115279999997</v>
      </c>
      <c r="E65" s="3">
        <f>VLOOKUP(A65,airports!A:H,8,FALSE)</f>
        <v>-124.1086189</v>
      </c>
      <c r="F65" s="3">
        <f>VLOOKUP(B65,airports!A:H,7,FALSE)</f>
        <v>37.619001939999997</v>
      </c>
      <c r="G65" s="3">
        <f>VLOOKUP(B65,airports!A:H,8,FALSE)</f>
        <v>-122.37484329999999</v>
      </c>
      <c r="H65">
        <f t="shared" si="0"/>
        <v>402.2</v>
      </c>
      <c r="I65">
        <f t="shared" si="1"/>
        <v>249.9</v>
      </c>
    </row>
    <row r="66" spans="1:9" x14ac:dyDescent="0.25">
      <c r="A66" s="5" t="s">
        <v>252</v>
      </c>
      <c r="B66" s="5" t="s">
        <v>10</v>
      </c>
      <c r="C66" s="5" t="s">
        <v>253</v>
      </c>
      <c r="D66" s="3">
        <f>VLOOKUP(A66,airports!A:H,7,FALSE)</f>
        <v>39.457583329999999</v>
      </c>
      <c r="E66" s="3">
        <f>VLOOKUP(A66,airports!A:H,8,FALSE)</f>
        <v>-74.577166669999997</v>
      </c>
      <c r="F66" s="3">
        <f>VLOOKUP(B66,airports!A:H,7,FALSE)</f>
        <v>33.640444440000003</v>
      </c>
      <c r="G66" s="3">
        <f>VLOOKUP(B66,airports!A:H,8,FALSE)</f>
        <v>-84.42694444</v>
      </c>
      <c r="H66">
        <f t="shared" si="0"/>
        <v>1090.9000000000001</v>
      </c>
      <c r="I66">
        <f t="shared" si="1"/>
        <v>677.9</v>
      </c>
    </row>
    <row r="67" spans="1:9" ht="30" x14ac:dyDescent="0.25">
      <c r="A67" s="5" t="s">
        <v>252</v>
      </c>
      <c r="B67" s="5" t="s">
        <v>24</v>
      </c>
      <c r="C67" s="5" t="s">
        <v>254</v>
      </c>
      <c r="D67" s="3">
        <f>VLOOKUP(A67,airports!A:H,7,FALSE)</f>
        <v>39.457583329999999</v>
      </c>
      <c r="E67" s="3">
        <f>VLOOKUP(A67,airports!A:H,8,FALSE)</f>
        <v>-74.577166669999997</v>
      </c>
      <c r="F67" s="3">
        <f>VLOOKUP(B67,airports!A:H,7,FALSE)</f>
        <v>42.364347500000001</v>
      </c>
      <c r="G67" s="3">
        <f>VLOOKUP(B67,airports!A:H,8,FALSE)</f>
        <v>-71.005179170000005</v>
      </c>
      <c r="H67">
        <f t="shared" si="0"/>
        <v>441</v>
      </c>
      <c r="I67">
        <f t="shared" si="1"/>
        <v>274.10000000000002</v>
      </c>
    </row>
    <row r="68" spans="1:9" x14ac:dyDescent="0.25">
      <c r="A68" s="5" t="s">
        <v>252</v>
      </c>
      <c r="B68" s="5" t="s">
        <v>57</v>
      </c>
      <c r="C68" s="5" t="s">
        <v>255</v>
      </c>
      <c r="D68" s="3">
        <f>VLOOKUP(A68,airports!A:H,7,FALSE)</f>
        <v>39.457583329999999</v>
      </c>
      <c r="E68" s="3">
        <f>VLOOKUP(A68,airports!A:H,8,FALSE)</f>
        <v>-74.577166669999997</v>
      </c>
      <c r="F68" s="3">
        <f>VLOOKUP(B68,airports!A:H,7,FALSE)</f>
        <v>26.072583330000001</v>
      </c>
      <c r="G68" s="3">
        <f>VLOOKUP(B68,airports!A:H,8,FALSE)</f>
        <v>-80.152749999999997</v>
      </c>
      <c r="H68">
        <f t="shared" ref="H68:H131" si="2">ROUND(ACOS(COS(RADIANS(90-D68)) * COS(RADIANS(90-F68)) + SIN(RADIANS(90-D68)) * SIN(RADIANS(90-F68)) * COS(RADIANS(E68-G68))) * 6371,1)</f>
        <v>1576.1</v>
      </c>
      <c r="I68">
        <f t="shared" ref="I68:I131" si="3">ROUND(ACOS(COS(RADIANS(90-D68)) * COS(RADIANS(90-F68)) + SIN(RADIANS(90-D68)) * SIN(RADIANS(90-F68)) * COS(RADIANS(E68-G68))) * 3959,1)</f>
        <v>979.4</v>
      </c>
    </row>
    <row r="69" spans="1:9" ht="30" x14ac:dyDescent="0.25">
      <c r="A69" s="5" t="s">
        <v>252</v>
      </c>
      <c r="B69" s="5" t="s">
        <v>82</v>
      </c>
      <c r="C69" s="5" t="s">
        <v>256</v>
      </c>
      <c r="D69" s="3">
        <f>VLOOKUP(A69,airports!A:H,7,FALSE)</f>
        <v>39.457583329999999</v>
      </c>
      <c r="E69" s="3">
        <f>VLOOKUP(A69,airports!A:H,8,FALSE)</f>
        <v>-74.577166669999997</v>
      </c>
      <c r="F69" s="3">
        <f>VLOOKUP(B69,airports!A:H,7,FALSE)</f>
        <v>28.42888889</v>
      </c>
      <c r="G69" s="3">
        <f>VLOOKUP(B69,airports!A:H,8,FALSE)</f>
        <v>-81.316027779999999</v>
      </c>
      <c r="H69">
        <f t="shared" si="2"/>
        <v>1373.8</v>
      </c>
      <c r="I69">
        <f t="shared" si="3"/>
        <v>853.7</v>
      </c>
    </row>
    <row r="70" spans="1:9" ht="30" x14ac:dyDescent="0.25">
      <c r="A70" s="5" t="s">
        <v>252</v>
      </c>
      <c r="B70" s="5" t="s">
        <v>84</v>
      </c>
      <c r="C70" s="5" t="s">
        <v>257</v>
      </c>
      <c r="D70" s="3">
        <f>VLOOKUP(A70,airports!A:H,7,FALSE)</f>
        <v>39.457583329999999</v>
      </c>
      <c r="E70" s="3">
        <f>VLOOKUP(A70,airports!A:H,8,FALSE)</f>
        <v>-74.577166669999997</v>
      </c>
      <c r="F70" s="3">
        <f>VLOOKUP(B70,airports!A:H,7,FALSE)</f>
        <v>25.79325</v>
      </c>
      <c r="G70" s="3">
        <f>VLOOKUP(B70,airports!A:H,8,FALSE)</f>
        <v>-80.290555560000001</v>
      </c>
      <c r="H70">
        <f t="shared" si="2"/>
        <v>1609.9</v>
      </c>
      <c r="I70">
        <f t="shared" si="3"/>
        <v>1000.4</v>
      </c>
    </row>
    <row r="71" spans="1:9" ht="30" x14ac:dyDescent="0.25">
      <c r="A71" s="5" t="s">
        <v>252</v>
      </c>
      <c r="B71" s="5" t="s">
        <v>89</v>
      </c>
      <c r="C71" s="5" t="s">
        <v>258</v>
      </c>
      <c r="D71" s="3">
        <f>VLOOKUP(A71,airports!A:H,7,FALSE)</f>
        <v>39.457583329999999</v>
      </c>
      <c r="E71" s="3">
        <f>VLOOKUP(A71,airports!A:H,8,FALSE)</f>
        <v>-74.577166669999997</v>
      </c>
      <c r="F71" s="3">
        <f>VLOOKUP(B71,airports!A:H,7,FALSE)</f>
        <v>29.993388889999999</v>
      </c>
      <c r="G71" s="3">
        <f>VLOOKUP(B71,airports!A:H,8,FALSE)</f>
        <v>-90.258027780000006</v>
      </c>
      <c r="H71">
        <f t="shared" si="2"/>
        <v>1773.6</v>
      </c>
      <c r="I71">
        <f t="shared" si="3"/>
        <v>1102.0999999999999</v>
      </c>
    </row>
    <row r="72" spans="1:9" ht="30" x14ac:dyDescent="0.25">
      <c r="A72" s="5" t="s">
        <v>252</v>
      </c>
      <c r="B72" s="5" t="s">
        <v>182</v>
      </c>
      <c r="C72" s="5" t="s">
        <v>259</v>
      </c>
      <c r="D72" s="3">
        <f>VLOOKUP(A72,airports!A:H,7,FALSE)</f>
        <v>39.457583329999999</v>
      </c>
      <c r="E72" s="3">
        <f>VLOOKUP(A72,airports!A:H,8,FALSE)</f>
        <v>-74.577166669999997</v>
      </c>
      <c r="F72" s="3">
        <f>VLOOKUP(B72,airports!A:H,7,FALSE)</f>
        <v>33.679749999999999</v>
      </c>
      <c r="G72" s="3">
        <f>VLOOKUP(B72,airports!A:H,8,FALSE)</f>
        <v>-78.928333330000001</v>
      </c>
      <c r="H72">
        <f t="shared" si="2"/>
        <v>750.6</v>
      </c>
      <c r="I72">
        <f t="shared" si="3"/>
        <v>466.4</v>
      </c>
    </row>
    <row r="73" spans="1:9" x14ac:dyDescent="0.25">
      <c r="A73" s="5" t="s">
        <v>252</v>
      </c>
      <c r="B73" s="5" t="s">
        <v>99</v>
      </c>
      <c r="C73" s="5" t="s">
        <v>260</v>
      </c>
      <c r="D73" s="3">
        <f>VLOOKUP(A73,airports!A:H,7,FALSE)</f>
        <v>39.457583329999999</v>
      </c>
      <c r="E73" s="3">
        <f>VLOOKUP(A73,airports!A:H,8,FALSE)</f>
        <v>-74.577166669999997</v>
      </c>
      <c r="F73" s="3">
        <f>VLOOKUP(B73,airports!A:H,7,FALSE)</f>
        <v>26.683161940000002</v>
      </c>
      <c r="G73" s="3">
        <f>VLOOKUP(B73,airports!A:H,8,FALSE)</f>
        <v>-80.095594169999998</v>
      </c>
      <c r="H73">
        <f t="shared" si="2"/>
        <v>1509.8</v>
      </c>
      <c r="I73">
        <f t="shared" si="3"/>
        <v>938.2</v>
      </c>
    </row>
    <row r="74" spans="1:9" ht="30" x14ac:dyDescent="0.25">
      <c r="A74" s="5" t="s">
        <v>252</v>
      </c>
      <c r="B74" s="5" t="s">
        <v>123</v>
      </c>
      <c r="C74" s="5" t="s">
        <v>261</v>
      </c>
      <c r="D74" s="3">
        <f>VLOOKUP(A74,airports!A:H,7,FALSE)</f>
        <v>39.457583329999999</v>
      </c>
      <c r="E74" s="3">
        <f>VLOOKUP(A74,airports!A:H,8,FALSE)</f>
        <v>-74.577166669999997</v>
      </c>
      <c r="F74" s="3">
        <f>VLOOKUP(B74,airports!A:H,7,FALSE)</f>
        <v>26.53616667</v>
      </c>
      <c r="G74" s="3">
        <f>VLOOKUP(B74,airports!A:H,8,FALSE)</f>
        <v>-81.755166669999994</v>
      </c>
      <c r="H74">
        <f t="shared" si="2"/>
        <v>1583.7</v>
      </c>
      <c r="I74">
        <f t="shared" si="3"/>
        <v>984.1</v>
      </c>
    </row>
    <row r="75" spans="1:9" x14ac:dyDescent="0.25">
      <c r="A75" s="5" t="s">
        <v>252</v>
      </c>
      <c r="B75" s="5" t="s">
        <v>134</v>
      </c>
      <c r="C75" s="5" t="s">
        <v>262</v>
      </c>
      <c r="D75" s="3">
        <f>VLOOKUP(A75,airports!A:H,7,FALSE)</f>
        <v>39.457583329999999</v>
      </c>
      <c r="E75" s="3">
        <f>VLOOKUP(A75,airports!A:H,8,FALSE)</f>
        <v>-74.577166669999997</v>
      </c>
      <c r="F75" s="3">
        <f>VLOOKUP(B75,airports!A:H,7,FALSE)</f>
        <v>18.43941667</v>
      </c>
      <c r="G75" s="3">
        <f>VLOOKUP(B75,airports!A:H,8,FALSE)</f>
        <v>-66.001833329999997</v>
      </c>
      <c r="H75">
        <f t="shared" si="2"/>
        <v>2478.5</v>
      </c>
      <c r="I75">
        <f t="shared" si="3"/>
        <v>1540.2</v>
      </c>
    </row>
    <row r="76" spans="1:9" ht="30" x14ac:dyDescent="0.25">
      <c r="A76" s="5" t="s">
        <v>252</v>
      </c>
      <c r="B76" s="5" t="s">
        <v>145</v>
      </c>
      <c r="C76" s="5" t="s">
        <v>263</v>
      </c>
      <c r="D76" s="3">
        <f>VLOOKUP(A76,airports!A:H,7,FALSE)</f>
        <v>39.457583329999999</v>
      </c>
      <c r="E76" s="3">
        <f>VLOOKUP(A76,airports!A:H,8,FALSE)</f>
        <v>-74.577166669999997</v>
      </c>
      <c r="F76" s="3">
        <f>VLOOKUP(B76,airports!A:H,7,FALSE)</f>
        <v>27.97547222</v>
      </c>
      <c r="G76" s="3">
        <f>VLOOKUP(B76,airports!A:H,8,FALSE)</f>
        <v>-82.533249999999995</v>
      </c>
      <c r="H76">
        <f t="shared" si="2"/>
        <v>1472.1</v>
      </c>
      <c r="I76">
        <f t="shared" si="3"/>
        <v>914.8</v>
      </c>
    </row>
    <row r="77" spans="1:9" ht="30" x14ac:dyDescent="0.25">
      <c r="A77" s="5" t="s">
        <v>264</v>
      </c>
      <c r="B77" s="5" t="s">
        <v>265</v>
      </c>
      <c r="C77" s="5" t="s">
        <v>266</v>
      </c>
      <c r="D77" s="3">
        <f>VLOOKUP(A77,airports!A:H,7,FALSE)</f>
        <v>51.877963889999997</v>
      </c>
      <c r="E77" s="3">
        <f>VLOOKUP(A77,airports!A:H,8,FALSE)</f>
        <v>-176.64603059999999</v>
      </c>
      <c r="F77" s="3">
        <f>VLOOKUP(B77,airports!A:H,7,FALSE)</f>
        <v>61.174320280000003</v>
      </c>
      <c r="G77" s="3">
        <f>VLOOKUP(B77,airports!A:H,8,FALSE)</f>
        <v>-149.99618559999999</v>
      </c>
      <c r="H77">
        <f t="shared" si="2"/>
        <v>1913.3</v>
      </c>
      <c r="I77">
        <f t="shared" si="3"/>
        <v>1188.9000000000001</v>
      </c>
    </row>
    <row r="78" spans="1:9" ht="30" x14ac:dyDescent="0.25">
      <c r="A78" s="5" t="s">
        <v>264</v>
      </c>
      <c r="B78" s="5" t="s">
        <v>267</v>
      </c>
      <c r="C78" s="5" t="s">
        <v>268</v>
      </c>
      <c r="D78" s="3">
        <f>VLOOKUP(A78,airports!A:H,7,FALSE)</f>
        <v>51.877963889999997</v>
      </c>
      <c r="E78" s="3">
        <f>VLOOKUP(A78,airports!A:H,8,FALSE)</f>
        <v>-176.64603059999999</v>
      </c>
      <c r="F78" s="3">
        <f>VLOOKUP(B78,airports!A:H,7,FALSE)</f>
        <v>55.206099999999999</v>
      </c>
      <c r="G78" s="3">
        <f>VLOOKUP(B78,airports!A:H,8,FALSE)</f>
        <v>-162.72500600000001</v>
      </c>
      <c r="H78">
        <f t="shared" si="2"/>
        <v>989.4</v>
      </c>
      <c r="I78">
        <f t="shared" si="3"/>
        <v>614.79999999999995</v>
      </c>
    </row>
    <row r="79" spans="1:9" ht="30" x14ac:dyDescent="0.25">
      <c r="A79" s="5" t="s">
        <v>269</v>
      </c>
      <c r="B79" s="5" t="s">
        <v>265</v>
      </c>
      <c r="C79" s="5" t="s">
        <v>270</v>
      </c>
      <c r="D79" s="3">
        <f>VLOOKUP(A79,airports!A:H,7,FALSE)</f>
        <v>57.749967779999999</v>
      </c>
      <c r="E79" s="3">
        <f>VLOOKUP(A79,airports!A:H,8,FALSE)</f>
        <v>-152.49385530000001</v>
      </c>
      <c r="F79" s="3">
        <f>VLOOKUP(B79,airports!A:H,7,FALSE)</f>
        <v>61.174320280000003</v>
      </c>
      <c r="G79" s="3">
        <f>VLOOKUP(B79,airports!A:H,8,FALSE)</f>
        <v>-149.99618559999999</v>
      </c>
      <c r="H79">
        <f t="shared" si="2"/>
        <v>406</v>
      </c>
      <c r="I79">
        <f t="shared" si="3"/>
        <v>252.3</v>
      </c>
    </row>
    <row r="80" spans="1:9" x14ac:dyDescent="0.25">
      <c r="A80" s="5" t="s">
        <v>271</v>
      </c>
      <c r="B80" s="5" t="s">
        <v>10</v>
      </c>
      <c r="C80" s="5" t="s">
        <v>272</v>
      </c>
      <c r="D80" s="3">
        <f>VLOOKUP(A80,airports!A:H,7,FALSE)</f>
        <v>31.327371670000002</v>
      </c>
      <c r="E80" s="3">
        <f>VLOOKUP(A80,airports!A:H,8,FALSE)</f>
        <v>-92.548556110000007</v>
      </c>
      <c r="F80" s="3">
        <f>VLOOKUP(B80,airports!A:H,7,FALSE)</f>
        <v>33.640444440000003</v>
      </c>
      <c r="G80" s="3">
        <f>VLOOKUP(B80,airports!A:H,8,FALSE)</f>
        <v>-84.42694444</v>
      </c>
      <c r="H80">
        <f t="shared" si="2"/>
        <v>803.8</v>
      </c>
      <c r="I80">
        <f t="shared" si="3"/>
        <v>499.5</v>
      </c>
    </row>
    <row r="81" spans="1:9" x14ac:dyDescent="0.25">
      <c r="A81" s="5" t="s">
        <v>271</v>
      </c>
      <c r="B81" s="5" t="s">
        <v>40</v>
      </c>
      <c r="C81" s="5" t="s">
        <v>273</v>
      </c>
      <c r="D81" s="3">
        <f>VLOOKUP(A81,airports!A:H,7,FALSE)</f>
        <v>31.327371670000002</v>
      </c>
      <c r="E81" s="3">
        <f>VLOOKUP(A81,airports!A:H,8,FALSE)</f>
        <v>-92.548556110000007</v>
      </c>
      <c r="F81" s="3">
        <f>VLOOKUP(B81,airports!A:H,7,FALSE)</f>
        <v>35.214011110000001</v>
      </c>
      <c r="G81" s="3">
        <f>VLOOKUP(B81,airports!A:H,8,FALSE)</f>
        <v>-80.94312583</v>
      </c>
      <c r="H81">
        <f t="shared" si="2"/>
        <v>1161.3</v>
      </c>
      <c r="I81">
        <f t="shared" si="3"/>
        <v>721.7</v>
      </c>
    </row>
    <row r="82" spans="1:9" ht="30" x14ac:dyDescent="0.25">
      <c r="A82" s="5" t="s">
        <v>271</v>
      </c>
      <c r="B82" s="5" t="s">
        <v>49</v>
      </c>
      <c r="C82" s="5" t="s">
        <v>274</v>
      </c>
      <c r="D82" s="3">
        <f>VLOOKUP(A82,airports!A:H,7,FALSE)</f>
        <v>31.327371670000002</v>
      </c>
      <c r="E82" s="3">
        <f>VLOOKUP(A82,airports!A:H,8,FALSE)</f>
        <v>-92.548556110000007</v>
      </c>
      <c r="F82" s="3">
        <f>VLOOKUP(B82,airports!A:H,7,FALSE)</f>
        <v>32.895950560000003</v>
      </c>
      <c r="G82" s="3">
        <f>VLOOKUP(B82,airports!A:H,8,FALSE)</f>
        <v>-97.037199999999999</v>
      </c>
      <c r="H82">
        <f t="shared" si="2"/>
        <v>457.3</v>
      </c>
      <c r="I82">
        <f t="shared" si="3"/>
        <v>284.2</v>
      </c>
    </row>
    <row r="83" spans="1:9" x14ac:dyDescent="0.25">
      <c r="A83" s="5" t="s">
        <v>271</v>
      </c>
      <c r="B83" s="5" t="s">
        <v>67</v>
      </c>
      <c r="C83" s="5" t="s">
        <v>275</v>
      </c>
      <c r="D83" s="3">
        <f>VLOOKUP(A83,airports!A:H,7,FALSE)</f>
        <v>31.327371670000002</v>
      </c>
      <c r="E83" s="3">
        <f>VLOOKUP(A83,airports!A:H,8,FALSE)</f>
        <v>-92.548556110000007</v>
      </c>
      <c r="F83" s="3">
        <f>VLOOKUP(B83,airports!A:H,7,FALSE)</f>
        <v>29.980472219999999</v>
      </c>
      <c r="G83" s="3">
        <f>VLOOKUP(B83,airports!A:H,8,FALSE)</f>
        <v>-95.339722219999999</v>
      </c>
      <c r="H83">
        <f t="shared" si="2"/>
        <v>306.10000000000002</v>
      </c>
      <c r="I83">
        <f t="shared" si="3"/>
        <v>190.2</v>
      </c>
    </row>
    <row r="84" spans="1:9" ht="30" x14ac:dyDescent="0.25">
      <c r="A84" s="5" t="s">
        <v>276</v>
      </c>
      <c r="B84" s="5" t="s">
        <v>10</v>
      </c>
      <c r="C84" s="5" t="s">
        <v>277</v>
      </c>
      <c r="D84" s="3">
        <f>VLOOKUP(A84,airports!A:H,7,FALSE)</f>
        <v>33.369954999999997</v>
      </c>
      <c r="E84" s="3">
        <f>VLOOKUP(A84,airports!A:H,8,FALSE)</f>
        <v>-81.964496109999999</v>
      </c>
      <c r="F84" s="3">
        <f>VLOOKUP(B84,airports!A:H,7,FALSE)</f>
        <v>33.640444440000003</v>
      </c>
      <c r="G84" s="3">
        <f>VLOOKUP(B84,airports!A:H,8,FALSE)</f>
        <v>-84.42694444</v>
      </c>
      <c r="H84">
        <f t="shared" si="2"/>
        <v>230.3</v>
      </c>
      <c r="I84">
        <f t="shared" si="3"/>
        <v>143.1</v>
      </c>
    </row>
    <row r="85" spans="1:9" ht="30" x14ac:dyDescent="0.25">
      <c r="A85" s="5" t="s">
        <v>276</v>
      </c>
      <c r="B85" s="5" t="s">
        <v>13</v>
      </c>
      <c r="C85" s="5" t="s">
        <v>278</v>
      </c>
      <c r="D85" s="3">
        <f>VLOOKUP(A85,airports!A:H,7,FALSE)</f>
        <v>33.369954999999997</v>
      </c>
      <c r="E85" s="3">
        <f>VLOOKUP(A85,airports!A:H,8,FALSE)</f>
        <v>-81.964496109999999</v>
      </c>
      <c r="F85" s="3">
        <f>VLOOKUP(B85,airports!A:H,7,FALSE)</f>
        <v>30.194532779999999</v>
      </c>
      <c r="G85" s="3">
        <f>VLOOKUP(B85,airports!A:H,8,FALSE)</f>
        <v>-97.669871939999993</v>
      </c>
      <c r="H85">
        <f t="shared" si="2"/>
        <v>1524.3</v>
      </c>
      <c r="I85">
        <f t="shared" si="3"/>
        <v>947.2</v>
      </c>
    </row>
    <row r="86" spans="1:9" ht="30" x14ac:dyDescent="0.25">
      <c r="A86" s="5" t="s">
        <v>276</v>
      </c>
      <c r="B86" s="5" t="s">
        <v>24</v>
      </c>
      <c r="C86" s="5" t="s">
        <v>279</v>
      </c>
      <c r="D86" s="3">
        <f>VLOOKUP(A86,airports!A:H,7,FALSE)</f>
        <v>33.369954999999997</v>
      </c>
      <c r="E86" s="3">
        <f>VLOOKUP(A86,airports!A:H,8,FALSE)</f>
        <v>-81.964496109999999</v>
      </c>
      <c r="F86" s="3">
        <f>VLOOKUP(B86,airports!A:H,7,FALSE)</f>
        <v>42.364347500000001</v>
      </c>
      <c r="G86" s="3">
        <f>VLOOKUP(B86,airports!A:H,8,FALSE)</f>
        <v>-71.005179170000005</v>
      </c>
      <c r="H86">
        <f t="shared" si="2"/>
        <v>1385.4</v>
      </c>
      <c r="I86">
        <f t="shared" si="3"/>
        <v>860.9</v>
      </c>
    </row>
    <row r="87" spans="1:9" x14ac:dyDescent="0.25">
      <c r="A87" s="5" t="s">
        <v>276</v>
      </c>
      <c r="B87" s="5" t="s">
        <v>40</v>
      </c>
      <c r="C87" s="5" t="s">
        <v>280</v>
      </c>
      <c r="D87" s="3">
        <f>VLOOKUP(A87,airports!A:H,7,FALSE)</f>
        <v>33.369954999999997</v>
      </c>
      <c r="E87" s="3">
        <f>VLOOKUP(A87,airports!A:H,8,FALSE)</f>
        <v>-81.964496109999999</v>
      </c>
      <c r="F87" s="3">
        <f>VLOOKUP(B87,airports!A:H,7,FALSE)</f>
        <v>35.214011110000001</v>
      </c>
      <c r="G87" s="3">
        <f>VLOOKUP(B87,airports!A:H,8,FALSE)</f>
        <v>-80.94312583</v>
      </c>
      <c r="H87">
        <f t="shared" si="2"/>
        <v>225.5</v>
      </c>
      <c r="I87">
        <f t="shared" si="3"/>
        <v>140.1</v>
      </c>
    </row>
    <row r="88" spans="1:9" ht="30" x14ac:dyDescent="0.25">
      <c r="A88" s="5" t="s">
        <v>276</v>
      </c>
      <c r="B88" s="5" t="s">
        <v>45</v>
      </c>
      <c r="C88" s="5" t="s">
        <v>281</v>
      </c>
      <c r="D88" s="3">
        <f>VLOOKUP(A88,airports!A:H,7,FALSE)</f>
        <v>33.369954999999997</v>
      </c>
      <c r="E88" s="3">
        <f>VLOOKUP(A88,airports!A:H,8,FALSE)</f>
        <v>-81.964496109999999</v>
      </c>
      <c r="F88" s="3">
        <f>VLOOKUP(B88,airports!A:H,7,FALSE)</f>
        <v>38.852083329999999</v>
      </c>
      <c r="G88" s="3">
        <f>VLOOKUP(B88,airports!A:H,8,FALSE)</f>
        <v>-77.037722220000006</v>
      </c>
      <c r="H88">
        <f t="shared" si="2"/>
        <v>753</v>
      </c>
      <c r="I88">
        <f t="shared" si="3"/>
        <v>467.9</v>
      </c>
    </row>
    <row r="89" spans="1:9" ht="30" x14ac:dyDescent="0.25">
      <c r="A89" s="5" t="s">
        <v>276</v>
      </c>
      <c r="B89" s="5" t="s">
        <v>49</v>
      </c>
      <c r="C89" s="5" t="s">
        <v>282</v>
      </c>
      <c r="D89" s="3">
        <f>VLOOKUP(A89,airports!A:H,7,FALSE)</f>
        <v>33.369954999999997</v>
      </c>
      <c r="E89" s="3">
        <f>VLOOKUP(A89,airports!A:H,8,FALSE)</f>
        <v>-81.964496109999999</v>
      </c>
      <c r="F89" s="3">
        <f>VLOOKUP(B89,airports!A:H,7,FALSE)</f>
        <v>32.895950560000003</v>
      </c>
      <c r="G89" s="3">
        <f>VLOOKUP(B89,airports!A:H,8,FALSE)</f>
        <v>-97.037199999999999</v>
      </c>
      <c r="H89">
        <f t="shared" si="2"/>
        <v>1403.3</v>
      </c>
      <c r="I89">
        <f t="shared" si="3"/>
        <v>872</v>
      </c>
    </row>
    <row r="90" spans="1:9" ht="30" x14ac:dyDescent="0.25">
      <c r="A90" s="5" t="s">
        <v>276</v>
      </c>
      <c r="B90" s="5" t="s">
        <v>74</v>
      </c>
      <c r="C90" s="5" t="s">
        <v>283</v>
      </c>
      <c r="D90" s="3">
        <f>VLOOKUP(A90,airports!A:H,7,FALSE)</f>
        <v>33.369954999999997</v>
      </c>
      <c r="E90" s="3">
        <f>VLOOKUP(A90,airports!A:H,8,FALSE)</f>
        <v>-81.964496109999999</v>
      </c>
      <c r="F90" s="3">
        <f>VLOOKUP(B90,airports!A:H,7,FALSE)</f>
        <v>40.777243060000004</v>
      </c>
      <c r="G90" s="3">
        <f>VLOOKUP(B90,airports!A:H,8,FALSE)</f>
        <v>-73.872609170000004</v>
      </c>
      <c r="H90">
        <f t="shared" si="2"/>
        <v>1091.5999999999999</v>
      </c>
      <c r="I90">
        <f t="shared" si="3"/>
        <v>678.3</v>
      </c>
    </row>
    <row r="91" spans="1:9" ht="30" x14ac:dyDescent="0.25">
      <c r="A91" s="5" t="s">
        <v>276</v>
      </c>
      <c r="B91" s="5" t="s">
        <v>84</v>
      </c>
      <c r="C91" s="5" t="s">
        <v>284</v>
      </c>
      <c r="D91" s="3">
        <f>VLOOKUP(A91,airports!A:H,7,FALSE)</f>
        <v>33.369954999999997</v>
      </c>
      <c r="E91" s="3">
        <f>VLOOKUP(A91,airports!A:H,8,FALSE)</f>
        <v>-81.964496109999999</v>
      </c>
      <c r="F91" s="3">
        <f>VLOOKUP(B91,airports!A:H,7,FALSE)</f>
        <v>25.79325</v>
      </c>
      <c r="G91" s="3">
        <f>VLOOKUP(B91,airports!A:H,8,FALSE)</f>
        <v>-80.290555560000001</v>
      </c>
      <c r="H91">
        <f t="shared" si="2"/>
        <v>857.9</v>
      </c>
      <c r="I91">
        <f t="shared" si="3"/>
        <v>533.1</v>
      </c>
    </row>
    <row r="92" spans="1:9" ht="30" x14ac:dyDescent="0.25">
      <c r="A92" s="5" t="s">
        <v>276</v>
      </c>
      <c r="B92" s="5" t="s">
        <v>95</v>
      </c>
      <c r="C92" s="5" t="s">
        <v>285</v>
      </c>
      <c r="D92" s="3">
        <f>VLOOKUP(A92,airports!A:H,7,FALSE)</f>
        <v>33.369954999999997</v>
      </c>
      <c r="E92" s="3">
        <f>VLOOKUP(A92,airports!A:H,8,FALSE)</f>
        <v>-81.964496109999999</v>
      </c>
      <c r="F92" s="3">
        <f>VLOOKUP(B92,airports!A:H,7,FALSE)</f>
        <v>41.979595000000003</v>
      </c>
      <c r="G92" s="3">
        <f>VLOOKUP(B92,airports!A:H,8,FALSE)</f>
        <v>-87.904464169999997</v>
      </c>
      <c r="H92">
        <f t="shared" si="2"/>
        <v>1090.0999999999999</v>
      </c>
      <c r="I92">
        <f t="shared" si="3"/>
        <v>677.4</v>
      </c>
    </row>
    <row r="93" spans="1:9" ht="30" x14ac:dyDescent="0.25">
      <c r="A93" s="5" t="s">
        <v>276</v>
      </c>
      <c r="B93" s="5" t="s">
        <v>102</v>
      </c>
      <c r="C93" s="5" t="s">
        <v>286</v>
      </c>
      <c r="D93" s="3">
        <f>VLOOKUP(A93,airports!A:H,7,FALSE)</f>
        <v>33.369954999999997</v>
      </c>
      <c r="E93" s="3">
        <f>VLOOKUP(A93,airports!A:H,8,FALSE)</f>
        <v>-81.964496109999999</v>
      </c>
      <c r="F93" s="3">
        <f>VLOOKUP(B93,airports!A:H,7,FALSE)</f>
        <v>39.871952780000001</v>
      </c>
      <c r="G93" s="3">
        <f>VLOOKUP(B93,airports!A:H,8,FALSE)</f>
        <v>-75.241140830000006</v>
      </c>
      <c r="H93">
        <f t="shared" si="2"/>
        <v>938.9</v>
      </c>
      <c r="I93">
        <f t="shared" si="3"/>
        <v>583.5</v>
      </c>
    </row>
    <row r="94" spans="1:9" ht="30" x14ac:dyDescent="0.25">
      <c r="A94" s="5" t="s">
        <v>287</v>
      </c>
      <c r="B94" s="5" t="s">
        <v>265</v>
      </c>
      <c r="C94" s="5" t="s">
        <v>288</v>
      </c>
      <c r="D94" s="3">
        <f>VLOOKUP(A94,airports!A:H,7,FALSE)</f>
        <v>58.676801670000003</v>
      </c>
      <c r="E94" s="3">
        <f>VLOOKUP(A94,airports!A:H,8,FALSE)</f>
        <v>-156.64921749999999</v>
      </c>
      <c r="F94" s="3">
        <f>VLOOKUP(B94,airports!A:H,7,FALSE)</f>
        <v>61.174320280000003</v>
      </c>
      <c r="G94" s="3">
        <f>VLOOKUP(B94,airports!A:H,8,FALSE)</f>
        <v>-149.99618559999999</v>
      </c>
      <c r="H94">
        <f t="shared" si="2"/>
        <v>462.8</v>
      </c>
      <c r="I94">
        <f t="shared" si="3"/>
        <v>287.60000000000002</v>
      </c>
    </row>
    <row r="95" spans="1:9" ht="30" x14ac:dyDescent="0.25">
      <c r="A95" s="5" t="s">
        <v>287</v>
      </c>
      <c r="B95" s="5" t="s">
        <v>289</v>
      </c>
      <c r="C95" s="5" t="s">
        <v>290</v>
      </c>
      <c r="D95" s="3">
        <f>VLOOKUP(A95,airports!A:H,7,FALSE)</f>
        <v>58.676801670000003</v>
      </c>
      <c r="E95" s="3">
        <f>VLOOKUP(A95,airports!A:H,8,FALSE)</f>
        <v>-156.64921749999999</v>
      </c>
      <c r="F95" s="3">
        <f>VLOOKUP(B95,airports!A:H,7,FALSE)</f>
        <v>59.045412499999998</v>
      </c>
      <c r="G95" s="3">
        <f>VLOOKUP(B95,airports!A:H,8,FALSE)</f>
        <v>-158.50333889999999</v>
      </c>
      <c r="H95">
        <f t="shared" si="2"/>
        <v>114.2</v>
      </c>
      <c r="I95">
        <f t="shared" si="3"/>
        <v>71</v>
      </c>
    </row>
    <row r="96" spans="1:9" x14ac:dyDescent="0.25">
      <c r="A96" s="5" t="s">
        <v>7</v>
      </c>
      <c r="B96" s="5" t="s">
        <v>10</v>
      </c>
      <c r="C96" s="5" t="s">
        <v>291</v>
      </c>
      <c r="D96" s="3">
        <f>VLOOKUP(A96,airports!A:H,7,FALSE)</f>
        <v>42.748119440000004</v>
      </c>
      <c r="E96" s="3">
        <f>VLOOKUP(A96,airports!A:H,8,FALSE)</f>
        <v>-73.802978609999997</v>
      </c>
      <c r="F96" s="3">
        <f>VLOOKUP(B96,airports!A:H,7,FALSE)</f>
        <v>33.640444440000003</v>
      </c>
      <c r="G96" s="3">
        <f>VLOOKUP(B96,airports!A:H,8,FALSE)</f>
        <v>-84.42694444</v>
      </c>
      <c r="H96">
        <f t="shared" si="2"/>
        <v>1371.7</v>
      </c>
      <c r="I96">
        <f t="shared" si="3"/>
        <v>852.4</v>
      </c>
    </row>
    <row r="97" spans="1:9" x14ac:dyDescent="0.25">
      <c r="A97" s="5" t="s">
        <v>7</v>
      </c>
      <c r="B97" s="5" t="s">
        <v>16</v>
      </c>
      <c r="C97" s="5" t="s">
        <v>292</v>
      </c>
      <c r="D97" s="3">
        <f>VLOOKUP(A97,airports!A:H,7,FALSE)</f>
        <v>42.748119440000004</v>
      </c>
      <c r="E97" s="3">
        <f>VLOOKUP(A97,airports!A:H,8,FALSE)</f>
        <v>-73.802978609999997</v>
      </c>
      <c r="F97" s="3">
        <f>VLOOKUP(B97,airports!A:H,7,FALSE)</f>
        <v>41.938874169999998</v>
      </c>
      <c r="G97" s="3">
        <f>VLOOKUP(B97,airports!A:H,8,FALSE)</f>
        <v>-72.683228330000006</v>
      </c>
      <c r="H97">
        <f t="shared" si="2"/>
        <v>128.69999999999999</v>
      </c>
      <c r="I97">
        <f t="shared" si="3"/>
        <v>80</v>
      </c>
    </row>
    <row r="98" spans="1:9" ht="30" x14ac:dyDescent="0.25">
      <c r="A98" s="5" t="s">
        <v>7</v>
      </c>
      <c r="B98" s="5" t="s">
        <v>19</v>
      </c>
      <c r="C98" s="5" t="s">
        <v>293</v>
      </c>
      <c r="D98" s="3">
        <f>VLOOKUP(A98,airports!A:H,7,FALSE)</f>
        <v>42.748119440000004</v>
      </c>
      <c r="E98" s="3">
        <f>VLOOKUP(A98,airports!A:H,8,FALSE)</f>
        <v>-73.802978609999997</v>
      </c>
      <c r="F98" s="3">
        <f>VLOOKUP(B98,airports!A:H,7,FALSE)</f>
        <v>36.12447667</v>
      </c>
      <c r="G98" s="3">
        <f>VLOOKUP(B98,airports!A:H,8,FALSE)</f>
        <v>-86.678182219999997</v>
      </c>
      <c r="H98">
        <f t="shared" si="2"/>
        <v>1326.2</v>
      </c>
      <c r="I98">
        <f t="shared" si="3"/>
        <v>824.1</v>
      </c>
    </row>
    <row r="99" spans="1:9" ht="30" x14ac:dyDescent="0.25">
      <c r="A99" s="5" t="s">
        <v>7</v>
      </c>
      <c r="B99" s="5" t="s">
        <v>32</v>
      </c>
      <c r="C99" s="5" t="s">
        <v>294</v>
      </c>
      <c r="D99" s="3">
        <f>VLOOKUP(A99,airports!A:H,7,FALSE)</f>
        <v>42.748119440000004</v>
      </c>
      <c r="E99" s="3">
        <f>VLOOKUP(A99,airports!A:H,8,FALSE)</f>
        <v>-73.802978609999997</v>
      </c>
      <c r="F99" s="3">
        <f>VLOOKUP(B99,airports!A:H,7,FALSE)</f>
        <v>39.175401669999999</v>
      </c>
      <c r="G99" s="3">
        <f>VLOOKUP(B99,airports!A:H,8,FALSE)</f>
        <v>-76.668198329999996</v>
      </c>
      <c r="H99">
        <f t="shared" si="2"/>
        <v>464.4</v>
      </c>
      <c r="I99">
        <f t="shared" si="3"/>
        <v>288.60000000000002</v>
      </c>
    </row>
    <row r="100" spans="1:9" x14ac:dyDescent="0.25">
      <c r="A100" s="5" t="s">
        <v>7</v>
      </c>
      <c r="B100" s="5" t="s">
        <v>40</v>
      </c>
      <c r="C100" s="5" t="s">
        <v>295</v>
      </c>
      <c r="D100" s="3">
        <f>VLOOKUP(A100,airports!A:H,7,FALSE)</f>
        <v>42.748119440000004</v>
      </c>
      <c r="E100" s="3">
        <f>VLOOKUP(A100,airports!A:H,8,FALSE)</f>
        <v>-73.802978609999997</v>
      </c>
      <c r="F100" s="3">
        <f>VLOOKUP(B100,airports!A:H,7,FALSE)</f>
        <v>35.214011110000001</v>
      </c>
      <c r="G100" s="3">
        <f>VLOOKUP(B100,airports!A:H,8,FALSE)</f>
        <v>-80.94312583</v>
      </c>
      <c r="H100">
        <f t="shared" si="2"/>
        <v>1039.7</v>
      </c>
      <c r="I100">
        <f t="shared" si="3"/>
        <v>646.1</v>
      </c>
    </row>
    <row r="101" spans="1:9" ht="30" x14ac:dyDescent="0.25">
      <c r="A101" s="5" t="s">
        <v>7</v>
      </c>
      <c r="B101" s="5" t="s">
        <v>45</v>
      </c>
      <c r="C101" s="5" t="s">
        <v>296</v>
      </c>
      <c r="D101" s="3">
        <f>VLOOKUP(A101,airports!A:H,7,FALSE)</f>
        <v>42.748119440000004</v>
      </c>
      <c r="E101" s="3">
        <f>VLOOKUP(A101,airports!A:H,8,FALSE)</f>
        <v>-73.802978609999997</v>
      </c>
      <c r="F101" s="3">
        <f>VLOOKUP(B101,airports!A:H,7,FALSE)</f>
        <v>38.852083329999999</v>
      </c>
      <c r="G101" s="3">
        <f>VLOOKUP(B101,airports!A:H,8,FALSE)</f>
        <v>-77.037722220000006</v>
      </c>
      <c r="H101">
        <f t="shared" si="2"/>
        <v>511.6</v>
      </c>
      <c r="I101">
        <f t="shared" si="3"/>
        <v>317.89999999999998</v>
      </c>
    </row>
    <row r="102" spans="1:9" ht="30" x14ac:dyDescent="0.25">
      <c r="A102" s="5" t="s">
        <v>7</v>
      </c>
      <c r="B102" s="5" t="s">
        <v>47</v>
      </c>
      <c r="C102" s="5" t="s">
        <v>297</v>
      </c>
      <c r="D102" s="3">
        <f>VLOOKUP(A102,airports!A:H,7,FALSE)</f>
        <v>42.748119440000004</v>
      </c>
      <c r="E102" s="3">
        <f>VLOOKUP(A102,airports!A:H,8,FALSE)</f>
        <v>-73.802978609999997</v>
      </c>
      <c r="F102" s="3">
        <f>VLOOKUP(B102,airports!A:H,7,FALSE)</f>
        <v>39.858408060000002</v>
      </c>
      <c r="G102" s="3">
        <f>VLOOKUP(B102,airports!A:H,8,FALSE)</f>
        <v>-104.6670019</v>
      </c>
      <c r="H102">
        <f t="shared" si="2"/>
        <v>2583.5</v>
      </c>
      <c r="I102">
        <f t="shared" si="3"/>
        <v>1605.4</v>
      </c>
    </row>
    <row r="103" spans="1:9" ht="30" x14ac:dyDescent="0.25">
      <c r="A103" s="5" t="s">
        <v>7</v>
      </c>
      <c r="B103" s="5" t="s">
        <v>50</v>
      </c>
      <c r="C103" s="5" t="s">
        <v>298</v>
      </c>
      <c r="D103" s="3">
        <f>VLOOKUP(A103,airports!A:H,7,FALSE)</f>
        <v>42.748119440000004</v>
      </c>
      <c r="E103" s="3">
        <f>VLOOKUP(A103,airports!A:H,8,FALSE)</f>
        <v>-73.802978609999997</v>
      </c>
      <c r="F103" s="3">
        <f>VLOOKUP(B103,airports!A:H,7,FALSE)</f>
        <v>42.212058890000002</v>
      </c>
      <c r="G103" s="3">
        <f>VLOOKUP(B103,airports!A:H,8,FALSE)</f>
        <v>-83.348835829999999</v>
      </c>
      <c r="H103">
        <f t="shared" si="2"/>
        <v>784.7</v>
      </c>
      <c r="I103">
        <f t="shared" si="3"/>
        <v>487.6</v>
      </c>
    </row>
    <row r="104" spans="1:9" ht="30" x14ac:dyDescent="0.25">
      <c r="A104" s="5" t="s">
        <v>7</v>
      </c>
      <c r="B104" s="5" t="s">
        <v>52</v>
      </c>
      <c r="C104" s="5" t="s">
        <v>299</v>
      </c>
      <c r="D104" s="3">
        <f>VLOOKUP(A104,airports!A:H,7,FALSE)</f>
        <v>42.748119440000004</v>
      </c>
      <c r="E104" s="3">
        <f>VLOOKUP(A104,airports!A:H,8,FALSE)</f>
        <v>-73.802978609999997</v>
      </c>
      <c r="F104" s="3">
        <f>VLOOKUP(B104,airports!A:H,7,FALSE)</f>
        <v>40.69249722</v>
      </c>
      <c r="G104" s="3">
        <f>VLOOKUP(B104,airports!A:H,8,FALSE)</f>
        <v>-74.168660560000006</v>
      </c>
      <c r="H104">
        <f t="shared" si="2"/>
        <v>230.6</v>
      </c>
      <c r="I104">
        <f t="shared" si="3"/>
        <v>143.30000000000001</v>
      </c>
    </row>
    <row r="105" spans="1:9" x14ac:dyDescent="0.25">
      <c r="A105" s="5" t="s">
        <v>7</v>
      </c>
      <c r="B105" s="5" t="s">
        <v>57</v>
      </c>
      <c r="C105" s="5" t="s">
        <v>300</v>
      </c>
      <c r="D105" s="3">
        <f>VLOOKUP(A105,airports!A:H,7,FALSE)</f>
        <v>42.748119440000004</v>
      </c>
      <c r="E105" s="3">
        <f>VLOOKUP(A105,airports!A:H,8,FALSE)</f>
        <v>-73.802978609999997</v>
      </c>
      <c r="F105" s="3">
        <f>VLOOKUP(B105,airports!A:H,7,FALSE)</f>
        <v>26.072583330000001</v>
      </c>
      <c r="G105" s="3">
        <f>VLOOKUP(B105,airports!A:H,8,FALSE)</f>
        <v>-80.152749999999997</v>
      </c>
      <c r="H105">
        <f t="shared" si="2"/>
        <v>1942.1</v>
      </c>
      <c r="I105">
        <f t="shared" si="3"/>
        <v>1206.8</v>
      </c>
    </row>
    <row r="106" spans="1:9" x14ac:dyDescent="0.25">
      <c r="A106" s="5" t="s">
        <v>7</v>
      </c>
      <c r="B106" s="5" t="s">
        <v>176</v>
      </c>
      <c r="C106" s="5" t="s">
        <v>301</v>
      </c>
      <c r="D106" s="3">
        <f>VLOOKUP(A106,airports!A:H,7,FALSE)</f>
        <v>42.748119440000004</v>
      </c>
      <c r="E106" s="3">
        <f>VLOOKUP(A106,airports!A:H,8,FALSE)</f>
        <v>-73.802978609999997</v>
      </c>
      <c r="F106" s="3">
        <f>VLOOKUP(B106,airports!A:H,7,FALSE)</f>
        <v>38.944531939999997</v>
      </c>
      <c r="G106" s="3">
        <f>VLOOKUP(B106,airports!A:H,8,FALSE)</f>
        <v>-77.455809720000005</v>
      </c>
      <c r="H106">
        <f t="shared" si="2"/>
        <v>522.6</v>
      </c>
      <c r="I106">
        <f t="shared" si="3"/>
        <v>324.8</v>
      </c>
    </row>
    <row r="107" spans="1:9" x14ac:dyDescent="0.25">
      <c r="A107" s="5" t="s">
        <v>7</v>
      </c>
      <c r="B107" s="5" t="s">
        <v>71</v>
      </c>
      <c r="C107" s="5" t="s">
        <v>302</v>
      </c>
      <c r="D107" s="3">
        <f>VLOOKUP(A107,airports!A:H,7,FALSE)</f>
        <v>42.748119440000004</v>
      </c>
      <c r="E107" s="3">
        <f>VLOOKUP(A107,airports!A:H,8,FALSE)</f>
        <v>-73.802978609999997</v>
      </c>
      <c r="F107" s="3">
        <f>VLOOKUP(B107,airports!A:H,7,FALSE)</f>
        <v>36.080361109999998</v>
      </c>
      <c r="G107" s="3">
        <f>VLOOKUP(B107,airports!A:H,8,FALSE)</f>
        <v>-115.1523333</v>
      </c>
      <c r="H107">
        <f t="shared" si="2"/>
        <v>3591.4</v>
      </c>
      <c r="I107">
        <f t="shared" si="3"/>
        <v>2231.6999999999998</v>
      </c>
    </row>
    <row r="108" spans="1:9" ht="30" x14ac:dyDescent="0.25">
      <c r="A108" s="5" t="s">
        <v>7</v>
      </c>
      <c r="B108" s="5" t="s">
        <v>74</v>
      </c>
      <c r="C108" s="5" t="s">
        <v>303</v>
      </c>
      <c r="D108" s="3">
        <f>VLOOKUP(A108,airports!A:H,7,FALSE)</f>
        <v>42.748119440000004</v>
      </c>
      <c r="E108" s="3">
        <f>VLOOKUP(A108,airports!A:H,8,FALSE)</f>
        <v>-73.802978609999997</v>
      </c>
      <c r="F108" s="3">
        <f>VLOOKUP(B108,airports!A:H,7,FALSE)</f>
        <v>40.777243060000004</v>
      </c>
      <c r="G108" s="3">
        <f>VLOOKUP(B108,airports!A:H,8,FALSE)</f>
        <v>-73.872609170000004</v>
      </c>
      <c r="H108">
        <f t="shared" si="2"/>
        <v>219.2</v>
      </c>
      <c r="I108">
        <f t="shared" si="3"/>
        <v>136.19999999999999</v>
      </c>
    </row>
    <row r="109" spans="1:9" ht="30" x14ac:dyDescent="0.25">
      <c r="A109" s="5" t="s">
        <v>7</v>
      </c>
      <c r="B109" s="5" t="s">
        <v>82</v>
      </c>
      <c r="C109" s="5" t="s">
        <v>304</v>
      </c>
      <c r="D109" s="3">
        <f>VLOOKUP(A109,airports!A:H,7,FALSE)</f>
        <v>42.748119440000004</v>
      </c>
      <c r="E109" s="3">
        <f>VLOOKUP(A109,airports!A:H,8,FALSE)</f>
        <v>-73.802978609999997</v>
      </c>
      <c r="F109" s="3">
        <f>VLOOKUP(B109,airports!A:H,7,FALSE)</f>
        <v>28.42888889</v>
      </c>
      <c r="G109" s="3">
        <f>VLOOKUP(B109,airports!A:H,8,FALSE)</f>
        <v>-81.316027779999999</v>
      </c>
      <c r="H109">
        <f t="shared" si="2"/>
        <v>1729.3</v>
      </c>
      <c r="I109">
        <f t="shared" si="3"/>
        <v>1074.5999999999999</v>
      </c>
    </row>
    <row r="110" spans="1:9" ht="30" x14ac:dyDescent="0.25">
      <c r="A110" s="5" t="s">
        <v>7</v>
      </c>
      <c r="B110" s="5" t="s">
        <v>180</v>
      </c>
      <c r="C110" s="5" t="s">
        <v>305</v>
      </c>
      <c r="D110" s="3">
        <f>VLOOKUP(A110,airports!A:H,7,FALSE)</f>
        <v>42.748119440000004</v>
      </c>
      <c r="E110" s="3">
        <f>VLOOKUP(A110,airports!A:H,8,FALSE)</f>
        <v>-73.802978609999997</v>
      </c>
      <c r="F110" s="3">
        <f>VLOOKUP(B110,airports!A:H,7,FALSE)</f>
        <v>41.785982500000003</v>
      </c>
      <c r="G110" s="3">
        <f>VLOOKUP(B110,airports!A:H,8,FALSE)</f>
        <v>-87.752424439999999</v>
      </c>
      <c r="H110">
        <f t="shared" si="2"/>
        <v>1151.5</v>
      </c>
      <c r="I110">
        <f t="shared" si="3"/>
        <v>715.6</v>
      </c>
    </row>
    <row r="111" spans="1:9" ht="30" x14ac:dyDescent="0.25">
      <c r="A111" s="5" t="s">
        <v>7</v>
      </c>
      <c r="B111" s="5" t="s">
        <v>84</v>
      </c>
      <c r="C111" s="5" t="s">
        <v>306</v>
      </c>
      <c r="D111" s="3">
        <f>VLOOKUP(A111,airports!A:H,7,FALSE)</f>
        <v>42.748119440000004</v>
      </c>
      <c r="E111" s="3">
        <f>VLOOKUP(A111,airports!A:H,8,FALSE)</f>
        <v>-73.802978609999997</v>
      </c>
      <c r="F111" s="3">
        <f>VLOOKUP(B111,airports!A:H,7,FALSE)</f>
        <v>25.79325</v>
      </c>
      <c r="G111" s="3">
        <f>VLOOKUP(B111,airports!A:H,8,FALSE)</f>
        <v>-80.290555560000001</v>
      </c>
      <c r="H111">
        <f t="shared" si="2"/>
        <v>1975.7</v>
      </c>
      <c r="I111">
        <f t="shared" si="3"/>
        <v>1227.7</v>
      </c>
    </row>
    <row r="112" spans="1:9" ht="30" x14ac:dyDescent="0.25">
      <c r="A112" s="5" t="s">
        <v>7</v>
      </c>
      <c r="B112" s="5" t="s">
        <v>87</v>
      </c>
      <c r="C112" s="5" t="s">
        <v>307</v>
      </c>
      <c r="D112" s="3">
        <f>VLOOKUP(A112,airports!A:H,7,FALSE)</f>
        <v>42.748119440000004</v>
      </c>
      <c r="E112" s="3">
        <f>VLOOKUP(A112,airports!A:H,8,FALSE)</f>
        <v>-73.802978609999997</v>
      </c>
      <c r="F112" s="3">
        <f>VLOOKUP(B112,airports!A:H,7,FALSE)</f>
        <v>44.880546940000002</v>
      </c>
      <c r="G112" s="3">
        <f>VLOOKUP(B112,airports!A:H,8,FALSE)</f>
        <v>-93.216922499999995</v>
      </c>
      <c r="H112">
        <f t="shared" si="2"/>
        <v>1571.8</v>
      </c>
      <c r="I112">
        <f t="shared" si="3"/>
        <v>976.7</v>
      </c>
    </row>
    <row r="113" spans="1:9" ht="30" x14ac:dyDescent="0.25">
      <c r="A113" s="5" t="s">
        <v>7</v>
      </c>
      <c r="B113" s="5" t="s">
        <v>182</v>
      </c>
      <c r="C113" s="5" t="s">
        <v>308</v>
      </c>
      <c r="D113" s="3">
        <f>VLOOKUP(A113,airports!A:H,7,FALSE)</f>
        <v>42.748119440000004</v>
      </c>
      <c r="E113" s="3">
        <f>VLOOKUP(A113,airports!A:H,8,FALSE)</f>
        <v>-73.802978609999997</v>
      </c>
      <c r="F113" s="3">
        <f>VLOOKUP(B113,airports!A:H,7,FALSE)</f>
        <v>33.679749999999999</v>
      </c>
      <c r="G113" s="3">
        <f>VLOOKUP(B113,airports!A:H,8,FALSE)</f>
        <v>-78.928333330000001</v>
      </c>
      <c r="H113">
        <f t="shared" si="2"/>
        <v>1102.7</v>
      </c>
      <c r="I113">
        <f t="shared" si="3"/>
        <v>685.3</v>
      </c>
    </row>
    <row r="114" spans="1:9" ht="30" x14ac:dyDescent="0.25">
      <c r="A114" s="5" t="s">
        <v>7</v>
      </c>
      <c r="B114" s="5" t="s">
        <v>95</v>
      </c>
      <c r="C114" s="5" t="s">
        <v>309</v>
      </c>
      <c r="D114" s="3">
        <f>VLOOKUP(A114,airports!A:H,7,FALSE)</f>
        <v>42.748119440000004</v>
      </c>
      <c r="E114" s="3">
        <f>VLOOKUP(A114,airports!A:H,8,FALSE)</f>
        <v>-73.802978609999997</v>
      </c>
      <c r="F114" s="3">
        <f>VLOOKUP(B114,airports!A:H,7,FALSE)</f>
        <v>41.979595000000003</v>
      </c>
      <c r="G114" s="3">
        <f>VLOOKUP(B114,airports!A:H,8,FALSE)</f>
        <v>-87.904464169999997</v>
      </c>
      <c r="H114">
        <f t="shared" si="2"/>
        <v>1160.4000000000001</v>
      </c>
      <c r="I114">
        <f t="shared" si="3"/>
        <v>721.1</v>
      </c>
    </row>
    <row r="115" spans="1:9" ht="30" x14ac:dyDescent="0.25">
      <c r="A115" s="5" t="s">
        <v>7</v>
      </c>
      <c r="B115" s="5" t="s">
        <v>185</v>
      </c>
      <c r="C115" s="5" t="s">
        <v>310</v>
      </c>
      <c r="D115" s="3">
        <f>VLOOKUP(A115,airports!A:H,7,FALSE)</f>
        <v>42.748119440000004</v>
      </c>
      <c r="E115" s="3">
        <f>VLOOKUP(A115,airports!A:H,8,FALSE)</f>
        <v>-73.802978609999997</v>
      </c>
      <c r="F115" s="3">
        <f>VLOOKUP(B115,airports!A:H,7,FALSE)</f>
        <v>26.919699999999999</v>
      </c>
      <c r="G115" s="3">
        <f>VLOOKUP(B115,airports!A:H,8,FALSE)</f>
        <v>-81.995999999999995</v>
      </c>
      <c r="H115">
        <f t="shared" si="2"/>
        <v>1909.9</v>
      </c>
      <c r="I115">
        <f t="shared" si="3"/>
        <v>1186.8</v>
      </c>
    </row>
    <row r="116" spans="1:9" x14ac:dyDescent="0.25">
      <c r="A116" s="5" t="s">
        <v>7</v>
      </c>
      <c r="B116" s="5" t="s">
        <v>102</v>
      </c>
      <c r="C116" s="5" t="s">
        <v>311</v>
      </c>
      <c r="D116" s="3">
        <f>VLOOKUP(A116,airports!A:H,7,FALSE)</f>
        <v>42.748119440000004</v>
      </c>
      <c r="E116" s="3">
        <f>VLOOKUP(A116,airports!A:H,8,FALSE)</f>
        <v>-73.802978609999997</v>
      </c>
      <c r="F116" s="3">
        <f>VLOOKUP(B116,airports!A:H,7,FALSE)</f>
        <v>39.871952780000001</v>
      </c>
      <c r="G116" s="3">
        <f>VLOOKUP(B116,airports!A:H,8,FALSE)</f>
        <v>-75.241140830000006</v>
      </c>
      <c r="H116">
        <f t="shared" si="2"/>
        <v>341.6</v>
      </c>
      <c r="I116">
        <f t="shared" si="3"/>
        <v>212.3</v>
      </c>
    </row>
    <row r="117" spans="1:9" x14ac:dyDescent="0.25">
      <c r="A117" s="5" t="s">
        <v>7</v>
      </c>
      <c r="B117" s="5" t="s">
        <v>188</v>
      </c>
      <c r="C117" s="5" t="s">
        <v>312</v>
      </c>
      <c r="D117" s="3">
        <f>VLOOKUP(A117,airports!A:H,7,FALSE)</f>
        <v>42.748119440000004</v>
      </c>
      <c r="E117" s="3">
        <f>VLOOKUP(A117,airports!A:H,8,FALSE)</f>
        <v>-73.802978609999997</v>
      </c>
      <c r="F117" s="3">
        <f>VLOOKUP(B117,airports!A:H,7,FALSE)</f>
        <v>27.910763330000002</v>
      </c>
      <c r="G117" s="3">
        <f>VLOOKUP(B117,airports!A:H,8,FALSE)</f>
        <v>-82.687439440000006</v>
      </c>
      <c r="H117">
        <f t="shared" si="2"/>
        <v>1833.6</v>
      </c>
      <c r="I117">
        <f t="shared" si="3"/>
        <v>1139.4000000000001</v>
      </c>
    </row>
    <row r="118" spans="1:9" ht="30" x14ac:dyDescent="0.25">
      <c r="A118" s="5" t="s">
        <v>7</v>
      </c>
      <c r="B118" s="5" t="s">
        <v>119</v>
      </c>
      <c r="C118" s="5" t="s">
        <v>313</v>
      </c>
      <c r="D118" s="3">
        <f>VLOOKUP(A118,airports!A:H,7,FALSE)</f>
        <v>42.748119440000004</v>
      </c>
      <c r="E118" s="3">
        <f>VLOOKUP(A118,airports!A:H,8,FALSE)</f>
        <v>-73.802978609999997</v>
      </c>
      <c r="F118" s="3">
        <f>VLOOKUP(B118,airports!A:H,7,FALSE)</f>
        <v>35.87763889</v>
      </c>
      <c r="G118" s="3">
        <f>VLOOKUP(B118,airports!A:H,8,FALSE)</f>
        <v>-78.787472219999998</v>
      </c>
      <c r="H118">
        <f t="shared" si="2"/>
        <v>875.7</v>
      </c>
      <c r="I118">
        <f t="shared" si="3"/>
        <v>544.20000000000005</v>
      </c>
    </row>
    <row r="119" spans="1:9" ht="30" x14ac:dyDescent="0.25">
      <c r="A119" s="5" t="s">
        <v>7</v>
      </c>
      <c r="B119" s="5" t="s">
        <v>123</v>
      </c>
      <c r="C119" s="5" t="s">
        <v>314</v>
      </c>
      <c r="D119" s="3">
        <f>VLOOKUP(A119,airports!A:H,7,FALSE)</f>
        <v>42.748119440000004</v>
      </c>
      <c r="E119" s="3">
        <f>VLOOKUP(A119,airports!A:H,8,FALSE)</f>
        <v>-73.802978609999997</v>
      </c>
      <c r="F119" s="3">
        <f>VLOOKUP(B119,airports!A:H,7,FALSE)</f>
        <v>26.53616667</v>
      </c>
      <c r="G119" s="3">
        <f>VLOOKUP(B119,airports!A:H,8,FALSE)</f>
        <v>-81.755166669999994</v>
      </c>
      <c r="H119">
        <f t="shared" si="2"/>
        <v>1941.7</v>
      </c>
      <c r="I119">
        <f t="shared" si="3"/>
        <v>1206.5999999999999</v>
      </c>
    </row>
    <row r="120" spans="1:9" ht="30" x14ac:dyDescent="0.25">
      <c r="A120" s="5" t="s">
        <v>7</v>
      </c>
      <c r="B120" s="5" t="s">
        <v>126</v>
      </c>
      <c r="C120" s="5" t="s">
        <v>315</v>
      </c>
      <c r="D120" s="3">
        <f>VLOOKUP(A120,airports!A:H,7,FALSE)</f>
        <v>42.748119440000004</v>
      </c>
      <c r="E120" s="3">
        <f>VLOOKUP(A120,airports!A:H,8,FALSE)</f>
        <v>-73.802978609999997</v>
      </c>
      <c r="F120" s="3">
        <f>VLOOKUP(B120,airports!A:H,7,FALSE)</f>
        <v>32.12758333</v>
      </c>
      <c r="G120" s="3">
        <f>VLOOKUP(B120,airports!A:H,8,FALSE)</f>
        <v>-81.202138890000001</v>
      </c>
      <c r="H120">
        <f t="shared" si="2"/>
        <v>1348.3</v>
      </c>
      <c r="I120">
        <f t="shared" si="3"/>
        <v>837.8</v>
      </c>
    </row>
    <row r="121" spans="1:9" x14ac:dyDescent="0.25">
      <c r="A121" s="5" t="s">
        <v>7</v>
      </c>
      <c r="B121" s="5" t="s">
        <v>191</v>
      </c>
      <c r="C121" s="5" t="s">
        <v>316</v>
      </c>
      <c r="D121" s="3">
        <f>VLOOKUP(A121,airports!A:H,7,FALSE)</f>
        <v>42.748119440000004</v>
      </c>
      <c r="E121" s="3">
        <f>VLOOKUP(A121,airports!A:H,8,FALSE)</f>
        <v>-73.802978609999997</v>
      </c>
      <c r="F121" s="3">
        <f>VLOOKUP(B121,airports!A:H,7,FALSE)</f>
        <v>28.7776</v>
      </c>
      <c r="G121" s="3">
        <f>VLOOKUP(B121,airports!A:H,8,FALSE)</f>
        <v>-81.237499999999997</v>
      </c>
      <c r="H121">
        <f t="shared" si="2"/>
        <v>1690.3</v>
      </c>
      <c r="I121">
        <f t="shared" si="3"/>
        <v>1050.4000000000001</v>
      </c>
    </row>
    <row r="122" spans="1:9" x14ac:dyDescent="0.25">
      <c r="A122" s="5" t="s">
        <v>7</v>
      </c>
      <c r="B122" s="5" t="s">
        <v>144</v>
      </c>
      <c r="C122" s="5" t="s">
        <v>317</v>
      </c>
      <c r="D122" s="3">
        <f>VLOOKUP(A122,airports!A:H,7,FALSE)</f>
        <v>42.748119440000004</v>
      </c>
      <c r="E122" s="3">
        <f>VLOOKUP(A122,airports!A:H,8,FALSE)</f>
        <v>-73.802978609999997</v>
      </c>
      <c r="F122" s="3">
        <f>VLOOKUP(B122,airports!A:H,7,FALSE)</f>
        <v>43.111186940000003</v>
      </c>
      <c r="G122" s="3">
        <f>VLOOKUP(B122,airports!A:H,8,FALSE)</f>
        <v>-76.106310559999997</v>
      </c>
      <c r="H122">
        <f t="shared" si="2"/>
        <v>191.8</v>
      </c>
      <c r="I122">
        <f t="shared" si="3"/>
        <v>119.2</v>
      </c>
    </row>
    <row r="123" spans="1:9" ht="30" x14ac:dyDescent="0.25">
      <c r="A123" s="5" t="s">
        <v>7</v>
      </c>
      <c r="B123" s="5" t="s">
        <v>145</v>
      </c>
      <c r="C123" s="5" t="s">
        <v>318</v>
      </c>
      <c r="D123" s="3">
        <f>VLOOKUP(A123,airports!A:H,7,FALSE)</f>
        <v>42.748119440000004</v>
      </c>
      <c r="E123" s="3">
        <f>VLOOKUP(A123,airports!A:H,8,FALSE)</f>
        <v>-73.802978609999997</v>
      </c>
      <c r="F123" s="3">
        <f>VLOOKUP(B123,airports!A:H,7,FALSE)</f>
        <v>27.97547222</v>
      </c>
      <c r="G123" s="3">
        <f>VLOOKUP(B123,airports!A:H,8,FALSE)</f>
        <v>-82.533249999999995</v>
      </c>
      <c r="H123">
        <f t="shared" si="2"/>
        <v>1821</v>
      </c>
      <c r="I123">
        <f t="shared" si="3"/>
        <v>1131.5999999999999</v>
      </c>
    </row>
    <row r="124" spans="1:9" ht="30" x14ac:dyDescent="0.25">
      <c r="A124" s="5" t="s">
        <v>319</v>
      </c>
      <c r="B124" s="5" t="s">
        <v>95</v>
      </c>
      <c r="C124" s="5" t="s">
        <v>320</v>
      </c>
      <c r="D124" s="3">
        <f>VLOOKUP(A124,airports!A:H,7,FALSE)</f>
        <v>42.55708139</v>
      </c>
      <c r="E124" s="3">
        <f>VLOOKUP(A124,airports!A:H,8,FALSE)</f>
        <v>-92.400343609999993</v>
      </c>
      <c r="F124" s="3">
        <f>VLOOKUP(B124,airports!A:H,7,FALSE)</f>
        <v>41.979595000000003</v>
      </c>
      <c r="G124" s="3">
        <f>VLOOKUP(B124,airports!A:H,8,FALSE)</f>
        <v>-87.904464169999997</v>
      </c>
      <c r="H124">
        <f t="shared" si="2"/>
        <v>375.4</v>
      </c>
      <c r="I124">
        <f t="shared" si="3"/>
        <v>233.3</v>
      </c>
    </row>
    <row r="125" spans="1:9" ht="30" x14ac:dyDescent="0.25">
      <c r="A125" s="5" t="s">
        <v>321</v>
      </c>
      <c r="B125" s="5" t="s">
        <v>47</v>
      </c>
      <c r="C125" s="5" t="s">
        <v>322</v>
      </c>
      <c r="D125" s="3">
        <f>VLOOKUP(A125,airports!A:H,7,FALSE)</f>
        <v>37.443800000000003</v>
      </c>
      <c r="E125" s="3">
        <f>VLOOKUP(A125,airports!A:H,8,FALSE)</f>
        <v>-105.86450000000001</v>
      </c>
      <c r="F125" s="3">
        <f>VLOOKUP(B125,airports!A:H,7,FALSE)</f>
        <v>39.858408060000002</v>
      </c>
      <c r="G125" s="3">
        <f>VLOOKUP(B125,airports!A:H,8,FALSE)</f>
        <v>-104.6670019</v>
      </c>
      <c r="H125">
        <f t="shared" si="2"/>
        <v>287.89999999999998</v>
      </c>
      <c r="I125">
        <f t="shared" si="3"/>
        <v>178.9</v>
      </c>
    </row>
    <row r="126" spans="1:9" ht="30" x14ac:dyDescent="0.25">
      <c r="A126" s="5" t="s">
        <v>323</v>
      </c>
      <c r="B126" s="5" t="s">
        <v>324</v>
      </c>
      <c r="C126" s="5" t="s">
        <v>325</v>
      </c>
      <c r="D126" s="3">
        <f>VLOOKUP(A126,airports!A:H,7,FALSE)</f>
        <v>46.087299999999999</v>
      </c>
      <c r="E126" s="3">
        <f>VLOOKUP(A126,airports!A:H,8,FALSE)</f>
        <v>-118.28449999999999</v>
      </c>
      <c r="F126" s="3">
        <f>VLOOKUP(B126,airports!A:H,7,FALSE)</f>
        <v>46.744199999999999</v>
      </c>
      <c r="G126" s="3">
        <f>VLOOKUP(B126,airports!A:H,8,FALSE)</f>
        <v>-117.11409999999999</v>
      </c>
      <c r="H126">
        <f t="shared" si="2"/>
        <v>115.7</v>
      </c>
      <c r="I126">
        <f t="shared" si="3"/>
        <v>71.900000000000006</v>
      </c>
    </row>
    <row r="127" spans="1:9" ht="30" x14ac:dyDescent="0.25">
      <c r="A127" s="5" t="s">
        <v>323</v>
      </c>
      <c r="B127" s="5" t="s">
        <v>128</v>
      </c>
      <c r="C127" s="5" t="s">
        <v>326</v>
      </c>
      <c r="D127" s="3">
        <f>VLOOKUP(A127,airports!A:H,7,FALSE)</f>
        <v>46.087299999999999</v>
      </c>
      <c r="E127" s="3">
        <f>VLOOKUP(A127,airports!A:H,8,FALSE)</f>
        <v>-118.28449999999999</v>
      </c>
      <c r="F127" s="3">
        <f>VLOOKUP(B127,airports!A:H,7,FALSE)</f>
        <v>47.448981940000003</v>
      </c>
      <c r="G127" s="3">
        <f>VLOOKUP(B127,airports!A:H,8,FALSE)</f>
        <v>-122.3093131</v>
      </c>
      <c r="H127">
        <f t="shared" si="2"/>
        <v>341.8</v>
      </c>
      <c r="I127">
        <f t="shared" si="3"/>
        <v>212.4</v>
      </c>
    </row>
    <row r="128" spans="1:9" ht="30" x14ac:dyDescent="0.25">
      <c r="A128" s="5" t="s">
        <v>327</v>
      </c>
      <c r="B128" s="5" t="s">
        <v>13</v>
      </c>
      <c r="C128" s="5" t="s">
        <v>328</v>
      </c>
      <c r="D128" s="3">
        <f>VLOOKUP(A128,airports!A:H,7,FALSE)</f>
        <v>35.219372499999999</v>
      </c>
      <c r="E128" s="3">
        <f>VLOOKUP(A128,airports!A:H,8,FALSE)</f>
        <v>-101.7059272</v>
      </c>
      <c r="F128" s="3">
        <f>VLOOKUP(B128,airports!A:H,7,FALSE)</f>
        <v>30.194532779999999</v>
      </c>
      <c r="G128" s="3">
        <f>VLOOKUP(B128,airports!A:H,8,FALSE)</f>
        <v>-97.669871939999993</v>
      </c>
      <c r="H128">
        <f t="shared" si="2"/>
        <v>674.2</v>
      </c>
      <c r="I128">
        <f t="shared" si="3"/>
        <v>419</v>
      </c>
    </row>
    <row r="129" spans="1:9" ht="30" x14ac:dyDescent="0.25">
      <c r="A129" s="5" t="s">
        <v>327</v>
      </c>
      <c r="B129" s="5" t="s">
        <v>329</v>
      </c>
      <c r="C129" s="5" t="s">
        <v>330</v>
      </c>
      <c r="D129" s="3">
        <f>VLOOKUP(A129,airports!A:H,7,FALSE)</f>
        <v>35.219372499999999</v>
      </c>
      <c r="E129" s="3">
        <f>VLOOKUP(A129,airports!A:H,8,FALSE)</f>
        <v>-101.7059272</v>
      </c>
      <c r="F129" s="3">
        <f>VLOOKUP(B129,airports!A:H,7,FALSE)</f>
        <v>33.308999999999997</v>
      </c>
      <c r="G129" s="3">
        <f>VLOOKUP(B129,airports!A:H,8,FALSE)</f>
        <v>-111.6559</v>
      </c>
      <c r="H129">
        <f t="shared" si="2"/>
        <v>938.3</v>
      </c>
      <c r="I129">
        <f t="shared" si="3"/>
        <v>583</v>
      </c>
    </row>
    <row r="130" spans="1:9" ht="30" x14ac:dyDescent="0.25">
      <c r="A130" s="5" t="s">
        <v>327</v>
      </c>
      <c r="B130" s="5" t="s">
        <v>201</v>
      </c>
      <c r="C130" s="5" t="s">
        <v>331</v>
      </c>
      <c r="D130" s="3">
        <f>VLOOKUP(A130,airports!A:H,7,FALSE)</f>
        <v>35.219372499999999</v>
      </c>
      <c r="E130" s="3">
        <f>VLOOKUP(A130,airports!A:H,8,FALSE)</f>
        <v>-101.7059272</v>
      </c>
      <c r="F130" s="3">
        <f>VLOOKUP(B130,airports!A:H,7,FALSE)</f>
        <v>32.847113890000003</v>
      </c>
      <c r="G130" s="3">
        <f>VLOOKUP(B130,airports!A:H,8,FALSE)</f>
        <v>-96.851772220000001</v>
      </c>
      <c r="H130">
        <f t="shared" si="2"/>
        <v>519.20000000000005</v>
      </c>
      <c r="I130">
        <f t="shared" si="3"/>
        <v>322.60000000000002</v>
      </c>
    </row>
    <row r="131" spans="1:9" ht="30" x14ac:dyDescent="0.25">
      <c r="A131" s="5" t="s">
        <v>327</v>
      </c>
      <c r="B131" s="5" t="s">
        <v>47</v>
      </c>
      <c r="C131" s="5" t="s">
        <v>332</v>
      </c>
      <c r="D131" s="3">
        <f>VLOOKUP(A131,airports!A:H,7,FALSE)</f>
        <v>35.219372499999999</v>
      </c>
      <c r="E131" s="3">
        <f>VLOOKUP(A131,airports!A:H,8,FALSE)</f>
        <v>-101.7059272</v>
      </c>
      <c r="F131" s="3">
        <f>VLOOKUP(B131,airports!A:H,7,FALSE)</f>
        <v>39.858408060000002</v>
      </c>
      <c r="G131" s="3">
        <f>VLOOKUP(B131,airports!A:H,8,FALSE)</f>
        <v>-104.6670019</v>
      </c>
      <c r="H131">
        <f t="shared" si="2"/>
        <v>578.1</v>
      </c>
      <c r="I131">
        <f t="shared" si="3"/>
        <v>359.2</v>
      </c>
    </row>
    <row r="132" spans="1:9" ht="30" x14ac:dyDescent="0.25">
      <c r="A132" s="5" t="s">
        <v>327</v>
      </c>
      <c r="B132" s="5" t="s">
        <v>49</v>
      </c>
      <c r="C132" s="5" t="s">
        <v>333</v>
      </c>
      <c r="D132" s="3">
        <f>VLOOKUP(A132,airports!A:H,7,FALSE)</f>
        <v>35.219372499999999</v>
      </c>
      <c r="E132" s="3">
        <f>VLOOKUP(A132,airports!A:H,8,FALSE)</f>
        <v>-101.7059272</v>
      </c>
      <c r="F132" s="3">
        <f>VLOOKUP(B132,airports!A:H,7,FALSE)</f>
        <v>32.895950560000003</v>
      </c>
      <c r="G132" s="3">
        <f>VLOOKUP(B132,airports!A:H,8,FALSE)</f>
        <v>-97.037199999999999</v>
      </c>
      <c r="H132">
        <f t="shared" ref="H132:H195" si="4">ROUND(ACOS(COS(RADIANS(90-D132)) * COS(RADIANS(90-F132)) + SIN(RADIANS(90-D132)) * SIN(RADIANS(90-F132)) * COS(RADIANS(E132-G132))) * 6371,1)</f>
        <v>501.6</v>
      </c>
      <c r="I132">
        <f t="shared" ref="I132:I195" si="5">ROUND(ACOS(COS(RADIANS(90-D132)) * COS(RADIANS(90-F132)) + SIN(RADIANS(90-D132)) * SIN(RADIANS(90-F132)) * COS(RADIANS(E132-G132))) * 3959,1)</f>
        <v>311.7</v>
      </c>
    </row>
    <row r="133" spans="1:9" ht="30" x14ac:dyDescent="0.25">
      <c r="A133" s="5" t="s">
        <v>327</v>
      </c>
      <c r="B133" s="5" t="s">
        <v>205</v>
      </c>
      <c r="C133" s="5" t="s">
        <v>334</v>
      </c>
      <c r="D133" s="3">
        <f>VLOOKUP(A133,airports!A:H,7,FALSE)</f>
        <v>35.219372499999999</v>
      </c>
      <c r="E133" s="3">
        <f>VLOOKUP(A133,airports!A:H,8,FALSE)</f>
        <v>-101.7059272</v>
      </c>
      <c r="F133" s="3">
        <f>VLOOKUP(B133,airports!A:H,7,FALSE)</f>
        <v>29.64541861</v>
      </c>
      <c r="G133" s="3">
        <f>VLOOKUP(B133,airports!A:H,8,FALSE)</f>
        <v>-95.278888890000005</v>
      </c>
      <c r="H133">
        <f t="shared" si="4"/>
        <v>864.4</v>
      </c>
      <c r="I133">
        <f t="shared" si="5"/>
        <v>537.20000000000005</v>
      </c>
    </row>
    <row r="134" spans="1:9" ht="30" x14ac:dyDescent="0.25">
      <c r="A134" s="5" t="s">
        <v>327</v>
      </c>
      <c r="B134" s="5" t="s">
        <v>67</v>
      </c>
      <c r="C134" s="5" t="s">
        <v>335</v>
      </c>
      <c r="D134" s="3">
        <f>VLOOKUP(A134,airports!A:H,7,FALSE)</f>
        <v>35.219372499999999</v>
      </c>
      <c r="E134" s="3">
        <f>VLOOKUP(A134,airports!A:H,8,FALSE)</f>
        <v>-101.7059272</v>
      </c>
      <c r="F134" s="3">
        <f>VLOOKUP(B134,airports!A:H,7,FALSE)</f>
        <v>29.980472219999999</v>
      </c>
      <c r="G134" s="3">
        <f>VLOOKUP(B134,airports!A:H,8,FALSE)</f>
        <v>-95.339722219999999</v>
      </c>
      <c r="H134">
        <f t="shared" si="4"/>
        <v>833.3</v>
      </c>
      <c r="I134">
        <f t="shared" si="5"/>
        <v>517.79999999999995</v>
      </c>
    </row>
    <row r="135" spans="1:9" ht="30" x14ac:dyDescent="0.25">
      <c r="A135" s="5" t="s">
        <v>327</v>
      </c>
      <c r="B135" s="5" t="s">
        <v>71</v>
      </c>
      <c r="C135" s="5" t="s">
        <v>336</v>
      </c>
      <c r="D135" s="3">
        <f>VLOOKUP(A135,airports!A:H,7,FALSE)</f>
        <v>35.219372499999999</v>
      </c>
      <c r="E135" s="3">
        <f>VLOOKUP(A135,airports!A:H,8,FALSE)</f>
        <v>-101.7059272</v>
      </c>
      <c r="F135" s="3">
        <f>VLOOKUP(B135,airports!A:H,7,FALSE)</f>
        <v>36.080361109999998</v>
      </c>
      <c r="G135" s="3">
        <f>VLOOKUP(B135,airports!A:H,8,FALSE)</f>
        <v>-115.1523333</v>
      </c>
      <c r="H135">
        <f t="shared" si="4"/>
        <v>1217.8</v>
      </c>
      <c r="I135">
        <f t="shared" si="5"/>
        <v>756.7</v>
      </c>
    </row>
    <row r="136" spans="1:9" ht="30" x14ac:dyDescent="0.25">
      <c r="A136" s="5" t="s">
        <v>327</v>
      </c>
      <c r="B136" s="5" t="s">
        <v>104</v>
      </c>
      <c r="C136" s="5" t="s">
        <v>337</v>
      </c>
      <c r="D136" s="3">
        <f>VLOOKUP(A136,airports!A:H,7,FALSE)</f>
        <v>35.219372499999999</v>
      </c>
      <c r="E136" s="3">
        <f>VLOOKUP(A136,airports!A:H,8,FALSE)</f>
        <v>-101.7059272</v>
      </c>
      <c r="F136" s="3">
        <f>VLOOKUP(B136,airports!A:H,7,FALSE)</f>
        <v>33.434166670000003</v>
      </c>
      <c r="G136" s="3">
        <f>VLOOKUP(B136,airports!A:H,8,FALSE)</f>
        <v>-112.00805560000001</v>
      </c>
      <c r="H136">
        <f t="shared" si="4"/>
        <v>966.1</v>
      </c>
      <c r="I136">
        <f t="shared" si="5"/>
        <v>600.4</v>
      </c>
    </row>
    <row r="137" spans="1:9" ht="30" x14ac:dyDescent="0.25">
      <c r="A137" s="5" t="s">
        <v>265</v>
      </c>
      <c r="B137" s="5" t="s">
        <v>264</v>
      </c>
      <c r="C137" s="5" t="s">
        <v>338</v>
      </c>
      <c r="D137" s="3">
        <f>VLOOKUP(A137,airports!A:H,7,FALSE)</f>
        <v>61.174320280000003</v>
      </c>
      <c r="E137" s="3">
        <f>VLOOKUP(A137,airports!A:H,8,FALSE)</f>
        <v>-149.99618559999999</v>
      </c>
      <c r="F137" s="3">
        <f>VLOOKUP(B137,airports!A:H,7,FALSE)</f>
        <v>51.877963889999997</v>
      </c>
      <c r="G137" s="3">
        <f>VLOOKUP(B137,airports!A:H,8,FALSE)</f>
        <v>-176.64603059999999</v>
      </c>
      <c r="H137">
        <f t="shared" si="4"/>
        <v>1913.3</v>
      </c>
      <c r="I137">
        <f t="shared" si="5"/>
        <v>1188.9000000000001</v>
      </c>
    </row>
    <row r="138" spans="1:9" ht="30" x14ac:dyDescent="0.25">
      <c r="A138" s="5" t="s">
        <v>265</v>
      </c>
      <c r="B138" s="5" t="s">
        <v>269</v>
      </c>
      <c r="C138" s="5" t="s">
        <v>339</v>
      </c>
      <c r="D138" s="3">
        <f>VLOOKUP(A138,airports!A:H,7,FALSE)</f>
        <v>61.174320280000003</v>
      </c>
      <c r="E138" s="3">
        <f>VLOOKUP(A138,airports!A:H,8,FALSE)</f>
        <v>-149.99618559999999</v>
      </c>
      <c r="F138" s="3">
        <f>VLOOKUP(B138,airports!A:H,7,FALSE)</f>
        <v>57.749967779999999</v>
      </c>
      <c r="G138" s="3">
        <f>VLOOKUP(B138,airports!A:H,8,FALSE)</f>
        <v>-152.49385530000001</v>
      </c>
      <c r="H138">
        <f t="shared" si="4"/>
        <v>406</v>
      </c>
      <c r="I138">
        <f t="shared" si="5"/>
        <v>252.3</v>
      </c>
    </row>
    <row r="139" spans="1:9" ht="30" x14ac:dyDescent="0.25">
      <c r="A139" s="5" t="s">
        <v>265</v>
      </c>
      <c r="B139" s="5" t="s">
        <v>287</v>
      </c>
      <c r="C139" s="5" t="s">
        <v>340</v>
      </c>
      <c r="D139" s="3">
        <f>VLOOKUP(A139,airports!A:H,7,FALSE)</f>
        <v>61.174320280000003</v>
      </c>
      <c r="E139" s="3">
        <f>VLOOKUP(A139,airports!A:H,8,FALSE)</f>
        <v>-149.99618559999999</v>
      </c>
      <c r="F139" s="3">
        <f>VLOOKUP(B139,airports!A:H,7,FALSE)</f>
        <v>58.676801670000003</v>
      </c>
      <c r="G139" s="3">
        <f>VLOOKUP(B139,airports!A:H,8,FALSE)</f>
        <v>-156.64921749999999</v>
      </c>
      <c r="H139">
        <f t="shared" si="4"/>
        <v>462.8</v>
      </c>
      <c r="I139">
        <f t="shared" si="5"/>
        <v>287.60000000000002</v>
      </c>
    </row>
    <row r="140" spans="1:9" ht="30" x14ac:dyDescent="0.25">
      <c r="A140" s="5" t="s">
        <v>265</v>
      </c>
      <c r="B140" s="5" t="s">
        <v>10</v>
      </c>
      <c r="C140" s="5" t="s">
        <v>341</v>
      </c>
      <c r="D140" s="3">
        <f>VLOOKUP(A140,airports!A:H,7,FALSE)</f>
        <v>61.174320280000003</v>
      </c>
      <c r="E140" s="3">
        <f>VLOOKUP(A140,airports!A:H,8,FALSE)</f>
        <v>-149.99618559999999</v>
      </c>
      <c r="F140" s="3">
        <f>VLOOKUP(B140,airports!A:H,7,FALSE)</f>
        <v>33.640444440000003</v>
      </c>
      <c r="G140" s="3">
        <f>VLOOKUP(B140,airports!A:H,8,FALSE)</f>
        <v>-84.42694444</v>
      </c>
      <c r="H140">
        <f t="shared" si="4"/>
        <v>5488.2</v>
      </c>
      <c r="I140">
        <f t="shared" si="5"/>
        <v>3410.4</v>
      </c>
    </row>
    <row r="141" spans="1:9" ht="30" x14ac:dyDescent="0.25">
      <c r="A141" s="5" t="s">
        <v>265</v>
      </c>
      <c r="B141" s="5" t="s">
        <v>342</v>
      </c>
      <c r="C141" s="5" t="s">
        <v>343</v>
      </c>
      <c r="D141" s="3">
        <f>VLOOKUP(A141,airports!A:H,7,FALSE)</f>
        <v>61.174320280000003</v>
      </c>
      <c r="E141" s="3">
        <f>VLOOKUP(A141,airports!A:H,8,FALSE)</f>
        <v>-149.99618559999999</v>
      </c>
      <c r="F141" s="3">
        <f>VLOOKUP(B141,airports!A:H,7,FALSE)</f>
        <v>60.779776390000002</v>
      </c>
      <c r="G141" s="3">
        <f>VLOOKUP(B141,airports!A:H,8,FALSE)</f>
        <v>-161.8379975</v>
      </c>
      <c r="H141">
        <f t="shared" si="4"/>
        <v>639.5</v>
      </c>
      <c r="I141">
        <f t="shared" si="5"/>
        <v>397.4</v>
      </c>
    </row>
    <row r="142" spans="1:9" x14ac:dyDescent="0.25">
      <c r="A142" s="5" t="s">
        <v>265</v>
      </c>
      <c r="B142" s="5" t="s">
        <v>344</v>
      </c>
      <c r="C142" s="5" t="s">
        <v>345</v>
      </c>
      <c r="D142" s="3">
        <f>VLOOKUP(A142,airports!A:H,7,FALSE)</f>
        <v>61.174320280000003</v>
      </c>
      <c r="E142" s="3">
        <f>VLOOKUP(A142,airports!A:H,8,FALSE)</f>
        <v>-149.99618559999999</v>
      </c>
      <c r="F142" s="3">
        <f>VLOOKUP(B142,airports!A:H,7,FALSE)</f>
        <v>48.792749999999998</v>
      </c>
      <c r="G142" s="3">
        <f>VLOOKUP(B142,airports!A:H,8,FALSE)</f>
        <v>-122.53752780000001</v>
      </c>
      <c r="H142">
        <f t="shared" si="4"/>
        <v>2200.1999999999998</v>
      </c>
      <c r="I142">
        <f t="shared" si="5"/>
        <v>1367.2</v>
      </c>
    </row>
    <row r="143" spans="1:9" ht="30" x14ac:dyDescent="0.25">
      <c r="A143" s="5" t="s">
        <v>265</v>
      </c>
      <c r="B143" s="5" t="s">
        <v>346</v>
      </c>
      <c r="C143" s="5" t="s">
        <v>347</v>
      </c>
      <c r="D143" s="3">
        <f>VLOOKUP(A143,airports!A:H,7,FALSE)</f>
        <v>61.174320280000003</v>
      </c>
      <c r="E143" s="3">
        <f>VLOOKUP(A143,airports!A:H,8,FALSE)</f>
        <v>-149.99618559999999</v>
      </c>
      <c r="F143" s="3">
        <f>VLOOKUP(B143,airports!A:H,7,FALSE)</f>
        <v>71.285447500000004</v>
      </c>
      <c r="G143" s="3">
        <f>VLOOKUP(B143,airports!A:H,8,FALSE)</f>
        <v>-156.76600189999999</v>
      </c>
      <c r="H143">
        <f t="shared" si="4"/>
        <v>1162.8</v>
      </c>
      <c r="I143">
        <f t="shared" si="5"/>
        <v>722.6</v>
      </c>
    </row>
    <row r="144" spans="1:9" ht="30" x14ac:dyDescent="0.25">
      <c r="A144" s="5" t="s">
        <v>265</v>
      </c>
      <c r="B144" s="5" t="s">
        <v>267</v>
      </c>
      <c r="C144" s="5" t="s">
        <v>348</v>
      </c>
      <c r="D144" s="3">
        <f>VLOOKUP(A144,airports!A:H,7,FALSE)</f>
        <v>61.174320280000003</v>
      </c>
      <c r="E144" s="3">
        <f>VLOOKUP(A144,airports!A:H,8,FALSE)</f>
        <v>-149.99618559999999</v>
      </c>
      <c r="F144" s="3">
        <f>VLOOKUP(B144,airports!A:H,7,FALSE)</f>
        <v>55.206099999999999</v>
      </c>
      <c r="G144" s="3">
        <f>VLOOKUP(B144,airports!A:H,8,FALSE)</f>
        <v>-162.72500600000001</v>
      </c>
      <c r="H144">
        <f t="shared" si="4"/>
        <v>995.5</v>
      </c>
      <c r="I144">
        <f t="shared" si="5"/>
        <v>618.6</v>
      </c>
    </row>
    <row r="145" spans="1:9" ht="30" x14ac:dyDescent="0.25">
      <c r="A145" s="5" t="s">
        <v>265</v>
      </c>
      <c r="B145" s="5" t="s">
        <v>349</v>
      </c>
      <c r="C145" s="5" t="s">
        <v>350</v>
      </c>
      <c r="D145" s="3">
        <f>VLOOKUP(A145,airports!A:H,7,FALSE)</f>
        <v>61.174320280000003</v>
      </c>
      <c r="E145" s="3">
        <f>VLOOKUP(A145,airports!A:H,8,FALSE)</f>
        <v>-149.99618559999999</v>
      </c>
      <c r="F145" s="3">
        <f>VLOOKUP(B145,airports!A:H,7,FALSE)</f>
        <v>60.491833890000002</v>
      </c>
      <c r="G145" s="3">
        <f>VLOOKUP(B145,airports!A:H,8,FALSE)</f>
        <v>-145.47765029999999</v>
      </c>
      <c r="H145">
        <f t="shared" si="4"/>
        <v>256.3</v>
      </c>
      <c r="I145">
        <f t="shared" si="5"/>
        <v>159.30000000000001</v>
      </c>
    </row>
    <row r="146" spans="1:9" ht="30" x14ac:dyDescent="0.25">
      <c r="A146" s="5" t="s">
        <v>265</v>
      </c>
      <c r="B146" s="5" t="s">
        <v>47</v>
      </c>
      <c r="C146" s="5" t="s">
        <v>351</v>
      </c>
      <c r="D146" s="3">
        <f>VLOOKUP(A146,airports!A:H,7,FALSE)</f>
        <v>61.174320280000003</v>
      </c>
      <c r="E146" s="3">
        <f>VLOOKUP(A146,airports!A:H,8,FALSE)</f>
        <v>-149.99618559999999</v>
      </c>
      <c r="F146" s="3">
        <f>VLOOKUP(B146,airports!A:H,7,FALSE)</f>
        <v>39.858408060000002</v>
      </c>
      <c r="G146" s="3">
        <f>VLOOKUP(B146,airports!A:H,8,FALSE)</f>
        <v>-104.6670019</v>
      </c>
      <c r="H146">
        <f t="shared" si="4"/>
        <v>3863.7</v>
      </c>
      <c r="I146">
        <f t="shared" si="5"/>
        <v>2400.9</v>
      </c>
    </row>
    <row r="147" spans="1:9" ht="30" x14ac:dyDescent="0.25">
      <c r="A147" s="5" t="s">
        <v>265</v>
      </c>
      <c r="B147" s="5" t="s">
        <v>49</v>
      </c>
      <c r="C147" s="5" t="s">
        <v>352</v>
      </c>
      <c r="D147" s="3">
        <f>VLOOKUP(A147,airports!A:H,7,FALSE)</f>
        <v>61.174320280000003</v>
      </c>
      <c r="E147" s="3">
        <f>VLOOKUP(A147,airports!A:H,8,FALSE)</f>
        <v>-149.99618559999999</v>
      </c>
      <c r="F147" s="3">
        <f>VLOOKUP(B147,airports!A:H,7,FALSE)</f>
        <v>32.895950560000003</v>
      </c>
      <c r="G147" s="3">
        <f>VLOOKUP(B147,airports!A:H,8,FALSE)</f>
        <v>-97.037199999999999</v>
      </c>
      <c r="H147">
        <f t="shared" si="4"/>
        <v>4889.3999999999996</v>
      </c>
      <c r="I147">
        <f t="shared" si="5"/>
        <v>3038.3</v>
      </c>
    </row>
    <row r="148" spans="1:9" ht="30" x14ac:dyDescent="0.25">
      <c r="A148" s="5" t="s">
        <v>265</v>
      </c>
      <c r="B148" s="5" t="s">
        <v>289</v>
      </c>
      <c r="C148" s="5" t="s">
        <v>353</v>
      </c>
      <c r="D148" s="3">
        <f>VLOOKUP(A148,airports!A:H,7,FALSE)</f>
        <v>61.174320280000003</v>
      </c>
      <c r="E148" s="3">
        <f>VLOOKUP(A148,airports!A:H,8,FALSE)</f>
        <v>-149.99618559999999</v>
      </c>
      <c r="F148" s="3">
        <f>VLOOKUP(B148,airports!A:H,7,FALSE)</f>
        <v>59.045412499999998</v>
      </c>
      <c r="G148" s="3">
        <f>VLOOKUP(B148,airports!A:H,8,FALSE)</f>
        <v>-158.50333889999999</v>
      </c>
      <c r="H148">
        <f t="shared" si="4"/>
        <v>527</v>
      </c>
      <c r="I148">
        <f t="shared" si="5"/>
        <v>327.5</v>
      </c>
    </row>
    <row r="149" spans="1:9" ht="30" x14ac:dyDescent="0.25">
      <c r="A149" s="5" t="s">
        <v>265</v>
      </c>
      <c r="B149" s="5" t="s">
        <v>50</v>
      </c>
      <c r="C149" s="5" t="s">
        <v>354</v>
      </c>
      <c r="D149" s="3">
        <f>VLOOKUP(A149,airports!A:H,7,FALSE)</f>
        <v>61.174320280000003</v>
      </c>
      <c r="E149" s="3">
        <f>VLOOKUP(A149,airports!A:H,8,FALSE)</f>
        <v>-149.99618559999999</v>
      </c>
      <c r="F149" s="3">
        <f>VLOOKUP(B149,airports!A:H,7,FALSE)</f>
        <v>42.212058890000002</v>
      </c>
      <c r="G149" s="3">
        <f>VLOOKUP(B149,airports!A:H,8,FALSE)</f>
        <v>-83.348835829999999</v>
      </c>
      <c r="H149">
        <f t="shared" si="4"/>
        <v>4792.3</v>
      </c>
      <c r="I149">
        <f t="shared" si="5"/>
        <v>2978</v>
      </c>
    </row>
    <row r="150" spans="1:9" ht="30" x14ac:dyDescent="0.25">
      <c r="A150" s="5" t="s">
        <v>265</v>
      </c>
      <c r="B150" s="5" t="s">
        <v>355</v>
      </c>
      <c r="C150" s="5" t="s">
        <v>356</v>
      </c>
      <c r="D150" s="3">
        <f>VLOOKUP(A150,airports!A:H,7,FALSE)</f>
        <v>61.174320280000003</v>
      </c>
      <c r="E150" s="3">
        <f>VLOOKUP(A150,airports!A:H,8,FALSE)</f>
        <v>-149.99618559999999</v>
      </c>
      <c r="F150" s="3">
        <f>VLOOKUP(B150,airports!A:H,7,FALSE)</f>
        <v>53.898809999999997</v>
      </c>
      <c r="G150" s="3">
        <f>VLOOKUP(B150,airports!A:H,8,FALSE)</f>
        <v>-166.544996</v>
      </c>
      <c r="H150">
        <f t="shared" si="4"/>
        <v>1270.5</v>
      </c>
      <c r="I150">
        <f t="shared" si="5"/>
        <v>789.5</v>
      </c>
    </row>
    <row r="151" spans="1:9" ht="30" x14ac:dyDescent="0.25">
      <c r="A151" s="5" t="s">
        <v>265</v>
      </c>
      <c r="B151" s="5" t="s">
        <v>52</v>
      </c>
      <c r="C151" s="5" t="s">
        <v>357</v>
      </c>
      <c r="D151" s="3">
        <f>VLOOKUP(A151,airports!A:H,7,FALSE)</f>
        <v>61.174320280000003</v>
      </c>
      <c r="E151" s="3">
        <f>VLOOKUP(A151,airports!A:H,8,FALSE)</f>
        <v>-149.99618559999999</v>
      </c>
      <c r="F151" s="3">
        <f>VLOOKUP(B151,airports!A:H,7,FALSE)</f>
        <v>40.69249722</v>
      </c>
      <c r="G151" s="3">
        <f>VLOOKUP(B151,airports!A:H,8,FALSE)</f>
        <v>-74.168660560000006</v>
      </c>
      <c r="H151">
        <f t="shared" si="4"/>
        <v>5409.1</v>
      </c>
      <c r="I151">
        <f t="shared" si="5"/>
        <v>3361.3</v>
      </c>
    </row>
    <row r="152" spans="1:9" ht="30" x14ac:dyDescent="0.25">
      <c r="A152" s="5" t="s">
        <v>265</v>
      </c>
      <c r="B152" s="5" t="s">
        <v>358</v>
      </c>
      <c r="C152" s="5" t="s">
        <v>359</v>
      </c>
      <c r="D152" s="3">
        <f>VLOOKUP(A152,airports!A:H,7,FALSE)</f>
        <v>61.174320280000003</v>
      </c>
      <c r="E152" s="3">
        <f>VLOOKUP(A152,airports!A:H,8,FALSE)</f>
        <v>-149.99618559999999</v>
      </c>
      <c r="F152" s="3">
        <f>VLOOKUP(B152,airports!A:H,7,FALSE)</f>
        <v>64.813677499999997</v>
      </c>
      <c r="G152" s="3">
        <f>VLOOKUP(B152,airports!A:H,8,FALSE)</f>
        <v>-147.8596694</v>
      </c>
      <c r="H152">
        <f t="shared" si="4"/>
        <v>418.7</v>
      </c>
      <c r="I152">
        <f t="shared" si="5"/>
        <v>260.2</v>
      </c>
    </row>
    <row r="153" spans="1:9" ht="30" x14ac:dyDescent="0.25">
      <c r="A153" s="5" t="s">
        <v>265</v>
      </c>
      <c r="B153" s="5" t="s">
        <v>360</v>
      </c>
      <c r="C153" s="5" t="s">
        <v>361</v>
      </c>
      <c r="D153" s="3">
        <f>VLOOKUP(A153,airports!A:H,7,FALSE)</f>
        <v>61.174320280000003</v>
      </c>
      <c r="E153" s="3">
        <f>VLOOKUP(A153,airports!A:H,8,FALSE)</f>
        <v>-149.99618559999999</v>
      </c>
      <c r="F153" s="3">
        <f>VLOOKUP(B153,airports!A:H,7,FALSE)</f>
        <v>21.31869111</v>
      </c>
      <c r="G153" s="3">
        <f>VLOOKUP(B153,airports!A:H,8,FALSE)</f>
        <v>-157.92240720000001</v>
      </c>
      <c r="H153">
        <f t="shared" si="4"/>
        <v>4474.2</v>
      </c>
      <c r="I153">
        <f t="shared" si="5"/>
        <v>2780.3</v>
      </c>
    </row>
    <row r="154" spans="1:9" ht="30" x14ac:dyDescent="0.25">
      <c r="A154" s="5" t="s">
        <v>265</v>
      </c>
      <c r="B154" s="5" t="s">
        <v>67</v>
      </c>
      <c r="C154" s="5" t="s">
        <v>362</v>
      </c>
      <c r="D154" s="3">
        <f>VLOOKUP(A154,airports!A:H,7,FALSE)</f>
        <v>61.174320280000003</v>
      </c>
      <c r="E154" s="3">
        <f>VLOOKUP(A154,airports!A:H,8,FALSE)</f>
        <v>-149.99618559999999</v>
      </c>
      <c r="F154" s="3">
        <f>VLOOKUP(B154,airports!A:H,7,FALSE)</f>
        <v>29.980472219999999</v>
      </c>
      <c r="G154" s="3">
        <f>VLOOKUP(B154,airports!A:H,8,FALSE)</f>
        <v>-95.339722219999999</v>
      </c>
      <c r="H154">
        <f t="shared" si="4"/>
        <v>5248.9</v>
      </c>
      <c r="I154">
        <f t="shared" si="5"/>
        <v>3261.7</v>
      </c>
    </row>
    <row r="155" spans="1:9" ht="30" x14ac:dyDescent="0.25">
      <c r="A155" s="5" t="s">
        <v>265</v>
      </c>
      <c r="B155" s="5" t="s">
        <v>69</v>
      </c>
      <c r="C155" s="5" t="s">
        <v>363</v>
      </c>
      <c r="D155" s="3">
        <f>VLOOKUP(A155,airports!A:H,7,FALSE)</f>
        <v>61.174320280000003</v>
      </c>
      <c r="E155" s="3">
        <f>VLOOKUP(A155,airports!A:H,8,FALSE)</f>
        <v>-149.99618559999999</v>
      </c>
      <c r="F155" s="3">
        <f>VLOOKUP(B155,airports!A:H,7,FALSE)</f>
        <v>40.639751109999999</v>
      </c>
      <c r="G155" s="3">
        <f>VLOOKUP(B155,airports!A:H,8,FALSE)</f>
        <v>-73.778925560000005</v>
      </c>
      <c r="H155">
        <f t="shared" si="4"/>
        <v>5434.2</v>
      </c>
      <c r="I155">
        <f t="shared" si="5"/>
        <v>3376.8</v>
      </c>
    </row>
    <row r="156" spans="1:9" ht="30" x14ac:dyDescent="0.25">
      <c r="A156" s="5" t="s">
        <v>265</v>
      </c>
      <c r="B156" s="5" t="s">
        <v>364</v>
      </c>
      <c r="C156" s="5" t="s">
        <v>365</v>
      </c>
      <c r="D156" s="3">
        <f>VLOOKUP(A156,airports!A:H,7,FALSE)</f>
        <v>61.174320280000003</v>
      </c>
      <c r="E156" s="3">
        <f>VLOOKUP(A156,airports!A:H,8,FALSE)</f>
        <v>-149.99618559999999</v>
      </c>
      <c r="F156" s="3">
        <f>VLOOKUP(B156,airports!A:H,7,FALSE)</f>
        <v>58.354961940000003</v>
      </c>
      <c r="G156" s="3">
        <f>VLOOKUP(B156,airports!A:H,8,FALSE)</f>
        <v>-134.57627640000001</v>
      </c>
      <c r="H156">
        <f t="shared" si="4"/>
        <v>915.9</v>
      </c>
      <c r="I156">
        <f t="shared" si="5"/>
        <v>569.20000000000005</v>
      </c>
    </row>
    <row r="157" spans="1:9" ht="30" x14ac:dyDescent="0.25">
      <c r="A157" s="5" t="s">
        <v>265</v>
      </c>
      <c r="B157" s="5" t="s">
        <v>366</v>
      </c>
      <c r="C157" s="5" t="s">
        <v>367</v>
      </c>
      <c r="D157" s="3">
        <f>VLOOKUP(A157,airports!A:H,7,FALSE)</f>
        <v>61.174320280000003</v>
      </c>
      <c r="E157" s="3">
        <f>VLOOKUP(A157,airports!A:H,8,FALSE)</f>
        <v>-149.99618559999999</v>
      </c>
      <c r="F157" s="3">
        <f>VLOOKUP(B157,airports!A:H,7,FALSE)</f>
        <v>19.738765829999998</v>
      </c>
      <c r="G157" s="3">
        <f>VLOOKUP(B157,airports!A:H,8,FALSE)</f>
        <v>-156.04563139999999</v>
      </c>
      <c r="H157">
        <f t="shared" si="4"/>
        <v>4631.7</v>
      </c>
      <c r="I157">
        <f t="shared" si="5"/>
        <v>2878.2</v>
      </c>
    </row>
    <row r="158" spans="1:9" ht="30" x14ac:dyDescent="0.25">
      <c r="A158" s="5" t="s">
        <v>265</v>
      </c>
      <c r="B158" s="5" t="s">
        <v>71</v>
      </c>
      <c r="C158" s="5" t="s">
        <v>368</v>
      </c>
      <c r="D158" s="3">
        <f>VLOOKUP(A158,airports!A:H,7,FALSE)</f>
        <v>61.174320280000003</v>
      </c>
      <c r="E158" s="3">
        <f>VLOOKUP(A158,airports!A:H,8,FALSE)</f>
        <v>-149.99618559999999</v>
      </c>
      <c r="F158" s="3">
        <f>VLOOKUP(B158,airports!A:H,7,FALSE)</f>
        <v>36.080361109999998</v>
      </c>
      <c r="G158" s="3">
        <f>VLOOKUP(B158,airports!A:H,8,FALSE)</f>
        <v>-115.1523333</v>
      </c>
      <c r="H158">
        <f t="shared" si="4"/>
        <v>3703.4</v>
      </c>
      <c r="I158">
        <f t="shared" si="5"/>
        <v>2301.4</v>
      </c>
    </row>
    <row r="159" spans="1:9" ht="30" x14ac:dyDescent="0.25">
      <c r="A159" s="5" t="s">
        <v>265</v>
      </c>
      <c r="B159" s="5" t="s">
        <v>73</v>
      </c>
      <c r="C159" s="5" t="s">
        <v>369</v>
      </c>
      <c r="D159" s="3">
        <f>VLOOKUP(A159,airports!A:H,7,FALSE)</f>
        <v>61.174320280000003</v>
      </c>
      <c r="E159" s="3">
        <f>VLOOKUP(A159,airports!A:H,8,FALSE)</f>
        <v>-149.99618559999999</v>
      </c>
      <c r="F159" s="3">
        <f>VLOOKUP(B159,airports!A:H,7,FALSE)</f>
        <v>33.942536109999999</v>
      </c>
      <c r="G159" s="3">
        <f>VLOOKUP(B159,airports!A:H,8,FALSE)</f>
        <v>-118.4080744</v>
      </c>
      <c r="H159">
        <f t="shared" si="4"/>
        <v>3770.8</v>
      </c>
      <c r="I159">
        <f t="shared" si="5"/>
        <v>2343.1999999999998</v>
      </c>
    </row>
    <row r="160" spans="1:9" ht="30" x14ac:dyDescent="0.25">
      <c r="A160" s="5" t="s">
        <v>265</v>
      </c>
      <c r="B160" s="5" t="s">
        <v>87</v>
      </c>
      <c r="C160" s="5" t="s">
        <v>370</v>
      </c>
      <c r="D160" s="3">
        <f>VLOOKUP(A160,airports!A:H,7,FALSE)</f>
        <v>61.174320280000003</v>
      </c>
      <c r="E160" s="3">
        <f>VLOOKUP(A160,airports!A:H,8,FALSE)</f>
        <v>-149.99618559999999</v>
      </c>
      <c r="F160" s="3">
        <f>VLOOKUP(B160,airports!A:H,7,FALSE)</f>
        <v>44.880546940000002</v>
      </c>
      <c r="G160" s="3">
        <f>VLOOKUP(B160,airports!A:H,8,FALSE)</f>
        <v>-93.216922499999995</v>
      </c>
      <c r="H160">
        <f t="shared" si="4"/>
        <v>4042.4</v>
      </c>
      <c r="I160">
        <f t="shared" si="5"/>
        <v>2512</v>
      </c>
    </row>
    <row r="161" spans="1:9" ht="30" x14ac:dyDescent="0.25">
      <c r="A161" s="5" t="s">
        <v>265</v>
      </c>
      <c r="B161" s="5" t="s">
        <v>371</v>
      </c>
      <c r="C161" s="5" t="s">
        <v>372</v>
      </c>
      <c r="D161" s="3">
        <f>VLOOKUP(A161,airports!A:H,7,FALSE)</f>
        <v>61.174320280000003</v>
      </c>
      <c r="E161" s="3">
        <f>VLOOKUP(A161,airports!A:H,8,FALSE)</f>
        <v>-149.99618559999999</v>
      </c>
      <c r="F161" s="3">
        <f>VLOOKUP(B161,airports!A:H,7,FALSE)</f>
        <v>20.898649720000002</v>
      </c>
      <c r="G161" s="3">
        <f>VLOOKUP(B161,airports!A:H,8,FALSE)</f>
        <v>-156.4304578</v>
      </c>
      <c r="H161">
        <f t="shared" si="4"/>
        <v>4506.3</v>
      </c>
      <c r="I161">
        <f t="shared" si="5"/>
        <v>2800.3</v>
      </c>
    </row>
    <row r="162" spans="1:9" ht="30" x14ac:dyDescent="0.25">
      <c r="A162" s="5" t="s">
        <v>265</v>
      </c>
      <c r="B162" s="5" t="s">
        <v>373</v>
      </c>
      <c r="C162" s="5" t="s">
        <v>374</v>
      </c>
      <c r="D162" s="3">
        <f>VLOOKUP(A162,airports!A:H,7,FALSE)</f>
        <v>61.174320280000003</v>
      </c>
      <c r="E162" s="3">
        <f>VLOOKUP(A162,airports!A:H,8,FALSE)</f>
        <v>-149.99618559999999</v>
      </c>
      <c r="F162" s="3">
        <f>VLOOKUP(B162,airports!A:H,7,FALSE)</f>
        <v>64.512202220000006</v>
      </c>
      <c r="G162" s="3">
        <f>VLOOKUP(B162,airports!A:H,8,FALSE)</f>
        <v>-165.44524580000001</v>
      </c>
      <c r="H162">
        <f t="shared" si="4"/>
        <v>864.5</v>
      </c>
      <c r="I162">
        <f t="shared" si="5"/>
        <v>537.20000000000005</v>
      </c>
    </row>
    <row r="163" spans="1:9" ht="30" x14ac:dyDescent="0.25">
      <c r="A163" s="5" t="s">
        <v>265</v>
      </c>
      <c r="B163" s="5" t="s">
        <v>95</v>
      </c>
      <c r="C163" s="5" t="s">
        <v>375</v>
      </c>
      <c r="D163" s="3">
        <f>VLOOKUP(A163,airports!A:H,7,FALSE)</f>
        <v>61.174320280000003</v>
      </c>
      <c r="E163" s="3">
        <f>VLOOKUP(A163,airports!A:H,8,FALSE)</f>
        <v>-149.99618559999999</v>
      </c>
      <c r="F163" s="3">
        <f>VLOOKUP(B163,airports!A:H,7,FALSE)</f>
        <v>41.979595000000003</v>
      </c>
      <c r="G163" s="3">
        <f>VLOOKUP(B163,airports!A:H,8,FALSE)</f>
        <v>-87.904464169999997</v>
      </c>
      <c r="H163">
        <f t="shared" si="4"/>
        <v>4568.3</v>
      </c>
      <c r="I163">
        <f t="shared" si="5"/>
        <v>2838.8</v>
      </c>
    </row>
    <row r="164" spans="1:9" ht="30" x14ac:dyDescent="0.25">
      <c r="A164" s="5" t="s">
        <v>265</v>
      </c>
      <c r="B164" s="5" t="s">
        <v>376</v>
      </c>
      <c r="C164" s="5" t="s">
        <v>377</v>
      </c>
      <c r="D164" s="3">
        <f>VLOOKUP(A164,airports!A:H,7,FALSE)</f>
        <v>61.174320280000003</v>
      </c>
      <c r="E164" s="3">
        <f>VLOOKUP(A164,airports!A:H,8,FALSE)</f>
        <v>-149.99618559999999</v>
      </c>
      <c r="F164" s="3">
        <f>VLOOKUP(B164,airports!A:H,7,FALSE)</f>
        <v>66.884676940000006</v>
      </c>
      <c r="G164" s="3">
        <f>VLOOKUP(B164,airports!A:H,8,FALSE)</f>
        <v>-162.59854970000001</v>
      </c>
      <c r="H164">
        <f t="shared" si="4"/>
        <v>879.9</v>
      </c>
      <c r="I164">
        <f t="shared" si="5"/>
        <v>546.79999999999995</v>
      </c>
    </row>
    <row r="165" spans="1:9" ht="30" x14ac:dyDescent="0.25">
      <c r="A165" s="5" t="s">
        <v>265</v>
      </c>
      <c r="B165" s="5" t="s">
        <v>100</v>
      </c>
      <c r="C165" s="5" t="s">
        <v>378</v>
      </c>
      <c r="D165" s="3">
        <f>VLOOKUP(A165,airports!A:H,7,FALSE)</f>
        <v>61.174320280000003</v>
      </c>
      <c r="E165" s="3">
        <f>VLOOKUP(A165,airports!A:H,8,FALSE)</f>
        <v>-149.99618559999999</v>
      </c>
      <c r="F165" s="3">
        <f>VLOOKUP(B165,airports!A:H,7,FALSE)</f>
        <v>45.588722220000001</v>
      </c>
      <c r="G165" s="3">
        <f>VLOOKUP(B165,airports!A:H,8,FALSE)</f>
        <v>-122.5975</v>
      </c>
      <c r="H165">
        <f t="shared" si="4"/>
        <v>2476.8000000000002</v>
      </c>
      <c r="I165">
        <f t="shared" si="5"/>
        <v>1539.1</v>
      </c>
    </row>
    <row r="166" spans="1:9" ht="30" x14ac:dyDescent="0.25">
      <c r="A166" s="5" t="s">
        <v>265</v>
      </c>
      <c r="B166" s="5" t="s">
        <v>104</v>
      </c>
      <c r="C166" s="5" t="s">
        <v>379</v>
      </c>
      <c r="D166" s="3">
        <f>VLOOKUP(A166,airports!A:H,7,FALSE)</f>
        <v>61.174320280000003</v>
      </c>
      <c r="E166" s="3">
        <f>VLOOKUP(A166,airports!A:H,8,FALSE)</f>
        <v>-149.99618559999999</v>
      </c>
      <c r="F166" s="3">
        <f>VLOOKUP(B166,airports!A:H,7,FALSE)</f>
        <v>33.434166670000003</v>
      </c>
      <c r="G166" s="3">
        <f>VLOOKUP(B166,airports!A:H,8,FALSE)</f>
        <v>-112.00805560000001</v>
      </c>
      <c r="H166">
        <f t="shared" si="4"/>
        <v>4101.6000000000004</v>
      </c>
      <c r="I166">
        <f t="shared" si="5"/>
        <v>2548.8000000000002</v>
      </c>
    </row>
    <row r="167" spans="1:9" ht="30" x14ac:dyDescent="0.25">
      <c r="A167" s="5" t="s">
        <v>265</v>
      </c>
      <c r="B167" s="5" t="s">
        <v>380</v>
      </c>
      <c r="C167" s="5" t="s">
        <v>381</v>
      </c>
      <c r="D167" s="3">
        <f>VLOOKUP(A167,airports!A:H,7,FALSE)</f>
        <v>61.174320280000003</v>
      </c>
      <c r="E167" s="3">
        <f>VLOOKUP(A167,airports!A:H,8,FALSE)</f>
        <v>-149.99618559999999</v>
      </c>
      <c r="F167" s="3">
        <f>VLOOKUP(B167,airports!A:H,7,FALSE)</f>
        <v>70.194755830000005</v>
      </c>
      <c r="G167" s="3">
        <f>VLOOKUP(B167,airports!A:H,8,FALSE)</f>
        <v>-148.46516080000001</v>
      </c>
      <c r="H167">
        <f t="shared" si="4"/>
        <v>1005.4</v>
      </c>
      <c r="I167">
        <f t="shared" si="5"/>
        <v>624.79999999999995</v>
      </c>
    </row>
    <row r="168" spans="1:9" ht="30" x14ac:dyDescent="0.25">
      <c r="A168" s="5" t="s">
        <v>265</v>
      </c>
      <c r="B168" s="5" t="s">
        <v>128</v>
      </c>
      <c r="C168" s="5" t="s">
        <v>382</v>
      </c>
      <c r="D168" s="3">
        <f>VLOOKUP(A168,airports!A:H,7,FALSE)</f>
        <v>61.174320280000003</v>
      </c>
      <c r="E168" s="3">
        <f>VLOOKUP(A168,airports!A:H,8,FALSE)</f>
        <v>-149.99618559999999</v>
      </c>
      <c r="F168" s="3">
        <f>VLOOKUP(B168,airports!A:H,7,FALSE)</f>
        <v>47.448981940000003</v>
      </c>
      <c r="G168" s="3">
        <f>VLOOKUP(B168,airports!A:H,8,FALSE)</f>
        <v>-122.3093131</v>
      </c>
      <c r="H168">
        <f t="shared" si="4"/>
        <v>2325.6</v>
      </c>
      <c r="I168">
        <f t="shared" si="5"/>
        <v>1445.2</v>
      </c>
    </row>
    <row r="169" spans="1:9" ht="30" x14ac:dyDescent="0.25">
      <c r="A169" s="5" t="s">
        <v>265</v>
      </c>
      <c r="B169" s="5" t="s">
        <v>130</v>
      </c>
      <c r="C169" s="5" t="s">
        <v>383</v>
      </c>
      <c r="D169" s="3">
        <f>VLOOKUP(A169,airports!A:H,7,FALSE)</f>
        <v>61.174320280000003</v>
      </c>
      <c r="E169" s="3">
        <f>VLOOKUP(A169,airports!A:H,8,FALSE)</f>
        <v>-149.99618559999999</v>
      </c>
      <c r="F169" s="3">
        <f>VLOOKUP(B169,airports!A:H,7,FALSE)</f>
        <v>37.619001939999997</v>
      </c>
      <c r="G169" s="3">
        <f>VLOOKUP(B169,airports!A:H,8,FALSE)</f>
        <v>-122.37484329999999</v>
      </c>
      <c r="H169">
        <f t="shared" si="4"/>
        <v>3243.9</v>
      </c>
      <c r="I169">
        <f t="shared" si="5"/>
        <v>2015.8</v>
      </c>
    </row>
    <row r="170" spans="1:9" ht="30" x14ac:dyDescent="0.25">
      <c r="A170" s="5" t="s">
        <v>265</v>
      </c>
      <c r="B170" s="5" t="s">
        <v>135</v>
      </c>
      <c r="C170" s="5" t="s">
        <v>384</v>
      </c>
      <c r="D170" s="3">
        <f>VLOOKUP(A170,airports!A:H,7,FALSE)</f>
        <v>61.174320280000003</v>
      </c>
      <c r="E170" s="3">
        <f>VLOOKUP(A170,airports!A:H,8,FALSE)</f>
        <v>-149.99618559999999</v>
      </c>
      <c r="F170" s="3">
        <f>VLOOKUP(B170,airports!A:H,7,FALSE)</f>
        <v>40.788387780000001</v>
      </c>
      <c r="G170" s="3">
        <f>VLOOKUP(B170,airports!A:H,8,FALSE)</f>
        <v>-111.97777309999999</v>
      </c>
      <c r="H170">
        <f t="shared" si="4"/>
        <v>3413</v>
      </c>
      <c r="I170">
        <f t="shared" si="5"/>
        <v>2120.9</v>
      </c>
    </row>
    <row r="171" spans="1:9" ht="30" x14ac:dyDescent="0.25">
      <c r="A171" s="5" t="s">
        <v>385</v>
      </c>
      <c r="B171" s="5" t="s">
        <v>50</v>
      </c>
      <c r="C171" s="5" t="s">
        <v>386</v>
      </c>
      <c r="D171" s="3">
        <f>VLOOKUP(A171,airports!A:H,7,FALSE)</f>
        <v>45.078067500000003</v>
      </c>
      <c r="E171" s="3">
        <f>VLOOKUP(A171,airports!A:H,8,FALSE)</f>
        <v>-83.560285829999998</v>
      </c>
      <c r="F171" s="3">
        <f>VLOOKUP(B171,airports!A:H,7,FALSE)</f>
        <v>42.212058890000002</v>
      </c>
      <c r="G171" s="3">
        <f>VLOOKUP(B171,airports!A:H,8,FALSE)</f>
        <v>-83.348835829999999</v>
      </c>
      <c r="H171">
        <f t="shared" si="4"/>
        <v>319.10000000000002</v>
      </c>
      <c r="I171">
        <f t="shared" si="5"/>
        <v>198.3</v>
      </c>
    </row>
    <row r="172" spans="1:9" ht="30" x14ac:dyDescent="0.25">
      <c r="A172" s="5" t="s">
        <v>385</v>
      </c>
      <c r="B172" s="5" t="s">
        <v>387</v>
      </c>
      <c r="C172" s="5" t="s">
        <v>388</v>
      </c>
      <c r="D172" s="3">
        <f>VLOOKUP(A172,airports!A:H,7,FALSE)</f>
        <v>45.078067500000003</v>
      </c>
      <c r="E172" s="3">
        <f>VLOOKUP(A172,airports!A:H,8,FALSE)</f>
        <v>-83.560285829999998</v>
      </c>
      <c r="F172" s="3">
        <f>VLOOKUP(B172,airports!A:H,7,FALSE)</f>
        <v>43.532914720000001</v>
      </c>
      <c r="G172" s="3">
        <f>VLOOKUP(B172,airports!A:H,8,FALSE)</f>
        <v>-84.079647219999998</v>
      </c>
      <c r="H172">
        <f t="shared" si="4"/>
        <v>176.7</v>
      </c>
      <c r="I172">
        <f t="shared" si="5"/>
        <v>109.8</v>
      </c>
    </row>
    <row r="173" spans="1:9" ht="30" x14ac:dyDescent="0.25">
      <c r="A173" s="5" t="s">
        <v>385</v>
      </c>
      <c r="B173" s="5" t="s">
        <v>389</v>
      </c>
      <c r="C173" s="5" t="s">
        <v>390</v>
      </c>
      <c r="D173" s="3">
        <f>VLOOKUP(A173,airports!A:H,7,FALSE)</f>
        <v>45.078067500000003</v>
      </c>
      <c r="E173" s="3">
        <f>VLOOKUP(A173,airports!A:H,8,FALSE)</f>
        <v>-83.560285829999998</v>
      </c>
      <c r="F173" s="3">
        <f>VLOOKUP(B173,airports!A:H,7,FALSE)</f>
        <v>45.570927500000003</v>
      </c>
      <c r="G173" s="3">
        <f>VLOOKUP(B173,airports!A:H,8,FALSE)</f>
        <v>-84.796715000000006</v>
      </c>
      <c r="H173">
        <f t="shared" si="4"/>
        <v>111.1</v>
      </c>
      <c r="I173">
        <f t="shared" si="5"/>
        <v>69</v>
      </c>
    </row>
    <row r="174" spans="1:9" ht="30" x14ac:dyDescent="0.25">
      <c r="A174" s="5" t="s">
        <v>391</v>
      </c>
      <c r="B174" s="5" t="s">
        <v>102</v>
      </c>
      <c r="C174" s="5" t="s">
        <v>392</v>
      </c>
      <c r="D174" s="3">
        <f>VLOOKUP(A174,airports!A:H,7,FALSE)</f>
        <v>43.991922219999999</v>
      </c>
      <c r="E174" s="3">
        <f>VLOOKUP(A174,airports!A:H,8,FALSE)</f>
        <v>-76.02173861</v>
      </c>
      <c r="F174" s="3">
        <f>VLOOKUP(B174,airports!A:H,7,FALSE)</f>
        <v>39.871952780000001</v>
      </c>
      <c r="G174" s="3">
        <f>VLOOKUP(B174,airports!A:H,8,FALSE)</f>
        <v>-75.241140830000006</v>
      </c>
      <c r="H174">
        <f t="shared" si="4"/>
        <v>462.6</v>
      </c>
      <c r="I174">
        <f t="shared" si="5"/>
        <v>287.5</v>
      </c>
    </row>
    <row r="175" spans="1:9" x14ac:dyDescent="0.25">
      <c r="A175" s="5" t="s">
        <v>393</v>
      </c>
      <c r="B175" s="5" t="s">
        <v>10</v>
      </c>
      <c r="C175" s="5" t="s">
        <v>394</v>
      </c>
      <c r="D175" s="3">
        <f>VLOOKUP(A175,airports!A:H,7,FALSE)</f>
        <v>39.22316</v>
      </c>
      <c r="E175" s="3">
        <f>VLOOKUP(A175,airports!A:H,8,FALSE)</f>
        <v>-106.86884499999999</v>
      </c>
      <c r="F175" s="3">
        <f>VLOOKUP(B175,airports!A:H,7,FALSE)</f>
        <v>33.640444440000003</v>
      </c>
      <c r="G175" s="3">
        <f>VLOOKUP(B175,airports!A:H,8,FALSE)</f>
        <v>-84.42694444</v>
      </c>
      <c r="H175">
        <f t="shared" si="4"/>
        <v>2095.1</v>
      </c>
      <c r="I175">
        <f t="shared" si="5"/>
        <v>1301.9000000000001</v>
      </c>
    </row>
    <row r="176" spans="1:9" ht="30" x14ac:dyDescent="0.25">
      <c r="A176" s="5" t="s">
        <v>393</v>
      </c>
      <c r="B176" s="5" t="s">
        <v>13</v>
      </c>
      <c r="C176" s="5" t="s">
        <v>395</v>
      </c>
      <c r="D176" s="3">
        <f>VLOOKUP(A176,airports!A:H,7,FALSE)</f>
        <v>39.22316</v>
      </c>
      <c r="E176" s="3">
        <f>VLOOKUP(A176,airports!A:H,8,FALSE)</f>
        <v>-106.86884499999999</v>
      </c>
      <c r="F176" s="3">
        <f>VLOOKUP(B176,airports!A:H,7,FALSE)</f>
        <v>30.194532779999999</v>
      </c>
      <c r="G176" s="3">
        <f>VLOOKUP(B176,airports!A:H,8,FALSE)</f>
        <v>-97.669871939999993</v>
      </c>
      <c r="H176">
        <f t="shared" si="4"/>
        <v>1308</v>
      </c>
      <c r="I176">
        <f t="shared" si="5"/>
        <v>812.8</v>
      </c>
    </row>
    <row r="177" spans="1:9" ht="30" x14ac:dyDescent="0.25">
      <c r="A177" s="5" t="s">
        <v>393</v>
      </c>
      <c r="B177" s="5" t="s">
        <v>47</v>
      </c>
      <c r="C177" s="5" t="s">
        <v>396</v>
      </c>
      <c r="D177" s="3">
        <f>VLOOKUP(A177,airports!A:H,7,FALSE)</f>
        <v>39.22316</v>
      </c>
      <c r="E177" s="3">
        <f>VLOOKUP(A177,airports!A:H,8,FALSE)</f>
        <v>-106.86884499999999</v>
      </c>
      <c r="F177" s="3">
        <f>VLOOKUP(B177,airports!A:H,7,FALSE)</f>
        <v>39.858408060000002</v>
      </c>
      <c r="G177" s="3">
        <f>VLOOKUP(B177,airports!A:H,8,FALSE)</f>
        <v>-104.6670019</v>
      </c>
      <c r="H177">
        <f t="shared" si="4"/>
        <v>201.6</v>
      </c>
      <c r="I177">
        <f t="shared" si="5"/>
        <v>125.3</v>
      </c>
    </row>
    <row r="178" spans="1:9" ht="30" x14ac:dyDescent="0.25">
      <c r="A178" s="5" t="s">
        <v>393</v>
      </c>
      <c r="B178" s="5" t="s">
        <v>49</v>
      </c>
      <c r="C178" s="5" t="s">
        <v>397</v>
      </c>
      <c r="D178" s="3">
        <f>VLOOKUP(A178,airports!A:H,7,FALSE)</f>
        <v>39.22316</v>
      </c>
      <c r="E178" s="3">
        <f>VLOOKUP(A178,airports!A:H,8,FALSE)</f>
        <v>-106.86884499999999</v>
      </c>
      <c r="F178" s="3">
        <f>VLOOKUP(B178,airports!A:H,7,FALSE)</f>
        <v>32.895950560000003</v>
      </c>
      <c r="G178" s="3">
        <f>VLOOKUP(B178,airports!A:H,8,FALSE)</f>
        <v>-97.037199999999999</v>
      </c>
      <c r="H178">
        <f t="shared" si="4"/>
        <v>1128.4000000000001</v>
      </c>
      <c r="I178">
        <f t="shared" si="5"/>
        <v>701.2</v>
      </c>
    </row>
    <row r="179" spans="1:9" x14ac:dyDescent="0.25">
      <c r="A179" s="5" t="s">
        <v>393</v>
      </c>
      <c r="B179" s="5" t="s">
        <v>67</v>
      </c>
      <c r="C179" s="5" t="s">
        <v>398</v>
      </c>
      <c r="D179" s="3">
        <f>VLOOKUP(A179,airports!A:H,7,FALSE)</f>
        <v>39.22316</v>
      </c>
      <c r="E179" s="3">
        <f>VLOOKUP(A179,airports!A:H,8,FALSE)</f>
        <v>-106.86884499999999</v>
      </c>
      <c r="F179" s="3">
        <f>VLOOKUP(B179,airports!A:H,7,FALSE)</f>
        <v>29.980472219999999</v>
      </c>
      <c r="G179" s="3">
        <f>VLOOKUP(B179,airports!A:H,8,FALSE)</f>
        <v>-95.339722219999999</v>
      </c>
      <c r="H179">
        <f t="shared" si="4"/>
        <v>1470.6</v>
      </c>
      <c r="I179">
        <f t="shared" si="5"/>
        <v>913.8</v>
      </c>
    </row>
    <row r="180" spans="1:9" x14ac:dyDescent="0.25">
      <c r="A180" s="5" t="s">
        <v>393</v>
      </c>
      <c r="B180" s="5" t="s">
        <v>73</v>
      </c>
      <c r="C180" s="5" t="s">
        <v>399</v>
      </c>
      <c r="D180" s="3">
        <f>VLOOKUP(A180,airports!A:H,7,FALSE)</f>
        <v>39.22316</v>
      </c>
      <c r="E180" s="3">
        <f>VLOOKUP(A180,airports!A:H,8,FALSE)</f>
        <v>-106.86884499999999</v>
      </c>
      <c r="F180" s="3">
        <f>VLOOKUP(B180,airports!A:H,7,FALSE)</f>
        <v>33.942536109999999</v>
      </c>
      <c r="G180" s="3">
        <f>VLOOKUP(B180,airports!A:H,8,FALSE)</f>
        <v>-118.4080744</v>
      </c>
      <c r="H180">
        <f t="shared" si="4"/>
        <v>1184.5</v>
      </c>
      <c r="I180">
        <f t="shared" si="5"/>
        <v>736.1</v>
      </c>
    </row>
    <row r="181" spans="1:9" ht="30" x14ac:dyDescent="0.25">
      <c r="A181" s="5" t="s">
        <v>393</v>
      </c>
      <c r="B181" s="5" t="s">
        <v>87</v>
      </c>
      <c r="C181" s="5" t="s">
        <v>400</v>
      </c>
      <c r="D181" s="3">
        <f>VLOOKUP(A181,airports!A:H,7,FALSE)</f>
        <v>39.22316</v>
      </c>
      <c r="E181" s="3">
        <f>VLOOKUP(A181,airports!A:H,8,FALSE)</f>
        <v>-106.86884499999999</v>
      </c>
      <c r="F181" s="3">
        <f>VLOOKUP(B181,airports!A:H,7,FALSE)</f>
        <v>44.880546940000002</v>
      </c>
      <c r="G181" s="3">
        <f>VLOOKUP(B181,airports!A:H,8,FALSE)</f>
        <v>-93.216922499999995</v>
      </c>
      <c r="H181">
        <f t="shared" si="4"/>
        <v>1288.4000000000001</v>
      </c>
      <c r="I181">
        <f t="shared" si="5"/>
        <v>800.6</v>
      </c>
    </row>
    <row r="182" spans="1:9" ht="30" x14ac:dyDescent="0.25">
      <c r="A182" s="5" t="s">
        <v>393</v>
      </c>
      <c r="B182" s="5" t="s">
        <v>91</v>
      </c>
      <c r="C182" s="5" t="s">
        <v>401</v>
      </c>
      <c r="D182" s="3">
        <f>VLOOKUP(A182,airports!A:H,7,FALSE)</f>
        <v>39.22316</v>
      </c>
      <c r="E182" s="3">
        <f>VLOOKUP(A182,airports!A:H,8,FALSE)</f>
        <v>-106.86884499999999</v>
      </c>
      <c r="F182" s="3">
        <f>VLOOKUP(B182,airports!A:H,7,FALSE)</f>
        <v>38.508867219999999</v>
      </c>
      <c r="G182" s="3">
        <f>VLOOKUP(B182,airports!A:H,8,FALSE)</f>
        <v>-107.8938333</v>
      </c>
      <c r="H182">
        <f t="shared" si="4"/>
        <v>119.1</v>
      </c>
      <c r="I182">
        <f t="shared" si="5"/>
        <v>74</v>
      </c>
    </row>
    <row r="183" spans="1:9" ht="30" x14ac:dyDescent="0.25">
      <c r="A183" s="5" t="s">
        <v>393</v>
      </c>
      <c r="B183" s="5" t="s">
        <v>95</v>
      </c>
      <c r="C183" s="5" t="s">
        <v>402</v>
      </c>
      <c r="D183" s="3">
        <f>VLOOKUP(A183,airports!A:H,7,FALSE)</f>
        <v>39.22316</v>
      </c>
      <c r="E183" s="3">
        <f>VLOOKUP(A183,airports!A:H,8,FALSE)</f>
        <v>-106.86884499999999</v>
      </c>
      <c r="F183" s="3">
        <f>VLOOKUP(B183,airports!A:H,7,FALSE)</f>
        <v>41.979595000000003</v>
      </c>
      <c r="G183" s="3">
        <f>VLOOKUP(B183,airports!A:H,8,FALSE)</f>
        <v>-87.904464169999997</v>
      </c>
      <c r="H183">
        <f t="shared" si="4"/>
        <v>1626.6</v>
      </c>
      <c r="I183">
        <f t="shared" si="5"/>
        <v>1010.8</v>
      </c>
    </row>
    <row r="184" spans="1:9" ht="30" x14ac:dyDescent="0.25">
      <c r="A184" s="5" t="s">
        <v>393</v>
      </c>
      <c r="B184" s="5" t="s">
        <v>104</v>
      </c>
      <c r="C184" s="5" t="s">
        <v>403</v>
      </c>
      <c r="D184" s="3">
        <f>VLOOKUP(A184,airports!A:H,7,FALSE)</f>
        <v>39.22316</v>
      </c>
      <c r="E184" s="3">
        <f>VLOOKUP(A184,airports!A:H,8,FALSE)</f>
        <v>-106.86884499999999</v>
      </c>
      <c r="F184" s="3">
        <f>VLOOKUP(B184,airports!A:H,7,FALSE)</f>
        <v>33.434166670000003</v>
      </c>
      <c r="G184" s="3">
        <f>VLOOKUP(B184,airports!A:H,8,FALSE)</f>
        <v>-112.00805560000001</v>
      </c>
      <c r="H184">
        <f t="shared" si="4"/>
        <v>791.1</v>
      </c>
      <c r="I184">
        <f t="shared" si="5"/>
        <v>491.6</v>
      </c>
    </row>
    <row r="185" spans="1:9" ht="30" x14ac:dyDescent="0.25">
      <c r="A185" s="5" t="s">
        <v>393</v>
      </c>
      <c r="B185" s="5" t="s">
        <v>130</v>
      </c>
      <c r="C185" s="5" t="s">
        <v>404</v>
      </c>
      <c r="D185" s="3">
        <f>VLOOKUP(A185,airports!A:H,7,FALSE)</f>
        <v>39.22316</v>
      </c>
      <c r="E185" s="3">
        <f>VLOOKUP(A185,airports!A:H,8,FALSE)</f>
        <v>-106.86884499999999</v>
      </c>
      <c r="F185" s="3">
        <f>VLOOKUP(B185,airports!A:H,7,FALSE)</f>
        <v>37.619001939999997</v>
      </c>
      <c r="G185" s="3">
        <f>VLOOKUP(B185,airports!A:H,8,FALSE)</f>
        <v>-122.37484329999999</v>
      </c>
      <c r="H185">
        <f t="shared" si="4"/>
        <v>1360.9</v>
      </c>
      <c r="I185">
        <f t="shared" si="5"/>
        <v>845.6</v>
      </c>
    </row>
    <row r="186" spans="1:9" x14ac:dyDescent="0.25">
      <c r="A186" s="5" t="s">
        <v>393</v>
      </c>
      <c r="B186" s="5" t="s">
        <v>135</v>
      </c>
      <c r="C186" s="5" t="s">
        <v>405</v>
      </c>
      <c r="D186" s="3">
        <f>VLOOKUP(A186,airports!A:H,7,FALSE)</f>
        <v>39.22316</v>
      </c>
      <c r="E186" s="3">
        <f>VLOOKUP(A186,airports!A:H,8,FALSE)</f>
        <v>-106.86884499999999</v>
      </c>
      <c r="F186" s="3">
        <f>VLOOKUP(B186,airports!A:H,7,FALSE)</f>
        <v>40.788387780000001</v>
      </c>
      <c r="G186" s="3">
        <f>VLOOKUP(B186,airports!A:H,8,FALSE)</f>
        <v>-111.97777309999999</v>
      </c>
      <c r="H186">
        <f t="shared" si="4"/>
        <v>468.6</v>
      </c>
      <c r="I186">
        <f t="shared" si="5"/>
        <v>291.2</v>
      </c>
    </row>
    <row r="187" spans="1:9" ht="30" x14ac:dyDescent="0.25">
      <c r="A187" s="5" t="s">
        <v>393</v>
      </c>
      <c r="B187" s="5" t="s">
        <v>227</v>
      </c>
      <c r="C187" s="5" t="s">
        <v>406</v>
      </c>
      <c r="D187" s="3">
        <f>VLOOKUP(A187,airports!A:H,7,FALSE)</f>
        <v>39.22316</v>
      </c>
      <c r="E187" s="3">
        <f>VLOOKUP(A187,airports!A:H,8,FALSE)</f>
        <v>-106.86884499999999</v>
      </c>
      <c r="F187" s="3">
        <f>VLOOKUP(B187,airports!A:H,7,FALSE)</f>
        <v>33.675658609999999</v>
      </c>
      <c r="G187" s="3">
        <f>VLOOKUP(B187,airports!A:H,8,FALSE)</f>
        <v>-117.8682225</v>
      </c>
      <c r="H187">
        <f t="shared" si="4"/>
        <v>1159.9000000000001</v>
      </c>
      <c r="I187">
        <f t="shared" si="5"/>
        <v>720.8</v>
      </c>
    </row>
    <row r="188" spans="1:9" x14ac:dyDescent="0.25">
      <c r="A188" s="5" t="s">
        <v>10</v>
      </c>
      <c r="B188" s="5" t="s">
        <v>170</v>
      </c>
      <c r="C188" s="5" t="s">
        <v>407</v>
      </c>
      <c r="D188" s="3">
        <f>VLOOKUP(A188,airports!A:H,7,FALSE)</f>
        <v>33.640444440000003</v>
      </c>
      <c r="E188" s="3">
        <f>VLOOKUP(A188,airports!A:H,8,FALSE)</f>
        <v>-84.42694444</v>
      </c>
      <c r="F188" s="3">
        <f>VLOOKUP(B188,airports!A:H,7,FALSE)</f>
        <v>40.652362779999997</v>
      </c>
      <c r="G188" s="3">
        <f>VLOOKUP(B188,airports!A:H,8,FALSE)</f>
        <v>-75.44040167</v>
      </c>
      <c r="H188">
        <f t="shared" si="4"/>
        <v>1113.4000000000001</v>
      </c>
      <c r="I188">
        <f t="shared" si="5"/>
        <v>691.9</v>
      </c>
    </row>
    <row r="189" spans="1:9" ht="30" x14ac:dyDescent="0.25">
      <c r="A189" s="5" t="s">
        <v>10</v>
      </c>
      <c r="B189" s="5" t="s">
        <v>2</v>
      </c>
      <c r="C189" s="5" t="s">
        <v>408</v>
      </c>
      <c r="D189" s="3">
        <f>VLOOKUP(A189,airports!A:H,7,FALSE)</f>
        <v>33.640444440000003</v>
      </c>
      <c r="E189" s="3">
        <f>VLOOKUP(A189,airports!A:H,8,FALSE)</f>
        <v>-84.42694444</v>
      </c>
      <c r="F189" s="3">
        <f>VLOOKUP(B189,airports!A:H,7,FALSE)</f>
        <v>35.040222219999997</v>
      </c>
      <c r="G189" s="3">
        <f>VLOOKUP(B189,airports!A:H,8,FALSE)</f>
        <v>-106.60919440000001</v>
      </c>
      <c r="H189">
        <f t="shared" si="4"/>
        <v>2038.4</v>
      </c>
      <c r="I189">
        <f t="shared" si="5"/>
        <v>1266.7</v>
      </c>
    </row>
    <row r="190" spans="1:9" x14ac:dyDescent="0.25">
      <c r="A190" s="5" t="s">
        <v>10</v>
      </c>
      <c r="B190" s="5" t="s">
        <v>231</v>
      </c>
      <c r="C190" s="5" t="s">
        <v>409</v>
      </c>
      <c r="D190" s="3">
        <f>VLOOKUP(A190,airports!A:H,7,FALSE)</f>
        <v>33.640444440000003</v>
      </c>
      <c r="E190" s="3">
        <f>VLOOKUP(A190,airports!A:H,8,FALSE)</f>
        <v>-84.42694444</v>
      </c>
      <c r="F190" s="3">
        <f>VLOOKUP(B190,airports!A:H,7,FALSE)</f>
        <v>31.535515</v>
      </c>
      <c r="G190" s="3">
        <f>VLOOKUP(B190,airports!A:H,8,FALSE)</f>
        <v>-84.194473329999994</v>
      </c>
      <c r="H190">
        <f t="shared" si="4"/>
        <v>235.1</v>
      </c>
      <c r="I190">
        <f t="shared" si="5"/>
        <v>146.1</v>
      </c>
    </row>
    <row r="191" spans="1:9" x14ac:dyDescent="0.25">
      <c r="A191" s="5" t="s">
        <v>10</v>
      </c>
      <c r="B191" s="5" t="s">
        <v>252</v>
      </c>
      <c r="C191" s="5" t="s">
        <v>410</v>
      </c>
      <c r="D191" s="3">
        <f>VLOOKUP(A191,airports!A:H,7,FALSE)</f>
        <v>33.640444440000003</v>
      </c>
      <c r="E191" s="3">
        <f>VLOOKUP(A191,airports!A:H,8,FALSE)</f>
        <v>-84.42694444</v>
      </c>
      <c r="F191" s="3">
        <f>VLOOKUP(B191,airports!A:H,7,FALSE)</f>
        <v>39.457583329999999</v>
      </c>
      <c r="G191" s="3">
        <f>VLOOKUP(B191,airports!A:H,8,FALSE)</f>
        <v>-74.577166669999997</v>
      </c>
      <c r="H191">
        <f t="shared" si="4"/>
        <v>1090.9000000000001</v>
      </c>
      <c r="I191">
        <f t="shared" si="5"/>
        <v>677.9</v>
      </c>
    </row>
    <row r="192" spans="1:9" x14ac:dyDescent="0.25">
      <c r="A192" s="5" t="s">
        <v>10</v>
      </c>
      <c r="B192" s="5" t="s">
        <v>271</v>
      </c>
      <c r="C192" s="5" t="s">
        <v>411</v>
      </c>
      <c r="D192" s="3">
        <f>VLOOKUP(A192,airports!A:H,7,FALSE)</f>
        <v>33.640444440000003</v>
      </c>
      <c r="E192" s="3">
        <f>VLOOKUP(A192,airports!A:H,8,FALSE)</f>
        <v>-84.42694444</v>
      </c>
      <c r="F192" s="3">
        <f>VLOOKUP(B192,airports!A:H,7,FALSE)</f>
        <v>31.327371670000002</v>
      </c>
      <c r="G192" s="3">
        <f>VLOOKUP(B192,airports!A:H,8,FALSE)</f>
        <v>-92.548556110000007</v>
      </c>
      <c r="H192">
        <f t="shared" si="4"/>
        <v>803.8</v>
      </c>
      <c r="I192">
        <f t="shared" si="5"/>
        <v>499.5</v>
      </c>
    </row>
    <row r="193" spans="1:9" ht="30" x14ac:dyDescent="0.25">
      <c r="A193" s="5" t="s">
        <v>10</v>
      </c>
      <c r="B193" s="5" t="s">
        <v>276</v>
      </c>
      <c r="C193" s="5" t="s">
        <v>412</v>
      </c>
      <c r="D193" s="3">
        <f>VLOOKUP(A193,airports!A:H,7,FALSE)</f>
        <v>33.640444440000003</v>
      </c>
      <c r="E193" s="3">
        <f>VLOOKUP(A193,airports!A:H,8,FALSE)</f>
        <v>-84.42694444</v>
      </c>
      <c r="F193" s="3">
        <f>VLOOKUP(B193,airports!A:H,7,FALSE)</f>
        <v>33.369954999999997</v>
      </c>
      <c r="G193" s="3">
        <f>VLOOKUP(B193,airports!A:H,8,FALSE)</f>
        <v>-81.964496109999999</v>
      </c>
      <c r="H193">
        <f t="shared" si="4"/>
        <v>230.3</v>
      </c>
      <c r="I193">
        <f t="shared" si="5"/>
        <v>143.1</v>
      </c>
    </row>
    <row r="194" spans="1:9" x14ac:dyDescent="0.25">
      <c r="A194" s="5" t="s">
        <v>10</v>
      </c>
      <c r="B194" s="5" t="s">
        <v>7</v>
      </c>
      <c r="C194" s="5" t="s">
        <v>413</v>
      </c>
      <c r="D194" s="3">
        <f>VLOOKUP(A194,airports!A:H,7,FALSE)</f>
        <v>33.640444440000003</v>
      </c>
      <c r="E194" s="3">
        <f>VLOOKUP(A194,airports!A:H,8,FALSE)</f>
        <v>-84.42694444</v>
      </c>
      <c r="F194" s="3">
        <f>VLOOKUP(B194,airports!A:H,7,FALSE)</f>
        <v>42.748119440000004</v>
      </c>
      <c r="G194" s="3">
        <f>VLOOKUP(B194,airports!A:H,8,FALSE)</f>
        <v>-73.802978609999997</v>
      </c>
      <c r="H194">
        <f t="shared" si="4"/>
        <v>1371.7</v>
      </c>
      <c r="I194">
        <f t="shared" si="5"/>
        <v>852.4</v>
      </c>
    </row>
    <row r="195" spans="1:9" ht="30" x14ac:dyDescent="0.25">
      <c r="A195" s="5" t="s">
        <v>10</v>
      </c>
      <c r="B195" s="5" t="s">
        <v>265</v>
      </c>
      <c r="C195" s="5" t="s">
        <v>414</v>
      </c>
      <c r="D195" s="3">
        <f>VLOOKUP(A195,airports!A:H,7,FALSE)</f>
        <v>33.640444440000003</v>
      </c>
      <c r="E195" s="3">
        <f>VLOOKUP(A195,airports!A:H,8,FALSE)</f>
        <v>-84.42694444</v>
      </c>
      <c r="F195" s="3">
        <f>VLOOKUP(B195,airports!A:H,7,FALSE)</f>
        <v>61.174320280000003</v>
      </c>
      <c r="G195" s="3">
        <f>VLOOKUP(B195,airports!A:H,8,FALSE)</f>
        <v>-149.99618559999999</v>
      </c>
      <c r="H195">
        <f t="shared" si="4"/>
        <v>5488.2</v>
      </c>
      <c r="I195">
        <f t="shared" si="5"/>
        <v>3410.4</v>
      </c>
    </row>
    <row r="196" spans="1:9" x14ac:dyDescent="0.25">
      <c r="A196" s="5" t="s">
        <v>10</v>
      </c>
      <c r="B196" s="5" t="s">
        <v>393</v>
      </c>
      <c r="C196" s="5" t="s">
        <v>415</v>
      </c>
      <c r="D196" s="3">
        <f>VLOOKUP(A196,airports!A:H,7,FALSE)</f>
        <v>33.640444440000003</v>
      </c>
      <c r="E196" s="3">
        <f>VLOOKUP(A196,airports!A:H,8,FALSE)</f>
        <v>-84.42694444</v>
      </c>
      <c r="F196" s="3">
        <f>VLOOKUP(B196,airports!A:H,7,FALSE)</f>
        <v>39.22316</v>
      </c>
      <c r="G196" s="3">
        <f>VLOOKUP(B196,airports!A:H,8,FALSE)</f>
        <v>-106.86884499999999</v>
      </c>
      <c r="H196">
        <f t="shared" ref="H196:H259" si="6">ROUND(ACOS(COS(RADIANS(90-D196)) * COS(RADIANS(90-F196)) + SIN(RADIANS(90-D196)) * SIN(RADIANS(90-F196)) * COS(RADIANS(E196-G196))) * 6371,1)</f>
        <v>2095.1</v>
      </c>
      <c r="I196">
        <f t="shared" ref="I196:I259" si="7">ROUND(ACOS(COS(RADIANS(90-D196)) * COS(RADIANS(90-F196)) + SIN(RADIANS(90-D196)) * SIN(RADIANS(90-F196)) * COS(RADIANS(E196-G196))) * 3959,1)</f>
        <v>1301.9000000000001</v>
      </c>
    </row>
    <row r="197" spans="1:9" ht="30" x14ac:dyDescent="0.25">
      <c r="A197" s="5" t="s">
        <v>10</v>
      </c>
      <c r="B197" s="5" t="s">
        <v>416</v>
      </c>
      <c r="C197" s="5" t="s">
        <v>417</v>
      </c>
      <c r="D197" s="3">
        <f>VLOOKUP(A197,airports!A:H,7,FALSE)</f>
        <v>33.640444440000003</v>
      </c>
      <c r="E197" s="3">
        <f>VLOOKUP(A197,airports!A:H,8,FALSE)</f>
        <v>-84.42694444</v>
      </c>
      <c r="F197" s="3">
        <f>VLOOKUP(B197,airports!A:H,7,FALSE)</f>
        <v>44.257408060000003</v>
      </c>
      <c r="G197" s="3">
        <f>VLOOKUP(B197,airports!A:H,8,FALSE)</f>
        <v>-88.519475560000004</v>
      </c>
      <c r="H197">
        <f t="shared" si="6"/>
        <v>1232</v>
      </c>
      <c r="I197">
        <f t="shared" si="7"/>
        <v>765.6</v>
      </c>
    </row>
    <row r="198" spans="1:9" ht="30" x14ac:dyDescent="0.25">
      <c r="A198" s="5" t="s">
        <v>10</v>
      </c>
      <c r="B198" s="5" t="s">
        <v>13</v>
      </c>
      <c r="C198" s="5" t="s">
        <v>418</v>
      </c>
      <c r="D198" s="3">
        <f>VLOOKUP(A198,airports!A:H,7,FALSE)</f>
        <v>33.640444440000003</v>
      </c>
      <c r="E198" s="3">
        <f>VLOOKUP(A198,airports!A:H,8,FALSE)</f>
        <v>-84.42694444</v>
      </c>
      <c r="F198" s="3">
        <f>VLOOKUP(B198,airports!A:H,7,FALSE)</f>
        <v>30.194532779999999</v>
      </c>
      <c r="G198" s="3">
        <f>VLOOKUP(B198,airports!A:H,8,FALSE)</f>
        <v>-97.669871939999993</v>
      </c>
      <c r="H198">
        <f t="shared" si="6"/>
        <v>1306.2</v>
      </c>
      <c r="I198">
        <f t="shared" si="7"/>
        <v>811.7</v>
      </c>
    </row>
    <row r="199" spans="1:9" x14ac:dyDescent="0.25">
      <c r="A199" s="5" t="s">
        <v>10</v>
      </c>
      <c r="B199" s="5" t="s">
        <v>419</v>
      </c>
      <c r="C199" s="5" t="s">
        <v>420</v>
      </c>
      <c r="D199" s="3">
        <f>VLOOKUP(A199,airports!A:H,7,FALSE)</f>
        <v>33.640444440000003</v>
      </c>
      <c r="E199" s="3">
        <f>VLOOKUP(A199,airports!A:H,8,FALSE)</f>
        <v>-84.42694444</v>
      </c>
      <c r="F199" s="3">
        <f>VLOOKUP(B199,airports!A:H,7,FALSE)</f>
        <v>35.436194440000001</v>
      </c>
      <c r="G199" s="3">
        <f>VLOOKUP(B199,airports!A:H,8,FALSE)</f>
        <v>-82.54180556</v>
      </c>
      <c r="H199">
        <f t="shared" si="6"/>
        <v>264</v>
      </c>
      <c r="I199">
        <f t="shared" si="7"/>
        <v>164</v>
      </c>
    </row>
    <row r="200" spans="1:9" ht="30" x14ac:dyDescent="0.25">
      <c r="A200" s="5" t="s">
        <v>10</v>
      </c>
      <c r="B200" s="5" t="s">
        <v>421</v>
      </c>
      <c r="C200" s="5" t="s">
        <v>422</v>
      </c>
      <c r="D200" s="3">
        <f>VLOOKUP(A200,airports!A:H,7,FALSE)</f>
        <v>33.640444440000003</v>
      </c>
      <c r="E200" s="3">
        <f>VLOOKUP(A200,airports!A:H,8,FALSE)</f>
        <v>-84.42694444</v>
      </c>
      <c r="F200" s="3">
        <f>VLOOKUP(B200,airports!A:H,7,FALSE)</f>
        <v>41.338149440000002</v>
      </c>
      <c r="G200" s="3">
        <f>VLOOKUP(B200,airports!A:H,8,FALSE)</f>
        <v>-75.724267499999996</v>
      </c>
      <c r="H200">
        <f t="shared" si="6"/>
        <v>1148.5999999999999</v>
      </c>
      <c r="I200">
        <f t="shared" si="7"/>
        <v>713.8</v>
      </c>
    </row>
    <row r="201" spans="1:9" x14ac:dyDescent="0.25">
      <c r="A201" s="5" t="s">
        <v>10</v>
      </c>
      <c r="B201" s="5" t="s">
        <v>16</v>
      </c>
      <c r="C201" s="5" t="s">
        <v>423</v>
      </c>
      <c r="D201" s="3">
        <f>VLOOKUP(A201,airports!A:H,7,FALSE)</f>
        <v>33.640444440000003</v>
      </c>
      <c r="E201" s="3">
        <f>VLOOKUP(A201,airports!A:H,8,FALSE)</f>
        <v>-84.42694444</v>
      </c>
      <c r="F201" s="3">
        <f>VLOOKUP(B201,airports!A:H,7,FALSE)</f>
        <v>41.938874169999998</v>
      </c>
      <c r="G201" s="3">
        <f>VLOOKUP(B201,airports!A:H,8,FALSE)</f>
        <v>-72.683228330000006</v>
      </c>
      <c r="H201">
        <f t="shared" si="6"/>
        <v>1381.9</v>
      </c>
      <c r="I201">
        <f t="shared" si="7"/>
        <v>858.8</v>
      </c>
    </row>
    <row r="202" spans="1:9" ht="30" x14ac:dyDescent="0.25">
      <c r="A202" s="5" t="s">
        <v>10</v>
      </c>
      <c r="B202" s="5" t="s">
        <v>233</v>
      </c>
      <c r="C202" s="5" t="s">
        <v>424</v>
      </c>
      <c r="D202" s="3">
        <f>VLOOKUP(A202,airports!A:H,7,FALSE)</f>
        <v>33.640444440000003</v>
      </c>
      <c r="E202" s="3">
        <f>VLOOKUP(A202,airports!A:H,8,FALSE)</f>
        <v>-84.42694444</v>
      </c>
      <c r="F202" s="3">
        <f>VLOOKUP(B202,airports!A:H,7,FALSE)</f>
        <v>44.807444439999998</v>
      </c>
      <c r="G202" s="3">
        <f>VLOOKUP(B202,airports!A:H,8,FALSE)</f>
        <v>-68.828138890000005</v>
      </c>
      <c r="H202">
        <f t="shared" si="6"/>
        <v>1823.6</v>
      </c>
      <c r="I202">
        <f t="shared" si="7"/>
        <v>1133.2</v>
      </c>
    </row>
    <row r="203" spans="1:9" ht="30" x14ac:dyDescent="0.25">
      <c r="A203" s="5" t="s">
        <v>10</v>
      </c>
      <c r="B203" s="5" t="s">
        <v>425</v>
      </c>
      <c r="C203" s="5" t="s">
        <v>426</v>
      </c>
      <c r="D203" s="3">
        <f>VLOOKUP(A203,airports!A:H,7,FALSE)</f>
        <v>33.640444440000003</v>
      </c>
      <c r="E203" s="3">
        <f>VLOOKUP(A203,airports!A:H,8,FALSE)</f>
        <v>-84.42694444</v>
      </c>
      <c r="F203" s="3">
        <f>VLOOKUP(B203,airports!A:H,7,FALSE)</f>
        <v>33.562943060000002</v>
      </c>
      <c r="G203" s="3">
        <f>VLOOKUP(B203,airports!A:H,8,FALSE)</f>
        <v>-86.753549719999995</v>
      </c>
      <c r="H203">
        <f t="shared" si="6"/>
        <v>215.6</v>
      </c>
      <c r="I203">
        <f t="shared" si="7"/>
        <v>134</v>
      </c>
    </row>
    <row r="204" spans="1:9" x14ac:dyDescent="0.25">
      <c r="A204" s="5" t="s">
        <v>10</v>
      </c>
      <c r="B204" s="5" t="s">
        <v>427</v>
      </c>
      <c r="C204" s="5" t="s">
        <v>428</v>
      </c>
      <c r="D204" s="3">
        <f>VLOOKUP(A204,airports!A:H,7,FALSE)</f>
        <v>33.640444440000003</v>
      </c>
      <c r="E204" s="3">
        <f>VLOOKUP(A204,airports!A:H,8,FALSE)</f>
        <v>-84.42694444</v>
      </c>
      <c r="F204" s="3">
        <f>VLOOKUP(B204,airports!A:H,7,FALSE)</f>
        <v>40.47798556</v>
      </c>
      <c r="G204" s="3">
        <f>VLOOKUP(B204,airports!A:H,8,FALSE)</f>
        <v>-88.915952779999998</v>
      </c>
      <c r="H204">
        <f t="shared" si="6"/>
        <v>858</v>
      </c>
      <c r="I204">
        <f t="shared" si="7"/>
        <v>533.20000000000005</v>
      </c>
    </row>
    <row r="205" spans="1:9" ht="30" x14ac:dyDescent="0.25">
      <c r="A205" s="5" t="s">
        <v>10</v>
      </c>
      <c r="B205" s="5" t="s">
        <v>19</v>
      </c>
      <c r="C205" s="5" t="s">
        <v>429</v>
      </c>
      <c r="D205" s="3">
        <f>VLOOKUP(A205,airports!A:H,7,FALSE)</f>
        <v>33.640444440000003</v>
      </c>
      <c r="E205" s="3">
        <f>VLOOKUP(A205,airports!A:H,8,FALSE)</f>
        <v>-84.42694444</v>
      </c>
      <c r="F205" s="3">
        <f>VLOOKUP(B205,airports!A:H,7,FALSE)</f>
        <v>36.12447667</v>
      </c>
      <c r="G205" s="3">
        <f>VLOOKUP(B205,airports!A:H,8,FALSE)</f>
        <v>-86.678182219999997</v>
      </c>
      <c r="H205">
        <f t="shared" si="6"/>
        <v>344.2</v>
      </c>
      <c r="I205">
        <f t="shared" si="7"/>
        <v>213.9</v>
      </c>
    </row>
    <row r="206" spans="1:9" x14ac:dyDescent="0.25">
      <c r="A206" s="5" t="s">
        <v>10</v>
      </c>
      <c r="B206" s="5" t="s">
        <v>22</v>
      </c>
      <c r="C206" s="5" t="s">
        <v>430</v>
      </c>
      <c r="D206" s="3">
        <f>VLOOKUP(A206,airports!A:H,7,FALSE)</f>
        <v>33.640444440000003</v>
      </c>
      <c r="E206" s="3">
        <f>VLOOKUP(A206,airports!A:H,8,FALSE)</f>
        <v>-84.42694444</v>
      </c>
      <c r="F206" s="3">
        <f>VLOOKUP(B206,airports!A:H,7,FALSE)</f>
        <v>43.564444440000003</v>
      </c>
      <c r="G206" s="3">
        <f>VLOOKUP(B206,airports!A:H,8,FALSE)</f>
        <v>-116.2227778</v>
      </c>
      <c r="H206">
        <f t="shared" si="6"/>
        <v>2952.7</v>
      </c>
      <c r="I206">
        <f t="shared" si="7"/>
        <v>1834.9</v>
      </c>
    </row>
    <row r="207" spans="1:9" ht="30" x14ac:dyDescent="0.25">
      <c r="A207" s="5" t="s">
        <v>10</v>
      </c>
      <c r="B207" s="5" t="s">
        <v>24</v>
      </c>
      <c r="C207" s="5" t="s">
        <v>431</v>
      </c>
      <c r="D207" s="3">
        <f>VLOOKUP(A207,airports!A:H,7,FALSE)</f>
        <v>33.640444440000003</v>
      </c>
      <c r="E207" s="3">
        <f>VLOOKUP(A207,airports!A:H,8,FALSE)</f>
        <v>-84.42694444</v>
      </c>
      <c r="F207" s="3">
        <f>VLOOKUP(B207,airports!A:H,7,FALSE)</f>
        <v>42.364347500000001</v>
      </c>
      <c r="G207" s="3">
        <f>VLOOKUP(B207,airports!A:H,8,FALSE)</f>
        <v>-71.005179170000005</v>
      </c>
      <c r="H207">
        <f t="shared" si="6"/>
        <v>1521.2</v>
      </c>
      <c r="I207">
        <f t="shared" si="7"/>
        <v>945.3</v>
      </c>
    </row>
    <row r="208" spans="1:9" ht="30" x14ac:dyDescent="0.25">
      <c r="A208" s="5" t="s">
        <v>10</v>
      </c>
      <c r="B208" s="5" t="s">
        <v>432</v>
      </c>
      <c r="C208" s="5" t="s">
        <v>433</v>
      </c>
      <c r="D208" s="3">
        <f>VLOOKUP(A208,airports!A:H,7,FALSE)</f>
        <v>33.640444440000003</v>
      </c>
      <c r="E208" s="3">
        <f>VLOOKUP(A208,airports!A:H,8,FALSE)</f>
        <v>-84.42694444</v>
      </c>
      <c r="F208" s="3">
        <f>VLOOKUP(B208,airports!A:H,7,FALSE)</f>
        <v>31.25902778</v>
      </c>
      <c r="G208" s="3">
        <f>VLOOKUP(B208,airports!A:H,8,FALSE)</f>
        <v>-81.466305559999995</v>
      </c>
      <c r="H208">
        <f t="shared" si="6"/>
        <v>383.8</v>
      </c>
      <c r="I208">
        <f t="shared" si="7"/>
        <v>238.5</v>
      </c>
    </row>
    <row r="209" spans="1:9" x14ac:dyDescent="0.25">
      <c r="A209" s="5" t="s">
        <v>10</v>
      </c>
      <c r="B209" s="5" t="s">
        <v>434</v>
      </c>
      <c r="C209" s="5" t="s">
        <v>435</v>
      </c>
      <c r="D209" s="3">
        <f>VLOOKUP(A209,airports!A:H,7,FALSE)</f>
        <v>33.640444440000003</v>
      </c>
      <c r="E209" s="3">
        <f>VLOOKUP(A209,airports!A:H,8,FALSE)</f>
        <v>-84.42694444</v>
      </c>
      <c r="F209" s="3">
        <f>VLOOKUP(B209,airports!A:H,7,FALSE)</f>
        <v>30.53316083</v>
      </c>
      <c r="G209" s="3">
        <f>VLOOKUP(B209,airports!A:H,8,FALSE)</f>
        <v>-91.14963444</v>
      </c>
      <c r="H209">
        <f t="shared" si="6"/>
        <v>721.2</v>
      </c>
      <c r="I209">
        <f t="shared" si="7"/>
        <v>448.2</v>
      </c>
    </row>
    <row r="210" spans="1:9" x14ac:dyDescent="0.25">
      <c r="A210" s="5" t="s">
        <v>10</v>
      </c>
      <c r="B210" s="5" t="s">
        <v>27</v>
      </c>
      <c r="C210" s="5" t="s">
        <v>436</v>
      </c>
      <c r="D210" s="3">
        <f>VLOOKUP(A210,airports!A:H,7,FALSE)</f>
        <v>33.640444440000003</v>
      </c>
      <c r="E210" s="3">
        <f>VLOOKUP(A210,airports!A:H,8,FALSE)</f>
        <v>-84.42694444</v>
      </c>
      <c r="F210" s="3">
        <f>VLOOKUP(B210,airports!A:H,7,FALSE)</f>
        <v>44.473003609999999</v>
      </c>
      <c r="G210" s="3">
        <f>VLOOKUP(B210,airports!A:H,8,FALSE)</f>
        <v>-73.150312499999998</v>
      </c>
      <c r="H210">
        <f t="shared" si="6"/>
        <v>1545.7</v>
      </c>
      <c r="I210">
        <f t="shared" si="7"/>
        <v>960.5</v>
      </c>
    </row>
    <row r="211" spans="1:9" x14ac:dyDescent="0.25">
      <c r="A211" s="5" t="s">
        <v>10</v>
      </c>
      <c r="B211" s="5" t="s">
        <v>29</v>
      </c>
      <c r="C211" s="5" t="s">
        <v>437</v>
      </c>
      <c r="D211" s="3">
        <f>VLOOKUP(A211,airports!A:H,7,FALSE)</f>
        <v>33.640444440000003</v>
      </c>
      <c r="E211" s="3">
        <f>VLOOKUP(A211,airports!A:H,8,FALSE)</f>
        <v>-84.42694444</v>
      </c>
      <c r="F211" s="3">
        <f>VLOOKUP(B211,airports!A:H,7,FALSE)</f>
        <v>42.940524719999999</v>
      </c>
      <c r="G211" s="3">
        <f>VLOOKUP(B211,airports!A:H,8,FALSE)</f>
        <v>-78.732166669999998</v>
      </c>
      <c r="H211">
        <f t="shared" si="6"/>
        <v>1146.5999999999999</v>
      </c>
      <c r="I211">
        <f t="shared" si="7"/>
        <v>712.5</v>
      </c>
    </row>
    <row r="212" spans="1:9" ht="30" x14ac:dyDescent="0.25">
      <c r="A212" s="5" t="s">
        <v>10</v>
      </c>
      <c r="B212" s="5" t="s">
        <v>30</v>
      </c>
      <c r="C212" s="5" t="s">
        <v>438</v>
      </c>
      <c r="D212" s="3">
        <f>VLOOKUP(A212,airports!A:H,7,FALSE)</f>
        <v>33.640444440000003</v>
      </c>
      <c r="E212" s="3">
        <f>VLOOKUP(A212,airports!A:H,8,FALSE)</f>
        <v>-84.42694444</v>
      </c>
      <c r="F212" s="3">
        <f>VLOOKUP(B212,airports!A:H,7,FALSE)</f>
        <v>34.200619170000003</v>
      </c>
      <c r="G212" s="3">
        <f>VLOOKUP(B212,airports!A:H,8,FALSE)</f>
        <v>-118.35849690000001</v>
      </c>
      <c r="H212">
        <f t="shared" si="6"/>
        <v>3116.9</v>
      </c>
      <c r="I212">
        <f t="shared" si="7"/>
        <v>1936.9</v>
      </c>
    </row>
    <row r="213" spans="1:9" ht="30" x14ac:dyDescent="0.25">
      <c r="A213" s="5" t="s">
        <v>10</v>
      </c>
      <c r="B213" s="5" t="s">
        <v>32</v>
      </c>
      <c r="C213" s="5" t="s">
        <v>439</v>
      </c>
      <c r="D213" s="3">
        <f>VLOOKUP(A213,airports!A:H,7,FALSE)</f>
        <v>33.640444440000003</v>
      </c>
      <c r="E213" s="3">
        <f>VLOOKUP(A213,airports!A:H,8,FALSE)</f>
        <v>-84.42694444</v>
      </c>
      <c r="F213" s="3">
        <f>VLOOKUP(B213,airports!A:H,7,FALSE)</f>
        <v>39.175401669999999</v>
      </c>
      <c r="G213" s="3">
        <f>VLOOKUP(B213,airports!A:H,8,FALSE)</f>
        <v>-76.668198329999996</v>
      </c>
      <c r="H213">
        <f t="shared" si="6"/>
        <v>927.2</v>
      </c>
      <c r="I213">
        <f t="shared" si="7"/>
        <v>576.20000000000005</v>
      </c>
    </row>
    <row r="214" spans="1:9" ht="30" x14ac:dyDescent="0.25">
      <c r="A214" s="5" t="s">
        <v>10</v>
      </c>
      <c r="B214" s="5" t="s">
        <v>34</v>
      </c>
      <c r="C214" s="5" t="s">
        <v>440</v>
      </c>
      <c r="D214" s="3">
        <f>VLOOKUP(A214,airports!A:H,7,FALSE)</f>
        <v>33.640444440000003</v>
      </c>
      <c r="E214" s="3">
        <f>VLOOKUP(A214,airports!A:H,8,FALSE)</f>
        <v>-84.42694444</v>
      </c>
      <c r="F214" s="3">
        <f>VLOOKUP(B214,airports!A:H,7,FALSE)</f>
        <v>45.776901389999999</v>
      </c>
      <c r="G214" s="3">
        <f>VLOOKUP(B214,airports!A:H,8,FALSE)</f>
        <v>-111.1530072</v>
      </c>
      <c r="H214">
        <f t="shared" si="6"/>
        <v>2636</v>
      </c>
      <c r="I214">
        <f t="shared" si="7"/>
        <v>1638.1</v>
      </c>
    </row>
    <row r="215" spans="1:9" x14ac:dyDescent="0.25">
      <c r="A215" s="5" t="s">
        <v>10</v>
      </c>
      <c r="B215" s="5" t="s">
        <v>441</v>
      </c>
      <c r="C215" s="5" t="s">
        <v>442</v>
      </c>
      <c r="D215" s="3">
        <f>VLOOKUP(A215,airports!A:H,7,FALSE)</f>
        <v>33.640444440000003</v>
      </c>
      <c r="E215" s="3">
        <f>VLOOKUP(A215,airports!A:H,8,FALSE)</f>
        <v>-84.42694444</v>
      </c>
      <c r="F215" s="3">
        <f>VLOOKUP(B215,airports!A:H,7,FALSE)</f>
        <v>33.938839999999999</v>
      </c>
      <c r="G215" s="3">
        <f>VLOOKUP(B215,airports!A:H,8,FALSE)</f>
        <v>-81.119539439999997</v>
      </c>
      <c r="H215">
        <f t="shared" si="6"/>
        <v>307.39999999999998</v>
      </c>
      <c r="I215">
        <f t="shared" si="7"/>
        <v>191</v>
      </c>
    </row>
    <row r="216" spans="1:9" ht="30" x14ac:dyDescent="0.25">
      <c r="A216" s="5" t="s">
        <v>10</v>
      </c>
      <c r="B216" s="5" t="s">
        <v>443</v>
      </c>
      <c r="C216" s="5" t="s">
        <v>444</v>
      </c>
      <c r="D216" s="3">
        <f>VLOOKUP(A216,airports!A:H,7,FALSE)</f>
        <v>33.640444440000003</v>
      </c>
      <c r="E216" s="3">
        <f>VLOOKUP(A216,airports!A:H,8,FALSE)</f>
        <v>-84.42694444</v>
      </c>
      <c r="F216" s="3">
        <f>VLOOKUP(B216,airports!A:H,7,FALSE)</f>
        <v>40.91631194</v>
      </c>
      <c r="G216" s="3">
        <f>VLOOKUP(B216,airports!A:H,8,FALSE)</f>
        <v>-81.442465560000002</v>
      </c>
      <c r="H216">
        <f t="shared" si="6"/>
        <v>850.9</v>
      </c>
      <c r="I216">
        <f t="shared" si="7"/>
        <v>528.70000000000005</v>
      </c>
    </row>
    <row r="217" spans="1:9" ht="30" x14ac:dyDescent="0.25">
      <c r="A217" s="5" t="s">
        <v>10</v>
      </c>
      <c r="B217" s="5" t="s">
        <v>445</v>
      </c>
      <c r="C217" s="5" t="s">
        <v>446</v>
      </c>
      <c r="D217" s="3">
        <f>VLOOKUP(A217,airports!A:H,7,FALSE)</f>
        <v>33.640444440000003</v>
      </c>
      <c r="E217" s="3">
        <f>VLOOKUP(A217,airports!A:H,8,FALSE)</f>
        <v>-84.42694444</v>
      </c>
      <c r="F217" s="3">
        <f>VLOOKUP(B217,airports!A:H,7,FALSE)</f>
        <v>35.035268330000001</v>
      </c>
      <c r="G217" s="3">
        <f>VLOOKUP(B217,airports!A:H,8,FALSE)</f>
        <v>-85.203787779999999</v>
      </c>
      <c r="H217">
        <f t="shared" si="6"/>
        <v>170.7</v>
      </c>
      <c r="I217">
        <f t="shared" si="7"/>
        <v>106.1</v>
      </c>
    </row>
    <row r="218" spans="1:9" ht="30" x14ac:dyDescent="0.25">
      <c r="A218" s="5" t="s">
        <v>10</v>
      </c>
      <c r="B218" s="5" t="s">
        <v>447</v>
      </c>
      <c r="C218" s="5" t="s">
        <v>448</v>
      </c>
      <c r="D218" s="3">
        <f>VLOOKUP(A218,airports!A:H,7,FALSE)</f>
        <v>33.640444440000003</v>
      </c>
      <c r="E218" s="3">
        <f>VLOOKUP(A218,airports!A:H,8,FALSE)</f>
        <v>-84.42694444</v>
      </c>
      <c r="F218" s="3">
        <f>VLOOKUP(B218,airports!A:H,7,FALSE)</f>
        <v>38.138638890000003</v>
      </c>
      <c r="G218" s="3">
        <f>VLOOKUP(B218,airports!A:H,8,FALSE)</f>
        <v>-78.452861110000001</v>
      </c>
      <c r="H218">
        <f t="shared" si="6"/>
        <v>734.4</v>
      </c>
      <c r="I218">
        <f t="shared" si="7"/>
        <v>456.4</v>
      </c>
    </row>
    <row r="219" spans="1:9" x14ac:dyDescent="0.25">
      <c r="A219" s="5" t="s">
        <v>10</v>
      </c>
      <c r="B219" s="5" t="s">
        <v>36</v>
      </c>
      <c r="C219" s="5" t="s">
        <v>449</v>
      </c>
      <c r="D219" s="3">
        <f>VLOOKUP(A219,airports!A:H,7,FALSE)</f>
        <v>33.640444440000003</v>
      </c>
      <c r="E219" s="3">
        <f>VLOOKUP(A219,airports!A:H,8,FALSE)</f>
        <v>-84.42694444</v>
      </c>
      <c r="F219" s="3">
        <f>VLOOKUP(B219,airports!A:H,7,FALSE)</f>
        <v>32.898646390000003</v>
      </c>
      <c r="G219" s="3">
        <f>VLOOKUP(B219,airports!A:H,8,FALSE)</f>
        <v>-80.040505830000001</v>
      </c>
      <c r="H219">
        <f t="shared" si="6"/>
        <v>416</v>
      </c>
      <c r="I219">
        <f t="shared" si="7"/>
        <v>258.5</v>
      </c>
    </row>
    <row r="220" spans="1:9" x14ac:dyDescent="0.25">
      <c r="A220" s="5" t="s">
        <v>10</v>
      </c>
      <c r="B220" s="5" t="s">
        <v>450</v>
      </c>
      <c r="C220" s="5" t="s">
        <v>451</v>
      </c>
      <c r="D220" s="3">
        <f>VLOOKUP(A220,airports!A:H,7,FALSE)</f>
        <v>33.640444440000003</v>
      </c>
      <c r="E220" s="3">
        <f>VLOOKUP(A220,airports!A:H,8,FALSE)</f>
        <v>-84.42694444</v>
      </c>
      <c r="F220" s="3">
        <f>VLOOKUP(B220,airports!A:H,7,FALSE)</f>
        <v>41.88458833</v>
      </c>
      <c r="G220" s="3">
        <f>VLOOKUP(B220,airports!A:H,8,FALSE)</f>
        <v>-91.710872219999999</v>
      </c>
      <c r="H220">
        <f t="shared" si="6"/>
        <v>1117.2</v>
      </c>
      <c r="I220">
        <f t="shared" si="7"/>
        <v>694.2</v>
      </c>
    </row>
    <row r="221" spans="1:9" x14ac:dyDescent="0.25">
      <c r="A221" s="5" t="s">
        <v>10</v>
      </c>
      <c r="B221" s="5" t="s">
        <v>38</v>
      </c>
      <c r="C221" s="5" t="s">
        <v>452</v>
      </c>
      <c r="D221" s="3">
        <f>VLOOKUP(A221,airports!A:H,7,FALSE)</f>
        <v>33.640444440000003</v>
      </c>
      <c r="E221" s="3">
        <f>VLOOKUP(A221,airports!A:H,8,FALSE)</f>
        <v>-84.42694444</v>
      </c>
      <c r="F221" s="3">
        <f>VLOOKUP(B221,airports!A:H,7,FALSE)</f>
        <v>41.410894169999999</v>
      </c>
      <c r="G221" s="3">
        <f>VLOOKUP(B221,airports!A:H,8,FALSE)</f>
        <v>-81.849396670000004</v>
      </c>
      <c r="H221">
        <f t="shared" si="6"/>
        <v>893.3</v>
      </c>
      <c r="I221">
        <f t="shared" si="7"/>
        <v>555.1</v>
      </c>
    </row>
    <row r="222" spans="1:9" x14ac:dyDescent="0.25">
      <c r="A222" s="5" t="s">
        <v>10</v>
      </c>
      <c r="B222" s="5" t="s">
        <v>40</v>
      </c>
      <c r="C222" s="5" t="s">
        <v>453</v>
      </c>
      <c r="D222" s="3">
        <f>VLOOKUP(A222,airports!A:H,7,FALSE)</f>
        <v>33.640444440000003</v>
      </c>
      <c r="E222" s="3">
        <f>VLOOKUP(A222,airports!A:H,8,FALSE)</f>
        <v>-84.42694444</v>
      </c>
      <c r="F222" s="3">
        <f>VLOOKUP(B222,airports!A:H,7,FALSE)</f>
        <v>35.214011110000001</v>
      </c>
      <c r="G222" s="3">
        <f>VLOOKUP(B222,airports!A:H,8,FALSE)</f>
        <v>-80.94312583</v>
      </c>
      <c r="H222">
        <f t="shared" si="6"/>
        <v>364.3</v>
      </c>
      <c r="I222">
        <f t="shared" si="7"/>
        <v>226.4</v>
      </c>
    </row>
    <row r="223" spans="1:9" ht="30" x14ac:dyDescent="0.25">
      <c r="A223" s="5" t="s">
        <v>10</v>
      </c>
      <c r="B223" s="5" t="s">
        <v>454</v>
      </c>
      <c r="C223" s="5" t="s">
        <v>455</v>
      </c>
      <c r="D223" s="3">
        <f>VLOOKUP(A223,airports!A:H,7,FALSE)</f>
        <v>33.640444440000003</v>
      </c>
      <c r="E223" s="3">
        <f>VLOOKUP(A223,airports!A:H,8,FALSE)</f>
        <v>-84.42694444</v>
      </c>
      <c r="F223" s="3">
        <f>VLOOKUP(B223,airports!A:H,7,FALSE)</f>
        <v>39.997985280000002</v>
      </c>
      <c r="G223" s="3">
        <f>VLOOKUP(B223,airports!A:H,8,FALSE)</f>
        <v>-82.891882780000003</v>
      </c>
      <c r="H223">
        <f t="shared" si="6"/>
        <v>720</v>
      </c>
      <c r="I223">
        <f t="shared" si="7"/>
        <v>447.4</v>
      </c>
    </row>
    <row r="224" spans="1:9" ht="30" x14ac:dyDescent="0.25">
      <c r="A224" s="5" t="s">
        <v>10</v>
      </c>
      <c r="B224" s="5" t="s">
        <v>456</v>
      </c>
      <c r="C224" s="5" t="s">
        <v>457</v>
      </c>
      <c r="D224" s="3">
        <f>VLOOKUP(A224,airports!A:H,7,FALSE)</f>
        <v>33.640444440000003</v>
      </c>
      <c r="E224" s="3">
        <f>VLOOKUP(A224,airports!A:H,8,FALSE)</f>
        <v>-84.42694444</v>
      </c>
      <c r="F224" s="3">
        <f>VLOOKUP(B224,airports!A:H,7,FALSE)</f>
        <v>38.805805560000003</v>
      </c>
      <c r="G224" s="3">
        <f>VLOOKUP(B224,airports!A:H,8,FALSE)</f>
        <v>-104.70025</v>
      </c>
      <c r="H224">
        <f t="shared" si="6"/>
        <v>1902.4</v>
      </c>
      <c r="I224">
        <f t="shared" si="7"/>
        <v>1182.2</v>
      </c>
    </row>
    <row r="225" spans="1:9" ht="30" x14ac:dyDescent="0.25">
      <c r="A225" s="5" t="s">
        <v>10</v>
      </c>
      <c r="B225" s="5" t="s">
        <v>458</v>
      </c>
      <c r="C225" s="5" t="s">
        <v>459</v>
      </c>
      <c r="D225" s="3">
        <f>VLOOKUP(A225,airports!A:H,7,FALSE)</f>
        <v>33.640444440000003</v>
      </c>
      <c r="E225" s="3">
        <f>VLOOKUP(A225,airports!A:H,8,FALSE)</f>
        <v>-84.42694444</v>
      </c>
      <c r="F225" s="3">
        <f>VLOOKUP(B225,airports!A:H,7,FALSE)</f>
        <v>38.37315083</v>
      </c>
      <c r="G225" s="3">
        <f>VLOOKUP(B225,airports!A:H,8,FALSE)</f>
        <v>-81.593189719999998</v>
      </c>
      <c r="H225">
        <f t="shared" si="6"/>
        <v>584.6</v>
      </c>
      <c r="I225">
        <f t="shared" si="7"/>
        <v>363.3</v>
      </c>
    </row>
    <row r="226" spans="1:9" x14ac:dyDescent="0.25">
      <c r="A226" s="5" t="s">
        <v>10</v>
      </c>
      <c r="B226" s="5" t="s">
        <v>460</v>
      </c>
      <c r="C226" s="5" t="s">
        <v>461</v>
      </c>
      <c r="D226" s="3">
        <f>VLOOKUP(A226,airports!A:H,7,FALSE)</f>
        <v>33.640444440000003</v>
      </c>
      <c r="E226" s="3">
        <f>VLOOKUP(A226,airports!A:H,8,FALSE)</f>
        <v>-84.42694444</v>
      </c>
      <c r="F226" s="3">
        <f>VLOOKUP(B226,airports!A:H,7,FALSE)</f>
        <v>32.516333330000002</v>
      </c>
      <c r="G226" s="3">
        <f>VLOOKUP(B226,airports!A:H,8,FALSE)</f>
        <v>-84.938861110000005</v>
      </c>
      <c r="H226">
        <f t="shared" si="6"/>
        <v>133.80000000000001</v>
      </c>
      <c r="I226">
        <f t="shared" si="7"/>
        <v>83.1</v>
      </c>
    </row>
    <row r="227" spans="1:9" ht="30" x14ac:dyDescent="0.25">
      <c r="A227" s="5" t="s">
        <v>10</v>
      </c>
      <c r="B227" s="5" t="s">
        <v>462</v>
      </c>
      <c r="C227" s="5" t="s">
        <v>463</v>
      </c>
      <c r="D227" s="3">
        <f>VLOOKUP(A227,airports!A:H,7,FALSE)</f>
        <v>33.640444440000003</v>
      </c>
      <c r="E227" s="3">
        <f>VLOOKUP(A227,airports!A:H,8,FALSE)</f>
        <v>-84.42694444</v>
      </c>
      <c r="F227" s="3">
        <f>VLOOKUP(B227,airports!A:H,7,FALSE)</f>
        <v>39.046142779999997</v>
      </c>
      <c r="G227" s="3">
        <f>VLOOKUP(B227,airports!A:H,8,FALSE)</f>
        <v>-84.662172499999997</v>
      </c>
      <c r="H227">
        <f t="shared" si="6"/>
        <v>601.5</v>
      </c>
      <c r="I227">
        <f t="shared" si="7"/>
        <v>373.7</v>
      </c>
    </row>
    <row r="228" spans="1:9" ht="30" x14ac:dyDescent="0.25">
      <c r="A228" s="5" t="s">
        <v>10</v>
      </c>
      <c r="B228" s="5" t="s">
        <v>464</v>
      </c>
      <c r="C228" s="5" t="s">
        <v>465</v>
      </c>
      <c r="D228" s="3">
        <f>VLOOKUP(A228,airports!A:H,7,FALSE)</f>
        <v>33.640444440000003</v>
      </c>
      <c r="E228" s="3">
        <f>VLOOKUP(A228,airports!A:H,8,FALSE)</f>
        <v>-84.42694444</v>
      </c>
      <c r="F228" s="3">
        <f>VLOOKUP(B228,airports!A:H,7,FALSE)</f>
        <v>29.179916670000001</v>
      </c>
      <c r="G228" s="3">
        <f>VLOOKUP(B228,airports!A:H,8,FALSE)</f>
        <v>-81.05805556</v>
      </c>
      <c r="H228">
        <f t="shared" si="6"/>
        <v>590</v>
      </c>
      <c r="I228">
        <f t="shared" si="7"/>
        <v>366.6</v>
      </c>
    </row>
    <row r="229" spans="1:9" x14ac:dyDescent="0.25">
      <c r="A229" s="5" t="s">
        <v>10</v>
      </c>
      <c r="B229" s="5" t="s">
        <v>201</v>
      </c>
      <c r="C229" s="5" t="s">
        <v>466</v>
      </c>
      <c r="D229" s="3">
        <f>VLOOKUP(A229,airports!A:H,7,FALSE)</f>
        <v>33.640444440000003</v>
      </c>
      <c r="E229" s="3">
        <f>VLOOKUP(A229,airports!A:H,8,FALSE)</f>
        <v>-84.42694444</v>
      </c>
      <c r="F229" s="3">
        <f>VLOOKUP(B229,airports!A:H,7,FALSE)</f>
        <v>32.847113890000003</v>
      </c>
      <c r="G229" s="3">
        <f>VLOOKUP(B229,airports!A:H,8,FALSE)</f>
        <v>-96.851772220000001</v>
      </c>
      <c r="H229">
        <f t="shared" si="6"/>
        <v>1158.0999999999999</v>
      </c>
      <c r="I229">
        <f t="shared" si="7"/>
        <v>719.7</v>
      </c>
    </row>
    <row r="230" spans="1:9" ht="30" x14ac:dyDescent="0.25">
      <c r="A230" s="5" t="s">
        <v>10</v>
      </c>
      <c r="B230" s="5" t="s">
        <v>467</v>
      </c>
      <c r="C230" s="5" t="s">
        <v>468</v>
      </c>
      <c r="D230" s="3">
        <f>VLOOKUP(A230,airports!A:H,7,FALSE)</f>
        <v>33.640444440000003</v>
      </c>
      <c r="E230" s="3">
        <f>VLOOKUP(A230,airports!A:H,8,FALSE)</f>
        <v>-84.42694444</v>
      </c>
      <c r="F230" s="3">
        <f>VLOOKUP(B230,airports!A:H,7,FALSE)</f>
        <v>39.902375829999997</v>
      </c>
      <c r="G230" s="3">
        <f>VLOOKUP(B230,airports!A:H,8,FALSE)</f>
        <v>-84.219374999999999</v>
      </c>
      <c r="H230">
        <f t="shared" si="6"/>
        <v>696.5</v>
      </c>
      <c r="I230">
        <f t="shared" si="7"/>
        <v>432.8</v>
      </c>
    </row>
    <row r="231" spans="1:9" ht="30" x14ac:dyDescent="0.25">
      <c r="A231" s="5" t="s">
        <v>10</v>
      </c>
      <c r="B231" s="5" t="s">
        <v>45</v>
      </c>
      <c r="C231" s="5" t="s">
        <v>469</v>
      </c>
      <c r="D231" s="3">
        <f>VLOOKUP(A231,airports!A:H,7,FALSE)</f>
        <v>33.640444440000003</v>
      </c>
      <c r="E231" s="3">
        <f>VLOOKUP(A231,airports!A:H,8,FALSE)</f>
        <v>-84.42694444</v>
      </c>
      <c r="F231" s="3">
        <f>VLOOKUP(B231,airports!A:H,7,FALSE)</f>
        <v>38.852083329999999</v>
      </c>
      <c r="G231" s="3">
        <f>VLOOKUP(B231,airports!A:H,8,FALSE)</f>
        <v>-77.037722220000006</v>
      </c>
      <c r="H231">
        <f t="shared" si="6"/>
        <v>879.7</v>
      </c>
      <c r="I231">
        <f t="shared" si="7"/>
        <v>546.70000000000005</v>
      </c>
    </row>
    <row r="232" spans="1:9" ht="30" x14ac:dyDescent="0.25">
      <c r="A232" s="5" t="s">
        <v>10</v>
      </c>
      <c r="B232" s="5" t="s">
        <v>47</v>
      </c>
      <c r="C232" s="5" t="s">
        <v>470</v>
      </c>
      <c r="D232" s="3">
        <f>VLOOKUP(A232,airports!A:H,7,FALSE)</f>
        <v>33.640444440000003</v>
      </c>
      <c r="E232" s="3">
        <f>VLOOKUP(A232,airports!A:H,8,FALSE)</f>
        <v>-84.42694444</v>
      </c>
      <c r="F232" s="3">
        <f>VLOOKUP(B232,airports!A:H,7,FALSE)</f>
        <v>39.858408060000002</v>
      </c>
      <c r="G232" s="3">
        <f>VLOOKUP(B232,airports!A:H,8,FALSE)</f>
        <v>-104.6670019</v>
      </c>
      <c r="H232">
        <f t="shared" si="6"/>
        <v>1925.9</v>
      </c>
      <c r="I232">
        <f t="shared" si="7"/>
        <v>1196.8</v>
      </c>
    </row>
    <row r="233" spans="1:9" ht="30" x14ac:dyDescent="0.25">
      <c r="A233" s="5" t="s">
        <v>10</v>
      </c>
      <c r="B233" s="5" t="s">
        <v>49</v>
      </c>
      <c r="C233" s="5" t="s">
        <v>471</v>
      </c>
      <c r="D233" s="3">
        <f>VLOOKUP(A233,airports!A:H,7,FALSE)</f>
        <v>33.640444440000003</v>
      </c>
      <c r="E233" s="3">
        <f>VLOOKUP(A233,airports!A:H,8,FALSE)</f>
        <v>-84.42694444</v>
      </c>
      <c r="F233" s="3">
        <f>VLOOKUP(B233,airports!A:H,7,FALSE)</f>
        <v>32.895950560000003</v>
      </c>
      <c r="G233" s="3">
        <f>VLOOKUP(B233,airports!A:H,8,FALSE)</f>
        <v>-97.037199999999999</v>
      </c>
      <c r="H233">
        <f t="shared" si="6"/>
        <v>1174.5999999999999</v>
      </c>
      <c r="I233">
        <f t="shared" si="7"/>
        <v>729.9</v>
      </c>
    </row>
    <row r="234" spans="1:9" ht="30" x14ac:dyDescent="0.25">
      <c r="A234" s="5" t="s">
        <v>10</v>
      </c>
      <c r="B234" s="5" t="s">
        <v>472</v>
      </c>
      <c r="C234" s="5" t="s">
        <v>473</v>
      </c>
      <c r="D234" s="3">
        <f>VLOOKUP(A234,airports!A:H,7,FALSE)</f>
        <v>33.640444440000003</v>
      </c>
      <c r="E234" s="3">
        <f>VLOOKUP(A234,airports!A:H,8,FALSE)</f>
        <v>-84.42694444</v>
      </c>
      <c r="F234" s="3">
        <f>VLOOKUP(B234,airports!A:H,7,FALSE)</f>
        <v>31.321339170000002</v>
      </c>
      <c r="G234" s="3">
        <f>VLOOKUP(B234,airports!A:H,8,FALSE)</f>
        <v>-85.44962889</v>
      </c>
      <c r="H234">
        <f t="shared" si="6"/>
        <v>275.10000000000002</v>
      </c>
      <c r="I234">
        <f t="shared" si="7"/>
        <v>171</v>
      </c>
    </row>
    <row r="235" spans="1:9" ht="30" x14ac:dyDescent="0.25">
      <c r="A235" s="5" t="s">
        <v>10</v>
      </c>
      <c r="B235" s="5" t="s">
        <v>474</v>
      </c>
      <c r="C235" s="5" t="s">
        <v>475</v>
      </c>
      <c r="D235" s="3">
        <f>VLOOKUP(A235,airports!A:H,7,FALSE)</f>
        <v>33.640444440000003</v>
      </c>
      <c r="E235" s="3">
        <f>VLOOKUP(A235,airports!A:H,8,FALSE)</f>
        <v>-84.42694444</v>
      </c>
      <c r="F235" s="3">
        <f>VLOOKUP(B235,airports!A:H,7,FALSE)</f>
        <v>41.53493306</v>
      </c>
      <c r="G235" s="3">
        <f>VLOOKUP(B235,airports!A:H,8,FALSE)</f>
        <v>-93.660682219999998</v>
      </c>
      <c r="H235">
        <f t="shared" si="6"/>
        <v>1195.5</v>
      </c>
      <c r="I235">
        <f t="shared" si="7"/>
        <v>742.9</v>
      </c>
    </row>
    <row r="236" spans="1:9" ht="30" x14ac:dyDescent="0.25">
      <c r="A236" s="5" t="s">
        <v>10</v>
      </c>
      <c r="B236" s="5" t="s">
        <v>50</v>
      </c>
      <c r="C236" s="5" t="s">
        <v>476</v>
      </c>
      <c r="D236" s="3">
        <f>VLOOKUP(A236,airports!A:H,7,FALSE)</f>
        <v>33.640444440000003</v>
      </c>
      <c r="E236" s="3">
        <f>VLOOKUP(A236,airports!A:H,8,FALSE)</f>
        <v>-84.42694444</v>
      </c>
      <c r="F236" s="3">
        <f>VLOOKUP(B236,airports!A:H,7,FALSE)</f>
        <v>42.212058890000002</v>
      </c>
      <c r="G236" s="3">
        <f>VLOOKUP(B236,airports!A:H,8,FALSE)</f>
        <v>-83.348835829999999</v>
      </c>
      <c r="H236">
        <f t="shared" si="6"/>
        <v>957.8</v>
      </c>
      <c r="I236">
        <f t="shared" si="7"/>
        <v>595.20000000000005</v>
      </c>
    </row>
    <row r="237" spans="1:9" x14ac:dyDescent="0.25">
      <c r="A237" s="5" t="s">
        <v>10</v>
      </c>
      <c r="B237" s="5" t="s">
        <v>477</v>
      </c>
      <c r="C237" s="5" t="s">
        <v>478</v>
      </c>
      <c r="D237" s="3">
        <f>VLOOKUP(A237,airports!A:H,7,FALSE)</f>
        <v>33.640444440000003</v>
      </c>
      <c r="E237" s="3">
        <f>VLOOKUP(A237,airports!A:H,8,FALSE)</f>
        <v>-84.42694444</v>
      </c>
      <c r="F237" s="3">
        <f>VLOOKUP(B237,airports!A:H,7,FALSE)</f>
        <v>30.357106000000002</v>
      </c>
      <c r="G237" s="3">
        <f>VLOOKUP(B237,airports!A:H,8,FALSE)</f>
        <v>-85.795413999999994</v>
      </c>
      <c r="H237">
        <f t="shared" si="6"/>
        <v>387.2</v>
      </c>
      <c r="I237">
        <f t="shared" si="7"/>
        <v>240.6</v>
      </c>
    </row>
    <row r="238" spans="1:9" x14ac:dyDescent="0.25">
      <c r="A238" s="5" t="s">
        <v>10</v>
      </c>
      <c r="B238" s="5" t="s">
        <v>479</v>
      </c>
      <c r="C238" s="5" t="s">
        <v>480</v>
      </c>
      <c r="D238" s="3">
        <f>VLOOKUP(A238,airports!A:H,7,FALSE)</f>
        <v>33.640444440000003</v>
      </c>
      <c r="E238" s="3">
        <f>VLOOKUP(A238,airports!A:H,8,FALSE)</f>
        <v>-84.42694444</v>
      </c>
      <c r="F238" s="3">
        <f>VLOOKUP(B238,airports!A:H,7,FALSE)</f>
        <v>39.64256778</v>
      </c>
      <c r="G238" s="3">
        <f>VLOOKUP(B238,airports!A:H,8,FALSE)</f>
        <v>-106.91769530000001</v>
      </c>
      <c r="H238">
        <f t="shared" si="6"/>
        <v>2108</v>
      </c>
      <c r="I238">
        <f t="shared" si="7"/>
        <v>1309.9000000000001</v>
      </c>
    </row>
    <row r="239" spans="1:9" ht="30" x14ac:dyDescent="0.25">
      <c r="A239" s="5" t="s">
        <v>10</v>
      </c>
      <c r="B239" s="5" t="s">
        <v>481</v>
      </c>
      <c r="C239" s="5" t="s">
        <v>482</v>
      </c>
      <c r="D239" s="3">
        <f>VLOOKUP(A239,airports!A:H,7,FALSE)</f>
        <v>33.640444440000003</v>
      </c>
      <c r="E239" s="3">
        <f>VLOOKUP(A239,airports!A:H,8,FALSE)</f>
        <v>-84.42694444</v>
      </c>
      <c r="F239" s="3">
        <f>VLOOKUP(B239,airports!A:H,7,FALSE)</f>
        <v>42.159913609999997</v>
      </c>
      <c r="G239" s="3">
        <f>VLOOKUP(B239,airports!A:H,8,FALSE)</f>
        <v>-76.891443330000001</v>
      </c>
      <c r="H239">
        <f t="shared" si="6"/>
        <v>1154.2</v>
      </c>
      <c r="I239">
        <f t="shared" si="7"/>
        <v>717.2</v>
      </c>
    </row>
    <row r="240" spans="1:9" x14ac:dyDescent="0.25">
      <c r="A240" s="5" t="s">
        <v>10</v>
      </c>
      <c r="B240" s="5" t="s">
        <v>483</v>
      </c>
      <c r="C240" s="5" t="s">
        <v>484</v>
      </c>
      <c r="D240" s="3">
        <f>VLOOKUP(A240,airports!A:H,7,FALSE)</f>
        <v>33.640444440000003</v>
      </c>
      <c r="E240" s="3">
        <f>VLOOKUP(A240,airports!A:H,8,FALSE)</f>
        <v>-84.42694444</v>
      </c>
      <c r="F240" s="3">
        <f>VLOOKUP(B240,airports!A:H,7,FALSE)</f>
        <v>31.806666669999998</v>
      </c>
      <c r="G240" s="3">
        <f>VLOOKUP(B240,airports!A:H,8,FALSE)</f>
        <v>-106.3778056</v>
      </c>
      <c r="H240">
        <f t="shared" si="6"/>
        <v>2059.6999999999998</v>
      </c>
      <c r="I240">
        <f t="shared" si="7"/>
        <v>1279.9000000000001</v>
      </c>
    </row>
    <row r="241" spans="1:9" ht="30" x14ac:dyDescent="0.25">
      <c r="A241" s="5" t="s">
        <v>10</v>
      </c>
      <c r="B241" s="5" t="s">
        <v>485</v>
      </c>
      <c r="C241" s="5" t="s">
        <v>486</v>
      </c>
      <c r="D241" s="3">
        <f>VLOOKUP(A241,airports!A:H,7,FALSE)</f>
        <v>33.640444440000003</v>
      </c>
      <c r="E241" s="3">
        <f>VLOOKUP(A241,airports!A:H,8,FALSE)</f>
        <v>-84.42694444</v>
      </c>
      <c r="F241" s="3">
        <f>VLOOKUP(B241,airports!A:H,7,FALSE)</f>
        <v>38.037991390000002</v>
      </c>
      <c r="G241" s="3">
        <f>VLOOKUP(B241,airports!A:H,8,FALSE)</f>
        <v>-87.530626670000004</v>
      </c>
      <c r="H241">
        <f t="shared" si="6"/>
        <v>563.29999999999995</v>
      </c>
      <c r="I241">
        <f t="shared" si="7"/>
        <v>350</v>
      </c>
    </row>
    <row r="242" spans="1:9" ht="30" x14ac:dyDescent="0.25">
      <c r="A242" s="5" t="s">
        <v>10</v>
      </c>
      <c r="B242" s="5" t="s">
        <v>487</v>
      </c>
      <c r="C242" s="5" t="s">
        <v>488</v>
      </c>
      <c r="D242" s="3">
        <f>VLOOKUP(A242,airports!A:H,7,FALSE)</f>
        <v>33.640444440000003</v>
      </c>
      <c r="E242" s="3">
        <f>VLOOKUP(A242,airports!A:H,8,FALSE)</f>
        <v>-84.42694444</v>
      </c>
      <c r="F242" s="3">
        <f>VLOOKUP(B242,airports!A:H,7,FALSE)</f>
        <v>35.072972219999997</v>
      </c>
      <c r="G242" s="3">
        <f>VLOOKUP(B242,airports!A:H,8,FALSE)</f>
        <v>-77.042944439999999</v>
      </c>
      <c r="H242">
        <f t="shared" si="6"/>
        <v>696.1</v>
      </c>
      <c r="I242">
        <f t="shared" si="7"/>
        <v>432.6</v>
      </c>
    </row>
    <row r="243" spans="1:9" ht="30" x14ac:dyDescent="0.25">
      <c r="A243" s="5" t="s">
        <v>10</v>
      </c>
      <c r="B243" s="5" t="s">
        <v>52</v>
      </c>
      <c r="C243" s="5" t="s">
        <v>489</v>
      </c>
      <c r="D243" s="3">
        <f>VLOOKUP(A243,airports!A:H,7,FALSE)</f>
        <v>33.640444440000003</v>
      </c>
      <c r="E243" s="3">
        <f>VLOOKUP(A243,airports!A:H,8,FALSE)</f>
        <v>-84.42694444</v>
      </c>
      <c r="F243" s="3">
        <f>VLOOKUP(B243,airports!A:H,7,FALSE)</f>
        <v>40.69249722</v>
      </c>
      <c r="G243" s="3">
        <f>VLOOKUP(B243,airports!A:H,8,FALSE)</f>
        <v>-74.168660560000006</v>
      </c>
      <c r="H243">
        <f t="shared" si="6"/>
        <v>1199</v>
      </c>
      <c r="I243">
        <f t="shared" si="7"/>
        <v>745</v>
      </c>
    </row>
    <row r="244" spans="1:9" ht="30" x14ac:dyDescent="0.25">
      <c r="A244" s="5" t="s">
        <v>10</v>
      </c>
      <c r="B244" s="5" t="s">
        <v>54</v>
      </c>
      <c r="C244" s="5" t="s">
        <v>490</v>
      </c>
      <c r="D244" s="3">
        <f>VLOOKUP(A244,airports!A:H,7,FALSE)</f>
        <v>33.640444440000003</v>
      </c>
      <c r="E244" s="3">
        <f>VLOOKUP(A244,airports!A:H,8,FALSE)</f>
        <v>-84.42694444</v>
      </c>
      <c r="F244" s="3">
        <f>VLOOKUP(B244,airports!A:H,7,FALSE)</f>
        <v>24.55611111</v>
      </c>
      <c r="G244" s="3">
        <f>VLOOKUP(B244,airports!A:H,8,FALSE)</f>
        <v>-81.759555559999995</v>
      </c>
      <c r="H244">
        <f t="shared" si="6"/>
        <v>1042.7</v>
      </c>
      <c r="I244">
        <f t="shared" si="7"/>
        <v>648</v>
      </c>
    </row>
    <row r="245" spans="1:9" x14ac:dyDescent="0.25">
      <c r="A245" s="5" t="s">
        <v>10</v>
      </c>
      <c r="B245" s="5" t="s">
        <v>491</v>
      </c>
      <c r="C245" s="5" t="s">
        <v>492</v>
      </c>
      <c r="D245" s="3">
        <f>VLOOKUP(A245,airports!A:H,7,FALSE)</f>
        <v>33.640444440000003</v>
      </c>
      <c r="E245" s="3">
        <f>VLOOKUP(A245,airports!A:H,8,FALSE)</f>
        <v>-84.42694444</v>
      </c>
      <c r="F245" s="3">
        <f>VLOOKUP(B245,airports!A:H,7,FALSE)</f>
        <v>46.919348890000002</v>
      </c>
      <c r="G245" s="3">
        <f>VLOOKUP(B245,airports!A:H,8,FALSE)</f>
        <v>-96.814988889999995</v>
      </c>
      <c r="H245">
        <f t="shared" si="6"/>
        <v>1807.5</v>
      </c>
      <c r="I245">
        <f t="shared" si="7"/>
        <v>1123.2</v>
      </c>
    </row>
    <row r="246" spans="1:9" x14ac:dyDescent="0.25">
      <c r="A246" s="5" t="s">
        <v>10</v>
      </c>
      <c r="B246" s="5" t="s">
        <v>493</v>
      </c>
      <c r="C246" s="5" t="s">
        <v>494</v>
      </c>
      <c r="D246" s="3">
        <f>VLOOKUP(A246,airports!A:H,7,FALSE)</f>
        <v>33.640444440000003</v>
      </c>
      <c r="E246" s="3">
        <f>VLOOKUP(A246,airports!A:H,8,FALSE)</f>
        <v>-84.42694444</v>
      </c>
      <c r="F246" s="3">
        <f>VLOOKUP(B246,airports!A:H,7,FALSE)</f>
        <v>34.991472219999999</v>
      </c>
      <c r="G246" s="3">
        <f>VLOOKUP(B246,airports!A:H,8,FALSE)</f>
        <v>-78.88</v>
      </c>
      <c r="H246">
        <f t="shared" si="6"/>
        <v>531</v>
      </c>
      <c r="I246">
        <f t="shared" si="7"/>
        <v>330</v>
      </c>
    </row>
    <row r="247" spans="1:9" x14ac:dyDescent="0.25">
      <c r="A247" s="5" t="s">
        <v>10</v>
      </c>
      <c r="B247" s="5" t="s">
        <v>56</v>
      </c>
      <c r="C247" s="5" t="s">
        <v>495</v>
      </c>
      <c r="D247" s="3">
        <f>VLOOKUP(A247,airports!A:H,7,FALSE)</f>
        <v>33.640444440000003</v>
      </c>
      <c r="E247" s="3">
        <f>VLOOKUP(A247,airports!A:H,8,FALSE)</f>
        <v>-84.42694444</v>
      </c>
      <c r="F247" s="3">
        <f>VLOOKUP(B247,airports!A:H,7,FALSE)</f>
        <v>48.311404719999999</v>
      </c>
      <c r="G247" s="3">
        <f>VLOOKUP(B247,airports!A:H,8,FALSE)</f>
        <v>-114.2550694</v>
      </c>
      <c r="H247">
        <f t="shared" si="6"/>
        <v>2959.4</v>
      </c>
      <c r="I247">
        <f t="shared" si="7"/>
        <v>1839</v>
      </c>
    </row>
    <row r="248" spans="1:9" x14ac:dyDescent="0.25">
      <c r="A248" s="5" t="s">
        <v>10</v>
      </c>
      <c r="B248" s="5" t="s">
        <v>57</v>
      </c>
      <c r="C248" s="5" t="s">
        <v>496</v>
      </c>
      <c r="D248" s="3">
        <f>VLOOKUP(A248,airports!A:H,7,FALSE)</f>
        <v>33.640444440000003</v>
      </c>
      <c r="E248" s="3">
        <f>VLOOKUP(A248,airports!A:H,8,FALSE)</f>
        <v>-84.42694444</v>
      </c>
      <c r="F248" s="3">
        <f>VLOOKUP(B248,airports!A:H,7,FALSE)</f>
        <v>26.072583330000001</v>
      </c>
      <c r="G248" s="3">
        <f>VLOOKUP(B248,airports!A:H,8,FALSE)</f>
        <v>-80.152749999999997</v>
      </c>
      <c r="H248">
        <f t="shared" si="6"/>
        <v>936.8</v>
      </c>
      <c r="I248">
        <f t="shared" si="7"/>
        <v>582.1</v>
      </c>
    </row>
    <row r="249" spans="1:9" x14ac:dyDescent="0.25">
      <c r="A249" s="5" t="s">
        <v>10</v>
      </c>
      <c r="B249" s="5" t="s">
        <v>497</v>
      </c>
      <c r="C249" s="5" t="s">
        <v>498</v>
      </c>
      <c r="D249" s="3">
        <f>VLOOKUP(A249,airports!A:H,7,FALSE)</f>
        <v>33.640444440000003</v>
      </c>
      <c r="E249" s="3">
        <f>VLOOKUP(A249,airports!A:H,8,FALSE)</f>
        <v>-84.42694444</v>
      </c>
      <c r="F249" s="3">
        <f>VLOOKUP(B249,airports!A:H,7,FALSE)</f>
        <v>42.965503329999997</v>
      </c>
      <c r="G249" s="3">
        <f>VLOOKUP(B249,airports!A:H,8,FALSE)</f>
        <v>-83.743456390000006</v>
      </c>
      <c r="H249">
        <f t="shared" si="6"/>
        <v>1038.5999999999999</v>
      </c>
      <c r="I249">
        <f t="shared" si="7"/>
        <v>645.4</v>
      </c>
    </row>
    <row r="250" spans="1:9" x14ac:dyDescent="0.25">
      <c r="A250" s="5" t="s">
        <v>10</v>
      </c>
      <c r="B250" s="5" t="s">
        <v>499</v>
      </c>
      <c r="C250" s="5" t="s">
        <v>500</v>
      </c>
      <c r="D250" s="3">
        <f>VLOOKUP(A250,airports!A:H,7,FALSE)</f>
        <v>33.640444440000003</v>
      </c>
      <c r="E250" s="3">
        <f>VLOOKUP(A250,airports!A:H,8,FALSE)</f>
        <v>-84.42694444</v>
      </c>
      <c r="F250" s="3">
        <f>VLOOKUP(B250,airports!A:H,7,FALSE)</f>
        <v>43.58135111</v>
      </c>
      <c r="G250" s="3">
        <f>VLOOKUP(B250,airports!A:H,8,FALSE)</f>
        <v>-96.741700280000003</v>
      </c>
      <c r="H250">
        <f t="shared" si="6"/>
        <v>1535.1</v>
      </c>
      <c r="I250">
        <f t="shared" si="7"/>
        <v>954</v>
      </c>
    </row>
    <row r="251" spans="1:9" ht="30" x14ac:dyDescent="0.25">
      <c r="A251" s="5" t="s">
        <v>10</v>
      </c>
      <c r="B251" s="5" t="s">
        <v>501</v>
      </c>
      <c r="C251" s="5" t="s">
        <v>502</v>
      </c>
      <c r="D251" s="3">
        <f>VLOOKUP(A251,airports!A:H,7,FALSE)</f>
        <v>33.640444440000003</v>
      </c>
      <c r="E251" s="3">
        <f>VLOOKUP(A251,airports!A:H,8,FALSE)</f>
        <v>-84.42694444</v>
      </c>
      <c r="F251" s="3">
        <f>VLOOKUP(B251,airports!A:H,7,FALSE)</f>
        <v>35.336590280000003</v>
      </c>
      <c r="G251" s="3">
        <f>VLOOKUP(B251,airports!A:H,8,FALSE)</f>
        <v>-94.367441110000001</v>
      </c>
      <c r="H251">
        <f t="shared" si="6"/>
        <v>929.9</v>
      </c>
      <c r="I251">
        <f t="shared" si="7"/>
        <v>577.9</v>
      </c>
    </row>
    <row r="252" spans="1:9" ht="30" x14ac:dyDescent="0.25">
      <c r="A252" s="5" t="s">
        <v>10</v>
      </c>
      <c r="B252" s="5" t="s">
        <v>503</v>
      </c>
      <c r="C252" s="5" t="s">
        <v>504</v>
      </c>
      <c r="D252" s="3">
        <f>VLOOKUP(A252,airports!A:H,7,FALSE)</f>
        <v>33.640444440000003</v>
      </c>
      <c r="E252" s="3">
        <f>VLOOKUP(A252,airports!A:H,8,FALSE)</f>
        <v>-84.42694444</v>
      </c>
      <c r="F252" s="3">
        <f>VLOOKUP(B252,airports!A:H,7,FALSE)</f>
        <v>40.978465829999998</v>
      </c>
      <c r="G252" s="3">
        <f>VLOOKUP(B252,airports!A:H,8,FALSE)</f>
        <v>-85.195146390000005</v>
      </c>
      <c r="H252">
        <f t="shared" si="6"/>
        <v>818.8</v>
      </c>
      <c r="I252">
        <f t="shared" si="7"/>
        <v>508.8</v>
      </c>
    </row>
    <row r="253" spans="1:9" ht="30" x14ac:dyDescent="0.25">
      <c r="A253" s="5" t="s">
        <v>10</v>
      </c>
      <c r="B253" s="5" t="s">
        <v>505</v>
      </c>
      <c r="C253" s="5" t="s">
        <v>506</v>
      </c>
      <c r="D253" s="3">
        <f>VLOOKUP(A253,airports!A:H,7,FALSE)</f>
        <v>33.640444440000003</v>
      </c>
      <c r="E253" s="3">
        <f>VLOOKUP(A253,airports!A:H,8,FALSE)</f>
        <v>-84.42694444</v>
      </c>
      <c r="F253" s="3">
        <f>VLOOKUP(B253,airports!A:H,7,FALSE)</f>
        <v>47.619855559999998</v>
      </c>
      <c r="G253" s="3">
        <f>VLOOKUP(B253,airports!A:H,8,FALSE)</f>
        <v>-117.53384250000001</v>
      </c>
      <c r="H253">
        <f t="shared" si="6"/>
        <v>3162.9</v>
      </c>
      <c r="I253">
        <f t="shared" si="7"/>
        <v>1965.4</v>
      </c>
    </row>
    <row r="254" spans="1:9" ht="30" x14ac:dyDescent="0.25">
      <c r="A254" s="5" t="s">
        <v>10</v>
      </c>
      <c r="B254" s="5" t="s">
        <v>507</v>
      </c>
      <c r="C254" s="5" t="s">
        <v>508</v>
      </c>
      <c r="D254" s="3">
        <f>VLOOKUP(A254,airports!A:H,7,FALSE)</f>
        <v>33.640444440000003</v>
      </c>
      <c r="E254" s="3">
        <f>VLOOKUP(A254,airports!A:H,8,FALSE)</f>
        <v>-84.42694444</v>
      </c>
      <c r="F254" s="3">
        <f>VLOOKUP(B254,airports!A:H,7,FALSE)</f>
        <v>29.690055560000001</v>
      </c>
      <c r="G254" s="3">
        <f>VLOOKUP(B254,airports!A:H,8,FALSE)</f>
        <v>-82.271777779999994</v>
      </c>
      <c r="H254">
        <f t="shared" si="6"/>
        <v>484.3</v>
      </c>
      <c r="I254">
        <f t="shared" si="7"/>
        <v>300.89999999999998</v>
      </c>
    </row>
    <row r="255" spans="1:9" x14ac:dyDescent="0.25">
      <c r="A255" s="5" t="s">
        <v>10</v>
      </c>
      <c r="B255" s="5" t="s">
        <v>509</v>
      </c>
      <c r="C255" s="5" t="s">
        <v>510</v>
      </c>
      <c r="D255" s="3">
        <f>VLOOKUP(A255,airports!A:H,7,FALSE)</f>
        <v>33.640444440000003</v>
      </c>
      <c r="E255" s="3">
        <f>VLOOKUP(A255,airports!A:H,8,FALSE)</f>
        <v>-84.42694444</v>
      </c>
      <c r="F255" s="3">
        <f>VLOOKUP(B255,airports!A:H,7,FALSE)</f>
        <v>30.407280279999998</v>
      </c>
      <c r="G255" s="3">
        <f>VLOOKUP(B255,airports!A:H,8,FALSE)</f>
        <v>-89.070092779999996</v>
      </c>
      <c r="H255">
        <f t="shared" si="6"/>
        <v>566.29999999999995</v>
      </c>
      <c r="I255">
        <f t="shared" si="7"/>
        <v>351.9</v>
      </c>
    </row>
    <row r="256" spans="1:9" ht="30" x14ac:dyDescent="0.25">
      <c r="A256" s="5" t="s">
        <v>10</v>
      </c>
      <c r="B256" s="5" t="s">
        <v>511</v>
      </c>
      <c r="C256" s="5" t="s">
        <v>512</v>
      </c>
      <c r="D256" s="3">
        <f>VLOOKUP(A256,airports!A:H,7,FALSE)</f>
        <v>33.640444440000003</v>
      </c>
      <c r="E256" s="3">
        <f>VLOOKUP(A256,airports!A:H,8,FALSE)</f>
        <v>-84.42694444</v>
      </c>
      <c r="F256" s="3">
        <f>VLOOKUP(B256,airports!A:H,7,FALSE)</f>
        <v>44.485073329999999</v>
      </c>
      <c r="G256" s="3">
        <f>VLOOKUP(B256,airports!A:H,8,FALSE)</f>
        <v>-88.129589999999993</v>
      </c>
      <c r="H256">
        <f t="shared" si="6"/>
        <v>1247.2</v>
      </c>
      <c r="I256">
        <f t="shared" si="7"/>
        <v>775</v>
      </c>
    </row>
    <row r="257" spans="1:9" ht="30" x14ac:dyDescent="0.25">
      <c r="A257" s="5" t="s">
        <v>10</v>
      </c>
      <c r="B257" s="5" t="s">
        <v>513</v>
      </c>
      <c r="C257" s="5" t="s">
        <v>514</v>
      </c>
      <c r="D257" s="3">
        <f>VLOOKUP(A257,airports!A:H,7,FALSE)</f>
        <v>33.640444440000003</v>
      </c>
      <c r="E257" s="3">
        <f>VLOOKUP(A257,airports!A:H,8,FALSE)</f>
        <v>-84.42694444</v>
      </c>
      <c r="F257" s="3">
        <f>VLOOKUP(B257,airports!A:H,7,FALSE)</f>
        <v>31.064897779999999</v>
      </c>
      <c r="G257" s="3">
        <f>VLOOKUP(B257,airports!A:H,8,FALSE)</f>
        <v>-97.827797779999997</v>
      </c>
      <c r="H257">
        <f t="shared" si="6"/>
        <v>1289.9000000000001</v>
      </c>
      <c r="I257">
        <f t="shared" si="7"/>
        <v>801.6</v>
      </c>
    </row>
    <row r="258" spans="1:9" ht="30" x14ac:dyDescent="0.25">
      <c r="A258" s="5" t="s">
        <v>10</v>
      </c>
      <c r="B258" s="5" t="s">
        <v>515</v>
      </c>
      <c r="C258" s="5" t="s">
        <v>516</v>
      </c>
      <c r="D258" s="3">
        <f>VLOOKUP(A258,airports!A:H,7,FALSE)</f>
        <v>33.640444440000003</v>
      </c>
      <c r="E258" s="3">
        <f>VLOOKUP(A258,airports!A:H,8,FALSE)</f>
        <v>-84.42694444</v>
      </c>
      <c r="F258" s="3">
        <f>VLOOKUP(B258,airports!A:H,7,FALSE)</f>
        <v>42.880819719999998</v>
      </c>
      <c r="G258" s="3">
        <f>VLOOKUP(B258,airports!A:H,8,FALSE)</f>
        <v>-85.522767779999995</v>
      </c>
      <c r="H258">
        <f t="shared" si="6"/>
        <v>1031.9000000000001</v>
      </c>
      <c r="I258">
        <f t="shared" si="7"/>
        <v>641.20000000000005</v>
      </c>
    </row>
    <row r="259" spans="1:9" ht="30" x14ac:dyDescent="0.25">
      <c r="A259" s="5" t="s">
        <v>10</v>
      </c>
      <c r="B259" s="5" t="s">
        <v>517</v>
      </c>
      <c r="C259" s="5" t="s">
        <v>518</v>
      </c>
      <c r="D259" s="3">
        <f>VLOOKUP(A259,airports!A:H,7,FALSE)</f>
        <v>33.640444440000003</v>
      </c>
      <c r="E259" s="3">
        <f>VLOOKUP(A259,airports!A:H,8,FALSE)</f>
        <v>-84.42694444</v>
      </c>
      <c r="F259" s="3">
        <f>VLOOKUP(B259,airports!A:H,7,FALSE)</f>
        <v>36.09774694</v>
      </c>
      <c r="G259" s="3">
        <f>VLOOKUP(B259,airports!A:H,8,FALSE)</f>
        <v>-79.9372975</v>
      </c>
      <c r="H259">
        <f t="shared" si="6"/>
        <v>492.3</v>
      </c>
      <c r="I259">
        <f t="shared" si="7"/>
        <v>305.89999999999998</v>
      </c>
    </row>
    <row r="260" spans="1:9" x14ac:dyDescent="0.25">
      <c r="A260" s="5" t="s">
        <v>10</v>
      </c>
      <c r="B260" s="5" t="s">
        <v>519</v>
      </c>
      <c r="C260" s="5" t="s">
        <v>520</v>
      </c>
      <c r="D260" s="3">
        <f>VLOOKUP(A260,airports!A:H,7,FALSE)</f>
        <v>33.640444440000003</v>
      </c>
      <c r="E260" s="3">
        <f>VLOOKUP(A260,airports!A:H,8,FALSE)</f>
        <v>-84.42694444</v>
      </c>
      <c r="F260" s="3">
        <f>VLOOKUP(B260,airports!A:H,7,FALSE)</f>
        <v>34.89566722</v>
      </c>
      <c r="G260" s="3">
        <f>VLOOKUP(B260,airports!A:H,8,FALSE)</f>
        <v>-82.218858330000003</v>
      </c>
      <c r="H260">
        <f t="shared" ref="H260:H323" si="8">ROUND(ACOS(COS(RADIANS(90-D260)) * COS(RADIANS(90-F260)) + SIN(RADIANS(90-D260)) * SIN(RADIANS(90-F260)) * COS(RADIANS(E260-G260))) * 6371,1)</f>
        <v>246.3</v>
      </c>
      <c r="I260">
        <f t="shared" ref="I260:I323" si="9">ROUND(ACOS(COS(RADIANS(90-D260)) * COS(RADIANS(90-F260)) + SIN(RADIANS(90-D260)) * SIN(RADIANS(90-F260)) * COS(RADIANS(E260-G260))) * 3959,1)</f>
        <v>153</v>
      </c>
    </row>
    <row r="261" spans="1:9" x14ac:dyDescent="0.25">
      <c r="A261" s="5" t="s">
        <v>10</v>
      </c>
      <c r="B261" s="5" t="s">
        <v>521</v>
      </c>
      <c r="C261" s="5" t="s">
        <v>522</v>
      </c>
      <c r="D261" s="3">
        <f>VLOOKUP(A261,airports!A:H,7,FALSE)</f>
        <v>33.640444440000003</v>
      </c>
      <c r="E261" s="3">
        <f>VLOOKUP(A261,airports!A:H,8,FALSE)</f>
        <v>-84.42694444</v>
      </c>
      <c r="F261" s="3">
        <f>VLOOKUP(B261,airports!A:H,7,FALSE)</f>
        <v>33.450334439999999</v>
      </c>
      <c r="G261" s="3">
        <f>VLOOKUP(B261,airports!A:H,8,FALSE)</f>
        <v>-88.591368610000004</v>
      </c>
      <c r="H261">
        <f t="shared" si="8"/>
        <v>386.5</v>
      </c>
      <c r="I261">
        <f t="shared" si="9"/>
        <v>240.2</v>
      </c>
    </row>
    <row r="262" spans="1:9" ht="30" x14ac:dyDescent="0.25">
      <c r="A262" s="5" t="s">
        <v>10</v>
      </c>
      <c r="B262" s="5" t="s">
        <v>64</v>
      </c>
      <c r="C262" s="5" t="s">
        <v>523</v>
      </c>
      <c r="D262" s="3">
        <f>VLOOKUP(A262,airports!A:H,7,FALSE)</f>
        <v>33.640444440000003</v>
      </c>
      <c r="E262" s="3">
        <f>VLOOKUP(A262,airports!A:H,8,FALSE)</f>
        <v>-84.42694444</v>
      </c>
      <c r="F262" s="3">
        <f>VLOOKUP(B262,airports!A:H,7,FALSE)</f>
        <v>40.481180279999997</v>
      </c>
      <c r="G262" s="3">
        <f>VLOOKUP(B262,airports!A:H,8,FALSE)</f>
        <v>-107.2176597</v>
      </c>
      <c r="H262">
        <f t="shared" si="8"/>
        <v>2153</v>
      </c>
      <c r="I262">
        <f t="shared" si="9"/>
        <v>1337.9</v>
      </c>
    </row>
    <row r="263" spans="1:9" ht="30" x14ac:dyDescent="0.25">
      <c r="A263" s="5" t="s">
        <v>10</v>
      </c>
      <c r="B263" s="5" t="s">
        <v>524</v>
      </c>
      <c r="C263" s="5" t="s">
        <v>525</v>
      </c>
      <c r="D263" s="3">
        <f>VLOOKUP(A263,airports!A:H,7,FALSE)</f>
        <v>33.640444440000003</v>
      </c>
      <c r="E263" s="3">
        <f>VLOOKUP(A263,airports!A:H,8,FALSE)</f>
        <v>-84.42694444</v>
      </c>
      <c r="F263" s="3">
        <f>VLOOKUP(B263,airports!A:H,7,FALSE)</f>
        <v>32.224399566700001</v>
      </c>
      <c r="G263" s="3">
        <f>VLOOKUP(B263,airports!A:H,8,FALSE)</f>
        <v>-80.697502136200001</v>
      </c>
      <c r="H263">
        <f t="shared" si="8"/>
        <v>382</v>
      </c>
      <c r="I263">
        <f t="shared" si="9"/>
        <v>237.4</v>
      </c>
    </row>
    <row r="264" spans="1:9" ht="30" x14ac:dyDescent="0.25">
      <c r="A264" s="5" t="s">
        <v>10</v>
      </c>
      <c r="B264" s="5" t="s">
        <v>360</v>
      </c>
      <c r="C264" s="5" t="s">
        <v>526</v>
      </c>
      <c r="D264" s="3">
        <f>VLOOKUP(A264,airports!A:H,7,FALSE)</f>
        <v>33.640444440000003</v>
      </c>
      <c r="E264" s="3">
        <f>VLOOKUP(A264,airports!A:H,8,FALSE)</f>
        <v>-84.42694444</v>
      </c>
      <c r="F264" s="3">
        <f>VLOOKUP(B264,airports!A:H,7,FALSE)</f>
        <v>21.31869111</v>
      </c>
      <c r="G264" s="3">
        <f>VLOOKUP(B264,airports!A:H,8,FALSE)</f>
        <v>-157.92240720000001</v>
      </c>
      <c r="H264">
        <f t="shared" si="8"/>
        <v>7233.9</v>
      </c>
      <c r="I264">
        <f t="shared" si="9"/>
        <v>4495.2</v>
      </c>
    </row>
    <row r="265" spans="1:9" ht="30" x14ac:dyDescent="0.25">
      <c r="A265" s="5" t="s">
        <v>10</v>
      </c>
      <c r="B265" s="5" t="s">
        <v>205</v>
      </c>
      <c r="C265" s="5" t="s">
        <v>527</v>
      </c>
      <c r="D265" s="3">
        <f>VLOOKUP(A265,airports!A:H,7,FALSE)</f>
        <v>33.640444440000003</v>
      </c>
      <c r="E265" s="3">
        <f>VLOOKUP(A265,airports!A:H,8,FALSE)</f>
        <v>-84.42694444</v>
      </c>
      <c r="F265" s="3">
        <f>VLOOKUP(B265,airports!A:H,7,FALSE)</f>
        <v>29.64541861</v>
      </c>
      <c r="G265" s="3">
        <f>VLOOKUP(B265,airports!A:H,8,FALSE)</f>
        <v>-95.278888890000005</v>
      </c>
      <c r="H265">
        <f t="shared" si="8"/>
        <v>1118.4000000000001</v>
      </c>
      <c r="I265">
        <f t="shared" si="9"/>
        <v>695</v>
      </c>
    </row>
    <row r="266" spans="1:9" ht="30" x14ac:dyDescent="0.25">
      <c r="A266" s="5" t="s">
        <v>10</v>
      </c>
      <c r="B266" s="5" t="s">
        <v>65</v>
      </c>
      <c r="C266" s="5" t="s">
        <v>528</v>
      </c>
      <c r="D266" s="3">
        <f>VLOOKUP(A266,airports!A:H,7,FALSE)</f>
        <v>33.640444440000003</v>
      </c>
      <c r="E266" s="3">
        <f>VLOOKUP(A266,airports!A:H,8,FALSE)</f>
        <v>-84.42694444</v>
      </c>
      <c r="F266" s="3">
        <f>VLOOKUP(B266,airports!A:H,7,FALSE)</f>
        <v>41.066957780000003</v>
      </c>
      <c r="G266" s="3">
        <f>VLOOKUP(B266,airports!A:H,8,FALSE)</f>
        <v>-73.707574440000002</v>
      </c>
      <c r="H266">
        <f t="shared" si="8"/>
        <v>1255.0999999999999</v>
      </c>
      <c r="I266">
        <f t="shared" si="9"/>
        <v>779.9</v>
      </c>
    </row>
    <row r="267" spans="1:9" ht="30" x14ac:dyDescent="0.25">
      <c r="A267" s="5" t="s">
        <v>10</v>
      </c>
      <c r="B267" s="5" t="s">
        <v>529</v>
      </c>
      <c r="C267" s="5" t="s">
        <v>530</v>
      </c>
      <c r="D267" s="3">
        <f>VLOOKUP(A267,airports!A:H,7,FALSE)</f>
        <v>33.640444440000003</v>
      </c>
      <c r="E267" s="3">
        <f>VLOOKUP(A267,airports!A:H,8,FALSE)</f>
        <v>-84.42694444</v>
      </c>
      <c r="F267" s="3">
        <f>VLOOKUP(B267,airports!A:H,7,FALSE)</f>
        <v>34.640447500000001</v>
      </c>
      <c r="G267" s="3">
        <f>VLOOKUP(B267,airports!A:H,8,FALSE)</f>
        <v>-86.773109439999999</v>
      </c>
      <c r="H267">
        <f t="shared" si="8"/>
        <v>242.9</v>
      </c>
      <c r="I267">
        <f t="shared" si="9"/>
        <v>150.9</v>
      </c>
    </row>
    <row r="268" spans="1:9" x14ac:dyDescent="0.25">
      <c r="A268" s="5" t="s">
        <v>10</v>
      </c>
      <c r="B268" s="5" t="s">
        <v>176</v>
      </c>
      <c r="C268" s="5" t="s">
        <v>531</v>
      </c>
      <c r="D268" s="3">
        <f>VLOOKUP(A268,airports!A:H,7,FALSE)</f>
        <v>33.640444440000003</v>
      </c>
      <c r="E268" s="3">
        <f>VLOOKUP(A268,airports!A:H,8,FALSE)</f>
        <v>-84.42694444</v>
      </c>
      <c r="F268" s="3">
        <f>VLOOKUP(B268,airports!A:H,7,FALSE)</f>
        <v>38.944531939999997</v>
      </c>
      <c r="G268" s="3">
        <f>VLOOKUP(B268,airports!A:H,8,FALSE)</f>
        <v>-77.455809720000005</v>
      </c>
      <c r="H268">
        <f t="shared" si="8"/>
        <v>858.7</v>
      </c>
      <c r="I268">
        <f t="shared" si="9"/>
        <v>533.6</v>
      </c>
    </row>
    <row r="269" spans="1:9" x14ac:dyDescent="0.25">
      <c r="A269" s="5" t="s">
        <v>10</v>
      </c>
      <c r="B269" s="5" t="s">
        <v>67</v>
      </c>
      <c r="C269" s="5" t="s">
        <v>532</v>
      </c>
      <c r="D269" s="3">
        <f>VLOOKUP(A269,airports!A:H,7,FALSE)</f>
        <v>33.640444440000003</v>
      </c>
      <c r="E269" s="3">
        <f>VLOOKUP(A269,airports!A:H,8,FALSE)</f>
        <v>-84.42694444</v>
      </c>
      <c r="F269" s="3">
        <f>VLOOKUP(B269,airports!A:H,7,FALSE)</f>
        <v>29.980472219999999</v>
      </c>
      <c r="G269" s="3">
        <f>VLOOKUP(B269,airports!A:H,8,FALSE)</f>
        <v>-95.339722219999999</v>
      </c>
      <c r="H269">
        <f t="shared" si="8"/>
        <v>1107.8</v>
      </c>
      <c r="I269">
        <f t="shared" si="9"/>
        <v>688.4</v>
      </c>
    </row>
    <row r="270" spans="1:9" x14ac:dyDescent="0.25">
      <c r="A270" s="5" t="s">
        <v>10</v>
      </c>
      <c r="B270" s="5" t="s">
        <v>533</v>
      </c>
      <c r="C270" s="5" t="s">
        <v>534</v>
      </c>
      <c r="D270" s="3">
        <f>VLOOKUP(A270,airports!A:H,7,FALSE)</f>
        <v>33.640444440000003</v>
      </c>
      <c r="E270" s="3">
        <f>VLOOKUP(A270,airports!A:H,8,FALSE)</f>
        <v>-84.42694444</v>
      </c>
      <c r="F270" s="3">
        <f>VLOOKUP(B270,airports!A:H,7,FALSE)</f>
        <v>37.649958890000001</v>
      </c>
      <c r="G270" s="3">
        <f>VLOOKUP(B270,airports!A:H,8,FALSE)</f>
        <v>-97.433045829999998</v>
      </c>
      <c r="H270">
        <f t="shared" si="8"/>
        <v>1255.5999999999999</v>
      </c>
      <c r="I270">
        <f t="shared" si="9"/>
        <v>780.2</v>
      </c>
    </row>
    <row r="271" spans="1:9" x14ac:dyDescent="0.25">
      <c r="A271" s="5" t="s">
        <v>10</v>
      </c>
      <c r="B271" s="5" t="s">
        <v>535</v>
      </c>
      <c r="C271" s="5" t="s">
        <v>536</v>
      </c>
      <c r="D271" s="3">
        <f>VLOOKUP(A271,airports!A:H,7,FALSE)</f>
        <v>33.640444440000003</v>
      </c>
      <c r="E271" s="3">
        <f>VLOOKUP(A271,airports!A:H,8,FALSE)</f>
        <v>-84.42694444</v>
      </c>
      <c r="F271" s="3">
        <f>VLOOKUP(B271,airports!A:H,7,FALSE)</f>
        <v>34.270611109999997</v>
      </c>
      <c r="G271" s="3">
        <f>VLOOKUP(B271,airports!A:H,8,FALSE)</f>
        <v>-77.902555559999996</v>
      </c>
      <c r="H271">
        <f t="shared" si="8"/>
        <v>605.70000000000005</v>
      </c>
      <c r="I271">
        <f t="shared" si="9"/>
        <v>376.4</v>
      </c>
    </row>
    <row r="272" spans="1:9" x14ac:dyDescent="0.25">
      <c r="A272" s="5" t="s">
        <v>10</v>
      </c>
      <c r="B272" s="5" t="s">
        <v>537</v>
      </c>
      <c r="C272" s="5" t="s">
        <v>538</v>
      </c>
      <c r="D272" s="3">
        <f>VLOOKUP(A272,airports!A:H,7,FALSE)</f>
        <v>33.640444440000003</v>
      </c>
      <c r="E272" s="3">
        <f>VLOOKUP(A272,airports!A:H,8,FALSE)</f>
        <v>-84.42694444</v>
      </c>
      <c r="F272" s="3">
        <f>VLOOKUP(B272,airports!A:H,7,FALSE)</f>
        <v>39.717329169999999</v>
      </c>
      <c r="G272" s="3">
        <f>VLOOKUP(B272,airports!A:H,8,FALSE)</f>
        <v>-86.294384170000001</v>
      </c>
      <c r="H272">
        <f t="shared" si="8"/>
        <v>695.9</v>
      </c>
      <c r="I272">
        <f t="shared" si="9"/>
        <v>432.4</v>
      </c>
    </row>
    <row r="273" spans="1:9" x14ac:dyDescent="0.25">
      <c r="A273" s="5" t="s">
        <v>10</v>
      </c>
      <c r="B273" s="5" t="s">
        <v>539</v>
      </c>
      <c r="C273" s="5" t="s">
        <v>540</v>
      </c>
      <c r="D273" s="3">
        <f>VLOOKUP(A273,airports!A:H,7,FALSE)</f>
        <v>33.640444440000003</v>
      </c>
      <c r="E273" s="3">
        <f>VLOOKUP(A273,airports!A:H,8,FALSE)</f>
        <v>-84.42694444</v>
      </c>
      <c r="F273" s="3">
        <f>VLOOKUP(B273,airports!A:H,7,FALSE)</f>
        <v>40.795242500000001</v>
      </c>
      <c r="G273" s="3">
        <f>VLOOKUP(B273,airports!A:H,8,FALSE)</f>
        <v>-73.100211939999994</v>
      </c>
      <c r="H273">
        <f t="shared" si="8"/>
        <v>1278.3</v>
      </c>
      <c r="I273">
        <f t="shared" si="9"/>
        <v>794.4</v>
      </c>
    </row>
    <row r="274" spans="1:9" x14ac:dyDescent="0.25">
      <c r="A274" s="5" t="s">
        <v>10</v>
      </c>
      <c r="B274" s="5" t="s">
        <v>541</v>
      </c>
      <c r="C274" s="5" t="s">
        <v>542</v>
      </c>
      <c r="D274" s="3">
        <f>VLOOKUP(A274,airports!A:H,7,FALSE)</f>
        <v>33.640444440000003</v>
      </c>
      <c r="E274" s="3">
        <f>VLOOKUP(A274,airports!A:H,8,FALSE)</f>
        <v>-84.42694444</v>
      </c>
      <c r="F274" s="3">
        <f>VLOOKUP(B274,airports!A:H,7,FALSE)</f>
        <v>43.607324169999998</v>
      </c>
      <c r="G274" s="3">
        <f>VLOOKUP(B274,airports!A:H,8,FALSE)</f>
        <v>-110.7377389</v>
      </c>
      <c r="H274">
        <f t="shared" si="8"/>
        <v>2525.5</v>
      </c>
      <c r="I274">
        <f t="shared" si="9"/>
        <v>1569.3</v>
      </c>
    </row>
    <row r="275" spans="1:9" x14ac:dyDescent="0.25">
      <c r="A275" s="5" t="s">
        <v>10</v>
      </c>
      <c r="B275" s="5" t="s">
        <v>543</v>
      </c>
      <c r="C275" s="5" t="s">
        <v>544</v>
      </c>
      <c r="D275" s="3">
        <f>VLOOKUP(A275,airports!A:H,7,FALSE)</f>
        <v>33.640444440000003</v>
      </c>
      <c r="E275" s="3">
        <f>VLOOKUP(A275,airports!A:H,8,FALSE)</f>
        <v>-84.42694444</v>
      </c>
      <c r="F275" s="3">
        <f>VLOOKUP(B275,airports!A:H,7,FALSE)</f>
        <v>32.311166669999999</v>
      </c>
      <c r="G275" s="3">
        <f>VLOOKUP(B275,airports!A:H,8,FALSE)</f>
        <v>-90.075888890000002</v>
      </c>
      <c r="H275">
        <f t="shared" si="8"/>
        <v>547.20000000000005</v>
      </c>
      <c r="I275">
        <f t="shared" si="9"/>
        <v>340</v>
      </c>
    </row>
    <row r="276" spans="1:9" x14ac:dyDescent="0.25">
      <c r="A276" s="5" t="s">
        <v>10</v>
      </c>
      <c r="B276" s="5" t="s">
        <v>68</v>
      </c>
      <c r="C276" s="5" t="s">
        <v>545</v>
      </c>
      <c r="D276" s="3">
        <f>VLOOKUP(A276,airports!A:H,7,FALSE)</f>
        <v>33.640444440000003</v>
      </c>
      <c r="E276" s="3">
        <f>VLOOKUP(A276,airports!A:H,8,FALSE)</f>
        <v>-84.42694444</v>
      </c>
      <c r="F276" s="3">
        <f>VLOOKUP(B276,airports!A:H,7,FALSE)</f>
        <v>30.49405556</v>
      </c>
      <c r="G276" s="3">
        <f>VLOOKUP(B276,airports!A:H,8,FALSE)</f>
        <v>-81.68786111</v>
      </c>
      <c r="H276">
        <f t="shared" si="8"/>
        <v>434.7</v>
      </c>
      <c r="I276">
        <f t="shared" si="9"/>
        <v>270.10000000000002</v>
      </c>
    </row>
    <row r="277" spans="1:9" x14ac:dyDescent="0.25">
      <c r="A277" s="5" t="s">
        <v>10</v>
      </c>
      <c r="B277" s="5" t="s">
        <v>69</v>
      </c>
      <c r="C277" s="5" t="s">
        <v>546</v>
      </c>
      <c r="D277" s="3">
        <f>VLOOKUP(A277,airports!A:H,7,FALSE)</f>
        <v>33.640444440000003</v>
      </c>
      <c r="E277" s="3">
        <f>VLOOKUP(A277,airports!A:H,8,FALSE)</f>
        <v>-84.42694444</v>
      </c>
      <c r="F277" s="3">
        <f>VLOOKUP(B277,airports!A:H,7,FALSE)</f>
        <v>40.639751109999999</v>
      </c>
      <c r="G277" s="3">
        <f>VLOOKUP(B277,airports!A:H,8,FALSE)</f>
        <v>-73.778925560000005</v>
      </c>
      <c r="H277">
        <f t="shared" si="8"/>
        <v>1221.7</v>
      </c>
      <c r="I277">
        <f t="shared" si="9"/>
        <v>759.2</v>
      </c>
    </row>
    <row r="278" spans="1:9" x14ac:dyDescent="0.25">
      <c r="A278" s="5" t="s">
        <v>10</v>
      </c>
      <c r="B278" s="5" t="s">
        <v>71</v>
      </c>
      <c r="C278" s="5" t="s">
        <v>547</v>
      </c>
      <c r="D278" s="3">
        <f>VLOOKUP(A278,airports!A:H,7,FALSE)</f>
        <v>33.640444440000003</v>
      </c>
      <c r="E278" s="3">
        <f>VLOOKUP(A278,airports!A:H,8,FALSE)</f>
        <v>-84.42694444</v>
      </c>
      <c r="F278" s="3">
        <f>VLOOKUP(B278,airports!A:H,7,FALSE)</f>
        <v>36.080361109999998</v>
      </c>
      <c r="G278" s="3">
        <f>VLOOKUP(B278,airports!A:H,8,FALSE)</f>
        <v>-115.1523333</v>
      </c>
      <c r="H278">
        <f t="shared" si="8"/>
        <v>2804.9</v>
      </c>
      <c r="I278">
        <f t="shared" si="9"/>
        <v>1743</v>
      </c>
    </row>
    <row r="279" spans="1:9" x14ac:dyDescent="0.25">
      <c r="A279" s="5" t="s">
        <v>10</v>
      </c>
      <c r="B279" s="5" t="s">
        <v>73</v>
      </c>
      <c r="C279" s="5" t="s">
        <v>548</v>
      </c>
      <c r="D279" s="3">
        <f>VLOOKUP(A279,airports!A:H,7,FALSE)</f>
        <v>33.640444440000003</v>
      </c>
      <c r="E279" s="3">
        <f>VLOOKUP(A279,airports!A:H,8,FALSE)</f>
        <v>-84.42694444</v>
      </c>
      <c r="F279" s="3">
        <f>VLOOKUP(B279,airports!A:H,7,FALSE)</f>
        <v>33.942536109999999</v>
      </c>
      <c r="G279" s="3">
        <f>VLOOKUP(B279,airports!A:H,8,FALSE)</f>
        <v>-118.4080744</v>
      </c>
      <c r="H279">
        <f t="shared" si="8"/>
        <v>3125.8</v>
      </c>
      <c r="I279">
        <f t="shared" si="9"/>
        <v>1942.4</v>
      </c>
    </row>
    <row r="280" spans="1:9" x14ac:dyDescent="0.25">
      <c r="A280" s="5" t="s">
        <v>10</v>
      </c>
      <c r="B280" s="5" t="s">
        <v>549</v>
      </c>
      <c r="C280" s="5" t="s">
        <v>550</v>
      </c>
      <c r="D280" s="3">
        <f>VLOOKUP(A280,airports!A:H,7,FALSE)</f>
        <v>33.640444440000003</v>
      </c>
      <c r="E280" s="3">
        <f>VLOOKUP(A280,airports!A:H,8,FALSE)</f>
        <v>-84.42694444</v>
      </c>
      <c r="F280" s="3">
        <f>VLOOKUP(B280,airports!A:H,7,FALSE)</f>
        <v>38.036972220000003</v>
      </c>
      <c r="G280" s="3">
        <f>VLOOKUP(B280,airports!A:H,8,FALSE)</f>
        <v>-84.60538889</v>
      </c>
      <c r="H280">
        <f t="shared" si="8"/>
        <v>489.1</v>
      </c>
      <c r="I280">
        <f t="shared" si="9"/>
        <v>304</v>
      </c>
    </row>
    <row r="281" spans="1:9" x14ac:dyDescent="0.25">
      <c r="A281" s="5" t="s">
        <v>10</v>
      </c>
      <c r="B281" s="5" t="s">
        <v>551</v>
      </c>
      <c r="C281" s="5" t="s">
        <v>552</v>
      </c>
      <c r="D281" s="3">
        <f>VLOOKUP(A281,airports!A:H,7,FALSE)</f>
        <v>33.640444440000003</v>
      </c>
      <c r="E281" s="3">
        <f>VLOOKUP(A281,airports!A:H,8,FALSE)</f>
        <v>-84.42694444</v>
      </c>
      <c r="F281" s="3">
        <f>VLOOKUP(B281,airports!A:H,7,FALSE)</f>
        <v>30.20527972</v>
      </c>
      <c r="G281" s="3">
        <f>VLOOKUP(B281,airports!A:H,8,FALSE)</f>
        <v>-91.987655000000004</v>
      </c>
      <c r="H281">
        <f t="shared" si="8"/>
        <v>809</v>
      </c>
      <c r="I281">
        <f t="shared" si="9"/>
        <v>502.7</v>
      </c>
    </row>
    <row r="282" spans="1:9" x14ac:dyDescent="0.25">
      <c r="A282" s="5" t="s">
        <v>10</v>
      </c>
      <c r="B282" s="5" t="s">
        <v>74</v>
      </c>
      <c r="C282" s="5" t="s">
        <v>553</v>
      </c>
      <c r="D282" s="3">
        <f>VLOOKUP(A282,airports!A:H,7,FALSE)</f>
        <v>33.640444440000003</v>
      </c>
      <c r="E282" s="3">
        <f>VLOOKUP(A282,airports!A:H,8,FALSE)</f>
        <v>-84.42694444</v>
      </c>
      <c r="F282" s="3">
        <f>VLOOKUP(B282,airports!A:H,7,FALSE)</f>
        <v>40.777243060000004</v>
      </c>
      <c r="G282" s="3">
        <f>VLOOKUP(B282,airports!A:H,8,FALSE)</f>
        <v>-73.872609170000004</v>
      </c>
      <c r="H282">
        <f t="shared" si="8"/>
        <v>1224.5</v>
      </c>
      <c r="I282">
        <f t="shared" si="9"/>
        <v>760.9</v>
      </c>
    </row>
    <row r="283" spans="1:9" x14ac:dyDescent="0.25">
      <c r="A283" s="5" t="s">
        <v>10</v>
      </c>
      <c r="B283" s="5" t="s">
        <v>554</v>
      </c>
      <c r="C283" s="5" t="s">
        <v>555</v>
      </c>
      <c r="D283" s="3">
        <f>VLOOKUP(A283,airports!A:H,7,FALSE)</f>
        <v>33.640444440000003</v>
      </c>
      <c r="E283" s="3">
        <f>VLOOKUP(A283,airports!A:H,8,FALSE)</f>
        <v>-84.42694444</v>
      </c>
      <c r="F283" s="3">
        <f>VLOOKUP(B283,airports!A:H,7,FALSE)</f>
        <v>34.729396110000003</v>
      </c>
      <c r="G283" s="3">
        <f>VLOOKUP(B283,airports!A:H,8,FALSE)</f>
        <v>-92.22424556</v>
      </c>
      <c r="H283">
        <f t="shared" si="8"/>
        <v>727.2</v>
      </c>
      <c r="I283">
        <f t="shared" si="9"/>
        <v>451.9</v>
      </c>
    </row>
    <row r="284" spans="1:9" x14ac:dyDescent="0.25">
      <c r="A284" s="5" t="s">
        <v>10</v>
      </c>
      <c r="B284" s="5" t="s">
        <v>556</v>
      </c>
      <c r="C284" s="5" t="s">
        <v>557</v>
      </c>
      <c r="D284" s="3">
        <f>VLOOKUP(A284,airports!A:H,7,FALSE)</f>
        <v>33.640444440000003</v>
      </c>
      <c r="E284" s="3">
        <f>VLOOKUP(A284,airports!A:H,8,FALSE)</f>
        <v>-84.42694444</v>
      </c>
      <c r="F284" s="3">
        <f>VLOOKUP(B284,airports!A:H,7,FALSE)</f>
        <v>40.850972220000003</v>
      </c>
      <c r="G284" s="3">
        <f>VLOOKUP(B284,airports!A:H,8,FALSE)</f>
        <v>-96.759249999999994</v>
      </c>
      <c r="H284">
        <f t="shared" si="8"/>
        <v>1352.2</v>
      </c>
      <c r="I284">
        <f t="shared" si="9"/>
        <v>840.3</v>
      </c>
    </row>
    <row r="285" spans="1:9" ht="30" x14ac:dyDescent="0.25">
      <c r="A285" s="5" t="s">
        <v>10</v>
      </c>
      <c r="B285" s="5" t="s">
        <v>387</v>
      </c>
      <c r="C285" s="5" t="s">
        <v>558</v>
      </c>
      <c r="D285" s="3">
        <f>VLOOKUP(A285,airports!A:H,7,FALSE)</f>
        <v>33.640444440000003</v>
      </c>
      <c r="E285" s="3">
        <f>VLOOKUP(A285,airports!A:H,8,FALSE)</f>
        <v>-84.42694444</v>
      </c>
      <c r="F285" s="3">
        <f>VLOOKUP(B285,airports!A:H,7,FALSE)</f>
        <v>43.532914720000001</v>
      </c>
      <c r="G285" s="3">
        <f>VLOOKUP(B285,airports!A:H,8,FALSE)</f>
        <v>-84.079647219999998</v>
      </c>
      <c r="H285">
        <f t="shared" si="8"/>
        <v>1100.4000000000001</v>
      </c>
      <c r="I285">
        <f t="shared" si="9"/>
        <v>683.8</v>
      </c>
    </row>
    <row r="286" spans="1:9" x14ac:dyDescent="0.25">
      <c r="A286" s="5" t="s">
        <v>10</v>
      </c>
      <c r="B286" s="5" t="s">
        <v>80</v>
      </c>
      <c r="C286" s="5" t="s">
        <v>559</v>
      </c>
      <c r="D286" s="3">
        <f>VLOOKUP(A286,airports!A:H,7,FALSE)</f>
        <v>33.640444440000003</v>
      </c>
      <c r="E286" s="3">
        <f>VLOOKUP(A286,airports!A:H,8,FALSE)</f>
        <v>-84.42694444</v>
      </c>
      <c r="F286" s="3">
        <f>VLOOKUP(B286,airports!A:H,7,FALSE)</f>
        <v>39.297605279999999</v>
      </c>
      <c r="G286" s="3">
        <f>VLOOKUP(B286,airports!A:H,8,FALSE)</f>
        <v>-94.713905560000001</v>
      </c>
      <c r="H286">
        <f t="shared" si="8"/>
        <v>1113.2</v>
      </c>
      <c r="I286">
        <f t="shared" si="9"/>
        <v>691.8</v>
      </c>
    </row>
    <row r="287" spans="1:9" ht="30" x14ac:dyDescent="0.25">
      <c r="A287" s="5" t="s">
        <v>10</v>
      </c>
      <c r="B287" s="5" t="s">
        <v>82</v>
      </c>
      <c r="C287" s="5" t="s">
        <v>560</v>
      </c>
      <c r="D287" s="3">
        <f>VLOOKUP(A287,airports!A:H,7,FALSE)</f>
        <v>33.640444440000003</v>
      </c>
      <c r="E287" s="3">
        <f>VLOOKUP(A287,airports!A:H,8,FALSE)</f>
        <v>-84.42694444</v>
      </c>
      <c r="F287" s="3">
        <f>VLOOKUP(B287,airports!A:H,7,FALSE)</f>
        <v>28.42888889</v>
      </c>
      <c r="G287" s="3">
        <f>VLOOKUP(B287,airports!A:H,8,FALSE)</f>
        <v>-81.316027779999999</v>
      </c>
      <c r="H287">
        <f t="shared" si="8"/>
        <v>650.79999999999995</v>
      </c>
      <c r="I287">
        <f t="shared" si="9"/>
        <v>404.4</v>
      </c>
    </row>
    <row r="288" spans="1:9" ht="30" x14ac:dyDescent="0.25">
      <c r="A288" s="5" t="s">
        <v>10</v>
      </c>
      <c r="B288" s="5" t="s">
        <v>178</v>
      </c>
      <c r="C288" s="5" t="s">
        <v>561</v>
      </c>
      <c r="D288" s="3">
        <f>VLOOKUP(A288,airports!A:H,7,FALSE)</f>
        <v>33.640444440000003</v>
      </c>
      <c r="E288" s="3">
        <f>VLOOKUP(A288,airports!A:H,8,FALSE)</f>
        <v>-84.42694444</v>
      </c>
      <c r="F288" s="3">
        <f>VLOOKUP(B288,airports!A:H,7,FALSE)</f>
        <v>40.19349528</v>
      </c>
      <c r="G288" s="3">
        <f>VLOOKUP(B288,airports!A:H,8,FALSE)</f>
        <v>-76.763403609999997</v>
      </c>
      <c r="H288">
        <f t="shared" si="8"/>
        <v>996.7</v>
      </c>
      <c r="I288">
        <f t="shared" si="9"/>
        <v>619.4</v>
      </c>
    </row>
    <row r="289" spans="1:9" ht="30" x14ac:dyDescent="0.25">
      <c r="A289" s="5" t="s">
        <v>10</v>
      </c>
      <c r="B289" s="5" t="s">
        <v>180</v>
      </c>
      <c r="C289" s="5" t="s">
        <v>562</v>
      </c>
      <c r="D289" s="3">
        <f>VLOOKUP(A289,airports!A:H,7,FALSE)</f>
        <v>33.640444440000003</v>
      </c>
      <c r="E289" s="3">
        <f>VLOOKUP(A289,airports!A:H,8,FALSE)</f>
        <v>-84.42694444</v>
      </c>
      <c r="F289" s="3">
        <f>VLOOKUP(B289,airports!A:H,7,FALSE)</f>
        <v>41.785982500000003</v>
      </c>
      <c r="G289" s="3">
        <f>VLOOKUP(B289,airports!A:H,8,FALSE)</f>
        <v>-87.752424439999999</v>
      </c>
      <c r="H289">
        <f t="shared" si="8"/>
        <v>951.6</v>
      </c>
      <c r="I289">
        <f t="shared" si="9"/>
        <v>591.29999999999995</v>
      </c>
    </row>
    <row r="290" spans="1:9" ht="30" x14ac:dyDescent="0.25">
      <c r="A290" s="5" t="s">
        <v>10</v>
      </c>
      <c r="B290" s="5" t="s">
        <v>563</v>
      </c>
      <c r="C290" s="5" t="s">
        <v>564</v>
      </c>
      <c r="D290" s="3">
        <f>VLOOKUP(A290,airports!A:H,7,FALSE)</f>
        <v>33.640444440000003</v>
      </c>
      <c r="E290" s="3">
        <f>VLOOKUP(A290,airports!A:H,8,FALSE)</f>
        <v>-84.42694444</v>
      </c>
      <c r="F290" s="3">
        <f>VLOOKUP(B290,airports!A:H,7,FALSE)</f>
        <v>35.042416670000001</v>
      </c>
      <c r="G290" s="3">
        <f>VLOOKUP(B290,airports!A:H,8,FALSE)</f>
        <v>-89.97666667</v>
      </c>
      <c r="H290">
        <f t="shared" si="8"/>
        <v>532.79999999999995</v>
      </c>
      <c r="I290">
        <f t="shared" si="9"/>
        <v>331.1</v>
      </c>
    </row>
    <row r="291" spans="1:9" ht="30" x14ac:dyDescent="0.25">
      <c r="A291" s="5" t="s">
        <v>10</v>
      </c>
      <c r="B291" s="5" t="s">
        <v>565</v>
      </c>
      <c r="C291" s="5" t="s">
        <v>566</v>
      </c>
      <c r="D291" s="3">
        <f>VLOOKUP(A291,airports!A:H,7,FALSE)</f>
        <v>33.640444440000003</v>
      </c>
      <c r="E291" s="3">
        <f>VLOOKUP(A291,airports!A:H,8,FALSE)</f>
        <v>-84.42694444</v>
      </c>
      <c r="F291" s="3">
        <f>VLOOKUP(B291,airports!A:H,7,FALSE)</f>
        <v>32.300644169999998</v>
      </c>
      <c r="G291" s="3">
        <f>VLOOKUP(B291,airports!A:H,8,FALSE)</f>
        <v>-86.393976109999997</v>
      </c>
      <c r="H291">
        <f t="shared" si="8"/>
        <v>236.4</v>
      </c>
      <c r="I291">
        <f t="shared" si="9"/>
        <v>146.9</v>
      </c>
    </row>
    <row r="292" spans="1:9" ht="30" x14ac:dyDescent="0.25">
      <c r="A292" s="5" t="s">
        <v>10</v>
      </c>
      <c r="B292" s="5" t="s">
        <v>567</v>
      </c>
      <c r="C292" s="5" t="s">
        <v>568</v>
      </c>
      <c r="D292" s="3">
        <f>VLOOKUP(A292,airports!A:H,7,FALSE)</f>
        <v>33.640444440000003</v>
      </c>
      <c r="E292" s="3">
        <f>VLOOKUP(A292,airports!A:H,8,FALSE)</f>
        <v>-84.42694444</v>
      </c>
      <c r="F292" s="3">
        <f>VLOOKUP(B292,airports!A:H,7,FALSE)</f>
        <v>42.934516389999999</v>
      </c>
      <c r="G292" s="3">
        <f>VLOOKUP(B292,airports!A:H,8,FALSE)</f>
        <v>-71.437055830000006</v>
      </c>
      <c r="H292">
        <f t="shared" si="8"/>
        <v>1530.7</v>
      </c>
      <c r="I292">
        <f t="shared" si="9"/>
        <v>951.2</v>
      </c>
    </row>
    <row r="293" spans="1:9" ht="30" x14ac:dyDescent="0.25">
      <c r="A293" s="5" t="s">
        <v>10</v>
      </c>
      <c r="B293" s="5" t="s">
        <v>84</v>
      </c>
      <c r="C293" s="5" t="s">
        <v>569</v>
      </c>
      <c r="D293" s="3">
        <f>VLOOKUP(A293,airports!A:H,7,FALSE)</f>
        <v>33.640444440000003</v>
      </c>
      <c r="E293" s="3">
        <f>VLOOKUP(A293,airports!A:H,8,FALSE)</f>
        <v>-84.42694444</v>
      </c>
      <c r="F293" s="3">
        <f>VLOOKUP(B293,airports!A:H,7,FALSE)</f>
        <v>25.79325</v>
      </c>
      <c r="G293" s="3">
        <f>VLOOKUP(B293,airports!A:H,8,FALSE)</f>
        <v>-80.290555560000001</v>
      </c>
      <c r="H293">
        <f t="shared" si="8"/>
        <v>959.4</v>
      </c>
      <c r="I293">
        <f t="shared" si="9"/>
        <v>596.20000000000005</v>
      </c>
    </row>
    <row r="294" spans="1:9" ht="30" x14ac:dyDescent="0.25">
      <c r="A294" s="5" t="s">
        <v>10</v>
      </c>
      <c r="B294" s="5" t="s">
        <v>85</v>
      </c>
      <c r="C294" s="5" t="s">
        <v>570</v>
      </c>
      <c r="D294" s="3">
        <f>VLOOKUP(A294,airports!A:H,7,FALSE)</f>
        <v>33.640444440000003</v>
      </c>
      <c r="E294" s="3">
        <f>VLOOKUP(A294,airports!A:H,8,FALSE)</f>
        <v>-84.42694444</v>
      </c>
      <c r="F294" s="3">
        <f>VLOOKUP(B294,airports!A:H,7,FALSE)</f>
        <v>42.94722222</v>
      </c>
      <c r="G294" s="3">
        <f>VLOOKUP(B294,airports!A:H,8,FALSE)</f>
        <v>-87.896583329999999</v>
      </c>
      <c r="H294">
        <f t="shared" si="8"/>
        <v>1078</v>
      </c>
      <c r="I294">
        <f t="shared" si="9"/>
        <v>669.9</v>
      </c>
    </row>
    <row r="295" spans="1:9" ht="30" x14ac:dyDescent="0.25">
      <c r="A295" s="5" t="s">
        <v>10</v>
      </c>
      <c r="B295" s="5" t="s">
        <v>571</v>
      </c>
      <c r="C295" s="5" t="s">
        <v>572</v>
      </c>
      <c r="D295" s="3">
        <f>VLOOKUP(A295,airports!A:H,7,FALSE)</f>
        <v>33.640444440000003</v>
      </c>
      <c r="E295" s="3">
        <f>VLOOKUP(A295,airports!A:H,8,FALSE)</f>
        <v>-84.42694444</v>
      </c>
      <c r="F295" s="3">
        <f>VLOOKUP(B295,airports!A:H,7,FALSE)</f>
        <v>28.10275</v>
      </c>
      <c r="G295" s="3">
        <f>VLOOKUP(B295,airports!A:H,8,FALSE)</f>
        <v>-80.645805559999999</v>
      </c>
      <c r="H295">
        <f t="shared" si="8"/>
        <v>713.6</v>
      </c>
      <c r="I295">
        <f t="shared" si="9"/>
        <v>443.4</v>
      </c>
    </row>
    <row r="296" spans="1:9" x14ac:dyDescent="0.25">
      <c r="A296" s="5" t="s">
        <v>10</v>
      </c>
      <c r="B296" s="5" t="s">
        <v>573</v>
      </c>
      <c r="C296" s="5" t="s">
        <v>574</v>
      </c>
      <c r="D296" s="3">
        <f>VLOOKUP(A296,airports!A:H,7,FALSE)</f>
        <v>33.640444440000003</v>
      </c>
      <c r="E296" s="3">
        <f>VLOOKUP(A296,airports!A:H,8,FALSE)</f>
        <v>-84.42694444</v>
      </c>
      <c r="F296" s="3">
        <f>VLOOKUP(B296,airports!A:H,7,FALSE)</f>
        <v>41.448526389999998</v>
      </c>
      <c r="G296" s="3">
        <f>VLOOKUP(B296,airports!A:H,8,FALSE)</f>
        <v>-90.507539170000001</v>
      </c>
      <c r="H296">
        <f t="shared" si="8"/>
        <v>1019.7</v>
      </c>
      <c r="I296">
        <f t="shared" si="9"/>
        <v>633.70000000000005</v>
      </c>
    </row>
    <row r="297" spans="1:9" ht="30" x14ac:dyDescent="0.25">
      <c r="A297" s="5" t="s">
        <v>10</v>
      </c>
      <c r="B297" s="5" t="s">
        <v>575</v>
      </c>
      <c r="C297" s="5" t="s">
        <v>576</v>
      </c>
      <c r="D297" s="3">
        <f>VLOOKUP(A297,airports!A:H,7,FALSE)</f>
        <v>33.640444440000003</v>
      </c>
      <c r="E297" s="3">
        <f>VLOOKUP(A297,airports!A:H,8,FALSE)</f>
        <v>-84.42694444</v>
      </c>
      <c r="F297" s="3">
        <f>VLOOKUP(B297,airports!A:H,7,FALSE)</f>
        <v>32.510865559999999</v>
      </c>
      <c r="G297" s="3">
        <f>VLOOKUP(B297,airports!A:H,8,FALSE)</f>
        <v>-92.037687779999999</v>
      </c>
      <c r="H297">
        <f t="shared" si="8"/>
        <v>720</v>
      </c>
      <c r="I297">
        <f t="shared" si="9"/>
        <v>447.4</v>
      </c>
    </row>
    <row r="298" spans="1:9" ht="30" x14ac:dyDescent="0.25">
      <c r="A298" s="5" t="s">
        <v>10</v>
      </c>
      <c r="B298" s="5" t="s">
        <v>577</v>
      </c>
      <c r="C298" s="5" t="s">
        <v>578</v>
      </c>
      <c r="D298" s="3">
        <f>VLOOKUP(A298,airports!A:H,7,FALSE)</f>
        <v>33.640444440000003</v>
      </c>
      <c r="E298" s="3">
        <f>VLOOKUP(A298,airports!A:H,8,FALSE)</f>
        <v>-84.42694444</v>
      </c>
      <c r="F298" s="3">
        <f>VLOOKUP(B298,airports!A:H,7,FALSE)</f>
        <v>30.691416669999999</v>
      </c>
      <c r="G298" s="3">
        <f>VLOOKUP(B298,airports!A:H,8,FALSE)</f>
        <v>-88.242833329999996</v>
      </c>
      <c r="H298">
        <f t="shared" si="8"/>
        <v>486.3</v>
      </c>
      <c r="I298">
        <f t="shared" si="9"/>
        <v>302.2</v>
      </c>
    </row>
    <row r="299" spans="1:9" ht="30" x14ac:dyDescent="0.25">
      <c r="A299" s="5" t="s">
        <v>10</v>
      </c>
      <c r="B299" s="5" t="s">
        <v>579</v>
      </c>
      <c r="C299" s="5" t="s">
        <v>580</v>
      </c>
      <c r="D299" s="3">
        <f>VLOOKUP(A299,airports!A:H,7,FALSE)</f>
        <v>33.640444440000003</v>
      </c>
      <c r="E299" s="3">
        <f>VLOOKUP(A299,airports!A:H,8,FALSE)</f>
        <v>-84.42694444</v>
      </c>
      <c r="F299" s="3">
        <f>VLOOKUP(B299,airports!A:H,7,FALSE)</f>
        <v>43.13985778</v>
      </c>
      <c r="G299" s="3">
        <f>VLOOKUP(B299,airports!A:H,8,FALSE)</f>
        <v>-89.337513610000002</v>
      </c>
      <c r="H299">
        <f t="shared" si="8"/>
        <v>1139.0999999999999</v>
      </c>
      <c r="I299">
        <f t="shared" si="9"/>
        <v>707.9</v>
      </c>
    </row>
    <row r="300" spans="1:9" ht="30" x14ac:dyDescent="0.25">
      <c r="A300" s="5" t="s">
        <v>10</v>
      </c>
      <c r="B300" s="5" t="s">
        <v>581</v>
      </c>
      <c r="C300" s="5" t="s">
        <v>582</v>
      </c>
      <c r="D300" s="3">
        <f>VLOOKUP(A300,airports!A:H,7,FALSE)</f>
        <v>33.640444440000003</v>
      </c>
      <c r="E300" s="3">
        <f>VLOOKUP(A300,airports!A:H,8,FALSE)</f>
        <v>-84.42694444</v>
      </c>
      <c r="F300" s="3">
        <f>VLOOKUP(B300,airports!A:H,7,FALSE)</f>
        <v>46.916305559999998</v>
      </c>
      <c r="G300" s="3">
        <f>VLOOKUP(B300,airports!A:H,8,FALSE)</f>
        <v>-114.0905556</v>
      </c>
      <c r="H300">
        <f t="shared" si="8"/>
        <v>2891.7</v>
      </c>
      <c r="I300">
        <f t="shared" si="9"/>
        <v>1796.9</v>
      </c>
    </row>
    <row r="301" spans="1:9" ht="30" x14ac:dyDescent="0.25">
      <c r="A301" s="5" t="s">
        <v>10</v>
      </c>
      <c r="B301" s="5" t="s">
        <v>87</v>
      </c>
      <c r="C301" s="5" t="s">
        <v>583</v>
      </c>
      <c r="D301" s="3">
        <f>VLOOKUP(A301,airports!A:H,7,FALSE)</f>
        <v>33.640444440000003</v>
      </c>
      <c r="E301" s="3">
        <f>VLOOKUP(A301,airports!A:H,8,FALSE)</f>
        <v>-84.42694444</v>
      </c>
      <c r="F301" s="3">
        <f>VLOOKUP(B301,airports!A:H,7,FALSE)</f>
        <v>44.880546940000002</v>
      </c>
      <c r="G301" s="3">
        <f>VLOOKUP(B301,airports!A:H,8,FALSE)</f>
        <v>-93.216922499999995</v>
      </c>
      <c r="H301">
        <f t="shared" si="8"/>
        <v>1459.1</v>
      </c>
      <c r="I301">
        <f t="shared" si="9"/>
        <v>906.7</v>
      </c>
    </row>
    <row r="302" spans="1:9" ht="30" x14ac:dyDescent="0.25">
      <c r="A302" s="5" t="s">
        <v>10</v>
      </c>
      <c r="B302" s="5" t="s">
        <v>89</v>
      </c>
      <c r="C302" s="5" t="s">
        <v>584</v>
      </c>
      <c r="D302" s="3">
        <f>VLOOKUP(A302,airports!A:H,7,FALSE)</f>
        <v>33.640444440000003</v>
      </c>
      <c r="E302" s="3">
        <f>VLOOKUP(A302,airports!A:H,8,FALSE)</f>
        <v>-84.42694444</v>
      </c>
      <c r="F302" s="3">
        <f>VLOOKUP(B302,airports!A:H,7,FALSE)</f>
        <v>29.993388889999999</v>
      </c>
      <c r="G302" s="3">
        <f>VLOOKUP(B302,airports!A:H,8,FALSE)</f>
        <v>-90.258027780000006</v>
      </c>
      <c r="H302">
        <f t="shared" si="8"/>
        <v>683.9</v>
      </c>
      <c r="I302">
        <f t="shared" si="9"/>
        <v>425</v>
      </c>
    </row>
    <row r="303" spans="1:9" x14ac:dyDescent="0.25">
      <c r="A303" s="5" t="s">
        <v>10</v>
      </c>
      <c r="B303" s="5" t="s">
        <v>91</v>
      </c>
      <c r="C303" s="5" t="s">
        <v>585</v>
      </c>
      <c r="D303" s="3">
        <f>VLOOKUP(A303,airports!A:H,7,FALSE)</f>
        <v>33.640444440000003</v>
      </c>
      <c r="E303" s="3">
        <f>VLOOKUP(A303,airports!A:H,8,FALSE)</f>
        <v>-84.42694444</v>
      </c>
      <c r="F303" s="3">
        <f>VLOOKUP(B303,airports!A:H,7,FALSE)</f>
        <v>38.508867219999999</v>
      </c>
      <c r="G303" s="3">
        <f>VLOOKUP(B303,airports!A:H,8,FALSE)</f>
        <v>-107.8938333</v>
      </c>
      <c r="H303">
        <f t="shared" si="8"/>
        <v>2170.8000000000002</v>
      </c>
      <c r="I303">
        <f t="shared" si="9"/>
        <v>1349</v>
      </c>
    </row>
    <row r="304" spans="1:9" ht="30" x14ac:dyDescent="0.25">
      <c r="A304" s="5" t="s">
        <v>10</v>
      </c>
      <c r="B304" s="5" t="s">
        <v>182</v>
      </c>
      <c r="C304" s="5" t="s">
        <v>586</v>
      </c>
      <c r="D304" s="3">
        <f>VLOOKUP(A304,airports!A:H,7,FALSE)</f>
        <v>33.640444440000003</v>
      </c>
      <c r="E304" s="3">
        <f>VLOOKUP(A304,airports!A:H,8,FALSE)</f>
        <v>-84.42694444</v>
      </c>
      <c r="F304" s="3">
        <f>VLOOKUP(B304,airports!A:H,7,FALSE)</f>
        <v>33.679749999999999</v>
      </c>
      <c r="G304" s="3">
        <f>VLOOKUP(B304,airports!A:H,8,FALSE)</f>
        <v>-78.928333330000001</v>
      </c>
      <c r="H304">
        <f t="shared" si="8"/>
        <v>508.9</v>
      </c>
      <c r="I304">
        <f t="shared" si="9"/>
        <v>316.2</v>
      </c>
    </row>
    <row r="305" spans="1:9" x14ac:dyDescent="0.25">
      <c r="A305" s="5" t="s">
        <v>10</v>
      </c>
      <c r="B305" s="5" t="s">
        <v>587</v>
      </c>
      <c r="C305" s="5" t="s">
        <v>588</v>
      </c>
      <c r="D305" s="3">
        <f>VLOOKUP(A305,airports!A:H,7,FALSE)</f>
        <v>33.640444440000003</v>
      </c>
      <c r="E305" s="3">
        <f>VLOOKUP(A305,airports!A:H,8,FALSE)</f>
        <v>-84.42694444</v>
      </c>
      <c r="F305" s="3">
        <f>VLOOKUP(B305,airports!A:H,7,FALSE)</f>
        <v>34.82916444</v>
      </c>
      <c r="G305" s="3">
        <f>VLOOKUP(B305,airports!A:H,8,FALSE)</f>
        <v>-77.612137779999998</v>
      </c>
      <c r="H305">
        <f t="shared" si="8"/>
        <v>640.1</v>
      </c>
      <c r="I305">
        <f t="shared" si="9"/>
        <v>397.8</v>
      </c>
    </row>
    <row r="306" spans="1:9" ht="30" x14ac:dyDescent="0.25">
      <c r="A306" s="5" t="s">
        <v>10</v>
      </c>
      <c r="B306" s="5" t="s">
        <v>215</v>
      </c>
      <c r="C306" s="5" t="s">
        <v>589</v>
      </c>
      <c r="D306" s="3">
        <f>VLOOKUP(A306,airports!A:H,7,FALSE)</f>
        <v>33.640444440000003</v>
      </c>
      <c r="E306" s="3">
        <f>VLOOKUP(A306,airports!A:H,8,FALSE)</f>
        <v>-84.42694444</v>
      </c>
      <c r="F306" s="3">
        <f>VLOOKUP(B306,airports!A:H,7,FALSE)</f>
        <v>37.721290830000001</v>
      </c>
      <c r="G306" s="3">
        <f>VLOOKUP(B306,airports!A:H,8,FALSE)</f>
        <v>-122.2207167</v>
      </c>
      <c r="H306">
        <f t="shared" si="8"/>
        <v>3420.3</v>
      </c>
      <c r="I306">
        <f t="shared" si="9"/>
        <v>2125.4</v>
      </c>
    </row>
    <row r="307" spans="1:9" ht="30" x14ac:dyDescent="0.25">
      <c r="A307" s="5" t="s">
        <v>10</v>
      </c>
      <c r="B307" s="5" t="s">
        <v>590</v>
      </c>
      <c r="C307" s="5" t="s">
        <v>591</v>
      </c>
      <c r="D307" s="3">
        <f>VLOOKUP(A307,airports!A:H,7,FALSE)</f>
        <v>33.640444440000003</v>
      </c>
      <c r="E307" s="3">
        <f>VLOOKUP(A307,airports!A:H,8,FALSE)</f>
        <v>-84.42694444</v>
      </c>
      <c r="F307" s="3">
        <f>VLOOKUP(B307,airports!A:H,7,FALSE)</f>
        <v>35.393088329999998</v>
      </c>
      <c r="G307" s="3">
        <f>VLOOKUP(B307,airports!A:H,8,FALSE)</f>
        <v>-97.600733890000001</v>
      </c>
      <c r="H307">
        <f t="shared" si="8"/>
        <v>1221.7</v>
      </c>
      <c r="I307">
        <f t="shared" si="9"/>
        <v>759.2</v>
      </c>
    </row>
    <row r="308" spans="1:9" ht="30" x14ac:dyDescent="0.25">
      <c r="A308" s="5" t="s">
        <v>10</v>
      </c>
      <c r="B308" s="5" t="s">
        <v>592</v>
      </c>
      <c r="C308" s="5" t="s">
        <v>593</v>
      </c>
      <c r="D308" s="3">
        <f>VLOOKUP(A308,airports!A:H,7,FALSE)</f>
        <v>33.640444440000003</v>
      </c>
      <c r="E308" s="3">
        <f>VLOOKUP(A308,airports!A:H,8,FALSE)</f>
        <v>-84.42694444</v>
      </c>
      <c r="F308" s="3">
        <f>VLOOKUP(B308,airports!A:H,7,FALSE)</f>
        <v>41.30251861</v>
      </c>
      <c r="G308" s="3">
        <f>VLOOKUP(B308,airports!A:H,8,FALSE)</f>
        <v>-95.89417306</v>
      </c>
      <c r="H308">
        <f t="shared" si="8"/>
        <v>1320.8</v>
      </c>
      <c r="I308">
        <f t="shared" si="9"/>
        <v>820.8</v>
      </c>
    </row>
    <row r="309" spans="1:9" ht="30" x14ac:dyDescent="0.25">
      <c r="A309" s="5" t="s">
        <v>10</v>
      </c>
      <c r="B309" s="5" t="s">
        <v>94</v>
      </c>
      <c r="C309" s="5" t="s">
        <v>594</v>
      </c>
      <c r="D309" s="3">
        <f>VLOOKUP(A309,airports!A:H,7,FALSE)</f>
        <v>33.640444440000003</v>
      </c>
      <c r="E309" s="3">
        <f>VLOOKUP(A309,airports!A:H,8,FALSE)</f>
        <v>-84.42694444</v>
      </c>
      <c r="F309" s="3">
        <f>VLOOKUP(B309,airports!A:H,7,FALSE)</f>
        <v>34.055999999999997</v>
      </c>
      <c r="G309" s="3">
        <f>VLOOKUP(B309,airports!A:H,8,FALSE)</f>
        <v>-117.6011944</v>
      </c>
      <c r="H309">
        <f t="shared" si="8"/>
        <v>3050.4</v>
      </c>
      <c r="I309">
        <f t="shared" si="9"/>
        <v>1895.5</v>
      </c>
    </row>
    <row r="310" spans="1:9" ht="30" x14ac:dyDescent="0.25">
      <c r="A310" s="5" t="s">
        <v>10</v>
      </c>
      <c r="B310" s="5" t="s">
        <v>95</v>
      </c>
      <c r="C310" s="5" t="s">
        <v>595</v>
      </c>
      <c r="D310" s="3">
        <f>VLOOKUP(A310,airports!A:H,7,FALSE)</f>
        <v>33.640444440000003</v>
      </c>
      <c r="E310" s="3">
        <f>VLOOKUP(A310,airports!A:H,8,FALSE)</f>
        <v>-84.42694444</v>
      </c>
      <c r="F310" s="3">
        <f>VLOOKUP(B310,airports!A:H,7,FALSE)</f>
        <v>41.979595000000003</v>
      </c>
      <c r="G310" s="3">
        <f>VLOOKUP(B310,airports!A:H,8,FALSE)</f>
        <v>-87.904464169999997</v>
      </c>
      <c r="H310">
        <f t="shared" si="8"/>
        <v>976.1</v>
      </c>
      <c r="I310">
        <f t="shared" si="9"/>
        <v>606.5</v>
      </c>
    </row>
    <row r="311" spans="1:9" ht="30" x14ac:dyDescent="0.25">
      <c r="A311" s="5" t="s">
        <v>10</v>
      </c>
      <c r="B311" s="5" t="s">
        <v>596</v>
      </c>
      <c r="C311" s="5" t="s">
        <v>597</v>
      </c>
      <c r="D311" s="3">
        <f>VLOOKUP(A311,airports!A:H,7,FALSE)</f>
        <v>33.640444440000003</v>
      </c>
      <c r="E311" s="3">
        <f>VLOOKUP(A311,airports!A:H,8,FALSE)</f>
        <v>-84.42694444</v>
      </c>
      <c r="F311" s="3">
        <f>VLOOKUP(B311,airports!A:H,7,FALSE)</f>
        <v>36.89461111</v>
      </c>
      <c r="G311" s="3">
        <f>VLOOKUP(B311,airports!A:H,8,FALSE)</f>
        <v>-76.201222220000005</v>
      </c>
      <c r="H311">
        <f t="shared" si="8"/>
        <v>829.4</v>
      </c>
      <c r="I311">
        <f t="shared" si="9"/>
        <v>515.4</v>
      </c>
    </row>
    <row r="312" spans="1:9" x14ac:dyDescent="0.25">
      <c r="A312" s="5" t="s">
        <v>10</v>
      </c>
      <c r="B312" s="5" t="s">
        <v>99</v>
      </c>
      <c r="C312" s="5" t="s">
        <v>598</v>
      </c>
      <c r="D312" s="3">
        <f>VLOOKUP(A312,airports!A:H,7,FALSE)</f>
        <v>33.640444440000003</v>
      </c>
      <c r="E312" s="3">
        <f>VLOOKUP(A312,airports!A:H,8,FALSE)</f>
        <v>-84.42694444</v>
      </c>
      <c r="F312" s="3">
        <f>VLOOKUP(B312,airports!A:H,7,FALSE)</f>
        <v>26.683161940000002</v>
      </c>
      <c r="G312" s="3">
        <f>VLOOKUP(B312,airports!A:H,8,FALSE)</f>
        <v>-80.095594169999998</v>
      </c>
      <c r="H312">
        <f t="shared" si="8"/>
        <v>878.3</v>
      </c>
      <c r="I312">
        <f t="shared" si="9"/>
        <v>545.79999999999995</v>
      </c>
    </row>
    <row r="313" spans="1:9" ht="30" x14ac:dyDescent="0.25">
      <c r="A313" s="5" t="s">
        <v>10</v>
      </c>
      <c r="B313" s="5" t="s">
        <v>100</v>
      </c>
      <c r="C313" s="5" t="s">
        <v>599</v>
      </c>
      <c r="D313" s="3">
        <f>VLOOKUP(A313,airports!A:H,7,FALSE)</f>
        <v>33.640444440000003</v>
      </c>
      <c r="E313" s="3">
        <f>VLOOKUP(A313,airports!A:H,8,FALSE)</f>
        <v>-84.42694444</v>
      </c>
      <c r="F313" s="3">
        <f>VLOOKUP(B313,airports!A:H,7,FALSE)</f>
        <v>45.588722220000001</v>
      </c>
      <c r="G313" s="3">
        <f>VLOOKUP(B313,airports!A:H,8,FALSE)</f>
        <v>-122.5975</v>
      </c>
      <c r="H313">
        <f t="shared" si="8"/>
        <v>3489</v>
      </c>
      <c r="I313">
        <f t="shared" si="9"/>
        <v>2168.1</v>
      </c>
    </row>
    <row r="314" spans="1:9" x14ac:dyDescent="0.25">
      <c r="A314" s="5" t="s">
        <v>10</v>
      </c>
      <c r="B314" s="5" t="s">
        <v>600</v>
      </c>
      <c r="C314" s="5" t="s">
        <v>601</v>
      </c>
      <c r="D314" s="3">
        <f>VLOOKUP(A314,airports!A:H,7,FALSE)</f>
        <v>33.640444440000003</v>
      </c>
      <c r="E314" s="3">
        <f>VLOOKUP(A314,airports!A:H,8,FALSE)</f>
        <v>-84.42694444</v>
      </c>
      <c r="F314" s="3">
        <f>VLOOKUP(B314,airports!A:H,7,FALSE)</f>
        <v>37.131895559999997</v>
      </c>
      <c r="G314" s="3">
        <f>VLOOKUP(B314,airports!A:H,8,FALSE)</f>
        <v>-76.492987499999998</v>
      </c>
      <c r="H314">
        <f t="shared" si="8"/>
        <v>816.9</v>
      </c>
      <c r="I314">
        <f t="shared" si="9"/>
        <v>507.6</v>
      </c>
    </row>
    <row r="315" spans="1:9" x14ac:dyDescent="0.25">
      <c r="A315" s="5" t="s">
        <v>10</v>
      </c>
      <c r="B315" s="5" t="s">
        <v>102</v>
      </c>
      <c r="C315" s="5" t="s">
        <v>602</v>
      </c>
      <c r="D315" s="3">
        <f>VLOOKUP(A315,airports!A:H,7,FALSE)</f>
        <v>33.640444440000003</v>
      </c>
      <c r="E315" s="3">
        <f>VLOOKUP(A315,airports!A:H,8,FALSE)</f>
        <v>-84.42694444</v>
      </c>
      <c r="F315" s="3">
        <f>VLOOKUP(B315,airports!A:H,7,FALSE)</f>
        <v>39.871952780000001</v>
      </c>
      <c r="G315" s="3">
        <f>VLOOKUP(B315,airports!A:H,8,FALSE)</f>
        <v>-75.241140830000006</v>
      </c>
      <c r="H315">
        <f t="shared" si="8"/>
        <v>1071.2</v>
      </c>
      <c r="I315">
        <f t="shared" si="9"/>
        <v>665.7</v>
      </c>
    </row>
    <row r="316" spans="1:9" ht="30" x14ac:dyDescent="0.25">
      <c r="A316" s="5" t="s">
        <v>10</v>
      </c>
      <c r="B316" s="5" t="s">
        <v>104</v>
      </c>
      <c r="C316" s="5" t="s">
        <v>603</v>
      </c>
      <c r="D316" s="3">
        <f>VLOOKUP(A316,airports!A:H,7,FALSE)</f>
        <v>33.640444440000003</v>
      </c>
      <c r="E316" s="3">
        <f>VLOOKUP(A316,airports!A:H,8,FALSE)</f>
        <v>-84.42694444</v>
      </c>
      <c r="F316" s="3">
        <f>VLOOKUP(B316,airports!A:H,7,FALSE)</f>
        <v>33.434166670000003</v>
      </c>
      <c r="G316" s="3">
        <f>VLOOKUP(B316,airports!A:H,8,FALSE)</f>
        <v>-112.00805560000001</v>
      </c>
      <c r="H316">
        <f t="shared" si="8"/>
        <v>2548.8000000000002</v>
      </c>
      <c r="I316">
        <f t="shared" si="9"/>
        <v>1583.8</v>
      </c>
    </row>
    <row r="317" spans="1:9" x14ac:dyDescent="0.25">
      <c r="A317" s="5" t="s">
        <v>10</v>
      </c>
      <c r="B317" s="5" t="s">
        <v>604</v>
      </c>
      <c r="C317" s="5" t="s">
        <v>605</v>
      </c>
      <c r="D317" s="3">
        <f>VLOOKUP(A317,airports!A:H,7,FALSE)</f>
        <v>33.640444440000003</v>
      </c>
      <c r="E317" s="3">
        <f>VLOOKUP(A317,airports!A:H,8,FALSE)</f>
        <v>-84.42694444</v>
      </c>
      <c r="F317" s="3">
        <f>VLOOKUP(B317,airports!A:H,7,FALSE)</f>
        <v>40.664243329999998</v>
      </c>
      <c r="G317" s="3">
        <f>VLOOKUP(B317,airports!A:H,8,FALSE)</f>
        <v>-89.693305559999999</v>
      </c>
      <c r="H317">
        <f t="shared" si="8"/>
        <v>909.4</v>
      </c>
      <c r="I317">
        <f t="shared" si="9"/>
        <v>565.1</v>
      </c>
    </row>
    <row r="318" spans="1:9" x14ac:dyDescent="0.25">
      <c r="A318" s="5" t="s">
        <v>10</v>
      </c>
      <c r="B318" s="5" t="s">
        <v>106</v>
      </c>
      <c r="C318" s="5" t="s">
        <v>606</v>
      </c>
      <c r="D318" s="3">
        <f>VLOOKUP(A318,airports!A:H,7,FALSE)</f>
        <v>33.640444440000003</v>
      </c>
      <c r="E318" s="3">
        <f>VLOOKUP(A318,airports!A:H,8,FALSE)</f>
        <v>-84.42694444</v>
      </c>
      <c r="F318" s="3">
        <f>VLOOKUP(B318,airports!A:H,7,FALSE)</f>
        <v>40.491465830000003</v>
      </c>
      <c r="G318" s="3">
        <f>VLOOKUP(B318,airports!A:H,8,FALSE)</f>
        <v>-80.232870829999996</v>
      </c>
      <c r="H318">
        <f t="shared" si="8"/>
        <v>847.6</v>
      </c>
      <c r="I318">
        <f t="shared" si="9"/>
        <v>526.70000000000005</v>
      </c>
    </row>
    <row r="319" spans="1:9" ht="30" x14ac:dyDescent="0.25">
      <c r="A319" s="5" t="s">
        <v>10</v>
      </c>
      <c r="B319" s="5" t="s">
        <v>607</v>
      </c>
      <c r="C319" s="5" t="s">
        <v>608</v>
      </c>
      <c r="D319" s="3">
        <f>VLOOKUP(A319,airports!A:H,7,FALSE)</f>
        <v>33.640444440000003</v>
      </c>
      <c r="E319" s="3">
        <f>VLOOKUP(A319,airports!A:H,8,FALSE)</f>
        <v>-84.42694444</v>
      </c>
      <c r="F319" s="3">
        <f>VLOOKUP(B319,airports!A:H,7,FALSE)</f>
        <v>30.47330556</v>
      </c>
      <c r="G319" s="3">
        <f>VLOOKUP(B319,airports!A:H,8,FALSE)</f>
        <v>-87.187444439999993</v>
      </c>
      <c r="H319">
        <f t="shared" si="8"/>
        <v>437.8</v>
      </c>
      <c r="I319">
        <f t="shared" si="9"/>
        <v>272</v>
      </c>
    </row>
    <row r="320" spans="1:9" x14ac:dyDescent="0.25">
      <c r="A320" s="5" t="s">
        <v>10</v>
      </c>
      <c r="B320" s="5" t="s">
        <v>111</v>
      </c>
      <c r="C320" s="5" t="s">
        <v>609</v>
      </c>
      <c r="D320" s="3">
        <f>VLOOKUP(A320,airports!A:H,7,FALSE)</f>
        <v>33.640444440000003</v>
      </c>
      <c r="E320" s="3">
        <f>VLOOKUP(A320,airports!A:H,8,FALSE)</f>
        <v>-84.42694444</v>
      </c>
      <c r="F320" s="3">
        <f>VLOOKUP(B320,airports!A:H,7,FALSE)</f>
        <v>33.829215560000002</v>
      </c>
      <c r="G320" s="3">
        <f>VLOOKUP(B320,airports!A:H,8,FALSE)</f>
        <v>-116.5062531</v>
      </c>
      <c r="H320">
        <f t="shared" si="8"/>
        <v>2954.3</v>
      </c>
      <c r="I320">
        <f t="shared" si="9"/>
        <v>1835.8</v>
      </c>
    </row>
    <row r="321" spans="1:9" ht="30" x14ac:dyDescent="0.25">
      <c r="A321" s="5" t="s">
        <v>10</v>
      </c>
      <c r="B321" s="5" t="s">
        <v>114</v>
      </c>
      <c r="C321" s="5" t="s">
        <v>610</v>
      </c>
      <c r="D321" s="3">
        <f>VLOOKUP(A321,airports!A:H,7,FALSE)</f>
        <v>33.640444440000003</v>
      </c>
      <c r="E321" s="3">
        <f>VLOOKUP(A321,airports!A:H,8,FALSE)</f>
        <v>-84.42694444</v>
      </c>
      <c r="F321" s="3">
        <f>VLOOKUP(B321,airports!A:H,7,FALSE)</f>
        <v>41.723999169999999</v>
      </c>
      <c r="G321" s="3">
        <f>VLOOKUP(B321,airports!A:H,8,FALSE)</f>
        <v>-71.428221109999996</v>
      </c>
      <c r="H321">
        <f t="shared" si="8"/>
        <v>1452</v>
      </c>
      <c r="I321">
        <f t="shared" si="9"/>
        <v>902.3</v>
      </c>
    </row>
    <row r="322" spans="1:9" ht="30" x14ac:dyDescent="0.25">
      <c r="A322" s="5" t="s">
        <v>10</v>
      </c>
      <c r="B322" s="5" t="s">
        <v>117</v>
      </c>
      <c r="C322" s="5" t="s">
        <v>611</v>
      </c>
      <c r="D322" s="3">
        <f>VLOOKUP(A322,airports!A:H,7,FALSE)</f>
        <v>33.640444440000003</v>
      </c>
      <c r="E322" s="3">
        <f>VLOOKUP(A322,airports!A:H,8,FALSE)</f>
        <v>-84.42694444</v>
      </c>
      <c r="F322" s="3">
        <f>VLOOKUP(B322,airports!A:H,7,FALSE)</f>
        <v>43.646166669999999</v>
      </c>
      <c r="G322" s="3">
        <f>VLOOKUP(B322,airports!A:H,8,FALSE)</f>
        <v>-70.308750000000003</v>
      </c>
      <c r="H322">
        <f t="shared" si="8"/>
        <v>1651.4</v>
      </c>
      <c r="I322">
        <f t="shared" si="9"/>
        <v>1026.2</v>
      </c>
    </row>
    <row r="323" spans="1:9" ht="30" x14ac:dyDescent="0.25">
      <c r="A323" s="5" t="s">
        <v>10</v>
      </c>
      <c r="B323" s="5" t="s">
        <v>612</v>
      </c>
      <c r="C323" s="5" t="s">
        <v>613</v>
      </c>
      <c r="D323" s="3">
        <f>VLOOKUP(A323,airports!A:H,7,FALSE)</f>
        <v>33.640444440000003</v>
      </c>
      <c r="E323" s="3">
        <f>VLOOKUP(A323,airports!A:H,8,FALSE)</f>
        <v>-84.42694444</v>
      </c>
      <c r="F323" s="3">
        <f>VLOOKUP(B323,airports!A:H,7,FALSE)</f>
        <v>44.045321389999998</v>
      </c>
      <c r="G323" s="3">
        <f>VLOOKUP(B323,airports!A:H,8,FALSE)</f>
        <v>-103.0573708</v>
      </c>
      <c r="H323">
        <f t="shared" si="8"/>
        <v>1977.8</v>
      </c>
      <c r="I323">
        <f t="shared" si="9"/>
        <v>1229</v>
      </c>
    </row>
    <row r="324" spans="1:9" ht="30" x14ac:dyDescent="0.25">
      <c r="A324" s="5" t="s">
        <v>10</v>
      </c>
      <c r="B324" s="5" t="s">
        <v>119</v>
      </c>
      <c r="C324" s="5" t="s">
        <v>614</v>
      </c>
      <c r="D324" s="3">
        <f>VLOOKUP(A324,airports!A:H,7,FALSE)</f>
        <v>33.640444440000003</v>
      </c>
      <c r="E324" s="3">
        <f>VLOOKUP(A324,airports!A:H,8,FALSE)</f>
        <v>-84.42694444</v>
      </c>
      <c r="F324" s="3">
        <f>VLOOKUP(B324,airports!A:H,7,FALSE)</f>
        <v>35.87763889</v>
      </c>
      <c r="G324" s="3">
        <f>VLOOKUP(B324,airports!A:H,8,FALSE)</f>
        <v>-78.787472219999998</v>
      </c>
      <c r="H324">
        <f t="shared" ref="H324:H387" si="10">ROUND(ACOS(COS(RADIANS(90-D324)) * COS(RADIANS(90-F324)) + SIN(RADIANS(90-D324)) * SIN(RADIANS(90-F324)) * COS(RADIANS(E324-G324))) * 6371,1)</f>
        <v>572</v>
      </c>
      <c r="I324">
        <f t="shared" ref="I324:I387" si="11">ROUND(ACOS(COS(RADIANS(90-D324)) * COS(RADIANS(90-F324)) + SIN(RADIANS(90-D324)) * SIN(RADIANS(90-F324)) * COS(RADIANS(E324-G324))) * 3959,1)</f>
        <v>355.4</v>
      </c>
    </row>
    <row r="325" spans="1:9" x14ac:dyDescent="0.25">
      <c r="A325" s="5" t="s">
        <v>10</v>
      </c>
      <c r="B325" s="5" t="s">
        <v>120</v>
      </c>
      <c r="C325" s="5" t="s">
        <v>615</v>
      </c>
      <c r="D325" s="3">
        <f>VLOOKUP(A325,airports!A:H,7,FALSE)</f>
        <v>33.640444440000003</v>
      </c>
      <c r="E325" s="3">
        <f>VLOOKUP(A325,airports!A:H,8,FALSE)</f>
        <v>-84.42694444</v>
      </c>
      <c r="F325" s="3">
        <f>VLOOKUP(B325,airports!A:H,7,FALSE)</f>
        <v>37.505166670000001</v>
      </c>
      <c r="G325" s="3">
        <f>VLOOKUP(B325,airports!A:H,8,FALSE)</f>
        <v>-77.319666670000004</v>
      </c>
      <c r="H325">
        <f t="shared" si="10"/>
        <v>772.9</v>
      </c>
      <c r="I325">
        <f t="shared" si="11"/>
        <v>480.3</v>
      </c>
    </row>
    <row r="326" spans="1:9" ht="30" x14ac:dyDescent="0.25">
      <c r="A326" s="5" t="s">
        <v>10</v>
      </c>
      <c r="B326" s="5" t="s">
        <v>121</v>
      </c>
      <c r="C326" s="5" t="s">
        <v>616</v>
      </c>
      <c r="D326" s="3">
        <f>VLOOKUP(A326,airports!A:H,7,FALSE)</f>
        <v>33.640444440000003</v>
      </c>
      <c r="E326" s="3">
        <f>VLOOKUP(A326,airports!A:H,8,FALSE)</f>
        <v>-84.42694444</v>
      </c>
      <c r="F326" s="3">
        <f>VLOOKUP(B326,airports!A:H,7,FALSE)</f>
        <v>39.498576110000002</v>
      </c>
      <c r="G326" s="3">
        <f>VLOOKUP(B326,airports!A:H,8,FALSE)</f>
        <v>-119.7680647</v>
      </c>
      <c r="H326">
        <f t="shared" si="10"/>
        <v>3201.2</v>
      </c>
      <c r="I326">
        <f t="shared" si="11"/>
        <v>1989.3</v>
      </c>
    </row>
    <row r="327" spans="1:9" ht="30" x14ac:dyDescent="0.25">
      <c r="A327" s="5" t="s">
        <v>10</v>
      </c>
      <c r="B327" s="5" t="s">
        <v>617</v>
      </c>
      <c r="C327" s="5" t="s">
        <v>618</v>
      </c>
      <c r="D327" s="3">
        <f>VLOOKUP(A327,airports!A:H,7,FALSE)</f>
        <v>33.640444440000003</v>
      </c>
      <c r="E327" s="3">
        <f>VLOOKUP(A327,airports!A:H,8,FALSE)</f>
        <v>-84.42694444</v>
      </c>
      <c r="F327" s="3">
        <f>VLOOKUP(B327,airports!A:H,7,FALSE)</f>
        <v>37.32546833</v>
      </c>
      <c r="G327" s="3">
        <f>VLOOKUP(B327,airports!A:H,8,FALSE)</f>
        <v>-79.97542833</v>
      </c>
      <c r="H327">
        <f t="shared" si="10"/>
        <v>574.6</v>
      </c>
      <c r="I327">
        <f t="shared" si="11"/>
        <v>357.1</v>
      </c>
    </row>
    <row r="328" spans="1:9" ht="30" x14ac:dyDescent="0.25">
      <c r="A328" s="5" t="s">
        <v>10</v>
      </c>
      <c r="B328" s="5" t="s">
        <v>122</v>
      </c>
      <c r="C328" s="5" t="s">
        <v>619</v>
      </c>
      <c r="D328" s="3">
        <f>VLOOKUP(A328,airports!A:H,7,FALSE)</f>
        <v>33.640444440000003</v>
      </c>
      <c r="E328" s="3">
        <f>VLOOKUP(A328,airports!A:H,8,FALSE)</f>
        <v>-84.42694444</v>
      </c>
      <c r="F328" s="3">
        <f>VLOOKUP(B328,airports!A:H,7,FALSE)</f>
        <v>43.118866109999999</v>
      </c>
      <c r="G328" s="3">
        <f>VLOOKUP(B328,airports!A:H,8,FALSE)</f>
        <v>-77.672383890000006</v>
      </c>
      <c r="H328">
        <f t="shared" si="10"/>
        <v>1206.2</v>
      </c>
      <c r="I328">
        <f t="shared" si="11"/>
        <v>749.6</v>
      </c>
    </row>
    <row r="329" spans="1:9" x14ac:dyDescent="0.25">
      <c r="A329" s="5" t="s">
        <v>10</v>
      </c>
      <c r="B329" s="5" t="s">
        <v>620</v>
      </c>
      <c r="C329" s="5" t="s">
        <v>621</v>
      </c>
      <c r="D329" s="3">
        <f>VLOOKUP(A329,airports!A:H,7,FALSE)</f>
        <v>33.640444440000003</v>
      </c>
      <c r="E329" s="3">
        <f>VLOOKUP(A329,airports!A:H,8,FALSE)</f>
        <v>-84.42694444</v>
      </c>
      <c r="F329" s="3">
        <f>VLOOKUP(B329,airports!A:H,7,FALSE)</f>
        <v>43.908826390000002</v>
      </c>
      <c r="G329" s="3">
        <f>VLOOKUP(B329,airports!A:H,8,FALSE)</f>
        <v>-92.497987219999999</v>
      </c>
      <c r="H329">
        <f t="shared" si="10"/>
        <v>1337.6</v>
      </c>
      <c r="I329">
        <f t="shared" si="11"/>
        <v>831.2</v>
      </c>
    </row>
    <row r="330" spans="1:9" ht="30" x14ac:dyDescent="0.25">
      <c r="A330" s="5" t="s">
        <v>10</v>
      </c>
      <c r="B330" s="5" t="s">
        <v>123</v>
      </c>
      <c r="C330" s="5" t="s">
        <v>622</v>
      </c>
      <c r="D330" s="3">
        <f>VLOOKUP(A330,airports!A:H,7,FALSE)</f>
        <v>33.640444440000003</v>
      </c>
      <c r="E330" s="3">
        <f>VLOOKUP(A330,airports!A:H,8,FALSE)</f>
        <v>-84.42694444</v>
      </c>
      <c r="F330" s="3">
        <f>VLOOKUP(B330,airports!A:H,7,FALSE)</f>
        <v>26.53616667</v>
      </c>
      <c r="G330" s="3">
        <f>VLOOKUP(B330,airports!A:H,8,FALSE)</f>
        <v>-81.755166669999994</v>
      </c>
      <c r="H330">
        <f t="shared" si="10"/>
        <v>830.6</v>
      </c>
      <c r="I330">
        <f t="shared" si="11"/>
        <v>516.20000000000005</v>
      </c>
    </row>
    <row r="331" spans="1:9" ht="30" x14ac:dyDescent="0.25">
      <c r="A331" s="5" t="s">
        <v>10</v>
      </c>
      <c r="B331" s="5" t="s">
        <v>124</v>
      </c>
      <c r="C331" s="5" t="s">
        <v>623</v>
      </c>
      <c r="D331" s="3">
        <f>VLOOKUP(A331,airports!A:H,7,FALSE)</f>
        <v>33.640444440000003</v>
      </c>
      <c r="E331" s="3">
        <f>VLOOKUP(A331,airports!A:H,8,FALSE)</f>
        <v>-84.42694444</v>
      </c>
      <c r="F331" s="3">
        <f>VLOOKUP(B331,airports!A:H,7,FALSE)</f>
        <v>32.733556110000002</v>
      </c>
      <c r="G331" s="3">
        <f>VLOOKUP(B331,airports!A:H,8,FALSE)</f>
        <v>-117.1896567</v>
      </c>
      <c r="H331">
        <f t="shared" si="10"/>
        <v>3037.7</v>
      </c>
      <c r="I331">
        <f t="shared" si="11"/>
        <v>1887.7</v>
      </c>
    </row>
    <row r="332" spans="1:9" x14ac:dyDescent="0.25">
      <c r="A332" s="5" t="s">
        <v>10</v>
      </c>
      <c r="B332" s="5" t="s">
        <v>125</v>
      </c>
      <c r="C332" s="5" t="s">
        <v>624</v>
      </c>
      <c r="D332" s="3">
        <f>VLOOKUP(A332,airports!A:H,7,FALSE)</f>
        <v>33.640444440000003</v>
      </c>
      <c r="E332" s="3">
        <f>VLOOKUP(A332,airports!A:H,8,FALSE)</f>
        <v>-84.42694444</v>
      </c>
      <c r="F332" s="3">
        <f>VLOOKUP(B332,airports!A:H,7,FALSE)</f>
        <v>29.533694440000001</v>
      </c>
      <c r="G332" s="3">
        <f>VLOOKUP(B332,airports!A:H,8,FALSE)</f>
        <v>-98.469777780000001</v>
      </c>
      <c r="H332">
        <f t="shared" si="10"/>
        <v>1404.9</v>
      </c>
      <c r="I332">
        <f t="shared" si="11"/>
        <v>873</v>
      </c>
    </row>
    <row r="333" spans="1:9" ht="30" x14ac:dyDescent="0.25">
      <c r="A333" s="5" t="s">
        <v>10</v>
      </c>
      <c r="B333" s="5" t="s">
        <v>126</v>
      </c>
      <c r="C333" s="5" t="s">
        <v>625</v>
      </c>
      <c r="D333" s="3">
        <f>VLOOKUP(A333,airports!A:H,7,FALSE)</f>
        <v>33.640444440000003</v>
      </c>
      <c r="E333" s="3">
        <f>VLOOKUP(A333,airports!A:H,8,FALSE)</f>
        <v>-84.42694444</v>
      </c>
      <c r="F333" s="3">
        <f>VLOOKUP(B333,airports!A:H,7,FALSE)</f>
        <v>32.12758333</v>
      </c>
      <c r="G333" s="3">
        <f>VLOOKUP(B333,airports!A:H,8,FALSE)</f>
        <v>-81.202138890000001</v>
      </c>
      <c r="H333">
        <f t="shared" si="10"/>
        <v>344.9</v>
      </c>
      <c r="I333">
        <f t="shared" si="11"/>
        <v>214.3</v>
      </c>
    </row>
    <row r="334" spans="1:9" ht="30" x14ac:dyDescent="0.25">
      <c r="A334" s="5" t="s">
        <v>10</v>
      </c>
      <c r="B334" s="5" t="s">
        <v>626</v>
      </c>
      <c r="C334" s="5" t="s">
        <v>627</v>
      </c>
      <c r="D334" s="3">
        <f>VLOOKUP(A334,airports!A:H,7,FALSE)</f>
        <v>33.640444440000003</v>
      </c>
      <c r="E334" s="3">
        <f>VLOOKUP(A334,airports!A:H,8,FALSE)</f>
        <v>-84.42694444</v>
      </c>
      <c r="F334" s="3">
        <f>VLOOKUP(B334,airports!A:H,7,FALSE)</f>
        <v>41.708953610000002</v>
      </c>
      <c r="G334" s="3">
        <f>VLOOKUP(B334,airports!A:H,8,FALSE)</f>
        <v>-86.318474170000002</v>
      </c>
      <c r="H334">
        <f t="shared" si="10"/>
        <v>912.4</v>
      </c>
      <c r="I334">
        <f t="shared" si="11"/>
        <v>567</v>
      </c>
    </row>
    <row r="335" spans="1:9" x14ac:dyDescent="0.25">
      <c r="A335" s="5" t="s">
        <v>10</v>
      </c>
      <c r="B335" s="5" t="s">
        <v>628</v>
      </c>
      <c r="C335" s="5" t="s">
        <v>629</v>
      </c>
      <c r="D335" s="3">
        <f>VLOOKUP(A335,airports!A:H,7,FALSE)</f>
        <v>33.640444440000003</v>
      </c>
      <c r="E335" s="3">
        <f>VLOOKUP(A335,airports!A:H,8,FALSE)</f>
        <v>-84.42694444</v>
      </c>
      <c r="F335" s="3">
        <f>VLOOKUP(B335,airports!A:H,7,FALSE)</f>
        <v>40.851205999999998</v>
      </c>
      <c r="G335" s="3">
        <f>VLOOKUP(B335,airports!A:H,8,FALSE)</f>
        <v>-77.846301999999994</v>
      </c>
      <c r="H335">
        <f t="shared" si="10"/>
        <v>990.4</v>
      </c>
      <c r="I335">
        <f t="shared" si="11"/>
        <v>615.4</v>
      </c>
    </row>
    <row r="336" spans="1:9" x14ac:dyDescent="0.25">
      <c r="A336" s="5" t="s">
        <v>10</v>
      </c>
      <c r="B336" s="5" t="s">
        <v>630</v>
      </c>
      <c r="C336" s="5" t="s">
        <v>631</v>
      </c>
      <c r="D336" s="3">
        <f>VLOOKUP(A336,airports!A:H,7,FALSE)</f>
        <v>33.640444440000003</v>
      </c>
      <c r="E336" s="3">
        <f>VLOOKUP(A336,airports!A:H,8,FALSE)</f>
        <v>-84.42694444</v>
      </c>
      <c r="F336" s="3">
        <f>VLOOKUP(B336,airports!A:H,7,FALSE)</f>
        <v>38.174388890000003</v>
      </c>
      <c r="G336" s="3">
        <f>VLOOKUP(B336,airports!A:H,8,FALSE)</f>
        <v>-85.736000000000004</v>
      </c>
      <c r="H336">
        <f t="shared" si="10"/>
        <v>517.70000000000005</v>
      </c>
      <c r="I336">
        <f t="shared" si="11"/>
        <v>321.7</v>
      </c>
    </row>
    <row r="337" spans="1:9" x14ac:dyDescent="0.25">
      <c r="A337" s="5" t="s">
        <v>10</v>
      </c>
      <c r="B337" s="5" t="s">
        <v>128</v>
      </c>
      <c r="C337" s="5" t="s">
        <v>632</v>
      </c>
      <c r="D337" s="3">
        <f>VLOOKUP(A337,airports!A:H,7,FALSE)</f>
        <v>33.640444440000003</v>
      </c>
      <c r="E337" s="3">
        <f>VLOOKUP(A337,airports!A:H,8,FALSE)</f>
        <v>-84.42694444</v>
      </c>
      <c r="F337" s="3">
        <f>VLOOKUP(B337,airports!A:H,7,FALSE)</f>
        <v>47.448981940000003</v>
      </c>
      <c r="G337" s="3">
        <f>VLOOKUP(B337,airports!A:H,8,FALSE)</f>
        <v>-122.3093131</v>
      </c>
      <c r="H337">
        <f t="shared" si="10"/>
        <v>3504.8</v>
      </c>
      <c r="I337">
        <f t="shared" si="11"/>
        <v>2177.9</v>
      </c>
    </row>
    <row r="338" spans="1:9" x14ac:dyDescent="0.25">
      <c r="A338" s="5" t="s">
        <v>10</v>
      </c>
      <c r="B338" s="5" t="s">
        <v>130</v>
      </c>
      <c r="C338" s="5" t="s">
        <v>633</v>
      </c>
      <c r="D338" s="3">
        <f>VLOOKUP(A338,airports!A:H,7,FALSE)</f>
        <v>33.640444440000003</v>
      </c>
      <c r="E338" s="3">
        <f>VLOOKUP(A338,airports!A:H,8,FALSE)</f>
        <v>-84.42694444</v>
      </c>
      <c r="F338" s="3">
        <f>VLOOKUP(B338,airports!A:H,7,FALSE)</f>
        <v>37.619001939999997</v>
      </c>
      <c r="G338" s="3">
        <f>VLOOKUP(B338,airports!A:H,8,FALSE)</f>
        <v>-122.37484329999999</v>
      </c>
      <c r="H338">
        <f t="shared" si="10"/>
        <v>3434.7</v>
      </c>
      <c r="I338">
        <f t="shared" si="11"/>
        <v>2134.3000000000002</v>
      </c>
    </row>
    <row r="339" spans="1:9" x14ac:dyDescent="0.25">
      <c r="A339" s="5" t="s">
        <v>10</v>
      </c>
      <c r="B339" s="5" t="s">
        <v>634</v>
      </c>
      <c r="C339" s="5" t="s">
        <v>635</v>
      </c>
      <c r="D339" s="3">
        <f>VLOOKUP(A339,airports!A:H,7,FALSE)</f>
        <v>33.640444440000003</v>
      </c>
      <c r="E339" s="3">
        <f>VLOOKUP(A339,airports!A:H,8,FALSE)</f>
        <v>-84.42694444</v>
      </c>
      <c r="F339" s="3">
        <f>VLOOKUP(B339,airports!A:H,7,FALSE)</f>
        <v>37.244326110000003</v>
      </c>
      <c r="G339" s="3">
        <f>VLOOKUP(B339,airports!A:H,8,FALSE)</f>
        <v>-93.386858059999994</v>
      </c>
      <c r="H339">
        <f t="shared" si="10"/>
        <v>904.7</v>
      </c>
      <c r="I339">
        <f t="shared" si="11"/>
        <v>562.20000000000005</v>
      </c>
    </row>
    <row r="340" spans="1:9" ht="30" x14ac:dyDescent="0.25">
      <c r="A340" s="5" t="s">
        <v>10</v>
      </c>
      <c r="B340" s="5" t="s">
        <v>636</v>
      </c>
      <c r="C340" s="5" t="s">
        <v>637</v>
      </c>
      <c r="D340" s="3">
        <f>VLOOKUP(A340,airports!A:H,7,FALSE)</f>
        <v>33.640444440000003</v>
      </c>
      <c r="E340" s="3">
        <f>VLOOKUP(A340,airports!A:H,8,FALSE)</f>
        <v>-84.42694444</v>
      </c>
      <c r="F340" s="3">
        <f>VLOOKUP(B340,airports!A:H,7,FALSE)</f>
        <v>32.446627499999998</v>
      </c>
      <c r="G340" s="3">
        <f>VLOOKUP(B340,airports!A:H,8,FALSE)</f>
        <v>-93.825598330000005</v>
      </c>
      <c r="H340">
        <f t="shared" si="10"/>
        <v>885.7</v>
      </c>
      <c r="I340">
        <f t="shared" si="11"/>
        <v>550.4</v>
      </c>
    </row>
    <row r="341" spans="1:9" x14ac:dyDescent="0.25">
      <c r="A341" s="5" t="s">
        <v>10</v>
      </c>
      <c r="B341" s="5" t="s">
        <v>131</v>
      </c>
      <c r="C341" s="5" t="s">
        <v>638</v>
      </c>
      <c r="D341" s="3">
        <f>VLOOKUP(A341,airports!A:H,7,FALSE)</f>
        <v>33.640444440000003</v>
      </c>
      <c r="E341" s="3">
        <f>VLOOKUP(A341,airports!A:H,8,FALSE)</f>
        <v>-84.42694444</v>
      </c>
      <c r="F341" s="3">
        <f>VLOOKUP(B341,airports!A:H,7,FALSE)</f>
        <v>37.361861939999997</v>
      </c>
      <c r="G341" s="3">
        <f>VLOOKUP(B341,airports!A:H,8,FALSE)</f>
        <v>-121.9290089</v>
      </c>
      <c r="H341">
        <f t="shared" si="10"/>
        <v>3397.6</v>
      </c>
      <c r="I341">
        <f t="shared" si="11"/>
        <v>2111.3000000000002</v>
      </c>
    </row>
    <row r="342" spans="1:9" x14ac:dyDescent="0.25">
      <c r="A342" s="5" t="s">
        <v>10</v>
      </c>
      <c r="B342" s="5" t="s">
        <v>134</v>
      </c>
      <c r="C342" s="5" t="s">
        <v>639</v>
      </c>
      <c r="D342" s="3">
        <f>VLOOKUP(A342,airports!A:H,7,FALSE)</f>
        <v>33.640444440000003</v>
      </c>
      <c r="E342" s="3">
        <f>VLOOKUP(A342,airports!A:H,8,FALSE)</f>
        <v>-84.42694444</v>
      </c>
      <c r="F342" s="3">
        <f>VLOOKUP(B342,airports!A:H,7,FALSE)</f>
        <v>18.43941667</v>
      </c>
      <c r="G342" s="3">
        <f>VLOOKUP(B342,airports!A:H,8,FALSE)</f>
        <v>-66.001833329999997</v>
      </c>
      <c r="H342">
        <f t="shared" si="10"/>
        <v>2491.1</v>
      </c>
      <c r="I342">
        <f t="shared" si="11"/>
        <v>1548</v>
      </c>
    </row>
    <row r="343" spans="1:9" x14ac:dyDescent="0.25">
      <c r="A343" s="5" t="s">
        <v>10</v>
      </c>
      <c r="B343" s="5" t="s">
        <v>135</v>
      </c>
      <c r="C343" s="5" t="s">
        <v>640</v>
      </c>
      <c r="D343" s="3">
        <f>VLOOKUP(A343,airports!A:H,7,FALSE)</f>
        <v>33.640444440000003</v>
      </c>
      <c r="E343" s="3">
        <f>VLOOKUP(A343,airports!A:H,8,FALSE)</f>
        <v>-84.42694444</v>
      </c>
      <c r="F343" s="3">
        <f>VLOOKUP(B343,airports!A:H,7,FALSE)</f>
        <v>40.788387780000001</v>
      </c>
      <c r="G343" s="3">
        <f>VLOOKUP(B343,airports!A:H,8,FALSE)</f>
        <v>-111.97777309999999</v>
      </c>
      <c r="H343">
        <f t="shared" si="10"/>
        <v>2553.5</v>
      </c>
      <c r="I343">
        <f t="shared" si="11"/>
        <v>1586.8</v>
      </c>
    </row>
    <row r="344" spans="1:9" ht="30" x14ac:dyDescent="0.25">
      <c r="A344" s="5" t="s">
        <v>10</v>
      </c>
      <c r="B344" s="5" t="s">
        <v>137</v>
      </c>
      <c r="C344" s="5" t="s">
        <v>641</v>
      </c>
      <c r="D344" s="3">
        <f>VLOOKUP(A344,airports!A:H,7,FALSE)</f>
        <v>33.640444440000003</v>
      </c>
      <c r="E344" s="3">
        <f>VLOOKUP(A344,airports!A:H,8,FALSE)</f>
        <v>-84.42694444</v>
      </c>
      <c r="F344" s="3">
        <f>VLOOKUP(B344,airports!A:H,7,FALSE)</f>
        <v>38.695421670000002</v>
      </c>
      <c r="G344" s="3">
        <f>VLOOKUP(B344,airports!A:H,8,FALSE)</f>
        <v>-121.59076690000001</v>
      </c>
      <c r="H344">
        <f t="shared" si="10"/>
        <v>3359.7</v>
      </c>
      <c r="I344">
        <f t="shared" si="11"/>
        <v>2087.6999999999998</v>
      </c>
    </row>
    <row r="345" spans="1:9" ht="30" x14ac:dyDescent="0.25">
      <c r="A345" s="5" t="s">
        <v>10</v>
      </c>
      <c r="B345" s="5" t="s">
        <v>227</v>
      </c>
      <c r="C345" s="5" t="s">
        <v>642</v>
      </c>
      <c r="D345" s="3">
        <f>VLOOKUP(A345,airports!A:H,7,FALSE)</f>
        <v>33.640444440000003</v>
      </c>
      <c r="E345" s="3">
        <f>VLOOKUP(A345,airports!A:H,8,FALSE)</f>
        <v>-84.42694444</v>
      </c>
      <c r="F345" s="3">
        <f>VLOOKUP(B345,airports!A:H,7,FALSE)</f>
        <v>33.675658609999999</v>
      </c>
      <c r="G345" s="3">
        <f>VLOOKUP(B345,airports!A:H,8,FALSE)</f>
        <v>-117.8682225</v>
      </c>
      <c r="H345">
        <f t="shared" si="10"/>
        <v>3081.3</v>
      </c>
      <c r="I345">
        <f t="shared" si="11"/>
        <v>1914.8</v>
      </c>
    </row>
    <row r="346" spans="1:9" ht="30" x14ac:dyDescent="0.25">
      <c r="A346" s="5" t="s">
        <v>10</v>
      </c>
      <c r="B346" s="5" t="s">
        <v>138</v>
      </c>
      <c r="C346" s="5" t="s">
        <v>643</v>
      </c>
      <c r="D346" s="3">
        <f>VLOOKUP(A346,airports!A:H,7,FALSE)</f>
        <v>33.640444440000003</v>
      </c>
      <c r="E346" s="3">
        <f>VLOOKUP(A346,airports!A:H,8,FALSE)</f>
        <v>-84.42694444</v>
      </c>
      <c r="F346" s="3">
        <f>VLOOKUP(B346,airports!A:H,7,FALSE)</f>
        <v>27.39533333</v>
      </c>
      <c r="G346" s="3">
        <f>VLOOKUP(B346,airports!A:H,8,FALSE)</f>
        <v>-82.554111109999994</v>
      </c>
      <c r="H346">
        <f t="shared" si="10"/>
        <v>717.2</v>
      </c>
      <c r="I346">
        <f t="shared" si="11"/>
        <v>445.7</v>
      </c>
    </row>
    <row r="347" spans="1:9" x14ac:dyDescent="0.25">
      <c r="A347" s="5" t="s">
        <v>10</v>
      </c>
      <c r="B347" s="5" t="s">
        <v>644</v>
      </c>
      <c r="C347" s="5" t="s">
        <v>645</v>
      </c>
      <c r="D347" s="3">
        <f>VLOOKUP(A347,airports!A:H,7,FALSE)</f>
        <v>33.640444440000003</v>
      </c>
      <c r="E347" s="3">
        <f>VLOOKUP(A347,airports!A:H,8,FALSE)</f>
        <v>-84.42694444</v>
      </c>
      <c r="F347" s="3">
        <f>VLOOKUP(B347,airports!A:H,7,FALSE)</f>
        <v>38.747686940000001</v>
      </c>
      <c r="G347" s="3">
        <f>VLOOKUP(B347,airports!A:H,8,FALSE)</f>
        <v>-90.359989720000002</v>
      </c>
      <c r="H347">
        <f t="shared" si="10"/>
        <v>778.1</v>
      </c>
      <c r="I347">
        <f t="shared" si="11"/>
        <v>483.5</v>
      </c>
    </row>
    <row r="348" spans="1:9" x14ac:dyDescent="0.25">
      <c r="A348" s="5" t="s">
        <v>10</v>
      </c>
      <c r="B348" s="5" t="s">
        <v>140</v>
      </c>
      <c r="C348" s="5" t="s">
        <v>646</v>
      </c>
      <c r="D348" s="3">
        <f>VLOOKUP(A348,airports!A:H,7,FALSE)</f>
        <v>33.640444440000003</v>
      </c>
      <c r="E348" s="3">
        <f>VLOOKUP(A348,airports!A:H,8,FALSE)</f>
        <v>-84.42694444</v>
      </c>
      <c r="F348" s="3">
        <f>VLOOKUP(B348,airports!A:H,7,FALSE)</f>
        <v>18.337305560000001</v>
      </c>
      <c r="G348" s="3">
        <f>VLOOKUP(B348,airports!A:H,8,FALSE)</f>
        <v>-64.973361109999999</v>
      </c>
      <c r="H348">
        <f t="shared" si="10"/>
        <v>2575</v>
      </c>
      <c r="I348">
        <f t="shared" si="11"/>
        <v>1600.1</v>
      </c>
    </row>
    <row r="349" spans="1:9" x14ac:dyDescent="0.25">
      <c r="A349" s="5" t="s">
        <v>10</v>
      </c>
      <c r="B349" s="5" t="s">
        <v>647</v>
      </c>
      <c r="C349" s="5" t="s">
        <v>648</v>
      </c>
      <c r="D349" s="3">
        <f>VLOOKUP(A349,airports!A:H,7,FALSE)</f>
        <v>33.640444440000003</v>
      </c>
      <c r="E349" s="3">
        <f>VLOOKUP(A349,airports!A:H,8,FALSE)</f>
        <v>-84.42694444</v>
      </c>
      <c r="F349" s="3">
        <f>VLOOKUP(B349,airports!A:H,7,FALSE)</f>
        <v>17.701888889999999</v>
      </c>
      <c r="G349" s="3">
        <f>VLOOKUP(B349,airports!A:H,8,FALSE)</f>
        <v>-64.798555559999997</v>
      </c>
      <c r="H349">
        <f t="shared" si="10"/>
        <v>2638.4</v>
      </c>
      <c r="I349">
        <f t="shared" si="11"/>
        <v>1639.5</v>
      </c>
    </row>
    <row r="350" spans="1:9" ht="30" x14ac:dyDescent="0.25">
      <c r="A350" s="5" t="s">
        <v>10</v>
      </c>
      <c r="B350" s="5" t="s">
        <v>142</v>
      </c>
      <c r="C350" s="5" t="s">
        <v>649</v>
      </c>
      <c r="D350" s="3">
        <f>VLOOKUP(A350,airports!A:H,7,FALSE)</f>
        <v>33.640444440000003</v>
      </c>
      <c r="E350" s="3">
        <f>VLOOKUP(A350,airports!A:H,8,FALSE)</f>
        <v>-84.42694444</v>
      </c>
      <c r="F350" s="3">
        <f>VLOOKUP(B350,airports!A:H,7,FALSE)</f>
        <v>41.504093609999998</v>
      </c>
      <c r="G350" s="3">
        <f>VLOOKUP(B350,airports!A:H,8,FALSE)</f>
        <v>-74.104838330000007</v>
      </c>
      <c r="H350">
        <f t="shared" si="10"/>
        <v>1260</v>
      </c>
      <c r="I350">
        <f t="shared" si="11"/>
        <v>783</v>
      </c>
    </row>
    <row r="351" spans="1:9" x14ac:dyDescent="0.25">
      <c r="A351" s="5" t="s">
        <v>10</v>
      </c>
      <c r="B351" s="5" t="s">
        <v>144</v>
      </c>
      <c r="C351" s="5" t="s">
        <v>650</v>
      </c>
      <c r="D351" s="3">
        <f>VLOOKUP(A351,airports!A:H,7,FALSE)</f>
        <v>33.640444440000003</v>
      </c>
      <c r="E351" s="3">
        <f>VLOOKUP(A351,airports!A:H,8,FALSE)</f>
        <v>-84.42694444</v>
      </c>
      <c r="F351" s="3">
        <f>VLOOKUP(B351,airports!A:H,7,FALSE)</f>
        <v>43.111186940000003</v>
      </c>
      <c r="G351" s="3">
        <f>VLOOKUP(B351,airports!A:H,8,FALSE)</f>
        <v>-76.106310559999997</v>
      </c>
      <c r="H351">
        <f t="shared" si="10"/>
        <v>1277.2</v>
      </c>
      <c r="I351">
        <f t="shared" si="11"/>
        <v>793.7</v>
      </c>
    </row>
    <row r="352" spans="1:9" x14ac:dyDescent="0.25">
      <c r="A352" s="5" t="s">
        <v>10</v>
      </c>
      <c r="B352" s="5" t="s">
        <v>651</v>
      </c>
      <c r="C352" s="5" t="s">
        <v>652</v>
      </c>
      <c r="D352" s="3">
        <f>VLOOKUP(A352,airports!A:H,7,FALSE)</f>
        <v>33.640444440000003</v>
      </c>
      <c r="E352" s="3">
        <f>VLOOKUP(A352,airports!A:H,8,FALSE)</f>
        <v>-84.42694444</v>
      </c>
      <c r="F352" s="3">
        <f>VLOOKUP(B352,airports!A:H,7,FALSE)</f>
        <v>30.39652778</v>
      </c>
      <c r="G352" s="3">
        <f>VLOOKUP(B352,airports!A:H,8,FALSE)</f>
        <v>-84.350333329999998</v>
      </c>
      <c r="H352">
        <f t="shared" si="10"/>
        <v>360.8</v>
      </c>
      <c r="I352">
        <f t="shared" si="11"/>
        <v>224.2</v>
      </c>
    </row>
    <row r="353" spans="1:9" x14ac:dyDescent="0.25">
      <c r="A353" s="5" t="s">
        <v>10</v>
      </c>
      <c r="B353" s="5" t="s">
        <v>145</v>
      </c>
      <c r="C353" s="5" t="s">
        <v>653</v>
      </c>
      <c r="D353" s="3">
        <f>VLOOKUP(A353,airports!A:H,7,FALSE)</f>
        <v>33.640444440000003</v>
      </c>
      <c r="E353" s="3">
        <f>VLOOKUP(A353,airports!A:H,8,FALSE)</f>
        <v>-84.42694444</v>
      </c>
      <c r="F353" s="3">
        <f>VLOOKUP(B353,airports!A:H,7,FALSE)</f>
        <v>27.97547222</v>
      </c>
      <c r="G353" s="3">
        <f>VLOOKUP(B353,airports!A:H,8,FALSE)</f>
        <v>-82.533249999999995</v>
      </c>
      <c r="H353">
        <f t="shared" si="10"/>
        <v>655.29999999999995</v>
      </c>
      <c r="I353">
        <f t="shared" si="11"/>
        <v>407.2</v>
      </c>
    </row>
    <row r="354" spans="1:9" x14ac:dyDescent="0.25">
      <c r="A354" s="5" t="s">
        <v>10</v>
      </c>
      <c r="B354" s="5" t="s">
        <v>654</v>
      </c>
      <c r="C354" s="5" t="s">
        <v>655</v>
      </c>
      <c r="D354" s="3">
        <f>VLOOKUP(A354,airports!A:H,7,FALSE)</f>
        <v>33.640444440000003</v>
      </c>
      <c r="E354" s="3">
        <f>VLOOKUP(A354,airports!A:H,8,FALSE)</f>
        <v>-84.42694444</v>
      </c>
      <c r="F354" s="3">
        <f>VLOOKUP(B354,airports!A:H,7,FALSE)</f>
        <v>36.475214170000001</v>
      </c>
      <c r="G354" s="3">
        <f>VLOOKUP(B354,airports!A:H,8,FALSE)</f>
        <v>-82.407420560000006</v>
      </c>
      <c r="H354">
        <f t="shared" si="10"/>
        <v>364.9</v>
      </c>
      <c r="I354">
        <f t="shared" si="11"/>
        <v>226.7</v>
      </c>
    </row>
    <row r="355" spans="1:9" x14ac:dyDescent="0.25">
      <c r="A355" s="5" t="s">
        <v>10</v>
      </c>
      <c r="B355" s="5" t="s">
        <v>656</v>
      </c>
      <c r="C355" s="5" t="s">
        <v>657</v>
      </c>
      <c r="D355" s="3">
        <f>VLOOKUP(A355,airports!A:H,7,FALSE)</f>
        <v>33.640444440000003</v>
      </c>
      <c r="E355" s="3">
        <f>VLOOKUP(A355,airports!A:H,8,FALSE)</f>
        <v>-84.42694444</v>
      </c>
      <c r="F355" s="3">
        <f>VLOOKUP(B355,airports!A:H,7,FALSE)</f>
        <v>40.276691110000002</v>
      </c>
      <c r="G355" s="3">
        <f>VLOOKUP(B355,airports!A:H,8,FALSE)</f>
        <v>-74.813468330000006</v>
      </c>
      <c r="H355">
        <f t="shared" si="10"/>
        <v>1127.5</v>
      </c>
      <c r="I355">
        <f t="shared" si="11"/>
        <v>700.7</v>
      </c>
    </row>
    <row r="356" spans="1:9" x14ac:dyDescent="0.25">
      <c r="A356" s="5" t="s">
        <v>10</v>
      </c>
      <c r="B356" s="5" t="s">
        <v>658</v>
      </c>
      <c r="C356" s="5" t="s">
        <v>659</v>
      </c>
      <c r="D356" s="3">
        <f>VLOOKUP(A356,airports!A:H,7,FALSE)</f>
        <v>33.640444440000003</v>
      </c>
      <c r="E356" s="3">
        <f>VLOOKUP(A356,airports!A:H,8,FALSE)</f>
        <v>-84.42694444</v>
      </c>
      <c r="F356" s="3">
        <f>VLOOKUP(B356,airports!A:H,7,FALSE)</f>
        <v>36.198372220000003</v>
      </c>
      <c r="G356" s="3">
        <f>VLOOKUP(B356,airports!A:H,8,FALSE)</f>
        <v>-95.888241669999999</v>
      </c>
      <c r="H356">
        <f t="shared" si="10"/>
        <v>1082.2</v>
      </c>
      <c r="I356">
        <f t="shared" si="11"/>
        <v>672.5</v>
      </c>
    </row>
    <row r="357" spans="1:9" x14ac:dyDescent="0.25">
      <c r="A357" s="5" t="s">
        <v>10</v>
      </c>
      <c r="B357" s="5" t="s">
        <v>660</v>
      </c>
      <c r="C357" s="5" t="s">
        <v>661</v>
      </c>
      <c r="D357" s="3">
        <f>VLOOKUP(A357,airports!A:H,7,FALSE)</f>
        <v>33.640444440000003</v>
      </c>
      <c r="E357" s="3">
        <f>VLOOKUP(A357,airports!A:H,8,FALSE)</f>
        <v>-84.42694444</v>
      </c>
      <c r="F357" s="3">
        <f>VLOOKUP(B357,airports!A:H,7,FALSE)</f>
        <v>32.116083330000002</v>
      </c>
      <c r="G357" s="3">
        <f>VLOOKUP(B357,airports!A:H,8,FALSE)</f>
        <v>-110.9410278</v>
      </c>
      <c r="H357">
        <f t="shared" si="10"/>
        <v>2475</v>
      </c>
      <c r="I357">
        <f t="shared" si="11"/>
        <v>1538</v>
      </c>
    </row>
    <row r="358" spans="1:9" x14ac:dyDescent="0.25">
      <c r="A358" s="5" t="s">
        <v>10</v>
      </c>
      <c r="B358" s="5" t="s">
        <v>662</v>
      </c>
      <c r="C358" s="5" t="s">
        <v>663</v>
      </c>
      <c r="D358" s="3">
        <f>VLOOKUP(A358,airports!A:H,7,FALSE)</f>
        <v>33.640444440000003</v>
      </c>
      <c r="E358" s="3">
        <f>VLOOKUP(A358,airports!A:H,8,FALSE)</f>
        <v>-84.42694444</v>
      </c>
      <c r="F358" s="3">
        <f>VLOOKUP(B358,airports!A:H,7,FALSE)</f>
        <v>44.741444719999997</v>
      </c>
      <c r="G358" s="3">
        <f>VLOOKUP(B358,airports!A:H,8,FALSE)</f>
        <v>-85.582234999999997</v>
      </c>
      <c r="H358">
        <f t="shared" si="10"/>
        <v>1238.3</v>
      </c>
      <c r="I358">
        <f t="shared" si="11"/>
        <v>769.5</v>
      </c>
    </row>
    <row r="359" spans="1:9" x14ac:dyDescent="0.25">
      <c r="A359" s="5" t="s">
        <v>10</v>
      </c>
      <c r="B359" s="5" t="s">
        <v>664</v>
      </c>
      <c r="C359" s="5" t="s">
        <v>665</v>
      </c>
      <c r="D359" s="3">
        <f>VLOOKUP(A359,airports!A:H,7,FALSE)</f>
        <v>33.640444440000003</v>
      </c>
      <c r="E359" s="3">
        <f>VLOOKUP(A359,airports!A:H,8,FALSE)</f>
        <v>-84.42694444</v>
      </c>
      <c r="F359" s="3">
        <f>VLOOKUP(B359,airports!A:H,7,FALSE)</f>
        <v>35.812487220000001</v>
      </c>
      <c r="G359" s="3">
        <f>VLOOKUP(B359,airports!A:H,8,FALSE)</f>
        <v>-83.992855829999996</v>
      </c>
      <c r="H359">
        <f t="shared" si="10"/>
        <v>244.8</v>
      </c>
      <c r="I359">
        <f t="shared" si="11"/>
        <v>152.1</v>
      </c>
    </row>
    <row r="360" spans="1:9" x14ac:dyDescent="0.25">
      <c r="A360" s="5" t="s">
        <v>10</v>
      </c>
      <c r="B360" s="5" t="s">
        <v>666</v>
      </c>
      <c r="C360" s="5" t="s">
        <v>667</v>
      </c>
      <c r="D360" s="3">
        <f>VLOOKUP(A360,airports!A:H,7,FALSE)</f>
        <v>33.640444440000003</v>
      </c>
      <c r="E360" s="3">
        <f>VLOOKUP(A360,airports!A:H,8,FALSE)</f>
        <v>-84.42694444</v>
      </c>
      <c r="F360" s="3">
        <f>VLOOKUP(B360,airports!A:H,7,FALSE)</f>
        <v>30.782499999999999</v>
      </c>
      <c r="G360" s="3">
        <f>VLOOKUP(B360,airports!A:H,8,FALSE)</f>
        <v>-83.276722219999996</v>
      </c>
      <c r="H360">
        <f t="shared" si="10"/>
        <v>335.7</v>
      </c>
      <c r="I360">
        <f t="shared" si="11"/>
        <v>208.6</v>
      </c>
    </row>
    <row r="361" spans="1:9" x14ac:dyDescent="0.25">
      <c r="A361" s="5" t="s">
        <v>10</v>
      </c>
      <c r="B361" s="5" t="s">
        <v>668</v>
      </c>
      <c r="C361" s="5" t="s">
        <v>669</v>
      </c>
      <c r="D361" s="3">
        <f>VLOOKUP(A361,airports!A:H,7,FALSE)</f>
        <v>33.640444440000003</v>
      </c>
      <c r="E361" s="3">
        <f>VLOOKUP(A361,airports!A:H,8,FALSE)</f>
        <v>-84.42694444</v>
      </c>
      <c r="F361" s="3">
        <f>VLOOKUP(B361,airports!A:H,7,FALSE)</f>
        <v>30.483250000000002</v>
      </c>
      <c r="G361" s="3">
        <f>VLOOKUP(B361,airports!A:H,8,FALSE)</f>
        <v>-86.525400000000005</v>
      </c>
      <c r="H361">
        <f t="shared" si="10"/>
        <v>402.9</v>
      </c>
      <c r="I361">
        <f t="shared" si="11"/>
        <v>250.4</v>
      </c>
    </row>
    <row r="362" spans="1:9" ht="30" x14ac:dyDescent="0.25">
      <c r="A362" s="5" t="s">
        <v>10</v>
      </c>
      <c r="B362" s="5" t="s">
        <v>670</v>
      </c>
      <c r="C362" s="5" t="s">
        <v>671</v>
      </c>
      <c r="D362" s="3">
        <f>VLOOKUP(A362,airports!A:H,7,FALSE)</f>
        <v>33.640444440000003</v>
      </c>
      <c r="E362" s="3">
        <f>VLOOKUP(A362,airports!A:H,8,FALSE)</f>
        <v>-84.42694444</v>
      </c>
      <c r="F362" s="3">
        <f>VLOOKUP(B362,airports!A:H,7,FALSE)</f>
        <v>36.281869440000001</v>
      </c>
      <c r="G362" s="3">
        <f>VLOOKUP(B362,airports!A:H,8,FALSE)</f>
        <v>-94.306811109999998</v>
      </c>
      <c r="H362">
        <f t="shared" si="10"/>
        <v>946.5</v>
      </c>
      <c r="I362">
        <f t="shared" si="11"/>
        <v>588.20000000000005</v>
      </c>
    </row>
    <row r="363" spans="1:9" ht="30" x14ac:dyDescent="0.25">
      <c r="A363" s="5" t="s">
        <v>416</v>
      </c>
      <c r="B363" s="5" t="s">
        <v>10</v>
      </c>
      <c r="C363" s="5" t="s">
        <v>672</v>
      </c>
      <c r="D363" s="3">
        <f>VLOOKUP(A363,airports!A:H,7,FALSE)</f>
        <v>44.257408060000003</v>
      </c>
      <c r="E363" s="3">
        <f>VLOOKUP(A363,airports!A:H,8,FALSE)</f>
        <v>-88.519475560000004</v>
      </c>
      <c r="F363" s="3">
        <f>VLOOKUP(B363,airports!A:H,7,FALSE)</f>
        <v>33.640444440000003</v>
      </c>
      <c r="G363" s="3">
        <f>VLOOKUP(B363,airports!A:H,8,FALSE)</f>
        <v>-84.42694444</v>
      </c>
      <c r="H363">
        <f t="shared" si="10"/>
        <v>1232</v>
      </c>
      <c r="I363">
        <f t="shared" si="11"/>
        <v>765.6</v>
      </c>
    </row>
    <row r="364" spans="1:9" ht="30" x14ac:dyDescent="0.25">
      <c r="A364" s="5" t="s">
        <v>416</v>
      </c>
      <c r="B364" s="5" t="s">
        <v>329</v>
      </c>
      <c r="C364" s="5" t="s">
        <v>673</v>
      </c>
      <c r="D364" s="3">
        <f>VLOOKUP(A364,airports!A:H,7,FALSE)</f>
        <v>44.257408060000003</v>
      </c>
      <c r="E364" s="3">
        <f>VLOOKUP(A364,airports!A:H,8,FALSE)</f>
        <v>-88.519475560000004</v>
      </c>
      <c r="F364" s="3">
        <f>VLOOKUP(B364,airports!A:H,7,FALSE)</f>
        <v>33.308999999999997</v>
      </c>
      <c r="G364" s="3">
        <f>VLOOKUP(B364,airports!A:H,8,FALSE)</f>
        <v>-111.6559</v>
      </c>
      <c r="H364">
        <f t="shared" si="10"/>
        <v>2333.6999999999998</v>
      </c>
      <c r="I364">
        <f t="shared" si="11"/>
        <v>1450.2</v>
      </c>
    </row>
    <row r="365" spans="1:9" ht="30" x14ac:dyDescent="0.25">
      <c r="A365" s="5" t="s">
        <v>416</v>
      </c>
      <c r="B365" s="5" t="s">
        <v>19</v>
      </c>
      <c r="C365" s="5" t="s">
        <v>674</v>
      </c>
      <c r="D365" s="3">
        <f>VLOOKUP(A365,airports!A:H,7,FALSE)</f>
        <v>44.257408060000003</v>
      </c>
      <c r="E365" s="3">
        <f>VLOOKUP(A365,airports!A:H,8,FALSE)</f>
        <v>-88.519475560000004</v>
      </c>
      <c r="F365" s="3">
        <f>VLOOKUP(B365,airports!A:H,7,FALSE)</f>
        <v>36.12447667</v>
      </c>
      <c r="G365" s="3">
        <f>VLOOKUP(B365,airports!A:H,8,FALSE)</f>
        <v>-86.678182219999997</v>
      </c>
      <c r="H365">
        <f t="shared" si="10"/>
        <v>917.7</v>
      </c>
      <c r="I365">
        <f t="shared" si="11"/>
        <v>570.29999999999995</v>
      </c>
    </row>
    <row r="366" spans="1:9" ht="30" x14ac:dyDescent="0.25">
      <c r="A366" s="5" t="s">
        <v>416</v>
      </c>
      <c r="B366" s="5" t="s">
        <v>40</v>
      </c>
      <c r="C366" s="5" t="s">
        <v>675</v>
      </c>
      <c r="D366" s="3">
        <f>VLOOKUP(A366,airports!A:H,7,FALSE)</f>
        <v>44.257408060000003</v>
      </c>
      <c r="E366" s="3">
        <f>VLOOKUP(A366,airports!A:H,8,FALSE)</f>
        <v>-88.519475560000004</v>
      </c>
      <c r="F366" s="3">
        <f>VLOOKUP(B366,airports!A:H,7,FALSE)</f>
        <v>35.214011110000001</v>
      </c>
      <c r="G366" s="3">
        <f>VLOOKUP(B366,airports!A:H,8,FALSE)</f>
        <v>-80.94312583</v>
      </c>
      <c r="H366">
        <f t="shared" si="10"/>
        <v>1195</v>
      </c>
      <c r="I366">
        <f t="shared" si="11"/>
        <v>742.6</v>
      </c>
    </row>
    <row r="367" spans="1:9" ht="30" x14ac:dyDescent="0.25">
      <c r="A367" s="5" t="s">
        <v>416</v>
      </c>
      <c r="B367" s="5" t="s">
        <v>454</v>
      </c>
      <c r="C367" s="5" t="s">
        <v>676</v>
      </c>
      <c r="D367" s="3">
        <f>VLOOKUP(A367,airports!A:H,7,FALSE)</f>
        <v>44.257408060000003</v>
      </c>
      <c r="E367" s="3">
        <f>VLOOKUP(A367,airports!A:H,8,FALSE)</f>
        <v>-88.519475560000004</v>
      </c>
      <c r="F367" s="3">
        <f>VLOOKUP(B367,airports!A:H,7,FALSE)</f>
        <v>39.997985280000002</v>
      </c>
      <c r="G367" s="3">
        <f>VLOOKUP(B367,airports!A:H,8,FALSE)</f>
        <v>-82.891882780000003</v>
      </c>
      <c r="H367">
        <f t="shared" si="10"/>
        <v>662.8</v>
      </c>
      <c r="I367">
        <f t="shared" si="11"/>
        <v>411.9</v>
      </c>
    </row>
    <row r="368" spans="1:9" ht="30" x14ac:dyDescent="0.25">
      <c r="A368" s="5" t="s">
        <v>416</v>
      </c>
      <c r="B368" s="5" t="s">
        <v>47</v>
      </c>
      <c r="C368" s="5" t="s">
        <v>677</v>
      </c>
      <c r="D368" s="3">
        <f>VLOOKUP(A368,airports!A:H,7,FALSE)</f>
        <v>44.257408060000003</v>
      </c>
      <c r="E368" s="3">
        <f>VLOOKUP(A368,airports!A:H,8,FALSE)</f>
        <v>-88.519475560000004</v>
      </c>
      <c r="F368" s="3">
        <f>VLOOKUP(B368,airports!A:H,7,FALSE)</f>
        <v>39.858408060000002</v>
      </c>
      <c r="G368" s="3">
        <f>VLOOKUP(B368,airports!A:H,8,FALSE)</f>
        <v>-104.6670019</v>
      </c>
      <c r="H368">
        <f t="shared" si="10"/>
        <v>1417.1</v>
      </c>
      <c r="I368">
        <f t="shared" si="11"/>
        <v>880.6</v>
      </c>
    </row>
    <row r="369" spans="1:9" ht="30" x14ac:dyDescent="0.25">
      <c r="A369" s="5" t="s">
        <v>416</v>
      </c>
      <c r="B369" s="5" t="s">
        <v>50</v>
      </c>
      <c r="C369" s="5" t="s">
        <v>678</v>
      </c>
      <c r="D369" s="3">
        <f>VLOOKUP(A369,airports!A:H,7,FALSE)</f>
        <v>44.257408060000003</v>
      </c>
      <c r="E369" s="3">
        <f>VLOOKUP(A369,airports!A:H,8,FALSE)</f>
        <v>-88.519475560000004</v>
      </c>
      <c r="F369" s="3">
        <f>VLOOKUP(B369,airports!A:H,7,FALSE)</f>
        <v>42.212058890000002</v>
      </c>
      <c r="G369" s="3">
        <f>VLOOKUP(B369,airports!A:H,8,FALSE)</f>
        <v>-83.348835829999999</v>
      </c>
      <c r="H369">
        <f t="shared" si="10"/>
        <v>476.5</v>
      </c>
      <c r="I369">
        <f t="shared" si="11"/>
        <v>296.10000000000002</v>
      </c>
    </row>
    <row r="370" spans="1:9" ht="30" x14ac:dyDescent="0.25">
      <c r="A370" s="5" t="s">
        <v>416</v>
      </c>
      <c r="B370" s="5" t="s">
        <v>57</v>
      </c>
      <c r="C370" s="5" t="s">
        <v>679</v>
      </c>
      <c r="D370" s="3">
        <f>VLOOKUP(A370,airports!A:H,7,FALSE)</f>
        <v>44.257408060000003</v>
      </c>
      <c r="E370" s="3">
        <f>VLOOKUP(A370,airports!A:H,8,FALSE)</f>
        <v>-88.519475560000004</v>
      </c>
      <c r="F370" s="3">
        <f>VLOOKUP(B370,airports!A:H,7,FALSE)</f>
        <v>26.072583330000001</v>
      </c>
      <c r="G370" s="3">
        <f>VLOOKUP(B370,airports!A:H,8,FALSE)</f>
        <v>-80.152749999999997</v>
      </c>
      <c r="H370">
        <f t="shared" si="10"/>
        <v>2157.5</v>
      </c>
      <c r="I370">
        <f t="shared" si="11"/>
        <v>1340.7</v>
      </c>
    </row>
    <row r="371" spans="1:9" ht="30" x14ac:dyDescent="0.25">
      <c r="A371" s="5" t="s">
        <v>416</v>
      </c>
      <c r="B371" s="5" t="s">
        <v>68</v>
      </c>
      <c r="C371" s="5" t="s">
        <v>680</v>
      </c>
      <c r="D371" s="3">
        <f>VLOOKUP(A371,airports!A:H,7,FALSE)</f>
        <v>44.257408060000003</v>
      </c>
      <c r="E371" s="3">
        <f>VLOOKUP(A371,airports!A:H,8,FALSE)</f>
        <v>-88.519475560000004</v>
      </c>
      <c r="F371" s="3">
        <f>VLOOKUP(B371,airports!A:H,7,FALSE)</f>
        <v>30.49405556</v>
      </c>
      <c r="G371" s="3">
        <f>VLOOKUP(B371,airports!A:H,8,FALSE)</f>
        <v>-81.68786111</v>
      </c>
      <c r="H371">
        <f t="shared" si="10"/>
        <v>1643.7</v>
      </c>
      <c r="I371">
        <f t="shared" si="11"/>
        <v>1021.4</v>
      </c>
    </row>
    <row r="372" spans="1:9" ht="30" x14ac:dyDescent="0.25">
      <c r="A372" s="5" t="s">
        <v>416</v>
      </c>
      <c r="B372" s="5" t="s">
        <v>71</v>
      </c>
      <c r="C372" s="5" t="s">
        <v>681</v>
      </c>
      <c r="D372" s="3">
        <f>VLOOKUP(A372,airports!A:H,7,FALSE)</f>
        <v>44.257408060000003</v>
      </c>
      <c r="E372" s="3">
        <f>VLOOKUP(A372,airports!A:H,8,FALSE)</f>
        <v>-88.519475560000004</v>
      </c>
      <c r="F372" s="3">
        <f>VLOOKUP(B372,airports!A:H,7,FALSE)</f>
        <v>36.080361109999998</v>
      </c>
      <c r="G372" s="3">
        <f>VLOOKUP(B372,airports!A:H,8,FALSE)</f>
        <v>-115.1523333</v>
      </c>
      <c r="H372">
        <f t="shared" si="10"/>
        <v>2425.1999999999998</v>
      </c>
      <c r="I372">
        <f t="shared" si="11"/>
        <v>1507.1</v>
      </c>
    </row>
    <row r="373" spans="1:9" ht="30" x14ac:dyDescent="0.25">
      <c r="A373" s="5" t="s">
        <v>416</v>
      </c>
      <c r="B373" s="5" t="s">
        <v>87</v>
      </c>
      <c r="C373" s="5" t="s">
        <v>682</v>
      </c>
      <c r="D373" s="3">
        <f>VLOOKUP(A373,airports!A:H,7,FALSE)</f>
        <v>44.257408060000003</v>
      </c>
      <c r="E373" s="3">
        <f>VLOOKUP(A373,airports!A:H,8,FALSE)</f>
        <v>-88.519475560000004</v>
      </c>
      <c r="F373" s="3">
        <f>VLOOKUP(B373,airports!A:H,7,FALSE)</f>
        <v>44.880546940000002</v>
      </c>
      <c r="G373" s="3">
        <f>VLOOKUP(B373,airports!A:H,8,FALSE)</f>
        <v>-93.216922499999995</v>
      </c>
      <c r="H373">
        <f t="shared" si="10"/>
        <v>378.5</v>
      </c>
      <c r="I373">
        <f t="shared" si="11"/>
        <v>235.2</v>
      </c>
    </row>
    <row r="374" spans="1:9" ht="30" x14ac:dyDescent="0.25">
      <c r="A374" s="5" t="s">
        <v>416</v>
      </c>
      <c r="B374" s="5" t="s">
        <v>95</v>
      </c>
      <c r="C374" s="5" t="s">
        <v>683</v>
      </c>
      <c r="D374" s="3">
        <f>VLOOKUP(A374,airports!A:H,7,FALSE)</f>
        <v>44.257408060000003</v>
      </c>
      <c r="E374" s="3">
        <f>VLOOKUP(A374,airports!A:H,8,FALSE)</f>
        <v>-88.519475560000004</v>
      </c>
      <c r="F374" s="3">
        <f>VLOOKUP(B374,airports!A:H,7,FALSE)</f>
        <v>41.979595000000003</v>
      </c>
      <c r="G374" s="3">
        <f>VLOOKUP(B374,airports!A:H,8,FALSE)</f>
        <v>-87.904464169999997</v>
      </c>
      <c r="H374">
        <f t="shared" si="10"/>
        <v>258.2</v>
      </c>
      <c r="I374">
        <f t="shared" si="11"/>
        <v>160.4</v>
      </c>
    </row>
    <row r="375" spans="1:9" ht="30" x14ac:dyDescent="0.25">
      <c r="A375" s="5" t="s">
        <v>416</v>
      </c>
      <c r="B375" s="5" t="s">
        <v>185</v>
      </c>
      <c r="C375" s="5" t="s">
        <v>684</v>
      </c>
      <c r="D375" s="3">
        <f>VLOOKUP(A375,airports!A:H,7,FALSE)</f>
        <v>44.257408060000003</v>
      </c>
      <c r="E375" s="3">
        <f>VLOOKUP(A375,airports!A:H,8,FALSE)</f>
        <v>-88.519475560000004</v>
      </c>
      <c r="F375" s="3">
        <f>VLOOKUP(B375,airports!A:H,7,FALSE)</f>
        <v>26.919699999999999</v>
      </c>
      <c r="G375" s="3">
        <f>VLOOKUP(B375,airports!A:H,8,FALSE)</f>
        <v>-81.995999999999995</v>
      </c>
      <c r="H375">
        <f t="shared" si="10"/>
        <v>2014.4</v>
      </c>
      <c r="I375">
        <f t="shared" si="11"/>
        <v>1251.8</v>
      </c>
    </row>
    <row r="376" spans="1:9" ht="30" x14ac:dyDescent="0.25">
      <c r="A376" s="5" t="s">
        <v>416</v>
      </c>
      <c r="B376" s="5" t="s">
        <v>188</v>
      </c>
      <c r="C376" s="5" t="s">
        <v>685</v>
      </c>
      <c r="D376" s="3">
        <f>VLOOKUP(A376,airports!A:H,7,FALSE)</f>
        <v>44.257408060000003</v>
      </c>
      <c r="E376" s="3">
        <f>VLOOKUP(A376,airports!A:H,8,FALSE)</f>
        <v>-88.519475560000004</v>
      </c>
      <c r="F376" s="3">
        <f>VLOOKUP(B376,airports!A:H,7,FALSE)</f>
        <v>27.910763330000002</v>
      </c>
      <c r="G376" s="3">
        <f>VLOOKUP(B376,airports!A:H,8,FALSE)</f>
        <v>-82.687439440000006</v>
      </c>
      <c r="H376">
        <f t="shared" si="10"/>
        <v>1890.4</v>
      </c>
      <c r="I376">
        <f t="shared" si="11"/>
        <v>1174.7</v>
      </c>
    </row>
    <row r="377" spans="1:9" ht="30" x14ac:dyDescent="0.25">
      <c r="A377" s="5" t="s">
        <v>416</v>
      </c>
      <c r="B377" s="5" t="s">
        <v>612</v>
      </c>
      <c r="C377" s="5" t="s">
        <v>686</v>
      </c>
      <c r="D377" s="3">
        <f>VLOOKUP(A377,airports!A:H,7,FALSE)</f>
        <v>44.257408060000003</v>
      </c>
      <c r="E377" s="3">
        <f>VLOOKUP(A377,airports!A:H,8,FALSE)</f>
        <v>-88.519475560000004</v>
      </c>
      <c r="F377" s="3">
        <f>VLOOKUP(B377,airports!A:H,7,FALSE)</f>
        <v>44.045321389999998</v>
      </c>
      <c r="G377" s="3">
        <f>VLOOKUP(B377,airports!A:H,8,FALSE)</f>
        <v>-103.0573708</v>
      </c>
      <c r="H377">
        <f t="shared" si="10"/>
        <v>1158.5999999999999</v>
      </c>
      <c r="I377">
        <f t="shared" si="11"/>
        <v>720</v>
      </c>
    </row>
    <row r="378" spans="1:9" ht="30" x14ac:dyDescent="0.25">
      <c r="A378" s="5" t="s">
        <v>416</v>
      </c>
      <c r="B378" s="5" t="s">
        <v>126</v>
      </c>
      <c r="C378" s="5" t="s">
        <v>687</v>
      </c>
      <c r="D378" s="3">
        <f>VLOOKUP(A378,airports!A:H,7,FALSE)</f>
        <v>44.257408060000003</v>
      </c>
      <c r="E378" s="3">
        <f>VLOOKUP(A378,airports!A:H,8,FALSE)</f>
        <v>-88.519475560000004</v>
      </c>
      <c r="F378" s="3">
        <f>VLOOKUP(B378,airports!A:H,7,FALSE)</f>
        <v>32.12758333</v>
      </c>
      <c r="G378" s="3">
        <f>VLOOKUP(B378,airports!A:H,8,FALSE)</f>
        <v>-81.202138890000001</v>
      </c>
      <c r="H378">
        <f t="shared" si="10"/>
        <v>1491.2</v>
      </c>
      <c r="I378">
        <f t="shared" si="11"/>
        <v>926.6</v>
      </c>
    </row>
    <row r="379" spans="1:9" ht="30" x14ac:dyDescent="0.25">
      <c r="A379" s="5" t="s">
        <v>416</v>
      </c>
      <c r="B379" s="5" t="s">
        <v>191</v>
      </c>
      <c r="C379" s="5" t="s">
        <v>688</v>
      </c>
      <c r="D379" s="3">
        <f>VLOOKUP(A379,airports!A:H,7,FALSE)</f>
        <v>44.257408060000003</v>
      </c>
      <c r="E379" s="3">
        <f>VLOOKUP(A379,airports!A:H,8,FALSE)</f>
        <v>-88.519475560000004</v>
      </c>
      <c r="F379" s="3">
        <f>VLOOKUP(B379,airports!A:H,7,FALSE)</f>
        <v>28.7776</v>
      </c>
      <c r="G379" s="3">
        <f>VLOOKUP(B379,airports!A:H,8,FALSE)</f>
        <v>-81.237499999999997</v>
      </c>
      <c r="H379">
        <f t="shared" si="10"/>
        <v>1838.3</v>
      </c>
      <c r="I379">
        <f t="shared" si="11"/>
        <v>1142.3</v>
      </c>
    </row>
    <row r="380" spans="1:9" ht="30" x14ac:dyDescent="0.25">
      <c r="A380" s="5" t="s">
        <v>416</v>
      </c>
      <c r="B380" s="5" t="s">
        <v>138</v>
      </c>
      <c r="C380" s="5" t="s">
        <v>689</v>
      </c>
      <c r="D380" s="3">
        <f>VLOOKUP(A380,airports!A:H,7,FALSE)</f>
        <v>44.257408060000003</v>
      </c>
      <c r="E380" s="3">
        <f>VLOOKUP(A380,airports!A:H,8,FALSE)</f>
        <v>-88.519475560000004</v>
      </c>
      <c r="F380" s="3">
        <f>VLOOKUP(B380,airports!A:H,7,FALSE)</f>
        <v>27.39533333</v>
      </c>
      <c r="G380" s="3">
        <f>VLOOKUP(B380,airports!A:H,8,FALSE)</f>
        <v>-82.554111109999994</v>
      </c>
      <c r="H380">
        <f t="shared" si="10"/>
        <v>1949.2</v>
      </c>
      <c r="I380">
        <f t="shared" si="11"/>
        <v>1211.2</v>
      </c>
    </row>
    <row r="381" spans="1:9" ht="30" x14ac:dyDescent="0.25">
      <c r="A381" s="5" t="s">
        <v>690</v>
      </c>
      <c r="B381" s="5" t="s">
        <v>47</v>
      </c>
      <c r="C381" s="5" t="s">
        <v>691</v>
      </c>
      <c r="D381" s="3">
        <f>VLOOKUP(A381,airports!A:H,7,FALSE)</f>
        <v>44.922400000000003</v>
      </c>
      <c r="E381" s="3">
        <f>VLOOKUP(A381,airports!A:H,8,FALSE)</f>
        <v>-97.158000000000001</v>
      </c>
      <c r="F381" s="3">
        <f>VLOOKUP(B381,airports!A:H,7,FALSE)</f>
        <v>39.858408060000002</v>
      </c>
      <c r="G381" s="3">
        <f>VLOOKUP(B381,airports!A:H,8,FALSE)</f>
        <v>-104.6670019</v>
      </c>
      <c r="H381">
        <f t="shared" si="10"/>
        <v>834.4</v>
      </c>
      <c r="I381">
        <f t="shared" si="11"/>
        <v>518.5</v>
      </c>
    </row>
    <row r="382" spans="1:9" ht="30" x14ac:dyDescent="0.25">
      <c r="A382" s="5" t="s">
        <v>690</v>
      </c>
      <c r="B382" s="5" t="s">
        <v>95</v>
      </c>
      <c r="C382" s="5" t="s">
        <v>692</v>
      </c>
      <c r="D382" s="3">
        <f>VLOOKUP(A382,airports!A:H,7,FALSE)</f>
        <v>44.922400000000003</v>
      </c>
      <c r="E382" s="3">
        <f>VLOOKUP(A382,airports!A:H,8,FALSE)</f>
        <v>-97.158000000000001</v>
      </c>
      <c r="F382" s="3">
        <f>VLOOKUP(B382,airports!A:H,7,FALSE)</f>
        <v>41.979595000000003</v>
      </c>
      <c r="G382" s="3">
        <f>VLOOKUP(B382,airports!A:H,8,FALSE)</f>
        <v>-87.904464169999997</v>
      </c>
      <c r="H382">
        <f t="shared" si="10"/>
        <v>814.9</v>
      </c>
      <c r="I382">
        <f t="shared" si="11"/>
        <v>506.4</v>
      </c>
    </row>
    <row r="383" spans="1:9" x14ac:dyDescent="0.25">
      <c r="A383" s="5" t="s">
        <v>690</v>
      </c>
      <c r="B383" s="5" t="s">
        <v>693</v>
      </c>
      <c r="C383" s="5" t="s">
        <v>694</v>
      </c>
      <c r="D383" s="3">
        <f>VLOOKUP(A383,airports!A:H,7,FALSE)</f>
        <v>44.922400000000003</v>
      </c>
      <c r="E383" s="3">
        <f>VLOOKUP(A383,airports!A:H,8,FALSE)</f>
        <v>-97.158000000000001</v>
      </c>
      <c r="F383" s="3">
        <f>VLOOKUP(B383,airports!A:H,7,FALSE)</f>
        <v>44.382676940000003</v>
      </c>
      <c r="G383" s="3">
        <f>VLOOKUP(B383,airports!A:H,8,FALSE)</f>
        <v>-100.285965</v>
      </c>
      <c r="H383">
        <f t="shared" si="10"/>
        <v>254.6</v>
      </c>
      <c r="I383">
        <f t="shared" si="11"/>
        <v>158.19999999999999</v>
      </c>
    </row>
    <row r="384" spans="1:9" ht="30" x14ac:dyDescent="0.25">
      <c r="A384" s="5" t="s">
        <v>13</v>
      </c>
      <c r="B384" s="5" t="s">
        <v>2</v>
      </c>
      <c r="C384" s="5" t="s">
        <v>695</v>
      </c>
      <c r="D384" s="3">
        <f>VLOOKUP(A384,airports!A:H,7,FALSE)</f>
        <v>30.194532779999999</v>
      </c>
      <c r="E384" s="3">
        <f>VLOOKUP(A384,airports!A:H,8,FALSE)</f>
        <v>-97.669871939999993</v>
      </c>
      <c r="F384" s="3">
        <f>VLOOKUP(B384,airports!A:H,7,FALSE)</f>
        <v>35.040222219999997</v>
      </c>
      <c r="G384" s="3">
        <f>VLOOKUP(B384,airports!A:H,8,FALSE)</f>
        <v>-106.60919440000001</v>
      </c>
      <c r="H384">
        <f t="shared" si="10"/>
        <v>995</v>
      </c>
      <c r="I384">
        <f t="shared" si="11"/>
        <v>618.29999999999995</v>
      </c>
    </row>
    <row r="385" spans="1:9" ht="30" x14ac:dyDescent="0.25">
      <c r="A385" s="5" t="s">
        <v>13</v>
      </c>
      <c r="B385" s="5" t="s">
        <v>252</v>
      </c>
      <c r="C385" s="5" t="s">
        <v>696</v>
      </c>
      <c r="D385" s="3">
        <f>VLOOKUP(A385,airports!A:H,7,FALSE)</f>
        <v>30.194532779999999</v>
      </c>
      <c r="E385" s="3">
        <f>VLOOKUP(A385,airports!A:H,8,FALSE)</f>
        <v>-97.669871939999993</v>
      </c>
      <c r="F385" s="3">
        <f>VLOOKUP(B385,airports!A:H,7,FALSE)</f>
        <v>39.457583329999999</v>
      </c>
      <c r="G385" s="3">
        <f>VLOOKUP(B385,airports!A:H,8,FALSE)</f>
        <v>-74.577166669999997</v>
      </c>
      <c r="H385">
        <f t="shared" si="10"/>
        <v>2336.8000000000002</v>
      </c>
      <c r="I385">
        <f t="shared" si="11"/>
        <v>1452.1</v>
      </c>
    </row>
    <row r="386" spans="1:9" ht="30" x14ac:dyDescent="0.25">
      <c r="A386" s="5" t="s">
        <v>13</v>
      </c>
      <c r="B386" s="5" t="s">
        <v>276</v>
      </c>
      <c r="C386" s="5" t="s">
        <v>697</v>
      </c>
      <c r="D386" s="3">
        <f>VLOOKUP(A386,airports!A:H,7,FALSE)</f>
        <v>30.194532779999999</v>
      </c>
      <c r="E386" s="3">
        <f>VLOOKUP(A386,airports!A:H,8,FALSE)</f>
        <v>-97.669871939999993</v>
      </c>
      <c r="F386" s="3">
        <f>VLOOKUP(B386,airports!A:H,7,FALSE)</f>
        <v>33.369954999999997</v>
      </c>
      <c r="G386" s="3">
        <f>VLOOKUP(B386,airports!A:H,8,FALSE)</f>
        <v>-81.964496109999999</v>
      </c>
      <c r="H386">
        <f t="shared" si="10"/>
        <v>1524.3</v>
      </c>
      <c r="I386">
        <f t="shared" si="11"/>
        <v>947.2</v>
      </c>
    </row>
    <row r="387" spans="1:9" ht="30" x14ac:dyDescent="0.25">
      <c r="A387" s="5" t="s">
        <v>13</v>
      </c>
      <c r="B387" s="5" t="s">
        <v>327</v>
      </c>
      <c r="C387" s="5" t="s">
        <v>698</v>
      </c>
      <c r="D387" s="3">
        <f>VLOOKUP(A387,airports!A:H,7,FALSE)</f>
        <v>30.194532779999999</v>
      </c>
      <c r="E387" s="3">
        <f>VLOOKUP(A387,airports!A:H,8,FALSE)</f>
        <v>-97.669871939999993</v>
      </c>
      <c r="F387" s="3">
        <f>VLOOKUP(B387,airports!A:H,7,FALSE)</f>
        <v>35.219372499999999</v>
      </c>
      <c r="G387" s="3">
        <f>VLOOKUP(B387,airports!A:H,8,FALSE)</f>
        <v>-101.7059272</v>
      </c>
      <c r="H387">
        <f t="shared" si="10"/>
        <v>674.2</v>
      </c>
      <c r="I387">
        <f t="shared" si="11"/>
        <v>419</v>
      </c>
    </row>
    <row r="388" spans="1:9" ht="30" x14ac:dyDescent="0.25">
      <c r="A388" s="5" t="s">
        <v>13</v>
      </c>
      <c r="B388" s="5" t="s">
        <v>393</v>
      </c>
      <c r="C388" s="5" t="s">
        <v>699</v>
      </c>
      <c r="D388" s="3">
        <f>VLOOKUP(A388,airports!A:H,7,FALSE)</f>
        <v>30.194532779999999</v>
      </c>
      <c r="E388" s="3">
        <f>VLOOKUP(A388,airports!A:H,8,FALSE)</f>
        <v>-97.669871939999993</v>
      </c>
      <c r="F388" s="3">
        <f>VLOOKUP(B388,airports!A:H,7,FALSE)</f>
        <v>39.22316</v>
      </c>
      <c r="G388" s="3">
        <f>VLOOKUP(B388,airports!A:H,8,FALSE)</f>
        <v>-106.86884499999999</v>
      </c>
      <c r="H388">
        <f t="shared" ref="H388:H451" si="12">ROUND(ACOS(COS(RADIANS(90-D388)) * COS(RADIANS(90-F388)) + SIN(RADIANS(90-D388)) * SIN(RADIANS(90-F388)) * COS(RADIANS(E388-G388))) * 6371,1)</f>
        <v>1308</v>
      </c>
      <c r="I388">
        <f t="shared" ref="I388:I451" si="13">ROUND(ACOS(COS(RADIANS(90-D388)) * COS(RADIANS(90-F388)) + SIN(RADIANS(90-D388)) * SIN(RADIANS(90-F388)) * COS(RADIANS(E388-G388))) * 3959,1)</f>
        <v>812.8</v>
      </c>
    </row>
    <row r="389" spans="1:9" ht="30" x14ac:dyDescent="0.25">
      <c r="A389" s="5" t="s">
        <v>13</v>
      </c>
      <c r="B389" s="5" t="s">
        <v>10</v>
      </c>
      <c r="C389" s="5" t="s">
        <v>700</v>
      </c>
      <c r="D389" s="3">
        <f>VLOOKUP(A389,airports!A:H,7,FALSE)</f>
        <v>30.194532779999999</v>
      </c>
      <c r="E389" s="3">
        <f>VLOOKUP(A389,airports!A:H,8,FALSE)</f>
        <v>-97.669871939999993</v>
      </c>
      <c r="F389" s="3">
        <f>VLOOKUP(B389,airports!A:H,7,FALSE)</f>
        <v>33.640444440000003</v>
      </c>
      <c r="G389" s="3">
        <f>VLOOKUP(B389,airports!A:H,8,FALSE)</f>
        <v>-84.42694444</v>
      </c>
      <c r="H389">
        <f t="shared" si="12"/>
        <v>1306.2</v>
      </c>
      <c r="I389">
        <f t="shared" si="13"/>
        <v>811.7</v>
      </c>
    </row>
    <row r="390" spans="1:9" ht="30" x14ac:dyDescent="0.25">
      <c r="A390" s="5" t="s">
        <v>13</v>
      </c>
      <c r="B390" s="5" t="s">
        <v>419</v>
      </c>
      <c r="C390" s="5" t="s">
        <v>701</v>
      </c>
      <c r="D390" s="3">
        <f>VLOOKUP(A390,airports!A:H,7,FALSE)</f>
        <v>30.194532779999999</v>
      </c>
      <c r="E390" s="3">
        <f>VLOOKUP(A390,airports!A:H,8,FALSE)</f>
        <v>-97.669871939999993</v>
      </c>
      <c r="F390" s="3">
        <f>VLOOKUP(B390,airports!A:H,7,FALSE)</f>
        <v>35.436194440000001</v>
      </c>
      <c r="G390" s="3">
        <f>VLOOKUP(B390,airports!A:H,8,FALSE)</f>
        <v>-82.54180556</v>
      </c>
      <c r="H390">
        <f t="shared" si="12"/>
        <v>1527</v>
      </c>
      <c r="I390">
        <f t="shared" si="13"/>
        <v>948.9</v>
      </c>
    </row>
    <row r="391" spans="1:9" ht="30" x14ac:dyDescent="0.25">
      <c r="A391" s="5" t="s">
        <v>13</v>
      </c>
      <c r="B391" s="5" t="s">
        <v>19</v>
      </c>
      <c r="C391" s="5" t="s">
        <v>702</v>
      </c>
      <c r="D391" s="3">
        <f>VLOOKUP(A391,airports!A:H,7,FALSE)</f>
        <v>30.194532779999999</v>
      </c>
      <c r="E391" s="3">
        <f>VLOOKUP(A391,airports!A:H,8,FALSE)</f>
        <v>-97.669871939999993</v>
      </c>
      <c r="F391" s="3">
        <f>VLOOKUP(B391,airports!A:H,7,FALSE)</f>
        <v>36.12447667</v>
      </c>
      <c r="G391" s="3">
        <f>VLOOKUP(B391,airports!A:H,8,FALSE)</f>
        <v>-86.678182219999997</v>
      </c>
      <c r="H391">
        <f t="shared" si="12"/>
        <v>1216</v>
      </c>
      <c r="I391">
        <f t="shared" si="13"/>
        <v>755.6</v>
      </c>
    </row>
    <row r="392" spans="1:9" ht="30" x14ac:dyDescent="0.25">
      <c r="A392" s="5" t="s">
        <v>13</v>
      </c>
      <c r="B392" s="5" t="s">
        <v>22</v>
      </c>
      <c r="C392" s="5" t="s">
        <v>703</v>
      </c>
      <c r="D392" s="3">
        <f>VLOOKUP(A392,airports!A:H,7,FALSE)</f>
        <v>30.194532779999999</v>
      </c>
      <c r="E392" s="3">
        <f>VLOOKUP(A392,airports!A:H,8,FALSE)</f>
        <v>-97.669871939999993</v>
      </c>
      <c r="F392" s="3">
        <f>VLOOKUP(B392,airports!A:H,7,FALSE)</f>
        <v>43.564444440000003</v>
      </c>
      <c r="G392" s="3">
        <f>VLOOKUP(B392,airports!A:H,8,FALSE)</f>
        <v>-116.2227778</v>
      </c>
      <c r="H392">
        <f t="shared" si="12"/>
        <v>2211.6</v>
      </c>
      <c r="I392">
        <f t="shared" si="13"/>
        <v>1374.3</v>
      </c>
    </row>
    <row r="393" spans="1:9" ht="30" x14ac:dyDescent="0.25">
      <c r="A393" s="5" t="s">
        <v>13</v>
      </c>
      <c r="B393" s="5" t="s">
        <v>24</v>
      </c>
      <c r="C393" s="5" t="s">
        <v>704</v>
      </c>
      <c r="D393" s="3">
        <f>VLOOKUP(A393,airports!A:H,7,FALSE)</f>
        <v>30.194532779999999</v>
      </c>
      <c r="E393" s="3">
        <f>VLOOKUP(A393,airports!A:H,8,FALSE)</f>
        <v>-97.669871939999993</v>
      </c>
      <c r="F393" s="3">
        <f>VLOOKUP(B393,airports!A:H,7,FALSE)</f>
        <v>42.364347500000001</v>
      </c>
      <c r="G393" s="3">
        <f>VLOOKUP(B393,airports!A:H,8,FALSE)</f>
        <v>-71.005179170000005</v>
      </c>
      <c r="H393">
        <f t="shared" si="12"/>
        <v>2729.7</v>
      </c>
      <c r="I393">
        <f t="shared" si="13"/>
        <v>1696.3</v>
      </c>
    </row>
    <row r="394" spans="1:9" ht="30" x14ac:dyDescent="0.25">
      <c r="A394" s="5" t="s">
        <v>13</v>
      </c>
      <c r="B394" s="5" t="s">
        <v>434</v>
      </c>
      <c r="C394" s="5" t="s">
        <v>705</v>
      </c>
      <c r="D394" s="3">
        <f>VLOOKUP(A394,airports!A:H,7,FALSE)</f>
        <v>30.194532779999999</v>
      </c>
      <c r="E394" s="3">
        <f>VLOOKUP(A394,airports!A:H,8,FALSE)</f>
        <v>-97.669871939999993</v>
      </c>
      <c r="F394" s="3">
        <f>VLOOKUP(B394,airports!A:H,7,FALSE)</f>
        <v>30.53316083</v>
      </c>
      <c r="G394" s="3">
        <f>VLOOKUP(B394,airports!A:H,8,FALSE)</f>
        <v>-91.14963444</v>
      </c>
      <c r="H394">
        <f t="shared" si="12"/>
        <v>626.6</v>
      </c>
      <c r="I394">
        <f t="shared" si="13"/>
        <v>389.4</v>
      </c>
    </row>
    <row r="395" spans="1:9" ht="30" x14ac:dyDescent="0.25">
      <c r="A395" s="5" t="s">
        <v>13</v>
      </c>
      <c r="B395" s="5" t="s">
        <v>29</v>
      </c>
      <c r="C395" s="5" t="s">
        <v>706</v>
      </c>
      <c r="D395" s="3">
        <f>VLOOKUP(A395,airports!A:H,7,FALSE)</f>
        <v>30.194532779999999</v>
      </c>
      <c r="E395" s="3">
        <f>VLOOKUP(A395,airports!A:H,8,FALSE)</f>
        <v>-97.669871939999993</v>
      </c>
      <c r="F395" s="3">
        <f>VLOOKUP(B395,airports!A:H,7,FALSE)</f>
        <v>42.940524719999999</v>
      </c>
      <c r="G395" s="3">
        <f>VLOOKUP(B395,airports!A:H,8,FALSE)</f>
        <v>-78.732166669999998</v>
      </c>
      <c r="H395">
        <f t="shared" si="12"/>
        <v>2197.4</v>
      </c>
      <c r="I395">
        <f t="shared" si="13"/>
        <v>1365.5</v>
      </c>
    </row>
    <row r="396" spans="1:9" ht="30" x14ac:dyDescent="0.25">
      <c r="A396" s="5" t="s">
        <v>13</v>
      </c>
      <c r="B396" s="5" t="s">
        <v>30</v>
      </c>
      <c r="C396" s="5" t="s">
        <v>707</v>
      </c>
      <c r="D396" s="3">
        <f>VLOOKUP(A396,airports!A:H,7,FALSE)</f>
        <v>30.194532779999999</v>
      </c>
      <c r="E396" s="3">
        <f>VLOOKUP(A396,airports!A:H,8,FALSE)</f>
        <v>-97.669871939999993</v>
      </c>
      <c r="F396" s="3">
        <f>VLOOKUP(B396,airports!A:H,7,FALSE)</f>
        <v>34.200619170000003</v>
      </c>
      <c r="G396" s="3">
        <f>VLOOKUP(B396,airports!A:H,8,FALSE)</f>
        <v>-118.35849690000001</v>
      </c>
      <c r="H396">
        <f t="shared" si="12"/>
        <v>1993.2</v>
      </c>
      <c r="I396">
        <f t="shared" si="13"/>
        <v>1238.5999999999999</v>
      </c>
    </row>
    <row r="397" spans="1:9" ht="30" x14ac:dyDescent="0.25">
      <c r="A397" s="5" t="s">
        <v>13</v>
      </c>
      <c r="B397" s="5" t="s">
        <v>32</v>
      </c>
      <c r="C397" s="5" t="s">
        <v>708</v>
      </c>
      <c r="D397" s="3">
        <f>VLOOKUP(A397,airports!A:H,7,FALSE)</f>
        <v>30.194532779999999</v>
      </c>
      <c r="E397" s="3">
        <f>VLOOKUP(A397,airports!A:H,8,FALSE)</f>
        <v>-97.669871939999993</v>
      </c>
      <c r="F397" s="3">
        <f>VLOOKUP(B397,airports!A:H,7,FALSE)</f>
        <v>39.175401669999999</v>
      </c>
      <c r="G397" s="3">
        <f>VLOOKUP(B397,airports!A:H,8,FALSE)</f>
        <v>-76.668198329999996</v>
      </c>
      <c r="H397">
        <f t="shared" si="12"/>
        <v>2157</v>
      </c>
      <c r="I397">
        <f t="shared" si="13"/>
        <v>1340.4</v>
      </c>
    </row>
    <row r="398" spans="1:9" ht="30" x14ac:dyDescent="0.25">
      <c r="A398" s="5" t="s">
        <v>13</v>
      </c>
      <c r="B398" s="5" t="s">
        <v>34</v>
      </c>
      <c r="C398" s="5" t="s">
        <v>709</v>
      </c>
      <c r="D398" s="3">
        <f>VLOOKUP(A398,airports!A:H,7,FALSE)</f>
        <v>30.194532779999999</v>
      </c>
      <c r="E398" s="3">
        <f>VLOOKUP(A398,airports!A:H,8,FALSE)</f>
        <v>-97.669871939999993</v>
      </c>
      <c r="F398" s="3">
        <f>VLOOKUP(B398,airports!A:H,7,FALSE)</f>
        <v>45.776901389999999</v>
      </c>
      <c r="G398" s="3">
        <f>VLOOKUP(B398,airports!A:H,8,FALSE)</f>
        <v>-111.1530072</v>
      </c>
      <c r="H398">
        <f t="shared" si="12"/>
        <v>2090.8000000000002</v>
      </c>
      <c r="I398">
        <f t="shared" si="13"/>
        <v>1299.3</v>
      </c>
    </row>
    <row r="399" spans="1:9" ht="30" x14ac:dyDescent="0.25">
      <c r="A399" s="5" t="s">
        <v>13</v>
      </c>
      <c r="B399" s="5" t="s">
        <v>36</v>
      </c>
      <c r="C399" s="5" t="s">
        <v>710</v>
      </c>
      <c r="D399" s="3">
        <f>VLOOKUP(A399,airports!A:H,7,FALSE)</f>
        <v>30.194532779999999</v>
      </c>
      <c r="E399" s="3">
        <f>VLOOKUP(A399,airports!A:H,8,FALSE)</f>
        <v>-97.669871939999993</v>
      </c>
      <c r="F399" s="3">
        <f>VLOOKUP(B399,airports!A:H,7,FALSE)</f>
        <v>32.898646390000003</v>
      </c>
      <c r="G399" s="3">
        <f>VLOOKUP(B399,airports!A:H,8,FALSE)</f>
        <v>-80.040505830000001</v>
      </c>
      <c r="H399">
        <f t="shared" si="12"/>
        <v>1695.3</v>
      </c>
      <c r="I399">
        <f t="shared" si="13"/>
        <v>1053.5</v>
      </c>
    </row>
    <row r="400" spans="1:9" x14ac:dyDescent="0.25">
      <c r="A400" s="5" t="s">
        <v>13</v>
      </c>
      <c r="B400" s="5" t="s">
        <v>38</v>
      </c>
      <c r="C400" s="5" t="s">
        <v>711</v>
      </c>
      <c r="D400" s="3">
        <f>VLOOKUP(A400,airports!A:H,7,FALSE)</f>
        <v>30.194532779999999</v>
      </c>
      <c r="E400" s="3">
        <f>VLOOKUP(A400,airports!A:H,8,FALSE)</f>
        <v>-97.669871939999993</v>
      </c>
      <c r="F400" s="3">
        <f>VLOOKUP(B400,airports!A:H,7,FALSE)</f>
        <v>41.410894169999999</v>
      </c>
      <c r="G400" s="3">
        <f>VLOOKUP(B400,airports!A:H,8,FALSE)</f>
        <v>-81.849396670000004</v>
      </c>
      <c r="H400">
        <f t="shared" si="12"/>
        <v>1889.4</v>
      </c>
      <c r="I400">
        <f t="shared" si="13"/>
        <v>1174.0999999999999</v>
      </c>
    </row>
    <row r="401" spans="1:9" x14ac:dyDescent="0.25">
      <c r="A401" s="5" t="s">
        <v>13</v>
      </c>
      <c r="B401" s="5" t="s">
        <v>40</v>
      </c>
      <c r="C401" s="5" t="s">
        <v>712</v>
      </c>
      <c r="D401" s="3">
        <f>VLOOKUP(A401,airports!A:H,7,FALSE)</f>
        <v>30.194532779999999</v>
      </c>
      <c r="E401" s="3">
        <f>VLOOKUP(A401,airports!A:H,8,FALSE)</f>
        <v>-97.669871939999993</v>
      </c>
      <c r="F401" s="3">
        <f>VLOOKUP(B401,airports!A:H,7,FALSE)</f>
        <v>35.214011110000001</v>
      </c>
      <c r="G401" s="3">
        <f>VLOOKUP(B401,airports!A:H,8,FALSE)</f>
        <v>-80.94312583</v>
      </c>
      <c r="H401">
        <f t="shared" si="12"/>
        <v>1659</v>
      </c>
      <c r="I401">
        <f t="shared" si="13"/>
        <v>1030.9000000000001</v>
      </c>
    </row>
    <row r="402" spans="1:9" ht="30" x14ac:dyDescent="0.25">
      <c r="A402" s="5" t="s">
        <v>13</v>
      </c>
      <c r="B402" s="5" t="s">
        <v>454</v>
      </c>
      <c r="C402" s="5" t="s">
        <v>713</v>
      </c>
      <c r="D402" s="3">
        <f>VLOOKUP(A402,airports!A:H,7,FALSE)</f>
        <v>30.194532779999999</v>
      </c>
      <c r="E402" s="3">
        <f>VLOOKUP(A402,airports!A:H,8,FALSE)</f>
        <v>-97.669871939999993</v>
      </c>
      <c r="F402" s="3">
        <f>VLOOKUP(B402,airports!A:H,7,FALSE)</f>
        <v>39.997985280000002</v>
      </c>
      <c r="G402" s="3">
        <f>VLOOKUP(B402,airports!A:H,8,FALSE)</f>
        <v>-82.891882780000003</v>
      </c>
      <c r="H402">
        <f t="shared" si="12"/>
        <v>1726.7</v>
      </c>
      <c r="I402">
        <f t="shared" si="13"/>
        <v>1073</v>
      </c>
    </row>
    <row r="403" spans="1:9" ht="30" x14ac:dyDescent="0.25">
      <c r="A403" s="5" t="s">
        <v>13</v>
      </c>
      <c r="B403" s="5" t="s">
        <v>462</v>
      </c>
      <c r="C403" s="5" t="s">
        <v>714</v>
      </c>
      <c r="D403" s="3">
        <f>VLOOKUP(A403,airports!A:H,7,FALSE)</f>
        <v>30.194532779999999</v>
      </c>
      <c r="E403" s="3">
        <f>VLOOKUP(A403,airports!A:H,8,FALSE)</f>
        <v>-97.669871939999993</v>
      </c>
      <c r="F403" s="3">
        <f>VLOOKUP(B403,airports!A:H,7,FALSE)</f>
        <v>39.046142779999997</v>
      </c>
      <c r="G403" s="3">
        <f>VLOOKUP(B403,airports!A:H,8,FALSE)</f>
        <v>-84.662172499999997</v>
      </c>
      <c r="H403">
        <f t="shared" si="12"/>
        <v>1541.7</v>
      </c>
      <c r="I403">
        <f t="shared" si="13"/>
        <v>958</v>
      </c>
    </row>
    <row r="404" spans="1:9" ht="30" x14ac:dyDescent="0.25">
      <c r="A404" s="5" t="s">
        <v>13</v>
      </c>
      <c r="B404" s="5" t="s">
        <v>201</v>
      </c>
      <c r="C404" s="5" t="s">
        <v>715</v>
      </c>
      <c r="D404" s="3">
        <f>VLOOKUP(A404,airports!A:H,7,FALSE)</f>
        <v>30.194532779999999</v>
      </c>
      <c r="E404" s="3">
        <f>VLOOKUP(A404,airports!A:H,8,FALSE)</f>
        <v>-97.669871939999993</v>
      </c>
      <c r="F404" s="3">
        <f>VLOOKUP(B404,airports!A:H,7,FALSE)</f>
        <v>32.847113890000003</v>
      </c>
      <c r="G404" s="3">
        <f>VLOOKUP(B404,airports!A:H,8,FALSE)</f>
        <v>-96.851772220000001</v>
      </c>
      <c r="H404">
        <f t="shared" si="12"/>
        <v>305</v>
      </c>
      <c r="I404">
        <f t="shared" si="13"/>
        <v>189.5</v>
      </c>
    </row>
    <row r="405" spans="1:9" ht="30" x14ac:dyDescent="0.25">
      <c r="A405" s="5" t="s">
        <v>13</v>
      </c>
      <c r="B405" s="5" t="s">
        <v>45</v>
      </c>
      <c r="C405" s="5" t="s">
        <v>716</v>
      </c>
      <c r="D405" s="3">
        <f>VLOOKUP(A405,airports!A:H,7,FALSE)</f>
        <v>30.194532779999999</v>
      </c>
      <c r="E405" s="3">
        <f>VLOOKUP(A405,airports!A:H,8,FALSE)</f>
        <v>-97.669871939999993</v>
      </c>
      <c r="F405" s="3">
        <f>VLOOKUP(B405,airports!A:H,7,FALSE)</f>
        <v>38.852083329999999</v>
      </c>
      <c r="G405" s="3">
        <f>VLOOKUP(B405,airports!A:H,8,FALSE)</f>
        <v>-77.037722220000006</v>
      </c>
      <c r="H405">
        <f t="shared" si="12"/>
        <v>2114.4</v>
      </c>
      <c r="I405">
        <f t="shared" si="13"/>
        <v>1313.9</v>
      </c>
    </row>
    <row r="406" spans="1:9" ht="30" x14ac:dyDescent="0.25">
      <c r="A406" s="5" t="s">
        <v>13</v>
      </c>
      <c r="B406" s="5" t="s">
        <v>47</v>
      </c>
      <c r="C406" s="5" t="s">
        <v>717</v>
      </c>
      <c r="D406" s="3">
        <f>VLOOKUP(A406,airports!A:H,7,FALSE)</f>
        <v>30.194532779999999</v>
      </c>
      <c r="E406" s="3">
        <f>VLOOKUP(A406,airports!A:H,8,FALSE)</f>
        <v>-97.669871939999993</v>
      </c>
      <c r="F406" s="3">
        <f>VLOOKUP(B406,airports!A:H,7,FALSE)</f>
        <v>39.858408060000002</v>
      </c>
      <c r="G406" s="3">
        <f>VLOOKUP(B406,airports!A:H,8,FALSE)</f>
        <v>-104.6670019</v>
      </c>
      <c r="H406">
        <f t="shared" si="12"/>
        <v>1248.2</v>
      </c>
      <c r="I406">
        <f t="shared" si="13"/>
        <v>775.7</v>
      </c>
    </row>
    <row r="407" spans="1:9" ht="30" x14ac:dyDescent="0.25">
      <c r="A407" s="5" t="s">
        <v>13</v>
      </c>
      <c r="B407" s="5" t="s">
        <v>49</v>
      </c>
      <c r="C407" s="5" t="s">
        <v>718</v>
      </c>
      <c r="D407" s="3">
        <f>VLOOKUP(A407,airports!A:H,7,FALSE)</f>
        <v>30.194532779999999</v>
      </c>
      <c r="E407" s="3">
        <f>VLOOKUP(A407,airports!A:H,8,FALSE)</f>
        <v>-97.669871939999993</v>
      </c>
      <c r="F407" s="3">
        <f>VLOOKUP(B407,airports!A:H,7,FALSE)</f>
        <v>32.895950560000003</v>
      </c>
      <c r="G407" s="3">
        <f>VLOOKUP(B407,airports!A:H,8,FALSE)</f>
        <v>-97.037199999999999</v>
      </c>
      <c r="H407">
        <f t="shared" si="12"/>
        <v>306.3</v>
      </c>
      <c r="I407">
        <f t="shared" si="13"/>
        <v>190.3</v>
      </c>
    </row>
    <row r="408" spans="1:9" ht="30" x14ac:dyDescent="0.25">
      <c r="A408" s="5" t="s">
        <v>13</v>
      </c>
      <c r="B408" s="5" t="s">
        <v>474</v>
      </c>
      <c r="C408" s="5" t="s">
        <v>719</v>
      </c>
      <c r="D408" s="3">
        <f>VLOOKUP(A408,airports!A:H,7,FALSE)</f>
        <v>30.194532779999999</v>
      </c>
      <c r="E408" s="3">
        <f>VLOOKUP(A408,airports!A:H,8,FALSE)</f>
        <v>-97.669871939999993</v>
      </c>
      <c r="F408" s="3">
        <f>VLOOKUP(B408,airports!A:H,7,FALSE)</f>
        <v>41.53493306</v>
      </c>
      <c r="G408" s="3">
        <f>VLOOKUP(B408,airports!A:H,8,FALSE)</f>
        <v>-93.660682219999998</v>
      </c>
      <c r="H408">
        <f t="shared" si="12"/>
        <v>1311.3</v>
      </c>
      <c r="I408">
        <f t="shared" si="13"/>
        <v>814.9</v>
      </c>
    </row>
    <row r="409" spans="1:9" ht="30" x14ac:dyDescent="0.25">
      <c r="A409" s="5" t="s">
        <v>13</v>
      </c>
      <c r="B409" s="5" t="s">
        <v>50</v>
      </c>
      <c r="C409" s="5" t="s">
        <v>720</v>
      </c>
      <c r="D409" s="3">
        <f>VLOOKUP(A409,airports!A:H,7,FALSE)</f>
        <v>30.194532779999999</v>
      </c>
      <c r="E409" s="3">
        <f>VLOOKUP(A409,airports!A:H,8,FALSE)</f>
        <v>-97.669871939999993</v>
      </c>
      <c r="F409" s="3">
        <f>VLOOKUP(B409,airports!A:H,7,FALSE)</f>
        <v>42.212058890000002</v>
      </c>
      <c r="G409" s="3">
        <f>VLOOKUP(B409,airports!A:H,8,FALSE)</f>
        <v>-83.348835829999999</v>
      </c>
      <c r="H409">
        <f t="shared" si="12"/>
        <v>1848.8</v>
      </c>
      <c r="I409">
        <f t="shared" si="13"/>
        <v>1148.8</v>
      </c>
    </row>
    <row r="410" spans="1:9" ht="30" x14ac:dyDescent="0.25">
      <c r="A410" s="5" t="s">
        <v>13</v>
      </c>
      <c r="B410" s="5" t="s">
        <v>477</v>
      </c>
      <c r="C410" s="5" t="s">
        <v>721</v>
      </c>
      <c r="D410" s="3">
        <f>VLOOKUP(A410,airports!A:H,7,FALSE)</f>
        <v>30.194532779999999</v>
      </c>
      <c r="E410" s="3">
        <f>VLOOKUP(A410,airports!A:H,8,FALSE)</f>
        <v>-97.669871939999993</v>
      </c>
      <c r="F410" s="3">
        <f>VLOOKUP(B410,airports!A:H,7,FALSE)</f>
        <v>30.357106000000002</v>
      </c>
      <c r="G410" s="3">
        <f>VLOOKUP(B410,airports!A:H,8,FALSE)</f>
        <v>-85.795413999999994</v>
      </c>
      <c r="H410">
        <f t="shared" si="12"/>
        <v>1139.9000000000001</v>
      </c>
      <c r="I410">
        <f t="shared" si="13"/>
        <v>708.4</v>
      </c>
    </row>
    <row r="411" spans="1:9" x14ac:dyDescent="0.25">
      <c r="A411" s="5" t="s">
        <v>13</v>
      </c>
      <c r="B411" s="5" t="s">
        <v>483</v>
      </c>
      <c r="C411" s="5" t="s">
        <v>722</v>
      </c>
      <c r="D411" s="3">
        <f>VLOOKUP(A411,airports!A:H,7,FALSE)</f>
        <v>30.194532779999999</v>
      </c>
      <c r="E411" s="3">
        <f>VLOOKUP(A411,airports!A:H,8,FALSE)</f>
        <v>-97.669871939999993</v>
      </c>
      <c r="F411" s="3">
        <f>VLOOKUP(B411,airports!A:H,7,FALSE)</f>
        <v>31.806666669999998</v>
      </c>
      <c r="G411" s="3">
        <f>VLOOKUP(B411,airports!A:H,8,FALSE)</f>
        <v>-106.3778056</v>
      </c>
      <c r="H411">
        <f t="shared" si="12"/>
        <v>848.8</v>
      </c>
      <c r="I411">
        <f t="shared" si="13"/>
        <v>527.5</v>
      </c>
    </row>
    <row r="412" spans="1:9" ht="30" x14ac:dyDescent="0.25">
      <c r="A412" s="5" t="s">
        <v>13</v>
      </c>
      <c r="B412" s="5" t="s">
        <v>52</v>
      </c>
      <c r="C412" s="5" t="s">
        <v>723</v>
      </c>
      <c r="D412" s="3">
        <f>VLOOKUP(A412,airports!A:H,7,FALSE)</f>
        <v>30.194532779999999</v>
      </c>
      <c r="E412" s="3">
        <f>VLOOKUP(A412,airports!A:H,8,FALSE)</f>
        <v>-97.669871939999993</v>
      </c>
      <c r="F412" s="3">
        <f>VLOOKUP(B412,airports!A:H,7,FALSE)</f>
        <v>40.69249722</v>
      </c>
      <c r="G412" s="3">
        <f>VLOOKUP(B412,airports!A:H,8,FALSE)</f>
        <v>-74.168660560000006</v>
      </c>
      <c r="H412">
        <f t="shared" si="12"/>
        <v>2416.9</v>
      </c>
      <c r="I412">
        <f t="shared" si="13"/>
        <v>1501.9</v>
      </c>
    </row>
    <row r="413" spans="1:9" x14ac:dyDescent="0.25">
      <c r="A413" s="5" t="s">
        <v>13</v>
      </c>
      <c r="B413" s="5" t="s">
        <v>57</v>
      </c>
      <c r="C413" s="5" t="s">
        <v>724</v>
      </c>
      <c r="D413" s="3">
        <f>VLOOKUP(A413,airports!A:H,7,FALSE)</f>
        <v>30.194532779999999</v>
      </c>
      <c r="E413" s="3">
        <f>VLOOKUP(A413,airports!A:H,8,FALSE)</f>
        <v>-97.669871939999993</v>
      </c>
      <c r="F413" s="3">
        <f>VLOOKUP(B413,airports!A:H,7,FALSE)</f>
        <v>26.072583330000001</v>
      </c>
      <c r="G413" s="3">
        <f>VLOOKUP(B413,airports!A:H,8,FALSE)</f>
        <v>-80.152749999999997</v>
      </c>
      <c r="H413">
        <f t="shared" si="12"/>
        <v>1775.7</v>
      </c>
      <c r="I413">
        <f t="shared" si="13"/>
        <v>1103.4000000000001</v>
      </c>
    </row>
    <row r="414" spans="1:9" ht="30" x14ac:dyDescent="0.25">
      <c r="A414" s="5" t="s">
        <v>13</v>
      </c>
      <c r="B414" s="5" t="s">
        <v>499</v>
      </c>
      <c r="C414" s="5" t="s">
        <v>725</v>
      </c>
      <c r="D414" s="3">
        <f>VLOOKUP(A414,airports!A:H,7,FALSE)</f>
        <v>30.194532779999999</v>
      </c>
      <c r="E414" s="3">
        <f>VLOOKUP(A414,airports!A:H,8,FALSE)</f>
        <v>-97.669871939999993</v>
      </c>
      <c r="F414" s="3">
        <f>VLOOKUP(B414,airports!A:H,7,FALSE)</f>
        <v>43.58135111</v>
      </c>
      <c r="G414" s="3">
        <f>VLOOKUP(B414,airports!A:H,8,FALSE)</f>
        <v>-96.741700280000003</v>
      </c>
      <c r="H414">
        <f t="shared" si="12"/>
        <v>1490.8</v>
      </c>
      <c r="I414">
        <f t="shared" si="13"/>
        <v>926.4</v>
      </c>
    </row>
    <row r="415" spans="1:9" ht="30" x14ac:dyDescent="0.25">
      <c r="A415" s="5" t="s">
        <v>13</v>
      </c>
      <c r="B415" s="5" t="s">
        <v>515</v>
      </c>
      <c r="C415" s="5" t="s">
        <v>726</v>
      </c>
      <c r="D415" s="3">
        <f>VLOOKUP(A415,airports!A:H,7,FALSE)</f>
        <v>30.194532779999999</v>
      </c>
      <c r="E415" s="3">
        <f>VLOOKUP(A415,airports!A:H,8,FALSE)</f>
        <v>-97.669871939999993</v>
      </c>
      <c r="F415" s="3">
        <f>VLOOKUP(B415,airports!A:H,7,FALSE)</f>
        <v>42.880819719999998</v>
      </c>
      <c r="G415" s="3">
        <f>VLOOKUP(B415,airports!A:H,8,FALSE)</f>
        <v>-85.522767779999995</v>
      </c>
      <c r="H415">
        <f t="shared" si="12"/>
        <v>1775.8</v>
      </c>
      <c r="I415">
        <f t="shared" si="13"/>
        <v>1103.5</v>
      </c>
    </row>
    <row r="416" spans="1:9" ht="30" x14ac:dyDescent="0.25">
      <c r="A416" s="5" t="s">
        <v>13</v>
      </c>
      <c r="B416" s="5" t="s">
        <v>360</v>
      </c>
      <c r="C416" s="5" t="s">
        <v>727</v>
      </c>
      <c r="D416" s="3">
        <f>VLOOKUP(A416,airports!A:H,7,FALSE)</f>
        <v>30.194532779999999</v>
      </c>
      <c r="E416" s="3">
        <f>VLOOKUP(A416,airports!A:H,8,FALSE)</f>
        <v>-97.669871939999993</v>
      </c>
      <c r="F416" s="3">
        <f>VLOOKUP(B416,airports!A:H,7,FALSE)</f>
        <v>21.31869111</v>
      </c>
      <c r="G416" s="3">
        <f>VLOOKUP(B416,airports!A:H,8,FALSE)</f>
        <v>-157.92240720000001</v>
      </c>
      <c r="H416">
        <f t="shared" si="12"/>
        <v>6047.2</v>
      </c>
      <c r="I416">
        <f t="shared" si="13"/>
        <v>3757.8</v>
      </c>
    </row>
    <row r="417" spans="1:9" ht="30" x14ac:dyDescent="0.25">
      <c r="A417" s="5" t="s">
        <v>13</v>
      </c>
      <c r="B417" s="5" t="s">
        <v>205</v>
      </c>
      <c r="C417" s="5" t="s">
        <v>728</v>
      </c>
      <c r="D417" s="3">
        <f>VLOOKUP(A417,airports!A:H,7,FALSE)</f>
        <v>30.194532779999999</v>
      </c>
      <c r="E417" s="3">
        <f>VLOOKUP(A417,airports!A:H,8,FALSE)</f>
        <v>-97.669871939999993</v>
      </c>
      <c r="F417" s="3">
        <f>VLOOKUP(B417,airports!A:H,7,FALSE)</f>
        <v>29.64541861</v>
      </c>
      <c r="G417" s="3">
        <f>VLOOKUP(B417,airports!A:H,8,FALSE)</f>
        <v>-95.278888890000005</v>
      </c>
      <c r="H417">
        <f t="shared" si="12"/>
        <v>238.4</v>
      </c>
      <c r="I417">
        <f t="shared" si="13"/>
        <v>148.1</v>
      </c>
    </row>
    <row r="418" spans="1:9" ht="30" x14ac:dyDescent="0.25">
      <c r="A418" s="5" t="s">
        <v>13</v>
      </c>
      <c r="B418" s="5" t="s">
        <v>729</v>
      </c>
      <c r="C418" s="5" t="s">
        <v>730</v>
      </c>
      <c r="D418" s="3">
        <f>VLOOKUP(A418,airports!A:H,7,FALSE)</f>
        <v>30.194532779999999</v>
      </c>
      <c r="E418" s="3">
        <f>VLOOKUP(A418,airports!A:H,8,FALSE)</f>
        <v>-97.669871939999993</v>
      </c>
      <c r="F418" s="3">
        <f>VLOOKUP(B418,airports!A:H,7,FALSE)</f>
        <v>26.228506110000001</v>
      </c>
      <c r="G418" s="3">
        <f>VLOOKUP(B418,airports!A:H,8,FALSE)</f>
        <v>-97.654393889999994</v>
      </c>
      <c r="H418">
        <f t="shared" si="12"/>
        <v>441</v>
      </c>
      <c r="I418">
        <f t="shared" si="13"/>
        <v>274</v>
      </c>
    </row>
    <row r="419" spans="1:9" ht="30" x14ac:dyDescent="0.25">
      <c r="A419" s="5" t="s">
        <v>13</v>
      </c>
      <c r="B419" s="5" t="s">
        <v>176</v>
      </c>
      <c r="C419" s="5" t="s">
        <v>731</v>
      </c>
      <c r="D419" s="3">
        <f>VLOOKUP(A419,airports!A:H,7,FALSE)</f>
        <v>30.194532779999999</v>
      </c>
      <c r="E419" s="3">
        <f>VLOOKUP(A419,airports!A:H,8,FALSE)</f>
        <v>-97.669871939999993</v>
      </c>
      <c r="F419" s="3">
        <f>VLOOKUP(B419,airports!A:H,7,FALSE)</f>
        <v>38.944531939999997</v>
      </c>
      <c r="G419" s="3">
        <f>VLOOKUP(B419,airports!A:H,8,FALSE)</f>
        <v>-77.455809720000005</v>
      </c>
      <c r="H419">
        <f t="shared" si="12"/>
        <v>2084.4</v>
      </c>
      <c r="I419">
        <f t="shared" si="13"/>
        <v>1295.2</v>
      </c>
    </row>
    <row r="420" spans="1:9" ht="30" x14ac:dyDescent="0.25">
      <c r="A420" s="5" t="s">
        <v>13</v>
      </c>
      <c r="B420" s="5" t="s">
        <v>67</v>
      </c>
      <c r="C420" s="5" t="s">
        <v>732</v>
      </c>
      <c r="D420" s="3">
        <f>VLOOKUP(A420,airports!A:H,7,FALSE)</f>
        <v>30.194532779999999</v>
      </c>
      <c r="E420" s="3">
        <f>VLOOKUP(A420,airports!A:H,8,FALSE)</f>
        <v>-97.669871939999993</v>
      </c>
      <c r="F420" s="3">
        <f>VLOOKUP(B420,airports!A:H,7,FALSE)</f>
        <v>29.980472219999999</v>
      </c>
      <c r="G420" s="3">
        <f>VLOOKUP(B420,airports!A:H,8,FALSE)</f>
        <v>-95.339722219999999</v>
      </c>
      <c r="H420">
        <f t="shared" si="12"/>
        <v>225.4</v>
      </c>
      <c r="I420">
        <f t="shared" si="13"/>
        <v>140.1</v>
      </c>
    </row>
    <row r="421" spans="1:9" ht="30" x14ac:dyDescent="0.25">
      <c r="A421" s="5" t="s">
        <v>13</v>
      </c>
      <c r="B421" s="5" t="s">
        <v>537</v>
      </c>
      <c r="C421" s="5" t="s">
        <v>733</v>
      </c>
      <c r="D421" s="3">
        <f>VLOOKUP(A421,airports!A:H,7,FALSE)</f>
        <v>30.194532779999999</v>
      </c>
      <c r="E421" s="3">
        <f>VLOOKUP(A421,airports!A:H,8,FALSE)</f>
        <v>-97.669871939999993</v>
      </c>
      <c r="F421" s="3">
        <f>VLOOKUP(B421,airports!A:H,7,FALSE)</f>
        <v>39.717329169999999</v>
      </c>
      <c r="G421" s="3">
        <f>VLOOKUP(B421,airports!A:H,8,FALSE)</f>
        <v>-86.294384170000001</v>
      </c>
      <c r="H421">
        <f t="shared" si="12"/>
        <v>1479.4</v>
      </c>
      <c r="I421">
        <f t="shared" si="13"/>
        <v>919.3</v>
      </c>
    </row>
    <row r="422" spans="1:9" ht="30" x14ac:dyDescent="0.25">
      <c r="A422" s="5" t="s">
        <v>13</v>
      </c>
      <c r="B422" s="5" t="s">
        <v>68</v>
      </c>
      <c r="C422" s="5" t="s">
        <v>734</v>
      </c>
      <c r="D422" s="3">
        <f>VLOOKUP(A422,airports!A:H,7,FALSE)</f>
        <v>30.194532779999999</v>
      </c>
      <c r="E422" s="3">
        <f>VLOOKUP(A422,airports!A:H,8,FALSE)</f>
        <v>-97.669871939999993</v>
      </c>
      <c r="F422" s="3">
        <f>VLOOKUP(B422,airports!A:H,7,FALSE)</f>
        <v>30.49405556</v>
      </c>
      <c r="G422" s="3">
        <f>VLOOKUP(B422,airports!A:H,8,FALSE)</f>
        <v>-81.68786111</v>
      </c>
      <c r="H422">
        <f t="shared" si="12"/>
        <v>1532.7</v>
      </c>
      <c r="I422">
        <f t="shared" si="13"/>
        <v>952.5</v>
      </c>
    </row>
    <row r="423" spans="1:9" x14ac:dyDescent="0.25">
      <c r="A423" s="5" t="s">
        <v>13</v>
      </c>
      <c r="B423" s="5" t="s">
        <v>69</v>
      </c>
      <c r="C423" s="5" t="s">
        <v>735</v>
      </c>
      <c r="D423" s="3">
        <f>VLOOKUP(A423,airports!A:H,7,FALSE)</f>
        <v>30.194532779999999</v>
      </c>
      <c r="E423" s="3">
        <f>VLOOKUP(A423,airports!A:H,8,FALSE)</f>
        <v>-97.669871939999993</v>
      </c>
      <c r="F423" s="3">
        <f>VLOOKUP(B423,airports!A:H,7,FALSE)</f>
        <v>40.639751109999999</v>
      </c>
      <c r="G423" s="3">
        <f>VLOOKUP(B423,airports!A:H,8,FALSE)</f>
        <v>-73.778925560000005</v>
      </c>
      <c r="H423">
        <f t="shared" si="12"/>
        <v>2445.5</v>
      </c>
      <c r="I423">
        <f t="shared" si="13"/>
        <v>1519.6</v>
      </c>
    </row>
    <row r="424" spans="1:9" ht="30" x14ac:dyDescent="0.25">
      <c r="A424" s="5" t="s">
        <v>13</v>
      </c>
      <c r="B424" s="5" t="s">
        <v>71</v>
      </c>
      <c r="C424" s="5" t="s">
        <v>736</v>
      </c>
      <c r="D424" s="3">
        <f>VLOOKUP(A424,airports!A:H,7,FALSE)</f>
        <v>30.194532779999999</v>
      </c>
      <c r="E424" s="3">
        <f>VLOOKUP(A424,airports!A:H,8,FALSE)</f>
        <v>-97.669871939999993</v>
      </c>
      <c r="F424" s="3">
        <f>VLOOKUP(B424,airports!A:H,7,FALSE)</f>
        <v>36.080361109999998</v>
      </c>
      <c r="G424" s="3">
        <f>VLOOKUP(B424,airports!A:H,8,FALSE)</f>
        <v>-115.1523333</v>
      </c>
      <c r="H424">
        <f t="shared" si="12"/>
        <v>1751.2</v>
      </c>
      <c r="I424">
        <f t="shared" si="13"/>
        <v>1088.2</v>
      </c>
    </row>
    <row r="425" spans="1:9" ht="30" x14ac:dyDescent="0.25">
      <c r="A425" s="5" t="s">
        <v>13</v>
      </c>
      <c r="B425" s="5" t="s">
        <v>73</v>
      </c>
      <c r="C425" s="5" t="s">
        <v>737</v>
      </c>
      <c r="D425" s="3">
        <f>VLOOKUP(A425,airports!A:H,7,FALSE)</f>
        <v>30.194532779999999</v>
      </c>
      <c r="E425" s="3">
        <f>VLOOKUP(A425,airports!A:H,8,FALSE)</f>
        <v>-97.669871939999993</v>
      </c>
      <c r="F425" s="3">
        <f>VLOOKUP(B425,airports!A:H,7,FALSE)</f>
        <v>33.942536109999999</v>
      </c>
      <c r="G425" s="3">
        <f>VLOOKUP(B425,airports!A:H,8,FALSE)</f>
        <v>-118.4080744</v>
      </c>
      <c r="H425">
        <f t="shared" si="12"/>
        <v>1994.4</v>
      </c>
      <c r="I425">
        <f t="shared" si="13"/>
        <v>1239.3</v>
      </c>
    </row>
    <row r="426" spans="1:9" ht="30" x14ac:dyDescent="0.25">
      <c r="A426" s="5" t="s">
        <v>13</v>
      </c>
      <c r="B426" s="5" t="s">
        <v>738</v>
      </c>
      <c r="C426" s="5" t="s">
        <v>739</v>
      </c>
      <c r="D426" s="3">
        <f>VLOOKUP(A426,airports!A:H,7,FALSE)</f>
        <v>30.194532779999999</v>
      </c>
      <c r="E426" s="3">
        <f>VLOOKUP(A426,airports!A:H,8,FALSE)</f>
        <v>-97.669871939999993</v>
      </c>
      <c r="F426" s="3">
        <f>VLOOKUP(B426,airports!A:H,7,FALSE)</f>
        <v>33.663638890000001</v>
      </c>
      <c r="G426" s="3">
        <f>VLOOKUP(B426,airports!A:H,8,FALSE)</f>
        <v>-101.8227778</v>
      </c>
      <c r="H426">
        <f t="shared" si="12"/>
        <v>549.79999999999995</v>
      </c>
      <c r="I426">
        <f t="shared" si="13"/>
        <v>341.7</v>
      </c>
    </row>
    <row r="427" spans="1:9" ht="30" x14ac:dyDescent="0.25">
      <c r="A427" s="5" t="s">
        <v>13</v>
      </c>
      <c r="B427" s="5" t="s">
        <v>740</v>
      </c>
      <c r="C427" s="5" t="s">
        <v>741</v>
      </c>
      <c r="D427" s="3">
        <f>VLOOKUP(A427,airports!A:H,7,FALSE)</f>
        <v>30.194532779999999</v>
      </c>
      <c r="E427" s="3">
        <f>VLOOKUP(A427,airports!A:H,8,FALSE)</f>
        <v>-97.669871939999993</v>
      </c>
      <c r="F427" s="3">
        <f>VLOOKUP(B427,airports!A:H,7,FALSE)</f>
        <v>39.813800999999998</v>
      </c>
      <c r="G427" s="3">
        <f>VLOOKUP(B427,airports!A:H,8,FALSE)</f>
        <v>-82.927802999999997</v>
      </c>
      <c r="H427">
        <f t="shared" si="12"/>
        <v>1712.7</v>
      </c>
      <c r="I427">
        <f t="shared" si="13"/>
        <v>1064.3</v>
      </c>
    </row>
    <row r="428" spans="1:9" ht="30" x14ac:dyDescent="0.25">
      <c r="A428" s="5" t="s">
        <v>13</v>
      </c>
      <c r="B428" s="5" t="s">
        <v>742</v>
      </c>
      <c r="C428" s="5" t="s">
        <v>743</v>
      </c>
      <c r="D428" s="3">
        <f>VLOOKUP(A428,airports!A:H,7,FALSE)</f>
        <v>30.194532779999999</v>
      </c>
      <c r="E428" s="3">
        <f>VLOOKUP(A428,airports!A:H,8,FALSE)</f>
        <v>-97.669871939999993</v>
      </c>
      <c r="F428" s="3">
        <f>VLOOKUP(B428,airports!A:H,7,FALSE)</f>
        <v>33.81772222</v>
      </c>
      <c r="G428" s="3">
        <f>VLOOKUP(B428,airports!A:H,8,FALSE)</f>
        <v>-118.1516111</v>
      </c>
      <c r="H428">
        <f t="shared" si="12"/>
        <v>1969.3</v>
      </c>
      <c r="I428">
        <f t="shared" si="13"/>
        <v>1223.7</v>
      </c>
    </row>
    <row r="429" spans="1:9" ht="30" x14ac:dyDescent="0.25">
      <c r="A429" s="5" t="s">
        <v>13</v>
      </c>
      <c r="B429" s="5" t="s">
        <v>744</v>
      </c>
      <c r="C429" s="5" t="s">
        <v>745</v>
      </c>
      <c r="D429" s="3">
        <f>VLOOKUP(A429,airports!A:H,7,FALSE)</f>
        <v>30.194532779999999</v>
      </c>
      <c r="E429" s="3">
        <f>VLOOKUP(A429,airports!A:H,8,FALSE)</f>
        <v>-97.669871939999993</v>
      </c>
      <c r="F429" s="3">
        <f>VLOOKUP(B429,airports!A:H,7,FALSE)</f>
        <v>31.942527779999999</v>
      </c>
      <c r="G429" s="3">
        <f>VLOOKUP(B429,airports!A:H,8,FALSE)</f>
        <v>-102.20191389999999</v>
      </c>
      <c r="H429">
        <f t="shared" si="12"/>
        <v>473.3</v>
      </c>
      <c r="I429">
        <f t="shared" si="13"/>
        <v>294.10000000000002</v>
      </c>
    </row>
    <row r="430" spans="1:9" ht="30" x14ac:dyDescent="0.25">
      <c r="A430" s="5" t="s">
        <v>13</v>
      </c>
      <c r="B430" s="5" t="s">
        <v>80</v>
      </c>
      <c r="C430" s="5" t="s">
        <v>746</v>
      </c>
      <c r="D430" s="3">
        <f>VLOOKUP(A430,airports!A:H,7,FALSE)</f>
        <v>30.194532779999999</v>
      </c>
      <c r="E430" s="3">
        <f>VLOOKUP(A430,airports!A:H,8,FALSE)</f>
        <v>-97.669871939999993</v>
      </c>
      <c r="F430" s="3">
        <f>VLOOKUP(B430,airports!A:H,7,FALSE)</f>
        <v>39.297605279999999</v>
      </c>
      <c r="G430" s="3">
        <f>VLOOKUP(B430,airports!A:H,8,FALSE)</f>
        <v>-94.713905560000001</v>
      </c>
      <c r="H430">
        <f t="shared" si="12"/>
        <v>1047.4000000000001</v>
      </c>
      <c r="I430">
        <f t="shared" si="13"/>
        <v>650.9</v>
      </c>
    </row>
    <row r="431" spans="1:9" ht="30" x14ac:dyDescent="0.25">
      <c r="A431" s="5" t="s">
        <v>13</v>
      </c>
      <c r="B431" s="5" t="s">
        <v>82</v>
      </c>
      <c r="C431" s="5" t="s">
        <v>747</v>
      </c>
      <c r="D431" s="3">
        <f>VLOOKUP(A431,airports!A:H,7,FALSE)</f>
        <v>30.194532779999999</v>
      </c>
      <c r="E431" s="3">
        <f>VLOOKUP(A431,airports!A:H,8,FALSE)</f>
        <v>-97.669871939999993</v>
      </c>
      <c r="F431" s="3">
        <f>VLOOKUP(B431,airports!A:H,7,FALSE)</f>
        <v>28.42888889</v>
      </c>
      <c r="G431" s="3">
        <f>VLOOKUP(B431,airports!A:H,8,FALSE)</f>
        <v>-81.316027779999999</v>
      </c>
      <c r="H431">
        <f t="shared" si="12"/>
        <v>1596.3</v>
      </c>
      <c r="I431">
        <f t="shared" si="13"/>
        <v>992</v>
      </c>
    </row>
    <row r="432" spans="1:9" ht="30" x14ac:dyDescent="0.25">
      <c r="A432" s="5" t="s">
        <v>13</v>
      </c>
      <c r="B432" s="5" t="s">
        <v>180</v>
      </c>
      <c r="C432" s="5" t="s">
        <v>748</v>
      </c>
      <c r="D432" s="3">
        <f>VLOOKUP(A432,airports!A:H,7,FALSE)</f>
        <v>30.194532779999999</v>
      </c>
      <c r="E432" s="3">
        <f>VLOOKUP(A432,airports!A:H,8,FALSE)</f>
        <v>-97.669871939999993</v>
      </c>
      <c r="F432" s="3">
        <f>VLOOKUP(B432,airports!A:H,7,FALSE)</f>
        <v>41.785982500000003</v>
      </c>
      <c r="G432" s="3">
        <f>VLOOKUP(B432,airports!A:H,8,FALSE)</f>
        <v>-87.752424439999999</v>
      </c>
      <c r="H432">
        <f t="shared" si="12"/>
        <v>1565.2</v>
      </c>
      <c r="I432">
        <f t="shared" si="13"/>
        <v>972.6</v>
      </c>
    </row>
    <row r="433" spans="1:9" ht="30" x14ac:dyDescent="0.25">
      <c r="A433" s="5" t="s">
        <v>13</v>
      </c>
      <c r="B433" s="5" t="s">
        <v>563</v>
      </c>
      <c r="C433" s="5" t="s">
        <v>749</v>
      </c>
      <c r="D433" s="3">
        <f>VLOOKUP(A433,airports!A:H,7,FALSE)</f>
        <v>30.194532779999999</v>
      </c>
      <c r="E433" s="3">
        <f>VLOOKUP(A433,airports!A:H,8,FALSE)</f>
        <v>-97.669871939999993</v>
      </c>
      <c r="F433" s="3">
        <f>VLOOKUP(B433,airports!A:H,7,FALSE)</f>
        <v>35.042416670000001</v>
      </c>
      <c r="G433" s="3">
        <f>VLOOKUP(B433,airports!A:H,8,FALSE)</f>
        <v>-89.97666667</v>
      </c>
      <c r="H433">
        <f t="shared" si="12"/>
        <v>899.3</v>
      </c>
      <c r="I433">
        <f t="shared" si="13"/>
        <v>558.9</v>
      </c>
    </row>
    <row r="434" spans="1:9" ht="30" x14ac:dyDescent="0.25">
      <c r="A434" s="5" t="s">
        <v>13</v>
      </c>
      <c r="B434" s="5" t="s">
        <v>750</v>
      </c>
      <c r="C434" s="5" t="s">
        <v>751</v>
      </c>
      <c r="D434" s="3">
        <f>VLOOKUP(A434,airports!A:H,7,FALSE)</f>
        <v>30.194532779999999</v>
      </c>
      <c r="E434" s="3">
        <f>VLOOKUP(A434,airports!A:H,8,FALSE)</f>
        <v>-97.669871939999993</v>
      </c>
      <c r="F434" s="3">
        <f>VLOOKUP(B434,airports!A:H,7,FALSE)</f>
        <v>26.17583333</v>
      </c>
      <c r="G434" s="3">
        <f>VLOOKUP(B434,airports!A:H,8,FALSE)</f>
        <v>-98.238611109999994</v>
      </c>
      <c r="H434">
        <f t="shared" si="12"/>
        <v>450.3</v>
      </c>
      <c r="I434">
        <f t="shared" si="13"/>
        <v>279.8</v>
      </c>
    </row>
    <row r="435" spans="1:9" ht="30" x14ac:dyDescent="0.25">
      <c r="A435" s="5" t="s">
        <v>13</v>
      </c>
      <c r="B435" s="5" t="s">
        <v>84</v>
      </c>
      <c r="C435" s="5" t="s">
        <v>752</v>
      </c>
      <c r="D435" s="3">
        <f>VLOOKUP(A435,airports!A:H,7,FALSE)</f>
        <v>30.194532779999999</v>
      </c>
      <c r="E435" s="3">
        <f>VLOOKUP(A435,airports!A:H,8,FALSE)</f>
        <v>-97.669871939999993</v>
      </c>
      <c r="F435" s="3">
        <f>VLOOKUP(B435,airports!A:H,7,FALSE)</f>
        <v>25.79325</v>
      </c>
      <c r="G435" s="3">
        <f>VLOOKUP(B435,airports!A:H,8,FALSE)</f>
        <v>-80.290555560000001</v>
      </c>
      <c r="H435">
        <f t="shared" si="12"/>
        <v>1773</v>
      </c>
      <c r="I435">
        <f t="shared" si="13"/>
        <v>1101.8</v>
      </c>
    </row>
    <row r="436" spans="1:9" ht="30" x14ac:dyDescent="0.25">
      <c r="A436" s="5" t="s">
        <v>13</v>
      </c>
      <c r="B436" s="5" t="s">
        <v>85</v>
      </c>
      <c r="C436" s="5" t="s">
        <v>753</v>
      </c>
      <c r="D436" s="3">
        <f>VLOOKUP(A436,airports!A:H,7,FALSE)</f>
        <v>30.194532779999999</v>
      </c>
      <c r="E436" s="3">
        <f>VLOOKUP(A436,airports!A:H,8,FALSE)</f>
        <v>-97.669871939999993</v>
      </c>
      <c r="F436" s="3">
        <f>VLOOKUP(B436,airports!A:H,7,FALSE)</f>
        <v>42.94722222</v>
      </c>
      <c r="G436" s="3">
        <f>VLOOKUP(B436,airports!A:H,8,FALSE)</f>
        <v>-87.896583329999999</v>
      </c>
      <c r="H436">
        <f t="shared" si="12"/>
        <v>1662.4</v>
      </c>
      <c r="I436">
        <f t="shared" si="13"/>
        <v>1033</v>
      </c>
    </row>
    <row r="437" spans="1:9" ht="30" x14ac:dyDescent="0.25">
      <c r="A437" s="5" t="s">
        <v>13</v>
      </c>
      <c r="B437" s="5" t="s">
        <v>579</v>
      </c>
      <c r="C437" s="5" t="s">
        <v>754</v>
      </c>
      <c r="D437" s="3">
        <f>VLOOKUP(A437,airports!A:H,7,FALSE)</f>
        <v>30.194532779999999</v>
      </c>
      <c r="E437" s="3">
        <f>VLOOKUP(A437,airports!A:H,8,FALSE)</f>
        <v>-97.669871939999993</v>
      </c>
      <c r="F437" s="3">
        <f>VLOOKUP(B437,airports!A:H,7,FALSE)</f>
        <v>43.13985778</v>
      </c>
      <c r="G437" s="3">
        <f>VLOOKUP(B437,airports!A:H,8,FALSE)</f>
        <v>-89.337513610000002</v>
      </c>
      <c r="H437">
        <f t="shared" si="12"/>
        <v>1617.9</v>
      </c>
      <c r="I437">
        <f t="shared" si="13"/>
        <v>1005.4</v>
      </c>
    </row>
    <row r="438" spans="1:9" ht="30" x14ac:dyDescent="0.25">
      <c r="A438" s="5" t="s">
        <v>13</v>
      </c>
      <c r="B438" s="5" t="s">
        <v>87</v>
      </c>
      <c r="C438" s="5" t="s">
        <v>755</v>
      </c>
      <c r="D438" s="3">
        <f>VLOOKUP(A438,airports!A:H,7,FALSE)</f>
        <v>30.194532779999999</v>
      </c>
      <c r="E438" s="3">
        <f>VLOOKUP(A438,airports!A:H,8,FALSE)</f>
        <v>-97.669871939999993</v>
      </c>
      <c r="F438" s="3">
        <f>VLOOKUP(B438,airports!A:H,7,FALSE)</f>
        <v>44.880546940000002</v>
      </c>
      <c r="G438" s="3">
        <f>VLOOKUP(B438,airports!A:H,8,FALSE)</f>
        <v>-93.216922499999995</v>
      </c>
      <c r="H438">
        <f t="shared" si="12"/>
        <v>1678.8</v>
      </c>
      <c r="I438">
        <f t="shared" si="13"/>
        <v>1043.2</v>
      </c>
    </row>
    <row r="439" spans="1:9" ht="30" x14ac:dyDescent="0.25">
      <c r="A439" s="5" t="s">
        <v>13</v>
      </c>
      <c r="B439" s="5" t="s">
        <v>89</v>
      </c>
      <c r="C439" s="5" t="s">
        <v>756</v>
      </c>
      <c r="D439" s="3">
        <f>VLOOKUP(A439,airports!A:H,7,FALSE)</f>
        <v>30.194532779999999</v>
      </c>
      <c r="E439" s="3">
        <f>VLOOKUP(A439,airports!A:H,8,FALSE)</f>
        <v>-97.669871939999993</v>
      </c>
      <c r="F439" s="3">
        <f>VLOOKUP(B439,airports!A:H,7,FALSE)</f>
        <v>29.993388889999999</v>
      </c>
      <c r="G439" s="3">
        <f>VLOOKUP(B439,airports!A:H,8,FALSE)</f>
        <v>-90.258027780000006</v>
      </c>
      <c r="H439">
        <f t="shared" si="12"/>
        <v>713.3</v>
      </c>
      <c r="I439">
        <f t="shared" si="13"/>
        <v>443.2</v>
      </c>
    </row>
    <row r="440" spans="1:9" ht="30" x14ac:dyDescent="0.25">
      <c r="A440" s="5" t="s">
        <v>13</v>
      </c>
      <c r="B440" s="5" t="s">
        <v>215</v>
      </c>
      <c r="C440" s="5" t="s">
        <v>757</v>
      </c>
      <c r="D440" s="3">
        <f>VLOOKUP(A440,airports!A:H,7,FALSE)</f>
        <v>30.194532779999999</v>
      </c>
      <c r="E440" s="3">
        <f>VLOOKUP(A440,airports!A:H,8,FALSE)</f>
        <v>-97.669871939999993</v>
      </c>
      <c r="F440" s="3">
        <f>VLOOKUP(B440,airports!A:H,7,FALSE)</f>
        <v>37.721290830000001</v>
      </c>
      <c r="G440" s="3">
        <f>VLOOKUP(B440,airports!A:H,8,FALSE)</f>
        <v>-122.2207167</v>
      </c>
      <c r="H440">
        <f t="shared" si="12"/>
        <v>2405.3000000000002</v>
      </c>
      <c r="I440">
        <f t="shared" si="13"/>
        <v>1494.7</v>
      </c>
    </row>
    <row r="441" spans="1:9" ht="30" x14ac:dyDescent="0.25">
      <c r="A441" s="5" t="s">
        <v>13</v>
      </c>
      <c r="B441" s="5" t="s">
        <v>590</v>
      </c>
      <c r="C441" s="5" t="s">
        <v>758</v>
      </c>
      <c r="D441" s="3">
        <f>VLOOKUP(A441,airports!A:H,7,FALSE)</f>
        <v>30.194532779999999</v>
      </c>
      <c r="E441" s="3">
        <f>VLOOKUP(A441,airports!A:H,8,FALSE)</f>
        <v>-97.669871939999993</v>
      </c>
      <c r="F441" s="3">
        <f>VLOOKUP(B441,airports!A:H,7,FALSE)</f>
        <v>35.393088329999998</v>
      </c>
      <c r="G441" s="3">
        <f>VLOOKUP(B441,airports!A:H,8,FALSE)</f>
        <v>-97.600733890000001</v>
      </c>
      <c r="H441">
        <f t="shared" si="12"/>
        <v>578.1</v>
      </c>
      <c r="I441">
        <f t="shared" si="13"/>
        <v>359.2</v>
      </c>
    </row>
    <row r="442" spans="1:9" ht="30" x14ac:dyDescent="0.25">
      <c r="A442" s="5" t="s">
        <v>13</v>
      </c>
      <c r="B442" s="5" t="s">
        <v>592</v>
      </c>
      <c r="C442" s="5" t="s">
        <v>759</v>
      </c>
      <c r="D442" s="3">
        <f>VLOOKUP(A442,airports!A:H,7,FALSE)</f>
        <v>30.194532779999999</v>
      </c>
      <c r="E442" s="3">
        <f>VLOOKUP(A442,airports!A:H,8,FALSE)</f>
        <v>-97.669871939999993</v>
      </c>
      <c r="F442" s="3">
        <f>VLOOKUP(B442,airports!A:H,7,FALSE)</f>
        <v>41.30251861</v>
      </c>
      <c r="G442" s="3">
        <f>VLOOKUP(B442,airports!A:H,8,FALSE)</f>
        <v>-95.89417306</v>
      </c>
      <c r="H442">
        <f t="shared" si="12"/>
        <v>1245.4000000000001</v>
      </c>
      <c r="I442">
        <f t="shared" si="13"/>
        <v>773.9</v>
      </c>
    </row>
    <row r="443" spans="1:9" ht="30" x14ac:dyDescent="0.25">
      <c r="A443" s="5" t="s">
        <v>13</v>
      </c>
      <c r="B443" s="5" t="s">
        <v>94</v>
      </c>
      <c r="C443" s="5" t="s">
        <v>760</v>
      </c>
      <c r="D443" s="3">
        <f>VLOOKUP(A443,airports!A:H,7,FALSE)</f>
        <v>30.194532779999999</v>
      </c>
      <c r="E443" s="3">
        <f>VLOOKUP(A443,airports!A:H,8,FALSE)</f>
        <v>-97.669871939999993</v>
      </c>
      <c r="F443" s="3">
        <f>VLOOKUP(B443,airports!A:H,7,FALSE)</f>
        <v>34.055999999999997</v>
      </c>
      <c r="G443" s="3">
        <f>VLOOKUP(B443,airports!A:H,8,FALSE)</f>
        <v>-117.6011944</v>
      </c>
      <c r="H443">
        <f t="shared" si="12"/>
        <v>1922</v>
      </c>
      <c r="I443">
        <f t="shared" si="13"/>
        <v>1194.4000000000001</v>
      </c>
    </row>
    <row r="444" spans="1:9" ht="30" x14ac:dyDescent="0.25">
      <c r="A444" s="5" t="s">
        <v>13</v>
      </c>
      <c r="B444" s="5" t="s">
        <v>95</v>
      </c>
      <c r="C444" s="5" t="s">
        <v>761</v>
      </c>
      <c r="D444" s="3">
        <f>VLOOKUP(A444,airports!A:H,7,FALSE)</f>
        <v>30.194532779999999</v>
      </c>
      <c r="E444" s="3">
        <f>VLOOKUP(A444,airports!A:H,8,FALSE)</f>
        <v>-97.669871939999993</v>
      </c>
      <c r="F444" s="3">
        <f>VLOOKUP(B444,airports!A:H,7,FALSE)</f>
        <v>41.979595000000003</v>
      </c>
      <c r="G444" s="3">
        <f>VLOOKUP(B444,airports!A:H,8,FALSE)</f>
        <v>-87.904464169999997</v>
      </c>
      <c r="H444">
        <f t="shared" si="12"/>
        <v>1574.7</v>
      </c>
      <c r="I444">
        <f t="shared" si="13"/>
        <v>978.5</v>
      </c>
    </row>
    <row r="445" spans="1:9" x14ac:dyDescent="0.25">
      <c r="A445" s="5" t="s">
        <v>13</v>
      </c>
      <c r="B445" s="5" t="s">
        <v>99</v>
      </c>
      <c r="C445" s="5" t="s">
        <v>762</v>
      </c>
      <c r="D445" s="3">
        <f>VLOOKUP(A445,airports!A:H,7,FALSE)</f>
        <v>30.194532779999999</v>
      </c>
      <c r="E445" s="3">
        <f>VLOOKUP(A445,airports!A:H,8,FALSE)</f>
        <v>-97.669871939999993</v>
      </c>
      <c r="F445" s="3">
        <f>VLOOKUP(B445,airports!A:H,7,FALSE)</f>
        <v>26.683161940000002</v>
      </c>
      <c r="G445" s="3">
        <f>VLOOKUP(B445,airports!A:H,8,FALSE)</f>
        <v>-80.095594169999998</v>
      </c>
      <c r="H445">
        <f t="shared" si="12"/>
        <v>1760.2</v>
      </c>
      <c r="I445">
        <f t="shared" si="13"/>
        <v>1093.8</v>
      </c>
    </row>
    <row r="446" spans="1:9" ht="30" x14ac:dyDescent="0.25">
      <c r="A446" s="5" t="s">
        <v>13</v>
      </c>
      <c r="B446" s="5" t="s">
        <v>100</v>
      </c>
      <c r="C446" s="5" t="s">
        <v>763</v>
      </c>
      <c r="D446" s="3">
        <f>VLOOKUP(A446,airports!A:H,7,FALSE)</f>
        <v>30.194532779999999</v>
      </c>
      <c r="E446" s="3">
        <f>VLOOKUP(A446,airports!A:H,8,FALSE)</f>
        <v>-97.669871939999993</v>
      </c>
      <c r="F446" s="3">
        <f>VLOOKUP(B446,airports!A:H,7,FALSE)</f>
        <v>45.588722220000001</v>
      </c>
      <c r="G446" s="3">
        <f>VLOOKUP(B446,airports!A:H,8,FALSE)</f>
        <v>-122.5975</v>
      </c>
      <c r="H446">
        <f t="shared" si="12"/>
        <v>2757.7</v>
      </c>
      <c r="I446">
        <f t="shared" si="13"/>
        <v>1713.6</v>
      </c>
    </row>
    <row r="447" spans="1:9" ht="30" x14ac:dyDescent="0.25">
      <c r="A447" s="5" t="s">
        <v>13</v>
      </c>
      <c r="B447" s="5" t="s">
        <v>185</v>
      </c>
      <c r="C447" s="5" t="s">
        <v>764</v>
      </c>
      <c r="D447" s="3">
        <f>VLOOKUP(A447,airports!A:H,7,FALSE)</f>
        <v>30.194532779999999</v>
      </c>
      <c r="E447" s="3">
        <f>VLOOKUP(A447,airports!A:H,8,FALSE)</f>
        <v>-97.669871939999993</v>
      </c>
      <c r="F447" s="3">
        <f>VLOOKUP(B447,airports!A:H,7,FALSE)</f>
        <v>26.919699999999999</v>
      </c>
      <c r="G447" s="3">
        <f>VLOOKUP(B447,airports!A:H,8,FALSE)</f>
        <v>-81.995999999999995</v>
      </c>
      <c r="H447">
        <f t="shared" si="12"/>
        <v>1572.1</v>
      </c>
      <c r="I447">
        <f t="shared" si="13"/>
        <v>976.9</v>
      </c>
    </row>
    <row r="448" spans="1:9" ht="30" x14ac:dyDescent="0.25">
      <c r="A448" s="5" t="s">
        <v>13</v>
      </c>
      <c r="B448" s="5" t="s">
        <v>102</v>
      </c>
      <c r="C448" s="5" t="s">
        <v>765</v>
      </c>
      <c r="D448" s="3">
        <f>VLOOKUP(A448,airports!A:H,7,FALSE)</f>
        <v>30.194532779999999</v>
      </c>
      <c r="E448" s="3">
        <f>VLOOKUP(A448,airports!A:H,8,FALSE)</f>
        <v>-97.669871939999993</v>
      </c>
      <c r="F448" s="3">
        <f>VLOOKUP(B448,airports!A:H,7,FALSE)</f>
        <v>39.871952780000001</v>
      </c>
      <c r="G448" s="3">
        <f>VLOOKUP(B448,airports!A:H,8,FALSE)</f>
        <v>-75.241140830000006</v>
      </c>
      <c r="H448">
        <f t="shared" si="12"/>
        <v>2299.1</v>
      </c>
      <c r="I448">
        <f t="shared" si="13"/>
        <v>1428.7</v>
      </c>
    </row>
    <row r="449" spans="1:9" ht="30" x14ac:dyDescent="0.25">
      <c r="A449" s="5" t="s">
        <v>13</v>
      </c>
      <c r="B449" s="5" t="s">
        <v>104</v>
      </c>
      <c r="C449" s="5" t="s">
        <v>766</v>
      </c>
      <c r="D449" s="3">
        <f>VLOOKUP(A449,airports!A:H,7,FALSE)</f>
        <v>30.194532779999999</v>
      </c>
      <c r="E449" s="3">
        <f>VLOOKUP(A449,airports!A:H,8,FALSE)</f>
        <v>-97.669871939999993</v>
      </c>
      <c r="F449" s="3">
        <f>VLOOKUP(B449,airports!A:H,7,FALSE)</f>
        <v>33.434166670000003</v>
      </c>
      <c r="G449" s="3">
        <f>VLOOKUP(B449,airports!A:H,8,FALSE)</f>
        <v>-112.00805560000001</v>
      </c>
      <c r="H449">
        <f t="shared" si="12"/>
        <v>1400.5</v>
      </c>
      <c r="I449">
        <f t="shared" si="13"/>
        <v>870.3</v>
      </c>
    </row>
    <row r="450" spans="1:9" x14ac:dyDescent="0.25">
      <c r="A450" s="5" t="s">
        <v>13</v>
      </c>
      <c r="B450" s="5" t="s">
        <v>188</v>
      </c>
      <c r="C450" s="5" t="s">
        <v>767</v>
      </c>
      <c r="D450" s="3">
        <f>VLOOKUP(A450,airports!A:H,7,FALSE)</f>
        <v>30.194532779999999</v>
      </c>
      <c r="E450" s="3">
        <f>VLOOKUP(A450,airports!A:H,8,FALSE)</f>
        <v>-97.669871939999993</v>
      </c>
      <c r="F450" s="3">
        <f>VLOOKUP(B450,airports!A:H,7,FALSE)</f>
        <v>27.910763330000002</v>
      </c>
      <c r="G450" s="3">
        <f>VLOOKUP(B450,airports!A:H,8,FALSE)</f>
        <v>-82.687439440000006</v>
      </c>
      <c r="H450">
        <f t="shared" si="12"/>
        <v>1477.2</v>
      </c>
      <c r="I450">
        <f t="shared" si="13"/>
        <v>917.9</v>
      </c>
    </row>
    <row r="451" spans="1:9" x14ac:dyDescent="0.25">
      <c r="A451" s="5" t="s">
        <v>13</v>
      </c>
      <c r="B451" s="5" t="s">
        <v>106</v>
      </c>
      <c r="C451" s="5" t="s">
        <v>768</v>
      </c>
      <c r="D451" s="3">
        <f>VLOOKUP(A451,airports!A:H,7,FALSE)</f>
        <v>30.194532779999999</v>
      </c>
      <c r="E451" s="3">
        <f>VLOOKUP(A451,airports!A:H,8,FALSE)</f>
        <v>-97.669871939999993</v>
      </c>
      <c r="F451" s="3">
        <f>VLOOKUP(B451,airports!A:H,7,FALSE)</f>
        <v>40.491465830000003</v>
      </c>
      <c r="G451" s="3">
        <f>VLOOKUP(B451,airports!A:H,8,FALSE)</f>
        <v>-80.232870829999996</v>
      </c>
      <c r="H451">
        <f t="shared" si="12"/>
        <v>1946.5</v>
      </c>
      <c r="I451">
        <f t="shared" si="13"/>
        <v>1209.5999999999999</v>
      </c>
    </row>
    <row r="452" spans="1:9" ht="30" x14ac:dyDescent="0.25">
      <c r="A452" s="5" t="s">
        <v>13</v>
      </c>
      <c r="B452" s="5" t="s">
        <v>607</v>
      </c>
      <c r="C452" s="5" t="s">
        <v>769</v>
      </c>
      <c r="D452" s="3">
        <f>VLOOKUP(A452,airports!A:H,7,FALSE)</f>
        <v>30.194532779999999</v>
      </c>
      <c r="E452" s="3">
        <f>VLOOKUP(A452,airports!A:H,8,FALSE)</f>
        <v>-97.669871939999993</v>
      </c>
      <c r="F452" s="3">
        <f>VLOOKUP(B452,airports!A:H,7,FALSE)</f>
        <v>30.47330556</v>
      </c>
      <c r="G452" s="3">
        <f>VLOOKUP(B452,airports!A:H,8,FALSE)</f>
        <v>-87.187444439999993</v>
      </c>
      <c r="H452">
        <f t="shared" ref="H452:H515" si="14">ROUND(ACOS(COS(RADIANS(90-D452)) * COS(RADIANS(90-F452)) + SIN(RADIANS(90-D452)) * SIN(RADIANS(90-F452)) * COS(RADIANS(E452-G452))) * 6371,1)</f>
        <v>1006.1</v>
      </c>
      <c r="I452">
        <f t="shared" ref="I452:I515" si="15">ROUND(ACOS(COS(RADIANS(90-D452)) * COS(RADIANS(90-F452)) + SIN(RADIANS(90-D452)) * SIN(RADIANS(90-F452)) * COS(RADIANS(E452-G452))) * 3959,1)</f>
        <v>625.20000000000005</v>
      </c>
    </row>
    <row r="453" spans="1:9" ht="30" x14ac:dyDescent="0.25">
      <c r="A453" s="5" t="s">
        <v>13</v>
      </c>
      <c r="B453" s="5" t="s">
        <v>111</v>
      </c>
      <c r="C453" s="5" t="s">
        <v>770</v>
      </c>
      <c r="D453" s="3">
        <f>VLOOKUP(A453,airports!A:H,7,FALSE)</f>
        <v>30.194532779999999</v>
      </c>
      <c r="E453" s="3">
        <f>VLOOKUP(A453,airports!A:H,8,FALSE)</f>
        <v>-97.669871939999993</v>
      </c>
      <c r="F453" s="3">
        <f>VLOOKUP(B453,airports!A:H,7,FALSE)</f>
        <v>33.829215560000002</v>
      </c>
      <c r="G453" s="3">
        <f>VLOOKUP(B453,airports!A:H,8,FALSE)</f>
        <v>-116.5062531</v>
      </c>
      <c r="H453">
        <f t="shared" si="14"/>
        <v>1818.6</v>
      </c>
      <c r="I453">
        <f t="shared" si="15"/>
        <v>1130.0999999999999</v>
      </c>
    </row>
    <row r="454" spans="1:9" ht="30" x14ac:dyDescent="0.25">
      <c r="A454" s="5" t="s">
        <v>13</v>
      </c>
      <c r="B454" s="5" t="s">
        <v>114</v>
      </c>
      <c r="C454" s="5" t="s">
        <v>771</v>
      </c>
      <c r="D454" s="3">
        <f>VLOOKUP(A454,airports!A:H,7,FALSE)</f>
        <v>30.194532779999999</v>
      </c>
      <c r="E454" s="3">
        <f>VLOOKUP(A454,airports!A:H,8,FALSE)</f>
        <v>-97.669871939999993</v>
      </c>
      <c r="F454" s="3">
        <f>VLOOKUP(B454,airports!A:H,7,FALSE)</f>
        <v>41.723999169999999</v>
      </c>
      <c r="G454" s="3">
        <f>VLOOKUP(B454,airports!A:H,8,FALSE)</f>
        <v>-71.428221109999996</v>
      </c>
      <c r="H454">
        <f t="shared" si="14"/>
        <v>2671.9</v>
      </c>
      <c r="I454">
        <f t="shared" si="15"/>
        <v>1660.4</v>
      </c>
    </row>
    <row r="455" spans="1:9" ht="30" x14ac:dyDescent="0.25">
      <c r="A455" s="5" t="s">
        <v>13</v>
      </c>
      <c r="B455" s="5" t="s">
        <v>772</v>
      </c>
      <c r="C455" s="5" t="s">
        <v>773</v>
      </c>
      <c r="D455" s="3">
        <f>VLOOKUP(A455,airports!A:H,7,FALSE)</f>
        <v>30.194532779999999</v>
      </c>
      <c r="E455" s="3">
        <f>VLOOKUP(A455,airports!A:H,8,FALSE)</f>
        <v>-97.669871939999993</v>
      </c>
      <c r="F455" s="3">
        <f>VLOOKUP(B455,airports!A:H,7,FALSE)</f>
        <v>40.219200000000001</v>
      </c>
      <c r="G455" s="3">
        <f>VLOOKUP(B455,airports!A:H,8,FALSE)</f>
        <v>-111.723</v>
      </c>
      <c r="H455">
        <f t="shared" si="14"/>
        <v>1691</v>
      </c>
      <c r="I455">
        <f t="shared" si="15"/>
        <v>1050.8</v>
      </c>
    </row>
    <row r="456" spans="1:9" ht="30" x14ac:dyDescent="0.25">
      <c r="A456" s="5" t="s">
        <v>13</v>
      </c>
      <c r="B456" s="5" t="s">
        <v>119</v>
      </c>
      <c r="C456" s="5" t="s">
        <v>774</v>
      </c>
      <c r="D456" s="3">
        <f>VLOOKUP(A456,airports!A:H,7,FALSE)</f>
        <v>30.194532779999999</v>
      </c>
      <c r="E456" s="3">
        <f>VLOOKUP(A456,airports!A:H,8,FALSE)</f>
        <v>-97.669871939999993</v>
      </c>
      <c r="F456" s="3">
        <f>VLOOKUP(B456,airports!A:H,7,FALSE)</f>
        <v>35.87763889</v>
      </c>
      <c r="G456" s="3">
        <f>VLOOKUP(B456,airports!A:H,8,FALSE)</f>
        <v>-78.787472219999998</v>
      </c>
      <c r="H456">
        <f t="shared" si="14"/>
        <v>1866.4</v>
      </c>
      <c r="I456">
        <f t="shared" si="15"/>
        <v>1159.8</v>
      </c>
    </row>
    <row r="457" spans="1:9" ht="30" x14ac:dyDescent="0.25">
      <c r="A457" s="5" t="s">
        <v>13</v>
      </c>
      <c r="B457" s="5" t="s">
        <v>121</v>
      </c>
      <c r="C457" s="5" t="s">
        <v>775</v>
      </c>
      <c r="D457" s="3">
        <f>VLOOKUP(A457,airports!A:H,7,FALSE)</f>
        <v>30.194532779999999</v>
      </c>
      <c r="E457" s="3">
        <f>VLOOKUP(A457,airports!A:H,8,FALSE)</f>
        <v>-97.669871939999993</v>
      </c>
      <c r="F457" s="3">
        <f>VLOOKUP(B457,airports!A:H,7,FALSE)</f>
        <v>39.498576110000002</v>
      </c>
      <c r="G457" s="3">
        <f>VLOOKUP(B457,airports!A:H,8,FALSE)</f>
        <v>-119.7680647</v>
      </c>
      <c r="H457">
        <f t="shared" si="14"/>
        <v>2258</v>
      </c>
      <c r="I457">
        <f t="shared" si="15"/>
        <v>1403.1</v>
      </c>
    </row>
    <row r="458" spans="1:9" ht="30" x14ac:dyDescent="0.25">
      <c r="A458" s="5" t="s">
        <v>13</v>
      </c>
      <c r="B458" s="5" t="s">
        <v>123</v>
      </c>
      <c r="C458" s="5" t="s">
        <v>776</v>
      </c>
      <c r="D458" s="3">
        <f>VLOOKUP(A458,airports!A:H,7,FALSE)</f>
        <v>30.194532779999999</v>
      </c>
      <c r="E458" s="3">
        <f>VLOOKUP(A458,airports!A:H,8,FALSE)</f>
        <v>-97.669871939999993</v>
      </c>
      <c r="F458" s="3">
        <f>VLOOKUP(B458,airports!A:H,7,FALSE)</f>
        <v>26.53616667</v>
      </c>
      <c r="G458" s="3">
        <f>VLOOKUP(B458,airports!A:H,8,FALSE)</f>
        <v>-81.755166669999994</v>
      </c>
      <c r="H458">
        <f t="shared" si="14"/>
        <v>1607.8</v>
      </c>
      <c r="I458">
        <f t="shared" si="15"/>
        <v>999.1</v>
      </c>
    </row>
    <row r="459" spans="1:9" ht="30" x14ac:dyDescent="0.25">
      <c r="A459" s="5" t="s">
        <v>13</v>
      </c>
      <c r="B459" s="5" t="s">
        <v>124</v>
      </c>
      <c r="C459" s="5" t="s">
        <v>777</v>
      </c>
      <c r="D459" s="3">
        <f>VLOOKUP(A459,airports!A:H,7,FALSE)</f>
        <v>30.194532779999999</v>
      </c>
      <c r="E459" s="3">
        <f>VLOOKUP(A459,airports!A:H,8,FALSE)</f>
        <v>-97.669871939999993</v>
      </c>
      <c r="F459" s="3">
        <f>VLOOKUP(B459,airports!A:H,7,FALSE)</f>
        <v>32.733556110000002</v>
      </c>
      <c r="G459" s="3">
        <f>VLOOKUP(B459,airports!A:H,8,FALSE)</f>
        <v>-117.1896567</v>
      </c>
      <c r="H459">
        <f t="shared" si="14"/>
        <v>1870</v>
      </c>
      <c r="I459">
        <f t="shared" si="15"/>
        <v>1162</v>
      </c>
    </row>
    <row r="460" spans="1:9" ht="30" x14ac:dyDescent="0.25">
      <c r="A460" s="5" t="s">
        <v>13</v>
      </c>
      <c r="B460" s="5" t="s">
        <v>630</v>
      </c>
      <c r="C460" s="5" t="s">
        <v>778</v>
      </c>
      <c r="D460" s="3">
        <f>VLOOKUP(A460,airports!A:H,7,FALSE)</f>
        <v>30.194532779999999</v>
      </c>
      <c r="E460" s="3">
        <f>VLOOKUP(A460,airports!A:H,8,FALSE)</f>
        <v>-97.669871939999993</v>
      </c>
      <c r="F460" s="3">
        <f>VLOOKUP(B460,airports!A:H,7,FALSE)</f>
        <v>38.174388890000003</v>
      </c>
      <c r="G460" s="3">
        <f>VLOOKUP(B460,airports!A:H,8,FALSE)</f>
        <v>-85.736000000000004</v>
      </c>
      <c r="H460">
        <f t="shared" si="14"/>
        <v>1409.4</v>
      </c>
      <c r="I460">
        <f t="shared" si="15"/>
        <v>875.8</v>
      </c>
    </row>
    <row r="461" spans="1:9" ht="30" x14ac:dyDescent="0.25">
      <c r="A461" s="5" t="s">
        <v>13</v>
      </c>
      <c r="B461" s="5" t="s">
        <v>128</v>
      </c>
      <c r="C461" s="5" t="s">
        <v>779</v>
      </c>
      <c r="D461" s="3">
        <f>VLOOKUP(A461,airports!A:H,7,FALSE)</f>
        <v>30.194532779999999</v>
      </c>
      <c r="E461" s="3">
        <f>VLOOKUP(A461,airports!A:H,8,FALSE)</f>
        <v>-97.669871939999993</v>
      </c>
      <c r="F461" s="3">
        <f>VLOOKUP(B461,airports!A:H,7,FALSE)</f>
        <v>47.448981940000003</v>
      </c>
      <c r="G461" s="3">
        <f>VLOOKUP(B461,airports!A:H,8,FALSE)</f>
        <v>-122.3093131</v>
      </c>
      <c r="H461">
        <f t="shared" si="14"/>
        <v>2847.4</v>
      </c>
      <c r="I461">
        <f t="shared" si="15"/>
        <v>1769.4</v>
      </c>
    </row>
    <row r="462" spans="1:9" ht="30" x14ac:dyDescent="0.25">
      <c r="A462" s="5" t="s">
        <v>13</v>
      </c>
      <c r="B462" s="5" t="s">
        <v>191</v>
      </c>
      <c r="C462" s="5" t="s">
        <v>780</v>
      </c>
      <c r="D462" s="3">
        <f>VLOOKUP(A462,airports!A:H,7,FALSE)</f>
        <v>30.194532779999999</v>
      </c>
      <c r="E462" s="3">
        <f>VLOOKUP(A462,airports!A:H,8,FALSE)</f>
        <v>-97.669871939999993</v>
      </c>
      <c r="F462" s="3">
        <f>VLOOKUP(B462,airports!A:H,7,FALSE)</f>
        <v>28.7776</v>
      </c>
      <c r="G462" s="3">
        <f>VLOOKUP(B462,airports!A:H,8,FALSE)</f>
        <v>-81.237499999999997</v>
      </c>
      <c r="H462">
        <f t="shared" si="14"/>
        <v>1596.9</v>
      </c>
      <c r="I462">
        <f t="shared" si="15"/>
        <v>992.3</v>
      </c>
    </row>
    <row r="463" spans="1:9" ht="30" x14ac:dyDescent="0.25">
      <c r="A463" s="5" t="s">
        <v>13</v>
      </c>
      <c r="B463" s="5" t="s">
        <v>130</v>
      </c>
      <c r="C463" s="5" t="s">
        <v>781</v>
      </c>
      <c r="D463" s="3">
        <f>VLOOKUP(A463,airports!A:H,7,FALSE)</f>
        <v>30.194532779999999</v>
      </c>
      <c r="E463" s="3">
        <f>VLOOKUP(A463,airports!A:H,8,FALSE)</f>
        <v>-97.669871939999993</v>
      </c>
      <c r="F463" s="3">
        <f>VLOOKUP(B463,airports!A:H,7,FALSE)</f>
        <v>37.619001939999997</v>
      </c>
      <c r="G463" s="3">
        <f>VLOOKUP(B463,airports!A:H,8,FALSE)</f>
        <v>-122.37484329999999</v>
      </c>
      <c r="H463">
        <f t="shared" si="14"/>
        <v>2416</v>
      </c>
      <c r="I463">
        <f t="shared" si="15"/>
        <v>1501.3</v>
      </c>
    </row>
    <row r="464" spans="1:9" ht="30" x14ac:dyDescent="0.25">
      <c r="A464" s="5" t="s">
        <v>13</v>
      </c>
      <c r="B464" s="5" t="s">
        <v>634</v>
      </c>
      <c r="C464" s="5" t="s">
        <v>782</v>
      </c>
      <c r="D464" s="3">
        <f>VLOOKUP(A464,airports!A:H,7,FALSE)</f>
        <v>30.194532779999999</v>
      </c>
      <c r="E464" s="3">
        <f>VLOOKUP(A464,airports!A:H,8,FALSE)</f>
        <v>-97.669871939999993</v>
      </c>
      <c r="F464" s="3">
        <f>VLOOKUP(B464,airports!A:H,7,FALSE)</f>
        <v>37.244326110000003</v>
      </c>
      <c r="G464" s="3">
        <f>VLOOKUP(B464,airports!A:H,8,FALSE)</f>
        <v>-93.386858059999994</v>
      </c>
      <c r="H464">
        <f t="shared" si="14"/>
        <v>878</v>
      </c>
      <c r="I464">
        <f t="shared" si="15"/>
        <v>545.6</v>
      </c>
    </row>
    <row r="465" spans="1:9" x14ac:dyDescent="0.25">
      <c r="A465" s="5" t="s">
        <v>13</v>
      </c>
      <c r="B465" s="5" t="s">
        <v>131</v>
      </c>
      <c r="C465" s="5" t="s">
        <v>783</v>
      </c>
      <c r="D465" s="3">
        <f>VLOOKUP(A465,airports!A:H,7,FALSE)</f>
        <v>30.194532779999999</v>
      </c>
      <c r="E465" s="3">
        <f>VLOOKUP(A465,airports!A:H,8,FALSE)</f>
        <v>-97.669871939999993</v>
      </c>
      <c r="F465" s="3">
        <f>VLOOKUP(B465,airports!A:H,7,FALSE)</f>
        <v>37.361861939999997</v>
      </c>
      <c r="G465" s="3">
        <f>VLOOKUP(B465,airports!A:H,8,FALSE)</f>
        <v>-121.9290089</v>
      </c>
      <c r="H465">
        <f t="shared" si="14"/>
        <v>2371.4</v>
      </c>
      <c r="I465">
        <f t="shared" si="15"/>
        <v>1473.6</v>
      </c>
    </row>
    <row r="466" spans="1:9" x14ac:dyDescent="0.25">
      <c r="A466" s="5" t="s">
        <v>13</v>
      </c>
      <c r="B466" s="5" t="s">
        <v>134</v>
      </c>
      <c r="C466" s="5" t="s">
        <v>784</v>
      </c>
      <c r="D466" s="3">
        <f>VLOOKUP(A466,airports!A:H,7,FALSE)</f>
        <v>30.194532779999999</v>
      </c>
      <c r="E466" s="3">
        <f>VLOOKUP(A466,airports!A:H,8,FALSE)</f>
        <v>-97.669871939999993</v>
      </c>
      <c r="F466" s="3">
        <f>VLOOKUP(B466,airports!A:H,7,FALSE)</f>
        <v>18.43941667</v>
      </c>
      <c r="G466" s="3">
        <f>VLOOKUP(B466,airports!A:H,8,FALSE)</f>
        <v>-66.001833329999997</v>
      </c>
      <c r="H466">
        <f t="shared" si="14"/>
        <v>3449.8</v>
      </c>
      <c r="I466">
        <f t="shared" si="15"/>
        <v>2143.8000000000002</v>
      </c>
    </row>
    <row r="467" spans="1:9" x14ac:dyDescent="0.25">
      <c r="A467" s="5" t="s">
        <v>13</v>
      </c>
      <c r="B467" s="5" t="s">
        <v>135</v>
      </c>
      <c r="C467" s="5" t="s">
        <v>785</v>
      </c>
      <c r="D467" s="3">
        <f>VLOOKUP(A467,airports!A:H,7,FALSE)</f>
        <v>30.194532779999999</v>
      </c>
      <c r="E467" s="3">
        <f>VLOOKUP(A467,airports!A:H,8,FALSE)</f>
        <v>-97.669871939999993</v>
      </c>
      <c r="F467" s="3">
        <f>VLOOKUP(B467,airports!A:H,7,FALSE)</f>
        <v>40.788387780000001</v>
      </c>
      <c r="G467" s="3">
        <f>VLOOKUP(B467,airports!A:H,8,FALSE)</f>
        <v>-111.97777309999999</v>
      </c>
      <c r="H467">
        <f t="shared" si="14"/>
        <v>1746.6</v>
      </c>
      <c r="I467">
        <f t="shared" si="15"/>
        <v>1085.3</v>
      </c>
    </row>
    <row r="468" spans="1:9" ht="30" x14ac:dyDescent="0.25">
      <c r="A468" s="5" t="s">
        <v>13</v>
      </c>
      <c r="B468" s="5" t="s">
        <v>137</v>
      </c>
      <c r="C468" s="5" t="s">
        <v>786</v>
      </c>
      <c r="D468" s="3">
        <f>VLOOKUP(A468,airports!A:H,7,FALSE)</f>
        <v>30.194532779999999</v>
      </c>
      <c r="E468" s="3">
        <f>VLOOKUP(A468,airports!A:H,8,FALSE)</f>
        <v>-97.669871939999993</v>
      </c>
      <c r="F468" s="3">
        <f>VLOOKUP(B468,airports!A:H,7,FALSE)</f>
        <v>38.695421670000002</v>
      </c>
      <c r="G468" s="3">
        <f>VLOOKUP(B468,airports!A:H,8,FALSE)</f>
        <v>-121.59076690000001</v>
      </c>
      <c r="H468">
        <f t="shared" si="14"/>
        <v>2379.3000000000002</v>
      </c>
      <c r="I468">
        <f t="shared" si="15"/>
        <v>1478.5</v>
      </c>
    </row>
    <row r="469" spans="1:9" ht="30" x14ac:dyDescent="0.25">
      <c r="A469" s="5" t="s">
        <v>13</v>
      </c>
      <c r="B469" s="5" t="s">
        <v>227</v>
      </c>
      <c r="C469" s="5" t="s">
        <v>787</v>
      </c>
      <c r="D469" s="3">
        <f>VLOOKUP(A469,airports!A:H,7,FALSE)</f>
        <v>30.194532779999999</v>
      </c>
      <c r="E469" s="3">
        <f>VLOOKUP(A469,airports!A:H,8,FALSE)</f>
        <v>-97.669871939999993</v>
      </c>
      <c r="F469" s="3">
        <f>VLOOKUP(B469,airports!A:H,7,FALSE)</f>
        <v>33.675658609999999</v>
      </c>
      <c r="G469" s="3">
        <f>VLOOKUP(B469,airports!A:H,8,FALSE)</f>
        <v>-117.8682225</v>
      </c>
      <c r="H469">
        <f t="shared" si="14"/>
        <v>1941.6</v>
      </c>
      <c r="I469">
        <f t="shared" si="15"/>
        <v>1206.5</v>
      </c>
    </row>
    <row r="470" spans="1:9" ht="30" x14ac:dyDescent="0.25">
      <c r="A470" s="5" t="s">
        <v>13</v>
      </c>
      <c r="B470" s="5" t="s">
        <v>138</v>
      </c>
      <c r="C470" s="5" t="s">
        <v>788</v>
      </c>
      <c r="D470" s="3">
        <f>VLOOKUP(A470,airports!A:H,7,FALSE)</f>
        <v>30.194532779999999</v>
      </c>
      <c r="E470" s="3">
        <f>VLOOKUP(A470,airports!A:H,8,FALSE)</f>
        <v>-97.669871939999993</v>
      </c>
      <c r="F470" s="3">
        <f>VLOOKUP(B470,airports!A:H,7,FALSE)</f>
        <v>27.39533333</v>
      </c>
      <c r="G470" s="3">
        <f>VLOOKUP(B470,airports!A:H,8,FALSE)</f>
        <v>-82.554111109999994</v>
      </c>
      <c r="H470">
        <f t="shared" si="14"/>
        <v>1504.2</v>
      </c>
      <c r="I470">
        <f t="shared" si="15"/>
        <v>934.8</v>
      </c>
    </row>
    <row r="471" spans="1:9" x14ac:dyDescent="0.25">
      <c r="A471" s="5" t="s">
        <v>13</v>
      </c>
      <c r="B471" s="5" t="s">
        <v>644</v>
      </c>
      <c r="C471" s="5" t="s">
        <v>789</v>
      </c>
      <c r="D471" s="3">
        <f>VLOOKUP(A471,airports!A:H,7,FALSE)</f>
        <v>30.194532779999999</v>
      </c>
      <c r="E471" s="3">
        <f>VLOOKUP(A471,airports!A:H,8,FALSE)</f>
        <v>-97.669871939999993</v>
      </c>
      <c r="F471" s="3">
        <f>VLOOKUP(B471,airports!A:H,7,FALSE)</f>
        <v>38.747686940000001</v>
      </c>
      <c r="G471" s="3">
        <f>VLOOKUP(B471,airports!A:H,8,FALSE)</f>
        <v>-90.359989720000002</v>
      </c>
      <c r="H471">
        <f t="shared" si="14"/>
        <v>1162.5</v>
      </c>
      <c r="I471">
        <f t="shared" si="15"/>
        <v>722.4</v>
      </c>
    </row>
    <row r="472" spans="1:9" ht="30" x14ac:dyDescent="0.25">
      <c r="A472" s="5" t="s">
        <v>13</v>
      </c>
      <c r="B472" s="5" t="s">
        <v>145</v>
      </c>
      <c r="C472" s="5" t="s">
        <v>790</v>
      </c>
      <c r="D472" s="3">
        <f>VLOOKUP(A472,airports!A:H,7,FALSE)</f>
        <v>30.194532779999999</v>
      </c>
      <c r="E472" s="3">
        <f>VLOOKUP(A472,airports!A:H,8,FALSE)</f>
        <v>-97.669871939999993</v>
      </c>
      <c r="F472" s="3">
        <f>VLOOKUP(B472,airports!A:H,7,FALSE)</f>
        <v>27.97547222</v>
      </c>
      <c r="G472" s="3">
        <f>VLOOKUP(B472,airports!A:H,8,FALSE)</f>
        <v>-82.533249999999995</v>
      </c>
      <c r="H472">
        <f t="shared" si="14"/>
        <v>1490.2</v>
      </c>
      <c r="I472">
        <f t="shared" si="15"/>
        <v>926.1</v>
      </c>
    </row>
    <row r="473" spans="1:9" ht="30" x14ac:dyDescent="0.25">
      <c r="A473" s="5" t="s">
        <v>13</v>
      </c>
      <c r="B473" s="5" t="s">
        <v>658</v>
      </c>
      <c r="C473" s="5" t="s">
        <v>791</v>
      </c>
      <c r="D473" s="3">
        <f>VLOOKUP(A473,airports!A:H,7,FALSE)</f>
        <v>30.194532779999999</v>
      </c>
      <c r="E473" s="3">
        <f>VLOOKUP(A473,airports!A:H,8,FALSE)</f>
        <v>-97.669871939999993</v>
      </c>
      <c r="F473" s="3">
        <f>VLOOKUP(B473,airports!A:H,7,FALSE)</f>
        <v>36.198372220000003</v>
      </c>
      <c r="G473" s="3">
        <f>VLOOKUP(B473,airports!A:H,8,FALSE)</f>
        <v>-95.888241669999999</v>
      </c>
      <c r="H473">
        <f t="shared" si="14"/>
        <v>687.8</v>
      </c>
      <c r="I473">
        <f t="shared" si="15"/>
        <v>427.4</v>
      </c>
    </row>
    <row r="474" spans="1:9" x14ac:dyDescent="0.25">
      <c r="A474" s="5" t="s">
        <v>13</v>
      </c>
      <c r="B474" s="5" t="s">
        <v>664</v>
      </c>
      <c r="C474" s="5" t="s">
        <v>792</v>
      </c>
      <c r="D474" s="3">
        <f>VLOOKUP(A474,airports!A:H,7,FALSE)</f>
        <v>30.194532779999999</v>
      </c>
      <c r="E474" s="3">
        <f>VLOOKUP(A474,airports!A:H,8,FALSE)</f>
        <v>-97.669871939999993</v>
      </c>
      <c r="F474" s="3">
        <f>VLOOKUP(B474,airports!A:H,7,FALSE)</f>
        <v>35.812487220000001</v>
      </c>
      <c r="G474" s="3">
        <f>VLOOKUP(B474,airports!A:H,8,FALSE)</f>
        <v>-83.992855829999996</v>
      </c>
      <c r="H474">
        <f t="shared" si="14"/>
        <v>1418.3</v>
      </c>
      <c r="I474">
        <f t="shared" si="15"/>
        <v>881.4</v>
      </c>
    </row>
    <row r="475" spans="1:9" ht="30" x14ac:dyDescent="0.25">
      <c r="A475" s="5" t="s">
        <v>13</v>
      </c>
      <c r="B475" s="5" t="s">
        <v>668</v>
      </c>
      <c r="C475" s="5" t="s">
        <v>793</v>
      </c>
      <c r="D475" s="3">
        <f>VLOOKUP(A475,airports!A:H,7,FALSE)</f>
        <v>30.194532779999999</v>
      </c>
      <c r="E475" s="3">
        <f>VLOOKUP(A475,airports!A:H,8,FALSE)</f>
        <v>-97.669871939999993</v>
      </c>
      <c r="F475" s="3">
        <f>VLOOKUP(B475,airports!A:H,7,FALSE)</f>
        <v>30.483250000000002</v>
      </c>
      <c r="G475" s="3">
        <f>VLOOKUP(B475,airports!A:H,8,FALSE)</f>
        <v>-86.525400000000005</v>
      </c>
      <c r="H475">
        <f t="shared" si="14"/>
        <v>1069.5999999999999</v>
      </c>
      <c r="I475">
        <f t="shared" si="15"/>
        <v>664.6</v>
      </c>
    </row>
    <row r="476" spans="1:9" ht="30" x14ac:dyDescent="0.25">
      <c r="A476" s="5" t="s">
        <v>13</v>
      </c>
      <c r="B476" s="5" t="s">
        <v>670</v>
      </c>
      <c r="C476" s="5" t="s">
        <v>794</v>
      </c>
      <c r="D476" s="3">
        <f>VLOOKUP(A476,airports!A:H,7,FALSE)</f>
        <v>30.194532779999999</v>
      </c>
      <c r="E476" s="3">
        <f>VLOOKUP(A476,airports!A:H,8,FALSE)</f>
        <v>-97.669871939999993</v>
      </c>
      <c r="F476" s="3">
        <f>VLOOKUP(B476,airports!A:H,7,FALSE)</f>
        <v>36.281869440000001</v>
      </c>
      <c r="G476" s="3">
        <f>VLOOKUP(B476,airports!A:H,8,FALSE)</f>
        <v>-94.306811109999998</v>
      </c>
      <c r="H476">
        <f t="shared" si="14"/>
        <v>745.5</v>
      </c>
      <c r="I476">
        <f t="shared" si="15"/>
        <v>463.3</v>
      </c>
    </row>
    <row r="477" spans="1:9" x14ac:dyDescent="0.25">
      <c r="A477" s="5" t="s">
        <v>419</v>
      </c>
      <c r="B477" s="5" t="s">
        <v>10</v>
      </c>
      <c r="C477" s="5" t="s">
        <v>795</v>
      </c>
      <c r="D477" s="3">
        <f>VLOOKUP(A477,airports!A:H,7,FALSE)</f>
        <v>35.436194440000001</v>
      </c>
      <c r="E477" s="3">
        <f>VLOOKUP(A477,airports!A:H,8,FALSE)</f>
        <v>-82.54180556</v>
      </c>
      <c r="F477" s="3">
        <f>VLOOKUP(B477,airports!A:H,7,FALSE)</f>
        <v>33.640444440000003</v>
      </c>
      <c r="G477" s="3">
        <f>VLOOKUP(B477,airports!A:H,8,FALSE)</f>
        <v>-84.42694444</v>
      </c>
      <c r="H477">
        <f t="shared" si="14"/>
        <v>264</v>
      </c>
      <c r="I477">
        <f t="shared" si="15"/>
        <v>164</v>
      </c>
    </row>
    <row r="478" spans="1:9" ht="30" x14ac:dyDescent="0.25">
      <c r="A478" s="5" t="s">
        <v>419</v>
      </c>
      <c r="B478" s="5" t="s">
        <v>13</v>
      </c>
      <c r="C478" s="5" t="s">
        <v>796</v>
      </c>
      <c r="D478" s="3">
        <f>VLOOKUP(A478,airports!A:H,7,FALSE)</f>
        <v>35.436194440000001</v>
      </c>
      <c r="E478" s="3">
        <f>VLOOKUP(A478,airports!A:H,8,FALSE)</f>
        <v>-82.54180556</v>
      </c>
      <c r="F478" s="3">
        <f>VLOOKUP(B478,airports!A:H,7,FALSE)</f>
        <v>30.194532779999999</v>
      </c>
      <c r="G478" s="3">
        <f>VLOOKUP(B478,airports!A:H,8,FALSE)</f>
        <v>-97.669871939999993</v>
      </c>
      <c r="H478">
        <f t="shared" si="14"/>
        <v>1527</v>
      </c>
      <c r="I478">
        <f t="shared" si="15"/>
        <v>948.9</v>
      </c>
    </row>
    <row r="479" spans="1:9" ht="30" x14ac:dyDescent="0.25">
      <c r="A479" s="5" t="s">
        <v>419</v>
      </c>
      <c r="B479" s="5" t="s">
        <v>24</v>
      </c>
      <c r="C479" s="5" t="s">
        <v>797</v>
      </c>
      <c r="D479" s="3">
        <f>VLOOKUP(A479,airports!A:H,7,FALSE)</f>
        <v>35.436194440000001</v>
      </c>
      <c r="E479" s="3">
        <f>VLOOKUP(A479,airports!A:H,8,FALSE)</f>
        <v>-82.54180556</v>
      </c>
      <c r="F479" s="3">
        <f>VLOOKUP(B479,airports!A:H,7,FALSE)</f>
        <v>42.364347500000001</v>
      </c>
      <c r="G479" s="3">
        <f>VLOOKUP(B479,airports!A:H,8,FALSE)</f>
        <v>-71.005179170000005</v>
      </c>
      <c r="H479">
        <f t="shared" si="14"/>
        <v>1259.0999999999999</v>
      </c>
      <c r="I479">
        <f t="shared" si="15"/>
        <v>782.4</v>
      </c>
    </row>
    <row r="480" spans="1:9" ht="30" x14ac:dyDescent="0.25">
      <c r="A480" s="5" t="s">
        <v>419</v>
      </c>
      <c r="B480" s="5" t="s">
        <v>32</v>
      </c>
      <c r="C480" s="5" t="s">
        <v>798</v>
      </c>
      <c r="D480" s="3">
        <f>VLOOKUP(A480,airports!A:H,7,FALSE)</f>
        <v>35.436194440000001</v>
      </c>
      <c r="E480" s="3">
        <f>VLOOKUP(A480,airports!A:H,8,FALSE)</f>
        <v>-82.54180556</v>
      </c>
      <c r="F480" s="3">
        <f>VLOOKUP(B480,airports!A:H,7,FALSE)</f>
        <v>39.175401669999999</v>
      </c>
      <c r="G480" s="3">
        <f>VLOOKUP(B480,airports!A:H,8,FALSE)</f>
        <v>-76.668198329999996</v>
      </c>
      <c r="H480">
        <f t="shared" si="14"/>
        <v>665.1</v>
      </c>
      <c r="I480">
        <f t="shared" si="15"/>
        <v>413.3</v>
      </c>
    </row>
    <row r="481" spans="1:9" x14ac:dyDescent="0.25">
      <c r="A481" s="5" t="s">
        <v>419</v>
      </c>
      <c r="B481" s="5" t="s">
        <v>40</v>
      </c>
      <c r="C481" s="5" t="s">
        <v>799</v>
      </c>
      <c r="D481" s="3">
        <f>VLOOKUP(A481,airports!A:H,7,FALSE)</f>
        <v>35.436194440000001</v>
      </c>
      <c r="E481" s="3">
        <f>VLOOKUP(A481,airports!A:H,8,FALSE)</f>
        <v>-82.54180556</v>
      </c>
      <c r="F481" s="3">
        <f>VLOOKUP(B481,airports!A:H,7,FALSE)</f>
        <v>35.214011110000001</v>
      </c>
      <c r="G481" s="3">
        <f>VLOOKUP(B481,airports!A:H,8,FALSE)</f>
        <v>-80.94312583</v>
      </c>
      <c r="H481">
        <f t="shared" si="14"/>
        <v>147.1</v>
      </c>
      <c r="I481">
        <f t="shared" si="15"/>
        <v>91.4</v>
      </c>
    </row>
    <row r="482" spans="1:9" ht="30" x14ac:dyDescent="0.25">
      <c r="A482" s="5" t="s">
        <v>419</v>
      </c>
      <c r="B482" s="5" t="s">
        <v>45</v>
      </c>
      <c r="C482" s="5" t="s">
        <v>800</v>
      </c>
      <c r="D482" s="3">
        <f>VLOOKUP(A482,airports!A:H,7,FALSE)</f>
        <v>35.436194440000001</v>
      </c>
      <c r="E482" s="3">
        <f>VLOOKUP(A482,airports!A:H,8,FALSE)</f>
        <v>-82.54180556</v>
      </c>
      <c r="F482" s="3">
        <f>VLOOKUP(B482,airports!A:H,7,FALSE)</f>
        <v>38.852083329999999</v>
      </c>
      <c r="G482" s="3">
        <f>VLOOKUP(B482,airports!A:H,8,FALSE)</f>
        <v>-77.037722220000006</v>
      </c>
      <c r="H482">
        <f t="shared" si="14"/>
        <v>618.1</v>
      </c>
      <c r="I482">
        <f t="shared" si="15"/>
        <v>384.1</v>
      </c>
    </row>
    <row r="483" spans="1:9" ht="30" x14ac:dyDescent="0.25">
      <c r="A483" s="5" t="s">
        <v>419</v>
      </c>
      <c r="B483" s="5" t="s">
        <v>47</v>
      </c>
      <c r="C483" s="5" t="s">
        <v>801</v>
      </c>
      <c r="D483" s="3">
        <f>VLOOKUP(A483,airports!A:H,7,FALSE)</f>
        <v>35.436194440000001</v>
      </c>
      <c r="E483" s="3">
        <f>VLOOKUP(A483,airports!A:H,8,FALSE)</f>
        <v>-82.54180556</v>
      </c>
      <c r="F483" s="3">
        <f>VLOOKUP(B483,airports!A:H,7,FALSE)</f>
        <v>39.858408060000002</v>
      </c>
      <c r="G483" s="3">
        <f>VLOOKUP(B483,airports!A:H,8,FALSE)</f>
        <v>-104.6670019</v>
      </c>
      <c r="H483">
        <f t="shared" si="14"/>
        <v>2003.3</v>
      </c>
      <c r="I483">
        <f t="shared" si="15"/>
        <v>1244.9000000000001</v>
      </c>
    </row>
    <row r="484" spans="1:9" ht="30" x14ac:dyDescent="0.25">
      <c r="A484" s="5" t="s">
        <v>419</v>
      </c>
      <c r="B484" s="5" t="s">
        <v>49</v>
      </c>
      <c r="C484" s="5" t="s">
        <v>802</v>
      </c>
      <c r="D484" s="3">
        <f>VLOOKUP(A484,airports!A:H,7,FALSE)</f>
        <v>35.436194440000001</v>
      </c>
      <c r="E484" s="3">
        <f>VLOOKUP(A484,airports!A:H,8,FALSE)</f>
        <v>-82.54180556</v>
      </c>
      <c r="F484" s="3">
        <f>VLOOKUP(B484,airports!A:H,7,FALSE)</f>
        <v>32.895950560000003</v>
      </c>
      <c r="G484" s="3">
        <f>VLOOKUP(B484,airports!A:H,8,FALSE)</f>
        <v>-97.037199999999999</v>
      </c>
      <c r="H484">
        <f t="shared" si="14"/>
        <v>1361.9</v>
      </c>
      <c r="I484">
        <f t="shared" si="15"/>
        <v>846.3</v>
      </c>
    </row>
    <row r="485" spans="1:9" ht="30" x14ac:dyDescent="0.25">
      <c r="A485" s="5" t="s">
        <v>419</v>
      </c>
      <c r="B485" s="5" t="s">
        <v>50</v>
      </c>
      <c r="C485" s="5" t="s">
        <v>803</v>
      </c>
      <c r="D485" s="3">
        <f>VLOOKUP(A485,airports!A:H,7,FALSE)</f>
        <v>35.436194440000001</v>
      </c>
      <c r="E485" s="3">
        <f>VLOOKUP(A485,airports!A:H,8,FALSE)</f>
        <v>-82.54180556</v>
      </c>
      <c r="F485" s="3">
        <f>VLOOKUP(B485,airports!A:H,7,FALSE)</f>
        <v>42.212058890000002</v>
      </c>
      <c r="G485" s="3">
        <f>VLOOKUP(B485,airports!A:H,8,FALSE)</f>
        <v>-83.348835829999999</v>
      </c>
      <c r="H485">
        <f t="shared" si="14"/>
        <v>756.7</v>
      </c>
      <c r="I485">
        <f t="shared" si="15"/>
        <v>470.2</v>
      </c>
    </row>
    <row r="486" spans="1:9" ht="30" x14ac:dyDescent="0.25">
      <c r="A486" s="5" t="s">
        <v>419</v>
      </c>
      <c r="B486" s="5" t="s">
        <v>52</v>
      </c>
      <c r="C486" s="5" t="s">
        <v>804</v>
      </c>
      <c r="D486" s="3">
        <f>VLOOKUP(A486,airports!A:H,7,FALSE)</f>
        <v>35.436194440000001</v>
      </c>
      <c r="E486" s="3">
        <f>VLOOKUP(A486,airports!A:H,8,FALSE)</f>
        <v>-82.54180556</v>
      </c>
      <c r="F486" s="3">
        <f>VLOOKUP(B486,airports!A:H,7,FALSE)</f>
        <v>40.69249722</v>
      </c>
      <c r="G486" s="3">
        <f>VLOOKUP(B486,airports!A:H,8,FALSE)</f>
        <v>-74.168660560000006</v>
      </c>
      <c r="H486">
        <f t="shared" si="14"/>
        <v>936.8</v>
      </c>
      <c r="I486">
        <f t="shared" si="15"/>
        <v>582.1</v>
      </c>
    </row>
    <row r="487" spans="1:9" ht="30" x14ac:dyDescent="0.25">
      <c r="A487" s="5" t="s">
        <v>419</v>
      </c>
      <c r="B487" s="5" t="s">
        <v>54</v>
      </c>
      <c r="C487" s="5" t="s">
        <v>805</v>
      </c>
      <c r="D487" s="3">
        <f>VLOOKUP(A487,airports!A:H,7,FALSE)</f>
        <v>35.436194440000001</v>
      </c>
      <c r="E487" s="3">
        <f>VLOOKUP(A487,airports!A:H,8,FALSE)</f>
        <v>-82.54180556</v>
      </c>
      <c r="F487" s="3">
        <f>VLOOKUP(B487,airports!A:H,7,FALSE)</f>
        <v>24.55611111</v>
      </c>
      <c r="G487" s="3">
        <f>VLOOKUP(B487,airports!A:H,8,FALSE)</f>
        <v>-81.759555559999995</v>
      </c>
      <c r="H487">
        <f t="shared" si="14"/>
        <v>1212.0999999999999</v>
      </c>
      <c r="I487">
        <f t="shared" si="15"/>
        <v>753.2</v>
      </c>
    </row>
    <row r="488" spans="1:9" x14ac:dyDescent="0.25">
      <c r="A488" s="5" t="s">
        <v>419</v>
      </c>
      <c r="B488" s="5" t="s">
        <v>57</v>
      </c>
      <c r="C488" s="5" t="s">
        <v>806</v>
      </c>
      <c r="D488" s="3">
        <f>VLOOKUP(A488,airports!A:H,7,FALSE)</f>
        <v>35.436194440000001</v>
      </c>
      <c r="E488" s="3">
        <f>VLOOKUP(A488,airports!A:H,8,FALSE)</f>
        <v>-82.54180556</v>
      </c>
      <c r="F488" s="3">
        <f>VLOOKUP(B488,airports!A:H,7,FALSE)</f>
        <v>26.072583330000001</v>
      </c>
      <c r="G488" s="3">
        <f>VLOOKUP(B488,airports!A:H,8,FALSE)</f>
        <v>-80.152749999999997</v>
      </c>
      <c r="H488">
        <f t="shared" si="14"/>
        <v>1065.8</v>
      </c>
      <c r="I488">
        <f t="shared" si="15"/>
        <v>662.3</v>
      </c>
    </row>
    <row r="489" spans="1:9" ht="30" x14ac:dyDescent="0.25">
      <c r="A489" s="5" t="s">
        <v>419</v>
      </c>
      <c r="B489" s="5" t="s">
        <v>517</v>
      </c>
      <c r="C489" s="5" t="s">
        <v>807</v>
      </c>
      <c r="D489" s="3">
        <f>VLOOKUP(A489,airports!A:H,7,FALSE)</f>
        <v>35.436194440000001</v>
      </c>
      <c r="E489" s="3">
        <f>VLOOKUP(A489,airports!A:H,8,FALSE)</f>
        <v>-82.54180556</v>
      </c>
      <c r="F489" s="3">
        <f>VLOOKUP(B489,airports!A:H,7,FALSE)</f>
        <v>36.09774694</v>
      </c>
      <c r="G489" s="3">
        <f>VLOOKUP(B489,airports!A:H,8,FALSE)</f>
        <v>-79.9372975</v>
      </c>
      <c r="H489">
        <f t="shared" si="14"/>
        <v>246.2</v>
      </c>
      <c r="I489">
        <f t="shared" si="15"/>
        <v>153</v>
      </c>
    </row>
    <row r="490" spans="1:9" ht="30" x14ac:dyDescent="0.25">
      <c r="A490" s="5" t="s">
        <v>419</v>
      </c>
      <c r="B490" s="5" t="s">
        <v>205</v>
      </c>
      <c r="C490" s="5" t="s">
        <v>808</v>
      </c>
      <c r="D490" s="3">
        <f>VLOOKUP(A490,airports!A:H,7,FALSE)</f>
        <v>35.436194440000001</v>
      </c>
      <c r="E490" s="3">
        <f>VLOOKUP(A490,airports!A:H,8,FALSE)</f>
        <v>-82.54180556</v>
      </c>
      <c r="F490" s="3">
        <f>VLOOKUP(B490,airports!A:H,7,FALSE)</f>
        <v>29.64541861</v>
      </c>
      <c r="G490" s="3">
        <f>VLOOKUP(B490,airports!A:H,8,FALSE)</f>
        <v>-95.278888890000005</v>
      </c>
      <c r="H490">
        <f t="shared" si="14"/>
        <v>1354.9</v>
      </c>
      <c r="I490">
        <f t="shared" si="15"/>
        <v>841.9</v>
      </c>
    </row>
    <row r="491" spans="1:9" x14ac:dyDescent="0.25">
      <c r="A491" s="5" t="s">
        <v>419</v>
      </c>
      <c r="B491" s="5" t="s">
        <v>176</v>
      </c>
      <c r="C491" s="5" t="s">
        <v>809</v>
      </c>
      <c r="D491" s="3">
        <f>VLOOKUP(A491,airports!A:H,7,FALSE)</f>
        <v>35.436194440000001</v>
      </c>
      <c r="E491" s="3">
        <f>VLOOKUP(A491,airports!A:H,8,FALSE)</f>
        <v>-82.54180556</v>
      </c>
      <c r="F491" s="3">
        <f>VLOOKUP(B491,airports!A:H,7,FALSE)</f>
        <v>38.944531939999997</v>
      </c>
      <c r="G491" s="3">
        <f>VLOOKUP(B491,airports!A:H,8,FALSE)</f>
        <v>-77.455809720000005</v>
      </c>
      <c r="H491">
        <f t="shared" si="14"/>
        <v>595.79999999999995</v>
      </c>
      <c r="I491">
        <f t="shared" si="15"/>
        <v>370.2</v>
      </c>
    </row>
    <row r="492" spans="1:9" x14ac:dyDescent="0.25">
      <c r="A492" s="5" t="s">
        <v>419</v>
      </c>
      <c r="B492" s="5" t="s">
        <v>71</v>
      </c>
      <c r="C492" s="5" t="s">
        <v>810</v>
      </c>
      <c r="D492" s="3">
        <f>VLOOKUP(A492,airports!A:H,7,FALSE)</f>
        <v>35.436194440000001</v>
      </c>
      <c r="E492" s="3">
        <f>VLOOKUP(A492,airports!A:H,8,FALSE)</f>
        <v>-82.54180556</v>
      </c>
      <c r="F492" s="3">
        <f>VLOOKUP(B492,airports!A:H,7,FALSE)</f>
        <v>36.080361109999998</v>
      </c>
      <c r="G492" s="3">
        <f>VLOOKUP(B492,airports!A:H,8,FALSE)</f>
        <v>-115.1523333</v>
      </c>
      <c r="H492">
        <f t="shared" si="14"/>
        <v>2929.6</v>
      </c>
      <c r="I492">
        <f t="shared" si="15"/>
        <v>1820.5</v>
      </c>
    </row>
    <row r="493" spans="1:9" ht="30" x14ac:dyDescent="0.25">
      <c r="A493" s="5" t="s">
        <v>419</v>
      </c>
      <c r="B493" s="5" t="s">
        <v>74</v>
      </c>
      <c r="C493" s="5" t="s">
        <v>811</v>
      </c>
      <c r="D493" s="3">
        <f>VLOOKUP(A493,airports!A:H,7,FALSE)</f>
        <v>35.436194440000001</v>
      </c>
      <c r="E493" s="3">
        <f>VLOOKUP(A493,airports!A:H,8,FALSE)</f>
        <v>-82.54180556</v>
      </c>
      <c r="F493" s="3">
        <f>VLOOKUP(B493,airports!A:H,7,FALSE)</f>
        <v>40.777243060000004</v>
      </c>
      <c r="G493" s="3">
        <f>VLOOKUP(B493,airports!A:H,8,FALSE)</f>
        <v>-73.872609170000004</v>
      </c>
      <c r="H493">
        <f t="shared" si="14"/>
        <v>962.5</v>
      </c>
      <c r="I493">
        <f t="shared" si="15"/>
        <v>598.1</v>
      </c>
    </row>
    <row r="494" spans="1:9" ht="30" x14ac:dyDescent="0.25">
      <c r="A494" s="5" t="s">
        <v>419</v>
      </c>
      <c r="B494" s="5" t="s">
        <v>82</v>
      </c>
      <c r="C494" s="5" t="s">
        <v>812</v>
      </c>
      <c r="D494" s="3">
        <f>VLOOKUP(A494,airports!A:H,7,FALSE)</f>
        <v>35.436194440000001</v>
      </c>
      <c r="E494" s="3">
        <f>VLOOKUP(A494,airports!A:H,8,FALSE)</f>
        <v>-82.54180556</v>
      </c>
      <c r="F494" s="3">
        <f>VLOOKUP(B494,airports!A:H,7,FALSE)</f>
        <v>28.42888889</v>
      </c>
      <c r="G494" s="3">
        <f>VLOOKUP(B494,airports!A:H,8,FALSE)</f>
        <v>-81.316027779999999</v>
      </c>
      <c r="H494">
        <f t="shared" si="14"/>
        <v>787.7</v>
      </c>
      <c r="I494">
        <f t="shared" si="15"/>
        <v>489.5</v>
      </c>
    </row>
    <row r="495" spans="1:9" ht="30" x14ac:dyDescent="0.25">
      <c r="A495" s="5" t="s">
        <v>419</v>
      </c>
      <c r="B495" s="5" t="s">
        <v>180</v>
      </c>
      <c r="C495" s="5" t="s">
        <v>813</v>
      </c>
      <c r="D495" s="3">
        <f>VLOOKUP(A495,airports!A:H,7,FALSE)</f>
        <v>35.436194440000001</v>
      </c>
      <c r="E495" s="3">
        <f>VLOOKUP(A495,airports!A:H,8,FALSE)</f>
        <v>-82.54180556</v>
      </c>
      <c r="F495" s="3">
        <f>VLOOKUP(B495,airports!A:H,7,FALSE)</f>
        <v>41.785982500000003</v>
      </c>
      <c r="G495" s="3">
        <f>VLOOKUP(B495,airports!A:H,8,FALSE)</f>
        <v>-87.752424439999999</v>
      </c>
      <c r="H495">
        <f t="shared" si="14"/>
        <v>838.4</v>
      </c>
      <c r="I495">
        <f t="shared" si="15"/>
        <v>521</v>
      </c>
    </row>
    <row r="496" spans="1:9" ht="30" x14ac:dyDescent="0.25">
      <c r="A496" s="5" t="s">
        <v>419</v>
      </c>
      <c r="B496" s="5" t="s">
        <v>84</v>
      </c>
      <c r="C496" s="5" t="s">
        <v>814</v>
      </c>
      <c r="D496" s="3">
        <f>VLOOKUP(A496,airports!A:H,7,FALSE)</f>
        <v>35.436194440000001</v>
      </c>
      <c r="E496" s="3">
        <f>VLOOKUP(A496,airports!A:H,8,FALSE)</f>
        <v>-82.54180556</v>
      </c>
      <c r="F496" s="3">
        <f>VLOOKUP(B496,airports!A:H,7,FALSE)</f>
        <v>25.79325</v>
      </c>
      <c r="G496" s="3">
        <f>VLOOKUP(B496,airports!A:H,8,FALSE)</f>
        <v>-80.290555560000001</v>
      </c>
      <c r="H496">
        <f t="shared" si="14"/>
        <v>1093.5999999999999</v>
      </c>
      <c r="I496">
        <f t="shared" si="15"/>
        <v>679.6</v>
      </c>
    </row>
    <row r="497" spans="1:9" ht="30" x14ac:dyDescent="0.25">
      <c r="A497" s="5" t="s">
        <v>419</v>
      </c>
      <c r="B497" s="5" t="s">
        <v>87</v>
      </c>
      <c r="C497" s="5" t="s">
        <v>815</v>
      </c>
      <c r="D497" s="3">
        <f>VLOOKUP(A497,airports!A:H,7,FALSE)</f>
        <v>35.436194440000001</v>
      </c>
      <c r="E497" s="3">
        <f>VLOOKUP(A497,airports!A:H,8,FALSE)</f>
        <v>-82.54180556</v>
      </c>
      <c r="F497" s="3">
        <f>VLOOKUP(B497,airports!A:H,7,FALSE)</f>
        <v>44.880546940000002</v>
      </c>
      <c r="G497" s="3">
        <f>VLOOKUP(B497,airports!A:H,8,FALSE)</f>
        <v>-93.216922499999995</v>
      </c>
      <c r="H497">
        <f t="shared" si="14"/>
        <v>1385.3</v>
      </c>
      <c r="I497">
        <f t="shared" si="15"/>
        <v>860.8</v>
      </c>
    </row>
    <row r="498" spans="1:9" ht="30" x14ac:dyDescent="0.25">
      <c r="A498" s="5" t="s">
        <v>419</v>
      </c>
      <c r="B498" s="5" t="s">
        <v>95</v>
      </c>
      <c r="C498" s="5" t="s">
        <v>816</v>
      </c>
      <c r="D498" s="3">
        <f>VLOOKUP(A498,airports!A:H,7,FALSE)</f>
        <v>35.436194440000001</v>
      </c>
      <c r="E498" s="3">
        <f>VLOOKUP(A498,airports!A:H,8,FALSE)</f>
        <v>-82.54180556</v>
      </c>
      <c r="F498" s="3">
        <f>VLOOKUP(B498,airports!A:H,7,FALSE)</f>
        <v>41.979595000000003</v>
      </c>
      <c r="G498" s="3">
        <f>VLOOKUP(B498,airports!A:H,8,FALSE)</f>
        <v>-87.904464169999997</v>
      </c>
      <c r="H498">
        <f t="shared" si="14"/>
        <v>863.2</v>
      </c>
      <c r="I498">
        <f t="shared" si="15"/>
        <v>536.4</v>
      </c>
    </row>
    <row r="499" spans="1:9" x14ac:dyDescent="0.25">
      <c r="A499" s="5" t="s">
        <v>419</v>
      </c>
      <c r="B499" s="5" t="s">
        <v>99</v>
      </c>
      <c r="C499" s="5" t="s">
        <v>817</v>
      </c>
      <c r="D499" s="3">
        <f>VLOOKUP(A499,airports!A:H,7,FALSE)</f>
        <v>35.436194440000001</v>
      </c>
      <c r="E499" s="3">
        <f>VLOOKUP(A499,airports!A:H,8,FALSE)</f>
        <v>-82.54180556</v>
      </c>
      <c r="F499" s="3">
        <f>VLOOKUP(B499,airports!A:H,7,FALSE)</f>
        <v>26.683161940000002</v>
      </c>
      <c r="G499" s="3">
        <f>VLOOKUP(B499,airports!A:H,8,FALSE)</f>
        <v>-80.095594169999998</v>
      </c>
      <c r="H499">
        <f t="shared" si="14"/>
        <v>1000.7</v>
      </c>
      <c r="I499">
        <f t="shared" si="15"/>
        <v>621.79999999999995</v>
      </c>
    </row>
    <row r="500" spans="1:9" ht="30" x14ac:dyDescent="0.25">
      <c r="A500" s="5" t="s">
        <v>419</v>
      </c>
      <c r="B500" s="5" t="s">
        <v>185</v>
      </c>
      <c r="C500" s="5" t="s">
        <v>818</v>
      </c>
      <c r="D500" s="3">
        <f>VLOOKUP(A500,airports!A:H,7,FALSE)</f>
        <v>35.436194440000001</v>
      </c>
      <c r="E500" s="3">
        <f>VLOOKUP(A500,airports!A:H,8,FALSE)</f>
        <v>-82.54180556</v>
      </c>
      <c r="F500" s="3">
        <f>VLOOKUP(B500,airports!A:H,7,FALSE)</f>
        <v>26.919699999999999</v>
      </c>
      <c r="G500" s="3">
        <f>VLOOKUP(B500,airports!A:H,8,FALSE)</f>
        <v>-81.995999999999995</v>
      </c>
      <c r="H500">
        <f t="shared" si="14"/>
        <v>948.4</v>
      </c>
      <c r="I500">
        <f t="shared" si="15"/>
        <v>589.29999999999995</v>
      </c>
    </row>
    <row r="501" spans="1:9" ht="30" x14ac:dyDescent="0.25">
      <c r="A501" s="5" t="s">
        <v>419</v>
      </c>
      <c r="B501" s="5" t="s">
        <v>102</v>
      </c>
      <c r="C501" s="5" t="s">
        <v>819</v>
      </c>
      <c r="D501" s="3">
        <f>VLOOKUP(A501,airports!A:H,7,FALSE)</f>
        <v>35.436194440000001</v>
      </c>
      <c r="E501" s="3">
        <f>VLOOKUP(A501,airports!A:H,8,FALSE)</f>
        <v>-82.54180556</v>
      </c>
      <c r="F501" s="3">
        <f>VLOOKUP(B501,airports!A:H,7,FALSE)</f>
        <v>39.871952780000001</v>
      </c>
      <c r="G501" s="3">
        <f>VLOOKUP(B501,airports!A:H,8,FALSE)</f>
        <v>-75.241140830000006</v>
      </c>
      <c r="H501">
        <f t="shared" si="14"/>
        <v>809.7</v>
      </c>
      <c r="I501">
        <f t="shared" si="15"/>
        <v>503.1</v>
      </c>
    </row>
    <row r="502" spans="1:9" x14ac:dyDescent="0.25">
      <c r="A502" s="5" t="s">
        <v>419</v>
      </c>
      <c r="B502" s="5" t="s">
        <v>188</v>
      </c>
      <c r="C502" s="5" t="s">
        <v>820</v>
      </c>
      <c r="D502" s="3">
        <f>VLOOKUP(A502,airports!A:H,7,FALSE)</f>
        <v>35.436194440000001</v>
      </c>
      <c r="E502" s="3">
        <f>VLOOKUP(A502,airports!A:H,8,FALSE)</f>
        <v>-82.54180556</v>
      </c>
      <c r="F502" s="3">
        <f>VLOOKUP(B502,airports!A:H,7,FALSE)</f>
        <v>27.910763330000002</v>
      </c>
      <c r="G502" s="3">
        <f>VLOOKUP(B502,airports!A:H,8,FALSE)</f>
        <v>-82.687439440000006</v>
      </c>
      <c r="H502">
        <f t="shared" si="14"/>
        <v>836.9</v>
      </c>
      <c r="I502">
        <f t="shared" si="15"/>
        <v>520.1</v>
      </c>
    </row>
    <row r="503" spans="1:9" x14ac:dyDescent="0.25">
      <c r="A503" s="5" t="s">
        <v>419</v>
      </c>
      <c r="B503" s="5" t="s">
        <v>191</v>
      </c>
      <c r="C503" s="5" t="s">
        <v>821</v>
      </c>
      <c r="D503" s="3">
        <f>VLOOKUP(A503,airports!A:H,7,FALSE)</f>
        <v>35.436194440000001</v>
      </c>
      <c r="E503" s="3">
        <f>VLOOKUP(A503,airports!A:H,8,FALSE)</f>
        <v>-82.54180556</v>
      </c>
      <c r="F503" s="3">
        <f>VLOOKUP(B503,airports!A:H,7,FALSE)</f>
        <v>28.7776</v>
      </c>
      <c r="G503" s="3">
        <f>VLOOKUP(B503,airports!A:H,8,FALSE)</f>
        <v>-81.237499999999997</v>
      </c>
      <c r="H503">
        <f t="shared" si="14"/>
        <v>750.5</v>
      </c>
      <c r="I503">
        <f t="shared" si="15"/>
        <v>466.4</v>
      </c>
    </row>
    <row r="504" spans="1:9" ht="30" x14ac:dyDescent="0.25">
      <c r="A504" s="5" t="s">
        <v>419</v>
      </c>
      <c r="B504" s="5" t="s">
        <v>138</v>
      </c>
      <c r="C504" s="5" t="s">
        <v>822</v>
      </c>
      <c r="D504" s="3">
        <f>VLOOKUP(A504,airports!A:H,7,FALSE)</f>
        <v>35.436194440000001</v>
      </c>
      <c r="E504" s="3">
        <f>VLOOKUP(A504,airports!A:H,8,FALSE)</f>
        <v>-82.54180556</v>
      </c>
      <c r="F504" s="3">
        <f>VLOOKUP(B504,airports!A:H,7,FALSE)</f>
        <v>27.39533333</v>
      </c>
      <c r="G504" s="3">
        <f>VLOOKUP(B504,airports!A:H,8,FALSE)</f>
        <v>-82.554111109999994</v>
      </c>
      <c r="H504">
        <f t="shared" si="14"/>
        <v>894.1</v>
      </c>
      <c r="I504">
        <f t="shared" si="15"/>
        <v>555.6</v>
      </c>
    </row>
    <row r="505" spans="1:9" ht="30" x14ac:dyDescent="0.25">
      <c r="A505" s="5" t="s">
        <v>419</v>
      </c>
      <c r="B505" s="5" t="s">
        <v>145</v>
      </c>
      <c r="C505" s="5" t="s">
        <v>823</v>
      </c>
      <c r="D505" s="3">
        <f>VLOOKUP(A505,airports!A:H,7,FALSE)</f>
        <v>35.436194440000001</v>
      </c>
      <c r="E505" s="3">
        <f>VLOOKUP(A505,airports!A:H,8,FALSE)</f>
        <v>-82.54180556</v>
      </c>
      <c r="F505" s="3">
        <f>VLOOKUP(B505,airports!A:H,7,FALSE)</f>
        <v>27.97547222</v>
      </c>
      <c r="G505" s="3">
        <f>VLOOKUP(B505,airports!A:H,8,FALSE)</f>
        <v>-82.533249999999995</v>
      </c>
      <c r="H505">
        <f t="shared" si="14"/>
        <v>829.6</v>
      </c>
      <c r="I505">
        <f t="shared" si="15"/>
        <v>515.5</v>
      </c>
    </row>
    <row r="506" spans="1:9" ht="30" x14ac:dyDescent="0.25">
      <c r="A506" s="5" t="s">
        <v>419</v>
      </c>
      <c r="B506" s="5" t="s">
        <v>668</v>
      </c>
      <c r="C506" s="5" t="s">
        <v>824</v>
      </c>
      <c r="D506" s="3">
        <f>VLOOKUP(A506,airports!A:H,7,FALSE)</f>
        <v>35.436194440000001</v>
      </c>
      <c r="E506" s="3">
        <f>VLOOKUP(A506,airports!A:H,8,FALSE)</f>
        <v>-82.54180556</v>
      </c>
      <c r="F506" s="3">
        <f>VLOOKUP(B506,airports!A:H,7,FALSE)</f>
        <v>30.483250000000002</v>
      </c>
      <c r="G506" s="3">
        <f>VLOOKUP(B506,airports!A:H,8,FALSE)</f>
        <v>-86.525400000000005</v>
      </c>
      <c r="H506">
        <f t="shared" si="14"/>
        <v>664.3</v>
      </c>
      <c r="I506">
        <f t="shared" si="15"/>
        <v>412.8</v>
      </c>
    </row>
    <row r="507" spans="1:9" ht="30" x14ac:dyDescent="0.25">
      <c r="A507" s="5" t="s">
        <v>421</v>
      </c>
      <c r="B507" s="5" t="s">
        <v>10</v>
      </c>
      <c r="C507" s="5" t="s">
        <v>825</v>
      </c>
      <c r="D507" s="3">
        <f>VLOOKUP(A507,airports!A:H,7,FALSE)</f>
        <v>41.338149440000002</v>
      </c>
      <c r="E507" s="3">
        <f>VLOOKUP(A507,airports!A:H,8,FALSE)</f>
        <v>-75.724267499999996</v>
      </c>
      <c r="F507" s="3">
        <f>VLOOKUP(B507,airports!A:H,7,FALSE)</f>
        <v>33.640444440000003</v>
      </c>
      <c r="G507" s="3">
        <f>VLOOKUP(B507,airports!A:H,8,FALSE)</f>
        <v>-84.42694444</v>
      </c>
      <c r="H507">
        <f t="shared" si="14"/>
        <v>1148.5999999999999</v>
      </c>
      <c r="I507">
        <f t="shared" si="15"/>
        <v>713.8</v>
      </c>
    </row>
    <row r="508" spans="1:9" ht="30" x14ac:dyDescent="0.25">
      <c r="A508" s="5" t="s">
        <v>421</v>
      </c>
      <c r="B508" s="5" t="s">
        <v>40</v>
      </c>
      <c r="C508" s="5" t="s">
        <v>826</v>
      </c>
      <c r="D508" s="3">
        <f>VLOOKUP(A508,airports!A:H,7,FALSE)</f>
        <v>41.338149440000002</v>
      </c>
      <c r="E508" s="3">
        <f>VLOOKUP(A508,airports!A:H,8,FALSE)</f>
        <v>-75.724267499999996</v>
      </c>
      <c r="F508" s="3">
        <f>VLOOKUP(B508,airports!A:H,7,FALSE)</f>
        <v>35.214011110000001</v>
      </c>
      <c r="G508" s="3">
        <f>VLOOKUP(B508,airports!A:H,8,FALSE)</f>
        <v>-80.94312583</v>
      </c>
      <c r="H508">
        <f t="shared" si="14"/>
        <v>818.9</v>
      </c>
      <c r="I508">
        <f t="shared" si="15"/>
        <v>508.9</v>
      </c>
    </row>
    <row r="509" spans="1:9" ht="30" x14ac:dyDescent="0.25">
      <c r="A509" s="5" t="s">
        <v>421</v>
      </c>
      <c r="B509" s="5" t="s">
        <v>50</v>
      </c>
      <c r="C509" s="5" t="s">
        <v>827</v>
      </c>
      <c r="D509" s="3">
        <f>VLOOKUP(A509,airports!A:H,7,FALSE)</f>
        <v>41.338149440000002</v>
      </c>
      <c r="E509" s="3">
        <f>VLOOKUP(A509,airports!A:H,8,FALSE)</f>
        <v>-75.724267499999996</v>
      </c>
      <c r="F509" s="3">
        <f>VLOOKUP(B509,airports!A:H,7,FALSE)</f>
        <v>42.212058890000002</v>
      </c>
      <c r="G509" s="3">
        <f>VLOOKUP(B509,airports!A:H,8,FALSE)</f>
        <v>-83.348835829999999</v>
      </c>
      <c r="H509">
        <f t="shared" si="14"/>
        <v>639.5</v>
      </c>
      <c r="I509">
        <f t="shared" si="15"/>
        <v>397.4</v>
      </c>
    </row>
    <row r="510" spans="1:9" ht="30" x14ac:dyDescent="0.25">
      <c r="A510" s="5" t="s">
        <v>421</v>
      </c>
      <c r="B510" s="5" t="s">
        <v>52</v>
      </c>
      <c r="C510" s="5" t="s">
        <v>828</v>
      </c>
      <c r="D510" s="3">
        <f>VLOOKUP(A510,airports!A:H,7,FALSE)</f>
        <v>41.338149440000002</v>
      </c>
      <c r="E510" s="3">
        <f>VLOOKUP(A510,airports!A:H,8,FALSE)</f>
        <v>-75.724267499999996</v>
      </c>
      <c r="F510" s="3">
        <f>VLOOKUP(B510,airports!A:H,7,FALSE)</f>
        <v>40.69249722</v>
      </c>
      <c r="G510" s="3">
        <f>VLOOKUP(B510,airports!A:H,8,FALSE)</f>
        <v>-74.168660560000006</v>
      </c>
      <c r="H510">
        <f t="shared" si="14"/>
        <v>149</v>
      </c>
      <c r="I510">
        <f t="shared" si="15"/>
        <v>92.6</v>
      </c>
    </row>
    <row r="511" spans="1:9" ht="30" x14ac:dyDescent="0.25">
      <c r="A511" s="5" t="s">
        <v>421</v>
      </c>
      <c r="B511" s="5" t="s">
        <v>176</v>
      </c>
      <c r="C511" s="5" t="s">
        <v>829</v>
      </c>
      <c r="D511" s="3">
        <f>VLOOKUP(A511,airports!A:H,7,FALSE)</f>
        <v>41.338149440000002</v>
      </c>
      <c r="E511" s="3">
        <f>VLOOKUP(A511,airports!A:H,8,FALSE)</f>
        <v>-75.724267499999996</v>
      </c>
      <c r="F511" s="3">
        <f>VLOOKUP(B511,airports!A:H,7,FALSE)</f>
        <v>38.944531939999997</v>
      </c>
      <c r="G511" s="3">
        <f>VLOOKUP(B511,airports!A:H,8,FALSE)</f>
        <v>-77.455809720000005</v>
      </c>
      <c r="H511">
        <f t="shared" si="14"/>
        <v>304.10000000000002</v>
      </c>
      <c r="I511">
        <f t="shared" si="15"/>
        <v>189</v>
      </c>
    </row>
    <row r="512" spans="1:9" ht="30" x14ac:dyDescent="0.25">
      <c r="A512" s="5" t="s">
        <v>421</v>
      </c>
      <c r="B512" s="5" t="s">
        <v>95</v>
      </c>
      <c r="C512" s="5" t="s">
        <v>830</v>
      </c>
      <c r="D512" s="3">
        <f>VLOOKUP(A512,airports!A:H,7,FALSE)</f>
        <v>41.338149440000002</v>
      </c>
      <c r="E512" s="3">
        <f>VLOOKUP(A512,airports!A:H,8,FALSE)</f>
        <v>-75.724267499999996</v>
      </c>
      <c r="F512" s="3">
        <f>VLOOKUP(B512,airports!A:H,7,FALSE)</f>
        <v>41.979595000000003</v>
      </c>
      <c r="G512" s="3">
        <f>VLOOKUP(B512,airports!A:H,8,FALSE)</f>
        <v>-87.904464169999997</v>
      </c>
      <c r="H512">
        <f t="shared" si="14"/>
        <v>1013.5</v>
      </c>
      <c r="I512">
        <f t="shared" si="15"/>
        <v>629.79999999999995</v>
      </c>
    </row>
    <row r="513" spans="1:9" ht="30" x14ac:dyDescent="0.25">
      <c r="A513" s="5" t="s">
        <v>421</v>
      </c>
      <c r="B513" s="5" t="s">
        <v>102</v>
      </c>
      <c r="C513" s="5" t="s">
        <v>831</v>
      </c>
      <c r="D513" s="3">
        <f>VLOOKUP(A513,airports!A:H,7,FALSE)</f>
        <v>41.338149440000002</v>
      </c>
      <c r="E513" s="3">
        <f>VLOOKUP(A513,airports!A:H,8,FALSE)</f>
        <v>-75.724267499999996</v>
      </c>
      <c r="F513" s="3">
        <f>VLOOKUP(B513,airports!A:H,7,FALSE)</f>
        <v>39.871952780000001</v>
      </c>
      <c r="G513" s="3">
        <f>VLOOKUP(B513,airports!A:H,8,FALSE)</f>
        <v>-75.241140830000006</v>
      </c>
      <c r="H513">
        <f t="shared" si="14"/>
        <v>168.1</v>
      </c>
      <c r="I513">
        <f t="shared" si="15"/>
        <v>104.4</v>
      </c>
    </row>
    <row r="514" spans="1:9" x14ac:dyDescent="0.25">
      <c r="A514" s="5" t="s">
        <v>421</v>
      </c>
      <c r="B514" s="5" t="s">
        <v>188</v>
      </c>
      <c r="C514" s="5" t="s">
        <v>832</v>
      </c>
      <c r="D514" s="3">
        <f>VLOOKUP(A514,airports!A:H,7,FALSE)</f>
        <v>41.338149440000002</v>
      </c>
      <c r="E514" s="3">
        <f>VLOOKUP(A514,airports!A:H,8,FALSE)</f>
        <v>-75.724267499999996</v>
      </c>
      <c r="F514" s="3">
        <f>VLOOKUP(B514,airports!A:H,7,FALSE)</f>
        <v>27.910763330000002</v>
      </c>
      <c r="G514" s="3">
        <f>VLOOKUP(B514,airports!A:H,8,FALSE)</f>
        <v>-82.687439440000006</v>
      </c>
      <c r="H514">
        <f t="shared" si="14"/>
        <v>1621.9</v>
      </c>
      <c r="I514">
        <f t="shared" si="15"/>
        <v>1007.8</v>
      </c>
    </row>
    <row r="515" spans="1:9" ht="30" x14ac:dyDescent="0.25">
      <c r="A515" s="5" t="s">
        <v>421</v>
      </c>
      <c r="B515" s="5" t="s">
        <v>191</v>
      </c>
      <c r="C515" s="5" t="s">
        <v>833</v>
      </c>
      <c r="D515" s="3">
        <f>VLOOKUP(A515,airports!A:H,7,FALSE)</f>
        <v>41.338149440000002</v>
      </c>
      <c r="E515" s="3">
        <f>VLOOKUP(A515,airports!A:H,8,FALSE)</f>
        <v>-75.724267499999996</v>
      </c>
      <c r="F515" s="3">
        <f>VLOOKUP(B515,airports!A:H,7,FALSE)</f>
        <v>28.7776</v>
      </c>
      <c r="G515" s="3">
        <f>VLOOKUP(B515,airports!A:H,8,FALSE)</f>
        <v>-81.237499999999997</v>
      </c>
      <c r="H515">
        <f t="shared" si="14"/>
        <v>1483.2</v>
      </c>
      <c r="I515">
        <f t="shared" si="15"/>
        <v>921.7</v>
      </c>
    </row>
    <row r="516" spans="1:9" ht="30" x14ac:dyDescent="0.25">
      <c r="A516" s="5" t="s">
        <v>329</v>
      </c>
      <c r="B516" s="5" t="s">
        <v>327</v>
      </c>
      <c r="C516" s="5" t="s">
        <v>834</v>
      </c>
      <c r="D516" s="3">
        <f>VLOOKUP(A516,airports!A:H,7,FALSE)</f>
        <v>33.308999999999997</v>
      </c>
      <c r="E516" s="3">
        <f>VLOOKUP(A516,airports!A:H,8,FALSE)</f>
        <v>-111.6559</v>
      </c>
      <c r="F516" s="3">
        <f>VLOOKUP(B516,airports!A:H,7,FALSE)</f>
        <v>35.219372499999999</v>
      </c>
      <c r="G516" s="3">
        <f>VLOOKUP(B516,airports!A:H,8,FALSE)</f>
        <v>-101.7059272</v>
      </c>
      <c r="H516">
        <f t="shared" ref="H516:H579" si="16">ROUND(ACOS(COS(RADIANS(90-D516)) * COS(RADIANS(90-F516)) + SIN(RADIANS(90-D516)) * SIN(RADIANS(90-F516)) * COS(RADIANS(E516-G516))) * 6371,1)</f>
        <v>938.3</v>
      </c>
      <c r="I516">
        <f t="shared" ref="I516:I579" si="17">ROUND(ACOS(COS(RADIANS(90-D516)) * COS(RADIANS(90-F516)) + SIN(RADIANS(90-D516)) * SIN(RADIANS(90-F516)) * COS(RADIANS(E516-G516))) * 3959,1)</f>
        <v>583</v>
      </c>
    </row>
    <row r="517" spans="1:9" ht="30" x14ac:dyDescent="0.25">
      <c r="A517" s="5" t="s">
        <v>329</v>
      </c>
      <c r="B517" s="5" t="s">
        <v>416</v>
      </c>
      <c r="C517" s="5" t="s">
        <v>835</v>
      </c>
      <c r="D517" s="3">
        <f>VLOOKUP(A517,airports!A:H,7,FALSE)</f>
        <v>33.308999999999997</v>
      </c>
      <c r="E517" s="3">
        <f>VLOOKUP(A517,airports!A:H,8,FALSE)</f>
        <v>-111.6559</v>
      </c>
      <c r="F517" s="3">
        <f>VLOOKUP(B517,airports!A:H,7,FALSE)</f>
        <v>44.257408060000003</v>
      </c>
      <c r="G517" s="3">
        <f>VLOOKUP(B517,airports!A:H,8,FALSE)</f>
        <v>-88.519475560000004</v>
      </c>
      <c r="H517">
        <f t="shared" si="16"/>
        <v>2333.6999999999998</v>
      </c>
      <c r="I517">
        <f t="shared" si="17"/>
        <v>1450.2</v>
      </c>
    </row>
    <row r="518" spans="1:9" x14ac:dyDescent="0.25">
      <c r="A518" s="5" t="s">
        <v>329</v>
      </c>
      <c r="B518" s="5" t="s">
        <v>836</v>
      </c>
      <c r="C518" s="5" t="s">
        <v>837</v>
      </c>
      <c r="D518" s="3">
        <f>VLOOKUP(A518,airports!A:H,7,FALSE)</f>
        <v>33.308999999999997</v>
      </c>
      <c r="E518" s="3">
        <f>VLOOKUP(A518,airports!A:H,8,FALSE)</f>
        <v>-111.6559</v>
      </c>
      <c r="F518" s="3">
        <f>VLOOKUP(B518,airports!A:H,7,FALSE)</f>
        <v>45.807662499999999</v>
      </c>
      <c r="G518" s="3">
        <f>VLOOKUP(B518,airports!A:H,8,FALSE)</f>
        <v>-108.5428611</v>
      </c>
      <c r="H518">
        <f t="shared" si="16"/>
        <v>1414.9</v>
      </c>
      <c r="I518">
        <f t="shared" si="17"/>
        <v>879.2</v>
      </c>
    </row>
    <row r="519" spans="1:9" x14ac:dyDescent="0.25">
      <c r="A519" s="5" t="s">
        <v>329</v>
      </c>
      <c r="B519" s="5" t="s">
        <v>838</v>
      </c>
      <c r="C519" s="5" t="s">
        <v>839</v>
      </c>
      <c r="D519" s="3">
        <f>VLOOKUP(A519,airports!A:H,7,FALSE)</f>
        <v>33.308999999999997</v>
      </c>
      <c r="E519" s="3">
        <f>VLOOKUP(A519,airports!A:H,8,FALSE)</f>
        <v>-111.6559</v>
      </c>
      <c r="F519" s="3">
        <f>VLOOKUP(B519,airports!A:H,7,FALSE)</f>
        <v>46.77411111</v>
      </c>
      <c r="G519" s="3">
        <f>VLOOKUP(B519,airports!A:H,8,FALSE)</f>
        <v>-100.74672219999999</v>
      </c>
      <c r="H519">
        <f t="shared" si="16"/>
        <v>1758</v>
      </c>
      <c r="I519">
        <f t="shared" si="17"/>
        <v>1092.5</v>
      </c>
    </row>
    <row r="520" spans="1:9" x14ac:dyDescent="0.25">
      <c r="A520" s="5" t="s">
        <v>329</v>
      </c>
      <c r="B520" s="5" t="s">
        <v>344</v>
      </c>
      <c r="C520" s="5" t="s">
        <v>840</v>
      </c>
      <c r="D520" s="3">
        <f>VLOOKUP(A520,airports!A:H,7,FALSE)</f>
        <v>33.308999999999997</v>
      </c>
      <c r="E520" s="3">
        <f>VLOOKUP(A520,airports!A:H,8,FALSE)</f>
        <v>-111.6559</v>
      </c>
      <c r="F520" s="3">
        <f>VLOOKUP(B520,airports!A:H,7,FALSE)</f>
        <v>48.792749999999998</v>
      </c>
      <c r="G520" s="3">
        <f>VLOOKUP(B520,airports!A:H,8,FALSE)</f>
        <v>-122.53752780000001</v>
      </c>
      <c r="H520">
        <f t="shared" si="16"/>
        <v>1944</v>
      </c>
      <c r="I520">
        <f t="shared" si="17"/>
        <v>1208</v>
      </c>
    </row>
    <row r="521" spans="1:9" ht="30" x14ac:dyDescent="0.25">
      <c r="A521" s="5" t="s">
        <v>329</v>
      </c>
      <c r="B521" s="5" t="s">
        <v>841</v>
      </c>
      <c r="C521" s="5" t="s">
        <v>842</v>
      </c>
      <c r="D521" s="3">
        <f>VLOOKUP(A521,airports!A:H,7,FALSE)</f>
        <v>33.308999999999997</v>
      </c>
      <c r="E521" s="3">
        <f>VLOOKUP(A521,airports!A:H,8,FALSE)</f>
        <v>-111.6559</v>
      </c>
      <c r="F521" s="3">
        <f>VLOOKUP(B521,airports!A:H,7,FALSE)</f>
        <v>38.547699999999999</v>
      </c>
      <c r="G521" s="3">
        <f>VLOOKUP(B521,airports!A:H,8,FALSE)</f>
        <v>-89.815700000000007</v>
      </c>
      <c r="H521">
        <f t="shared" si="16"/>
        <v>2045.3</v>
      </c>
      <c r="I521">
        <f t="shared" si="17"/>
        <v>1271</v>
      </c>
    </row>
    <row r="522" spans="1:9" ht="30" x14ac:dyDescent="0.25">
      <c r="A522" s="5" t="s">
        <v>329</v>
      </c>
      <c r="B522" s="5" t="s">
        <v>22</v>
      </c>
      <c r="C522" s="5" t="s">
        <v>843</v>
      </c>
      <c r="D522" s="3">
        <f>VLOOKUP(A522,airports!A:H,7,FALSE)</f>
        <v>33.308999999999997</v>
      </c>
      <c r="E522" s="3">
        <f>VLOOKUP(A522,airports!A:H,8,FALSE)</f>
        <v>-111.6559</v>
      </c>
      <c r="F522" s="3">
        <f>VLOOKUP(B522,airports!A:H,7,FALSE)</f>
        <v>43.564444440000003</v>
      </c>
      <c r="G522" s="3">
        <f>VLOOKUP(B522,airports!A:H,8,FALSE)</f>
        <v>-116.2227778</v>
      </c>
      <c r="H522">
        <f t="shared" si="16"/>
        <v>1207.2</v>
      </c>
      <c r="I522">
        <f t="shared" si="17"/>
        <v>750.2</v>
      </c>
    </row>
    <row r="523" spans="1:9" ht="30" x14ac:dyDescent="0.25">
      <c r="A523" s="5" t="s">
        <v>329</v>
      </c>
      <c r="B523" s="5" t="s">
        <v>34</v>
      </c>
      <c r="C523" s="5" t="s">
        <v>844</v>
      </c>
      <c r="D523" s="3">
        <f>VLOOKUP(A523,airports!A:H,7,FALSE)</f>
        <v>33.308999999999997</v>
      </c>
      <c r="E523" s="3">
        <f>VLOOKUP(A523,airports!A:H,8,FALSE)</f>
        <v>-111.6559</v>
      </c>
      <c r="F523" s="3">
        <f>VLOOKUP(B523,airports!A:H,7,FALSE)</f>
        <v>45.776901389999999</v>
      </c>
      <c r="G523" s="3">
        <f>VLOOKUP(B523,airports!A:H,8,FALSE)</f>
        <v>-111.1530072</v>
      </c>
      <c r="H523">
        <f t="shared" si="16"/>
        <v>1387</v>
      </c>
      <c r="I523">
        <f t="shared" si="17"/>
        <v>861.9</v>
      </c>
    </row>
    <row r="524" spans="1:9" x14ac:dyDescent="0.25">
      <c r="A524" s="5" t="s">
        <v>329</v>
      </c>
      <c r="B524" s="5" t="s">
        <v>450</v>
      </c>
      <c r="C524" s="5" t="s">
        <v>845</v>
      </c>
      <c r="D524" s="3">
        <f>VLOOKUP(A524,airports!A:H,7,FALSE)</f>
        <v>33.308999999999997</v>
      </c>
      <c r="E524" s="3">
        <f>VLOOKUP(A524,airports!A:H,8,FALSE)</f>
        <v>-111.6559</v>
      </c>
      <c r="F524" s="3">
        <f>VLOOKUP(B524,airports!A:H,7,FALSE)</f>
        <v>41.88458833</v>
      </c>
      <c r="G524" s="3">
        <f>VLOOKUP(B524,airports!A:H,8,FALSE)</f>
        <v>-91.710872219999999</v>
      </c>
      <c r="H524">
        <f t="shared" si="16"/>
        <v>1992.3</v>
      </c>
      <c r="I524">
        <f t="shared" si="17"/>
        <v>1238</v>
      </c>
    </row>
    <row r="525" spans="1:9" ht="30" x14ac:dyDescent="0.25">
      <c r="A525" s="5" t="s">
        <v>329</v>
      </c>
      <c r="B525" s="5" t="s">
        <v>462</v>
      </c>
      <c r="C525" s="5" t="s">
        <v>846</v>
      </c>
      <c r="D525" s="3">
        <f>VLOOKUP(A525,airports!A:H,7,FALSE)</f>
        <v>33.308999999999997</v>
      </c>
      <c r="E525" s="3">
        <f>VLOOKUP(A525,airports!A:H,8,FALSE)</f>
        <v>-111.6559</v>
      </c>
      <c r="F525" s="3">
        <f>VLOOKUP(B525,airports!A:H,7,FALSE)</f>
        <v>39.046142779999997</v>
      </c>
      <c r="G525" s="3">
        <f>VLOOKUP(B525,airports!A:H,8,FALSE)</f>
        <v>-84.662172499999997</v>
      </c>
      <c r="H525">
        <f t="shared" si="16"/>
        <v>2495.1999999999998</v>
      </c>
      <c r="I525">
        <f t="shared" si="17"/>
        <v>1550.5</v>
      </c>
    </row>
    <row r="526" spans="1:9" ht="30" x14ac:dyDescent="0.25">
      <c r="A526" s="5" t="s">
        <v>329</v>
      </c>
      <c r="B526" s="5" t="s">
        <v>474</v>
      </c>
      <c r="C526" s="5" t="s">
        <v>847</v>
      </c>
      <c r="D526" s="3">
        <f>VLOOKUP(A526,airports!A:H,7,FALSE)</f>
        <v>33.308999999999997</v>
      </c>
      <c r="E526" s="3">
        <f>VLOOKUP(A526,airports!A:H,8,FALSE)</f>
        <v>-111.6559</v>
      </c>
      <c r="F526" s="3">
        <f>VLOOKUP(B526,airports!A:H,7,FALSE)</f>
        <v>41.53493306</v>
      </c>
      <c r="G526" s="3">
        <f>VLOOKUP(B526,airports!A:H,8,FALSE)</f>
        <v>-93.660682219999998</v>
      </c>
      <c r="H526">
        <f t="shared" si="16"/>
        <v>1828.2</v>
      </c>
      <c r="I526">
        <f t="shared" si="17"/>
        <v>1136.0999999999999</v>
      </c>
    </row>
    <row r="527" spans="1:9" ht="30" x14ac:dyDescent="0.25">
      <c r="A527" s="5" t="s">
        <v>329</v>
      </c>
      <c r="B527" s="5" t="s">
        <v>848</v>
      </c>
      <c r="C527" s="5" t="s">
        <v>849</v>
      </c>
      <c r="D527" s="3">
        <f>VLOOKUP(A527,airports!A:H,7,FALSE)</f>
        <v>33.308999999999997</v>
      </c>
      <c r="E527" s="3">
        <f>VLOOKUP(A527,airports!A:H,8,FALSE)</f>
        <v>-111.6559</v>
      </c>
      <c r="F527" s="3">
        <f>VLOOKUP(B527,airports!A:H,7,FALSE)</f>
        <v>44.123260000000002</v>
      </c>
      <c r="G527" s="3">
        <f>VLOOKUP(B527,airports!A:H,8,FALSE)</f>
        <v>-123.2186856</v>
      </c>
      <c r="H527">
        <f t="shared" si="16"/>
        <v>1562.8</v>
      </c>
      <c r="I527">
        <f t="shared" si="17"/>
        <v>971.1</v>
      </c>
    </row>
    <row r="528" spans="1:9" ht="30" x14ac:dyDescent="0.25">
      <c r="A528" s="5" t="s">
        <v>329</v>
      </c>
      <c r="B528" s="5" t="s">
        <v>491</v>
      </c>
      <c r="C528" s="5" t="s">
        <v>850</v>
      </c>
      <c r="D528" s="3">
        <f>VLOOKUP(A528,airports!A:H,7,FALSE)</f>
        <v>33.308999999999997</v>
      </c>
      <c r="E528" s="3">
        <f>VLOOKUP(A528,airports!A:H,8,FALSE)</f>
        <v>-111.6559</v>
      </c>
      <c r="F528" s="3">
        <f>VLOOKUP(B528,airports!A:H,7,FALSE)</f>
        <v>46.919348890000002</v>
      </c>
      <c r="G528" s="3">
        <f>VLOOKUP(B528,airports!A:H,8,FALSE)</f>
        <v>-96.814988889999995</v>
      </c>
      <c r="H528">
        <f t="shared" si="16"/>
        <v>1963.6</v>
      </c>
      <c r="I528">
        <f t="shared" si="17"/>
        <v>1220.2</v>
      </c>
    </row>
    <row r="529" spans="1:9" ht="30" x14ac:dyDescent="0.25">
      <c r="A529" s="5" t="s">
        <v>329</v>
      </c>
      <c r="B529" s="5" t="s">
        <v>56</v>
      </c>
      <c r="C529" s="5" t="s">
        <v>851</v>
      </c>
      <c r="D529" s="3">
        <f>VLOOKUP(A529,airports!A:H,7,FALSE)</f>
        <v>33.308999999999997</v>
      </c>
      <c r="E529" s="3">
        <f>VLOOKUP(A529,airports!A:H,8,FALSE)</f>
        <v>-111.6559</v>
      </c>
      <c r="F529" s="3">
        <f>VLOOKUP(B529,airports!A:H,7,FALSE)</f>
        <v>48.311404719999999</v>
      </c>
      <c r="G529" s="3">
        <f>VLOOKUP(B529,airports!A:H,8,FALSE)</f>
        <v>-114.2550694</v>
      </c>
      <c r="H529">
        <f t="shared" si="16"/>
        <v>1682.2</v>
      </c>
      <c r="I529">
        <f t="shared" si="17"/>
        <v>1045.3</v>
      </c>
    </row>
    <row r="530" spans="1:9" ht="30" x14ac:dyDescent="0.25">
      <c r="A530" s="5" t="s">
        <v>329</v>
      </c>
      <c r="B530" s="5" t="s">
        <v>497</v>
      </c>
      <c r="C530" s="5" t="s">
        <v>852</v>
      </c>
      <c r="D530" s="3">
        <f>VLOOKUP(A530,airports!A:H,7,FALSE)</f>
        <v>33.308999999999997</v>
      </c>
      <c r="E530" s="3">
        <f>VLOOKUP(A530,airports!A:H,8,FALSE)</f>
        <v>-111.6559</v>
      </c>
      <c r="F530" s="3">
        <f>VLOOKUP(B530,airports!A:H,7,FALSE)</f>
        <v>42.965503329999997</v>
      </c>
      <c r="G530" s="3">
        <f>VLOOKUP(B530,airports!A:H,8,FALSE)</f>
        <v>-83.743456390000006</v>
      </c>
      <c r="H530">
        <f t="shared" si="16"/>
        <v>2650.8</v>
      </c>
      <c r="I530">
        <f t="shared" si="17"/>
        <v>1647.2</v>
      </c>
    </row>
    <row r="531" spans="1:9" ht="30" x14ac:dyDescent="0.25">
      <c r="A531" s="5" t="s">
        <v>329</v>
      </c>
      <c r="B531" s="5" t="s">
        <v>499</v>
      </c>
      <c r="C531" s="5" t="s">
        <v>853</v>
      </c>
      <c r="D531" s="3">
        <f>VLOOKUP(A531,airports!A:H,7,FALSE)</f>
        <v>33.308999999999997</v>
      </c>
      <c r="E531" s="3">
        <f>VLOOKUP(A531,airports!A:H,8,FALSE)</f>
        <v>-111.6559</v>
      </c>
      <c r="F531" s="3">
        <f>VLOOKUP(B531,airports!A:H,7,FALSE)</f>
        <v>43.58135111</v>
      </c>
      <c r="G531" s="3">
        <f>VLOOKUP(B531,airports!A:H,8,FALSE)</f>
        <v>-96.741700280000003</v>
      </c>
      <c r="H531">
        <f t="shared" si="16"/>
        <v>1724.8</v>
      </c>
      <c r="I531">
        <f t="shared" si="17"/>
        <v>1071.8</v>
      </c>
    </row>
    <row r="532" spans="1:9" ht="30" x14ac:dyDescent="0.25">
      <c r="A532" s="5" t="s">
        <v>329</v>
      </c>
      <c r="B532" s="5" t="s">
        <v>503</v>
      </c>
      <c r="C532" s="5" t="s">
        <v>854</v>
      </c>
      <c r="D532" s="3">
        <f>VLOOKUP(A532,airports!A:H,7,FALSE)</f>
        <v>33.308999999999997</v>
      </c>
      <c r="E532" s="3">
        <f>VLOOKUP(A532,airports!A:H,8,FALSE)</f>
        <v>-111.6559</v>
      </c>
      <c r="F532" s="3">
        <f>VLOOKUP(B532,airports!A:H,7,FALSE)</f>
        <v>40.978465829999998</v>
      </c>
      <c r="G532" s="3">
        <f>VLOOKUP(B532,airports!A:H,8,FALSE)</f>
        <v>-85.195146390000005</v>
      </c>
      <c r="H532">
        <f t="shared" si="16"/>
        <v>2483.9</v>
      </c>
      <c r="I532">
        <f t="shared" si="17"/>
        <v>1543.5</v>
      </c>
    </row>
    <row r="533" spans="1:9" ht="30" x14ac:dyDescent="0.25">
      <c r="A533" s="5" t="s">
        <v>329</v>
      </c>
      <c r="B533" s="5" t="s">
        <v>505</v>
      </c>
      <c r="C533" s="5" t="s">
        <v>855</v>
      </c>
      <c r="D533" s="3">
        <f>VLOOKUP(A533,airports!A:H,7,FALSE)</f>
        <v>33.308999999999997</v>
      </c>
      <c r="E533" s="3">
        <f>VLOOKUP(A533,airports!A:H,8,FALSE)</f>
        <v>-111.6559</v>
      </c>
      <c r="F533" s="3">
        <f>VLOOKUP(B533,airports!A:H,7,FALSE)</f>
        <v>47.619855559999998</v>
      </c>
      <c r="G533" s="3">
        <f>VLOOKUP(B533,airports!A:H,8,FALSE)</f>
        <v>-117.53384250000001</v>
      </c>
      <c r="H533">
        <f t="shared" si="16"/>
        <v>1665.9</v>
      </c>
      <c r="I533">
        <f t="shared" si="17"/>
        <v>1035.2</v>
      </c>
    </row>
    <row r="534" spans="1:9" ht="30" x14ac:dyDescent="0.25">
      <c r="A534" s="5" t="s">
        <v>329</v>
      </c>
      <c r="B534" s="5" t="s">
        <v>856</v>
      </c>
      <c r="C534" s="5" t="s">
        <v>857</v>
      </c>
      <c r="D534" s="3">
        <f>VLOOKUP(A534,airports!A:H,7,FALSE)</f>
        <v>33.308999999999997</v>
      </c>
      <c r="E534" s="3">
        <f>VLOOKUP(A534,airports!A:H,8,FALSE)</f>
        <v>-111.6559</v>
      </c>
      <c r="F534" s="3">
        <f>VLOOKUP(B534,airports!A:H,7,FALSE)</f>
        <v>47.949255000000001</v>
      </c>
      <c r="G534" s="3">
        <f>VLOOKUP(B534,airports!A:H,8,FALSE)</f>
        <v>-97.176111109999994</v>
      </c>
      <c r="H534">
        <f t="shared" si="16"/>
        <v>2028.2</v>
      </c>
      <c r="I534">
        <f t="shared" si="17"/>
        <v>1260.4000000000001</v>
      </c>
    </row>
    <row r="535" spans="1:9" x14ac:dyDescent="0.25">
      <c r="A535" s="5" t="s">
        <v>329</v>
      </c>
      <c r="B535" s="5" t="s">
        <v>858</v>
      </c>
      <c r="C535" s="5" t="s">
        <v>859</v>
      </c>
      <c r="D535" s="3">
        <f>VLOOKUP(A535,airports!A:H,7,FALSE)</f>
        <v>33.308999999999997</v>
      </c>
      <c r="E535" s="3">
        <f>VLOOKUP(A535,airports!A:H,8,FALSE)</f>
        <v>-111.6559</v>
      </c>
      <c r="F535" s="3">
        <f>VLOOKUP(B535,airports!A:H,7,FALSE)</f>
        <v>39.122412500000003</v>
      </c>
      <c r="G535" s="3">
        <f>VLOOKUP(B535,airports!A:H,8,FALSE)</f>
        <v>-108.52673470000001</v>
      </c>
      <c r="H535">
        <f t="shared" si="16"/>
        <v>704.6</v>
      </c>
      <c r="I535">
        <f t="shared" si="17"/>
        <v>437.9</v>
      </c>
    </row>
    <row r="536" spans="1:9" x14ac:dyDescent="0.25">
      <c r="A536" s="5" t="s">
        <v>329</v>
      </c>
      <c r="B536" s="5" t="s">
        <v>860</v>
      </c>
      <c r="C536" s="5" t="s">
        <v>861</v>
      </c>
      <c r="D536" s="3">
        <f>VLOOKUP(A536,airports!A:H,7,FALSE)</f>
        <v>33.308999999999997</v>
      </c>
      <c r="E536" s="3">
        <f>VLOOKUP(A536,airports!A:H,8,FALSE)</f>
        <v>-111.6559</v>
      </c>
      <c r="F536" s="3">
        <f>VLOOKUP(B536,airports!A:H,7,FALSE)</f>
        <v>40.967472219999998</v>
      </c>
      <c r="G536" s="3">
        <f>VLOOKUP(B536,airports!A:H,8,FALSE)</f>
        <v>-98.308611110000001</v>
      </c>
      <c r="H536">
        <f t="shared" si="16"/>
        <v>1455</v>
      </c>
      <c r="I536">
        <f t="shared" si="17"/>
        <v>904.1</v>
      </c>
    </row>
    <row r="537" spans="1:9" ht="30" x14ac:dyDescent="0.25">
      <c r="A537" s="5" t="s">
        <v>329</v>
      </c>
      <c r="B537" s="5" t="s">
        <v>515</v>
      </c>
      <c r="C537" s="5" t="s">
        <v>862</v>
      </c>
      <c r="D537" s="3">
        <f>VLOOKUP(A537,airports!A:H,7,FALSE)</f>
        <v>33.308999999999997</v>
      </c>
      <c r="E537" s="3">
        <f>VLOOKUP(A537,airports!A:H,8,FALSE)</f>
        <v>-111.6559</v>
      </c>
      <c r="F537" s="3">
        <f>VLOOKUP(B537,airports!A:H,7,FALSE)</f>
        <v>42.880819719999998</v>
      </c>
      <c r="G537" s="3">
        <f>VLOOKUP(B537,airports!A:H,8,FALSE)</f>
        <v>-85.522767779999995</v>
      </c>
      <c r="H537">
        <f t="shared" si="16"/>
        <v>2508.6</v>
      </c>
      <c r="I537">
        <f t="shared" si="17"/>
        <v>1558.9</v>
      </c>
    </row>
    <row r="538" spans="1:9" ht="30" x14ac:dyDescent="0.25">
      <c r="A538" s="5" t="s">
        <v>329</v>
      </c>
      <c r="B538" s="5" t="s">
        <v>863</v>
      </c>
      <c r="C538" s="5" t="s">
        <v>864</v>
      </c>
      <c r="D538" s="3">
        <f>VLOOKUP(A538,airports!A:H,7,FALSE)</f>
        <v>33.308999999999997</v>
      </c>
      <c r="E538" s="3">
        <f>VLOOKUP(A538,airports!A:H,8,FALSE)</f>
        <v>-111.6559</v>
      </c>
      <c r="F538" s="3">
        <f>VLOOKUP(B538,airports!A:H,7,FALSE)</f>
        <v>47.482001940000004</v>
      </c>
      <c r="G538" s="3">
        <f>VLOOKUP(B538,airports!A:H,8,FALSE)</f>
        <v>-111.37068530000001</v>
      </c>
      <c r="H538">
        <f t="shared" si="16"/>
        <v>1576.1</v>
      </c>
      <c r="I538">
        <f t="shared" si="17"/>
        <v>979.4</v>
      </c>
    </row>
    <row r="539" spans="1:9" ht="30" x14ac:dyDescent="0.25">
      <c r="A539" s="5" t="s">
        <v>329</v>
      </c>
      <c r="B539" s="5" t="s">
        <v>205</v>
      </c>
      <c r="C539" s="5" t="s">
        <v>865</v>
      </c>
      <c r="D539" s="3">
        <f>VLOOKUP(A539,airports!A:H,7,FALSE)</f>
        <v>33.308999999999997</v>
      </c>
      <c r="E539" s="3">
        <f>VLOOKUP(A539,airports!A:H,8,FALSE)</f>
        <v>-111.6559</v>
      </c>
      <c r="F539" s="3">
        <f>VLOOKUP(B539,airports!A:H,7,FALSE)</f>
        <v>29.64541861</v>
      </c>
      <c r="G539" s="3">
        <f>VLOOKUP(B539,airports!A:H,8,FALSE)</f>
        <v>-95.278888890000005</v>
      </c>
      <c r="H539">
        <f t="shared" si="16"/>
        <v>1603.7</v>
      </c>
      <c r="I539">
        <f t="shared" si="17"/>
        <v>996.5</v>
      </c>
    </row>
    <row r="540" spans="1:9" x14ac:dyDescent="0.25">
      <c r="A540" s="5" t="s">
        <v>329</v>
      </c>
      <c r="B540" s="5" t="s">
        <v>533</v>
      </c>
      <c r="C540" s="5" t="s">
        <v>866</v>
      </c>
      <c r="D540" s="3">
        <f>VLOOKUP(A540,airports!A:H,7,FALSE)</f>
        <v>33.308999999999997</v>
      </c>
      <c r="E540" s="3">
        <f>VLOOKUP(A540,airports!A:H,8,FALSE)</f>
        <v>-111.6559</v>
      </c>
      <c r="F540" s="3">
        <f>VLOOKUP(B540,airports!A:H,7,FALSE)</f>
        <v>37.649958890000001</v>
      </c>
      <c r="G540" s="3">
        <f>VLOOKUP(B540,airports!A:H,8,FALSE)</f>
        <v>-97.433045829999998</v>
      </c>
      <c r="H540">
        <f t="shared" si="16"/>
        <v>1373.6</v>
      </c>
      <c r="I540">
        <f t="shared" si="17"/>
        <v>853.5</v>
      </c>
    </row>
    <row r="541" spans="1:9" ht="30" x14ac:dyDescent="0.25">
      <c r="A541" s="5" t="s">
        <v>329</v>
      </c>
      <c r="B541" s="5" t="s">
        <v>867</v>
      </c>
      <c r="C541" s="5" t="s">
        <v>868</v>
      </c>
      <c r="D541" s="3">
        <f>VLOOKUP(A541,airports!A:H,7,FALSE)</f>
        <v>33.308999999999997</v>
      </c>
      <c r="E541" s="3">
        <f>VLOOKUP(A541,airports!A:H,8,FALSE)</f>
        <v>-111.6559</v>
      </c>
      <c r="F541" s="3">
        <f>VLOOKUP(B541,airports!A:H,7,FALSE)</f>
        <v>43.514555559999998</v>
      </c>
      <c r="G541" s="3">
        <f>VLOOKUP(B541,airports!A:H,8,FALSE)</f>
        <v>-112.0701667</v>
      </c>
      <c r="H541">
        <f t="shared" si="16"/>
        <v>1135.4000000000001</v>
      </c>
      <c r="I541">
        <f t="shared" si="17"/>
        <v>705.5</v>
      </c>
    </row>
    <row r="542" spans="1:9" ht="30" x14ac:dyDescent="0.25">
      <c r="A542" s="5" t="s">
        <v>329</v>
      </c>
      <c r="B542" s="5" t="s">
        <v>537</v>
      </c>
      <c r="C542" s="5" t="s">
        <v>869</v>
      </c>
      <c r="D542" s="3">
        <f>VLOOKUP(A542,airports!A:H,7,FALSE)</f>
        <v>33.308999999999997</v>
      </c>
      <c r="E542" s="3">
        <f>VLOOKUP(A542,airports!A:H,8,FALSE)</f>
        <v>-111.6559</v>
      </c>
      <c r="F542" s="3">
        <f>VLOOKUP(B542,airports!A:H,7,FALSE)</f>
        <v>39.717329169999999</v>
      </c>
      <c r="G542" s="3">
        <f>VLOOKUP(B542,airports!A:H,8,FALSE)</f>
        <v>-86.294384170000001</v>
      </c>
      <c r="H542">
        <f t="shared" si="16"/>
        <v>2366.6</v>
      </c>
      <c r="I542">
        <f t="shared" si="17"/>
        <v>1470.6</v>
      </c>
    </row>
    <row r="543" spans="1:9" ht="30" x14ac:dyDescent="0.25">
      <c r="A543" s="5" t="s">
        <v>329</v>
      </c>
      <c r="B543" s="5" t="s">
        <v>541</v>
      </c>
      <c r="C543" s="5" t="s">
        <v>870</v>
      </c>
      <c r="D543" s="3">
        <f>VLOOKUP(A543,airports!A:H,7,FALSE)</f>
        <v>33.308999999999997</v>
      </c>
      <c r="E543" s="3">
        <f>VLOOKUP(A543,airports!A:H,8,FALSE)</f>
        <v>-111.6559</v>
      </c>
      <c r="F543" s="3">
        <f>VLOOKUP(B543,airports!A:H,7,FALSE)</f>
        <v>43.607324169999998</v>
      </c>
      <c r="G543" s="3">
        <f>VLOOKUP(B543,airports!A:H,8,FALSE)</f>
        <v>-110.7377389</v>
      </c>
      <c r="H543">
        <f t="shared" si="16"/>
        <v>1147.9000000000001</v>
      </c>
      <c r="I543">
        <f t="shared" si="17"/>
        <v>713.3</v>
      </c>
    </row>
    <row r="544" spans="1:9" ht="30" x14ac:dyDescent="0.25">
      <c r="A544" s="5" t="s">
        <v>329</v>
      </c>
      <c r="B544" s="5" t="s">
        <v>71</v>
      </c>
      <c r="C544" s="5" t="s">
        <v>871</v>
      </c>
      <c r="D544" s="3">
        <f>VLOOKUP(A544,airports!A:H,7,FALSE)</f>
        <v>33.308999999999997</v>
      </c>
      <c r="E544" s="3">
        <f>VLOOKUP(A544,airports!A:H,8,FALSE)</f>
        <v>-111.6559</v>
      </c>
      <c r="F544" s="3">
        <f>VLOOKUP(B544,airports!A:H,7,FALSE)</f>
        <v>36.080361109999998</v>
      </c>
      <c r="G544" s="3">
        <f>VLOOKUP(B544,airports!A:H,8,FALSE)</f>
        <v>-115.1523333</v>
      </c>
      <c r="H544">
        <f t="shared" si="16"/>
        <v>443.9</v>
      </c>
      <c r="I544">
        <f t="shared" si="17"/>
        <v>275.89999999999998</v>
      </c>
    </row>
    <row r="545" spans="1:9" ht="30" x14ac:dyDescent="0.25">
      <c r="A545" s="5" t="s">
        <v>329</v>
      </c>
      <c r="B545" s="5" t="s">
        <v>80</v>
      </c>
      <c r="C545" s="5" t="s">
        <v>872</v>
      </c>
      <c r="D545" s="3">
        <f>VLOOKUP(A545,airports!A:H,7,FALSE)</f>
        <v>33.308999999999997</v>
      </c>
      <c r="E545" s="3">
        <f>VLOOKUP(A545,airports!A:H,8,FALSE)</f>
        <v>-111.6559</v>
      </c>
      <c r="F545" s="3">
        <f>VLOOKUP(B545,airports!A:H,7,FALSE)</f>
        <v>39.297605279999999</v>
      </c>
      <c r="G545" s="3">
        <f>VLOOKUP(B545,airports!A:H,8,FALSE)</f>
        <v>-94.713905560000001</v>
      </c>
      <c r="H545">
        <f t="shared" si="16"/>
        <v>1654.4</v>
      </c>
      <c r="I545">
        <f t="shared" si="17"/>
        <v>1028</v>
      </c>
    </row>
    <row r="546" spans="1:9" ht="30" x14ac:dyDescent="0.25">
      <c r="A546" s="5" t="s">
        <v>329</v>
      </c>
      <c r="B546" s="5" t="s">
        <v>563</v>
      </c>
      <c r="C546" s="5" t="s">
        <v>873</v>
      </c>
      <c r="D546" s="3">
        <f>VLOOKUP(A546,airports!A:H,7,FALSE)</f>
        <v>33.308999999999997</v>
      </c>
      <c r="E546" s="3">
        <f>VLOOKUP(A546,airports!A:H,8,FALSE)</f>
        <v>-111.6559</v>
      </c>
      <c r="F546" s="3">
        <f>VLOOKUP(B546,airports!A:H,7,FALSE)</f>
        <v>35.042416670000001</v>
      </c>
      <c r="G546" s="3">
        <f>VLOOKUP(B546,airports!A:H,8,FALSE)</f>
        <v>-89.97666667</v>
      </c>
      <c r="H546">
        <f t="shared" si="16"/>
        <v>1999.7</v>
      </c>
      <c r="I546">
        <f t="shared" si="17"/>
        <v>1242.5999999999999</v>
      </c>
    </row>
    <row r="547" spans="1:9" ht="30" x14ac:dyDescent="0.25">
      <c r="A547" s="5" t="s">
        <v>329</v>
      </c>
      <c r="B547" s="5" t="s">
        <v>750</v>
      </c>
      <c r="C547" s="5" t="s">
        <v>874</v>
      </c>
      <c r="D547" s="3">
        <f>VLOOKUP(A547,airports!A:H,7,FALSE)</f>
        <v>33.308999999999997</v>
      </c>
      <c r="E547" s="3">
        <f>VLOOKUP(A547,airports!A:H,8,FALSE)</f>
        <v>-111.6559</v>
      </c>
      <c r="F547" s="3">
        <f>VLOOKUP(B547,airports!A:H,7,FALSE)</f>
        <v>26.17583333</v>
      </c>
      <c r="G547" s="3">
        <f>VLOOKUP(B547,airports!A:H,8,FALSE)</f>
        <v>-98.238611109999994</v>
      </c>
      <c r="H547">
        <f t="shared" si="16"/>
        <v>1516.9</v>
      </c>
      <c r="I547">
        <f t="shared" si="17"/>
        <v>942.6</v>
      </c>
    </row>
    <row r="548" spans="1:9" ht="30" x14ac:dyDescent="0.25">
      <c r="A548" s="5" t="s">
        <v>329</v>
      </c>
      <c r="B548" s="5" t="s">
        <v>875</v>
      </c>
      <c r="C548" s="5" t="s">
        <v>876</v>
      </c>
      <c r="D548" s="3">
        <f>VLOOKUP(A548,airports!A:H,7,FALSE)</f>
        <v>33.308999999999997</v>
      </c>
      <c r="E548" s="3">
        <f>VLOOKUP(A548,airports!A:H,8,FALSE)</f>
        <v>-111.6559</v>
      </c>
      <c r="F548" s="3">
        <f>VLOOKUP(B548,airports!A:H,7,FALSE)</f>
        <v>42.374227779999998</v>
      </c>
      <c r="G548" s="3">
        <f>VLOOKUP(B548,airports!A:H,8,FALSE)</f>
        <v>-122.8734978</v>
      </c>
      <c r="H548">
        <f t="shared" si="16"/>
        <v>1407</v>
      </c>
      <c r="I548">
        <f t="shared" si="17"/>
        <v>874.3</v>
      </c>
    </row>
    <row r="549" spans="1:9" ht="30" x14ac:dyDescent="0.25">
      <c r="A549" s="5" t="s">
        <v>329</v>
      </c>
      <c r="B549" s="5" t="s">
        <v>85</v>
      </c>
      <c r="C549" s="5" t="s">
        <v>877</v>
      </c>
      <c r="D549" s="3">
        <f>VLOOKUP(A549,airports!A:H,7,FALSE)</f>
        <v>33.308999999999997</v>
      </c>
      <c r="E549" s="3">
        <f>VLOOKUP(A549,airports!A:H,8,FALSE)</f>
        <v>-111.6559</v>
      </c>
      <c r="F549" s="3">
        <f>VLOOKUP(B549,airports!A:H,7,FALSE)</f>
        <v>42.94722222</v>
      </c>
      <c r="G549" s="3">
        <f>VLOOKUP(B549,airports!A:H,8,FALSE)</f>
        <v>-87.896583329999999</v>
      </c>
      <c r="H549">
        <f t="shared" si="16"/>
        <v>2326.9</v>
      </c>
      <c r="I549">
        <f t="shared" si="17"/>
        <v>1446</v>
      </c>
    </row>
    <row r="550" spans="1:9" ht="30" x14ac:dyDescent="0.25">
      <c r="A550" s="5" t="s">
        <v>329</v>
      </c>
      <c r="B550" s="5" t="s">
        <v>573</v>
      </c>
      <c r="C550" s="5" t="s">
        <v>878</v>
      </c>
      <c r="D550" s="3">
        <f>VLOOKUP(A550,airports!A:H,7,FALSE)</f>
        <v>33.308999999999997</v>
      </c>
      <c r="E550" s="3">
        <f>VLOOKUP(A550,airports!A:H,8,FALSE)</f>
        <v>-111.6559</v>
      </c>
      <c r="F550" s="3">
        <f>VLOOKUP(B550,airports!A:H,7,FALSE)</f>
        <v>41.448526389999998</v>
      </c>
      <c r="G550" s="3">
        <f>VLOOKUP(B550,airports!A:H,8,FALSE)</f>
        <v>-90.507539170000001</v>
      </c>
      <c r="H550">
        <f t="shared" si="16"/>
        <v>2068.9</v>
      </c>
      <c r="I550">
        <f t="shared" si="17"/>
        <v>1285.5999999999999</v>
      </c>
    </row>
    <row r="551" spans="1:9" ht="30" x14ac:dyDescent="0.25">
      <c r="A551" s="5" t="s">
        <v>329</v>
      </c>
      <c r="B551" s="5" t="s">
        <v>879</v>
      </c>
      <c r="C551" s="5" t="s">
        <v>880</v>
      </c>
      <c r="D551" s="3">
        <f>VLOOKUP(A551,airports!A:H,7,FALSE)</f>
        <v>33.308999999999997</v>
      </c>
      <c r="E551" s="3">
        <f>VLOOKUP(A551,airports!A:H,8,FALSE)</f>
        <v>-111.6559</v>
      </c>
      <c r="F551" s="3">
        <f>VLOOKUP(B551,airports!A:H,7,FALSE)</f>
        <v>48.259377780000001</v>
      </c>
      <c r="G551" s="3">
        <f>VLOOKUP(B551,airports!A:H,8,FALSE)</f>
        <v>-101.2803339</v>
      </c>
      <c r="H551">
        <f t="shared" si="16"/>
        <v>1874</v>
      </c>
      <c r="I551">
        <f t="shared" si="17"/>
        <v>1164.5</v>
      </c>
    </row>
    <row r="552" spans="1:9" ht="30" x14ac:dyDescent="0.25">
      <c r="A552" s="5" t="s">
        <v>329</v>
      </c>
      <c r="B552" s="5" t="s">
        <v>581</v>
      </c>
      <c r="C552" s="5" t="s">
        <v>881</v>
      </c>
      <c r="D552" s="3">
        <f>VLOOKUP(A552,airports!A:H,7,FALSE)</f>
        <v>33.308999999999997</v>
      </c>
      <c r="E552" s="3">
        <f>VLOOKUP(A552,airports!A:H,8,FALSE)</f>
        <v>-111.6559</v>
      </c>
      <c r="F552" s="3">
        <f>VLOOKUP(B552,airports!A:H,7,FALSE)</f>
        <v>46.916305559999998</v>
      </c>
      <c r="G552" s="3">
        <f>VLOOKUP(B552,airports!A:H,8,FALSE)</f>
        <v>-114.0905556</v>
      </c>
      <c r="H552">
        <f t="shared" si="16"/>
        <v>1527</v>
      </c>
      <c r="I552">
        <f t="shared" si="17"/>
        <v>948.9</v>
      </c>
    </row>
    <row r="553" spans="1:9" ht="30" x14ac:dyDescent="0.25">
      <c r="A553" s="5" t="s">
        <v>329</v>
      </c>
      <c r="B553" s="5" t="s">
        <v>87</v>
      </c>
      <c r="C553" s="5" t="s">
        <v>882</v>
      </c>
      <c r="D553" s="3">
        <f>VLOOKUP(A553,airports!A:H,7,FALSE)</f>
        <v>33.308999999999997</v>
      </c>
      <c r="E553" s="3">
        <f>VLOOKUP(A553,airports!A:H,8,FALSE)</f>
        <v>-111.6559</v>
      </c>
      <c r="F553" s="3">
        <f>VLOOKUP(B553,airports!A:H,7,FALSE)</f>
        <v>44.880546940000002</v>
      </c>
      <c r="G553" s="3">
        <f>VLOOKUP(B553,airports!A:H,8,FALSE)</f>
        <v>-93.216922499999995</v>
      </c>
      <c r="H553">
        <f t="shared" si="16"/>
        <v>2038</v>
      </c>
      <c r="I553">
        <f t="shared" si="17"/>
        <v>1266.4000000000001</v>
      </c>
    </row>
    <row r="554" spans="1:9" ht="30" x14ac:dyDescent="0.25">
      <c r="A554" s="5" t="s">
        <v>329</v>
      </c>
      <c r="B554" s="5" t="s">
        <v>215</v>
      </c>
      <c r="C554" s="5" t="s">
        <v>883</v>
      </c>
      <c r="D554" s="3">
        <f>VLOOKUP(A554,airports!A:H,7,FALSE)</f>
        <v>33.308999999999997</v>
      </c>
      <c r="E554" s="3">
        <f>VLOOKUP(A554,airports!A:H,8,FALSE)</f>
        <v>-111.6559</v>
      </c>
      <c r="F554" s="3">
        <f>VLOOKUP(B554,airports!A:H,7,FALSE)</f>
        <v>37.721290830000001</v>
      </c>
      <c r="G554" s="3">
        <f>VLOOKUP(B554,airports!A:H,8,FALSE)</f>
        <v>-122.2207167</v>
      </c>
      <c r="H554">
        <f t="shared" si="16"/>
        <v>1073.8</v>
      </c>
      <c r="I554">
        <f t="shared" si="17"/>
        <v>667.3</v>
      </c>
    </row>
    <row r="555" spans="1:9" ht="30" x14ac:dyDescent="0.25">
      <c r="A555" s="5" t="s">
        <v>329</v>
      </c>
      <c r="B555" s="5" t="s">
        <v>884</v>
      </c>
      <c r="C555" s="5" t="s">
        <v>885</v>
      </c>
      <c r="D555" s="3">
        <f>VLOOKUP(A555,airports!A:H,7,FALSE)</f>
        <v>33.308999999999997</v>
      </c>
      <c r="E555" s="3">
        <f>VLOOKUP(A555,airports!A:H,8,FALSE)</f>
        <v>-111.6559</v>
      </c>
      <c r="F555" s="3">
        <f>VLOOKUP(B555,airports!A:H,7,FALSE)</f>
        <v>41.195899963378999</v>
      </c>
      <c r="G555" s="3">
        <f>VLOOKUP(B555,airports!A:H,8,FALSE)</f>
        <v>-112.0120010376</v>
      </c>
      <c r="H555">
        <f t="shared" si="16"/>
        <v>877.5</v>
      </c>
      <c r="I555">
        <f t="shared" si="17"/>
        <v>545.29999999999995</v>
      </c>
    </row>
    <row r="556" spans="1:9" ht="30" x14ac:dyDescent="0.25">
      <c r="A556" s="5" t="s">
        <v>329</v>
      </c>
      <c r="B556" s="5" t="s">
        <v>592</v>
      </c>
      <c r="C556" s="5" t="s">
        <v>886</v>
      </c>
      <c r="D556" s="3">
        <f>VLOOKUP(A556,airports!A:H,7,FALSE)</f>
        <v>33.308999999999997</v>
      </c>
      <c r="E556" s="3">
        <f>VLOOKUP(A556,airports!A:H,8,FALSE)</f>
        <v>-111.6559</v>
      </c>
      <c r="F556" s="3">
        <f>VLOOKUP(B556,airports!A:H,7,FALSE)</f>
        <v>41.30251861</v>
      </c>
      <c r="G556" s="3">
        <f>VLOOKUP(B556,airports!A:H,8,FALSE)</f>
        <v>-95.89417306</v>
      </c>
      <c r="H556">
        <f t="shared" si="16"/>
        <v>1649.3</v>
      </c>
      <c r="I556">
        <f t="shared" si="17"/>
        <v>1024.9000000000001</v>
      </c>
    </row>
    <row r="557" spans="1:9" x14ac:dyDescent="0.25">
      <c r="A557" s="5" t="s">
        <v>329</v>
      </c>
      <c r="B557" s="5" t="s">
        <v>604</v>
      </c>
      <c r="C557" s="5" t="s">
        <v>887</v>
      </c>
      <c r="D557" s="3">
        <f>VLOOKUP(A557,airports!A:H,7,FALSE)</f>
        <v>33.308999999999997</v>
      </c>
      <c r="E557" s="3">
        <f>VLOOKUP(A557,airports!A:H,8,FALSE)</f>
        <v>-111.6559</v>
      </c>
      <c r="F557" s="3">
        <f>VLOOKUP(B557,airports!A:H,7,FALSE)</f>
        <v>40.664243329999998</v>
      </c>
      <c r="G557" s="3">
        <f>VLOOKUP(B557,airports!A:H,8,FALSE)</f>
        <v>-89.693305559999999</v>
      </c>
      <c r="H557">
        <f t="shared" si="16"/>
        <v>2107.9</v>
      </c>
      <c r="I557">
        <f t="shared" si="17"/>
        <v>1309.8</v>
      </c>
    </row>
    <row r="558" spans="1:9" x14ac:dyDescent="0.25">
      <c r="A558" s="5" t="s">
        <v>329</v>
      </c>
      <c r="B558" s="5" t="s">
        <v>188</v>
      </c>
      <c r="C558" s="5" t="s">
        <v>888</v>
      </c>
      <c r="D558" s="3">
        <f>VLOOKUP(A558,airports!A:H,7,FALSE)</f>
        <v>33.308999999999997</v>
      </c>
      <c r="E558" s="3">
        <f>VLOOKUP(A558,airports!A:H,8,FALSE)</f>
        <v>-111.6559</v>
      </c>
      <c r="F558" s="3">
        <f>VLOOKUP(B558,airports!A:H,7,FALSE)</f>
        <v>27.910763330000002</v>
      </c>
      <c r="G558" s="3">
        <f>VLOOKUP(B558,airports!A:H,8,FALSE)</f>
        <v>-82.687439440000006</v>
      </c>
      <c r="H558">
        <f t="shared" si="16"/>
        <v>2826.8</v>
      </c>
      <c r="I558">
        <f t="shared" si="17"/>
        <v>1756.6</v>
      </c>
    </row>
    <row r="559" spans="1:9" x14ac:dyDescent="0.25">
      <c r="A559" s="5" t="s">
        <v>329</v>
      </c>
      <c r="B559" s="5" t="s">
        <v>106</v>
      </c>
      <c r="C559" s="5" t="s">
        <v>889</v>
      </c>
      <c r="D559" s="3">
        <f>VLOOKUP(A559,airports!A:H,7,FALSE)</f>
        <v>33.308999999999997</v>
      </c>
      <c r="E559" s="3">
        <f>VLOOKUP(A559,airports!A:H,8,FALSE)</f>
        <v>-111.6559</v>
      </c>
      <c r="F559" s="3">
        <f>VLOOKUP(B559,airports!A:H,7,FALSE)</f>
        <v>40.491465830000003</v>
      </c>
      <c r="G559" s="3">
        <f>VLOOKUP(B559,airports!A:H,8,FALSE)</f>
        <v>-80.232870829999996</v>
      </c>
      <c r="H559">
        <f t="shared" si="16"/>
        <v>2888.9</v>
      </c>
      <c r="I559">
        <f t="shared" si="17"/>
        <v>1795.2</v>
      </c>
    </row>
    <row r="560" spans="1:9" ht="30" x14ac:dyDescent="0.25">
      <c r="A560" s="5" t="s">
        <v>329</v>
      </c>
      <c r="B560" s="5" t="s">
        <v>890</v>
      </c>
      <c r="C560" s="5" t="s">
        <v>891</v>
      </c>
      <c r="D560" s="3">
        <f>VLOOKUP(A560,airports!A:H,7,FALSE)</f>
        <v>33.308999999999997</v>
      </c>
      <c r="E560" s="3">
        <f>VLOOKUP(A560,airports!A:H,8,FALSE)</f>
        <v>-111.6559</v>
      </c>
      <c r="F560" s="3">
        <f>VLOOKUP(B560,airports!A:H,7,FALSE)</f>
        <v>46.26468028</v>
      </c>
      <c r="G560" s="3">
        <f>VLOOKUP(B560,airports!A:H,8,FALSE)</f>
        <v>-119.1190292</v>
      </c>
      <c r="H560">
        <f t="shared" si="16"/>
        <v>1573.7</v>
      </c>
      <c r="I560">
        <f t="shared" si="17"/>
        <v>977.9</v>
      </c>
    </row>
    <row r="561" spans="1:9" ht="30" x14ac:dyDescent="0.25">
      <c r="A561" s="5" t="s">
        <v>329</v>
      </c>
      <c r="B561" s="5" t="s">
        <v>772</v>
      </c>
      <c r="C561" s="5" t="s">
        <v>892</v>
      </c>
      <c r="D561" s="3">
        <f>VLOOKUP(A561,airports!A:H,7,FALSE)</f>
        <v>33.308999999999997</v>
      </c>
      <c r="E561" s="3">
        <f>VLOOKUP(A561,airports!A:H,8,FALSE)</f>
        <v>-111.6559</v>
      </c>
      <c r="F561" s="3">
        <f>VLOOKUP(B561,airports!A:H,7,FALSE)</f>
        <v>40.219200000000001</v>
      </c>
      <c r="G561" s="3">
        <f>VLOOKUP(B561,airports!A:H,8,FALSE)</f>
        <v>-111.723</v>
      </c>
      <c r="H561">
        <f t="shared" si="16"/>
        <v>768.4</v>
      </c>
      <c r="I561">
        <f t="shared" si="17"/>
        <v>477.5</v>
      </c>
    </row>
    <row r="562" spans="1:9" ht="30" x14ac:dyDescent="0.25">
      <c r="A562" s="5" t="s">
        <v>329</v>
      </c>
      <c r="B562" s="5" t="s">
        <v>612</v>
      </c>
      <c r="C562" s="5" t="s">
        <v>893</v>
      </c>
      <c r="D562" s="3">
        <f>VLOOKUP(A562,airports!A:H,7,FALSE)</f>
        <v>33.308999999999997</v>
      </c>
      <c r="E562" s="3">
        <f>VLOOKUP(A562,airports!A:H,8,FALSE)</f>
        <v>-111.6559</v>
      </c>
      <c r="F562" s="3">
        <f>VLOOKUP(B562,airports!A:H,7,FALSE)</f>
        <v>44.045321389999998</v>
      </c>
      <c r="G562" s="3">
        <f>VLOOKUP(B562,airports!A:H,8,FALSE)</f>
        <v>-103.0573708</v>
      </c>
      <c r="H562">
        <f t="shared" si="16"/>
        <v>1406.1</v>
      </c>
      <c r="I562">
        <f t="shared" si="17"/>
        <v>873.8</v>
      </c>
    </row>
    <row r="563" spans="1:9" ht="30" x14ac:dyDescent="0.25">
      <c r="A563" s="5" t="s">
        <v>329</v>
      </c>
      <c r="B563" s="5" t="s">
        <v>894</v>
      </c>
      <c r="C563" s="5" t="s">
        <v>895</v>
      </c>
      <c r="D563" s="3">
        <f>VLOOKUP(A563,airports!A:H,7,FALSE)</f>
        <v>33.308999999999997</v>
      </c>
      <c r="E563" s="3">
        <f>VLOOKUP(A563,airports!A:H,8,FALSE)</f>
        <v>-111.6559</v>
      </c>
      <c r="F563" s="3">
        <f>VLOOKUP(B563,airports!A:H,7,FALSE)</f>
        <v>44.254067220000003</v>
      </c>
      <c r="G563" s="3">
        <f>VLOOKUP(B563,airports!A:H,8,FALSE)</f>
        <v>-121.1499633</v>
      </c>
      <c r="H563">
        <f t="shared" si="16"/>
        <v>1466.9</v>
      </c>
      <c r="I563">
        <f t="shared" si="17"/>
        <v>911.5</v>
      </c>
    </row>
    <row r="564" spans="1:9" ht="30" x14ac:dyDescent="0.25">
      <c r="A564" s="5" t="s">
        <v>329</v>
      </c>
      <c r="B564" s="5" t="s">
        <v>896</v>
      </c>
      <c r="C564" s="5" t="s">
        <v>897</v>
      </c>
      <c r="D564" s="3">
        <f>VLOOKUP(A564,airports!A:H,7,FALSE)</f>
        <v>33.308999999999997</v>
      </c>
      <c r="E564" s="3">
        <f>VLOOKUP(A564,airports!A:H,8,FALSE)</f>
        <v>-111.6559</v>
      </c>
      <c r="F564" s="3">
        <f>VLOOKUP(B564,airports!A:H,7,FALSE)</f>
        <v>42.195363890000003</v>
      </c>
      <c r="G564" s="3">
        <f>VLOOKUP(B564,airports!A:H,8,FALSE)</f>
        <v>-89.097211110000003</v>
      </c>
      <c r="H564">
        <f t="shared" si="16"/>
        <v>2206.5</v>
      </c>
      <c r="I564">
        <f t="shared" si="17"/>
        <v>1371.1</v>
      </c>
    </row>
    <row r="565" spans="1:9" ht="30" x14ac:dyDescent="0.25">
      <c r="A565" s="5" t="s">
        <v>329</v>
      </c>
      <c r="B565" s="5" t="s">
        <v>124</v>
      </c>
      <c r="C565" s="5" t="s">
        <v>898</v>
      </c>
      <c r="D565" s="3">
        <f>VLOOKUP(A565,airports!A:H,7,FALSE)</f>
        <v>33.308999999999997</v>
      </c>
      <c r="E565" s="3">
        <f>VLOOKUP(A565,airports!A:H,8,FALSE)</f>
        <v>-111.6559</v>
      </c>
      <c r="F565" s="3">
        <f>VLOOKUP(B565,airports!A:H,7,FALSE)</f>
        <v>32.733556110000002</v>
      </c>
      <c r="G565" s="3">
        <f>VLOOKUP(B565,airports!A:H,8,FALSE)</f>
        <v>-117.1896567</v>
      </c>
      <c r="H565">
        <f t="shared" si="16"/>
        <v>519.79999999999995</v>
      </c>
      <c r="I565">
        <f t="shared" si="17"/>
        <v>323</v>
      </c>
    </row>
    <row r="566" spans="1:9" ht="30" x14ac:dyDescent="0.25">
      <c r="A566" s="5" t="s">
        <v>329</v>
      </c>
      <c r="B566" s="5" t="s">
        <v>626</v>
      </c>
      <c r="C566" s="5" t="s">
        <v>899</v>
      </c>
      <c r="D566" s="3">
        <f>VLOOKUP(A566,airports!A:H,7,FALSE)</f>
        <v>33.308999999999997</v>
      </c>
      <c r="E566" s="3">
        <f>VLOOKUP(A566,airports!A:H,8,FALSE)</f>
        <v>-111.6559</v>
      </c>
      <c r="F566" s="3">
        <f>VLOOKUP(B566,airports!A:H,7,FALSE)</f>
        <v>41.708953610000002</v>
      </c>
      <c r="G566" s="3">
        <f>VLOOKUP(B566,airports!A:H,8,FALSE)</f>
        <v>-86.318474170000002</v>
      </c>
      <c r="H566">
        <f t="shared" si="16"/>
        <v>2410.8000000000002</v>
      </c>
      <c r="I566">
        <f t="shared" si="17"/>
        <v>1498.1</v>
      </c>
    </row>
    <row r="567" spans="1:9" ht="30" x14ac:dyDescent="0.25">
      <c r="A567" s="5" t="s">
        <v>329</v>
      </c>
      <c r="B567" s="5" t="s">
        <v>900</v>
      </c>
      <c r="C567" s="5" t="s">
        <v>901</v>
      </c>
      <c r="D567" s="3">
        <f>VLOOKUP(A567,airports!A:H,7,FALSE)</f>
        <v>33.308999999999997</v>
      </c>
      <c r="E567" s="3">
        <f>VLOOKUP(A567,airports!A:H,8,FALSE)</f>
        <v>-111.6559</v>
      </c>
      <c r="F567" s="3">
        <f>VLOOKUP(B567,airports!A:H,7,FALSE)</f>
        <v>37.894199371337997</v>
      </c>
      <c r="G567" s="3">
        <f>VLOOKUP(B567,airports!A:H,8,FALSE)</f>
        <v>-121.2379989624</v>
      </c>
      <c r="H567">
        <f t="shared" si="16"/>
        <v>1004.4</v>
      </c>
      <c r="I567">
        <f t="shared" si="17"/>
        <v>624.20000000000005</v>
      </c>
    </row>
    <row r="568" spans="1:9" ht="30" x14ac:dyDescent="0.25">
      <c r="A568" s="5" t="s">
        <v>329</v>
      </c>
      <c r="B568" s="5" t="s">
        <v>630</v>
      </c>
      <c r="C568" s="5" t="s">
        <v>902</v>
      </c>
      <c r="D568" s="3">
        <f>VLOOKUP(A568,airports!A:H,7,FALSE)</f>
        <v>33.308999999999997</v>
      </c>
      <c r="E568" s="3">
        <f>VLOOKUP(A568,airports!A:H,8,FALSE)</f>
        <v>-111.6559</v>
      </c>
      <c r="F568" s="3">
        <f>VLOOKUP(B568,airports!A:H,7,FALSE)</f>
        <v>38.174388890000003</v>
      </c>
      <c r="G568" s="3">
        <f>VLOOKUP(B568,airports!A:H,8,FALSE)</f>
        <v>-85.736000000000004</v>
      </c>
      <c r="H568">
        <f t="shared" si="16"/>
        <v>2392.6</v>
      </c>
      <c r="I568">
        <f t="shared" si="17"/>
        <v>1486.8</v>
      </c>
    </row>
    <row r="569" spans="1:9" ht="30" x14ac:dyDescent="0.25">
      <c r="A569" s="5" t="s">
        <v>329</v>
      </c>
      <c r="B569" s="5" t="s">
        <v>634</v>
      </c>
      <c r="C569" s="5" t="s">
        <v>903</v>
      </c>
      <c r="D569" s="3">
        <f>VLOOKUP(A569,airports!A:H,7,FALSE)</f>
        <v>33.308999999999997</v>
      </c>
      <c r="E569" s="3">
        <f>VLOOKUP(A569,airports!A:H,8,FALSE)</f>
        <v>-111.6559</v>
      </c>
      <c r="F569" s="3">
        <f>VLOOKUP(B569,airports!A:H,7,FALSE)</f>
        <v>37.244326110000003</v>
      </c>
      <c r="G569" s="3">
        <f>VLOOKUP(B569,airports!A:H,8,FALSE)</f>
        <v>-93.386858059999994</v>
      </c>
      <c r="H569">
        <f t="shared" si="16"/>
        <v>1712.1</v>
      </c>
      <c r="I569">
        <f t="shared" si="17"/>
        <v>1063.9000000000001</v>
      </c>
    </row>
    <row r="570" spans="1:9" ht="30" x14ac:dyDescent="0.25">
      <c r="A570" s="5" t="s">
        <v>329</v>
      </c>
      <c r="B570" s="5" t="s">
        <v>904</v>
      </c>
      <c r="C570" s="5" t="s">
        <v>905</v>
      </c>
      <c r="D570" s="3">
        <f>VLOOKUP(A570,airports!A:H,7,FALSE)</f>
        <v>33.308999999999997</v>
      </c>
      <c r="E570" s="3">
        <f>VLOOKUP(A570,airports!A:H,8,FALSE)</f>
        <v>-111.6559</v>
      </c>
      <c r="F570" s="3">
        <f>VLOOKUP(B570,airports!A:H,7,FALSE)</f>
        <v>37.090583330000001</v>
      </c>
      <c r="G570" s="3">
        <f>VLOOKUP(B570,airports!A:H,8,FALSE)</f>
        <v>-113.5930556</v>
      </c>
      <c r="H570">
        <f t="shared" si="16"/>
        <v>455.8</v>
      </c>
      <c r="I570">
        <f t="shared" si="17"/>
        <v>283.2</v>
      </c>
    </row>
    <row r="571" spans="1:9" ht="30" x14ac:dyDescent="0.25">
      <c r="A571" s="5" t="s">
        <v>329</v>
      </c>
      <c r="B571" s="5" t="s">
        <v>906</v>
      </c>
      <c r="C571" s="5" t="s">
        <v>907</v>
      </c>
      <c r="D571" s="3">
        <f>VLOOKUP(A571,airports!A:H,7,FALSE)</f>
        <v>33.308999999999997</v>
      </c>
      <c r="E571" s="3">
        <f>VLOOKUP(A571,airports!A:H,8,FALSE)</f>
        <v>-111.6559</v>
      </c>
      <c r="F571" s="3">
        <f>VLOOKUP(B571,airports!A:H,7,FALSE)</f>
        <v>34.899248329999999</v>
      </c>
      <c r="G571" s="3">
        <f>VLOOKUP(B571,airports!A:H,8,FALSE)</f>
        <v>-120.4575825</v>
      </c>
      <c r="H571">
        <f t="shared" si="16"/>
        <v>829.1</v>
      </c>
      <c r="I571">
        <f t="shared" si="17"/>
        <v>515.20000000000005</v>
      </c>
    </row>
    <row r="572" spans="1:9" ht="30" x14ac:dyDescent="0.25">
      <c r="A572" s="5" t="s">
        <v>329</v>
      </c>
      <c r="B572" s="5" t="s">
        <v>227</v>
      </c>
      <c r="C572" s="5" t="s">
        <v>908</v>
      </c>
      <c r="D572" s="3">
        <f>VLOOKUP(A572,airports!A:H,7,FALSE)</f>
        <v>33.308999999999997</v>
      </c>
      <c r="E572" s="3">
        <f>VLOOKUP(A572,airports!A:H,8,FALSE)</f>
        <v>-111.6559</v>
      </c>
      <c r="F572" s="3">
        <f>VLOOKUP(B572,airports!A:H,7,FALSE)</f>
        <v>33.675658609999999</v>
      </c>
      <c r="G572" s="3">
        <f>VLOOKUP(B572,airports!A:H,8,FALSE)</f>
        <v>-117.8682225</v>
      </c>
      <c r="H572">
        <f t="shared" si="16"/>
        <v>577.4</v>
      </c>
      <c r="I572">
        <f t="shared" si="17"/>
        <v>358.8</v>
      </c>
    </row>
    <row r="573" spans="1:9" x14ac:dyDescent="0.25">
      <c r="A573" s="5" t="s">
        <v>329</v>
      </c>
      <c r="B573" s="5" t="s">
        <v>909</v>
      </c>
      <c r="C573" s="5" t="s">
        <v>910</v>
      </c>
      <c r="D573" s="3">
        <f>VLOOKUP(A573,airports!A:H,7,FALSE)</f>
        <v>33.308999999999997</v>
      </c>
      <c r="E573" s="3">
        <f>VLOOKUP(A573,airports!A:H,8,FALSE)</f>
        <v>-111.6559</v>
      </c>
      <c r="F573" s="3">
        <f>VLOOKUP(B573,airports!A:H,7,FALSE)</f>
        <v>39.843951939999997</v>
      </c>
      <c r="G573" s="3">
        <f>VLOOKUP(B573,airports!A:H,8,FALSE)</f>
        <v>-89.677618609999996</v>
      </c>
      <c r="H573">
        <f t="shared" si="16"/>
        <v>2086.1</v>
      </c>
      <c r="I573">
        <f t="shared" si="17"/>
        <v>1296.3</v>
      </c>
    </row>
    <row r="574" spans="1:9" ht="30" x14ac:dyDescent="0.25">
      <c r="A574" s="5" t="s">
        <v>329</v>
      </c>
      <c r="B574" s="5" t="s">
        <v>911</v>
      </c>
      <c r="C574" s="5" t="s">
        <v>912</v>
      </c>
      <c r="D574" s="3">
        <f>VLOOKUP(A574,airports!A:H,7,FALSE)</f>
        <v>33.308999999999997</v>
      </c>
      <c r="E574" s="3">
        <f>VLOOKUP(A574,airports!A:H,8,FALSE)</f>
        <v>-111.6559</v>
      </c>
      <c r="F574" s="3">
        <f>VLOOKUP(B574,airports!A:H,7,FALSE)</f>
        <v>45.545324170000001</v>
      </c>
      <c r="G574" s="3">
        <f>VLOOKUP(B574,airports!A:H,8,FALSE)</f>
        <v>-94.058336670000003</v>
      </c>
      <c r="H574">
        <f t="shared" si="16"/>
        <v>2025.4</v>
      </c>
      <c r="I574">
        <f t="shared" si="17"/>
        <v>1258.5999999999999</v>
      </c>
    </row>
    <row r="575" spans="1:9" ht="30" x14ac:dyDescent="0.25">
      <c r="A575" s="5" t="s">
        <v>329</v>
      </c>
      <c r="B575" s="5" t="s">
        <v>913</v>
      </c>
      <c r="C575" s="5" t="s">
        <v>914</v>
      </c>
      <c r="D575" s="3">
        <f>VLOOKUP(A575,airports!A:H,7,FALSE)</f>
        <v>33.308999999999997</v>
      </c>
      <c r="E575" s="3">
        <f>VLOOKUP(A575,airports!A:H,8,FALSE)</f>
        <v>-111.6559</v>
      </c>
      <c r="F575" s="3">
        <f>VLOOKUP(B575,airports!A:H,7,FALSE)</f>
        <v>41.586805560000002</v>
      </c>
      <c r="G575" s="3">
        <f>VLOOKUP(B575,airports!A:H,8,FALSE)</f>
        <v>-83.807833329999994</v>
      </c>
      <c r="H575">
        <f t="shared" si="16"/>
        <v>2611</v>
      </c>
      <c r="I575">
        <f t="shared" si="17"/>
        <v>1622.5</v>
      </c>
    </row>
    <row r="576" spans="1:9" ht="30" x14ac:dyDescent="0.25">
      <c r="A576" s="5" t="s">
        <v>329</v>
      </c>
      <c r="B576" s="5" t="s">
        <v>658</v>
      </c>
      <c r="C576" s="5" t="s">
        <v>915</v>
      </c>
      <c r="D576" s="3">
        <f>VLOOKUP(A576,airports!A:H,7,FALSE)</f>
        <v>33.308999999999997</v>
      </c>
      <c r="E576" s="3">
        <f>VLOOKUP(A576,airports!A:H,8,FALSE)</f>
        <v>-111.6559</v>
      </c>
      <c r="F576" s="3">
        <f>VLOOKUP(B576,airports!A:H,7,FALSE)</f>
        <v>36.198372220000003</v>
      </c>
      <c r="G576" s="3">
        <f>VLOOKUP(B576,airports!A:H,8,FALSE)</f>
        <v>-95.888241669999999</v>
      </c>
      <c r="H576">
        <f t="shared" si="16"/>
        <v>1474.1</v>
      </c>
      <c r="I576">
        <f t="shared" si="17"/>
        <v>916</v>
      </c>
    </row>
    <row r="577" spans="1:9" ht="30" x14ac:dyDescent="0.25">
      <c r="A577" s="5" t="s">
        <v>329</v>
      </c>
      <c r="B577" s="5" t="s">
        <v>660</v>
      </c>
      <c r="C577" s="5" t="s">
        <v>916</v>
      </c>
      <c r="D577" s="3">
        <f>VLOOKUP(A577,airports!A:H,7,FALSE)</f>
        <v>33.308999999999997</v>
      </c>
      <c r="E577" s="3">
        <f>VLOOKUP(A577,airports!A:H,8,FALSE)</f>
        <v>-111.6559</v>
      </c>
      <c r="F577" s="3">
        <f>VLOOKUP(B577,airports!A:H,7,FALSE)</f>
        <v>32.116083330000002</v>
      </c>
      <c r="G577" s="3">
        <f>VLOOKUP(B577,airports!A:H,8,FALSE)</f>
        <v>-110.9410278</v>
      </c>
      <c r="H577">
        <f t="shared" si="16"/>
        <v>148.6</v>
      </c>
      <c r="I577">
        <f t="shared" si="17"/>
        <v>92.3</v>
      </c>
    </row>
    <row r="578" spans="1:9" ht="30" x14ac:dyDescent="0.25">
      <c r="A578" s="5" t="s">
        <v>329</v>
      </c>
      <c r="B578" s="5" t="s">
        <v>662</v>
      </c>
      <c r="C578" s="5" t="s">
        <v>917</v>
      </c>
      <c r="D578" s="3">
        <f>VLOOKUP(A578,airports!A:H,7,FALSE)</f>
        <v>33.308999999999997</v>
      </c>
      <c r="E578" s="3">
        <f>VLOOKUP(A578,airports!A:H,8,FALSE)</f>
        <v>-111.6559</v>
      </c>
      <c r="F578" s="3">
        <f>VLOOKUP(B578,airports!A:H,7,FALSE)</f>
        <v>44.741444719999997</v>
      </c>
      <c r="G578" s="3">
        <f>VLOOKUP(B578,airports!A:H,8,FALSE)</f>
        <v>-85.582234999999997</v>
      </c>
      <c r="H578">
        <f t="shared" si="16"/>
        <v>2569.8000000000002</v>
      </c>
      <c r="I578">
        <f t="shared" si="17"/>
        <v>1596.9</v>
      </c>
    </row>
    <row r="579" spans="1:9" ht="30" x14ac:dyDescent="0.25">
      <c r="A579" s="5" t="s">
        <v>329</v>
      </c>
      <c r="B579" s="5" t="s">
        <v>670</v>
      </c>
      <c r="C579" s="5" t="s">
        <v>918</v>
      </c>
      <c r="D579" s="3">
        <f>VLOOKUP(A579,airports!A:H,7,FALSE)</f>
        <v>33.308999999999997</v>
      </c>
      <c r="E579" s="3">
        <f>VLOOKUP(A579,airports!A:H,8,FALSE)</f>
        <v>-111.6559</v>
      </c>
      <c r="F579" s="3">
        <f>VLOOKUP(B579,airports!A:H,7,FALSE)</f>
        <v>36.281869440000001</v>
      </c>
      <c r="G579" s="3">
        <f>VLOOKUP(B579,airports!A:H,8,FALSE)</f>
        <v>-94.306811109999998</v>
      </c>
      <c r="H579">
        <f t="shared" si="16"/>
        <v>1615.9</v>
      </c>
      <c r="I579">
        <f t="shared" si="17"/>
        <v>1004.2</v>
      </c>
    </row>
    <row r="580" spans="1:9" ht="30" x14ac:dyDescent="0.25">
      <c r="A580" s="5" t="s">
        <v>919</v>
      </c>
      <c r="B580" s="5" t="s">
        <v>50</v>
      </c>
      <c r="C580" s="5" t="s">
        <v>920</v>
      </c>
      <c r="D580" s="3">
        <f>VLOOKUP(A580,airports!A:H,7,FALSE)</f>
        <v>42.234875000000002</v>
      </c>
      <c r="E580" s="3">
        <f>VLOOKUP(A580,airports!A:H,8,FALSE)</f>
        <v>-85.552057500000004</v>
      </c>
      <c r="F580" s="3">
        <f>VLOOKUP(B580,airports!A:H,7,FALSE)</f>
        <v>42.212058890000002</v>
      </c>
      <c r="G580" s="3">
        <f>VLOOKUP(B580,airports!A:H,8,FALSE)</f>
        <v>-83.348835829999999</v>
      </c>
      <c r="H580">
        <f t="shared" ref="H580:H643" si="18">ROUND(ACOS(COS(RADIANS(90-D580)) * COS(RADIANS(90-F580)) + SIN(RADIANS(90-D580)) * SIN(RADIANS(90-F580)) * COS(RADIANS(E580-G580))) * 6371,1)</f>
        <v>181.4</v>
      </c>
      <c r="I580">
        <f t="shared" ref="I580:I643" si="19">ROUND(ACOS(COS(RADIANS(90-D580)) * COS(RADIANS(90-F580)) + SIN(RADIANS(90-D580)) * SIN(RADIANS(90-F580)) * COS(RADIANS(E580-G580))) * 3959,1)</f>
        <v>112.7</v>
      </c>
    </row>
    <row r="581" spans="1:9" ht="30" x14ac:dyDescent="0.25">
      <c r="A581" s="5" t="s">
        <v>919</v>
      </c>
      <c r="B581" s="5" t="s">
        <v>87</v>
      </c>
      <c r="C581" s="5" t="s">
        <v>921</v>
      </c>
      <c r="D581" s="3">
        <f>VLOOKUP(A581,airports!A:H,7,FALSE)</f>
        <v>42.234875000000002</v>
      </c>
      <c r="E581" s="3">
        <f>VLOOKUP(A581,airports!A:H,8,FALSE)</f>
        <v>-85.552057500000004</v>
      </c>
      <c r="F581" s="3">
        <f>VLOOKUP(B581,airports!A:H,7,FALSE)</f>
        <v>44.880546940000002</v>
      </c>
      <c r="G581" s="3">
        <f>VLOOKUP(B581,airports!A:H,8,FALSE)</f>
        <v>-93.216922499999995</v>
      </c>
      <c r="H581">
        <f t="shared" si="18"/>
        <v>683.7</v>
      </c>
      <c r="I581">
        <f t="shared" si="19"/>
        <v>424.9</v>
      </c>
    </row>
    <row r="582" spans="1:9" ht="30" x14ac:dyDescent="0.25">
      <c r="A582" s="5" t="s">
        <v>919</v>
      </c>
      <c r="B582" s="5" t="s">
        <v>95</v>
      </c>
      <c r="C582" s="5" t="s">
        <v>922</v>
      </c>
      <c r="D582" s="3">
        <f>VLOOKUP(A582,airports!A:H,7,FALSE)</f>
        <v>42.234875000000002</v>
      </c>
      <c r="E582" s="3">
        <f>VLOOKUP(A582,airports!A:H,8,FALSE)</f>
        <v>-85.552057500000004</v>
      </c>
      <c r="F582" s="3">
        <f>VLOOKUP(B582,airports!A:H,7,FALSE)</f>
        <v>41.979595000000003</v>
      </c>
      <c r="G582" s="3">
        <f>VLOOKUP(B582,airports!A:H,8,FALSE)</f>
        <v>-87.904464169999997</v>
      </c>
      <c r="H582">
        <f t="shared" si="18"/>
        <v>196.1</v>
      </c>
      <c r="I582">
        <f t="shared" si="19"/>
        <v>121.9</v>
      </c>
    </row>
    <row r="583" spans="1:9" x14ac:dyDescent="0.25">
      <c r="A583" s="5" t="s">
        <v>16</v>
      </c>
      <c r="B583" s="5" t="s">
        <v>10</v>
      </c>
      <c r="C583" s="5" t="s">
        <v>923</v>
      </c>
      <c r="D583" s="3">
        <f>VLOOKUP(A583,airports!A:H,7,FALSE)</f>
        <v>41.938874169999998</v>
      </c>
      <c r="E583" s="3">
        <f>VLOOKUP(A583,airports!A:H,8,FALSE)</f>
        <v>-72.683228330000006</v>
      </c>
      <c r="F583" s="3">
        <f>VLOOKUP(B583,airports!A:H,7,FALSE)</f>
        <v>33.640444440000003</v>
      </c>
      <c r="G583" s="3">
        <f>VLOOKUP(B583,airports!A:H,8,FALSE)</f>
        <v>-84.42694444</v>
      </c>
      <c r="H583">
        <f t="shared" si="18"/>
        <v>1381.9</v>
      </c>
      <c r="I583">
        <f t="shared" si="19"/>
        <v>858.8</v>
      </c>
    </row>
    <row r="584" spans="1:9" ht="30" x14ac:dyDescent="0.25">
      <c r="A584" s="5" t="s">
        <v>16</v>
      </c>
      <c r="B584" s="5" t="s">
        <v>19</v>
      </c>
      <c r="C584" s="5" t="s">
        <v>924</v>
      </c>
      <c r="D584" s="3">
        <f>VLOOKUP(A584,airports!A:H,7,FALSE)</f>
        <v>41.938874169999998</v>
      </c>
      <c r="E584" s="3">
        <f>VLOOKUP(A584,airports!A:H,8,FALSE)</f>
        <v>-72.683228330000006</v>
      </c>
      <c r="F584" s="3">
        <f>VLOOKUP(B584,airports!A:H,7,FALSE)</f>
        <v>36.12447667</v>
      </c>
      <c r="G584" s="3">
        <f>VLOOKUP(B584,airports!A:H,8,FALSE)</f>
        <v>-86.678182219999997</v>
      </c>
      <c r="H584">
        <f t="shared" si="18"/>
        <v>1368.4</v>
      </c>
      <c r="I584">
        <f t="shared" si="19"/>
        <v>850.4</v>
      </c>
    </row>
    <row r="585" spans="1:9" ht="30" x14ac:dyDescent="0.25">
      <c r="A585" s="5" t="s">
        <v>16</v>
      </c>
      <c r="B585" s="5" t="s">
        <v>27</v>
      </c>
      <c r="C585" s="5" t="s">
        <v>925</v>
      </c>
      <c r="D585" s="3">
        <f>VLOOKUP(A585,airports!A:H,7,FALSE)</f>
        <v>41.938874169999998</v>
      </c>
      <c r="E585" s="3">
        <f>VLOOKUP(A585,airports!A:H,8,FALSE)</f>
        <v>-72.683228330000006</v>
      </c>
      <c r="F585" s="3">
        <f>VLOOKUP(B585,airports!A:H,7,FALSE)</f>
        <v>44.473003609999999</v>
      </c>
      <c r="G585" s="3">
        <f>VLOOKUP(B585,airports!A:H,8,FALSE)</f>
        <v>-73.150312499999998</v>
      </c>
      <c r="H585">
        <f t="shared" si="18"/>
        <v>284.3</v>
      </c>
      <c r="I585">
        <f t="shared" si="19"/>
        <v>176.7</v>
      </c>
    </row>
    <row r="586" spans="1:9" ht="30" x14ac:dyDescent="0.25">
      <c r="A586" s="5" t="s">
        <v>16</v>
      </c>
      <c r="B586" s="5" t="s">
        <v>32</v>
      </c>
      <c r="C586" s="5" t="s">
        <v>926</v>
      </c>
      <c r="D586" s="3">
        <f>VLOOKUP(A586,airports!A:H,7,FALSE)</f>
        <v>41.938874169999998</v>
      </c>
      <c r="E586" s="3">
        <f>VLOOKUP(A586,airports!A:H,8,FALSE)</f>
        <v>-72.683228330000006</v>
      </c>
      <c r="F586" s="3">
        <f>VLOOKUP(B586,airports!A:H,7,FALSE)</f>
        <v>39.175401669999999</v>
      </c>
      <c r="G586" s="3">
        <f>VLOOKUP(B586,airports!A:H,8,FALSE)</f>
        <v>-76.668198329999996</v>
      </c>
      <c r="H586">
        <f t="shared" si="18"/>
        <v>455.7</v>
      </c>
      <c r="I586">
        <f t="shared" si="19"/>
        <v>283.2</v>
      </c>
    </row>
    <row r="587" spans="1:9" x14ac:dyDescent="0.25">
      <c r="A587" s="5" t="s">
        <v>16</v>
      </c>
      <c r="B587" s="5" t="s">
        <v>38</v>
      </c>
      <c r="C587" s="5" t="s">
        <v>927</v>
      </c>
      <c r="D587" s="3">
        <f>VLOOKUP(A587,airports!A:H,7,FALSE)</f>
        <v>41.938874169999998</v>
      </c>
      <c r="E587" s="3">
        <f>VLOOKUP(A587,airports!A:H,8,FALSE)</f>
        <v>-72.683228330000006</v>
      </c>
      <c r="F587" s="3">
        <f>VLOOKUP(B587,airports!A:H,7,FALSE)</f>
        <v>41.410894169999999</v>
      </c>
      <c r="G587" s="3">
        <f>VLOOKUP(B587,airports!A:H,8,FALSE)</f>
        <v>-81.849396670000004</v>
      </c>
      <c r="H587">
        <f t="shared" si="18"/>
        <v>763.2</v>
      </c>
      <c r="I587">
        <f t="shared" si="19"/>
        <v>474.3</v>
      </c>
    </row>
    <row r="588" spans="1:9" x14ac:dyDescent="0.25">
      <c r="A588" s="5" t="s">
        <v>16</v>
      </c>
      <c r="B588" s="5" t="s">
        <v>40</v>
      </c>
      <c r="C588" s="5" t="s">
        <v>928</v>
      </c>
      <c r="D588" s="3">
        <f>VLOOKUP(A588,airports!A:H,7,FALSE)</f>
        <v>41.938874169999998</v>
      </c>
      <c r="E588" s="3">
        <f>VLOOKUP(A588,airports!A:H,8,FALSE)</f>
        <v>-72.683228330000006</v>
      </c>
      <c r="F588" s="3">
        <f>VLOOKUP(B588,airports!A:H,7,FALSE)</f>
        <v>35.214011110000001</v>
      </c>
      <c r="G588" s="3">
        <f>VLOOKUP(B588,airports!A:H,8,FALSE)</f>
        <v>-80.94312583</v>
      </c>
      <c r="H588">
        <f t="shared" si="18"/>
        <v>1035.7</v>
      </c>
      <c r="I588">
        <f t="shared" si="19"/>
        <v>643.6</v>
      </c>
    </row>
    <row r="589" spans="1:9" ht="30" x14ac:dyDescent="0.25">
      <c r="A589" s="5" t="s">
        <v>16</v>
      </c>
      <c r="B589" s="5" t="s">
        <v>462</v>
      </c>
      <c r="C589" s="5" t="s">
        <v>929</v>
      </c>
      <c r="D589" s="3">
        <f>VLOOKUP(A589,airports!A:H,7,FALSE)</f>
        <v>41.938874169999998</v>
      </c>
      <c r="E589" s="3">
        <f>VLOOKUP(A589,airports!A:H,8,FALSE)</f>
        <v>-72.683228330000006</v>
      </c>
      <c r="F589" s="3">
        <f>VLOOKUP(B589,airports!A:H,7,FALSE)</f>
        <v>39.046142779999997</v>
      </c>
      <c r="G589" s="3">
        <f>VLOOKUP(B589,airports!A:H,8,FALSE)</f>
        <v>-84.662172499999997</v>
      </c>
      <c r="H589">
        <f t="shared" si="18"/>
        <v>1061.7</v>
      </c>
      <c r="I589">
        <f t="shared" si="19"/>
        <v>659.8</v>
      </c>
    </row>
    <row r="590" spans="1:9" ht="30" x14ac:dyDescent="0.25">
      <c r="A590" s="5" t="s">
        <v>16</v>
      </c>
      <c r="B590" s="5" t="s">
        <v>45</v>
      </c>
      <c r="C590" s="5" t="s">
        <v>930</v>
      </c>
      <c r="D590" s="3">
        <f>VLOOKUP(A590,airports!A:H,7,FALSE)</f>
        <v>41.938874169999998</v>
      </c>
      <c r="E590" s="3">
        <f>VLOOKUP(A590,airports!A:H,8,FALSE)</f>
        <v>-72.683228330000006</v>
      </c>
      <c r="F590" s="3">
        <f>VLOOKUP(B590,airports!A:H,7,FALSE)</f>
        <v>38.852083329999999</v>
      </c>
      <c r="G590" s="3">
        <f>VLOOKUP(B590,airports!A:H,8,FALSE)</f>
        <v>-77.037722220000006</v>
      </c>
      <c r="H590">
        <f t="shared" si="18"/>
        <v>503.6</v>
      </c>
      <c r="I590">
        <f t="shared" si="19"/>
        <v>313</v>
      </c>
    </row>
    <row r="591" spans="1:9" ht="30" x14ac:dyDescent="0.25">
      <c r="A591" s="5" t="s">
        <v>16</v>
      </c>
      <c r="B591" s="5" t="s">
        <v>47</v>
      </c>
      <c r="C591" s="5" t="s">
        <v>931</v>
      </c>
      <c r="D591" s="3">
        <f>VLOOKUP(A591,airports!A:H,7,FALSE)</f>
        <v>41.938874169999998</v>
      </c>
      <c r="E591" s="3">
        <f>VLOOKUP(A591,airports!A:H,8,FALSE)</f>
        <v>-72.683228330000006</v>
      </c>
      <c r="F591" s="3">
        <f>VLOOKUP(B591,airports!A:H,7,FALSE)</f>
        <v>39.858408060000002</v>
      </c>
      <c r="G591" s="3">
        <f>VLOOKUP(B591,airports!A:H,8,FALSE)</f>
        <v>-104.6670019</v>
      </c>
      <c r="H591">
        <f t="shared" si="18"/>
        <v>2682.5</v>
      </c>
      <c r="I591">
        <f t="shared" si="19"/>
        <v>1666.9</v>
      </c>
    </row>
    <row r="592" spans="1:9" ht="30" x14ac:dyDescent="0.25">
      <c r="A592" s="5" t="s">
        <v>16</v>
      </c>
      <c r="B592" s="5" t="s">
        <v>49</v>
      </c>
      <c r="C592" s="5" t="s">
        <v>932</v>
      </c>
      <c r="D592" s="3">
        <f>VLOOKUP(A592,airports!A:H,7,FALSE)</f>
        <v>41.938874169999998</v>
      </c>
      <c r="E592" s="3">
        <f>VLOOKUP(A592,airports!A:H,8,FALSE)</f>
        <v>-72.683228330000006</v>
      </c>
      <c r="F592" s="3">
        <f>VLOOKUP(B592,airports!A:H,7,FALSE)</f>
        <v>32.895950560000003</v>
      </c>
      <c r="G592" s="3">
        <f>VLOOKUP(B592,airports!A:H,8,FALSE)</f>
        <v>-97.037199999999999</v>
      </c>
      <c r="H592">
        <f t="shared" si="18"/>
        <v>2363.1999999999998</v>
      </c>
      <c r="I592">
        <f t="shared" si="19"/>
        <v>1468.5</v>
      </c>
    </row>
    <row r="593" spans="1:9" ht="30" x14ac:dyDescent="0.25">
      <c r="A593" s="5" t="s">
        <v>16</v>
      </c>
      <c r="B593" s="5" t="s">
        <v>50</v>
      </c>
      <c r="C593" s="5" t="s">
        <v>933</v>
      </c>
      <c r="D593" s="3">
        <f>VLOOKUP(A593,airports!A:H,7,FALSE)</f>
        <v>41.938874169999998</v>
      </c>
      <c r="E593" s="3">
        <f>VLOOKUP(A593,airports!A:H,8,FALSE)</f>
        <v>-72.683228330000006</v>
      </c>
      <c r="F593" s="3">
        <f>VLOOKUP(B593,airports!A:H,7,FALSE)</f>
        <v>42.212058890000002</v>
      </c>
      <c r="G593" s="3">
        <f>VLOOKUP(B593,airports!A:H,8,FALSE)</f>
        <v>-83.348835829999999</v>
      </c>
      <c r="H593">
        <f t="shared" si="18"/>
        <v>880.2</v>
      </c>
      <c r="I593">
        <f t="shared" si="19"/>
        <v>547</v>
      </c>
    </row>
    <row r="594" spans="1:9" ht="30" x14ac:dyDescent="0.25">
      <c r="A594" s="5" t="s">
        <v>16</v>
      </c>
      <c r="B594" s="5" t="s">
        <v>52</v>
      </c>
      <c r="C594" s="5" t="s">
        <v>934</v>
      </c>
      <c r="D594" s="3">
        <f>VLOOKUP(A594,airports!A:H,7,FALSE)</f>
        <v>41.938874169999998</v>
      </c>
      <c r="E594" s="3">
        <f>VLOOKUP(A594,airports!A:H,8,FALSE)</f>
        <v>-72.683228330000006</v>
      </c>
      <c r="F594" s="3">
        <f>VLOOKUP(B594,airports!A:H,7,FALSE)</f>
        <v>40.69249722</v>
      </c>
      <c r="G594" s="3">
        <f>VLOOKUP(B594,airports!A:H,8,FALSE)</f>
        <v>-74.168660560000006</v>
      </c>
      <c r="H594">
        <f t="shared" si="18"/>
        <v>186</v>
      </c>
      <c r="I594">
        <f t="shared" si="19"/>
        <v>115.6</v>
      </c>
    </row>
    <row r="595" spans="1:9" x14ac:dyDescent="0.25">
      <c r="A595" s="5" t="s">
        <v>16</v>
      </c>
      <c r="B595" s="5" t="s">
        <v>57</v>
      </c>
      <c r="C595" s="5" t="s">
        <v>935</v>
      </c>
      <c r="D595" s="3">
        <f>VLOOKUP(A595,airports!A:H,7,FALSE)</f>
        <v>41.938874169999998</v>
      </c>
      <c r="E595" s="3">
        <f>VLOOKUP(A595,airports!A:H,8,FALSE)</f>
        <v>-72.683228330000006</v>
      </c>
      <c r="F595" s="3">
        <f>VLOOKUP(B595,airports!A:H,7,FALSE)</f>
        <v>26.072583330000001</v>
      </c>
      <c r="G595" s="3">
        <f>VLOOKUP(B595,airports!A:H,8,FALSE)</f>
        <v>-80.152749999999997</v>
      </c>
      <c r="H595">
        <f t="shared" si="18"/>
        <v>1891.9</v>
      </c>
      <c r="I595">
        <f t="shared" si="19"/>
        <v>1175.5999999999999</v>
      </c>
    </row>
    <row r="596" spans="1:9" x14ac:dyDescent="0.25">
      <c r="A596" s="5" t="s">
        <v>16</v>
      </c>
      <c r="B596" s="5" t="s">
        <v>176</v>
      </c>
      <c r="C596" s="5" t="s">
        <v>936</v>
      </c>
      <c r="D596" s="3">
        <f>VLOOKUP(A596,airports!A:H,7,FALSE)</f>
        <v>41.938874169999998</v>
      </c>
      <c r="E596" s="3">
        <f>VLOOKUP(A596,airports!A:H,8,FALSE)</f>
        <v>-72.683228330000006</v>
      </c>
      <c r="F596" s="3">
        <f>VLOOKUP(B596,airports!A:H,7,FALSE)</f>
        <v>38.944531939999997</v>
      </c>
      <c r="G596" s="3">
        <f>VLOOKUP(B596,airports!A:H,8,FALSE)</f>
        <v>-77.455809720000005</v>
      </c>
      <c r="H596">
        <f t="shared" si="18"/>
        <v>523.29999999999995</v>
      </c>
      <c r="I596">
        <f t="shared" si="19"/>
        <v>325.2</v>
      </c>
    </row>
    <row r="597" spans="1:9" x14ac:dyDescent="0.25">
      <c r="A597" s="5" t="s">
        <v>16</v>
      </c>
      <c r="B597" s="5" t="s">
        <v>67</v>
      </c>
      <c r="C597" s="5" t="s">
        <v>937</v>
      </c>
      <c r="D597" s="3">
        <f>VLOOKUP(A597,airports!A:H,7,FALSE)</f>
        <v>41.938874169999998</v>
      </c>
      <c r="E597" s="3">
        <f>VLOOKUP(A597,airports!A:H,8,FALSE)</f>
        <v>-72.683228330000006</v>
      </c>
      <c r="F597" s="3">
        <f>VLOOKUP(B597,airports!A:H,7,FALSE)</f>
        <v>29.980472219999999</v>
      </c>
      <c r="G597" s="3">
        <f>VLOOKUP(B597,airports!A:H,8,FALSE)</f>
        <v>-95.339722219999999</v>
      </c>
      <c r="H597">
        <f t="shared" si="18"/>
        <v>2422.5</v>
      </c>
      <c r="I597">
        <f t="shared" si="19"/>
        <v>1505.4</v>
      </c>
    </row>
    <row r="598" spans="1:9" x14ac:dyDescent="0.25">
      <c r="A598" s="5" t="s">
        <v>16</v>
      </c>
      <c r="B598" s="5" t="s">
        <v>71</v>
      </c>
      <c r="C598" s="5" t="s">
        <v>938</v>
      </c>
      <c r="D598" s="3">
        <f>VLOOKUP(A598,airports!A:H,7,FALSE)</f>
        <v>41.938874169999998</v>
      </c>
      <c r="E598" s="3">
        <f>VLOOKUP(A598,airports!A:H,8,FALSE)</f>
        <v>-72.683228330000006</v>
      </c>
      <c r="F598" s="3">
        <f>VLOOKUP(B598,airports!A:H,7,FALSE)</f>
        <v>36.080361109999998</v>
      </c>
      <c r="G598" s="3">
        <f>VLOOKUP(B598,airports!A:H,8,FALSE)</f>
        <v>-115.1523333</v>
      </c>
      <c r="H598">
        <f t="shared" si="18"/>
        <v>3688.3</v>
      </c>
      <c r="I598">
        <f t="shared" si="19"/>
        <v>2292</v>
      </c>
    </row>
    <row r="599" spans="1:9" x14ac:dyDescent="0.25">
      <c r="A599" s="5" t="s">
        <v>16</v>
      </c>
      <c r="B599" s="5" t="s">
        <v>73</v>
      </c>
      <c r="C599" s="5" t="s">
        <v>939</v>
      </c>
      <c r="D599" s="3">
        <f>VLOOKUP(A599,airports!A:H,7,FALSE)</f>
        <v>41.938874169999998</v>
      </c>
      <c r="E599" s="3">
        <f>VLOOKUP(A599,airports!A:H,8,FALSE)</f>
        <v>-72.683228330000006</v>
      </c>
      <c r="F599" s="3">
        <f>VLOOKUP(B599,airports!A:H,7,FALSE)</f>
        <v>33.942536109999999</v>
      </c>
      <c r="G599" s="3">
        <f>VLOOKUP(B599,airports!A:H,8,FALSE)</f>
        <v>-118.4080744</v>
      </c>
      <c r="H599">
        <f t="shared" si="18"/>
        <v>4057.3</v>
      </c>
      <c r="I599">
        <f t="shared" si="19"/>
        <v>2521.3000000000002</v>
      </c>
    </row>
    <row r="600" spans="1:9" ht="30" x14ac:dyDescent="0.25">
      <c r="A600" s="5" t="s">
        <v>16</v>
      </c>
      <c r="B600" s="5" t="s">
        <v>74</v>
      </c>
      <c r="C600" s="5" t="s">
        <v>940</v>
      </c>
      <c r="D600" s="3">
        <f>VLOOKUP(A600,airports!A:H,7,FALSE)</f>
        <v>41.938874169999998</v>
      </c>
      <c r="E600" s="3">
        <f>VLOOKUP(A600,airports!A:H,8,FALSE)</f>
        <v>-72.683228330000006</v>
      </c>
      <c r="F600" s="3">
        <f>VLOOKUP(B600,airports!A:H,7,FALSE)</f>
        <v>40.777243060000004</v>
      </c>
      <c r="G600" s="3">
        <f>VLOOKUP(B600,airports!A:H,8,FALSE)</f>
        <v>-73.872609170000004</v>
      </c>
      <c r="H600">
        <f t="shared" si="18"/>
        <v>162.9</v>
      </c>
      <c r="I600">
        <f t="shared" si="19"/>
        <v>101.2</v>
      </c>
    </row>
    <row r="601" spans="1:9" ht="30" x14ac:dyDescent="0.25">
      <c r="A601" s="5" t="s">
        <v>16</v>
      </c>
      <c r="B601" s="5" t="s">
        <v>82</v>
      </c>
      <c r="C601" s="5" t="s">
        <v>941</v>
      </c>
      <c r="D601" s="3">
        <f>VLOOKUP(A601,airports!A:H,7,FALSE)</f>
        <v>41.938874169999998</v>
      </c>
      <c r="E601" s="3">
        <f>VLOOKUP(A601,airports!A:H,8,FALSE)</f>
        <v>-72.683228330000006</v>
      </c>
      <c r="F601" s="3">
        <f>VLOOKUP(B601,airports!A:H,7,FALSE)</f>
        <v>28.42888889</v>
      </c>
      <c r="G601" s="3">
        <f>VLOOKUP(B601,airports!A:H,8,FALSE)</f>
        <v>-81.316027779999999</v>
      </c>
      <c r="H601">
        <f t="shared" si="18"/>
        <v>1692.6</v>
      </c>
      <c r="I601">
        <f t="shared" si="19"/>
        <v>1051.8</v>
      </c>
    </row>
    <row r="602" spans="1:9" ht="30" x14ac:dyDescent="0.25">
      <c r="A602" s="5" t="s">
        <v>16</v>
      </c>
      <c r="B602" s="5" t="s">
        <v>180</v>
      </c>
      <c r="C602" s="5" t="s">
        <v>942</v>
      </c>
      <c r="D602" s="3">
        <f>VLOOKUP(A602,airports!A:H,7,FALSE)</f>
        <v>41.938874169999998</v>
      </c>
      <c r="E602" s="3">
        <f>VLOOKUP(A602,airports!A:H,8,FALSE)</f>
        <v>-72.683228330000006</v>
      </c>
      <c r="F602" s="3">
        <f>VLOOKUP(B602,airports!A:H,7,FALSE)</f>
        <v>41.785982500000003</v>
      </c>
      <c r="G602" s="3">
        <f>VLOOKUP(B602,airports!A:H,8,FALSE)</f>
        <v>-87.752424439999999</v>
      </c>
      <c r="H602">
        <f t="shared" si="18"/>
        <v>1246.4000000000001</v>
      </c>
      <c r="I602">
        <f t="shared" si="19"/>
        <v>774.5</v>
      </c>
    </row>
    <row r="603" spans="1:9" ht="30" x14ac:dyDescent="0.25">
      <c r="A603" s="5" t="s">
        <v>16</v>
      </c>
      <c r="B603" s="5" t="s">
        <v>84</v>
      </c>
      <c r="C603" s="5" t="s">
        <v>943</v>
      </c>
      <c r="D603" s="3">
        <f>VLOOKUP(A603,airports!A:H,7,FALSE)</f>
        <v>41.938874169999998</v>
      </c>
      <c r="E603" s="3">
        <f>VLOOKUP(A603,airports!A:H,8,FALSE)</f>
        <v>-72.683228330000006</v>
      </c>
      <c r="F603" s="3">
        <f>VLOOKUP(B603,airports!A:H,7,FALSE)</f>
        <v>25.79325</v>
      </c>
      <c r="G603" s="3">
        <f>VLOOKUP(B603,airports!A:H,8,FALSE)</f>
        <v>-80.290555560000001</v>
      </c>
      <c r="H603">
        <f t="shared" si="18"/>
        <v>1925.8</v>
      </c>
      <c r="I603">
        <f t="shared" si="19"/>
        <v>1196.7</v>
      </c>
    </row>
    <row r="604" spans="1:9" ht="30" x14ac:dyDescent="0.25">
      <c r="A604" s="5" t="s">
        <v>16</v>
      </c>
      <c r="B604" s="5" t="s">
        <v>87</v>
      </c>
      <c r="C604" s="5" t="s">
        <v>944</v>
      </c>
      <c r="D604" s="3">
        <f>VLOOKUP(A604,airports!A:H,7,FALSE)</f>
        <v>41.938874169999998</v>
      </c>
      <c r="E604" s="3">
        <f>VLOOKUP(A604,airports!A:H,8,FALSE)</f>
        <v>-72.683228330000006</v>
      </c>
      <c r="F604" s="3">
        <f>VLOOKUP(B604,airports!A:H,7,FALSE)</f>
        <v>44.880546940000002</v>
      </c>
      <c r="G604" s="3">
        <f>VLOOKUP(B604,airports!A:H,8,FALSE)</f>
        <v>-93.216922499999995</v>
      </c>
      <c r="H604">
        <f t="shared" si="18"/>
        <v>1685.8</v>
      </c>
      <c r="I604">
        <f t="shared" si="19"/>
        <v>1047.5999999999999</v>
      </c>
    </row>
    <row r="605" spans="1:9" ht="30" x14ac:dyDescent="0.25">
      <c r="A605" s="5" t="s">
        <v>16</v>
      </c>
      <c r="B605" s="5" t="s">
        <v>182</v>
      </c>
      <c r="C605" s="5" t="s">
        <v>945</v>
      </c>
      <c r="D605" s="3">
        <f>VLOOKUP(A605,airports!A:H,7,FALSE)</f>
        <v>41.938874169999998</v>
      </c>
      <c r="E605" s="3">
        <f>VLOOKUP(A605,airports!A:H,8,FALSE)</f>
        <v>-72.683228330000006</v>
      </c>
      <c r="F605" s="3">
        <f>VLOOKUP(B605,airports!A:H,7,FALSE)</f>
        <v>33.679749999999999</v>
      </c>
      <c r="G605" s="3">
        <f>VLOOKUP(B605,airports!A:H,8,FALSE)</f>
        <v>-78.928333330000001</v>
      </c>
      <c r="H605">
        <f t="shared" si="18"/>
        <v>1069</v>
      </c>
      <c r="I605">
        <f t="shared" si="19"/>
        <v>664.3</v>
      </c>
    </row>
    <row r="606" spans="1:9" ht="30" x14ac:dyDescent="0.25">
      <c r="A606" s="5" t="s">
        <v>16</v>
      </c>
      <c r="B606" s="5" t="s">
        <v>95</v>
      </c>
      <c r="C606" s="5" t="s">
        <v>946</v>
      </c>
      <c r="D606" s="3">
        <f>VLOOKUP(A606,airports!A:H,7,FALSE)</f>
        <v>41.938874169999998</v>
      </c>
      <c r="E606" s="3">
        <f>VLOOKUP(A606,airports!A:H,8,FALSE)</f>
        <v>-72.683228330000006</v>
      </c>
      <c r="F606" s="3">
        <f>VLOOKUP(B606,airports!A:H,7,FALSE)</f>
        <v>41.979595000000003</v>
      </c>
      <c r="G606" s="3">
        <f>VLOOKUP(B606,airports!A:H,8,FALSE)</f>
        <v>-87.904464169999997</v>
      </c>
      <c r="H606">
        <f t="shared" si="18"/>
        <v>1256.9000000000001</v>
      </c>
      <c r="I606">
        <f t="shared" si="19"/>
        <v>781.1</v>
      </c>
    </row>
    <row r="607" spans="1:9" x14ac:dyDescent="0.25">
      <c r="A607" s="5" t="s">
        <v>16</v>
      </c>
      <c r="B607" s="5" t="s">
        <v>99</v>
      </c>
      <c r="C607" s="5" t="s">
        <v>947</v>
      </c>
      <c r="D607" s="3">
        <f>VLOOKUP(A607,airports!A:H,7,FALSE)</f>
        <v>41.938874169999998</v>
      </c>
      <c r="E607" s="3">
        <f>VLOOKUP(A607,airports!A:H,8,FALSE)</f>
        <v>-72.683228330000006</v>
      </c>
      <c r="F607" s="3">
        <f>VLOOKUP(B607,airports!A:H,7,FALSE)</f>
        <v>26.683161940000002</v>
      </c>
      <c r="G607" s="3">
        <f>VLOOKUP(B607,airports!A:H,8,FALSE)</f>
        <v>-80.095594169999998</v>
      </c>
      <c r="H607">
        <f t="shared" si="18"/>
        <v>1826</v>
      </c>
      <c r="I607">
        <f t="shared" si="19"/>
        <v>1134.7</v>
      </c>
    </row>
    <row r="608" spans="1:9" x14ac:dyDescent="0.25">
      <c r="A608" s="5" t="s">
        <v>16</v>
      </c>
      <c r="B608" s="5" t="s">
        <v>102</v>
      </c>
      <c r="C608" s="5" t="s">
        <v>948</v>
      </c>
      <c r="D608" s="3">
        <f>VLOOKUP(A608,airports!A:H,7,FALSE)</f>
        <v>41.938874169999998</v>
      </c>
      <c r="E608" s="3">
        <f>VLOOKUP(A608,airports!A:H,8,FALSE)</f>
        <v>-72.683228330000006</v>
      </c>
      <c r="F608" s="3">
        <f>VLOOKUP(B608,airports!A:H,7,FALSE)</f>
        <v>39.871952780000001</v>
      </c>
      <c r="G608" s="3">
        <f>VLOOKUP(B608,airports!A:H,8,FALSE)</f>
        <v>-75.241140830000006</v>
      </c>
      <c r="H608">
        <f t="shared" si="18"/>
        <v>314.7</v>
      </c>
      <c r="I608">
        <f t="shared" si="19"/>
        <v>195.5</v>
      </c>
    </row>
    <row r="609" spans="1:9" ht="30" x14ac:dyDescent="0.25">
      <c r="A609" s="5" t="s">
        <v>16</v>
      </c>
      <c r="B609" s="5" t="s">
        <v>119</v>
      </c>
      <c r="C609" s="5" t="s">
        <v>949</v>
      </c>
      <c r="D609" s="3">
        <f>VLOOKUP(A609,airports!A:H,7,FALSE)</f>
        <v>41.938874169999998</v>
      </c>
      <c r="E609" s="3">
        <f>VLOOKUP(A609,airports!A:H,8,FALSE)</f>
        <v>-72.683228330000006</v>
      </c>
      <c r="F609" s="3">
        <f>VLOOKUP(B609,airports!A:H,7,FALSE)</f>
        <v>35.87763889</v>
      </c>
      <c r="G609" s="3">
        <f>VLOOKUP(B609,airports!A:H,8,FALSE)</f>
        <v>-78.787472219999998</v>
      </c>
      <c r="H609">
        <f t="shared" si="18"/>
        <v>855.8</v>
      </c>
      <c r="I609">
        <f t="shared" si="19"/>
        <v>531.79999999999995</v>
      </c>
    </row>
    <row r="610" spans="1:9" ht="30" x14ac:dyDescent="0.25">
      <c r="A610" s="5" t="s">
        <v>16</v>
      </c>
      <c r="B610" s="5" t="s">
        <v>123</v>
      </c>
      <c r="C610" s="5" t="s">
        <v>950</v>
      </c>
      <c r="D610" s="3">
        <f>VLOOKUP(A610,airports!A:H,7,FALSE)</f>
        <v>41.938874169999998</v>
      </c>
      <c r="E610" s="3">
        <f>VLOOKUP(A610,airports!A:H,8,FALSE)</f>
        <v>-72.683228330000006</v>
      </c>
      <c r="F610" s="3">
        <f>VLOOKUP(B610,airports!A:H,7,FALSE)</f>
        <v>26.53616667</v>
      </c>
      <c r="G610" s="3">
        <f>VLOOKUP(B610,airports!A:H,8,FALSE)</f>
        <v>-81.755166669999994</v>
      </c>
      <c r="H610">
        <f t="shared" si="18"/>
        <v>1902.2</v>
      </c>
      <c r="I610">
        <f t="shared" si="19"/>
        <v>1182</v>
      </c>
    </row>
    <row r="611" spans="1:9" ht="30" x14ac:dyDescent="0.25">
      <c r="A611" s="5" t="s">
        <v>16</v>
      </c>
      <c r="B611" s="5" t="s">
        <v>130</v>
      </c>
      <c r="C611" s="5" t="s">
        <v>951</v>
      </c>
      <c r="D611" s="3">
        <f>VLOOKUP(A611,airports!A:H,7,FALSE)</f>
        <v>41.938874169999998</v>
      </c>
      <c r="E611" s="3">
        <f>VLOOKUP(A611,airports!A:H,8,FALSE)</f>
        <v>-72.683228330000006</v>
      </c>
      <c r="F611" s="3">
        <f>VLOOKUP(B611,airports!A:H,7,FALSE)</f>
        <v>37.619001939999997</v>
      </c>
      <c r="G611" s="3">
        <f>VLOOKUP(B611,airports!A:H,8,FALSE)</f>
        <v>-122.37484329999999</v>
      </c>
      <c r="H611">
        <f t="shared" si="18"/>
        <v>4214</v>
      </c>
      <c r="I611">
        <f t="shared" si="19"/>
        <v>2618.6</v>
      </c>
    </row>
    <row r="612" spans="1:9" x14ac:dyDescent="0.25">
      <c r="A612" s="5" t="s">
        <v>16</v>
      </c>
      <c r="B612" s="5" t="s">
        <v>134</v>
      </c>
      <c r="C612" s="5" t="s">
        <v>952</v>
      </c>
      <c r="D612" s="3">
        <f>VLOOKUP(A612,airports!A:H,7,FALSE)</f>
        <v>41.938874169999998</v>
      </c>
      <c r="E612" s="3">
        <f>VLOOKUP(A612,airports!A:H,8,FALSE)</f>
        <v>-72.683228330000006</v>
      </c>
      <c r="F612" s="3">
        <f>VLOOKUP(B612,airports!A:H,7,FALSE)</f>
        <v>18.43941667</v>
      </c>
      <c r="G612" s="3">
        <f>VLOOKUP(B612,airports!A:H,8,FALSE)</f>
        <v>-66.001833329999997</v>
      </c>
      <c r="H612">
        <f t="shared" si="18"/>
        <v>2688.6</v>
      </c>
      <c r="I612">
        <f t="shared" si="19"/>
        <v>1670.7</v>
      </c>
    </row>
    <row r="613" spans="1:9" x14ac:dyDescent="0.25">
      <c r="A613" s="5" t="s">
        <v>16</v>
      </c>
      <c r="B613" s="5" t="s">
        <v>644</v>
      </c>
      <c r="C613" s="5" t="s">
        <v>953</v>
      </c>
      <c r="D613" s="3">
        <f>VLOOKUP(A613,airports!A:H,7,FALSE)</f>
        <v>41.938874169999998</v>
      </c>
      <c r="E613" s="3">
        <f>VLOOKUP(A613,airports!A:H,8,FALSE)</f>
        <v>-72.683228330000006</v>
      </c>
      <c r="F613" s="3">
        <f>VLOOKUP(B613,airports!A:H,7,FALSE)</f>
        <v>38.747686940000001</v>
      </c>
      <c r="G613" s="3">
        <f>VLOOKUP(B613,airports!A:H,8,FALSE)</f>
        <v>-90.359989720000002</v>
      </c>
      <c r="H613">
        <f t="shared" si="18"/>
        <v>1536.5</v>
      </c>
      <c r="I613">
        <f t="shared" si="19"/>
        <v>954.8</v>
      </c>
    </row>
    <row r="614" spans="1:9" ht="30" x14ac:dyDescent="0.25">
      <c r="A614" s="5" t="s">
        <v>16</v>
      </c>
      <c r="B614" s="5" t="s">
        <v>145</v>
      </c>
      <c r="C614" s="5" t="s">
        <v>954</v>
      </c>
      <c r="D614" s="3">
        <f>VLOOKUP(A614,airports!A:H,7,FALSE)</f>
        <v>41.938874169999998</v>
      </c>
      <c r="E614" s="3">
        <f>VLOOKUP(A614,airports!A:H,8,FALSE)</f>
        <v>-72.683228330000006</v>
      </c>
      <c r="F614" s="3">
        <f>VLOOKUP(B614,airports!A:H,7,FALSE)</f>
        <v>27.97547222</v>
      </c>
      <c r="G614" s="3">
        <f>VLOOKUP(B614,airports!A:H,8,FALSE)</f>
        <v>-82.533249999999995</v>
      </c>
      <c r="H614">
        <f t="shared" si="18"/>
        <v>1790.5</v>
      </c>
      <c r="I614">
        <f t="shared" si="19"/>
        <v>1112.7</v>
      </c>
    </row>
    <row r="615" spans="1:9" ht="30" x14ac:dyDescent="0.25">
      <c r="A615" s="5" t="s">
        <v>342</v>
      </c>
      <c r="B615" s="5" t="s">
        <v>265</v>
      </c>
      <c r="C615" s="5" t="s">
        <v>955</v>
      </c>
      <c r="D615" s="3">
        <f>VLOOKUP(A615,airports!A:H,7,FALSE)</f>
        <v>60.779776390000002</v>
      </c>
      <c r="E615" s="3">
        <f>VLOOKUP(A615,airports!A:H,8,FALSE)</f>
        <v>-161.8379975</v>
      </c>
      <c r="F615" s="3">
        <f>VLOOKUP(B615,airports!A:H,7,FALSE)</f>
        <v>61.174320280000003</v>
      </c>
      <c r="G615" s="3">
        <f>VLOOKUP(B615,airports!A:H,8,FALSE)</f>
        <v>-149.99618559999999</v>
      </c>
      <c r="H615">
        <f t="shared" si="18"/>
        <v>639.5</v>
      </c>
      <c r="I615">
        <f t="shared" si="19"/>
        <v>397.4</v>
      </c>
    </row>
    <row r="616" spans="1:9" ht="30" x14ac:dyDescent="0.25">
      <c r="A616" s="5" t="s">
        <v>956</v>
      </c>
      <c r="B616" s="5" t="s">
        <v>47</v>
      </c>
      <c r="C616" s="5" t="s">
        <v>957</v>
      </c>
      <c r="D616" s="3">
        <f>VLOOKUP(A616,airports!A:H,7,FALSE)</f>
        <v>41.869599999999998</v>
      </c>
      <c r="E616" s="3">
        <f>VLOOKUP(A616,airports!A:H,8,FALSE)</f>
        <v>-103.5926</v>
      </c>
      <c r="F616" s="3">
        <f>VLOOKUP(B616,airports!A:H,7,FALSE)</f>
        <v>39.858408060000002</v>
      </c>
      <c r="G616" s="3">
        <f>VLOOKUP(B616,airports!A:H,8,FALSE)</f>
        <v>-104.6670019</v>
      </c>
      <c r="H616">
        <f t="shared" si="18"/>
        <v>241.2</v>
      </c>
      <c r="I616">
        <f t="shared" si="19"/>
        <v>149.9</v>
      </c>
    </row>
    <row r="617" spans="1:9" x14ac:dyDescent="0.25">
      <c r="A617" s="5" t="s">
        <v>956</v>
      </c>
      <c r="B617" s="5" t="s">
        <v>958</v>
      </c>
      <c r="C617" s="5" t="s">
        <v>959</v>
      </c>
      <c r="D617" s="3">
        <f>VLOOKUP(A617,airports!A:H,7,FALSE)</f>
        <v>41.869599999999998</v>
      </c>
      <c r="E617" s="3">
        <f>VLOOKUP(A617,airports!A:H,8,FALSE)</f>
        <v>-103.5926</v>
      </c>
      <c r="F617" s="3">
        <f>VLOOKUP(B617,airports!A:H,7,FALSE)</f>
        <v>41.312049999999999</v>
      </c>
      <c r="G617" s="3">
        <f>VLOOKUP(B617,airports!A:H,8,FALSE)</f>
        <v>-105.67498639999999</v>
      </c>
      <c r="H617">
        <f t="shared" si="18"/>
        <v>183.9</v>
      </c>
      <c r="I617">
        <f t="shared" si="19"/>
        <v>114.3</v>
      </c>
    </row>
    <row r="618" spans="1:9" x14ac:dyDescent="0.25">
      <c r="A618" s="5" t="s">
        <v>956</v>
      </c>
      <c r="B618" s="5" t="s">
        <v>960</v>
      </c>
      <c r="C618" s="5" t="s">
        <v>961</v>
      </c>
      <c r="D618" s="3">
        <f>VLOOKUP(A618,airports!A:H,7,FALSE)</f>
        <v>41.869599999999998</v>
      </c>
      <c r="E618" s="3">
        <f>VLOOKUP(A618,airports!A:H,8,FALSE)</f>
        <v>-103.5926</v>
      </c>
      <c r="F618" s="3">
        <f>VLOOKUP(B618,airports!A:H,7,FALSE)</f>
        <v>41.1327</v>
      </c>
      <c r="G618" s="3">
        <f>VLOOKUP(B618,airports!A:H,8,FALSE)</f>
        <v>-100.69799999999999</v>
      </c>
      <c r="H618">
        <f t="shared" si="18"/>
        <v>254.6</v>
      </c>
      <c r="I618">
        <f t="shared" si="19"/>
        <v>158.19999999999999</v>
      </c>
    </row>
    <row r="619" spans="1:9" x14ac:dyDescent="0.25">
      <c r="A619" s="5" t="s">
        <v>956</v>
      </c>
      <c r="B619" s="5" t="s">
        <v>693</v>
      </c>
      <c r="C619" s="5" t="s">
        <v>962</v>
      </c>
      <c r="D619" s="3">
        <f>VLOOKUP(A619,airports!A:H,7,FALSE)</f>
        <v>41.869599999999998</v>
      </c>
      <c r="E619" s="3">
        <f>VLOOKUP(A619,airports!A:H,8,FALSE)</f>
        <v>-103.5926</v>
      </c>
      <c r="F619" s="3">
        <f>VLOOKUP(B619,airports!A:H,7,FALSE)</f>
        <v>44.382676940000003</v>
      </c>
      <c r="G619" s="3">
        <f>VLOOKUP(B619,airports!A:H,8,FALSE)</f>
        <v>-100.285965</v>
      </c>
      <c r="H619">
        <f t="shared" si="18"/>
        <v>387.4</v>
      </c>
      <c r="I619">
        <f t="shared" si="19"/>
        <v>240.7</v>
      </c>
    </row>
    <row r="620" spans="1:9" ht="30" x14ac:dyDescent="0.25">
      <c r="A620" s="5" t="s">
        <v>963</v>
      </c>
      <c r="B620" s="5" t="s">
        <v>47</v>
      </c>
      <c r="C620" s="5" t="s">
        <v>964</v>
      </c>
      <c r="D620" s="3">
        <f>VLOOKUP(A620,airports!A:H,7,FALSE)</f>
        <v>35.433598060000001</v>
      </c>
      <c r="E620" s="3">
        <f>VLOOKUP(A620,airports!A:H,8,FALSE)</f>
        <v>-119.0567681</v>
      </c>
      <c r="F620" s="3">
        <f>VLOOKUP(B620,airports!A:H,7,FALSE)</f>
        <v>39.858408060000002</v>
      </c>
      <c r="G620" s="3">
        <f>VLOOKUP(B620,airports!A:H,8,FALSE)</f>
        <v>-104.6670019</v>
      </c>
      <c r="H620">
        <f t="shared" si="18"/>
        <v>1357.1</v>
      </c>
      <c r="I620">
        <f t="shared" si="19"/>
        <v>843.3</v>
      </c>
    </row>
    <row r="621" spans="1:9" ht="30" x14ac:dyDescent="0.25">
      <c r="A621" s="5" t="s">
        <v>963</v>
      </c>
      <c r="B621" s="5" t="s">
        <v>49</v>
      </c>
      <c r="C621" s="5" t="s">
        <v>965</v>
      </c>
      <c r="D621" s="3">
        <f>VLOOKUP(A621,airports!A:H,7,FALSE)</f>
        <v>35.433598060000001</v>
      </c>
      <c r="E621" s="3">
        <f>VLOOKUP(A621,airports!A:H,8,FALSE)</f>
        <v>-119.0567681</v>
      </c>
      <c r="F621" s="3">
        <f>VLOOKUP(B621,airports!A:H,7,FALSE)</f>
        <v>32.895950560000003</v>
      </c>
      <c r="G621" s="3">
        <f>VLOOKUP(B621,airports!A:H,8,FALSE)</f>
        <v>-97.037199999999999</v>
      </c>
      <c r="H621">
        <f t="shared" si="18"/>
        <v>2041.2</v>
      </c>
      <c r="I621">
        <f t="shared" si="19"/>
        <v>1268.4000000000001</v>
      </c>
    </row>
    <row r="622" spans="1:9" x14ac:dyDescent="0.25">
      <c r="A622" s="5" t="s">
        <v>963</v>
      </c>
      <c r="B622" s="5" t="s">
        <v>104</v>
      </c>
      <c r="C622" s="5" t="s">
        <v>966</v>
      </c>
      <c r="D622" s="3">
        <f>VLOOKUP(A622,airports!A:H,7,FALSE)</f>
        <v>35.433598060000001</v>
      </c>
      <c r="E622" s="3">
        <f>VLOOKUP(A622,airports!A:H,8,FALSE)</f>
        <v>-119.0567681</v>
      </c>
      <c r="F622" s="3">
        <f>VLOOKUP(B622,airports!A:H,7,FALSE)</f>
        <v>33.434166670000003</v>
      </c>
      <c r="G622" s="3">
        <f>VLOOKUP(B622,airports!A:H,8,FALSE)</f>
        <v>-112.00805560000001</v>
      </c>
      <c r="H622">
        <f t="shared" si="18"/>
        <v>683.4</v>
      </c>
      <c r="I622">
        <f t="shared" si="19"/>
        <v>424.7</v>
      </c>
    </row>
    <row r="623" spans="1:9" x14ac:dyDescent="0.25">
      <c r="A623" s="5" t="s">
        <v>963</v>
      </c>
      <c r="B623" s="5" t="s">
        <v>967</v>
      </c>
      <c r="C623" s="5" t="s">
        <v>968</v>
      </c>
      <c r="D623" s="3">
        <f>VLOOKUP(A623,airports!A:H,7,FALSE)</f>
        <v>35.433598060000001</v>
      </c>
      <c r="E623" s="3">
        <f>VLOOKUP(A623,airports!A:H,8,FALSE)</f>
        <v>-119.0567681</v>
      </c>
      <c r="F623" s="3">
        <f>VLOOKUP(B623,airports!A:H,7,FALSE)</f>
        <v>34.426211940000002</v>
      </c>
      <c r="G623" s="3">
        <f>VLOOKUP(B623,airports!A:H,8,FALSE)</f>
        <v>-119.8403733</v>
      </c>
      <c r="H623">
        <f t="shared" si="18"/>
        <v>132.9</v>
      </c>
      <c r="I623">
        <f t="shared" si="19"/>
        <v>82.6</v>
      </c>
    </row>
    <row r="624" spans="1:9" x14ac:dyDescent="0.25">
      <c r="A624" s="5" t="s">
        <v>963</v>
      </c>
      <c r="B624" s="5" t="s">
        <v>130</v>
      </c>
      <c r="C624" s="5" t="s">
        <v>969</v>
      </c>
      <c r="D624" s="3">
        <f>VLOOKUP(A624,airports!A:H,7,FALSE)</f>
        <v>35.433598060000001</v>
      </c>
      <c r="E624" s="3">
        <f>VLOOKUP(A624,airports!A:H,8,FALSE)</f>
        <v>-119.0567681</v>
      </c>
      <c r="F624" s="3">
        <f>VLOOKUP(B624,airports!A:H,7,FALSE)</f>
        <v>37.619001939999997</v>
      </c>
      <c r="G624" s="3">
        <f>VLOOKUP(B624,airports!A:H,8,FALSE)</f>
        <v>-122.37484329999999</v>
      </c>
      <c r="H624">
        <f t="shared" si="18"/>
        <v>383.3</v>
      </c>
      <c r="I624">
        <f t="shared" si="19"/>
        <v>238.2</v>
      </c>
    </row>
    <row r="625" spans="1:9" ht="30" x14ac:dyDescent="0.25">
      <c r="A625" s="5" t="s">
        <v>970</v>
      </c>
      <c r="B625" s="5" t="s">
        <v>47</v>
      </c>
      <c r="C625" s="5" t="s">
        <v>971</v>
      </c>
      <c r="D625" s="3">
        <f>VLOOKUP(A625,airports!A:H,7,FALSE)</f>
        <v>30.6371</v>
      </c>
      <c r="E625" s="3">
        <f>VLOOKUP(A625,airports!A:H,8,FALSE)</f>
        <v>-88.078800000000001</v>
      </c>
      <c r="F625" s="3">
        <f>VLOOKUP(B625,airports!A:H,7,FALSE)</f>
        <v>39.858408060000002</v>
      </c>
      <c r="G625" s="3">
        <f>VLOOKUP(B625,airports!A:H,8,FALSE)</f>
        <v>-104.6670019</v>
      </c>
      <c r="H625">
        <f t="shared" si="18"/>
        <v>1817.4</v>
      </c>
      <c r="I625">
        <f t="shared" si="19"/>
        <v>1129.3</v>
      </c>
    </row>
    <row r="626" spans="1:9" ht="30" x14ac:dyDescent="0.25">
      <c r="A626" s="5" t="s">
        <v>970</v>
      </c>
      <c r="B626" s="5" t="s">
        <v>82</v>
      </c>
      <c r="C626" s="5" t="s">
        <v>972</v>
      </c>
      <c r="D626" s="3">
        <f>VLOOKUP(A626,airports!A:H,7,FALSE)</f>
        <v>30.6371</v>
      </c>
      <c r="E626" s="3">
        <f>VLOOKUP(A626,airports!A:H,8,FALSE)</f>
        <v>-88.078800000000001</v>
      </c>
      <c r="F626" s="3">
        <f>VLOOKUP(B626,airports!A:H,7,FALSE)</f>
        <v>28.42888889</v>
      </c>
      <c r="G626" s="3">
        <f>VLOOKUP(B626,airports!A:H,8,FALSE)</f>
        <v>-81.316027779999999</v>
      </c>
      <c r="H626">
        <f t="shared" si="18"/>
        <v>698.7</v>
      </c>
      <c r="I626">
        <f t="shared" si="19"/>
        <v>434.2</v>
      </c>
    </row>
    <row r="627" spans="1:9" ht="30" x14ac:dyDescent="0.25">
      <c r="A627" s="5" t="s">
        <v>970</v>
      </c>
      <c r="B627" s="5" t="s">
        <v>95</v>
      </c>
      <c r="C627" s="5" t="s">
        <v>973</v>
      </c>
      <c r="D627" s="3">
        <f>VLOOKUP(A627,airports!A:H,7,FALSE)</f>
        <v>30.6371</v>
      </c>
      <c r="E627" s="3">
        <f>VLOOKUP(A627,airports!A:H,8,FALSE)</f>
        <v>-88.078800000000001</v>
      </c>
      <c r="F627" s="3">
        <f>VLOOKUP(B627,airports!A:H,7,FALSE)</f>
        <v>41.979595000000003</v>
      </c>
      <c r="G627" s="3">
        <f>VLOOKUP(B627,airports!A:H,8,FALSE)</f>
        <v>-87.904464169999997</v>
      </c>
      <c r="H627">
        <f t="shared" si="18"/>
        <v>1261.3</v>
      </c>
      <c r="I627">
        <f t="shared" si="19"/>
        <v>783.8</v>
      </c>
    </row>
    <row r="628" spans="1:9" ht="30" x14ac:dyDescent="0.25">
      <c r="A628" s="5" t="s">
        <v>974</v>
      </c>
      <c r="B628" s="5" t="s">
        <v>50</v>
      </c>
      <c r="C628" s="5" t="s">
        <v>975</v>
      </c>
      <c r="D628" s="3">
        <f>VLOOKUP(A628,airports!A:H,7,FALSE)</f>
        <v>42.208482779999997</v>
      </c>
      <c r="E628" s="3">
        <f>VLOOKUP(A628,airports!A:H,8,FALSE)</f>
        <v>-75.979613610000001</v>
      </c>
      <c r="F628" s="3">
        <f>VLOOKUP(B628,airports!A:H,7,FALSE)</f>
        <v>42.212058890000002</v>
      </c>
      <c r="G628" s="3">
        <f>VLOOKUP(B628,airports!A:H,8,FALSE)</f>
        <v>-83.348835829999999</v>
      </c>
      <c r="H628">
        <f t="shared" si="18"/>
        <v>606.70000000000005</v>
      </c>
      <c r="I628">
        <f t="shared" si="19"/>
        <v>377</v>
      </c>
    </row>
    <row r="629" spans="1:9" ht="30" x14ac:dyDescent="0.25">
      <c r="A629" s="5" t="s">
        <v>233</v>
      </c>
      <c r="B629" s="5" t="s">
        <v>5</v>
      </c>
      <c r="C629" s="5" t="s">
        <v>976</v>
      </c>
      <c r="D629" s="3">
        <f>VLOOKUP(A629,airports!A:H,7,FALSE)</f>
        <v>44.807444439999998</v>
      </c>
      <c r="E629" s="3">
        <f>VLOOKUP(A629,airports!A:H,8,FALSE)</f>
        <v>-68.828138890000005</v>
      </c>
      <c r="F629" s="3">
        <f>VLOOKUP(B629,airports!A:H,7,FALSE)</f>
        <v>41.253051939999999</v>
      </c>
      <c r="G629" s="3">
        <f>VLOOKUP(B629,airports!A:H,8,FALSE)</f>
        <v>-70.060181389999997</v>
      </c>
      <c r="H629">
        <f t="shared" si="18"/>
        <v>407.7</v>
      </c>
      <c r="I629">
        <f t="shared" si="19"/>
        <v>253.4</v>
      </c>
    </row>
    <row r="630" spans="1:9" ht="30" x14ac:dyDescent="0.25">
      <c r="A630" s="5" t="s">
        <v>233</v>
      </c>
      <c r="B630" s="5" t="s">
        <v>10</v>
      </c>
      <c r="C630" s="5" t="s">
        <v>977</v>
      </c>
      <c r="D630" s="3">
        <f>VLOOKUP(A630,airports!A:H,7,FALSE)</f>
        <v>44.807444439999998</v>
      </c>
      <c r="E630" s="3">
        <f>VLOOKUP(A630,airports!A:H,8,FALSE)</f>
        <v>-68.828138890000005</v>
      </c>
      <c r="F630" s="3">
        <f>VLOOKUP(B630,airports!A:H,7,FALSE)</f>
        <v>33.640444440000003</v>
      </c>
      <c r="G630" s="3">
        <f>VLOOKUP(B630,airports!A:H,8,FALSE)</f>
        <v>-84.42694444</v>
      </c>
      <c r="H630">
        <f t="shared" si="18"/>
        <v>1823.6</v>
      </c>
      <c r="I630">
        <f t="shared" si="19"/>
        <v>1133.2</v>
      </c>
    </row>
    <row r="631" spans="1:9" ht="30" x14ac:dyDescent="0.25">
      <c r="A631" s="5" t="s">
        <v>233</v>
      </c>
      <c r="B631" s="5" t="s">
        <v>24</v>
      </c>
      <c r="C631" s="5" t="s">
        <v>978</v>
      </c>
      <c r="D631" s="3">
        <f>VLOOKUP(A631,airports!A:H,7,FALSE)</f>
        <v>44.807444439999998</v>
      </c>
      <c r="E631" s="3">
        <f>VLOOKUP(A631,airports!A:H,8,FALSE)</f>
        <v>-68.828138890000005</v>
      </c>
      <c r="F631" s="3">
        <f>VLOOKUP(B631,airports!A:H,7,FALSE)</f>
        <v>42.364347500000001</v>
      </c>
      <c r="G631" s="3">
        <f>VLOOKUP(B631,airports!A:H,8,FALSE)</f>
        <v>-71.005179170000005</v>
      </c>
      <c r="H631">
        <f t="shared" si="18"/>
        <v>323.3</v>
      </c>
      <c r="I631">
        <f t="shared" si="19"/>
        <v>200.9</v>
      </c>
    </row>
    <row r="632" spans="1:9" x14ac:dyDescent="0.25">
      <c r="A632" s="5" t="s">
        <v>233</v>
      </c>
      <c r="B632" s="5" t="s">
        <v>40</v>
      </c>
      <c r="C632" s="5" t="s">
        <v>979</v>
      </c>
      <c r="D632" s="3">
        <f>VLOOKUP(A632,airports!A:H,7,FALSE)</f>
        <v>44.807444439999998</v>
      </c>
      <c r="E632" s="3">
        <f>VLOOKUP(A632,airports!A:H,8,FALSE)</f>
        <v>-68.828138890000005</v>
      </c>
      <c r="F632" s="3">
        <f>VLOOKUP(B632,airports!A:H,7,FALSE)</f>
        <v>35.214011110000001</v>
      </c>
      <c r="G632" s="3">
        <f>VLOOKUP(B632,airports!A:H,8,FALSE)</f>
        <v>-80.94312583</v>
      </c>
      <c r="H632">
        <f t="shared" si="18"/>
        <v>1480.9</v>
      </c>
      <c r="I632">
        <f t="shared" si="19"/>
        <v>920.3</v>
      </c>
    </row>
    <row r="633" spans="1:9" ht="30" x14ac:dyDescent="0.25">
      <c r="A633" s="5" t="s">
        <v>233</v>
      </c>
      <c r="B633" s="5" t="s">
        <v>45</v>
      </c>
      <c r="C633" s="5" t="s">
        <v>980</v>
      </c>
      <c r="D633" s="3">
        <f>VLOOKUP(A633,airports!A:H,7,FALSE)</f>
        <v>44.807444439999998</v>
      </c>
      <c r="E633" s="3">
        <f>VLOOKUP(A633,airports!A:H,8,FALSE)</f>
        <v>-68.828138890000005</v>
      </c>
      <c r="F633" s="3">
        <f>VLOOKUP(B633,airports!A:H,7,FALSE)</f>
        <v>38.852083329999999</v>
      </c>
      <c r="G633" s="3">
        <f>VLOOKUP(B633,airports!A:H,8,FALSE)</f>
        <v>-77.037722220000006</v>
      </c>
      <c r="H633">
        <f t="shared" si="18"/>
        <v>948.4</v>
      </c>
      <c r="I633">
        <f t="shared" si="19"/>
        <v>589.29999999999995</v>
      </c>
    </row>
    <row r="634" spans="1:9" ht="30" x14ac:dyDescent="0.25">
      <c r="A634" s="5" t="s">
        <v>233</v>
      </c>
      <c r="B634" s="5" t="s">
        <v>49</v>
      </c>
      <c r="C634" s="5" t="s">
        <v>981</v>
      </c>
      <c r="D634" s="3">
        <f>VLOOKUP(A634,airports!A:H,7,FALSE)</f>
        <v>44.807444439999998</v>
      </c>
      <c r="E634" s="3">
        <f>VLOOKUP(A634,airports!A:H,8,FALSE)</f>
        <v>-68.828138890000005</v>
      </c>
      <c r="F634" s="3">
        <f>VLOOKUP(B634,airports!A:H,7,FALSE)</f>
        <v>32.895950560000003</v>
      </c>
      <c r="G634" s="3">
        <f>VLOOKUP(B634,airports!A:H,8,FALSE)</f>
        <v>-97.037199999999999</v>
      </c>
      <c r="H634">
        <f t="shared" si="18"/>
        <v>2758.6</v>
      </c>
      <c r="I634">
        <f t="shared" si="19"/>
        <v>1714.2</v>
      </c>
    </row>
    <row r="635" spans="1:9" ht="30" x14ac:dyDescent="0.25">
      <c r="A635" s="5" t="s">
        <v>233</v>
      </c>
      <c r="B635" s="5" t="s">
        <v>50</v>
      </c>
      <c r="C635" s="5" t="s">
        <v>982</v>
      </c>
      <c r="D635" s="3">
        <f>VLOOKUP(A635,airports!A:H,7,FALSE)</f>
        <v>44.807444439999998</v>
      </c>
      <c r="E635" s="3">
        <f>VLOOKUP(A635,airports!A:H,8,FALSE)</f>
        <v>-68.828138890000005</v>
      </c>
      <c r="F635" s="3">
        <f>VLOOKUP(B635,airports!A:H,7,FALSE)</f>
        <v>42.212058890000002</v>
      </c>
      <c r="G635" s="3">
        <f>VLOOKUP(B635,airports!A:H,8,FALSE)</f>
        <v>-83.348835829999999</v>
      </c>
      <c r="H635">
        <f t="shared" si="18"/>
        <v>1204.3</v>
      </c>
      <c r="I635">
        <f t="shared" si="19"/>
        <v>748.3</v>
      </c>
    </row>
    <row r="636" spans="1:9" ht="30" x14ac:dyDescent="0.25">
      <c r="A636" s="5" t="s">
        <v>233</v>
      </c>
      <c r="B636" s="5" t="s">
        <v>52</v>
      </c>
      <c r="C636" s="5" t="s">
        <v>983</v>
      </c>
      <c r="D636" s="3">
        <f>VLOOKUP(A636,airports!A:H,7,FALSE)</f>
        <v>44.807444439999998</v>
      </c>
      <c r="E636" s="3">
        <f>VLOOKUP(A636,airports!A:H,8,FALSE)</f>
        <v>-68.828138890000005</v>
      </c>
      <c r="F636" s="3">
        <f>VLOOKUP(B636,airports!A:H,7,FALSE)</f>
        <v>40.69249722</v>
      </c>
      <c r="G636" s="3">
        <f>VLOOKUP(B636,airports!A:H,8,FALSE)</f>
        <v>-74.168660560000006</v>
      </c>
      <c r="H636">
        <f t="shared" si="18"/>
        <v>631.79999999999995</v>
      </c>
      <c r="I636">
        <f t="shared" si="19"/>
        <v>392.6</v>
      </c>
    </row>
    <row r="637" spans="1:9" x14ac:dyDescent="0.25">
      <c r="A637" s="5" t="s">
        <v>233</v>
      </c>
      <c r="B637" s="5" t="s">
        <v>57</v>
      </c>
      <c r="C637" s="5" t="s">
        <v>984</v>
      </c>
      <c r="D637" s="3">
        <f>VLOOKUP(A637,airports!A:H,7,FALSE)</f>
        <v>44.807444439999998</v>
      </c>
      <c r="E637" s="3">
        <f>VLOOKUP(A637,airports!A:H,8,FALSE)</f>
        <v>-68.828138890000005</v>
      </c>
      <c r="F637" s="3">
        <f>VLOOKUP(B637,airports!A:H,7,FALSE)</f>
        <v>26.072583330000001</v>
      </c>
      <c r="G637" s="3">
        <f>VLOOKUP(B637,airports!A:H,8,FALSE)</f>
        <v>-80.152749999999997</v>
      </c>
      <c r="H637">
        <f t="shared" si="18"/>
        <v>2316.8000000000002</v>
      </c>
      <c r="I637">
        <f t="shared" si="19"/>
        <v>1439.7</v>
      </c>
    </row>
    <row r="638" spans="1:9" ht="30" x14ac:dyDescent="0.25">
      <c r="A638" s="5" t="s">
        <v>233</v>
      </c>
      <c r="B638" s="5" t="s">
        <v>176</v>
      </c>
      <c r="C638" s="5" t="s">
        <v>985</v>
      </c>
      <c r="D638" s="3">
        <f>VLOOKUP(A638,airports!A:H,7,FALSE)</f>
        <v>44.807444439999998</v>
      </c>
      <c r="E638" s="3">
        <f>VLOOKUP(A638,airports!A:H,8,FALSE)</f>
        <v>-68.828138890000005</v>
      </c>
      <c r="F638" s="3">
        <f>VLOOKUP(B638,airports!A:H,7,FALSE)</f>
        <v>38.944531939999997</v>
      </c>
      <c r="G638" s="3">
        <f>VLOOKUP(B638,airports!A:H,8,FALSE)</f>
        <v>-77.455809720000005</v>
      </c>
      <c r="H638">
        <f t="shared" si="18"/>
        <v>966.1</v>
      </c>
      <c r="I638">
        <f t="shared" si="19"/>
        <v>600.29999999999995</v>
      </c>
    </row>
    <row r="639" spans="1:9" x14ac:dyDescent="0.25">
      <c r="A639" s="5" t="s">
        <v>233</v>
      </c>
      <c r="B639" s="5" t="s">
        <v>69</v>
      </c>
      <c r="C639" s="5" t="s">
        <v>986</v>
      </c>
      <c r="D639" s="3">
        <f>VLOOKUP(A639,airports!A:H,7,FALSE)</f>
        <v>44.807444439999998</v>
      </c>
      <c r="E639" s="3">
        <f>VLOOKUP(A639,airports!A:H,8,FALSE)</f>
        <v>-68.828138890000005</v>
      </c>
      <c r="F639" s="3">
        <f>VLOOKUP(B639,airports!A:H,7,FALSE)</f>
        <v>40.639751109999999</v>
      </c>
      <c r="G639" s="3">
        <f>VLOOKUP(B639,airports!A:H,8,FALSE)</f>
        <v>-73.778925560000005</v>
      </c>
      <c r="H639">
        <f t="shared" si="18"/>
        <v>614.79999999999995</v>
      </c>
      <c r="I639">
        <f t="shared" si="19"/>
        <v>382.1</v>
      </c>
    </row>
    <row r="640" spans="1:9" ht="30" x14ac:dyDescent="0.25">
      <c r="A640" s="5" t="s">
        <v>233</v>
      </c>
      <c r="B640" s="5" t="s">
        <v>74</v>
      </c>
      <c r="C640" s="5" t="s">
        <v>987</v>
      </c>
      <c r="D640" s="3">
        <f>VLOOKUP(A640,airports!A:H,7,FALSE)</f>
        <v>44.807444439999998</v>
      </c>
      <c r="E640" s="3">
        <f>VLOOKUP(A640,airports!A:H,8,FALSE)</f>
        <v>-68.828138890000005</v>
      </c>
      <c r="F640" s="3">
        <f>VLOOKUP(B640,airports!A:H,7,FALSE)</f>
        <v>40.777243060000004</v>
      </c>
      <c r="G640" s="3">
        <f>VLOOKUP(B640,airports!A:H,8,FALSE)</f>
        <v>-73.872609170000004</v>
      </c>
      <c r="H640">
        <f t="shared" si="18"/>
        <v>608.20000000000005</v>
      </c>
      <c r="I640">
        <f t="shared" si="19"/>
        <v>378</v>
      </c>
    </row>
    <row r="641" spans="1:9" ht="30" x14ac:dyDescent="0.25">
      <c r="A641" s="5" t="s">
        <v>233</v>
      </c>
      <c r="B641" s="5" t="s">
        <v>84</v>
      </c>
      <c r="C641" s="5" t="s">
        <v>988</v>
      </c>
      <c r="D641" s="3">
        <f>VLOOKUP(A641,airports!A:H,7,FALSE)</f>
        <v>44.807444439999998</v>
      </c>
      <c r="E641" s="3">
        <f>VLOOKUP(A641,airports!A:H,8,FALSE)</f>
        <v>-68.828138890000005</v>
      </c>
      <c r="F641" s="3">
        <f>VLOOKUP(B641,airports!A:H,7,FALSE)</f>
        <v>25.79325</v>
      </c>
      <c r="G641" s="3">
        <f>VLOOKUP(B641,airports!A:H,8,FALSE)</f>
        <v>-80.290555560000001</v>
      </c>
      <c r="H641">
        <f t="shared" si="18"/>
        <v>2350.6999999999998</v>
      </c>
      <c r="I641">
        <f t="shared" si="19"/>
        <v>1460.8</v>
      </c>
    </row>
    <row r="642" spans="1:9" ht="30" x14ac:dyDescent="0.25">
      <c r="A642" s="5" t="s">
        <v>233</v>
      </c>
      <c r="B642" s="5" t="s">
        <v>95</v>
      </c>
      <c r="C642" s="5" t="s">
        <v>989</v>
      </c>
      <c r="D642" s="3">
        <f>VLOOKUP(A642,airports!A:H,7,FALSE)</f>
        <v>44.807444439999998</v>
      </c>
      <c r="E642" s="3">
        <f>VLOOKUP(A642,airports!A:H,8,FALSE)</f>
        <v>-68.828138890000005</v>
      </c>
      <c r="F642" s="3">
        <f>VLOOKUP(B642,airports!A:H,7,FALSE)</f>
        <v>41.979595000000003</v>
      </c>
      <c r="G642" s="3">
        <f>VLOOKUP(B642,airports!A:H,8,FALSE)</f>
        <v>-87.904464169999997</v>
      </c>
      <c r="H642">
        <f t="shared" si="18"/>
        <v>1569.2</v>
      </c>
      <c r="I642">
        <f t="shared" si="19"/>
        <v>975.1</v>
      </c>
    </row>
    <row r="643" spans="1:9" ht="30" x14ac:dyDescent="0.25">
      <c r="A643" s="5" t="s">
        <v>233</v>
      </c>
      <c r="B643" s="5" t="s">
        <v>102</v>
      </c>
      <c r="C643" s="5" t="s">
        <v>990</v>
      </c>
      <c r="D643" s="3">
        <f>VLOOKUP(A643,airports!A:H,7,FALSE)</f>
        <v>44.807444439999998</v>
      </c>
      <c r="E643" s="3">
        <f>VLOOKUP(A643,airports!A:H,8,FALSE)</f>
        <v>-68.828138890000005</v>
      </c>
      <c r="F643" s="3">
        <f>VLOOKUP(B643,airports!A:H,7,FALSE)</f>
        <v>39.871952780000001</v>
      </c>
      <c r="G643" s="3">
        <f>VLOOKUP(B643,airports!A:H,8,FALSE)</f>
        <v>-75.241140830000006</v>
      </c>
      <c r="H643">
        <f t="shared" si="18"/>
        <v>760.4</v>
      </c>
      <c r="I643">
        <f t="shared" si="19"/>
        <v>472.5</v>
      </c>
    </row>
    <row r="644" spans="1:9" x14ac:dyDescent="0.25">
      <c r="A644" s="5" t="s">
        <v>233</v>
      </c>
      <c r="B644" s="5" t="s">
        <v>188</v>
      </c>
      <c r="C644" s="5" t="s">
        <v>991</v>
      </c>
      <c r="D644" s="3">
        <f>VLOOKUP(A644,airports!A:H,7,FALSE)</f>
        <v>44.807444439999998</v>
      </c>
      <c r="E644" s="3">
        <f>VLOOKUP(A644,airports!A:H,8,FALSE)</f>
        <v>-68.828138890000005</v>
      </c>
      <c r="F644" s="3">
        <f>VLOOKUP(B644,airports!A:H,7,FALSE)</f>
        <v>27.910763330000002</v>
      </c>
      <c r="G644" s="3">
        <f>VLOOKUP(B644,airports!A:H,8,FALSE)</f>
        <v>-82.687439440000006</v>
      </c>
      <c r="H644">
        <f t="shared" ref="H644:H707" si="20">ROUND(ACOS(COS(RADIANS(90-D644)) * COS(RADIANS(90-F644)) + SIN(RADIANS(90-D644)) * SIN(RADIANS(90-F644)) * COS(RADIANS(E644-G644))) * 6371,1)</f>
        <v>2244.6</v>
      </c>
      <c r="I644">
        <f t="shared" ref="I644:I707" si="21">ROUND(ACOS(COS(RADIANS(90-D644)) * COS(RADIANS(90-F644)) + SIN(RADIANS(90-D644)) * SIN(RADIANS(90-F644)) * COS(RADIANS(E644-G644))) * 3959,1)</f>
        <v>1394.8</v>
      </c>
    </row>
    <row r="645" spans="1:9" ht="30" x14ac:dyDescent="0.25">
      <c r="A645" s="5" t="s">
        <v>233</v>
      </c>
      <c r="B645" s="5" t="s">
        <v>191</v>
      </c>
      <c r="C645" s="5" t="s">
        <v>992</v>
      </c>
      <c r="D645" s="3">
        <f>VLOOKUP(A645,airports!A:H,7,FALSE)</f>
        <v>44.807444439999998</v>
      </c>
      <c r="E645" s="3">
        <f>VLOOKUP(A645,airports!A:H,8,FALSE)</f>
        <v>-68.828138890000005</v>
      </c>
      <c r="F645" s="3">
        <f>VLOOKUP(B645,airports!A:H,7,FALSE)</f>
        <v>28.7776</v>
      </c>
      <c r="G645" s="3">
        <f>VLOOKUP(B645,airports!A:H,8,FALSE)</f>
        <v>-81.237499999999997</v>
      </c>
      <c r="H645">
        <f t="shared" si="20"/>
        <v>2091.6</v>
      </c>
      <c r="I645">
        <f t="shared" si="21"/>
        <v>1299.8</v>
      </c>
    </row>
    <row r="646" spans="1:9" ht="30" x14ac:dyDescent="0.25">
      <c r="A646" s="5" t="s">
        <v>425</v>
      </c>
      <c r="B646" s="5" t="s">
        <v>10</v>
      </c>
      <c r="C646" s="5" t="s">
        <v>993</v>
      </c>
      <c r="D646" s="3">
        <f>VLOOKUP(A646,airports!A:H,7,FALSE)</f>
        <v>33.562943060000002</v>
      </c>
      <c r="E646" s="3">
        <f>VLOOKUP(A646,airports!A:H,8,FALSE)</f>
        <v>-86.753549719999995</v>
      </c>
      <c r="F646" s="3">
        <f>VLOOKUP(B646,airports!A:H,7,FALSE)</f>
        <v>33.640444440000003</v>
      </c>
      <c r="G646" s="3">
        <f>VLOOKUP(B646,airports!A:H,8,FALSE)</f>
        <v>-84.42694444</v>
      </c>
      <c r="H646">
        <f t="shared" si="20"/>
        <v>215.6</v>
      </c>
      <c r="I646">
        <f t="shared" si="21"/>
        <v>134</v>
      </c>
    </row>
    <row r="647" spans="1:9" ht="30" x14ac:dyDescent="0.25">
      <c r="A647" s="5" t="s">
        <v>425</v>
      </c>
      <c r="B647" s="5" t="s">
        <v>434</v>
      </c>
      <c r="C647" s="5" t="s">
        <v>994</v>
      </c>
      <c r="D647" s="3">
        <f>VLOOKUP(A647,airports!A:H,7,FALSE)</f>
        <v>33.562943060000002</v>
      </c>
      <c r="E647" s="3">
        <f>VLOOKUP(A647,airports!A:H,8,FALSE)</f>
        <v>-86.753549719999995</v>
      </c>
      <c r="F647" s="3">
        <f>VLOOKUP(B647,airports!A:H,7,FALSE)</f>
        <v>30.53316083</v>
      </c>
      <c r="G647" s="3">
        <f>VLOOKUP(B647,airports!A:H,8,FALSE)</f>
        <v>-91.14963444</v>
      </c>
      <c r="H647">
        <f t="shared" si="20"/>
        <v>533.9</v>
      </c>
      <c r="I647">
        <f t="shared" si="21"/>
        <v>331.8</v>
      </c>
    </row>
    <row r="648" spans="1:9" ht="30" x14ac:dyDescent="0.25">
      <c r="A648" s="5" t="s">
        <v>425</v>
      </c>
      <c r="B648" s="5" t="s">
        <v>32</v>
      </c>
      <c r="C648" s="5" t="s">
        <v>995</v>
      </c>
      <c r="D648" s="3">
        <f>VLOOKUP(A648,airports!A:H,7,FALSE)</f>
        <v>33.562943060000002</v>
      </c>
      <c r="E648" s="3">
        <f>VLOOKUP(A648,airports!A:H,8,FALSE)</f>
        <v>-86.753549719999995</v>
      </c>
      <c r="F648" s="3">
        <f>VLOOKUP(B648,airports!A:H,7,FALSE)</f>
        <v>39.175401669999999</v>
      </c>
      <c r="G648" s="3">
        <f>VLOOKUP(B648,airports!A:H,8,FALSE)</f>
        <v>-76.668198329999996</v>
      </c>
      <c r="H648">
        <f t="shared" si="20"/>
        <v>1096.5</v>
      </c>
      <c r="I648">
        <f t="shared" si="21"/>
        <v>681.4</v>
      </c>
    </row>
    <row r="649" spans="1:9" ht="30" x14ac:dyDescent="0.25">
      <c r="A649" s="5" t="s">
        <v>425</v>
      </c>
      <c r="B649" s="5" t="s">
        <v>441</v>
      </c>
      <c r="C649" s="5" t="s">
        <v>996</v>
      </c>
      <c r="D649" s="3">
        <f>VLOOKUP(A649,airports!A:H,7,FALSE)</f>
        <v>33.562943060000002</v>
      </c>
      <c r="E649" s="3">
        <f>VLOOKUP(A649,airports!A:H,8,FALSE)</f>
        <v>-86.753549719999995</v>
      </c>
      <c r="F649" s="3">
        <f>VLOOKUP(B649,airports!A:H,7,FALSE)</f>
        <v>33.938839999999999</v>
      </c>
      <c r="G649" s="3">
        <f>VLOOKUP(B649,airports!A:H,8,FALSE)</f>
        <v>-81.119539439999997</v>
      </c>
      <c r="H649">
        <f t="shared" si="20"/>
        <v>522.5</v>
      </c>
      <c r="I649">
        <f t="shared" si="21"/>
        <v>324.7</v>
      </c>
    </row>
    <row r="650" spans="1:9" ht="30" x14ac:dyDescent="0.25">
      <c r="A650" s="5" t="s">
        <v>425</v>
      </c>
      <c r="B650" s="5" t="s">
        <v>997</v>
      </c>
      <c r="C650" s="5" t="s">
        <v>998</v>
      </c>
      <c r="D650" s="3">
        <f>VLOOKUP(A650,airports!A:H,7,FALSE)</f>
        <v>33.562943060000002</v>
      </c>
      <c r="E650" s="3">
        <f>VLOOKUP(A650,airports!A:H,8,FALSE)</f>
        <v>-86.753549719999995</v>
      </c>
      <c r="F650" s="3">
        <f>VLOOKUP(B650,airports!A:H,7,FALSE)</f>
        <v>30.58858944</v>
      </c>
      <c r="G650" s="3">
        <f>VLOOKUP(B650,airports!A:H,8,FALSE)</f>
        <v>-96.363824170000001</v>
      </c>
      <c r="H650">
        <f t="shared" si="20"/>
        <v>963.5</v>
      </c>
      <c r="I650">
        <f t="shared" si="21"/>
        <v>598.70000000000005</v>
      </c>
    </row>
    <row r="651" spans="1:9" ht="30" x14ac:dyDescent="0.25">
      <c r="A651" s="5" t="s">
        <v>425</v>
      </c>
      <c r="B651" s="5" t="s">
        <v>40</v>
      </c>
      <c r="C651" s="5" t="s">
        <v>999</v>
      </c>
      <c r="D651" s="3">
        <f>VLOOKUP(A651,airports!A:H,7,FALSE)</f>
        <v>33.562943060000002</v>
      </c>
      <c r="E651" s="3">
        <f>VLOOKUP(A651,airports!A:H,8,FALSE)</f>
        <v>-86.753549719999995</v>
      </c>
      <c r="F651" s="3">
        <f>VLOOKUP(B651,airports!A:H,7,FALSE)</f>
        <v>35.214011110000001</v>
      </c>
      <c r="G651" s="3">
        <f>VLOOKUP(B651,airports!A:H,8,FALSE)</f>
        <v>-80.94312583</v>
      </c>
      <c r="H651">
        <f t="shared" si="20"/>
        <v>563.79999999999995</v>
      </c>
      <c r="I651">
        <f t="shared" si="21"/>
        <v>350.3</v>
      </c>
    </row>
    <row r="652" spans="1:9" ht="30" x14ac:dyDescent="0.25">
      <c r="A652" s="5" t="s">
        <v>425</v>
      </c>
      <c r="B652" s="5" t="s">
        <v>201</v>
      </c>
      <c r="C652" s="5" t="s">
        <v>1000</v>
      </c>
      <c r="D652" s="3">
        <f>VLOOKUP(A652,airports!A:H,7,FALSE)</f>
        <v>33.562943060000002</v>
      </c>
      <c r="E652" s="3">
        <f>VLOOKUP(A652,airports!A:H,8,FALSE)</f>
        <v>-86.753549719999995</v>
      </c>
      <c r="F652" s="3">
        <f>VLOOKUP(B652,airports!A:H,7,FALSE)</f>
        <v>32.847113890000003</v>
      </c>
      <c r="G652" s="3">
        <f>VLOOKUP(B652,airports!A:H,8,FALSE)</f>
        <v>-96.851772220000001</v>
      </c>
      <c r="H652">
        <f t="shared" si="20"/>
        <v>942.5</v>
      </c>
      <c r="I652">
        <f t="shared" si="21"/>
        <v>585.70000000000005</v>
      </c>
    </row>
    <row r="653" spans="1:9" ht="30" x14ac:dyDescent="0.25">
      <c r="A653" s="5" t="s">
        <v>425</v>
      </c>
      <c r="B653" s="5" t="s">
        <v>45</v>
      </c>
      <c r="C653" s="5" t="s">
        <v>1001</v>
      </c>
      <c r="D653" s="3">
        <f>VLOOKUP(A653,airports!A:H,7,FALSE)</f>
        <v>33.562943060000002</v>
      </c>
      <c r="E653" s="3">
        <f>VLOOKUP(A653,airports!A:H,8,FALSE)</f>
        <v>-86.753549719999995</v>
      </c>
      <c r="F653" s="3">
        <f>VLOOKUP(B653,airports!A:H,7,FALSE)</f>
        <v>38.852083329999999</v>
      </c>
      <c r="G653" s="3">
        <f>VLOOKUP(B653,airports!A:H,8,FALSE)</f>
        <v>-77.037722220000006</v>
      </c>
      <c r="H653">
        <f t="shared" si="20"/>
        <v>1050.5999999999999</v>
      </c>
      <c r="I653">
        <f t="shared" si="21"/>
        <v>652.79999999999995</v>
      </c>
    </row>
    <row r="654" spans="1:9" ht="30" x14ac:dyDescent="0.25">
      <c r="A654" s="5" t="s">
        <v>425</v>
      </c>
      <c r="B654" s="5" t="s">
        <v>47</v>
      </c>
      <c r="C654" s="5" t="s">
        <v>1002</v>
      </c>
      <c r="D654" s="3">
        <f>VLOOKUP(A654,airports!A:H,7,FALSE)</f>
        <v>33.562943060000002</v>
      </c>
      <c r="E654" s="3">
        <f>VLOOKUP(A654,airports!A:H,8,FALSE)</f>
        <v>-86.753549719999995</v>
      </c>
      <c r="F654" s="3">
        <f>VLOOKUP(B654,airports!A:H,7,FALSE)</f>
        <v>39.858408060000002</v>
      </c>
      <c r="G654" s="3">
        <f>VLOOKUP(B654,airports!A:H,8,FALSE)</f>
        <v>-104.6670019</v>
      </c>
      <c r="H654">
        <f t="shared" si="20"/>
        <v>1739.4</v>
      </c>
      <c r="I654">
        <f t="shared" si="21"/>
        <v>1080.9000000000001</v>
      </c>
    </row>
    <row r="655" spans="1:9" ht="30" x14ac:dyDescent="0.25">
      <c r="A655" s="5" t="s">
        <v>425</v>
      </c>
      <c r="B655" s="5" t="s">
        <v>49</v>
      </c>
      <c r="C655" s="5" t="s">
        <v>1003</v>
      </c>
      <c r="D655" s="3">
        <f>VLOOKUP(A655,airports!A:H,7,FALSE)</f>
        <v>33.562943060000002</v>
      </c>
      <c r="E655" s="3">
        <f>VLOOKUP(A655,airports!A:H,8,FALSE)</f>
        <v>-86.753549719999995</v>
      </c>
      <c r="F655" s="3">
        <f>VLOOKUP(B655,airports!A:H,7,FALSE)</f>
        <v>32.895950560000003</v>
      </c>
      <c r="G655" s="3">
        <f>VLOOKUP(B655,airports!A:H,8,FALSE)</f>
        <v>-97.037199999999999</v>
      </c>
      <c r="H655">
        <f t="shared" si="20"/>
        <v>959</v>
      </c>
      <c r="I655">
        <f t="shared" si="21"/>
        <v>595.9</v>
      </c>
    </row>
    <row r="656" spans="1:9" ht="30" x14ac:dyDescent="0.25">
      <c r="A656" s="5" t="s">
        <v>425</v>
      </c>
      <c r="B656" s="5" t="s">
        <v>50</v>
      </c>
      <c r="C656" s="5" t="s">
        <v>1004</v>
      </c>
      <c r="D656" s="3">
        <f>VLOOKUP(A656,airports!A:H,7,FALSE)</f>
        <v>33.562943060000002</v>
      </c>
      <c r="E656" s="3">
        <f>VLOOKUP(A656,airports!A:H,8,FALSE)</f>
        <v>-86.753549719999995</v>
      </c>
      <c r="F656" s="3">
        <f>VLOOKUP(B656,airports!A:H,7,FALSE)</f>
        <v>42.212058890000002</v>
      </c>
      <c r="G656" s="3">
        <f>VLOOKUP(B656,airports!A:H,8,FALSE)</f>
        <v>-83.348835829999999</v>
      </c>
      <c r="H656">
        <f t="shared" si="20"/>
        <v>1006.8</v>
      </c>
      <c r="I656">
        <f t="shared" si="21"/>
        <v>625.70000000000005</v>
      </c>
    </row>
    <row r="657" spans="1:9" ht="30" x14ac:dyDescent="0.25">
      <c r="A657" s="5" t="s">
        <v>425</v>
      </c>
      <c r="B657" s="5" t="s">
        <v>57</v>
      </c>
      <c r="C657" s="5" t="s">
        <v>1005</v>
      </c>
      <c r="D657" s="3">
        <f>VLOOKUP(A657,airports!A:H,7,FALSE)</f>
        <v>33.562943060000002</v>
      </c>
      <c r="E657" s="3">
        <f>VLOOKUP(A657,airports!A:H,8,FALSE)</f>
        <v>-86.753549719999995</v>
      </c>
      <c r="F657" s="3">
        <f>VLOOKUP(B657,airports!A:H,7,FALSE)</f>
        <v>26.072583330000001</v>
      </c>
      <c r="G657" s="3">
        <f>VLOOKUP(B657,airports!A:H,8,FALSE)</f>
        <v>-80.152749999999997</v>
      </c>
      <c r="H657">
        <f t="shared" si="20"/>
        <v>1047.8</v>
      </c>
      <c r="I657">
        <f t="shared" si="21"/>
        <v>651.1</v>
      </c>
    </row>
    <row r="658" spans="1:9" ht="30" x14ac:dyDescent="0.25">
      <c r="A658" s="5" t="s">
        <v>425</v>
      </c>
      <c r="B658" s="5" t="s">
        <v>205</v>
      </c>
      <c r="C658" s="5" t="s">
        <v>1006</v>
      </c>
      <c r="D658" s="3">
        <f>VLOOKUP(A658,airports!A:H,7,FALSE)</f>
        <v>33.562943060000002</v>
      </c>
      <c r="E658" s="3">
        <f>VLOOKUP(A658,airports!A:H,8,FALSE)</f>
        <v>-86.753549719999995</v>
      </c>
      <c r="F658" s="3">
        <f>VLOOKUP(B658,airports!A:H,7,FALSE)</f>
        <v>29.64541861</v>
      </c>
      <c r="G658" s="3">
        <f>VLOOKUP(B658,airports!A:H,8,FALSE)</f>
        <v>-95.278888890000005</v>
      </c>
      <c r="H658">
        <f t="shared" si="20"/>
        <v>916.9</v>
      </c>
      <c r="I658">
        <f t="shared" si="21"/>
        <v>569.79999999999995</v>
      </c>
    </row>
    <row r="659" spans="1:9" ht="30" x14ac:dyDescent="0.25">
      <c r="A659" s="5" t="s">
        <v>425</v>
      </c>
      <c r="B659" s="5" t="s">
        <v>67</v>
      </c>
      <c r="C659" s="5" t="s">
        <v>1007</v>
      </c>
      <c r="D659" s="3">
        <f>VLOOKUP(A659,airports!A:H,7,FALSE)</f>
        <v>33.562943060000002</v>
      </c>
      <c r="E659" s="3">
        <f>VLOOKUP(A659,airports!A:H,8,FALSE)</f>
        <v>-86.753549719999995</v>
      </c>
      <c r="F659" s="3">
        <f>VLOOKUP(B659,airports!A:H,7,FALSE)</f>
        <v>29.980472219999999</v>
      </c>
      <c r="G659" s="3">
        <f>VLOOKUP(B659,airports!A:H,8,FALSE)</f>
        <v>-95.339722219999999</v>
      </c>
      <c r="H659">
        <f t="shared" si="20"/>
        <v>903.7</v>
      </c>
      <c r="I659">
        <f t="shared" si="21"/>
        <v>561.6</v>
      </c>
    </row>
    <row r="660" spans="1:9" ht="30" x14ac:dyDescent="0.25">
      <c r="A660" s="5" t="s">
        <v>425</v>
      </c>
      <c r="B660" s="5" t="s">
        <v>537</v>
      </c>
      <c r="C660" s="5" t="s">
        <v>1008</v>
      </c>
      <c r="D660" s="3">
        <f>VLOOKUP(A660,airports!A:H,7,FALSE)</f>
        <v>33.562943060000002</v>
      </c>
      <c r="E660" s="3">
        <f>VLOOKUP(A660,airports!A:H,8,FALSE)</f>
        <v>-86.753549719999995</v>
      </c>
      <c r="F660" s="3">
        <f>VLOOKUP(B660,airports!A:H,7,FALSE)</f>
        <v>39.717329169999999</v>
      </c>
      <c r="G660" s="3">
        <f>VLOOKUP(B660,airports!A:H,8,FALSE)</f>
        <v>-86.294384170000001</v>
      </c>
      <c r="H660">
        <f t="shared" si="20"/>
        <v>685.6</v>
      </c>
      <c r="I660">
        <f t="shared" si="21"/>
        <v>426</v>
      </c>
    </row>
    <row r="661" spans="1:9" ht="30" x14ac:dyDescent="0.25">
      <c r="A661" s="5" t="s">
        <v>425</v>
      </c>
      <c r="B661" s="5" t="s">
        <v>71</v>
      </c>
      <c r="C661" s="5" t="s">
        <v>1009</v>
      </c>
      <c r="D661" s="3">
        <f>VLOOKUP(A661,airports!A:H,7,FALSE)</f>
        <v>33.562943060000002</v>
      </c>
      <c r="E661" s="3">
        <f>VLOOKUP(A661,airports!A:H,8,FALSE)</f>
        <v>-86.753549719999995</v>
      </c>
      <c r="F661" s="3">
        <f>VLOOKUP(B661,airports!A:H,7,FALSE)</f>
        <v>36.080361109999998</v>
      </c>
      <c r="G661" s="3">
        <f>VLOOKUP(B661,airports!A:H,8,FALSE)</f>
        <v>-115.1523333</v>
      </c>
      <c r="H661">
        <f t="shared" si="20"/>
        <v>2598.1999999999998</v>
      </c>
      <c r="I661">
        <f t="shared" si="21"/>
        <v>1614.5</v>
      </c>
    </row>
    <row r="662" spans="1:9" ht="30" x14ac:dyDescent="0.25">
      <c r="A662" s="5" t="s">
        <v>425</v>
      </c>
      <c r="B662" s="5" t="s">
        <v>74</v>
      </c>
      <c r="C662" s="5" t="s">
        <v>1010</v>
      </c>
      <c r="D662" s="3">
        <f>VLOOKUP(A662,airports!A:H,7,FALSE)</f>
        <v>33.562943060000002</v>
      </c>
      <c r="E662" s="3">
        <f>VLOOKUP(A662,airports!A:H,8,FALSE)</f>
        <v>-86.753549719999995</v>
      </c>
      <c r="F662" s="3">
        <f>VLOOKUP(B662,airports!A:H,7,FALSE)</f>
        <v>40.777243060000004</v>
      </c>
      <c r="G662" s="3">
        <f>VLOOKUP(B662,airports!A:H,8,FALSE)</f>
        <v>-73.872609170000004</v>
      </c>
      <c r="H662">
        <f t="shared" si="20"/>
        <v>1392.6</v>
      </c>
      <c r="I662">
        <f t="shared" si="21"/>
        <v>865.4</v>
      </c>
    </row>
    <row r="663" spans="1:9" ht="30" x14ac:dyDescent="0.25">
      <c r="A663" s="5" t="s">
        <v>425</v>
      </c>
      <c r="B663" s="5" t="s">
        <v>82</v>
      </c>
      <c r="C663" s="5" t="s">
        <v>1011</v>
      </c>
      <c r="D663" s="3">
        <f>VLOOKUP(A663,airports!A:H,7,FALSE)</f>
        <v>33.562943060000002</v>
      </c>
      <c r="E663" s="3">
        <f>VLOOKUP(A663,airports!A:H,8,FALSE)</f>
        <v>-86.753549719999995</v>
      </c>
      <c r="F663" s="3">
        <f>VLOOKUP(B663,airports!A:H,7,FALSE)</f>
        <v>28.42888889</v>
      </c>
      <c r="G663" s="3">
        <f>VLOOKUP(B663,airports!A:H,8,FALSE)</f>
        <v>-81.316027779999999</v>
      </c>
      <c r="H663">
        <f t="shared" si="20"/>
        <v>770.8</v>
      </c>
      <c r="I663">
        <f t="shared" si="21"/>
        <v>479</v>
      </c>
    </row>
    <row r="664" spans="1:9" ht="30" x14ac:dyDescent="0.25">
      <c r="A664" s="5" t="s">
        <v>425</v>
      </c>
      <c r="B664" s="5" t="s">
        <v>180</v>
      </c>
      <c r="C664" s="5" t="s">
        <v>1012</v>
      </c>
      <c r="D664" s="3">
        <f>VLOOKUP(A664,airports!A:H,7,FALSE)</f>
        <v>33.562943060000002</v>
      </c>
      <c r="E664" s="3">
        <f>VLOOKUP(A664,airports!A:H,8,FALSE)</f>
        <v>-86.753549719999995</v>
      </c>
      <c r="F664" s="3">
        <f>VLOOKUP(B664,airports!A:H,7,FALSE)</f>
        <v>41.785982500000003</v>
      </c>
      <c r="G664" s="3">
        <f>VLOOKUP(B664,airports!A:H,8,FALSE)</f>
        <v>-87.752424439999999</v>
      </c>
      <c r="H664">
        <f t="shared" si="20"/>
        <v>918.6</v>
      </c>
      <c r="I664">
        <f t="shared" si="21"/>
        <v>570.79999999999995</v>
      </c>
    </row>
    <row r="665" spans="1:9" ht="30" x14ac:dyDescent="0.25">
      <c r="A665" s="5" t="s">
        <v>425</v>
      </c>
      <c r="B665" s="5" t="s">
        <v>84</v>
      </c>
      <c r="C665" s="5" t="s">
        <v>1013</v>
      </c>
      <c r="D665" s="3">
        <f>VLOOKUP(A665,airports!A:H,7,FALSE)</f>
        <v>33.562943060000002</v>
      </c>
      <c r="E665" s="3">
        <f>VLOOKUP(A665,airports!A:H,8,FALSE)</f>
        <v>-86.753549719999995</v>
      </c>
      <c r="F665" s="3">
        <f>VLOOKUP(B665,airports!A:H,7,FALSE)</f>
        <v>25.79325</v>
      </c>
      <c r="G665" s="3">
        <f>VLOOKUP(B665,airports!A:H,8,FALSE)</f>
        <v>-80.290555560000001</v>
      </c>
      <c r="H665">
        <f t="shared" si="20"/>
        <v>1065.4000000000001</v>
      </c>
      <c r="I665">
        <f t="shared" si="21"/>
        <v>662</v>
      </c>
    </row>
    <row r="666" spans="1:9" ht="30" x14ac:dyDescent="0.25">
      <c r="A666" s="5" t="s">
        <v>425</v>
      </c>
      <c r="B666" s="5" t="s">
        <v>95</v>
      </c>
      <c r="C666" s="5" t="s">
        <v>1014</v>
      </c>
      <c r="D666" s="3">
        <f>VLOOKUP(A666,airports!A:H,7,FALSE)</f>
        <v>33.562943060000002</v>
      </c>
      <c r="E666" s="3">
        <f>VLOOKUP(A666,airports!A:H,8,FALSE)</f>
        <v>-86.753549719999995</v>
      </c>
      <c r="F666" s="3">
        <f>VLOOKUP(B666,airports!A:H,7,FALSE)</f>
        <v>41.979595000000003</v>
      </c>
      <c r="G666" s="3">
        <f>VLOOKUP(B666,airports!A:H,8,FALSE)</f>
        <v>-87.904464169999997</v>
      </c>
      <c r="H666">
        <f t="shared" si="20"/>
        <v>941.3</v>
      </c>
      <c r="I666">
        <f t="shared" si="21"/>
        <v>584.9</v>
      </c>
    </row>
    <row r="667" spans="1:9" ht="30" x14ac:dyDescent="0.25">
      <c r="A667" s="5" t="s">
        <v>425</v>
      </c>
      <c r="B667" s="5" t="s">
        <v>185</v>
      </c>
      <c r="C667" s="5" t="s">
        <v>1015</v>
      </c>
      <c r="D667" s="3">
        <f>VLOOKUP(A667,airports!A:H,7,FALSE)</f>
        <v>33.562943060000002</v>
      </c>
      <c r="E667" s="3">
        <f>VLOOKUP(A667,airports!A:H,8,FALSE)</f>
        <v>-86.753549719999995</v>
      </c>
      <c r="F667" s="3">
        <f>VLOOKUP(B667,airports!A:H,7,FALSE)</f>
        <v>26.919699999999999</v>
      </c>
      <c r="G667" s="3">
        <f>VLOOKUP(B667,airports!A:H,8,FALSE)</f>
        <v>-81.995999999999995</v>
      </c>
      <c r="H667">
        <f t="shared" si="20"/>
        <v>868.4</v>
      </c>
      <c r="I667">
        <f t="shared" si="21"/>
        <v>539.6</v>
      </c>
    </row>
    <row r="668" spans="1:9" ht="30" x14ac:dyDescent="0.25">
      <c r="A668" s="5" t="s">
        <v>425</v>
      </c>
      <c r="B668" s="5" t="s">
        <v>102</v>
      </c>
      <c r="C668" s="5" t="s">
        <v>1016</v>
      </c>
      <c r="D668" s="3">
        <f>VLOOKUP(A668,airports!A:H,7,FALSE)</f>
        <v>33.562943060000002</v>
      </c>
      <c r="E668" s="3">
        <f>VLOOKUP(A668,airports!A:H,8,FALSE)</f>
        <v>-86.753549719999995</v>
      </c>
      <c r="F668" s="3">
        <f>VLOOKUP(B668,airports!A:H,7,FALSE)</f>
        <v>39.871952780000001</v>
      </c>
      <c r="G668" s="3">
        <f>VLOOKUP(B668,airports!A:H,8,FALSE)</f>
        <v>-75.241140830000006</v>
      </c>
      <c r="H668">
        <f t="shared" si="20"/>
        <v>1241.4000000000001</v>
      </c>
      <c r="I668">
        <f t="shared" si="21"/>
        <v>771.4</v>
      </c>
    </row>
    <row r="669" spans="1:9" ht="30" x14ac:dyDescent="0.25">
      <c r="A669" s="5" t="s">
        <v>425</v>
      </c>
      <c r="B669" s="5" t="s">
        <v>628</v>
      </c>
      <c r="C669" s="5" t="s">
        <v>1017</v>
      </c>
      <c r="D669" s="3">
        <f>VLOOKUP(A669,airports!A:H,7,FALSE)</f>
        <v>33.562943060000002</v>
      </c>
      <c r="E669" s="3">
        <f>VLOOKUP(A669,airports!A:H,8,FALSE)</f>
        <v>-86.753549719999995</v>
      </c>
      <c r="F669" s="3">
        <f>VLOOKUP(B669,airports!A:H,7,FALSE)</f>
        <v>40.851205999999998</v>
      </c>
      <c r="G669" s="3">
        <f>VLOOKUP(B669,airports!A:H,8,FALSE)</f>
        <v>-77.846301999999994</v>
      </c>
      <c r="H669">
        <f t="shared" si="20"/>
        <v>1129.7</v>
      </c>
      <c r="I669">
        <f t="shared" si="21"/>
        <v>702</v>
      </c>
    </row>
    <row r="670" spans="1:9" ht="30" x14ac:dyDescent="0.25">
      <c r="A670" s="5" t="s">
        <v>425</v>
      </c>
      <c r="B670" s="5" t="s">
        <v>130</v>
      </c>
      <c r="C670" s="5" t="s">
        <v>1018</v>
      </c>
      <c r="D670" s="3">
        <f>VLOOKUP(A670,airports!A:H,7,FALSE)</f>
        <v>33.562943060000002</v>
      </c>
      <c r="E670" s="3">
        <f>VLOOKUP(A670,airports!A:H,8,FALSE)</f>
        <v>-86.753549719999995</v>
      </c>
      <c r="F670" s="3">
        <f>VLOOKUP(B670,airports!A:H,7,FALSE)</f>
        <v>37.619001939999997</v>
      </c>
      <c r="G670" s="3">
        <f>VLOOKUP(B670,airports!A:H,8,FALSE)</f>
        <v>-122.37484329999999</v>
      </c>
      <c r="H670">
        <f t="shared" si="20"/>
        <v>3232.9</v>
      </c>
      <c r="I670">
        <f t="shared" si="21"/>
        <v>2008.9</v>
      </c>
    </row>
    <row r="671" spans="1:9" ht="30" x14ac:dyDescent="0.25">
      <c r="A671" s="5" t="s">
        <v>425</v>
      </c>
      <c r="B671" s="5" t="s">
        <v>131</v>
      </c>
      <c r="C671" s="5" t="s">
        <v>1019</v>
      </c>
      <c r="D671" s="3">
        <f>VLOOKUP(A671,airports!A:H,7,FALSE)</f>
        <v>33.562943060000002</v>
      </c>
      <c r="E671" s="3">
        <f>VLOOKUP(A671,airports!A:H,8,FALSE)</f>
        <v>-86.753549719999995</v>
      </c>
      <c r="F671" s="3">
        <f>VLOOKUP(B671,airports!A:H,7,FALSE)</f>
        <v>37.361861939999997</v>
      </c>
      <c r="G671" s="3">
        <f>VLOOKUP(B671,airports!A:H,8,FALSE)</f>
        <v>-121.9290089</v>
      </c>
      <c r="H671">
        <f t="shared" si="20"/>
        <v>3195.1</v>
      </c>
      <c r="I671">
        <f t="shared" si="21"/>
        <v>1985.5</v>
      </c>
    </row>
    <row r="672" spans="1:9" ht="30" x14ac:dyDescent="0.25">
      <c r="A672" s="5" t="s">
        <v>425</v>
      </c>
      <c r="B672" s="5" t="s">
        <v>145</v>
      </c>
      <c r="C672" s="5" t="s">
        <v>1020</v>
      </c>
      <c r="D672" s="3">
        <f>VLOOKUP(A672,airports!A:H,7,FALSE)</f>
        <v>33.562943060000002</v>
      </c>
      <c r="E672" s="3">
        <f>VLOOKUP(A672,airports!A:H,8,FALSE)</f>
        <v>-86.753549719999995</v>
      </c>
      <c r="F672" s="3">
        <f>VLOOKUP(B672,airports!A:H,7,FALSE)</f>
        <v>27.97547222</v>
      </c>
      <c r="G672" s="3">
        <f>VLOOKUP(B672,airports!A:H,8,FALSE)</f>
        <v>-82.533249999999995</v>
      </c>
      <c r="H672">
        <f t="shared" si="20"/>
        <v>740.5</v>
      </c>
      <c r="I672">
        <f t="shared" si="21"/>
        <v>460.1</v>
      </c>
    </row>
    <row r="673" spans="1:9" ht="30" x14ac:dyDescent="0.25">
      <c r="A673" s="5" t="s">
        <v>1021</v>
      </c>
      <c r="B673" s="5" t="s">
        <v>47</v>
      </c>
      <c r="C673" s="5" t="s">
        <v>1022</v>
      </c>
      <c r="D673" s="3">
        <f>VLOOKUP(A673,airports!A:H,7,FALSE)</f>
        <v>37.373100280800003</v>
      </c>
      <c r="E673" s="3">
        <f>VLOOKUP(A673,airports!A:H,8,FALSE)</f>
        <v>-118.363998413</v>
      </c>
      <c r="F673" s="3">
        <f>VLOOKUP(B673,airports!A:H,7,FALSE)</f>
        <v>39.858408060000002</v>
      </c>
      <c r="G673" s="3">
        <f>VLOOKUP(B673,airports!A:H,8,FALSE)</f>
        <v>-104.6670019</v>
      </c>
      <c r="H673">
        <f t="shared" si="20"/>
        <v>1220.3</v>
      </c>
      <c r="I673">
        <f t="shared" si="21"/>
        <v>758.3</v>
      </c>
    </row>
    <row r="674" spans="1:9" x14ac:dyDescent="0.25">
      <c r="A674" s="5" t="s">
        <v>1021</v>
      </c>
      <c r="B674" s="5" t="s">
        <v>73</v>
      </c>
      <c r="C674" s="5" t="s">
        <v>1023</v>
      </c>
      <c r="D674" s="3">
        <f>VLOOKUP(A674,airports!A:H,7,FALSE)</f>
        <v>37.373100280800003</v>
      </c>
      <c r="E674" s="3">
        <f>VLOOKUP(A674,airports!A:H,8,FALSE)</f>
        <v>-118.363998413</v>
      </c>
      <c r="F674" s="3">
        <f>VLOOKUP(B674,airports!A:H,7,FALSE)</f>
        <v>33.942536109999999</v>
      </c>
      <c r="G674" s="3">
        <f>VLOOKUP(B674,airports!A:H,8,FALSE)</f>
        <v>-118.4080744</v>
      </c>
      <c r="H674">
        <f t="shared" si="20"/>
        <v>381.5</v>
      </c>
      <c r="I674">
        <f t="shared" si="21"/>
        <v>237.1</v>
      </c>
    </row>
    <row r="675" spans="1:9" x14ac:dyDescent="0.25">
      <c r="A675" s="5" t="s">
        <v>1021</v>
      </c>
      <c r="B675" s="5" t="s">
        <v>130</v>
      </c>
      <c r="C675" s="5" t="s">
        <v>1024</v>
      </c>
      <c r="D675" s="3">
        <f>VLOOKUP(A675,airports!A:H,7,FALSE)</f>
        <v>37.373100280800003</v>
      </c>
      <c r="E675" s="3">
        <f>VLOOKUP(A675,airports!A:H,8,FALSE)</f>
        <v>-118.363998413</v>
      </c>
      <c r="F675" s="3">
        <f>VLOOKUP(B675,airports!A:H,7,FALSE)</f>
        <v>37.619001939999997</v>
      </c>
      <c r="G675" s="3">
        <f>VLOOKUP(B675,airports!A:H,8,FALSE)</f>
        <v>-122.37484329999999</v>
      </c>
      <c r="H675">
        <f t="shared" si="20"/>
        <v>354.9</v>
      </c>
      <c r="I675">
        <f t="shared" si="21"/>
        <v>220.5</v>
      </c>
    </row>
    <row r="676" spans="1:9" x14ac:dyDescent="0.25">
      <c r="A676" s="5" t="s">
        <v>836</v>
      </c>
      <c r="B676" s="5" t="s">
        <v>329</v>
      </c>
      <c r="C676" s="5" t="s">
        <v>1025</v>
      </c>
      <c r="D676" s="3">
        <f>VLOOKUP(A676,airports!A:H,7,FALSE)</f>
        <v>45.807662499999999</v>
      </c>
      <c r="E676" s="3">
        <f>VLOOKUP(A676,airports!A:H,8,FALSE)</f>
        <v>-108.5428611</v>
      </c>
      <c r="F676" s="3">
        <f>VLOOKUP(B676,airports!A:H,7,FALSE)</f>
        <v>33.308999999999997</v>
      </c>
      <c r="G676" s="3">
        <f>VLOOKUP(B676,airports!A:H,8,FALSE)</f>
        <v>-111.6559</v>
      </c>
      <c r="H676">
        <f t="shared" si="20"/>
        <v>1414.9</v>
      </c>
      <c r="I676">
        <f t="shared" si="21"/>
        <v>879.2</v>
      </c>
    </row>
    <row r="677" spans="1:9" x14ac:dyDescent="0.25">
      <c r="A677" s="5" t="s">
        <v>836</v>
      </c>
      <c r="B677" s="5" t="s">
        <v>34</v>
      </c>
      <c r="C677" s="5" t="s">
        <v>1026</v>
      </c>
      <c r="D677" s="3">
        <f>VLOOKUP(A677,airports!A:H,7,FALSE)</f>
        <v>45.807662499999999</v>
      </c>
      <c r="E677" s="3">
        <f>VLOOKUP(A677,airports!A:H,8,FALSE)</f>
        <v>-108.5428611</v>
      </c>
      <c r="F677" s="3">
        <f>VLOOKUP(B677,airports!A:H,7,FALSE)</f>
        <v>45.776901389999999</v>
      </c>
      <c r="G677" s="3">
        <f>VLOOKUP(B677,airports!A:H,8,FALSE)</f>
        <v>-111.1530072</v>
      </c>
      <c r="H677">
        <f t="shared" si="20"/>
        <v>202.4</v>
      </c>
      <c r="I677">
        <f t="shared" si="21"/>
        <v>125.8</v>
      </c>
    </row>
    <row r="678" spans="1:9" x14ac:dyDescent="0.25">
      <c r="A678" s="5" t="s">
        <v>836</v>
      </c>
      <c r="B678" s="5" t="s">
        <v>1027</v>
      </c>
      <c r="C678" s="5" t="s">
        <v>1028</v>
      </c>
      <c r="D678" s="3">
        <f>VLOOKUP(A678,airports!A:H,7,FALSE)</f>
        <v>45.807662499999999</v>
      </c>
      <c r="E678" s="3">
        <f>VLOOKUP(A678,airports!A:H,8,FALSE)</f>
        <v>-108.5428611</v>
      </c>
      <c r="F678" s="3">
        <f>VLOOKUP(B678,airports!A:H,7,FALSE)</f>
        <v>44.520194170000003</v>
      </c>
      <c r="G678" s="3">
        <f>VLOOKUP(B678,airports!A:H,8,FALSE)</f>
        <v>-109.0237961</v>
      </c>
      <c r="H678">
        <f t="shared" si="20"/>
        <v>148</v>
      </c>
      <c r="I678">
        <f t="shared" si="21"/>
        <v>92</v>
      </c>
    </row>
    <row r="679" spans="1:9" x14ac:dyDescent="0.25">
      <c r="A679" s="5" t="s">
        <v>836</v>
      </c>
      <c r="B679" s="5" t="s">
        <v>47</v>
      </c>
      <c r="C679" s="5" t="s">
        <v>1029</v>
      </c>
      <c r="D679" s="3">
        <f>VLOOKUP(A679,airports!A:H,7,FALSE)</f>
        <v>45.807662499999999</v>
      </c>
      <c r="E679" s="3">
        <f>VLOOKUP(A679,airports!A:H,8,FALSE)</f>
        <v>-108.5428611</v>
      </c>
      <c r="F679" s="3">
        <f>VLOOKUP(B679,airports!A:H,7,FALSE)</f>
        <v>39.858408060000002</v>
      </c>
      <c r="G679" s="3">
        <f>VLOOKUP(B679,airports!A:H,8,FALSE)</f>
        <v>-104.6670019</v>
      </c>
      <c r="H679">
        <f t="shared" si="20"/>
        <v>732.9</v>
      </c>
      <c r="I679">
        <f t="shared" si="21"/>
        <v>455.4</v>
      </c>
    </row>
    <row r="680" spans="1:9" ht="30" x14ac:dyDescent="0.25">
      <c r="A680" s="5" t="s">
        <v>836</v>
      </c>
      <c r="B680" s="5" t="s">
        <v>49</v>
      </c>
      <c r="C680" s="5" t="s">
        <v>1030</v>
      </c>
      <c r="D680" s="3">
        <f>VLOOKUP(A680,airports!A:H,7,FALSE)</f>
        <v>45.807662499999999</v>
      </c>
      <c r="E680" s="3">
        <f>VLOOKUP(A680,airports!A:H,8,FALSE)</f>
        <v>-108.5428611</v>
      </c>
      <c r="F680" s="3">
        <f>VLOOKUP(B680,airports!A:H,7,FALSE)</f>
        <v>32.895950560000003</v>
      </c>
      <c r="G680" s="3">
        <f>VLOOKUP(B680,airports!A:H,8,FALSE)</f>
        <v>-97.037199999999999</v>
      </c>
      <c r="H680">
        <f t="shared" si="20"/>
        <v>1739.6</v>
      </c>
      <c r="I680">
        <f t="shared" si="21"/>
        <v>1081</v>
      </c>
    </row>
    <row r="681" spans="1:9" x14ac:dyDescent="0.25">
      <c r="A681" s="5" t="s">
        <v>836</v>
      </c>
      <c r="B681" s="5" t="s">
        <v>863</v>
      </c>
      <c r="C681" s="5" t="s">
        <v>1031</v>
      </c>
      <c r="D681" s="3">
        <f>VLOOKUP(A681,airports!A:H,7,FALSE)</f>
        <v>45.807662499999999</v>
      </c>
      <c r="E681" s="3">
        <f>VLOOKUP(A681,airports!A:H,8,FALSE)</f>
        <v>-108.5428611</v>
      </c>
      <c r="F681" s="3">
        <f>VLOOKUP(B681,airports!A:H,7,FALSE)</f>
        <v>47.482001940000004</v>
      </c>
      <c r="G681" s="3">
        <f>VLOOKUP(B681,airports!A:H,8,FALSE)</f>
        <v>-111.37068530000001</v>
      </c>
      <c r="H681">
        <f t="shared" si="20"/>
        <v>285</v>
      </c>
      <c r="I681">
        <f t="shared" si="21"/>
        <v>177.1</v>
      </c>
    </row>
    <row r="682" spans="1:9" x14ac:dyDescent="0.25">
      <c r="A682" s="5" t="s">
        <v>836</v>
      </c>
      <c r="B682" s="5" t="s">
        <v>71</v>
      </c>
      <c r="C682" s="5" t="s">
        <v>1032</v>
      </c>
      <c r="D682" s="3">
        <f>VLOOKUP(A682,airports!A:H,7,FALSE)</f>
        <v>45.807662499999999</v>
      </c>
      <c r="E682" s="3">
        <f>VLOOKUP(A682,airports!A:H,8,FALSE)</f>
        <v>-108.5428611</v>
      </c>
      <c r="F682" s="3">
        <f>VLOOKUP(B682,airports!A:H,7,FALSE)</f>
        <v>36.080361109999998</v>
      </c>
      <c r="G682" s="3">
        <f>VLOOKUP(B682,airports!A:H,8,FALSE)</f>
        <v>-115.1523333</v>
      </c>
      <c r="H682">
        <f t="shared" si="20"/>
        <v>1214.7</v>
      </c>
      <c r="I682">
        <f t="shared" si="21"/>
        <v>754.8</v>
      </c>
    </row>
    <row r="683" spans="1:9" x14ac:dyDescent="0.25">
      <c r="A683" s="5" t="s">
        <v>836</v>
      </c>
      <c r="B683" s="5" t="s">
        <v>73</v>
      </c>
      <c r="C683" s="5" t="s">
        <v>1033</v>
      </c>
      <c r="D683" s="3">
        <f>VLOOKUP(A683,airports!A:H,7,FALSE)</f>
        <v>45.807662499999999</v>
      </c>
      <c r="E683" s="3">
        <f>VLOOKUP(A683,airports!A:H,8,FALSE)</f>
        <v>-108.5428611</v>
      </c>
      <c r="F683" s="3">
        <f>VLOOKUP(B683,airports!A:H,7,FALSE)</f>
        <v>33.942536109999999</v>
      </c>
      <c r="G683" s="3">
        <f>VLOOKUP(B683,airports!A:H,8,FALSE)</f>
        <v>-118.4080744</v>
      </c>
      <c r="H683">
        <f t="shared" si="20"/>
        <v>1562.3</v>
      </c>
      <c r="I683">
        <f t="shared" si="21"/>
        <v>970.8</v>
      </c>
    </row>
    <row r="684" spans="1:9" x14ac:dyDescent="0.25">
      <c r="A684" s="5" t="s">
        <v>836</v>
      </c>
      <c r="B684" s="5" t="s">
        <v>87</v>
      </c>
      <c r="C684" s="5" t="s">
        <v>1034</v>
      </c>
      <c r="D684" s="3">
        <f>VLOOKUP(A684,airports!A:H,7,FALSE)</f>
        <v>45.807662499999999</v>
      </c>
      <c r="E684" s="3">
        <f>VLOOKUP(A684,airports!A:H,8,FALSE)</f>
        <v>-108.5428611</v>
      </c>
      <c r="F684" s="3">
        <f>VLOOKUP(B684,airports!A:H,7,FALSE)</f>
        <v>44.880546940000002</v>
      </c>
      <c r="G684" s="3">
        <f>VLOOKUP(B684,airports!A:H,8,FALSE)</f>
        <v>-93.216922499999995</v>
      </c>
      <c r="H684">
        <f t="shared" si="20"/>
        <v>1200.3</v>
      </c>
      <c r="I684">
        <f t="shared" si="21"/>
        <v>745.9</v>
      </c>
    </row>
    <row r="685" spans="1:9" x14ac:dyDescent="0.25">
      <c r="A685" s="5" t="s">
        <v>836</v>
      </c>
      <c r="B685" s="5" t="s">
        <v>95</v>
      </c>
      <c r="C685" s="5" t="s">
        <v>1035</v>
      </c>
      <c r="D685" s="3">
        <f>VLOOKUP(A685,airports!A:H,7,FALSE)</f>
        <v>45.807662499999999</v>
      </c>
      <c r="E685" s="3">
        <f>VLOOKUP(A685,airports!A:H,8,FALSE)</f>
        <v>-108.5428611</v>
      </c>
      <c r="F685" s="3">
        <f>VLOOKUP(B685,airports!A:H,7,FALSE)</f>
        <v>41.979595000000003</v>
      </c>
      <c r="G685" s="3">
        <f>VLOOKUP(B685,airports!A:H,8,FALSE)</f>
        <v>-87.904464169999997</v>
      </c>
      <c r="H685">
        <f t="shared" si="20"/>
        <v>1702.3</v>
      </c>
      <c r="I685">
        <f t="shared" si="21"/>
        <v>1057.9000000000001</v>
      </c>
    </row>
    <row r="686" spans="1:9" x14ac:dyDescent="0.25">
      <c r="A686" s="5" t="s">
        <v>836</v>
      </c>
      <c r="B686" s="5" t="s">
        <v>100</v>
      </c>
      <c r="C686" s="5" t="s">
        <v>1036</v>
      </c>
      <c r="D686" s="3">
        <f>VLOOKUP(A686,airports!A:H,7,FALSE)</f>
        <v>45.807662499999999</v>
      </c>
      <c r="E686" s="3">
        <f>VLOOKUP(A686,airports!A:H,8,FALSE)</f>
        <v>-108.5428611</v>
      </c>
      <c r="F686" s="3">
        <f>VLOOKUP(B686,airports!A:H,7,FALSE)</f>
        <v>45.588722220000001</v>
      </c>
      <c r="G686" s="3">
        <f>VLOOKUP(B686,airports!A:H,8,FALSE)</f>
        <v>-122.5975</v>
      </c>
      <c r="H686">
        <f t="shared" si="20"/>
        <v>1090.4000000000001</v>
      </c>
      <c r="I686">
        <f t="shared" si="21"/>
        <v>677.6</v>
      </c>
    </row>
    <row r="687" spans="1:9" x14ac:dyDescent="0.25">
      <c r="A687" s="5" t="s">
        <v>836</v>
      </c>
      <c r="B687" s="5" t="s">
        <v>104</v>
      </c>
      <c r="C687" s="5" t="s">
        <v>1037</v>
      </c>
      <c r="D687" s="3">
        <f>VLOOKUP(A687,airports!A:H,7,FALSE)</f>
        <v>45.807662499999999</v>
      </c>
      <c r="E687" s="3">
        <f>VLOOKUP(A687,airports!A:H,8,FALSE)</f>
        <v>-108.5428611</v>
      </c>
      <c r="F687" s="3">
        <f>VLOOKUP(B687,airports!A:H,7,FALSE)</f>
        <v>33.434166670000003</v>
      </c>
      <c r="G687" s="3">
        <f>VLOOKUP(B687,airports!A:H,8,FALSE)</f>
        <v>-112.00805560000001</v>
      </c>
      <c r="H687">
        <f t="shared" si="20"/>
        <v>1407.1</v>
      </c>
      <c r="I687">
        <f t="shared" si="21"/>
        <v>874.4</v>
      </c>
    </row>
    <row r="688" spans="1:9" x14ac:dyDescent="0.25">
      <c r="A688" s="5" t="s">
        <v>836</v>
      </c>
      <c r="B688" s="5" t="s">
        <v>612</v>
      </c>
      <c r="C688" s="5" t="s">
        <v>1038</v>
      </c>
      <c r="D688" s="3">
        <f>VLOOKUP(A688,airports!A:H,7,FALSE)</f>
        <v>45.807662499999999</v>
      </c>
      <c r="E688" s="3">
        <f>VLOOKUP(A688,airports!A:H,8,FALSE)</f>
        <v>-108.5428611</v>
      </c>
      <c r="F688" s="3">
        <f>VLOOKUP(B688,airports!A:H,7,FALSE)</f>
        <v>44.045321389999998</v>
      </c>
      <c r="G688" s="3">
        <f>VLOOKUP(B688,airports!A:H,8,FALSE)</f>
        <v>-103.0573708</v>
      </c>
      <c r="H688">
        <f t="shared" si="20"/>
        <v>474.1</v>
      </c>
      <c r="I688">
        <f t="shared" si="21"/>
        <v>294.60000000000002</v>
      </c>
    </row>
    <row r="689" spans="1:9" x14ac:dyDescent="0.25">
      <c r="A689" s="5" t="s">
        <v>836</v>
      </c>
      <c r="B689" s="5" t="s">
        <v>124</v>
      </c>
      <c r="C689" s="5" t="s">
        <v>1039</v>
      </c>
      <c r="D689" s="3">
        <f>VLOOKUP(A689,airports!A:H,7,FALSE)</f>
        <v>45.807662499999999</v>
      </c>
      <c r="E689" s="3">
        <f>VLOOKUP(A689,airports!A:H,8,FALSE)</f>
        <v>-108.5428611</v>
      </c>
      <c r="F689" s="3">
        <f>VLOOKUP(B689,airports!A:H,7,FALSE)</f>
        <v>32.733556110000002</v>
      </c>
      <c r="G689" s="3">
        <f>VLOOKUP(B689,airports!A:H,8,FALSE)</f>
        <v>-117.1896567</v>
      </c>
      <c r="H689">
        <f t="shared" si="20"/>
        <v>1630.9</v>
      </c>
      <c r="I689">
        <f t="shared" si="21"/>
        <v>1013.5</v>
      </c>
    </row>
    <row r="690" spans="1:9" x14ac:dyDescent="0.25">
      <c r="A690" s="5" t="s">
        <v>836</v>
      </c>
      <c r="B690" s="5" t="s">
        <v>128</v>
      </c>
      <c r="C690" s="5" t="s">
        <v>1040</v>
      </c>
      <c r="D690" s="3">
        <f>VLOOKUP(A690,airports!A:H,7,FALSE)</f>
        <v>45.807662499999999</v>
      </c>
      <c r="E690" s="3">
        <f>VLOOKUP(A690,airports!A:H,8,FALSE)</f>
        <v>-108.5428611</v>
      </c>
      <c r="F690" s="3">
        <f>VLOOKUP(B690,airports!A:H,7,FALSE)</f>
        <v>47.448981940000003</v>
      </c>
      <c r="G690" s="3">
        <f>VLOOKUP(B690,airports!A:H,8,FALSE)</f>
        <v>-122.3093131</v>
      </c>
      <c r="H690">
        <f t="shared" si="20"/>
        <v>1065.5</v>
      </c>
      <c r="I690">
        <f t="shared" si="21"/>
        <v>662.1</v>
      </c>
    </row>
    <row r="691" spans="1:9" x14ac:dyDescent="0.25">
      <c r="A691" s="5" t="s">
        <v>836</v>
      </c>
      <c r="B691" s="5" t="s">
        <v>135</v>
      </c>
      <c r="C691" s="5" t="s">
        <v>1041</v>
      </c>
      <c r="D691" s="3">
        <f>VLOOKUP(A691,airports!A:H,7,FALSE)</f>
        <v>45.807662499999999</v>
      </c>
      <c r="E691" s="3">
        <f>VLOOKUP(A691,airports!A:H,8,FALSE)</f>
        <v>-108.5428611</v>
      </c>
      <c r="F691" s="3">
        <f>VLOOKUP(B691,airports!A:H,7,FALSE)</f>
        <v>40.788387780000001</v>
      </c>
      <c r="G691" s="3">
        <f>VLOOKUP(B691,airports!A:H,8,FALSE)</f>
        <v>-111.97777309999999</v>
      </c>
      <c r="H691">
        <f t="shared" si="20"/>
        <v>623.4</v>
      </c>
      <c r="I691">
        <f t="shared" si="21"/>
        <v>387.4</v>
      </c>
    </row>
    <row r="692" spans="1:9" x14ac:dyDescent="0.25">
      <c r="A692" s="5" t="s">
        <v>838</v>
      </c>
      <c r="B692" s="5" t="s">
        <v>329</v>
      </c>
      <c r="C692" s="5" t="s">
        <v>1042</v>
      </c>
      <c r="D692" s="3">
        <f>VLOOKUP(A692,airports!A:H,7,FALSE)</f>
        <v>46.77411111</v>
      </c>
      <c r="E692" s="3">
        <f>VLOOKUP(A692,airports!A:H,8,FALSE)</f>
        <v>-100.74672219999999</v>
      </c>
      <c r="F692" s="3">
        <f>VLOOKUP(B692,airports!A:H,7,FALSE)</f>
        <v>33.308999999999997</v>
      </c>
      <c r="G692" s="3">
        <f>VLOOKUP(B692,airports!A:H,8,FALSE)</f>
        <v>-111.6559</v>
      </c>
      <c r="H692">
        <f t="shared" si="20"/>
        <v>1758</v>
      </c>
      <c r="I692">
        <f t="shared" si="21"/>
        <v>1092.5</v>
      </c>
    </row>
    <row r="693" spans="1:9" x14ac:dyDescent="0.25">
      <c r="A693" s="5" t="s">
        <v>838</v>
      </c>
      <c r="B693" s="5" t="s">
        <v>47</v>
      </c>
      <c r="C693" s="5" t="s">
        <v>1043</v>
      </c>
      <c r="D693" s="3">
        <f>VLOOKUP(A693,airports!A:H,7,FALSE)</f>
        <v>46.77411111</v>
      </c>
      <c r="E693" s="3">
        <f>VLOOKUP(A693,airports!A:H,8,FALSE)</f>
        <v>-100.74672219999999</v>
      </c>
      <c r="F693" s="3">
        <f>VLOOKUP(B693,airports!A:H,7,FALSE)</f>
        <v>39.858408060000002</v>
      </c>
      <c r="G693" s="3">
        <f>VLOOKUP(B693,airports!A:H,8,FALSE)</f>
        <v>-104.6670019</v>
      </c>
      <c r="H693">
        <f t="shared" si="20"/>
        <v>831.5</v>
      </c>
      <c r="I693">
        <f t="shared" si="21"/>
        <v>516.70000000000005</v>
      </c>
    </row>
    <row r="694" spans="1:9" ht="30" x14ac:dyDescent="0.25">
      <c r="A694" s="5" t="s">
        <v>838</v>
      </c>
      <c r="B694" s="5" t="s">
        <v>49</v>
      </c>
      <c r="C694" s="5" t="s">
        <v>1044</v>
      </c>
      <c r="D694" s="3">
        <f>VLOOKUP(A694,airports!A:H,7,FALSE)</f>
        <v>46.77411111</v>
      </c>
      <c r="E694" s="3">
        <f>VLOOKUP(A694,airports!A:H,8,FALSE)</f>
        <v>-100.74672219999999</v>
      </c>
      <c r="F694" s="3">
        <f>VLOOKUP(B694,airports!A:H,7,FALSE)</f>
        <v>32.895950560000003</v>
      </c>
      <c r="G694" s="3">
        <f>VLOOKUP(B694,airports!A:H,8,FALSE)</f>
        <v>-97.037199999999999</v>
      </c>
      <c r="H694">
        <f t="shared" si="20"/>
        <v>1574.9</v>
      </c>
      <c r="I694">
        <f t="shared" si="21"/>
        <v>978.6</v>
      </c>
    </row>
    <row r="695" spans="1:9" x14ac:dyDescent="0.25">
      <c r="A695" s="5" t="s">
        <v>838</v>
      </c>
      <c r="B695" s="5" t="s">
        <v>856</v>
      </c>
      <c r="C695" s="5" t="s">
        <v>1045</v>
      </c>
      <c r="D695" s="3">
        <f>VLOOKUP(A695,airports!A:H,7,FALSE)</f>
        <v>46.77411111</v>
      </c>
      <c r="E695" s="3">
        <f>VLOOKUP(A695,airports!A:H,8,FALSE)</f>
        <v>-100.74672219999999</v>
      </c>
      <c r="F695" s="3">
        <f>VLOOKUP(B695,airports!A:H,7,FALSE)</f>
        <v>47.949255000000001</v>
      </c>
      <c r="G695" s="3">
        <f>VLOOKUP(B695,airports!A:H,8,FALSE)</f>
        <v>-97.176111109999994</v>
      </c>
      <c r="H695">
        <f t="shared" si="20"/>
        <v>299</v>
      </c>
      <c r="I695">
        <f t="shared" si="21"/>
        <v>185.8</v>
      </c>
    </row>
    <row r="696" spans="1:9" x14ac:dyDescent="0.25">
      <c r="A696" s="5" t="s">
        <v>838</v>
      </c>
      <c r="B696" s="5" t="s">
        <v>71</v>
      </c>
      <c r="C696" s="5" t="s">
        <v>1046</v>
      </c>
      <c r="D696" s="3">
        <f>VLOOKUP(A696,airports!A:H,7,FALSE)</f>
        <v>46.77411111</v>
      </c>
      <c r="E696" s="3">
        <f>VLOOKUP(A696,airports!A:H,8,FALSE)</f>
        <v>-100.74672219999999</v>
      </c>
      <c r="F696" s="3">
        <f>VLOOKUP(B696,airports!A:H,7,FALSE)</f>
        <v>36.080361109999998</v>
      </c>
      <c r="G696" s="3">
        <f>VLOOKUP(B696,airports!A:H,8,FALSE)</f>
        <v>-115.1523333</v>
      </c>
      <c r="H696">
        <f t="shared" si="20"/>
        <v>1685</v>
      </c>
      <c r="I696">
        <f t="shared" si="21"/>
        <v>1047.0999999999999</v>
      </c>
    </row>
    <row r="697" spans="1:9" ht="30" x14ac:dyDescent="0.25">
      <c r="A697" s="5" t="s">
        <v>838</v>
      </c>
      <c r="B697" s="5" t="s">
        <v>879</v>
      </c>
      <c r="C697" s="5" t="s">
        <v>1047</v>
      </c>
      <c r="D697" s="3">
        <f>VLOOKUP(A697,airports!A:H,7,FALSE)</f>
        <v>46.77411111</v>
      </c>
      <c r="E697" s="3">
        <f>VLOOKUP(A697,airports!A:H,8,FALSE)</f>
        <v>-100.74672219999999</v>
      </c>
      <c r="F697" s="3">
        <f>VLOOKUP(B697,airports!A:H,7,FALSE)</f>
        <v>48.259377780000001</v>
      </c>
      <c r="G697" s="3">
        <f>VLOOKUP(B697,airports!A:H,8,FALSE)</f>
        <v>-101.2803339</v>
      </c>
      <c r="H697">
        <f t="shared" si="20"/>
        <v>169.9</v>
      </c>
      <c r="I697">
        <f t="shared" si="21"/>
        <v>105.6</v>
      </c>
    </row>
    <row r="698" spans="1:9" x14ac:dyDescent="0.25">
      <c r="A698" s="5" t="s">
        <v>838</v>
      </c>
      <c r="B698" s="5" t="s">
        <v>87</v>
      </c>
      <c r="C698" s="5" t="s">
        <v>1048</v>
      </c>
      <c r="D698" s="3">
        <f>VLOOKUP(A698,airports!A:H,7,FALSE)</f>
        <v>46.77411111</v>
      </c>
      <c r="E698" s="3">
        <f>VLOOKUP(A698,airports!A:H,8,FALSE)</f>
        <v>-100.74672219999999</v>
      </c>
      <c r="F698" s="3">
        <f>VLOOKUP(B698,airports!A:H,7,FALSE)</f>
        <v>44.880546940000002</v>
      </c>
      <c r="G698" s="3">
        <f>VLOOKUP(B698,airports!A:H,8,FALSE)</f>
        <v>-93.216922499999995</v>
      </c>
      <c r="H698">
        <f t="shared" si="20"/>
        <v>620</v>
      </c>
      <c r="I698">
        <f t="shared" si="21"/>
        <v>385.2</v>
      </c>
    </row>
    <row r="699" spans="1:9" x14ac:dyDescent="0.25">
      <c r="A699" s="5" t="s">
        <v>838</v>
      </c>
      <c r="B699" s="5" t="s">
        <v>95</v>
      </c>
      <c r="C699" s="5" t="s">
        <v>1049</v>
      </c>
      <c r="D699" s="3">
        <f>VLOOKUP(A699,airports!A:H,7,FALSE)</f>
        <v>46.77411111</v>
      </c>
      <c r="E699" s="3">
        <f>VLOOKUP(A699,airports!A:H,8,FALSE)</f>
        <v>-100.74672219999999</v>
      </c>
      <c r="F699" s="3">
        <f>VLOOKUP(B699,airports!A:H,7,FALSE)</f>
        <v>41.979595000000003</v>
      </c>
      <c r="G699" s="3">
        <f>VLOOKUP(B699,airports!A:H,8,FALSE)</f>
        <v>-87.904464169999997</v>
      </c>
      <c r="H699">
        <f t="shared" si="20"/>
        <v>1149.5999999999999</v>
      </c>
      <c r="I699">
        <f t="shared" si="21"/>
        <v>714.3</v>
      </c>
    </row>
    <row r="700" spans="1:9" x14ac:dyDescent="0.25">
      <c r="A700" s="5" t="s">
        <v>838</v>
      </c>
      <c r="B700" s="5" t="s">
        <v>104</v>
      </c>
      <c r="C700" s="5" t="s">
        <v>1050</v>
      </c>
      <c r="D700" s="3">
        <f>VLOOKUP(A700,airports!A:H,7,FALSE)</f>
        <v>46.77411111</v>
      </c>
      <c r="E700" s="3">
        <f>VLOOKUP(A700,airports!A:H,8,FALSE)</f>
        <v>-100.74672219999999</v>
      </c>
      <c r="F700" s="3">
        <f>VLOOKUP(B700,airports!A:H,7,FALSE)</f>
        <v>33.434166670000003</v>
      </c>
      <c r="G700" s="3">
        <f>VLOOKUP(B700,airports!A:H,8,FALSE)</f>
        <v>-112.00805560000001</v>
      </c>
      <c r="H700">
        <f t="shared" si="20"/>
        <v>1761.6</v>
      </c>
      <c r="I700">
        <f t="shared" si="21"/>
        <v>1094.7</v>
      </c>
    </row>
    <row r="701" spans="1:9" x14ac:dyDescent="0.25">
      <c r="A701" s="5" t="s">
        <v>838</v>
      </c>
      <c r="B701" s="5" t="s">
        <v>191</v>
      </c>
      <c r="C701" s="5" t="s">
        <v>1051</v>
      </c>
      <c r="D701" s="3">
        <f>VLOOKUP(A701,airports!A:H,7,FALSE)</f>
        <v>46.77411111</v>
      </c>
      <c r="E701" s="3">
        <f>VLOOKUP(A701,airports!A:H,8,FALSE)</f>
        <v>-100.74672219999999</v>
      </c>
      <c r="F701" s="3">
        <f>VLOOKUP(B701,airports!A:H,7,FALSE)</f>
        <v>28.7776</v>
      </c>
      <c r="G701" s="3">
        <f>VLOOKUP(B701,airports!A:H,8,FALSE)</f>
        <v>-81.237499999999997</v>
      </c>
      <c r="H701">
        <f t="shared" si="20"/>
        <v>2620.1999999999998</v>
      </c>
      <c r="I701">
        <f t="shared" si="21"/>
        <v>1628.2</v>
      </c>
    </row>
    <row r="702" spans="1:9" x14ac:dyDescent="0.25">
      <c r="A702" s="5" t="s">
        <v>1052</v>
      </c>
      <c r="B702" s="5" t="s">
        <v>87</v>
      </c>
      <c r="C702" s="5" t="s">
        <v>1053</v>
      </c>
      <c r="D702" s="3">
        <f>VLOOKUP(A702,airports!A:H,7,FALSE)</f>
        <v>47.509424170000003</v>
      </c>
      <c r="E702" s="3">
        <f>VLOOKUP(A702,airports!A:H,8,FALSE)</f>
        <v>-94.933723330000007</v>
      </c>
      <c r="F702" s="3">
        <f>VLOOKUP(B702,airports!A:H,7,FALSE)</f>
        <v>44.880546940000002</v>
      </c>
      <c r="G702" s="3">
        <f>VLOOKUP(B702,airports!A:H,8,FALSE)</f>
        <v>-93.216922499999995</v>
      </c>
      <c r="H702">
        <f t="shared" si="20"/>
        <v>320.8</v>
      </c>
      <c r="I702">
        <f t="shared" si="21"/>
        <v>199.3</v>
      </c>
    </row>
    <row r="703" spans="1:9" ht="30" x14ac:dyDescent="0.25">
      <c r="A703" s="5" t="s">
        <v>1054</v>
      </c>
      <c r="B703" s="5" t="s">
        <v>47</v>
      </c>
      <c r="C703" s="5" t="s">
        <v>1055</v>
      </c>
      <c r="D703" s="3">
        <f>VLOOKUP(A703,airports!A:H,7,FALSE)</f>
        <v>36.532082000000003</v>
      </c>
      <c r="E703" s="3">
        <f>VLOOKUP(A703,airports!A:H,8,FALSE)</f>
        <v>-93.200543999999994</v>
      </c>
      <c r="F703" s="3">
        <f>VLOOKUP(B703,airports!A:H,7,FALSE)</f>
        <v>39.858408060000002</v>
      </c>
      <c r="G703" s="3">
        <f>VLOOKUP(B703,airports!A:H,8,FALSE)</f>
        <v>-104.6670019</v>
      </c>
      <c r="H703">
        <f t="shared" si="20"/>
        <v>1067.0999999999999</v>
      </c>
      <c r="I703">
        <f t="shared" si="21"/>
        <v>663.1</v>
      </c>
    </row>
    <row r="704" spans="1:9" ht="30" x14ac:dyDescent="0.25">
      <c r="A704" s="5" t="s">
        <v>1054</v>
      </c>
      <c r="B704" s="5" t="s">
        <v>49</v>
      </c>
      <c r="C704" s="5" t="s">
        <v>1056</v>
      </c>
      <c r="D704" s="3">
        <f>VLOOKUP(A704,airports!A:H,7,FALSE)</f>
        <v>36.532082000000003</v>
      </c>
      <c r="E704" s="3">
        <f>VLOOKUP(A704,airports!A:H,8,FALSE)</f>
        <v>-93.200543999999994</v>
      </c>
      <c r="F704" s="3">
        <f>VLOOKUP(B704,airports!A:H,7,FALSE)</f>
        <v>32.895950560000003</v>
      </c>
      <c r="G704" s="3">
        <f>VLOOKUP(B704,airports!A:H,8,FALSE)</f>
        <v>-97.037199999999999</v>
      </c>
      <c r="H704">
        <f t="shared" si="20"/>
        <v>535.1</v>
      </c>
      <c r="I704">
        <f t="shared" si="21"/>
        <v>332.5</v>
      </c>
    </row>
    <row r="705" spans="1:9" ht="30" x14ac:dyDescent="0.25">
      <c r="A705" s="5" t="s">
        <v>1054</v>
      </c>
      <c r="B705" s="5" t="s">
        <v>95</v>
      </c>
      <c r="C705" s="5" t="s">
        <v>1057</v>
      </c>
      <c r="D705" s="3">
        <f>VLOOKUP(A705,airports!A:H,7,FALSE)</f>
        <v>36.532082000000003</v>
      </c>
      <c r="E705" s="3">
        <f>VLOOKUP(A705,airports!A:H,8,FALSE)</f>
        <v>-93.200543999999994</v>
      </c>
      <c r="F705" s="3">
        <f>VLOOKUP(B705,airports!A:H,7,FALSE)</f>
        <v>41.979595000000003</v>
      </c>
      <c r="G705" s="3">
        <f>VLOOKUP(B705,airports!A:H,8,FALSE)</f>
        <v>-87.904464169999997</v>
      </c>
      <c r="H705">
        <f t="shared" si="20"/>
        <v>757.8</v>
      </c>
      <c r="I705">
        <f t="shared" si="21"/>
        <v>470.9</v>
      </c>
    </row>
    <row r="706" spans="1:9" x14ac:dyDescent="0.25">
      <c r="A706" s="5" t="s">
        <v>344</v>
      </c>
      <c r="B706" s="5" t="s">
        <v>265</v>
      </c>
      <c r="C706" s="5" t="s">
        <v>1058</v>
      </c>
      <c r="D706" s="3">
        <f>VLOOKUP(A706,airports!A:H,7,FALSE)</f>
        <v>48.792749999999998</v>
      </c>
      <c r="E706" s="3">
        <f>VLOOKUP(A706,airports!A:H,8,FALSE)</f>
        <v>-122.53752780000001</v>
      </c>
      <c r="F706" s="3">
        <f>VLOOKUP(B706,airports!A:H,7,FALSE)</f>
        <v>61.174320280000003</v>
      </c>
      <c r="G706" s="3">
        <f>VLOOKUP(B706,airports!A:H,8,FALSE)</f>
        <v>-149.99618559999999</v>
      </c>
      <c r="H706">
        <f t="shared" si="20"/>
        <v>2200.1999999999998</v>
      </c>
      <c r="I706">
        <f t="shared" si="21"/>
        <v>1367.2</v>
      </c>
    </row>
    <row r="707" spans="1:9" x14ac:dyDescent="0.25">
      <c r="A707" s="5" t="s">
        <v>344</v>
      </c>
      <c r="B707" s="5" t="s">
        <v>329</v>
      </c>
      <c r="C707" s="5" t="s">
        <v>1059</v>
      </c>
      <c r="D707" s="3">
        <f>VLOOKUP(A707,airports!A:H,7,FALSE)</f>
        <v>48.792749999999998</v>
      </c>
      <c r="E707" s="3">
        <f>VLOOKUP(A707,airports!A:H,8,FALSE)</f>
        <v>-122.53752780000001</v>
      </c>
      <c r="F707" s="3">
        <f>VLOOKUP(B707,airports!A:H,7,FALSE)</f>
        <v>33.308999999999997</v>
      </c>
      <c r="G707" s="3">
        <f>VLOOKUP(B707,airports!A:H,8,FALSE)</f>
        <v>-111.6559</v>
      </c>
      <c r="H707">
        <f t="shared" si="20"/>
        <v>1944</v>
      </c>
      <c r="I707">
        <f t="shared" si="21"/>
        <v>1208</v>
      </c>
    </row>
    <row r="708" spans="1:9" x14ac:dyDescent="0.25">
      <c r="A708" s="5" t="s">
        <v>344</v>
      </c>
      <c r="B708" s="5" t="s">
        <v>47</v>
      </c>
      <c r="C708" s="5" t="s">
        <v>1060</v>
      </c>
      <c r="D708" s="3">
        <f>VLOOKUP(A708,airports!A:H,7,FALSE)</f>
        <v>48.792749999999998</v>
      </c>
      <c r="E708" s="3">
        <f>VLOOKUP(A708,airports!A:H,8,FALSE)</f>
        <v>-122.53752780000001</v>
      </c>
      <c r="F708" s="3">
        <f>VLOOKUP(B708,airports!A:H,7,FALSE)</f>
        <v>39.858408060000002</v>
      </c>
      <c r="G708" s="3">
        <f>VLOOKUP(B708,airports!A:H,8,FALSE)</f>
        <v>-104.6670019</v>
      </c>
      <c r="H708">
        <f t="shared" ref="H708:H771" si="22">ROUND(ACOS(COS(RADIANS(90-D708)) * COS(RADIANS(90-F708)) + SIN(RADIANS(90-D708)) * SIN(RADIANS(90-F708)) * COS(RADIANS(E708-G708))) * 6371,1)</f>
        <v>1727.4</v>
      </c>
      <c r="I708">
        <f t="shared" ref="I708:I771" si="23">ROUND(ACOS(COS(RADIANS(90-D708)) * COS(RADIANS(90-F708)) + SIN(RADIANS(90-D708)) * SIN(RADIANS(90-F708)) * COS(RADIANS(E708-G708))) * 3959,1)</f>
        <v>1073.4000000000001</v>
      </c>
    </row>
    <row r="709" spans="1:9" x14ac:dyDescent="0.25">
      <c r="A709" s="5" t="s">
        <v>344</v>
      </c>
      <c r="B709" s="5" t="s">
        <v>366</v>
      </c>
      <c r="C709" s="5" t="s">
        <v>1061</v>
      </c>
      <c r="D709" s="3">
        <f>VLOOKUP(A709,airports!A:H,7,FALSE)</f>
        <v>48.792749999999998</v>
      </c>
      <c r="E709" s="3">
        <f>VLOOKUP(A709,airports!A:H,8,FALSE)</f>
        <v>-122.53752780000001</v>
      </c>
      <c r="F709" s="3">
        <f>VLOOKUP(B709,airports!A:H,7,FALSE)</f>
        <v>19.738765829999998</v>
      </c>
      <c r="G709" s="3">
        <f>VLOOKUP(B709,airports!A:H,8,FALSE)</f>
        <v>-156.04563139999999</v>
      </c>
      <c r="H709">
        <f t="shared" si="22"/>
        <v>4397.3</v>
      </c>
      <c r="I709">
        <f t="shared" si="23"/>
        <v>2732.6</v>
      </c>
    </row>
    <row r="710" spans="1:9" x14ac:dyDescent="0.25">
      <c r="A710" s="5" t="s">
        <v>344</v>
      </c>
      <c r="B710" s="5" t="s">
        <v>71</v>
      </c>
      <c r="C710" s="5" t="s">
        <v>1062</v>
      </c>
      <c r="D710" s="3">
        <f>VLOOKUP(A710,airports!A:H,7,FALSE)</f>
        <v>48.792749999999998</v>
      </c>
      <c r="E710" s="3">
        <f>VLOOKUP(A710,airports!A:H,8,FALSE)</f>
        <v>-122.53752780000001</v>
      </c>
      <c r="F710" s="3">
        <f>VLOOKUP(B710,airports!A:H,7,FALSE)</f>
        <v>36.080361109999998</v>
      </c>
      <c r="G710" s="3">
        <f>VLOOKUP(B710,airports!A:H,8,FALSE)</f>
        <v>-115.1523333</v>
      </c>
      <c r="H710">
        <f t="shared" si="22"/>
        <v>1536.2</v>
      </c>
      <c r="I710">
        <f t="shared" si="23"/>
        <v>954.6</v>
      </c>
    </row>
    <row r="711" spans="1:9" x14ac:dyDescent="0.25">
      <c r="A711" s="5" t="s">
        <v>344</v>
      </c>
      <c r="B711" s="5" t="s">
        <v>73</v>
      </c>
      <c r="C711" s="5" t="s">
        <v>1063</v>
      </c>
      <c r="D711" s="3">
        <f>VLOOKUP(A711,airports!A:H,7,FALSE)</f>
        <v>48.792749999999998</v>
      </c>
      <c r="E711" s="3">
        <f>VLOOKUP(A711,airports!A:H,8,FALSE)</f>
        <v>-122.53752780000001</v>
      </c>
      <c r="F711" s="3">
        <f>VLOOKUP(B711,airports!A:H,7,FALSE)</f>
        <v>33.942536109999999</v>
      </c>
      <c r="G711" s="3">
        <f>VLOOKUP(B711,airports!A:H,8,FALSE)</f>
        <v>-118.4080744</v>
      </c>
      <c r="H711">
        <f t="shared" si="22"/>
        <v>1686.2</v>
      </c>
      <c r="I711">
        <f t="shared" si="23"/>
        <v>1047.8</v>
      </c>
    </row>
    <row r="712" spans="1:9" x14ac:dyDescent="0.25">
      <c r="A712" s="5" t="s">
        <v>344</v>
      </c>
      <c r="B712" s="5" t="s">
        <v>215</v>
      </c>
      <c r="C712" s="5" t="s">
        <v>1064</v>
      </c>
      <c r="D712" s="3">
        <f>VLOOKUP(A712,airports!A:H,7,FALSE)</f>
        <v>48.792749999999998</v>
      </c>
      <c r="E712" s="3">
        <f>VLOOKUP(A712,airports!A:H,8,FALSE)</f>
        <v>-122.53752780000001</v>
      </c>
      <c r="F712" s="3">
        <f>VLOOKUP(B712,airports!A:H,7,FALSE)</f>
        <v>37.721290830000001</v>
      </c>
      <c r="G712" s="3">
        <f>VLOOKUP(B712,airports!A:H,8,FALSE)</f>
        <v>-122.2207167</v>
      </c>
      <c r="H712">
        <f t="shared" si="22"/>
        <v>1231.4000000000001</v>
      </c>
      <c r="I712">
        <f t="shared" si="23"/>
        <v>765.2</v>
      </c>
    </row>
    <row r="713" spans="1:9" x14ac:dyDescent="0.25">
      <c r="A713" s="5" t="s">
        <v>344</v>
      </c>
      <c r="B713" s="5" t="s">
        <v>371</v>
      </c>
      <c r="C713" s="5" t="s">
        <v>1065</v>
      </c>
      <c r="D713" s="3">
        <f>VLOOKUP(A713,airports!A:H,7,FALSE)</f>
        <v>48.792749999999998</v>
      </c>
      <c r="E713" s="3">
        <f>VLOOKUP(A713,airports!A:H,8,FALSE)</f>
        <v>-122.53752780000001</v>
      </c>
      <c r="F713" s="3">
        <f>VLOOKUP(B713,airports!A:H,7,FALSE)</f>
        <v>20.898649720000002</v>
      </c>
      <c r="G713" s="3">
        <f>VLOOKUP(B713,airports!A:H,8,FALSE)</f>
        <v>-156.4304578</v>
      </c>
      <c r="H713">
        <f t="shared" si="22"/>
        <v>4315.3999999999996</v>
      </c>
      <c r="I713">
        <f t="shared" si="23"/>
        <v>2681.6</v>
      </c>
    </row>
    <row r="714" spans="1:9" x14ac:dyDescent="0.25">
      <c r="A714" s="5" t="s">
        <v>344</v>
      </c>
      <c r="B714" s="5" t="s">
        <v>100</v>
      </c>
      <c r="C714" s="5" t="s">
        <v>1066</v>
      </c>
      <c r="D714" s="3">
        <f>VLOOKUP(A714,airports!A:H,7,FALSE)</f>
        <v>48.792749999999998</v>
      </c>
      <c r="E714" s="3">
        <f>VLOOKUP(A714,airports!A:H,8,FALSE)</f>
        <v>-122.53752780000001</v>
      </c>
      <c r="F714" s="3">
        <f>VLOOKUP(B714,airports!A:H,7,FALSE)</f>
        <v>45.588722220000001</v>
      </c>
      <c r="G714" s="3">
        <f>VLOOKUP(B714,airports!A:H,8,FALSE)</f>
        <v>-122.5975</v>
      </c>
      <c r="H714">
        <f t="shared" si="22"/>
        <v>356.3</v>
      </c>
      <c r="I714">
        <f t="shared" si="23"/>
        <v>221.4</v>
      </c>
    </row>
    <row r="715" spans="1:9" x14ac:dyDescent="0.25">
      <c r="A715" s="5" t="s">
        <v>344</v>
      </c>
      <c r="B715" s="5" t="s">
        <v>111</v>
      </c>
      <c r="C715" s="5" t="s">
        <v>1067</v>
      </c>
      <c r="D715" s="3">
        <f>VLOOKUP(A715,airports!A:H,7,FALSE)</f>
        <v>48.792749999999998</v>
      </c>
      <c r="E715" s="3">
        <f>VLOOKUP(A715,airports!A:H,8,FALSE)</f>
        <v>-122.53752780000001</v>
      </c>
      <c r="F715" s="3">
        <f>VLOOKUP(B715,airports!A:H,7,FALSE)</f>
        <v>33.829215560000002</v>
      </c>
      <c r="G715" s="3">
        <f>VLOOKUP(B715,airports!A:H,8,FALSE)</f>
        <v>-116.5062531</v>
      </c>
      <c r="H715">
        <f t="shared" si="22"/>
        <v>1737</v>
      </c>
      <c r="I715">
        <f t="shared" si="23"/>
        <v>1079.4000000000001</v>
      </c>
    </row>
    <row r="716" spans="1:9" x14ac:dyDescent="0.25">
      <c r="A716" s="5" t="s">
        <v>344</v>
      </c>
      <c r="B716" s="5" t="s">
        <v>124</v>
      </c>
      <c r="C716" s="5" t="s">
        <v>1068</v>
      </c>
      <c r="D716" s="3">
        <f>VLOOKUP(A716,airports!A:H,7,FALSE)</f>
        <v>48.792749999999998</v>
      </c>
      <c r="E716" s="3">
        <f>VLOOKUP(A716,airports!A:H,8,FALSE)</f>
        <v>-122.53752780000001</v>
      </c>
      <c r="F716" s="3">
        <f>VLOOKUP(B716,airports!A:H,7,FALSE)</f>
        <v>32.733556110000002</v>
      </c>
      <c r="G716" s="3">
        <f>VLOOKUP(B716,airports!A:H,8,FALSE)</f>
        <v>-117.1896567</v>
      </c>
      <c r="H716">
        <f t="shared" si="22"/>
        <v>1840.4</v>
      </c>
      <c r="I716">
        <f t="shared" si="23"/>
        <v>1143.7</v>
      </c>
    </row>
    <row r="717" spans="1:9" x14ac:dyDescent="0.25">
      <c r="A717" s="5" t="s">
        <v>344</v>
      </c>
      <c r="B717" s="5" t="s">
        <v>128</v>
      </c>
      <c r="C717" s="5" t="s">
        <v>1069</v>
      </c>
      <c r="D717" s="3">
        <f>VLOOKUP(A717,airports!A:H,7,FALSE)</f>
        <v>48.792749999999998</v>
      </c>
      <c r="E717" s="3">
        <f>VLOOKUP(A717,airports!A:H,8,FALSE)</f>
        <v>-122.53752780000001</v>
      </c>
      <c r="F717" s="3">
        <f>VLOOKUP(B717,airports!A:H,7,FALSE)</f>
        <v>47.448981940000003</v>
      </c>
      <c r="G717" s="3">
        <f>VLOOKUP(B717,airports!A:H,8,FALSE)</f>
        <v>-122.3093131</v>
      </c>
      <c r="H717">
        <f t="shared" si="22"/>
        <v>150.4</v>
      </c>
      <c r="I717">
        <f t="shared" si="23"/>
        <v>93.4</v>
      </c>
    </row>
    <row r="718" spans="1:9" x14ac:dyDescent="0.25">
      <c r="A718" s="5" t="s">
        <v>344</v>
      </c>
      <c r="B718" s="5" t="s">
        <v>660</v>
      </c>
      <c r="C718" s="5" t="s">
        <v>1070</v>
      </c>
      <c r="D718" s="3">
        <f>VLOOKUP(A718,airports!A:H,7,FALSE)</f>
        <v>48.792749999999998</v>
      </c>
      <c r="E718" s="3">
        <f>VLOOKUP(A718,airports!A:H,8,FALSE)</f>
        <v>-122.53752780000001</v>
      </c>
      <c r="F718" s="3">
        <f>VLOOKUP(B718,airports!A:H,7,FALSE)</f>
        <v>32.116083330000002</v>
      </c>
      <c r="G718" s="3">
        <f>VLOOKUP(B718,airports!A:H,8,FALSE)</f>
        <v>-110.9410278</v>
      </c>
      <c r="H718">
        <f t="shared" si="22"/>
        <v>2092.4</v>
      </c>
      <c r="I718">
        <f t="shared" si="23"/>
        <v>1300.3</v>
      </c>
    </row>
    <row r="719" spans="1:9" ht="30" x14ac:dyDescent="0.25">
      <c r="A719" s="5" t="s">
        <v>841</v>
      </c>
      <c r="B719" s="5" t="s">
        <v>329</v>
      </c>
      <c r="C719" s="5" t="s">
        <v>1071</v>
      </c>
      <c r="D719" s="3">
        <f>VLOOKUP(A719,airports!A:H,7,FALSE)</f>
        <v>38.547699999999999</v>
      </c>
      <c r="E719" s="3">
        <f>VLOOKUP(A719,airports!A:H,8,FALSE)</f>
        <v>-89.815700000000007</v>
      </c>
      <c r="F719" s="3">
        <f>VLOOKUP(B719,airports!A:H,7,FALSE)</f>
        <v>33.308999999999997</v>
      </c>
      <c r="G719" s="3">
        <f>VLOOKUP(B719,airports!A:H,8,FALSE)</f>
        <v>-111.6559</v>
      </c>
      <c r="H719">
        <f t="shared" si="22"/>
        <v>2045.3</v>
      </c>
      <c r="I719">
        <f t="shared" si="23"/>
        <v>1271</v>
      </c>
    </row>
    <row r="720" spans="1:9" ht="30" x14ac:dyDescent="0.25">
      <c r="A720" s="5" t="s">
        <v>841</v>
      </c>
      <c r="B720" s="5" t="s">
        <v>36</v>
      </c>
      <c r="C720" s="5" t="s">
        <v>1072</v>
      </c>
      <c r="D720" s="3">
        <f>VLOOKUP(A720,airports!A:H,7,FALSE)</f>
        <v>38.547699999999999</v>
      </c>
      <c r="E720" s="3">
        <f>VLOOKUP(A720,airports!A:H,8,FALSE)</f>
        <v>-89.815700000000007</v>
      </c>
      <c r="F720" s="3">
        <f>VLOOKUP(B720,airports!A:H,7,FALSE)</f>
        <v>32.898646390000003</v>
      </c>
      <c r="G720" s="3">
        <f>VLOOKUP(B720,airports!A:H,8,FALSE)</f>
        <v>-80.040505830000001</v>
      </c>
      <c r="H720">
        <f t="shared" si="22"/>
        <v>1082.0999999999999</v>
      </c>
      <c r="I720">
        <f t="shared" si="23"/>
        <v>672.4</v>
      </c>
    </row>
    <row r="721" spans="1:9" x14ac:dyDescent="0.25">
      <c r="A721" s="5" t="s">
        <v>841</v>
      </c>
      <c r="B721" s="5" t="s">
        <v>57</v>
      </c>
      <c r="C721" s="5" t="s">
        <v>1073</v>
      </c>
      <c r="D721" s="3">
        <f>VLOOKUP(A721,airports!A:H,7,FALSE)</f>
        <v>38.547699999999999</v>
      </c>
      <c r="E721" s="3">
        <f>VLOOKUP(A721,airports!A:H,8,FALSE)</f>
        <v>-89.815700000000007</v>
      </c>
      <c r="F721" s="3">
        <f>VLOOKUP(B721,airports!A:H,7,FALSE)</f>
        <v>26.072583330000001</v>
      </c>
      <c r="G721" s="3">
        <f>VLOOKUP(B721,airports!A:H,8,FALSE)</f>
        <v>-80.152749999999997</v>
      </c>
      <c r="H721">
        <f t="shared" si="22"/>
        <v>1655.6</v>
      </c>
      <c r="I721">
        <f t="shared" si="23"/>
        <v>1028.8</v>
      </c>
    </row>
    <row r="722" spans="1:9" x14ac:dyDescent="0.25">
      <c r="A722" s="5" t="s">
        <v>841</v>
      </c>
      <c r="B722" s="5" t="s">
        <v>68</v>
      </c>
      <c r="C722" s="5" t="s">
        <v>1074</v>
      </c>
      <c r="D722" s="3">
        <f>VLOOKUP(A722,airports!A:H,7,FALSE)</f>
        <v>38.547699999999999</v>
      </c>
      <c r="E722" s="3">
        <f>VLOOKUP(A722,airports!A:H,8,FALSE)</f>
        <v>-89.815700000000007</v>
      </c>
      <c r="F722" s="3">
        <f>VLOOKUP(B722,airports!A:H,7,FALSE)</f>
        <v>30.49405556</v>
      </c>
      <c r="G722" s="3">
        <f>VLOOKUP(B722,airports!A:H,8,FALSE)</f>
        <v>-81.68786111</v>
      </c>
      <c r="H722">
        <f t="shared" si="22"/>
        <v>1163.5999999999999</v>
      </c>
      <c r="I722">
        <f t="shared" si="23"/>
        <v>723.1</v>
      </c>
    </row>
    <row r="723" spans="1:9" x14ac:dyDescent="0.25">
      <c r="A723" s="5" t="s">
        <v>841</v>
      </c>
      <c r="B723" s="5" t="s">
        <v>71</v>
      </c>
      <c r="C723" s="5" t="s">
        <v>1075</v>
      </c>
      <c r="D723" s="3">
        <f>VLOOKUP(A723,airports!A:H,7,FALSE)</f>
        <v>38.547699999999999</v>
      </c>
      <c r="E723" s="3">
        <f>VLOOKUP(A723,airports!A:H,8,FALSE)</f>
        <v>-89.815700000000007</v>
      </c>
      <c r="F723" s="3">
        <f>VLOOKUP(B723,airports!A:H,7,FALSE)</f>
        <v>36.080361109999998</v>
      </c>
      <c r="G723" s="3">
        <f>VLOOKUP(B723,airports!A:H,8,FALSE)</f>
        <v>-115.1523333</v>
      </c>
      <c r="H723">
        <f t="shared" si="22"/>
        <v>2250.1999999999998</v>
      </c>
      <c r="I723">
        <f t="shared" si="23"/>
        <v>1398.3</v>
      </c>
    </row>
    <row r="724" spans="1:9" ht="30" x14ac:dyDescent="0.25">
      <c r="A724" s="5" t="s">
        <v>841</v>
      </c>
      <c r="B724" s="5" t="s">
        <v>182</v>
      </c>
      <c r="C724" s="5" t="s">
        <v>1076</v>
      </c>
      <c r="D724" s="3">
        <f>VLOOKUP(A724,airports!A:H,7,FALSE)</f>
        <v>38.547699999999999</v>
      </c>
      <c r="E724" s="3">
        <f>VLOOKUP(A724,airports!A:H,8,FALSE)</f>
        <v>-89.815700000000007</v>
      </c>
      <c r="F724" s="3">
        <f>VLOOKUP(B724,airports!A:H,7,FALSE)</f>
        <v>33.679749999999999</v>
      </c>
      <c r="G724" s="3">
        <f>VLOOKUP(B724,airports!A:H,8,FALSE)</f>
        <v>-78.928333330000001</v>
      </c>
      <c r="H724">
        <f t="shared" si="22"/>
        <v>1116.7</v>
      </c>
      <c r="I724">
        <f t="shared" si="23"/>
        <v>693.9</v>
      </c>
    </row>
    <row r="725" spans="1:9" ht="30" x14ac:dyDescent="0.25">
      <c r="A725" s="5" t="s">
        <v>841</v>
      </c>
      <c r="B725" s="5" t="s">
        <v>185</v>
      </c>
      <c r="C725" s="5" t="s">
        <v>1077</v>
      </c>
      <c r="D725" s="3">
        <f>VLOOKUP(A725,airports!A:H,7,FALSE)</f>
        <v>38.547699999999999</v>
      </c>
      <c r="E725" s="3">
        <f>VLOOKUP(A725,airports!A:H,8,FALSE)</f>
        <v>-89.815700000000007</v>
      </c>
      <c r="F725" s="3">
        <f>VLOOKUP(B725,airports!A:H,7,FALSE)</f>
        <v>26.919699999999999</v>
      </c>
      <c r="G725" s="3">
        <f>VLOOKUP(B725,airports!A:H,8,FALSE)</f>
        <v>-81.995999999999995</v>
      </c>
      <c r="H725">
        <f t="shared" si="22"/>
        <v>1484</v>
      </c>
      <c r="I725">
        <f t="shared" si="23"/>
        <v>922.2</v>
      </c>
    </row>
    <row r="726" spans="1:9" x14ac:dyDescent="0.25">
      <c r="A726" s="5" t="s">
        <v>841</v>
      </c>
      <c r="B726" s="5" t="s">
        <v>188</v>
      </c>
      <c r="C726" s="5" t="s">
        <v>1078</v>
      </c>
      <c r="D726" s="3">
        <f>VLOOKUP(A726,airports!A:H,7,FALSE)</f>
        <v>38.547699999999999</v>
      </c>
      <c r="E726" s="3">
        <f>VLOOKUP(A726,airports!A:H,8,FALSE)</f>
        <v>-89.815700000000007</v>
      </c>
      <c r="F726" s="3">
        <f>VLOOKUP(B726,airports!A:H,7,FALSE)</f>
        <v>27.910763330000002</v>
      </c>
      <c r="G726" s="3">
        <f>VLOOKUP(B726,airports!A:H,8,FALSE)</f>
        <v>-82.687439440000006</v>
      </c>
      <c r="H726">
        <f t="shared" si="22"/>
        <v>1354.8</v>
      </c>
      <c r="I726">
        <f t="shared" si="23"/>
        <v>841.9</v>
      </c>
    </row>
    <row r="727" spans="1:9" ht="30" x14ac:dyDescent="0.25">
      <c r="A727" s="5" t="s">
        <v>841</v>
      </c>
      <c r="B727" s="5" t="s">
        <v>126</v>
      </c>
      <c r="C727" s="5" t="s">
        <v>1079</v>
      </c>
      <c r="D727" s="3">
        <f>VLOOKUP(A727,airports!A:H,7,FALSE)</f>
        <v>38.547699999999999</v>
      </c>
      <c r="E727" s="3">
        <f>VLOOKUP(A727,airports!A:H,8,FALSE)</f>
        <v>-89.815700000000007</v>
      </c>
      <c r="F727" s="3">
        <f>VLOOKUP(B727,airports!A:H,7,FALSE)</f>
        <v>32.12758333</v>
      </c>
      <c r="G727" s="3">
        <f>VLOOKUP(B727,airports!A:H,8,FALSE)</f>
        <v>-81.202138890000001</v>
      </c>
      <c r="H727">
        <f t="shared" si="22"/>
        <v>1057.4000000000001</v>
      </c>
      <c r="I727">
        <f t="shared" si="23"/>
        <v>657.1</v>
      </c>
    </row>
    <row r="728" spans="1:9" x14ac:dyDescent="0.25">
      <c r="A728" s="5" t="s">
        <v>841</v>
      </c>
      <c r="B728" s="5" t="s">
        <v>191</v>
      </c>
      <c r="C728" s="5" t="s">
        <v>1080</v>
      </c>
      <c r="D728" s="3">
        <f>VLOOKUP(A728,airports!A:H,7,FALSE)</f>
        <v>38.547699999999999</v>
      </c>
      <c r="E728" s="3">
        <f>VLOOKUP(A728,airports!A:H,8,FALSE)</f>
        <v>-89.815700000000007</v>
      </c>
      <c r="F728" s="3">
        <f>VLOOKUP(B728,airports!A:H,7,FALSE)</f>
        <v>28.7776</v>
      </c>
      <c r="G728" s="3">
        <f>VLOOKUP(B728,airports!A:H,8,FALSE)</f>
        <v>-81.237499999999997</v>
      </c>
      <c r="H728">
        <f t="shared" si="22"/>
        <v>1344.1</v>
      </c>
      <c r="I728">
        <f t="shared" si="23"/>
        <v>835.2</v>
      </c>
    </row>
    <row r="729" spans="1:9" ht="30" x14ac:dyDescent="0.25">
      <c r="A729" s="5" t="s">
        <v>841</v>
      </c>
      <c r="B729" s="5" t="s">
        <v>138</v>
      </c>
      <c r="C729" s="5" t="s">
        <v>1081</v>
      </c>
      <c r="D729" s="3">
        <f>VLOOKUP(A729,airports!A:H,7,FALSE)</f>
        <v>38.547699999999999</v>
      </c>
      <c r="E729" s="3">
        <f>VLOOKUP(A729,airports!A:H,8,FALSE)</f>
        <v>-89.815700000000007</v>
      </c>
      <c r="F729" s="3">
        <f>VLOOKUP(B729,airports!A:H,7,FALSE)</f>
        <v>27.39533333</v>
      </c>
      <c r="G729" s="3">
        <f>VLOOKUP(B729,airports!A:H,8,FALSE)</f>
        <v>-82.554111109999994</v>
      </c>
      <c r="H729">
        <f t="shared" si="22"/>
        <v>1411.8</v>
      </c>
      <c r="I729">
        <f t="shared" si="23"/>
        <v>877.3</v>
      </c>
    </row>
    <row r="730" spans="1:9" ht="30" x14ac:dyDescent="0.25">
      <c r="A730" s="5" t="s">
        <v>841</v>
      </c>
      <c r="B730" s="5" t="s">
        <v>668</v>
      </c>
      <c r="C730" s="5" t="s">
        <v>1082</v>
      </c>
      <c r="D730" s="3">
        <f>VLOOKUP(A730,airports!A:H,7,FALSE)</f>
        <v>38.547699999999999</v>
      </c>
      <c r="E730" s="3">
        <f>VLOOKUP(A730,airports!A:H,8,FALSE)</f>
        <v>-89.815700000000007</v>
      </c>
      <c r="F730" s="3">
        <f>VLOOKUP(B730,airports!A:H,7,FALSE)</f>
        <v>30.483250000000002</v>
      </c>
      <c r="G730" s="3">
        <f>VLOOKUP(B730,airports!A:H,8,FALSE)</f>
        <v>-86.525400000000005</v>
      </c>
      <c r="H730">
        <f t="shared" si="22"/>
        <v>945.8</v>
      </c>
      <c r="I730">
        <f t="shared" si="23"/>
        <v>587.79999999999995</v>
      </c>
    </row>
    <row r="731" spans="1:9" x14ac:dyDescent="0.25">
      <c r="A731" s="5" t="s">
        <v>427</v>
      </c>
      <c r="B731" s="5" t="s">
        <v>10</v>
      </c>
      <c r="C731" s="5" t="s">
        <v>1083</v>
      </c>
      <c r="D731" s="3">
        <f>VLOOKUP(A731,airports!A:H,7,FALSE)</f>
        <v>40.47798556</v>
      </c>
      <c r="E731" s="3">
        <f>VLOOKUP(A731,airports!A:H,8,FALSE)</f>
        <v>-88.915952779999998</v>
      </c>
      <c r="F731" s="3">
        <f>VLOOKUP(B731,airports!A:H,7,FALSE)</f>
        <v>33.640444440000003</v>
      </c>
      <c r="G731" s="3">
        <f>VLOOKUP(B731,airports!A:H,8,FALSE)</f>
        <v>-84.42694444</v>
      </c>
      <c r="H731">
        <f t="shared" si="22"/>
        <v>858</v>
      </c>
      <c r="I731">
        <f t="shared" si="23"/>
        <v>533.20000000000005</v>
      </c>
    </row>
    <row r="732" spans="1:9" ht="30" x14ac:dyDescent="0.25">
      <c r="A732" s="5" t="s">
        <v>427</v>
      </c>
      <c r="B732" s="5" t="s">
        <v>47</v>
      </c>
      <c r="C732" s="5" t="s">
        <v>1084</v>
      </c>
      <c r="D732" s="3">
        <f>VLOOKUP(A732,airports!A:H,7,FALSE)</f>
        <v>40.47798556</v>
      </c>
      <c r="E732" s="3">
        <f>VLOOKUP(A732,airports!A:H,8,FALSE)</f>
        <v>-88.915952779999998</v>
      </c>
      <c r="F732" s="3">
        <f>VLOOKUP(B732,airports!A:H,7,FALSE)</f>
        <v>39.858408060000002</v>
      </c>
      <c r="G732" s="3">
        <f>VLOOKUP(B732,airports!A:H,8,FALSE)</f>
        <v>-104.6670019</v>
      </c>
      <c r="H732">
        <f t="shared" si="22"/>
        <v>1338.4</v>
      </c>
      <c r="I732">
        <f t="shared" si="23"/>
        <v>831.7</v>
      </c>
    </row>
    <row r="733" spans="1:9" ht="30" x14ac:dyDescent="0.25">
      <c r="A733" s="5" t="s">
        <v>427</v>
      </c>
      <c r="B733" s="5" t="s">
        <v>49</v>
      </c>
      <c r="C733" s="5" t="s">
        <v>1085</v>
      </c>
      <c r="D733" s="3">
        <f>VLOOKUP(A733,airports!A:H,7,FALSE)</f>
        <v>40.47798556</v>
      </c>
      <c r="E733" s="3">
        <f>VLOOKUP(A733,airports!A:H,8,FALSE)</f>
        <v>-88.915952779999998</v>
      </c>
      <c r="F733" s="3">
        <f>VLOOKUP(B733,airports!A:H,7,FALSE)</f>
        <v>32.895950560000003</v>
      </c>
      <c r="G733" s="3">
        <f>VLOOKUP(B733,airports!A:H,8,FALSE)</f>
        <v>-97.037199999999999</v>
      </c>
      <c r="H733">
        <f t="shared" si="22"/>
        <v>1110.3</v>
      </c>
      <c r="I733">
        <f t="shared" si="23"/>
        <v>690</v>
      </c>
    </row>
    <row r="734" spans="1:9" ht="30" x14ac:dyDescent="0.25">
      <c r="A734" s="5" t="s">
        <v>427</v>
      </c>
      <c r="B734" s="5" t="s">
        <v>50</v>
      </c>
      <c r="C734" s="5" t="s">
        <v>1086</v>
      </c>
      <c r="D734" s="3">
        <f>VLOOKUP(A734,airports!A:H,7,FALSE)</f>
        <v>40.47798556</v>
      </c>
      <c r="E734" s="3">
        <f>VLOOKUP(A734,airports!A:H,8,FALSE)</f>
        <v>-88.915952779999998</v>
      </c>
      <c r="F734" s="3">
        <f>VLOOKUP(B734,airports!A:H,7,FALSE)</f>
        <v>42.212058890000002</v>
      </c>
      <c r="G734" s="3">
        <f>VLOOKUP(B734,airports!A:H,8,FALSE)</f>
        <v>-83.348835829999999</v>
      </c>
      <c r="H734">
        <f t="shared" si="22"/>
        <v>503</v>
      </c>
      <c r="I734">
        <f t="shared" si="23"/>
        <v>312.60000000000002</v>
      </c>
    </row>
    <row r="735" spans="1:9" x14ac:dyDescent="0.25">
      <c r="A735" s="5" t="s">
        <v>427</v>
      </c>
      <c r="B735" s="5" t="s">
        <v>71</v>
      </c>
      <c r="C735" s="5" t="s">
        <v>1087</v>
      </c>
      <c r="D735" s="3">
        <f>VLOOKUP(A735,airports!A:H,7,FALSE)</f>
        <v>40.47798556</v>
      </c>
      <c r="E735" s="3">
        <f>VLOOKUP(A735,airports!A:H,8,FALSE)</f>
        <v>-88.915952779999998</v>
      </c>
      <c r="F735" s="3">
        <f>VLOOKUP(B735,airports!A:H,7,FALSE)</f>
        <v>36.080361109999998</v>
      </c>
      <c r="G735" s="3">
        <f>VLOOKUP(B735,airports!A:H,8,FALSE)</f>
        <v>-115.1523333</v>
      </c>
      <c r="H735">
        <f t="shared" si="22"/>
        <v>2332.6</v>
      </c>
      <c r="I735">
        <f t="shared" si="23"/>
        <v>1449.5</v>
      </c>
    </row>
    <row r="736" spans="1:9" ht="30" x14ac:dyDescent="0.25">
      <c r="A736" s="5" t="s">
        <v>427</v>
      </c>
      <c r="B736" s="5" t="s">
        <v>82</v>
      </c>
      <c r="C736" s="5" t="s">
        <v>1088</v>
      </c>
      <c r="D736" s="3">
        <f>VLOOKUP(A736,airports!A:H,7,FALSE)</f>
        <v>40.47798556</v>
      </c>
      <c r="E736" s="3">
        <f>VLOOKUP(A736,airports!A:H,8,FALSE)</f>
        <v>-88.915952779999998</v>
      </c>
      <c r="F736" s="3">
        <f>VLOOKUP(B736,airports!A:H,7,FALSE)</f>
        <v>28.42888889</v>
      </c>
      <c r="G736" s="3">
        <f>VLOOKUP(B736,airports!A:H,8,FALSE)</f>
        <v>-81.316027779999999</v>
      </c>
      <c r="H736">
        <f t="shared" si="22"/>
        <v>1508.7</v>
      </c>
      <c r="I736">
        <f t="shared" si="23"/>
        <v>937.5</v>
      </c>
    </row>
    <row r="737" spans="1:9" ht="30" x14ac:dyDescent="0.25">
      <c r="A737" s="5" t="s">
        <v>427</v>
      </c>
      <c r="B737" s="5" t="s">
        <v>87</v>
      </c>
      <c r="C737" s="5" t="s">
        <v>1089</v>
      </c>
      <c r="D737" s="3">
        <f>VLOOKUP(A737,airports!A:H,7,FALSE)</f>
        <v>40.47798556</v>
      </c>
      <c r="E737" s="3">
        <f>VLOOKUP(A737,airports!A:H,8,FALSE)</f>
        <v>-88.915952779999998</v>
      </c>
      <c r="F737" s="3">
        <f>VLOOKUP(B737,airports!A:H,7,FALSE)</f>
        <v>44.880546940000002</v>
      </c>
      <c r="G737" s="3">
        <f>VLOOKUP(B737,airports!A:H,8,FALSE)</f>
        <v>-93.216922499999995</v>
      </c>
      <c r="H737">
        <f t="shared" si="22"/>
        <v>602.5</v>
      </c>
      <c r="I737">
        <f t="shared" si="23"/>
        <v>374.4</v>
      </c>
    </row>
    <row r="738" spans="1:9" ht="30" x14ac:dyDescent="0.25">
      <c r="A738" s="5" t="s">
        <v>427</v>
      </c>
      <c r="B738" s="5" t="s">
        <v>95</v>
      </c>
      <c r="C738" s="5" t="s">
        <v>1090</v>
      </c>
      <c r="D738" s="3">
        <f>VLOOKUP(A738,airports!A:H,7,FALSE)</f>
        <v>40.47798556</v>
      </c>
      <c r="E738" s="3">
        <f>VLOOKUP(A738,airports!A:H,8,FALSE)</f>
        <v>-88.915952779999998</v>
      </c>
      <c r="F738" s="3">
        <f>VLOOKUP(B738,airports!A:H,7,FALSE)</f>
        <v>41.979595000000003</v>
      </c>
      <c r="G738" s="3">
        <f>VLOOKUP(B738,airports!A:H,8,FALSE)</f>
        <v>-87.904464169999997</v>
      </c>
      <c r="H738">
        <f t="shared" si="22"/>
        <v>187.2</v>
      </c>
      <c r="I738">
        <f t="shared" si="23"/>
        <v>116.3</v>
      </c>
    </row>
    <row r="739" spans="1:9" x14ac:dyDescent="0.25">
      <c r="A739" s="5" t="s">
        <v>427</v>
      </c>
      <c r="B739" s="5" t="s">
        <v>188</v>
      </c>
      <c r="C739" s="5" t="s">
        <v>1091</v>
      </c>
      <c r="D739" s="3">
        <f>VLOOKUP(A739,airports!A:H,7,FALSE)</f>
        <v>40.47798556</v>
      </c>
      <c r="E739" s="3">
        <f>VLOOKUP(A739,airports!A:H,8,FALSE)</f>
        <v>-88.915952779999998</v>
      </c>
      <c r="F739" s="3">
        <f>VLOOKUP(B739,airports!A:H,7,FALSE)</f>
        <v>27.910763330000002</v>
      </c>
      <c r="G739" s="3">
        <f>VLOOKUP(B739,airports!A:H,8,FALSE)</f>
        <v>-82.687439440000006</v>
      </c>
      <c r="H739">
        <f t="shared" si="22"/>
        <v>1509.2</v>
      </c>
      <c r="I739">
        <f t="shared" si="23"/>
        <v>937.8</v>
      </c>
    </row>
    <row r="740" spans="1:9" x14ac:dyDescent="0.25">
      <c r="A740" s="5" t="s">
        <v>427</v>
      </c>
      <c r="B740" s="5" t="s">
        <v>191</v>
      </c>
      <c r="C740" s="5" t="s">
        <v>1092</v>
      </c>
      <c r="D740" s="3">
        <f>VLOOKUP(A740,airports!A:H,7,FALSE)</f>
        <v>40.47798556</v>
      </c>
      <c r="E740" s="3">
        <f>VLOOKUP(A740,airports!A:H,8,FALSE)</f>
        <v>-88.915952779999998</v>
      </c>
      <c r="F740" s="3">
        <f>VLOOKUP(B740,airports!A:H,7,FALSE)</f>
        <v>28.7776</v>
      </c>
      <c r="G740" s="3">
        <f>VLOOKUP(B740,airports!A:H,8,FALSE)</f>
        <v>-81.237499999999997</v>
      </c>
      <c r="H740">
        <f t="shared" si="22"/>
        <v>1477.1</v>
      </c>
      <c r="I740">
        <f t="shared" si="23"/>
        <v>917.9</v>
      </c>
    </row>
    <row r="741" spans="1:9" ht="30" x14ac:dyDescent="0.25">
      <c r="A741" s="5" t="s">
        <v>427</v>
      </c>
      <c r="B741" s="5" t="s">
        <v>145</v>
      </c>
      <c r="C741" s="5" t="s">
        <v>1093</v>
      </c>
      <c r="D741" s="3">
        <f>VLOOKUP(A741,airports!A:H,7,FALSE)</f>
        <v>40.47798556</v>
      </c>
      <c r="E741" s="3">
        <f>VLOOKUP(A741,airports!A:H,8,FALSE)</f>
        <v>-88.915952779999998</v>
      </c>
      <c r="F741" s="3">
        <f>VLOOKUP(B741,airports!A:H,7,FALSE)</f>
        <v>27.97547222</v>
      </c>
      <c r="G741" s="3">
        <f>VLOOKUP(B741,airports!A:H,8,FALSE)</f>
        <v>-82.533249999999995</v>
      </c>
      <c r="H741">
        <f t="shared" si="22"/>
        <v>1507.9</v>
      </c>
      <c r="I741">
        <f t="shared" si="23"/>
        <v>937</v>
      </c>
    </row>
    <row r="742" spans="1:9" ht="30" x14ac:dyDescent="0.25">
      <c r="A742" s="5" t="s">
        <v>427</v>
      </c>
      <c r="B742" s="5" t="s">
        <v>668</v>
      </c>
      <c r="C742" s="5" t="s">
        <v>1094</v>
      </c>
      <c r="D742" s="3">
        <f>VLOOKUP(A742,airports!A:H,7,FALSE)</f>
        <v>40.47798556</v>
      </c>
      <c r="E742" s="3">
        <f>VLOOKUP(A742,airports!A:H,8,FALSE)</f>
        <v>-88.915952779999998</v>
      </c>
      <c r="F742" s="3">
        <f>VLOOKUP(B742,airports!A:H,7,FALSE)</f>
        <v>30.483250000000002</v>
      </c>
      <c r="G742" s="3">
        <f>VLOOKUP(B742,airports!A:H,8,FALSE)</f>
        <v>-86.525400000000005</v>
      </c>
      <c r="H742">
        <f t="shared" si="22"/>
        <v>1132.0999999999999</v>
      </c>
      <c r="I742">
        <f t="shared" si="23"/>
        <v>703.5</v>
      </c>
    </row>
    <row r="743" spans="1:9" ht="30" x14ac:dyDescent="0.25">
      <c r="A743" s="5" t="s">
        <v>19</v>
      </c>
      <c r="B743" s="5" t="s">
        <v>170</v>
      </c>
      <c r="C743" s="5" t="s">
        <v>1095</v>
      </c>
      <c r="D743" s="3">
        <f>VLOOKUP(A743,airports!A:H,7,FALSE)</f>
        <v>36.12447667</v>
      </c>
      <c r="E743" s="3">
        <f>VLOOKUP(A743,airports!A:H,8,FALSE)</f>
        <v>-86.678182219999997</v>
      </c>
      <c r="F743" s="3">
        <f>VLOOKUP(B743,airports!A:H,7,FALSE)</f>
        <v>40.652362779999997</v>
      </c>
      <c r="G743" s="3">
        <f>VLOOKUP(B743,airports!A:H,8,FALSE)</f>
        <v>-75.44040167</v>
      </c>
      <c r="H743">
        <f t="shared" si="22"/>
        <v>1100.0999999999999</v>
      </c>
      <c r="I743">
        <f t="shared" si="23"/>
        <v>683.6</v>
      </c>
    </row>
    <row r="744" spans="1:9" ht="30" x14ac:dyDescent="0.25">
      <c r="A744" s="5" t="s">
        <v>19</v>
      </c>
      <c r="B744" s="5" t="s">
        <v>7</v>
      </c>
      <c r="C744" s="5" t="s">
        <v>1096</v>
      </c>
      <c r="D744" s="3">
        <f>VLOOKUP(A744,airports!A:H,7,FALSE)</f>
        <v>36.12447667</v>
      </c>
      <c r="E744" s="3">
        <f>VLOOKUP(A744,airports!A:H,8,FALSE)</f>
        <v>-86.678182219999997</v>
      </c>
      <c r="F744" s="3">
        <f>VLOOKUP(B744,airports!A:H,7,FALSE)</f>
        <v>42.748119440000004</v>
      </c>
      <c r="G744" s="3">
        <f>VLOOKUP(B744,airports!A:H,8,FALSE)</f>
        <v>-73.802978609999997</v>
      </c>
      <c r="H744">
        <f t="shared" si="22"/>
        <v>1326.2</v>
      </c>
      <c r="I744">
        <f t="shared" si="23"/>
        <v>824.1</v>
      </c>
    </row>
    <row r="745" spans="1:9" ht="30" x14ac:dyDescent="0.25">
      <c r="A745" s="5" t="s">
        <v>19</v>
      </c>
      <c r="B745" s="5" t="s">
        <v>10</v>
      </c>
      <c r="C745" s="5" t="s">
        <v>1097</v>
      </c>
      <c r="D745" s="3">
        <f>VLOOKUP(A745,airports!A:H,7,FALSE)</f>
        <v>36.12447667</v>
      </c>
      <c r="E745" s="3">
        <f>VLOOKUP(A745,airports!A:H,8,FALSE)</f>
        <v>-86.678182219999997</v>
      </c>
      <c r="F745" s="3">
        <f>VLOOKUP(B745,airports!A:H,7,FALSE)</f>
        <v>33.640444440000003</v>
      </c>
      <c r="G745" s="3">
        <f>VLOOKUP(B745,airports!A:H,8,FALSE)</f>
        <v>-84.42694444</v>
      </c>
      <c r="H745">
        <f t="shared" si="22"/>
        <v>344.2</v>
      </c>
      <c r="I745">
        <f t="shared" si="23"/>
        <v>213.9</v>
      </c>
    </row>
    <row r="746" spans="1:9" ht="30" x14ac:dyDescent="0.25">
      <c r="A746" s="5" t="s">
        <v>19</v>
      </c>
      <c r="B746" s="5" t="s">
        <v>416</v>
      </c>
      <c r="C746" s="5" t="s">
        <v>1098</v>
      </c>
      <c r="D746" s="3">
        <f>VLOOKUP(A746,airports!A:H,7,FALSE)</f>
        <v>36.12447667</v>
      </c>
      <c r="E746" s="3">
        <f>VLOOKUP(A746,airports!A:H,8,FALSE)</f>
        <v>-86.678182219999997</v>
      </c>
      <c r="F746" s="3">
        <f>VLOOKUP(B746,airports!A:H,7,FALSE)</f>
        <v>44.257408060000003</v>
      </c>
      <c r="G746" s="3">
        <f>VLOOKUP(B746,airports!A:H,8,FALSE)</f>
        <v>-88.519475560000004</v>
      </c>
      <c r="H746">
        <f t="shared" si="22"/>
        <v>917.7</v>
      </c>
      <c r="I746">
        <f t="shared" si="23"/>
        <v>570.29999999999995</v>
      </c>
    </row>
    <row r="747" spans="1:9" ht="30" x14ac:dyDescent="0.25">
      <c r="A747" s="5" t="s">
        <v>19</v>
      </c>
      <c r="B747" s="5" t="s">
        <v>13</v>
      </c>
      <c r="C747" s="5" t="s">
        <v>1099</v>
      </c>
      <c r="D747" s="3">
        <f>VLOOKUP(A747,airports!A:H,7,FALSE)</f>
        <v>36.12447667</v>
      </c>
      <c r="E747" s="3">
        <f>VLOOKUP(A747,airports!A:H,8,FALSE)</f>
        <v>-86.678182219999997</v>
      </c>
      <c r="F747" s="3">
        <f>VLOOKUP(B747,airports!A:H,7,FALSE)</f>
        <v>30.194532779999999</v>
      </c>
      <c r="G747" s="3">
        <f>VLOOKUP(B747,airports!A:H,8,FALSE)</f>
        <v>-97.669871939999993</v>
      </c>
      <c r="H747">
        <f t="shared" si="22"/>
        <v>1216</v>
      </c>
      <c r="I747">
        <f t="shared" si="23"/>
        <v>755.6</v>
      </c>
    </row>
    <row r="748" spans="1:9" ht="30" x14ac:dyDescent="0.25">
      <c r="A748" s="5" t="s">
        <v>19</v>
      </c>
      <c r="B748" s="5" t="s">
        <v>16</v>
      </c>
      <c r="C748" s="5" t="s">
        <v>1100</v>
      </c>
      <c r="D748" s="3">
        <f>VLOOKUP(A748,airports!A:H,7,FALSE)</f>
        <v>36.12447667</v>
      </c>
      <c r="E748" s="3">
        <f>VLOOKUP(A748,airports!A:H,8,FALSE)</f>
        <v>-86.678182219999997</v>
      </c>
      <c r="F748" s="3">
        <f>VLOOKUP(B748,airports!A:H,7,FALSE)</f>
        <v>41.938874169999998</v>
      </c>
      <c r="G748" s="3">
        <f>VLOOKUP(B748,airports!A:H,8,FALSE)</f>
        <v>-72.683228330000006</v>
      </c>
      <c r="H748">
        <f t="shared" si="22"/>
        <v>1368.4</v>
      </c>
      <c r="I748">
        <f t="shared" si="23"/>
        <v>850.4</v>
      </c>
    </row>
    <row r="749" spans="1:9" ht="30" x14ac:dyDescent="0.25">
      <c r="A749" s="5" t="s">
        <v>19</v>
      </c>
      <c r="B749" s="5" t="s">
        <v>22</v>
      </c>
      <c r="C749" s="5" t="s">
        <v>1101</v>
      </c>
      <c r="D749" s="3">
        <f>VLOOKUP(A749,airports!A:H,7,FALSE)</f>
        <v>36.12447667</v>
      </c>
      <c r="E749" s="3">
        <f>VLOOKUP(A749,airports!A:H,8,FALSE)</f>
        <v>-86.678182219999997</v>
      </c>
      <c r="F749" s="3">
        <f>VLOOKUP(B749,airports!A:H,7,FALSE)</f>
        <v>43.564444440000003</v>
      </c>
      <c r="G749" s="3">
        <f>VLOOKUP(B749,airports!A:H,8,FALSE)</f>
        <v>-116.2227778</v>
      </c>
      <c r="H749">
        <f t="shared" si="22"/>
        <v>2638.3</v>
      </c>
      <c r="I749">
        <f t="shared" si="23"/>
        <v>1639.4</v>
      </c>
    </row>
    <row r="750" spans="1:9" ht="30" x14ac:dyDescent="0.25">
      <c r="A750" s="5" t="s">
        <v>19</v>
      </c>
      <c r="B750" s="5" t="s">
        <v>24</v>
      </c>
      <c r="C750" s="5" t="s">
        <v>1102</v>
      </c>
      <c r="D750" s="3">
        <f>VLOOKUP(A750,airports!A:H,7,FALSE)</f>
        <v>36.12447667</v>
      </c>
      <c r="E750" s="3">
        <f>VLOOKUP(A750,airports!A:H,8,FALSE)</f>
        <v>-86.678182219999997</v>
      </c>
      <c r="F750" s="3">
        <f>VLOOKUP(B750,airports!A:H,7,FALSE)</f>
        <v>42.364347500000001</v>
      </c>
      <c r="G750" s="3">
        <f>VLOOKUP(B750,airports!A:H,8,FALSE)</f>
        <v>-71.005179170000005</v>
      </c>
      <c r="H750">
        <f t="shared" si="22"/>
        <v>1514.3</v>
      </c>
      <c r="I750">
        <f t="shared" si="23"/>
        <v>941</v>
      </c>
    </row>
    <row r="751" spans="1:9" ht="30" x14ac:dyDescent="0.25">
      <c r="A751" s="5" t="s">
        <v>19</v>
      </c>
      <c r="B751" s="5" t="s">
        <v>29</v>
      </c>
      <c r="C751" s="5" t="s">
        <v>1103</v>
      </c>
      <c r="D751" s="3">
        <f>VLOOKUP(A751,airports!A:H,7,FALSE)</f>
        <v>36.12447667</v>
      </c>
      <c r="E751" s="3">
        <f>VLOOKUP(A751,airports!A:H,8,FALSE)</f>
        <v>-86.678182219999997</v>
      </c>
      <c r="F751" s="3">
        <f>VLOOKUP(B751,airports!A:H,7,FALSE)</f>
        <v>42.940524719999999</v>
      </c>
      <c r="G751" s="3">
        <f>VLOOKUP(B751,airports!A:H,8,FALSE)</f>
        <v>-78.732166669999998</v>
      </c>
      <c r="H751">
        <f t="shared" si="22"/>
        <v>1018.3</v>
      </c>
      <c r="I751">
        <f t="shared" si="23"/>
        <v>632.79999999999995</v>
      </c>
    </row>
    <row r="752" spans="1:9" ht="30" x14ac:dyDescent="0.25">
      <c r="A752" s="5" t="s">
        <v>19</v>
      </c>
      <c r="B752" s="5" t="s">
        <v>30</v>
      </c>
      <c r="C752" s="5" t="s">
        <v>1104</v>
      </c>
      <c r="D752" s="3">
        <f>VLOOKUP(A752,airports!A:H,7,FALSE)</f>
        <v>36.12447667</v>
      </c>
      <c r="E752" s="3">
        <f>VLOOKUP(A752,airports!A:H,8,FALSE)</f>
        <v>-86.678182219999997</v>
      </c>
      <c r="F752" s="3">
        <f>VLOOKUP(B752,airports!A:H,7,FALSE)</f>
        <v>34.200619170000003</v>
      </c>
      <c r="G752" s="3">
        <f>VLOOKUP(B752,airports!A:H,8,FALSE)</f>
        <v>-118.35849690000001</v>
      </c>
      <c r="H752">
        <f t="shared" si="22"/>
        <v>2875.1</v>
      </c>
      <c r="I752">
        <f t="shared" si="23"/>
        <v>1786.6</v>
      </c>
    </row>
    <row r="753" spans="1:9" ht="30" x14ac:dyDescent="0.25">
      <c r="A753" s="5" t="s">
        <v>19</v>
      </c>
      <c r="B753" s="5" t="s">
        <v>32</v>
      </c>
      <c r="C753" s="5" t="s">
        <v>1105</v>
      </c>
      <c r="D753" s="3">
        <f>VLOOKUP(A753,airports!A:H,7,FALSE)</f>
        <v>36.12447667</v>
      </c>
      <c r="E753" s="3">
        <f>VLOOKUP(A753,airports!A:H,8,FALSE)</f>
        <v>-86.678182219999997</v>
      </c>
      <c r="F753" s="3">
        <f>VLOOKUP(B753,airports!A:H,7,FALSE)</f>
        <v>39.175401669999999</v>
      </c>
      <c r="G753" s="3">
        <f>VLOOKUP(B753,airports!A:H,8,FALSE)</f>
        <v>-76.668198329999996</v>
      </c>
      <c r="H753">
        <f t="shared" si="22"/>
        <v>943.7</v>
      </c>
      <c r="I753">
        <f t="shared" si="23"/>
        <v>586.4</v>
      </c>
    </row>
    <row r="754" spans="1:9" ht="30" x14ac:dyDescent="0.25">
      <c r="A754" s="5" t="s">
        <v>19</v>
      </c>
      <c r="B754" s="5" t="s">
        <v>34</v>
      </c>
      <c r="C754" s="5" t="s">
        <v>1106</v>
      </c>
      <c r="D754" s="3">
        <f>VLOOKUP(A754,airports!A:H,7,FALSE)</f>
        <v>36.12447667</v>
      </c>
      <c r="E754" s="3">
        <f>VLOOKUP(A754,airports!A:H,8,FALSE)</f>
        <v>-86.678182219999997</v>
      </c>
      <c r="F754" s="3">
        <f>VLOOKUP(B754,airports!A:H,7,FALSE)</f>
        <v>45.776901389999999</v>
      </c>
      <c r="G754" s="3">
        <f>VLOOKUP(B754,airports!A:H,8,FALSE)</f>
        <v>-111.1530072</v>
      </c>
      <c r="H754">
        <f t="shared" si="22"/>
        <v>2305.6999999999998</v>
      </c>
      <c r="I754">
        <f t="shared" si="23"/>
        <v>1432.8</v>
      </c>
    </row>
    <row r="755" spans="1:9" ht="30" x14ac:dyDescent="0.25">
      <c r="A755" s="5" t="s">
        <v>19</v>
      </c>
      <c r="B755" s="5" t="s">
        <v>36</v>
      </c>
      <c r="C755" s="5" t="s">
        <v>1107</v>
      </c>
      <c r="D755" s="3">
        <f>VLOOKUP(A755,airports!A:H,7,FALSE)</f>
        <v>36.12447667</v>
      </c>
      <c r="E755" s="3">
        <f>VLOOKUP(A755,airports!A:H,8,FALSE)</f>
        <v>-86.678182219999997</v>
      </c>
      <c r="F755" s="3">
        <f>VLOOKUP(B755,airports!A:H,7,FALSE)</f>
        <v>32.898646390000003</v>
      </c>
      <c r="G755" s="3">
        <f>VLOOKUP(B755,airports!A:H,8,FALSE)</f>
        <v>-80.040505830000001</v>
      </c>
      <c r="H755">
        <f t="shared" si="22"/>
        <v>705.8</v>
      </c>
      <c r="I755">
        <f t="shared" si="23"/>
        <v>438.6</v>
      </c>
    </row>
    <row r="756" spans="1:9" ht="30" x14ac:dyDescent="0.25">
      <c r="A756" s="5" t="s">
        <v>19</v>
      </c>
      <c r="B756" s="5" t="s">
        <v>450</v>
      </c>
      <c r="C756" s="5" t="s">
        <v>1108</v>
      </c>
      <c r="D756" s="3">
        <f>VLOOKUP(A756,airports!A:H,7,FALSE)</f>
        <v>36.12447667</v>
      </c>
      <c r="E756" s="3">
        <f>VLOOKUP(A756,airports!A:H,8,FALSE)</f>
        <v>-86.678182219999997</v>
      </c>
      <c r="F756" s="3">
        <f>VLOOKUP(B756,airports!A:H,7,FALSE)</f>
        <v>41.88458833</v>
      </c>
      <c r="G756" s="3">
        <f>VLOOKUP(B756,airports!A:H,8,FALSE)</f>
        <v>-91.710872219999999</v>
      </c>
      <c r="H756">
        <f t="shared" si="22"/>
        <v>773.8</v>
      </c>
      <c r="I756">
        <f t="shared" si="23"/>
        <v>480.9</v>
      </c>
    </row>
    <row r="757" spans="1:9" ht="30" x14ac:dyDescent="0.25">
      <c r="A757" s="5" t="s">
        <v>19</v>
      </c>
      <c r="B757" s="5" t="s">
        <v>38</v>
      </c>
      <c r="C757" s="5" t="s">
        <v>1109</v>
      </c>
      <c r="D757" s="3">
        <f>VLOOKUP(A757,airports!A:H,7,FALSE)</f>
        <v>36.12447667</v>
      </c>
      <c r="E757" s="3">
        <f>VLOOKUP(A757,airports!A:H,8,FALSE)</f>
        <v>-86.678182219999997</v>
      </c>
      <c r="F757" s="3">
        <f>VLOOKUP(B757,airports!A:H,7,FALSE)</f>
        <v>41.410894169999999</v>
      </c>
      <c r="G757" s="3">
        <f>VLOOKUP(B757,airports!A:H,8,FALSE)</f>
        <v>-81.849396670000004</v>
      </c>
      <c r="H757">
        <f t="shared" si="22"/>
        <v>721.4</v>
      </c>
      <c r="I757">
        <f t="shared" si="23"/>
        <v>448.3</v>
      </c>
    </row>
    <row r="758" spans="1:9" ht="30" x14ac:dyDescent="0.25">
      <c r="A758" s="5" t="s">
        <v>19</v>
      </c>
      <c r="B758" s="5" t="s">
        <v>40</v>
      </c>
      <c r="C758" s="5" t="s">
        <v>1110</v>
      </c>
      <c r="D758" s="3">
        <f>VLOOKUP(A758,airports!A:H,7,FALSE)</f>
        <v>36.12447667</v>
      </c>
      <c r="E758" s="3">
        <f>VLOOKUP(A758,airports!A:H,8,FALSE)</f>
        <v>-86.678182219999997</v>
      </c>
      <c r="F758" s="3">
        <f>VLOOKUP(B758,airports!A:H,7,FALSE)</f>
        <v>35.214011110000001</v>
      </c>
      <c r="G758" s="3">
        <f>VLOOKUP(B758,airports!A:H,8,FALSE)</f>
        <v>-80.94312583</v>
      </c>
      <c r="H758">
        <f t="shared" si="22"/>
        <v>527.79999999999995</v>
      </c>
      <c r="I758">
        <f t="shared" si="23"/>
        <v>328</v>
      </c>
    </row>
    <row r="759" spans="1:9" ht="30" x14ac:dyDescent="0.25">
      <c r="A759" s="5" t="s">
        <v>19</v>
      </c>
      <c r="B759" s="5" t="s">
        <v>454</v>
      </c>
      <c r="C759" s="5" t="s">
        <v>1111</v>
      </c>
      <c r="D759" s="3">
        <f>VLOOKUP(A759,airports!A:H,7,FALSE)</f>
        <v>36.12447667</v>
      </c>
      <c r="E759" s="3">
        <f>VLOOKUP(A759,airports!A:H,8,FALSE)</f>
        <v>-86.678182219999997</v>
      </c>
      <c r="F759" s="3">
        <f>VLOOKUP(B759,airports!A:H,7,FALSE)</f>
        <v>39.997985280000002</v>
      </c>
      <c r="G759" s="3">
        <f>VLOOKUP(B759,airports!A:H,8,FALSE)</f>
        <v>-82.891882780000003</v>
      </c>
      <c r="H759">
        <f t="shared" si="22"/>
        <v>543.4</v>
      </c>
      <c r="I759">
        <f t="shared" si="23"/>
        <v>337.7</v>
      </c>
    </row>
    <row r="760" spans="1:9" ht="30" x14ac:dyDescent="0.25">
      <c r="A760" s="5" t="s">
        <v>19</v>
      </c>
      <c r="B760" s="5" t="s">
        <v>462</v>
      </c>
      <c r="C760" s="5" t="s">
        <v>1112</v>
      </c>
      <c r="D760" s="3">
        <f>VLOOKUP(A760,airports!A:H,7,FALSE)</f>
        <v>36.12447667</v>
      </c>
      <c r="E760" s="3">
        <f>VLOOKUP(A760,airports!A:H,8,FALSE)</f>
        <v>-86.678182219999997</v>
      </c>
      <c r="F760" s="3">
        <f>VLOOKUP(B760,airports!A:H,7,FALSE)</f>
        <v>39.046142779999997</v>
      </c>
      <c r="G760" s="3">
        <f>VLOOKUP(B760,airports!A:H,8,FALSE)</f>
        <v>-84.662172499999997</v>
      </c>
      <c r="H760">
        <f t="shared" si="22"/>
        <v>370.2</v>
      </c>
      <c r="I760">
        <f t="shared" si="23"/>
        <v>230.1</v>
      </c>
    </row>
    <row r="761" spans="1:9" ht="30" x14ac:dyDescent="0.25">
      <c r="A761" s="5" t="s">
        <v>19</v>
      </c>
      <c r="B761" s="5" t="s">
        <v>201</v>
      </c>
      <c r="C761" s="5" t="s">
        <v>1113</v>
      </c>
      <c r="D761" s="3">
        <f>VLOOKUP(A761,airports!A:H,7,FALSE)</f>
        <v>36.12447667</v>
      </c>
      <c r="E761" s="3">
        <f>VLOOKUP(A761,airports!A:H,8,FALSE)</f>
        <v>-86.678182219999997</v>
      </c>
      <c r="F761" s="3">
        <f>VLOOKUP(B761,airports!A:H,7,FALSE)</f>
        <v>32.847113890000003</v>
      </c>
      <c r="G761" s="3">
        <f>VLOOKUP(B761,airports!A:H,8,FALSE)</f>
        <v>-96.851772220000001</v>
      </c>
      <c r="H761">
        <f t="shared" si="22"/>
        <v>1000.5</v>
      </c>
      <c r="I761">
        <f t="shared" si="23"/>
        <v>621.70000000000005</v>
      </c>
    </row>
    <row r="762" spans="1:9" ht="30" x14ac:dyDescent="0.25">
      <c r="A762" s="5" t="s">
        <v>19</v>
      </c>
      <c r="B762" s="5" t="s">
        <v>45</v>
      </c>
      <c r="C762" s="5" t="s">
        <v>1114</v>
      </c>
      <c r="D762" s="3">
        <f>VLOOKUP(A762,airports!A:H,7,FALSE)</f>
        <v>36.12447667</v>
      </c>
      <c r="E762" s="3">
        <f>VLOOKUP(A762,airports!A:H,8,FALSE)</f>
        <v>-86.678182219999997</v>
      </c>
      <c r="F762" s="3">
        <f>VLOOKUP(B762,airports!A:H,7,FALSE)</f>
        <v>38.852083329999999</v>
      </c>
      <c r="G762" s="3">
        <f>VLOOKUP(B762,airports!A:H,8,FALSE)</f>
        <v>-77.037722220000006</v>
      </c>
      <c r="H762">
        <f t="shared" si="22"/>
        <v>902.5</v>
      </c>
      <c r="I762">
        <f t="shared" si="23"/>
        <v>560.79999999999995</v>
      </c>
    </row>
    <row r="763" spans="1:9" ht="30" x14ac:dyDescent="0.25">
      <c r="A763" s="5" t="s">
        <v>19</v>
      </c>
      <c r="B763" s="5" t="s">
        <v>47</v>
      </c>
      <c r="C763" s="5" t="s">
        <v>1115</v>
      </c>
      <c r="D763" s="3">
        <f>VLOOKUP(A763,airports!A:H,7,FALSE)</f>
        <v>36.12447667</v>
      </c>
      <c r="E763" s="3">
        <f>VLOOKUP(A763,airports!A:H,8,FALSE)</f>
        <v>-86.678182219999997</v>
      </c>
      <c r="F763" s="3">
        <f>VLOOKUP(B763,airports!A:H,7,FALSE)</f>
        <v>39.858408060000002</v>
      </c>
      <c r="G763" s="3">
        <f>VLOOKUP(B763,airports!A:H,8,FALSE)</f>
        <v>-104.6670019</v>
      </c>
      <c r="H763">
        <f t="shared" si="22"/>
        <v>1627</v>
      </c>
      <c r="I763">
        <f t="shared" si="23"/>
        <v>1011</v>
      </c>
    </row>
    <row r="764" spans="1:9" ht="30" x14ac:dyDescent="0.25">
      <c r="A764" s="5" t="s">
        <v>19</v>
      </c>
      <c r="B764" s="5" t="s">
        <v>49</v>
      </c>
      <c r="C764" s="5" t="s">
        <v>1116</v>
      </c>
      <c r="D764" s="3">
        <f>VLOOKUP(A764,airports!A:H,7,FALSE)</f>
        <v>36.12447667</v>
      </c>
      <c r="E764" s="3">
        <f>VLOOKUP(A764,airports!A:H,8,FALSE)</f>
        <v>-86.678182219999997</v>
      </c>
      <c r="F764" s="3">
        <f>VLOOKUP(B764,airports!A:H,7,FALSE)</f>
        <v>32.895950560000003</v>
      </c>
      <c r="G764" s="3">
        <f>VLOOKUP(B764,airports!A:H,8,FALSE)</f>
        <v>-97.037199999999999</v>
      </c>
      <c r="H764">
        <f t="shared" si="22"/>
        <v>1014.1</v>
      </c>
      <c r="I764">
        <f t="shared" si="23"/>
        <v>630.20000000000005</v>
      </c>
    </row>
    <row r="765" spans="1:9" ht="30" x14ac:dyDescent="0.25">
      <c r="A765" s="5" t="s">
        <v>19</v>
      </c>
      <c r="B765" s="5" t="s">
        <v>474</v>
      </c>
      <c r="C765" s="5" t="s">
        <v>1117</v>
      </c>
      <c r="D765" s="3">
        <f>VLOOKUP(A765,airports!A:H,7,FALSE)</f>
        <v>36.12447667</v>
      </c>
      <c r="E765" s="3">
        <f>VLOOKUP(A765,airports!A:H,8,FALSE)</f>
        <v>-86.678182219999997</v>
      </c>
      <c r="F765" s="3">
        <f>VLOOKUP(B765,airports!A:H,7,FALSE)</f>
        <v>41.53493306</v>
      </c>
      <c r="G765" s="3">
        <f>VLOOKUP(B765,airports!A:H,8,FALSE)</f>
        <v>-93.660682219999998</v>
      </c>
      <c r="H765">
        <f t="shared" si="22"/>
        <v>852.5</v>
      </c>
      <c r="I765">
        <f t="shared" si="23"/>
        <v>529.79999999999995</v>
      </c>
    </row>
    <row r="766" spans="1:9" ht="30" x14ac:dyDescent="0.25">
      <c r="A766" s="5" t="s">
        <v>19</v>
      </c>
      <c r="B766" s="5" t="s">
        <v>50</v>
      </c>
      <c r="C766" s="5" t="s">
        <v>1118</v>
      </c>
      <c r="D766" s="3">
        <f>VLOOKUP(A766,airports!A:H,7,FALSE)</f>
        <v>36.12447667</v>
      </c>
      <c r="E766" s="3">
        <f>VLOOKUP(A766,airports!A:H,8,FALSE)</f>
        <v>-86.678182219999997</v>
      </c>
      <c r="F766" s="3">
        <f>VLOOKUP(B766,airports!A:H,7,FALSE)</f>
        <v>42.212058890000002</v>
      </c>
      <c r="G766" s="3">
        <f>VLOOKUP(B766,airports!A:H,8,FALSE)</f>
        <v>-83.348835829999999</v>
      </c>
      <c r="H766">
        <f t="shared" si="22"/>
        <v>735.1</v>
      </c>
      <c r="I766">
        <f t="shared" si="23"/>
        <v>456.8</v>
      </c>
    </row>
    <row r="767" spans="1:9" ht="30" x14ac:dyDescent="0.25">
      <c r="A767" s="5" t="s">
        <v>19</v>
      </c>
      <c r="B767" s="5" t="s">
        <v>477</v>
      </c>
      <c r="C767" s="5" t="s">
        <v>1119</v>
      </c>
      <c r="D767" s="3">
        <f>VLOOKUP(A767,airports!A:H,7,FALSE)</f>
        <v>36.12447667</v>
      </c>
      <c r="E767" s="3">
        <f>VLOOKUP(A767,airports!A:H,8,FALSE)</f>
        <v>-86.678182219999997</v>
      </c>
      <c r="F767" s="3">
        <f>VLOOKUP(B767,airports!A:H,7,FALSE)</f>
        <v>30.357106000000002</v>
      </c>
      <c r="G767" s="3">
        <f>VLOOKUP(B767,airports!A:H,8,FALSE)</f>
        <v>-85.795413999999994</v>
      </c>
      <c r="H767">
        <f t="shared" si="22"/>
        <v>646.5</v>
      </c>
      <c r="I767">
        <f t="shared" si="23"/>
        <v>401.8</v>
      </c>
    </row>
    <row r="768" spans="1:9" ht="30" x14ac:dyDescent="0.25">
      <c r="A768" s="5" t="s">
        <v>19</v>
      </c>
      <c r="B768" s="5" t="s">
        <v>52</v>
      </c>
      <c r="C768" s="5" t="s">
        <v>1120</v>
      </c>
      <c r="D768" s="3">
        <f>VLOOKUP(A768,airports!A:H,7,FALSE)</f>
        <v>36.12447667</v>
      </c>
      <c r="E768" s="3">
        <f>VLOOKUP(A768,airports!A:H,8,FALSE)</f>
        <v>-86.678182219999997</v>
      </c>
      <c r="F768" s="3">
        <f>VLOOKUP(B768,airports!A:H,7,FALSE)</f>
        <v>40.69249722</v>
      </c>
      <c r="G768" s="3">
        <f>VLOOKUP(B768,airports!A:H,8,FALSE)</f>
        <v>-74.168660560000006</v>
      </c>
      <c r="H768">
        <f t="shared" si="22"/>
        <v>1201</v>
      </c>
      <c r="I768">
        <f t="shared" si="23"/>
        <v>746.3</v>
      </c>
    </row>
    <row r="769" spans="1:9" ht="30" x14ac:dyDescent="0.25">
      <c r="A769" s="5" t="s">
        <v>19</v>
      </c>
      <c r="B769" s="5" t="s">
        <v>54</v>
      </c>
      <c r="C769" s="5" t="s">
        <v>1121</v>
      </c>
      <c r="D769" s="3">
        <f>VLOOKUP(A769,airports!A:H,7,FALSE)</f>
        <v>36.12447667</v>
      </c>
      <c r="E769" s="3">
        <f>VLOOKUP(A769,airports!A:H,8,FALSE)</f>
        <v>-86.678182219999997</v>
      </c>
      <c r="F769" s="3">
        <f>VLOOKUP(B769,airports!A:H,7,FALSE)</f>
        <v>24.55611111</v>
      </c>
      <c r="G769" s="3">
        <f>VLOOKUP(B769,airports!A:H,8,FALSE)</f>
        <v>-81.759555559999995</v>
      </c>
      <c r="H769">
        <f t="shared" si="22"/>
        <v>1369.6</v>
      </c>
      <c r="I769">
        <f t="shared" si="23"/>
        <v>851.1</v>
      </c>
    </row>
    <row r="770" spans="1:9" ht="30" x14ac:dyDescent="0.25">
      <c r="A770" s="5" t="s">
        <v>19</v>
      </c>
      <c r="B770" s="5" t="s">
        <v>491</v>
      </c>
      <c r="C770" s="5" t="s">
        <v>1122</v>
      </c>
      <c r="D770" s="3">
        <f>VLOOKUP(A770,airports!A:H,7,FALSE)</f>
        <v>36.12447667</v>
      </c>
      <c r="E770" s="3">
        <f>VLOOKUP(A770,airports!A:H,8,FALSE)</f>
        <v>-86.678182219999997</v>
      </c>
      <c r="F770" s="3">
        <f>VLOOKUP(B770,airports!A:H,7,FALSE)</f>
        <v>46.919348890000002</v>
      </c>
      <c r="G770" s="3">
        <f>VLOOKUP(B770,airports!A:H,8,FALSE)</f>
        <v>-96.814988889999995</v>
      </c>
      <c r="H770">
        <f t="shared" si="22"/>
        <v>1464.6</v>
      </c>
      <c r="I770">
        <f t="shared" si="23"/>
        <v>910.1</v>
      </c>
    </row>
    <row r="771" spans="1:9" x14ac:dyDescent="0.25">
      <c r="A771" s="5" t="s">
        <v>19</v>
      </c>
      <c r="B771" s="5" t="s">
        <v>57</v>
      </c>
      <c r="C771" s="5" t="s">
        <v>1123</v>
      </c>
      <c r="D771" s="3">
        <f>VLOOKUP(A771,airports!A:H,7,FALSE)</f>
        <v>36.12447667</v>
      </c>
      <c r="E771" s="3">
        <f>VLOOKUP(A771,airports!A:H,8,FALSE)</f>
        <v>-86.678182219999997</v>
      </c>
      <c r="F771" s="3">
        <f>VLOOKUP(B771,airports!A:H,7,FALSE)</f>
        <v>26.072583330000001</v>
      </c>
      <c r="G771" s="3">
        <f>VLOOKUP(B771,airports!A:H,8,FALSE)</f>
        <v>-80.152749999999997</v>
      </c>
      <c r="H771">
        <f t="shared" si="22"/>
        <v>1277.9000000000001</v>
      </c>
      <c r="I771">
        <f t="shared" si="23"/>
        <v>794.1</v>
      </c>
    </row>
    <row r="772" spans="1:9" ht="30" x14ac:dyDescent="0.25">
      <c r="A772" s="5" t="s">
        <v>19</v>
      </c>
      <c r="B772" s="5" t="s">
        <v>497</v>
      </c>
      <c r="C772" s="5" t="s">
        <v>1124</v>
      </c>
      <c r="D772" s="3">
        <f>VLOOKUP(A772,airports!A:H,7,FALSE)</f>
        <v>36.12447667</v>
      </c>
      <c r="E772" s="3">
        <f>VLOOKUP(A772,airports!A:H,8,FALSE)</f>
        <v>-86.678182219999997</v>
      </c>
      <c r="F772" s="3">
        <f>VLOOKUP(B772,airports!A:H,7,FALSE)</f>
        <v>42.965503329999997</v>
      </c>
      <c r="G772" s="3">
        <f>VLOOKUP(B772,airports!A:H,8,FALSE)</f>
        <v>-83.743456390000006</v>
      </c>
      <c r="H772">
        <f t="shared" ref="H772:H835" si="24">ROUND(ACOS(COS(RADIANS(90-D772)) * COS(RADIANS(90-F772)) + SIN(RADIANS(90-D772)) * SIN(RADIANS(90-F772)) * COS(RADIANS(E772-G772))) * 6371,1)</f>
        <v>801.1</v>
      </c>
      <c r="I772">
        <f t="shared" ref="I772:I835" si="25">ROUND(ACOS(COS(RADIANS(90-D772)) * COS(RADIANS(90-F772)) + SIN(RADIANS(90-D772)) * SIN(RADIANS(90-F772)) * COS(RADIANS(E772-G772))) * 3959,1)</f>
        <v>497.8</v>
      </c>
    </row>
    <row r="773" spans="1:9" ht="30" x14ac:dyDescent="0.25">
      <c r="A773" s="5" t="s">
        <v>19</v>
      </c>
      <c r="B773" s="5" t="s">
        <v>499</v>
      </c>
      <c r="C773" s="5" t="s">
        <v>1125</v>
      </c>
      <c r="D773" s="3">
        <f>VLOOKUP(A773,airports!A:H,7,FALSE)</f>
        <v>36.12447667</v>
      </c>
      <c r="E773" s="3">
        <f>VLOOKUP(A773,airports!A:H,8,FALSE)</f>
        <v>-86.678182219999997</v>
      </c>
      <c r="F773" s="3">
        <f>VLOOKUP(B773,airports!A:H,7,FALSE)</f>
        <v>43.58135111</v>
      </c>
      <c r="G773" s="3">
        <f>VLOOKUP(B773,airports!A:H,8,FALSE)</f>
        <v>-96.741700280000003</v>
      </c>
      <c r="H773">
        <f t="shared" si="24"/>
        <v>1192.3</v>
      </c>
      <c r="I773">
        <f t="shared" si="25"/>
        <v>740.9</v>
      </c>
    </row>
    <row r="774" spans="1:9" ht="30" x14ac:dyDescent="0.25">
      <c r="A774" s="5" t="s">
        <v>19</v>
      </c>
      <c r="B774" s="5" t="s">
        <v>856</v>
      </c>
      <c r="C774" s="5" t="s">
        <v>1126</v>
      </c>
      <c r="D774" s="3">
        <f>VLOOKUP(A774,airports!A:H,7,FALSE)</f>
        <v>36.12447667</v>
      </c>
      <c r="E774" s="3">
        <f>VLOOKUP(A774,airports!A:H,8,FALSE)</f>
        <v>-86.678182219999997</v>
      </c>
      <c r="F774" s="3">
        <f>VLOOKUP(B774,airports!A:H,7,FALSE)</f>
        <v>47.949255000000001</v>
      </c>
      <c r="G774" s="3">
        <f>VLOOKUP(B774,airports!A:H,8,FALSE)</f>
        <v>-97.176111109999994</v>
      </c>
      <c r="H774">
        <f t="shared" si="24"/>
        <v>1571.7</v>
      </c>
      <c r="I774">
        <f t="shared" si="25"/>
        <v>976.7</v>
      </c>
    </row>
    <row r="775" spans="1:9" ht="30" x14ac:dyDescent="0.25">
      <c r="A775" s="5" t="s">
        <v>19</v>
      </c>
      <c r="B775" s="5" t="s">
        <v>509</v>
      </c>
      <c r="C775" s="5" t="s">
        <v>1127</v>
      </c>
      <c r="D775" s="3">
        <f>VLOOKUP(A775,airports!A:H,7,FALSE)</f>
        <v>36.12447667</v>
      </c>
      <c r="E775" s="3">
        <f>VLOOKUP(A775,airports!A:H,8,FALSE)</f>
        <v>-86.678182219999997</v>
      </c>
      <c r="F775" s="3">
        <f>VLOOKUP(B775,airports!A:H,7,FALSE)</f>
        <v>30.407280279999998</v>
      </c>
      <c r="G775" s="3">
        <f>VLOOKUP(B775,airports!A:H,8,FALSE)</f>
        <v>-89.070092779999996</v>
      </c>
      <c r="H775">
        <f t="shared" si="24"/>
        <v>673.4</v>
      </c>
      <c r="I775">
        <f t="shared" si="25"/>
        <v>418.5</v>
      </c>
    </row>
    <row r="776" spans="1:9" ht="30" x14ac:dyDescent="0.25">
      <c r="A776" s="5" t="s">
        <v>19</v>
      </c>
      <c r="B776" s="5" t="s">
        <v>515</v>
      </c>
      <c r="C776" s="5" t="s">
        <v>1128</v>
      </c>
      <c r="D776" s="3">
        <f>VLOOKUP(A776,airports!A:H,7,FALSE)</f>
        <v>36.12447667</v>
      </c>
      <c r="E776" s="3">
        <f>VLOOKUP(A776,airports!A:H,8,FALSE)</f>
        <v>-86.678182219999997</v>
      </c>
      <c r="F776" s="3">
        <f>VLOOKUP(B776,airports!A:H,7,FALSE)</f>
        <v>42.880819719999998</v>
      </c>
      <c r="G776" s="3">
        <f>VLOOKUP(B776,airports!A:H,8,FALSE)</f>
        <v>-85.522767779999995</v>
      </c>
      <c r="H776">
        <f t="shared" si="24"/>
        <v>757.8</v>
      </c>
      <c r="I776">
        <f t="shared" si="25"/>
        <v>470.9</v>
      </c>
    </row>
    <row r="777" spans="1:9" ht="30" x14ac:dyDescent="0.25">
      <c r="A777" s="5" t="s">
        <v>19</v>
      </c>
      <c r="B777" s="5" t="s">
        <v>517</v>
      </c>
      <c r="C777" s="5" t="s">
        <v>1129</v>
      </c>
      <c r="D777" s="3">
        <f>VLOOKUP(A777,airports!A:H,7,FALSE)</f>
        <v>36.12447667</v>
      </c>
      <c r="E777" s="3">
        <f>VLOOKUP(A777,airports!A:H,8,FALSE)</f>
        <v>-86.678182219999997</v>
      </c>
      <c r="F777" s="3">
        <f>VLOOKUP(B777,airports!A:H,7,FALSE)</f>
        <v>36.09774694</v>
      </c>
      <c r="G777" s="3">
        <f>VLOOKUP(B777,airports!A:H,8,FALSE)</f>
        <v>-79.9372975</v>
      </c>
      <c r="H777">
        <f t="shared" si="24"/>
        <v>605.4</v>
      </c>
      <c r="I777">
        <f t="shared" si="25"/>
        <v>376.2</v>
      </c>
    </row>
    <row r="778" spans="1:9" ht="30" x14ac:dyDescent="0.25">
      <c r="A778" s="5" t="s">
        <v>19</v>
      </c>
      <c r="B778" s="5" t="s">
        <v>205</v>
      </c>
      <c r="C778" s="5" t="s">
        <v>1130</v>
      </c>
      <c r="D778" s="3">
        <f>VLOOKUP(A778,airports!A:H,7,FALSE)</f>
        <v>36.12447667</v>
      </c>
      <c r="E778" s="3">
        <f>VLOOKUP(A778,airports!A:H,8,FALSE)</f>
        <v>-86.678182219999997</v>
      </c>
      <c r="F778" s="3">
        <f>VLOOKUP(B778,airports!A:H,7,FALSE)</f>
        <v>29.64541861</v>
      </c>
      <c r="G778" s="3">
        <f>VLOOKUP(B778,airports!A:H,8,FALSE)</f>
        <v>-95.278888890000005</v>
      </c>
      <c r="H778">
        <f t="shared" si="24"/>
        <v>1078</v>
      </c>
      <c r="I778">
        <f t="shared" si="25"/>
        <v>669.9</v>
      </c>
    </row>
    <row r="779" spans="1:9" ht="30" x14ac:dyDescent="0.25">
      <c r="A779" s="5" t="s">
        <v>19</v>
      </c>
      <c r="B779" s="5" t="s">
        <v>176</v>
      </c>
      <c r="C779" s="5" t="s">
        <v>1131</v>
      </c>
      <c r="D779" s="3">
        <f>VLOOKUP(A779,airports!A:H,7,FALSE)</f>
        <v>36.12447667</v>
      </c>
      <c r="E779" s="3">
        <f>VLOOKUP(A779,airports!A:H,8,FALSE)</f>
        <v>-86.678182219999997</v>
      </c>
      <c r="F779" s="3">
        <f>VLOOKUP(B779,airports!A:H,7,FALSE)</f>
        <v>38.944531939999997</v>
      </c>
      <c r="G779" s="3">
        <f>VLOOKUP(B779,airports!A:H,8,FALSE)</f>
        <v>-77.455809720000005</v>
      </c>
      <c r="H779">
        <f t="shared" si="24"/>
        <v>871</v>
      </c>
      <c r="I779">
        <f t="shared" si="25"/>
        <v>541.29999999999995</v>
      </c>
    </row>
    <row r="780" spans="1:9" ht="30" x14ac:dyDescent="0.25">
      <c r="A780" s="5" t="s">
        <v>19</v>
      </c>
      <c r="B780" s="5" t="s">
        <v>67</v>
      </c>
      <c r="C780" s="5" t="s">
        <v>1132</v>
      </c>
      <c r="D780" s="3">
        <f>VLOOKUP(A780,airports!A:H,7,FALSE)</f>
        <v>36.12447667</v>
      </c>
      <c r="E780" s="3">
        <f>VLOOKUP(A780,airports!A:H,8,FALSE)</f>
        <v>-86.678182219999997</v>
      </c>
      <c r="F780" s="3">
        <f>VLOOKUP(B780,airports!A:H,7,FALSE)</f>
        <v>29.980472219999999</v>
      </c>
      <c r="G780" s="3">
        <f>VLOOKUP(B780,airports!A:H,8,FALSE)</f>
        <v>-95.339722219999999</v>
      </c>
      <c r="H780">
        <f t="shared" si="24"/>
        <v>1056.7</v>
      </c>
      <c r="I780">
        <f t="shared" si="25"/>
        <v>656.6</v>
      </c>
    </row>
    <row r="781" spans="1:9" x14ac:dyDescent="0.25">
      <c r="A781" s="5" t="s">
        <v>19</v>
      </c>
      <c r="B781" s="5" t="s">
        <v>539</v>
      </c>
      <c r="C781" s="5" t="s">
        <v>1133</v>
      </c>
      <c r="D781" s="3">
        <f>VLOOKUP(A781,airports!A:H,7,FALSE)</f>
        <v>36.12447667</v>
      </c>
      <c r="E781" s="3">
        <f>VLOOKUP(A781,airports!A:H,8,FALSE)</f>
        <v>-86.678182219999997</v>
      </c>
      <c r="F781" s="3">
        <f>VLOOKUP(B781,airports!A:H,7,FALSE)</f>
        <v>40.795242500000001</v>
      </c>
      <c r="G781" s="3">
        <f>VLOOKUP(B781,airports!A:H,8,FALSE)</f>
        <v>-73.100211939999994</v>
      </c>
      <c r="H781">
        <f t="shared" si="24"/>
        <v>1289.4000000000001</v>
      </c>
      <c r="I781">
        <f t="shared" si="25"/>
        <v>801.3</v>
      </c>
    </row>
    <row r="782" spans="1:9" ht="30" x14ac:dyDescent="0.25">
      <c r="A782" s="5" t="s">
        <v>19</v>
      </c>
      <c r="B782" s="5" t="s">
        <v>68</v>
      </c>
      <c r="C782" s="5" t="s">
        <v>1134</v>
      </c>
      <c r="D782" s="3">
        <f>VLOOKUP(A782,airports!A:H,7,FALSE)</f>
        <v>36.12447667</v>
      </c>
      <c r="E782" s="3">
        <f>VLOOKUP(A782,airports!A:H,8,FALSE)</f>
        <v>-86.678182219999997</v>
      </c>
      <c r="F782" s="3">
        <f>VLOOKUP(B782,airports!A:H,7,FALSE)</f>
        <v>30.49405556</v>
      </c>
      <c r="G782" s="3">
        <f>VLOOKUP(B782,airports!A:H,8,FALSE)</f>
        <v>-81.68786111</v>
      </c>
      <c r="H782">
        <f t="shared" si="24"/>
        <v>778.8</v>
      </c>
      <c r="I782">
        <f t="shared" si="25"/>
        <v>484</v>
      </c>
    </row>
    <row r="783" spans="1:9" ht="30" x14ac:dyDescent="0.25">
      <c r="A783" s="5" t="s">
        <v>19</v>
      </c>
      <c r="B783" s="5" t="s">
        <v>69</v>
      </c>
      <c r="C783" s="5" t="s">
        <v>1135</v>
      </c>
      <c r="D783" s="3">
        <f>VLOOKUP(A783,airports!A:H,7,FALSE)</f>
        <v>36.12447667</v>
      </c>
      <c r="E783" s="3">
        <f>VLOOKUP(A783,airports!A:H,8,FALSE)</f>
        <v>-86.678182219999997</v>
      </c>
      <c r="F783" s="3">
        <f>VLOOKUP(B783,airports!A:H,7,FALSE)</f>
        <v>40.639751109999999</v>
      </c>
      <c r="G783" s="3">
        <f>VLOOKUP(B783,airports!A:H,8,FALSE)</f>
        <v>-73.778925560000005</v>
      </c>
      <c r="H783">
        <f t="shared" si="24"/>
        <v>1229.8</v>
      </c>
      <c r="I783">
        <f t="shared" si="25"/>
        <v>764.2</v>
      </c>
    </row>
    <row r="784" spans="1:9" ht="30" x14ac:dyDescent="0.25">
      <c r="A784" s="5" t="s">
        <v>19</v>
      </c>
      <c r="B784" s="5" t="s">
        <v>71</v>
      </c>
      <c r="C784" s="5" t="s">
        <v>1136</v>
      </c>
      <c r="D784" s="3">
        <f>VLOOKUP(A784,airports!A:H,7,FALSE)</f>
        <v>36.12447667</v>
      </c>
      <c r="E784" s="3">
        <f>VLOOKUP(A784,airports!A:H,8,FALSE)</f>
        <v>-86.678182219999997</v>
      </c>
      <c r="F784" s="3">
        <f>VLOOKUP(B784,airports!A:H,7,FALSE)</f>
        <v>36.080361109999998</v>
      </c>
      <c r="G784" s="3">
        <f>VLOOKUP(B784,airports!A:H,8,FALSE)</f>
        <v>-115.1523333</v>
      </c>
      <c r="H784">
        <f t="shared" si="24"/>
        <v>2548.9</v>
      </c>
      <c r="I784">
        <f t="shared" si="25"/>
        <v>1583.9</v>
      </c>
    </row>
    <row r="785" spans="1:9" ht="30" x14ac:dyDescent="0.25">
      <c r="A785" s="5" t="s">
        <v>19</v>
      </c>
      <c r="B785" s="5" t="s">
        <v>73</v>
      </c>
      <c r="C785" s="5" t="s">
        <v>1137</v>
      </c>
      <c r="D785" s="3">
        <f>VLOOKUP(A785,airports!A:H,7,FALSE)</f>
        <v>36.12447667</v>
      </c>
      <c r="E785" s="3">
        <f>VLOOKUP(A785,airports!A:H,8,FALSE)</f>
        <v>-86.678182219999997</v>
      </c>
      <c r="F785" s="3">
        <f>VLOOKUP(B785,airports!A:H,7,FALSE)</f>
        <v>33.942536109999999</v>
      </c>
      <c r="G785" s="3">
        <f>VLOOKUP(B785,airports!A:H,8,FALSE)</f>
        <v>-118.4080744</v>
      </c>
      <c r="H785">
        <f t="shared" si="24"/>
        <v>2886.3</v>
      </c>
      <c r="I785">
        <f t="shared" si="25"/>
        <v>1793.6</v>
      </c>
    </row>
    <row r="786" spans="1:9" ht="30" x14ac:dyDescent="0.25">
      <c r="A786" s="5" t="s">
        <v>19</v>
      </c>
      <c r="B786" s="5" t="s">
        <v>74</v>
      </c>
      <c r="C786" s="5" t="s">
        <v>1138</v>
      </c>
      <c r="D786" s="3">
        <f>VLOOKUP(A786,airports!A:H,7,FALSE)</f>
        <v>36.12447667</v>
      </c>
      <c r="E786" s="3">
        <f>VLOOKUP(A786,airports!A:H,8,FALSE)</f>
        <v>-86.678182219999997</v>
      </c>
      <c r="F786" s="3">
        <f>VLOOKUP(B786,airports!A:H,7,FALSE)</f>
        <v>40.777243060000004</v>
      </c>
      <c r="G786" s="3">
        <f>VLOOKUP(B786,airports!A:H,8,FALSE)</f>
        <v>-73.872609170000004</v>
      </c>
      <c r="H786">
        <f t="shared" si="24"/>
        <v>1227.7</v>
      </c>
      <c r="I786">
        <f t="shared" si="25"/>
        <v>762.9</v>
      </c>
    </row>
    <row r="787" spans="1:9" ht="30" x14ac:dyDescent="0.25">
      <c r="A787" s="5" t="s">
        <v>19</v>
      </c>
      <c r="B787" s="5" t="s">
        <v>80</v>
      </c>
      <c r="C787" s="5" t="s">
        <v>1139</v>
      </c>
      <c r="D787" s="3">
        <f>VLOOKUP(A787,airports!A:H,7,FALSE)</f>
        <v>36.12447667</v>
      </c>
      <c r="E787" s="3">
        <f>VLOOKUP(A787,airports!A:H,8,FALSE)</f>
        <v>-86.678182219999997</v>
      </c>
      <c r="F787" s="3">
        <f>VLOOKUP(B787,airports!A:H,7,FALSE)</f>
        <v>39.297605279999999</v>
      </c>
      <c r="G787" s="3">
        <f>VLOOKUP(B787,airports!A:H,8,FALSE)</f>
        <v>-94.713905560000001</v>
      </c>
      <c r="H787">
        <f t="shared" si="24"/>
        <v>789.6</v>
      </c>
      <c r="I787">
        <f t="shared" si="25"/>
        <v>490.7</v>
      </c>
    </row>
    <row r="788" spans="1:9" ht="30" x14ac:dyDescent="0.25">
      <c r="A788" s="5" t="s">
        <v>19</v>
      </c>
      <c r="B788" s="5" t="s">
        <v>82</v>
      </c>
      <c r="C788" s="5" t="s">
        <v>1140</v>
      </c>
      <c r="D788" s="3">
        <f>VLOOKUP(A788,airports!A:H,7,FALSE)</f>
        <v>36.12447667</v>
      </c>
      <c r="E788" s="3">
        <f>VLOOKUP(A788,airports!A:H,8,FALSE)</f>
        <v>-86.678182219999997</v>
      </c>
      <c r="F788" s="3">
        <f>VLOOKUP(B788,airports!A:H,7,FALSE)</f>
        <v>28.42888889</v>
      </c>
      <c r="G788" s="3">
        <f>VLOOKUP(B788,airports!A:H,8,FALSE)</f>
        <v>-81.316027779999999</v>
      </c>
      <c r="H788">
        <f t="shared" si="24"/>
        <v>992.7</v>
      </c>
      <c r="I788">
        <f t="shared" si="25"/>
        <v>616.9</v>
      </c>
    </row>
    <row r="789" spans="1:9" ht="30" x14ac:dyDescent="0.25">
      <c r="A789" s="5" t="s">
        <v>19</v>
      </c>
      <c r="B789" s="5" t="s">
        <v>178</v>
      </c>
      <c r="C789" s="5" t="s">
        <v>1141</v>
      </c>
      <c r="D789" s="3">
        <f>VLOOKUP(A789,airports!A:H,7,FALSE)</f>
        <v>36.12447667</v>
      </c>
      <c r="E789" s="3">
        <f>VLOOKUP(A789,airports!A:H,8,FALSE)</f>
        <v>-86.678182219999997</v>
      </c>
      <c r="F789" s="3">
        <f>VLOOKUP(B789,airports!A:H,7,FALSE)</f>
        <v>40.19349528</v>
      </c>
      <c r="G789" s="3">
        <f>VLOOKUP(B789,airports!A:H,8,FALSE)</f>
        <v>-76.763403609999997</v>
      </c>
      <c r="H789">
        <f t="shared" si="24"/>
        <v>977</v>
      </c>
      <c r="I789">
        <f t="shared" si="25"/>
        <v>607.1</v>
      </c>
    </row>
    <row r="790" spans="1:9" ht="30" x14ac:dyDescent="0.25">
      <c r="A790" s="5" t="s">
        <v>19</v>
      </c>
      <c r="B790" s="5" t="s">
        <v>180</v>
      </c>
      <c r="C790" s="5" t="s">
        <v>1142</v>
      </c>
      <c r="D790" s="3">
        <f>VLOOKUP(A790,airports!A:H,7,FALSE)</f>
        <v>36.12447667</v>
      </c>
      <c r="E790" s="3">
        <f>VLOOKUP(A790,airports!A:H,8,FALSE)</f>
        <v>-86.678182219999997</v>
      </c>
      <c r="F790" s="3">
        <f>VLOOKUP(B790,airports!A:H,7,FALSE)</f>
        <v>41.785982500000003</v>
      </c>
      <c r="G790" s="3">
        <f>VLOOKUP(B790,airports!A:H,8,FALSE)</f>
        <v>-87.752424439999999</v>
      </c>
      <c r="H790">
        <f t="shared" si="24"/>
        <v>636.29999999999995</v>
      </c>
      <c r="I790">
        <f t="shared" si="25"/>
        <v>395.4</v>
      </c>
    </row>
    <row r="791" spans="1:9" ht="30" x14ac:dyDescent="0.25">
      <c r="A791" s="5" t="s">
        <v>19</v>
      </c>
      <c r="B791" s="5" t="s">
        <v>750</v>
      </c>
      <c r="C791" s="5" t="s">
        <v>1143</v>
      </c>
      <c r="D791" s="3">
        <f>VLOOKUP(A791,airports!A:H,7,FALSE)</f>
        <v>36.12447667</v>
      </c>
      <c r="E791" s="3">
        <f>VLOOKUP(A791,airports!A:H,8,FALSE)</f>
        <v>-86.678182219999997</v>
      </c>
      <c r="F791" s="3">
        <f>VLOOKUP(B791,airports!A:H,7,FALSE)</f>
        <v>26.17583333</v>
      </c>
      <c r="G791" s="3">
        <f>VLOOKUP(B791,airports!A:H,8,FALSE)</f>
        <v>-98.238611109999994</v>
      </c>
      <c r="H791">
        <f t="shared" si="24"/>
        <v>1557.7</v>
      </c>
      <c r="I791">
        <f t="shared" si="25"/>
        <v>968</v>
      </c>
    </row>
    <row r="792" spans="1:9" ht="30" x14ac:dyDescent="0.25">
      <c r="A792" s="5" t="s">
        <v>19</v>
      </c>
      <c r="B792" s="5" t="s">
        <v>84</v>
      </c>
      <c r="C792" s="5" t="s">
        <v>1144</v>
      </c>
      <c r="D792" s="3">
        <f>VLOOKUP(A792,airports!A:H,7,FALSE)</f>
        <v>36.12447667</v>
      </c>
      <c r="E792" s="3">
        <f>VLOOKUP(A792,airports!A:H,8,FALSE)</f>
        <v>-86.678182219999997</v>
      </c>
      <c r="F792" s="3">
        <f>VLOOKUP(B792,airports!A:H,7,FALSE)</f>
        <v>25.79325</v>
      </c>
      <c r="G792" s="3">
        <f>VLOOKUP(B792,airports!A:H,8,FALSE)</f>
        <v>-80.290555560000001</v>
      </c>
      <c r="H792">
        <f t="shared" si="24"/>
        <v>1299.4000000000001</v>
      </c>
      <c r="I792">
        <f t="shared" si="25"/>
        <v>807.5</v>
      </c>
    </row>
    <row r="793" spans="1:9" ht="30" x14ac:dyDescent="0.25">
      <c r="A793" s="5" t="s">
        <v>19</v>
      </c>
      <c r="B793" s="5" t="s">
        <v>85</v>
      </c>
      <c r="C793" s="5" t="s">
        <v>1145</v>
      </c>
      <c r="D793" s="3">
        <f>VLOOKUP(A793,airports!A:H,7,FALSE)</f>
        <v>36.12447667</v>
      </c>
      <c r="E793" s="3">
        <f>VLOOKUP(A793,airports!A:H,8,FALSE)</f>
        <v>-86.678182219999997</v>
      </c>
      <c r="F793" s="3">
        <f>VLOOKUP(B793,airports!A:H,7,FALSE)</f>
        <v>42.94722222</v>
      </c>
      <c r="G793" s="3">
        <f>VLOOKUP(B793,airports!A:H,8,FALSE)</f>
        <v>-87.896583329999999</v>
      </c>
      <c r="H793">
        <f t="shared" si="24"/>
        <v>765.8</v>
      </c>
      <c r="I793">
        <f t="shared" si="25"/>
        <v>475.9</v>
      </c>
    </row>
    <row r="794" spans="1:9" ht="30" x14ac:dyDescent="0.25">
      <c r="A794" s="5" t="s">
        <v>19</v>
      </c>
      <c r="B794" s="5" t="s">
        <v>571</v>
      </c>
      <c r="C794" s="5" t="s">
        <v>1146</v>
      </c>
      <c r="D794" s="3">
        <f>VLOOKUP(A794,airports!A:H,7,FALSE)</f>
        <v>36.12447667</v>
      </c>
      <c r="E794" s="3">
        <f>VLOOKUP(A794,airports!A:H,8,FALSE)</f>
        <v>-86.678182219999997</v>
      </c>
      <c r="F794" s="3">
        <f>VLOOKUP(B794,airports!A:H,7,FALSE)</f>
        <v>28.10275</v>
      </c>
      <c r="G794" s="3">
        <f>VLOOKUP(B794,airports!A:H,8,FALSE)</f>
        <v>-80.645805559999999</v>
      </c>
      <c r="H794">
        <f t="shared" si="24"/>
        <v>1057</v>
      </c>
      <c r="I794">
        <f t="shared" si="25"/>
        <v>656.8</v>
      </c>
    </row>
    <row r="795" spans="1:9" ht="30" x14ac:dyDescent="0.25">
      <c r="A795" s="5" t="s">
        <v>19</v>
      </c>
      <c r="B795" s="5" t="s">
        <v>579</v>
      </c>
      <c r="C795" s="5" t="s">
        <v>1147</v>
      </c>
      <c r="D795" s="3">
        <f>VLOOKUP(A795,airports!A:H,7,FALSE)</f>
        <v>36.12447667</v>
      </c>
      <c r="E795" s="3">
        <f>VLOOKUP(A795,airports!A:H,8,FALSE)</f>
        <v>-86.678182219999997</v>
      </c>
      <c r="F795" s="3">
        <f>VLOOKUP(B795,airports!A:H,7,FALSE)</f>
        <v>43.13985778</v>
      </c>
      <c r="G795" s="3">
        <f>VLOOKUP(B795,airports!A:H,8,FALSE)</f>
        <v>-89.337513610000002</v>
      </c>
      <c r="H795">
        <f t="shared" si="24"/>
        <v>812.5</v>
      </c>
      <c r="I795">
        <f t="shared" si="25"/>
        <v>504.9</v>
      </c>
    </row>
    <row r="796" spans="1:9" ht="30" x14ac:dyDescent="0.25">
      <c r="A796" s="5" t="s">
        <v>19</v>
      </c>
      <c r="B796" s="5" t="s">
        <v>87</v>
      </c>
      <c r="C796" s="5" t="s">
        <v>1148</v>
      </c>
      <c r="D796" s="3">
        <f>VLOOKUP(A796,airports!A:H,7,FALSE)</f>
        <v>36.12447667</v>
      </c>
      <c r="E796" s="3">
        <f>VLOOKUP(A796,airports!A:H,8,FALSE)</f>
        <v>-86.678182219999997</v>
      </c>
      <c r="F796" s="3">
        <f>VLOOKUP(B796,airports!A:H,7,FALSE)</f>
        <v>44.880546940000002</v>
      </c>
      <c r="G796" s="3">
        <f>VLOOKUP(B796,airports!A:H,8,FALSE)</f>
        <v>-93.216922499999995</v>
      </c>
      <c r="H796">
        <f t="shared" si="24"/>
        <v>1118.7</v>
      </c>
      <c r="I796">
        <f t="shared" si="25"/>
        <v>695.2</v>
      </c>
    </row>
    <row r="797" spans="1:9" ht="30" x14ac:dyDescent="0.25">
      <c r="A797" s="5" t="s">
        <v>19</v>
      </c>
      <c r="B797" s="5" t="s">
        <v>89</v>
      </c>
      <c r="C797" s="5" t="s">
        <v>1149</v>
      </c>
      <c r="D797" s="3">
        <f>VLOOKUP(A797,airports!A:H,7,FALSE)</f>
        <v>36.12447667</v>
      </c>
      <c r="E797" s="3">
        <f>VLOOKUP(A797,airports!A:H,8,FALSE)</f>
        <v>-86.678182219999997</v>
      </c>
      <c r="F797" s="3">
        <f>VLOOKUP(B797,airports!A:H,7,FALSE)</f>
        <v>29.993388889999999</v>
      </c>
      <c r="G797" s="3">
        <f>VLOOKUP(B797,airports!A:H,8,FALSE)</f>
        <v>-90.258027780000006</v>
      </c>
      <c r="H797">
        <f t="shared" si="24"/>
        <v>758.8</v>
      </c>
      <c r="I797">
        <f t="shared" si="25"/>
        <v>471.5</v>
      </c>
    </row>
    <row r="798" spans="1:9" ht="30" x14ac:dyDescent="0.25">
      <c r="A798" s="5" t="s">
        <v>19</v>
      </c>
      <c r="B798" s="5" t="s">
        <v>182</v>
      </c>
      <c r="C798" s="5" t="s">
        <v>1150</v>
      </c>
      <c r="D798" s="3">
        <f>VLOOKUP(A798,airports!A:H,7,FALSE)</f>
        <v>36.12447667</v>
      </c>
      <c r="E798" s="3">
        <f>VLOOKUP(A798,airports!A:H,8,FALSE)</f>
        <v>-86.678182219999997</v>
      </c>
      <c r="F798" s="3">
        <f>VLOOKUP(B798,airports!A:H,7,FALSE)</f>
        <v>33.679749999999999</v>
      </c>
      <c r="G798" s="3">
        <f>VLOOKUP(B798,airports!A:H,8,FALSE)</f>
        <v>-78.928333330000001</v>
      </c>
      <c r="H798">
        <f t="shared" si="24"/>
        <v>756.9</v>
      </c>
      <c r="I798">
        <f t="shared" si="25"/>
        <v>470.4</v>
      </c>
    </row>
    <row r="799" spans="1:9" ht="30" x14ac:dyDescent="0.25">
      <c r="A799" s="5" t="s">
        <v>19</v>
      </c>
      <c r="B799" s="5" t="s">
        <v>215</v>
      </c>
      <c r="C799" s="5" t="s">
        <v>1151</v>
      </c>
      <c r="D799" s="3">
        <f>VLOOKUP(A799,airports!A:H,7,FALSE)</f>
        <v>36.12447667</v>
      </c>
      <c r="E799" s="3">
        <f>VLOOKUP(A799,airports!A:H,8,FALSE)</f>
        <v>-86.678182219999997</v>
      </c>
      <c r="F799" s="3">
        <f>VLOOKUP(B799,airports!A:H,7,FALSE)</f>
        <v>37.721290830000001</v>
      </c>
      <c r="G799" s="3">
        <f>VLOOKUP(B799,airports!A:H,8,FALSE)</f>
        <v>-122.2207167</v>
      </c>
      <c r="H799">
        <f t="shared" si="24"/>
        <v>3145.6</v>
      </c>
      <c r="I799">
        <f t="shared" si="25"/>
        <v>1954.7</v>
      </c>
    </row>
    <row r="800" spans="1:9" ht="30" x14ac:dyDescent="0.25">
      <c r="A800" s="5" t="s">
        <v>19</v>
      </c>
      <c r="B800" s="5" t="s">
        <v>590</v>
      </c>
      <c r="C800" s="5" t="s">
        <v>1152</v>
      </c>
      <c r="D800" s="3">
        <f>VLOOKUP(A800,airports!A:H,7,FALSE)</f>
        <v>36.12447667</v>
      </c>
      <c r="E800" s="3">
        <f>VLOOKUP(A800,airports!A:H,8,FALSE)</f>
        <v>-86.678182219999997</v>
      </c>
      <c r="F800" s="3">
        <f>VLOOKUP(B800,airports!A:H,7,FALSE)</f>
        <v>35.393088329999998</v>
      </c>
      <c r="G800" s="3">
        <f>VLOOKUP(B800,airports!A:H,8,FALSE)</f>
        <v>-97.600733890000001</v>
      </c>
      <c r="H800">
        <f t="shared" si="24"/>
        <v>988.4</v>
      </c>
      <c r="I800">
        <f t="shared" si="25"/>
        <v>614.20000000000005</v>
      </c>
    </row>
    <row r="801" spans="1:9" ht="30" x14ac:dyDescent="0.25">
      <c r="A801" s="5" t="s">
        <v>19</v>
      </c>
      <c r="B801" s="5" t="s">
        <v>592</v>
      </c>
      <c r="C801" s="5" t="s">
        <v>1153</v>
      </c>
      <c r="D801" s="3">
        <f>VLOOKUP(A801,airports!A:H,7,FALSE)</f>
        <v>36.12447667</v>
      </c>
      <c r="E801" s="3">
        <f>VLOOKUP(A801,airports!A:H,8,FALSE)</f>
        <v>-86.678182219999997</v>
      </c>
      <c r="F801" s="3">
        <f>VLOOKUP(B801,airports!A:H,7,FALSE)</f>
        <v>41.30251861</v>
      </c>
      <c r="G801" s="3">
        <f>VLOOKUP(B801,airports!A:H,8,FALSE)</f>
        <v>-95.89417306</v>
      </c>
      <c r="H801">
        <f t="shared" si="24"/>
        <v>984.4</v>
      </c>
      <c r="I801">
        <f t="shared" si="25"/>
        <v>611.70000000000005</v>
      </c>
    </row>
    <row r="802" spans="1:9" ht="30" x14ac:dyDescent="0.25">
      <c r="A802" s="5" t="s">
        <v>19</v>
      </c>
      <c r="B802" s="5" t="s">
        <v>95</v>
      </c>
      <c r="C802" s="5" t="s">
        <v>1154</v>
      </c>
      <c r="D802" s="3">
        <f>VLOOKUP(A802,airports!A:H,7,FALSE)</f>
        <v>36.12447667</v>
      </c>
      <c r="E802" s="3">
        <f>VLOOKUP(A802,airports!A:H,8,FALSE)</f>
        <v>-86.678182219999997</v>
      </c>
      <c r="F802" s="3">
        <f>VLOOKUP(B802,airports!A:H,7,FALSE)</f>
        <v>41.979595000000003</v>
      </c>
      <c r="G802" s="3">
        <f>VLOOKUP(B802,airports!A:H,8,FALSE)</f>
        <v>-87.904464169999997</v>
      </c>
      <c r="H802">
        <f t="shared" si="24"/>
        <v>659.6</v>
      </c>
      <c r="I802">
        <f t="shared" si="25"/>
        <v>409.9</v>
      </c>
    </row>
    <row r="803" spans="1:9" ht="30" x14ac:dyDescent="0.25">
      <c r="A803" s="5" t="s">
        <v>19</v>
      </c>
      <c r="B803" s="5" t="s">
        <v>596</v>
      </c>
      <c r="C803" s="5" t="s">
        <v>1155</v>
      </c>
      <c r="D803" s="3">
        <f>VLOOKUP(A803,airports!A:H,7,FALSE)</f>
        <v>36.12447667</v>
      </c>
      <c r="E803" s="3">
        <f>VLOOKUP(A803,airports!A:H,8,FALSE)</f>
        <v>-86.678182219999997</v>
      </c>
      <c r="F803" s="3">
        <f>VLOOKUP(B803,airports!A:H,7,FALSE)</f>
        <v>36.89461111</v>
      </c>
      <c r="G803" s="3">
        <f>VLOOKUP(B803,airports!A:H,8,FALSE)</f>
        <v>-76.201222220000005</v>
      </c>
      <c r="H803">
        <f t="shared" si="24"/>
        <v>939.8</v>
      </c>
      <c r="I803">
        <f t="shared" si="25"/>
        <v>584</v>
      </c>
    </row>
    <row r="804" spans="1:9" ht="30" x14ac:dyDescent="0.25">
      <c r="A804" s="5" t="s">
        <v>19</v>
      </c>
      <c r="B804" s="5" t="s">
        <v>99</v>
      </c>
      <c r="C804" s="5" t="s">
        <v>1156</v>
      </c>
      <c r="D804" s="3">
        <f>VLOOKUP(A804,airports!A:H,7,FALSE)</f>
        <v>36.12447667</v>
      </c>
      <c r="E804" s="3">
        <f>VLOOKUP(A804,airports!A:H,8,FALSE)</f>
        <v>-86.678182219999997</v>
      </c>
      <c r="F804" s="3">
        <f>VLOOKUP(B804,airports!A:H,7,FALSE)</f>
        <v>26.683161940000002</v>
      </c>
      <c r="G804" s="3">
        <f>VLOOKUP(B804,airports!A:H,8,FALSE)</f>
        <v>-80.095594169999998</v>
      </c>
      <c r="H804">
        <f t="shared" si="24"/>
        <v>1220.8</v>
      </c>
      <c r="I804">
        <f t="shared" si="25"/>
        <v>758.6</v>
      </c>
    </row>
    <row r="805" spans="1:9" ht="30" x14ac:dyDescent="0.25">
      <c r="A805" s="5" t="s">
        <v>19</v>
      </c>
      <c r="B805" s="5" t="s">
        <v>185</v>
      </c>
      <c r="C805" s="5" t="s">
        <v>1157</v>
      </c>
      <c r="D805" s="3">
        <f>VLOOKUP(A805,airports!A:H,7,FALSE)</f>
        <v>36.12447667</v>
      </c>
      <c r="E805" s="3">
        <f>VLOOKUP(A805,airports!A:H,8,FALSE)</f>
        <v>-86.678182219999997</v>
      </c>
      <c r="F805" s="3">
        <f>VLOOKUP(B805,airports!A:H,7,FALSE)</f>
        <v>26.919699999999999</v>
      </c>
      <c r="G805" s="3">
        <f>VLOOKUP(B805,airports!A:H,8,FALSE)</f>
        <v>-81.995999999999995</v>
      </c>
      <c r="H805">
        <f t="shared" si="24"/>
        <v>1115.2</v>
      </c>
      <c r="I805">
        <f t="shared" si="25"/>
        <v>693</v>
      </c>
    </row>
    <row r="806" spans="1:9" ht="30" x14ac:dyDescent="0.25">
      <c r="A806" s="5" t="s">
        <v>19</v>
      </c>
      <c r="B806" s="5" t="s">
        <v>102</v>
      </c>
      <c r="C806" s="5" t="s">
        <v>1158</v>
      </c>
      <c r="D806" s="3">
        <f>VLOOKUP(A806,airports!A:H,7,FALSE)</f>
        <v>36.12447667</v>
      </c>
      <c r="E806" s="3">
        <f>VLOOKUP(A806,airports!A:H,8,FALSE)</f>
        <v>-86.678182219999997</v>
      </c>
      <c r="F806" s="3">
        <f>VLOOKUP(B806,airports!A:H,7,FALSE)</f>
        <v>39.871952780000001</v>
      </c>
      <c r="G806" s="3">
        <f>VLOOKUP(B806,airports!A:H,8,FALSE)</f>
        <v>-75.241140830000006</v>
      </c>
      <c r="H806">
        <f t="shared" si="24"/>
        <v>1084.3</v>
      </c>
      <c r="I806">
        <f t="shared" si="25"/>
        <v>673.8</v>
      </c>
    </row>
    <row r="807" spans="1:9" ht="30" x14ac:dyDescent="0.25">
      <c r="A807" s="5" t="s">
        <v>19</v>
      </c>
      <c r="B807" s="5" t="s">
        <v>104</v>
      </c>
      <c r="C807" s="5" t="s">
        <v>1159</v>
      </c>
      <c r="D807" s="3">
        <f>VLOOKUP(A807,airports!A:H,7,FALSE)</f>
        <v>36.12447667</v>
      </c>
      <c r="E807" s="3">
        <f>VLOOKUP(A807,airports!A:H,8,FALSE)</f>
        <v>-86.678182219999997</v>
      </c>
      <c r="F807" s="3">
        <f>VLOOKUP(B807,airports!A:H,7,FALSE)</f>
        <v>33.434166670000003</v>
      </c>
      <c r="G807" s="3">
        <f>VLOOKUP(B807,airports!A:H,8,FALSE)</f>
        <v>-112.00805560000001</v>
      </c>
      <c r="H807">
        <f t="shared" si="24"/>
        <v>2326</v>
      </c>
      <c r="I807">
        <f t="shared" si="25"/>
        <v>1445.4</v>
      </c>
    </row>
    <row r="808" spans="1:9" ht="30" x14ac:dyDescent="0.25">
      <c r="A808" s="5" t="s">
        <v>19</v>
      </c>
      <c r="B808" s="5" t="s">
        <v>604</v>
      </c>
      <c r="C808" s="5" t="s">
        <v>1160</v>
      </c>
      <c r="D808" s="3">
        <f>VLOOKUP(A808,airports!A:H,7,FALSE)</f>
        <v>36.12447667</v>
      </c>
      <c r="E808" s="3">
        <f>VLOOKUP(A808,airports!A:H,8,FALSE)</f>
        <v>-86.678182219999997</v>
      </c>
      <c r="F808" s="3">
        <f>VLOOKUP(B808,airports!A:H,7,FALSE)</f>
        <v>40.664243329999998</v>
      </c>
      <c r="G808" s="3">
        <f>VLOOKUP(B808,airports!A:H,8,FALSE)</f>
        <v>-89.693305559999999</v>
      </c>
      <c r="H808">
        <f t="shared" si="24"/>
        <v>569</v>
      </c>
      <c r="I808">
        <f t="shared" si="25"/>
        <v>353.6</v>
      </c>
    </row>
    <row r="809" spans="1:9" x14ac:dyDescent="0.25">
      <c r="A809" s="5" t="s">
        <v>19</v>
      </c>
      <c r="B809" s="5" t="s">
        <v>188</v>
      </c>
      <c r="C809" s="5" t="s">
        <v>1161</v>
      </c>
      <c r="D809" s="3">
        <f>VLOOKUP(A809,airports!A:H,7,FALSE)</f>
        <v>36.12447667</v>
      </c>
      <c r="E809" s="3">
        <f>VLOOKUP(A809,airports!A:H,8,FALSE)</f>
        <v>-86.678182219999997</v>
      </c>
      <c r="F809" s="3">
        <f>VLOOKUP(B809,airports!A:H,7,FALSE)</f>
        <v>27.910763330000002</v>
      </c>
      <c r="G809" s="3">
        <f>VLOOKUP(B809,airports!A:H,8,FALSE)</f>
        <v>-82.687439440000006</v>
      </c>
      <c r="H809">
        <f t="shared" si="24"/>
        <v>987.5</v>
      </c>
      <c r="I809">
        <f t="shared" si="25"/>
        <v>613.6</v>
      </c>
    </row>
    <row r="810" spans="1:9" x14ac:dyDescent="0.25">
      <c r="A810" s="5" t="s">
        <v>19</v>
      </c>
      <c r="B810" s="5" t="s">
        <v>106</v>
      </c>
      <c r="C810" s="5" t="s">
        <v>1162</v>
      </c>
      <c r="D810" s="3">
        <f>VLOOKUP(A810,airports!A:H,7,FALSE)</f>
        <v>36.12447667</v>
      </c>
      <c r="E810" s="3">
        <f>VLOOKUP(A810,airports!A:H,8,FALSE)</f>
        <v>-86.678182219999997</v>
      </c>
      <c r="F810" s="3">
        <f>VLOOKUP(B810,airports!A:H,7,FALSE)</f>
        <v>40.491465830000003</v>
      </c>
      <c r="G810" s="3">
        <f>VLOOKUP(B810,airports!A:H,8,FALSE)</f>
        <v>-80.232870829999996</v>
      </c>
      <c r="H810">
        <f t="shared" si="24"/>
        <v>742.6</v>
      </c>
      <c r="I810">
        <f t="shared" si="25"/>
        <v>461.5</v>
      </c>
    </row>
    <row r="811" spans="1:9" ht="30" x14ac:dyDescent="0.25">
      <c r="A811" s="5" t="s">
        <v>19</v>
      </c>
      <c r="B811" s="5" t="s">
        <v>607</v>
      </c>
      <c r="C811" s="5" t="s">
        <v>1163</v>
      </c>
      <c r="D811" s="3">
        <f>VLOOKUP(A811,airports!A:H,7,FALSE)</f>
        <v>36.12447667</v>
      </c>
      <c r="E811" s="3">
        <f>VLOOKUP(A811,airports!A:H,8,FALSE)</f>
        <v>-86.678182219999997</v>
      </c>
      <c r="F811" s="3">
        <f>VLOOKUP(B811,airports!A:H,7,FALSE)</f>
        <v>30.47330556</v>
      </c>
      <c r="G811" s="3">
        <f>VLOOKUP(B811,airports!A:H,8,FALSE)</f>
        <v>-87.187444439999993</v>
      </c>
      <c r="H811">
        <f t="shared" si="24"/>
        <v>630.20000000000005</v>
      </c>
      <c r="I811">
        <f t="shared" si="25"/>
        <v>391.6</v>
      </c>
    </row>
    <row r="812" spans="1:9" ht="30" x14ac:dyDescent="0.25">
      <c r="A812" s="5" t="s">
        <v>19</v>
      </c>
      <c r="B812" s="5" t="s">
        <v>1164</v>
      </c>
      <c r="C812" s="5" t="s">
        <v>1165</v>
      </c>
      <c r="D812" s="3">
        <f>VLOOKUP(A812,airports!A:H,7,FALSE)</f>
        <v>36.12447667</v>
      </c>
      <c r="E812" s="3">
        <f>VLOOKUP(A812,airports!A:H,8,FALSE)</f>
        <v>-86.678182219999997</v>
      </c>
      <c r="F812" s="3">
        <f>VLOOKUP(B812,airports!A:H,7,FALSE)</f>
        <v>43.079099999999997</v>
      </c>
      <c r="G812" s="3">
        <f>VLOOKUP(B812,airports!A:H,8,FALSE)</f>
        <v>-70.823300000000003</v>
      </c>
      <c r="H812">
        <f t="shared" si="24"/>
        <v>1559.3</v>
      </c>
      <c r="I812">
        <f t="shared" si="25"/>
        <v>969</v>
      </c>
    </row>
    <row r="813" spans="1:9" ht="30" x14ac:dyDescent="0.25">
      <c r="A813" s="5" t="s">
        <v>19</v>
      </c>
      <c r="B813" s="5" t="s">
        <v>111</v>
      </c>
      <c r="C813" s="5" t="s">
        <v>1166</v>
      </c>
      <c r="D813" s="3">
        <f>VLOOKUP(A813,airports!A:H,7,FALSE)</f>
        <v>36.12447667</v>
      </c>
      <c r="E813" s="3">
        <f>VLOOKUP(A813,airports!A:H,8,FALSE)</f>
        <v>-86.678182219999997</v>
      </c>
      <c r="F813" s="3">
        <f>VLOOKUP(B813,airports!A:H,7,FALSE)</f>
        <v>33.829215560000002</v>
      </c>
      <c r="G813" s="3">
        <f>VLOOKUP(B813,airports!A:H,8,FALSE)</f>
        <v>-116.5062531</v>
      </c>
      <c r="H813">
        <f t="shared" si="24"/>
        <v>2719</v>
      </c>
      <c r="I813">
        <f t="shared" si="25"/>
        <v>1689.6</v>
      </c>
    </row>
    <row r="814" spans="1:9" ht="30" x14ac:dyDescent="0.25">
      <c r="A814" s="5" t="s">
        <v>19</v>
      </c>
      <c r="B814" s="5" t="s">
        <v>114</v>
      </c>
      <c r="C814" s="5" t="s">
        <v>1167</v>
      </c>
      <c r="D814" s="3">
        <f>VLOOKUP(A814,airports!A:H,7,FALSE)</f>
        <v>36.12447667</v>
      </c>
      <c r="E814" s="3">
        <f>VLOOKUP(A814,airports!A:H,8,FALSE)</f>
        <v>-86.678182219999997</v>
      </c>
      <c r="F814" s="3">
        <f>VLOOKUP(B814,airports!A:H,7,FALSE)</f>
        <v>41.723999169999999</v>
      </c>
      <c r="G814" s="3">
        <f>VLOOKUP(B814,airports!A:H,8,FALSE)</f>
        <v>-71.428221109999996</v>
      </c>
      <c r="H814">
        <f t="shared" si="24"/>
        <v>1456</v>
      </c>
      <c r="I814">
        <f t="shared" si="25"/>
        <v>904.8</v>
      </c>
    </row>
    <row r="815" spans="1:9" ht="30" x14ac:dyDescent="0.25">
      <c r="A815" s="5" t="s">
        <v>19</v>
      </c>
      <c r="B815" s="5" t="s">
        <v>117</v>
      </c>
      <c r="C815" s="5" t="s">
        <v>1168</v>
      </c>
      <c r="D815" s="3">
        <f>VLOOKUP(A815,airports!A:H,7,FALSE)</f>
        <v>36.12447667</v>
      </c>
      <c r="E815" s="3">
        <f>VLOOKUP(A815,airports!A:H,8,FALSE)</f>
        <v>-86.678182219999997</v>
      </c>
      <c r="F815" s="3">
        <f>VLOOKUP(B815,airports!A:H,7,FALSE)</f>
        <v>43.646166669999999</v>
      </c>
      <c r="G815" s="3">
        <f>VLOOKUP(B815,airports!A:H,8,FALSE)</f>
        <v>-70.308750000000003</v>
      </c>
      <c r="H815">
        <f t="shared" si="24"/>
        <v>1623.6</v>
      </c>
      <c r="I815">
        <f t="shared" si="25"/>
        <v>1008.9</v>
      </c>
    </row>
    <row r="816" spans="1:9" ht="30" x14ac:dyDescent="0.25">
      <c r="A816" s="5" t="s">
        <v>19</v>
      </c>
      <c r="B816" s="5" t="s">
        <v>612</v>
      </c>
      <c r="C816" s="5" t="s">
        <v>1169</v>
      </c>
      <c r="D816" s="3">
        <f>VLOOKUP(A816,airports!A:H,7,FALSE)</f>
        <v>36.12447667</v>
      </c>
      <c r="E816" s="3">
        <f>VLOOKUP(A816,airports!A:H,8,FALSE)</f>
        <v>-86.678182219999997</v>
      </c>
      <c r="F816" s="3">
        <f>VLOOKUP(B816,airports!A:H,7,FALSE)</f>
        <v>44.045321389999998</v>
      </c>
      <c r="G816" s="3">
        <f>VLOOKUP(B816,airports!A:H,8,FALSE)</f>
        <v>-103.0573708</v>
      </c>
      <c r="H816">
        <f t="shared" si="24"/>
        <v>1643.9</v>
      </c>
      <c r="I816">
        <f t="shared" si="25"/>
        <v>1021.5</v>
      </c>
    </row>
    <row r="817" spans="1:9" ht="30" x14ac:dyDescent="0.25">
      <c r="A817" s="5" t="s">
        <v>19</v>
      </c>
      <c r="B817" s="5" t="s">
        <v>119</v>
      </c>
      <c r="C817" s="5" t="s">
        <v>1170</v>
      </c>
      <c r="D817" s="3">
        <f>VLOOKUP(A817,airports!A:H,7,FALSE)</f>
        <v>36.12447667</v>
      </c>
      <c r="E817" s="3">
        <f>VLOOKUP(A817,airports!A:H,8,FALSE)</f>
        <v>-86.678182219999997</v>
      </c>
      <c r="F817" s="3">
        <f>VLOOKUP(B817,airports!A:H,7,FALSE)</f>
        <v>35.87763889</v>
      </c>
      <c r="G817" s="3">
        <f>VLOOKUP(B817,airports!A:H,8,FALSE)</f>
        <v>-78.787472219999998</v>
      </c>
      <c r="H817">
        <f t="shared" si="24"/>
        <v>710.2</v>
      </c>
      <c r="I817">
        <f t="shared" si="25"/>
        <v>441.3</v>
      </c>
    </row>
    <row r="818" spans="1:9" ht="30" x14ac:dyDescent="0.25">
      <c r="A818" s="5" t="s">
        <v>19</v>
      </c>
      <c r="B818" s="5" t="s">
        <v>120</v>
      </c>
      <c r="C818" s="5" t="s">
        <v>1171</v>
      </c>
      <c r="D818" s="3">
        <f>VLOOKUP(A818,airports!A:H,7,FALSE)</f>
        <v>36.12447667</v>
      </c>
      <c r="E818" s="3">
        <f>VLOOKUP(A818,airports!A:H,8,FALSE)</f>
        <v>-86.678182219999997</v>
      </c>
      <c r="F818" s="3">
        <f>VLOOKUP(B818,airports!A:H,7,FALSE)</f>
        <v>37.505166670000001</v>
      </c>
      <c r="G818" s="3">
        <f>VLOOKUP(B818,airports!A:H,8,FALSE)</f>
        <v>-77.319666670000004</v>
      </c>
      <c r="H818">
        <f t="shared" si="24"/>
        <v>846.7</v>
      </c>
      <c r="I818">
        <f t="shared" si="25"/>
        <v>526.20000000000005</v>
      </c>
    </row>
    <row r="819" spans="1:9" ht="30" x14ac:dyDescent="0.25">
      <c r="A819" s="5" t="s">
        <v>19</v>
      </c>
      <c r="B819" s="5" t="s">
        <v>617</v>
      </c>
      <c r="C819" s="5" t="s">
        <v>1172</v>
      </c>
      <c r="D819" s="3">
        <f>VLOOKUP(A819,airports!A:H,7,FALSE)</f>
        <v>36.12447667</v>
      </c>
      <c r="E819" s="3">
        <f>VLOOKUP(A819,airports!A:H,8,FALSE)</f>
        <v>-86.678182219999997</v>
      </c>
      <c r="F819" s="3">
        <f>VLOOKUP(B819,airports!A:H,7,FALSE)</f>
        <v>37.32546833</v>
      </c>
      <c r="G819" s="3">
        <f>VLOOKUP(B819,airports!A:H,8,FALSE)</f>
        <v>-79.97542833</v>
      </c>
      <c r="H819">
        <f t="shared" si="24"/>
        <v>612</v>
      </c>
      <c r="I819">
        <f t="shared" si="25"/>
        <v>380.3</v>
      </c>
    </row>
    <row r="820" spans="1:9" ht="30" x14ac:dyDescent="0.25">
      <c r="A820" s="5" t="s">
        <v>19</v>
      </c>
      <c r="B820" s="5" t="s">
        <v>123</v>
      </c>
      <c r="C820" s="5" t="s">
        <v>1173</v>
      </c>
      <c r="D820" s="3">
        <f>VLOOKUP(A820,airports!A:H,7,FALSE)</f>
        <v>36.12447667</v>
      </c>
      <c r="E820" s="3">
        <f>VLOOKUP(A820,airports!A:H,8,FALSE)</f>
        <v>-86.678182219999997</v>
      </c>
      <c r="F820" s="3">
        <f>VLOOKUP(B820,airports!A:H,7,FALSE)</f>
        <v>26.53616667</v>
      </c>
      <c r="G820" s="3">
        <f>VLOOKUP(B820,airports!A:H,8,FALSE)</f>
        <v>-81.755166669999994</v>
      </c>
      <c r="H820">
        <f t="shared" si="24"/>
        <v>1163.7</v>
      </c>
      <c r="I820">
        <f t="shared" si="25"/>
        <v>723.1</v>
      </c>
    </row>
    <row r="821" spans="1:9" ht="30" x14ac:dyDescent="0.25">
      <c r="A821" s="5" t="s">
        <v>19</v>
      </c>
      <c r="B821" s="5" t="s">
        <v>124</v>
      </c>
      <c r="C821" s="5" t="s">
        <v>1174</v>
      </c>
      <c r="D821" s="3">
        <f>VLOOKUP(A821,airports!A:H,7,FALSE)</f>
        <v>36.12447667</v>
      </c>
      <c r="E821" s="3">
        <f>VLOOKUP(A821,airports!A:H,8,FALSE)</f>
        <v>-86.678182219999997</v>
      </c>
      <c r="F821" s="3">
        <f>VLOOKUP(B821,airports!A:H,7,FALSE)</f>
        <v>32.733556110000002</v>
      </c>
      <c r="G821" s="3">
        <f>VLOOKUP(B821,airports!A:H,8,FALSE)</f>
        <v>-117.1896567</v>
      </c>
      <c r="H821">
        <f t="shared" si="24"/>
        <v>2812</v>
      </c>
      <c r="I821">
        <f t="shared" si="25"/>
        <v>1747.4</v>
      </c>
    </row>
    <row r="822" spans="1:9" ht="30" x14ac:dyDescent="0.25">
      <c r="A822" s="5" t="s">
        <v>19</v>
      </c>
      <c r="B822" s="5" t="s">
        <v>125</v>
      </c>
      <c r="C822" s="5" t="s">
        <v>1175</v>
      </c>
      <c r="D822" s="3">
        <f>VLOOKUP(A822,airports!A:H,7,FALSE)</f>
        <v>36.12447667</v>
      </c>
      <c r="E822" s="3">
        <f>VLOOKUP(A822,airports!A:H,8,FALSE)</f>
        <v>-86.678182219999997</v>
      </c>
      <c r="F822" s="3">
        <f>VLOOKUP(B822,airports!A:H,7,FALSE)</f>
        <v>29.533694440000001</v>
      </c>
      <c r="G822" s="3">
        <f>VLOOKUP(B822,airports!A:H,8,FALSE)</f>
        <v>-98.469777780000001</v>
      </c>
      <c r="H822">
        <f t="shared" si="24"/>
        <v>1321.6</v>
      </c>
      <c r="I822">
        <f t="shared" si="25"/>
        <v>821.3</v>
      </c>
    </row>
    <row r="823" spans="1:9" ht="30" x14ac:dyDescent="0.25">
      <c r="A823" s="5" t="s">
        <v>19</v>
      </c>
      <c r="B823" s="5" t="s">
        <v>126</v>
      </c>
      <c r="C823" s="5" t="s">
        <v>1176</v>
      </c>
      <c r="D823" s="3">
        <f>VLOOKUP(A823,airports!A:H,7,FALSE)</f>
        <v>36.12447667</v>
      </c>
      <c r="E823" s="3">
        <f>VLOOKUP(A823,airports!A:H,8,FALSE)</f>
        <v>-86.678182219999997</v>
      </c>
      <c r="F823" s="3">
        <f>VLOOKUP(B823,airports!A:H,7,FALSE)</f>
        <v>32.12758333</v>
      </c>
      <c r="G823" s="3">
        <f>VLOOKUP(B823,airports!A:H,8,FALSE)</f>
        <v>-81.202138890000001</v>
      </c>
      <c r="H823">
        <f t="shared" si="24"/>
        <v>671.8</v>
      </c>
      <c r="I823">
        <f t="shared" si="25"/>
        <v>417.5</v>
      </c>
    </row>
    <row r="824" spans="1:9" ht="30" x14ac:dyDescent="0.25">
      <c r="A824" s="5" t="s">
        <v>19</v>
      </c>
      <c r="B824" s="5" t="s">
        <v>628</v>
      </c>
      <c r="C824" s="5" t="s">
        <v>1177</v>
      </c>
      <c r="D824" s="3">
        <f>VLOOKUP(A824,airports!A:H,7,FALSE)</f>
        <v>36.12447667</v>
      </c>
      <c r="E824" s="3">
        <f>VLOOKUP(A824,airports!A:H,8,FALSE)</f>
        <v>-86.678182219999997</v>
      </c>
      <c r="F824" s="3">
        <f>VLOOKUP(B824,airports!A:H,7,FALSE)</f>
        <v>40.851205999999998</v>
      </c>
      <c r="G824" s="3">
        <f>VLOOKUP(B824,airports!A:H,8,FALSE)</f>
        <v>-77.846301999999994</v>
      </c>
      <c r="H824">
        <f t="shared" si="24"/>
        <v>930.4</v>
      </c>
      <c r="I824">
        <f t="shared" si="25"/>
        <v>578.20000000000005</v>
      </c>
    </row>
    <row r="825" spans="1:9" ht="30" x14ac:dyDescent="0.25">
      <c r="A825" s="5" t="s">
        <v>19</v>
      </c>
      <c r="B825" s="5" t="s">
        <v>128</v>
      </c>
      <c r="C825" s="5" t="s">
        <v>1178</v>
      </c>
      <c r="D825" s="3">
        <f>VLOOKUP(A825,airports!A:H,7,FALSE)</f>
        <v>36.12447667</v>
      </c>
      <c r="E825" s="3">
        <f>VLOOKUP(A825,airports!A:H,8,FALSE)</f>
        <v>-86.678182219999997</v>
      </c>
      <c r="F825" s="3">
        <f>VLOOKUP(B825,airports!A:H,7,FALSE)</f>
        <v>47.448981940000003</v>
      </c>
      <c r="G825" s="3">
        <f>VLOOKUP(B825,airports!A:H,8,FALSE)</f>
        <v>-122.3093131</v>
      </c>
      <c r="H825">
        <f t="shared" si="24"/>
        <v>3176.4</v>
      </c>
      <c r="I825">
        <f t="shared" si="25"/>
        <v>1973.8</v>
      </c>
    </row>
    <row r="826" spans="1:9" ht="30" x14ac:dyDescent="0.25">
      <c r="A826" s="5" t="s">
        <v>19</v>
      </c>
      <c r="B826" s="5" t="s">
        <v>191</v>
      </c>
      <c r="C826" s="5" t="s">
        <v>1179</v>
      </c>
      <c r="D826" s="3">
        <f>VLOOKUP(A826,airports!A:H,7,FALSE)</f>
        <v>36.12447667</v>
      </c>
      <c r="E826" s="3">
        <f>VLOOKUP(A826,airports!A:H,8,FALSE)</f>
        <v>-86.678182219999997</v>
      </c>
      <c r="F826" s="3">
        <f>VLOOKUP(B826,airports!A:H,7,FALSE)</f>
        <v>28.7776</v>
      </c>
      <c r="G826" s="3">
        <f>VLOOKUP(B826,airports!A:H,8,FALSE)</f>
        <v>-81.237499999999997</v>
      </c>
      <c r="H826">
        <f t="shared" si="24"/>
        <v>962.9</v>
      </c>
      <c r="I826">
        <f t="shared" si="25"/>
        <v>598.29999999999995</v>
      </c>
    </row>
    <row r="827" spans="1:9" ht="30" x14ac:dyDescent="0.25">
      <c r="A827" s="5" t="s">
        <v>19</v>
      </c>
      <c r="B827" s="5" t="s">
        <v>130</v>
      </c>
      <c r="C827" s="5" t="s">
        <v>1180</v>
      </c>
      <c r="D827" s="3">
        <f>VLOOKUP(A827,airports!A:H,7,FALSE)</f>
        <v>36.12447667</v>
      </c>
      <c r="E827" s="3">
        <f>VLOOKUP(A827,airports!A:H,8,FALSE)</f>
        <v>-86.678182219999997</v>
      </c>
      <c r="F827" s="3">
        <f>VLOOKUP(B827,airports!A:H,7,FALSE)</f>
        <v>37.619001939999997</v>
      </c>
      <c r="G827" s="3">
        <f>VLOOKUP(B827,airports!A:H,8,FALSE)</f>
        <v>-122.37484329999999</v>
      </c>
      <c r="H827">
        <f t="shared" si="24"/>
        <v>3160.6</v>
      </c>
      <c r="I827">
        <f t="shared" si="25"/>
        <v>1964</v>
      </c>
    </row>
    <row r="828" spans="1:9" ht="30" x14ac:dyDescent="0.25">
      <c r="A828" s="5" t="s">
        <v>19</v>
      </c>
      <c r="B828" s="5" t="s">
        <v>131</v>
      </c>
      <c r="C828" s="5" t="s">
        <v>1181</v>
      </c>
      <c r="D828" s="3">
        <f>VLOOKUP(A828,airports!A:H,7,FALSE)</f>
        <v>36.12447667</v>
      </c>
      <c r="E828" s="3">
        <f>VLOOKUP(A828,airports!A:H,8,FALSE)</f>
        <v>-86.678182219999997</v>
      </c>
      <c r="F828" s="3">
        <f>VLOOKUP(B828,airports!A:H,7,FALSE)</f>
        <v>37.361861939999997</v>
      </c>
      <c r="G828" s="3">
        <f>VLOOKUP(B828,airports!A:H,8,FALSE)</f>
        <v>-121.9290089</v>
      </c>
      <c r="H828">
        <f t="shared" si="24"/>
        <v>3125.7</v>
      </c>
      <c r="I828">
        <f t="shared" si="25"/>
        <v>1942.3</v>
      </c>
    </row>
    <row r="829" spans="1:9" ht="30" x14ac:dyDescent="0.25">
      <c r="A829" s="5" t="s">
        <v>19</v>
      </c>
      <c r="B829" s="5" t="s">
        <v>134</v>
      </c>
      <c r="C829" s="5" t="s">
        <v>1182</v>
      </c>
      <c r="D829" s="3">
        <f>VLOOKUP(A829,airports!A:H,7,FALSE)</f>
        <v>36.12447667</v>
      </c>
      <c r="E829" s="3">
        <f>VLOOKUP(A829,airports!A:H,8,FALSE)</f>
        <v>-86.678182219999997</v>
      </c>
      <c r="F829" s="3">
        <f>VLOOKUP(B829,airports!A:H,7,FALSE)</f>
        <v>18.43941667</v>
      </c>
      <c r="G829" s="3">
        <f>VLOOKUP(B829,airports!A:H,8,FALSE)</f>
        <v>-66.001833329999997</v>
      </c>
      <c r="H829">
        <f t="shared" si="24"/>
        <v>2823.6</v>
      </c>
      <c r="I829">
        <f t="shared" si="25"/>
        <v>1754.6</v>
      </c>
    </row>
    <row r="830" spans="1:9" ht="30" x14ac:dyDescent="0.25">
      <c r="A830" s="5" t="s">
        <v>19</v>
      </c>
      <c r="B830" s="5" t="s">
        <v>135</v>
      </c>
      <c r="C830" s="5" t="s">
        <v>1183</v>
      </c>
      <c r="D830" s="3">
        <f>VLOOKUP(A830,airports!A:H,7,FALSE)</f>
        <v>36.12447667</v>
      </c>
      <c r="E830" s="3">
        <f>VLOOKUP(A830,airports!A:H,8,FALSE)</f>
        <v>-86.678182219999997</v>
      </c>
      <c r="F830" s="3">
        <f>VLOOKUP(B830,airports!A:H,7,FALSE)</f>
        <v>40.788387780000001</v>
      </c>
      <c r="G830" s="3">
        <f>VLOOKUP(B830,airports!A:H,8,FALSE)</f>
        <v>-111.97777309999999</v>
      </c>
      <c r="H830">
        <f t="shared" si="24"/>
        <v>2254.6</v>
      </c>
      <c r="I830">
        <f t="shared" si="25"/>
        <v>1401.1</v>
      </c>
    </row>
    <row r="831" spans="1:9" ht="30" x14ac:dyDescent="0.25">
      <c r="A831" s="5" t="s">
        <v>19</v>
      </c>
      <c r="B831" s="5" t="s">
        <v>137</v>
      </c>
      <c r="C831" s="5" t="s">
        <v>1184</v>
      </c>
      <c r="D831" s="3">
        <f>VLOOKUP(A831,airports!A:H,7,FALSE)</f>
        <v>36.12447667</v>
      </c>
      <c r="E831" s="3">
        <f>VLOOKUP(A831,airports!A:H,8,FALSE)</f>
        <v>-86.678182219999997</v>
      </c>
      <c r="F831" s="3">
        <f>VLOOKUP(B831,airports!A:H,7,FALSE)</f>
        <v>38.695421670000002</v>
      </c>
      <c r="G831" s="3">
        <f>VLOOKUP(B831,airports!A:H,8,FALSE)</f>
        <v>-121.59076690000001</v>
      </c>
      <c r="H831">
        <f t="shared" si="24"/>
        <v>3078.2</v>
      </c>
      <c r="I831">
        <f t="shared" si="25"/>
        <v>1912.8</v>
      </c>
    </row>
    <row r="832" spans="1:9" ht="30" x14ac:dyDescent="0.25">
      <c r="A832" s="5" t="s">
        <v>19</v>
      </c>
      <c r="B832" s="5" t="s">
        <v>227</v>
      </c>
      <c r="C832" s="5" t="s">
        <v>1185</v>
      </c>
      <c r="D832" s="3">
        <f>VLOOKUP(A832,airports!A:H,7,FALSE)</f>
        <v>36.12447667</v>
      </c>
      <c r="E832" s="3">
        <f>VLOOKUP(A832,airports!A:H,8,FALSE)</f>
        <v>-86.678182219999997</v>
      </c>
      <c r="F832" s="3">
        <f>VLOOKUP(B832,airports!A:H,7,FALSE)</f>
        <v>33.675658609999999</v>
      </c>
      <c r="G832" s="3">
        <f>VLOOKUP(B832,airports!A:H,8,FALSE)</f>
        <v>-117.8682225</v>
      </c>
      <c r="H832">
        <f t="shared" si="24"/>
        <v>2845.2</v>
      </c>
      <c r="I832">
        <f t="shared" si="25"/>
        <v>1768.1</v>
      </c>
    </row>
    <row r="833" spans="1:9" ht="30" x14ac:dyDescent="0.25">
      <c r="A833" s="5" t="s">
        <v>19</v>
      </c>
      <c r="B833" s="5" t="s">
        <v>138</v>
      </c>
      <c r="C833" s="5" t="s">
        <v>1186</v>
      </c>
      <c r="D833" s="3">
        <f>VLOOKUP(A833,airports!A:H,7,FALSE)</f>
        <v>36.12447667</v>
      </c>
      <c r="E833" s="3">
        <f>VLOOKUP(A833,airports!A:H,8,FALSE)</f>
        <v>-86.678182219999997</v>
      </c>
      <c r="F833" s="3">
        <f>VLOOKUP(B833,airports!A:H,7,FALSE)</f>
        <v>27.39533333</v>
      </c>
      <c r="G833" s="3">
        <f>VLOOKUP(B833,airports!A:H,8,FALSE)</f>
        <v>-82.554111109999994</v>
      </c>
      <c r="H833">
        <f t="shared" si="24"/>
        <v>1045.7</v>
      </c>
      <c r="I833">
        <f t="shared" si="25"/>
        <v>649.79999999999995</v>
      </c>
    </row>
    <row r="834" spans="1:9" ht="30" x14ac:dyDescent="0.25">
      <c r="A834" s="5" t="s">
        <v>19</v>
      </c>
      <c r="B834" s="5" t="s">
        <v>644</v>
      </c>
      <c r="C834" s="5" t="s">
        <v>1187</v>
      </c>
      <c r="D834" s="3">
        <f>VLOOKUP(A834,airports!A:H,7,FALSE)</f>
        <v>36.12447667</v>
      </c>
      <c r="E834" s="3">
        <f>VLOOKUP(A834,airports!A:H,8,FALSE)</f>
        <v>-86.678182219999997</v>
      </c>
      <c r="F834" s="3">
        <f>VLOOKUP(B834,airports!A:H,7,FALSE)</f>
        <v>38.747686940000001</v>
      </c>
      <c r="G834" s="3">
        <f>VLOOKUP(B834,airports!A:H,8,FALSE)</f>
        <v>-90.359989720000002</v>
      </c>
      <c r="H834">
        <f t="shared" si="24"/>
        <v>436.7</v>
      </c>
      <c r="I834">
        <f t="shared" si="25"/>
        <v>271.39999999999998</v>
      </c>
    </row>
    <row r="835" spans="1:9" ht="30" x14ac:dyDescent="0.25">
      <c r="A835" s="5" t="s">
        <v>19</v>
      </c>
      <c r="B835" s="5" t="s">
        <v>144</v>
      </c>
      <c r="C835" s="5" t="s">
        <v>1188</v>
      </c>
      <c r="D835" s="3">
        <f>VLOOKUP(A835,airports!A:H,7,FALSE)</f>
        <v>36.12447667</v>
      </c>
      <c r="E835" s="3">
        <f>VLOOKUP(A835,airports!A:H,8,FALSE)</f>
        <v>-86.678182219999997</v>
      </c>
      <c r="F835" s="3">
        <f>VLOOKUP(B835,airports!A:H,7,FALSE)</f>
        <v>43.111186940000003</v>
      </c>
      <c r="G835" s="3">
        <f>VLOOKUP(B835,airports!A:H,8,FALSE)</f>
        <v>-76.106310559999997</v>
      </c>
      <c r="H835">
        <f t="shared" si="24"/>
        <v>1191.4000000000001</v>
      </c>
      <c r="I835">
        <f t="shared" si="25"/>
        <v>740.4</v>
      </c>
    </row>
    <row r="836" spans="1:9" ht="30" x14ac:dyDescent="0.25">
      <c r="A836" s="5" t="s">
        <v>19</v>
      </c>
      <c r="B836" s="5" t="s">
        <v>145</v>
      </c>
      <c r="C836" s="5" t="s">
        <v>1189</v>
      </c>
      <c r="D836" s="3">
        <f>VLOOKUP(A836,airports!A:H,7,FALSE)</f>
        <v>36.12447667</v>
      </c>
      <c r="E836" s="3">
        <f>VLOOKUP(A836,airports!A:H,8,FALSE)</f>
        <v>-86.678182219999997</v>
      </c>
      <c r="F836" s="3">
        <f>VLOOKUP(B836,airports!A:H,7,FALSE)</f>
        <v>27.97547222</v>
      </c>
      <c r="G836" s="3">
        <f>VLOOKUP(B836,airports!A:H,8,FALSE)</f>
        <v>-82.533249999999995</v>
      </c>
      <c r="H836">
        <f t="shared" ref="H836:H899" si="26">ROUND(ACOS(COS(RADIANS(90-D836)) * COS(RADIANS(90-F836)) + SIN(RADIANS(90-D836)) * SIN(RADIANS(90-F836)) * COS(RADIANS(E836-G836))) * 6371,1)</f>
        <v>986.5</v>
      </c>
      <c r="I836">
        <f t="shared" ref="I836:I899" si="27">ROUND(ACOS(COS(RADIANS(90-D836)) * COS(RADIANS(90-F836)) + SIN(RADIANS(90-D836)) * SIN(RADIANS(90-F836)) * COS(RADIANS(E836-G836))) * 3959,1)</f>
        <v>613</v>
      </c>
    </row>
    <row r="837" spans="1:9" ht="30" x14ac:dyDescent="0.25">
      <c r="A837" s="5" t="s">
        <v>19</v>
      </c>
      <c r="B837" s="5" t="s">
        <v>656</v>
      </c>
      <c r="C837" s="5" t="s">
        <v>1190</v>
      </c>
      <c r="D837" s="3">
        <f>VLOOKUP(A837,airports!A:H,7,FALSE)</f>
        <v>36.12447667</v>
      </c>
      <c r="E837" s="3">
        <f>VLOOKUP(A837,airports!A:H,8,FALSE)</f>
        <v>-86.678182219999997</v>
      </c>
      <c r="F837" s="3">
        <f>VLOOKUP(B837,airports!A:H,7,FALSE)</f>
        <v>40.276691110000002</v>
      </c>
      <c r="G837" s="3">
        <f>VLOOKUP(B837,airports!A:H,8,FALSE)</f>
        <v>-74.813468330000006</v>
      </c>
      <c r="H837">
        <f t="shared" si="26"/>
        <v>1133.7</v>
      </c>
      <c r="I837">
        <f t="shared" si="27"/>
        <v>704.5</v>
      </c>
    </row>
    <row r="838" spans="1:9" ht="30" x14ac:dyDescent="0.25">
      <c r="A838" s="5" t="s">
        <v>19</v>
      </c>
      <c r="B838" s="5" t="s">
        <v>658</v>
      </c>
      <c r="C838" s="5" t="s">
        <v>1191</v>
      </c>
      <c r="D838" s="3">
        <f>VLOOKUP(A838,airports!A:H,7,FALSE)</f>
        <v>36.12447667</v>
      </c>
      <c r="E838" s="3">
        <f>VLOOKUP(A838,airports!A:H,8,FALSE)</f>
        <v>-86.678182219999997</v>
      </c>
      <c r="F838" s="3">
        <f>VLOOKUP(B838,airports!A:H,7,FALSE)</f>
        <v>36.198372220000003</v>
      </c>
      <c r="G838" s="3">
        <f>VLOOKUP(B838,airports!A:H,8,FALSE)</f>
        <v>-95.888241669999999</v>
      </c>
      <c r="H838">
        <f t="shared" si="26"/>
        <v>826.6</v>
      </c>
      <c r="I838">
        <f t="shared" si="27"/>
        <v>513.6</v>
      </c>
    </row>
    <row r="839" spans="1:9" ht="30" x14ac:dyDescent="0.25">
      <c r="A839" s="5" t="s">
        <v>19</v>
      </c>
      <c r="B839" s="5" t="s">
        <v>668</v>
      </c>
      <c r="C839" s="5" t="s">
        <v>1192</v>
      </c>
      <c r="D839" s="3">
        <f>VLOOKUP(A839,airports!A:H,7,FALSE)</f>
        <v>36.12447667</v>
      </c>
      <c r="E839" s="3">
        <f>VLOOKUP(A839,airports!A:H,8,FALSE)</f>
        <v>-86.678182219999997</v>
      </c>
      <c r="F839" s="3">
        <f>VLOOKUP(B839,airports!A:H,7,FALSE)</f>
        <v>30.483250000000002</v>
      </c>
      <c r="G839" s="3">
        <f>VLOOKUP(B839,airports!A:H,8,FALSE)</f>
        <v>-86.525400000000005</v>
      </c>
      <c r="H839">
        <f t="shared" si="26"/>
        <v>627.4</v>
      </c>
      <c r="I839">
        <f t="shared" si="27"/>
        <v>389.9</v>
      </c>
    </row>
    <row r="840" spans="1:9" ht="30" x14ac:dyDescent="0.25">
      <c r="A840" s="5" t="s">
        <v>19</v>
      </c>
      <c r="B840" s="5" t="s">
        <v>670</v>
      </c>
      <c r="C840" s="5" t="s">
        <v>1193</v>
      </c>
      <c r="D840" s="3">
        <f>VLOOKUP(A840,airports!A:H,7,FALSE)</f>
        <v>36.12447667</v>
      </c>
      <c r="E840" s="3">
        <f>VLOOKUP(A840,airports!A:H,8,FALSE)</f>
        <v>-86.678182219999997</v>
      </c>
      <c r="F840" s="3">
        <f>VLOOKUP(B840,airports!A:H,7,FALSE)</f>
        <v>36.281869440000001</v>
      </c>
      <c r="G840" s="3">
        <f>VLOOKUP(B840,airports!A:H,8,FALSE)</f>
        <v>-94.306811109999998</v>
      </c>
      <c r="H840">
        <f t="shared" si="26"/>
        <v>684.5</v>
      </c>
      <c r="I840">
        <f t="shared" si="27"/>
        <v>425.4</v>
      </c>
    </row>
    <row r="841" spans="1:9" x14ac:dyDescent="0.25">
      <c r="A841" s="5" t="s">
        <v>22</v>
      </c>
      <c r="B841" s="5" t="s">
        <v>10</v>
      </c>
      <c r="C841" s="5" t="s">
        <v>1194</v>
      </c>
      <c r="D841" s="3">
        <f>VLOOKUP(A841,airports!A:H,7,FALSE)</f>
        <v>43.564444440000003</v>
      </c>
      <c r="E841" s="3">
        <f>VLOOKUP(A841,airports!A:H,8,FALSE)</f>
        <v>-116.2227778</v>
      </c>
      <c r="F841" s="3">
        <f>VLOOKUP(B841,airports!A:H,7,FALSE)</f>
        <v>33.640444440000003</v>
      </c>
      <c r="G841" s="3">
        <f>VLOOKUP(B841,airports!A:H,8,FALSE)</f>
        <v>-84.42694444</v>
      </c>
      <c r="H841">
        <f t="shared" si="26"/>
        <v>2952.7</v>
      </c>
      <c r="I841">
        <f t="shared" si="27"/>
        <v>1834.9</v>
      </c>
    </row>
    <row r="842" spans="1:9" ht="30" x14ac:dyDescent="0.25">
      <c r="A842" s="5" t="s">
        <v>22</v>
      </c>
      <c r="B842" s="5" t="s">
        <v>13</v>
      </c>
      <c r="C842" s="5" t="s">
        <v>1195</v>
      </c>
      <c r="D842" s="3">
        <f>VLOOKUP(A842,airports!A:H,7,FALSE)</f>
        <v>43.564444440000003</v>
      </c>
      <c r="E842" s="3">
        <f>VLOOKUP(A842,airports!A:H,8,FALSE)</f>
        <v>-116.2227778</v>
      </c>
      <c r="F842" s="3">
        <f>VLOOKUP(B842,airports!A:H,7,FALSE)</f>
        <v>30.194532779999999</v>
      </c>
      <c r="G842" s="3">
        <f>VLOOKUP(B842,airports!A:H,8,FALSE)</f>
        <v>-97.669871939999993</v>
      </c>
      <c r="H842">
        <f t="shared" si="26"/>
        <v>2211.6</v>
      </c>
      <c r="I842">
        <f t="shared" si="27"/>
        <v>1374.3</v>
      </c>
    </row>
    <row r="843" spans="1:9" ht="30" x14ac:dyDescent="0.25">
      <c r="A843" s="5" t="s">
        <v>22</v>
      </c>
      <c r="B843" s="5" t="s">
        <v>329</v>
      </c>
      <c r="C843" s="5" t="s">
        <v>1196</v>
      </c>
      <c r="D843" s="3">
        <f>VLOOKUP(A843,airports!A:H,7,FALSE)</f>
        <v>43.564444440000003</v>
      </c>
      <c r="E843" s="3">
        <f>VLOOKUP(A843,airports!A:H,8,FALSE)</f>
        <v>-116.2227778</v>
      </c>
      <c r="F843" s="3">
        <f>VLOOKUP(B843,airports!A:H,7,FALSE)</f>
        <v>33.308999999999997</v>
      </c>
      <c r="G843" s="3">
        <f>VLOOKUP(B843,airports!A:H,8,FALSE)</f>
        <v>-111.6559</v>
      </c>
      <c r="H843">
        <f t="shared" si="26"/>
        <v>1207.2</v>
      </c>
      <c r="I843">
        <f t="shared" si="27"/>
        <v>750.2</v>
      </c>
    </row>
    <row r="844" spans="1:9" ht="30" x14ac:dyDescent="0.25">
      <c r="A844" s="5" t="s">
        <v>22</v>
      </c>
      <c r="B844" s="5" t="s">
        <v>19</v>
      </c>
      <c r="C844" s="5" t="s">
        <v>1197</v>
      </c>
      <c r="D844" s="3">
        <f>VLOOKUP(A844,airports!A:H,7,FALSE)</f>
        <v>43.564444440000003</v>
      </c>
      <c r="E844" s="3">
        <f>VLOOKUP(A844,airports!A:H,8,FALSE)</f>
        <v>-116.2227778</v>
      </c>
      <c r="F844" s="3">
        <f>VLOOKUP(B844,airports!A:H,7,FALSE)</f>
        <v>36.12447667</v>
      </c>
      <c r="G844" s="3">
        <f>VLOOKUP(B844,airports!A:H,8,FALSE)</f>
        <v>-86.678182219999997</v>
      </c>
      <c r="H844">
        <f t="shared" si="26"/>
        <v>2638.3</v>
      </c>
      <c r="I844">
        <f t="shared" si="27"/>
        <v>1639.4</v>
      </c>
    </row>
    <row r="845" spans="1:9" ht="30" x14ac:dyDescent="0.25">
      <c r="A845" s="5" t="s">
        <v>22</v>
      </c>
      <c r="B845" s="5" t="s">
        <v>30</v>
      </c>
      <c r="C845" s="5" t="s">
        <v>1198</v>
      </c>
      <c r="D845" s="3">
        <f>VLOOKUP(A845,airports!A:H,7,FALSE)</f>
        <v>43.564444440000003</v>
      </c>
      <c r="E845" s="3">
        <f>VLOOKUP(A845,airports!A:H,8,FALSE)</f>
        <v>-116.2227778</v>
      </c>
      <c r="F845" s="3">
        <f>VLOOKUP(B845,airports!A:H,7,FALSE)</f>
        <v>34.200619170000003</v>
      </c>
      <c r="G845" s="3">
        <f>VLOOKUP(B845,airports!A:H,8,FALSE)</f>
        <v>-118.35849690000001</v>
      </c>
      <c r="H845">
        <f t="shared" si="26"/>
        <v>1057.4000000000001</v>
      </c>
      <c r="I845">
        <f t="shared" si="27"/>
        <v>657.1</v>
      </c>
    </row>
    <row r="846" spans="1:9" x14ac:dyDescent="0.25">
      <c r="A846" s="5" t="s">
        <v>22</v>
      </c>
      <c r="B846" s="5" t="s">
        <v>201</v>
      </c>
      <c r="C846" s="5" t="s">
        <v>1199</v>
      </c>
      <c r="D846" s="3">
        <f>VLOOKUP(A846,airports!A:H,7,FALSE)</f>
        <v>43.564444440000003</v>
      </c>
      <c r="E846" s="3">
        <f>VLOOKUP(A846,airports!A:H,8,FALSE)</f>
        <v>-116.2227778</v>
      </c>
      <c r="F846" s="3">
        <f>VLOOKUP(B846,airports!A:H,7,FALSE)</f>
        <v>32.847113890000003</v>
      </c>
      <c r="G846" s="3">
        <f>VLOOKUP(B846,airports!A:H,8,FALSE)</f>
        <v>-96.851772220000001</v>
      </c>
      <c r="H846">
        <f t="shared" si="26"/>
        <v>2061.6999999999998</v>
      </c>
      <c r="I846">
        <f t="shared" si="27"/>
        <v>1281.0999999999999</v>
      </c>
    </row>
    <row r="847" spans="1:9" ht="30" x14ac:dyDescent="0.25">
      <c r="A847" s="5" t="s">
        <v>22</v>
      </c>
      <c r="B847" s="5" t="s">
        <v>47</v>
      </c>
      <c r="C847" s="5" t="s">
        <v>1200</v>
      </c>
      <c r="D847" s="3">
        <f>VLOOKUP(A847,airports!A:H,7,FALSE)</f>
        <v>43.564444440000003</v>
      </c>
      <c r="E847" s="3">
        <f>VLOOKUP(A847,airports!A:H,8,FALSE)</f>
        <v>-116.2227778</v>
      </c>
      <c r="F847" s="3">
        <f>VLOOKUP(B847,airports!A:H,7,FALSE)</f>
        <v>39.858408060000002</v>
      </c>
      <c r="G847" s="3">
        <f>VLOOKUP(B847,airports!A:H,8,FALSE)</f>
        <v>-104.6670019</v>
      </c>
      <c r="H847">
        <f t="shared" si="26"/>
        <v>1042.8</v>
      </c>
      <c r="I847">
        <f t="shared" si="27"/>
        <v>648</v>
      </c>
    </row>
    <row r="848" spans="1:9" ht="30" x14ac:dyDescent="0.25">
      <c r="A848" s="5" t="s">
        <v>22</v>
      </c>
      <c r="B848" s="5" t="s">
        <v>49</v>
      </c>
      <c r="C848" s="5" t="s">
        <v>1201</v>
      </c>
      <c r="D848" s="3">
        <f>VLOOKUP(A848,airports!A:H,7,FALSE)</f>
        <v>43.564444440000003</v>
      </c>
      <c r="E848" s="3">
        <f>VLOOKUP(A848,airports!A:H,8,FALSE)</f>
        <v>-116.2227778</v>
      </c>
      <c r="F848" s="3">
        <f>VLOOKUP(B848,airports!A:H,7,FALSE)</f>
        <v>32.895950560000003</v>
      </c>
      <c r="G848" s="3">
        <f>VLOOKUP(B848,airports!A:H,8,FALSE)</f>
        <v>-97.037199999999999</v>
      </c>
      <c r="H848">
        <f t="shared" si="26"/>
        <v>2045</v>
      </c>
      <c r="I848">
        <f t="shared" si="27"/>
        <v>1270.8</v>
      </c>
    </row>
    <row r="849" spans="1:9" ht="30" x14ac:dyDescent="0.25">
      <c r="A849" s="5" t="s">
        <v>22</v>
      </c>
      <c r="B849" s="5" t="s">
        <v>505</v>
      </c>
      <c r="C849" s="5" t="s">
        <v>1202</v>
      </c>
      <c r="D849" s="3">
        <f>VLOOKUP(A849,airports!A:H,7,FALSE)</f>
        <v>43.564444440000003</v>
      </c>
      <c r="E849" s="3">
        <f>VLOOKUP(A849,airports!A:H,8,FALSE)</f>
        <v>-116.2227778</v>
      </c>
      <c r="F849" s="3">
        <f>VLOOKUP(B849,airports!A:H,7,FALSE)</f>
        <v>47.619855559999998</v>
      </c>
      <c r="G849" s="3">
        <f>VLOOKUP(B849,airports!A:H,8,FALSE)</f>
        <v>-117.53384250000001</v>
      </c>
      <c r="H849">
        <f t="shared" si="26"/>
        <v>462.3</v>
      </c>
      <c r="I849">
        <f t="shared" si="27"/>
        <v>287.3</v>
      </c>
    </row>
    <row r="850" spans="1:9" x14ac:dyDescent="0.25">
      <c r="A850" s="5" t="s">
        <v>22</v>
      </c>
      <c r="B850" s="5" t="s">
        <v>67</v>
      </c>
      <c r="C850" s="5" t="s">
        <v>1203</v>
      </c>
      <c r="D850" s="3">
        <f>VLOOKUP(A850,airports!A:H,7,FALSE)</f>
        <v>43.564444440000003</v>
      </c>
      <c r="E850" s="3">
        <f>VLOOKUP(A850,airports!A:H,8,FALSE)</f>
        <v>-116.2227778</v>
      </c>
      <c r="F850" s="3">
        <f>VLOOKUP(B850,airports!A:H,7,FALSE)</f>
        <v>29.980472219999999</v>
      </c>
      <c r="G850" s="3">
        <f>VLOOKUP(B850,airports!A:H,8,FALSE)</f>
        <v>-95.339722219999999</v>
      </c>
      <c r="H850">
        <f t="shared" si="26"/>
        <v>2384.1</v>
      </c>
      <c r="I850">
        <f t="shared" si="27"/>
        <v>1481.5</v>
      </c>
    </row>
    <row r="851" spans="1:9" x14ac:dyDescent="0.25">
      <c r="A851" s="5" t="s">
        <v>22</v>
      </c>
      <c r="B851" s="5" t="s">
        <v>867</v>
      </c>
      <c r="C851" s="5" t="s">
        <v>1204</v>
      </c>
      <c r="D851" s="3">
        <f>VLOOKUP(A851,airports!A:H,7,FALSE)</f>
        <v>43.564444440000003</v>
      </c>
      <c r="E851" s="3">
        <f>VLOOKUP(A851,airports!A:H,8,FALSE)</f>
        <v>-116.2227778</v>
      </c>
      <c r="F851" s="3">
        <f>VLOOKUP(B851,airports!A:H,7,FALSE)</f>
        <v>43.514555559999998</v>
      </c>
      <c r="G851" s="3">
        <f>VLOOKUP(B851,airports!A:H,8,FALSE)</f>
        <v>-112.0701667</v>
      </c>
      <c r="H851">
        <f t="shared" si="26"/>
        <v>334.7</v>
      </c>
      <c r="I851">
        <f t="shared" si="27"/>
        <v>208</v>
      </c>
    </row>
    <row r="852" spans="1:9" x14ac:dyDescent="0.25">
      <c r="A852" s="5" t="s">
        <v>22</v>
      </c>
      <c r="B852" s="5" t="s">
        <v>69</v>
      </c>
      <c r="C852" s="5" t="s">
        <v>1205</v>
      </c>
      <c r="D852" s="3">
        <f>VLOOKUP(A852,airports!A:H,7,FALSE)</f>
        <v>43.564444440000003</v>
      </c>
      <c r="E852" s="3">
        <f>VLOOKUP(A852,airports!A:H,8,FALSE)</f>
        <v>-116.2227778</v>
      </c>
      <c r="F852" s="3">
        <f>VLOOKUP(B852,airports!A:H,7,FALSE)</f>
        <v>40.639751109999999</v>
      </c>
      <c r="G852" s="3">
        <f>VLOOKUP(B852,airports!A:H,8,FALSE)</f>
        <v>-73.778925560000005</v>
      </c>
      <c r="H852">
        <f t="shared" si="26"/>
        <v>3478.6</v>
      </c>
      <c r="I852">
        <f t="shared" si="27"/>
        <v>2161.6</v>
      </c>
    </row>
    <row r="853" spans="1:9" x14ac:dyDescent="0.25">
      <c r="A853" s="5" t="s">
        <v>22</v>
      </c>
      <c r="B853" s="5" t="s">
        <v>71</v>
      </c>
      <c r="C853" s="5" t="s">
        <v>1206</v>
      </c>
      <c r="D853" s="3">
        <f>VLOOKUP(A853,airports!A:H,7,FALSE)</f>
        <v>43.564444440000003</v>
      </c>
      <c r="E853" s="3">
        <f>VLOOKUP(A853,airports!A:H,8,FALSE)</f>
        <v>-116.2227778</v>
      </c>
      <c r="F853" s="3">
        <f>VLOOKUP(B853,airports!A:H,7,FALSE)</f>
        <v>36.080361109999998</v>
      </c>
      <c r="G853" s="3">
        <f>VLOOKUP(B853,airports!A:H,8,FALSE)</f>
        <v>-115.1523333</v>
      </c>
      <c r="H853">
        <f t="shared" si="26"/>
        <v>837.2</v>
      </c>
      <c r="I853">
        <f t="shared" si="27"/>
        <v>520.20000000000005</v>
      </c>
    </row>
    <row r="854" spans="1:9" x14ac:dyDescent="0.25">
      <c r="A854" s="5" t="s">
        <v>22</v>
      </c>
      <c r="B854" s="5" t="s">
        <v>73</v>
      </c>
      <c r="C854" s="5" t="s">
        <v>1207</v>
      </c>
      <c r="D854" s="3">
        <f>VLOOKUP(A854,airports!A:H,7,FALSE)</f>
        <v>43.564444440000003</v>
      </c>
      <c r="E854" s="3">
        <f>VLOOKUP(A854,airports!A:H,8,FALSE)</f>
        <v>-116.2227778</v>
      </c>
      <c r="F854" s="3">
        <f>VLOOKUP(B854,airports!A:H,7,FALSE)</f>
        <v>33.942536109999999</v>
      </c>
      <c r="G854" s="3">
        <f>VLOOKUP(B854,airports!A:H,8,FALSE)</f>
        <v>-118.4080744</v>
      </c>
      <c r="H854">
        <f t="shared" si="26"/>
        <v>1086.4000000000001</v>
      </c>
      <c r="I854">
        <f t="shared" si="27"/>
        <v>675.1</v>
      </c>
    </row>
    <row r="855" spans="1:9" ht="30" x14ac:dyDescent="0.25">
      <c r="A855" s="5" t="s">
        <v>22</v>
      </c>
      <c r="B855" s="5" t="s">
        <v>1208</v>
      </c>
      <c r="C855" s="5" t="s">
        <v>1209</v>
      </c>
      <c r="D855" s="3">
        <f>VLOOKUP(A855,airports!A:H,7,FALSE)</f>
        <v>43.564444440000003</v>
      </c>
      <c r="E855" s="3">
        <f>VLOOKUP(A855,airports!A:H,8,FALSE)</f>
        <v>-116.2227778</v>
      </c>
      <c r="F855" s="3">
        <f>VLOOKUP(B855,airports!A:H,7,FALSE)</f>
        <v>46.374498060000001</v>
      </c>
      <c r="G855" s="3">
        <f>VLOOKUP(B855,airports!A:H,8,FALSE)</f>
        <v>-117.01539440000001</v>
      </c>
      <c r="H855">
        <f t="shared" si="26"/>
        <v>318.60000000000002</v>
      </c>
      <c r="I855">
        <f t="shared" si="27"/>
        <v>198</v>
      </c>
    </row>
    <row r="856" spans="1:9" ht="30" x14ac:dyDescent="0.25">
      <c r="A856" s="5" t="s">
        <v>22</v>
      </c>
      <c r="B856" s="5" t="s">
        <v>180</v>
      </c>
      <c r="C856" s="5" t="s">
        <v>1210</v>
      </c>
      <c r="D856" s="3">
        <f>VLOOKUP(A856,airports!A:H,7,FALSE)</f>
        <v>43.564444440000003</v>
      </c>
      <c r="E856" s="3">
        <f>VLOOKUP(A856,airports!A:H,8,FALSE)</f>
        <v>-116.2227778</v>
      </c>
      <c r="F856" s="3">
        <f>VLOOKUP(B856,airports!A:H,7,FALSE)</f>
        <v>41.785982500000003</v>
      </c>
      <c r="G856" s="3">
        <f>VLOOKUP(B856,airports!A:H,8,FALSE)</f>
        <v>-87.752424439999999</v>
      </c>
      <c r="H856">
        <f t="shared" si="26"/>
        <v>2324.5</v>
      </c>
      <c r="I856">
        <f t="shared" si="27"/>
        <v>1444.4</v>
      </c>
    </row>
    <row r="857" spans="1:9" ht="30" x14ac:dyDescent="0.25">
      <c r="A857" s="5" t="s">
        <v>22</v>
      </c>
      <c r="B857" s="5" t="s">
        <v>87</v>
      </c>
      <c r="C857" s="5" t="s">
        <v>1211</v>
      </c>
      <c r="D857" s="3">
        <f>VLOOKUP(A857,airports!A:H,7,FALSE)</f>
        <v>43.564444440000003</v>
      </c>
      <c r="E857" s="3">
        <f>VLOOKUP(A857,airports!A:H,8,FALSE)</f>
        <v>-116.2227778</v>
      </c>
      <c r="F857" s="3">
        <f>VLOOKUP(B857,airports!A:H,7,FALSE)</f>
        <v>44.880546940000002</v>
      </c>
      <c r="G857" s="3">
        <f>VLOOKUP(B857,airports!A:H,8,FALSE)</f>
        <v>-93.216922499999995</v>
      </c>
      <c r="H857">
        <f t="shared" si="26"/>
        <v>1832.9</v>
      </c>
      <c r="I857">
        <f t="shared" si="27"/>
        <v>1139</v>
      </c>
    </row>
    <row r="858" spans="1:9" ht="30" x14ac:dyDescent="0.25">
      <c r="A858" s="5" t="s">
        <v>22</v>
      </c>
      <c r="B858" s="5" t="s">
        <v>215</v>
      </c>
      <c r="C858" s="5" t="s">
        <v>1212</v>
      </c>
      <c r="D858" s="3">
        <f>VLOOKUP(A858,airports!A:H,7,FALSE)</f>
        <v>43.564444440000003</v>
      </c>
      <c r="E858" s="3">
        <f>VLOOKUP(A858,airports!A:H,8,FALSE)</f>
        <v>-116.2227778</v>
      </c>
      <c r="F858" s="3">
        <f>VLOOKUP(B858,airports!A:H,7,FALSE)</f>
        <v>37.721290830000001</v>
      </c>
      <c r="G858" s="3">
        <f>VLOOKUP(B858,airports!A:H,8,FALSE)</f>
        <v>-122.2207167</v>
      </c>
      <c r="H858">
        <f t="shared" si="26"/>
        <v>823.1</v>
      </c>
      <c r="I858">
        <f t="shared" si="27"/>
        <v>511.5</v>
      </c>
    </row>
    <row r="859" spans="1:9" ht="30" x14ac:dyDescent="0.25">
      <c r="A859" s="5" t="s">
        <v>22</v>
      </c>
      <c r="B859" s="5" t="s">
        <v>95</v>
      </c>
      <c r="C859" s="5" t="s">
        <v>1213</v>
      </c>
      <c r="D859" s="3">
        <f>VLOOKUP(A859,airports!A:H,7,FALSE)</f>
        <v>43.564444440000003</v>
      </c>
      <c r="E859" s="3">
        <f>VLOOKUP(A859,airports!A:H,8,FALSE)</f>
        <v>-116.2227778</v>
      </c>
      <c r="F859" s="3">
        <f>VLOOKUP(B859,airports!A:H,7,FALSE)</f>
        <v>41.979595000000003</v>
      </c>
      <c r="G859" s="3">
        <f>VLOOKUP(B859,airports!A:H,8,FALSE)</f>
        <v>-87.904464169999997</v>
      </c>
      <c r="H859">
        <f t="shared" si="26"/>
        <v>2307</v>
      </c>
      <c r="I859">
        <f t="shared" si="27"/>
        <v>1433.6</v>
      </c>
    </row>
    <row r="860" spans="1:9" x14ac:dyDescent="0.25">
      <c r="A860" s="5" t="s">
        <v>22</v>
      </c>
      <c r="B860" s="5" t="s">
        <v>1214</v>
      </c>
      <c r="C860" s="5" t="s">
        <v>1215</v>
      </c>
      <c r="D860" s="3">
        <f>VLOOKUP(A860,airports!A:H,7,FALSE)</f>
        <v>43.564444440000003</v>
      </c>
      <c r="E860" s="3">
        <f>VLOOKUP(A860,airports!A:H,8,FALSE)</f>
        <v>-116.2227778</v>
      </c>
      <c r="F860" s="3">
        <f>VLOOKUP(B860,airports!A:H,7,FALSE)</f>
        <v>47.906300000000002</v>
      </c>
      <c r="G860" s="3">
        <f>VLOOKUP(B860,airports!A:H,8,FALSE)</f>
        <v>-122.281998</v>
      </c>
      <c r="H860">
        <f t="shared" si="26"/>
        <v>673.6</v>
      </c>
      <c r="I860">
        <f t="shared" si="27"/>
        <v>418.6</v>
      </c>
    </row>
    <row r="861" spans="1:9" ht="30" x14ac:dyDescent="0.25">
      <c r="A861" s="5" t="s">
        <v>22</v>
      </c>
      <c r="B861" s="5" t="s">
        <v>100</v>
      </c>
      <c r="C861" s="5" t="s">
        <v>1216</v>
      </c>
      <c r="D861" s="3">
        <f>VLOOKUP(A861,airports!A:H,7,FALSE)</f>
        <v>43.564444440000003</v>
      </c>
      <c r="E861" s="3">
        <f>VLOOKUP(A861,airports!A:H,8,FALSE)</f>
        <v>-116.2227778</v>
      </c>
      <c r="F861" s="3">
        <f>VLOOKUP(B861,airports!A:H,7,FALSE)</f>
        <v>45.588722220000001</v>
      </c>
      <c r="G861" s="3">
        <f>VLOOKUP(B861,airports!A:H,8,FALSE)</f>
        <v>-122.5975</v>
      </c>
      <c r="H861">
        <f t="shared" si="26"/>
        <v>552.6</v>
      </c>
      <c r="I861">
        <f t="shared" si="27"/>
        <v>343.4</v>
      </c>
    </row>
    <row r="862" spans="1:9" ht="30" x14ac:dyDescent="0.25">
      <c r="A862" s="5" t="s">
        <v>22</v>
      </c>
      <c r="B862" s="5" t="s">
        <v>104</v>
      </c>
      <c r="C862" s="5" t="s">
        <v>1217</v>
      </c>
      <c r="D862" s="3">
        <f>VLOOKUP(A862,airports!A:H,7,FALSE)</f>
        <v>43.564444440000003</v>
      </c>
      <c r="E862" s="3">
        <f>VLOOKUP(A862,airports!A:H,8,FALSE)</f>
        <v>-116.2227778</v>
      </c>
      <c r="F862" s="3">
        <f>VLOOKUP(B862,airports!A:H,7,FALSE)</f>
        <v>33.434166670000003</v>
      </c>
      <c r="G862" s="3">
        <f>VLOOKUP(B862,airports!A:H,8,FALSE)</f>
        <v>-112.00805560000001</v>
      </c>
      <c r="H862">
        <f t="shared" si="26"/>
        <v>1184.2</v>
      </c>
      <c r="I862">
        <f t="shared" si="27"/>
        <v>735.9</v>
      </c>
    </row>
    <row r="863" spans="1:9" x14ac:dyDescent="0.25">
      <c r="A863" s="5" t="s">
        <v>22</v>
      </c>
      <c r="B863" s="5" t="s">
        <v>111</v>
      </c>
      <c r="C863" s="5" t="s">
        <v>1218</v>
      </c>
      <c r="D863" s="3">
        <f>VLOOKUP(A863,airports!A:H,7,FALSE)</f>
        <v>43.564444440000003</v>
      </c>
      <c r="E863" s="3">
        <f>VLOOKUP(A863,airports!A:H,8,FALSE)</f>
        <v>-116.2227778</v>
      </c>
      <c r="F863" s="3">
        <f>VLOOKUP(B863,airports!A:H,7,FALSE)</f>
        <v>33.829215560000002</v>
      </c>
      <c r="G863" s="3">
        <f>VLOOKUP(B863,airports!A:H,8,FALSE)</f>
        <v>-116.5062531</v>
      </c>
      <c r="H863">
        <f t="shared" si="26"/>
        <v>1082.8</v>
      </c>
      <c r="I863">
        <f t="shared" si="27"/>
        <v>672.9</v>
      </c>
    </row>
    <row r="864" spans="1:9" ht="30" x14ac:dyDescent="0.25">
      <c r="A864" s="5" t="s">
        <v>22</v>
      </c>
      <c r="B864" s="5" t="s">
        <v>324</v>
      </c>
      <c r="C864" s="5" t="s">
        <v>1219</v>
      </c>
      <c r="D864" s="3">
        <f>VLOOKUP(A864,airports!A:H,7,FALSE)</f>
        <v>43.564444440000003</v>
      </c>
      <c r="E864" s="3">
        <f>VLOOKUP(A864,airports!A:H,8,FALSE)</f>
        <v>-116.2227778</v>
      </c>
      <c r="F864" s="3">
        <f>VLOOKUP(B864,airports!A:H,7,FALSE)</f>
        <v>46.744199999999999</v>
      </c>
      <c r="G864" s="3">
        <f>VLOOKUP(B864,airports!A:H,8,FALSE)</f>
        <v>-117.11409999999999</v>
      </c>
      <c r="H864">
        <f t="shared" si="26"/>
        <v>360.4</v>
      </c>
      <c r="I864">
        <f t="shared" si="27"/>
        <v>224</v>
      </c>
    </row>
    <row r="865" spans="1:9" ht="30" x14ac:dyDescent="0.25">
      <c r="A865" s="5" t="s">
        <v>22</v>
      </c>
      <c r="B865" s="5" t="s">
        <v>121</v>
      </c>
      <c r="C865" s="5" t="s">
        <v>1220</v>
      </c>
      <c r="D865" s="3">
        <f>VLOOKUP(A865,airports!A:H,7,FALSE)</f>
        <v>43.564444440000003</v>
      </c>
      <c r="E865" s="3">
        <f>VLOOKUP(A865,airports!A:H,8,FALSE)</f>
        <v>-116.2227778</v>
      </c>
      <c r="F865" s="3">
        <f>VLOOKUP(B865,airports!A:H,7,FALSE)</f>
        <v>39.498576110000002</v>
      </c>
      <c r="G865" s="3">
        <f>VLOOKUP(B865,airports!A:H,8,FALSE)</f>
        <v>-119.7680647</v>
      </c>
      <c r="H865">
        <f t="shared" si="26"/>
        <v>539.79999999999995</v>
      </c>
      <c r="I865">
        <f t="shared" si="27"/>
        <v>335.4</v>
      </c>
    </row>
    <row r="866" spans="1:9" ht="30" x14ac:dyDescent="0.25">
      <c r="A866" s="5" t="s">
        <v>22</v>
      </c>
      <c r="B866" s="5" t="s">
        <v>124</v>
      </c>
      <c r="C866" s="5" t="s">
        <v>1221</v>
      </c>
      <c r="D866" s="3">
        <f>VLOOKUP(A866,airports!A:H,7,FALSE)</f>
        <v>43.564444440000003</v>
      </c>
      <c r="E866" s="3">
        <f>VLOOKUP(A866,airports!A:H,8,FALSE)</f>
        <v>-116.2227778</v>
      </c>
      <c r="F866" s="3">
        <f>VLOOKUP(B866,airports!A:H,7,FALSE)</f>
        <v>32.733556110000002</v>
      </c>
      <c r="G866" s="3">
        <f>VLOOKUP(B866,airports!A:H,8,FALSE)</f>
        <v>-117.1896567</v>
      </c>
      <c r="H866">
        <f t="shared" si="26"/>
        <v>1207.3</v>
      </c>
      <c r="I866">
        <f t="shared" si="27"/>
        <v>750.2</v>
      </c>
    </row>
    <row r="867" spans="1:9" x14ac:dyDescent="0.25">
      <c r="A867" s="5" t="s">
        <v>22</v>
      </c>
      <c r="B867" s="5" t="s">
        <v>128</v>
      </c>
      <c r="C867" s="5" t="s">
        <v>1222</v>
      </c>
      <c r="D867" s="3">
        <f>VLOOKUP(A867,airports!A:H,7,FALSE)</f>
        <v>43.564444440000003</v>
      </c>
      <c r="E867" s="3">
        <f>VLOOKUP(A867,airports!A:H,8,FALSE)</f>
        <v>-116.2227778</v>
      </c>
      <c r="F867" s="3">
        <f>VLOOKUP(B867,airports!A:H,7,FALSE)</f>
        <v>47.448981940000003</v>
      </c>
      <c r="G867" s="3">
        <f>VLOOKUP(B867,airports!A:H,8,FALSE)</f>
        <v>-122.3093131</v>
      </c>
      <c r="H867">
        <f t="shared" si="26"/>
        <v>641.20000000000005</v>
      </c>
      <c r="I867">
        <f t="shared" si="27"/>
        <v>398.4</v>
      </c>
    </row>
    <row r="868" spans="1:9" x14ac:dyDescent="0.25">
      <c r="A868" s="5" t="s">
        <v>22</v>
      </c>
      <c r="B868" s="5" t="s">
        <v>130</v>
      </c>
      <c r="C868" s="5" t="s">
        <v>1223</v>
      </c>
      <c r="D868" s="3">
        <f>VLOOKUP(A868,airports!A:H,7,FALSE)</f>
        <v>43.564444440000003</v>
      </c>
      <c r="E868" s="3">
        <f>VLOOKUP(A868,airports!A:H,8,FALSE)</f>
        <v>-116.2227778</v>
      </c>
      <c r="F868" s="3">
        <f>VLOOKUP(B868,airports!A:H,7,FALSE)</f>
        <v>37.619001939999997</v>
      </c>
      <c r="G868" s="3">
        <f>VLOOKUP(B868,airports!A:H,8,FALSE)</f>
        <v>-122.37484329999999</v>
      </c>
      <c r="H868">
        <f t="shared" si="26"/>
        <v>840.2</v>
      </c>
      <c r="I868">
        <f t="shared" si="27"/>
        <v>522.1</v>
      </c>
    </row>
    <row r="869" spans="1:9" x14ac:dyDescent="0.25">
      <c r="A869" s="5" t="s">
        <v>22</v>
      </c>
      <c r="B869" s="5" t="s">
        <v>131</v>
      </c>
      <c r="C869" s="5" t="s">
        <v>1224</v>
      </c>
      <c r="D869" s="3">
        <f>VLOOKUP(A869,airports!A:H,7,FALSE)</f>
        <v>43.564444440000003</v>
      </c>
      <c r="E869" s="3">
        <f>VLOOKUP(A869,airports!A:H,8,FALSE)</f>
        <v>-116.2227778</v>
      </c>
      <c r="F869" s="3">
        <f>VLOOKUP(B869,airports!A:H,7,FALSE)</f>
        <v>37.361861939999997</v>
      </c>
      <c r="G869" s="3">
        <f>VLOOKUP(B869,airports!A:H,8,FALSE)</f>
        <v>-121.9290089</v>
      </c>
      <c r="H869">
        <f t="shared" si="26"/>
        <v>841.4</v>
      </c>
      <c r="I869">
        <f t="shared" si="27"/>
        <v>522.79999999999995</v>
      </c>
    </row>
    <row r="870" spans="1:9" x14ac:dyDescent="0.25">
      <c r="A870" s="5" t="s">
        <v>22</v>
      </c>
      <c r="B870" s="5" t="s">
        <v>135</v>
      </c>
      <c r="C870" s="5" t="s">
        <v>1225</v>
      </c>
      <c r="D870" s="3">
        <f>VLOOKUP(A870,airports!A:H,7,FALSE)</f>
        <v>43.564444440000003</v>
      </c>
      <c r="E870" s="3">
        <f>VLOOKUP(A870,airports!A:H,8,FALSE)</f>
        <v>-116.2227778</v>
      </c>
      <c r="F870" s="3">
        <f>VLOOKUP(B870,airports!A:H,7,FALSE)</f>
        <v>40.788387780000001</v>
      </c>
      <c r="G870" s="3">
        <f>VLOOKUP(B870,airports!A:H,8,FALSE)</f>
        <v>-111.97777309999999</v>
      </c>
      <c r="H870">
        <f t="shared" si="26"/>
        <v>466.4</v>
      </c>
      <c r="I870">
        <f t="shared" si="27"/>
        <v>289.8</v>
      </c>
    </row>
    <row r="871" spans="1:9" ht="30" x14ac:dyDescent="0.25">
      <c r="A871" s="5" t="s">
        <v>22</v>
      </c>
      <c r="B871" s="5" t="s">
        <v>137</v>
      </c>
      <c r="C871" s="5" t="s">
        <v>1226</v>
      </c>
      <c r="D871" s="3">
        <f>VLOOKUP(A871,airports!A:H,7,FALSE)</f>
        <v>43.564444440000003</v>
      </c>
      <c r="E871" s="3">
        <f>VLOOKUP(A871,airports!A:H,8,FALSE)</f>
        <v>-116.2227778</v>
      </c>
      <c r="F871" s="3">
        <f>VLOOKUP(B871,airports!A:H,7,FALSE)</f>
        <v>38.695421670000002</v>
      </c>
      <c r="G871" s="3">
        <f>VLOOKUP(B871,airports!A:H,8,FALSE)</f>
        <v>-121.59076690000001</v>
      </c>
      <c r="H871">
        <f t="shared" si="26"/>
        <v>703.4</v>
      </c>
      <c r="I871">
        <f t="shared" si="27"/>
        <v>437.1</v>
      </c>
    </row>
    <row r="872" spans="1:9" ht="30" x14ac:dyDescent="0.25">
      <c r="A872" s="5" t="s">
        <v>22</v>
      </c>
      <c r="B872" s="5" t="s">
        <v>227</v>
      </c>
      <c r="C872" s="5" t="s">
        <v>1227</v>
      </c>
      <c r="D872" s="3">
        <f>VLOOKUP(A872,airports!A:H,7,FALSE)</f>
        <v>43.564444440000003</v>
      </c>
      <c r="E872" s="3">
        <f>VLOOKUP(A872,airports!A:H,8,FALSE)</f>
        <v>-116.2227778</v>
      </c>
      <c r="F872" s="3">
        <f>VLOOKUP(B872,airports!A:H,7,FALSE)</f>
        <v>33.675658609999999</v>
      </c>
      <c r="G872" s="3">
        <f>VLOOKUP(B872,airports!A:H,8,FALSE)</f>
        <v>-117.8682225</v>
      </c>
      <c r="H872">
        <f t="shared" si="26"/>
        <v>1108.8</v>
      </c>
      <c r="I872">
        <f t="shared" si="27"/>
        <v>689</v>
      </c>
    </row>
    <row r="873" spans="1:9" ht="30" x14ac:dyDescent="0.25">
      <c r="A873" s="5" t="s">
        <v>24</v>
      </c>
      <c r="B873" s="5" t="s">
        <v>5</v>
      </c>
      <c r="C873" s="5" t="s">
        <v>1228</v>
      </c>
      <c r="D873" s="3">
        <f>VLOOKUP(A873,airports!A:H,7,FALSE)</f>
        <v>42.364347500000001</v>
      </c>
      <c r="E873" s="3">
        <f>VLOOKUP(A873,airports!A:H,8,FALSE)</f>
        <v>-71.005179170000005</v>
      </c>
      <c r="F873" s="3">
        <f>VLOOKUP(B873,airports!A:H,7,FALSE)</f>
        <v>41.253051939999999</v>
      </c>
      <c r="G873" s="3">
        <f>VLOOKUP(B873,airports!A:H,8,FALSE)</f>
        <v>-70.060181389999997</v>
      </c>
      <c r="H873">
        <f t="shared" si="26"/>
        <v>146.30000000000001</v>
      </c>
      <c r="I873">
        <f t="shared" si="27"/>
        <v>90.9</v>
      </c>
    </row>
    <row r="874" spans="1:9" ht="30" x14ac:dyDescent="0.25">
      <c r="A874" s="5" t="s">
        <v>24</v>
      </c>
      <c r="B874" s="5" t="s">
        <v>252</v>
      </c>
      <c r="C874" s="5" t="s">
        <v>1229</v>
      </c>
      <c r="D874" s="3">
        <f>VLOOKUP(A874,airports!A:H,7,FALSE)</f>
        <v>42.364347500000001</v>
      </c>
      <c r="E874" s="3">
        <f>VLOOKUP(A874,airports!A:H,8,FALSE)</f>
        <v>-71.005179170000005</v>
      </c>
      <c r="F874" s="3">
        <f>VLOOKUP(B874,airports!A:H,7,FALSE)</f>
        <v>39.457583329999999</v>
      </c>
      <c r="G874" s="3">
        <f>VLOOKUP(B874,airports!A:H,8,FALSE)</f>
        <v>-74.577166669999997</v>
      </c>
      <c r="H874">
        <f t="shared" si="26"/>
        <v>441</v>
      </c>
      <c r="I874">
        <f t="shared" si="27"/>
        <v>274.10000000000002</v>
      </c>
    </row>
    <row r="875" spans="1:9" ht="30" x14ac:dyDescent="0.25">
      <c r="A875" s="5" t="s">
        <v>24</v>
      </c>
      <c r="B875" s="5" t="s">
        <v>276</v>
      </c>
      <c r="C875" s="5" t="s">
        <v>1230</v>
      </c>
      <c r="D875" s="3">
        <f>VLOOKUP(A875,airports!A:H,7,FALSE)</f>
        <v>42.364347500000001</v>
      </c>
      <c r="E875" s="3">
        <f>VLOOKUP(A875,airports!A:H,8,FALSE)</f>
        <v>-71.005179170000005</v>
      </c>
      <c r="F875" s="3">
        <f>VLOOKUP(B875,airports!A:H,7,FALSE)</f>
        <v>33.369954999999997</v>
      </c>
      <c r="G875" s="3">
        <f>VLOOKUP(B875,airports!A:H,8,FALSE)</f>
        <v>-81.964496109999999</v>
      </c>
      <c r="H875">
        <f t="shared" si="26"/>
        <v>1385.4</v>
      </c>
      <c r="I875">
        <f t="shared" si="27"/>
        <v>860.9</v>
      </c>
    </row>
    <row r="876" spans="1:9" ht="30" x14ac:dyDescent="0.25">
      <c r="A876" s="5" t="s">
        <v>24</v>
      </c>
      <c r="B876" s="5" t="s">
        <v>10</v>
      </c>
      <c r="C876" s="5" t="s">
        <v>1231</v>
      </c>
      <c r="D876" s="3">
        <f>VLOOKUP(A876,airports!A:H,7,FALSE)</f>
        <v>42.364347500000001</v>
      </c>
      <c r="E876" s="3">
        <f>VLOOKUP(A876,airports!A:H,8,FALSE)</f>
        <v>-71.005179170000005</v>
      </c>
      <c r="F876" s="3">
        <f>VLOOKUP(B876,airports!A:H,7,FALSE)</f>
        <v>33.640444440000003</v>
      </c>
      <c r="G876" s="3">
        <f>VLOOKUP(B876,airports!A:H,8,FALSE)</f>
        <v>-84.42694444</v>
      </c>
      <c r="H876">
        <f t="shared" si="26"/>
        <v>1521.2</v>
      </c>
      <c r="I876">
        <f t="shared" si="27"/>
        <v>945.3</v>
      </c>
    </row>
    <row r="877" spans="1:9" ht="30" x14ac:dyDescent="0.25">
      <c r="A877" s="5" t="s">
        <v>24</v>
      </c>
      <c r="B877" s="5" t="s">
        <v>13</v>
      </c>
      <c r="C877" s="5" t="s">
        <v>1232</v>
      </c>
      <c r="D877" s="3">
        <f>VLOOKUP(A877,airports!A:H,7,FALSE)</f>
        <v>42.364347500000001</v>
      </c>
      <c r="E877" s="3">
        <f>VLOOKUP(A877,airports!A:H,8,FALSE)</f>
        <v>-71.005179170000005</v>
      </c>
      <c r="F877" s="3">
        <f>VLOOKUP(B877,airports!A:H,7,FALSE)</f>
        <v>30.194532779999999</v>
      </c>
      <c r="G877" s="3">
        <f>VLOOKUP(B877,airports!A:H,8,FALSE)</f>
        <v>-97.669871939999993</v>
      </c>
      <c r="H877">
        <f t="shared" si="26"/>
        <v>2729.7</v>
      </c>
      <c r="I877">
        <f t="shared" si="27"/>
        <v>1696.3</v>
      </c>
    </row>
    <row r="878" spans="1:9" ht="30" x14ac:dyDescent="0.25">
      <c r="A878" s="5" t="s">
        <v>24</v>
      </c>
      <c r="B878" s="5" t="s">
        <v>419</v>
      </c>
      <c r="C878" s="5" t="s">
        <v>1233</v>
      </c>
      <c r="D878" s="3">
        <f>VLOOKUP(A878,airports!A:H,7,FALSE)</f>
        <v>42.364347500000001</v>
      </c>
      <c r="E878" s="3">
        <f>VLOOKUP(A878,airports!A:H,8,FALSE)</f>
        <v>-71.005179170000005</v>
      </c>
      <c r="F878" s="3">
        <f>VLOOKUP(B878,airports!A:H,7,FALSE)</f>
        <v>35.436194440000001</v>
      </c>
      <c r="G878" s="3">
        <f>VLOOKUP(B878,airports!A:H,8,FALSE)</f>
        <v>-82.54180556</v>
      </c>
      <c r="H878">
        <f t="shared" si="26"/>
        <v>1259.0999999999999</v>
      </c>
      <c r="I878">
        <f t="shared" si="27"/>
        <v>782.4</v>
      </c>
    </row>
    <row r="879" spans="1:9" ht="30" x14ac:dyDescent="0.25">
      <c r="A879" s="5" t="s">
        <v>24</v>
      </c>
      <c r="B879" s="5" t="s">
        <v>233</v>
      </c>
      <c r="C879" s="5" t="s">
        <v>1234</v>
      </c>
      <c r="D879" s="3">
        <f>VLOOKUP(A879,airports!A:H,7,FALSE)</f>
        <v>42.364347500000001</v>
      </c>
      <c r="E879" s="3">
        <f>VLOOKUP(A879,airports!A:H,8,FALSE)</f>
        <v>-71.005179170000005</v>
      </c>
      <c r="F879" s="3">
        <f>VLOOKUP(B879,airports!A:H,7,FALSE)</f>
        <v>44.807444439999998</v>
      </c>
      <c r="G879" s="3">
        <f>VLOOKUP(B879,airports!A:H,8,FALSE)</f>
        <v>-68.828138890000005</v>
      </c>
      <c r="H879">
        <f t="shared" si="26"/>
        <v>323.3</v>
      </c>
      <c r="I879">
        <f t="shared" si="27"/>
        <v>200.9</v>
      </c>
    </row>
    <row r="880" spans="1:9" ht="30" x14ac:dyDescent="0.25">
      <c r="A880" s="5" t="s">
        <v>24</v>
      </c>
      <c r="B880" s="5" t="s">
        <v>19</v>
      </c>
      <c r="C880" s="5" t="s">
        <v>1235</v>
      </c>
      <c r="D880" s="3">
        <f>VLOOKUP(A880,airports!A:H,7,FALSE)</f>
        <v>42.364347500000001</v>
      </c>
      <c r="E880" s="3">
        <f>VLOOKUP(A880,airports!A:H,8,FALSE)</f>
        <v>-71.005179170000005</v>
      </c>
      <c r="F880" s="3">
        <f>VLOOKUP(B880,airports!A:H,7,FALSE)</f>
        <v>36.12447667</v>
      </c>
      <c r="G880" s="3">
        <f>VLOOKUP(B880,airports!A:H,8,FALSE)</f>
        <v>-86.678182219999997</v>
      </c>
      <c r="H880">
        <f t="shared" si="26"/>
        <v>1514.3</v>
      </c>
      <c r="I880">
        <f t="shared" si="27"/>
        <v>941</v>
      </c>
    </row>
    <row r="881" spans="1:9" ht="30" x14ac:dyDescent="0.25">
      <c r="A881" s="5" t="s">
        <v>24</v>
      </c>
      <c r="B881" s="5" t="s">
        <v>29</v>
      </c>
      <c r="C881" s="5" t="s">
        <v>1236</v>
      </c>
      <c r="D881" s="3">
        <f>VLOOKUP(A881,airports!A:H,7,FALSE)</f>
        <v>42.364347500000001</v>
      </c>
      <c r="E881" s="3">
        <f>VLOOKUP(A881,airports!A:H,8,FALSE)</f>
        <v>-71.005179170000005</v>
      </c>
      <c r="F881" s="3">
        <f>VLOOKUP(B881,airports!A:H,7,FALSE)</f>
        <v>42.940524719999999</v>
      </c>
      <c r="G881" s="3">
        <f>VLOOKUP(B881,airports!A:H,8,FALSE)</f>
        <v>-78.732166669999998</v>
      </c>
      <c r="H881">
        <f t="shared" si="26"/>
        <v>634.9</v>
      </c>
      <c r="I881">
        <f t="shared" si="27"/>
        <v>394.6</v>
      </c>
    </row>
    <row r="882" spans="1:9" ht="30" x14ac:dyDescent="0.25">
      <c r="A882" s="5" t="s">
        <v>24</v>
      </c>
      <c r="B882" s="5" t="s">
        <v>30</v>
      </c>
      <c r="C882" s="5" t="s">
        <v>1237</v>
      </c>
      <c r="D882" s="3">
        <f>VLOOKUP(A882,airports!A:H,7,FALSE)</f>
        <v>42.364347500000001</v>
      </c>
      <c r="E882" s="3">
        <f>VLOOKUP(A882,airports!A:H,8,FALSE)</f>
        <v>-71.005179170000005</v>
      </c>
      <c r="F882" s="3">
        <f>VLOOKUP(B882,airports!A:H,7,FALSE)</f>
        <v>34.200619170000003</v>
      </c>
      <c r="G882" s="3">
        <f>VLOOKUP(B882,airports!A:H,8,FALSE)</f>
        <v>-118.35849690000001</v>
      </c>
      <c r="H882">
        <f t="shared" si="26"/>
        <v>4175.8999999999996</v>
      </c>
      <c r="I882">
        <f t="shared" si="27"/>
        <v>2594.9</v>
      </c>
    </row>
    <row r="883" spans="1:9" ht="30" x14ac:dyDescent="0.25">
      <c r="A883" s="5" t="s">
        <v>24</v>
      </c>
      <c r="B883" s="5" t="s">
        <v>32</v>
      </c>
      <c r="C883" s="5" t="s">
        <v>1238</v>
      </c>
      <c r="D883" s="3">
        <f>VLOOKUP(A883,airports!A:H,7,FALSE)</f>
        <v>42.364347500000001</v>
      </c>
      <c r="E883" s="3">
        <f>VLOOKUP(A883,airports!A:H,8,FALSE)</f>
        <v>-71.005179170000005</v>
      </c>
      <c r="F883" s="3">
        <f>VLOOKUP(B883,airports!A:H,7,FALSE)</f>
        <v>39.175401669999999</v>
      </c>
      <c r="G883" s="3">
        <f>VLOOKUP(B883,airports!A:H,8,FALSE)</f>
        <v>-76.668198329999996</v>
      </c>
      <c r="H883">
        <f t="shared" si="26"/>
        <v>594.1</v>
      </c>
      <c r="I883">
        <f t="shared" si="27"/>
        <v>369.1</v>
      </c>
    </row>
    <row r="884" spans="1:9" ht="30" x14ac:dyDescent="0.25">
      <c r="A884" s="5" t="s">
        <v>24</v>
      </c>
      <c r="B884" s="5" t="s">
        <v>34</v>
      </c>
      <c r="C884" s="5" t="s">
        <v>1239</v>
      </c>
      <c r="D884" s="3">
        <f>VLOOKUP(A884,airports!A:H,7,FALSE)</f>
        <v>42.364347500000001</v>
      </c>
      <c r="E884" s="3">
        <f>VLOOKUP(A884,airports!A:H,8,FALSE)</f>
        <v>-71.005179170000005</v>
      </c>
      <c r="F884" s="3">
        <f>VLOOKUP(B884,airports!A:H,7,FALSE)</f>
        <v>45.776901389999999</v>
      </c>
      <c r="G884" s="3">
        <f>VLOOKUP(B884,airports!A:H,8,FALSE)</f>
        <v>-111.1530072</v>
      </c>
      <c r="H884">
        <f t="shared" si="26"/>
        <v>3195.8</v>
      </c>
      <c r="I884">
        <f t="shared" si="27"/>
        <v>1985.9</v>
      </c>
    </row>
    <row r="885" spans="1:9" ht="30" x14ac:dyDescent="0.25">
      <c r="A885" s="5" t="s">
        <v>24</v>
      </c>
      <c r="B885" s="5" t="s">
        <v>36</v>
      </c>
      <c r="C885" s="5" t="s">
        <v>1240</v>
      </c>
      <c r="D885" s="3">
        <f>VLOOKUP(A885,airports!A:H,7,FALSE)</f>
        <v>42.364347500000001</v>
      </c>
      <c r="E885" s="3">
        <f>VLOOKUP(A885,airports!A:H,8,FALSE)</f>
        <v>-71.005179170000005</v>
      </c>
      <c r="F885" s="3">
        <f>VLOOKUP(B885,airports!A:H,7,FALSE)</f>
        <v>32.898646390000003</v>
      </c>
      <c r="G885" s="3">
        <f>VLOOKUP(B885,airports!A:H,8,FALSE)</f>
        <v>-80.040505830000001</v>
      </c>
      <c r="H885">
        <f t="shared" si="26"/>
        <v>1317.7</v>
      </c>
      <c r="I885">
        <f t="shared" si="27"/>
        <v>818.8</v>
      </c>
    </row>
    <row r="886" spans="1:9" x14ac:dyDescent="0.25">
      <c r="A886" s="5" t="s">
        <v>24</v>
      </c>
      <c r="B886" s="5" t="s">
        <v>38</v>
      </c>
      <c r="C886" s="5" t="s">
        <v>1241</v>
      </c>
      <c r="D886" s="3">
        <f>VLOOKUP(A886,airports!A:H,7,FALSE)</f>
        <v>42.364347500000001</v>
      </c>
      <c r="E886" s="3">
        <f>VLOOKUP(A886,airports!A:H,8,FALSE)</f>
        <v>-71.005179170000005</v>
      </c>
      <c r="F886" s="3">
        <f>VLOOKUP(B886,airports!A:H,7,FALSE)</f>
        <v>41.410894169999999</v>
      </c>
      <c r="G886" s="3">
        <f>VLOOKUP(B886,airports!A:H,8,FALSE)</f>
        <v>-81.849396670000004</v>
      </c>
      <c r="H886">
        <f t="shared" si="26"/>
        <v>903.3</v>
      </c>
      <c r="I886">
        <f t="shared" si="27"/>
        <v>561.29999999999995</v>
      </c>
    </row>
    <row r="887" spans="1:9" x14ac:dyDescent="0.25">
      <c r="A887" s="5" t="s">
        <v>24</v>
      </c>
      <c r="B887" s="5" t="s">
        <v>40</v>
      </c>
      <c r="C887" s="5" t="s">
        <v>1242</v>
      </c>
      <c r="D887" s="3">
        <f>VLOOKUP(A887,airports!A:H,7,FALSE)</f>
        <v>42.364347500000001</v>
      </c>
      <c r="E887" s="3">
        <f>VLOOKUP(A887,airports!A:H,8,FALSE)</f>
        <v>-71.005179170000005</v>
      </c>
      <c r="F887" s="3">
        <f>VLOOKUP(B887,airports!A:H,7,FALSE)</f>
        <v>35.214011110000001</v>
      </c>
      <c r="G887" s="3">
        <f>VLOOKUP(B887,airports!A:H,8,FALSE)</f>
        <v>-80.94312583</v>
      </c>
      <c r="H887">
        <f t="shared" si="26"/>
        <v>1170.7</v>
      </c>
      <c r="I887">
        <f t="shared" si="27"/>
        <v>727.5</v>
      </c>
    </row>
    <row r="888" spans="1:9" ht="30" x14ac:dyDescent="0.25">
      <c r="A888" s="5" t="s">
        <v>24</v>
      </c>
      <c r="B888" s="5" t="s">
        <v>454</v>
      </c>
      <c r="C888" s="5" t="s">
        <v>1243</v>
      </c>
      <c r="D888" s="3">
        <f>VLOOKUP(A888,airports!A:H,7,FALSE)</f>
        <v>42.364347500000001</v>
      </c>
      <c r="E888" s="3">
        <f>VLOOKUP(A888,airports!A:H,8,FALSE)</f>
        <v>-71.005179170000005</v>
      </c>
      <c r="F888" s="3">
        <f>VLOOKUP(B888,airports!A:H,7,FALSE)</f>
        <v>39.997985280000002</v>
      </c>
      <c r="G888" s="3">
        <f>VLOOKUP(B888,airports!A:H,8,FALSE)</f>
        <v>-82.891882780000003</v>
      </c>
      <c r="H888">
        <f t="shared" si="26"/>
        <v>1028</v>
      </c>
      <c r="I888">
        <f t="shared" si="27"/>
        <v>638.79999999999995</v>
      </c>
    </row>
    <row r="889" spans="1:9" ht="30" x14ac:dyDescent="0.25">
      <c r="A889" s="5" t="s">
        <v>24</v>
      </c>
      <c r="B889" s="5" t="s">
        <v>462</v>
      </c>
      <c r="C889" s="5" t="s">
        <v>1244</v>
      </c>
      <c r="D889" s="3">
        <f>VLOOKUP(A889,airports!A:H,7,FALSE)</f>
        <v>42.364347500000001</v>
      </c>
      <c r="E889" s="3">
        <f>VLOOKUP(A889,airports!A:H,8,FALSE)</f>
        <v>-71.005179170000005</v>
      </c>
      <c r="F889" s="3">
        <f>VLOOKUP(B889,airports!A:H,7,FALSE)</f>
        <v>39.046142779999997</v>
      </c>
      <c r="G889" s="3">
        <f>VLOOKUP(B889,airports!A:H,8,FALSE)</f>
        <v>-84.662172499999997</v>
      </c>
      <c r="H889">
        <f t="shared" si="26"/>
        <v>1207.3</v>
      </c>
      <c r="I889">
        <f t="shared" si="27"/>
        <v>750.2</v>
      </c>
    </row>
    <row r="890" spans="1:9" ht="30" x14ac:dyDescent="0.25">
      <c r="A890" s="5" t="s">
        <v>24</v>
      </c>
      <c r="B890" s="5" t="s">
        <v>201</v>
      </c>
      <c r="C890" s="5" t="s">
        <v>1245</v>
      </c>
      <c r="D890" s="3">
        <f>VLOOKUP(A890,airports!A:H,7,FALSE)</f>
        <v>42.364347500000001</v>
      </c>
      <c r="E890" s="3">
        <f>VLOOKUP(A890,airports!A:H,8,FALSE)</f>
        <v>-71.005179170000005</v>
      </c>
      <c r="F890" s="3">
        <f>VLOOKUP(B890,airports!A:H,7,FALSE)</f>
        <v>32.847113890000003</v>
      </c>
      <c r="G890" s="3">
        <f>VLOOKUP(B890,airports!A:H,8,FALSE)</f>
        <v>-96.851772220000001</v>
      </c>
      <c r="H890">
        <f t="shared" si="26"/>
        <v>2497.6</v>
      </c>
      <c r="I890">
        <f t="shared" si="27"/>
        <v>1552</v>
      </c>
    </row>
    <row r="891" spans="1:9" ht="30" x14ac:dyDescent="0.25">
      <c r="A891" s="5" t="s">
        <v>24</v>
      </c>
      <c r="B891" s="5" t="s">
        <v>45</v>
      </c>
      <c r="C891" s="5" t="s">
        <v>1246</v>
      </c>
      <c r="D891" s="3">
        <f>VLOOKUP(A891,airports!A:H,7,FALSE)</f>
        <v>42.364347500000001</v>
      </c>
      <c r="E891" s="3">
        <f>VLOOKUP(A891,airports!A:H,8,FALSE)</f>
        <v>-71.005179170000005</v>
      </c>
      <c r="F891" s="3">
        <f>VLOOKUP(B891,airports!A:H,7,FALSE)</f>
        <v>38.852083329999999</v>
      </c>
      <c r="G891" s="3">
        <f>VLOOKUP(B891,airports!A:H,8,FALSE)</f>
        <v>-77.037722220000006</v>
      </c>
      <c r="H891">
        <f t="shared" si="26"/>
        <v>641.5</v>
      </c>
      <c r="I891">
        <f t="shared" si="27"/>
        <v>398.6</v>
      </c>
    </row>
    <row r="892" spans="1:9" ht="30" x14ac:dyDescent="0.25">
      <c r="A892" s="5" t="s">
        <v>24</v>
      </c>
      <c r="B892" s="5" t="s">
        <v>47</v>
      </c>
      <c r="C892" s="5" t="s">
        <v>1247</v>
      </c>
      <c r="D892" s="3">
        <f>VLOOKUP(A892,airports!A:H,7,FALSE)</f>
        <v>42.364347500000001</v>
      </c>
      <c r="E892" s="3">
        <f>VLOOKUP(A892,airports!A:H,8,FALSE)</f>
        <v>-71.005179170000005</v>
      </c>
      <c r="F892" s="3">
        <f>VLOOKUP(B892,airports!A:H,7,FALSE)</f>
        <v>39.858408060000002</v>
      </c>
      <c r="G892" s="3">
        <f>VLOOKUP(B892,airports!A:H,8,FALSE)</f>
        <v>-104.6670019</v>
      </c>
      <c r="H892">
        <f t="shared" si="26"/>
        <v>2815.3</v>
      </c>
      <c r="I892">
        <f t="shared" si="27"/>
        <v>1749.5</v>
      </c>
    </row>
    <row r="893" spans="1:9" ht="30" x14ac:dyDescent="0.25">
      <c r="A893" s="5" t="s">
        <v>24</v>
      </c>
      <c r="B893" s="5" t="s">
        <v>49</v>
      </c>
      <c r="C893" s="5" t="s">
        <v>1248</v>
      </c>
      <c r="D893" s="3">
        <f>VLOOKUP(A893,airports!A:H,7,FALSE)</f>
        <v>42.364347500000001</v>
      </c>
      <c r="E893" s="3">
        <f>VLOOKUP(A893,airports!A:H,8,FALSE)</f>
        <v>-71.005179170000005</v>
      </c>
      <c r="F893" s="3">
        <f>VLOOKUP(B893,airports!A:H,7,FALSE)</f>
        <v>32.895950560000003</v>
      </c>
      <c r="G893" s="3">
        <f>VLOOKUP(B893,airports!A:H,8,FALSE)</f>
        <v>-97.037199999999999</v>
      </c>
      <c r="H893">
        <f t="shared" si="26"/>
        <v>2509.3000000000002</v>
      </c>
      <c r="I893">
        <f t="shared" si="27"/>
        <v>1559.3</v>
      </c>
    </row>
    <row r="894" spans="1:9" ht="30" x14ac:dyDescent="0.25">
      <c r="A894" s="5" t="s">
        <v>24</v>
      </c>
      <c r="B894" s="5" t="s">
        <v>50</v>
      </c>
      <c r="C894" s="5" t="s">
        <v>1249</v>
      </c>
      <c r="D894" s="3">
        <f>VLOOKUP(A894,airports!A:H,7,FALSE)</f>
        <v>42.364347500000001</v>
      </c>
      <c r="E894" s="3">
        <f>VLOOKUP(A894,airports!A:H,8,FALSE)</f>
        <v>-71.005179170000005</v>
      </c>
      <c r="F894" s="3">
        <f>VLOOKUP(B894,airports!A:H,7,FALSE)</f>
        <v>42.212058890000002</v>
      </c>
      <c r="G894" s="3">
        <f>VLOOKUP(B894,airports!A:H,8,FALSE)</f>
        <v>-83.348835829999999</v>
      </c>
      <c r="H894">
        <f t="shared" si="26"/>
        <v>1014.6</v>
      </c>
      <c r="I894">
        <f t="shared" si="27"/>
        <v>630.5</v>
      </c>
    </row>
    <row r="895" spans="1:9" ht="30" x14ac:dyDescent="0.25">
      <c r="A895" s="5" t="s">
        <v>24</v>
      </c>
      <c r="B895" s="5" t="s">
        <v>52</v>
      </c>
      <c r="C895" s="5" t="s">
        <v>1250</v>
      </c>
      <c r="D895" s="3">
        <f>VLOOKUP(A895,airports!A:H,7,FALSE)</f>
        <v>42.364347500000001</v>
      </c>
      <c r="E895" s="3">
        <f>VLOOKUP(A895,airports!A:H,8,FALSE)</f>
        <v>-71.005179170000005</v>
      </c>
      <c r="F895" s="3">
        <f>VLOOKUP(B895,airports!A:H,7,FALSE)</f>
        <v>40.69249722</v>
      </c>
      <c r="G895" s="3">
        <f>VLOOKUP(B895,airports!A:H,8,FALSE)</f>
        <v>-74.168660560000006</v>
      </c>
      <c r="H895">
        <f t="shared" si="26"/>
        <v>322.3</v>
      </c>
      <c r="I895">
        <f t="shared" si="27"/>
        <v>200.3</v>
      </c>
    </row>
    <row r="896" spans="1:9" ht="30" x14ac:dyDescent="0.25">
      <c r="A896" s="5" t="s">
        <v>24</v>
      </c>
      <c r="B896" s="5" t="s">
        <v>54</v>
      </c>
      <c r="C896" s="5" t="s">
        <v>1251</v>
      </c>
      <c r="D896" s="3">
        <f>VLOOKUP(A896,airports!A:H,7,FALSE)</f>
        <v>42.364347500000001</v>
      </c>
      <c r="E896" s="3">
        <f>VLOOKUP(A896,airports!A:H,8,FALSE)</f>
        <v>-71.005179170000005</v>
      </c>
      <c r="F896" s="3">
        <f>VLOOKUP(B896,airports!A:H,7,FALSE)</f>
        <v>24.55611111</v>
      </c>
      <c r="G896" s="3">
        <f>VLOOKUP(B896,airports!A:H,8,FALSE)</f>
        <v>-81.759555559999995</v>
      </c>
      <c r="H896">
        <f t="shared" si="26"/>
        <v>2212.9</v>
      </c>
      <c r="I896">
        <f t="shared" si="27"/>
        <v>1375.1</v>
      </c>
    </row>
    <row r="897" spans="1:9" x14ac:dyDescent="0.25">
      <c r="A897" s="5" t="s">
        <v>24</v>
      </c>
      <c r="B897" s="5" t="s">
        <v>57</v>
      </c>
      <c r="C897" s="5" t="s">
        <v>1252</v>
      </c>
      <c r="D897" s="3">
        <f>VLOOKUP(A897,airports!A:H,7,FALSE)</f>
        <v>42.364347500000001</v>
      </c>
      <c r="E897" s="3">
        <f>VLOOKUP(A897,airports!A:H,8,FALSE)</f>
        <v>-71.005179170000005</v>
      </c>
      <c r="F897" s="3">
        <f>VLOOKUP(B897,airports!A:H,7,FALSE)</f>
        <v>26.072583330000001</v>
      </c>
      <c r="G897" s="3">
        <f>VLOOKUP(B897,airports!A:H,8,FALSE)</f>
        <v>-80.152749999999997</v>
      </c>
      <c r="H897">
        <f t="shared" si="26"/>
        <v>1994.3</v>
      </c>
      <c r="I897">
        <f t="shared" si="27"/>
        <v>1239.3</v>
      </c>
    </row>
    <row r="898" spans="1:9" ht="30" x14ac:dyDescent="0.25">
      <c r="A898" s="5" t="s">
        <v>24</v>
      </c>
      <c r="B898" s="5" t="s">
        <v>497</v>
      </c>
      <c r="C898" s="5" t="s">
        <v>1253</v>
      </c>
      <c r="D898" s="3">
        <f>VLOOKUP(A898,airports!A:H,7,FALSE)</f>
        <v>42.364347500000001</v>
      </c>
      <c r="E898" s="3">
        <f>VLOOKUP(A898,airports!A:H,8,FALSE)</f>
        <v>-71.005179170000005</v>
      </c>
      <c r="F898" s="3">
        <f>VLOOKUP(B898,airports!A:H,7,FALSE)</f>
        <v>42.965503329999997</v>
      </c>
      <c r="G898" s="3">
        <f>VLOOKUP(B898,airports!A:H,8,FALSE)</f>
        <v>-83.743456390000006</v>
      </c>
      <c r="H898">
        <f t="shared" si="26"/>
        <v>1042.7</v>
      </c>
      <c r="I898">
        <f t="shared" si="27"/>
        <v>647.9</v>
      </c>
    </row>
    <row r="899" spans="1:9" ht="30" x14ac:dyDescent="0.25">
      <c r="A899" s="5" t="s">
        <v>24</v>
      </c>
      <c r="B899" s="5" t="s">
        <v>515</v>
      </c>
      <c r="C899" s="5" t="s">
        <v>1254</v>
      </c>
      <c r="D899" s="3">
        <f>VLOOKUP(A899,airports!A:H,7,FALSE)</f>
        <v>42.364347500000001</v>
      </c>
      <c r="E899" s="3">
        <f>VLOOKUP(A899,airports!A:H,8,FALSE)</f>
        <v>-71.005179170000005</v>
      </c>
      <c r="F899" s="3">
        <f>VLOOKUP(B899,airports!A:H,7,FALSE)</f>
        <v>42.880819719999998</v>
      </c>
      <c r="G899" s="3">
        <f>VLOOKUP(B899,airports!A:H,8,FALSE)</f>
        <v>-85.522767779999995</v>
      </c>
      <c r="H899">
        <f t="shared" si="26"/>
        <v>1187.8</v>
      </c>
      <c r="I899">
        <f t="shared" si="27"/>
        <v>738.1</v>
      </c>
    </row>
    <row r="900" spans="1:9" ht="30" x14ac:dyDescent="0.25">
      <c r="A900" s="5" t="s">
        <v>24</v>
      </c>
      <c r="B900" s="5" t="s">
        <v>519</v>
      </c>
      <c r="C900" s="5" t="s">
        <v>1255</v>
      </c>
      <c r="D900" s="3">
        <f>VLOOKUP(A900,airports!A:H,7,FALSE)</f>
        <v>42.364347500000001</v>
      </c>
      <c r="E900" s="3">
        <f>VLOOKUP(A900,airports!A:H,8,FALSE)</f>
        <v>-71.005179170000005</v>
      </c>
      <c r="F900" s="3">
        <f>VLOOKUP(B900,airports!A:H,7,FALSE)</f>
        <v>34.89566722</v>
      </c>
      <c r="G900" s="3">
        <f>VLOOKUP(B900,airports!A:H,8,FALSE)</f>
        <v>-82.218858330000003</v>
      </c>
      <c r="H900">
        <f t="shared" ref="H900:H963" si="28">ROUND(ACOS(COS(RADIANS(90-D900)) * COS(RADIANS(90-F900)) + SIN(RADIANS(90-D900)) * SIN(RADIANS(90-F900)) * COS(RADIANS(E900-G900))) * 6371,1)</f>
        <v>1278</v>
      </c>
      <c r="I900">
        <f t="shared" ref="I900:I963" si="29">ROUND(ACOS(COS(RADIANS(90-D900)) * COS(RADIANS(90-F900)) + SIN(RADIANS(90-D900)) * SIN(RADIANS(90-F900)) * COS(RADIANS(E900-G900))) * 3959,1)</f>
        <v>794.2</v>
      </c>
    </row>
    <row r="901" spans="1:9" ht="30" x14ac:dyDescent="0.25">
      <c r="A901" s="5" t="s">
        <v>24</v>
      </c>
      <c r="B901" s="5" t="s">
        <v>64</v>
      </c>
      <c r="C901" s="5" t="s">
        <v>1256</v>
      </c>
      <c r="D901" s="3">
        <f>VLOOKUP(A901,airports!A:H,7,FALSE)</f>
        <v>42.364347500000001</v>
      </c>
      <c r="E901" s="3">
        <f>VLOOKUP(A901,airports!A:H,8,FALSE)</f>
        <v>-71.005179170000005</v>
      </c>
      <c r="F901" s="3">
        <f>VLOOKUP(B901,airports!A:H,7,FALSE)</f>
        <v>40.481180279999997</v>
      </c>
      <c r="G901" s="3">
        <f>VLOOKUP(B901,airports!A:H,8,FALSE)</f>
        <v>-107.2176597</v>
      </c>
      <c r="H901">
        <f t="shared" si="28"/>
        <v>3003.8</v>
      </c>
      <c r="I901">
        <f t="shared" si="29"/>
        <v>1866.6</v>
      </c>
    </row>
    <row r="902" spans="1:9" ht="30" x14ac:dyDescent="0.25">
      <c r="A902" s="5" t="s">
        <v>24</v>
      </c>
      <c r="B902" s="5" t="s">
        <v>524</v>
      </c>
      <c r="C902" s="5" t="s">
        <v>1257</v>
      </c>
      <c r="D902" s="3">
        <f>VLOOKUP(A902,airports!A:H,7,FALSE)</f>
        <v>42.364347500000001</v>
      </c>
      <c r="E902" s="3">
        <f>VLOOKUP(A902,airports!A:H,8,FALSE)</f>
        <v>-71.005179170000005</v>
      </c>
      <c r="F902" s="3">
        <f>VLOOKUP(B902,airports!A:H,7,FALSE)</f>
        <v>32.224399566700001</v>
      </c>
      <c r="G902" s="3">
        <f>VLOOKUP(B902,airports!A:H,8,FALSE)</f>
        <v>-80.697502136200001</v>
      </c>
      <c r="H902">
        <f t="shared" si="28"/>
        <v>1414.4</v>
      </c>
      <c r="I902">
        <f t="shared" si="29"/>
        <v>878.9</v>
      </c>
    </row>
    <row r="903" spans="1:9" ht="30" x14ac:dyDescent="0.25">
      <c r="A903" s="5" t="s">
        <v>24</v>
      </c>
      <c r="B903" s="5" t="s">
        <v>360</v>
      </c>
      <c r="C903" s="5" t="s">
        <v>1258</v>
      </c>
      <c r="D903" s="3">
        <f>VLOOKUP(A903,airports!A:H,7,FALSE)</f>
        <v>42.364347500000001</v>
      </c>
      <c r="E903" s="3">
        <f>VLOOKUP(A903,airports!A:H,8,FALSE)</f>
        <v>-71.005179170000005</v>
      </c>
      <c r="F903" s="3">
        <f>VLOOKUP(B903,airports!A:H,7,FALSE)</f>
        <v>21.31869111</v>
      </c>
      <c r="G903" s="3">
        <f>VLOOKUP(B903,airports!A:H,8,FALSE)</f>
        <v>-157.92240720000001</v>
      </c>
      <c r="H903">
        <f t="shared" si="28"/>
        <v>8186.2</v>
      </c>
      <c r="I903">
        <f t="shared" si="29"/>
        <v>5087</v>
      </c>
    </row>
    <row r="904" spans="1:9" ht="30" x14ac:dyDescent="0.25">
      <c r="A904" s="5" t="s">
        <v>24</v>
      </c>
      <c r="B904" s="5" t="s">
        <v>205</v>
      </c>
      <c r="C904" s="5" t="s">
        <v>1259</v>
      </c>
      <c r="D904" s="3">
        <f>VLOOKUP(A904,airports!A:H,7,FALSE)</f>
        <v>42.364347500000001</v>
      </c>
      <c r="E904" s="3">
        <f>VLOOKUP(A904,airports!A:H,8,FALSE)</f>
        <v>-71.005179170000005</v>
      </c>
      <c r="F904" s="3">
        <f>VLOOKUP(B904,airports!A:H,7,FALSE)</f>
        <v>29.64541861</v>
      </c>
      <c r="G904" s="3">
        <f>VLOOKUP(B904,airports!A:H,8,FALSE)</f>
        <v>-95.278888890000005</v>
      </c>
      <c r="H904">
        <f t="shared" si="28"/>
        <v>2586.9</v>
      </c>
      <c r="I904">
        <f t="shared" si="29"/>
        <v>1607.5</v>
      </c>
    </row>
    <row r="905" spans="1:9" ht="30" x14ac:dyDescent="0.25">
      <c r="A905" s="5" t="s">
        <v>24</v>
      </c>
      <c r="B905" s="5" t="s">
        <v>176</v>
      </c>
      <c r="C905" s="5" t="s">
        <v>1260</v>
      </c>
      <c r="D905" s="3">
        <f>VLOOKUP(A905,airports!A:H,7,FALSE)</f>
        <v>42.364347500000001</v>
      </c>
      <c r="E905" s="3">
        <f>VLOOKUP(A905,airports!A:H,8,FALSE)</f>
        <v>-71.005179170000005</v>
      </c>
      <c r="F905" s="3">
        <f>VLOOKUP(B905,airports!A:H,7,FALSE)</f>
        <v>38.944531939999997</v>
      </c>
      <c r="G905" s="3">
        <f>VLOOKUP(B905,airports!A:H,8,FALSE)</f>
        <v>-77.455809720000005</v>
      </c>
      <c r="H905">
        <f t="shared" si="28"/>
        <v>663.6</v>
      </c>
      <c r="I905">
        <f t="shared" si="29"/>
        <v>412.3</v>
      </c>
    </row>
    <row r="906" spans="1:9" ht="30" x14ac:dyDescent="0.25">
      <c r="A906" s="5" t="s">
        <v>24</v>
      </c>
      <c r="B906" s="5" t="s">
        <v>67</v>
      </c>
      <c r="C906" s="5" t="s">
        <v>1261</v>
      </c>
      <c r="D906" s="3">
        <f>VLOOKUP(A906,airports!A:H,7,FALSE)</f>
        <v>42.364347500000001</v>
      </c>
      <c r="E906" s="3">
        <f>VLOOKUP(A906,airports!A:H,8,FALSE)</f>
        <v>-71.005179170000005</v>
      </c>
      <c r="F906" s="3">
        <f>VLOOKUP(B906,airports!A:H,7,FALSE)</f>
        <v>29.980472219999999</v>
      </c>
      <c r="G906" s="3">
        <f>VLOOKUP(B906,airports!A:H,8,FALSE)</f>
        <v>-95.339722219999999</v>
      </c>
      <c r="H906">
        <f t="shared" si="28"/>
        <v>2567.8000000000002</v>
      </c>
      <c r="I906">
        <f t="shared" si="29"/>
        <v>1595.7</v>
      </c>
    </row>
    <row r="907" spans="1:9" ht="30" x14ac:dyDescent="0.25">
      <c r="A907" s="5" t="s">
        <v>24</v>
      </c>
      <c r="B907" s="5" t="s">
        <v>535</v>
      </c>
      <c r="C907" s="5" t="s">
        <v>1262</v>
      </c>
      <c r="D907" s="3">
        <f>VLOOKUP(A907,airports!A:H,7,FALSE)</f>
        <v>42.364347500000001</v>
      </c>
      <c r="E907" s="3">
        <f>VLOOKUP(A907,airports!A:H,8,FALSE)</f>
        <v>-71.005179170000005</v>
      </c>
      <c r="F907" s="3">
        <f>VLOOKUP(B907,airports!A:H,7,FALSE)</f>
        <v>34.270611109999997</v>
      </c>
      <c r="G907" s="3">
        <f>VLOOKUP(B907,airports!A:H,8,FALSE)</f>
        <v>-77.902555559999996</v>
      </c>
      <c r="H907">
        <f t="shared" si="28"/>
        <v>1081.7</v>
      </c>
      <c r="I907">
        <f t="shared" si="29"/>
        <v>672.2</v>
      </c>
    </row>
    <row r="908" spans="1:9" ht="30" x14ac:dyDescent="0.25">
      <c r="A908" s="5" t="s">
        <v>24</v>
      </c>
      <c r="B908" s="5" t="s">
        <v>537</v>
      </c>
      <c r="C908" s="5" t="s">
        <v>1263</v>
      </c>
      <c r="D908" s="3">
        <f>VLOOKUP(A908,airports!A:H,7,FALSE)</f>
        <v>42.364347500000001</v>
      </c>
      <c r="E908" s="3">
        <f>VLOOKUP(A908,airports!A:H,8,FALSE)</f>
        <v>-71.005179170000005</v>
      </c>
      <c r="F908" s="3">
        <f>VLOOKUP(B908,airports!A:H,7,FALSE)</f>
        <v>39.717329169999999</v>
      </c>
      <c r="G908" s="3">
        <f>VLOOKUP(B908,airports!A:H,8,FALSE)</f>
        <v>-86.294384170000001</v>
      </c>
      <c r="H908">
        <f t="shared" si="28"/>
        <v>1313.7</v>
      </c>
      <c r="I908">
        <f t="shared" si="29"/>
        <v>816.3</v>
      </c>
    </row>
    <row r="909" spans="1:9" ht="30" x14ac:dyDescent="0.25">
      <c r="A909" s="5" t="s">
        <v>24</v>
      </c>
      <c r="B909" s="5" t="s">
        <v>541</v>
      </c>
      <c r="C909" s="5" t="s">
        <v>1264</v>
      </c>
      <c r="D909" s="3">
        <f>VLOOKUP(A909,airports!A:H,7,FALSE)</f>
        <v>42.364347500000001</v>
      </c>
      <c r="E909" s="3">
        <f>VLOOKUP(A909,airports!A:H,8,FALSE)</f>
        <v>-71.005179170000005</v>
      </c>
      <c r="F909" s="3">
        <f>VLOOKUP(B909,airports!A:H,7,FALSE)</f>
        <v>43.607324169999998</v>
      </c>
      <c r="G909" s="3">
        <f>VLOOKUP(B909,airports!A:H,8,FALSE)</f>
        <v>-110.7377389</v>
      </c>
      <c r="H909">
        <f t="shared" si="28"/>
        <v>3203.9</v>
      </c>
      <c r="I909">
        <f t="shared" si="29"/>
        <v>1990.9</v>
      </c>
    </row>
    <row r="910" spans="1:9" ht="30" x14ac:dyDescent="0.25">
      <c r="A910" s="5" t="s">
        <v>24</v>
      </c>
      <c r="B910" s="5" t="s">
        <v>68</v>
      </c>
      <c r="C910" s="5" t="s">
        <v>1265</v>
      </c>
      <c r="D910" s="3">
        <f>VLOOKUP(A910,airports!A:H,7,FALSE)</f>
        <v>42.364347500000001</v>
      </c>
      <c r="E910" s="3">
        <f>VLOOKUP(A910,airports!A:H,8,FALSE)</f>
        <v>-71.005179170000005</v>
      </c>
      <c r="F910" s="3">
        <f>VLOOKUP(B910,airports!A:H,7,FALSE)</f>
        <v>30.49405556</v>
      </c>
      <c r="G910" s="3">
        <f>VLOOKUP(B910,airports!A:H,8,FALSE)</f>
        <v>-81.68786111</v>
      </c>
      <c r="H910">
        <f t="shared" si="28"/>
        <v>1626.7</v>
      </c>
      <c r="I910">
        <f t="shared" si="29"/>
        <v>1010.8</v>
      </c>
    </row>
    <row r="911" spans="1:9" x14ac:dyDescent="0.25">
      <c r="A911" s="5" t="s">
        <v>24</v>
      </c>
      <c r="B911" s="5" t="s">
        <v>69</v>
      </c>
      <c r="C911" s="5" t="s">
        <v>1266</v>
      </c>
      <c r="D911" s="3">
        <f>VLOOKUP(A911,airports!A:H,7,FALSE)</f>
        <v>42.364347500000001</v>
      </c>
      <c r="E911" s="3">
        <f>VLOOKUP(A911,airports!A:H,8,FALSE)</f>
        <v>-71.005179170000005</v>
      </c>
      <c r="F911" s="3">
        <f>VLOOKUP(B911,airports!A:H,7,FALSE)</f>
        <v>40.639751109999999</v>
      </c>
      <c r="G911" s="3">
        <f>VLOOKUP(B911,airports!A:H,8,FALSE)</f>
        <v>-73.778925560000005</v>
      </c>
      <c r="H911">
        <f t="shared" si="28"/>
        <v>300.2</v>
      </c>
      <c r="I911">
        <f t="shared" si="29"/>
        <v>186.5</v>
      </c>
    </row>
    <row r="912" spans="1:9" ht="30" x14ac:dyDescent="0.25">
      <c r="A912" s="5" t="s">
        <v>24</v>
      </c>
      <c r="B912" s="5" t="s">
        <v>71</v>
      </c>
      <c r="C912" s="5" t="s">
        <v>1267</v>
      </c>
      <c r="D912" s="3">
        <f>VLOOKUP(A912,airports!A:H,7,FALSE)</f>
        <v>42.364347500000001</v>
      </c>
      <c r="E912" s="3">
        <f>VLOOKUP(A912,airports!A:H,8,FALSE)</f>
        <v>-71.005179170000005</v>
      </c>
      <c r="F912" s="3">
        <f>VLOOKUP(B912,airports!A:H,7,FALSE)</f>
        <v>36.080361109999998</v>
      </c>
      <c r="G912" s="3">
        <f>VLOOKUP(B912,airports!A:H,8,FALSE)</f>
        <v>-115.1523333</v>
      </c>
      <c r="H912">
        <f t="shared" si="28"/>
        <v>3822.7</v>
      </c>
      <c r="I912">
        <f t="shared" si="29"/>
        <v>2375.5</v>
      </c>
    </row>
    <row r="913" spans="1:9" ht="30" x14ac:dyDescent="0.25">
      <c r="A913" s="5" t="s">
        <v>24</v>
      </c>
      <c r="B913" s="5" t="s">
        <v>73</v>
      </c>
      <c r="C913" s="5" t="s">
        <v>1268</v>
      </c>
      <c r="D913" s="3">
        <f>VLOOKUP(A913,airports!A:H,7,FALSE)</f>
        <v>42.364347500000001</v>
      </c>
      <c r="E913" s="3">
        <f>VLOOKUP(A913,airports!A:H,8,FALSE)</f>
        <v>-71.005179170000005</v>
      </c>
      <c r="F913" s="3">
        <f>VLOOKUP(B913,airports!A:H,7,FALSE)</f>
        <v>33.942536109999999</v>
      </c>
      <c r="G913" s="3">
        <f>VLOOKUP(B913,airports!A:H,8,FALSE)</f>
        <v>-118.4080744</v>
      </c>
      <c r="H913">
        <f t="shared" si="28"/>
        <v>4193</v>
      </c>
      <c r="I913">
        <f t="shared" si="29"/>
        <v>2605.6</v>
      </c>
    </row>
    <row r="914" spans="1:9" ht="30" x14ac:dyDescent="0.25">
      <c r="A914" s="5" t="s">
        <v>24</v>
      </c>
      <c r="B914" s="5" t="s">
        <v>74</v>
      </c>
      <c r="C914" s="5" t="s">
        <v>1269</v>
      </c>
      <c r="D914" s="3">
        <f>VLOOKUP(A914,airports!A:H,7,FALSE)</f>
        <v>42.364347500000001</v>
      </c>
      <c r="E914" s="3">
        <f>VLOOKUP(A914,airports!A:H,8,FALSE)</f>
        <v>-71.005179170000005</v>
      </c>
      <c r="F914" s="3">
        <f>VLOOKUP(B914,airports!A:H,7,FALSE)</f>
        <v>40.777243060000004</v>
      </c>
      <c r="G914" s="3">
        <f>VLOOKUP(B914,airports!A:H,8,FALSE)</f>
        <v>-73.872609170000004</v>
      </c>
      <c r="H914">
        <f t="shared" si="28"/>
        <v>296.7</v>
      </c>
      <c r="I914">
        <f t="shared" si="29"/>
        <v>184.4</v>
      </c>
    </row>
    <row r="915" spans="1:9" ht="30" x14ac:dyDescent="0.25">
      <c r="A915" s="5" t="s">
        <v>24</v>
      </c>
      <c r="B915" s="5" t="s">
        <v>742</v>
      </c>
      <c r="C915" s="5" t="s">
        <v>1270</v>
      </c>
      <c r="D915" s="3">
        <f>VLOOKUP(A915,airports!A:H,7,FALSE)</f>
        <v>42.364347500000001</v>
      </c>
      <c r="E915" s="3">
        <f>VLOOKUP(A915,airports!A:H,8,FALSE)</f>
        <v>-71.005179170000005</v>
      </c>
      <c r="F915" s="3">
        <f>VLOOKUP(B915,airports!A:H,7,FALSE)</f>
        <v>33.81772222</v>
      </c>
      <c r="G915" s="3">
        <f>VLOOKUP(B915,airports!A:H,8,FALSE)</f>
        <v>-118.1516111</v>
      </c>
      <c r="H915">
        <f t="shared" si="28"/>
        <v>4178.3999999999996</v>
      </c>
      <c r="I915">
        <f t="shared" si="29"/>
        <v>2596.5</v>
      </c>
    </row>
    <row r="916" spans="1:9" ht="30" x14ac:dyDescent="0.25">
      <c r="A916" s="5" t="s">
        <v>24</v>
      </c>
      <c r="B916" s="5" t="s">
        <v>80</v>
      </c>
      <c r="C916" s="5" t="s">
        <v>1271</v>
      </c>
      <c r="D916" s="3">
        <f>VLOOKUP(A916,airports!A:H,7,FALSE)</f>
        <v>42.364347500000001</v>
      </c>
      <c r="E916" s="3">
        <f>VLOOKUP(A916,airports!A:H,8,FALSE)</f>
        <v>-71.005179170000005</v>
      </c>
      <c r="F916" s="3">
        <f>VLOOKUP(B916,airports!A:H,7,FALSE)</f>
        <v>39.297605279999999</v>
      </c>
      <c r="G916" s="3">
        <f>VLOOKUP(B916,airports!A:H,8,FALSE)</f>
        <v>-94.713905560000001</v>
      </c>
      <c r="H916">
        <f t="shared" si="28"/>
        <v>2016.9</v>
      </c>
      <c r="I916">
        <f t="shared" si="29"/>
        <v>1253.3</v>
      </c>
    </row>
    <row r="917" spans="1:9" ht="30" x14ac:dyDescent="0.25">
      <c r="A917" s="5" t="s">
        <v>24</v>
      </c>
      <c r="B917" s="5" t="s">
        <v>82</v>
      </c>
      <c r="C917" s="5" t="s">
        <v>1272</v>
      </c>
      <c r="D917" s="3">
        <f>VLOOKUP(A917,airports!A:H,7,FALSE)</f>
        <v>42.364347500000001</v>
      </c>
      <c r="E917" s="3">
        <f>VLOOKUP(A917,airports!A:H,8,FALSE)</f>
        <v>-71.005179170000005</v>
      </c>
      <c r="F917" s="3">
        <f>VLOOKUP(B917,airports!A:H,7,FALSE)</f>
        <v>28.42888889</v>
      </c>
      <c r="G917" s="3">
        <f>VLOOKUP(B917,airports!A:H,8,FALSE)</f>
        <v>-81.316027779999999</v>
      </c>
      <c r="H917">
        <f t="shared" si="28"/>
        <v>1806.4</v>
      </c>
      <c r="I917">
        <f t="shared" si="29"/>
        <v>1122.5</v>
      </c>
    </row>
    <row r="918" spans="1:9" ht="30" x14ac:dyDescent="0.25">
      <c r="A918" s="5" t="s">
        <v>24</v>
      </c>
      <c r="B918" s="5" t="s">
        <v>178</v>
      </c>
      <c r="C918" s="5" t="s">
        <v>1273</v>
      </c>
      <c r="D918" s="3">
        <f>VLOOKUP(A918,airports!A:H,7,FALSE)</f>
        <v>42.364347500000001</v>
      </c>
      <c r="E918" s="3">
        <f>VLOOKUP(A918,airports!A:H,8,FALSE)</f>
        <v>-71.005179170000005</v>
      </c>
      <c r="F918" s="3">
        <f>VLOOKUP(B918,airports!A:H,7,FALSE)</f>
        <v>40.19349528</v>
      </c>
      <c r="G918" s="3">
        <f>VLOOKUP(B918,airports!A:H,8,FALSE)</f>
        <v>-76.763403609999997</v>
      </c>
      <c r="H918">
        <f t="shared" si="28"/>
        <v>538.20000000000005</v>
      </c>
      <c r="I918">
        <f t="shared" si="29"/>
        <v>334.4</v>
      </c>
    </row>
    <row r="919" spans="1:9" ht="30" x14ac:dyDescent="0.25">
      <c r="A919" s="5" t="s">
        <v>24</v>
      </c>
      <c r="B919" s="5" t="s">
        <v>180</v>
      </c>
      <c r="C919" s="5" t="s">
        <v>1274</v>
      </c>
      <c r="D919" s="3">
        <f>VLOOKUP(A919,airports!A:H,7,FALSE)</f>
        <v>42.364347500000001</v>
      </c>
      <c r="E919" s="3">
        <f>VLOOKUP(A919,airports!A:H,8,FALSE)</f>
        <v>-71.005179170000005</v>
      </c>
      <c r="F919" s="3">
        <f>VLOOKUP(B919,airports!A:H,7,FALSE)</f>
        <v>41.785982500000003</v>
      </c>
      <c r="G919" s="3">
        <f>VLOOKUP(B919,airports!A:H,8,FALSE)</f>
        <v>-87.752424439999999</v>
      </c>
      <c r="H919">
        <f t="shared" si="28"/>
        <v>1381.5</v>
      </c>
      <c r="I919">
        <f t="shared" si="29"/>
        <v>858.5</v>
      </c>
    </row>
    <row r="920" spans="1:9" ht="30" x14ac:dyDescent="0.25">
      <c r="A920" s="5" t="s">
        <v>24</v>
      </c>
      <c r="B920" s="5" t="s">
        <v>563</v>
      </c>
      <c r="C920" s="5" t="s">
        <v>1275</v>
      </c>
      <c r="D920" s="3">
        <f>VLOOKUP(A920,airports!A:H,7,FALSE)</f>
        <v>42.364347500000001</v>
      </c>
      <c r="E920" s="3">
        <f>VLOOKUP(A920,airports!A:H,8,FALSE)</f>
        <v>-71.005179170000005</v>
      </c>
      <c r="F920" s="3">
        <f>VLOOKUP(B920,airports!A:H,7,FALSE)</f>
        <v>35.042416670000001</v>
      </c>
      <c r="G920" s="3">
        <f>VLOOKUP(B920,airports!A:H,8,FALSE)</f>
        <v>-89.97666667</v>
      </c>
      <c r="H920">
        <f t="shared" si="28"/>
        <v>1831</v>
      </c>
      <c r="I920">
        <f t="shared" si="29"/>
        <v>1137.8</v>
      </c>
    </row>
    <row r="921" spans="1:9" ht="30" x14ac:dyDescent="0.25">
      <c r="A921" s="5" t="s">
        <v>24</v>
      </c>
      <c r="B921" s="5" t="s">
        <v>84</v>
      </c>
      <c r="C921" s="5" t="s">
        <v>1276</v>
      </c>
      <c r="D921" s="3">
        <f>VLOOKUP(A921,airports!A:H,7,FALSE)</f>
        <v>42.364347500000001</v>
      </c>
      <c r="E921" s="3">
        <f>VLOOKUP(A921,airports!A:H,8,FALSE)</f>
        <v>-71.005179170000005</v>
      </c>
      <c r="F921" s="3">
        <f>VLOOKUP(B921,airports!A:H,7,FALSE)</f>
        <v>25.79325</v>
      </c>
      <c r="G921" s="3">
        <f>VLOOKUP(B921,airports!A:H,8,FALSE)</f>
        <v>-80.290555560000001</v>
      </c>
      <c r="H921">
        <f t="shared" si="28"/>
        <v>2028.3</v>
      </c>
      <c r="I921">
        <f t="shared" si="29"/>
        <v>1260.4000000000001</v>
      </c>
    </row>
    <row r="922" spans="1:9" ht="30" x14ac:dyDescent="0.25">
      <c r="A922" s="5" t="s">
        <v>24</v>
      </c>
      <c r="B922" s="5" t="s">
        <v>85</v>
      </c>
      <c r="C922" s="5" t="s">
        <v>1277</v>
      </c>
      <c r="D922" s="3">
        <f>VLOOKUP(A922,airports!A:H,7,FALSE)</f>
        <v>42.364347500000001</v>
      </c>
      <c r="E922" s="3">
        <f>VLOOKUP(A922,airports!A:H,8,FALSE)</f>
        <v>-71.005179170000005</v>
      </c>
      <c r="F922" s="3">
        <f>VLOOKUP(B922,airports!A:H,7,FALSE)</f>
        <v>42.94722222</v>
      </c>
      <c r="G922" s="3">
        <f>VLOOKUP(B922,airports!A:H,8,FALSE)</f>
        <v>-87.896583329999999</v>
      </c>
      <c r="H922">
        <f t="shared" si="28"/>
        <v>1380.5</v>
      </c>
      <c r="I922">
        <f t="shared" si="29"/>
        <v>857.9</v>
      </c>
    </row>
    <row r="923" spans="1:9" ht="30" x14ac:dyDescent="0.25">
      <c r="A923" s="5" t="s">
        <v>24</v>
      </c>
      <c r="B923" s="5" t="s">
        <v>579</v>
      </c>
      <c r="C923" s="5" t="s">
        <v>1278</v>
      </c>
      <c r="D923" s="3">
        <f>VLOOKUP(A923,airports!A:H,7,FALSE)</f>
        <v>42.364347500000001</v>
      </c>
      <c r="E923" s="3">
        <f>VLOOKUP(A923,airports!A:H,8,FALSE)</f>
        <v>-71.005179170000005</v>
      </c>
      <c r="F923" s="3">
        <f>VLOOKUP(B923,airports!A:H,7,FALSE)</f>
        <v>43.13985778</v>
      </c>
      <c r="G923" s="3">
        <f>VLOOKUP(B923,airports!A:H,8,FALSE)</f>
        <v>-89.337513610000002</v>
      </c>
      <c r="H923">
        <f t="shared" si="28"/>
        <v>1496.3</v>
      </c>
      <c r="I923">
        <f t="shared" si="29"/>
        <v>929.8</v>
      </c>
    </row>
    <row r="924" spans="1:9" ht="30" x14ac:dyDescent="0.25">
      <c r="A924" s="5" t="s">
        <v>24</v>
      </c>
      <c r="B924" s="5" t="s">
        <v>87</v>
      </c>
      <c r="C924" s="5" t="s">
        <v>1279</v>
      </c>
      <c r="D924" s="3">
        <f>VLOOKUP(A924,airports!A:H,7,FALSE)</f>
        <v>42.364347500000001</v>
      </c>
      <c r="E924" s="3">
        <f>VLOOKUP(A924,airports!A:H,8,FALSE)</f>
        <v>-71.005179170000005</v>
      </c>
      <c r="F924" s="3">
        <f>VLOOKUP(B924,airports!A:H,7,FALSE)</f>
        <v>44.880546940000002</v>
      </c>
      <c r="G924" s="3">
        <f>VLOOKUP(B924,airports!A:H,8,FALSE)</f>
        <v>-93.216922499999995</v>
      </c>
      <c r="H924">
        <f t="shared" si="28"/>
        <v>1803.8</v>
      </c>
      <c r="I924">
        <f t="shared" si="29"/>
        <v>1120.9000000000001</v>
      </c>
    </row>
    <row r="925" spans="1:9" ht="30" x14ac:dyDescent="0.25">
      <c r="A925" s="5" t="s">
        <v>24</v>
      </c>
      <c r="B925" s="5" t="s">
        <v>89</v>
      </c>
      <c r="C925" s="5" t="s">
        <v>1280</v>
      </c>
      <c r="D925" s="3">
        <f>VLOOKUP(A925,airports!A:H,7,FALSE)</f>
        <v>42.364347500000001</v>
      </c>
      <c r="E925" s="3">
        <f>VLOOKUP(A925,airports!A:H,8,FALSE)</f>
        <v>-71.005179170000005</v>
      </c>
      <c r="F925" s="3">
        <f>VLOOKUP(B925,airports!A:H,7,FALSE)</f>
        <v>29.993388889999999</v>
      </c>
      <c r="G925" s="3">
        <f>VLOOKUP(B925,airports!A:H,8,FALSE)</f>
        <v>-90.258027780000006</v>
      </c>
      <c r="H925">
        <f t="shared" si="28"/>
        <v>2199.6</v>
      </c>
      <c r="I925">
        <f t="shared" si="29"/>
        <v>1366.8</v>
      </c>
    </row>
    <row r="926" spans="1:9" ht="30" x14ac:dyDescent="0.25">
      <c r="A926" s="5" t="s">
        <v>24</v>
      </c>
      <c r="B926" s="5" t="s">
        <v>91</v>
      </c>
      <c r="C926" s="5" t="s">
        <v>1281</v>
      </c>
      <c r="D926" s="3">
        <f>VLOOKUP(A926,airports!A:H,7,FALSE)</f>
        <v>42.364347500000001</v>
      </c>
      <c r="E926" s="3">
        <f>VLOOKUP(A926,airports!A:H,8,FALSE)</f>
        <v>-71.005179170000005</v>
      </c>
      <c r="F926" s="3">
        <f>VLOOKUP(B926,airports!A:H,7,FALSE)</f>
        <v>38.508867219999999</v>
      </c>
      <c r="G926" s="3">
        <f>VLOOKUP(B926,airports!A:H,8,FALSE)</f>
        <v>-107.8938333</v>
      </c>
      <c r="H926">
        <f t="shared" si="28"/>
        <v>3126.5</v>
      </c>
      <c r="I926">
        <f t="shared" si="29"/>
        <v>1942.8</v>
      </c>
    </row>
    <row r="927" spans="1:9" ht="30" x14ac:dyDescent="0.25">
      <c r="A927" s="5" t="s">
        <v>24</v>
      </c>
      <c r="B927" s="5" t="s">
        <v>92</v>
      </c>
      <c r="C927" s="5" t="s">
        <v>1282</v>
      </c>
      <c r="D927" s="3">
        <f>VLOOKUP(A927,airports!A:H,7,FALSE)</f>
        <v>42.364347500000001</v>
      </c>
      <c r="E927" s="3">
        <f>VLOOKUP(A927,airports!A:H,8,FALSE)</f>
        <v>-71.005179170000005</v>
      </c>
      <c r="F927" s="3">
        <f>VLOOKUP(B927,airports!A:H,7,FALSE)</f>
        <v>41.393025829999999</v>
      </c>
      <c r="G927" s="3">
        <f>VLOOKUP(B927,airports!A:H,8,FALSE)</f>
        <v>-70.614332500000003</v>
      </c>
      <c r="H927">
        <f t="shared" si="28"/>
        <v>112.7</v>
      </c>
      <c r="I927">
        <f t="shared" si="29"/>
        <v>70.099999999999994</v>
      </c>
    </row>
    <row r="928" spans="1:9" ht="30" x14ac:dyDescent="0.25">
      <c r="A928" s="5" t="s">
        <v>24</v>
      </c>
      <c r="B928" s="5" t="s">
        <v>182</v>
      </c>
      <c r="C928" s="5" t="s">
        <v>1283</v>
      </c>
      <c r="D928" s="3">
        <f>VLOOKUP(A928,airports!A:H,7,FALSE)</f>
        <v>42.364347500000001</v>
      </c>
      <c r="E928" s="3">
        <f>VLOOKUP(A928,airports!A:H,8,FALSE)</f>
        <v>-71.005179170000005</v>
      </c>
      <c r="F928" s="3">
        <f>VLOOKUP(B928,airports!A:H,7,FALSE)</f>
        <v>33.679749999999999</v>
      </c>
      <c r="G928" s="3">
        <f>VLOOKUP(B928,airports!A:H,8,FALSE)</f>
        <v>-78.928333330000001</v>
      </c>
      <c r="H928">
        <f t="shared" si="28"/>
        <v>1188</v>
      </c>
      <c r="I928">
        <f t="shared" si="29"/>
        <v>738.2</v>
      </c>
    </row>
    <row r="929" spans="1:9" ht="30" x14ac:dyDescent="0.25">
      <c r="A929" s="5" t="s">
        <v>24</v>
      </c>
      <c r="B929" s="5" t="s">
        <v>215</v>
      </c>
      <c r="C929" s="5" t="s">
        <v>1284</v>
      </c>
      <c r="D929" s="3">
        <f>VLOOKUP(A929,airports!A:H,7,FALSE)</f>
        <v>42.364347500000001</v>
      </c>
      <c r="E929" s="3">
        <f>VLOOKUP(A929,airports!A:H,8,FALSE)</f>
        <v>-71.005179170000005</v>
      </c>
      <c r="F929" s="3">
        <f>VLOOKUP(B929,airports!A:H,7,FALSE)</f>
        <v>37.721290830000001</v>
      </c>
      <c r="G929" s="3">
        <f>VLOOKUP(B929,airports!A:H,8,FALSE)</f>
        <v>-122.2207167</v>
      </c>
      <c r="H929">
        <f t="shared" si="28"/>
        <v>4324.3</v>
      </c>
      <c r="I929">
        <f t="shared" si="29"/>
        <v>2687.1</v>
      </c>
    </row>
    <row r="930" spans="1:9" ht="30" x14ac:dyDescent="0.25">
      <c r="A930" s="5" t="s">
        <v>24</v>
      </c>
      <c r="B930" s="5" t="s">
        <v>95</v>
      </c>
      <c r="C930" s="5" t="s">
        <v>1285</v>
      </c>
      <c r="D930" s="3">
        <f>VLOOKUP(A930,airports!A:H,7,FALSE)</f>
        <v>42.364347500000001</v>
      </c>
      <c r="E930" s="3">
        <f>VLOOKUP(A930,airports!A:H,8,FALSE)</f>
        <v>-71.005179170000005</v>
      </c>
      <c r="F930" s="3">
        <f>VLOOKUP(B930,airports!A:H,7,FALSE)</f>
        <v>41.979595000000003</v>
      </c>
      <c r="G930" s="3">
        <f>VLOOKUP(B930,airports!A:H,8,FALSE)</f>
        <v>-87.904464169999997</v>
      </c>
      <c r="H930">
        <f t="shared" si="28"/>
        <v>1391</v>
      </c>
      <c r="I930">
        <f t="shared" si="29"/>
        <v>864.4</v>
      </c>
    </row>
    <row r="931" spans="1:9" ht="30" x14ac:dyDescent="0.25">
      <c r="A931" s="5" t="s">
        <v>24</v>
      </c>
      <c r="B931" s="5" t="s">
        <v>596</v>
      </c>
      <c r="C931" s="5" t="s">
        <v>1286</v>
      </c>
      <c r="D931" s="3">
        <f>VLOOKUP(A931,airports!A:H,7,FALSE)</f>
        <v>42.364347500000001</v>
      </c>
      <c r="E931" s="3">
        <f>VLOOKUP(A931,airports!A:H,8,FALSE)</f>
        <v>-71.005179170000005</v>
      </c>
      <c r="F931" s="3">
        <f>VLOOKUP(B931,airports!A:H,7,FALSE)</f>
        <v>36.89461111</v>
      </c>
      <c r="G931" s="3">
        <f>VLOOKUP(B931,airports!A:H,8,FALSE)</f>
        <v>-76.201222220000005</v>
      </c>
      <c r="H931">
        <f t="shared" si="28"/>
        <v>753.3</v>
      </c>
      <c r="I931">
        <f t="shared" si="29"/>
        <v>468.1</v>
      </c>
    </row>
    <row r="932" spans="1:9" x14ac:dyDescent="0.25">
      <c r="A932" s="5" t="s">
        <v>24</v>
      </c>
      <c r="B932" s="5" t="s">
        <v>99</v>
      </c>
      <c r="C932" s="5" t="s">
        <v>1287</v>
      </c>
      <c r="D932" s="3">
        <f>VLOOKUP(A932,airports!A:H,7,FALSE)</f>
        <v>42.364347500000001</v>
      </c>
      <c r="E932" s="3">
        <f>VLOOKUP(A932,airports!A:H,8,FALSE)</f>
        <v>-71.005179170000005</v>
      </c>
      <c r="F932" s="3">
        <f>VLOOKUP(B932,airports!A:H,7,FALSE)</f>
        <v>26.683161940000002</v>
      </c>
      <c r="G932" s="3">
        <f>VLOOKUP(B932,airports!A:H,8,FALSE)</f>
        <v>-80.095594169999998</v>
      </c>
      <c r="H932">
        <f t="shared" si="28"/>
        <v>1929.5</v>
      </c>
      <c r="I932">
        <f t="shared" si="29"/>
        <v>1199</v>
      </c>
    </row>
    <row r="933" spans="1:9" ht="30" x14ac:dyDescent="0.25">
      <c r="A933" s="5" t="s">
        <v>24</v>
      </c>
      <c r="B933" s="5" t="s">
        <v>100</v>
      </c>
      <c r="C933" s="5" t="s">
        <v>1288</v>
      </c>
      <c r="D933" s="3">
        <f>VLOOKUP(A933,airports!A:H,7,FALSE)</f>
        <v>42.364347500000001</v>
      </c>
      <c r="E933" s="3">
        <f>VLOOKUP(A933,airports!A:H,8,FALSE)</f>
        <v>-71.005179170000005</v>
      </c>
      <c r="F933" s="3">
        <f>VLOOKUP(B933,airports!A:H,7,FALSE)</f>
        <v>45.588722220000001</v>
      </c>
      <c r="G933" s="3">
        <f>VLOOKUP(B933,airports!A:H,8,FALSE)</f>
        <v>-122.5975</v>
      </c>
      <c r="H933">
        <f t="shared" si="28"/>
        <v>4072.3</v>
      </c>
      <c r="I933">
        <f t="shared" si="29"/>
        <v>2530.6</v>
      </c>
    </row>
    <row r="934" spans="1:9" ht="30" x14ac:dyDescent="0.25">
      <c r="A934" s="5" t="s">
        <v>24</v>
      </c>
      <c r="B934" s="5" t="s">
        <v>102</v>
      </c>
      <c r="C934" s="5" t="s">
        <v>1289</v>
      </c>
      <c r="D934" s="3">
        <f>VLOOKUP(A934,airports!A:H,7,FALSE)</f>
        <v>42.364347500000001</v>
      </c>
      <c r="E934" s="3">
        <f>VLOOKUP(A934,airports!A:H,8,FALSE)</f>
        <v>-71.005179170000005</v>
      </c>
      <c r="F934" s="3">
        <f>VLOOKUP(B934,airports!A:H,7,FALSE)</f>
        <v>39.871952780000001</v>
      </c>
      <c r="G934" s="3">
        <f>VLOOKUP(B934,airports!A:H,8,FALSE)</f>
        <v>-75.241140830000006</v>
      </c>
      <c r="H934">
        <f t="shared" si="28"/>
        <v>450.1</v>
      </c>
      <c r="I934">
        <f t="shared" si="29"/>
        <v>279.7</v>
      </c>
    </row>
    <row r="935" spans="1:9" ht="30" x14ac:dyDescent="0.25">
      <c r="A935" s="5" t="s">
        <v>24</v>
      </c>
      <c r="B935" s="5" t="s">
        <v>104</v>
      </c>
      <c r="C935" s="5" t="s">
        <v>1290</v>
      </c>
      <c r="D935" s="3">
        <f>VLOOKUP(A935,airports!A:H,7,FALSE)</f>
        <v>42.364347500000001</v>
      </c>
      <c r="E935" s="3">
        <f>VLOOKUP(A935,airports!A:H,8,FALSE)</f>
        <v>-71.005179170000005</v>
      </c>
      <c r="F935" s="3">
        <f>VLOOKUP(B935,airports!A:H,7,FALSE)</f>
        <v>33.434166670000003</v>
      </c>
      <c r="G935" s="3">
        <f>VLOOKUP(B935,airports!A:H,8,FALSE)</f>
        <v>-112.00805560000001</v>
      </c>
      <c r="H935">
        <f t="shared" si="28"/>
        <v>3693.5</v>
      </c>
      <c r="I935">
        <f t="shared" si="29"/>
        <v>2295.1999999999998</v>
      </c>
    </row>
    <row r="936" spans="1:9" x14ac:dyDescent="0.25">
      <c r="A936" s="5" t="s">
        <v>24</v>
      </c>
      <c r="B936" s="5" t="s">
        <v>106</v>
      </c>
      <c r="C936" s="5" t="s">
        <v>1291</v>
      </c>
      <c r="D936" s="3">
        <f>VLOOKUP(A936,airports!A:H,7,FALSE)</f>
        <v>42.364347500000001</v>
      </c>
      <c r="E936" s="3">
        <f>VLOOKUP(A936,airports!A:H,8,FALSE)</f>
        <v>-71.005179170000005</v>
      </c>
      <c r="F936" s="3">
        <f>VLOOKUP(B936,airports!A:H,7,FALSE)</f>
        <v>40.491465830000003</v>
      </c>
      <c r="G936" s="3">
        <f>VLOOKUP(B936,airports!A:H,8,FALSE)</f>
        <v>-80.232870829999996</v>
      </c>
      <c r="H936">
        <f t="shared" si="28"/>
        <v>796.6</v>
      </c>
      <c r="I936">
        <f t="shared" si="29"/>
        <v>495</v>
      </c>
    </row>
    <row r="937" spans="1:9" ht="30" x14ac:dyDescent="0.25">
      <c r="A937" s="5" t="s">
        <v>24</v>
      </c>
      <c r="B937" s="5" t="s">
        <v>607</v>
      </c>
      <c r="C937" s="5" t="s">
        <v>1292</v>
      </c>
      <c r="D937" s="3">
        <f>VLOOKUP(A937,airports!A:H,7,FALSE)</f>
        <v>42.364347500000001</v>
      </c>
      <c r="E937" s="3">
        <f>VLOOKUP(A937,airports!A:H,8,FALSE)</f>
        <v>-71.005179170000005</v>
      </c>
      <c r="F937" s="3">
        <f>VLOOKUP(B937,airports!A:H,7,FALSE)</f>
        <v>30.47330556</v>
      </c>
      <c r="G937" s="3">
        <f>VLOOKUP(B937,airports!A:H,8,FALSE)</f>
        <v>-87.187444439999993</v>
      </c>
      <c r="H937">
        <f t="shared" si="28"/>
        <v>1954.5</v>
      </c>
      <c r="I937">
        <f t="shared" si="29"/>
        <v>1214.5</v>
      </c>
    </row>
    <row r="938" spans="1:9" ht="30" x14ac:dyDescent="0.25">
      <c r="A938" s="5" t="s">
        <v>24</v>
      </c>
      <c r="B938" s="5" t="s">
        <v>111</v>
      </c>
      <c r="C938" s="5" t="s">
        <v>1293</v>
      </c>
      <c r="D938" s="3">
        <f>VLOOKUP(A938,airports!A:H,7,FALSE)</f>
        <v>42.364347500000001</v>
      </c>
      <c r="E938" s="3">
        <f>VLOOKUP(A938,airports!A:H,8,FALSE)</f>
        <v>-71.005179170000005</v>
      </c>
      <c r="F938" s="3">
        <f>VLOOKUP(B938,airports!A:H,7,FALSE)</f>
        <v>33.829215560000002</v>
      </c>
      <c r="G938" s="3">
        <f>VLOOKUP(B938,airports!A:H,8,FALSE)</f>
        <v>-116.5062531</v>
      </c>
      <c r="H938">
        <f t="shared" si="28"/>
        <v>4042.7</v>
      </c>
      <c r="I938">
        <f t="shared" si="29"/>
        <v>2512.1999999999998</v>
      </c>
    </row>
    <row r="939" spans="1:9" ht="30" x14ac:dyDescent="0.25">
      <c r="A939" s="5" t="s">
        <v>24</v>
      </c>
      <c r="B939" s="5" t="s">
        <v>119</v>
      </c>
      <c r="C939" s="5" t="s">
        <v>1294</v>
      </c>
      <c r="D939" s="3">
        <f>VLOOKUP(A939,airports!A:H,7,FALSE)</f>
        <v>42.364347500000001</v>
      </c>
      <c r="E939" s="3">
        <f>VLOOKUP(A939,airports!A:H,8,FALSE)</f>
        <v>-71.005179170000005</v>
      </c>
      <c r="F939" s="3">
        <f>VLOOKUP(B939,airports!A:H,7,FALSE)</f>
        <v>35.87763889</v>
      </c>
      <c r="G939" s="3">
        <f>VLOOKUP(B939,airports!A:H,8,FALSE)</f>
        <v>-78.787472219999998</v>
      </c>
      <c r="H939">
        <f t="shared" si="28"/>
        <v>984.5</v>
      </c>
      <c r="I939">
        <f t="shared" si="29"/>
        <v>611.79999999999995</v>
      </c>
    </row>
    <row r="940" spans="1:9" x14ac:dyDescent="0.25">
      <c r="A940" s="5" t="s">
        <v>24</v>
      </c>
      <c r="B940" s="5" t="s">
        <v>120</v>
      </c>
      <c r="C940" s="5" t="s">
        <v>1295</v>
      </c>
      <c r="D940" s="3">
        <f>VLOOKUP(A940,airports!A:H,7,FALSE)</f>
        <v>42.364347500000001</v>
      </c>
      <c r="E940" s="3">
        <f>VLOOKUP(A940,airports!A:H,8,FALSE)</f>
        <v>-71.005179170000005</v>
      </c>
      <c r="F940" s="3">
        <f>VLOOKUP(B940,airports!A:H,7,FALSE)</f>
        <v>37.505166670000001</v>
      </c>
      <c r="G940" s="3">
        <f>VLOOKUP(B940,airports!A:H,8,FALSE)</f>
        <v>-77.319666670000004</v>
      </c>
      <c r="H940">
        <f t="shared" si="28"/>
        <v>762.3</v>
      </c>
      <c r="I940">
        <f t="shared" si="29"/>
        <v>473.7</v>
      </c>
    </row>
    <row r="941" spans="1:9" ht="30" x14ac:dyDescent="0.25">
      <c r="A941" s="5" t="s">
        <v>24</v>
      </c>
      <c r="B941" s="5" t="s">
        <v>122</v>
      </c>
      <c r="C941" s="5" t="s">
        <v>1296</v>
      </c>
      <c r="D941" s="3">
        <f>VLOOKUP(A941,airports!A:H,7,FALSE)</f>
        <v>42.364347500000001</v>
      </c>
      <c r="E941" s="3">
        <f>VLOOKUP(A941,airports!A:H,8,FALSE)</f>
        <v>-71.005179170000005</v>
      </c>
      <c r="F941" s="3">
        <f>VLOOKUP(B941,airports!A:H,7,FALSE)</f>
        <v>43.118866109999999</v>
      </c>
      <c r="G941" s="3">
        <f>VLOOKUP(B941,airports!A:H,8,FALSE)</f>
        <v>-77.672383890000006</v>
      </c>
      <c r="H941">
        <f t="shared" si="28"/>
        <v>550.70000000000005</v>
      </c>
      <c r="I941">
        <f t="shared" si="29"/>
        <v>342.2</v>
      </c>
    </row>
    <row r="942" spans="1:9" ht="30" x14ac:dyDescent="0.25">
      <c r="A942" s="5" t="s">
        <v>24</v>
      </c>
      <c r="B942" s="5" t="s">
        <v>123</v>
      </c>
      <c r="C942" s="5" t="s">
        <v>1297</v>
      </c>
      <c r="D942" s="3">
        <f>VLOOKUP(A942,airports!A:H,7,FALSE)</f>
        <v>42.364347500000001</v>
      </c>
      <c r="E942" s="3">
        <f>VLOOKUP(A942,airports!A:H,8,FALSE)</f>
        <v>-71.005179170000005</v>
      </c>
      <c r="F942" s="3">
        <f>VLOOKUP(B942,airports!A:H,7,FALSE)</f>
        <v>26.53616667</v>
      </c>
      <c r="G942" s="3">
        <f>VLOOKUP(B942,airports!A:H,8,FALSE)</f>
        <v>-81.755166669999994</v>
      </c>
      <c r="H942">
        <f t="shared" si="28"/>
        <v>2013.3</v>
      </c>
      <c r="I942">
        <f t="shared" si="29"/>
        <v>1251.0999999999999</v>
      </c>
    </row>
    <row r="943" spans="1:9" ht="30" x14ac:dyDescent="0.25">
      <c r="A943" s="5" t="s">
        <v>24</v>
      </c>
      <c r="B943" s="5" t="s">
        <v>124</v>
      </c>
      <c r="C943" s="5" t="s">
        <v>1298</v>
      </c>
      <c r="D943" s="3">
        <f>VLOOKUP(A943,airports!A:H,7,FALSE)</f>
        <v>42.364347500000001</v>
      </c>
      <c r="E943" s="3">
        <f>VLOOKUP(A943,airports!A:H,8,FALSE)</f>
        <v>-71.005179170000005</v>
      </c>
      <c r="F943" s="3">
        <f>VLOOKUP(B943,airports!A:H,7,FALSE)</f>
        <v>32.733556110000002</v>
      </c>
      <c r="G943" s="3">
        <f>VLOOKUP(B943,airports!A:H,8,FALSE)</f>
        <v>-117.1896567</v>
      </c>
      <c r="H943">
        <f t="shared" si="28"/>
        <v>4155.8999999999996</v>
      </c>
      <c r="I943">
        <f t="shared" si="29"/>
        <v>2582.5</v>
      </c>
    </row>
    <row r="944" spans="1:9" ht="30" x14ac:dyDescent="0.25">
      <c r="A944" s="5" t="s">
        <v>24</v>
      </c>
      <c r="B944" s="5" t="s">
        <v>125</v>
      </c>
      <c r="C944" s="5" t="s">
        <v>1299</v>
      </c>
      <c r="D944" s="3">
        <f>VLOOKUP(A944,airports!A:H,7,FALSE)</f>
        <v>42.364347500000001</v>
      </c>
      <c r="E944" s="3">
        <f>VLOOKUP(A944,airports!A:H,8,FALSE)</f>
        <v>-71.005179170000005</v>
      </c>
      <c r="F944" s="3">
        <f>VLOOKUP(B944,airports!A:H,7,FALSE)</f>
        <v>29.533694440000001</v>
      </c>
      <c r="G944" s="3">
        <f>VLOOKUP(B944,airports!A:H,8,FALSE)</f>
        <v>-98.469777780000001</v>
      </c>
      <c r="H944">
        <f t="shared" si="28"/>
        <v>2835.6</v>
      </c>
      <c r="I944">
        <f t="shared" si="29"/>
        <v>1762.1</v>
      </c>
    </row>
    <row r="945" spans="1:9" ht="30" x14ac:dyDescent="0.25">
      <c r="A945" s="5" t="s">
        <v>24</v>
      </c>
      <c r="B945" s="5" t="s">
        <v>126</v>
      </c>
      <c r="C945" s="5" t="s">
        <v>1300</v>
      </c>
      <c r="D945" s="3">
        <f>VLOOKUP(A945,airports!A:H,7,FALSE)</f>
        <v>42.364347500000001</v>
      </c>
      <c r="E945" s="3">
        <f>VLOOKUP(A945,airports!A:H,8,FALSE)</f>
        <v>-71.005179170000005</v>
      </c>
      <c r="F945" s="3">
        <f>VLOOKUP(B945,airports!A:H,7,FALSE)</f>
        <v>32.12758333</v>
      </c>
      <c r="G945" s="3">
        <f>VLOOKUP(B945,airports!A:H,8,FALSE)</f>
        <v>-81.202138890000001</v>
      </c>
      <c r="H945">
        <f t="shared" si="28"/>
        <v>1450.4</v>
      </c>
      <c r="I945">
        <f t="shared" si="29"/>
        <v>901.3</v>
      </c>
    </row>
    <row r="946" spans="1:9" ht="30" x14ac:dyDescent="0.25">
      <c r="A946" s="5" t="s">
        <v>24</v>
      </c>
      <c r="B946" s="5" t="s">
        <v>626</v>
      </c>
      <c r="C946" s="5" t="s">
        <v>1301</v>
      </c>
      <c r="D946" s="3">
        <f>VLOOKUP(A946,airports!A:H,7,FALSE)</f>
        <v>42.364347500000001</v>
      </c>
      <c r="E946" s="3">
        <f>VLOOKUP(A946,airports!A:H,8,FALSE)</f>
        <v>-71.005179170000005</v>
      </c>
      <c r="F946" s="3">
        <f>VLOOKUP(B946,airports!A:H,7,FALSE)</f>
        <v>41.708953610000002</v>
      </c>
      <c r="G946" s="3">
        <f>VLOOKUP(B946,airports!A:H,8,FALSE)</f>
        <v>-86.318474170000002</v>
      </c>
      <c r="H946">
        <f t="shared" si="28"/>
        <v>1265.0999999999999</v>
      </c>
      <c r="I946">
        <f t="shared" si="29"/>
        <v>786.1</v>
      </c>
    </row>
    <row r="947" spans="1:9" ht="30" x14ac:dyDescent="0.25">
      <c r="A947" s="5" t="s">
        <v>24</v>
      </c>
      <c r="B947" s="5" t="s">
        <v>630</v>
      </c>
      <c r="C947" s="5" t="s">
        <v>1302</v>
      </c>
      <c r="D947" s="3">
        <f>VLOOKUP(A947,airports!A:H,7,FALSE)</f>
        <v>42.364347500000001</v>
      </c>
      <c r="E947" s="3">
        <f>VLOOKUP(A947,airports!A:H,8,FALSE)</f>
        <v>-71.005179170000005</v>
      </c>
      <c r="F947" s="3">
        <f>VLOOKUP(B947,airports!A:H,7,FALSE)</f>
        <v>38.174388890000003</v>
      </c>
      <c r="G947" s="3">
        <f>VLOOKUP(B947,airports!A:H,8,FALSE)</f>
        <v>-85.736000000000004</v>
      </c>
      <c r="H947">
        <f t="shared" si="28"/>
        <v>1331.7</v>
      </c>
      <c r="I947">
        <f t="shared" si="29"/>
        <v>827.5</v>
      </c>
    </row>
    <row r="948" spans="1:9" ht="30" x14ac:dyDescent="0.25">
      <c r="A948" s="5" t="s">
        <v>24</v>
      </c>
      <c r="B948" s="5" t="s">
        <v>128</v>
      </c>
      <c r="C948" s="5" t="s">
        <v>1303</v>
      </c>
      <c r="D948" s="3">
        <f>VLOOKUP(A948,airports!A:H,7,FALSE)</f>
        <v>42.364347500000001</v>
      </c>
      <c r="E948" s="3">
        <f>VLOOKUP(A948,airports!A:H,8,FALSE)</f>
        <v>-71.005179170000005</v>
      </c>
      <c r="F948" s="3">
        <f>VLOOKUP(B948,airports!A:H,7,FALSE)</f>
        <v>47.448981940000003</v>
      </c>
      <c r="G948" s="3">
        <f>VLOOKUP(B948,airports!A:H,8,FALSE)</f>
        <v>-122.3093131</v>
      </c>
      <c r="H948">
        <f t="shared" si="28"/>
        <v>4005.5</v>
      </c>
      <c r="I948">
        <f t="shared" si="29"/>
        <v>2489.1</v>
      </c>
    </row>
    <row r="949" spans="1:9" ht="30" x14ac:dyDescent="0.25">
      <c r="A949" s="5" t="s">
        <v>24</v>
      </c>
      <c r="B949" s="5" t="s">
        <v>130</v>
      </c>
      <c r="C949" s="5" t="s">
        <v>1304</v>
      </c>
      <c r="D949" s="3">
        <f>VLOOKUP(A949,airports!A:H,7,FALSE)</f>
        <v>42.364347500000001</v>
      </c>
      <c r="E949" s="3">
        <f>VLOOKUP(A949,airports!A:H,8,FALSE)</f>
        <v>-71.005179170000005</v>
      </c>
      <c r="F949" s="3">
        <f>VLOOKUP(B949,airports!A:H,7,FALSE)</f>
        <v>37.619001939999997</v>
      </c>
      <c r="G949" s="3">
        <f>VLOOKUP(B949,airports!A:H,8,FALSE)</f>
        <v>-122.37484329999999</v>
      </c>
      <c r="H949">
        <f t="shared" si="28"/>
        <v>4341.2</v>
      </c>
      <c r="I949">
        <f t="shared" si="29"/>
        <v>2697.7</v>
      </c>
    </row>
    <row r="950" spans="1:9" x14ac:dyDescent="0.25">
      <c r="A950" s="5" t="s">
        <v>24</v>
      </c>
      <c r="B950" s="5" t="s">
        <v>131</v>
      </c>
      <c r="C950" s="5" t="s">
        <v>1305</v>
      </c>
      <c r="D950" s="3">
        <f>VLOOKUP(A950,airports!A:H,7,FALSE)</f>
        <v>42.364347500000001</v>
      </c>
      <c r="E950" s="3">
        <f>VLOOKUP(A950,airports!A:H,8,FALSE)</f>
        <v>-71.005179170000005</v>
      </c>
      <c r="F950" s="3">
        <f>VLOOKUP(B950,airports!A:H,7,FALSE)</f>
        <v>37.361861939999997</v>
      </c>
      <c r="G950" s="3">
        <f>VLOOKUP(B950,airports!A:H,8,FALSE)</f>
        <v>-121.9290089</v>
      </c>
      <c r="H950">
        <f t="shared" si="28"/>
        <v>4316.7</v>
      </c>
      <c r="I950">
        <f t="shared" si="29"/>
        <v>2682.4</v>
      </c>
    </row>
    <row r="951" spans="1:9" x14ac:dyDescent="0.25">
      <c r="A951" s="5" t="s">
        <v>24</v>
      </c>
      <c r="B951" s="5" t="s">
        <v>134</v>
      </c>
      <c r="C951" s="5" t="s">
        <v>1306</v>
      </c>
      <c r="D951" s="3">
        <f>VLOOKUP(A951,airports!A:H,7,FALSE)</f>
        <v>42.364347500000001</v>
      </c>
      <c r="E951" s="3">
        <f>VLOOKUP(A951,airports!A:H,8,FALSE)</f>
        <v>-71.005179170000005</v>
      </c>
      <c r="F951" s="3">
        <f>VLOOKUP(B951,airports!A:H,7,FALSE)</f>
        <v>18.43941667</v>
      </c>
      <c r="G951" s="3">
        <f>VLOOKUP(B951,airports!A:H,8,FALSE)</f>
        <v>-66.001833329999997</v>
      </c>
      <c r="H951">
        <f t="shared" si="28"/>
        <v>2702</v>
      </c>
      <c r="I951">
        <f t="shared" si="29"/>
        <v>1679</v>
      </c>
    </row>
    <row r="952" spans="1:9" x14ac:dyDescent="0.25">
      <c r="A952" s="5" t="s">
        <v>24</v>
      </c>
      <c r="B952" s="5" t="s">
        <v>135</v>
      </c>
      <c r="C952" s="5" t="s">
        <v>1307</v>
      </c>
      <c r="D952" s="3">
        <f>VLOOKUP(A952,airports!A:H,7,FALSE)</f>
        <v>42.364347500000001</v>
      </c>
      <c r="E952" s="3">
        <f>VLOOKUP(A952,airports!A:H,8,FALSE)</f>
        <v>-71.005179170000005</v>
      </c>
      <c r="F952" s="3">
        <f>VLOOKUP(B952,airports!A:H,7,FALSE)</f>
        <v>40.788387780000001</v>
      </c>
      <c r="G952" s="3">
        <f>VLOOKUP(B952,airports!A:H,8,FALSE)</f>
        <v>-111.97777309999999</v>
      </c>
      <c r="H952">
        <f t="shared" si="28"/>
        <v>3379.5</v>
      </c>
      <c r="I952">
        <f t="shared" si="29"/>
        <v>2100.1</v>
      </c>
    </row>
    <row r="953" spans="1:9" ht="30" x14ac:dyDescent="0.25">
      <c r="A953" s="5" t="s">
        <v>24</v>
      </c>
      <c r="B953" s="5" t="s">
        <v>137</v>
      </c>
      <c r="C953" s="5" t="s">
        <v>1308</v>
      </c>
      <c r="D953" s="3">
        <f>VLOOKUP(A953,airports!A:H,7,FALSE)</f>
        <v>42.364347500000001</v>
      </c>
      <c r="E953" s="3">
        <f>VLOOKUP(A953,airports!A:H,8,FALSE)</f>
        <v>-71.005179170000005</v>
      </c>
      <c r="F953" s="3">
        <f>VLOOKUP(B953,airports!A:H,7,FALSE)</f>
        <v>38.695421670000002</v>
      </c>
      <c r="G953" s="3">
        <f>VLOOKUP(B953,airports!A:H,8,FALSE)</f>
        <v>-121.59076690000001</v>
      </c>
      <c r="H953">
        <f t="shared" si="28"/>
        <v>4231.5</v>
      </c>
      <c r="I953">
        <f t="shared" si="29"/>
        <v>2629.5</v>
      </c>
    </row>
    <row r="954" spans="1:9" ht="30" x14ac:dyDescent="0.25">
      <c r="A954" s="5" t="s">
        <v>24</v>
      </c>
      <c r="B954" s="5" t="s">
        <v>138</v>
      </c>
      <c r="C954" s="5" t="s">
        <v>1309</v>
      </c>
      <c r="D954" s="3">
        <f>VLOOKUP(A954,airports!A:H,7,FALSE)</f>
        <v>42.364347500000001</v>
      </c>
      <c r="E954" s="3">
        <f>VLOOKUP(A954,airports!A:H,8,FALSE)</f>
        <v>-71.005179170000005</v>
      </c>
      <c r="F954" s="3">
        <f>VLOOKUP(B954,airports!A:H,7,FALSE)</f>
        <v>27.39533333</v>
      </c>
      <c r="G954" s="3">
        <f>VLOOKUP(B954,airports!A:H,8,FALSE)</f>
        <v>-82.554111109999994</v>
      </c>
      <c r="H954">
        <f t="shared" si="28"/>
        <v>1965.6</v>
      </c>
      <c r="I954">
        <f t="shared" si="29"/>
        <v>1221.4000000000001</v>
      </c>
    </row>
    <row r="955" spans="1:9" x14ac:dyDescent="0.25">
      <c r="A955" s="5" t="s">
        <v>24</v>
      </c>
      <c r="B955" s="5" t="s">
        <v>644</v>
      </c>
      <c r="C955" s="5" t="s">
        <v>1310</v>
      </c>
      <c r="D955" s="3">
        <f>VLOOKUP(A955,airports!A:H,7,FALSE)</f>
        <v>42.364347500000001</v>
      </c>
      <c r="E955" s="3">
        <f>VLOOKUP(A955,airports!A:H,8,FALSE)</f>
        <v>-71.005179170000005</v>
      </c>
      <c r="F955" s="3">
        <f>VLOOKUP(B955,airports!A:H,7,FALSE)</f>
        <v>38.747686940000001</v>
      </c>
      <c r="G955" s="3">
        <f>VLOOKUP(B955,airports!A:H,8,FALSE)</f>
        <v>-90.359989720000002</v>
      </c>
      <c r="H955">
        <f t="shared" si="28"/>
        <v>1679.8</v>
      </c>
      <c r="I955">
        <f t="shared" si="29"/>
        <v>1043.9000000000001</v>
      </c>
    </row>
    <row r="956" spans="1:9" x14ac:dyDescent="0.25">
      <c r="A956" s="5" t="s">
        <v>24</v>
      </c>
      <c r="B956" s="5" t="s">
        <v>140</v>
      </c>
      <c r="C956" s="5" t="s">
        <v>1311</v>
      </c>
      <c r="D956" s="3">
        <f>VLOOKUP(A956,airports!A:H,7,FALSE)</f>
        <v>42.364347500000001</v>
      </c>
      <c r="E956" s="3">
        <f>VLOOKUP(A956,airports!A:H,8,FALSE)</f>
        <v>-71.005179170000005</v>
      </c>
      <c r="F956" s="3">
        <f>VLOOKUP(B956,airports!A:H,7,FALSE)</f>
        <v>18.337305560000001</v>
      </c>
      <c r="G956" s="3">
        <f>VLOOKUP(B956,airports!A:H,8,FALSE)</f>
        <v>-64.973361109999999</v>
      </c>
      <c r="H956">
        <f t="shared" si="28"/>
        <v>2731.8</v>
      </c>
      <c r="I956">
        <f t="shared" si="29"/>
        <v>1697.6</v>
      </c>
    </row>
    <row r="957" spans="1:9" ht="30" x14ac:dyDescent="0.25">
      <c r="A957" s="5" t="s">
        <v>24</v>
      </c>
      <c r="B957" s="5" t="s">
        <v>144</v>
      </c>
      <c r="C957" s="5" t="s">
        <v>1312</v>
      </c>
      <c r="D957" s="3">
        <f>VLOOKUP(A957,airports!A:H,7,FALSE)</f>
        <v>42.364347500000001</v>
      </c>
      <c r="E957" s="3">
        <f>VLOOKUP(A957,airports!A:H,8,FALSE)</f>
        <v>-71.005179170000005</v>
      </c>
      <c r="F957" s="3">
        <f>VLOOKUP(B957,airports!A:H,7,FALSE)</f>
        <v>43.111186940000003</v>
      </c>
      <c r="G957" s="3">
        <f>VLOOKUP(B957,airports!A:H,8,FALSE)</f>
        <v>-76.106310559999997</v>
      </c>
      <c r="H957">
        <f t="shared" si="28"/>
        <v>424.7</v>
      </c>
      <c r="I957">
        <f t="shared" si="29"/>
        <v>263.89999999999998</v>
      </c>
    </row>
    <row r="958" spans="1:9" ht="30" x14ac:dyDescent="0.25">
      <c r="A958" s="5" t="s">
        <v>24</v>
      </c>
      <c r="B958" s="5" t="s">
        <v>145</v>
      </c>
      <c r="C958" s="5" t="s">
        <v>1313</v>
      </c>
      <c r="D958" s="3">
        <f>VLOOKUP(A958,airports!A:H,7,FALSE)</f>
        <v>42.364347500000001</v>
      </c>
      <c r="E958" s="3">
        <f>VLOOKUP(A958,airports!A:H,8,FALSE)</f>
        <v>-71.005179170000005</v>
      </c>
      <c r="F958" s="3">
        <f>VLOOKUP(B958,airports!A:H,7,FALSE)</f>
        <v>27.97547222</v>
      </c>
      <c r="G958" s="3">
        <f>VLOOKUP(B958,airports!A:H,8,FALSE)</f>
        <v>-82.533249999999995</v>
      </c>
      <c r="H958">
        <f t="shared" si="28"/>
        <v>1908.5</v>
      </c>
      <c r="I958">
        <f t="shared" si="29"/>
        <v>1185.9000000000001</v>
      </c>
    </row>
    <row r="959" spans="1:9" ht="30" x14ac:dyDescent="0.25">
      <c r="A959" s="5" t="s">
        <v>24</v>
      </c>
      <c r="B959" s="5" t="s">
        <v>662</v>
      </c>
      <c r="C959" s="5" t="s">
        <v>1314</v>
      </c>
      <c r="D959" s="3">
        <f>VLOOKUP(A959,airports!A:H,7,FALSE)</f>
        <v>42.364347500000001</v>
      </c>
      <c r="E959" s="3">
        <f>VLOOKUP(A959,airports!A:H,8,FALSE)</f>
        <v>-71.005179170000005</v>
      </c>
      <c r="F959" s="3">
        <f>VLOOKUP(B959,airports!A:H,7,FALSE)</f>
        <v>44.741444719999997</v>
      </c>
      <c r="G959" s="3">
        <f>VLOOKUP(B959,airports!A:H,8,FALSE)</f>
        <v>-85.582234999999997</v>
      </c>
      <c r="H959">
        <f t="shared" si="28"/>
        <v>1202.3</v>
      </c>
      <c r="I959">
        <f t="shared" si="29"/>
        <v>747.1</v>
      </c>
    </row>
    <row r="960" spans="1:9" x14ac:dyDescent="0.25">
      <c r="A960" s="5" t="s">
        <v>24</v>
      </c>
      <c r="B960" s="5" t="s">
        <v>664</v>
      </c>
      <c r="C960" s="5" t="s">
        <v>1315</v>
      </c>
      <c r="D960" s="3">
        <f>VLOOKUP(A960,airports!A:H,7,FALSE)</f>
        <v>42.364347500000001</v>
      </c>
      <c r="E960" s="3">
        <f>VLOOKUP(A960,airports!A:H,8,FALSE)</f>
        <v>-71.005179170000005</v>
      </c>
      <c r="F960" s="3">
        <f>VLOOKUP(B960,airports!A:H,7,FALSE)</f>
        <v>35.812487220000001</v>
      </c>
      <c r="G960" s="3">
        <f>VLOOKUP(B960,airports!A:H,8,FALSE)</f>
        <v>-83.992855829999996</v>
      </c>
      <c r="H960">
        <f t="shared" si="28"/>
        <v>1334.5</v>
      </c>
      <c r="I960">
        <f t="shared" si="29"/>
        <v>829.3</v>
      </c>
    </row>
    <row r="961" spans="1:9" ht="30" x14ac:dyDescent="0.25">
      <c r="A961" s="5" t="s">
        <v>24</v>
      </c>
      <c r="B961" s="5" t="s">
        <v>668</v>
      </c>
      <c r="C961" s="5" t="s">
        <v>1316</v>
      </c>
      <c r="D961" s="3">
        <f>VLOOKUP(A961,airports!A:H,7,FALSE)</f>
        <v>42.364347500000001</v>
      </c>
      <c r="E961" s="3">
        <f>VLOOKUP(A961,airports!A:H,8,FALSE)</f>
        <v>-71.005179170000005</v>
      </c>
      <c r="F961" s="3">
        <f>VLOOKUP(B961,airports!A:H,7,FALSE)</f>
        <v>30.483250000000002</v>
      </c>
      <c r="G961" s="3">
        <f>VLOOKUP(B961,airports!A:H,8,FALSE)</f>
        <v>-86.525400000000005</v>
      </c>
      <c r="H961">
        <f t="shared" si="28"/>
        <v>1910.8</v>
      </c>
      <c r="I961">
        <f t="shared" si="29"/>
        <v>1187.4000000000001</v>
      </c>
    </row>
    <row r="962" spans="1:9" ht="30" x14ac:dyDescent="0.25">
      <c r="A962" s="5" t="s">
        <v>1317</v>
      </c>
      <c r="B962" s="5" t="s">
        <v>49</v>
      </c>
      <c r="C962" s="5" t="s">
        <v>1318</v>
      </c>
      <c r="D962" s="3">
        <f>VLOOKUP(A962,airports!A:H,7,FALSE)</f>
        <v>29.950833329999998</v>
      </c>
      <c r="E962" s="3">
        <f>VLOOKUP(A962,airports!A:H,8,FALSE)</f>
        <v>-94.02069444</v>
      </c>
      <c r="F962" s="3">
        <f>VLOOKUP(B962,airports!A:H,7,FALSE)</f>
        <v>32.895950560000003</v>
      </c>
      <c r="G962" s="3">
        <f>VLOOKUP(B962,airports!A:H,8,FALSE)</f>
        <v>-97.037199999999999</v>
      </c>
      <c r="H962">
        <f t="shared" si="28"/>
        <v>434.9</v>
      </c>
      <c r="I962">
        <f t="shared" si="29"/>
        <v>270.2</v>
      </c>
    </row>
    <row r="963" spans="1:9" ht="30" x14ac:dyDescent="0.25">
      <c r="A963" s="5" t="s">
        <v>432</v>
      </c>
      <c r="B963" s="5" t="s">
        <v>10</v>
      </c>
      <c r="C963" s="5" t="s">
        <v>1319</v>
      </c>
      <c r="D963" s="3">
        <f>VLOOKUP(A963,airports!A:H,7,FALSE)</f>
        <v>31.25902778</v>
      </c>
      <c r="E963" s="3">
        <f>VLOOKUP(A963,airports!A:H,8,FALSE)</f>
        <v>-81.466305559999995</v>
      </c>
      <c r="F963" s="3">
        <f>VLOOKUP(B963,airports!A:H,7,FALSE)</f>
        <v>33.640444440000003</v>
      </c>
      <c r="G963" s="3">
        <f>VLOOKUP(B963,airports!A:H,8,FALSE)</f>
        <v>-84.42694444</v>
      </c>
      <c r="H963">
        <f t="shared" si="28"/>
        <v>383.8</v>
      </c>
      <c r="I963">
        <f t="shared" si="29"/>
        <v>238.5</v>
      </c>
    </row>
    <row r="964" spans="1:9" ht="30" x14ac:dyDescent="0.25">
      <c r="A964" s="5" t="s">
        <v>25</v>
      </c>
      <c r="B964" s="5" t="s">
        <v>52</v>
      </c>
      <c r="C964" s="5" t="s">
        <v>1320</v>
      </c>
      <c r="D964" s="3">
        <f>VLOOKUP(A964,airports!A:H,7,FALSE)</f>
        <v>18.494861109999999</v>
      </c>
      <c r="E964" s="3">
        <f>VLOOKUP(A964,airports!A:H,8,FALSE)</f>
        <v>-67.12944444</v>
      </c>
      <c r="F964" s="3">
        <f>VLOOKUP(B964,airports!A:H,7,FALSE)</f>
        <v>40.69249722</v>
      </c>
      <c r="G964" s="3">
        <f>VLOOKUP(B964,airports!A:H,8,FALSE)</f>
        <v>-74.168660560000006</v>
      </c>
      <c r="H964">
        <f t="shared" ref="H964:H1027" si="30">ROUND(ACOS(COS(RADIANS(90-D964)) * COS(RADIANS(90-F964)) + SIN(RADIANS(90-D964)) * SIN(RADIANS(90-F964)) * COS(RADIANS(E964-G964))) * 6371,1)</f>
        <v>2558.1</v>
      </c>
      <c r="I964">
        <f t="shared" ref="I964:I1027" si="31">ROUND(ACOS(COS(RADIANS(90-D964)) * COS(RADIANS(90-F964)) + SIN(RADIANS(90-D964)) * SIN(RADIANS(90-F964)) * COS(RADIANS(E964-G964))) * 3959,1)</f>
        <v>1589.6</v>
      </c>
    </row>
    <row r="965" spans="1:9" ht="30" x14ac:dyDescent="0.25">
      <c r="A965" s="5" t="s">
        <v>25</v>
      </c>
      <c r="B965" s="5" t="s">
        <v>57</v>
      </c>
      <c r="C965" s="5" t="s">
        <v>1321</v>
      </c>
      <c r="D965" s="3">
        <f>VLOOKUP(A965,airports!A:H,7,FALSE)</f>
        <v>18.494861109999999</v>
      </c>
      <c r="E965" s="3">
        <f>VLOOKUP(A965,airports!A:H,8,FALSE)</f>
        <v>-67.12944444</v>
      </c>
      <c r="F965" s="3">
        <f>VLOOKUP(B965,airports!A:H,7,FALSE)</f>
        <v>26.072583330000001</v>
      </c>
      <c r="G965" s="3">
        <f>VLOOKUP(B965,airports!A:H,8,FALSE)</f>
        <v>-80.152749999999997</v>
      </c>
      <c r="H965">
        <f t="shared" si="30"/>
        <v>1581.3</v>
      </c>
      <c r="I965">
        <f t="shared" si="31"/>
        <v>982.6</v>
      </c>
    </row>
    <row r="966" spans="1:9" ht="30" x14ac:dyDescent="0.25">
      <c r="A966" s="5" t="s">
        <v>25</v>
      </c>
      <c r="B966" s="5" t="s">
        <v>69</v>
      </c>
      <c r="C966" s="5" t="s">
        <v>1322</v>
      </c>
      <c r="D966" s="3">
        <f>VLOOKUP(A966,airports!A:H,7,FALSE)</f>
        <v>18.494861109999999</v>
      </c>
      <c r="E966" s="3">
        <f>VLOOKUP(A966,airports!A:H,8,FALSE)</f>
        <v>-67.12944444</v>
      </c>
      <c r="F966" s="3">
        <f>VLOOKUP(B966,airports!A:H,7,FALSE)</f>
        <v>40.639751109999999</v>
      </c>
      <c r="G966" s="3">
        <f>VLOOKUP(B966,airports!A:H,8,FALSE)</f>
        <v>-73.778925560000005</v>
      </c>
      <c r="H966">
        <f t="shared" si="30"/>
        <v>2543</v>
      </c>
      <c r="I966">
        <f t="shared" si="31"/>
        <v>1580.2</v>
      </c>
    </row>
    <row r="967" spans="1:9" ht="30" x14ac:dyDescent="0.25">
      <c r="A967" s="5" t="s">
        <v>25</v>
      </c>
      <c r="B967" s="5" t="s">
        <v>82</v>
      </c>
      <c r="C967" s="5" t="s">
        <v>1323</v>
      </c>
      <c r="D967" s="3">
        <f>VLOOKUP(A967,airports!A:H,7,FALSE)</f>
        <v>18.494861109999999</v>
      </c>
      <c r="E967" s="3">
        <f>VLOOKUP(A967,airports!A:H,8,FALSE)</f>
        <v>-67.12944444</v>
      </c>
      <c r="F967" s="3">
        <f>VLOOKUP(B967,airports!A:H,7,FALSE)</f>
        <v>28.42888889</v>
      </c>
      <c r="G967" s="3">
        <f>VLOOKUP(B967,airports!A:H,8,FALSE)</f>
        <v>-81.316027779999999</v>
      </c>
      <c r="H967">
        <f t="shared" si="30"/>
        <v>1817.7</v>
      </c>
      <c r="I967">
        <f t="shared" si="31"/>
        <v>1129.5999999999999</v>
      </c>
    </row>
    <row r="968" spans="1:9" ht="30" x14ac:dyDescent="0.25">
      <c r="A968" s="5" t="s">
        <v>25</v>
      </c>
      <c r="B968" s="5" t="s">
        <v>102</v>
      </c>
      <c r="C968" s="5" t="s">
        <v>1324</v>
      </c>
      <c r="D968" s="3">
        <f>VLOOKUP(A968,airports!A:H,7,FALSE)</f>
        <v>18.494861109999999</v>
      </c>
      <c r="E968" s="3">
        <f>VLOOKUP(A968,airports!A:H,8,FALSE)</f>
        <v>-67.12944444</v>
      </c>
      <c r="F968" s="3">
        <f>VLOOKUP(B968,airports!A:H,7,FALSE)</f>
        <v>39.871952780000001</v>
      </c>
      <c r="G968" s="3">
        <f>VLOOKUP(B968,airports!A:H,8,FALSE)</f>
        <v>-75.241140830000006</v>
      </c>
      <c r="H968">
        <f t="shared" si="30"/>
        <v>2501.1999999999998</v>
      </c>
      <c r="I968">
        <f t="shared" si="31"/>
        <v>1554.3</v>
      </c>
    </row>
    <row r="969" spans="1:9" ht="30" x14ac:dyDescent="0.25">
      <c r="A969" s="5" t="s">
        <v>1325</v>
      </c>
      <c r="B969" s="5" t="s">
        <v>87</v>
      </c>
      <c r="C969" s="5" t="s">
        <v>1326</v>
      </c>
      <c r="D969" s="3">
        <f>VLOOKUP(A969,airports!A:H,7,FALSE)</f>
        <v>46.397858059999997</v>
      </c>
      <c r="E969" s="3">
        <f>VLOOKUP(A969,airports!A:H,8,FALSE)</f>
        <v>-94.137227499999995</v>
      </c>
      <c r="F969" s="3">
        <f>VLOOKUP(B969,airports!A:H,7,FALSE)</f>
        <v>44.880546940000002</v>
      </c>
      <c r="G969" s="3">
        <f>VLOOKUP(B969,airports!A:H,8,FALSE)</f>
        <v>-93.216922499999995</v>
      </c>
      <c r="H969">
        <f t="shared" si="30"/>
        <v>183.3</v>
      </c>
      <c r="I969">
        <f t="shared" si="31"/>
        <v>113.9</v>
      </c>
    </row>
    <row r="970" spans="1:9" ht="30" x14ac:dyDescent="0.25">
      <c r="A970" s="5" t="s">
        <v>1327</v>
      </c>
      <c r="B970" s="5" t="s">
        <v>47</v>
      </c>
      <c r="C970" s="5" t="s">
        <v>1328</v>
      </c>
      <c r="D970" s="3">
        <f>VLOOKUP(A970,airports!A:H,7,FALSE)</f>
        <v>25.906833330000001</v>
      </c>
      <c r="E970" s="3">
        <f>VLOOKUP(A970,airports!A:H,8,FALSE)</f>
        <v>-97.42586111</v>
      </c>
      <c r="F970" s="3">
        <f>VLOOKUP(B970,airports!A:H,7,FALSE)</f>
        <v>39.858408060000002</v>
      </c>
      <c r="G970" s="3">
        <f>VLOOKUP(B970,airports!A:H,8,FALSE)</f>
        <v>-104.6670019</v>
      </c>
      <c r="H970">
        <f t="shared" si="30"/>
        <v>1690.7</v>
      </c>
      <c r="I970">
        <f t="shared" si="31"/>
        <v>1050.5999999999999</v>
      </c>
    </row>
    <row r="971" spans="1:9" ht="30" x14ac:dyDescent="0.25">
      <c r="A971" s="5" t="s">
        <v>1327</v>
      </c>
      <c r="B971" s="5" t="s">
        <v>49</v>
      </c>
      <c r="C971" s="5" t="s">
        <v>1329</v>
      </c>
      <c r="D971" s="3">
        <f>VLOOKUP(A971,airports!A:H,7,FALSE)</f>
        <v>25.906833330000001</v>
      </c>
      <c r="E971" s="3">
        <f>VLOOKUP(A971,airports!A:H,8,FALSE)</f>
        <v>-97.42586111</v>
      </c>
      <c r="F971" s="3">
        <f>VLOOKUP(B971,airports!A:H,7,FALSE)</f>
        <v>32.895950560000003</v>
      </c>
      <c r="G971" s="3">
        <f>VLOOKUP(B971,airports!A:H,8,FALSE)</f>
        <v>-97.037199999999999</v>
      </c>
      <c r="H971">
        <f t="shared" si="30"/>
        <v>778.1</v>
      </c>
      <c r="I971">
        <f t="shared" si="31"/>
        <v>483.5</v>
      </c>
    </row>
    <row r="972" spans="1:9" ht="30" x14ac:dyDescent="0.25">
      <c r="A972" s="5" t="s">
        <v>1327</v>
      </c>
      <c r="B972" s="5" t="s">
        <v>67</v>
      </c>
      <c r="C972" s="5" t="s">
        <v>1330</v>
      </c>
      <c r="D972" s="3">
        <f>VLOOKUP(A972,airports!A:H,7,FALSE)</f>
        <v>25.906833330000001</v>
      </c>
      <c r="E972" s="3">
        <f>VLOOKUP(A972,airports!A:H,8,FALSE)</f>
        <v>-97.42586111</v>
      </c>
      <c r="F972" s="3">
        <f>VLOOKUP(B972,airports!A:H,7,FALSE)</f>
        <v>29.980472219999999</v>
      </c>
      <c r="G972" s="3">
        <f>VLOOKUP(B972,airports!A:H,8,FALSE)</f>
        <v>-95.339722219999999</v>
      </c>
      <c r="H972">
        <f t="shared" si="30"/>
        <v>497.1</v>
      </c>
      <c r="I972">
        <f t="shared" si="31"/>
        <v>308.89999999999998</v>
      </c>
    </row>
    <row r="973" spans="1:9" ht="30" x14ac:dyDescent="0.25">
      <c r="A973" s="5" t="s">
        <v>1327</v>
      </c>
      <c r="B973" s="5" t="s">
        <v>95</v>
      </c>
      <c r="C973" s="5" t="s">
        <v>1331</v>
      </c>
      <c r="D973" s="3">
        <f>VLOOKUP(A973,airports!A:H,7,FALSE)</f>
        <v>25.906833330000001</v>
      </c>
      <c r="E973" s="3">
        <f>VLOOKUP(A973,airports!A:H,8,FALSE)</f>
        <v>-97.42586111</v>
      </c>
      <c r="F973" s="3">
        <f>VLOOKUP(B973,airports!A:H,7,FALSE)</f>
        <v>41.979595000000003</v>
      </c>
      <c r="G973" s="3">
        <f>VLOOKUP(B973,airports!A:H,8,FALSE)</f>
        <v>-87.904464169999997</v>
      </c>
      <c r="H973">
        <f t="shared" si="30"/>
        <v>1988.2</v>
      </c>
      <c r="I973">
        <f t="shared" si="31"/>
        <v>1235.5</v>
      </c>
    </row>
    <row r="974" spans="1:9" ht="30" x14ac:dyDescent="0.25">
      <c r="A974" s="5" t="s">
        <v>346</v>
      </c>
      <c r="B974" s="5" t="s">
        <v>265</v>
      </c>
      <c r="C974" s="5" t="s">
        <v>1332</v>
      </c>
      <c r="D974" s="3">
        <f>VLOOKUP(A974,airports!A:H,7,FALSE)</f>
        <v>71.285447500000004</v>
      </c>
      <c r="E974" s="3">
        <f>VLOOKUP(A974,airports!A:H,8,FALSE)</f>
        <v>-156.76600189999999</v>
      </c>
      <c r="F974" s="3">
        <f>VLOOKUP(B974,airports!A:H,7,FALSE)</f>
        <v>61.174320280000003</v>
      </c>
      <c r="G974" s="3">
        <f>VLOOKUP(B974,airports!A:H,8,FALSE)</f>
        <v>-149.99618559999999</v>
      </c>
      <c r="H974">
        <f t="shared" si="30"/>
        <v>1162.8</v>
      </c>
      <c r="I974">
        <f t="shared" si="31"/>
        <v>722.6</v>
      </c>
    </row>
    <row r="975" spans="1:9" ht="30" x14ac:dyDescent="0.25">
      <c r="A975" s="5" t="s">
        <v>346</v>
      </c>
      <c r="B975" s="5" t="s">
        <v>358</v>
      </c>
      <c r="C975" s="5" t="s">
        <v>1333</v>
      </c>
      <c r="D975" s="3">
        <f>VLOOKUP(A975,airports!A:H,7,FALSE)</f>
        <v>71.285447500000004</v>
      </c>
      <c r="E975" s="3">
        <f>VLOOKUP(A975,airports!A:H,8,FALSE)</f>
        <v>-156.76600189999999</v>
      </c>
      <c r="F975" s="3">
        <f>VLOOKUP(B975,airports!A:H,7,FALSE)</f>
        <v>64.813677499999997</v>
      </c>
      <c r="G975" s="3">
        <f>VLOOKUP(B975,airports!A:H,8,FALSE)</f>
        <v>-147.8596694</v>
      </c>
      <c r="H975">
        <f t="shared" si="30"/>
        <v>807.4</v>
      </c>
      <c r="I975">
        <f t="shared" si="31"/>
        <v>501.7</v>
      </c>
    </row>
    <row r="976" spans="1:9" ht="30" x14ac:dyDescent="0.25">
      <c r="A976" s="5" t="s">
        <v>1334</v>
      </c>
      <c r="B976" s="5" t="s">
        <v>47</v>
      </c>
      <c r="C976" s="5" t="s">
        <v>1335</v>
      </c>
      <c r="D976" s="3">
        <f>VLOOKUP(A976,airports!A:H,7,FALSE)</f>
        <v>45.954795279999999</v>
      </c>
      <c r="E976" s="3">
        <f>VLOOKUP(A976,airports!A:H,8,FALSE)</f>
        <v>-112.49746</v>
      </c>
      <c r="F976" s="3">
        <f>VLOOKUP(B976,airports!A:H,7,FALSE)</f>
        <v>39.858408060000002</v>
      </c>
      <c r="G976" s="3">
        <f>VLOOKUP(B976,airports!A:H,8,FALSE)</f>
        <v>-104.6670019</v>
      </c>
      <c r="H976">
        <f t="shared" si="30"/>
        <v>929.8</v>
      </c>
      <c r="I976">
        <f t="shared" si="31"/>
        <v>577.79999999999995</v>
      </c>
    </row>
    <row r="977" spans="1:9" ht="30" x14ac:dyDescent="0.25">
      <c r="A977" s="5" t="s">
        <v>1334</v>
      </c>
      <c r="B977" s="5" t="s">
        <v>135</v>
      </c>
      <c r="C977" s="5" t="s">
        <v>1336</v>
      </c>
      <c r="D977" s="3">
        <f>VLOOKUP(A977,airports!A:H,7,FALSE)</f>
        <v>45.954795279999999</v>
      </c>
      <c r="E977" s="3">
        <f>VLOOKUP(A977,airports!A:H,8,FALSE)</f>
        <v>-112.49746</v>
      </c>
      <c r="F977" s="3">
        <f>VLOOKUP(B977,airports!A:H,7,FALSE)</f>
        <v>40.788387780000001</v>
      </c>
      <c r="G977" s="3">
        <f>VLOOKUP(B977,airports!A:H,8,FALSE)</f>
        <v>-111.97777309999999</v>
      </c>
      <c r="H977">
        <f t="shared" si="30"/>
        <v>576</v>
      </c>
      <c r="I977">
        <f t="shared" si="31"/>
        <v>357.9</v>
      </c>
    </row>
    <row r="978" spans="1:9" x14ac:dyDescent="0.25">
      <c r="A978" s="5" t="s">
        <v>434</v>
      </c>
      <c r="B978" s="5" t="s">
        <v>10</v>
      </c>
      <c r="C978" s="5" t="s">
        <v>1337</v>
      </c>
      <c r="D978" s="3">
        <f>VLOOKUP(A978,airports!A:H,7,FALSE)</f>
        <v>30.53316083</v>
      </c>
      <c r="E978" s="3">
        <f>VLOOKUP(A978,airports!A:H,8,FALSE)</f>
        <v>-91.14963444</v>
      </c>
      <c r="F978" s="3">
        <f>VLOOKUP(B978,airports!A:H,7,FALSE)</f>
        <v>33.640444440000003</v>
      </c>
      <c r="G978" s="3">
        <f>VLOOKUP(B978,airports!A:H,8,FALSE)</f>
        <v>-84.42694444</v>
      </c>
      <c r="H978">
        <f t="shared" si="30"/>
        <v>721.2</v>
      </c>
      <c r="I978">
        <f t="shared" si="31"/>
        <v>448.2</v>
      </c>
    </row>
    <row r="979" spans="1:9" ht="30" x14ac:dyDescent="0.25">
      <c r="A979" s="5" t="s">
        <v>434</v>
      </c>
      <c r="B979" s="5" t="s">
        <v>13</v>
      </c>
      <c r="C979" s="5" t="s">
        <v>1338</v>
      </c>
      <c r="D979" s="3">
        <f>VLOOKUP(A979,airports!A:H,7,FALSE)</f>
        <v>30.53316083</v>
      </c>
      <c r="E979" s="3">
        <f>VLOOKUP(A979,airports!A:H,8,FALSE)</f>
        <v>-91.14963444</v>
      </c>
      <c r="F979" s="3">
        <f>VLOOKUP(B979,airports!A:H,7,FALSE)</f>
        <v>30.194532779999999</v>
      </c>
      <c r="G979" s="3">
        <f>VLOOKUP(B979,airports!A:H,8,FALSE)</f>
        <v>-97.669871939999993</v>
      </c>
      <c r="H979">
        <f t="shared" si="30"/>
        <v>626.6</v>
      </c>
      <c r="I979">
        <f t="shared" si="31"/>
        <v>389.4</v>
      </c>
    </row>
    <row r="980" spans="1:9" ht="30" x14ac:dyDescent="0.25">
      <c r="A980" s="5" t="s">
        <v>434</v>
      </c>
      <c r="B980" s="5" t="s">
        <v>425</v>
      </c>
      <c r="C980" s="5" t="s">
        <v>1339</v>
      </c>
      <c r="D980" s="3">
        <f>VLOOKUP(A980,airports!A:H,7,FALSE)</f>
        <v>30.53316083</v>
      </c>
      <c r="E980" s="3">
        <f>VLOOKUP(A980,airports!A:H,8,FALSE)</f>
        <v>-91.14963444</v>
      </c>
      <c r="F980" s="3">
        <f>VLOOKUP(B980,airports!A:H,7,FALSE)</f>
        <v>33.562943060000002</v>
      </c>
      <c r="G980" s="3">
        <f>VLOOKUP(B980,airports!A:H,8,FALSE)</f>
        <v>-86.753549719999995</v>
      </c>
      <c r="H980">
        <f t="shared" si="30"/>
        <v>533.9</v>
      </c>
      <c r="I980">
        <f t="shared" si="31"/>
        <v>331.8</v>
      </c>
    </row>
    <row r="981" spans="1:9" x14ac:dyDescent="0.25">
      <c r="A981" s="5" t="s">
        <v>434</v>
      </c>
      <c r="B981" s="5" t="s">
        <v>40</v>
      </c>
      <c r="C981" s="5" t="s">
        <v>1340</v>
      </c>
      <c r="D981" s="3">
        <f>VLOOKUP(A981,airports!A:H,7,FALSE)</f>
        <v>30.53316083</v>
      </c>
      <c r="E981" s="3">
        <f>VLOOKUP(A981,airports!A:H,8,FALSE)</f>
        <v>-91.14963444</v>
      </c>
      <c r="F981" s="3">
        <f>VLOOKUP(B981,airports!A:H,7,FALSE)</f>
        <v>35.214011110000001</v>
      </c>
      <c r="G981" s="3">
        <f>VLOOKUP(B981,airports!A:H,8,FALSE)</f>
        <v>-80.94312583</v>
      </c>
      <c r="H981">
        <f t="shared" si="30"/>
        <v>1085.2</v>
      </c>
      <c r="I981">
        <f t="shared" si="31"/>
        <v>674.3</v>
      </c>
    </row>
    <row r="982" spans="1:9" ht="30" x14ac:dyDescent="0.25">
      <c r="A982" s="5" t="s">
        <v>434</v>
      </c>
      <c r="B982" s="5" t="s">
        <v>45</v>
      </c>
      <c r="C982" s="5" t="s">
        <v>1341</v>
      </c>
      <c r="D982" s="3">
        <f>VLOOKUP(A982,airports!A:H,7,FALSE)</f>
        <v>30.53316083</v>
      </c>
      <c r="E982" s="3">
        <f>VLOOKUP(A982,airports!A:H,8,FALSE)</f>
        <v>-91.14963444</v>
      </c>
      <c r="F982" s="3">
        <f>VLOOKUP(B982,airports!A:H,7,FALSE)</f>
        <v>38.852083329999999</v>
      </c>
      <c r="G982" s="3">
        <f>VLOOKUP(B982,airports!A:H,8,FALSE)</f>
        <v>-77.037722220000006</v>
      </c>
      <c r="H982">
        <f t="shared" si="30"/>
        <v>1584.4</v>
      </c>
      <c r="I982">
        <f t="shared" si="31"/>
        <v>984.6</v>
      </c>
    </row>
    <row r="983" spans="1:9" ht="30" x14ac:dyDescent="0.25">
      <c r="A983" s="5" t="s">
        <v>434</v>
      </c>
      <c r="B983" s="5" t="s">
        <v>49</v>
      </c>
      <c r="C983" s="5" t="s">
        <v>1342</v>
      </c>
      <c r="D983" s="3">
        <f>VLOOKUP(A983,airports!A:H,7,FALSE)</f>
        <v>30.53316083</v>
      </c>
      <c r="E983" s="3">
        <f>VLOOKUP(A983,airports!A:H,8,FALSE)</f>
        <v>-91.14963444</v>
      </c>
      <c r="F983" s="3">
        <f>VLOOKUP(B983,airports!A:H,7,FALSE)</f>
        <v>32.895950560000003</v>
      </c>
      <c r="G983" s="3">
        <f>VLOOKUP(B983,airports!A:H,8,FALSE)</f>
        <v>-97.037199999999999</v>
      </c>
      <c r="H983">
        <f t="shared" si="30"/>
        <v>615.6</v>
      </c>
      <c r="I983">
        <f t="shared" si="31"/>
        <v>382.6</v>
      </c>
    </row>
    <row r="984" spans="1:9" x14ac:dyDescent="0.25">
      <c r="A984" s="5" t="s">
        <v>434</v>
      </c>
      <c r="B984" s="5" t="s">
        <v>67</v>
      </c>
      <c r="C984" s="5" t="s">
        <v>1343</v>
      </c>
      <c r="D984" s="3">
        <f>VLOOKUP(A984,airports!A:H,7,FALSE)</f>
        <v>30.53316083</v>
      </c>
      <c r="E984" s="3">
        <f>VLOOKUP(A984,airports!A:H,8,FALSE)</f>
        <v>-91.14963444</v>
      </c>
      <c r="F984" s="3">
        <f>VLOOKUP(B984,airports!A:H,7,FALSE)</f>
        <v>29.980472219999999</v>
      </c>
      <c r="G984" s="3">
        <f>VLOOKUP(B984,airports!A:H,8,FALSE)</f>
        <v>-95.339722219999999</v>
      </c>
      <c r="H984">
        <f t="shared" si="30"/>
        <v>407.1</v>
      </c>
      <c r="I984">
        <f t="shared" si="31"/>
        <v>253</v>
      </c>
    </row>
    <row r="985" spans="1:9" x14ac:dyDescent="0.25">
      <c r="A985" s="5" t="s">
        <v>434</v>
      </c>
      <c r="B985" s="5" t="s">
        <v>73</v>
      </c>
      <c r="C985" s="5" t="s">
        <v>1344</v>
      </c>
      <c r="D985" s="3">
        <f>VLOOKUP(A985,airports!A:H,7,FALSE)</f>
        <v>30.53316083</v>
      </c>
      <c r="E985" s="3">
        <f>VLOOKUP(A985,airports!A:H,8,FALSE)</f>
        <v>-91.14963444</v>
      </c>
      <c r="F985" s="3">
        <f>VLOOKUP(B985,airports!A:H,7,FALSE)</f>
        <v>33.942536109999999</v>
      </c>
      <c r="G985" s="3">
        <f>VLOOKUP(B985,airports!A:H,8,FALSE)</f>
        <v>-118.4080744</v>
      </c>
      <c r="H985">
        <f t="shared" si="30"/>
        <v>2583.9</v>
      </c>
      <c r="I985">
        <f t="shared" si="31"/>
        <v>1605.7</v>
      </c>
    </row>
    <row r="986" spans="1:9" x14ac:dyDescent="0.25">
      <c r="A986" s="5" t="s">
        <v>27</v>
      </c>
      <c r="B986" s="5" t="s">
        <v>10</v>
      </c>
      <c r="C986" s="5" t="s">
        <v>1345</v>
      </c>
      <c r="D986" s="3">
        <f>VLOOKUP(A986,airports!A:H,7,FALSE)</f>
        <v>44.473003609999999</v>
      </c>
      <c r="E986" s="3">
        <f>VLOOKUP(A986,airports!A:H,8,FALSE)</f>
        <v>-73.150312499999998</v>
      </c>
      <c r="F986" s="3">
        <f>VLOOKUP(B986,airports!A:H,7,FALSE)</f>
        <v>33.640444440000003</v>
      </c>
      <c r="G986" s="3">
        <f>VLOOKUP(B986,airports!A:H,8,FALSE)</f>
        <v>-84.42694444</v>
      </c>
      <c r="H986">
        <f t="shared" si="30"/>
        <v>1545.7</v>
      </c>
      <c r="I986">
        <f t="shared" si="31"/>
        <v>960.5</v>
      </c>
    </row>
    <row r="987" spans="1:9" x14ac:dyDescent="0.25">
      <c r="A987" s="5" t="s">
        <v>27</v>
      </c>
      <c r="B987" s="5" t="s">
        <v>40</v>
      </c>
      <c r="C987" s="5" t="s">
        <v>1346</v>
      </c>
      <c r="D987" s="3">
        <f>VLOOKUP(A987,airports!A:H,7,FALSE)</f>
        <v>44.473003609999999</v>
      </c>
      <c r="E987" s="3">
        <f>VLOOKUP(A987,airports!A:H,8,FALSE)</f>
        <v>-73.150312499999998</v>
      </c>
      <c r="F987" s="3">
        <f>VLOOKUP(B987,airports!A:H,7,FALSE)</f>
        <v>35.214011110000001</v>
      </c>
      <c r="G987" s="3">
        <f>VLOOKUP(B987,airports!A:H,8,FALSE)</f>
        <v>-80.94312583</v>
      </c>
      <c r="H987">
        <f t="shared" si="30"/>
        <v>1224.5</v>
      </c>
      <c r="I987">
        <f t="shared" si="31"/>
        <v>760.9</v>
      </c>
    </row>
    <row r="988" spans="1:9" ht="30" x14ac:dyDescent="0.25">
      <c r="A988" s="5" t="s">
        <v>27</v>
      </c>
      <c r="B988" s="5" t="s">
        <v>45</v>
      </c>
      <c r="C988" s="5" t="s">
        <v>1347</v>
      </c>
      <c r="D988" s="3">
        <f>VLOOKUP(A988,airports!A:H,7,FALSE)</f>
        <v>44.473003609999999</v>
      </c>
      <c r="E988" s="3">
        <f>VLOOKUP(A988,airports!A:H,8,FALSE)</f>
        <v>-73.150312499999998</v>
      </c>
      <c r="F988" s="3">
        <f>VLOOKUP(B988,airports!A:H,7,FALSE)</f>
        <v>38.852083329999999</v>
      </c>
      <c r="G988" s="3">
        <f>VLOOKUP(B988,airports!A:H,8,FALSE)</f>
        <v>-77.037722220000006</v>
      </c>
      <c r="H988">
        <f t="shared" si="30"/>
        <v>703.3</v>
      </c>
      <c r="I988">
        <f t="shared" si="31"/>
        <v>437</v>
      </c>
    </row>
    <row r="989" spans="1:9" ht="30" x14ac:dyDescent="0.25">
      <c r="A989" s="5" t="s">
        <v>27</v>
      </c>
      <c r="B989" s="5" t="s">
        <v>47</v>
      </c>
      <c r="C989" s="5" t="s">
        <v>1348</v>
      </c>
      <c r="D989" s="3">
        <f>VLOOKUP(A989,airports!A:H,7,FALSE)</f>
        <v>44.473003609999999</v>
      </c>
      <c r="E989" s="3">
        <f>VLOOKUP(A989,airports!A:H,8,FALSE)</f>
        <v>-73.150312499999998</v>
      </c>
      <c r="F989" s="3">
        <f>VLOOKUP(B989,airports!A:H,7,FALSE)</f>
        <v>39.858408060000002</v>
      </c>
      <c r="G989" s="3">
        <f>VLOOKUP(B989,airports!A:H,8,FALSE)</f>
        <v>-104.6670019</v>
      </c>
      <c r="H989">
        <f t="shared" si="30"/>
        <v>2630.7</v>
      </c>
      <c r="I989">
        <f t="shared" si="31"/>
        <v>1634.7</v>
      </c>
    </row>
    <row r="990" spans="1:9" ht="30" x14ac:dyDescent="0.25">
      <c r="A990" s="5" t="s">
        <v>27</v>
      </c>
      <c r="B990" s="5" t="s">
        <v>49</v>
      </c>
      <c r="C990" s="5" t="s">
        <v>1349</v>
      </c>
      <c r="D990" s="3">
        <f>VLOOKUP(A990,airports!A:H,7,FALSE)</f>
        <v>44.473003609999999</v>
      </c>
      <c r="E990" s="3">
        <f>VLOOKUP(A990,airports!A:H,8,FALSE)</f>
        <v>-73.150312499999998</v>
      </c>
      <c r="F990" s="3">
        <f>VLOOKUP(B990,airports!A:H,7,FALSE)</f>
        <v>32.895950560000003</v>
      </c>
      <c r="G990" s="3">
        <f>VLOOKUP(B990,airports!A:H,8,FALSE)</f>
        <v>-97.037199999999999</v>
      </c>
      <c r="H990">
        <f t="shared" si="30"/>
        <v>2426.6</v>
      </c>
      <c r="I990">
        <f t="shared" si="31"/>
        <v>1507.9</v>
      </c>
    </row>
    <row r="991" spans="1:9" ht="30" x14ac:dyDescent="0.25">
      <c r="A991" s="5" t="s">
        <v>27</v>
      </c>
      <c r="B991" s="5" t="s">
        <v>50</v>
      </c>
      <c r="C991" s="5" t="s">
        <v>1350</v>
      </c>
      <c r="D991" s="3">
        <f>VLOOKUP(A991,airports!A:H,7,FALSE)</f>
        <v>44.473003609999999</v>
      </c>
      <c r="E991" s="3">
        <f>VLOOKUP(A991,airports!A:H,8,FALSE)</f>
        <v>-73.150312499999998</v>
      </c>
      <c r="F991" s="3">
        <f>VLOOKUP(B991,airports!A:H,7,FALSE)</f>
        <v>42.212058890000002</v>
      </c>
      <c r="G991" s="3">
        <f>VLOOKUP(B991,airports!A:H,8,FALSE)</f>
        <v>-83.348835829999999</v>
      </c>
      <c r="H991">
        <f t="shared" si="30"/>
        <v>861.5</v>
      </c>
      <c r="I991">
        <f t="shared" si="31"/>
        <v>535.4</v>
      </c>
    </row>
    <row r="992" spans="1:9" ht="30" x14ac:dyDescent="0.25">
      <c r="A992" s="5" t="s">
        <v>27</v>
      </c>
      <c r="B992" s="5" t="s">
        <v>52</v>
      </c>
      <c r="C992" s="5" t="s">
        <v>1351</v>
      </c>
      <c r="D992" s="3">
        <f>VLOOKUP(A992,airports!A:H,7,FALSE)</f>
        <v>44.473003609999999</v>
      </c>
      <c r="E992" s="3">
        <f>VLOOKUP(A992,airports!A:H,8,FALSE)</f>
        <v>-73.150312499999998</v>
      </c>
      <c r="F992" s="3">
        <f>VLOOKUP(B992,airports!A:H,7,FALSE)</f>
        <v>40.69249722</v>
      </c>
      <c r="G992" s="3">
        <f>VLOOKUP(B992,airports!A:H,8,FALSE)</f>
        <v>-74.168660560000006</v>
      </c>
      <c r="H992">
        <f t="shared" si="30"/>
        <v>428.6</v>
      </c>
      <c r="I992">
        <f t="shared" si="31"/>
        <v>266.3</v>
      </c>
    </row>
    <row r="993" spans="1:9" x14ac:dyDescent="0.25">
      <c r="A993" s="5" t="s">
        <v>27</v>
      </c>
      <c r="B993" s="5" t="s">
        <v>176</v>
      </c>
      <c r="C993" s="5" t="s">
        <v>1352</v>
      </c>
      <c r="D993" s="3">
        <f>VLOOKUP(A993,airports!A:H,7,FALSE)</f>
        <v>44.473003609999999</v>
      </c>
      <c r="E993" s="3">
        <f>VLOOKUP(A993,airports!A:H,8,FALSE)</f>
        <v>-73.150312499999998</v>
      </c>
      <c r="F993" s="3">
        <f>VLOOKUP(B993,airports!A:H,7,FALSE)</f>
        <v>38.944531939999997</v>
      </c>
      <c r="G993" s="3">
        <f>VLOOKUP(B993,airports!A:H,8,FALSE)</f>
        <v>-77.455809720000005</v>
      </c>
      <c r="H993">
        <f t="shared" si="30"/>
        <v>710.8</v>
      </c>
      <c r="I993">
        <f t="shared" si="31"/>
        <v>441.7</v>
      </c>
    </row>
    <row r="994" spans="1:9" x14ac:dyDescent="0.25">
      <c r="A994" s="5" t="s">
        <v>27</v>
      </c>
      <c r="B994" s="5" t="s">
        <v>69</v>
      </c>
      <c r="C994" s="5" t="s">
        <v>1353</v>
      </c>
      <c r="D994" s="3">
        <f>VLOOKUP(A994,airports!A:H,7,FALSE)</f>
        <v>44.473003609999999</v>
      </c>
      <c r="E994" s="3">
        <f>VLOOKUP(A994,airports!A:H,8,FALSE)</f>
        <v>-73.150312499999998</v>
      </c>
      <c r="F994" s="3">
        <f>VLOOKUP(B994,airports!A:H,7,FALSE)</f>
        <v>40.639751109999999</v>
      </c>
      <c r="G994" s="3">
        <f>VLOOKUP(B994,airports!A:H,8,FALSE)</f>
        <v>-73.778925560000005</v>
      </c>
      <c r="H994">
        <f t="shared" si="30"/>
        <v>429.3</v>
      </c>
      <c r="I994">
        <f t="shared" si="31"/>
        <v>266.8</v>
      </c>
    </row>
    <row r="995" spans="1:9" ht="30" x14ac:dyDescent="0.25">
      <c r="A995" s="5" t="s">
        <v>27</v>
      </c>
      <c r="B995" s="5" t="s">
        <v>74</v>
      </c>
      <c r="C995" s="5" t="s">
        <v>1354</v>
      </c>
      <c r="D995" s="3">
        <f>VLOOKUP(A995,airports!A:H,7,FALSE)</f>
        <v>44.473003609999999</v>
      </c>
      <c r="E995" s="3">
        <f>VLOOKUP(A995,airports!A:H,8,FALSE)</f>
        <v>-73.150312499999998</v>
      </c>
      <c r="F995" s="3">
        <f>VLOOKUP(B995,airports!A:H,7,FALSE)</f>
        <v>40.777243060000004</v>
      </c>
      <c r="G995" s="3">
        <f>VLOOKUP(B995,airports!A:H,8,FALSE)</f>
        <v>-73.872609170000004</v>
      </c>
      <c r="H995">
        <f t="shared" si="30"/>
        <v>415.2</v>
      </c>
      <c r="I995">
        <f t="shared" si="31"/>
        <v>258</v>
      </c>
    </row>
    <row r="996" spans="1:9" ht="30" x14ac:dyDescent="0.25">
      <c r="A996" s="5" t="s">
        <v>27</v>
      </c>
      <c r="B996" s="5" t="s">
        <v>82</v>
      </c>
      <c r="C996" s="5" t="s">
        <v>1355</v>
      </c>
      <c r="D996" s="3">
        <f>VLOOKUP(A996,airports!A:H,7,FALSE)</f>
        <v>44.473003609999999</v>
      </c>
      <c r="E996" s="3">
        <f>VLOOKUP(A996,airports!A:H,8,FALSE)</f>
        <v>-73.150312499999998</v>
      </c>
      <c r="F996" s="3">
        <f>VLOOKUP(B996,airports!A:H,7,FALSE)</f>
        <v>28.42888889</v>
      </c>
      <c r="G996" s="3">
        <f>VLOOKUP(B996,airports!A:H,8,FALSE)</f>
        <v>-81.316027779999999</v>
      </c>
      <c r="H996">
        <f t="shared" si="30"/>
        <v>1925.3</v>
      </c>
      <c r="I996">
        <f t="shared" si="31"/>
        <v>1196.4000000000001</v>
      </c>
    </row>
    <row r="997" spans="1:9" ht="30" x14ac:dyDescent="0.25">
      <c r="A997" s="5" t="s">
        <v>27</v>
      </c>
      <c r="B997" s="5" t="s">
        <v>84</v>
      </c>
      <c r="C997" s="5" t="s">
        <v>1356</v>
      </c>
      <c r="D997" s="3">
        <f>VLOOKUP(A997,airports!A:H,7,FALSE)</f>
        <v>44.473003609999999</v>
      </c>
      <c r="E997" s="3">
        <f>VLOOKUP(A997,airports!A:H,8,FALSE)</f>
        <v>-73.150312499999998</v>
      </c>
      <c r="F997" s="3">
        <f>VLOOKUP(B997,airports!A:H,7,FALSE)</f>
        <v>25.79325</v>
      </c>
      <c r="G997" s="3">
        <f>VLOOKUP(B997,airports!A:H,8,FALSE)</f>
        <v>-80.290555560000001</v>
      </c>
      <c r="H997">
        <f t="shared" si="30"/>
        <v>2174</v>
      </c>
      <c r="I997">
        <f t="shared" si="31"/>
        <v>1351</v>
      </c>
    </row>
    <row r="998" spans="1:9" ht="30" x14ac:dyDescent="0.25">
      <c r="A998" s="5" t="s">
        <v>27</v>
      </c>
      <c r="B998" s="5" t="s">
        <v>87</v>
      </c>
      <c r="C998" s="5" t="s">
        <v>1357</v>
      </c>
      <c r="D998" s="3">
        <f>VLOOKUP(A998,airports!A:H,7,FALSE)</f>
        <v>44.473003609999999</v>
      </c>
      <c r="E998" s="3">
        <f>VLOOKUP(A998,airports!A:H,8,FALSE)</f>
        <v>-73.150312499999998</v>
      </c>
      <c r="F998" s="3">
        <f>VLOOKUP(B998,airports!A:H,7,FALSE)</f>
        <v>44.880546940000002</v>
      </c>
      <c r="G998" s="3">
        <f>VLOOKUP(B998,airports!A:H,8,FALSE)</f>
        <v>-93.216922499999995</v>
      </c>
      <c r="H998">
        <f t="shared" si="30"/>
        <v>1583.3</v>
      </c>
      <c r="I998">
        <f t="shared" si="31"/>
        <v>983.8</v>
      </c>
    </row>
    <row r="999" spans="1:9" ht="30" x14ac:dyDescent="0.25">
      <c r="A999" s="5" t="s">
        <v>27</v>
      </c>
      <c r="B999" s="5" t="s">
        <v>95</v>
      </c>
      <c r="C999" s="5" t="s">
        <v>1358</v>
      </c>
      <c r="D999" s="3">
        <f>VLOOKUP(A999,airports!A:H,7,FALSE)</f>
        <v>44.473003609999999</v>
      </c>
      <c r="E999" s="3">
        <f>VLOOKUP(A999,airports!A:H,8,FALSE)</f>
        <v>-73.150312499999998</v>
      </c>
      <c r="F999" s="3">
        <f>VLOOKUP(B999,airports!A:H,7,FALSE)</f>
        <v>41.979595000000003</v>
      </c>
      <c r="G999" s="3">
        <f>VLOOKUP(B999,airports!A:H,8,FALSE)</f>
        <v>-87.904464169999997</v>
      </c>
      <c r="H999">
        <f t="shared" si="30"/>
        <v>1225.3</v>
      </c>
      <c r="I999">
        <f t="shared" si="31"/>
        <v>761.4</v>
      </c>
    </row>
    <row r="1000" spans="1:9" ht="30" x14ac:dyDescent="0.25">
      <c r="A1000" s="5" t="s">
        <v>27</v>
      </c>
      <c r="B1000" s="5" t="s">
        <v>102</v>
      </c>
      <c r="C1000" s="5" t="s">
        <v>1359</v>
      </c>
      <c r="D1000" s="3">
        <f>VLOOKUP(A1000,airports!A:H,7,FALSE)</f>
        <v>44.473003609999999</v>
      </c>
      <c r="E1000" s="3">
        <f>VLOOKUP(A1000,airports!A:H,8,FALSE)</f>
        <v>-73.150312499999998</v>
      </c>
      <c r="F1000" s="3">
        <f>VLOOKUP(B1000,airports!A:H,7,FALSE)</f>
        <v>39.871952780000001</v>
      </c>
      <c r="G1000" s="3">
        <f>VLOOKUP(B1000,airports!A:H,8,FALSE)</f>
        <v>-75.241140830000006</v>
      </c>
      <c r="H1000">
        <f t="shared" si="30"/>
        <v>539.79999999999995</v>
      </c>
      <c r="I1000">
        <f t="shared" si="31"/>
        <v>335.4</v>
      </c>
    </row>
    <row r="1001" spans="1:9" x14ac:dyDescent="0.25">
      <c r="A1001" s="5" t="s">
        <v>29</v>
      </c>
      <c r="B1001" s="5" t="s">
        <v>10</v>
      </c>
      <c r="C1001" s="5" t="s">
        <v>1360</v>
      </c>
      <c r="D1001" s="3">
        <f>VLOOKUP(A1001,airports!A:H,7,FALSE)</f>
        <v>42.940524719999999</v>
      </c>
      <c r="E1001" s="3">
        <f>VLOOKUP(A1001,airports!A:H,8,FALSE)</f>
        <v>-78.732166669999998</v>
      </c>
      <c r="F1001" s="3">
        <f>VLOOKUP(B1001,airports!A:H,7,FALSE)</f>
        <v>33.640444440000003</v>
      </c>
      <c r="G1001" s="3">
        <f>VLOOKUP(B1001,airports!A:H,8,FALSE)</f>
        <v>-84.42694444</v>
      </c>
      <c r="H1001">
        <f t="shared" si="30"/>
        <v>1146.5999999999999</v>
      </c>
      <c r="I1001">
        <f t="shared" si="31"/>
        <v>712.5</v>
      </c>
    </row>
    <row r="1002" spans="1:9" ht="30" x14ac:dyDescent="0.25">
      <c r="A1002" s="5" t="s">
        <v>29</v>
      </c>
      <c r="B1002" s="5" t="s">
        <v>13</v>
      </c>
      <c r="C1002" s="5" t="s">
        <v>1361</v>
      </c>
      <c r="D1002" s="3">
        <f>VLOOKUP(A1002,airports!A:H,7,FALSE)</f>
        <v>42.940524719999999</v>
      </c>
      <c r="E1002" s="3">
        <f>VLOOKUP(A1002,airports!A:H,8,FALSE)</f>
        <v>-78.732166669999998</v>
      </c>
      <c r="F1002" s="3">
        <f>VLOOKUP(B1002,airports!A:H,7,FALSE)</f>
        <v>30.194532779999999</v>
      </c>
      <c r="G1002" s="3">
        <f>VLOOKUP(B1002,airports!A:H,8,FALSE)</f>
        <v>-97.669871939999993</v>
      </c>
      <c r="H1002">
        <f t="shared" si="30"/>
        <v>2197.4</v>
      </c>
      <c r="I1002">
        <f t="shared" si="31"/>
        <v>1365.5</v>
      </c>
    </row>
    <row r="1003" spans="1:9" ht="30" x14ac:dyDescent="0.25">
      <c r="A1003" s="5" t="s">
        <v>29</v>
      </c>
      <c r="B1003" s="5" t="s">
        <v>19</v>
      </c>
      <c r="C1003" s="5" t="s">
        <v>1362</v>
      </c>
      <c r="D1003" s="3">
        <f>VLOOKUP(A1003,airports!A:H,7,FALSE)</f>
        <v>42.940524719999999</v>
      </c>
      <c r="E1003" s="3">
        <f>VLOOKUP(A1003,airports!A:H,8,FALSE)</f>
        <v>-78.732166669999998</v>
      </c>
      <c r="F1003" s="3">
        <f>VLOOKUP(B1003,airports!A:H,7,FALSE)</f>
        <v>36.12447667</v>
      </c>
      <c r="G1003" s="3">
        <f>VLOOKUP(B1003,airports!A:H,8,FALSE)</f>
        <v>-86.678182219999997</v>
      </c>
      <c r="H1003">
        <f t="shared" si="30"/>
        <v>1018.3</v>
      </c>
      <c r="I1003">
        <f t="shared" si="31"/>
        <v>632.79999999999995</v>
      </c>
    </row>
    <row r="1004" spans="1:9" ht="30" x14ac:dyDescent="0.25">
      <c r="A1004" s="5" t="s">
        <v>29</v>
      </c>
      <c r="B1004" s="5" t="s">
        <v>24</v>
      </c>
      <c r="C1004" s="5" t="s">
        <v>1363</v>
      </c>
      <c r="D1004" s="3">
        <f>VLOOKUP(A1004,airports!A:H,7,FALSE)</f>
        <v>42.940524719999999</v>
      </c>
      <c r="E1004" s="3">
        <f>VLOOKUP(A1004,airports!A:H,8,FALSE)</f>
        <v>-78.732166669999998</v>
      </c>
      <c r="F1004" s="3">
        <f>VLOOKUP(B1004,airports!A:H,7,FALSE)</f>
        <v>42.364347500000001</v>
      </c>
      <c r="G1004" s="3">
        <f>VLOOKUP(B1004,airports!A:H,8,FALSE)</f>
        <v>-71.005179170000005</v>
      </c>
      <c r="H1004">
        <f t="shared" si="30"/>
        <v>634.9</v>
      </c>
      <c r="I1004">
        <f t="shared" si="31"/>
        <v>394.6</v>
      </c>
    </row>
    <row r="1005" spans="1:9" ht="30" x14ac:dyDescent="0.25">
      <c r="A1005" s="5" t="s">
        <v>29</v>
      </c>
      <c r="B1005" s="5" t="s">
        <v>32</v>
      </c>
      <c r="C1005" s="5" t="s">
        <v>1364</v>
      </c>
      <c r="D1005" s="3">
        <f>VLOOKUP(A1005,airports!A:H,7,FALSE)</f>
        <v>42.940524719999999</v>
      </c>
      <c r="E1005" s="3">
        <f>VLOOKUP(A1005,airports!A:H,8,FALSE)</f>
        <v>-78.732166669999998</v>
      </c>
      <c r="F1005" s="3">
        <f>VLOOKUP(B1005,airports!A:H,7,FALSE)</f>
        <v>39.175401669999999</v>
      </c>
      <c r="G1005" s="3">
        <f>VLOOKUP(B1005,airports!A:H,8,FALSE)</f>
        <v>-76.668198329999996</v>
      </c>
      <c r="H1005">
        <f t="shared" si="30"/>
        <v>453</v>
      </c>
      <c r="I1005">
        <f t="shared" si="31"/>
        <v>281.5</v>
      </c>
    </row>
    <row r="1006" spans="1:9" x14ac:dyDescent="0.25">
      <c r="A1006" s="5" t="s">
        <v>29</v>
      </c>
      <c r="B1006" s="5" t="s">
        <v>40</v>
      </c>
      <c r="C1006" s="5" t="s">
        <v>1365</v>
      </c>
      <c r="D1006" s="3">
        <f>VLOOKUP(A1006,airports!A:H,7,FALSE)</f>
        <v>42.940524719999999</v>
      </c>
      <c r="E1006" s="3">
        <f>VLOOKUP(A1006,airports!A:H,8,FALSE)</f>
        <v>-78.732166669999998</v>
      </c>
      <c r="F1006" s="3">
        <f>VLOOKUP(B1006,airports!A:H,7,FALSE)</f>
        <v>35.214011110000001</v>
      </c>
      <c r="G1006" s="3">
        <f>VLOOKUP(B1006,airports!A:H,8,FALSE)</f>
        <v>-80.94312583</v>
      </c>
      <c r="H1006">
        <f t="shared" si="30"/>
        <v>880</v>
      </c>
      <c r="I1006">
        <f t="shared" si="31"/>
        <v>546.79999999999995</v>
      </c>
    </row>
    <row r="1007" spans="1:9" ht="30" x14ac:dyDescent="0.25">
      <c r="A1007" s="5" t="s">
        <v>29</v>
      </c>
      <c r="B1007" s="5" t="s">
        <v>45</v>
      </c>
      <c r="C1007" s="5" t="s">
        <v>1366</v>
      </c>
      <c r="D1007" s="3">
        <f>VLOOKUP(A1007,airports!A:H,7,FALSE)</f>
        <v>42.940524719999999</v>
      </c>
      <c r="E1007" s="3">
        <f>VLOOKUP(A1007,airports!A:H,8,FALSE)</f>
        <v>-78.732166669999998</v>
      </c>
      <c r="F1007" s="3">
        <f>VLOOKUP(B1007,airports!A:H,7,FALSE)</f>
        <v>38.852083329999999</v>
      </c>
      <c r="G1007" s="3">
        <f>VLOOKUP(B1007,airports!A:H,8,FALSE)</f>
        <v>-77.037722220000006</v>
      </c>
      <c r="H1007">
        <f t="shared" si="30"/>
        <v>476.4</v>
      </c>
      <c r="I1007">
        <f t="shared" si="31"/>
        <v>296</v>
      </c>
    </row>
    <row r="1008" spans="1:9" ht="30" x14ac:dyDescent="0.25">
      <c r="A1008" s="5" t="s">
        <v>29</v>
      </c>
      <c r="B1008" s="5" t="s">
        <v>47</v>
      </c>
      <c r="C1008" s="5" t="s">
        <v>1367</v>
      </c>
      <c r="D1008" s="3">
        <f>VLOOKUP(A1008,airports!A:H,7,FALSE)</f>
        <v>42.940524719999999</v>
      </c>
      <c r="E1008" s="3">
        <f>VLOOKUP(A1008,airports!A:H,8,FALSE)</f>
        <v>-78.732166669999998</v>
      </c>
      <c r="F1008" s="3">
        <f>VLOOKUP(B1008,airports!A:H,7,FALSE)</f>
        <v>39.858408060000002</v>
      </c>
      <c r="G1008" s="3">
        <f>VLOOKUP(B1008,airports!A:H,8,FALSE)</f>
        <v>-104.6670019</v>
      </c>
      <c r="H1008">
        <f t="shared" si="30"/>
        <v>2181.3000000000002</v>
      </c>
      <c r="I1008">
        <f t="shared" si="31"/>
        <v>1355.5</v>
      </c>
    </row>
    <row r="1009" spans="1:9" ht="30" x14ac:dyDescent="0.25">
      <c r="A1009" s="5" t="s">
        <v>29</v>
      </c>
      <c r="B1009" s="5" t="s">
        <v>49</v>
      </c>
      <c r="C1009" s="5" t="s">
        <v>1368</v>
      </c>
      <c r="D1009" s="3">
        <f>VLOOKUP(A1009,airports!A:H,7,FALSE)</f>
        <v>42.940524719999999</v>
      </c>
      <c r="E1009" s="3">
        <f>VLOOKUP(A1009,airports!A:H,8,FALSE)</f>
        <v>-78.732166669999998</v>
      </c>
      <c r="F1009" s="3">
        <f>VLOOKUP(B1009,airports!A:H,7,FALSE)</f>
        <v>32.895950560000003</v>
      </c>
      <c r="G1009" s="3">
        <f>VLOOKUP(B1009,airports!A:H,8,FALSE)</f>
        <v>-97.037199999999999</v>
      </c>
      <c r="H1009">
        <f t="shared" si="30"/>
        <v>1949.1</v>
      </c>
      <c r="I1009">
        <f t="shared" si="31"/>
        <v>1211.2</v>
      </c>
    </row>
    <row r="1010" spans="1:9" ht="30" x14ac:dyDescent="0.25">
      <c r="A1010" s="5" t="s">
        <v>29</v>
      </c>
      <c r="B1010" s="5" t="s">
        <v>50</v>
      </c>
      <c r="C1010" s="5" t="s">
        <v>1369</v>
      </c>
      <c r="D1010" s="3">
        <f>VLOOKUP(A1010,airports!A:H,7,FALSE)</f>
        <v>42.940524719999999</v>
      </c>
      <c r="E1010" s="3">
        <f>VLOOKUP(A1010,airports!A:H,8,FALSE)</f>
        <v>-78.732166669999998</v>
      </c>
      <c r="F1010" s="3">
        <f>VLOOKUP(B1010,airports!A:H,7,FALSE)</f>
        <v>42.212058890000002</v>
      </c>
      <c r="G1010" s="3">
        <f>VLOOKUP(B1010,airports!A:H,8,FALSE)</f>
        <v>-83.348835829999999</v>
      </c>
      <c r="H1010">
        <f t="shared" si="30"/>
        <v>386.5</v>
      </c>
      <c r="I1010">
        <f t="shared" si="31"/>
        <v>240.2</v>
      </c>
    </row>
    <row r="1011" spans="1:9" ht="30" x14ac:dyDescent="0.25">
      <c r="A1011" s="5" t="s">
        <v>29</v>
      </c>
      <c r="B1011" s="5" t="s">
        <v>52</v>
      </c>
      <c r="C1011" s="5" t="s">
        <v>1370</v>
      </c>
      <c r="D1011" s="3">
        <f>VLOOKUP(A1011,airports!A:H,7,FALSE)</f>
        <v>42.940524719999999</v>
      </c>
      <c r="E1011" s="3">
        <f>VLOOKUP(A1011,airports!A:H,8,FALSE)</f>
        <v>-78.732166669999998</v>
      </c>
      <c r="F1011" s="3">
        <f>VLOOKUP(B1011,airports!A:H,7,FALSE)</f>
        <v>40.69249722</v>
      </c>
      <c r="G1011" s="3">
        <f>VLOOKUP(B1011,airports!A:H,8,FALSE)</f>
        <v>-74.168660560000006</v>
      </c>
      <c r="H1011">
        <f t="shared" si="30"/>
        <v>453.2</v>
      </c>
      <c r="I1011">
        <f t="shared" si="31"/>
        <v>281.60000000000002</v>
      </c>
    </row>
    <row r="1012" spans="1:9" x14ac:dyDescent="0.25">
      <c r="A1012" s="5" t="s">
        <v>29</v>
      </c>
      <c r="B1012" s="5" t="s">
        <v>57</v>
      </c>
      <c r="C1012" s="5" t="s">
        <v>1371</v>
      </c>
      <c r="D1012" s="3">
        <f>VLOOKUP(A1012,airports!A:H,7,FALSE)</f>
        <v>42.940524719999999</v>
      </c>
      <c r="E1012" s="3">
        <f>VLOOKUP(A1012,airports!A:H,8,FALSE)</f>
        <v>-78.732166669999998</v>
      </c>
      <c r="F1012" s="3">
        <f>VLOOKUP(B1012,airports!A:H,7,FALSE)</f>
        <v>26.072583330000001</v>
      </c>
      <c r="G1012" s="3">
        <f>VLOOKUP(B1012,airports!A:H,8,FALSE)</f>
        <v>-80.152749999999997</v>
      </c>
      <c r="H1012">
        <f t="shared" si="30"/>
        <v>1880.1</v>
      </c>
      <c r="I1012">
        <f t="shared" si="31"/>
        <v>1168.3</v>
      </c>
    </row>
    <row r="1013" spans="1:9" x14ac:dyDescent="0.25">
      <c r="A1013" s="5" t="s">
        <v>29</v>
      </c>
      <c r="B1013" s="5" t="s">
        <v>176</v>
      </c>
      <c r="C1013" s="5" t="s">
        <v>1372</v>
      </c>
      <c r="D1013" s="3">
        <f>VLOOKUP(A1013,airports!A:H,7,FALSE)</f>
        <v>42.940524719999999</v>
      </c>
      <c r="E1013" s="3">
        <f>VLOOKUP(A1013,airports!A:H,8,FALSE)</f>
        <v>-78.732166669999998</v>
      </c>
      <c r="F1013" s="3">
        <f>VLOOKUP(B1013,airports!A:H,7,FALSE)</f>
        <v>38.944531939999997</v>
      </c>
      <c r="G1013" s="3">
        <f>VLOOKUP(B1013,airports!A:H,8,FALSE)</f>
        <v>-77.455809720000005</v>
      </c>
      <c r="H1013">
        <f t="shared" si="30"/>
        <v>457.1</v>
      </c>
      <c r="I1013">
        <f t="shared" si="31"/>
        <v>284</v>
      </c>
    </row>
    <row r="1014" spans="1:9" x14ac:dyDescent="0.25">
      <c r="A1014" s="5" t="s">
        <v>29</v>
      </c>
      <c r="B1014" s="5" t="s">
        <v>68</v>
      </c>
      <c r="C1014" s="5" t="s">
        <v>1373</v>
      </c>
      <c r="D1014" s="3">
        <f>VLOOKUP(A1014,airports!A:H,7,FALSE)</f>
        <v>42.940524719999999</v>
      </c>
      <c r="E1014" s="3">
        <f>VLOOKUP(A1014,airports!A:H,8,FALSE)</f>
        <v>-78.732166669999998</v>
      </c>
      <c r="F1014" s="3">
        <f>VLOOKUP(B1014,airports!A:H,7,FALSE)</f>
        <v>30.49405556</v>
      </c>
      <c r="G1014" s="3">
        <f>VLOOKUP(B1014,airports!A:H,8,FALSE)</f>
        <v>-81.68786111</v>
      </c>
      <c r="H1014">
        <f t="shared" si="30"/>
        <v>1408.6</v>
      </c>
      <c r="I1014">
        <f t="shared" si="31"/>
        <v>875.3</v>
      </c>
    </row>
    <row r="1015" spans="1:9" x14ac:dyDescent="0.25">
      <c r="A1015" s="5" t="s">
        <v>29</v>
      </c>
      <c r="B1015" s="5" t="s">
        <v>69</v>
      </c>
      <c r="C1015" s="5" t="s">
        <v>1374</v>
      </c>
      <c r="D1015" s="3">
        <f>VLOOKUP(A1015,airports!A:H,7,FALSE)</f>
        <v>42.940524719999999</v>
      </c>
      <c r="E1015" s="3">
        <f>VLOOKUP(A1015,airports!A:H,8,FALSE)</f>
        <v>-78.732166669999998</v>
      </c>
      <c r="F1015" s="3">
        <f>VLOOKUP(B1015,airports!A:H,7,FALSE)</f>
        <v>40.639751109999999</v>
      </c>
      <c r="G1015" s="3">
        <f>VLOOKUP(B1015,airports!A:H,8,FALSE)</f>
        <v>-73.778925560000005</v>
      </c>
      <c r="H1015">
        <f t="shared" si="30"/>
        <v>483.7</v>
      </c>
      <c r="I1015">
        <f t="shared" si="31"/>
        <v>300.60000000000002</v>
      </c>
    </row>
    <row r="1016" spans="1:9" x14ac:dyDescent="0.25">
      <c r="A1016" s="5" t="s">
        <v>29</v>
      </c>
      <c r="B1016" s="5" t="s">
        <v>71</v>
      </c>
      <c r="C1016" s="5" t="s">
        <v>1375</v>
      </c>
      <c r="D1016" s="3">
        <f>VLOOKUP(A1016,airports!A:H,7,FALSE)</f>
        <v>42.940524719999999</v>
      </c>
      <c r="E1016" s="3">
        <f>VLOOKUP(A1016,airports!A:H,8,FALSE)</f>
        <v>-78.732166669999998</v>
      </c>
      <c r="F1016" s="3">
        <f>VLOOKUP(B1016,airports!A:H,7,FALSE)</f>
        <v>36.080361109999998</v>
      </c>
      <c r="G1016" s="3">
        <f>VLOOKUP(B1016,airports!A:H,8,FALSE)</f>
        <v>-115.1523333</v>
      </c>
      <c r="H1016">
        <f t="shared" si="30"/>
        <v>3189.5</v>
      </c>
      <c r="I1016">
        <f t="shared" si="31"/>
        <v>1982</v>
      </c>
    </row>
    <row r="1017" spans="1:9" ht="30" x14ac:dyDescent="0.25">
      <c r="A1017" s="5" t="s">
        <v>29</v>
      </c>
      <c r="B1017" s="5" t="s">
        <v>73</v>
      </c>
      <c r="C1017" s="5" t="s">
        <v>1376</v>
      </c>
      <c r="D1017" s="3">
        <f>VLOOKUP(A1017,airports!A:H,7,FALSE)</f>
        <v>42.940524719999999</v>
      </c>
      <c r="E1017" s="3">
        <f>VLOOKUP(A1017,airports!A:H,8,FALSE)</f>
        <v>-78.732166669999998</v>
      </c>
      <c r="F1017" s="3">
        <f>VLOOKUP(B1017,airports!A:H,7,FALSE)</f>
        <v>33.942536109999999</v>
      </c>
      <c r="G1017" s="3">
        <f>VLOOKUP(B1017,airports!A:H,8,FALSE)</f>
        <v>-118.4080744</v>
      </c>
      <c r="H1017">
        <f t="shared" si="30"/>
        <v>3561.1</v>
      </c>
      <c r="I1017">
        <f t="shared" si="31"/>
        <v>2212.9</v>
      </c>
    </row>
    <row r="1018" spans="1:9" ht="30" x14ac:dyDescent="0.25">
      <c r="A1018" s="5" t="s">
        <v>29</v>
      </c>
      <c r="B1018" s="5" t="s">
        <v>74</v>
      </c>
      <c r="C1018" s="5" t="s">
        <v>1377</v>
      </c>
      <c r="D1018" s="3">
        <f>VLOOKUP(A1018,airports!A:H,7,FALSE)</f>
        <v>42.940524719999999</v>
      </c>
      <c r="E1018" s="3">
        <f>VLOOKUP(A1018,airports!A:H,8,FALSE)</f>
        <v>-78.732166669999998</v>
      </c>
      <c r="F1018" s="3">
        <f>VLOOKUP(B1018,airports!A:H,7,FALSE)</f>
        <v>40.777243060000004</v>
      </c>
      <c r="G1018" s="3">
        <f>VLOOKUP(B1018,airports!A:H,8,FALSE)</f>
        <v>-73.872609170000004</v>
      </c>
      <c r="H1018">
        <f t="shared" si="30"/>
        <v>468.7</v>
      </c>
      <c r="I1018">
        <f t="shared" si="31"/>
        <v>291.3</v>
      </c>
    </row>
    <row r="1019" spans="1:9" ht="30" x14ac:dyDescent="0.25">
      <c r="A1019" s="5" t="s">
        <v>29</v>
      </c>
      <c r="B1019" s="5" t="s">
        <v>80</v>
      </c>
      <c r="C1019" s="5" t="s">
        <v>1378</v>
      </c>
      <c r="D1019" s="3">
        <f>VLOOKUP(A1019,airports!A:H,7,FALSE)</f>
        <v>42.940524719999999</v>
      </c>
      <c r="E1019" s="3">
        <f>VLOOKUP(A1019,airports!A:H,8,FALSE)</f>
        <v>-78.732166669999998</v>
      </c>
      <c r="F1019" s="3">
        <f>VLOOKUP(B1019,airports!A:H,7,FALSE)</f>
        <v>39.297605279999999</v>
      </c>
      <c r="G1019" s="3">
        <f>VLOOKUP(B1019,airports!A:H,8,FALSE)</f>
        <v>-94.713905560000001</v>
      </c>
      <c r="H1019">
        <f t="shared" si="30"/>
        <v>1396.2</v>
      </c>
      <c r="I1019">
        <f t="shared" si="31"/>
        <v>867.6</v>
      </c>
    </row>
    <row r="1020" spans="1:9" ht="30" x14ac:dyDescent="0.25">
      <c r="A1020" s="5" t="s">
        <v>29</v>
      </c>
      <c r="B1020" s="5" t="s">
        <v>82</v>
      </c>
      <c r="C1020" s="5" t="s">
        <v>1379</v>
      </c>
      <c r="D1020" s="3">
        <f>VLOOKUP(A1020,airports!A:H,7,FALSE)</f>
        <v>42.940524719999999</v>
      </c>
      <c r="E1020" s="3">
        <f>VLOOKUP(A1020,airports!A:H,8,FALSE)</f>
        <v>-78.732166669999998</v>
      </c>
      <c r="F1020" s="3">
        <f>VLOOKUP(B1020,airports!A:H,7,FALSE)</f>
        <v>28.42888889</v>
      </c>
      <c r="G1020" s="3">
        <f>VLOOKUP(B1020,airports!A:H,8,FALSE)</f>
        <v>-81.316027779999999</v>
      </c>
      <c r="H1020">
        <f t="shared" si="30"/>
        <v>1630.2</v>
      </c>
      <c r="I1020">
        <f t="shared" si="31"/>
        <v>1013</v>
      </c>
    </row>
    <row r="1021" spans="1:9" ht="30" x14ac:dyDescent="0.25">
      <c r="A1021" s="5" t="s">
        <v>29</v>
      </c>
      <c r="B1021" s="5" t="s">
        <v>180</v>
      </c>
      <c r="C1021" s="5" t="s">
        <v>1380</v>
      </c>
      <c r="D1021" s="3">
        <f>VLOOKUP(A1021,airports!A:H,7,FALSE)</f>
        <v>42.940524719999999</v>
      </c>
      <c r="E1021" s="3">
        <f>VLOOKUP(A1021,airports!A:H,8,FALSE)</f>
        <v>-78.732166669999998</v>
      </c>
      <c r="F1021" s="3">
        <f>VLOOKUP(B1021,airports!A:H,7,FALSE)</f>
        <v>41.785982500000003</v>
      </c>
      <c r="G1021" s="3">
        <f>VLOOKUP(B1021,airports!A:H,8,FALSE)</f>
        <v>-87.752424439999999</v>
      </c>
      <c r="H1021">
        <f t="shared" si="30"/>
        <v>751.8</v>
      </c>
      <c r="I1021">
        <f t="shared" si="31"/>
        <v>467.2</v>
      </c>
    </row>
    <row r="1022" spans="1:9" ht="30" x14ac:dyDescent="0.25">
      <c r="A1022" s="5" t="s">
        <v>29</v>
      </c>
      <c r="B1022" s="5" t="s">
        <v>84</v>
      </c>
      <c r="C1022" s="5" t="s">
        <v>1381</v>
      </c>
      <c r="D1022" s="3">
        <f>VLOOKUP(A1022,airports!A:H,7,FALSE)</f>
        <v>42.940524719999999</v>
      </c>
      <c r="E1022" s="3">
        <f>VLOOKUP(A1022,airports!A:H,8,FALSE)</f>
        <v>-78.732166669999998</v>
      </c>
      <c r="F1022" s="3">
        <f>VLOOKUP(B1022,airports!A:H,7,FALSE)</f>
        <v>25.79325</v>
      </c>
      <c r="G1022" s="3">
        <f>VLOOKUP(B1022,airports!A:H,8,FALSE)</f>
        <v>-80.290555560000001</v>
      </c>
      <c r="H1022">
        <f t="shared" si="30"/>
        <v>1912</v>
      </c>
      <c r="I1022">
        <f t="shared" si="31"/>
        <v>1188.0999999999999</v>
      </c>
    </row>
    <row r="1023" spans="1:9" ht="30" x14ac:dyDescent="0.25">
      <c r="A1023" s="5" t="s">
        <v>29</v>
      </c>
      <c r="B1023" s="5" t="s">
        <v>87</v>
      </c>
      <c r="C1023" s="5" t="s">
        <v>1382</v>
      </c>
      <c r="D1023" s="3">
        <f>VLOOKUP(A1023,airports!A:H,7,FALSE)</f>
        <v>42.940524719999999</v>
      </c>
      <c r="E1023" s="3">
        <f>VLOOKUP(A1023,airports!A:H,8,FALSE)</f>
        <v>-78.732166669999998</v>
      </c>
      <c r="F1023" s="3">
        <f>VLOOKUP(B1023,airports!A:H,7,FALSE)</f>
        <v>44.880546940000002</v>
      </c>
      <c r="G1023" s="3">
        <f>VLOOKUP(B1023,airports!A:H,8,FALSE)</f>
        <v>-93.216922499999995</v>
      </c>
      <c r="H1023">
        <f t="shared" si="30"/>
        <v>1178.5</v>
      </c>
      <c r="I1023">
        <f t="shared" si="31"/>
        <v>732.4</v>
      </c>
    </row>
    <row r="1024" spans="1:9" ht="30" x14ac:dyDescent="0.25">
      <c r="A1024" s="5" t="s">
        <v>29</v>
      </c>
      <c r="B1024" s="5" t="s">
        <v>182</v>
      </c>
      <c r="C1024" s="5" t="s">
        <v>1383</v>
      </c>
      <c r="D1024" s="3">
        <f>VLOOKUP(A1024,airports!A:H,7,FALSE)</f>
        <v>42.940524719999999</v>
      </c>
      <c r="E1024" s="3">
        <f>VLOOKUP(A1024,airports!A:H,8,FALSE)</f>
        <v>-78.732166669999998</v>
      </c>
      <c r="F1024" s="3">
        <f>VLOOKUP(B1024,airports!A:H,7,FALSE)</f>
        <v>33.679749999999999</v>
      </c>
      <c r="G1024" s="3">
        <f>VLOOKUP(B1024,airports!A:H,8,FALSE)</f>
        <v>-78.928333330000001</v>
      </c>
      <c r="H1024">
        <f t="shared" si="30"/>
        <v>1029.9000000000001</v>
      </c>
      <c r="I1024">
        <f t="shared" si="31"/>
        <v>640</v>
      </c>
    </row>
    <row r="1025" spans="1:9" ht="30" x14ac:dyDescent="0.25">
      <c r="A1025" s="5" t="s">
        <v>29</v>
      </c>
      <c r="B1025" s="5" t="s">
        <v>95</v>
      </c>
      <c r="C1025" s="5" t="s">
        <v>1384</v>
      </c>
      <c r="D1025" s="3">
        <f>VLOOKUP(A1025,airports!A:H,7,FALSE)</f>
        <v>42.940524719999999</v>
      </c>
      <c r="E1025" s="3">
        <f>VLOOKUP(A1025,airports!A:H,8,FALSE)</f>
        <v>-78.732166669999998</v>
      </c>
      <c r="F1025" s="3">
        <f>VLOOKUP(B1025,airports!A:H,7,FALSE)</f>
        <v>41.979595000000003</v>
      </c>
      <c r="G1025" s="3">
        <f>VLOOKUP(B1025,airports!A:H,8,FALSE)</f>
        <v>-87.904464169999997</v>
      </c>
      <c r="H1025">
        <f t="shared" si="30"/>
        <v>759.6</v>
      </c>
      <c r="I1025">
        <f t="shared" si="31"/>
        <v>472</v>
      </c>
    </row>
    <row r="1026" spans="1:9" ht="30" x14ac:dyDescent="0.25">
      <c r="A1026" s="5" t="s">
        <v>29</v>
      </c>
      <c r="B1026" s="5" t="s">
        <v>102</v>
      </c>
      <c r="C1026" s="5" t="s">
        <v>1385</v>
      </c>
      <c r="D1026" s="3">
        <f>VLOOKUP(A1026,airports!A:H,7,FALSE)</f>
        <v>42.940524719999999</v>
      </c>
      <c r="E1026" s="3">
        <f>VLOOKUP(A1026,airports!A:H,8,FALSE)</f>
        <v>-78.732166669999998</v>
      </c>
      <c r="F1026" s="3">
        <f>VLOOKUP(B1026,airports!A:H,7,FALSE)</f>
        <v>39.871952780000001</v>
      </c>
      <c r="G1026" s="3">
        <f>VLOOKUP(B1026,airports!A:H,8,FALSE)</f>
        <v>-75.241140830000006</v>
      </c>
      <c r="H1026">
        <f t="shared" si="30"/>
        <v>448.5</v>
      </c>
      <c r="I1026">
        <f t="shared" si="31"/>
        <v>278.7</v>
      </c>
    </row>
    <row r="1027" spans="1:9" ht="30" x14ac:dyDescent="0.25">
      <c r="A1027" s="5" t="s">
        <v>29</v>
      </c>
      <c r="B1027" s="5" t="s">
        <v>104</v>
      </c>
      <c r="C1027" s="5" t="s">
        <v>1386</v>
      </c>
      <c r="D1027" s="3">
        <f>VLOOKUP(A1027,airports!A:H,7,FALSE)</f>
        <v>42.940524719999999</v>
      </c>
      <c r="E1027" s="3">
        <f>VLOOKUP(A1027,airports!A:H,8,FALSE)</f>
        <v>-78.732166669999998</v>
      </c>
      <c r="F1027" s="3">
        <f>VLOOKUP(B1027,airports!A:H,7,FALSE)</f>
        <v>33.434166670000003</v>
      </c>
      <c r="G1027" s="3">
        <f>VLOOKUP(B1027,airports!A:H,8,FALSE)</f>
        <v>-112.00805560000001</v>
      </c>
      <c r="H1027">
        <f t="shared" si="30"/>
        <v>3070.4</v>
      </c>
      <c r="I1027">
        <f t="shared" si="31"/>
        <v>1908</v>
      </c>
    </row>
    <row r="1028" spans="1:9" ht="30" x14ac:dyDescent="0.25">
      <c r="A1028" s="5" t="s">
        <v>29</v>
      </c>
      <c r="B1028" s="5" t="s">
        <v>119</v>
      </c>
      <c r="C1028" s="5" t="s">
        <v>1387</v>
      </c>
      <c r="D1028" s="3">
        <f>VLOOKUP(A1028,airports!A:H,7,FALSE)</f>
        <v>42.940524719999999</v>
      </c>
      <c r="E1028" s="3">
        <f>VLOOKUP(A1028,airports!A:H,8,FALSE)</f>
        <v>-78.732166669999998</v>
      </c>
      <c r="F1028" s="3">
        <f>VLOOKUP(B1028,airports!A:H,7,FALSE)</f>
        <v>35.87763889</v>
      </c>
      <c r="G1028" s="3">
        <f>VLOOKUP(B1028,airports!A:H,8,FALSE)</f>
        <v>-78.787472219999998</v>
      </c>
      <c r="H1028">
        <f t="shared" ref="H1028:H1091" si="32">ROUND(ACOS(COS(RADIANS(90-D1028)) * COS(RADIANS(90-F1028)) + SIN(RADIANS(90-D1028)) * SIN(RADIANS(90-F1028)) * COS(RADIANS(E1028-G1028))) * 6371,1)</f>
        <v>785.4</v>
      </c>
      <c r="I1028">
        <f t="shared" ref="I1028:I1091" si="33">ROUND(ACOS(COS(RADIANS(90-D1028)) * COS(RADIANS(90-F1028)) + SIN(RADIANS(90-D1028)) * SIN(RADIANS(90-F1028)) * COS(RADIANS(E1028-G1028))) * 3959,1)</f>
        <v>488</v>
      </c>
    </row>
    <row r="1029" spans="1:9" ht="30" x14ac:dyDescent="0.25">
      <c r="A1029" s="5" t="s">
        <v>29</v>
      </c>
      <c r="B1029" s="5" t="s">
        <v>123</v>
      </c>
      <c r="C1029" s="5" t="s">
        <v>1388</v>
      </c>
      <c r="D1029" s="3">
        <f>VLOOKUP(A1029,airports!A:H,7,FALSE)</f>
        <v>42.940524719999999</v>
      </c>
      <c r="E1029" s="3">
        <f>VLOOKUP(A1029,airports!A:H,8,FALSE)</f>
        <v>-78.732166669999998</v>
      </c>
      <c r="F1029" s="3">
        <f>VLOOKUP(B1029,airports!A:H,7,FALSE)</f>
        <v>26.53616667</v>
      </c>
      <c r="G1029" s="3">
        <f>VLOOKUP(B1029,airports!A:H,8,FALSE)</f>
        <v>-81.755166669999994</v>
      </c>
      <c r="H1029">
        <f t="shared" si="32"/>
        <v>1844.5</v>
      </c>
      <c r="I1029">
        <f t="shared" si="33"/>
        <v>1146.2</v>
      </c>
    </row>
    <row r="1030" spans="1:9" x14ac:dyDescent="0.25">
      <c r="A1030" s="5" t="s">
        <v>29</v>
      </c>
      <c r="B1030" s="5" t="s">
        <v>134</v>
      </c>
      <c r="C1030" s="5" t="s">
        <v>1389</v>
      </c>
      <c r="D1030" s="3">
        <f>VLOOKUP(A1030,airports!A:H,7,FALSE)</f>
        <v>42.940524719999999</v>
      </c>
      <c r="E1030" s="3">
        <f>VLOOKUP(A1030,airports!A:H,8,FALSE)</f>
        <v>-78.732166669999998</v>
      </c>
      <c r="F1030" s="3">
        <f>VLOOKUP(B1030,airports!A:H,7,FALSE)</f>
        <v>18.43941667</v>
      </c>
      <c r="G1030" s="3">
        <f>VLOOKUP(B1030,airports!A:H,8,FALSE)</f>
        <v>-66.001833329999997</v>
      </c>
      <c r="H1030">
        <f t="shared" si="32"/>
        <v>2975.8</v>
      </c>
      <c r="I1030">
        <f t="shared" si="33"/>
        <v>1849.2</v>
      </c>
    </row>
    <row r="1031" spans="1:9" ht="30" x14ac:dyDescent="0.25">
      <c r="A1031" s="5" t="s">
        <v>29</v>
      </c>
      <c r="B1031" s="5" t="s">
        <v>145</v>
      </c>
      <c r="C1031" s="5" t="s">
        <v>1390</v>
      </c>
      <c r="D1031" s="3">
        <f>VLOOKUP(A1031,airports!A:H,7,FALSE)</f>
        <v>42.940524719999999</v>
      </c>
      <c r="E1031" s="3">
        <f>VLOOKUP(A1031,airports!A:H,8,FALSE)</f>
        <v>-78.732166669999998</v>
      </c>
      <c r="F1031" s="3">
        <f>VLOOKUP(B1031,airports!A:H,7,FALSE)</f>
        <v>27.97547222</v>
      </c>
      <c r="G1031" s="3">
        <f>VLOOKUP(B1031,airports!A:H,8,FALSE)</f>
        <v>-82.533249999999995</v>
      </c>
      <c r="H1031">
        <f t="shared" si="32"/>
        <v>1698.8</v>
      </c>
      <c r="I1031">
        <f t="shared" si="33"/>
        <v>1055.5999999999999</v>
      </c>
    </row>
    <row r="1032" spans="1:9" ht="30" x14ac:dyDescent="0.25">
      <c r="A1032" s="5" t="s">
        <v>30</v>
      </c>
      <c r="B1032" s="5" t="s">
        <v>2</v>
      </c>
      <c r="C1032" s="5" t="s">
        <v>1391</v>
      </c>
      <c r="D1032" s="3">
        <f>VLOOKUP(A1032,airports!A:H,7,FALSE)</f>
        <v>34.200619170000003</v>
      </c>
      <c r="E1032" s="3">
        <f>VLOOKUP(A1032,airports!A:H,8,FALSE)</f>
        <v>-118.35849690000001</v>
      </c>
      <c r="F1032" s="3">
        <f>VLOOKUP(B1032,airports!A:H,7,FALSE)</f>
        <v>35.040222219999997</v>
      </c>
      <c r="G1032" s="3">
        <f>VLOOKUP(B1032,airports!A:H,8,FALSE)</f>
        <v>-106.60919440000001</v>
      </c>
      <c r="H1032">
        <f t="shared" si="32"/>
        <v>1078.5</v>
      </c>
      <c r="I1032">
        <f t="shared" si="33"/>
        <v>670.2</v>
      </c>
    </row>
    <row r="1033" spans="1:9" ht="30" x14ac:dyDescent="0.25">
      <c r="A1033" s="5" t="s">
        <v>30</v>
      </c>
      <c r="B1033" s="5" t="s">
        <v>10</v>
      </c>
      <c r="C1033" s="5" t="s">
        <v>1392</v>
      </c>
      <c r="D1033" s="3">
        <f>VLOOKUP(A1033,airports!A:H,7,FALSE)</f>
        <v>34.200619170000003</v>
      </c>
      <c r="E1033" s="3">
        <f>VLOOKUP(A1033,airports!A:H,8,FALSE)</f>
        <v>-118.35849690000001</v>
      </c>
      <c r="F1033" s="3">
        <f>VLOOKUP(B1033,airports!A:H,7,FALSE)</f>
        <v>33.640444440000003</v>
      </c>
      <c r="G1033" s="3">
        <f>VLOOKUP(B1033,airports!A:H,8,FALSE)</f>
        <v>-84.42694444</v>
      </c>
      <c r="H1033">
        <f t="shared" si="32"/>
        <v>3116.9</v>
      </c>
      <c r="I1033">
        <f t="shared" si="33"/>
        <v>1936.9</v>
      </c>
    </row>
    <row r="1034" spans="1:9" ht="30" x14ac:dyDescent="0.25">
      <c r="A1034" s="5" t="s">
        <v>30</v>
      </c>
      <c r="B1034" s="5" t="s">
        <v>13</v>
      </c>
      <c r="C1034" s="5" t="s">
        <v>1393</v>
      </c>
      <c r="D1034" s="3">
        <f>VLOOKUP(A1034,airports!A:H,7,FALSE)</f>
        <v>34.200619170000003</v>
      </c>
      <c r="E1034" s="3">
        <f>VLOOKUP(A1034,airports!A:H,8,FALSE)</f>
        <v>-118.35849690000001</v>
      </c>
      <c r="F1034" s="3">
        <f>VLOOKUP(B1034,airports!A:H,7,FALSE)</f>
        <v>30.194532779999999</v>
      </c>
      <c r="G1034" s="3">
        <f>VLOOKUP(B1034,airports!A:H,8,FALSE)</f>
        <v>-97.669871939999993</v>
      </c>
      <c r="H1034">
        <f t="shared" si="32"/>
        <v>1993.2</v>
      </c>
      <c r="I1034">
        <f t="shared" si="33"/>
        <v>1238.5999999999999</v>
      </c>
    </row>
    <row r="1035" spans="1:9" ht="30" x14ac:dyDescent="0.25">
      <c r="A1035" s="5" t="s">
        <v>30</v>
      </c>
      <c r="B1035" s="5" t="s">
        <v>19</v>
      </c>
      <c r="C1035" s="5" t="s">
        <v>1394</v>
      </c>
      <c r="D1035" s="3">
        <f>VLOOKUP(A1035,airports!A:H,7,FALSE)</f>
        <v>34.200619170000003</v>
      </c>
      <c r="E1035" s="3">
        <f>VLOOKUP(A1035,airports!A:H,8,FALSE)</f>
        <v>-118.35849690000001</v>
      </c>
      <c r="F1035" s="3">
        <f>VLOOKUP(B1035,airports!A:H,7,FALSE)</f>
        <v>36.12447667</v>
      </c>
      <c r="G1035" s="3">
        <f>VLOOKUP(B1035,airports!A:H,8,FALSE)</f>
        <v>-86.678182219999997</v>
      </c>
      <c r="H1035">
        <f t="shared" si="32"/>
        <v>2875.1</v>
      </c>
      <c r="I1035">
        <f t="shared" si="33"/>
        <v>1786.6</v>
      </c>
    </row>
    <row r="1036" spans="1:9" ht="30" x14ac:dyDescent="0.25">
      <c r="A1036" s="5" t="s">
        <v>30</v>
      </c>
      <c r="B1036" s="5" t="s">
        <v>22</v>
      </c>
      <c r="C1036" s="5" t="s">
        <v>1395</v>
      </c>
      <c r="D1036" s="3">
        <f>VLOOKUP(A1036,airports!A:H,7,FALSE)</f>
        <v>34.200619170000003</v>
      </c>
      <c r="E1036" s="3">
        <f>VLOOKUP(A1036,airports!A:H,8,FALSE)</f>
        <v>-118.35849690000001</v>
      </c>
      <c r="F1036" s="3">
        <f>VLOOKUP(B1036,airports!A:H,7,FALSE)</f>
        <v>43.564444440000003</v>
      </c>
      <c r="G1036" s="3">
        <f>VLOOKUP(B1036,airports!A:H,8,FALSE)</f>
        <v>-116.2227778</v>
      </c>
      <c r="H1036">
        <f t="shared" si="32"/>
        <v>1057.4000000000001</v>
      </c>
      <c r="I1036">
        <f t="shared" si="33"/>
        <v>657.1</v>
      </c>
    </row>
    <row r="1037" spans="1:9" ht="30" x14ac:dyDescent="0.25">
      <c r="A1037" s="5" t="s">
        <v>30</v>
      </c>
      <c r="B1037" s="5" t="s">
        <v>24</v>
      </c>
      <c r="C1037" s="5" t="s">
        <v>1396</v>
      </c>
      <c r="D1037" s="3">
        <f>VLOOKUP(A1037,airports!A:H,7,FALSE)</f>
        <v>34.200619170000003</v>
      </c>
      <c r="E1037" s="3">
        <f>VLOOKUP(A1037,airports!A:H,8,FALSE)</f>
        <v>-118.35849690000001</v>
      </c>
      <c r="F1037" s="3">
        <f>VLOOKUP(B1037,airports!A:H,7,FALSE)</f>
        <v>42.364347500000001</v>
      </c>
      <c r="G1037" s="3">
        <f>VLOOKUP(B1037,airports!A:H,8,FALSE)</f>
        <v>-71.005179170000005</v>
      </c>
      <c r="H1037">
        <f t="shared" si="32"/>
        <v>4175.8999999999996</v>
      </c>
      <c r="I1037">
        <f t="shared" si="33"/>
        <v>2594.9</v>
      </c>
    </row>
    <row r="1038" spans="1:9" ht="30" x14ac:dyDescent="0.25">
      <c r="A1038" s="5" t="s">
        <v>30</v>
      </c>
      <c r="B1038" s="5" t="s">
        <v>201</v>
      </c>
      <c r="C1038" s="5" t="s">
        <v>1397</v>
      </c>
      <c r="D1038" s="3">
        <f>VLOOKUP(A1038,airports!A:H,7,FALSE)</f>
        <v>34.200619170000003</v>
      </c>
      <c r="E1038" s="3">
        <f>VLOOKUP(A1038,airports!A:H,8,FALSE)</f>
        <v>-118.35849690000001</v>
      </c>
      <c r="F1038" s="3">
        <f>VLOOKUP(B1038,airports!A:H,7,FALSE)</f>
        <v>32.847113890000003</v>
      </c>
      <c r="G1038" s="3">
        <f>VLOOKUP(B1038,airports!A:H,8,FALSE)</f>
        <v>-96.851772220000001</v>
      </c>
      <c r="H1038">
        <f t="shared" si="32"/>
        <v>1995.6</v>
      </c>
      <c r="I1038">
        <f t="shared" si="33"/>
        <v>1240.0999999999999</v>
      </c>
    </row>
    <row r="1039" spans="1:9" ht="30" x14ac:dyDescent="0.25">
      <c r="A1039" s="5" t="s">
        <v>30</v>
      </c>
      <c r="B1039" s="5" t="s">
        <v>47</v>
      </c>
      <c r="C1039" s="5" t="s">
        <v>1398</v>
      </c>
      <c r="D1039" s="3">
        <f>VLOOKUP(A1039,airports!A:H,7,FALSE)</f>
        <v>34.200619170000003</v>
      </c>
      <c r="E1039" s="3">
        <f>VLOOKUP(A1039,airports!A:H,8,FALSE)</f>
        <v>-118.35849690000001</v>
      </c>
      <c r="F1039" s="3">
        <f>VLOOKUP(B1039,airports!A:H,7,FALSE)</f>
        <v>39.858408060000002</v>
      </c>
      <c r="G1039" s="3">
        <f>VLOOKUP(B1039,airports!A:H,8,FALSE)</f>
        <v>-104.6670019</v>
      </c>
      <c r="H1039">
        <f t="shared" si="32"/>
        <v>1366.4</v>
      </c>
      <c r="I1039">
        <f t="shared" si="33"/>
        <v>849.1</v>
      </c>
    </row>
    <row r="1040" spans="1:9" ht="30" x14ac:dyDescent="0.25">
      <c r="A1040" s="5" t="s">
        <v>30</v>
      </c>
      <c r="B1040" s="5" t="s">
        <v>49</v>
      </c>
      <c r="C1040" s="5" t="s">
        <v>1399</v>
      </c>
      <c r="D1040" s="3">
        <f>VLOOKUP(A1040,airports!A:H,7,FALSE)</f>
        <v>34.200619170000003</v>
      </c>
      <c r="E1040" s="3">
        <f>VLOOKUP(A1040,airports!A:H,8,FALSE)</f>
        <v>-118.35849690000001</v>
      </c>
      <c r="F1040" s="3">
        <f>VLOOKUP(B1040,airports!A:H,7,FALSE)</f>
        <v>32.895950560000003</v>
      </c>
      <c r="G1040" s="3">
        <f>VLOOKUP(B1040,airports!A:H,8,FALSE)</f>
        <v>-97.037199999999999</v>
      </c>
      <c r="H1040">
        <f t="shared" si="32"/>
        <v>1977.6</v>
      </c>
      <c r="I1040">
        <f t="shared" si="33"/>
        <v>1228.9000000000001</v>
      </c>
    </row>
    <row r="1041" spans="1:9" ht="30" x14ac:dyDescent="0.25">
      <c r="A1041" s="5" t="s">
        <v>30</v>
      </c>
      <c r="B1041" s="5" t="s">
        <v>205</v>
      </c>
      <c r="C1041" s="5" t="s">
        <v>1400</v>
      </c>
      <c r="D1041" s="3">
        <f>VLOOKUP(A1041,airports!A:H,7,FALSE)</f>
        <v>34.200619170000003</v>
      </c>
      <c r="E1041" s="3">
        <f>VLOOKUP(A1041,airports!A:H,8,FALSE)</f>
        <v>-118.35849690000001</v>
      </c>
      <c r="F1041" s="3">
        <f>VLOOKUP(B1041,airports!A:H,7,FALSE)</f>
        <v>29.64541861</v>
      </c>
      <c r="G1041" s="3">
        <f>VLOOKUP(B1041,airports!A:H,8,FALSE)</f>
        <v>-95.278888890000005</v>
      </c>
      <c r="H1041">
        <f t="shared" si="32"/>
        <v>2231</v>
      </c>
      <c r="I1041">
        <f t="shared" si="33"/>
        <v>1386.4</v>
      </c>
    </row>
    <row r="1042" spans="1:9" x14ac:dyDescent="0.25">
      <c r="A1042" s="5" t="s">
        <v>30</v>
      </c>
      <c r="B1042" s="5" t="s">
        <v>69</v>
      </c>
      <c r="C1042" s="5" t="s">
        <v>1401</v>
      </c>
      <c r="D1042" s="3">
        <f>VLOOKUP(A1042,airports!A:H,7,FALSE)</f>
        <v>34.200619170000003</v>
      </c>
      <c r="E1042" s="3">
        <f>VLOOKUP(A1042,airports!A:H,8,FALSE)</f>
        <v>-118.35849690000001</v>
      </c>
      <c r="F1042" s="3">
        <f>VLOOKUP(B1042,airports!A:H,7,FALSE)</f>
        <v>40.639751109999999</v>
      </c>
      <c r="G1042" s="3">
        <f>VLOOKUP(B1042,airports!A:H,8,FALSE)</f>
        <v>-73.778925560000005</v>
      </c>
      <c r="H1042">
        <f t="shared" si="32"/>
        <v>3958.4</v>
      </c>
      <c r="I1042">
        <f t="shared" si="33"/>
        <v>2459.8000000000002</v>
      </c>
    </row>
    <row r="1043" spans="1:9" ht="30" x14ac:dyDescent="0.25">
      <c r="A1043" s="5" t="s">
        <v>30</v>
      </c>
      <c r="B1043" s="5" t="s">
        <v>71</v>
      </c>
      <c r="C1043" s="5" t="s">
        <v>1402</v>
      </c>
      <c r="D1043" s="3">
        <f>VLOOKUP(A1043,airports!A:H,7,FALSE)</f>
        <v>34.200619170000003</v>
      </c>
      <c r="E1043" s="3">
        <f>VLOOKUP(A1043,airports!A:H,8,FALSE)</f>
        <v>-118.35849690000001</v>
      </c>
      <c r="F1043" s="3">
        <f>VLOOKUP(B1043,airports!A:H,7,FALSE)</f>
        <v>36.080361109999998</v>
      </c>
      <c r="G1043" s="3">
        <f>VLOOKUP(B1043,airports!A:H,8,FALSE)</f>
        <v>-115.1523333</v>
      </c>
      <c r="H1043">
        <f t="shared" si="32"/>
        <v>358.7</v>
      </c>
      <c r="I1043">
        <f t="shared" si="33"/>
        <v>222.9</v>
      </c>
    </row>
    <row r="1044" spans="1:9" ht="30" x14ac:dyDescent="0.25">
      <c r="A1044" s="5" t="s">
        <v>30</v>
      </c>
      <c r="B1044" s="5" t="s">
        <v>180</v>
      </c>
      <c r="C1044" s="5" t="s">
        <v>1403</v>
      </c>
      <c r="D1044" s="3">
        <f>VLOOKUP(A1044,airports!A:H,7,FALSE)</f>
        <v>34.200619170000003</v>
      </c>
      <c r="E1044" s="3">
        <f>VLOOKUP(A1044,airports!A:H,8,FALSE)</f>
        <v>-118.35849690000001</v>
      </c>
      <c r="F1044" s="3">
        <f>VLOOKUP(B1044,airports!A:H,7,FALSE)</f>
        <v>41.785982500000003</v>
      </c>
      <c r="G1044" s="3">
        <f>VLOOKUP(B1044,airports!A:H,8,FALSE)</f>
        <v>-87.752424439999999</v>
      </c>
      <c r="H1044">
        <f t="shared" si="32"/>
        <v>2794.5</v>
      </c>
      <c r="I1044">
        <f t="shared" si="33"/>
        <v>1736.5</v>
      </c>
    </row>
    <row r="1045" spans="1:9" ht="30" x14ac:dyDescent="0.25">
      <c r="A1045" s="5" t="s">
        <v>30</v>
      </c>
      <c r="B1045" s="5" t="s">
        <v>215</v>
      </c>
      <c r="C1045" s="5" t="s">
        <v>1404</v>
      </c>
      <c r="D1045" s="3">
        <f>VLOOKUP(A1045,airports!A:H,7,FALSE)</f>
        <v>34.200619170000003</v>
      </c>
      <c r="E1045" s="3">
        <f>VLOOKUP(A1045,airports!A:H,8,FALSE)</f>
        <v>-118.35849690000001</v>
      </c>
      <c r="F1045" s="3">
        <f>VLOOKUP(B1045,airports!A:H,7,FALSE)</f>
        <v>37.721290830000001</v>
      </c>
      <c r="G1045" s="3">
        <f>VLOOKUP(B1045,airports!A:H,8,FALSE)</f>
        <v>-122.2207167</v>
      </c>
      <c r="H1045">
        <f t="shared" si="32"/>
        <v>523.4</v>
      </c>
      <c r="I1045">
        <f t="shared" si="33"/>
        <v>325.3</v>
      </c>
    </row>
    <row r="1046" spans="1:9" ht="30" x14ac:dyDescent="0.25">
      <c r="A1046" s="5" t="s">
        <v>30</v>
      </c>
      <c r="B1046" s="5" t="s">
        <v>100</v>
      </c>
      <c r="C1046" s="5" t="s">
        <v>1405</v>
      </c>
      <c r="D1046" s="3">
        <f>VLOOKUP(A1046,airports!A:H,7,FALSE)</f>
        <v>34.200619170000003</v>
      </c>
      <c r="E1046" s="3">
        <f>VLOOKUP(A1046,airports!A:H,8,FALSE)</f>
        <v>-118.35849690000001</v>
      </c>
      <c r="F1046" s="3">
        <f>VLOOKUP(B1046,airports!A:H,7,FALSE)</f>
        <v>45.588722220000001</v>
      </c>
      <c r="G1046" s="3">
        <f>VLOOKUP(B1046,airports!A:H,8,FALSE)</f>
        <v>-122.5975</v>
      </c>
      <c r="H1046">
        <f t="shared" si="32"/>
        <v>1316.4</v>
      </c>
      <c r="I1046">
        <f t="shared" si="33"/>
        <v>818</v>
      </c>
    </row>
    <row r="1047" spans="1:9" ht="30" x14ac:dyDescent="0.25">
      <c r="A1047" s="5" t="s">
        <v>30</v>
      </c>
      <c r="B1047" s="5" t="s">
        <v>104</v>
      </c>
      <c r="C1047" s="5" t="s">
        <v>1406</v>
      </c>
      <c r="D1047" s="3">
        <f>VLOOKUP(A1047,airports!A:H,7,FALSE)</f>
        <v>34.200619170000003</v>
      </c>
      <c r="E1047" s="3">
        <f>VLOOKUP(A1047,airports!A:H,8,FALSE)</f>
        <v>-118.35849690000001</v>
      </c>
      <c r="F1047" s="3">
        <f>VLOOKUP(B1047,airports!A:H,7,FALSE)</f>
        <v>33.434166670000003</v>
      </c>
      <c r="G1047" s="3">
        <f>VLOOKUP(B1047,airports!A:H,8,FALSE)</f>
        <v>-112.00805560000001</v>
      </c>
      <c r="H1047">
        <f t="shared" si="32"/>
        <v>592.70000000000005</v>
      </c>
      <c r="I1047">
        <f t="shared" si="33"/>
        <v>368.3</v>
      </c>
    </row>
    <row r="1048" spans="1:9" ht="30" x14ac:dyDescent="0.25">
      <c r="A1048" s="5" t="s">
        <v>30</v>
      </c>
      <c r="B1048" s="5" t="s">
        <v>121</v>
      </c>
      <c r="C1048" s="5" t="s">
        <v>1407</v>
      </c>
      <c r="D1048" s="3">
        <f>VLOOKUP(A1048,airports!A:H,7,FALSE)</f>
        <v>34.200619170000003</v>
      </c>
      <c r="E1048" s="3">
        <f>VLOOKUP(A1048,airports!A:H,8,FALSE)</f>
        <v>-118.35849690000001</v>
      </c>
      <c r="F1048" s="3">
        <f>VLOOKUP(B1048,airports!A:H,7,FALSE)</f>
        <v>39.498576110000002</v>
      </c>
      <c r="G1048" s="3">
        <f>VLOOKUP(B1048,airports!A:H,8,FALSE)</f>
        <v>-119.7680647</v>
      </c>
      <c r="H1048">
        <f t="shared" si="32"/>
        <v>602.29999999999995</v>
      </c>
      <c r="I1048">
        <f t="shared" si="33"/>
        <v>374.3</v>
      </c>
    </row>
    <row r="1049" spans="1:9" ht="30" x14ac:dyDescent="0.25">
      <c r="A1049" s="5" t="s">
        <v>30</v>
      </c>
      <c r="B1049" s="5" t="s">
        <v>128</v>
      </c>
      <c r="C1049" s="5" t="s">
        <v>1408</v>
      </c>
      <c r="D1049" s="3">
        <f>VLOOKUP(A1049,airports!A:H,7,FALSE)</f>
        <v>34.200619170000003</v>
      </c>
      <c r="E1049" s="3">
        <f>VLOOKUP(A1049,airports!A:H,8,FALSE)</f>
        <v>-118.35849690000001</v>
      </c>
      <c r="F1049" s="3">
        <f>VLOOKUP(B1049,airports!A:H,7,FALSE)</f>
        <v>47.448981940000003</v>
      </c>
      <c r="G1049" s="3">
        <f>VLOOKUP(B1049,airports!A:H,8,FALSE)</f>
        <v>-122.3093131</v>
      </c>
      <c r="H1049">
        <f t="shared" si="32"/>
        <v>1509.7</v>
      </c>
      <c r="I1049">
        <f t="shared" si="33"/>
        <v>938.1</v>
      </c>
    </row>
    <row r="1050" spans="1:9" ht="30" x14ac:dyDescent="0.25">
      <c r="A1050" s="5" t="s">
        <v>30</v>
      </c>
      <c r="B1050" s="5" t="s">
        <v>130</v>
      </c>
      <c r="C1050" s="5" t="s">
        <v>1409</v>
      </c>
      <c r="D1050" s="3">
        <f>VLOOKUP(A1050,airports!A:H,7,FALSE)</f>
        <v>34.200619170000003</v>
      </c>
      <c r="E1050" s="3">
        <f>VLOOKUP(A1050,airports!A:H,8,FALSE)</f>
        <v>-118.35849690000001</v>
      </c>
      <c r="F1050" s="3">
        <f>VLOOKUP(B1050,airports!A:H,7,FALSE)</f>
        <v>37.619001939999997</v>
      </c>
      <c r="G1050" s="3">
        <f>VLOOKUP(B1050,airports!A:H,8,FALSE)</f>
        <v>-122.37484329999999</v>
      </c>
      <c r="H1050">
        <f t="shared" si="32"/>
        <v>524.6</v>
      </c>
      <c r="I1050">
        <f t="shared" si="33"/>
        <v>326</v>
      </c>
    </row>
    <row r="1051" spans="1:9" x14ac:dyDescent="0.25">
      <c r="A1051" s="5" t="s">
        <v>30</v>
      </c>
      <c r="B1051" s="5" t="s">
        <v>131</v>
      </c>
      <c r="C1051" s="5" t="s">
        <v>1410</v>
      </c>
      <c r="D1051" s="3">
        <f>VLOOKUP(A1051,airports!A:H,7,FALSE)</f>
        <v>34.200619170000003</v>
      </c>
      <c r="E1051" s="3">
        <f>VLOOKUP(A1051,airports!A:H,8,FALSE)</f>
        <v>-118.35849690000001</v>
      </c>
      <c r="F1051" s="3">
        <f>VLOOKUP(B1051,airports!A:H,7,FALSE)</f>
        <v>37.361861939999997</v>
      </c>
      <c r="G1051" s="3">
        <f>VLOOKUP(B1051,airports!A:H,8,FALSE)</f>
        <v>-121.9290089</v>
      </c>
      <c r="H1051">
        <f t="shared" si="32"/>
        <v>476.7</v>
      </c>
      <c r="I1051">
        <f t="shared" si="33"/>
        <v>296.2</v>
      </c>
    </row>
    <row r="1052" spans="1:9" x14ac:dyDescent="0.25">
      <c r="A1052" s="5" t="s">
        <v>30</v>
      </c>
      <c r="B1052" s="5" t="s">
        <v>135</v>
      </c>
      <c r="C1052" s="5" t="s">
        <v>1411</v>
      </c>
      <c r="D1052" s="3">
        <f>VLOOKUP(A1052,airports!A:H,7,FALSE)</f>
        <v>34.200619170000003</v>
      </c>
      <c r="E1052" s="3">
        <f>VLOOKUP(A1052,airports!A:H,8,FALSE)</f>
        <v>-118.35849690000001</v>
      </c>
      <c r="F1052" s="3">
        <f>VLOOKUP(B1052,airports!A:H,7,FALSE)</f>
        <v>40.788387780000001</v>
      </c>
      <c r="G1052" s="3">
        <f>VLOOKUP(B1052,airports!A:H,8,FALSE)</f>
        <v>-111.97777309999999</v>
      </c>
      <c r="H1052">
        <f t="shared" si="32"/>
        <v>923.3</v>
      </c>
      <c r="I1052">
        <f t="shared" si="33"/>
        <v>573.70000000000005</v>
      </c>
    </row>
    <row r="1053" spans="1:9" ht="30" x14ac:dyDescent="0.25">
      <c r="A1053" s="5" t="s">
        <v>30</v>
      </c>
      <c r="B1053" s="5" t="s">
        <v>137</v>
      </c>
      <c r="C1053" s="5" t="s">
        <v>1412</v>
      </c>
      <c r="D1053" s="3">
        <f>VLOOKUP(A1053,airports!A:H,7,FALSE)</f>
        <v>34.200619170000003</v>
      </c>
      <c r="E1053" s="3">
        <f>VLOOKUP(A1053,airports!A:H,8,FALSE)</f>
        <v>-118.35849690000001</v>
      </c>
      <c r="F1053" s="3">
        <f>VLOOKUP(B1053,airports!A:H,7,FALSE)</f>
        <v>38.695421670000002</v>
      </c>
      <c r="G1053" s="3">
        <f>VLOOKUP(B1053,airports!A:H,8,FALSE)</f>
        <v>-121.59076690000001</v>
      </c>
      <c r="H1053">
        <f t="shared" si="32"/>
        <v>577.29999999999995</v>
      </c>
      <c r="I1053">
        <f t="shared" si="33"/>
        <v>358.7</v>
      </c>
    </row>
    <row r="1054" spans="1:9" x14ac:dyDescent="0.25">
      <c r="A1054" s="5" t="s">
        <v>30</v>
      </c>
      <c r="B1054" s="5" t="s">
        <v>1413</v>
      </c>
      <c r="C1054" s="5" t="s">
        <v>1414</v>
      </c>
      <c r="D1054" s="3">
        <f>VLOOKUP(A1054,airports!A:H,7,FALSE)</f>
        <v>34.200619170000003</v>
      </c>
      <c r="E1054" s="3">
        <f>VLOOKUP(A1054,airports!A:H,8,FALSE)</f>
        <v>-118.35849690000001</v>
      </c>
      <c r="F1054" s="3">
        <f>VLOOKUP(B1054,airports!A:H,7,FALSE)</f>
        <v>38.508998869999999</v>
      </c>
      <c r="G1054" s="3">
        <f>VLOOKUP(B1054,airports!A:H,8,FALSE)</f>
        <v>-122.81300349999999</v>
      </c>
      <c r="H1054">
        <f t="shared" si="32"/>
        <v>623.20000000000005</v>
      </c>
      <c r="I1054">
        <f t="shared" si="33"/>
        <v>387.3</v>
      </c>
    </row>
    <row r="1055" spans="1:9" ht="30" x14ac:dyDescent="0.25">
      <c r="A1055" s="5" t="s">
        <v>32</v>
      </c>
      <c r="B1055" s="5" t="s">
        <v>2</v>
      </c>
      <c r="C1055" s="5" t="s">
        <v>1415</v>
      </c>
      <c r="D1055" s="3">
        <f>VLOOKUP(A1055,airports!A:H,7,FALSE)</f>
        <v>39.175401669999999</v>
      </c>
      <c r="E1055" s="3">
        <f>VLOOKUP(A1055,airports!A:H,8,FALSE)</f>
        <v>-76.668198329999996</v>
      </c>
      <c r="F1055" s="3">
        <f>VLOOKUP(B1055,airports!A:H,7,FALSE)</f>
        <v>35.040222219999997</v>
      </c>
      <c r="G1055" s="3">
        <f>VLOOKUP(B1055,airports!A:H,8,FALSE)</f>
        <v>-106.60919440000001</v>
      </c>
      <c r="H1055">
        <f t="shared" si="32"/>
        <v>2682.1</v>
      </c>
      <c r="I1055">
        <f t="shared" si="33"/>
        <v>1666.7</v>
      </c>
    </row>
    <row r="1056" spans="1:9" ht="30" x14ac:dyDescent="0.25">
      <c r="A1056" s="5" t="s">
        <v>32</v>
      </c>
      <c r="B1056" s="5" t="s">
        <v>7</v>
      </c>
      <c r="C1056" s="5" t="s">
        <v>1416</v>
      </c>
      <c r="D1056" s="3">
        <f>VLOOKUP(A1056,airports!A:H,7,FALSE)</f>
        <v>39.175401669999999</v>
      </c>
      <c r="E1056" s="3">
        <f>VLOOKUP(A1056,airports!A:H,8,FALSE)</f>
        <v>-76.668198329999996</v>
      </c>
      <c r="F1056" s="3">
        <f>VLOOKUP(B1056,airports!A:H,7,FALSE)</f>
        <v>42.748119440000004</v>
      </c>
      <c r="G1056" s="3">
        <f>VLOOKUP(B1056,airports!A:H,8,FALSE)</f>
        <v>-73.802978609999997</v>
      </c>
      <c r="H1056">
        <f t="shared" si="32"/>
        <v>464.4</v>
      </c>
      <c r="I1056">
        <f t="shared" si="33"/>
        <v>288.60000000000002</v>
      </c>
    </row>
    <row r="1057" spans="1:9" ht="30" x14ac:dyDescent="0.25">
      <c r="A1057" s="5" t="s">
        <v>32</v>
      </c>
      <c r="B1057" s="5" t="s">
        <v>10</v>
      </c>
      <c r="C1057" s="5" t="s">
        <v>1417</v>
      </c>
      <c r="D1057" s="3">
        <f>VLOOKUP(A1057,airports!A:H,7,FALSE)</f>
        <v>39.175401669999999</v>
      </c>
      <c r="E1057" s="3">
        <f>VLOOKUP(A1057,airports!A:H,8,FALSE)</f>
        <v>-76.668198329999996</v>
      </c>
      <c r="F1057" s="3">
        <f>VLOOKUP(B1057,airports!A:H,7,FALSE)</f>
        <v>33.640444440000003</v>
      </c>
      <c r="G1057" s="3">
        <f>VLOOKUP(B1057,airports!A:H,8,FALSE)</f>
        <v>-84.42694444</v>
      </c>
      <c r="H1057">
        <f t="shared" si="32"/>
        <v>927.2</v>
      </c>
      <c r="I1057">
        <f t="shared" si="33"/>
        <v>576.20000000000005</v>
      </c>
    </row>
    <row r="1058" spans="1:9" ht="30" x14ac:dyDescent="0.25">
      <c r="A1058" s="5" t="s">
        <v>32</v>
      </c>
      <c r="B1058" s="5" t="s">
        <v>13</v>
      </c>
      <c r="C1058" s="5" t="s">
        <v>1418</v>
      </c>
      <c r="D1058" s="3">
        <f>VLOOKUP(A1058,airports!A:H,7,FALSE)</f>
        <v>39.175401669999999</v>
      </c>
      <c r="E1058" s="3">
        <f>VLOOKUP(A1058,airports!A:H,8,FALSE)</f>
        <v>-76.668198329999996</v>
      </c>
      <c r="F1058" s="3">
        <f>VLOOKUP(B1058,airports!A:H,7,FALSE)</f>
        <v>30.194532779999999</v>
      </c>
      <c r="G1058" s="3">
        <f>VLOOKUP(B1058,airports!A:H,8,FALSE)</f>
        <v>-97.669871939999993</v>
      </c>
      <c r="H1058">
        <f t="shared" si="32"/>
        <v>2157</v>
      </c>
      <c r="I1058">
        <f t="shared" si="33"/>
        <v>1340.4</v>
      </c>
    </row>
    <row r="1059" spans="1:9" ht="30" x14ac:dyDescent="0.25">
      <c r="A1059" s="5" t="s">
        <v>32</v>
      </c>
      <c r="B1059" s="5" t="s">
        <v>419</v>
      </c>
      <c r="C1059" s="5" t="s">
        <v>1419</v>
      </c>
      <c r="D1059" s="3">
        <f>VLOOKUP(A1059,airports!A:H,7,FALSE)</f>
        <v>39.175401669999999</v>
      </c>
      <c r="E1059" s="3">
        <f>VLOOKUP(A1059,airports!A:H,8,FALSE)</f>
        <v>-76.668198329999996</v>
      </c>
      <c r="F1059" s="3">
        <f>VLOOKUP(B1059,airports!A:H,7,FALSE)</f>
        <v>35.436194440000001</v>
      </c>
      <c r="G1059" s="3">
        <f>VLOOKUP(B1059,airports!A:H,8,FALSE)</f>
        <v>-82.54180556</v>
      </c>
      <c r="H1059">
        <f t="shared" si="32"/>
        <v>665.1</v>
      </c>
      <c r="I1059">
        <f t="shared" si="33"/>
        <v>413.3</v>
      </c>
    </row>
    <row r="1060" spans="1:9" ht="30" x14ac:dyDescent="0.25">
      <c r="A1060" s="5" t="s">
        <v>32</v>
      </c>
      <c r="B1060" s="5" t="s">
        <v>16</v>
      </c>
      <c r="C1060" s="5" t="s">
        <v>1420</v>
      </c>
      <c r="D1060" s="3">
        <f>VLOOKUP(A1060,airports!A:H,7,FALSE)</f>
        <v>39.175401669999999</v>
      </c>
      <c r="E1060" s="3">
        <f>VLOOKUP(A1060,airports!A:H,8,FALSE)</f>
        <v>-76.668198329999996</v>
      </c>
      <c r="F1060" s="3">
        <f>VLOOKUP(B1060,airports!A:H,7,FALSE)</f>
        <v>41.938874169999998</v>
      </c>
      <c r="G1060" s="3">
        <f>VLOOKUP(B1060,airports!A:H,8,FALSE)</f>
        <v>-72.683228330000006</v>
      </c>
      <c r="H1060">
        <f t="shared" si="32"/>
        <v>455.7</v>
      </c>
      <c r="I1060">
        <f t="shared" si="33"/>
        <v>283.2</v>
      </c>
    </row>
    <row r="1061" spans="1:9" ht="30" x14ac:dyDescent="0.25">
      <c r="A1061" s="5" t="s">
        <v>32</v>
      </c>
      <c r="B1061" s="5" t="s">
        <v>425</v>
      </c>
      <c r="C1061" s="5" t="s">
        <v>1421</v>
      </c>
      <c r="D1061" s="3">
        <f>VLOOKUP(A1061,airports!A:H,7,FALSE)</f>
        <v>39.175401669999999</v>
      </c>
      <c r="E1061" s="3">
        <f>VLOOKUP(A1061,airports!A:H,8,FALSE)</f>
        <v>-76.668198329999996</v>
      </c>
      <c r="F1061" s="3">
        <f>VLOOKUP(B1061,airports!A:H,7,FALSE)</f>
        <v>33.562943060000002</v>
      </c>
      <c r="G1061" s="3">
        <f>VLOOKUP(B1061,airports!A:H,8,FALSE)</f>
        <v>-86.753549719999995</v>
      </c>
      <c r="H1061">
        <f t="shared" si="32"/>
        <v>1096.5</v>
      </c>
      <c r="I1061">
        <f t="shared" si="33"/>
        <v>681.4</v>
      </c>
    </row>
    <row r="1062" spans="1:9" ht="30" x14ac:dyDescent="0.25">
      <c r="A1062" s="5" t="s">
        <v>32</v>
      </c>
      <c r="B1062" s="5" t="s">
        <v>19</v>
      </c>
      <c r="C1062" s="5" t="s">
        <v>1422</v>
      </c>
      <c r="D1062" s="3">
        <f>VLOOKUP(A1062,airports!A:H,7,FALSE)</f>
        <v>39.175401669999999</v>
      </c>
      <c r="E1062" s="3">
        <f>VLOOKUP(A1062,airports!A:H,8,FALSE)</f>
        <v>-76.668198329999996</v>
      </c>
      <c r="F1062" s="3">
        <f>VLOOKUP(B1062,airports!A:H,7,FALSE)</f>
        <v>36.12447667</v>
      </c>
      <c r="G1062" s="3">
        <f>VLOOKUP(B1062,airports!A:H,8,FALSE)</f>
        <v>-86.678182219999997</v>
      </c>
      <c r="H1062">
        <f t="shared" si="32"/>
        <v>943.7</v>
      </c>
      <c r="I1062">
        <f t="shared" si="33"/>
        <v>586.4</v>
      </c>
    </row>
    <row r="1063" spans="1:9" ht="30" x14ac:dyDescent="0.25">
      <c r="A1063" s="5" t="s">
        <v>32</v>
      </c>
      <c r="B1063" s="5" t="s">
        <v>24</v>
      </c>
      <c r="C1063" s="5" t="s">
        <v>1423</v>
      </c>
      <c r="D1063" s="3">
        <f>VLOOKUP(A1063,airports!A:H,7,FALSE)</f>
        <v>39.175401669999999</v>
      </c>
      <c r="E1063" s="3">
        <f>VLOOKUP(A1063,airports!A:H,8,FALSE)</f>
        <v>-76.668198329999996</v>
      </c>
      <c r="F1063" s="3">
        <f>VLOOKUP(B1063,airports!A:H,7,FALSE)</f>
        <v>42.364347500000001</v>
      </c>
      <c r="G1063" s="3">
        <f>VLOOKUP(B1063,airports!A:H,8,FALSE)</f>
        <v>-71.005179170000005</v>
      </c>
      <c r="H1063">
        <f t="shared" si="32"/>
        <v>594.1</v>
      </c>
      <c r="I1063">
        <f t="shared" si="33"/>
        <v>369.1</v>
      </c>
    </row>
    <row r="1064" spans="1:9" ht="30" x14ac:dyDescent="0.25">
      <c r="A1064" s="5" t="s">
        <v>32</v>
      </c>
      <c r="B1064" s="5" t="s">
        <v>29</v>
      </c>
      <c r="C1064" s="5" t="s">
        <v>1424</v>
      </c>
      <c r="D1064" s="3">
        <f>VLOOKUP(A1064,airports!A:H,7,FALSE)</f>
        <v>39.175401669999999</v>
      </c>
      <c r="E1064" s="3">
        <f>VLOOKUP(A1064,airports!A:H,8,FALSE)</f>
        <v>-76.668198329999996</v>
      </c>
      <c r="F1064" s="3">
        <f>VLOOKUP(B1064,airports!A:H,7,FALSE)</f>
        <v>42.940524719999999</v>
      </c>
      <c r="G1064" s="3">
        <f>VLOOKUP(B1064,airports!A:H,8,FALSE)</f>
        <v>-78.732166669999998</v>
      </c>
      <c r="H1064">
        <f t="shared" si="32"/>
        <v>453</v>
      </c>
      <c r="I1064">
        <f t="shared" si="33"/>
        <v>281.5</v>
      </c>
    </row>
    <row r="1065" spans="1:9" ht="30" x14ac:dyDescent="0.25">
      <c r="A1065" s="5" t="s">
        <v>32</v>
      </c>
      <c r="B1065" s="5" t="s">
        <v>36</v>
      </c>
      <c r="C1065" s="5" t="s">
        <v>1425</v>
      </c>
      <c r="D1065" s="3">
        <f>VLOOKUP(A1065,airports!A:H,7,FALSE)</f>
        <v>39.175401669999999</v>
      </c>
      <c r="E1065" s="3">
        <f>VLOOKUP(A1065,airports!A:H,8,FALSE)</f>
        <v>-76.668198329999996</v>
      </c>
      <c r="F1065" s="3">
        <f>VLOOKUP(B1065,airports!A:H,7,FALSE)</f>
        <v>32.898646390000003</v>
      </c>
      <c r="G1065" s="3">
        <f>VLOOKUP(B1065,airports!A:H,8,FALSE)</f>
        <v>-80.040505830000001</v>
      </c>
      <c r="H1065">
        <f t="shared" si="32"/>
        <v>760.8</v>
      </c>
      <c r="I1065">
        <f t="shared" si="33"/>
        <v>472.8</v>
      </c>
    </row>
    <row r="1066" spans="1:9" x14ac:dyDescent="0.25">
      <c r="A1066" s="5" t="s">
        <v>32</v>
      </c>
      <c r="B1066" s="5" t="s">
        <v>38</v>
      </c>
      <c r="C1066" s="5" t="s">
        <v>1426</v>
      </c>
      <c r="D1066" s="3">
        <f>VLOOKUP(A1066,airports!A:H,7,FALSE)</f>
        <v>39.175401669999999</v>
      </c>
      <c r="E1066" s="3">
        <f>VLOOKUP(A1066,airports!A:H,8,FALSE)</f>
        <v>-76.668198329999996</v>
      </c>
      <c r="F1066" s="3">
        <f>VLOOKUP(B1066,airports!A:H,7,FALSE)</f>
        <v>41.410894169999999</v>
      </c>
      <c r="G1066" s="3">
        <f>VLOOKUP(B1066,airports!A:H,8,FALSE)</f>
        <v>-81.849396670000004</v>
      </c>
      <c r="H1066">
        <f t="shared" si="32"/>
        <v>504.7</v>
      </c>
      <c r="I1066">
        <f t="shared" si="33"/>
        <v>313.60000000000002</v>
      </c>
    </row>
    <row r="1067" spans="1:9" x14ac:dyDescent="0.25">
      <c r="A1067" s="5" t="s">
        <v>32</v>
      </c>
      <c r="B1067" s="5" t="s">
        <v>40</v>
      </c>
      <c r="C1067" s="5" t="s">
        <v>1427</v>
      </c>
      <c r="D1067" s="3">
        <f>VLOOKUP(A1067,airports!A:H,7,FALSE)</f>
        <v>39.175401669999999</v>
      </c>
      <c r="E1067" s="3">
        <f>VLOOKUP(A1067,airports!A:H,8,FALSE)</f>
        <v>-76.668198329999996</v>
      </c>
      <c r="F1067" s="3">
        <f>VLOOKUP(B1067,airports!A:H,7,FALSE)</f>
        <v>35.214011110000001</v>
      </c>
      <c r="G1067" s="3">
        <f>VLOOKUP(B1067,airports!A:H,8,FALSE)</f>
        <v>-80.94312583</v>
      </c>
      <c r="H1067">
        <f t="shared" si="32"/>
        <v>580.70000000000005</v>
      </c>
      <c r="I1067">
        <f t="shared" si="33"/>
        <v>360.9</v>
      </c>
    </row>
    <row r="1068" spans="1:9" ht="30" x14ac:dyDescent="0.25">
      <c r="A1068" s="5" t="s">
        <v>32</v>
      </c>
      <c r="B1068" s="5" t="s">
        <v>454</v>
      </c>
      <c r="C1068" s="5" t="s">
        <v>1428</v>
      </c>
      <c r="D1068" s="3">
        <f>VLOOKUP(A1068,airports!A:H,7,FALSE)</f>
        <v>39.175401669999999</v>
      </c>
      <c r="E1068" s="3">
        <f>VLOOKUP(A1068,airports!A:H,8,FALSE)</f>
        <v>-76.668198329999996</v>
      </c>
      <c r="F1068" s="3">
        <f>VLOOKUP(B1068,airports!A:H,7,FALSE)</f>
        <v>39.997985280000002</v>
      </c>
      <c r="G1068" s="3">
        <f>VLOOKUP(B1068,airports!A:H,8,FALSE)</f>
        <v>-82.891882780000003</v>
      </c>
      <c r="H1068">
        <f t="shared" si="32"/>
        <v>541</v>
      </c>
      <c r="I1068">
        <f t="shared" si="33"/>
        <v>336.2</v>
      </c>
    </row>
    <row r="1069" spans="1:9" ht="30" x14ac:dyDescent="0.25">
      <c r="A1069" s="5" t="s">
        <v>32</v>
      </c>
      <c r="B1069" s="5" t="s">
        <v>462</v>
      </c>
      <c r="C1069" s="5" t="s">
        <v>1429</v>
      </c>
      <c r="D1069" s="3">
        <f>VLOOKUP(A1069,airports!A:H,7,FALSE)</f>
        <v>39.175401669999999</v>
      </c>
      <c r="E1069" s="3">
        <f>VLOOKUP(A1069,airports!A:H,8,FALSE)</f>
        <v>-76.668198329999996</v>
      </c>
      <c r="F1069" s="3">
        <f>VLOOKUP(B1069,airports!A:H,7,FALSE)</f>
        <v>39.046142779999997</v>
      </c>
      <c r="G1069" s="3">
        <f>VLOOKUP(B1069,airports!A:H,8,FALSE)</f>
        <v>-84.662172499999997</v>
      </c>
      <c r="H1069">
        <f t="shared" si="32"/>
        <v>689.6</v>
      </c>
      <c r="I1069">
        <f t="shared" si="33"/>
        <v>428.5</v>
      </c>
    </row>
    <row r="1070" spans="1:9" ht="30" x14ac:dyDescent="0.25">
      <c r="A1070" s="5" t="s">
        <v>32</v>
      </c>
      <c r="B1070" s="5" t="s">
        <v>201</v>
      </c>
      <c r="C1070" s="5" t="s">
        <v>1430</v>
      </c>
      <c r="D1070" s="3">
        <f>VLOOKUP(A1070,airports!A:H,7,FALSE)</f>
        <v>39.175401669999999</v>
      </c>
      <c r="E1070" s="3">
        <f>VLOOKUP(A1070,airports!A:H,8,FALSE)</f>
        <v>-76.668198329999996</v>
      </c>
      <c r="F1070" s="3">
        <f>VLOOKUP(B1070,airports!A:H,7,FALSE)</f>
        <v>32.847113890000003</v>
      </c>
      <c r="G1070" s="3">
        <f>VLOOKUP(B1070,airports!A:H,8,FALSE)</f>
        <v>-96.851772220000001</v>
      </c>
      <c r="H1070">
        <f t="shared" si="32"/>
        <v>1941.8</v>
      </c>
      <c r="I1070">
        <f t="shared" si="33"/>
        <v>1206.5999999999999</v>
      </c>
    </row>
    <row r="1071" spans="1:9" ht="30" x14ac:dyDescent="0.25">
      <c r="A1071" s="5" t="s">
        <v>32</v>
      </c>
      <c r="B1071" s="5" t="s">
        <v>47</v>
      </c>
      <c r="C1071" s="5" t="s">
        <v>1431</v>
      </c>
      <c r="D1071" s="3">
        <f>VLOOKUP(A1071,airports!A:H,7,FALSE)</f>
        <v>39.175401669999999</v>
      </c>
      <c r="E1071" s="3">
        <f>VLOOKUP(A1071,airports!A:H,8,FALSE)</f>
        <v>-76.668198329999996</v>
      </c>
      <c r="F1071" s="3">
        <f>VLOOKUP(B1071,airports!A:H,7,FALSE)</f>
        <v>39.858408060000002</v>
      </c>
      <c r="G1071" s="3">
        <f>VLOOKUP(B1071,airports!A:H,8,FALSE)</f>
        <v>-104.6670019</v>
      </c>
      <c r="H1071">
        <f t="shared" si="32"/>
        <v>2393.1</v>
      </c>
      <c r="I1071">
        <f t="shared" si="33"/>
        <v>1487.1</v>
      </c>
    </row>
    <row r="1072" spans="1:9" ht="30" x14ac:dyDescent="0.25">
      <c r="A1072" s="5" t="s">
        <v>32</v>
      </c>
      <c r="B1072" s="5" t="s">
        <v>49</v>
      </c>
      <c r="C1072" s="5" t="s">
        <v>1432</v>
      </c>
      <c r="D1072" s="3">
        <f>VLOOKUP(A1072,airports!A:H,7,FALSE)</f>
        <v>39.175401669999999</v>
      </c>
      <c r="E1072" s="3">
        <f>VLOOKUP(A1072,airports!A:H,8,FALSE)</f>
        <v>-76.668198329999996</v>
      </c>
      <c r="F1072" s="3">
        <f>VLOOKUP(B1072,airports!A:H,7,FALSE)</f>
        <v>32.895950560000003</v>
      </c>
      <c r="G1072" s="3">
        <f>VLOOKUP(B1072,airports!A:H,8,FALSE)</f>
        <v>-97.037199999999999</v>
      </c>
      <c r="H1072">
        <f t="shared" si="32"/>
        <v>1954.8</v>
      </c>
      <c r="I1072">
        <f t="shared" si="33"/>
        <v>1214.7</v>
      </c>
    </row>
    <row r="1073" spans="1:9" ht="30" x14ac:dyDescent="0.25">
      <c r="A1073" s="5" t="s">
        <v>32</v>
      </c>
      <c r="B1073" s="5" t="s">
        <v>50</v>
      </c>
      <c r="C1073" s="5" t="s">
        <v>1433</v>
      </c>
      <c r="D1073" s="3">
        <f>VLOOKUP(A1073,airports!A:H,7,FALSE)</f>
        <v>39.175401669999999</v>
      </c>
      <c r="E1073" s="3">
        <f>VLOOKUP(A1073,airports!A:H,8,FALSE)</f>
        <v>-76.668198329999996</v>
      </c>
      <c r="F1073" s="3">
        <f>VLOOKUP(B1073,airports!A:H,7,FALSE)</f>
        <v>42.212058890000002</v>
      </c>
      <c r="G1073" s="3">
        <f>VLOOKUP(B1073,airports!A:H,8,FALSE)</f>
        <v>-83.348835829999999</v>
      </c>
      <c r="H1073">
        <f t="shared" si="32"/>
        <v>656.4</v>
      </c>
      <c r="I1073">
        <f t="shared" si="33"/>
        <v>407.9</v>
      </c>
    </row>
    <row r="1074" spans="1:9" ht="30" x14ac:dyDescent="0.25">
      <c r="A1074" s="5" t="s">
        <v>32</v>
      </c>
      <c r="B1074" s="5" t="s">
        <v>477</v>
      </c>
      <c r="C1074" s="5" t="s">
        <v>1434</v>
      </c>
      <c r="D1074" s="3">
        <f>VLOOKUP(A1074,airports!A:H,7,FALSE)</f>
        <v>39.175401669999999</v>
      </c>
      <c r="E1074" s="3">
        <f>VLOOKUP(A1074,airports!A:H,8,FALSE)</f>
        <v>-76.668198329999996</v>
      </c>
      <c r="F1074" s="3">
        <f>VLOOKUP(B1074,airports!A:H,7,FALSE)</f>
        <v>30.357106000000002</v>
      </c>
      <c r="G1074" s="3">
        <f>VLOOKUP(B1074,airports!A:H,8,FALSE)</f>
        <v>-85.795413999999994</v>
      </c>
      <c r="H1074">
        <f t="shared" si="32"/>
        <v>1285.5999999999999</v>
      </c>
      <c r="I1074">
        <f t="shared" si="33"/>
        <v>798.9</v>
      </c>
    </row>
    <row r="1075" spans="1:9" ht="30" x14ac:dyDescent="0.25">
      <c r="A1075" s="5" t="s">
        <v>32</v>
      </c>
      <c r="B1075" s="5" t="s">
        <v>52</v>
      </c>
      <c r="C1075" s="5" t="s">
        <v>1435</v>
      </c>
      <c r="D1075" s="3">
        <f>VLOOKUP(A1075,airports!A:H,7,FALSE)</f>
        <v>39.175401669999999</v>
      </c>
      <c r="E1075" s="3">
        <f>VLOOKUP(A1075,airports!A:H,8,FALSE)</f>
        <v>-76.668198329999996</v>
      </c>
      <c r="F1075" s="3">
        <f>VLOOKUP(B1075,airports!A:H,7,FALSE)</f>
        <v>40.69249722</v>
      </c>
      <c r="G1075" s="3">
        <f>VLOOKUP(B1075,airports!A:H,8,FALSE)</f>
        <v>-74.168660560000006</v>
      </c>
      <c r="H1075">
        <f t="shared" si="32"/>
        <v>271.8</v>
      </c>
      <c r="I1075">
        <f t="shared" si="33"/>
        <v>168.9</v>
      </c>
    </row>
    <row r="1076" spans="1:9" x14ac:dyDescent="0.25">
      <c r="A1076" s="5" t="s">
        <v>32</v>
      </c>
      <c r="B1076" s="5" t="s">
        <v>57</v>
      </c>
      <c r="C1076" s="5" t="s">
        <v>1436</v>
      </c>
      <c r="D1076" s="3">
        <f>VLOOKUP(A1076,airports!A:H,7,FALSE)</f>
        <v>39.175401669999999</v>
      </c>
      <c r="E1076" s="3">
        <f>VLOOKUP(A1076,airports!A:H,8,FALSE)</f>
        <v>-76.668198329999996</v>
      </c>
      <c r="F1076" s="3">
        <f>VLOOKUP(B1076,airports!A:H,7,FALSE)</f>
        <v>26.072583330000001</v>
      </c>
      <c r="G1076" s="3">
        <f>VLOOKUP(B1076,airports!A:H,8,FALSE)</f>
        <v>-80.152749999999997</v>
      </c>
      <c r="H1076">
        <f t="shared" si="32"/>
        <v>1492.7</v>
      </c>
      <c r="I1076">
        <f t="shared" si="33"/>
        <v>927.6</v>
      </c>
    </row>
    <row r="1077" spans="1:9" ht="30" x14ac:dyDescent="0.25">
      <c r="A1077" s="5" t="s">
        <v>32</v>
      </c>
      <c r="B1077" s="5" t="s">
        <v>515</v>
      </c>
      <c r="C1077" s="5" t="s">
        <v>1437</v>
      </c>
      <c r="D1077" s="3">
        <f>VLOOKUP(A1077,airports!A:H,7,FALSE)</f>
        <v>39.175401669999999</v>
      </c>
      <c r="E1077" s="3">
        <f>VLOOKUP(A1077,airports!A:H,8,FALSE)</f>
        <v>-76.668198329999996</v>
      </c>
      <c r="F1077" s="3">
        <f>VLOOKUP(B1077,airports!A:H,7,FALSE)</f>
        <v>42.880819719999998</v>
      </c>
      <c r="G1077" s="3">
        <f>VLOOKUP(B1077,airports!A:H,8,FALSE)</f>
        <v>-85.522767779999995</v>
      </c>
      <c r="H1077">
        <f t="shared" si="32"/>
        <v>848.7</v>
      </c>
      <c r="I1077">
        <f t="shared" si="33"/>
        <v>527.4</v>
      </c>
    </row>
    <row r="1078" spans="1:9" ht="30" x14ac:dyDescent="0.25">
      <c r="A1078" s="5" t="s">
        <v>32</v>
      </c>
      <c r="B1078" s="5" t="s">
        <v>519</v>
      </c>
      <c r="C1078" s="5" t="s">
        <v>1438</v>
      </c>
      <c r="D1078" s="3">
        <f>VLOOKUP(A1078,airports!A:H,7,FALSE)</f>
        <v>39.175401669999999</v>
      </c>
      <c r="E1078" s="3">
        <f>VLOOKUP(A1078,airports!A:H,8,FALSE)</f>
        <v>-76.668198329999996</v>
      </c>
      <c r="F1078" s="3">
        <f>VLOOKUP(B1078,airports!A:H,7,FALSE)</f>
        <v>34.89566722</v>
      </c>
      <c r="G1078" s="3">
        <f>VLOOKUP(B1078,airports!A:H,8,FALSE)</f>
        <v>-82.218858330000003</v>
      </c>
      <c r="H1078">
        <f t="shared" si="32"/>
        <v>684.7</v>
      </c>
      <c r="I1078">
        <f t="shared" si="33"/>
        <v>425.5</v>
      </c>
    </row>
    <row r="1079" spans="1:9" ht="30" x14ac:dyDescent="0.25">
      <c r="A1079" s="5" t="s">
        <v>32</v>
      </c>
      <c r="B1079" s="5" t="s">
        <v>205</v>
      </c>
      <c r="C1079" s="5" t="s">
        <v>1439</v>
      </c>
      <c r="D1079" s="3">
        <f>VLOOKUP(A1079,airports!A:H,7,FALSE)</f>
        <v>39.175401669999999</v>
      </c>
      <c r="E1079" s="3">
        <f>VLOOKUP(A1079,airports!A:H,8,FALSE)</f>
        <v>-76.668198329999996</v>
      </c>
      <c r="F1079" s="3">
        <f>VLOOKUP(B1079,airports!A:H,7,FALSE)</f>
        <v>29.64541861</v>
      </c>
      <c r="G1079" s="3">
        <f>VLOOKUP(B1079,airports!A:H,8,FALSE)</f>
        <v>-95.278888890000005</v>
      </c>
      <c r="H1079">
        <f t="shared" si="32"/>
        <v>2003.3</v>
      </c>
      <c r="I1079">
        <f t="shared" si="33"/>
        <v>1244.9000000000001</v>
      </c>
    </row>
    <row r="1080" spans="1:9" ht="30" x14ac:dyDescent="0.25">
      <c r="A1080" s="5" t="s">
        <v>32</v>
      </c>
      <c r="B1080" s="5" t="s">
        <v>67</v>
      </c>
      <c r="C1080" s="5" t="s">
        <v>1440</v>
      </c>
      <c r="D1080" s="3">
        <f>VLOOKUP(A1080,airports!A:H,7,FALSE)</f>
        <v>39.175401669999999</v>
      </c>
      <c r="E1080" s="3">
        <f>VLOOKUP(A1080,airports!A:H,8,FALSE)</f>
        <v>-76.668198329999996</v>
      </c>
      <c r="F1080" s="3">
        <f>VLOOKUP(B1080,airports!A:H,7,FALSE)</f>
        <v>29.980472219999999</v>
      </c>
      <c r="G1080" s="3">
        <f>VLOOKUP(B1080,airports!A:H,8,FALSE)</f>
        <v>-95.339722219999999</v>
      </c>
      <c r="H1080">
        <f t="shared" si="32"/>
        <v>1985.9</v>
      </c>
      <c r="I1080">
        <f t="shared" si="33"/>
        <v>1234.0999999999999</v>
      </c>
    </row>
    <row r="1081" spans="1:9" ht="30" x14ac:dyDescent="0.25">
      <c r="A1081" s="5" t="s">
        <v>32</v>
      </c>
      <c r="B1081" s="5" t="s">
        <v>537</v>
      </c>
      <c r="C1081" s="5" t="s">
        <v>1441</v>
      </c>
      <c r="D1081" s="3">
        <f>VLOOKUP(A1081,airports!A:H,7,FALSE)</f>
        <v>39.175401669999999</v>
      </c>
      <c r="E1081" s="3">
        <f>VLOOKUP(A1081,airports!A:H,8,FALSE)</f>
        <v>-76.668198329999996</v>
      </c>
      <c r="F1081" s="3">
        <f>VLOOKUP(B1081,airports!A:H,7,FALSE)</f>
        <v>39.717329169999999</v>
      </c>
      <c r="G1081" s="3">
        <f>VLOOKUP(B1081,airports!A:H,8,FALSE)</f>
        <v>-86.294384170000001</v>
      </c>
      <c r="H1081">
        <f t="shared" si="32"/>
        <v>828.4</v>
      </c>
      <c r="I1081">
        <f t="shared" si="33"/>
        <v>514.79999999999995</v>
      </c>
    </row>
    <row r="1082" spans="1:9" x14ac:dyDescent="0.25">
      <c r="A1082" s="5" t="s">
        <v>32</v>
      </c>
      <c r="B1082" s="5" t="s">
        <v>539</v>
      </c>
      <c r="C1082" s="5" t="s">
        <v>1442</v>
      </c>
      <c r="D1082" s="3">
        <f>VLOOKUP(A1082,airports!A:H,7,FALSE)</f>
        <v>39.175401669999999</v>
      </c>
      <c r="E1082" s="3">
        <f>VLOOKUP(A1082,airports!A:H,8,FALSE)</f>
        <v>-76.668198329999996</v>
      </c>
      <c r="F1082" s="3">
        <f>VLOOKUP(B1082,airports!A:H,7,FALSE)</f>
        <v>40.795242500000001</v>
      </c>
      <c r="G1082" s="3">
        <f>VLOOKUP(B1082,airports!A:H,8,FALSE)</f>
        <v>-73.100211939999994</v>
      </c>
      <c r="H1082">
        <f t="shared" si="32"/>
        <v>353.3</v>
      </c>
      <c r="I1082">
        <f t="shared" si="33"/>
        <v>219.5</v>
      </c>
    </row>
    <row r="1083" spans="1:9" ht="30" x14ac:dyDescent="0.25">
      <c r="A1083" s="5" t="s">
        <v>32</v>
      </c>
      <c r="B1083" s="5" t="s">
        <v>543</v>
      </c>
      <c r="C1083" s="5" t="s">
        <v>1443</v>
      </c>
      <c r="D1083" s="3">
        <f>VLOOKUP(A1083,airports!A:H,7,FALSE)</f>
        <v>39.175401669999999</v>
      </c>
      <c r="E1083" s="3">
        <f>VLOOKUP(A1083,airports!A:H,8,FALSE)</f>
        <v>-76.668198329999996</v>
      </c>
      <c r="F1083" s="3">
        <f>VLOOKUP(B1083,airports!A:H,7,FALSE)</f>
        <v>32.311166669999999</v>
      </c>
      <c r="G1083" s="3">
        <f>VLOOKUP(B1083,airports!A:H,8,FALSE)</f>
        <v>-90.075888890000002</v>
      </c>
      <c r="H1083">
        <f t="shared" si="32"/>
        <v>1428.3</v>
      </c>
      <c r="I1083">
        <f t="shared" si="33"/>
        <v>887.6</v>
      </c>
    </row>
    <row r="1084" spans="1:9" ht="30" x14ac:dyDescent="0.25">
      <c r="A1084" s="5" t="s">
        <v>32</v>
      </c>
      <c r="B1084" s="5" t="s">
        <v>68</v>
      </c>
      <c r="C1084" s="5" t="s">
        <v>1444</v>
      </c>
      <c r="D1084" s="3">
        <f>VLOOKUP(A1084,airports!A:H,7,FALSE)</f>
        <v>39.175401669999999</v>
      </c>
      <c r="E1084" s="3">
        <f>VLOOKUP(A1084,airports!A:H,8,FALSE)</f>
        <v>-76.668198329999996</v>
      </c>
      <c r="F1084" s="3">
        <f>VLOOKUP(B1084,airports!A:H,7,FALSE)</f>
        <v>30.49405556</v>
      </c>
      <c r="G1084" s="3">
        <f>VLOOKUP(B1084,airports!A:H,8,FALSE)</f>
        <v>-81.68786111</v>
      </c>
      <c r="H1084">
        <f t="shared" si="32"/>
        <v>1068</v>
      </c>
      <c r="I1084">
        <f t="shared" si="33"/>
        <v>663.7</v>
      </c>
    </row>
    <row r="1085" spans="1:9" x14ac:dyDescent="0.25">
      <c r="A1085" s="5" t="s">
        <v>32</v>
      </c>
      <c r="B1085" s="5" t="s">
        <v>69</v>
      </c>
      <c r="C1085" s="5" t="s">
        <v>1445</v>
      </c>
      <c r="D1085" s="3">
        <f>VLOOKUP(A1085,airports!A:H,7,FALSE)</f>
        <v>39.175401669999999</v>
      </c>
      <c r="E1085" s="3">
        <f>VLOOKUP(A1085,airports!A:H,8,FALSE)</f>
        <v>-76.668198329999996</v>
      </c>
      <c r="F1085" s="3">
        <f>VLOOKUP(B1085,airports!A:H,7,FALSE)</f>
        <v>40.639751109999999</v>
      </c>
      <c r="G1085" s="3">
        <f>VLOOKUP(B1085,airports!A:H,8,FALSE)</f>
        <v>-73.778925560000005</v>
      </c>
      <c r="H1085">
        <f t="shared" si="32"/>
        <v>295.3</v>
      </c>
      <c r="I1085">
        <f t="shared" si="33"/>
        <v>183.5</v>
      </c>
    </row>
    <row r="1086" spans="1:9" ht="30" x14ac:dyDescent="0.25">
      <c r="A1086" s="5" t="s">
        <v>32</v>
      </c>
      <c r="B1086" s="5" t="s">
        <v>71</v>
      </c>
      <c r="C1086" s="5" t="s">
        <v>1446</v>
      </c>
      <c r="D1086" s="3">
        <f>VLOOKUP(A1086,airports!A:H,7,FALSE)</f>
        <v>39.175401669999999</v>
      </c>
      <c r="E1086" s="3">
        <f>VLOOKUP(A1086,airports!A:H,8,FALSE)</f>
        <v>-76.668198329999996</v>
      </c>
      <c r="F1086" s="3">
        <f>VLOOKUP(B1086,airports!A:H,7,FALSE)</f>
        <v>36.080361109999998</v>
      </c>
      <c r="G1086" s="3">
        <f>VLOOKUP(B1086,airports!A:H,8,FALSE)</f>
        <v>-115.1523333</v>
      </c>
      <c r="H1086">
        <f t="shared" si="32"/>
        <v>3381.1</v>
      </c>
      <c r="I1086">
        <f t="shared" si="33"/>
        <v>2101.1</v>
      </c>
    </row>
    <row r="1087" spans="1:9" ht="30" x14ac:dyDescent="0.25">
      <c r="A1087" s="5" t="s">
        <v>32</v>
      </c>
      <c r="B1087" s="5" t="s">
        <v>73</v>
      </c>
      <c r="C1087" s="5" t="s">
        <v>1447</v>
      </c>
      <c r="D1087" s="3">
        <f>VLOOKUP(A1087,airports!A:H,7,FALSE)</f>
        <v>39.175401669999999</v>
      </c>
      <c r="E1087" s="3">
        <f>VLOOKUP(A1087,airports!A:H,8,FALSE)</f>
        <v>-76.668198329999996</v>
      </c>
      <c r="F1087" s="3">
        <f>VLOOKUP(B1087,airports!A:H,7,FALSE)</f>
        <v>33.942536109999999</v>
      </c>
      <c r="G1087" s="3">
        <f>VLOOKUP(B1087,airports!A:H,8,FALSE)</f>
        <v>-118.4080744</v>
      </c>
      <c r="H1087">
        <f t="shared" si="32"/>
        <v>3739.9</v>
      </c>
      <c r="I1087">
        <f t="shared" si="33"/>
        <v>2324</v>
      </c>
    </row>
    <row r="1088" spans="1:9" ht="30" x14ac:dyDescent="0.25">
      <c r="A1088" s="5" t="s">
        <v>32</v>
      </c>
      <c r="B1088" s="5" t="s">
        <v>74</v>
      </c>
      <c r="C1088" s="5" t="s">
        <v>1448</v>
      </c>
      <c r="D1088" s="3">
        <f>VLOOKUP(A1088,airports!A:H,7,FALSE)</f>
        <v>39.175401669999999</v>
      </c>
      <c r="E1088" s="3">
        <f>VLOOKUP(A1088,airports!A:H,8,FALSE)</f>
        <v>-76.668198329999996</v>
      </c>
      <c r="F1088" s="3">
        <f>VLOOKUP(B1088,airports!A:H,7,FALSE)</f>
        <v>40.777243060000004</v>
      </c>
      <c r="G1088" s="3">
        <f>VLOOKUP(B1088,airports!A:H,8,FALSE)</f>
        <v>-73.872609170000004</v>
      </c>
      <c r="H1088">
        <f t="shared" si="32"/>
        <v>297.39999999999998</v>
      </c>
      <c r="I1088">
        <f t="shared" si="33"/>
        <v>184.8</v>
      </c>
    </row>
    <row r="1089" spans="1:9" ht="30" x14ac:dyDescent="0.25">
      <c r="A1089" s="5" t="s">
        <v>32</v>
      </c>
      <c r="B1089" s="5" t="s">
        <v>80</v>
      </c>
      <c r="C1089" s="5" t="s">
        <v>1449</v>
      </c>
      <c r="D1089" s="3">
        <f>VLOOKUP(A1089,airports!A:H,7,FALSE)</f>
        <v>39.175401669999999</v>
      </c>
      <c r="E1089" s="3">
        <f>VLOOKUP(A1089,airports!A:H,8,FALSE)</f>
        <v>-76.668198329999996</v>
      </c>
      <c r="F1089" s="3">
        <f>VLOOKUP(B1089,airports!A:H,7,FALSE)</f>
        <v>39.297605279999999</v>
      </c>
      <c r="G1089" s="3">
        <f>VLOOKUP(B1089,airports!A:H,8,FALSE)</f>
        <v>-94.713905560000001</v>
      </c>
      <c r="H1089">
        <f t="shared" si="32"/>
        <v>1551.7</v>
      </c>
      <c r="I1089">
        <f t="shared" si="33"/>
        <v>964.2</v>
      </c>
    </row>
    <row r="1090" spans="1:9" ht="30" x14ac:dyDescent="0.25">
      <c r="A1090" s="5" t="s">
        <v>32</v>
      </c>
      <c r="B1090" s="5" t="s">
        <v>82</v>
      </c>
      <c r="C1090" s="5" t="s">
        <v>1450</v>
      </c>
      <c r="D1090" s="3">
        <f>VLOOKUP(A1090,airports!A:H,7,FALSE)</f>
        <v>39.175401669999999</v>
      </c>
      <c r="E1090" s="3">
        <f>VLOOKUP(A1090,airports!A:H,8,FALSE)</f>
        <v>-76.668198329999996</v>
      </c>
      <c r="F1090" s="3">
        <f>VLOOKUP(B1090,airports!A:H,7,FALSE)</f>
        <v>28.42888889</v>
      </c>
      <c r="G1090" s="3">
        <f>VLOOKUP(B1090,airports!A:H,8,FALSE)</f>
        <v>-81.316027779999999</v>
      </c>
      <c r="H1090">
        <f t="shared" si="32"/>
        <v>1269.3</v>
      </c>
      <c r="I1090">
        <f t="shared" si="33"/>
        <v>788.7</v>
      </c>
    </row>
    <row r="1091" spans="1:9" ht="30" x14ac:dyDescent="0.25">
      <c r="A1091" s="5" t="s">
        <v>32</v>
      </c>
      <c r="B1091" s="5" t="s">
        <v>180</v>
      </c>
      <c r="C1091" s="5" t="s">
        <v>1451</v>
      </c>
      <c r="D1091" s="3">
        <f>VLOOKUP(A1091,airports!A:H,7,FALSE)</f>
        <v>39.175401669999999</v>
      </c>
      <c r="E1091" s="3">
        <f>VLOOKUP(A1091,airports!A:H,8,FALSE)</f>
        <v>-76.668198329999996</v>
      </c>
      <c r="F1091" s="3">
        <f>VLOOKUP(B1091,airports!A:H,7,FALSE)</f>
        <v>41.785982500000003</v>
      </c>
      <c r="G1091" s="3">
        <f>VLOOKUP(B1091,airports!A:H,8,FALSE)</f>
        <v>-87.752424439999999</v>
      </c>
      <c r="H1091">
        <f t="shared" si="32"/>
        <v>980.6</v>
      </c>
      <c r="I1091">
        <f t="shared" si="33"/>
        <v>609.29999999999995</v>
      </c>
    </row>
    <row r="1092" spans="1:9" ht="30" x14ac:dyDescent="0.25">
      <c r="A1092" s="5" t="s">
        <v>32</v>
      </c>
      <c r="B1092" s="5" t="s">
        <v>563</v>
      </c>
      <c r="C1092" s="5" t="s">
        <v>1452</v>
      </c>
      <c r="D1092" s="3">
        <f>VLOOKUP(A1092,airports!A:H,7,FALSE)</f>
        <v>39.175401669999999</v>
      </c>
      <c r="E1092" s="3">
        <f>VLOOKUP(A1092,airports!A:H,8,FALSE)</f>
        <v>-76.668198329999996</v>
      </c>
      <c r="F1092" s="3">
        <f>VLOOKUP(B1092,airports!A:H,7,FALSE)</f>
        <v>35.042416670000001</v>
      </c>
      <c r="G1092" s="3">
        <f>VLOOKUP(B1092,airports!A:H,8,FALSE)</f>
        <v>-89.97666667</v>
      </c>
      <c r="H1092">
        <f t="shared" ref="H1092:H1155" si="34">ROUND(ACOS(COS(RADIANS(90-D1092)) * COS(RADIANS(90-F1092)) + SIN(RADIANS(90-D1092)) * SIN(RADIANS(90-F1092)) * COS(RADIANS(E1092-G1092))) * 6371,1)</f>
        <v>1264.9000000000001</v>
      </c>
      <c r="I1092">
        <f t="shared" ref="I1092:I1155" si="35">ROUND(ACOS(COS(RADIANS(90-D1092)) * COS(RADIANS(90-F1092)) + SIN(RADIANS(90-D1092)) * SIN(RADIANS(90-F1092)) * COS(RADIANS(E1092-G1092))) * 3959,1)</f>
        <v>786</v>
      </c>
    </row>
    <row r="1093" spans="1:9" ht="30" x14ac:dyDescent="0.25">
      <c r="A1093" s="5" t="s">
        <v>32</v>
      </c>
      <c r="B1093" s="5" t="s">
        <v>567</v>
      </c>
      <c r="C1093" s="5" t="s">
        <v>1453</v>
      </c>
      <c r="D1093" s="3">
        <f>VLOOKUP(A1093,airports!A:H,7,FALSE)</f>
        <v>39.175401669999999</v>
      </c>
      <c r="E1093" s="3">
        <f>VLOOKUP(A1093,airports!A:H,8,FALSE)</f>
        <v>-76.668198329999996</v>
      </c>
      <c r="F1093" s="3">
        <f>VLOOKUP(B1093,airports!A:H,7,FALSE)</f>
        <v>42.934516389999999</v>
      </c>
      <c r="G1093" s="3">
        <f>VLOOKUP(B1093,airports!A:H,8,FALSE)</f>
        <v>-71.437055830000006</v>
      </c>
      <c r="H1093">
        <f t="shared" si="34"/>
        <v>605.70000000000005</v>
      </c>
      <c r="I1093">
        <f t="shared" si="35"/>
        <v>376.4</v>
      </c>
    </row>
    <row r="1094" spans="1:9" ht="30" x14ac:dyDescent="0.25">
      <c r="A1094" s="5" t="s">
        <v>32</v>
      </c>
      <c r="B1094" s="5" t="s">
        <v>84</v>
      </c>
      <c r="C1094" s="5" t="s">
        <v>1454</v>
      </c>
      <c r="D1094" s="3">
        <f>VLOOKUP(A1094,airports!A:H,7,FALSE)</f>
        <v>39.175401669999999</v>
      </c>
      <c r="E1094" s="3">
        <f>VLOOKUP(A1094,airports!A:H,8,FALSE)</f>
        <v>-76.668198329999996</v>
      </c>
      <c r="F1094" s="3">
        <f>VLOOKUP(B1094,airports!A:H,7,FALSE)</f>
        <v>25.79325</v>
      </c>
      <c r="G1094" s="3">
        <f>VLOOKUP(B1094,airports!A:H,8,FALSE)</f>
        <v>-80.290555560000001</v>
      </c>
      <c r="H1094">
        <f t="shared" si="34"/>
        <v>1525.9</v>
      </c>
      <c r="I1094">
        <f t="shared" si="35"/>
        <v>948.2</v>
      </c>
    </row>
    <row r="1095" spans="1:9" ht="30" x14ac:dyDescent="0.25">
      <c r="A1095" s="5" t="s">
        <v>32</v>
      </c>
      <c r="B1095" s="5" t="s">
        <v>85</v>
      </c>
      <c r="C1095" s="5" t="s">
        <v>1455</v>
      </c>
      <c r="D1095" s="3">
        <f>VLOOKUP(A1095,airports!A:H,7,FALSE)</f>
        <v>39.175401669999999</v>
      </c>
      <c r="E1095" s="3">
        <f>VLOOKUP(A1095,airports!A:H,8,FALSE)</f>
        <v>-76.668198329999996</v>
      </c>
      <c r="F1095" s="3">
        <f>VLOOKUP(B1095,airports!A:H,7,FALSE)</f>
        <v>42.94722222</v>
      </c>
      <c r="G1095" s="3">
        <f>VLOOKUP(B1095,airports!A:H,8,FALSE)</f>
        <v>-87.896583329999999</v>
      </c>
      <c r="H1095">
        <f t="shared" si="34"/>
        <v>1029.5</v>
      </c>
      <c r="I1095">
        <f t="shared" si="35"/>
        <v>639.70000000000005</v>
      </c>
    </row>
    <row r="1096" spans="1:9" ht="30" x14ac:dyDescent="0.25">
      <c r="A1096" s="5" t="s">
        <v>32</v>
      </c>
      <c r="B1096" s="5" t="s">
        <v>87</v>
      </c>
      <c r="C1096" s="5" t="s">
        <v>1456</v>
      </c>
      <c r="D1096" s="3">
        <f>VLOOKUP(A1096,airports!A:H,7,FALSE)</f>
        <v>39.175401669999999</v>
      </c>
      <c r="E1096" s="3">
        <f>VLOOKUP(A1096,airports!A:H,8,FALSE)</f>
        <v>-76.668198329999996</v>
      </c>
      <c r="F1096" s="3">
        <f>VLOOKUP(B1096,airports!A:H,7,FALSE)</f>
        <v>44.880546940000002</v>
      </c>
      <c r="G1096" s="3">
        <f>VLOOKUP(B1096,airports!A:H,8,FALSE)</f>
        <v>-93.216922499999995</v>
      </c>
      <c r="H1096">
        <f t="shared" si="34"/>
        <v>1503.2</v>
      </c>
      <c r="I1096">
        <f t="shared" si="35"/>
        <v>934.1</v>
      </c>
    </row>
    <row r="1097" spans="1:9" ht="30" x14ac:dyDescent="0.25">
      <c r="A1097" s="5" t="s">
        <v>32</v>
      </c>
      <c r="B1097" s="5" t="s">
        <v>89</v>
      </c>
      <c r="C1097" s="5" t="s">
        <v>1457</v>
      </c>
      <c r="D1097" s="3">
        <f>VLOOKUP(A1097,airports!A:H,7,FALSE)</f>
        <v>39.175401669999999</v>
      </c>
      <c r="E1097" s="3">
        <f>VLOOKUP(A1097,airports!A:H,8,FALSE)</f>
        <v>-76.668198329999996</v>
      </c>
      <c r="F1097" s="3">
        <f>VLOOKUP(B1097,airports!A:H,7,FALSE)</f>
        <v>29.993388889999999</v>
      </c>
      <c r="G1097" s="3">
        <f>VLOOKUP(B1097,airports!A:H,8,FALSE)</f>
        <v>-90.258027780000006</v>
      </c>
      <c r="H1097">
        <f t="shared" si="34"/>
        <v>1606.2</v>
      </c>
      <c r="I1097">
        <f t="shared" si="35"/>
        <v>998.1</v>
      </c>
    </row>
    <row r="1098" spans="1:9" ht="30" x14ac:dyDescent="0.25">
      <c r="A1098" s="5" t="s">
        <v>32</v>
      </c>
      <c r="B1098" s="5" t="s">
        <v>182</v>
      </c>
      <c r="C1098" s="5" t="s">
        <v>1458</v>
      </c>
      <c r="D1098" s="3">
        <f>VLOOKUP(A1098,airports!A:H,7,FALSE)</f>
        <v>39.175401669999999</v>
      </c>
      <c r="E1098" s="3">
        <f>VLOOKUP(A1098,airports!A:H,8,FALSE)</f>
        <v>-76.668198329999996</v>
      </c>
      <c r="F1098" s="3">
        <f>VLOOKUP(B1098,airports!A:H,7,FALSE)</f>
        <v>33.679749999999999</v>
      </c>
      <c r="G1098" s="3">
        <f>VLOOKUP(B1098,airports!A:H,8,FALSE)</f>
        <v>-78.928333330000001</v>
      </c>
      <c r="H1098">
        <f t="shared" si="34"/>
        <v>643.6</v>
      </c>
      <c r="I1098">
        <f t="shared" si="35"/>
        <v>399.9</v>
      </c>
    </row>
    <row r="1099" spans="1:9" ht="30" x14ac:dyDescent="0.25">
      <c r="A1099" s="5" t="s">
        <v>32</v>
      </c>
      <c r="B1099" s="5" t="s">
        <v>215</v>
      </c>
      <c r="C1099" s="5" t="s">
        <v>1459</v>
      </c>
      <c r="D1099" s="3">
        <f>VLOOKUP(A1099,airports!A:H,7,FALSE)</f>
        <v>39.175401669999999</v>
      </c>
      <c r="E1099" s="3">
        <f>VLOOKUP(A1099,airports!A:H,8,FALSE)</f>
        <v>-76.668198329999996</v>
      </c>
      <c r="F1099" s="3">
        <f>VLOOKUP(B1099,airports!A:H,7,FALSE)</f>
        <v>37.721290830000001</v>
      </c>
      <c r="G1099" s="3">
        <f>VLOOKUP(B1099,airports!A:H,8,FALSE)</f>
        <v>-122.2207167</v>
      </c>
      <c r="H1099">
        <f t="shared" si="34"/>
        <v>3928.1</v>
      </c>
      <c r="I1099">
        <f t="shared" si="35"/>
        <v>2440.9</v>
      </c>
    </row>
    <row r="1100" spans="1:9" ht="30" x14ac:dyDescent="0.25">
      <c r="A1100" s="5" t="s">
        <v>32</v>
      </c>
      <c r="B1100" s="5" t="s">
        <v>590</v>
      </c>
      <c r="C1100" s="5" t="s">
        <v>1460</v>
      </c>
      <c r="D1100" s="3">
        <f>VLOOKUP(A1100,airports!A:H,7,FALSE)</f>
        <v>39.175401669999999</v>
      </c>
      <c r="E1100" s="3">
        <f>VLOOKUP(A1100,airports!A:H,8,FALSE)</f>
        <v>-76.668198329999996</v>
      </c>
      <c r="F1100" s="3">
        <f>VLOOKUP(B1100,airports!A:H,7,FALSE)</f>
        <v>35.393088329999998</v>
      </c>
      <c r="G1100" s="3">
        <f>VLOOKUP(B1100,airports!A:H,8,FALSE)</f>
        <v>-97.600733890000001</v>
      </c>
      <c r="H1100">
        <f t="shared" si="34"/>
        <v>1894.5</v>
      </c>
      <c r="I1100">
        <f t="shared" si="35"/>
        <v>1177.2</v>
      </c>
    </row>
    <row r="1101" spans="1:9" ht="30" x14ac:dyDescent="0.25">
      <c r="A1101" s="5" t="s">
        <v>32</v>
      </c>
      <c r="B1101" s="5" t="s">
        <v>95</v>
      </c>
      <c r="C1101" s="5" t="s">
        <v>1461</v>
      </c>
      <c r="D1101" s="3">
        <f>VLOOKUP(A1101,airports!A:H,7,FALSE)</f>
        <v>39.175401669999999</v>
      </c>
      <c r="E1101" s="3">
        <f>VLOOKUP(A1101,airports!A:H,8,FALSE)</f>
        <v>-76.668198329999996</v>
      </c>
      <c r="F1101" s="3">
        <f>VLOOKUP(B1101,airports!A:H,7,FALSE)</f>
        <v>41.979595000000003</v>
      </c>
      <c r="G1101" s="3">
        <f>VLOOKUP(B1101,airports!A:H,8,FALSE)</f>
        <v>-87.904464169999997</v>
      </c>
      <c r="H1101">
        <f t="shared" si="34"/>
        <v>998</v>
      </c>
      <c r="I1101">
        <f t="shared" si="35"/>
        <v>620.20000000000005</v>
      </c>
    </row>
    <row r="1102" spans="1:9" ht="30" x14ac:dyDescent="0.25">
      <c r="A1102" s="5" t="s">
        <v>32</v>
      </c>
      <c r="B1102" s="5" t="s">
        <v>596</v>
      </c>
      <c r="C1102" s="5" t="s">
        <v>1462</v>
      </c>
      <c r="D1102" s="3">
        <f>VLOOKUP(A1102,airports!A:H,7,FALSE)</f>
        <v>39.175401669999999</v>
      </c>
      <c r="E1102" s="3">
        <f>VLOOKUP(A1102,airports!A:H,8,FALSE)</f>
        <v>-76.668198329999996</v>
      </c>
      <c r="F1102" s="3">
        <f>VLOOKUP(B1102,airports!A:H,7,FALSE)</f>
        <v>36.89461111</v>
      </c>
      <c r="G1102" s="3">
        <f>VLOOKUP(B1102,airports!A:H,8,FALSE)</f>
        <v>-76.201222220000005</v>
      </c>
      <c r="H1102">
        <f t="shared" si="34"/>
        <v>256.89999999999998</v>
      </c>
      <c r="I1102">
        <f t="shared" si="35"/>
        <v>159.6</v>
      </c>
    </row>
    <row r="1103" spans="1:9" x14ac:dyDescent="0.25">
      <c r="A1103" s="5" t="s">
        <v>32</v>
      </c>
      <c r="B1103" s="5" t="s">
        <v>99</v>
      </c>
      <c r="C1103" s="5" t="s">
        <v>1463</v>
      </c>
      <c r="D1103" s="3">
        <f>VLOOKUP(A1103,airports!A:H,7,FALSE)</f>
        <v>39.175401669999999</v>
      </c>
      <c r="E1103" s="3">
        <f>VLOOKUP(A1103,airports!A:H,8,FALSE)</f>
        <v>-76.668198329999996</v>
      </c>
      <c r="F1103" s="3">
        <f>VLOOKUP(B1103,airports!A:H,7,FALSE)</f>
        <v>26.683161940000002</v>
      </c>
      <c r="G1103" s="3">
        <f>VLOOKUP(B1103,airports!A:H,8,FALSE)</f>
        <v>-80.095594169999998</v>
      </c>
      <c r="H1103">
        <f t="shared" si="34"/>
        <v>1425.1</v>
      </c>
      <c r="I1103">
        <f t="shared" si="35"/>
        <v>885.6</v>
      </c>
    </row>
    <row r="1104" spans="1:9" ht="30" x14ac:dyDescent="0.25">
      <c r="A1104" s="5" t="s">
        <v>32</v>
      </c>
      <c r="B1104" s="5" t="s">
        <v>100</v>
      </c>
      <c r="C1104" s="5" t="s">
        <v>1464</v>
      </c>
      <c r="D1104" s="3">
        <f>VLOOKUP(A1104,airports!A:H,7,FALSE)</f>
        <v>39.175401669999999</v>
      </c>
      <c r="E1104" s="3">
        <f>VLOOKUP(A1104,airports!A:H,8,FALSE)</f>
        <v>-76.668198329999996</v>
      </c>
      <c r="F1104" s="3">
        <f>VLOOKUP(B1104,airports!A:H,7,FALSE)</f>
        <v>45.588722220000001</v>
      </c>
      <c r="G1104" s="3">
        <f>VLOOKUP(B1104,airports!A:H,8,FALSE)</f>
        <v>-122.5975</v>
      </c>
      <c r="H1104">
        <f t="shared" si="34"/>
        <v>3785.9</v>
      </c>
      <c r="I1104">
        <f t="shared" si="35"/>
        <v>2352.6</v>
      </c>
    </row>
    <row r="1105" spans="1:9" ht="30" x14ac:dyDescent="0.25">
      <c r="A1105" s="5" t="s">
        <v>32</v>
      </c>
      <c r="B1105" s="5" t="s">
        <v>185</v>
      </c>
      <c r="C1105" s="5" t="s">
        <v>1465</v>
      </c>
      <c r="D1105" s="3">
        <f>VLOOKUP(A1105,airports!A:H,7,FALSE)</f>
        <v>39.175401669999999</v>
      </c>
      <c r="E1105" s="3">
        <f>VLOOKUP(A1105,airports!A:H,8,FALSE)</f>
        <v>-76.668198329999996</v>
      </c>
      <c r="F1105" s="3">
        <f>VLOOKUP(B1105,airports!A:H,7,FALSE)</f>
        <v>26.919699999999999</v>
      </c>
      <c r="G1105" s="3">
        <f>VLOOKUP(B1105,airports!A:H,8,FALSE)</f>
        <v>-81.995999999999995</v>
      </c>
      <c r="H1105">
        <f t="shared" si="34"/>
        <v>1449.7</v>
      </c>
      <c r="I1105">
        <f t="shared" si="35"/>
        <v>900.8</v>
      </c>
    </row>
    <row r="1106" spans="1:9" ht="30" x14ac:dyDescent="0.25">
      <c r="A1106" s="5" t="s">
        <v>32</v>
      </c>
      <c r="B1106" s="5" t="s">
        <v>102</v>
      </c>
      <c r="C1106" s="5" t="s">
        <v>1466</v>
      </c>
      <c r="D1106" s="3">
        <f>VLOOKUP(A1106,airports!A:H,7,FALSE)</f>
        <v>39.175401669999999</v>
      </c>
      <c r="E1106" s="3">
        <f>VLOOKUP(A1106,airports!A:H,8,FALSE)</f>
        <v>-76.668198329999996</v>
      </c>
      <c r="F1106" s="3">
        <f>VLOOKUP(B1106,airports!A:H,7,FALSE)</f>
        <v>39.871952780000001</v>
      </c>
      <c r="G1106" s="3">
        <f>VLOOKUP(B1106,airports!A:H,8,FALSE)</f>
        <v>-75.241140830000006</v>
      </c>
      <c r="H1106">
        <f t="shared" si="34"/>
        <v>144.80000000000001</v>
      </c>
      <c r="I1106">
        <f t="shared" si="35"/>
        <v>90</v>
      </c>
    </row>
    <row r="1107" spans="1:9" ht="30" x14ac:dyDescent="0.25">
      <c r="A1107" s="5" t="s">
        <v>32</v>
      </c>
      <c r="B1107" s="5" t="s">
        <v>104</v>
      </c>
      <c r="C1107" s="5" t="s">
        <v>1467</v>
      </c>
      <c r="D1107" s="3">
        <f>VLOOKUP(A1107,airports!A:H,7,FALSE)</f>
        <v>39.175401669999999</v>
      </c>
      <c r="E1107" s="3">
        <f>VLOOKUP(A1107,airports!A:H,8,FALSE)</f>
        <v>-76.668198329999996</v>
      </c>
      <c r="F1107" s="3">
        <f>VLOOKUP(B1107,airports!A:H,7,FALSE)</f>
        <v>33.434166670000003</v>
      </c>
      <c r="G1107" s="3">
        <f>VLOOKUP(B1107,airports!A:H,8,FALSE)</f>
        <v>-112.00805560000001</v>
      </c>
      <c r="H1107">
        <f t="shared" si="34"/>
        <v>3209.4</v>
      </c>
      <c r="I1107">
        <f t="shared" si="35"/>
        <v>1994.4</v>
      </c>
    </row>
    <row r="1108" spans="1:9" x14ac:dyDescent="0.25">
      <c r="A1108" s="5" t="s">
        <v>32</v>
      </c>
      <c r="B1108" s="5" t="s">
        <v>106</v>
      </c>
      <c r="C1108" s="5" t="s">
        <v>1468</v>
      </c>
      <c r="D1108" s="3">
        <f>VLOOKUP(A1108,airports!A:H,7,FALSE)</f>
        <v>39.175401669999999</v>
      </c>
      <c r="E1108" s="3">
        <f>VLOOKUP(A1108,airports!A:H,8,FALSE)</f>
        <v>-76.668198329999996</v>
      </c>
      <c r="F1108" s="3">
        <f>VLOOKUP(B1108,airports!A:H,7,FALSE)</f>
        <v>40.491465830000003</v>
      </c>
      <c r="G1108" s="3">
        <f>VLOOKUP(B1108,airports!A:H,8,FALSE)</f>
        <v>-80.232870829999996</v>
      </c>
      <c r="H1108">
        <f t="shared" si="34"/>
        <v>337.7</v>
      </c>
      <c r="I1108">
        <f t="shared" si="35"/>
        <v>209.8</v>
      </c>
    </row>
    <row r="1109" spans="1:9" ht="30" x14ac:dyDescent="0.25">
      <c r="A1109" s="5" t="s">
        <v>32</v>
      </c>
      <c r="B1109" s="5" t="s">
        <v>607</v>
      </c>
      <c r="C1109" s="5" t="s">
        <v>1469</v>
      </c>
      <c r="D1109" s="3">
        <f>VLOOKUP(A1109,airports!A:H,7,FALSE)</f>
        <v>39.175401669999999</v>
      </c>
      <c r="E1109" s="3">
        <f>VLOOKUP(A1109,airports!A:H,8,FALSE)</f>
        <v>-76.668198329999996</v>
      </c>
      <c r="F1109" s="3">
        <f>VLOOKUP(B1109,airports!A:H,7,FALSE)</f>
        <v>30.47330556</v>
      </c>
      <c r="G1109" s="3">
        <f>VLOOKUP(B1109,airports!A:H,8,FALSE)</f>
        <v>-87.187444439999993</v>
      </c>
      <c r="H1109">
        <f t="shared" si="34"/>
        <v>1361.3</v>
      </c>
      <c r="I1109">
        <f t="shared" si="35"/>
        <v>845.9</v>
      </c>
    </row>
    <row r="1110" spans="1:9" ht="30" x14ac:dyDescent="0.25">
      <c r="A1110" s="5" t="s">
        <v>32</v>
      </c>
      <c r="B1110" s="5" t="s">
        <v>114</v>
      </c>
      <c r="C1110" s="5" t="s">
        <v>1470</v>
      </c>
      <c r="D1110" s="3">
        <f>VLOOKUP(A1110,airports!A:H,7,FALSE)</f>
        <v>39.175401669999999</v>
      </c>
      <c r="E1110" s="3">
        <f>VLOOKUP(A1110,airports!A:H,8,FALSE)</f>
        <v>-76.668198329999996</v>
      </c>
      <c r="F1110" s="3">
        <f>VLOOKUP(B1110,airports!A:H,7,FALSE)</f>
        <v>41.723999169999999</v>
      </c>
      <c r="G1110" s="3">
        <f>VLOOKUP(B1110,airports!A:H,8,FALSE)</f>
        <v>-71.428221109999996</v>
      </c>
      <c r="H1110">
        <f t="shared" si="34"/>
        <v>526.1</v>
      </c>
      <c r="I1110">
        <f t="shared" si="35"/>
        <v>326.89999999999998</v>
      </c>
    </row>
    <row r="1111" spans="1:9" ht="30" x14ac:dyDescent="0.25">
      <c r="A1111" s="5" t="s">
        <v>32</v>
      </c>
      <c r="B1111" s="5" t="s">
        <v>117</v>
      </c>
      <c r="C1111" s="5" t="s">
        <v>1471</v>
      </c>
      <c r="D1111" s="3">
        <f>VLOOKUP(A1111,airports!A:H,7,FALSE)</f>
        <v>39.175401669999999</v>
      </c>
      <c r="E1111" s="3">
        <f>VLOOKUP(A1111,airports!A:H,8,FALSE)</f>
        <v>-76.668198329999996</v>
      </c>
      <c r="F1111" s="3">
        <f>VLOOKUP(B1111,airports!A:H,7,FALSE)</f>
        <v>43.646166669999999</v>
      </c>
      <c r="G1111" s="3">
        <f>VLOOKUP(B1111,airports!A:H,8,FALSE)</f>
        <v>-70.308750000000003</v>
      </c>
      <c r="H1111">
        <f t="shared" si="34"/>
        <v>726.5</v>
      </c>
      <c r="I1111">
        <f t="shared" si="35"/>
        <v>451.5</v>
      </c>
    </row>
    <row r="1112" spans="1:9" ht="30" x14ac:dyDescent="0.25">
      <c r="A1112" s="5" t="s">
        <v>32</v>
      </c>
      <c r="B1112" s="5" t="s">
        <v>119</v>
      </c>
      <c r="C1112" s="5" t="s">
        <v>1472</v>
      </c>
      <c r="D1112" s="3">
        <f>VLOOKUP(A1112,airports!A:H,7,FALSE)</f>
        <v>39.175401669999999</v>
      </c>
      <c r="E1112" s="3">
        <f>VLOOKUP(A1112,airports!A:H,8,FALSE)</f>
        <v>-76.668198329999996</v>
      </c>
      <c r="F1112" s="3">
        <f>VLOOKUP(B1112,airports!A:H,7,FALSE)</f>
        <v>35.87763889</v>
      </c>
      <c r="G1112" s="3">
        <f>VLOOKUP(B1112,airports!A:H,8,FALSE)</f>
        <v>-78.787472219999998</v>
      </c>
      <c r="H1112">
        <f t="shared" si="34"/>
        <v>411.5</v>
      </c>
      <c r="I1112">
        <f t="shared" si="35"/>
        <v>255.7</v>
      </c>
    </row>
    <row r="1113" spans="1:9" ht="30" x14ac:dyDescent="0.25">
      <c r="A1113" s="5" t="s">
        <v>32</v>
      </c>
      <c r="B1113" s="5" t="s">
        <v>122</v>
      </c>
      <c r="C1113" s="5" t="s">
        <v>1473</v>
      </c>
      <c r="D1113" s="3">
        <f>VLOOKUP(A1113,airports!A:H,7,FALSE)</f>
        <v>39.175401669999999</v>
      </c>
      <c r="E1113" s="3">
        <f>VLOOKUP(A1113,airports!A:H,8,FALSE)</f>
        <v>-76.668198329999996</v>
      </c>
      <c r="F1113" s="3">
        <f>VLOOKUP(B1113,airports!A:H,7,FALSE)</f>
        <v>43.118866109999999</v>
      </c>
      <c r="G1113" s="3">
        <f>VLOOKUP(B1113,airports!A:H,8,FALSE)</f>
        <v>-77.672383890000006</v>
      </c>
      <c r="H1113">
        <f t="shared" si="34"/>
        <v>446.5</v>
      </c>
      <c r="I1113">
        <f t="shared" si="35"/>
        <v>277.39999999999998</v>
      </c>
    </row>
    <row r="1114" spans="1:9" ht="30" x14ac:dyDescent="0.25">
      <c r="A1114" s="5" t="s">
        <v>32</v>
      </c>
      <c r="B1114" s="5" t="s">
        <v>123</v>
      </c>
      <c r="C1114" s="5" t="s">
        <v>1474</v>
      </c>
      <c r="D1114" s="3">
        <f>VLOOKUP(A1114,airports!A:H,7,FALSE)</f>
        <v>39.175401669999999</v>
      </c>
      <c r="E1114" s="3">
        <f>VLOOKUP(A1114,airports!A:H,8,FALSE)</f>
        <v>-76.668198329999996</v>
      </c>
      <c r="F1114" s="3">
        <f>VLOOKUP(B1114,airports!A:H,7,FALSE)</f>
        <v>26.53616667</v>
      </c>
      <c r="G1114" s="3">
        <f>VLOOKUP(B1114,airports!A:H,8,FALSE)</f>
        <v>-81.755166669999994</v>
      </c>
      <c r="H1114">
        <f t="shared" si="34"/>
        <v>1482.9</v>
      </c>
      <c r="I1114">
        <f t="shared" si="35"/>
        <v>921.5</v>
      </c>
    </row>
    <row r="1115" spans="1:9" ht="30" x14ac:dyDescent="0.25">
      <c r="A1115" s="5" t="s">
        <v>32</v>
      </c>
      <c r="B1115" s="5" t="s">
        <v>124</v>
      </c>
      <c r="C1115" s="5" t="s">
        <v>1475</v>
      </c>
      <c r="D1115" s="3">
        <f>VLOOKUP(A1115,airports!A:H,7,FALSE)</f>
        <v>39.175401669999999</v>
      </c>
      <c r="E1115" s="3">
        <f>VLOOKUP(A1115,airports!A:H,8,FALSE)</f>
        <v>-76.668198329999996</v>
      </c>
      <c r="F1115" s="3">
        <f>VLOOKUP(B1115,airports!A:H,7,FALSE)</f>
        <v>32.733556110000002</v>
      </c>
      <c r="G1115" s="3">
        <f>VLOOKUP(B1115,airports!A:H,8,FALSE)</f>
        <v>-117.1896567</v>
      </c>
      <c r="H1115">
        <f t="shared" si="34"/>
        <v>3685.6</v>
      </c>
      <c r="I1115">
        <f t="shared" si="35"/>
        <v>2290.3000000000002</v>
      </c>
    </row>
    <row r="1116" spans="1:9" ht="30" x14ac:dyDescent="0.25">
      <c r="A1116" s="5" t="s">
        <v>32</v>
      </c>
      <c r="B1116" s="5" t="s">
        <v>125</v>
      </c>
      <c r="C1116" s="5" t="s">
        <v>1476</v>
      </c>
      <c r="D1116" s="3">
        <f>VLOOKUP(A1116,airports!A:H,7,FALSE)</f>
        <v>39.175401669999999</v>
      </c>
      <c r="E1116" s="3">
        <f>VLOOKUP(A1116,airports!A:H,8,FALSE)</f>
        <v>-76.668198329999996</v>
      </c>
      <c r="F1116" s="3">
        <f>VLOOKUP(B1116,airports!A:H,7,FALSE)</f>
        <v>29.533694440000001</v>
      </c>
      <c r="G1116" s="3">
        <f>VLOOKUP(B1116,airports!A:H,8,FALSE)</f>
        <v>-98.469777780000001</v>
      </c>
      <c r="H1116">
        <f t="shared" si="34"/>
        <v>2262</v>
      </c>
      <c r="I1116">
        <f t="shared" si="35"/>
        <v>1405.6</v>
      </c>
    </row>
    <row r="1117" spans="1:9" ht="30" x14ac:dyDescent="0.25">
      <c r="A1117" s="5" t="s">
        <v>32</v>
      </c>
      <c r="B1117" s="5" t="s">
        <v>126</v>
      </c>
      <c r="C1117" s="5" t="s">
        <v>1477</v>
      </c>
      <c r="D1117" s="3">
        <f>VLOOKUP(A1117,airports!A:H,7,FALSE)</f>
        <v>39.175401669999999</v>
      </c>
      <c r="E1117" s="3">
        <f>VLOOKUP(A1117,airports!A:H,8,FALSE)</f>
        <v>-76.668198329999996</v>
      </c>
      <c r="F1117" s="3">
        <f>VLOOKUP(B1117,airports!A:H,7,FALSE)</f>
        <v>32.12758333</v>
      </c>
      <c r="G1117" s="3">
        <f>VLOOKUP(B1117,airports!A:H,8,FALSE)</f>
        <v>-81.202138890000001</v>
      </c>
      <c r="H1117">
        <f t="shared" si="34"/>
        <v>884</v>
      </c>
      <c r="I1117">
        <f t="shared" si="35"/>
        <v>549.29999999999995</v>
      </c>
    </row>
    <row r="1118" spans="1:9" ht="30" x14ac:dyDescent="0.25">
      <c r="A1118" s="5" t="s">
        <v>32</v>
      </c>
      <c r="B1118" s="5" t="s">
        <v>630</v>
      </c>
      <c r="C1118" s="5" t="s">
        <v>1478</v>
      </c>
      <c r="D1118" s="3">
        <f>VLOOKUP(A1118,airports!A:H,7,FALSE)</f>
        <v>39.175401669999999</v>
      </c>
      <c r="E1118" s="3">
        <f>VLOOKUP(A1118,airports!A:H,8,FALSE)</f>
        <v>-76.668198329999996</v>
      </c>
      <c r="F1118" s="3">
        <f>VLOOKUP(B1118,airports!A:H,7,FALSE)</f>
        <v>38.174388890000003</v>
      </c>
      <c r="G1118" s="3">
        <f>VLOOKUP(B1118,airports!A:H,8,FALSE)</f>
        <v>-85.736000000000004</v>
      </c>
      <c r="H1118">
        <f t="shared" si="34"/>
        <v>794.7</v>
      </c>
      <c r="I1118">
        <f t="shared" si="35"/>
        <v>493.8</v>
      </c>
    </row>
    <row r="1119" spans="1:9" ht="30" x14ac:dyDescent="0.25">
      <c r="A1119" s="5" t="s">
        <v>32</v>
      </c>
      <c r="B1119" s="5" t="s">
        <v>128</v>
      </c>
      <c r="C1119" s="5" t="s">
        <v>1479</v>
      </c>
      <c r="D1119" s="3">
        <f>VLOOKUP(A1119,airports!A:H,7,FALSE)</f>
        <v>39.175401669999999</v>
      </c>
      <c r="E1119" s="3">
        <f>VLOOKUP(A1119,airports!A:H,8,FALSE)</f>
        <v>-76.668198329999996</v>
      </c>
      <c r="F1119" s="3">
        <f>VLOOKUP(B1119,airports!A:H,7,FALSE)</f>
        <v>47.448981940000003</v>
      </c>
      <c r="G1119" s="3">
        <f>VLOOKUP(B1119,airports!A:H,8,FALSE)</f>
        <v>-122.3093131</v>
      </c>
      <c r="H1119">
        <f t="shared" si="34"/>
        <v>3748.2</v>
      </c>
      <c r="I1119">
        <f t="shared" si="35"/>
        <v>2329.1</v>
      </c>
    </row>
    <row r="1120" spans="1:9" ht="30" x14ac:dyDescent="0.25">
      <c r="A1120" s="5" t="s">
        <v>32</v>
      </c>
      <c r="B1120" s="5" t="s">
        <v>130</v>
      </c>
      <c r="C1120" s="5" t="s">
        <v>1480</v>
      </c>
      <c r="D1120" s="3">
        <f>VLOOKUP(A1120,airports!A:H,7,FALSE)</f>
        <v>39.175401669999999</v>
      </c>
      <c r="E1120" s="3">
        <f>VLOOKUP(A1120,airports!A:H,8,FALSE)</f>
        <v>-76.668198329999996</v>
      </c>
      <c r="F1120" s="3">
        <f>VLOOKUP(B1120,airports!A:H,7,FALSE)</f>
        <v>37.619001939999997</v>
      </c>
      <c r="G1120" s="3">
        <f>VLOOKUP(B1120,airports!A:H,8,FALSE)</f>
        <v>-122.37484329999999</v>
      </c>
      <c r="H1120">
        <f t="shared" si="34"/>
        <v>3944.3</v>
      </c>
      <c r="I1120">
        <f t="shared" si="35"/>
        <v>2451.1</v>
      </c>
    </row>
    <row r="1121" spans="1:9" x14ac:dyDescent="0.25">
      <c r="A1121" s="5" t="s">
        <v>32</v>
      </c>
      <c r="B1121" s="5" t="s">
        <v>131</v>
      </c>
      <c r="C1121" s="5" t="s">
        <v>1481</v>
      </c>
      <c r="D1121" s="3">
        <f>VLOOKUP(A1121,airports!A:H,7,FALSE)</f>
        <v>39.175401669999999</v>
      </c>
      <c r="E1121" s="3">
        <f>VLOOKUP(A1121,airports!A:H,8,FALSE)</f>
        <v>-76.668198329999996</v>
      </c>
      <c r="F1121" s="3">
        <f>VLOOKUP(B1121,airports!A:H,7,FALSE)</f>
        <v>37.361861939999997</v>
      </c>
      <c r="G1121" s="3">
        <f>VLOOKUP(B1121,airports!A:H,8,FALSE)</f>
        <v>-121.9290089</v>
      </c>
      <c r="H1121">
        <f t="shared" si="34"/>
        <v>3915.2</v>
      </c>
      <c r="I1121">
        <f t="shared" si="35"/>
        <v>2432.9</v>
      </c>
    </row>
    <row r="1122" spans="1:9" x14ac:dyDescent="0.25">
      <c r="A1122" s="5" t="s">
        <v>32</v>
      </c>
      <c r="B1122" s="5" t="s">
        <v>134</v>
      </c>
      <c r="C1122" s="5" t="s">
        <v>1482</v>
      </c>
      <c r="D1122" s="3">
        <f>VLOOKUP(A1122,airports!A:H,7,FALSE)</f>
        <v>39.175401669999999</v>
      </c>
      <c r="E1122" s="3">
        <f>VLOOKUP(A1122,airports!A:H,8,FALSE)</f>
        <v>-76.668198329999996</v>
      </c>
      <c r="F1122" s="3">
        <f>VLOOKUP(B1122,airports!A:H,7,FALSE)</f>
        <v>18.43941667</v>
      </c>
      <c r="G1122" s="3">
        <f>VLOOKUP(B1122,airports!A:H,8,FALSE)</f>
        <v>-66.001833329999997</v>
      </c>
      <c r="H1122">
        <f t="shared" si="34"/>
        <v>2524.5</v>
      </c>
      <c r="I1122">
        <f t="shared" si="35"/>
        <v>1568.8</v>
      </c>
    </row>
    <row r="1123" spans="1:9" x14ac:dyDescent="0.25">
      <c r="A1123" s="5" t="s">
        <v>32</v>
      </c>
      <c r="B1123" s="5" t="s">
        <v>135</v>
      </c>
      <c r="C1123" s="5" t="s">
        <v>1483</v>
      </c>
      <c r="D1123" s="3">
        <f>VLOOKUP(A1123,airports!A:H,7,FALSE)</f>
        <v>39.175401669999999</v>
      </c>
      <c r="E1123" s="3">
        <f>VLOOKUP(A1123,airports!A:H,8,FALSE)</f>
        <v>-76.668198329999996</v>
      </c>
      <c r="F1123" s="3">
        <f>VLOOKUP(B1123,airports!A:H,7,FALSE)</f>
        <v>40.788387780000001</v>
      </c>
      <c r="G1123" s="3">
        <f>VLOOKUP(B1123,airports!A:H,8,FALSE)</f>
        <v>-111.97777309999999</v>
      </c>
      <c r="H1123">
        <f t="shared" si="34"/>
        <v>2993.5</v>
      </c>
      <c r="I1123">
        <f t="shared" si="35"/>
        <v>1860.2</v>
      </c>
    </row>
    <row r="1124" spans="1:9" ht="30" x14ac:dyDescent="0.25">
      <c r="A1124" s="5" t="s">
        <v>32</v>
      </c>
      <c r="B1124" s="5" t="s">
        <v>137</v>
      </c>
      <c r="C1124" s="5" t="s">
        <v>1484</v>
      </c>
      <c r="D1124" s="3">
        <f>VLOOKUP(A1124,airports!A:H,7,FALSE)</f>
        <v>39.175401669999999</v>
      </c>
      <c r="E1124" s="3">
        <f>VLOOKUP(A1124,airports!A:H,8,FALSE)</f>
        <v>-76.668198329999996</v>
      </c>
      <c r="F1124" s="3">
        <f>VLOOKUP(B1124,airports!A:H,7,FALSE)</f>
        <v>38.695421670000002</v>
      </c>
      <c r="G1124" s="3">
        <f>VLOOKUP(B1124,airports!A:H,8,FALSE)</f>
        <v>-121.59076690000001</v>
      </c>
      <c r="H1124">
        <f t="shared" si="34"/>
        <v>3845.2</v>
      </c>
      <c r="I1124">
        <f t="shared" si="35"/>
        <v>2389.4</v>
      </c>
    </row>
    <row r="1125" spans="1:9" ht="30" x14ac:dyDescent="0.25">
      <c r="A1125" s="5" t="s">
        <v>32</v>
      </c>
      <c r="B1125" s="5" t="s">
        <v>138</v>
      </c>
      <c r="C1125" s="5" t="s">
        <v>1485</v>
      </c>
      <c r="D1125" s="3">
        <f>VLOOKUP(A1125,airports!A:H,7,FALSE)</f>
        <v>39.175401669999999</v>
      </c>
      <c r="E1125" s="3">
        <f>VLOOKUP(A1125,airports!A:H,8,FALSE)</f>
        <v>-76.668198329999996</v>
      </c>
      <c r="F1125" s="3">
        <f>VLOOKUP(B1125,airports!A:H,7,FALSE)</f>
        <v>27.39533333</v>
      </c>
      <c r="G1125" s="3">
        <f>VLOOKUP(B1125,airports!A:H,8,FALSE)</f>
        <v>-82.554111109999994</v>
      </c>
      <c r="H1125">
        <f t="shared" si="34"/>
        <v>1418.7</v>
      </c>
      <c r="I1125">
        <f t="shared" si="35"/>
        <v>881.6</v>
      </c>
    </row>
    <row r="1126" spans="1:9" x14ac:dyDescent="0.25">
      <c r="A1126" s="5" t="s">
        <v>32</v>
      </c>
      <c r="B1126" s="5" t="s">
        <v>644</v>
      </c>
      <c r="C1126" s="5" t="s">
        <v>1486</v>
      </c>
      <c r="D1126" s="3">
        <f>VLOOKUP(A1126,airports!A:H,7,FALSE)</f>
        <v>39.175401669999999</v>
      </c>
      <c r="E1126" s="3">
        <f>VLOOKUP(A1126,airports!A:H,8,FALSE)</f>
        <v>-76.668198329999996</v>
      </c>
      <c r="F1126" s="3">
        <f>VLOOKUP(B1126,airports!A:H,7,FALSE)</f>
        <v>38.747686940000001</v>
      </c>
      <c r="G1126" s="3">
        <f>VLOOKUP(B1126,airports!A:H,8,FALSE)</f>
        <v>-90.359989720000002</v>
      </c>
      <c r="H1126">
        <f t="shared" si="34"/>
        <v>1183.5999999999999</v>
      </c>
      <c r="I1126">
        <f t="shared" si="35"/>
        <v>735.5</v>
      </c>
    </row>
    <row r="1127" spans="1:9" ht="30" x14ac:dyDescent="0.25">
      <c r="A1127" s="5" t="s">
        <v>32</v>
      </c>
      <c r="B1127" s="5" t="s">
        <v>144</v>
      </c>
      <c r="C1127" s="5" t="s">
        <v>1487</v>
      </c>
      <c r="D1127" s="3">
        <f>VLOOKUP(A1127,airports!A:H,7,FALSE)</f>
        <v>39.175401669999999</v>
      </c>
      <c r="E1127" s="3">
        <f>VLOOKUP(A1127,airports!A:H,8,FALSE)</f>
        <v>-76.668198329999996</v>
      </c>
      <c r="F1127" s="3">
        <f>VLOOKUP(B1127,airports!A:H,7,FALSE)</f>
        <v>43.111186940000003</v>
      </c>
      <c r="G1127" s="3">
        <f>VLOOKUP(B1127,airports!A:H,8,FALSE)</f>
        <v>-76.106310559999997</v>
      </c>
      <c r="H1127">
        <f t="shared" si="34"/>
        <v>440.2</v>
      </c>
      <c r="I1127">
        <f t="shared" si="35"/>
        <v>273.5</v>
      </c>
    </row>
    <row r="1128" spans="1:9" ht="30" x14ac:dyDescent="0.25">
      <c r="A1128" s="5" t="s">
        <v>32</v>
      </c>
      <c r="B1128" s="5" t="s">
        <v>145</v>
      </c>
      <c r="C1128" s="5" t="s">
        <v>1488</v>
      </c>
      <c r="D1128" s="3">
        <f>VLOOKUP(A1128,airports!A:H,7,FALSE)</f>
        <v>39.175401669999999</v>
      </c>
      <c r="E1128" s="3">
        <f>VLOOKUP(A1128,airports!A:H,8,FALSE)</f>
        <v>-76.668198329999996</v>
      </c>
      <c r="F1128" s="3">
        <f>VLOOKUP(B1128,airports!A:H,7,FALSE)</f>
        <v>27.97547222</v>
      </c>
      <c r="G1128" s="3">
        <f>VLOOKUP(B1128,airports!A:H,8,FALSE)</f>
        <v>-82.533249999999995</v>
      </c>
      <c r="H1128">
        <f t="shared" si="34"/>
        <v>1357.9</v>
      </c>
      <c r="I1128">
        <f t="shared" si="35"/>
        <v>843.8</v>
      </c>
    </row>
    <row r="1129" spans="1:9" ht="30" x14ac:dyDescent="0.25">
      <c r="A1129" s="5" t="s">
        <v>32</v>
      </c>
      <c r="B1129" s="5" t="s">
        <v>658</v>
      </c>
      <c r="C1129" s="5" t="s">
        <v>1489</v>
      </c>
      <c r="D1129" s="3">
        <f>VLOOKUP(A1129,airports!A:H,7,FALSE)</f>
        <v>39.175401669999999</v>
      </c>
      <c r="E1129" s="3">
        <f>VLOOKUP(A1129,airports!A:H,8,FALSE)</f>
        <v>-76.668198329999996</v>
      </c>
      <c r="F1129" s="3">
        <f>VLOOKUP(B1129,airports!A:H,7,FALSE)</f>
        <v>36.198372220000003</v>
      </c>
      <c r="G1129" s="3">
        <f>VLOOKUP(B1129,airports!A:H,8,FALSE)</f>
        <v>-95.888241669999999</v>
      </c>
      <c r="H1129">
        <f t="shared" si="34"/>
        <v>1719.9</v>
      </c>
      <c r="I1129">
        <f t="shared" si="35"/>
        <v>1068.8</v>
      </c>
    </row>
    <row r="1130" spans="1:9" x14ac:dyDescent="0.25">
      <c r="A1130" s="5" t="s">
        <v>32</v>
      </c>
      <c r="B1130" s="5" t="s">
        <v>664</v>
      </c>
      <c r="C1130" s="5" t="s">
        <v>1490</v>
      </c>
      <c r="D1130" s="3">
        <f>VLOOKUP(A1130,airports!A:H,7,FALSE)</f>
        <v>39.175401669999999</v>
      </c>
      <c r="E1130" s="3">
        <f>VLOOKUP(A1130,airports!A:H,8,FALSE)</f>
        <v>-76.668198329999996</v>
      </c>
      <c r="F1130" s="3">
        <f>VLOOKUP(B1130,airports!A:H,7,FALSE)</f>
        <v>35.812487220000001</v>
      </c>
      <c r="G1130" s="3">
        <f>VLOOKUP(B1130,airports!A:H,8,FALSE)</f>
        <v>-83.992855829999996</v>
      </c>
      <c r="H1130">
        <f t="shared" si="34"/>
        <v>746.2</v>
      </c>
      <c r="I1130">
        <f t="shared" si="35"/>
        <v>463.7</v>
      </c>
    </row>
    <row r="1131" spans="1:9" ht="30" x14ac:dyDescent="0.25">
      <c r="A1131" s="5" t="s">
        <v>32</v>
      </c>
      <c r="B1131" s="5" t="s">
        <v>668</v>
      </c>
      <c r="C1131" s="5" t="s">
        <v>1491</v>
      </c>
      <c r="D1131" s="3">
        <f>VLOOKUP(A1131,airports!A:H,7,FALSE)</f>
        <v>39.175401669999999</v>
      </c>
      <c r="E1131" s="3">
        <f>VLOOKUP(A1131,airports!A:H,8,FALSE)</f>
        <v>-76.668198329999996</v>
      </c>
      <c r="F1131" s="3">
        <f>VLOOKUP(B1131,airports!A:H,7,FALSE)</f>
        <v>30.483250000000002</v>
      </c>
      <c r="G1131" s="3">
        <f>VLOOKUP(B1131,airports!A:H,8,FALSE)</f>
        <v>-86.525400000000005</v>
      </c>
      <c r="H1131">
        <f t="shared" si="34"/>
        <v>1318.8</v>
      </c>
      <c r="I1131">
        <f t="shared" si="35"/>
        <v>819.5</v>
      </c>
    </row>
    <row r="1132" spans="1:9" ht="30" x14ac:dyDescent="0.25">
      <c r="A1132" s="5" t="s">
        <v>34</v>
      </c>
      <c r="B1132" s="5" t="s">
        <v>10</v>
      </c>
      <c r="C1132" s="5" t="s">
        <v>1492</v>
      </c>
      <c r="D1132" s="3">
        <f>VLOOKUP(A1132,airports!A:H,7,FALSE)</f>
        <v>45.776901389999999</v>
      </c>
      <c r="E1132" s="3">
        <f>VLOOKUP(A1132,airports!A:H,8,FALSE)</f>
        <v>-111.1530072</v>
      </c>
      <c r="F1132" s="3">
        <f>VLOOKUP(B1132,airports!A:H,7,FALSE)</f>
        <v>33.640444440000003</v>
      </c>
      <c r="G1132" s="3">
        <f>VLOOKUP(B1132,airports!A:H,8,FALSE)</f>
        <v>-84.42694444</v>
      </c>
      <c r="H1132">
        <f t="shared" si="34"/>
        <v>2636</v>
      </c>
      <c r="I1132">
        <f t="shared" si="35"/>
        <v>1638.1</v>
      </c>
    </row>
    <row r="1133" spans="1:9" ht="30" x14ac:dyDescent="0.25">
      <c r="A1133" s="5" t="s">
        <v>34</v>
      </c>
      <c r="B1133" s="5" t="s">
        <v>13</v>
      </c>
      <c r="C1133" s="5" t="s">
        <v>1493</v>
      </c>
      <c r="D1133" s="3">
        <f>VLOOKUP(A1133,airports!A:H,7,FALSE)</f>
        <v>45.776901389999999</v>
      </c>
      <c r="E1133" s="3">
        <f>VLOOKUP(A1133,airports!A:H,8,FALSE)</f>
        <v>-111.1530072</v>
      </c>
      <c r="F1133" s="3">
        <f>VLOOKUP(B1133,airports!A:H,7,FALSE)</f>
        <v>30.194532779999999</v>
      </c>
      <c r="G1133" s="3">
        <f>VLOOKUP(B1133,airports!A:H,8,FALSE)</f>
        <v>-97.669871939999993</v>
      </c>
      <c r="H1133">
        <f t="shared" si="34"/>
        <v>2090.8000000000002</v>
      </c>
      <c r="I1133">
        <f t="shared" si="35"/>
        <v>1299.3</v>
      </c>
    </row>
    <row r="1134" spans="1:9" ht="30" x14ac:dyDescent="0.25">
      <c r="A1134" s="5" t="s">
        <v>34</v>
      </c>
      <c r="B1134" s="5" t="s">
        <v>329</v>
      </c>
      <c r="C1134" s="5" t="s">
        <v>1494</v>
      </c>
      <c r="D1134" s="3">
        <f>VLOOKUP(A1134,airports!A:H,7,FALSE)</f>
        <v>45.776901389999999</v>
      </c>
      <c r="E1134" s="3">
        <f>VLOOKUP(A1134,airports!A:H,8,FALSE)</f>
        <v>-111.1530072</v>
      </c>
      <c r="F1134" s="3">
        <f>VLOOKUP(B1134,airports!A:H,7,FALSE)</f>
        <v>33.308999999999997</v>
      </c>
      <c r="G1134" s="3">
        <f>VLOOKUP(B1134,airports!A:H,8,FALSE)</f>
        <v>-111.6559</v>
      </c>
      <c r="H1134">
        <f t="shared" si="34"/>
        <v>1387</v>
      </c>
      <c r="I1134">
        <f t="shared" si="35"/>
        <v>861.9</v>
      </c>
    </row>
    <row r="1135" spans="1:9" x14ac:dyDescent="0.25">
      <c r="A1135" s="5" t="s">
        <v>34</v>
      </c>
      <c r="B1135" s="5" t="s">
        <v>836</v>
      </c>
      <c r="C1135" s="5" t="s">
        <v>1495</v>
      </c>
      <c r="D1135" s="3">
        <f>VLOOKUP(A1135,airports!A:H,7,FALSE)</f>
        <v>45.776901389999999</v>
      </c>
      <c r="E1135" s="3">
        <f>VLOOKUP(A1135,airports!A:H,8,FALSE)</f>
        <v>-111.1530072</v>
      </c>
      <c r="F1135" s="3">
        <f>VLOOKUP(B1135,airports!A:H,7,FALSE)</f>
        <v>45.807662499999999</v>
      </c>
      <c r="G1135" s="3">
        <f>VLOOKUP(B1135,airports!A:H,8,FALSE)</f>
        <v>-108.5428611</v>
      </c>
      <c r="H1135">
        <f t="shared" si="34"/>
        <v>202.4</v>
      </c>
      <c r="I1135">
        <f t="shared" si="35"/>
        <v>125.8</v>
      </c>
    </row>
    <row r="1136" spans="1:9" ht="30" x14ac:dyDescent="0.25">
      <c r="A1136" s="5" t="s">
        <v>34</v>
      </c>
      <c r="B1136" s="5" t="s">
        <v>19</v>
      </c>
      <c r="C1136" s="5" t="s">
        <v>1496</v>
      </c>
      <c r="D1136" s="3">
        <f>VLOOKUP(A1136,airports!A:H,7,FALSE)</f>
        <v>45.776901389999999</v>
      </c>
      <c r="E1136" s="3">
        <f>VLOOKUP(A1136,airports!A:H,8,FALSE)</f>
        <v>-111.1530072</v>
      </c>
      <c r="F1136" s="3">
        <f>VLOOKUP(B1136,airports!A:H,7,FALSE)</f>
        <v>36.12447667</v>
      </c>
      <c r="G1136" s="3">
        <f>VLOOKUP(B1136,airports!A:H,8,FALSE)</f>
        <v>-86.678182219999997</v>
      </c>
      <c r="H1136">
        <f t="shared" si="34"/>
        <v>2305.6999999999998</v>
      </c>
      <c r="I1136">
        <f t="shared" si="35"/>
        <v>1432.8</v>
      </c>
    </row>
    <row r="1137" spans="1:9" ht="30" x14ac:dyDescent="0.25">
      <c r="A1137" s="5" t="s">
        <v>34</v>
      </c>
      <c r="B1137" s="5" t="s">
        <v>24</v>
      </c>
      <c r="C1137" s="5" t="s">
        <v>1497</v>
      </c>
      <c r="D1137" s="3">
        <f>VLOOKUP(A1137,airports!A:H,7,FALSE)</f>
        <v>45.776901389999999</v>
      </c>
      <c r="E1137" s="3">
        <f>VLOOKUP(A1137,airports!A:H,8,FALSE)</f>
        <v>-111.1530072</v>
      </c>
      <c r="F1137" s="3">
        <f>VLOOKUP(B1137,airports!A:H,7,FALSE)</f>
        <v>42.364347500000001</v>
      </c>
      <c r="G1137" s="3">
        <f>VLOOKUP(B1137,airports!A:H,8,FALSE)</f>
        <v>-71.005179170000005</v>
      </c>
      <c r="H1137">
        <f t="shared" si="34"/>
        <v>3195.8</v>
      </c>
      <c r="I1137">
        <f t="shared" si="35"/>
        <v>1985.9</v>
      </c>
    </row>
    <row r="1138" spans="1:9" x14ac:dyDescent="0.25">
      <c r="A1138" s="5" t="s">
        <v>34</v>
      </c>
      <c r="B1138" s="5" t="s">
        <v>40</v>
      </c>
      <c r="C1138" s="5" t="s">
        <v>1498</v>
      </c>
      <c r="D1138" s="3">
        <f>VLOOKUP(A1138,airports!A:H,7,FALSE)</f>
        <v>45.776901389999999</v>
      </c>
      <c r="E1138" s="3">
        <f>VLOOKUP(A1138,airports!A:H,8,FALSE)</f>
        <v>-111.1530072</v>
      </c>
      <c r="F1138" s="3">
        <f>VLOOKUP(B1138,airports!A:H,7,FALSE)</f>
        <v>35.214011110000001</v>
      </c>
      <c r="G1138" s="3">
        <f>VLOOKUP(B1138,airports!A:H,8,FALSE)</f>
        <v>-80.94312583</v>
      </c>
      <c r="H1138">
        <f t="shared" si="34"/>
        <v>2789.5</v>
      </c>
      <c r="I1138">
        <f t="shared" si="35"/>
        <v>1733.4</v>
      </c>
    </row>
    <row r="1139" spans="1:9" ht="30" x14ac:dyDescent="0.25">
      <c r="A1139" s="5" t="s">
        <v>34</v>
      </c>
      <c r="B1139" s="5" t="s">
        <v>201</v>
      </c>
      <c r="C1139" s="5" t="s">
        <v>1499</v>
      </c>
      <c r="D1139" s="3">
        <f>VLOOKUP(A1139,airports!A:H,7,FALSE)</f>
        <v>45.776901389999999</v>
      </c>
      <c r="E1139" s="3">
        <f>VLOOKUP(A1139,airports!A:H,8,FALSE)</f>
        <v>-111.1530072</v>
      </c>
      <c r="F1139" s="3">
        <f>VLOOKUP(B1139,airports!A:H,7,FALSE)</f>
        <v>32.847113890000003</v>
      </c>
      <c r="G1139" s="3">
        <f>VLOOKUP(B1139,airports!A:H,8,FALSE)</f>
        <v>-96.851772220000001</v>
      </c>
      <c r="H1139">
        <f t="shared" si="34"/>
        <v>1886.3</v>
      </c>
      <c r="I1139">
        <f t="shared" si="35"/>
        <v>1172.2</v>
      </c>
    </row>
    <row r="1140" spans="1:9" ht="30" x14ac:dyDescent="0.25">
      <c r="A1140" s="5" t="s">
        <v>34</v>
      </c>
      <c r="B1140" s="5" t="s">
        <v>47</v>
      </c>
      <c r="C1140" s="5" t="s">
        <v>1500</v>
      </c>
      <c r="D1140" s="3">
        <f>VLOOKUP(A1140,airports!A:H,7,FALSE)</f>
        <v>45.776901389999999</v>
      </c>
      <c r="E1140" s="3">
        <f>VLOOKUP(A1140,airports!A:H,8,FALSE)</f>
        <v>-111.1530072</v>
      </c>
      <c r="F1140" s="3">
        <f>VLOOKUP(B1140,airports!A:H,7,FALSE)</f>
        <v>39.858408060000002</v>
      </c>
      <c r="G1140" s="3">
        <f>VLOOKUP(B1140,airports!A:H,8,FALSE)</f>
        <v>-104.6670019</v>
      </c>
      <c r="H1140">
        <f t="shared" si="34"/>
        <v>843.8</v>
      </c>
      <c r="I1140">
        <f t="shared" si="35"/>
        <v>524.29999999999995</v>
      </c>
    </row>
    <row r="1141" spans="1:9" ht="30" x14ac:dyDescent="0.25">
      <c r="A1141" s="5" t="s">
        <v>34</v>
      </c>
      <c r="B1141" s="5" t="s">
        <v>49</v>
      </c>
      <c r="C1141" s="5" t="s">
        <v>1501</v>
      </c>
      <c r="D1141" s="3">
        <f>VLOOKUP(A1141,airports!A:H,7,FALSE)</f>
        <v>45.776901389999999</v>
      </c>
      <c r="E1141" s="3">
        <f>VLOOKUP(A1141,airports!A:H,8,FALSE)</f>
        <v>-111.1530072</v>
      </c>
      <c r="F1141" s="3">
        <f>VLOOKUP(B1141,airports!A:H,7,FALSE)</f>
        <v>32.895950560000003</v>
      </c>
      <c r="G1141" s="3">
        <f>VLOOKUP(B1141,airports!A:H,8,FALSE)</f>
        <v>-97.037199999999999</v>
      </c>
      <c r="H1141">
        <f t="shared" si="34"/>
        <v>1871.8</v>
      </c>
      <c r="I1141">
        <f t="shared" si="35"/>
        <v>1163.0999999999999</v>
      </c>
    </row>
    <row r="1142" spans="1:9" ht="30" x14ac:dyDescent="0.25">
      <c r="A1142" s="5" t="s">
        <v>34</v>
      </c>
      <c r="B1142" s="5" t="s">
        <v>50</v>
      </c>
      <c r="C1142" s="5" t="s">
        <v>1502</v>
      </c>
      <c r="D1142" s="3">
        <f>VLOOKUP(A1142,airports!A:H,7,FALSE)</f>
        <v>45.776901389999999</v>
      </c>
      <c r="E1142" s="3">
        <f>VLOOKUP(A1142,airports!A:H,8,FALSE)</f>
        <v>-111.1530072</v>
      </c>
      <c r="F1142" s="3">
        <f>VLOOKUP(B1142,airports!A:H,7,FALSE)</f>
        <v>42.212058890000002</v>
      </c>
      <c r="G1142" s="3">
        <f>VLOOKUP(B1142,airports!A:H,8,FALSE)</f>
        <v>-83.348835829999999</v>
      </c>
      <c r="H1142">
        <f t="shared" si="34"/>
        <v>2247.4</v>
      </c>
      <c r="I1142">
        <f t="shared" si="35"/>
        <v>1396.6</v>
      </c>
    </row>
    <row r="1143" spans="1:9" ht="30" x14ac:dyDescent="0.25">
      <c r="A1143" s="5" t="s">
        <v>34</v>
      </c>
      <c r="B1143" s="5" t="s">
        <v>52</v>
      </c>
      <c r="C1143" s="5" t="s">
        <v>1503</v>
      </c>
      <c r="D1143" s="3">
        <f>VLOOKUP(A1143,airports!A:H,7,FALSE)</f>
        <v>45.776901389999999</v>
      </c>
      <c r="E1143" s="3">
        <f>VLOOKUP(A1143,airports!A:H,8,FALSE)</f>
        <v>-111.1530072</v>
      </c>
      <c r="F1143" s="3">
        <f>VLOOKUP(B1143,airports!A:H,7,FALSE)</f>
        <v>40.69249722</v>
      </c>
      <c r="G1143" s="3">
        <f>VLOOKUP(B1143,airports!A:H,8,FALSE)</f>
        <v>-74.168660560000006</v>
      </c>
      <c r="H1143">
        <f t="shared" si="34"/>
        <v>3021</v>
      </c>
      <c r="I1143">
        <f t="shared" si="35"/>
        <v>1877.3</v>
      </c>
    </row>
    <row r="1144" spans="1:9" x14ac:dyDescent="0.25">
      <c r="A1144" s="5" t="s">
        <v>34</v>
      </c>
      <c r="B1144" s="5" t="s">
        <v>57</v>
      </c>
      <c r="C1144" s="5" t="s">
        <v>1504</v>
      </c>
      <c r="D1144" s="3">
        <f>VLOOKUP(A1144,airports!A:H,7,FALSE)</f>
        <v>45.776901389999999</v>
      </c>
      <c r="E1144" s="3">
        <f>VLOOKUP(A1144,airports!A:H,8,FALSE)</f>
        <v>-111.1530072</v>
      </c>
      <c r="F1144" s="3">
        <f>VLOOKUP(B1144,airports!A:H,7,FALSE)</f>
        <v>26.072583330000001</v>
      </c>
      <c r="G1144" s="3">
        <f>VLOOKUP(B1144,airports!A:H,8,FALSE)</f>
        <v>-80.152749999999997</v>
      </c>
      <c r="H1144">
        <f t="shared" si="34"/>
        <v>3510.9</v>
      </c>
      <c r="I1144">
        <f t="shared" si="35"/>
        <v>2181.6999999999998</v>
      </c>
    </row>
    <row r="1145" spans="1:9" ht="30" x14ac:dyDescent="0.25">
      <c r="A1145" s="5" t="s">
        <v>34</v>
      </c>
      <c r="B1145" s="5" t="s">
        <v>176</v>
      </c>
      <c r="C1145" s="5" t="s">
        <v>1505</v>
      </c>
      <c r="D1145" s="3">
        <f>VLOOKUP(A1145,airports!A:H,7,FALSE)</f>
        <v>45.776901389999999</v>
      </c>
      <c r="E1145" s="3">
        <f>VLOOKUP(A1145,airports!A:H,8,FALSE)</f>
        <v>-111.1530072</v>
      </c>
      <c r="F1145" s="3">
        <f>VLOOKUP(B1145,airports!A:H,7,FALSE)</f>
        <v>38.944531939999997</v>
      </c>
      <c r="G1145" s="3">
        <f>VLOOKUP(B1145,airports!A:H,8,FALSE)</f>
        <v>-77.455809720000005</v>
      </c>
      <c r="H1145">
        <f t="shared" si="34"/>
        <v>2847.7</v>
      </c>
      <c r="I1145">
        <f t="shared" si="35"/>
        <v>1769.6</v>
      </c>
    </row>
    <row r="1146" spans="1:9" ht="30" x14ac:dyDescent="0.25">
      <c r="A1146" s="5" t="s">
        <v>34</v>
      </c>
      <c r="B1146" s="5" t="s">
        <v>67</v>
      </c>
      <c r="C1146" s="5" t="s">
        <v>1506</v>
      </c>
      <c r="D1146" s="3">
        <f>VLOOKUP(A1146,airports!A:H,7,FALSE)</f>
        <v>45.776901389999999</v>
      </c>
      <c r="E1146" s="3">
        <f>VLOOKUP(A1146,airports!A:H,8,FALSE)</f>
        <v>-111.1530072</v>
      </c>
      <c r="F1146" s="3">
        <f>VLOOKUP(B1146,airports!A:H,7,FALSE)</f>
        <v>29.980472219999999</v>
      </c>
      <c r="G1146" s="3">
        <f>VLOOKUP(B1146,airports!A:H,8,FALSE)</f>
        <v>-95.339722219999999</v>
      </c>
      <c r="H1146">
        <f t="shared" si="34"/>
        <v>2229.9</v>
      </c>
      <c r="I1146">
        <f t="shared" si="35"/>
        <v>1385.7</v>
      </c>
    </row>
    <row r="1147" spans="1:9" x14ac:dyDescent="0.25">
      <c r="A1147" s="5" t="s">
        <v>34</v>
      </c>
      <c r="B1147" s="5" t="s">
        <v>69</v>
      </c>
      <c r="C1147" s="5" t="s">
        <v>1507</v>
      </c>
      <c r="D1147" s="3">
        <f>VLOOKUP(A1147,airports!A:H,7,FALSE)</f>
        <v>45.776901389999999</v>
      </c>
      <c r="E1147" s="3">
        <f>VLOOKUP(A1147,airports!A:H,8,FALSE)</f>
        <v>-111.1530072</v>
      </c>
      <c r="F1147" s="3">
        <f>VLOOKUP(B1147,airports!A:H,7,FALSE)</f>
        <v>40.639751109999999</v>
      </c>
      <c r="G1147" s="3">
        <f>VLOOKUP(B1147,airports!A:H,8,FALSE)</f>
        <v>-73.778925560000005</v>
      </c>
      <c r="H1147">
        <f t="shared" si="34"/>
        <v>3053.5</v>
      </c>
      <c r="I1147">
        <f t="shared" si="35"/>
        <v>1897.5</v>
      </c>
    </row>
    <row r="1148" spans="1:9" ht="30" x14ac:dyDescent="0.25">
      <c r="A1148" s="5" t="s">
        <v>34</v>
      </c>
      <c r="B1148" s="5" t="s">
        <v>71</v>
      </c>
      <c r="C1148" s="5" t="s">
        <v>1508</v>
      </c>
      <c r="D1148" s="3">
        <f>VLOOKUP(A1148,airports!A:H,7,FALSE)</f>
        <v>45.776901389999999</v>
      </c>
      <c r="E1148" s="3">
        <f>VLOOKUP(A1148,airports!A:H,8,FALSE)</f>
        <v>-111.1530072</v>
      </c>
      <c r="F1148" s="3">
        <f>VLOOKUP(B1148,airports!A:H,7,FALSE)</f>
        <v>36.080361109999998</v>
      </c>
      <c r="G1148" s="3">
        <f>VLOOKUP(B1148,airports!A:H,8,FALSE)</f>
        <v>-115.1523333</v>
      </c>
      <c r="H1148">
        <f t="shared" si="34"/>
        <v>1128.9000000000001</v>
      </c>
      <c r="I1148">
        <f t="shared" si="35"/>
        <v>701.5</v>
      </c>
    </row>
    <row r="1149" spans="1:9" ht="30" x14ac:dyDescent="0.25">
      <c r="A1149" s="5" t="s">
        <v>34</v>
      </c>
      <c r="B1149" s="5" t="s">
        <v>73</v>
      </c>
      <c r="C1149" s="5" t="s">
        <v>1509</v>
      </c>
      <c r="D1149" s="3">
        <f>VLOOKUP(A1149,airports!A:H,7,FALSE)</f>
        <v>45.776901389999999</v>
      </c>
      <c r="E1149" s="3">
        <f>VLOOKUP(A1149,airports!A:H,8,FALSE)</f>
        <v>-111.1530072</v>
      </c>
      <c r="F1149" s="3">
        <f>VLOOKUP(B1149,airports!A:H,7,FALSE)</f>
        <v>33.942536109999999</v>
      </c>
      <c r="G1149" s="3">
        <f>VLOOKUP(B1149,airports!A:H,8,FALSE)</f>
        <v>-118.4080744</v>
      </c>
      <c r="H1149">
        <f t="shared" si="34"/>
        <v>1452.8</v>
      </c>
      <c r="I1149">
        <f t="shared" si="35"/>
        <v>902.8</v>
      </c>
    </row>
    <row r="1150" spans="1:9" ht="30" x14ac:dyDescent="0.25">
      <c r="A1150" s="5" t="s">
        <v>34</v>
      </c>
      <c r="B1150" s="5" t="s">
        <v>74</v>
      </c>
      <c r="C1150" s="5" t="s">
        <v>1510</v>
      </c>
      <c r="D1150" s="3">
        <f>VLOOKUP(A1150,airports!A:H,7,FALSE)</f>
        <v>45.776901389999999</v>
      </c>
      <c r="E1150" s="3">
        <f>VLOOKUP(A1150,airports!A:H,8,FALSE)</f>
        <v>-111.1530072</v>
      </c>
      <c r="F1150" s="3">
        <f>VLOOKUP(B1150,airports!A:H,7,FALSE)</f>
        <v>40.777243060000004</v>
      </c>
      <c r="G1150" s="3">
        <f>VLOOKUP(B1150,airports!A:H,8,FALSE)</f>
        <v>-73.872609170000004</v>
      </c>
      <c r="H1150">
        <f t="shared" si="34"/>
        <v>3040.2</v>
      </c>
      <c r="I1150">
        <f t="shared" si="35"/>
        <v>1889.2</v>
      </c>
    </row>
    <row r="1151" spans="1:9" ht="30" x14ac:dyDescent="0.25">
      <c r="A1151" s="5" t="s">
        <v>34</v>
      </c>
      <c r="B1151" s="5" t="s">
        <v>742</v>
      </c>
      <c r="C1151" s="5" t="s">
        <v>1511</v>
      </c>
      <c r="D1151" s="3">
        <f>VLOOKUP(A1151,airports!A:H,7,FALSE)</f>
        <v>45.776901389999999</v>
      </c>
      <c r="E1151" s="3">
        <f>VLOOKUP(A1151,airports!A:H,8,FALSE)</f>
        <v>-111.1530072</v>
      </c>
      <c r="F1151" s="3">
        <f>VLOOKUP(B1151,airports!A:H,7,FALSE)</f>
        <v>33.81772222</v>
      </c>
      <c r="G1151" s="3">
        <f>VLOOKUP(B1151,airports!A:H,8,FALSE)</f>
        <v>-118.1516111</v>
      </c>
      <c r="H1151">
        <f t="shared" si="34"/>
        <v>1456.6</v>
      </c>
      <c r="I1151">
        <f t="shared" si="35"/>
        <v>905.1</v>
      </c>
    </row>
    <row r="1152" spans="1:9" ht="30" x14ac:dyDescent="0.25">
      <c r="A1152" s="5" t="s">
        <v>34</v>
      </c>
      <c r="B1152" s="5" t="s">
        <v>180</v>
      </c>
      <c r="C1152" s="5" t="s">
        <v>1512</v>
      </c>
      <c r="D1152" s="3">
        <f>VLOOKUP(A1152,airports!A:H,7,FALSE)</f>
        <v>45.776901389999999</v>
      </c>
      <c r="E1152" s="3">
        <f>VLOOKUP(A1152,airports!A:H,8,FALSE)</f>
        <v>-111.1530072</v>
      </c>
      <c r="F1152" s="3">
        <f>VLOOKUP(B1152,airports!A:H,7,FALSE)</f>
        <v>41.785982500000003</v>
      </c>
      <c r="G1152" s="3">
        <f>VLOOKUP(B1152,airports!A:H,8,FALSE)</f>
        <v>-87.752424439999999</v>
      </c>
      <c r="H1152">
        <f t="shared" si="34"/>
        <v>1922.8</v>
      </c>
      <c r="I1152">
        <f t="shared" si="35"/>
        <v>1194.8</v>
      </c>
    </row>
    <row r="1153" spans="1:9" ht="30" x14ac:dyDescent="0.25">
      <c r="A1153" s="5" t="s">
        <v>34</v>
      </c>
      <c r="B1153" s="5" t="s">
        <v>87</v>
      </c>
      <c r="C1153" s="5" t="s">
        <v>1513</v>
      </c>
      <c r="D1153" s="3">
        <f>VLOOKUP(A1153,airports!A:H,7,FALSE)</f>
        <v>45.776901389999999</v>
      </c>
      <c r="E1153" s="3">
        <f>VLOOKUP(A1153,airports!A:H,8,FALSE)</f>
        <v>-111.1530072</v>
      </c>
      <c r="F1153" s="3">
        <f>VLOOKUP(B1153,airports!A:H,7,FALSE)</f>
        <v>44.880546940000002</v>
      </c>
      <c r="G1153" s="3">
        <f>VLOOKUP(B1153,airports!A:H,8,FALSE)</f>
        <v>-93.216922499999995</v>
      </c>
      <c r="H1153">
        <f t="shared" si="34"/>
        <v>1402.7</v>
      </c>
      <c r="I1153">
        <f t="shared" si="35"/>
        <v>871.7</v>
      </c>
    </row>
    <row r="1154" spans="1:9" ht="30" x14ac:dyDescent="0.25">
      <c r="A1154" s="5" t="s">
        <v>34</v>
      </c>
      <c r="B1154" s="5" t="s">
        <v>215</v>
      </c>
      <c r="C1154" s="5" t="s">
        <v>1514</v>
      </c>
      <c r="D1154" s="3">
        <f>VLOOKUP(A1154,airports!A:H,7,FALSE)</f>
        <v>45.776901389999999</v>
      </c>
      <c r="E1154" s="3">
        <f>VLOOKUP(A1154,airports!A:H,8,FALSE)</f>
        <v>-111.1530072</v>
      </c>
      <c r="F1154" s="3">
        <f>VLOOKUP(B1154,airports!A:H,7,FALSE)</f>
        <v>37.721290830000001</v>
      </c>
      <c r="G1154" s="3">
        <f>VLOOKUP(B1154,airports!A:H,8,FALSE)</f>
        <v>-122.2207167</v>
      </c>
      <c r="H1154">
        <f t="shared" si="34"/>
        <v>1280.4000000000001</v>
      </c>
      <c r="I1154">
        <f t="shared" si="35"/>
        <v>795.7</v>
      </c>
    </row>
    <row r="1155" spans="1:9" ht="30" x14ac:dyDescent="0.25">
      <c r="A1155" s="5" t="s">
        <v>34</v>
      </c>
      <c r="B1155" s="5" t="s">
        <v>95</v>
      </c>
      <c r="C1155" s="5" t="s">
        <v>1515</v>
      </c>
      <c r="D1155" s="3">
        <f>VLOOKUP(A1155,airports!A:H,7,FALSE)</f>
        <v>45.776901389999999</v>
      </c>
      <c r="E1155" s="3">
        <f>VLOOKUP(A1155,airports!A:H,8,FALSE)</f>
        <v>-111.1530072</v>
      </c>
      <c r="F1155" s="3">
        <f>VLOOKUP(B1155,airports!A:H,7,FALSE)</f>
        <v>41.979595000000003</v>
      </c>
      <c r="G1155" s="3">
        <f>VLOOKUP(B1155,airports!A:H,8,FALSE)</f>
        <v>-87.904464169999997</v>
      </c>
      <c r="H1155">
        <f t="shared" si="34"/>
        <v>1903.3</v>
      </c>
      <c r="I1155">
        <f t="shared" si="35"/>
        <v>1182.8</v>
      </c>
    </row>
    <row r="1156" spans="1:9" ht="30" x14ac:dyDescent="0.25">
      <c r="A1156" s="5" t="s">
        <v>34</v>
      </c>
      <c r="B1156" s="5" t="s">
        <v>100</v>
      </c>
      <c r="C1156" s="5" t="s">
        <v>1516</v>
      </c>
      <c r="D1156" s="3">
        <f>VLOOKUP(A1156,airports!A:H,7,FALSE)</f>
        <v>45.776901389999999</v>
      </c>
      <c r="E1156" s="3">
        <f>VLOOKUP(A1156,airports!A:H,8,FALSE)</f>
        <v>-111.1530072</v>
      </c>
      <c r="F1156" s="3">
        <f>VLOOKUP(B1156,airports!A:H,7,FALSE)</f>
        <v>45.588722220000001</v>
      </c>
      <c r="G1156" s="3">
        <f>VLOOKUP(B1156,airports!A:H,8,FALSE)</f>
        <v>-122.5975</v>
      </c>
      <c r="H1156">
        <f t="shared" ref="H1156:H1219" si="36">ROUND(ACOS(COS(RADIANS(90-D1156)) * COS(RADIANS(90-F1156)) + SIN(RADIANS(90-D1156)) * SIN(RADIANS(90-F1156)) * COS(RADIANS(E1156-G1156))) * 6371,1)</f>
        <v>888.5</v>
      </c>
      <c r="I1156">
        <f t="shared" ref="I1156:I1219" si="37">ROUND(ACOS(COS(RADIANS(90-D1156)) * COS(RADIANS(90-F1156)) + SIN(RADIANS(90-D1156)) * SIN(RADIANS(90-F1156)) * COS(RADIANS(E1156-G1156))) * 3959,1)</f>
        <v>552.1</v>
      </c>
    </row>
    <row r="1157" spans="1:9" ht="30" x14ac:dyDescent="0.25">
      <c r="A1157" s="5" t="s">
        <v>34</v>
      </c>
      <c r="B1157" s="5" t="s">
        <v>102</v>
      </c>
      <c r="C1157" s="5" t="s">
        <v>1517</v>
      </c>
      <c r="D1157" s="3">
        <f>VLOOKUP(A1157,airports!A:H,7,FALSE)</f>
        <v>45.776901389999999</v>
      </c>
      <c r="E1157" s="3">
        <f>VLOOKUP(A1157,airports!A:H,8,FALSE)</f>
        <v>-111.1530072</v>
      </c>
      <c r="F1157" s="3">
        <f>VLOOKUP(B1157,airports!A:H,7,FALSE)</f>
        <v>39.871952780000001</v>
      </c>
      <c r="G1157" s="3">
        <f>VLOOKUP(B1157,airports!A:H,8,FALSE)</f>
        <v>-75.241140830000006</v>
      </c>
      <c r="H1157">
        <f t="shared" si="36"/>
        <v>2974.9</v>
      </c>
      <c r="I1157">
        <f t="shared" si="37"/>
        <v>1848.6</v>
      </c>
    </row>
    <row r="1158" spans="1:9" ht="30" x14ac:dyDescent="0.25">
      <c r="A1158" s="5" t="s">
        <v>34</v>
      </c>
      <c r="B1158" s="5" t="s">
        <v>104</v>
      </c>
      <c r="C1158" s="5" t="s">
        <v>1518</v>
      </c>
      <c r="D1158" s="3">
        <f>VLOOKUP(A1158,airports!A:H,7,FALSE)</f>
        <v>45.776901389999999</v>
      </c>
      <c r="E1158" s="3">
        <f>VLOOKUP(A1158,airports!A:H,8,FALSE)</f>
        <v>-111.1530072</v>
      </c>
      <c r="F1158" s="3">
        <f>VLOOKUP(B1158,airports!A:H,7,FALSE)</f>
        <v>33.434166670000003</v>
      </c>
      <c r="G1158" s="3">
        <f>VLOOKUP(B1158,airports!A:H,8,FALSE)</f>
        <v>-112.00805560000001</v>
      </c>
      <c r="H1158">
        <f t="shared" si="36"/>
        <v>1374.4</v>
      </c>
      <c r="I1158">
        <f t="shared" si="37"/>
        <v>854.1</v>
      </c>
    </row>
    <row r="1159" spans="1:9" ht="30" x14ac:dyDescent="0.25">
      <c r="A1159" s="5" t="s">
        <v>34</v>
      </c>
      <c r="B1159" s="5" t="s">
        <v>124</v>
      </c>
      <c r="C1159" s="5" t="s">
        <v>1519</v>
      </c>
      <c r="D1159" s="3">
        <f>VLOOKUP(A1159,airports!A:H,7,FALSE)</f>
        <v>45.776901389999999</v>
      </c>
      <c r="E1159" s="3">
        <f>VLOOKUP(A1159,airports!A:H,8,FALSE)</f>
        <v>-111.1530072</v>
      </c>
      <c r="F1159" s="3">
        <f>VLOOKUP(B1159,airports!A:H,7,FALSE)</f>
        <v>32.733556110000002</v>
      </c>
      <c r="G1159" s="3">
        <f>VLOOKUP(B1159,airports!A:H,8,FALSE)</f>
        <v>-117.1896567</v>
      </c>
      <c r="H1159">
        <f t="shared" si="36"/>
        <v>1539.5</v>
      </c>
      <c r="I1159">
        <f t="shared" si="37"/>
        <v>956.7</v>
      </c>
    </row>
    <row r="1160" spans="1:9" ht="30" x14ac:dyDescent="0.25">
      <c r="A1160" s="5" t="s">
        <v>34</v>
      </c>
      <c r="B1160" s="5" t="s">
        <v>128</v>
      </c>
      <c r="C1160" s="5" t="s">
        <v>1520</v>
      </c>
      <c r="D1160" s="3">
        <f>VLOOKUP(A1160,airports!A:H,7,FALSE)</f>
        <v>45.776901389999999</v>
      </c>
      <c r="E1160" s="3">
        <f>VLOOKUP(A1160,airports!A:H,8,FALSE)</f>
        <v>-111.1530072</v>
      </c>
      <c r="F1160" s="3">
        <f>VLOOKUP(B1160,airports!A:H,7,FALSE)</f>
        <v>47.448981940000003</v>
      </c>
      <c r="G1160" s="3">
        <f>VLOOKUP(B1160,airports!A:H,8,FALSE)</f>
        <v>-122.3093131</v>
      </c>
      <c r="H1160">
        <f t="shared" si="36"/>
        <v>871.4</v>
      </c>
      <c r="I1160">
        <f t="shared" si="37"/>
        <v>541.5</v>
      </c>
    </row>
    <row r="1161" spans="1:9" ht="30" x14ac:dyDescent="0.25">
      <c r="A1161" s="5" t="s">
        <v>34</v>
      </c>
      <c r="B1161" s="5" t="s">
        <v>130</v>
      </c>
      <c r="C1161" s="5" t="s">
        <v>1521</v>
      </c>
      <c r="D1161" s="3">
        <f>VLOOKUP(A1161,airports!A:H,7,FALSE)</f>
        <v>45.776901389999999</v>
      </c>
      <c r="E1161" s="3">
        <f>VLOOKUP(A1161,airports!A:H,8,FALSE)</f>
        <v>-111.1530072</v>
      </c>
      <c r="F1161" s="3">
        <f>VLOOKUP(B1161,airports!A:H,7,FALSE)</f>
        <v>37.619001939999997</v>
      </c>
      <c r="G1161" s="3">
        <f>VLOOKUP(B1161,airports!A:H,8,FALSE)</f>
        <v>-122.37484329999999</v>
      </c>
      <c r="H1161">
        <f t="shared" si="36"/>
        <v>1298</v>
      </c>
      <c r="I1161">
        <f t="shared" si="37"/>
        <v>806.6</v>
      </c>
    </row>
    <row r="1162" spans="1:9" x14ac:dyDescent="0.25">
      <c r="A1162" s="5" t="s">
        <v>34</v>
      </c>
      <c r="B1162" s="5" t="s">
        <v>135</v>
      </c>
      <c r="C1162" s="5" t="s">
        <v>1522</v>
      </c>
      <c r="D1162" s="3">
        <f>VLOOKUP(A1162,airports!A:H,7,FALSE)</f>
        <v>45.776901389999999</v>
      </c>
      <c r="E1162" s="3">
        <f>VLOOKUP(A1162,airports!A:H,8,FALSE)</f>
        <v>-111.1530072</v>
      </c>
      <c r="F1162" s="3">
        <f>VLOOKUP(B1162,airports!A:H,7,FALSE)</f>
        <v>40.788387780000001</v>
      </c>
      <c r="G1162" s="3">
        <f>VLOOKUP(B1162,airports!A:H,8,FALSE)</f>
        <v>-111.97777309999999</v>
      </c>
      <c r="H1162">
        <f t="shared" si="36"/>
        <v>558.70000000000005</v>
      </c>
      <c r="I1162">
        <f t="shared" si="37"/>
        <v>347.2</v>
      </c>
    </row>
    <row r="1163" spans="1:9" ht="30" x14ac:dyDescent="0.25">
      <c r="A1163" s="5" t="s">
        <v>34</v>
      </c>
      <c r="B1163" s="5" t="s">
        <v>227</v>
      </c>
      <c r="C1163" s="5" t="s">
        <v>1523</v>
      </c>
      <c r="D1163" s="3">
        <f>VLOOKUP(A1163,airports!A:H,7,FALSE)</f>
        <v>45.776901389999999</v>
      </c>
      <c r="E1163" s="3">
        <f>VLOOKUP(A1163,airports!A:H,8,FALSE)</f>
        <v>-111.1530072</v>
      </c>
      <c r="F1163" s="3">
        <f>VLOOKUP(B1163,airports!A:H,7,FALSE)</f>
        <v>33.675658609999999</v>
      </c>
      <c r="G1163" s="3">
        <f>VLOOKUP(B1163,airports!A:H,8,FALSE)</f>
        <v>-117.8682225</v>
      </c>
      <c r="H1163">
        <f t="shared" si="36"/>
        <v>1461.7</v>
      </c>
      <c r="I1163">
        <f t="shared" si="37"/>
        <v>908.3</v>
      </c>
    </row>
    <row r="1164" spans="1:9" x14ac:dyDescent="0.25">
      <c r="A1164" s="5" t="s">
        <v>441</v>
      </c>
      <c r="B1164" s="5" t="s">
        <v>10</v>
      </c>
      <c r="C1164" s="5" t="s">
        <v>1524</v>
      </c>
      <c r="D1164" s="3">
        <f>VLOOKUP(A1164,airports!A:H,7,FALSE)</f>
        <v>33.938839999999999</v>
      </c>
      <c r="E1164" s="3">
        <f>VLOOKUP(A1164,airports!A:H,8,FALSE)</f>
        <v>-81.119539439999997</v>
      </c>
      <c r="F1164" s="3">
        <f>VLOOKUP(B1164,airports!A:H,7,FALSE)</f>
        <v>33.640444440000003</v>
      </c>
      <c r="G1164" s="3">
        <f>VLOOKUP(B1164,airports!A:H,8,FALSE)</f>
        <v>-84.42694444</v>
      </c>
      <c r="H1164">
        <f t="shared" si="36"/>
        <v>307.39999999999998</v>
      </c>
      <c r="I1164">
        <f t="shared" si="37"/>
        <v>191</v>
      </c>
    </row>
    <row r="1165" spans="1:9" ht="30" x14ac:dyDescent="0.25">
      <c r="A1165" s="5" t="s">
        <v>441</v>
      </c>
      <c r="B1165" s="5" t="s">
        <v>425</v>
      </c>
      <c r="C1165" s="5" t="s">
        <v>1525</v>
      </c>
      <c r="D1165" s="3">
        <f>VLOOKUP(A1165,airports!A:H,7,FALSE)</f>
        <v>33.938839999999999</v>
      </c>
      <c r="E1165" s="3">
        <f>VLOOKUP(A1165,airports!A:H,8,FALSE)</f>
        <v>-81.119539439999997</v>
      </c>
      <c r="F1165" s="3">
        <f>VLOOKUP(B1165,airports!A:H,7,FALSE)</f>
        <v>33.562943060000002</v>
      </c>
      <c r="G1165" s="3">
        <f>VLOOKUP(B1165,airports!A:H,8,FALSE)</f>
        <v>-86.753549719999995</v>
      </c>
      <c r="H1165">
        <f t="shared" si="36"/>
        <v>522.5</v>
      </c>
      <c r="I1165">
        <f t="shared" si="37"/>
        <v>324.7</v>
      </c>
    </row>
    <row r="1166" spans="1:9" x14ac:dyDescent="0.25">
      <c r="A1166" s="5" t="s">
        <v>441</v>
      </c>
      <c r="B1166" s="5" t="s">
        <v>40</v>
      </c>
      <c r="C1166" s="5" t="s">
        <v>1526</v>
      </c>
      <c r="D1166" s="3">
        <f>VLOOKUP(A1166,airports!A:H,7,FALSE)</f>
        <v>33.938839999999999</v>
      </c>
      <c r="E1166" s="3">
        <f>VLOOKUP(A1166,airports!A:H,8,FALSE)</f>
        <v>-81.119539439999997</v>
      </c>
      <c r="F1166" s="3">
        <f>VLOOKUP(B1166,airports!A:H,7,FALSE)</f>
        <v>35.214011110000001</v>
      </c>
      <c r="G1166" s="3">
        <f>VLOOKUP(B1166,airports!A:H,8,FALSE)</f>
        <v>-80.94312583</v>
      </c>
      <c r="H1166">
        <f t="shared" si="36"/>
        <v>142.69999999999999</v>
      </c>
      <c r="I1166">
        <f t="shared" si="37"/>
        <v>88.7</v>
      </c>
    </row>
    <row r="1167" spans="1:9" ht="30" x14ac:dyDescent="0.25">
      <c r="A1167" s="5" t="s">
        <v>441</v>
      </c>
      <c r="B1167" s="5" t="s">
        <v>45</v>
      </c>
      <c r="C1167" s="5" t="s">
        <v>1527</v>
      </c>
      <c r="D1167" s="3">
        <f>VLOOKUP(A1167,airports!A:H,7,FALSE)</f>
        <v>33.938839999999999</v>
      </c>
      <c r="E1167" s="3">
        <f>VLOOKUP(A1167,airports!A:H,8,FALSE)</f>
        <v>-81.119539439999997</v>
      </c>
      <c r="F1167" s="3">
        <f>VLOOKUP(B1167,airports!A:H,7,FALSE)</f>
        <v>38.852083329999999</v>
      </c>
      <c r="G1167" s="3">
        <f>VLOOKUP(B1167,airports!A:H,8,FALSE)</f>
        <v>-77.037722220000006</v>
      </c>
      <c r="H1167">
        <f t="shared" si="36"/>
        <v>657.1</v>
      </c>
      <c r="I1167">
        <f t="shared" si="37"/>
        <v>408.3</v>
      </c>
    </row>
    <row r="1168" spans="1:9" ht="30" x14ac:dyDescent="0.25">
      <c r="A1168" s="5" t="s">
        <v>441</v>
      </c>
      <c r="B1168" s="5" t="s">
        <v>49</v>
      </c>
      <c r="C1168" s="5" t="s">
        <v>1528</v>
      </c>
      <c r="D1168" s="3">
        <f>VLOOKUP(A1168,airports!A:H,7,FALSE)</f>
        <v>33.938839999999999</v>
      </c>
      <c r="E1168" s="3">
        <f>VLOOKUP(A1168,airports!A:H,8,FALSE)</f>
        <v>-81.119539439999997</v>
      </c>
      <c r="F1168" s="3">
        <f>VLOOKUP(B1168,airports!A:H,7,FALSE)</f>
        <v>32.895950560000003</v>
      </c>
      <c r="G1168" s="3">
        <f>VLOOKUP(B1168,airports!A:H,8,FALSE)</f>
        <v>-97.037199999999999</v>
      </c>
      <c r="H1168">
        <f t="shared" si="36"/>
        <v>1480.4</v>
      </c>
      <c r="I1168">
        <f t="shared" si="37"/>
        <v>919.9</v>
      </c>
    </row>
    <row r="1169" spans="1:9" x14ac:dyDescent="0.25">
      <c r="A1169" s="5" t="s">
        <v>441</v>
      </c>
      <c r="B1169" s="5" t="s">
        <v>176</v>
      </c>
      <c r="C1169" s="5" t="s">
        <v>1529</v>
      </c>
      <c r="D1169" s="3">
        <f>VLOOKUP(A1169,airports!A:H,7,FALSE)</f>
        <v>33.938839999999999</v>
      </c>
      <c r="E1169" s="3">
        <f>VLOOKUP(A1169,airports!A:H,8,FALSE)</f>
        <v>-81.119539439999997</v>
      </c>
      <c r="F1169" s="3">
        <f>VLOOKUP(B1169,airports!A:H,7,FALSE)</f>
        <v>38.944531939999997</v>
      </c>
      <c r="G1169" s="3">
        <f>VLOOKUP(B1169,airports!A:H,8,FALSE)</f>
        <v>-77.455809720000005</v>
      </c>
      <c r="H1169">
        <f t="shared" si="36"/>
        <v>645.79999999999995</v>
      </c>
      <c r="I1169">
        <f t="shared" si="37"/>
        <v>401.3</v>
      </c>
    </row>
    <row r="1170" spans="1:9" x14ac:dyDescent="0.25">
      <c r="A1170" s="5" t="s">
        <v>441</v>
      </c>
      <c r="B1170" s="5" t="s">
        <v>67</v>
      </c>
      <c r="C1170" s="5" t="s">
        <v>1530</v>
      </c>
      <c r="D1170" s="3">
        <f>VLOOKUP(A1170,airports!A:H,7,FALSE)</f>
        <v>33.938839999999999</v>
      </c>
      <c r="E1170" s="3">
        <f>VLOOKUP(A1170,airports!A:H,8,FALSE)</f>
        <v>-81.119539439999997</v>
      </c>
      <c r="F1170" s="3">
        <f>VLOOKUP(B1170,airports!A:H,7,FALSE)</f>
        <v>29.980472219999999</v>
      </c>
      <c r="G1170" s="3">
        <f>VLOOKUP(B1170,airports!A:H,8,FALSE)</f>
        <v>-95.339722219999999</v>
      </c>
      <c r="H1170">
        <f t="shared" si="36"/>
        <v>1410.4</v>
      </c>
      <c r="I1170">
        <f t="shared" si="37"/>
        <v>876.5</v>
      </c>
    </row>
    <row r="1171" spans="1:9" ht="30" x14ac:dyDescent="0.25">
      <c r="A1171" s="5" t="s">
        <v>441</v>
      </c>
      <c r="B1171" s="5" t="s">
        <v>74</v>
      </c>
      <c r="C1171" s="5" t="s">
        <v>1531</v>
      </c>
      <c r="D1171" s="3">
        <f>VLOOKUP(A1171,airports!A:H,7,FALSE)</f>
        <v>33.938839999999999</v>
      </c>
      <c r="E1171" s="3">
        <f>VLOOKUP(A1171,airports!A:H,8,FALSE)</f>
        <v>-81.119539439999997</v>
      </c>
      <c r="F1171" s="3">
        <f>VLOOKUP(B1171,airports!A:H,7,FALSE)</f>
        <v>40.777243060000004</v>
      </c>
      <c r="G1171" s="3">
        <f>VLOOKUP(B1171,airports!A:H,8,FALSE)</f>
        <v>-73.872609170000004</v>
      </c>
      <c r="H1171">
        <f t="shared" si="36"/>
        <v>993.4</v>
      </c>
      <c r="I1171">
        <f t="shared" si="37"/>
        <v>617.29999999999995</v>
      </c>
    </row>
    <row r="1172" spans="1:9" ht="30" x14ac:dyDescent="0.25">
      <c r="A1172" s="5" t="s">
        <v>441</v>
      </c>
      <c r="B1172" s="5" t="s">
        <v>84</v>
      </c>
      <c r="C1172" s="5" t="s">
        <v>1532</v>
      </c>
      <c r="D1172" s="3">
        <f>VLOOKUP(A1172,airports!A:H,7,FALSE)</f>
        <v>33.938839999999999</v>
      </c>
      <c r="E1172" s="3">
        <f>VLOOKUP(A1172,airports!A:H,8,FALSE)</f>
        <v>-81.119539439999997</v>
      </c>
      <c r="F1172" s="3">
        <f>VLOOKUP(B1172,airports!A:H,7,FALSE)</f>
        <v>25.79325</v>
      </c>
      <c r="G1172" s="3">
        <f>VLOOKUP(B1172,airports!A:H,8,FALSE)</f>
        <v>-80.290555560000001</v>
      </c>
      <c r="H1172">
        <f t="shared" si="36"/>
        <v>909.3</v>
      </c>
      <c r="I1172">
        <f t="shared" si="37"/>
        <v>565</v>
      </c>
    </row>
    <row r="1173" spans="1:9" ht="30" x14ac:dyDescent="0.25">
      <c r="A1173" s="5" t="s">
        <v>441</v>
      </c>
      <c r="B1173" s="5" t="s">
        <v>95</v>
      </c>
      <c r="C1173" s="5" t="s">
        <v>1533</v>
      </c>
      <c r="D1173" s="3">
        <f>VLOOKUP(A1173,airports!A:H,7,FALSE)</f>
        <v>33.938839999999999</v>
      </c>
      <c r="E1173" s="3">
        <f>VLOOKUP(A1173,airports!A:H,8,FALSE)</f>
        <v>-81.119539439999997</v>
      </c>
      <c r="F1173" s="3">
        <f>VLOOKUP(B1173,airports!A:H,7,FALSE)</f>
        <v>41.979595000000003</v>
      </c>
      <c r="G1173" s="3">
        <f>VLOOKUP(B1173,airports!A:H,8,FALSE)</f>
        <v>-87.904464169999997</v>
      </c>
      <c r="H1173">
        <f t="shared" si="36"/>
        <v>1073.0999999999999</v>
      </c>
      <c r="I1173">
        <f t="shared" si="37"/>
        <v>666.8</v>
      </c>
    </row>
    <row r="1174" spans="1:9" ht="30" x14ac:dyDescent="0.25">
      <c r="A1174" s="5" t="s">
        <v>441</v>
      </c>
      <c r="B1174" s="5" t="s">
        <v>102</v>
      </c>
      <c r="C1174" s="5" t="s">
        <v>1534</v>
      </c>
      <c r="D1174" s="3">
        <f>VLOOKUP(A1174,airports!A:H,7,FALSE)</f>
        <v>33.938839999999999</v>
      </c>
      <c r="E1174" s="3">
        <f>VLOOKUP(A1174,airports!A:H,8,FALSE)</f>
        <v>-81.119539439999997</v>
      </c>
      <c r="F1174" s="3">
        <f>VLOOKUP(B1174,airports!A:H,7,FALSE)</f>
        <v>39.871952780000001</v>
      </c>
      <c r="G1174" s="3">
        <f>VLOOKUP(B1174,airports!A:H,8,FALSE)</f>
        <v>-75.241140830000006</v>
      </c>
      <c r="H1174">
        <f t="shared" si="36"/>
        <v>841.2</v>
      </c>
      <c r="I1174">
        <f t="shared" si="37"/>
        <v>522.79999999999995</v>
      </c>
    </row>
    <row r="1175" spans="1:9" ht="30" x14ac:dyDescent="0.25">
      <c r="A1175" s="5" t="s">
        <v>443</v>
      </c>
      <c r="B1175" s="5" t="s">
        <v>10</v>
      </c>
      <c r="C1175" s="5" t="s">
        <v>1535</v>
      </c>
      <c r="D1175" s="3">
        <f>VLOOKUP(A1175,airports!A:H,7,FALSE)</f>
        <v>40.91631194</v>
      </c>
      <c r="E1175" s="3">
        <f>VLOOKUP(A1175,airports!A:H,8,FALSE)</f>
        <v>-81.442465560000002</v>
      </c>
      <c r="F1175" s="3">
        <f>VLOOKUP(B1175,airports!A:H,7,FALSE)</f>
        <v>33.640444440000003</v>
      </c>
      <c r="G1175" s="3">
        <f>VLOOKUP(B1175,airports!A:H,8,FALSE)</f>
        <v>-84.42694444</v>
      </c>
      <c r="H1175">
        <f t="shared" si="36"/>
        <v>850.9</v>
      </c>
      <c r="I1175">
        <f t="shared" si="37"/>
        <v>528.70000000000005</v>
      </c>
    </row>
    <row r="1176" spans="1:9" x14ac:dyDescent="0.25">
      <c r="A1176" s="5" t="s">
        <v>443</v>
      </c>
      <c r="B1176" s="5" t="s">
        <v>40</v>
      </c>
      <c r="C1176" s="5" t="s">
        <v>1536</v>
      </c>
      <c r="D1176" s="3">
        <f>VLOOKUP(A1176,airports!A:H,7,FALSE)</f>
        <v>40.91631194</v>
      </c>
      <c r="E1176" s="3">
        <f>VLOOKUP(A1176,airports!A:H,8,FALSE)</f>
        <v>-81.442465560000002</v>
      </c>
      <c r="F1176" s="3">
        <f>VLOOKUP(B1176,airports!A:H,7,FALSE)</f>
        <v>35.214011110000001</v>
      </c>
      <c r="G1176" s="3">
        <f>VLOOKUP(B1176,airports!A:H,8,FALSE)</f>
        <v>-80.94312583</v>
      </c>
      <c r="H1176">
        <f t="shared" si="36"/>
        <v>635.6</v>
      </c>
      <c r="I1176">
        <f t="shared" si="37"/>
        <v>394.9</v>
      </c>
    </row>
    <row r="1177" spans="1:9" ht="30" x14ac:dyDescent="0.25">
      <c r="A1177" s="5" t="s">
        <v>443</v>
      </c>
      <c r="B1177" s="5" t="s">
        <v>45</v>
      </c>
      <c r="C1177" s="5" t="s">
        <v>1537</v>
      </c>
      <c r="D1177" s="3">
        <f>VLOOKUP(A1177,airports!A:H,7,FALSE)</f>
        <v>40.91631194</v>
      </c>
      <c r="E1177" s="3">
        <f>VLOOKUP(A1177,airports!A:H,8,FALSE)</f>
        <v>-81.442465560000002</v>
      </c>
      <c r="F1177" s="3">
        <f>VLOOKUP(B1177,airports!A:H,7,FALSE)</f>
        <v>38.852083329999999</v>
      </c>
      <c r="G1177" s="3">
        <f>VLOOKUP(B1177,airports!A:H,8,FALSE)</f>
        <v>-77.037722220000006</v>
      </c>
      <c r="H1177">
        <f t="shared" si="36"/>
        <v>440.3</v>
      </c>
      <c r="I1177">
        <f t="shared" si="37"/>
        <v>273.60000000000002</v>
      </c>
    </row>
    <row r="1178" spans="1:9" ht="30" x14ac:dyDescent="0.25">
      <c r="A1178" s="5" t="s">
        <v>443</v>
      </c>
      <c r="B1178" s="5" t="s">
        <v>50</v>
      </c>
      <c r="C1178" s="5" t="s">
        <v>1538</v>
      </c>
      <c r="D1178" s="3">
        <f>VLOOKUP(A1178,airports!A:H,7,FALSE)</f>
        <v>40.91631194</v>
      </c>
      <c r="E1178" s="3">
        <f>VLOOKUP(A1178,airports!A:H,8,FALSE)</f>
        <v>-81.442465560000002</v>
      </c>
      <c r="F1178" s="3">
        <f>VLOOKUP(B1178,airports!A:H,7,FALSE)</f>
        <v>42.212058890000002</v>
      </c>
      <c r="G1178" s="3">
        <f>VLOOKUP(B1178,airports!A:H,8,FALSE)</f>
        <v>-83.348835829999999</v>
      </c>
      <c r="H1178">
        <f t="shared" si="36"/>
        <v>214.3</v>
      </c>
      <c r="I1178">
        <f t="shared" si="37"/>
        <v>133.1</v>
      </c>
    </row>
    <row r="1179" spans="1:9" ht="30" x14ac:dyDescent="0.25">
      <c r="A1179" s="5" t="s">
        <v>443</v>
      </c>
      <c r="B1179" s="5" t="s">
        <v>52</v>
      </c>
      <c r="C1179" s="5" t="s">
        <v>1539</v>
      </c>
      <c r="D1179" s="3">
        <f>VLOOKUP(A1179,airports!A:H,7,FALSE)</f>
        <v>40.91631194</v>
      </c>
      <c r="E1179" s="3">
        <f>VLOOKUP(A1179,airports!A:H,8,FALSE)</f>
        <v>-81.442465560000002</v>
      </c>
      <c r="F1179" s="3">
        <f>VLOOKUP(B1179,airports!A:H,7,FALSE)</f>
        <v>40.69249722</v>
      </c>
      <c r="G1179" s="3">
        <f>VLOOKUP(B1179,airports!A:H,8,FALSE)</f>
        <v>-74.168660560000006</v>
      </c>
      <c r="H1179">
        <f t="shared" si="36"/>
        <v>612.6</v>
      </c>
      <c r="I1179">
        <f t="shared" si="37"/>
        <v>380.6</v>
      </c>
    </row>
    <row r="1180" spans="1:9" x14ac:dyDescent="0.25">
      <c r="A1180" s="5" t="s">
        <v>443</v>
      </c>
      <c r="B1180" s="5" t="s">
        <v>57</v>
      </c>
      <c r="C1180" s="5" t="s">
        <v>1540</v>
      </c>
      <c r="D1180" s="3">
        <f>VLOOKUP(A1180,airports!A:H,7,FALSE)</f>
        <v>40.91631194</v>
      </c>
      <c r="E1180" s="3">
        <f>VLOOKUP(A1180,airports!A:H,8,FALSE)</f>
        <v>-81.442465560000002</v>
      </c>
      <c r="F1180" s="3">
        <f>VLOOKUP(B1180,airports!A:H,7,FALSE)</f>
        <v>26.072583330000001</v>
      </c>
      <c r="G1180" s="3">
        <f>VLOOKUP(B1180,airports!A:H,8,FALSE)</f>
        <v>-80.152749999999997</v>
      </c>
      <c r="H1180">
        <f t="shared" si="36"/>
        <v>1654.8</v>
      </c>
      <c r="I1180">
        <f t="shared" si="37"/>
        <v>1028.3</v>
      </c>
    </row>
    <row r="1181" spans="1:9" ht="30" x14ac:dyDescent="0.25">
      <c r="A1181" s="5" t="s">
        <v>443</v>
      </c>
      <c r="B1181" s="5" t="s">
        <v>176</v>
      </c>
      <c r="C1181" s="5" t="s">
        <v>1541</v>
      </c>
      <c r="D1181" s="3">
        <f>VLOOKUP(A1181,airports!A:H,7,FALSE)</f>
        <v>40.91631194</v>
      </c>
      <c r="E1181" s="3">
        <f>VLOOKUP(A1181,airports!A:H,8,FALSE)</f>
        <v>-81.442465560000002</v>
      </c>
      <c r="F1181" s="3">
        <f>VLOOKUP(B1181,airports!A:H,7,FALSE)</f>
        <v>38.944531939999997</v>
      </c>
      <c r="G1181" s="3">
        <f>VLOOKUP(B1181,airports!A:H,8,FALSE)</f>
        <v>-77.455809720000005</v>
      </c>
      <c r="H1181">
        <f t="shared" si="36"/>
        <v>404.4</v>
      </c>
      <c r="I1181">
        <f t="shared" si="37"/>
        <v>251.3</v>
      </c>
    </row>
    <row r="1182" spans="1:9" ht="30" x14ac:dyDescent="0.25">
      <c r="A1182" s="5" t="s">
        <v>443</v>
      </c>
      <c r="B1182" s="5" t="s">
        <v>67</v>
      </c>
      <c r="C1182" s="5" t="s">
        <v>1542</v>
      </c>
      <c r="D1182" s="3">
        <f>VLOOKUP(A1182,airports!A:H,7,FALSE)</f>
        <v>40.91631194</v>
      </c>
      <c r="E1182" s="3">
        <f>VLOOKUP(A1182,airports!A:H,8,FALSE)</f>
        <v>-81.442465560000002</v>
      </c>
      <c r="F1182" s="3">
        <f>VLOOKUP(B1182,airports!A:H,7,FALSE)</f>
        <v>29.980472219999999</v>
      </c>
      <c r="G1182" s="3">
        <f>VLOOKUP(B1182,airports!A:H,8,FALSE)</f>
        <v>-95.339722219999999</v>
      </c>
      <c r="H1182">
        <f t="shared" si="36"/>
        <v>1746</v>
      </c>
      <c r="I1182">
        <f t="shared" si="37"/>
        <v>1085</v>
      </c>
    </row>
    <row r="1183" spans="1:9" ht="30" x14ac:dyDescent="0.25">
      <c r="A1183" s="5" t="s">
        <v>443</v>
      </c>
      <c r="B1183" s="5" t="s">
        <v>74</v>
      </c>
      <c r="C1183" s="5" t="s">
        <v>1543</v>
      </c>
      <c r="D1183" s="3">
        <f>VLOOKUP(A1183,airports!A:H,7,FALSE)</f>
        <v>40.91631194</v>
      </c>
      <c r="E1183" s="3">
        <f>VLOOKUP(A1183,airports!A:H,8,FALSE)</f>
        <v>-81.442465560000002</v>
      </c>
      <c r="F1183" s="3">
        <f>VLOOKUP(B1183,airports!A:H,7,FALSE)</f>
        <v>40.777243060000004</v>
      </c>
      <c r="G1183" s="3">
        <f>VLOOKUP(B1183,airports!A:H,8,FALSE)</f>
        <v>-73.872609170000004</v>
      </c>
      <c r="H1183">
        <f t="shared" si="36"/>
        <v>636.70000000000005</v>
      </c>
      <c r="I1183">
        <f t="shared" si="37"/>
        <v>395.7</v>
      </c>
    </row>
    <row r="1184" spans="1:9" ht="30" x14ac:dyDescent="0.25">
      <c r="A1184" s="5" t="s">
        <v>443</v>
      </c>
      <c r="B1184" s="5" t="s">
        <v>82</v>
      </c>
      <c r="C1184" s="5" t="s">
        <v>1544</v>
      </c>
      <c r="D1184" s="3">
        <f>VLOOKUP(A1184,airports!A:H,7,FALSE)</f>
        <v>40.91631194</v>
      </c>
      <c r="E1184" s="3">
        <f>VLOOKUP(A1184,airports!A:H,8,FALSE)</f>
        <v>-81.442465560000002</v>
      </c>
      <c r="F1184" s="3">
        <f>VLOOKUP(B1184,airports!A:H,7,FALSE)</f>
        <v>28.42888889</v>
      </c>
      <c r="G1184" s="3">
        <f>VLOOKUP(B1184,airports!A:H,8,FALSE)</f>
        <v>-81.316027779999999</v>
      </c>
      <c r="H1184">
        <f t="shared" si="36"/>
        <v>1388.6</v>
      </c>
      <c r="I1184">
        <f t="shared" si="37"/>
        <v>862.9</v>
      </c>
    </row>
    <row r="1185" spans="1:9" ht="30" x14ac:dyDescent="0.25">
      <c r="A1185" s="5" t="s">
        <v>443</v>
      </c>
      <c r="B1185" s="5" t="s">
        <v>182</v>
      </c>
      <c r="C1185" s="5" t="s">
        <v>1545</v>
      </c>
      <c r="D1185" s="3">
        <f>VLOOKUP(A1185,airports!A:H,7,FALSE)</f>
        <v>40.91631194</v>
      </c>
      <c r="E1185" s="3">
        <f>VLOOKUP(A1185,airports!A:H,8,FALSE)</f>
        <v>-81.442465560000002</v>
      </c>
      <c r="F1185" s="3">
        <f>VLOOKUP(B1185,airports!A:H,7,FALSE)</f>
        <v>33.679749999999999</v>
      </c>
      <c r="G1185" s="3">
        <f>VLOOKUP(B1185,airports!A:H,8,FALSE)</f>
        <v>-78.928333330000001</v>
      </c>
      <c r="H1185">
        <f t="shared" si="36"/>
        <v>834.7</v>
      </c>
      <c r="I1185">
        <f t="shared" si="37"/>
        <v>518.70000000000005</v>
      </c>
    </row>
    <row r="1186" spans="1:9" ht="30" x14ac:dyDescent="0.25">
      <c r="A1186" s="5" t="s">
        <v>443</v>
      </c>
      <c r="B1186" s="5" t="s">
        <v>95</v>
      </c>
      <c r="C1186" s="5" t="s">
        <v>1546</v>
      </c>
      <c r="D1186" s="3">
        <f>VLOOKUP(A1186,airports!A:H,7,FALSE)</f>
        <v>40.91631194</v>
      </c>
      <c r="E1186" s="3">
        <f>VLOOKUP(A1186,airports!A:H,8,FALSE)</f>
        <v>-81.442465560000002</v>
      </c>
      <c r="F1186" s="3">
        <f>VLOOKUP(B1186,airports!A:H,7,FALSE)</f>
        <v>41.979595000000003</v>
      </c>
      <c r="G1186" s="3">
        <f>VLOOKUP(B1186,airports!A:H,8,FALSE)</f>
        <v>-87.904464169999997</v>
      </c>
      <c r="H1186">
        <f t="shared" si="36"/>
        <v>551.29999999999995</v>
      </c>
      <c r="I1186">
        <f t="shared" si="37"/>
        <v>342.6</v>
      </c>
    </row>
    <row r="1187" spans="1:9" ht="30" x14ac:dyDescent="0.25">
      <c r="A1187" s="5" t="s">
        <v>443</v>
      </c>
      <c r="B1187" s="5" t="s">
        <v>185</v>
      </c>
      <c r="C1187" s="5" t="s">
        <v>1547</v>
      </c>
      <c r="D1187" s="3">
        <f>VLOOKUP(A1187,airports!A:H,7,FALSE)</f>
        <v>40.91631194</v>
      </c>
      <c r="E1187" s="3">
        <f>VLOOKUP(A1187,airports!A:H,8,FALSE)</f>
        <v>-81.442465560000002</v>
      </c>
      <c r="F1187" s="3">
        <f>VLOOKUP(B1187,airports!A:H,7,FALSE)</f>
        <v>26.919699999999999</v>
      </c>
      <c r="G1187" s="3">
        <f>VLOOKUP(B1187,airports!A:H,8,FALSE)</f>
        <v>-81.995999999999995</v>
      </c>
      <c r="H1187">
        <f t="shared" si="36"/>
        <v>1557.2</v>
      </c>
      <c r="I1187">
        <f t="shared" si="37"/>
        <v>967.6</v>
      </c>
    </row>
    <row r="1188" spans="1:9" ht="30" x14ac:dyDescent="0.25">
      <c r="A1188" s="5" t="s">
        <v>443</v>
      </c>
      <c r="B1188" s="5" t="s">
        <v>102</v>
      </c>
      <c r="C1188" s="5" t="s">
        <v>1548</v>
      </c>
      <c r="D1188" s="3">
        <f>VLOOKUP(A1188,airports!A:H,7,FALSE)</f>
        <v>40.91631194</v>
      </c>
      <c r="E1188" s="3">
        <f>VLOOKUP(A1188,airports!A:H,8,FALSE)</f>
        <v>-81.442465560000002</v>
      </c>
      <c r="F1188" s="3">
        <f>VLOOKUP(B1188,airports!A:H,7,FALSE)</f>
        <v>39.871952780000001</v>
      </c>
      <c r="G1188" s="3">
        <f>VLOOKUP(B1188,airports!A:H,8,FALSE)</f>
        <v>-75.241140830000006</v>
      </c>
      <c r="H1188">
        <f t="shared" si="36"/>
        <v>537.70000000000005</v>
      </c>
      <c r="I1188">
        <f t="shared" si="37"/>
        <v>334.1</v>
      </c>
    </row>
    <row r="1189" spans="1:9" x14ac:dyDescent="0.25">
      <c r="A1189" s="5" t="s">
        <v>443</v>
      </c>
      <c r="B1189" s="5" t="s">
        <v>188</v>
      </c>
      <c r="C1189" s="5" t="s">
        <v>1549</v>
      </c>
      <c r="D1189" s="3">
        <f>VLOOKUP(A1189,airports!A:H,7,FALSE)</f>
        <v>40.91631194</v>
      </c>
      <c r="E1189" s="3">
        <f>VLOOKUP(A1189,airports!A:H,8,FALSE)</f>
        <v>-81.442465560000002</v>
      </c>
      <c r="F1189" s="3">
        <f>VLOOKUP(B1189,airports!A:H,7,FALSE)</f>
        <v>27.910763330000002</v>
      </c>
      <c r="G1189" s="3">
        <f>VLOOKUP(B1189,airports!A:H,8,FALSE)</f>
        <v>-82.687439440000006</v>
      </c>
      <c r="H1189">
        <f t="shared" si="36"/>
        <v>1450.6</v>
      </c>
      <c r="I1189">
        <f t="shared" si="37"/>
        <v>901.4</v>
      </c>
    </row>
    <row r="1190" spans="1:9" ht="30" x14ac:dyDescent="0.25">
      <c r="A1190" s="5" t="s">
        <v>443</v>
      </c>
      <c r="B1190" s="5" t="s">
        <v>123</v>
      </c>
      <c r="C1190" s="5" t="s">
        <v>1550</v>
      </c>
      <c r="D1190" s="3">
        <f>VLOOKUP(A1190,airports!A:H,7,FALSE)</f>
        <v>40.91631194</v>
      </c>
      <c r="E1190" s="3">
        <f>VLOOKUP(A1190,airports!A:H,8,FALSE)</f>
        <v>-81.442465560000002</v>
      </c>
      <c r="F1190" s="3">
        <f>VLOOKUP(B1190,airports!A:H,7,FALSE)</f>
        <v>26.53616667</v>
      </c>
      <c r="G1190" s="3">
        <f>VLOOKUP(B1190,airports!A:H,8,FALSE)</f>
        <v>-81.755166669999994</v>
      </c>
      <c r="H1190">
        <f t="shared" si="36"/>
        <v>1599.3</v>
      </c>
      <c r="I1190">
        <f t="shared" si="37"/>
        <v>993.8</v>
      </c>
    </row>
    <row r="1191" spans="1:9" ht="30" x14ac:dyDescent="0.25">
      <c r="A1191" s="5" t="s">
        <v>443</v>
      </c>
      <c r="B1191" s="5" t="s">
        <v>126</v>
      </c>
      <c r="C1191" s="5" t="s">
        <v>1551</v>
      </c>
      <c r="D1191" s="3">
        <f>VLOOKUP(A1191,airports!A:H,7,FALSE)</f>
        <v>40.91631194</v>
      </c>
      <c r="E1191" s="3">
        <f>VLOOKUP(A1191,airports!A:H,8,FALSE)</f>
        <v>-81.442465560000002</v>
      </c>
      <c r="F1191" s="3">
        <f>VLOOKUP(B1191,airports!A:H,7,FALSE)</f>
        <v>32.12758333</v>
      </c>
      <c r="G1191" s="3">
        <f>VLOOKUP(B1191,airports!A:H,8,FALSE)</f>
        <v>-81.202138890000001</v>
      </c>
      <c r="H1191">
        <f t="shared" si="36"/>
        <v>977.5</v>
      </c>
      <c r="I1191">
        <f t="shared" si="37"/>
        <v>607.4</v>
      </c>
    </row>
    <row r="1192" spans="1:9" ht="30" x14ac:dyDescent="0.25">
      <c r="A1192" s="5" t="s">
        <v>443</v>
      </c>
      <c r="B1192" s="5" t="s">
        <v>138</v>
      </c>
      <c r="C1192" s="5" t="s">
        <v>1552</v>
      </c>
      <c r="D1192" s="3">
        <f>VLOOKUP(A1192,airports!A:H,7,FALSE)</f>
        <v>40.91631194</v>
      </c>
      <c r="E1192" s="3">
        <f>VLOOKUP(A1192,airports!A:H,8,FALSE)</f>
        <v>-81.442465560000002</v>
      </c>
      <c r="F1192" s="3">
        <f>VLOOKUP(B1192,airports!A:H,7,FALSE)</f>
        <v>27.39533333</v>
      </c>
      <c r="G1192" s="3">
        <f>VLOOKUP(B1192,airports!A:H,8,FALSE)</f>
        <v>-82.554111109999994</v>
      </c>
      <c r="H1192">
        <f t="shared" si="36"/>
        <v>1506.9</v>
      </c>
      <c r="I1192">
        <f t="shared" si="37"/>
        <v>936.4</v>
      </c>
    </row>
    <row r="1193" spans="1:9" ht="30" x14ac:dyDescent="0.25">
      <c r="A1193" s="5" t="s">
        <v>443</v>
      </c>
      <c r="B1193" s="5" t="s">
        <v>145</v>
      </c>
      <c r="C1193" s="5" t="s">
        <v>1553</v>
      </c>
      <c r="D1193" s="3">
        <f>VLOOKUP(A1193,airports!A:H,7,FALSE)</f>
        <v>40.91631194</v>
      </c>
      <c r="E1193" s="3">
        <f>VLOOKUP(A1193,airports!A:H,8,FALSE)</f>
        <v>-81.442465560000002</v>
      </c>
      <c r="F1193" s="3">
        <f>VLOOKUP(B1193,airports!A:H,7,FALSE)</f>
        <v>27.97547222</v>
      </c>
      <c r="G1193" s="3">
        <f>VLOOKUP(B1193,airports!A:H,8,FALSE)</f>
        <v>-82.533249999999995</v>
      </c>
      <c r="H1193">
        <f t="shared" si="36"/>
        <v>1442.4</v>
      </c>
      <c r="I1193">
        <f t="shared" si="37"/>
        <v>896.3</v>
      </c>
    </row>
    <row r="1194" spans="1:9" ht="30" x14ac:dyDescent="0.25">
      <c r="A1194" s="5" t="s">
        <v>267</v>
      </c>
      <c r="B1194" s="5" t="s">
        <v>264</v>
      </c>
      <c r="C1194" s="5" t="s">
        <v>1554</v>
      </c>
      <c r="D1194" s="3">
        <f>VLOOKUP(A1194,airports!A:H,7,FALSE)</f>
        <v>55.206099999999999</v>
      </c>
      <c r="E1194" s="3">
        <f>VLOOKUP(A1194,airports!A:H,8,FALSE)</f>
        <v>-162.72500600000001</v>
      </c>
      <c r="F1194" s="3">
        <f>VLOOKUP(B1194,airports!A:H,7,FALSE)</f>
        <v>51.877963889999997</v>
      </c>
      <c r="G1194" s="3">
        <f>VLOOKUP(B1194,airports!A:H,8,FALSE)</f>
        <v>-176.64603059999999</v>
      </c>
      <c r="H1194">
        <f t="shared" si="36"/>
        <v>989.4</v>
      </c>
      <c r="I1194">
        <f t="shared" si="37"/>
        <v>614.79999999999995</v>
      </c>
    </row>
    <row r="1195" spans="1:9" ht="30" x14ac:dyDescent="0.25">
      <c r="A1195" s="5" t="s">
        <v>267</v>
      </c>
      <c r="B1195" s="5" t="s">
        <v>265</v>
      </c>
      <c r="C1195" s="5" t="s">
        <v>1555</v>
      </c>
      <c r="D1195" s="3">
        <f>VLOOKUP(A1195,airports!A:H,7,FALSE)</f>
        <v>55.206099999999999</v>
      </c>
      <c r="E1195" s="3">
        <f>VLOOKUP(A1195,airports!A:H,8,FALSE)</f>
        <v>-162.72500600000001</v>
      </c>
      <c r="F1195" s="3">
        <f>VLOOKUP(B1195,airports!A:H,7,FALSE)</f>
        <v>61.174320280000003</v>
      </c>
      <c r="G1195" s="3">
        <f>VLOOKUP(B1195,airports!A:H,8,FALSE)</f>
        <v>-149.99618559999999</v>
      </c>
      <c r="H1195">
        <f t="shared" si="36"/>
        <v>995.5</v>
      </c>
      <c r="I1195">
        <f t="shared" si="37"/>
        <v>618.6</v>
      </c>
    </row>
    <row r="1196" spans="1:9" x14ac:dyDescent="0.25">
      <c r="A1196" s="5" t="s">
        <v>1556</v>
      </c>
      <c r="B1196" s="5" t="s">
        <v>135</v>
      </c>
      <c r="C1196" s="5" t="s">
        <v>1557</v>
      </c>
      <c r="D1196" s="3">
        <f>VLOOKUP(A1196,airports!A:H,7,FALSE)</f>
        <v>37.70097028</v>
      </c>
      <c r="E1196" s="3">
        <f>VLOOKUP(A1196,airports!A:H,8,FALSE)</f>
        <v>-113.098575</v>
      </c>
      <c r="F1196" s="3">
        <f>VLOOKUP(B1196,airports!A:H,7,FALSE)</f>
        <v>40.788387780000001</v>
      </c>
      <c r="G1196" s="3">
        <f>VLOOKUP(B1196,airports!A:H,8,FALSE)</f>
        <v>-111.97777309999999</v>
      </c>
      <c r="H1196">
        <f t="shared" si="36"/>
        <v>356.6</v>
      </c>
      <c r="I1196">
        <f t="shared" si="37"/>
        <v>221.6</v>
      </c>
    </row>
    <row r="1197" spans="1:9" ht="30" x14ac:dyDescent="0.25">
      <c r="A1197" s="5" t="s">
        <v>349</v>
      </c>
      <c r="B1197" s="5" t="s">
        <v>265</v>
      </c>
      <c r="C1197" s="5" t="s">
        <v>1558</v>
      </c>
      <c r="D1197" s="3">
        <f>VLOOKUP(A1197,airports!A:H,7,FALSE)</f>
        <v>60.491833890000002</v>
      </c>
      <c r="E1197" s="3">
        <f>VLOOKUP(A1197,airports!A:H,8,FALSE)</f>
        <v>-145.47765029999999</v>
      </c>
      <c r="F1197" s="3">
        <f>VLOOKUP(B1197,airports!A:H,7,FALSE)</f>
        <v>61.174320280000003</v>
      </c>
      <c r="G1197" s="3">
        <f>VLOOKUP(B1197,airports!A:H,8,FALSE)</f>
        <v>-149.99618559999999</v>
      </c>
      <c r="H1197">
        <f t="shared" si="36"/>
        <v>256.3</v>
      </c>
      <c r="I1197">
        <f t="shared" si="37"/>
        <v>159.30000000000001</v>
      </c>
    </row>
    <row r="1198" spans="1:9" ht="30" x14ac:dyDescent="0.25">
      <c r="A1198" s="5" t="s">
        <v>349</v>
      </c>
      <c r="B1198" s="5" t="s">
        <v>1559</v>
      </c>
      <c r="C1198" s="5" t="s">
        <v>1560</v>
      </c>
      <c r="D1198" s="3">
        <f>VLOOKUP(A1198,airports!A:H,7,FALSE)</f>
        <v>60.491833890000002</v>
      </c>
      <c r="E1198" s="3">
        <f>VLOOKUP(A1198,airports!A:H,8,FALSE)</f>
        <v>-145.47765029999999</v>
      </c>
      <c r="F1198" s="3">
        <f>VLOOKUP(B1198,airports!A:H,7,FALSE)</f>
        <v>59.503360559999997</v>
      </c>
      <c r="G1198" s="3">
        <f>VLOOKUP(B1198,airports!A:H,8,FALSE)</f>
        <v>-139.66022609999999</v>
      </c>
      <c r="H1198">
        <f t="shared" si="36"/>
        <v>341.5</v>
      </c>
      <c r="I1198">
        <f t="shared" si="37"/>
        <v>212.2</v>
      </c>
    </row>
    <row r="1199" spans="1:9" x14ac:dyDescent="0.25">
      <c r="A1199" s="5" t="s">
        <v>1561</v>
      </c>
      <c r="B1199" s="5" t="s">
        <v>1562</v>
      </c>
      <c r="C1199" s="5" t="s">
        <v>1563</v>
      </c>
      <c r="D1199" s="3">
        <f>VLOOKUP(A1199,airports!A:H,7,FALSE)</f>
        <v>37.225299999999997</v>
      </c>
      <c r="E1199" s="3">
        <f>VLOOKUP(A1199,airports!A:H,8,FALSE)</f>
        <v>-89.570801000000003</v>
      </c>
      <c r="F1199" s="3">
        <f>VLOOKUP(B1199,airports!A:H,7,FALSE)</f>
        <v>39.834598541259702</v>
      </c>
      <c r="G1199" s="3">
        <f>VLOOKUP(B1199,airports!A:H,8,FALSE)</f>
        <v>-88.865699768066406</v>
      </c>
      <c r="H1199">
        <f t="shared" si="36"/>
        <v>296.5</v>
      </c>
      <c r="I1199">
        <f t="shared" si="37"/>
        <v>184.3</v>
      </c>
    </row>
    <row r="1200" spans="1:9" x14ac:dyDescent="0.25">
      <c r="A1200" s="5" t="s">
        <v>1561</v>
      </c>
      <c r="B1200" s="5" t="s">
        <v>176</v>
      </c>
      <c r="C1200" s="5" t="s">
        <v>1564</v>
      </c>
      <c r="D1200" s="3">
        <f>VLOOKUP(A1200,airports!A:H,7,FALSE)</f>
        <v>37.225299999999997</v>
      </c>
      <c r="E1200" s="3">
        <f>VLOOKUP(A1200,airports!A:H,8,FALSE)</f>
        <v>-89.570801000000003</v>
      </c>
      <c r="F1200" s="3">
        <f>VLOOKUP(B1200,airports!A:H,7,FALSE)</f>
        <v>38.944531939999997</v>
      </c>
      <c r="G1200" s="3">
        <f>VLOOKUP(B1200,airports!A:H,8,FALSE)</f>
        <v>-77.455809720000005</v>
      </c>
      <c r="H1200">
        <f t="shared" si="36"/>
        <v>1076.5999999999999</v>
      </c>
      <c r="I1200">
        <f t="shared" si="37"/>
        <v>669</v>
      </c>
    </row>
    <row r="1201" spans="1:9" ht="30" x14ac:dyDescent="0.25">
      <c r="A1201" s="5" t="s">
        <v>1561</v>
      </c>
      <c r="B1201" s="5" t="s">
        <v>95</v>
      </c>
      <c r="C1201" s="5" t="s">
        <v>1565</v>
      </c>
      <c r="D1201" s="3">
        <f>VLOOKUP(A1201,airports!A:H,7,FALSE)</f>
        <v>37.225299999999997</v>
      </c>
      <c r="E1201" s="3">
        <f>VLOOKUP(A1201,airports!A:H,8,FALSE)</f>
        <v>-89.570801000000003</v>
      </c>
      <c r="F1201" s="3">
        <f>VLOOKUP(B1201,airports!A:H,7,FALSE)</f>
        <v>41.979595000000003</v>
      </c>
      <c r="G1201" s="3">
        <f>VLOOKUP(B1201,airports!A:H,8,FALSE)</f>
        <v>-87.904464169999997</v>
      </c>
      <c r="H1201">
        <f t="shared" si="36"/>
        <v>547.6</v>
      </c>
      <c r="I1201">
        <f t="shared" si="37"/>
        <v>340.3</v>
      </c>
    </row>
    <row r="1202" spans="1:9" ht="30" x14ac:dyDescent="0.25">
      <c r="A1202" s="5" t="s">
        <v>1561</v>
      </c>
      <c r="B1202" s="5" t="s">
        <v>1566</v>
      </c>
      <c r="C1202" s="5" t="s">
        <v>1567</v>
      </c>
      <c r="D1202" s="3">
        <f>VLOOKUP(A1202,airports!A:H,7,FALSE)</f>
        <v>37.225299999999997</v>
      </c>
      <c r="E1202" s="3">
        <f>VLOOKUP(A1202,airports!A:H,8,FALSE)</f>
        <v>-89.570801000000003</v>
      </c>
      <c r="F1202" s="3">
        <f>VLOOKUP(B1202,airports!A:H,7,FALSE)</f>
        <v>37.060833330000001</v>
      </c>
      <c r="G1202" s="3">
        <f>VLOOKUP(B1202,airports!A:H,8,FALSE)</f>
        <v>-88.773750000000007</v>
      </c>
      <c r="H1202">
        <f t="shared" si="36"/>
        <v>73</v>
      </c>
      <c r="I1202">
        <f t="shared" si="37"/>
        <v>45.3</v>
      </c>
    </row>
    <row r="1203" spans="1:9" x14ac:dyDescent="0.25">
      <c r="A1203" s="5" t="s">
        <v>1561</v>
      </c>
      <c r="B1203" s="5" t="s">
        <v>1568</v>
      </c>
      <c r="C1203" s="5" t="s">
        <v>1569</v>
      </c>
      <c r="D1203" s="3">
        <f>VLOOKUP(A1203,airports!A:H,7,FALSE)</f>
        <v>37.225299999999997</v>
      </c>
      <c r="E1203" s="3">
        <f>VLOOKUP(A1203,airports!A:H,8,FALSE)</f>
        <v>-89.570801000000003</v>
      </c>
      <c r="F1203" s="3">
        <f>VLOOKUP(B1203,airports!A:H,7,FALSE)</f>
        <v>39.942699429999998</v>
      </c>
      <c r="G1203" s="3">
        <f>VLOOKUP(B1203,airports!A:H,8,FALSE)</f>
        <v>-91.194602970000005</v>
      </c>
      <c r="H1203">
        <f t="shared" si="36"/>
        <v>333.5</v>
      </c>
      <c r="I1203">
        <f t="shared" si="37"/>
        <v>207.2</v>
      </c>
    </row>
    <row r="1204" spans="1:9" ht="30" x14ac:dyDescent="0.25">
      <c r="A1204" s="5" t="s">
        <v>445</v>
      </c>
      <c r="B1204" s="5" t="s">
        <v>10</v>
      </c>
      <c r="C1204" s="5" t="s">
        <v>1570</v>
      </c>
      <c r="D1204" s="3">
        <f>VLOOKUP(A1204,airports!A:H,7,FALSE)</f>
        <v>35.035268330000001</v>
      </c>
      <c r="E1204" s="3">
        <f>VLOOKUP(A1204,airports!A:H,8,FALSE)</f>
        <v>-85.203787779999999</v>
      </c>
      <c r="F1204" s="3">
        <f>VLOOKUP(B1204,airports!A:H,7,FALSE)</f>
        <v>33.640444440000003</v>
      </c>
      <c r="G1204" s="3">
        <f>VLOOKUP(B1204,airports!A:H,8,FALSE)</f>
        <v>-84.42694444</v>
      </c>
      <c r="H1204">
        <f t="shared" si="36"/>
        <v>170.7</v>
      </c>
      <c r="I1204">
        <f t="shared" si="37"/>
        <v>106.1</v>
      </c>
    </row>
    <row r="1205" spans="1:9" ht="30" x14ac:dyDescent="0.25">
      <c r="A1205" s="5" t="s">
        <v>445</v>
      </c>
      <c r="B1205" s="5" t="s">
        <v>40</v>
      </c>
      <c r="C1205" s="5" t="s">
        <v>1571</v>
      </c>
      <c r="D1205" s="3">
        <f>VLOOKUP(A1205,airports!A:H,7,FALSE)</f>
        <v>35.035268330000001</v>
      </c>
      <c r="E1205" s="3">
        <f>VLOOKUP(A1205,airports!A:H,8,FALSE)</f>
        <v>-85.203787779999999</v>
      </c>
      <c r="F1205" s="3">
        <f>VLOOKUP(B1205,airports!A:H,7,FALSE)</f>
        <v>35.214011110000001</v>
      </c>
      <c r="G1205" s="3">
        <f>VLOOKUP(B1205,airports!A:H,8,FALSE)</f>
        <v>-80.94312583</v>
      </c>
      <c r="H1205">
        <f t="shared" si="36"/>
        <v>388</v>
      </c>
      <c r="I1205">
        <f t="shared" si="37"/>
        <v>241.1</v>
      </c>
    </row>
    <row r="1206" spans="1:9" ht="30" x14ac:dyDescent="0.25">
      <c r="A1206" s="5" t="s">
        <v>445</v>
      </c>
      <c r="B1206" s="5" t="s">
        <v>45</v>
      </c>
      <c r="C1206" s="5" t="s">
        <v>1572</v>
      </c>
      <c r="D1206" s="3">
        <f>VLOOKUP(A1206,airports!A:H,7,FALSE)</f>
        <v>35.035268330000001</v>
      </c>
      <c r="E1206" s="3">
        <f>VLOOKUP(A1206,airports!A:H,8,FALSE)</f>
        <v>-85.203787779999999</v>
      </c>
      <c r="F1206" s="3">
        <f>VLOOKUP(B1206,airports!A:H,7,FALSE)</f>
        <v>38.852083329999999</v>
      </c>
      <c r="G1206" s="3">
        <f>VLOOKUP(B1206,airports!A:H,8,FALSE)</f>
        <v>-77.037722220000006</v>
      </c>
      <c r="H1206">
        <f t="shared" si="36"/>
        <v>840.2</v>
      </c>
      <c r="I1206">
        <f t="shared" si="37"/>
        <v>522.1</v>
      </c>
    </row>
    <row r="1207" spans="1:9" ht="30" x14ac:dyDescent="0.25">
      <c r="A1207" s="5" t="s">
        <v>445</v>
      </c>
      <c r="B1207" s="5" t="s">
        <v>49</v>
      </c>
      <c r="C1207" s="5" t="s">
        <v>1573</v>
      </c>
      <c r="D1207" s="3">
        <f>VLOOKUP(A1207,airports!A:H,7,FALSE)</f>
        <v>35.035268330000001</v>
      </c>
      <c r="E1207" s="3">
        <f>VLOOKUP(A1207,airports!A:H,8,FALSE)</f>
        <v>-85.203787779999999</v>
      </c>
      <c r="F1207" s="3">
        <f>VLOOKUP(B1207,airports!A:H,7,FALSE)</f>
        <v>32.895950560000003</v>
      </c>
      <c r="G1207" s="3">
        <f>VLOOKUP(B1207,airports!A:H,8,FALSE)</f>
        <v>-97.037199999999999</v>
      </c>
      <c r="H1207">
        <f t="shared" si="36"/>
        <v>1116.2</v>
      </c>
      <c r="I1207">
        <f t="shared" si="37"/>
        <v>693.6</v>
      </c>
    </row>
    <row r="1208" spans="1:9" ht="30" x14ac:dyDescent="0.25">
      <c r="A1208" s="5" t="s">
        <v>445</v>
      </c>
      <c r="B1208" s="5" t="s">
        <v>50</v>
      </c>
      <c r="C1208" s="5" t="s">
        <v>1574</v>
      </c>
      <c r="D1208" s="3">
        <f>VLOOKUP(A1208,airports!A:H,7,FALSE)</f>
        <v>35.035268330000001</v>
      </c>
      <c r="E1208" s="3">
        <f>VLOOKUP(A1208,airports!A:H,8,FALSE)</f>
        <v>-85.203787779999999</v>
      </c>
      <c r="F1208" s="3">
        <f>VLOOKUP(B1208,airports!A:H,7,FALSE)</f>
        <v>42.212058890000002</v>
      </c>
      <c r="G1208" s="3">
        <f>VLOOKUP(B1208,airports!A:H,8,FALSE)</f>
        <v>-83.348835829999999</v>
      </c>
      <c r="H1208">
        <f t="shared" si="36"/>
        <v>814.1</v>
      </c>
      <c r="I1208">
        <f t="shared" si="37"/>
        <v>505.9</v>
      </c>
    </row>
    <row r="1209" spans="1:9" ht="30" x14ac:dyDescent="0.25">
      <c r="A1209" s="5" t="s">
        <v>445</v>
      </c>
      <c r="B1209" s="5" t="s">
        <v>52</v>
      </c>
      <c r="C1209" s="5" t="s">
        <v>1575</v>
      </c>
      <c r="D1209" s="3">
        <f>VLOOKUP(A1209,airports!A:H,7,FALSE)</f>
        <v>35.035268330000001</v>
      </c>
      <c r="E1209" s="3">
        <f>VLOOKUP(A1209,airports!A:H,8,FALSE)</f>
        <v>-85.203787779999999</v>
      </c>
      <c r="F1209" s="3">
        <f>VLOOKUP(B1209,airports!A:H,7,FALSE)</f>
        <v>40.69249722</v>
      </c>
      <c r="G1209" s="3">
        <f>VLOOKUP(B1209,airports!A:H,8,FALSE)</f>
        <v>-74.168660560000006</v>
      </c>
      <c r="H1209">
        <f t="shared" si="36"/>
        <v>1153.5999999999999</v>
      </c>
      <c r="I1209">
        <f t="shared" si="37"/>
        <v>716.9</v>
      </c>
    </row>
    <row r="1210" spans="1:9" ht="30" x14ac:dyDescent="0.25">
      <c r="A1210" s="5" t="s">
        <v>445</v>
      </c>
      <c r="B1210" s="5" t="s">
        <v>176</v>
      </c>
      <c r="C1210" s="5" t="s">
        <v>1576</v>
      </c>
      <c r="D1210" s="3">
        <f>VLOOKUP(A1210,airports!A:H,7,FALSE)</f>
        <v>35.035268330000001</v>
      </c>
      <c r="E1210" s="3">
        <f>VLOOKUP(A1210,airports!A:H,8,FALSE)</f>
        <v>-85.203787779999999</v>
      </c>
      <c r="F1210" s="3">
        <f>VLOOKUP(B1210,airports!A:H,7,FALSE)</f>
        <v>38.944531939999997</v>
      </c>
      <c r="G1210" s="3">
        <f>VLOOKUP(B1210,airports!A:H,8,FALSE)</f>
        <v>-77.455809720000005</v>
      </c>
      <c r="H1210">
        <f t="shared" si="36"/>
        <v>813.5</v>
      </c>
      <c r="I1210">
        <f t="shared" si="37"/>
        <v>505.5</v>
      </c>
    </row>
    <row r="1211" spans="1:9" ht="30" x14ac:dyDescent="0.25">
      <c r="A1211" s="5" t="s">
        <v>445</v>
      </c>
      <c r="B1211" s="5" t="s">
        <v>67</v>
      </c>
      <c r="C1211" s="5" t="s">
        <v>1577</v>
      </c>
      <c r="D1211" s="3">
        <f>VLOOKUP(A1211,airports!A:H,7,FALSE)</f>
        <v>35.035268330000001</v>
      </c>
      <c r="E1211" s="3">
        <f>VLOOKUP(A1211,airports!A:H,8,FALSE)</f>
        <v>-85.203787779999999</v>
      </c>
      <c r="F1211" s="3">
        <f>VLOOKUP(B1211,airports!A:H,7,FALSE)</f>
        <v>29.980472219999999</v>
      </c>
      <c r="G1211" s="3">
        <f>VLOOKUP(B1211,airports!A:H,8,FALSE)</f>
        <v>-95.339722219999999</v>
      </c>
      <c r="H1211">
        <f t="shared" si="36"/>
        <v>1103.3</v>
      </c>
      <c r="I1211">
        <f t="shared" si="37"/>
        <v>685.6</v>
      </c>
    </row>
    <row r="1212" spans="1:9" ht="30" x14ac:dyDescent="0.25">
      <c r="A1212" s="5" t="s">
        <v>445</v>
      </c>
      <c r="B1212" s="5" t="s">
        <v>74</v>
      </c>
      <c r="C1212" s="5" t="s">
        <v>1578</v>
      </c>
      <c r="D1212" s="3">
        <f>VLOOKUP(A1212,airports!A:H,7,FALSE)</f>
        <v>35.035268330000001</v>
      </c>
      <c r="E1212" s="3">
        <f>VLOOKUP(A1212,airports!A:H,8,FALSE)</f>
        <v>-85.203787779999999</v>
      </c>
      <c r="F1212" s="3">
        <f>VLOOKUP(B1212,airports!A:H,7,FALSE)</f>
        <v>40.777243060000004</v>
      </c>
      <c r="G1212" s="3">
        <f>VLOOKUP(B1212,airports!A:H,8,FALSE)</f>
        <v>-73.872609170000004</v>
      </c>
      <c r="H1212">
        <f t="shared" si="36"/>
        <v>1180</v>
      </c>
      <c r="I1212">
        <f t="shared" si="37"/>
        <v>733.3</v>
      </c>
    </row>
    <row r="1213" spans="1:9" ht="30" x14ac:dyDescent="0.25">
      <c r="A1213" s="5" t="s">
        <v>445</v>
      </c>
      <c r="B1213" s="5" t="s">
        <v>84</v>
      </c>
      <c r="C1213" s="5" t="s">
        <v>1579</v>
      </c>
      <c r="D1213" s="3">
        <f>VLOOKUP(A1213,airports!A:H,7,FALSE)</f>
        <v>35.035268330000001</v>
      </c>
      <c r="E1213" s="3">
        <f>VLOOKUP(A1213,airports!A:H,8,FALSE)</f>
        <v>-85.203787779999999</v>
      </c>
      <c r="F1213" s="3">
        <f>VLOOKUP(B1213,airports!A:H,7,FALSE)</f>
        <v>25.79325</v>
      </c>
      <c r="G1213" s="3">
        <f>VLOOKUP(B1213,airports!A:H,8,FALSE)</f>
        <v>-80.290555560000001</v>
      </c>
      <c r="H1213">
        <f t="shared" si="36"/>
        <v>1130.0999999999999</v>
      </c>
      <c r="I1213">
        <f t="shared" si="37"/>
        <v>702.2</v>
      </c>
    </row>
    <row r="1214" spans="1:9" ht="30" x14ac:dyDescent="0.25">
      <c r="A1214" s="5" t="s">
        <v>445</v>
      </c>
      <c r="B1214" s="5" t="s">
        <v>87</v>
      </c>
      <c r="C1214" s="5" t="s">
        <v>1580</v>
      </c>
      <c r="D1214" s="3">
        <f>VLOOKUP(A1214,airports!A:H,7,FALSE)</f>
        <v>35.035268330000001</v>
      </c>
      <c r="E1214" s="3">
        <f>VLOOKUP(A1214,airports!A:H,8,FALSE)</f>
        <v>-85.203787779999999</v>
      </c>
      <c r="F1214" s="3">
        <f>VLOOKUP(B1214,airports!A:H,7,FALSE)</f>
        <v>44.880546940000002</v>
      </c>
      <c r="G1214" s="3">
        <f>VLOOKUP(B1214,airports!A:H,8,FALSE)</f>
        <v>-93.216922499999995</v>
      </c>
      <c r="H1214">
        <f t="shared" si="36"/>
        <v>1288.8</v>
      </c>
      <c r="I1214">
        <f t="shared" si="37"/>
        <v>800.9</v>
      </c>
    </row>
    <row r="1215" spans="1:9" ht="30" x14ac:dyDescent="0.25">
      <c r="A1215" s="5" t="s">
        <v>445</v>
      </c>
      <c r="B1215" s="5" t="s">
        <v>95</v>
      </c>
      <c r="C1215" s="5" t="s">
        <v>1581</v>
      </c>
      <c r="D1215" s="3">
        <f>VLOOKUP(A1215,airports!A:H,7,FALSE)</f>
        <v>35.035268330000001</v>
      </c>
      <c r="E1215" s="3">
        <f>VLOOKUP(A1215,airports!A:H,8,FALSE)</f>
        <v>-85.203787779999999</v>
      </c>
      <c r="F1215" s="3">
        <f>VLOOKUP(B1215,airports!A:H,7,FALSE)</f>
        <v>41.979595000000003</v>
      </c>
      <c r="G1215" s="3">
        <f>VLOOKUP(B1215,airports!A:H,8,FALSE)</f>
        <v>-87.904464169999997</v>
      </c>
      <c r="H1215">
        <f t="shared" si="36"/>
        <v>807</v>
      </c>
      <c r="I1215">
        <f t="shared" si="37"/>
        <v>501.5</v>
      </c>
    </row>
    <row r="1216" spans="1:9" ht="30" x14ac:dyDescent="0.25">
      <c r="A1216" s="5" t="s">
        <v>445</v>
      </c>
      <c r="B1216" s="5" t="s">
        <v>102</v>
      </c>
      <c r="C1216" s="5" t="s">
        <v>1582</v>
      </c>
      <c r="D1216" s="3">
        <f>VLOOKUP(A1216,airports!A:H,7,FALSE)</f>
        <v>35.035268330000001</v>
      </c>
      <c r="E1216" s="3">
        <f>VLOOKUP(A1216,airports!A:H,8,FALSE)</f>
        <v>-85.203787779999999</v>
      </c>
      <c r="F1216" s="3">
        <f>VLOOKUP(B1216,airports!A:H,7,FALSE)</f>
        <v>39.871952780000001</v>
      </c>
      <c r="G1216" s="3">
        <f>VLOOKUP(B1216,airports!A:H,8,FALSE)</f>
        <v>-75.241140830000006</v>
      </c>
      <c r="H1216">
        <f t="shared" si="36"/>
        <v>1029.9000000000001</v>
      </c>
      <c r="I1216">
        <f t="shared" si="37"/>
        <v>640</v>
      </c>
    </row>
    <row r="1217" spans="1:9" x14ac:dyDescent="0.25">
      <c r="A1217" s="5" t="s">
        <v>445</v>
      </c>
      <c r="B1217" s="5" t="s">
        <v>188</v>
      </c>
      <c r="C1217" s="5" t="s">
        <v>1583</v>
      </c>
      <c r="D1217" s="3">
        <f>VLOOKUP(A1217,airports!A:H,7,FALSE)</f>
        <v>35.035268330000001</v>
      </c>
      <c r="E1217" s="3">
        <f>VLOOKUP(A1217,airports!A:H,8,FALSE)</f>
        <v>-85.203787779999999</v>
      </c>
      <c r="F1217" s="3">
        <f>VLOOKUP(B1217,airports!A:H,7,FALSE)</f>
        <v>27.910763330000002</v>
      </c>
      <c r="G1217" s="3">
        <f>VLOOKUP(B1217,airports!A:H,8,FALSE)</f>
        <v>-82.687439440000006</v>
      </c>
      <c r="H1217">
        <f t="shared" si="36"/>
        <v>827.3</v>
      </c>
      <c r="I1217">
        <f t="shared" si="37"/>
        <v>514.1</v>
      </c>
    </row>
    <row r="1218" spans="1:9" ht="30" x14ac:dyDescent="0.25">
      <c r="A1218" s="5" t="s">
        <v>445</v>
      </c>
      <c r="B1218" s="5" t="s">
        <v>191</v>
      </c>
      <c r="C1218" s="5" t="s">
        <v>1584</v>
      </c>
      <c r="D1218" s="3">
        <f>VLOOKUP(A1218,airports!A:H,7,FALSE)</f>
        <v>35.035268330000001</v>
      </c>
      <c r="E1218" s="3">
        <f>VLOOKUP(A1218,airports!A:H,8,FALSE)</f>
        <v>-85.203787779999999</v>
      </c>
      <c r="F1218" s="3">
        <f>VLOOKUP(B1218,airports!A:H,7,FALSE)</f>
        <v>28.7776</v>
      </c>
      <c r="G1218" s="3">
        <f>VLOOKUP(B1218,airports!A:H,8,FALSE)</f>
        <v>-81.237499999999997</v>
      </c>
      <c r="H1218">
        <f t="shared" si="36"/>
        <v>790</v>
      </c>
      <c r="I1218">
        <f t="shared" si="37"/>
        <v>490.9</v>
      </c>
    </row>
    <row r="1219" spans="1:9" ht="30" x14ac:dyDescent="0.25">
      <c r="A1219" s="5" t="s">
        <v>447</v>
      </c>
      <c r="B1219" s="5" t="s">
        <v>10</v>
      </c>
      <c r="C1219" s="5" t="s">
        <v>1585</v>
      </c>
      <c r="D1219" s="3">
        <f>VLOOKUP(A1219,airports!A:H,7,FALSE)</f>
        <v>38.138638890000003</v>
      </c>
      <c r="E1219" s="3">
        <f>VLOOKUP(A1219,airports!A:H,8,FALSE)</f>
        <v>-78.452861110000001</v>
      </c>
      <c r="F1219" s="3">
        <f>VLOOKUP(B1219,airports!A:H,7,FALSE)</f>
        <v>33.640444440000003</v>
      </c>
      <c r="G1219" s="3">
        <f>VLOOKUP(B1219,airports!A:H,8,FALSE)</f>
        <v>-84.42694444</v>
      </c>
      <c r="H1219">
        <f t="shared" si="36"/>
        <v>734.4</v>
      </c>
      <c r="I1219">
        <f t="shared" si="37"/>
        <v>456.4</v>
      </c>
    </row>
    <row r="1220" spans="1:9" ht="30" x14ac:dyDescent="0.25">
      <c r="A1220" s="5" t="s">
        <v>447</v>
      </c>
      <c r="B1220" s="5" t="s">
        <v>40</v>
      </c>
      <c r="C1220" s="5" t="s">
        <v>1586</v>
      </c>
      <c r="D1220" s="3">
        <f>VLOOKUP(A1220,airports!A:H,7,FALSE)</f>
        <v>38.138638890000003</v>
      </c>
      <c r="E1220" s="3">
        <f>VLOOKUP(A1220,airports!A:H,8,FALSE)</f>
        <v>-78.452861110000001</v>
      </c>
      <c r="F1220" s="3">
        <f>VLOOKUP(B1220,airports!A:H,7,FALSE)</f>
        <v>35.214011110000001</v>
      </c>
      <c r="G1220" s="3">
        <f>VLOOKUP(B1220,airports!A:H,8,FALSE)</f>
        <v>-80.94312583</v>
      </c>
      <c r="H1220">
        <f t="shared" ref="H1220:H1283" si="38">ROUND(ACOS(COS(RADIANS(90-D1220)) * COS(RADIANS(90-F1220)) + SIN(RADIANS(90-D1220)) * SIN(RADIANS(90-F1220)) * COS(RADIANS(E1220-G1220))) * 6371,1)</f>
        <v>393.8</v>
      </c>
      <c r="I1220">
        <f t="shared" ref="I1220:I1283" si="39">ROUND(ACOS(COS(RADIANS(90-D1220)) * COS(RADIANS(90-F1220)) + SIN(RADIANS(90-D1220)) * SIN(RADIANS(90-F1220)) * COS(RADIANS(E1220-G1220))) * 3959,1)</f>
        <v>244.7</v>
      </c>
    </row>
    <row r="1221" spans="1:9" ht="30" x14ac:dyDescent="0.25">
      <c r="A1221" s="5" t="s">
        <v>447</v>
      </c>
      <c r="B1221" s="5" t="s">
        <v>176</v>
      </c>
      <c r="C1221" s="5" t="s">
        <v>1587</v>
      </c>
      <c r="D1221" s="3">
        <f>VLOOKUP(A1221,airports!A:H,7,FALSE)</f>
        <v>38.138638890000003</v>
      </c>
      <c r="E1221" s="3">
        <f>VLOOKUP(A1221,airports!A:H,8,FALSE)</f>
        <v>-78.452861110000001</v>
      </c>
      <c r="F1221" s="3">
        <f>VLOOKUP(B1221,airports!A:H,7,FALSE)</f>
        <v>38.944531939999997</v>
      </c>
      <c r="G1221" s="3">
        <f>VLOOKUP(B1221,airports!A:H,8,FALSE)</f>
        <v>-77.455809720000005</v>
      </c>
      <c r="H1221">
        <f t="shared" si="38"/>
        <v>124.7</v>
      </c>
      <c r="I1221">
        <f t="shared" si="39"/>
        <v>77.5</v>
      </c>
    </row>
    <row r="1222" spans="1:9" ht="30" x14ac:dyDescent="0.25">
      <c r="A1222" s="5" t="s">
        <v>447</v>
      </c>
      <c r="B1222" s="5" t="s">
        <v>74</v>
      </c>
      <c r="C1222" s="5" t="s">
        <v>1588</v>
      </c>
      <c r="D1222" s="3">
        <f>VLOOKUP(A1222,airports!A:H,7,FALSE)</f>
        <v>38.138638890000003</v>
      </c>
      <c r="E1222" s="3">
        <f>VLOOKUP(A1222,airports!A:H,8,FALSE)</f>
        <v>-78.452861110000001</v>
      </c>
      <c r="F1222" s="3">
        <f>VLOOKUP(B1222,airports!A:H,7,FALSE)</f>
        <v>40.777243060000004</v>
      </c>
      <c r="G1222" s="3">
        <f>VLOOKUP(B1222,airports!A:H,8,FALSE)</f>
        <v>-73.872609170000004</v>
      </c>
      <c r="H1222">
        <f t="shared" si="38"/>
        <v>490.5</v>
      </c>
      <c r="I1222">
        <f t="shared" si="39"/>
        <v>304.8</v>
      </c>
    </row>
    <row r="1223" spans="1:9" ht="30" x14ac:dyDescent="0.25">
      <c r="A1223" s="5" t="s">
        <v>447</v>
      </c>
      <c r="B1223" s="5" t="s">
        <v>95</v>
      </c>
      <c r="C1223" s="5" t="s">
        <v>1589</v>
      </c>
      <c r="D1223" s="3">
        <f>VLOOKUP(A1223,airports!A:H,7,FALSE)</f>
        <v>38.138638890000003</v>
      </c>
      <c r="E1223" s="3">
        <f>VLOOKUP(A1223,airports!A:H,8,FALSE)</f>
        <v>-78.452861110000001</v>
      </c>
      <c r="F1223" s="3">
        <f>VLOOKUP(B1223,airports!A:H,7,FALSE)</f>
        <v>41.979595000000003</v>
      </c>
      <c r="G1223" s="3">
        <f>VLOOKUP(B1223,airports!A:H,8,FALSE)</f>
        <v>-87.904464169999997</v>
      </c>
      <c r="H1223">
        <f t="shared" si="38"/>
        <v>910</v>
      </c>
      <c r="I1223">
        <f t="shared" si="39"/>
        <v>565.5</v>
      </c>
    </row>
    <row r="1224" spans="1:9" ht="30" x14ac:dyDescent="0.25">
      <c r="A1224" s="5" t="s">
        <v>447</v>
      </c>
      <c r="B1224" s="5" t="s">
        <v>102</v>
      </c>
      <c r="C1224" s="5" t="s">
        <v>1590</v>
      </c>
      <c r="D1224" s="3">
        <f>VLOOKUP(A1224,airports!A:H,7,FALSE)</f>
        <v>38.138638890000003</v>
      </c>
      <c r="E1224" s="3">
        <f>VLOOKUP(A1224,airports!A:H,8,FALSE)</f>
        <v>-78.452861110000001</v>
      </c>
      <c r="F1224" s="3">
        <f>VLOOKUP(B1224,airports!A:H,7,FALSE)</f>
        <v>39.871952780000001</v>
      </c>
      <c r="G1224" s="3">
        <f>VLOOKUP(B1224,airports!A:H,8,FALSE)</f>
        <v>-75.241140830000006</v>
      </c>
      <c r="H1224">
        <f t="shared" si="38"/>
        <v>337.8</v>
      </c>
      <c r="I1224">
        <f t="shared" si="39"/>
        <v>209.9</v>
      </c>
    </row>
    <row r="1225" spans="1:9" ht="30" x14ac:dyDescent="0.25">
      <c r="A1225" s="5" t="s">
        <v>447</v>
      </c>
      <c r="B1225" s="5" t="s">
        <v>626</v>
      </c>
      <c r="C1225" s="5" t="s">
        <v>1591</v>
      </c>
      <c r="D1225" s="3">
        <f>VLOOKUP(A1225,airports!A:H,7,FALSE)</f>
        <v>38.138638890000003</v>
      </c>
      <c r="E1225" s="3">
        <f>VLOOKUP(A1225,airports!A:H,8,FALSE)</f>
        <v>-78.452861110000001</v>
      </c>
      <c r="F1225" s="3">
        <f>VLOOKUP(B1225,airports!A:H,7,FALSE)</f>
        <v>41.708953610000002</v>
      </c>
      <c r="G1225" s="3">
        <f>VLOOKUP(B1225,airports!A:H,8,FALSE)</f>
        <v>-86.318474170000002</v>
      </c>
      <c r="H1225">
        <f t="shared" si="38"/>
        <v>778.9</v>
      </c>
      <c r="I1225">
        <f t="shared" si="39"/>
        <v>484</v>
      </c>
    </row>
    <row r="1226" spans="1:9" x14ac:dyDescent="0.25">
      <c r="A1226" s="5" t="s">
        <v>36</v>
      </c>
      <c r="B1226" s="5" t="s">
        <v>10</v>
      </c>
      <c r="C1226" s="5" t="s">
        <v>1592</v>
      </c>
      <c r="D1226" s="3">
        <f>VLOOKUP(A1226,airports!A:H,7,FALSE)</f>
        <v>32.898646390000003</v>
      </c>
      <c r="E1226" s="3">
        <f>VLOOKUP(A1226,airports!A:H,8,FALSE)</f>
        <v>-80.040505830000001</v>
      </c>
      <c r="F1226" s="3">
        <f>VLOOKUP(B1226,airports!A:H,7,FALSE)</f>
        <v>33.640444440000003</v>
      </c>
      <c r="G1226" s="3">
        <f>VLOOKUP(B1226,airports!A:H,8,FALSE)</f>
        <v>-84.42694444</v>
      </c>
      <c r="H1226">
        <f t="shared" si="38"/>
        <v>416</v>
      </c>
      <c r="I1226">
        <f t="shared" si="39"/>
        <v>258.5</v>
      </c>
    </row>
    <row r="1227" spans="1:9" ht="30" x14ac:dyDescent="0.25">
      <c r="A1227" s="5" t="s">
        <v>36</v>
      </c>
      <c r="B1227" s="5" t="s">
        <v>13</v>
      </c>
      <c r="C1227" s="5" t="s">
        <v>1593</v>
      </c>
      <c r="D1227" s="3">
        <f>VLOOKUP(A1227,airports!A:H,7,FALSE)</f>
        <v>32.898646390000003</v>
      </c>
      <c r="E1227" s="3">
        <f>VLOOKUP(A1227,airports!A:H,8,FALSE)</f>
        <v>-80.040505830000001</v>
      </c>
      <c r="F1227" s="3">
        <f>VLOOKUP(B1227,airports!A:H,7,FALSE)</f>
        <v>30.194532779999999</v>
      </c>
      <c r="G1227" s="3">
        <f>VLOOKUP(B1227,airports!A:H,8,FALSE)</f>
        <v>-97.669871939999993</v>
      </c>
      <c r="H1227">
        <f t="shared" si="38"/>
        <v>1695.3</v>
      </c>
      <c r="I1227">
        <f t="shared" si="39"/>
        <v>1053.5</v>
      </c>
    </row>
    <row r="1228" spans="1:9" ht="30" x14ac:dyDescent="0.25">
      <c r="A1228" s="5" t="s">
        <v>36</v>
      </c>
      <c r="B1228" s="5" t="s">
        <v>841</v>
      </c>
      <c r="C1228" s="5" t="s">
        <v>1594</v>
      </c>
      <c r="D1228" s="3">
        <f>VLOOKUP(A1228,airports!A:H,7,FALSE)</f>
        <v>32.898646390000003</v>
      </c>
      <c r="E1228" s="3">
        <f>VLOOKUP(A1228,airports!A:H,8,FALSE)</f>
        <v>-80.040505830000001</v>
      </c>
      <c r="F1228" s="3">
        <f>VLOOKUP(B1228,airports!A:H,7,FALSE)</f>
        <v>38.547699999999999</v>
      </c>
      <c r="G1228" s="3">
        <f>VLOOKUP(B1228,airports!A:H,8,FALSE)</f>
        <v>-89.815700000000007</v>
      </c>
      <c r="H1228">
        <f t="shared" si="38"/>
        <v>1082.0999999999999</v>
      </c>
      <c r="I1228">
        <f t="shared" si="39"/>
        <v>672.4</v>
      </c>
    </row>
    <row r="1229" spans="1:9" ht="30" x14ac:dyDescent="0.25">
      <c r="A1229" s="5" t="s">
        <v>36</v>
      </c>
      <c r="B1229" s="5" t="s">
        <v>19</v>
      </c>
      <c r="C1229" s="5" t="s">
        <v>1595</v>
      </c>
      <c r="D1229" s="3">
        <f>VLOOKUP(A1229,airports!A:H,7,FALSE)</f>
        <v>32.898646390000003</v>
      </c>
      <c r="E1229" s="3">
        <f>VLOOKUP(A1229,airports!A:H,8,FALSE)</f>
        <v>-80.040505830000001</v>
      </c>
      <c r="F1229" s="3">
        <f>VLOOKUP(B1229,airports!A:H,7,FALSE)</f>
        <v>36.12447667</v>
      </c>
      <c r="G1229" s="3">
        <f>VLOOKUP(B1229,airports!A:H,8,FALSE)</f>
        <v>-86.678182219999997</v>
      </c>
      <c r="H1229">
        <f t="shared" si="38"/>
        <v>705.8</v>
      </c>
      <c r="I1229">
        <f t="shared" si="39"/>
        <v>438.6</v>
      </c>
    </row>
    <row r="1230" spans="1:9" ht="30" x14ac:dyDescent="0.25">
      <c r="A1230" s="5" t="s">
        <v>36</v>
      </c>
      <c r="B1230" s="5" t="s">
        <v>24</v>
      </c>
      <c r="C1230" s="5" t="s">
        <v>1596</v>
      </c>
      <c r="D1230" s="3">
        <f>VLOOKUP(A1230,airports!A:H,7,FALSE)</f>
        <v>32.898646390000003</v>
      </c>
      <c r="E1230" s="3">
        <f>VLOOKUP(A1230,airports!A:H,8,FALSE)</f>
        <v>-80.040505830000001</v>
      </c>
      <c r="F1230" s="3">
        <f>VLOOKUP(B1230,airports!A:H,7,FALSE)</f>
        <v>42.364347500000001</v>
      </c>
      <c r="G1230" s="3">
        <f>VLOOKUP(B1230,airports!A:H,8,FALSE)</f>
        <v>-71.005179170000005</v>
      </c>
      <c r="H1230">
        <f t="shared" si="38"/>
        <v>1317.7</v>
      </c>
      <c r="I1230">
        <f t="shared" si="39"/>
        <v>818.8</v>
      </c>
    </row>
    <row r="1231" spans="1:9" ht="30" x14ac:dyDescent="0.25">
      <c r="A1231" s="5" t="s">
        <v>36</v>
      </c>
      <c r="B1231" s="5" t="s">
        <v>32</v>
      </c>
      <c r="C1231" s="5" t="s">
        <v>1597</v>
      </c>
      <c r="D1231" s="3">
        <f>VLOOKUP(A1231,airports!A:H,7,FALSE)</f>
        <v>32.898646390000003</v>
      </c>
      <c r="E1231" s="3">
        <f>VLOOKUP(A1231,airports!A:H,8,FALSE)</f>
        <v>-80.040505830000001</v>
      </c>
      <c r="F1231" s="3">
        <f>VLOOKUP(B1231,airports!A:H,7,FALSE)</f>
        <v>39.175401669999999</v>
      </c>
      <c r="G1231" s="3">
        <f>VLOOKUP(B1231,airports!A:H,8,FALSE)</f>
        <v>-76.668198329999996</v>
      </c>
      <c r="H1231">
        <f t="shared" si="38"/>
        <v>760.8</v>
      </c>
      <c r="I1231">
        <f t="shared" si="39"/>
        <v>472.8</v>
      </c>
    </row>
    <row r="1232" spans="1:9" x14ac:dyDescent="0.25">
      <c r="A1232" s="5" t="s">
        <v>36</v>
      </c>
      <c r="B1232" s="5" t="s">
        <v>38</v>
      </c>
      <c r="C1232" s="5" t="s">
        <v>1598</v>
      </c>
      <c r="D1232" s="3">
        <f>VLOOKUP(A1232,airports!A:H,7,FALSE)</f>
        <v>32.898646390000003</v>
      </c>
      <c r="E1232" s="3">
        <f>VLOOKUP(A1232,airports!A:H,8,FALSE)</f>
        <v>-80.040505830000001</v>
      </c>
      <c r="F1232" s="3">
        <f>VLOOKUP(B1232,airports!A:H,7,FALSE)</f>
        <v>41.410894169999999</v>
      </c>
      <c r="G1232" s="3">
        <f>VLOOKUP(B1232,airports!A:H,8,FALSE)</f>
        <v>-81.849396670000004</v>
      </c>
      <c r="H1232">
        <f t="shared" si="38"/>
        <v>959.9</v>
      </c>
      <c r="I1232">
        <f t="shared" si="39"/>
        <v>596.5</v>
      </c>
    </row>
    <row r="1233" spans="1:9" x14ac:dyDescent="0.25">
      <c r="A1233" s="5" t="s">
        <v>36</v>
      </c>
      <c r="B1233" s="5" t="s">
        <v>40</v>
      </c>
      <c r="C1233" s="5" t="s">
        <v>1599</v>
      </c>
      <c r="D1233" s="3">
        <f>VLOOKUP(A1233,airports!A:H,7,FALSE)</f>
        <v>32.898646390000003</v>
      </c>
      <c r="E1233" s="3">
        <f>VLOOKUP(A1233,airports!A:H,8,FALSE)</f>
        <v>-80.040505830000001</v>
      </c>
      <c r="F1233" s="3">
        <f>VLOOKUP(B1233,airports!A:H,7,FALSE)</f>
        <v>35.214011110000001</v>
      </c>
      <c r="G1233" s="3">
        <f>VLOOKUP(B1233,airports!A:H,8,FALSE)</f>
        <v>-80.94312583</v>
      </c>
      <c r="H1233">
        <f t="shared" si="38"/>
        <v>270.5</v>
      </c>
      <c r="I1233">
        <f t="shared" si="39"/>
        <v>168.1</v>
      </c>
    </row>
    <row r="1234" spans="1:9" ht="30" x14ac:dyDescent="0.25">
      <c r="A1234" s="5" t="s">
        <v>36</v>
      </c>
      <c r="B1234" s="5" t="s">
        <v>454</v>
      </c>
      <c r="C1234" s="5" t="s">
        <v>1600</v>
      </c>
      <c r="D1234" s="3">
        <f>VLOOKUP(A1234,airports!A:H,7,FALSE)</f>
        <v>32.898646390000003</v>
      </c>
      <c r="E1234" s="3">
        <f>VLOOKUP(A1234,airports!A:H,8,FALSE)</f>
        <v>-80.040505830000001</v>
      </c>
      <c r="F1234" s="3">
        <f>VLOOKUP(B1234,airports!A:H,7,FALSE)</f>
        <v>39.997985280000002</v>
      </c>
      <c r="G1234" s="3">
        <f>VLOOKUP(B1234,airports!A:H,8,FALSE)</f>
        <v>-82.891882780000003</v>
      </c>
      <c r="H1234">
        <f t="shared" si="38"/>
        <v>829.5</v>
      </c>
      <c r="I1234">
        <f t="shared" si="39"/>
        <v>515.4</v>
      </c>
    </row>
    <row r="1235" spans="1:9" ht="30" x14ac:dyDescent="0.25">
      <c r="A1235" s="5" t="s">
        <v>36</v>
      </c>
      <c r="B1235" s="5" t="s">
        <v>462</v>
      </c>
      <c r="C1235" s="5" t="s">
        <v>1601</v>
      </c>
      <c r="D1235" s="3">
        <f>VLOOKUP(A1235,airports!A:H,7,FALSE)</f>
        <v>32.898646390000003</v>
      </c>
      <c r="E1235" s="3">
        <f>VLOOKUP(A1235,airports!A:H,8,FALSE)</f>
        <v>-80.040505830000001</v>
      </c>
      <c r="F1235" s="3">
        <f>VLOOKUP(B1235,airports!A:H,7,FALSE)</f>
        <v>39.046142779999997</v>
      </c>
      <c r="G1235" s="3">
        <f>VLOOKUP(B1235,airports!A:H,8,FALSE)</f>
        <v>-84.662172499999997</v>
      </c>
      <c r="H1235">
        <f t="shared" si="38"/>
        <v>799.9</v>
      </c>
      <c r="I1235">
        <f t="shared" si="39"/>
        <v>497</v>
      </c>
    </row>
    <row r="1236" spans="1:9" ht="30" x14ac:dyDescent="0.25">
      <c r="A1236" s="5" t="s">
        <v>36</v>
      </c>
      <c r="B1236" s="5" t="s">
        <v>201</v>
      </c>
      <c r="C1236" s="5" t="s">
        <v>1602</v>
      </c>
      <c r="D1236" s="3">
        <f>VLOOKUP(A1236,airports!A:H,7,FALSE)</f>
        <v>32.898646390000003</v>
      </c>
      <c r="E1236" s="3">
        <f>VLOOKUP(A1236,airports!A:H,8,FALSE)</f>
        <v>-80.040505830000001</v>
      </c>
      <c r="F1236" s="3">
        <f>VLOOKUP(B1236,airports!A:H,7,FALSE)</f>
        <v>32.847113890000003</v>
      </c>
      <c r="G1236" s="3">
        <f>VLOOKUP(B1236,airports!A:H,8,FALSE)</f>
        <v>-96.851772220000001</v>
      </c>
      <c r="H1236">
        <f t="shared" si="38"/>
        <v>1568.3</v>
      </c>
      <c r="I1236">
        <f t="shared" si="39"/>
        <v>974.6</v>
      </c>
    </row>
    <row r="1237" spans="1:9" ht="30" x14ac:dyDescent="0.25">
      <c r="A1237" s="5" t="s">
        <v>36</v>
      </c>
      <c r="B1237" s="5" t="s">
        <v>45</v>
      </c>
      <c r="C1237" s="5" t="s">
        <v>1603</v>
      </c>
      <c r="D1237" s="3">
        <f>VLOOKUP(A1237,airports!A:H,7,FALSE)</f>
        <v>32.898646390000003</v>
      </c>
      <c r="E1237" s="3">
        <f>VLOOKUP(A1237,airports!A:H,8,FALSE)</f>
        <v>-80.040505830000001</v>
      </c>
      <c r="F1237" s="3">
        <f>VLOOKUP(B1237,airports!A:H,7,FALSE)</f>
        <v>38.852083329999999</v>
      </c>
      <c r="G1237" s="3">
        <f>VLOOKUP(B1237,airports!A:H,8,FALSE)</f>
        <v>-77.037722220000006</v>
      </c>
      <c r="H1237">
        <f t="shared" si="38"/>
        <v>715</v>
      </c>
      <c r="I1237">
        <f t="shared" si="39"/>
        <v>444.3</v>
      </c>
    </row>
    <row r="1238" spans="1:9" ht="30" x14ac:dyDescent="0.25">
      <c r="A1238" s="5" t="s">
        <v>36</v>
      </c>
      <c r="B1238" s="5" t="s">
        <v>47</v>
      </c>
      <c r="C1238" s="5" t="s">
        <v>1604</v>
      </c>
      <c r="D1238" s="3">
        <f>VLOOKUP(A1238,airports!A:H,7,FALSE)</f>
        <v>32.898646390000003</v>
      </c>
      <c r="E1238" s="3">
        <f>VLOOKUP(A1238,airports!A:H,8,FALSE)</f>
        <v>-80.040505830000001</v>
      </c>
      <c r="F1238" s="3">
        <f>VLOOKUP(B1238,airports!A:H,7,FALSE)</f>
        <v>39.858408060000002</v>
      </c>
      <c r="G1238" s="3">
        <f>VLOOKUP(B1238,airports!A:H,8,FALSE)</f>
        <v>-104.6670019</v>
      </c>
      <c r="H1238">
        <f t="shared" si="38"/>
        <v>2327.5</v>
      </c>
      <c r="I1238">
        <f t="shared" si="39"/>
        <v>1446.3</v>
      </c>
    </row>
    <row r="1239" spans="1:9" ht="30" x14ac:dyDescent="0.25">
      <c r="A1239" s="5" t="s">
        <v>36</v>
      </c>
      <c r="B1239" s="5" t="s">
        <v>49</v>
      </c>
      <c r="C1239" s="5" t="s">
        <v>1605</v>
      </c>
      <c r="D1239" s="3">
        <f>VLOOKUP(A1239,airports!A:H,7,FALSE)</f>
        <v>32.898646390000003</v>
      </c>
      <c r="E1239" s="3">
        <f>VLOOKUP(A1239,airports!A:H,8,FALSE)</f>
        <v>-80.040505830000001</v>
      </c>
      <c r="F1239" s="3">
        <f>VLOOKUP(B1239,airports!A:H,7,FALSE)</f>
        <v>32.895950560000003</v>
      </c>
      <c r="G1239" s="3">
        <f>VLOOKUP(B1239,airports!A:H,8,FALSE)</f>
        <v>-97.037199999999999</v>
      </c>
      <c r="H1239">
        <f t="shared" si="38"/>
        <v>1585.2</v>
      </c>
      <c r="I1239">
        <f t="shared" si="39"/>
        <v>985</v>
      </c>
    </row>
    <row r="1240" spans="1:9" ht="30" x14ac:dyDescent="0.25">
      <c r="A1240" s="5" t="s">
        <v>36</v>
      </c>
      <c r="B1240" s="5" t="s">
        <v>50</v>
      </c>
      <c r="C1240" s="5" t="s">
        <v>1606</v>
      </c>
      <c r="D1240" s="3">
        <f>VLOOKUP(A1240,airports!A:H,7,FALSE)</f>
        <v>32.898646390000003</v>
      </c>
      <c r="E1240" s="3">
        <f>VLOOKUP(A1240,airports!A:H,8,FALSE)</f>
        <v>-80.040505830000001</v>
      </c>
      <c r="F1240" s="3">
        <f>VLOOKUP(B1240,airports!A:H,7,FALSE)</f>
        <v>42.212058890000002</v>
      </c>
      <c r="G1240" s="3">
        <f>VLOOKUP(B1240,airports!A:H,8,FALSE)</f>
        <v>-83.348835829999999</v>
      </c>
      <c r="H1240">
        <f t="shared" si="38"/>
        <v>1075.5999999999999</v>
      </c>
      <c r="I1240">
        <f t="shared" si="39"/>
        <v>668.4</v>
      </c>
    </row>
    <row r="1241" spans="1:9" ht="30" x14ac:dyDescent="0.25">
      <c r="A1241" s="5" t="s">
        <v>36</v>
      </c>
      <c r="B1241" s="5" t="s">
        <v>52</v>
      </c>
      <c r="C1241" s="5" t="s">
        <v>1607</v>
      </c>
      <c r="D1241" s="3">
        <f>VLOOKUP(A1241,airports!A:H,7,FALSE)</f>
        <v>32.898646390000003</v>
      </c>
      <c r="E1241" s="3">
        <f>VLOOKUP(A1241,airports!A:H,8,FALSE)</f>
        <v>-80.040505830000001</v>
      </c>
      <c r="F1241" s="3">
        <f>VLOOKUP(B1241,airports!A:H,7,FALSE)</f>
        <v>40.69249722</v>
      </c>
      <c r="G1241" s="3">
        <f>VLOOKUP(B1241,airports!A:H,8,FALSE)</f>
        <v>-74.168660560000006</v>
      </c>
      <c r="H1241">
        <f t="shared" si="38"/>
        <v>1011.5</v>
      </c>
      <c r="I1241">
        <f t="shared" si="39"/>
        <v>628.6</v>
      </c>
    </row>
    <row r="1242" spans="1:9" x14ac:dyDescent="0.25">
      <c r="A1242" s="5" t="s">
        <v>36</v>
      </c>
      <c r="B1242" s="5" t="s">
        <v>57</v>
      </c>
      <c r="C1242" s="5" t="s">
        <v>1608</v>
      </c>
      <c r="D1242" s="3">
        <f>VLOOKUP(A1242,airports!A:H,7,FALSE)</f>
        <v>32.898646390000003</v>
      </c>
      <c r="E1242" s="3">
        <f>VLOOKUP(A1242,airports!A:H,8,FALSE)</f>
        <v>-80.040505830000001</v>
      </c>
      <c r="F1242" s="3">
        <f>VLOOKUP(B1242,airports!A:H,7,FALSE)</f>
        <v>26.072583330000001</v>
      </c>
      <c r="G1242" s="3">
        <f>VLOOKUP(B1242,airports!A:H,8,FALSE)</f>
        <v>-80.152749999999997</v>
      </c>
      <c r="H1242">
        <f t="shared" si="38"/>
        <v>759.1</v>
      </c>
      <c r="I1242">
        <f t="shared" si="39"/>
        <v>471.7</v>
      </c>
    </row>
    <row r="1243" spans="1:9" ht="30" x14ac:dyDescent="0.25">
      <c r="A1243" s="5" t="s">
        <v>36</v>
      </c>
      <c r="B1243" s="5" t="s">
        <v>205</v>
      </c>
      <c r="C1243" s="5" t="s">
        <v>1609</v>
      </c>
      <c r="D1243" s="3">
        <f>VLOOKUP(A1243,airports!A:H,7,FALSE)</f>
        <v>32.898646390000003</v>
      </c>
      <c r="E1243" s="3">
        <f>VLOOKUP(A1243,airports!A:H,8,FALSE)</f>
        <v>-80.040505830000001</v>
      </c>
      <c r="F1243" s="3">
        <f>VLOOKUP(B1243,airports!A:H,7,FALSE)</f>
        <v>29.64541861</v>
      </c>
      <c r="G1243" s="3">
        <f>VLOOKUP(B1243,airports!A:H,8,FALSE)</f>
        <v>-95.278888890000005</v>
      </c>
      <c r="H1243">
        <f t="shared" si="38"/>
        <v>1491.2</v>
      </c>
      <c r="I1243">
        <f t="shared" si="39"/>
        <v>926.7</v>
      </c>
    </row>
    <row r="1244" spans="1:9" x14ac:dyDescent="0.25">
      <c r="A1244" s="5" t="s">
        <v>36</v>
      </c>
      <c r="B1244" s="5" t="s">
        <v>176</v>
      </c>
      <c r="C1244" s="5" t="s">
        <v>1610</v>
      </c>
      <c r="D1244" s="3">
        <f>VLOOKUP(A1244,airports!A:H,7,FALSE)</f>
        <v>32.898646390000003</v>
      </c>
      <c r="E1244" s="3">
        <f>VLOOKUP(A1244,airports!A:H,8,FALSE)</f>
        <v>-80.040505830000001</v>
      </c>
      <c r="F1244" s="3">
        <f>VLOOKUP(B1244,airports!A:H,7,FALSE)</f>
        <v>38.944531939999997</v>
      </c>
      <c r="G1244" s="3">
        <f>VLOOKUP(B1244,airports!A:H,8,FALSE)</f>
        <v>-77.455809720000005</v>
      </c>
      <c r="H1244">
        <f t="shared" si="38"/>
        <v>711.3</v>
      </c>
      <c r="I1244">
        <f t="shared" si="39"/>
        <v>442</v>
      </c>
    </row>
    <row r="1245" spans="1:9" x14ac:dyDescent="0.25">
      <c r="A1245" s="5" t="s">
        <v>36</v>
      </c>
      <c r="B1245" s="5" t="s">
        <v>67</v>
      </c>
      <c r="C1245" s="5" t="s">
        <v>1611</v>
      </c>
      <c r="D1245" s="3">
        <f>VLOOKUP(A1245,airports!A:H,7,FALSE)</f>
        <v>32.898646390000003</v>
      </c>
      <c r="E1245" s="3">
        <f>VLOOKUP(A1245,airports!A:H,8,FALSE)</f>
        <v>-80.040505830000001</v>
      </c>
      <c r="F1245" s="3">
        <f>VLOOKUP(B1245,airports!A:H,7,FALSE)</f>
        <v>29.980472219999999</v>
      </c>
      <c r="G1245" s="3">
        <f>VLOOKUP(B1245,airports!A:H,8,FALSE)</f>
        <v>-95.339722219999999</v>
      </c>
      <c r="H1245">
        <f t="shared" si="38"/>
        <v>1485.8</v>
      </c>
      <c r="I1245">
        <f t="shared" si="39"/>
        <v>923.3</v>
      </c>
    </row>
    <row r="1246" spans="1:9" ht="30" x14ac:dyDescent="0.25">
      <c r="A1246" s="5" t="s">
        <v>36</v>
      </c>
      <c r="B1246" s="5" t="s">
        <v>537</v>
      </c>
      <c r="C1246" s="5" t="s">
        <v>1612</v>
      </c>
      <c r="D1246" s="3">
        <f>VLOOKUP(A1246,airports!A:H,7,FALSE)</f>
        <v>32.898646390000003</v>
      </c>
      <c r="E1246" s="3">
        <f>VLOOKUP(A1246,airports!A:H,8,FALSE)</f>
        <v>-80.040505830000001</v>
      </c>
      <c r="F1246" s="3">
        <f>VLOOKUP(B1246,airports!A:H,7,FALSE)</f>
        <v>39.717329169999999</v>
      </c>
      <c r="G1246" s="3">
        <f>VLOOKUP(B1246,airports!A:H,8,FALSE)</f>
        <v>-86.294384170000001</v>
      </c>
      <c r="H1246">
        <f t="shared" si="38"/>
        <v>942.2</v>
      </c>
      <c r="I1246">
        <f t="shared" si="39"/>
        <v>585.5</v>
      </c>
    </row>
    <row r="1247" spans="1:9" x14ac:dyDescent="0.25">
      <c r="A1247" s="5" t="s">
        <v>36</v>
      </c>
      <c r="B1247" s="5" t="s">
        <v>69</v>
      </c>
      <c r="C1247" s="5" t="s">
        <v>1613</v>
      </c>
      <c r="D1247" s="3">
        <f>VLOOKUP(A1247,airports!A:H,7,FALSE)</f>
        <v>32.898646390000003</v>
      </c>
      <c r="E1247" s="3">
        <f>VLOOKUP(A1247,airports!A:H,8,FALSE)</f>
        <v>-80.040505830000001</v>
      </c>
      <c r="F1247" s="3">
        <f>VLOOKUP(B1247,airports!A:H,7,FALSE)</f>
        <v>40.639751109999999</v>
      </c>
      <c r="G1247" s="3">
        <f>VLOOKUP(B1247,airports!A:H,8,FALSE)</f>
        <v>-73.778925560000005</v>
      </c>
      <c r="H1247">
        <f t="shared" si="38"/>
        <v>1025</v>
      </c>
      <c r="I1247">
        <f t="shared" si="39"/>
        <v>636.9</v>
      </c>
    </row>
    <row r="1248" spans="1:9" ht="30" x14ac:dyDescent="0.25">
      <c r="A1248" s="5" t="s">
        <v>36</v>
      </c>
      <c r="B1248" s="5" t="s">
        <v>73</v>
      </c>
      <c r="C1248" s="5" t="s">
        <v>1614</v>
      </c>
      <c r="D1248" s="3">
        <f>VLOOKUP(A1248,airports!A:H,7,FALSE)</f>
        <v>32.898646390000003</v>
      </c>
      <c r="E1248" s="3">
        <f>VLOOKUP(A1248,airports!A:H,8,FALSE)</f>
        <v>-80.040505830000001</v>
      </c>
      <c r="F1248" s="3">
        <f>VLOOKUP(B1248,airports!A:H,7,FALSE)</f>
        <v>33.942536109999999</v>
      </c>
      <c r="G1248" s="3">
        <f>VLOOKUP(B1248,airports!A:H,8,FALSE)</f>
        <v>-118.4080744</v>
      </c>
      <c r="H1248">
        <f t="shared" si="38"/>
        <v>3541.8</v>
      </c>
      <c r="I1248">
        <f t="shared" si="39"/>
        <v>2200.9</v>
      </c>
    </row>
    <row r="1249" spans="1:9" x14ac:dyDescent="0.25">
      <c r="A1249" s="5" t="s">
        <v>36</v>
      </c>
      <c r="B1249" s="5" t="s">
        <v>740</v>
      </c>
      <c r="C1249" s="5" t="s">
        <v>1615</v>
      </c>
      <c r="D1249" s="3">
        <f>VLOOKUP(A1249,airports!A:H,7,FALSE)</f>
        <v>32.898646390000003</v>
      </c>
      <c r="E1249" s="3">
        <f>VLOOKUP(A1249,airports!A:H,8,FALSE)</f>
        <v>-80.040505830000001</v>
      </c>
      <c r="F1249" s="3">
        <f>VLOOKUP(B1249,airports!A:H,7,FALSE)</f>
        <v>39.813800999999998</v>
      </c>
      <c r="G1249" s="3">
        <f>VLOOKUP(B1249,airports!A:H,8,FALSE)</f>
        <v>-82.927802999999997</v>
      </c>
      <c r="H1249">
        <f t="shared" si="38"/>
        <v>811.1</v>
      </c>
      <c r="I1249">
        <f t="shared" si="39"/>
        <v>504</v>
      </c>
    </row>
    <row r="1250" spans="1:9" ht="30" x14ac:dyDescent="0.25">
      <c r="A1250" s="5" t="s">
        <v>36</v>
      </c>
      <c r="B1250" s="5" t="s">
        <v>74</v>
      </c>
      <c r="C1250" s="5" t="s">
        <v>1616</v>
      </c>
      <c r="D1250" s="3">
        <f>VLOOKUP(A1250,airports!A:H,7,FALSE)</f>
        <v>32.898646390000003</v>
      </c>
      <c r="E1250" s="3">
        <f>VLOOKUP(A1250,airports!A:H,8,FALSE)</f>
        <v>-80.040505830000001</v>
      </c>
      <c r="F1250" s="3">
        <f>VLOOKUP(B1250,airports!A:H,7,FALSE)</f>
        <v>40.777243060000004</v>
      </c>
      <c r="G1250" s="3">
        <f>VLOOKUP(B1250,airports!A:H,8,FALSE)</f>
        <v>-73.872609170000004</v>
      </c>
      <c r="H1250">
        <f t="shared" si="38"/>
        <v>1033.0999999999999</v>
      </c>
      <c r="I1250">
        <f t="shared" si="39"/>
        <v>642</v>
      </c>
    </row>
    <row r="1251" spans="1:9" ht="30" x14ac:dyDescent="0.25">
      <c r="A1251" s="5" t="s">
        <v>36</v>
      </c>
      <c r="B1251" s="5" t="s">
        <v>80</v>
      </c>
      <c r="C1251" s="5" t="s">
        <v>1617</v>
      </c>
      <c r="D1251" s="3">
        <f>VLOOKUP(A1251,airports!A:H,7,FALSE)</f>
        <v>32.898646390000003</v>
      </c>
      <c r="E1251" s="3">
        <f>VLOOKUP(A1251,airports!A:H,8,FALSE)</f>
        <v>-80.040505830000001</v>
      </c>
      <c r="F1251" s="3">
        <f>VLOOKUP(B1251,airports!A:H,7,FALSE)</f>
        <v>39.297605279999999</v>
      </c>
      <c r="G1251" s="3">
        <f>VLOOKUP(B1251,airports!A:H,8,FALSE)</f>
        <v>-94.713905560000001</v>
      </c>
      <c r="H1251">
        <f t="shared" si="38"/>
        <v>1495.4</v>
      </c>
      <c r="I1251">
        <f t="shared" si="39"/>
        <v>929.3</v>
      </c>
    </row>
    <row r="1252" spans="1:9" ht="30" x14ac:dyDescent="0.25">
      <c r="A1252" s="5" t="s">
        <v>36</v>
      </c>
      <c r="B1252" s="5" t="s">
        <v>180</v>
      </c>
      <c r="C1252" s="5" t="s">
        <v>1618</v>
      </c>
      <c r="D1252" s="3">
        <f>VLOOKUP(A1252,airports!A:H,7,FALSE)</f>
        <v>32.898646390000003</v>
      </c>
      <c r="E1252" s="3">
        <f>VLOOKUP(A1252,airports!A:H,8,FALSE)</f>
        <v>-80.040505830000001</v>
      </c>
      <c r="F1252" s="3">
        <f>VLOOKUP(B1252,airports!A:H,7,FALSE)</f>
        <v>41.785982500000003</v>
      </c>
      <c r="G1252" s="3">
        <f>VLOOKUP(B1252,airports!A:H,8,FALSE)</f>
        <v>-87.752424439999999</v>
      </c>
      <c r="H1252">
        <f t="shared" si="38"/>
        <v>1199.4000000000001</v>
      </c>
      <c r="I1252">
        <f t="shared" si="39"/>
        <v>745.3</v>
      </c>
    </row>
    <row r="1253" spans="1:9" ht="30" x14ac:dyDescent="0.25">
      <c r="A1253" s="5" t="s">
        <v>36</v>
      </c>
      <c r="B1253" s="5" t="s">
        <v>84</v>
      </c>
      <c r="C1253" s="5" t="s">
        <v>1619</v>
      </c>
      <c r="D1253" s="3">
        <f>VLOOKUP(A1253,airports!A:H,7,FALSE)</f>
        <v>32.898646390000003</v>
      </c>
      <c r="E1253" s="3">
        <f>VLOOKUP(A1253,airports!A:H,8,FALSE)</f>
        <v>-80.040505830000001</v>
      </c>
      <c r="F1253" s="3">
        <f>VLOOKUP(B1253,airports!A:H,7,FALSE)</f>
        <v>25.79325</v>
      </c>
      <c r="G1253" s="3">
        <f>VLOOKUP(B1253,airports!A:H,8,FALSE)</f>
        <v>-80.290555560000001</v>
      </c>
      <c r="H1253">
        <f t="shared" si="38"/>
        <v>790.5</v>
      </c>
      <c r="I1253">
        <f t="shared" si="39"/>
        <v>491.2</v>
      </c>
    </row>
    <row r="1254" spans="1:9" ht="30" x14ac:dyDescent="0.25">
      <c r="A1254" s="5" t="s">
        <v>36</v>
      </c>
      <c r="B1254" s="5" t="s">
        <v>85</v>
      </c>
      <c r="C1254" s="5" t="s">
        <v>1620</v>
      </c>
      <c r="D1254" s="3">
        <f>VLOOKUP(A1254,airports!A:H,7,FALSE)</f>
        <v>32.898646390000003</v>
      </c>
      <c r="E1254" s="3">
        <f>VLOOKUP(A1254,airports!A:H,8,FALSE)</f>
        <v>-80.040505830000001</v>
      </c>
      <c r="F1254" s="3">
        <f>VLOOKUP(B1254,airports!A:H,7,FALSE)</f>
        <v>42.94722222</v>
      </c>
      <c r="G1254" s="3">
        <f>VLOOKUP(B1254,airports!A:H,8,FALSE)</f>
        <v>-87.896583329999999</v>
      </c>
      <c r="H1254">
        <f t="shared" si="38"/>
        <v>1311.3</v>
      </c>
      <c r="I1254">
        <f t="shared" si="39"/>
        <v>814.9</v>
      </c>
    </row>
    <row r="1255" spans="1:9" ht="30" x14ac:dyDescent="0.25">
      <c r="A1255" s="5" t="s">
        <v>36</v>
      </c>
      <c r="B1255" s="5" t="s">
        <v>87</v>
      </c>
      <c r="C1255" s="5" t="s">
        <v>1621</v>
      </c>
      <c r="D1255" s="3">
        <f>VLOOKUP(A1255,airports!A:H,7,FALSE)</f>
        <v>32.898646390000003</v>
      </c>
      <c r="E1255" s="3">
        <f>VLOOKUP(A1255,airports!A:H,8,FALSE)</f>
        <v>-80.040505830000001</v>
      </c>
      <c r="F1255" s="3">
        <f>VLOOKUP(B1255,airports!A:H,7,FALSE)</f>
        <v>44.880546940000002</v>
      </c>
      <c r="G1255" s="3">
        <f>VLOOKUP(B1255,airports!A:H,8,FALSE)</f>
        <v>-93.216922499999995</v>
      </c>
      <c r="H1255">
        <f t="shared" si="38"/>
        <v>1749.1</v>
      </c>
      <c r="I1255">
        <f t="shared" si="39"/>
        <v>1086.9000000000001</v>
      </c>
    </row>
    <row r="1256" spans="1:9" ht="30" x14ac:dyDescent="0.25">
      <c r="A1256" s="5" t="s">
        <v>36</v>
      </c>
      <c r="B1256" s="5" t="s">
        <v>182</v>
      </c>
      <c r="C1256" s="5" t="s">
        <v>1622</v>
      </c>
      <c r="D1256" s="3">
        <f>VLOOKUP(A1256,airports!A:H,7,FALSE)</f>
        <v>32.898646390000003</v>
      </c>
      <c r="E1256" s="3">
        <f>VLOOKUP(A1256,airports!A:H,8,FALSE)</f>
        <v>-80.040505830000001</v>
      </c>
      <c r="F1256" s="3">
        <f>VLOOKUP(B1256,airports!A:H,7,FALSE)</f>
        <v>33.679749999999999</v>
      </c>
      <c r="G1256" s="3">
        <f>VLOOKUP(B1256,airports!A:H,8,FALSE)</f>
        <v>-78.928333330000001</v>
      </c>
      <c r="H1256">
        <f t="shared" si="38"/>
        <v>135</v>
      </c>
      <c r="I1256">
        <f t="shared" si="39"/>
        <v>83.9</v>
      </c>
    </row>
    <row r="1257" spans="1:9" ht="30" x14ac:dyDescent="0.25">
      <c r="A1257" s="5" t="s">
        <v>36</v>
      </c>
      <c r="B1257" s="5" t="s">
        <v>95</v>
      </c>
      <c r="C1257" s="5" t="s">
        <v>1623</v>
      </c>
      <c r="D1257" s="3">
        <f>VLOOKUP(A1257,airports!A:H,7,FALSE)</f>
        <v>32.898646390000003</v>
      </c>
      <c r="E1257" s="3">
        <f>VLOOKUP(A1257,airports!A:H,8,FALSE)</f>
        <v>-80.040505830000001</v>
      </c>
      <c r="F1257" s="3">
        <f>VLOOKUP(B1257,airports!A:H,7,FALSE)</f>
        <v>41.979595000000003</v>
      </c>
      <c r="G1257" s="3">
        <f>VLOOKUP(B1257,airports!A:H,8,FALSE)</f>
        <v>-87.904464169999997</v>
      </c>
      <c r="H1257">
        <f t="shared" si="38"/>
        <v>1224.2</v>
      </c>
      <c r="I1257">
        <f t="shared" si="39"/>
        <v>760.7</v>
      </c>
    </row>
    <row r="1258" spans="1:9" ht="30" x14ac:dyDescent="0.25">
      <c r="A1258" s="5" t="s">
        <v>36</v>
      </c>
      <c r="B1258" s="5" t="s">
        <v>185</v>
      </c>
      <c r="C1258" s="5" t="s">
        <v>1624</v>
      </c>
      <c r="D1258" s="3">
        <f>VLOOKUP(A1258,airports!A:H,7,FALSE)</f>
        <v>32.898646390000003</v>
      </c>
      <c r="E1258" s="3">
        <f>VLOOKUP(A1258,airports!A:H,8,FALSE)</f>
        <v>-80.040505830000001</v>
      </c>
      <c r="F1258" s="3">
        <f>VLOOKUP(B1258,airports!A:H,7,FALSE)</f>
        <v>26.919699999999999</v>
      </c>
      <c r="G1258" s="3">
        <f>VLOOKUP(B1258,airports!A:H,8,FALSE)</f>
        <v>-81.995999999999995</v>
      </c>
      <c r="H1258">
        <f t="shared" si="38"/>
        <v>691</v>
      </c>
      <c r="I1258">
        <f t="shared" si="39"/>
        <v>429.4</v>
      </c>
    </row>
    <row r="1259" spans="1:9" ht="30" x14ac:dyDescent="0.25">
      <c r="A1259" s="5" t="s">
        <v>36</v>
      </c>
      <c r="B1259" s="5" t="s">
        <v>102</v>
      </c>
      <c r="C1259" s="5" t="s">
        <v>1625</v>
      </c>
      <c r="D1259" s="3">
        <f>VLOOKUP(A1259,airports!A:H,7,FALSE)</f>
        <v>32.898646390000003</v>
      </c>
      <c r="E1259" s="3">
        <f>VLOOKUP(A1259,airports!A:H,8,FALSE)</f>
        <v>-80.040505830000001</v>
      </c>
      <c r="F1259" s="3">
        <f>VLOOKUP(B1259,airports!A:H,7,FALSE)</f>
        <v>39.871952780000001</v>
      </c>
      <c r="G1259" s="3">
        <f>VLOOKUP(B1259,airports!A:H,8,FALSE)</f>
        <v>-75.241140830000006</v>
      </c>
      <c r="H1259">
        <f t="shared" si="38"/>
        <v>886.1</v>
      </c>
      <c r="I1259">
        <f t="shared" si="39"/>
        <v>550.6</v>
      </c>
    </row>
    <row r="1260" spans="1:9" x14ac:dyDescent="0.25">
      <c r="A1260" s="5" t="s">
        <v>36</v>
      </c>
      <c r="B1260" s="5" t="s">
        <v>106</v>
      </c>
      <c r="C1260" s="5" t="s">
        <v>1626</v>
      </c>
      <c r="D1260" s="3">
        <f>VLOOKUP(A1260,airports!A:H,7,FALSE)</f>
        <v>32.898646390000003</v>
      </c>
      <c r="E1260" s="3">
        <f>VLOOKUP(A1260,airports!A:H,8,FALSE)</f>
        <v>-80.040505830000001</v>
      </c>
      <c r="F1260" s="3">
        <f>VLOOKUP(B1260,airports!A:H,7,FALSE)</f>
        <v>40.491465830000003</v>
      </c>
      <c r="G1260" s="3">
        <f>VLOOKUP(B1260,airports!A:H,8,FALSE)</f>
        <v>-80.232870829999996</v>
      </c>
      <c r="H1260">
        <f t="shared" si="38"/>
        <v>844.5</v>
      </c>
      <c r="I1260">
        <f t="shared" si="39"/>
        <v>524.79999999999995</v>
      </c>
    </row>
    <row r="1261" spans="1:9" ht="30" x14ac:dyDescent="0.25">
      <c r="A1261" s="5" t="s">
        <v>36</v>
      </c>
      <c r="B1261" s="5" t="s">
        <v>119</v>
      </c>
      <c r="C1261" s="5" t="s">
        <v>1627</v>
      </c>
      <c r="D1261" s="3">
        <f>VLOOKUP(A1261,airports!A:H,7,FALSE)</f>
        <v>32.898646390000003</v>
      </c>
      <c r="E1261" s="3">
        <f>VLOOKUP(A1261,airports!A:H,8,FALSE)</f>
        <v>-80.040505830000001</v>
      </c>
      <c r="F1261" s="3">
        <f>VLOOKUP(B1261,airports!A:H,7,FALSE)</f>
        <v>35.87763889</v>
      </c>
      <c r="G1261" s="3">
        <f>VLOOKUP(B1261,airports!A:H,8,FALSE)</f>
        <v>-78.787472219999998</v>
      </c>
      <c r="H1261">
        <f t="shared" si="38"/>
        <v>350.6</v>
      </c>
      <c r="I1261">
        <f t="shared" si="39"/>
        <v>217.9</v>
      </c>
    </row>
    <row r="1262" spans="1:9" ht="30" x14ac:dyDescent="0.25">
      <c r="A1262" s="5" t="s">
        <v>36</v>
      </c>
      <c r="B1262" s="5" t="s">
        <v>630</v>
      </c>
      <c r="C1262" s="5" t="s">
        <v>1628</v>
      </c>
      <c r="D1262" s="3">
        <f>VLOOKUP(A1262,airports!A:H,7,FALSE)</f>
        <v>32.898646390000003</v>
      </c>
      <c r="E1262" s="3">
        <f>VLOOKUP(A1262,airports!A:H,8,FALSE)</f>
        <v>-80.040505830000001</v>
      </c>
      <c r="F1262" s="3">
        <f>VLOOKUP(B1262,airports!A:H,7,FALSE)</f>
        <v>38.174388890000003</v>
      </c>
      <c r="G1262" s="3">
        <f>VLOOKUP(B1262,airports!A:H,8,FALSE)</f>
        <v>-85.736000000000004</v>
      </c>
      <c r="H1262">
        <f t="shared" si="38"/>
        <v>780.5</v>
      </c>
      <c r="I1262">
        <f t="shared" si="39"/>
        <v>485</v>
      </c>
    </row>
    <row r="1263" spans="1:9" ht="30" x14ac:dyDescent="0.25">
      <c r="A1263" s="5" t="s">
        <v>36</v>
      </c>
      <c r="B1263" s="5" t="s">
        <v>128</v>
      </c>
      <c r="C1263" s="5" t="s">
        <v>1629</v>
      </c>
      <c r="D1263" s="3">
        <f>VLOOKUP(A1263,airports!A:H,7,FALSE)</f>
        <v>32.898646390000003</v>
      </c>
      <c r="E1263" s="3">
        <f>VLOOKUP(A1263,airports!A:H,8,FALSE)</f>
        <v>-80.040505830000001</v>
      </c>
      <c r="F1263" s="3">
        <f>VLOOKUP(B1263,airports!A:H,7,FALSE)</f>
        <v>47.448981940000003</v>
      </c>
      <c r="G1263" s="3">
        <f>VLOOKUP(B1263,airports!A:H,8,FALSE)</f>
        <v>-122.3093131</v>
      </c>
      <c r="H1263">
        <f t="shared" si="38"/>
        <v>3879.1</v>
      </c>
      <c r="I1263">
        <f t="shared" si="39"/>
        <v>2410.5</v>
      </c>
    </row>
    <row r="1264" spans="1:9" x14ac:dyDescent="0.25">
      <c r="A1264" s="5" t="s">
        <v>36</v>
      </c>
      <c r="B1264" s="5" t="s">
        <v>644</v>
      </c>
      <c r="C1264" s="5" t="s">
        <v>1630</v>
      </c>
      <c r="D1264" s="3">
        <f>VLOOKUP(A1264,airports!A:H,7,FALSE)</f>
        <v>32.898646390000003</v>
      </c>
      <c r="E1264" s="3">
        <f>VLOOKUP(A1264,airports!A:H,8,FALSE)</f>
        <v>-80.040505830000001</v>
      </c>
      <c r="F1264" s="3">
        <f>VLOOKUP(B1264,airports!A:H,7,FALSE)</f>
        <v>38.747686940000001</v>
      </c>
      <c r="G1264" s="3">
        <f>VLOOKUP(B1264,airports!A:H,8,FALSE)</f>
        <v>-90.359989720000002</v>
      </c>
      <c r="H1264">
        <f t="shared" si="38"/>
        <v>1134</v>
      </c>
      <c r="I1264">
        <f t="shared" si="39"/>
        <v>704.7</v>
      </c>
    </row>
    <row r="1265" spans="1:9" ht="30" x14ac:dyDescent="0.25">
      <c r="A1265" s="5" t="s">
        <v>36</v>
      </c>
      <c r="B1265" s="5" t="s">
        <v>656</v>
      </c>
      <c r="C1265" s="5" t="s">
        <v>1631</v>
      </c>
      <c r="D1265" s="3">
        <f>VLOOKUP(A1265,airports!A:H,7,FALSE)</f>
        <v>32.898646390000003</v>
      </c>
      <c r="E1265" s="3">
        <f>VLOOKUP(A1265,airports!A:H,8,FALSE)</f>
        <v>-80.040505830000001</v>
      </c>
      <c r="F1265" s="3">
        <f>VLOOKUP(B1265,airports!A:H,7,FALSE)</f>
        <v>40.276691110000002</v>
      </c>
      <c r="G1265" s="3">
        <f>VLOOKUP(B1265,airports!A:H,8,FALSE)</f>
        <v>-74.813468330000006</v>
      </c>
      <c r="H1265">
        <f t="shared" si="38"/>
        <v>943.4</v>
      </c>
      <c r="I1265">
        <f t="shared" si="39"/>
        <v>586.20000000000005</v>
      </c>
    </row>
    <row r="1266" spans="1:9" x14ac:dyDescent="0.25">
      <c r="A1266" s="5" t="s">
        <v>450</v>
      </c>
      <c r="B1266" s="5" t="s">
        <v>10</v>
      </c>
      <c r="C1266" s="5" t="s">
        <v>1632</v>
      </c>
      <c r="D1266" s="3">
        <f>VLOOKUP(A1266,airports!A:H,7,FALSE)</f>
        <v>41.88458833</v>
      </c>
      <c r="E1266" s="3">
        <f>VLOOKUP(A1266,airports!A:H,8,FALSE)</f>
        <v>-91.710872219999999</v>
      </c>
      <c r="F1266" s="3">
        <f>VLOOKUP(B1266,airports!A:H,7,FALSE)</f>
        <v>33.640444440000003</v>
      </c>
      <c r="G1266" s="3">
        <f>VLOOKUP(B1266,airports!A:H,8,FALSE)</f>
        <v>-84.42694444</v>
      </c>
      <c r="H1266">
        <f t="shared" si="38"/>
        <v>1117.2</v>
      </c>
      <c r="I1266">
        <f t="shared" si="39"/>
        <v>694.2</v>
      </c>
    </row>
    <row r="1267" spans="1:9" x14ac:dyDescent="0.25">
      <c r="A1267" s="5" t="s">
        <v>450</v>
      </c>
      <c r="B1267" s="5" t="s">
        <v>329</v>
      </c>
      <c r="C1267" s="5" t="s">
        <v>1633</v>
      </c>
      <c r="D1267" s="3">
        <f>VLOOKUP(A1267,airports!A:H,7,FALSE)</f>
        <v>41.88458833</v>
      </c>
      <c r="E1267" s="3">
        <f>VLOOKUP(A1267,airports!A:H,8,FALSE)</f>
        <v>-91.710872219999999</v>
      </c>
      <c r="F1267" s="3">
        <f>VLOOKUP(B1267,airports!A:H,7,FALSE)</f>
        <v>33.308999999999997</v>
      </c>
      <c r="G1267" s="3">
        <f>VLOOKUP(B1267,airports!A:H,8,FALSE)</f>
        <v>-111.6559</v>
      </c>
      <c r="H1267">
        <f t="shared" si="38"/>
        <v>1992.3</v>
      </c>
      <c r="I1267">
        <f t="shared" si="39"/>
        <v>1238</v>
      </c>
    </row>
    <row r="1268" spans="1:9" ht="30" x14ac:dyDescent="0.25">
      <c r="A1268" s="5" t="s">
        <v>450</v>
      </c>
      <c r="B1268" s="5" t="s">
        <v>19</v>
      </c>
      <c r="C1268" s="5" t="s">
        <v>1634</v>
      </c>
      <c r="D1268" s="3">
        <f>VLOOKUP(A1268,airports!A:H,7,FALSE)</f>
        <v>41.88458833</v>
      </c>
      <c r="E1268" s="3">
        <f>VLOOKUP(A1268,airports!A:H,8,FALSE)</f>
        <v>-91.710872219999999</v>
      </c>
      <c r="F1268" s="3">
        <f>VLOOKUP(B1268,airports!A:H,7,FALSE)</f>
        <v>36.12447667</v>
      </c>
      <c r="G1268" s="3">
        <f>VLOOKUP(B1268,airports!A:H,8,FALSE)</f>
        <v>-86.678182219999997</v>
      </c>
      <c r="H1268">
        <f t="shared" si="38"/>
        <v>773.8</v>
      </c>
      <c r="I1268">
        <f t="shared" si="39"/>
        <v>480.9</v>
      </c>
    </row>
    <row r="1269" spans="1:9" x14ac:dyDescent="0.25">
      <c r="A1269" s="5" t="s">
        <v>450</v>
      </c>
      <c r="B1269" s="5" t="s">
        <v>40</v>
      </c>
      <c r="C1269" s="5" t="s">
        <v>1635</v>
      </c>
      <c r="D1269" s="3">
        <f>VLOOKUP(A1269,airports!A:H,7,FALSE)</f>
        <v>41.88458833</v>
      </c>
      <c r="E1269" s="3">
        <f>VLOOKUP(A1269,airports!A:H,8,FALSE)</f>
        <v>-91.710872219999999</v>
      </c>
      <c r="F1269" s="3">
        <f>VLOOKUP(B1269,airports!A:H,7,FALSE)</f>
        <v>35.214011110000001</v>
      </c>
      <c r="G1269" s="3">
        <f>VLOOKUP(B1269,airports!A:H,8,FALSE)</f>
        <v>-80.94312583</v>
      </c>
      <c r="H1269">
        <f t="shared" si="38"/>
        <v>1192.9000000000001</v>
      </c>
      <c r="I1269">
        <f t="shared" si="39"/>
        <v>741.3</v>
      </c>
    </row>
    <row r="1270" spans="1:9" ht="30" x14ac:dyDescent="0.25">
      <c r="A1270" s="5" t="s">
        <v>450</v>
      </c>
      <c r="B1270" s="5" t="s">
        <v>47</v>
      </c>
      <c r="C1270" s="5" t="s">
        <v>1636</v>
      </c>
      <c r="D1270" s="3">
        <f>VLOOKUP(A1270,airports!A:H,7,FALSE)</f>
        <v>41.88458833</v>
      </c>
      <c r="E1270" s="3">
        <f>VLOOKUP(A1270,airports!A:H,8,FALSE)</f>
        <v>-91.710872219999999</v>
      </c>
      <c r="F1270" s="3">
        <f>VLOOKUP(B1270,airports!A:H,7,FALSE)</f>
        <v>39.858408060000002</v>
      </c>
      <c r="G1270" s="3">
        <f>VLOOKUP(B1270,airports!A:H,8,FALSE)</f>
        <v>-104.6670019</v>
      </c>
      <c r="H1270">
        <f t="shared" si="38"/>
        <v>1111.3</v>
      </c>
      <c r="I1270">
        <f t="shared" si="39"/>
        <v>690.6</v>
      </c>
    </row>
    <row r="1271" spans="1:9" ht="30" x14ac:dyDescent="0.25">
      <c r="A1271" s="5" t="s">
        <v>450</v>
      </c>
      <c r="B1271" s="5" t="s">
        <v>49</v>
      </c>
      <c r="C1271" s="5" t="s">
        <v>1637</v>
      </c>
      <c r="D1271" s="3">
        <f>VLOOKUP(A1271,airports!A:H,7,FALSE)</f>
        <v>41.88458833</v>
      </c>
      <c r="E1271" s="3">
        <f>VLOOKUP(A1271,airports!A:H,8,FALSE)</f>
        <v>-91.710872219999999</v>
      </c>
      <c r="F1271" s="3">
        <f>VLOOKUP(B1271,airports!A:H,7,FALSE)</f>
        <v>32.895950560000003</v>
      </c>
      <c r="G1271" s="3">
        <f>VLOOKUP(B1271,airports!A:H,8,FALSE)</f>
        <v>-97.037199999999999</v>
      </c>
      <c r="H1271">
        <f t="shared" si="38"/>
        <v>1104.0999999999999</v>
      </c>
      <c r="I1271">
        <f t="shared" si="39"/>
        <v>686.1</v>
      </c>
    </row>
    <row r="1272" spans="1:9" ht="30" x14ac:dyDescent="0.25">
      <c r="A1272" s="5" t="s">
        <v>450</v>
      </c>
      <c r="B1272" s="5" t="s">
        <v>50</v>
      </c>
      <c r="C1272" s="5" t="s">
        <v>1638</v>
      </c>
      <c r="D1272" s="3">
        <f>VLOOKUP(A1272,airports!A:H,7,FALSE)</f>
        <v>41.88458833</v>
      </c>
      <c r="E1272" s="3">
        <f>VLOOKUP(A1272,airports!A:H,8,FALSE)</f>
        <v>-91.710872219999999</v>
      </c>
      <c r="F1272" s="3">
        <f>VLOOKUP(B1272,airports!A:H,7,FALSE)</f>
        <v>42.212058890000002</v>
      </c>
      <c r="G1272" s="3">
        <f>VLOOKUP(B1272,airports!A:H,8,FALSE)</f>
        <v>-83.348835829999999</v>
      </c>
      <c r="H1272">
        <f t="shared" si="38"/>
        <v>691.1</v>
      </c>
      <c r="I1272">
        <f t="shared" si="39"/>
        <v>429.5</v>
      </c>
    </row>
    <row r="1273" spans="1:9" x14ac:dyDescent="0.25">
      <c r="A1273" s="5" t="s">
        <v>450</v>
      </c>
      <c r="B1273" s="5" t="s">
        <v>499</v>
      </c>
      <c r="C1273" s="5" t="s">
        <v>1639</v>
      </c>
      <c r="D1273" s="3">
        <f>VLOOKUP(A1273,airports!A:H,7,FALSE)</f>
        <v>41.88458833</v>
      </c>
      <c r="E1273" s="3">
        <f>VLOOKUP(A1273,airports!A:H,8,FALSE)</f>
        <v>-91.710872219999999</v>
      </c>
      <c r="F1273" s="3">
        <f>VLOOKUP(B1273,airports!A:H,7,FALSE)</f>
        <v>43.58135111</v>
      </c>
      <c r="G1273" s="3">
        <f>VLOOKUP(B1273,airports!A:H,8,FALSE)</f>
        <v>-96.741700280000003</v>
      </c>
      <c r="H1273">
        <f t="shared" si="38"/>
        <v>452</v>
      </c>
      <c r="I1273">
        <f t="shared" si="39"/>
        <v>280.89999999999998</v>
      </c>
    </row>
    <row r="1274" spans="1:9" x14ac:dyDescent="0.25">
      <c r="A1274" s="5" t="s">
        <v>450</v>
      </c>
      <c r="B1274" s="5" t="s">
        <v>71</v>
      </c>
      <c r="C1274" s="5" t="s">
        <v>1640</v>
      </c>
      <c r="D1274" s="3">
        <f>VLOOKUP(A1274,airports!A:H,7,FALSE)</f>
        <v>41.88458833</v>
      </c>
      <c r="E1274" s="3">
        <f>VLOOKUP(A1274,airports!A:H,8,FALSE)</f>
        <v>-91.710872219999999</v>
      </c>
      <c r="F1274" s="3">
        <f>VLOOKUP(B1274,airports!A:H,7,FALSE)</f>
        <v>36.080361109999998</v>
      </c>
      <c r="G1274" s="3">
        <f>VLOOKUP(B1274,airports!A:H,8,FALSE)</f>
        <v>-115.1523333</v>
      </c>
      <c r="H1274">
        <f t="shared" si="38"/>
        <v>2118.6999999999998</v>
      </c>
      <c r="I1274">
        <f t="shared" si="39"/>
        <v>1316.6</v>
      </c>
    </row>
    <row r="1275" spans="1:9" x14ac:dyDescent="0.25">
      <c r="A1275" s="5" t="s">
        <v>450</v>
      </c>
      <c r="B1275" s="5" t="s">
        <v>73</v>
      </c>
      <c r="C1275" s="5" t="s">
        <v>1641</v>
      </c>
      <c r="D1275" s="3">
        <f>VLOOKUP(A1275,airports!A:H,7,FALSE)</f>
        <v>41.88458833</v>
      </c>
      <c r="E1275" s="3">
        <f>VLOOKUP(A1275,airports!A:H,8,FALSE)</f>
        <v>-91.710872219999999</v>
      </c>
      <c r="F1275" s="3">
        <f>VLOOKUP(B1275,airports!A:H,7,FALSE)</f>
        <v>33.942536109999999</v>
      </c>
      <c r="G1275" s="3">
        <f>VLOOKUP(B1275,airports!A:H,8,FALSE)</f>
        <v>-118.4080744</v>
      </c>
      <c r="H1275">
        <f t="shared" si="38"/>
        <v>2490.4</v>
      </c>
      <c r="I1275">
        <f t="shared" si="39"/>
        <v>1547.6</v>
      </c>
    </row>
    <row r="1276" spans="1:9" ht="30" x14ac:dyDescent="0.25">
      <c r="A1276" s="5" t="s">
        <v>450</v>
      </c>
      <c r="B1276" s="5" t="s">
        <v>82</v>
      </c>
      <c r="C1276" s="5" t="s">
        <v>1642</v>
      </c>
      <c r="D1276" s="3">
        <f>VLOOKUP(A1276,airports!A:H,7,FALSE)</f>
        <v>41.88458833</v>
      </c>
      <c r="E1276" s="3">
        <f>VLOOKUP(A1276,airports!A:H,8,FALSE)</f>
        <v>-91.710872219999999</v>
      </c>
      <c r="F1276" s="3">
        <f>VLOOKUP(B1276,airports!A:H,7,FALSE)</f>
        <v>28.42888889</v>
      </c>
      <c r="G1276" s="3">
        <f>VLOOKUP(B1276,airports!A:H,8,FALSE)</f>
        <v>-81.316027779999999</v>
      </c>
      <c r="H1276">
        <f t="shared" si="38"/>
        <v>1766.5</v>
      </c>
      <c r="I1276">
        <f t="shared" si="39"/>
        <v>1097.7</v>
      </c>
    </row>
    <row r="1277" spans="1:9" x14ac:dyDescent="0.25">
      <c r="A1277" s="5" t="s">
        <v>450</v>
      </c>
      <c r="B1277" s="5" t="s">
        <v>573</v>
      </c>
      <c r="C1277" s="5" t="s">
        <v>1643</v>
      </c>
      <c r="D1277" s="3">
        <f>VLOOKUP(A1277,airports!A:H,7,FALSE)</f>
        <v>41.88458833</v>
      </c>
      <c r="E1277" s="3">
        <f>VLOOKUP(A1277,airports!A:H,8,FALSE)</f>
        <v>-91.710872219999999</v>
      </c>
      <c r="F1277" s="3">
        <f>VLOOKUP(B1277,airports!A:H,7,FALSE)</f>
        <v>41.448526389999998</v>
      </c>
      <c r="G1277" s="3">
        <f>VLOOKUP(B1277,airports!A:H,8,FALSE)</f>
        <v>-90.507539170000001</v>
      </c>
      <c r="H1277">
        <f t="shared" si="38"/>
        <v>111.1</v>
      </c>
      <c r="I1277">
        <f t="shared" si="39"/>
        <v>69</v>
      </c>
    </row>
    <row r="1278" spans="1:9" ht="30" x14ac:dyDescent="0.25">
      <c r="A1278" s="5" t="s">
        <v>450</v>
      </c>
      <c r="B1278" s="5" t="s">
        <v>87</v>
      </c>
      <c r="C1278" s="5" t="s">
        <v>1644</v>
      </c>
      <c r="D1278" s="3">
        <f>VLOOKUP(A1278,airports!A:H,7,FALSE)</f>
        <v>41.88458833</v>
      </c>
      <c r="E1278" s="3">
        <f>VLOOKUP(A1278,airports!A:H,8,FALSE)</f>
        <v>-91.710872219999999</v>
      </c>
      <c r="F1278" s="3">
        <f>VLOOKUP(B1278,airports!A:H,7,FALSE)</f>
        <v>44.880546940000002</v>
      </c>
      <c r="G1278" s="3">
        <f>VLOOKUP(B1278,airports!A:H,8,FALSE)</f>
        <v>-93.216922499999995</v>
      </c>
      <c r="H1278">
        <f t="shared" si="38"/>
        <v>354.7</v>
      </c>
      <c r="I1278">
        <f t="shared" si="39"/>
        <v>220.4</v>
      </c>
    </row>
    <row r="1279" spans="1:9" ht="30" x14ac:dyDescent="0.25">
      <c r="A1279" s="5" t="s">
        <v>450</v>
      </c>
      <c r="B1279" s="5" t="s">
        <v>95</v>
      </c>
      <c r="C1279" s="5" t="s">
        <v>1645</v>
      </c>
      <c r="D1279" s="3">
        <f>VLOOKUP(A1279,airports!A:H,7,FALSE)</f>
        <v>41.88458833</v>
      </c>
      <c r="E1279" s="3">
        <f>VLOOKUP(A1279,airports!A:H,8,FALSE)</f>
        <v>-91.710872219999999</v>
      </c>
      <c r="F1279" s="3">
        <f>VLOOKUP(B1279,airports!A:H,7,FALSE)</f>
        <v>41.979595000000003</v>
      </c>
      <c r="G1279" s="3">
        <f>VLOOKUP(B1279,airports!A:H,8,FALSE)</f>
        <v>-87.904464169999997</v>
      </c>
      <c r="H1279">
        <f t="shared" si="38"/>
        <v>315</v>
      </c>
      <c r="I1279">
        <f t="shared" si="39"/>
        <v>195.8</v>
      </c>
    </row>
    <row r="1280" spans="1:9" ht="30" x14ac:dyDescent="0.25">
      <c r="A1280" s="5" t="s">
        <v>450</v>
      </c>
      <c r="B1280" s="5" t="s">
        <v>185</v>
      </c>
      <c r="C1280" s="5" t="s">
        <v>1646</v>
      </c>
      <c r="D1280" s="3">
        <f>VLOOKUP(A1280,airports!A:H,7,FALSE)</f>
        <v>41.88458833</v>
      </c>
      <c r="E1280" s="3">
        <f>VLOOKUP(A1280,airports!A:H,8,FALSE)</f>
        <v>-91.710872219999999</v>
      </c>
      <c r="F1280" s="3">
        <f>VLOOKUP(B1280,airports!A:H,7,FALSE)</f>
        <v>26.919699999999999</v>
      </c>
      <c r="G1280" s="3">
        <f>VLOOKUP(B1280,airports!A:H,8,FALSE)</f>
        <v>-81.995999999999995</v>
      </c>
      <c r="H1280">
        <f t="shared" si="38"/>
        <v>1884.6</v>
      </c>
      <c r="I1280">
        <f t="shared" si="39"/>
        <v>1171.0999999999999</v>
      </c>
    </row>
    <row r="1281" spans="1:9" x14ac:dyDescent="0.25">
      <c r="A1281" s="5" t="s">
        <v>450</v>
      </c>
      <c r="B1281" s="5" t="s">
        <v>104</v>
      </c>
      <c r="C1281" s="5" t="s">
        <v>1647</v>
      </c>
      <c r="D1281" s="3">
        <f>VLOOKUP(A1281,airports!A:H,7,FALSE)</f>
        <v>41.88458833</v>
      </c>
      <c r="E1281" s="3">
        <f>VLOOKUP(A1281,airports!A:H,8,FALSE)</f>
        <v>-91.710872219999999</v>
      </c>
      <c r="F1281" s="3">
        <f>VLOOKUP(B1281,airports!A:H,7,FALSE)</f>
        <v>33.434166670000003</v>
      </c>
      <c r="G1281" s="3">
        <f>VLOOKUP(B1281,airports!A:H,8,FALSE)</f>
        <v>-112.00805560000001</v>
      </c>
      <c r="H1281">
        <f t="shared" si="38"/>
        <v>2011.6</v>
      </c>
      <c r="I1281">
        <f t="shared" si="39"/>
        <v>1250</v>
      </c>
    </row>
    <row r="1282" spans="1:9" x14ac:dyDescent="0.25">
      <c r="A1282" s="5" t="s">
        <v>450</v>
      </c>
      <c r="B1282" s="5" t="s">
        <v>188</v>
      </c>
      <c r="C1282" s="5" t="s">
        <v>1648</v>
      </c>
      <c r="D1282" s="3">
        <f>VLOOKUP(A1282,airports!A:H,7,FALSE)</f>
        <v>41.88458833</v>
      </c>
      <c r="E1282" s="3">
        <f>VLOOKUP(A1282,airports!A:H,8,FALSE)</f>
        <v>-91.710872219999999</v>
      </c>
      <c r="F1282" s="3">
        <f>VLOOKUP(B1282,airports!A:H,7,FALSE)</f>
        <v>27.910763330000002</v>
      </c>
      <c r="G1282" s="3">
        <f>VLOOKUP(B1282,airports!A:H,8,FALSE)</f>
        <v>-82.687439440000006</v>
      </c>
      <c r="H1282">
        <f t="shared" si="38"/>
        <v>1755.8</v>
      </c>
      <c r="I1282">
        <f t="shared" si="39"/>
        <v>1091.0999999999999</v>
      </c>
    </row>
    <row r="1283" spans="1:9" x14ac:dyDescent="0.25">
      <c r="A1283" s="5" t="s">
        <v>450</v>
      </c>
      <c r="B1283" s="5" t="s">
        <v>628</v>
      </c>
      <c r="C1283" s="5" t="s">
        <v>1649</v>
      </c>
      <c r="D1283" s="3">
        <f>VLOOKUP(A1283,airports!A:H,7,FALSE)</f>
        <v>41.88458833</v>
      </c>
      <c r="E1283" s="3">
        <f>VLOOKUP(A1283,airports!A:H,8,FALSE)</f>
        <v>-91.710872219999999</v>
      </c>
      <c r="F1283" s="3">
        <f>VLOOKUP(B1283,airports!A:H,7,FALSE)</f>
        <v>40.851205999999998</v>
      </c>
      <c r="G1283" s="3">
        <f>VLOOKUP(B1283,airports!A:H,8,FALSE)</f>
        <v>-77.846301999999994</v>
      </c>
      <c r="H1283">
        <f t="shared" si="38"/>
        <v>1161.4000000000001</v>
      </c>
      <c r="I1283">
        <f t="shared" si="39"/>
        <v>721.7</v>
      </c>
    </row>
    <row r="1284" spans="1:9" x14ac:dyDescent="0.25">
      <c r="A1284" s="5" t="s">
        <v>450</v>
      </c>
      <c r="B1284" s="5" t="s">
        <v>191</v>
      </c>
      <c r="C1284" s="5" t="s">
        <v>1650</v>
      </c>
      <c r="D1284" s="3">
        <f>VLOOKUP(A1284,airports!A:H,7,FALSE)</f>
        <v>41.88458833</v>
      </c>
      <c r="E1284" s="3">
        <f>VLOOKUP(A1284,airports!A:H,8,FALSE)</f>
        <v>-91.710872219999999</v>
      </c>
      <c r="F1284" s="3">
        <f>VLOOKUP(B1284,airports!A:H,7,FALSE)</f>
        <v>28.7776</v>
      </c>
      <c r="G1284" s="3">
        <f>VLOOKUP(B1284,airports!A:H,8,FALSE)</f>
        <v>-81.237499999999997</v>
      </c>
      <c r="H1284">
        <f t="shared" ref="H1284:H1347" si="40">ROUND(ACOS(COS(RADIANS(90-D1284)) * COS(RADIANS(90-F1284)) + SIN(RADIANS(90-D1284)) * SIN(RADIANS(90-F1284)) * COS(RADIANS(E1284-G1284))) * 6371,1)</f>
        <v>1736.7</v>
      </c>
      <c r="I1284">
        <f t="shared" ref="I1284:I1347" si="41">ROUND(ACOS(COS(RADIANS(90-D1284)) * COS(RADIANS(90-F1284)) + SIN(RADIANS(90-D1284)) * SIN(RADIANS(90-F1284)) * COS(RADIANS(E1284-G1284))) * 3959,1)</f>
        <v>1079.2</v>
      </c>
    </row>
    <row r="1285" spans="1:9" x14ac:dyDescent="0.25">
      <c r="A1285" s="5" t="s">
        <v>450</v>
      </c>
      <c r="B1285" s="5" t="s">
        <v>138</v>
      </c>
      <c r="C1285" s="5" t="s">
        <v>1651</v>
      </c>
      <c r="D1285" s="3">
        <f>VLOOKUP(A1285,airports!A:H,7,FALSE)</f>
        <v>41.88458833</v>
      </c>
      <c r="E1285" s="3">
        <f>VLOOKUP(A1285,airports!A:H,8,FALSE)</f>
        <v>-91.710872219999999</v>
      </c>
      <c r="F1285" s="3">
        <f>VLOOKUP(B1285,airports!A:H,7,FALSE)</f>
        <v>27.39533333</v>
      </c>
      <c r="G1285" s="3">
        <f>VLOOKUP(B1285,airports!A:H,8,FALSE)</f>
        <v>-82.554111109999994</v>
      </c>
      <c r="H1285">
        <f t="shared" si="40"/>
        <v>1813.3</v>
      </c>
      <c r="I1285">
        <f t="shared" si="41"/>
        <v>1126.8</v>
      </c>
    </row>
    <row r="1286" spans="1:9" ht="30" x14ac:dyDescent="0.25">
      <c r="A1286" s="5" t="s">
        <v>1652</v>
      </c>
      <c r="B1286" s="5" t="s">
        <v>50</v>
      </c>
      <c r="C1286" s="5" t="s">
        <v>1653</v>
      </c>
      <c r="D1286" s="3">
        <f>VLOOKUP(A1286,airports!A:H,7,FALSE)</f>
        <v>46.250751940000001</v>
      </c>
      <c r="E1286" s="3">
        <f>VLOOKUP(A1286,airports!A:H,8,FALSE)</f>
        <v>-84.472385279999997</v>
      </c>
      <c r="F1286" s="3">
        <f>VLOOKUP(B1286,airports!A:H,7,FALSE)</f>
        <v>42.212058890000002</v>
      </c>
      <c r="G1286" s="3">
        <f>VLOOKUP(B1286,airports!A:H,8,FALSE)</f>
        <v>-83.348835829999999</v>
      </c>
      <c r="H1286">
        <f t="shared" si="40"/>
        <v>457.9</v>
      </c>
      <c r="I1286">
        <f t="shared" si="41"/>
        <v>284.5</v>
      </c>
    </row>
    <row r="1287" spans="1:9" ht="30" x14ac:dyDescent="0.25">
      <c r="A1287" s="5" t="s">
        <v>1652</v>
      </c>
      <c r="B1287" s="5" t="s">
        <v>87</v>
      </c>
      <c r="C1287" s="5" t="s">
        <v>1654</v>
      </c>
      <c r="D1287" s="3">
        <f>VLOOKUP(A1287,airports!A:H,7,FALSE)</f>
        <v>46.250751940000001</v>
      </c>
      <c r="E1287" s="3">
        <f>VLOOKUP(A1287,airports!A:H,8,FALSE)</f>
        <v>-84.472385279999997</v>
      </c>
      <c r="F1287" s="3">
        <f>VLOOKUP(B1287,airports!A:H,7,FALSE)</f>
        <v>44.880546940000002</v>
      </c>
      <c r="G1287" s="3">
        <f>VLOOKUP(B1287,airports!A:H,8,FALSE)</f>
        <v>-93.216922499999995</v>
      </c>
      <c r="H1287">
        <f t="shared" si="40"/>
        <v>697.2</v>
      </c>
      <c r="I1287">
        <f t="shared" si="41"/>
        <v>433.2</v>
      </c>
    </row>
    <row r="1288" spans="1:9" ht="30" x14ac:dyDescent="0.25">
      <c r="A1288" s="5" t="s">
        <v>1655</v>
      </c>
      <c r="B1288" s="5" t="s">
        <v>419</v>
      </c>
      <c r="C1288" s="5" t="s">
        <v>1656</v>
      </c>
      <c r="D1288" s="3">
        <f>VLOOKUP(A1288,airports!A:H,7,FALSE)</f>
        <v>39.296599999999998</v>
      </c>
      <c r="E1288" s="3">
        <f>VLOOKUP(A1288,airports!A:H,8,FALSE)</f>
        <v>-80.228104000000002</v>
      </c>
      <c r="F1288" s="3">
        <f>VLOOKUP(B1288,airports!A:H,7,FALSE)</f>
        <v>35.436194440000001</v>
      </c>
      <c r="G1288" s="3">
        <f>VLOOKUP(B1288,airports!A:H,8,FALSE)</f>
        <v>-82.54180556</v>
      </c>
      <c r="H1288">
        <f t="shared" si="40"/>
        <v>475.4</v>
      </c>
      <c r="I1288">
        <f t="shared" si="41"/>
        <v>295.39999999999998</v>
      </c>
    </row>
    <row r="1289" spans="1:9" x14ac:dyDescent="0.25">
      <c r="A1289" s="5" t="s">
        <v>1655</v>
      </c>
      <c r="B1289" s="5" t="s">
        <v>176</v>
      </c>
      <c r="C1289" s="5" t="s">
        <v>1657</v>
      </c>
      <c r="D1289" s="3">
        <f>VLOOKUP(A1289,airports!A:H,7,FALSE)</f>
        <v>39.296599999999998</v>
      </c>
      <c r="E1289" s="3">
        <f>VLOOKUP(A1289,airports!A:H,8,FALSE)</f>
        <v>-80.228104000000002</v>
      </c>
      <c r="F1289" s="3">
        <f>VLOOKUP(B1289,airports!A:H,7,FALSE)</f>
        <v>38.944531939999997</v>
      </c>
      <c r="G1289" s="3">
        <f>VLOOKUP(B1289,airports!A:H,8,FALSE)</f>
        <v>-77.455809720000005</v>
      </c>
      <c r="H1289">
        <f t="shared" si="40"/>
        <v>242.3</v>
      </c>
      <c r="I1289">
        <f t="shared" si="41"/>
        <v>150.6</v>
      </c>
    </row>
    <row r="1290" spans="1:9" x14ac:dyDescent="0.25">
      <c r="A1290" s="5" t="s">
        <v>1655</v>
      </c>
      <c r="B1290" s="5" t="s">
        <v>1658</v>
      </c>
      <c r="C1290" s="5" t="s">
        <v>1659</v>
      </c>
      <c r="D1290" s="3">
        <f>VLOOKUP(A1290,airports!A:H,7,FALSE)</f>
        <v>39.296599999999998</v>
      </c>
      <c r="E1290" s="3">
        <f>VLOOKUP(A1290,airports!A:H,8,FALSE)</f>
        <v>-80.228104000000002</v>
      </c>
      <c r="F1290" s="3">
        <f>VLOOKUP(B1290,airports!A:H,7,FALSE)</f>
        <v>40.3161010742187</v>
      </c>
      <c r="G1290" s="3">
        <f>VLOOKUP(B1290,airports!A:H,8,FALSE)</f>
        <v>-78.833900451660099</v>
      </c>
      <c r="H1290">
        <f t="shared" si="40"/>
        <v>164.4</v>
      </c>
      <c r="I1290">
        <f t="shared" si="41"/>
        <v>102.2</v>
      </c>
    </row>
    <row r="1291" spans="1:9" ht="30" x14ac:dyDescent="0.25">
      <c r="A1291" s="5" t="s">
        <v>1655</v>
      </c>
      <c r="B1291" s="5" t="s">
        <v>182</v>
      </c>
      <c r="C1291" s="5" t="s">
        <v>1660</v>
      </c>
      <c r="D1291" s="3">
        <f>VLOOKUP(A1291,airports!A:H,7,FALSE)</f>
        <v>39.296599999999998</v>
      </c>
      <c r="E1291" s="3">
        <f>VLOOKUP(A1291,airports!A:H,8,FALSE)</f>
        <v>-80.228104000000002</v>
      </c>
      <c r="F1291" s="3">
        <f>VLOOKUP(B1291,airports!A:H,7,FALSE)</f>
        <v>33.679749999999999</v>
      </c>
      <c r="G1291" s="3">
        <f>VLOOKUP(B1291,airports!A:H,8,FALSE)</f>
        <v>-78.928333330000001</v>
      </c>
      <c r="H1291">
        <f t="shared" si="40"/>
        <v>635.29999999999995</v>
      </c>
      <c r="I1291">
        <f t="shared" si="41"/>
        <v>394.8</v>
      </c>
    </row>
    <row r="1292" spans="1:9" ht="30" x14ac:dyDescent="0.25">
      <c r="A1292" s="5" t="s">
        <v>1655</v>
      </c>
      <c r="B1292" s="5" t="s">
        <v>95</v>
      </c>
      <c r="C1292" s="5" t="s">
        <v>1661</v>
      </c>
      <c r="D1292" s="3">
        <f>VLOOKUP(A1292,airports!A:H,7,FALSE)</f>
        <v>39.296599999999998</v>
      </c>
      <c r="E1292" s="3">
        <f>VLOOKUP(A1292,airports!A:H,8,FALSE)</f>
        <v>-80.228104000000002</v>
      </c>
      <c r="F1292" s="3">
        <f>VLOOKUP(B1292,airports!A:H,7,FALSE)</f>
        <v>41.979595000000003</v>
      </c>
      <c r="G1292" s="3">
        <f>VLOOKUP(B1292,airports!A:H,8,FALSE)</f>
        <v>-87.904464169999997</v>
      </c>
      <c r="H1292">
        <f t="shared" si="40"/>
        <v>712.8</v>
      </c>
      <c r="I1292">
        <f t="shared" si="41"/>
        <v>442.9</v>
      </c>
    </row>
    <row r="1293" spans="1:9" x14ac:dyDescent="0.25">
      <c r="A1293" s="5" t="s">
        <v>1655</v>
      </c>
      <c r="B1293" s="5" t="s">
        <v>188</v>
      </c>
      <c r="C1293" s="5" t="s">
        <v>1662</v>
      </c>
      <c r="D1293" s="3">
        <f>VLOOKUP(A1293,airports!A:H,7,FALSE)</f>
        <v>39.296599999999998</v>
      </c>
      <c r="E1293" s="3">
        <f>VLOOKUP(A1293,airports!A:H,8,FALSE)</f>
        <v>-80.228104000000002</v>
      </c>
      <c r="F1293" s="3">
        <f>VLOOKUP(B1293,airports!A:H,7,FALSE)</f>
        <v>27.910763330000002</v>
      </c>
      <c r="G1293" s="3">
        <f>VLOOKUP(B1293,airports!A:H,8,FALSE)</f>
        <v>-82.687439440000006</v>
      </c>
      <c r="H1293">
        <f t="shared" si="40"/>
        <v>1286.2</v>
      </c>
      <c r="I1293">
        <f t="shared" si="41"/>
        <v>799.3</v>
      </c>
    </row>
    <row r="1294" spans="1:9" x14ac:dyDescent="0.25">
      <c r="A1294" s="5" t="s">
        <v>1655</v>
      </c>
      <c r="B1294" s="5" t="s">
        <v>191</v>
      </c>
      <c r="C1294" s="5" t="s">
        <v>1663</v>
      </c>
      <c r="D1294" s="3">
        <f>VLOOKUP(A1294,airports!A:H,7,FALSE)</f>
        <v>39.296599999999998</v>
      </c>
      <c r="E1294" s="3">
        <f>VLOOKUP(A1294,airports!A:H,8,FALSE)</f>
        <v>-80.228104000000002</v>
      </c>
      <c r="F1294" s="3">
        <f>VLOOKUP(B1294,airports!A:H,7,FALSE)</f>
        <v>28.7776</v>
      </c>
      <c r="G1294" s="3">
        <f>VLOOKUP(B1294,airports!A:H,8,FALSE)</f>
        <v>-81.237499999999997</v>
      </c>
      <c r="H1294">
        <f t="shared" si="40"/>
        <v>1173.3</v>
      </c>
      <c r="I1294">
        <f t="shared" si="41"/>
        <v>729.1</v>
      </c>
    </row>
    <row r="1295" spans="1:9" ht="30" x14ac:dyDescent="0.25">
      <c r="A1295" s="5" t="s">
        <v>1655</v>
      </c>
      <c r="B1295" s="5" t="s">
        <v>668</v>
      </c>
      <c r="C1295" s="5" t="s">
        <v>1664</v>
      </c>
      <c r="D1295" s="3">
        <f>VLOOKUP(A1295,airports!A:H,7,FALSE)</f>
        <v>39.296599999999998</v>
      </c>
      <c r="E1295" s="3">
        <f>VLOOKUP(A1295,airports!A:H,8,FALSE)</f>
        <v>-80.228104000000002</v>
      </c>
      <c r="F1295" s="3">
        <f>VLOOKUP(B1295,airports!A:H,7,FALSE)</f>
        <v>30.483250000000002</v>
      </c>
      <c r="G1295" s="3">
        <f>VLOOKUP(B1295,airports!A:H,8,FALSE)</f>
        <v>-86.525400000000005</v>
      </c>
      <c r="H1295">
        <f t="shared" si="40"/>
        <v>1135.2</v>
      </c>
      <c r="I1295">
        <f t="shared" si="41"/>
        <v>705.4</v>
      </c>
    </row>
    <row r="1296" spans="1:9" ht="30" x14ac:dyDescent="0.25">
      <c r="A1296" s="5" t="s">
        <v>38</v>
      </c>
      <c r="B1296" s="5" t="s">
        <v>385</v>
      </c>
      <c r="C1296" s="5" t="s">
        <v>1665</v>
      </c>
      <c r="D1296" s="3">
        <f>VLOOKUP(A1296,airports!A:H,7,FALSE)</f>
        <v>41.410894169999999</v>
      </c>
      <c r="E1296" s="3">
        <f>VLOOKUP(A1296,airports!A:H,8,FALSE)</f>
        <v>-81.849396670000004</v>
      </c>
      <c r="F1296" s="3">
        <f>VLOOKUP(B1296,airports!A:H,7,FALSE)</f>
        <v>45.078067500000003</v>
      </c>
      <c r="G1296" s="3">
        <f>VLOOKUP(B1296,airports!A:H,8,FALSE)</f>
        <v>-83.560285829999998</v>
      </c>
      <c r="H1296">
        <f t="shared" si="40"/>
        <v>430.6</v>
      </c>
      <c r="I1296">
        <f t="shared" si="41"/>
        <v>267.60000000000002</v>
      </c>
    </row>
    <row r="1297" spans="1:9" x14ac:dyDescent="0.25">
      <c r="A1297" s="5" t="s">
        <v>38</v>
      </c>
      <c r="B1297" s="5" t="s">
        <v>10</v>
      </c>
      <c r="C1297" s="5" t="s">
        <v>1666</v>
      </c>
      <c r="D1297" s="3">
        <f>VLOOKUP(A1297,airports!A:H,7,FALSE)</f>
        <v>41.410894169999999</v>
      </c>
      <c r="E1297" s="3">
        <f>VLOOKUP(A1297,airports!A:H,8,FALSE)</f>
        <v>-81.849396670000004</v>
      </c>
      <c r="F1297" s="3">
        <f>VLOOKUP(B1297,airports!A:H,7,FALSE)</f>
        <v>33.640444440000003</v>
      </c>
      <c r="G1297" s="3">
        <f>VLOOKUP(B1297,airports!A:H,8,FALSE)</f>
        <v>-84.42694444</v>
      </c>
      <c r="H1297">
        <f t="shared" si="40"/>
        <v>893.3</v>
      </c>
      <c r="I1297">
        <f t="shared" si="41"/>
        <v>555.1</v>
      </c>
    </row>
    <row r="1298" spans="1:9" x14ac:dyDescent="0.25">
      <c r="A1298" s="5" t="s">
        <v>38</v>
      </c>
      <c r="B1298" s="5" t="s">
        <v>13</v>
      </c>
      <c r="C1298" s="5" t="s">
        <v>1667</v>
      </c>
      <c r="D1298" s="3">
        <f>VLOOKUP(A1298,airports!A:H,7,FALSE)</f>
        <v>41.410894169999999</v>
      </c>
      <c r="E1298" s="3">
        <f>VLOOKUP(A1298,airports!A:H,8,FALSE)</f>
        <v>-81.849396670000004</v>
      </c>
      <c r="F1298" s="3">
        <f>VLOOKUP(B1298,airports!A:H,7,FALSE)</f>
        <v>30.194532779999999</v>
      </c>
      <c r="G1298" s="3">
        <f>VLOOKUP(B1298,airports!A:H,8,FALSE)</f>
        <v>-97.669871939999993</v>
      </c>
      <c r="H1298">
        <f t="shared" si="40"/>
        <v>1889.4</v>
      </c>
      <c r="I1298">
        <f t="shared" si="41"/>
        <v>1174.0999999999999</v>
      </c>
    </row>
    <row r="1299" spans="1:9" x14ac:dyDescent="0.25">
      <c r="A1299" s="5" t="s">
        <v>38</v>
      </c>
      <c r="B1299" s="5" t="s">
        <v>16</v>
      </c>
      <c r="C1299" s="5" t="s">
        <v>1668</v>
      </c>
      <c r="D1299" s="3">
        <f>VLOOKUP(A1299,airports!A:H,7,FALSE)</f>
        <v>41.410894169999999</v>
      </c>
      <c r="E1299" s="3">
        <f>VLOOKUP(A1299,airports!A:H,8,FALSE)</f>
        <v>-81.849396670000004</v>
      </c>
      <c r="F1299" s="3">
        <f>VLOOKUP(B1299,airports!A:H,7,FALSE)</f>
        <v>41.938874169999998</v>
      </c>
      <c r="G1299" s="3">
        <f>VLOOKUP(B1299,airports!A:H,8,FALSE)</f>
        <v>-72.683228330000006</v>
      </c>
      <c r="H1299">
        <f t="shared" si="40"/>
        <v>763.2</v>
      </c>
      <c r="I1299">
        <f t="shared" si="41"/>
        <v>474.3</v>
      </c>
    </row>
    <row r="1300" spans="1:9" ht="30" x14ac:dyDescent="0.25">
      <c r="A1300" s="5" t="s">
        <v>38</v>
      </c>
      <c r="B1300" s="5" t="s">
        <v>19</v>
      </c>
      <c r="C1300" s="5" t="s">
        <v>1669</v>
      </c>
      <c r="D1300" s="3">
        <f>VLOOKUP(A1300,airports!A:H,7,FALSE)</f>
        <v>41.410894169999999</v>
      </c>
      <c r="E1300" s="3">
        <f>VLOOKUP(A1300,airports!A:H,8,FALSE)</f>
        <v>-81.849396670000004</v>
      </c>
      <c r="F1300" s="3">
        <f>VLOOKUP(B1300,airports!A:H,7,FALSE)</f>
        <v>36.12447667</v>
      </c>
      <c r="G1300" s="3">
        <f>VLOOKUP(B1300,airports!A:H,8,FALSE)</f>
        <v>-86.678182219999997</v>
      </c>
      <c r="H1300">
        <f t="shared" si="40"/>
        <v>721.4</v>
      </c>
      <c r="I1300">
        <f t="shared" si="41"/>
        <v>448.3</v>
      </c>
    </row>
    <row r="1301" spans="1:9" x14ac:dyDescent="0.25">
      <c r="A1301" s="5" t="s">
        <v>38</v>
      </c>
      <c r="B1301" s="5" t="s">
        <v>24</v>
      </c>
      <c r="C1301" s="5" t="s">
        <v>1670</v>
      </c>
      <c r="D1301" s="3">
        <f>VLOOKUP(A1301,airports!A:H,7,FALSE)</f>
        <v>41.410894169999999</v>
      </c>
      <c r="E1301" s="3">
        <f>VLOOKUP(A1301,airports!A:H,8,FALSE)</f>
        <v>-81.849396670000004</v>
      </c>
      <c r="F1301" s="3">
        <f>VLOOKUP(B1301,airports!A:H,7,FALSE)</f>
        <v>42.364347500000001</v>
      </c>
      <c r="G1301" s="3">
        <f>VLOOKUP(B1301,airports!A:H,8,FALSE)</f>
        <v>-71.005179170000005</v>
      </c>
      <c r="H1301">
        <f t="shared" si="40"/>
        <v>903.3</v>
      </c>
      <c r="I1301">
        <f t="shared" si="41"/>
        <v>561.29999999999995</v>
      </c>
    </row>
    <row r="1302" spans="1:9" x14ac:dyDescent="0.25">
      <c r="A1302" s="5" t="s">
        <v>38</v>
      </c>
      <c r="B1302" s="5" t="s">
        <v>32</v>
      </c>
      <c r="C1302" s="5" t="s">
        <v>1671</v>
      </c>
      <c r="D1302" s="3">
        <f>VLOOKUP(A1302,airports!A:H,7,FALSE)</f>
        <v>41.410894169999999</v>
      </c>
      <c r="E1302" s="3">
        <f>VLOOKUP(A1302,airports!A:H,8,FALSE)</f>
        <v>-81.849396670000004</v>
      </c>
      <c r="F1302" s="3">
        <f>VLOOKUP(B1302,airports!A:H,7,FALSE)</f>
        <v>39.175401669999999</v>
      </c>
      <c r="G1302" s="3">
        <f>VLOOKUP(B1302,airports!A:H,8,FALSE)</f>
        <v>-76.668198329999996</v>
      </c>
      <c r="H1302">
        <f t="shared" si="40"/>
        <v>504.7</v>
      </c>
      <c r="I1302">
        <f t="shared" si="41"/>
        <v>313.60000000000002</v>
      </c>
    </row>
    <row r="1303" spans="1:9" x14ac:dyDescent="0.25">
      <c r="A1303" s="5" t="s">
        <v>38</v>
      </c>
      <c r="B1303" s="5" t="s">
        <v>36</v>
      </c>
      <c r="C1303" s="5" t="s">
        <v>1672</v>
      </c>
      <c r="D1303" s="3">
        <f>VLOOKUP(A1303,airports!A:H,7,FALSE)</f>
        <v>41.410894169999999</v>
      </c>
      <c r="E1303" s="3">
        <f>VLOOKUP(A1303,airports!A:H,8,FALSE)</f>
        <v>-81.849396670000004</v>
      </c>
      <c r="F1303" s="3">
        <f>VLOOKUP(B1303,airports!A:H,7,FALSE)</f>
        <v>32.898646390000003</v>
      </c>
      <c r="G1303" s="3">
        <f>VLOOKUP(B1303,airports!A:H,8,FALSE)</f>
        <v>-80.040505830000001</v>
      </c>
      <c r="H1303">
        <f t="shared" si="40"/>
        <v>959.9</v>
      </c>
      <c r="I1303">
        <f t="shared" si="41"/>
        <v>596.5</v>
      </c>
    </row>
    <row r="1304" spans="1:9" x14ac:dyDescent="0.25">
      <c r="A1304" s="5" t="s">
        <v>38</v>
      </c>
      <c r="B1304" s="5" t="s">
        <v>40</v>
      </c>
      <c r="C1304" s="5" t="s">
        <v>1673</v>
      </c>
      <c r="D1304" s="3">
        <f>VLOOKUP(A1304,airports!A:H,7,FALSE)</f>
        <v>41.410894169999999</v>
      </c>
      <c r="E1304" s="3">
        <f>VLOOKUP(A1304,airports!A:H,8,FALSE)</f>
        <v>-81.849396670000004</v>
      </c>
      <c r="F1304" s="3">
        <f>VLOOKUP(B1304,airports!A:H,7,FALSE)</f>
        <v>35.214011110000001</v>
      </c>
      <c r="G1304" s="3">
        <f>VLOOKUP(B1304,airports!A:H,8,FALSE)</f>
        <v>-80.94312583</v>
      </c>
      <c r="H1304">
        <f t="shared" si="40"/>
        <v>693.6</v>
      </c>
      <c r="I1304">
        <f t="shared" si="41"/>
        <v>431</v>
      </c>
    </row>
    <row r="1305" spans="1:9" ht="30" x14ac:dyDescent="0.25">
      <c r="A1305" s="5" t="s">
        <v>38</v>
      </c>
      <c r="B1305" s="5" t="s">
        <v>454</v>
      </c>
      <c r="C1305" s="5" t="s">
        <v>1674</v>
      </c>
      <c r="D1305" s="3">
        <f>VLOOKUP(A1305,airports!A:H,7,FALSE)</f>
        <v>41.410894169999999</v>
      </c>
      <c r="E1305" s="3">
        <f>VLOOKUP(A1305,airports!A:H,8,FALSE)</f>
        <v>-81.849396670000004</v>
      </c>
      <c r="F1305" s="3">
        <f>VLOOKUP(B1305,airports!A:H,7,FALSE)</f>
        <v>39.997985280000002</v>
      </c>
      <c r="G1305" s="3">
        <f>VLOOKUP(B1305,airports!A:H,8,FALSE)</f>
        <v>-82.891882780000003</v>
      </c>
      <c r="H1305">
        <f t="shared" si="40"/>
        <v>180</v>
      </c>
      <c r="I1305">
        <f t="shared" si="41"/>
        <v>111.9</v>
      </c>
    </row>
    <row r="1306" spans="1:9" ht="30" x14ac:dyDescent="0.25">
      <c r="A1306" s="5" t="s">
        <v>38</v>
      </c>
      <c r="B1306" s="5" t="s">
        <v>462</v>
      </c>
      <c r="C1306" s="5" t="s">
        <v>1675</v>
      </c>
      <c r="D1306" s="3">
        <f>VLOOKUP(A1306,airports!A:H,7,FALSE)</f>
        <v>41.410894169999999</v>
      </c>
      <c r="E1306" s="3">
        <f>VLOOKUP(A1306,airports!A:H,8,FALSE)</f>
        <v>-81.849396670000004</v>
      </c>
      <c r="F1306" s="3">
        <f>VLOOKUP(B1306,airports!A:H,7,FALSE)</f>
        <v>39.046142779999997</v>
      </c>
      <c r="G1306" s="3">
        <f>VLOOKUP(B1306,airports!A:H,8,FALSE)</f>
        <v>-84.662172499999997</v>
      </c>
      <c r="H1306">
        <f t="shared" si="40"/>
        <v>355.2</v>
      </c>
      <c r="I1306">
        <f t="shared" si="41"/>
        <v>220.7</v>
      </c>
    </row>
    <row r="1307" spans="1:9" x14ac:dyDescent="0.25">
      <c r="A1307" s="5" t="s">
        <v>38</v>
      </c>
      <c r="B1307" s="5" t="s">
        <v>201</v>
      </c>
      <c r="C1307" s="5" t="s">
        <v>1676</v>
      </c>
      <c r="D1307" s="3">
        <f>VLOOKUP(A1307,airports!A:H,7,FALSE)</f>
        <v>41.410894169999999</v>
      </c>
      <c r="E1307" s="3">
        <f>VLOOKUP(A1307,airports!A:H,8,FALSE)</f>
        <v>-81.849396670000004</v>
      </c>
      <c r="F1307" s="3">
        <f>VLOOKUP(B1307,airports!A:H,7,FALSE)</f>
        <v>32.847113890000003</v>
      </c>
      <c r="G1307" s="3">
        <f>VLOOKUP(B1307,airports!A:H,8,FALSE)</f>
        <v>-96.851772220000001</v>
      </c>
      <c r="H1307">
        <f t="shared" si="40"/>
        <v>1631.9</v>
      </c>
      <c r="I1307">
        <f t="shared" si="41"/>
        <v>1014.1</v>
      </c>
    </row>
    <row r="1308" spans="1:9" ht="30" x14ac:dyDescent="0.25">
      <c r="A1308" s="5" t="s">
        <v>38</v>
      </c>
      <c r="B1308" s="5" t="s">
        <v>45</v>
      </c>
      <c r="C1308" s="5" t="s">
        <v>1677</v>
      </c>
      <c r="D1308" s="3">
        <f>VLOOKUP(A1308,airports!A:H,7,FALSE)</f>
        <v>41.410894169999999</v>
      </c>
      <c r="E1308" s="3">
        <f>VLOOKUP(A1308,airports!A:H,8,FALSE)</f>
        <v>-81.849396670000004</v>
      </c>
      <c r="F1308" s="3">
        <f>VLOOKUP(B1308,airports!A:H,7,FALSE)</f>
        <v>38.852083329999999</v>
      </c>
      <c r="G1308" s="3">
        <f>VLOOKUP(B1308,airports!A:H,8,FALSE)</f>
        <v>-77.037722220000006</v>
      </c>
      <c r="H1308">
        <f t="shared" si="40"/>
        <v>498.2</v>
      </c>
      <c r="I1308">
        <f t="shared" si="41"/>
        <v>309.60000000000002</v>
      </c>
    </row>
    <row r="1309" spans="1:9" ht="30" x14ac:dyDescent="0.25">
      <c r="A1309" s="5" t="s">
        <v>38</v>
      </c>
      <c r="B1309" s="5" t="s">
        <v>47</v>
      </c>
      <c r="C1309" s="5" t="s">
        <v>1678</v>
      </c>
      <c r="D1309" s="3">
        <f>VLOOKUP(A1309,airports!A:H,7,FALSE)</f>
        <v>41.410894169999999</v>
      </c>
      <c r="E1309" s="3">
        <f>VLOOKUP(A1309,airports!A:H,8,FALSE)</f>
        <v>-81.849396670000004</v>
      </c>
      <c r="F1309" s="3">
        <f>VLOOKUP(B1309,airports!A:H,7,FALSE)</f>
        <v>39.858408060000002</v>
      </c>
      <c r="G1309" s="3">
        <f>VLOOKUP(B1309,airports!A:H,8,FALSE)</f>
        <v>-104.6670019</v>
      </c>
      <c r="H1309">
        <f t="shared" si="40"/>
        <v>1927.5</v>
      </c>
      <c r="I1309">
        <f t="shared" si="41"/>
        <v>1197.8</v>
      </c>
    </row>
    <row r="1310" spans="1:9" ht="30" x14ac:dyDescent="0.25">
      <c r="A1310" s="5" t="s">
        <v>38</v>
      </c>
      <c r="B1310" s="5" t="s">
        <v>49</v>
      </c>
      <c r="C1310" s="5" t="s">
        <v>1679</v>
      </c>
      <c r="D1310" s="3">
        <f>VLOOKUP(A1310,airports!A:H,7,FALSE)</f>
        <v>41.410894169999999</v>
      </c>
      <c r="E1310" s="3">
        <f>VLOOKUP(A1310,airports!A:H,8,FALSE)</f>
        <v>-81.849396670000004</v>
      </c>
      <c r="F1310" s="3">
        <f>VLOOKUP(B1310,airports!A:H,7,FALSE)</f>
        <v>32.895950560000003</v>
      </c>
      <c r="G1310" s="3">
        <f>VLOOKUP(B1310,airports!A:H,8,FALSE)</f>
        <v>-97.037199999999999</v>
      </c>
      <c r="H1310">
        <f t="shared" si="40"/>
        <v>1641.7</v>
      </c>
      <c r="I1310">
        <f t="shared" si="41"/>
        <v>1020.2</v>
      </c>
    </row>
    <row r="1311" spans="1:9" ht="30" x14ac:dyDescent="0.25">
      <c r="A1311" s="5" t="s">
        <v>38</v>
      </c>
      <c r="B1311" s="5" t="s">
        <v>50</v>
      </c>
      <c r="C1311" s="5" t="s">
        <v>1680</v>
      </c>
      <c r="D1311" s="3">
        <f>VLOOKUP(A1311,airports!A:H,7,FALSE)</f>
        <v>41.410894169999999</v>
      </c>
      <c r="E1311" s="3">
        <f>VLOOKUP(A1311,airports!A:H,8,FALSE)</f>
        <v>-81.849396670000004</v>
      </c>
      <c r="F1311" s="3">
        <f>VLOOKUP(B1311,airports!A:H,7,FALSE)</f>
        <v>42.212058890000002</v>
      </c>
      <c r="G1311" s="3">
        <f>VLOOKUP(B1311,airports!A:H,8,FALSE)</f>
        <v>-83.348835829999999</v>
      </c>
      <c r="H1311">
        <f t="shared" si="40"/>
        <v>152.9</v>
      </c>
      <c r="I1311">
        <f t="shared" si="41"/>
        <v>95</v>
      </c>
    </row>
    <row r="1312" spans="1:9" ht="30" x14ac:dyDescent="0.25">
      <c r="A1312" s="5" t="s">
        <v>38</v>
      </c>
      <c r="B1312" s="5" t="s">
        <v>52</v>
      </c>
      <c r="C1312" s="5" t="s">
        <v>1681</v>
      </c>
      <c r="D1312" s="3">
        <f>VLOOKUP(A1312,airports!A:H,7,FALSE)</f>
        <v>41.410894169999999</v>
      </c>
      <c r="E1312" s="3">
        <f>VLOOKUP(A1312,airports!A:H,8,FALSE)</f>
        <v>-81.849396670000004</v>
      </c>
      <c r="F1312" s="3">
        <f>VLOOKUP(B1312,airports!A:H,7,FALSE)</f>
        <v>40.69249722</v>
      </c>
      <c r="G1312" s="3">
        <f>VLOOKUP(B1312,airports!A:H,8,FALSE)</f>
        <v>-74.168660560000006</v>
      </c>
      <c r="H1312">
        <f t="shared" si="40"/>
        <v>648.79999999999995</v>
      </c>
      <c r="I1312">
        <f t="shared" si="41"/>
        <v>403.2</v>
      </c>
    </row>
    <row r="1313" spans="1:9" x14ac:dyDescent="0.25">
      <c r="A1313" s="5" t="s">
        <v>38</v>
      </c>
      <c r="B1313" s="5" t="s">
        <v>57</v>
      </c>
      <c r="C1313" s="5" t="s">
        <v>1682</v>
      </c>
      <c r="D1313" s="3">
        <f>VLOOKUP(A1313,airports!A:H,7,FALSE)</f>
        <v>41.410894169999999</v>
      </c>
      <c r="E1313" s="3">
        <f>VLOOKUP(A1313,airports!A:H,8,FALSE)</f>
        <v>-81.849396670000004</v>
      </c>
      <c r="F1313" s="3">
        <f>VLOOKUP(B1313,airports!A:H,7,FALSE)</f>
        <v>26.072583330000001</v>
      </c>
      <c r="G1313" s="3">
        <f>VLOOKUP(B1313,airports!A:H,8,FALSE)</f>
        <v>-80.152749999999997</v>
      </c>
      <c r="H1313">
        <f t="shared" si="40"/>
        <v>1712.6</v>
      </c>
      <c r="I1313">
        <f t="shared" si="41"/>
        <v>1064.3</v>
      </c>
    </row>
    <row r="1314" spans="1:9" ht="30" x14ac:dyDescent="0.25">
      <c r="A1314" s="5" t="s">
        <v>38</v>
      </c>
      <c r="B1314" s="5" t="s">
        <v>524</v>
      </c>
      <c r="C1314" s="5" t="s">
        <v>1683</v>
      </c>
      <c r="D1314" s="3">
        <f>VLOOKUP(A1314,airports!A:H,7,FALSE)</f>
        <v>41.410894169999999</v>
      </c>
      <c r="E1314" s="3">
        <f>VLOOKUP(A1314,airports!A:H,8,FALSE)</f>
        <v>-81.849396670000004</v>
      </c>
      <c r="F1314" s="3">
        <f>VLOOKUP(B1314,airports!A:H,7,FALSE)</f>
        <v>32.224399566700001</v>
      </c>
      <c r="G1314" s="3">
        <f>VLOOKUP(B1314,airports!A:H,8,FALSE)</f>
        <v>-80.697502136200001</v>
      </c>
      <c r="H1314">
        <f t="shared" si="40"/>
        <v>1026.5999999999999</v>
      </c>
      <c r="I1314">
        <f t="shared" si="41"/>
        <v>637.9</v>
      </c>
    </row>
    <row r="1315" spans="1:9" ht="30" x14ac:dyDescent="0.25">
      <c r="A1315" s="5" t="s">
        <v>38</v>
      </c>
      <c r="B1315" s="5" t="s">
        <v>205</v>
      </c>
      <c r="C1315" s="5" t="s">
        <v>1684</v>
      </c>
      <c r="D1315" s="3">
        <f>VLOOKUP(A1315,airports!A:H,7,FALSE)</f>
        <v>41.410894169999999</v>
      </c>
      <c r="E1315" s="3">
        <f>VLOOKUP(A1315,airports!A:H,8,FALSE)</f>
        <v>-81.849396670000004</v>
      </c>
      <c r="F1315" s="3">
        <f>VLOOKUP(B1315,airports!A:H,7,FALSE)</f>
        <v>29.64541861</v>
      </c>
      <c r="G1315" s="3">
        <f>VLOOKUP(B1315,airports!A:H,8,FALSE)</f>
        <v>-95.278888890000005</v>
      </c>
      <c r="H1315">
        <f t="shared" si="40"/>
        <v>1781.3</v>
      </c>
      <c r="I1315">
        <f t="shared" si="41"/>
        <v>1106.9000000000001</v>
      </c>
    </row>
    <row r="1316" spans="1:9" x14ac:dyDescent="0.25">
      <c r="A1316" s="5" t="s">
        <v>38</v>
      </c>
      <c r="B1316" s="5" t="s">
        <v>176</v>
      </c>
      <c r="C1316" s="5" t="s">
        <v>1685</v>
      </c>
      <c r="D1316" s="3">
        <f>VLOOKUP(A1316,airports!A:H,7,FALSE)</f>
        <v>41.410894169999999</v>
      </c>
      <c r="E1316" s="3">
        <f>VLOOKUP(A1316,airports!A:H,8,FALSE)</f>
        <v>-81.849396670000004</v>
      </c>
      <c r="F1316" s="3">
        <f>VLOOKUP(B1316,airports!A:H,7,FALSE)</f>
        <v>38.944531939999997</v>
      </c>
      <c r="G1316" s="3">
        <f>VLOOKUP(B1316,airports!A:H,8,FALSE)</f>
        <v>-77.455809720000005</v>
      </c>
      <c r="H1316">
        <f t="shared" si="40"/>
        <v>463.1</v>
      </c>
      <c r="I1316">
        <f t="shared" si="41"/>
        <v>287.8</v>
      </c>
    </row>
    <row r="1317" spans="1:9" x14ac:dyDescent="0.25">
      <c r="A1317" s="5" t="s">
        <v>38</v>
      </c>
      <c r="B1317" s="5" t="s">
        <v>67</v>
      </c>
      <c r="C1317" s="5" t="s">
        <v>1686</v>
      </c>
      <c r="D1317" s="3">
        <f>VLOOKUP(A1317,airports!A:H,7,FALSE)</f>
        <v>41.410894169999999</v>
      </c>
      <c r="E1317" s="3">
        <f>VLOOKUP(A1317,airports!A:H,8,FALSE)</f>
        <v>-81.849396670000004</v>
      </c>
      <c r="F1317" s="3">
        <f>VLOOKUP(B1317,airports!A:H,7,FALSE)</f>
        <v>29.980472219999999</v>
      </c>
      <c r="G1317" s="3">
        <f>VLOOKUP(B1317,airports!A:H,8,FALSE)</f>
        <v>-95.339722219999999</v>
      </c>
      <c r="H1317">
        <f t="shared" si="40"/>
        <v>1756.3</v>
      </c>
      <c r="I1317">
        <f t="shared" si="41"/>
        <v>1091.4000000000001</v>
      </c>
    </row>
    <row r="1318" spans="1:9" x14ac:dyDescent="0.25">
      <c r="A1318" s="5" t="s">
        <v>38</v>
      </c>
      <c r="B1318" s="5" t="s">
        <v>68</v>
      </c>
      <c r="C1318" s="5" t="s">
        <v>1687</v>
      </c>
      <c r="D1318" s="3">
        <f>VLOOKUP(A1318,airports!A:H,7,FALSE)</f>
        <v>41.410894169999999</v>
      </c>
      <c r="E1318" s="3">
        <f>VLOOKUP(A1318,airports!A:H,8,FALSE)</f>
        <v>-81.849396670000004</v>
      </c>
      <c r="F1318" s="3">
        <f>VLOOKUP(B1318,airports!A:H,7,FALSE)</f>
        <v>30.49405556</v>
      </c>
      <c r="G1318" s="3">
        <f>VLOOKUP(B1318,airports!A:H,8,FALSE)</f>
        <v>-81.68786111</v>
      </c>
      <c r="H1318">
        <f t="shared" si="40"/>
        <v>1214</v>
      </c>
      <c r="I1318">
        <f t="shared" si="41"/>
        <v>754.4</v>
      </c>
    </row>
    <row r="1319" spans="1:9" x14ac:dyDescent="0.25">
      <c r="A1319" s="5" t="s">
        <v>38</v>
      </c>
      <c r="B1319" s="5" t="s">
        <v>69</v>
      </c>
      <c r="C1319" s="5" t="s">
        <v>1688</v>
      </c>
      <c r="D1319" s="3">
        <f>VLOOKUP(A1319,airports!A:H,7,FALSE)</f>
        <v>41.410894169999999</v>
      </c>
      <c r="E1319" s="3">
        <f>VLOOKUP(A1319,airports!A:H,8,FALSE)</f>
        <v>-81.849396670000004</v>
      </c>
      <c r="F1319" s="3">
        <f>VLOOKUP(B1319,airports!A:H,7,FALSE)</f>
        <v>40.639751109999999</v>
      </c>
      <c r="G1319" s="3">
        <f>VLOOKUP(B1319,airports!A:H,8,FALSE)</f>
        <v>-73.778925560000005</v>
      </c>
      <c r="H1319">
        <f t="shared" si="40"/>
        <v>682.2</v>
      </c>
      <c r="I1319">
        <f t="shared" si="41"/>
        <v>423.9</v>
      </c>
    </row>
    <row r="1320" spans="1:9" x14ac:dyDescent="0.25">
      <c r="A1320" s="5" t="s">
        <v>38</v>
      </c>
      <c r="B1320" s="5" t="s">
        <v>71</v>
      </c>
      <c r="C1320" s="5" t="s">
        <v>1689</v>
      </c>
      <c r="D1320" s="3">
        <f>VLOOKUP(A1320,airports!A:H,7,FALSE)</f>
        <v>41.410894169999999</v>
      </c>
      <c r="E1320" s="3">
        <f>VLOOKUP(A1320,airports!A:H,8,FALSE)</f>
        <v>-81.849396670000004</v>
      </c>
      <c r="F1320" s="3">
        <f>VLOOKUP(B1320,airports!A:H,7,FALSE)</f>
        <v>36.080361109999998</v>
      </c>
      <c r="G1320" s="3">
        <f>VLOOKUP(B1320,airports!A:H,8,FALSE)</f>
        <v>-115.1523333</v>
      </c>
      <c r="H1320">
        <f t="shared" si="40"/>
        <v>2929.5</v>
      </c>
      <c r="I1320">
        <f t="shared" si="41"/>
        <v>1820.4</v>
      </c>
    </row>
    <row r="1321" spans="1:9" x14ac:dyDescent="0.25">
      <c r="A1321" s="5" t="s">
        <v>38</v>
      </c>
      <c r="B1321" s="5" t="s">
        <v>73</v>
      </c>
      <c r="C1321" s="5" t="s">
        <v>1690</v>
      </c>
      <c r="D1321" s="3">
        <f>VLOOKUP(A1321,airports!A:H,7,FALSE)</f>
        <v>41.410894169999999</v>
      </c>
      <c r="E1321" s="3">
        <f>VLOOKUP(A1321,airports!A:H,8,FALSE)</f>
        <v>-81.849396670000004</v>
      </c>
      <c r="F1321" s="3">
        <f>VLOOKUP(B1321,airports!A:H,7,FALSE)</f>
        <v>33.942536109999999</v>
      </c>
      <c r="G1321" s="3">
        <f>VLOOKUP(B1321,airports!A:H,8,FALSE)</f>
        <v>-118.4080744</v>
      </c>
      <c r="H1321">
        <f t="shared" si="40"/>
        <v>3296.5</v>
      </c>
      <c r="I1321">
        <f t="shared" si="41"/>
        <v>2048.5</v>
      </c>
    </row>
    <row r="1322" spans="1:9" x14ac:dyDescent="0.25">
      <c r="A1322" s="5" t="s">
        <v>38</v>
      </c>
      <c r="B1322" s="5" t="s">
        <v>74</v>
      </c>
      <c r="C1322" s="5" t="s">
        <v>1691</v>
      </c>
      <c r="D1322" s="3">
        <f>VLOOKUP(A1322,airports!A:H,7,FALSE)</f>
        <v>41.410894169999999</v>
      </c>
      <c r="E1322" s="3">
        <f>VLOOKUP(A1322,airports!A:H,8,FALSE)</f>
        <v>-81.849396670000004</v>
      </c>
      <c r="F1322" s="3">
        <f>VLOOKUP(B1322,airports!A:H,7,FALSE)</f>
        <v>40.777243060000004</v>
      </c>
      <c r="G1322" s="3">
        <f>VLOOKUP(B1322,airports!A:H,8,FALSE)</f>
        <v>-73.872609170000004</v>
      </c>
      <c r="H1322">
        <f t="shared" si="40"/>
        <v>671.9</v>
      </c>
      <c r="I1322">
        <f t="shared" si="41"/>
        <v>417.5</v>
      </c>
    </row>
    <row r="1323" spans="1:9" ht="30" x14ac:dyDescent="0.25">
      <c r="A1323" s="5" t="s">
        <v>38</v>
      </c>
      <c r="B1323" s="5" t="s">
        <v>82</v>
      </c>
      <c r="C1323" s="5" t="s">
        <v>1692</v>
      </c>
      <c r="D1323" s="3">
        <f>VLOOKUP(A1323,airports!A:H,7,FALSE)</f>
        <v>41.410894169999999</v>
      </c>
      <c r="E1323" s="3">
        <f>VLOOKUP(A1323,airports!A:H,8,FALSE)</f>
        <v>-81.849396670000004</v>
      </c>
      <c r="F1323" s="3">
        <f>VLOOKUP(B1323,airports!A:H,7,FALSE)</f>
        <v>28.42888889</v>
      </c>
      <c r="G1323" s="3">
        <f>VLOOKUP(B1323,airports!A:H,8,FALSE)</f>
        <v>-81.316027779999999</v>
      </c>
      <c r="H1323">
        <f t="shared" si="40"/>
        <v>1444.3</v>
      </c>
      <c r="I1323">
        <f t="shared" si="41"/>
        <v>897.5</v>
      </c>
    </row>
    <row r="1324" spans="1:9" ht="30" x14ac:dyDescent="0.25">
      <c r="A1324" s="5" t="s">
        <v>38</v>
      </c>
      <c r="B1324" s="5" t="s">
        <v>180</v>
      </c>
      <c r="C1324" s="5" t="s">
        <v>1693</v>
      </c>
      <c r="D1324" s="3">
        <f>VLOOKUP(A1324,airports!A:H,7,FALSE)</f>
        <v>41.410894169999999</v>
      </c>
      <c r="E1324" s="3">
        <f>VLOOKUP(A1324,airports!A:H,8,FALSE)</f>
        <v>-81.849396670000004</v>
      </c>
      <c r="F1324" s="3">
        <f>VLOOKUP(B1324,airports!A:H,7,FALSE)</f>
        <v>41.785982500000003</v>
      </c>
      <c r="G1324" s="3">
        <f>VLOOKUP(B1324,airports!A:H,8,FALSE)</f>
        <v>-87.752424439999999</v>
      </c>
      <c r="H1324">
        <f t="shared" si="40"/>
        <v>492.5</v>
      </c>
      <c r="I1324">
        <f t="shared" si="41"/>
        <v>306.10000000000002</v>
      </c>
    </row>
    <row r="1325" spans="1:9" x14ac:dyDescent="0.25">
      <c r="A1325" s="5" t="s">
        <v>38</v>
      </c>
      <c r="B1325" s="5" t="s">
        <v>84</v>
      </c>
      <c r="C1325" s="5" t="s">
        <v>1694</v>
      </c>
      <c r="D1325" s="3">
        <f>VLOOKUP(A1325,airports!A:H,7,FALSE)</f>
        <v>41.410894169999999</v>
      </c>
      <c r="E1325" s="3">
        <f>VLOOKUP(A1325,airports!A:H,8,FALSE)</f>
        <v>-81.849396670000004</v>
      </c>
      <c r="F1325" s="3">
        <f>VLOOKUP(B1325,airports!A:H,7,FALSE)</f>
        <v>25.79325</v>
      </c>
      <c r="G1325" s="3">
        <f>VLOOKUP(B1325,airports!A:H,8,FALSE)</f>
        <v>-80.290555560000001</v>
      </c>
      <c r="H1325">
        <f t="shared" si="40"/>
        <v>1742.5</v>
      </c>
      <c r="I1325">
        <f t="shared" si="41"/>
        <v>1082.8</v>
      </c>
    </row>
    <row r="1326" spans="1:9" ht="30" x14ac:dyDescent="0.25">
      <c r="A1326" s="5" t="s">
        <v>38</v>
      </c>
      <c r="B1326" s="5" t="s">
        <v>85</v>
      </c>
      <c r="C1326" s="5" t="s">
        <v>1695</v>
      </c>
      <c r="D1326" s="3">
        <f>VLOOKUP(A1326,airports!A:H,7,FALSE)</f>
        <v>41.410894169999999</v>
      </c>
      <c r="E1326" s="3">
        <f>VLOOKUP(A1326,airports!A:H,8,FALSE)</f>
        <v>-81.849396670000004</v>
      </c>
      <c r="F1326" s="3">
        <f>VLOOKUP(B1326,airports!A:H,7,FALSE)</f>
        <v>42.94722222</v>
      </c>
      <c r="G1326" s="3">
        <f>VLOOKUP(B1326,airports!A:H,8,FALSE)</f>
        <v>-87.896583329999999</v>
      </c>
      <c r="H1326">
        <f t="shared" si="40"/>
        <v>526.6</v>
      </c>
      <c r="I1326">
        <f t="shared" si="41"/>
        <v>327.2</v>
      </c>
    </row>
    <row r="1327" spans="1:9" ht="30" x14ac:dyDescent="0.25">
      <c r="A1327" s="5" t="s">
        <v>38</v>
      </c>
      <c r="B1327" s="5" t="s">
        <v>579</v>
      </c>
      <c r="C1327" s="5" t="s">
        <v>1696</v>
      </c>
      <c r="D1327" s="3">
        <f>VLOOKUP(A1327,airports!A:H,7,FALSE)</f>
        <v>41.410894169999999</v>
      </c>
      <c r="E1327" s="3">
        <f>VLOOKUP(A1327,airports!A:H,8,FALSE)</f>
        <v>-81.849396670000004</v>
      </c>
      <c r="F1327" s="3">
        <f>VLOOKUP(B1327,airports!A:H,7,FALSE)</f>
        <v>43.13985778</v>
      </c>
      <c r="G1327" s="3">
        <f>VLOOKUP(B1327,airports!A:H,8,FALSE)</f>
        <v>-89.337513610000002</v>
      </c>
      <c r="H1327">
        <f t="shared" si="40"/>
        <v>645.1</v>
      </c>
      <c r="I1327">
        <f t="shared" si="41"/>
        <v>400.9</v>
      </c>
    </row>
    <row r="1328" spans="1:9" ht="30" x14ac:dyDescent="0.25">
      <c r="A1328" s="5" t="s">
        <v>38</v>
      </c>
      <c r="B1328" s="5" t="s">
        <v>87</v>
      </c>
      <c r="C1328" s="5" t="s">
        <v>1697</v>
      </c>
      <c r="D1328" s="3">
        <f>VLOOKUP(A1328,airports!A:H,7,FALSE)</f>
        <v>41.410894169999999</v>
      </c>
      <c r="E1328" s="3">
        <f>VLOOKUP(A1328,airports!A:H,8,FALSE)</f>
        <v>-81.849396670000004</v>
      </c>
      <c r="F1328" s="3">
        <f>VLOOKUP(B1328,airports!A:H,7,FALSE)</f>
        <v>44.880546940000002</v>
      </c>
      <c r="G1328" s="3">
        <f>VLOOKUP(B1328,airports!A:H,8,FALSE)</f>
        <v>-93.216922499999995</v>
      </c>
      <c r="H1328">
        <f t="shared" si="40"/>
        <v>998.6</v>
      </c>
      <c r="I1328">
        <f t="shared" si="41"/>
        <v>620.5</v>
      </c>
    </row>
    <row r="1329" spans="1:9" ht="30" x14ac:dyDescent="0.25">
      <c r="A1329" s="5" t="s">
        <v>38</v>
      </c>
      <c r="B1329" s="5" t="s">
        <v>89</v>
      </c>
      <c r="C1329" s="5" t="s">
        <v>1698</v>
      </c>
      <c r="D1329" s="3">
        <f>VLOOKUP(A1329,airports!A:H,7,FALSE)</f>
        <v>41.410894169999999</v>
      </c>
      <c r="E1329" s="3">
        <f>VLOOKUP(A1329,airports!A:H,8,FALSE)</f>
        <v>-81.849396670000004</v>
      </c>
      <c r="F1329" s="3">
        <f>VLOOKUP(B1329,airports!A:H,7,FALSE)</f>
        <v>29.993388889999999</v>
      </c>
      <c r="G1329" s="3">
        <f>VLOOKUP(B1329,airports!A:H,8,FALSE)</f>
        <v>-90.258027780000006</v>
      </c>
      <c r="H1329">
        <f t="shared" si="40"/>
        <v>1477.5</v>
      </c>
      <c r="I1329">
        <f t="shared" si="41"/>
        <v>918.1</v>
      </c>
    </row>
    <row r="1330" spans="1:9" ht="30" x14ac:dyDescent="0.25">
      <c r="A1330" s="5" t="s">
        <v>38</v>
      </c>
      <c r="B1330" s="5" t="s">
        <v>182</v>
      </c>
      <c r="C1330" s="5" t="s">
        <v>1699</v>
      </c>
      <c r="D1330" s="3">
        <f>VLOOKUP(A1330,airports!A:H,7,FALSE)</f>
        <v>41.410894169999999</v>
      </c>
      <c r="E1330" s="3">
        <f>VLOOKUP(A1330,airports!A:H,8,FALSE)</f>
        <v>-81.849396670000004</v>
      </c>
      <c r="F1330" s="3">
        <f>VLOOKUP(B1330,airports!A:H,7,FALSE)</f>
        <v>33.679749999999999</v>
      </c>
      <c r="G1330" s="3">
        <f>VLOOKUP(B1330,airports!A:H,8,FALSE)</f>
        <v>-78.928333330000001</v>
      </c>
      <c r="H1330">
        <f t="shared" si="40"/>
        <v>897.3</v>
      </c>
      <c r="I1330">
        <f t="shared" si="41"/>
        <v>557.6</v>
      </c>
    </row>
    <row r="1331" spans="1:9" ht="30" x14ac:dyDescent="0.25">
      <c r="A1331" s="5" t="s">
        <v>38</v>
      </c>
      <c r="B1331" s="5" t="s">
        <v>95</v>
      </c>
      <c r="C1331" s="5" t="s">
        <v>1700</v>
      </c>
      <c r="D1331" s="3">
        <f>VLOOKUP(A1331,airports!A:H,7,FALSE)</f>
        <v>41.410894169999999</v>
      </c>
      <c r="E1331" s="3">
        <f>VLOOKUP(A1331,airports!A:H,8,FALSE)</f>
        <v>-81.849396670000004</v>
      </c>
      <c r="F1331" s="3">
        <f>VLOOKUP(B1331,airports!A:H,7,FALSE)</f>
        <v>41.979595000000003</v>
      </c>
      <c r="G1331" s="3">
        <f>VLOOKUP(B1331,airports!A:H,8,FALSE)</f>
        <v>-87.904464169999997</v>
      </c>
      <c r="H1331">
        <f t="shared" si="40"/>
        <v>506.6</v>
      </c>
      <c r="I1331">
        <f t="shared" si="41"/>
        <v>314.8</v>
      </c>
    </row>
    <row r="1332" spans="1:9" x14ac:dyDescent="0.25">
      <c r="A1332" s="5" t="s">
        <v>38</v>
      </c>
      <c r="B1332" s="5" t="s">
        <v>596</v>
      </c>
      <c r="C1332" s="5" t="s">
        <v>1701</v>
      </c>
      <c r="D1332" s="3">
        <f>VLOOKUP(A1332,airports!A:H,7,FALSE)</f>
        <v>41.410894169999999</v>
      </c>
      <c r="E1332" s="3">
        <f>VLOOKUP(A1332,airports!A:H,8,FALSE)</f>
        <v>-81.849396670000004</v>
      </c>
      <c r="F1332" s="3">
        <f>VLOOKUP(B1332,airports!A:H,7,FALSE)</f>
        <v>36.89461111</v>
      </c>
      <c r="G1332" s="3">
        <f>VLOOKUP(B1332,airports!A:H,8,FALSE)</f>
        <v>-76.201222220000005</v>
      </c>
      <c r="H1332">
        <f t="shared" si="40"/>
        <v>699.2</v>
      </c>
      <c r="I1332">
        <f t="shared" si="41"/>
        <v>434.5</v>
      </c>
    </row>
    <row r="1333" spans="1:9" x14ac:dyDescent="0.25">
      <c r="A1333" s="5" t="s">
        <v>38</v>
      </c>
      <c r="B1333" s="5" t="s">
        <v>99</v>
      </c>
      <c r="C1333" s="5" t="s">
        <v>1702</v>
      </c>
      <c r="D1333" s="3">
        <f>VLOOKUP(A1333,airports!A:H,7,FALSE)</f>
        <v>41.410894169999999</v>
      </c>
      <c r="E1333" s="3">
        <f>VLOOKUP(A1333,airports!A:H,8,FALSE)</f>
        <v>-81.849396670000004</v>
      </c>
      <c r="F1333" s="3">
        <f>VLOOKUP(B1333,airports!A:H,7,FALSE)</f>
        <v>26.683161940000002</v>
      </c>
      <c r="G1333" s="3">
        <f>VLOOKUP(B1333,airports!A:H,8,FALSE)</f>
        <v>-80.095594169999998</v>
      </c>
      <c r="H1333">
        <f t="shared" si="40"/>
        <v>1645.5</v>
      </c>
      <c r="I1333">
        <f t="shared" si="41"/>
        <v>1022.5</v>
      </c>
    </row>
    <row r="1334" spans="1:9" x14ac:dyDescent="0.25">
      <c r="A1334" s="5" t="s">
        <v>38</v>
      </c>
      <c r="B1334" s="5" t="s">
        <v>100</v>
      </c>
      <c r="C1334" s="5" t="s">
        <v>1703</v>
      </c>
      <c r="D1334" s="3">
        <f>VLOOKUP(A1334,airports!A:H,7,FALSE)</f>
        <v>41.410894169999999</v>
      </c>
      <c r="E1334" s="3">
        <f>VLOOKUP(A1334,airports!A:H,8,FALSE)</f>
        <v>-81.849396670000004</v>
      </c>
      <c r="F1334" s="3">
        <f>VLOOKUP(B1334,airports!A:H,7,FALSE)</f>
        <v>45.588722220000001</v>
      </c>
      <c r="G1334" s="3">
        <f>VLOOKUP(B1334,airports!A:H,8,FALSE)</f>
        <v>-122.5975</v>
      </c>
      <c r="H1334">
        <f t="shared" si="40"/>
        <v>3283.4</v>
      </c>
      <c r="I1334">
        <f t="shared" si="41"/>
        <v>2040.3</v>
      </c>
    </row>
    <row r="1335" spans="1:9" ht="30" x14ac:dyDescent="0.25">
      <c r="A1335" s="5" t="s">
        <v>38</v>
      </c>
      <c r="B1335" s="5" t="s">
        <v>185</v>
      </c>
      <c r="C1335" s="5" t="s">
        <v>1704</v>
      </c>
      <c r="D1335" s="3">
        <f>VLOOKUP(A1335,airports!A:H,7,FALSE)</f>
        <v>41.410894169999999</v>
      </c>
      <c r="E1335" s="3">
        <f>VLOOKUP(A1335,airports!A:H,8,FALSE)</f>
        <v>-81.849396670000004</v>
      </c>
      <c r="F1335" s="3">
        <f>VLOOKUP(B1335,airports!A:H,7,FALSE)</f>
        <v>26.919699999999999</v>
      </c>
      <c r="G1335" s="3">
        <f>VLOOKUP(B1335,airports!A:H,8,FALSE)</f>
        <v>-81.995999999999995</v>
      </c>
      <c r="H1335">
        <f t="shared" si="40"/>
        <v>1611.4</v>
      </c>
      <c r="I1335">
        <f t="shared" si="41"/>
        <v>1001.3</v>
      </c>
    </row>
    <row r="1336" spans="1:9" x14ac:dyDescent="0.25">
      <c r="A1336" s="5" t="s">
        <v>38</v>
      </c>
      <c r="B1336" s="5" t="s">
        <v>102</v>
      </c>
      <c r="C1336" s="5" t="s">
        <v>1705</v>
      </c>
      <c r="D1336" s="3">
        <f>VLOOKUP(A1336,airports!A:H,7,FALSE)</f>
        <v>41.410894169999999</v>
      </c>
      <c r="E1336" s="3">
        <f>VLOOKUP(A1336,airports!A:H,8,FALSE)</f>
        <v>-81.849396670000004</v>
      </c>
      <c r="F1336" s="3">
        <f>VLOOKUP(B1336,airports!A:H,7,FALSE)</f>
        <v>39.871952780000001</v>
      </c>
      <c r="G1336" s="3">
        <f>VLOOKUP(B1336,airports!A:H,8,FALSE)</f>
        <v>-75.241140830000006</v>
      </c>
      <c r="H1336">
        <f t="shared" si="40"/>
        <v>583.1</v>
      </c>
      <c r="I1336">
        <f t="shared" si="41"/>
        <v>362.3</v>
      </c>
    </row>
    <row r="1337" spans="1:9" x14ac:dyDescent="0.25">
      <c r="A1337" s="5" t="s">
        <v>38</v>
      </c>
      <c r="B1337" s="5" t="s">
        <v>104</v>
      </c>
      <c r="C1337" s="5" t="s">
        <v>1706</v>
      </c>
      <c r="D1337" s="3">
        <f>VLOOKUP(A1337,airports!A:H,7,FALSE)</f>
        <v>41.410894169999999</v>
      </c>
      <c r="E1337" s="3">
        <f>VLOOKUP(A1337,airports!A:H,8,FALSE)</f>
        <v>-81.849396670000004</v>
      </c>
      <c r="F1337" s="3">
        <f>VLOOKUP(B1337,airports!A:H,7,FALSE)</f>
        <v>33.434166670000003</v>
      </c>
      <c r="G1337" s="3">
        <f>VLOOKUP(B1337,airports!A:H,8,FALSE)</f>
        <v>-112.00805560000001</v>
      </c>
      <c r="H1337">
        <f t="shared" si="40"/>
        <v>2790.5</v>
      </c>
      <c r="I1337">
        <f t="shared" si="41"/>
        <v>1734</v>
      </c>
    </row>
    <row r="1338" spans="1:9" x14ac:dyDescent="0.25">
      <c r="A1338" s="5" t="s">
        <v>38</v>
      </c>
      <c r="B1338" s="5" t="s">
        <v>188</v>
      </c>
      <c r="C1338" s="5" t="s">
        <v>1707</v>
      </c>
      <c r="D1338" s="3">
        <f>VLOOKUP(A1338,airports!A:H,7,FALSE)</f>
        <v>41.410894169999999</v>
      </c>
      <c r="E1338" s="3">
        <f>VLOOKUP(A1338,airports!A:H,8,FALSE)</f>
        <v>-81.849396670000004</v>
      </c>
      <c r="F1338" s="3">
        <f>VLOOKUP(B1338,airports!A:H,7,FALSE)</f>
        <v>27.910763330000002</v>
      </c>
      <c r="G1338" s="3">
        <f>VLOOKUP(B1338,airports!A:H,8,FALSE)</f>
        <v>-82.687439440000006</v>
      </c>
      <c r="H1338">
        <f t="shared" si="40"/>
        <v>1503.1</v>
      </c>
      <c r="I1338">
        <f t="shared" si="41"/>
        <v>934</v>
      </c>
    </row>
    <row r="1339" spans="1:9" x14ac:dyDescent="0.25">
      <c r="A1339" s="5" t="s">
        <v>38</v>
      </c>
      <c r="B1339" s="5" t="s">
        <v>607</v>
      </c>
      <c r="C1339" s="5" t="s">
        <v>1708</v>
      </c>
      <c r="D1339" s="3">
        <f>VLOOKUP(A1339,airports!A:H,7,FALSE)</f>
        <v>41.410894169999999</v>
      </c>
      <c r="E1339" s="3">
        <f>VLOOKUP(A1339,airports!A:H,8,FALSE)</f>
        <v>-81.849396670000004</v>
      </c>
      <c r="F1339" s="3">
        <f>VLOOKUP(B1339,airports!A:H,7,FALSE)</f>
        <v>30.47330556</v>
      </c>
      <c r="G1339" s="3">
        <f>VLOOKUP(B1339,airports!A:H,8,FALSE)</f>
        <v>-87.187444439999993</v>
      </c>
      <c r="H1339">
        <f t="shared" si="40"/>
        <v>1307</v>
      </c>
      <c r="I1339">
        <f t="shared" si="41"/>
        <v>812.2</v>
      </c>
    </row>
    <row r="1340" spans="1:9" ht="30" x14ac:dyDescent="0.25">
      <c r="A1340" s="5" t="s">
        <v>38</v>
      </c>
      <c r="B1340" s="5" t="s">
        <v>117</v>
      </c>
      <c r="C1340" s="5" t="s">
        <v>1709</v>
      </c>
      <c r="D1340" s="3">
        <f>VLOOKUP(A1340,airports!A:H,7,FALSE)</f>
        <v>41.410894169999999</v>
      </c>
      <c r="E1340" s="3">
        <f>VLOOKUP(A1340,airports!A:H,8,FALSE)</f>
        <v>-81.849396670000004</v>
      </c>
      <c r="F1340" s="3">
        <f>VLOOKUP(B1340,airports!A:H,7,FALSE)</f>
        <v>43.646166669999999</v>
      </c>
      <c r="G1340" s="3">
        <f>VLOOKUP(B1340,airports!A:H,8,FALSE)</f>
        <v>-70.308750000000003</v>
      </c>
      <c r="H1340">
        <f t="shared" si="40"/>
        <v>976.9</v>
      </c>
      <c r="I1340">
        <f t="shared" si="41"/>
        <v>607.1</v>
      </c>
    </row>
    <row r="1341" spans="1:9" ht="30" x14ac:dyDescent="0.25">
      <c r="A1341" s="5" t="s">
        <v>38</v>
      </c>
      <c r="B1341" s="5" t="s">
        <v>119</v>
      </c>
      <c r="C1341" s="5" t="s">
        <v>1710</v>
      </c>
      <c r="D1341" s="3">
        <f>VLOOKUP(A1341,airports!A:H,7,FALSE)</f>
        <v>41.410894169999999</v>
      </c>
      <c r="E1341" s="3">
        <f>VLOOKUP(A1341,airports!A:H,8,FALSE)</f>
        <v>-81.849396670000004</v>
      </c>
      <c r="F1341" s="3">
        <f>VLOOKUP(B1341,airports!A:H,7,FALSE)</f>
        <v>35.87763889</v>
      </c>
      <c r="G1341" s="3">
        <f>VLOOKUP(B1341,airports!A:H,8,FALSE)</f>
        <v>-78.787472219999998</v>
      </c>
      <c r="H1341">
        <f t="shared" si="40"/>
        <v>670.2</v>
      </c>
      <c r="I1341">
        <f t="shared" si="41"/>
        <v>416.4</v>
      </c>
    </row>
    <row r="1342" spans="1:9" ht="30" x14ac:dyDescent="0.25">
      <c r="A1342" s="5" t="s">
        <v>38</v>
      </c>
      <c r="B1342" s="5" t="s">
        <v>123</v>
      </c>
      <c r="C1342" s="5" t="s">
        <v>1711</v>
      </c>
      <c r="D1342" s="3">
        <f>VLOOKUP(A1342,airports!A:H,7,FALSE)</f>
        <v>41.410894169999999</v>
      </c>
      <c r="E1342" s="3">
        <f>VLOOKUP(A1342,airports!A:H,8,FALSE)</f>
        <v>-81.849396670000004</v>
      </c>
      <c r="F1342" s="3">
        <f>VLOOKUP(B1342,airports!A:H,7,FALSE)</f>
        <v>26.53616667</v>
      </c>
      <c r="G1342" s="3">
        <f>VLOOKUP(B1342,airports!A:H,8,FALSE)</f>
        <v>-81.755166669999994</v>
      </c>
      <c r="H1342">
        <f t="shared" si="40"/>
        <v>1654</v>
      </c>
      <c r="I1342">
        <f t="shared" si="41"/>
        <v>1027.8</v>
      </c>
    </row>
    <row r="1343" spans="1:9" ht="30" x14ac:dyDescent="0.25">
      <c r="A1343" s="5" t="s">
        <v>38</v>
      </c>
      <c r="B1343" s="5" t="s">
        <v>124</v>
      </c>
      <c r="C1343" s="5" t="s">
        <v>1712</v>
      </c>
      <c r="D1343" s="3">
        <f>VLOOKUP(A1343,airports!A:H,7,FALSE)</f>
        <v>41.410894169999999</v>
      </c>
      <c r="E1343" s="3">
        <f>VLOOKUP(A1343,airports!A:H,8,FALSE)</f>
        <v>-81.849396670000004</v>
      </c>
      <c r="F1343" s="3">
        <f>VLOOKUP(B1343,airports!A:H,7,FALSE)</f>
        <v>32.733556110000002</v>
      </c>
      <c r="G1343" s="3">
        <f>VLOOKUP(B1343,airports!A:H,8,FALSE)</f>
        <v>-117.1896567</v>
      </c>
      <c r="H1343">
        <f t="shared" si="40"/>
        <v>3255</v>
      </c>
      <c r="I1343">
        <f t="shared" si="41"/>
        <v>2022.7</v>
      </c>
    </row>
    <row r="1344" spans="1:9" x14ac:dyDescent="0.25">
      <c r="A1344" s="5" t="s">
        <v>38</v>
      </c>
      <c r="B1344" s="5" t="s">
        <v>125</v>
      </c>
      <c r="C1344" s="5" t="s">
        <v>1713</v>
      </c>
      <c r="D1344" s="3">
        <f>VLOOKUP(A1344,airports!A:H,7,FALSE)</f>
        <v>41.410894169999999</v>
      </c>
      <c r="E1344" s="3">
        <f>VLOOKUP(A1344,airports!A:H,8,FALSE)</f>
        <v>-81.849396670000004</v>
      </c>
      <c r="F1344" s="3">
        <f>VLOOKUP(B1344,airports!A:H,7,FALSE)</f>
        <v>29.533694440000001</v>
      </c>
      <c r="G1344" s="3">
        <f>VLOOKUP(B1344,airports!A:H,8,FALSE)</f>
        <v>-98.469777780000001</v>
      </c>
      <c r="H1344">
        <f t="shared" si="40"/>
        <v>1995.9</v>
      </c>
      <c r="I1344">
        <f t="shared" si="41"/>
        <v>1240.3</v>
      </c>
    </row>
    <row r="1345" spans="1:9" x14ac:dyDescent="0.25">
      <c r="A1345" s="5" t="s">
        <v>38</v>
      </c>
      <c r="B1345" s="5" t="s">
        <v>126</v>
      </c>
      <c r="C1345" s="5" t="s">
        <v>1714</v>
      </c>
      <c r="D1345" s="3">
        <f>VLOOKUP(A1345,airports!A:H,7,FALSE)</f>
        <v>41.410894169999999</v>
      </c>
      <c r="E1345" s="3">
        <f>VLOOKUP(A1345,airports!A:H,8,FALSE)</f>
        <v>-81.849396670000004</v>
      </c>
      <c r="F1345" s="3">
        <f>VLOOKUP(B1345,airports!A:H,7,FALSE)</f>
        <v>32.12758333</v>
      </c>
      <c r="G1345" s="3">
        <f>VLOOKUP(B1345,airports!A:H,8,FALSE)</f>
        <v>-81.202138890000001</v>
      </c>
      <c r="H1345">
        <f t="shared" si="40"/>
        <v>1033.9000000000001</v>
      </c>
      <c r="I1345">
        <f t="shared" si="41"/>
        <v>642.4</v>
      </c>
    </row>
    <row r="1346" spans="1:9" x14ac:dyDescent="0.25">
      <c r="A1346" s="5" t="s">
        <v>38</v>
      </c>
      <c r="B1346" s="5" t="s">
        <v>128</v>
      </c>
      <c r="C1346" s="5" t="s">
        <v>1715</v>
      </c>
      <c r="D1346" s="3">
        <f>VLOOKUP(A1346,airports!A:H,7,FALSE)</f>
        <v>41.410894169999999</v>
      </c>
      <c r="E1346" s="3">
        <f>VLOOKUP(A1346,airports!A:H,8,FALSE)</f>
        <v>-81.849396670000004</v>
      </c>
      <c r="F1346" s="3">
        <f>VLOOKUP(B1346,airports!A:H,7,FALSE)</f>
        <v>47.448981940000003</v>
      </c>
      <c r="G1346" s="3">
        <f>VLOOKUP(B1346,airports!A:H,8,FALSE)</f>
        <v>-122.3093131</v>
      </c>
      <c r="H1346">
        <f t="shared" si="40"/>
        <v>3243.7</v>
      </c>
      <c r="I1346">
        <f t="shared" si="41"/>
        <v>2015.7</v>
      </c>
    </row>
    <row r="1347" spans="1:9" x14ac:dyDescent="0.25">
      <c r="A1347" s="5" t="s">
        <v>38</v>
      </c>
      <c r="B1347" s="5" t="s">
        <v>191</v>
      </c>
      <c r="C1347" s="5" t="s">
        <v>1716</v>
      </c>
      <c r="D1347" s="3">
        <f>VLOOKUP(A1347,airports!A:H,7,FALSE)</f>
        <v>41.410894169999999</v>
      </c>
      <c r="E1347" s="3">
        <f>VLOOKUP(A1347,airports!A:H,8,FALSE)</f>
        <v>-81.849396670000004</v>
      </c>
      <c r="F1347" s="3">
        <f>VLOOKUP(B1347,airports!A:H,7,FALSE)</f>
        <v>28.7776</v>
      </c>
      <c r="G1347" s="3">
        <f>VLOOKUP(B1347,airports!A:H,8,FALSE)</f>
        <v>-81.237499999999997</v>
      </c>
      <c r="H1347">
        <f t="shared" si="40"/>
        <v>1405.8</v>
      </c>
      <c r="I1347">
        <f t="shared" si="41"/>
        <v>873.6</v>
      </c>
    </row>
    <row r="1348" spans="1:9" x14ac:dyDescent="0.25">
      <c r="A1348" s="5" t="s">
        <v>38</v>
      </c>
      <c r="B1348" s="5" t="s">
        <v>130</v>
      </c>
      <c r="C1348" s="5" t="s">
        <v>1717</v>
      </c>
      <c r="D1348" s="3">
        <f>VLOOKUP(A1348,airports!A:H,7,FALSE)</f>
        <v>41.410894169999999</v>
      </c>
      <c r="E1348" s="3">
        <f>VLOOKUP(A1348,airports!A:H,8,FALSE)</f>
        <v>-81.849396670000004</v>
      </c>
      <c r="F1348" s="3">
        <f>VLOOKUP(B1348,airports!A:H,7,FALSE)</f>
        <v>37.619001939999997</v>
      </c>
      <c r="G1348" s="3">
        <f>VLOOKUP(B1348,airports!A:H,8,FALSE)</f>
        <v>-122.37484329999999</v>
      </c>
      <c r="H1348">
        <f t="shared" ref="H1348:H1411" si="42">ROUND(ACOS(COS(RADIANS(90-D1348)) * COS(RADIANS(90-F1348)) + SIN(RADIANS(90-D1348)) * SIN(RADIANS(90-F1348)) * COS(RADIANS(E1348-G1348))) * 6371,1)</f>
        <v>3470</v>
      </c>
      <c r="I1348">
        <f t="shared" ref="I1348:I1411" si="43">ROUND(ACOS(COS(RADIANS(90-D1348)) * COS(RADIANS(90-F1348)) + SIN(RADIANS(90-D1348)) * SIN(RADIANS(90-F1348)) * COS(RADIANS(E1348-G1348))) * 3959,1)</f>
        <v>2156.3000000000002</v>
      </c>
    </row>
    <row r="1349" spans="1:9" x14ac:dyDescent="0.25">
      <c r="A1349" s="5" t="s">
        <v>38</v>
      </c>
      <c r="B1349" s="5" t="s">
        <v>135</v>
      </c>
      <c r="C1349" s="5" t="s">
        <v>1718</v>
      </c>
      <c r="D1349" s="3">
        <f>VLOOKUP(A1349,airports!A:H,7,FALSE)</f>
        <v>41.410894169999999</v>
      </c>
      <c r="E1349" s="3">
        <f>VLOOKUP(A1349,airports!A:H,8,FALSE)</f>
        <v>-81.849396670000004</v>
      </c>
      <c r="F1349" s="3">
        <f>VLOOKUP(B1349,airports!A:H,7,FALSE)</f>
        <v>40.788387780000001</v>
      </c>
      <c r="G1349" s="3">
        <f>VLOOKUP(B1349,airports!A:H,8,FALSE)</f>
        <v>-111.97777309999999</v>
      </c>
      <c r="H1349">
        <f t="shared" si="42"/>
        <v>2512.6999999999998</v>
      </c>
      <c r="I1349">
        <f t="shared" si="43"/>
        <v>1561.4</v>
      </c>
    </row>
    <row r="1350" spans="1:9" x14ac:dyDescent="0.25">
      <c r="A1350" s="5" t="s">
        <v>38</v>
      </c>
      <c r="B1350" s="5" t="s">
        <v>138</v>
      </c>
      <c r="C1350" s="5" t="s">
        <v>1719</v>
      </c>
      <c r="D1350" s="3">
        <f>VLOOKUP(A1350,airports!A:H,7,FALSE)</f>
        <v>41.410894169999999</v>
      </c>
      <c r="E1350" s="3">
        <f>VLOOKUP(A1350,airports!A:H,8,FALSE)</f>
        <v>-81.849396670000004</v>
      </c>
      <c r="F1350" s="3">
        <f>VLOOKUP(B1350,airports!A:H,7,FALSE)</f>
        <v>27.39533333</v>
      </c>
      <c r="G1350" s="3">
        <f>VLOOKUP(B1350,airports!A:H,8,FALSE)</f>
        <v>-82.554111109999994</v>
      </c>
      <c r="H1350">
        <f t="shared" si="42"/>
        <v>1559.8</v>
      </c>
      <c r="I1350">
        <f t="shared" si="43"/>
        <v>969.3</v>
      </c>
    </row>
    <row r="1351" spans="1:9" x14ac:dyDescent="0.25">
      <c r="A1351" s="5" t="s">
        <v>38</v>
      </c>
      <c r="B1351" s="5" t="s">
        <v>644</v>
      </c>
      <c r="C1351" s="5" t="s">
        <v>1720</v>
      </c>
      <c r="D1351" s="3">
        <f>VLOOKUP(A1351,airports!A:H,7,FALSE)</f>
        <v>41.410894169999999</v>
      </c>
      <c r="E1351" s="3">
        <f>VLOOKUP(A1351,airports!A:H,8,FALSE)</f>
        <v>-81.849396670000004</v>
      </c>
      <c r="F1351" s="3">
        <f>VLOOKUP(B1351,airports!A:H,7,FALSE)</f>
        <v>38.747686940000001</v>
      </c>
      <c r="G1351" s="3">
        <f>VLOOKUP(B1351,airports!A:H,8,FALSE)</f>
        <v>-90.359989720000002</v>
      </c>
      <c r="H1351">
        <f t="shared" si="42"/>
        <v>781.9</v>
      </c>
      <c r="I1351">
        <f t="shared" si="43"/>
        <v>485.9</v>
      </c>
    </row>
    <row r="1352" spans="1:9" x14ac:dyDescent="0.25">
      <c r="A1352" s="5" t="s">
        <v>38</v>
      </c>
      <c r="B1352" s="5" t="s">
        <v>145</v>
      </c>
      <c r="C1352" s="5" t="s">
        <v>1721</v>
      </c>
      <c r="D1352" s="3">
        <f>VLOOKUP(A1352,airports!A:H,7,FALSE)</f>
        <v>41.410894169999999</v>
      </c>
      <c r="E1352" s="3">
        <f>VLOOKUP(A1352,airports!A:H,8,FALSE)</f>
        <v>-81.849396670000004</v>
      </c>
      <c r="F1352" s="3">
        <f>VLOOKUP(B1352,airports!A:H,7,FALSE)</f>
        <v>27.97547222</v>
      </c>
      <c r="G1352" s="3">
        <f>VLOOKUP(B1352,airports!A:H,8,FALSE)</f>
        <v>-82.533249999999995</v>
      </c>
      <c r="H1352">
        <f t="shared" si="42"/>
        <v>1495.2</v>
      </c>
      <c r="I1352">
        <f t="shared" si="43"/>
        <v>929.2</v>
      </c>
    </row>
    <row r="1353" spans="1:9" x14ac:dyDescent="0.25">
      <c r="A1353" s="5" t="s">
        <v>38</v>
      </c>
      <c r="B1353" s="5" t="s">
        <v>668</v>
      </c>
      <c r="C1353" s="5" t="s">
        <v>1722</v>
      </c>
      <c r="D1353" s="3">
        <f>VLOOKUP(A1353,airports!A:H,7,FALSE)</f>
        <v>41.410894169999999</v>
      </c>
      <c r="E1353" s="3">
        <f>VLOOKUP(A1353,airports!A:H,8,FALSE)</f>
        <v>-81.849396670000004</v>
      </c>
      <c r="F1353" s="3">
        <f>VLOOKUP(B1353,airports!A:H,7,FALSE)</f>
        <v>30.483250000000002</v>
      </c>
      <c r="G1353" s="3">
        <f>VLOOKUP(B1353,airports!A:H,8,FALSE)</f>
        <v>-86.525400000000005</v>
      </c>
      <c r="H1353">
        <f t="shared" si="42"/>
        <v>1285.4000000000001</v>
      </c>
      <c r="I1353">
        <f t="shared" si="43"/>
        <v>798.8</v>
      </c>
    </row>
    <row r="1354" spans="1:9" ht="30" x14ac:dyDescent="0.25">
      <c r="A1354" s="5" t="s">
        <v>997</v>
      </c>
      <c r="B1354" s="5" t="s">
        <v>425</v>
      </c>
      <c r="C1354" s="5" t="s">
        <v>1723</v>
      </c>
      <c r="D1354" s="3">
        <f>VLOOKUP(A1354,airports!A:H,7,FALSE)</f>
        <v>30.58858944</v>
      </c>
      <c r="E1354" s="3">
        <f>VLOOKUP(A1354,airports!A:H,8,FALSE)</f>
        <v>-96.363824170000001</v>
      </c>
      <c r="F1354" s="3">
        <f>VLOOKUP(B1354,airports!A:H,7,FALSE)</f>
        <v>33.562943060000002</v>
      </c>
      <c r="G1354" s="3">
        <f>VLOOKUP(B1354,airports!A:H,8,FALSE)</f>
        <v>-86.753549719999995</v>
      </c>
      <c r="H1354">
        <f t="shared" si="42"/>
        <v>963.5</v>
      </c>
      <c r="I1354">
        <f t="shared" si="43"/>
        <v>598.70000000000005</v>
      </c>
    </row>
    <row r="1355" spans="1:9" ht="30" x14ac:dyDescent="0.25">
      <c r="A1355" s="5" t="s">
        <v>997</v>
      </c>
      <c r="B1355" s="5" t="s">
        <v>49</v>
      </c>
      <c r="C1355" s="5" t="s">
        <v>1724</v>
      </c>
      <c r="D1355" s="3">
        <f>VLOOKUP(A1355,airports!A:H,7,FALSE)</f>
        <v>30.58858944</v>
      </c>
      <c r="E1355" s="3">
        <f>VLOOKUP(A1355,airports!A:H,8,FALSE)</f>
        <v>-96.363824170000001</v>
      </c>
      <c r="F1355" s="3">
        <f>VLOOKUP(B1355,airports!A:H,7,FALSE)</f>
        <v>32.895950560000003</v>
      </c>
      <c r="G1355" s="3">
        <f>VLOOKUP(B1355,airports!A:H,8,FALSE)</f>
        <v>-97.037199999999999</v>
      </c>
      <c r="H1355">
        <f t="shared" si="42"/>
        <v>264.3</v>
      </c>
      <c r="I1355">
        <f t="shared" si="43"/>
        <v>164.3</v>
      </c>
    </row>
    <row r="1356" spans="1:9" x14ac:dyDescent="0.25">
      <c r="A1356" s="5" t="s">
        <v>997</v>
      </c>
      <c r="B1356" s="5" t="s">
        <v>67</v>
      </c>
      <c r="C1356" s="5" t="s">
        <v>1725</v>
      </c>
      <c r="D1356" s="3">
        <f>VLOOKUP(A1356,airports!A:H,7,FALSE)</f>
        <v>30.58858944</v>
      </c>
      <c r="E1356" s="3">
        <f>VLOOKUP(A1356,airports!A:H,8,FALSE)</f>
        <v>-96.363824170000001</v>
      </c>
      <c r="F1356" s="3">
        <f>VLOOKUP(B1356,airports!A:H,7,FALSE)</f>
        <v>29.980472219999999</v>
      </c>
      <c r="G1356" s="3">
        <f>VLOOKUP(B1356,airports!A:H,8,FALSE)</f>
        <v>-95.339722219999999</v>
      </c>
      <c r="H1356">
        <f t="shared" si="42"/>
        <v>119.3</v>
      </c>
      <c r="I1356">
        <f t="shared" si="43"/>
        <v>74.2</v>
      </c>
    </row>
    <row r="1357" spans="1:9" x14ac:dyDescent="0.25">
      <c r="A1357" s="5" t="s">
        <v>40</v>
      </c>
      <c r="B1357" s="5" t="s">
        <v>170</v>
      </c>
      <c r="C1357" s="5" t="s">
        <v>1726</v>
      </c>
      <c r="D1357" s="3">
        <f>VLOOKUP(A1357,airports!A:H,7,FALSE)</f>
        <v>35.214011110000001</v>
      </c>
      <c r="E1357" s="3">
        <f>VLOOKUP(A1357,airports!A:H,8,FALSE)</f>
        <v>-80.94312583</v>
      </c>
      <c r="F1357" s="3">
        <f>VLOOKUP(B1357,airports!A:H,7,FALSE)</f>
        <v>40.652362779999997</v>
      </c>
      <c r="G1357" s="3">
        <f>VLOOKUP(B1357,airports!A:H,8,FALSE)</f>
        <v>-75.44040167</v>
      </c>
      <c r="H1357">
        <f t="shared" si="42"/>
        <v>773.3</v>
      </c>
      <c r="I1357">
        <f t="shared" si="43"/>
        <v>480.5</v>
      </c>
    </row>
    <row r="1358" spans="1:9" x14ac:dyDescent="0.25">
      <c r="A1358" s="5" t="s">
        <v>40</v>
      </c>
      <c r="B1358" s="5" t="s">
        <v>5</v>
      </c>
      <c r="C1358" s="5" t="s">
        <v>1727</v>
      </c>
      <c r="D1358" s="3">
        <f>VLOOKUP(A1358,airports!A:H,7,FALSE)</f>
        <v>35.214011110000001</v>
      </c>
      <c r="E1358" s="3">
        <f>VLOOKUP(A1358,airports!A:H,8,FALSE)</f>
        <v>-80.94312583</v>
      </c>
      <c r="F1358" s="3">
        <f>VLOOKUP(B1358,airports!A:H,7,FALSE)</f>
        <v>41.253051939999999</v>
      </c>
      <c r="G1358" s="3">
        <f>VLOOKUP(B1358,airports!A:H,8,FALSE)</f>
        <v>-70.060181389999997</v>
      </c>
      <c r="H1358">
        <f t="shared" si="42"/>
        <v>1162.3</v>
      </c>
      <c r="I1358">
        <f t="shared" si="43"/>
        <v>722.3</v>
      </c>
    </row>
    <row r="1359" spans="1:9" x14ac:dyDescent="0.25">
      <c r="A1359" s="5" t="s">
        <v>40</v>
      </c>
      <c r="B1359" s="5" t="s">
        <v>271</v>
      </c>
      <c r="C1359" s="5" t="s">
        <v>1728</v>
      </c>
      <c r="D1359" s="3">
        <f>VLOOKUP(A1359,airports!A:H,7,FALSE)</f>
        <v>35.214011110000001</v>
      </c>
      <c r="E1359" s="3">
        <f>VLOOKUP(A1359,airports!A:H,8,FALSE)</f>
        <v>-80.94312583</v>
      </c>
      <c r="F1359" s="3">
        <f>VLOOKUP(B1359,airports!A:H,7,FALSE)</f>
        <v>31.327371670000002</v>
      </c>
      <c r="G1359" s="3">
        <f>VLOOKUP(B1359,airports!A:H,8,FALSE)</f>
        <v>-92.548556110000007</v>
      </c>
      <c r="H1359">
        <f t="shared" si="42"/>
        <v>1161.3</v>
      </c>
      <c r="I1359">
        <f t="shared" si="43"/>
        <v>721.7</v>
      </c>
    </row>
    <row r="1360" spans="1:9" x14ac:dyDescent="0.25">
      <c r="A1360" s="5" t="s">
        <v>40</v>
      </c>
      <c r="B1360" s="5" t="s">
        <v>276</v>
      </c>
      <c r="C1360" s="5" t="s">
        <v>1729</v>
      </c>
      <c r="D1360" s="3">
        <f>VLOOKUP(A1360,airports!A:H,7,FALSE)</f>
        <v>35.214011110000001</v>
      </c>
      <c r="E1360" s="3">
        <f>VLOOKUP(A1360,airports!A:H,8,FALSE)</f>
        <v>-80.94312583</v>
      </c>
      <c r="F1360" s="3">
        <f>VLOOKUP(B1360,airports!A:H,7,FALSE)</f>
        <v>33.369954999999997</v>
      </c>
      <c r="G1360" s="3">
        <f>VLOOKUP(B1360,airports!A:H,8,FALSE)</f>
        <v>-81.964496109999999</v>
      </c>
      <c r="H1360">
        <f t="shared" si="42"/>
        <v>225.5</v>
      </c>
      <c r="I1360">
        <f t="shared" si="43"/>
        <v>140.1</v>
      </c>
    </row>
    <row r="1361" spans="1:9" x14ac:dyDescent="0.25">
      <c r="A1361" s="5" t="s">
        <v>40</v>
      </c>
      <c r="B1361" s="5" t="s">
        <v>7</v>
      </c>
      <c r="C1361" s="5" t="s">
        <v>1730</v>
      </c>
      <c r="D1361" s="3">
        <f>VLOOKUP(A1361,airports!A:H,7,FALSE)</f>
        <v>35.214011110000001</v>
      </c>
      <c r="E1361" s="3">
        <f>VLOOKUP(A1361,airports!A:H,8,FALSE)</f>
        <v>-80.94312583</v>
      </c>
      <c r="F1361" s="3">
        <f>VLOOKUP(B1361,airports!A:H,7,FALSE)</f>
        <v>42.748119440000004</v>
      </c>
      <c r="G1361" s="3">
        <f>VLOOKUP(B1361,airports!A:H,8,FALSE)</f>
        <v>-73.802978609999997</v>
      </c>
      <c r="H1361">
        <f t="shared" si="42"/>
        <v>1039.7</v>
      </c>
      <c r="I1361">
        <f t="shared" si="43"/>
        <v>646.1</v>
      </c>
    </row>
    <row r="1362" spans="1:9" x14ac:dyDescent="0.25">
      <c r="A1362" s="5" t="s">
        <v>40</v>
      </c>
      <c r="B1362" s="5" t="s">
        <v>10</v>
      </c>
      <c r="C1362" s="5" t="s">
        <v>1731</v>
      </c>
      <c r="D1362" s="3">
        <f>VLOOKUP(A1362,airports!A:H,7,FALSE)</f>
        <v>35.214011110000001</v>
      </c>
      <c r="E1362" s="3">
        <f>VLOOKUP(A1362,airports!A:H,8,FALSE)</f>
        <v>-80.94312583</v>
      </c>
      <c r="F1362" s="3">
        <f>VLOOKUP(B1362,airports!A:H,7,FALSE)</f>
        <v>33.640444440000003</v>
      </c>
      <c r="G1362" s="3">
        <f>VLOOKUP(B1362,airports!A:H,8,FALSE)</f>
        <v>-84.42694444</v>
      </c>
      <c r="H1362">
        <f t="shared" si="42"/>
        <v>364.3</v>
      </c>
      <c r="I1362">
        <f t="shared" si="43"/>
        <v>226.4</v>
      </c>
    </row>
    <row r="1363" spans="1:9" ht="30" x14ac:dyDescent="0.25">
      <c r="A1363" s="5" t="s">
        <v>40</v>
      </c>
      <c r="B1363" s="5" t="s">
        <v>416</v>
      </c>
      <c r="C1363" s="5" t="s">
        <v>1732</v>
      </c>
      <c r="D1363" s="3">
        <f>VLOOKUP(A1363,airports!A:H,7,FALSE)</f>
        <v>35.214011110000001</v>
      </c>
      <c r="E1363" s="3">
        <f>VLOOKUP(A1363,airports!A:H,8,FALSE)</f>
        <v>-80.94312583</v>
      </c>
      <c r="F1363" s="3">
        <f>VLOOKUP(B1363,airports!A:H,7,FALSE)</f>
        <v>44.257408060000003</v>
      </c>
      <c r="G1363" s="3">
        <f>VLOOKUP(B1363,airports!A:H,8,FALSE)</f>
        <v>-88.519475560000004</v>
      </c>
      <c r="H1363">
        <f t="shared" si="42"/>
        <v>1195</v>
      </c>
      <c r="I1363">
        <f t="shared" si="43"/>
        <v>742.6</v>
      </c>
    </row>
    <row r="1364" spans="1:9" x14ac:dyDescent="0.25">
      <c r="A1364" s="5" t="s">
        <v>40</v>
      </c>
      <c r="B1364" s="5" t="s">
        <v>13</v>
      </c>
      <c r="C1364" s="5" t="s">
        <v>1733</v>
      </c>
      <c r="D1364" s="3">
        <f>VLOOKUP(A1364,airports!A:H,7,FALSE)</f>
        <v>35.214011110000001</v>
      </c>
      <c r="E1364" s="3">
        <f>VLOOKUP(A1364,airports!A:H,8,FALSE)</f>
        <v>-80.94312583</v>
      </c>
      <c r="F1364" s="3">
        <f>VLOOKUP(B1364,airports!A:H,7,FALSE)</f>
        <v>30.194532779999999</v>
      </c>
      <c r="G1364" s="3">
        <f>VLOOKUP(B1364,airports!A:H,8,FALSE)</f>
        <v>-97.669871939999993</v>
      </c>
      <c r="H1364">
        <f t="shared" si="42"/>
        <v>1659</v>
      </c>
      <c r="I1364">
        <f t="shared" si="43"/>
        <v>1030.9000000000001</v>
      </c>
    </row>
    <row r="1365" spans="1:9" x14ac:dyDescent="0.25">
      <c r="A1365" s="5" t="s">
        <v>40</v>
      </c>
      <c r="B1365" s="5" t="s">
        <v>419</v>
      </c>
      <c r="C1365" s="5" t="s">
        <v>1734</v>
      </c>
      <c r="D1365" s="3">
        <f>VLOOKUP(A1365,airports!A:H,7,FALSE)</f>
        <v>35.214011110000001</v>
      </c>
      <c r="E1365" s="3">
        <f>VLOOKUP(A1365,airports!A:H,8,FALSE)</f>
        <v>-80.94312583</v>
      </c>
      <c r="F1365" s="3">
        <f>VLOOKUP(B1365,airports!A:H,7,FALSE)</f>
        <v>35.436194440000001</v>
      </c>
      <c r="G1365" s="3">
        <f>VLOOKUP(B1365,airports!A:H,8,FALSE)</f>
        <v>-82.54180556</v>
      </c>
      <c r="H1365">
        <f t="shared" si="42"/>
        <v>147.1</v>
      </c>
      <c r="I1365">
        <f t="shared" si="43"/>
        <v>91.4</v>
      </c>
    </row>
    <row r="1366" spans="1:9" ht="30" x14ac:dyDescent="0.25">
      <c r="A1366" s="5" t="s">
        <v>40</v>
      </c>
      <c r="B1366" s="5" t="s">
        <v>421</v>
      </c>
      <c r="C1366" s="5" t="s">
        <v>1735</v>
      </c>
      <c r="D1366" s="3">
        <f>VLOOKUP(A1366,airports!A:H,7,FALSE)</f>
        <v>35.214011110000001</v>
      </c>
      <c r="E1366" s="3">
        <f>VLOOKUP(A1366,airports!A:H,8,FALSE)</f>
        <v>-80.94312583</v>
      </c>
      <c r="F1366" s="3">
        <f>VLOOKUP(B1366,airports!A:H,7,FALSE)</f>
        <v>41.338149440000002</v>
      </c>
      <c r="G1366" s="3">
        <f>VLOOKUP(B1366,airports!A:H,8,FALSE)</f>
        <v>-75.724267499999996</v>
      </c>
      <c r="H1366">
        <f t="shared" si="42"/>
        <v>818.9</v>
      </c>
      <c r="I1366">
        <f t="shared" si="43"/>
        <v>508.9</v>
      </c>
    </row>
    <row r="1367" spans="1:9" x14ac:dyDescent="0.25">
      <c r="A1367" s="5" t="s">
        <v>40</v>
      </c>
      <c r="B1367" s="5" t="s">
        <v>16</v>
      </c>
      <c r="C1367" s="5" t="s">
        <v>1736</v>
      </c>
      <c r="D1367" s="3">
        <f>VLOOKUP(A1367,airports!A:H,7,FALSE)</f>
        <v>35.214011110000001</v>
      </c>
      <c r="E1367" s="3">
        <f>VLOOKUP(A1367,airports!A:H,8,FALSE)</f>
        <v>-80.94312583</v>
      </c>
      <c r="F1367" s="3">
        <f>VLOOKUP(B1367,airports!A:H,7,FALSE)</f>
        <v>41.938874169999998</v>
      </c>
      <c r="G1367" s="3">
        <f>VLOOKUP(B1367,airports!A:H,8,FALSE)</f>
        <v>-72.683228330000006</v>
      </c>
      <c r="H1367">
        <f t="shared" si="42"/>
        <v>1035.7</v>
      </c>
      <c r="I1367">
        <f t="shared" si="43"/>
        <v>643.6</v>
      </c>
    </row>
    <row r="1368" spans="1:9" x14ac:dyDescent="0.25">
      <c r="A1368" s="5" t="s">
        <v>40</v>
      </c>
      <c r="B1368" s="5" t="s">
        <v>233</v>
      </c>
      <c r="C1368" s="5" t="s">
        <v>1737</v>
      </c>
      <c r="D1368" s="3">
        <f>VLOOKUP(A1368,airports!A:H,7,FALSE)</f>
        <v>35.214011110000001</v>
      </c>
      <c r="E1368" s="3">
        <f>VLOOKUP(A1368,airports!A:H,8,FALSE)</f>
        <v>-80.94312583</v>
      </c>
      <c r="F1368" s="3">
        <f>VLOOKUP(B1368,airports!A:H,7,FALSE)</f>
        <v>44.807444439999998</v>
      </c>
      <c r="G1368" s="3">
        <f>VLOOKUP(B1368,airports!A:H,8,FALSE)</f>
        <v>-68.828138890000005</v>
      </c>
      <c r="H1368">
        <f t="shared" si="42"/>
        <v>1480.9</v>
      </c>
      <c r="I1368">
        <f t="shared" si="43"/>
        <v>920.3</v>
      </c>
    </row>
    <row r="1369" spans="1:9" ht="30" x14ac:dyDescent="0.25">
      <c r="A1369" s="5" t="s">
        <v>40</v>
      </c>
      <c r="B1369" s="5" t="s">
        <v>425</v>
      </c>
      <c r="C1369" s="5" t="s">
        <v>1738</v>
      </c>
      <c r="D1369" s="3">
        <f>VLOOKUP(A1369,airports!A:H,7,FALSE)</f>
        <v>35.214011110000001</v>
      </c>
      <c r="E1369" s="3">
        <f>VLOOKUP(A1369,airports!A:H,8,FALSE)</f>
        <v>-80.94312583</v>
      </c>
      <c r="F1369" s="3">
        <f>VLOOKUP(B1369,airports!A:H,7,FALSE)</f>
        <v>33.562943060000002</v>
      </c>
      <c r="G1369" s="3">
        <f>VLOOKUP(B1369,airports!A:H,8,FALSE)</f>
        <v>-86.753549719999995</v>
      </c>
      <c r="H1369">
        <f t="shared" si="42"/>
        <v>563.79999999999995</v>
      </c>
      <c r="I1369">
        <f t="shared" si="43"/>
        <v>350.3</v>
      </c>
    </row>
    <row r="1370" spans="1:9" ht="30" x14ac:dyDescent="0.25">
      <c r="A1370" s="5" t="s">
        <v>40</v>
      </c>
      <c r="B1370" s="5" t="s">
        <v>19</v>
      </c>
      <c r="C1370" s="5" t="s">
        <v>1739</v>
      </c>
      <c r="D1370" s="3">
        <f>VLOOKUP(A1370,airports!A:H,7,FALSE)</f>
        <v>35.214011110000001</v>
      </c>
      <c r="E1370" s="3">
        <f>VLOOKUP(A1370,airports!A:H,8,FALSE)</f>
        <v>-80.94312583</v>
      </c>
      <c r="F1370" s="3">
        <f>VLOOKUP(B1370,airports!A:H,7,FALSE)</f>
        <v>36.12447667</v>
      </c>
      <c r="G1370" s="3">
        <f>VLOOKUP(B1370,airports!A:H,8,FALSE)</f>
        <v>-86.678182219999997</v>
      </c>
      <c r="H1370">
        <f t="shared" si="42"/>
        <v>527.79999999999995</v>
      </c>
      <c r="I1370">
        <f t="shared" si="43"/>
        <v>328</v>
      </c>
    </row>
    <row r="1371" spans="1:9" x14ac:dyDescent="0.25">
      <c r="A1371" s="5" t="s">
        <v>40</v>
      </c>
      <c r="B1371" s="5" t="s">
        <v>24</v>
      </c>
      <c r="C1371" s="5" t="s">
        <v>1740</v>
      </c>
      <c r="D1371" s="3">
        <f>VLOOKUP(A1371,airports!A:H,7,FALSE)</f>
        <v>35.214011110000001</v>
      </c>
      <c r="E1371" s="3">
        <f>VLOOKUP(A1371,airports!A:H,8,FALSE)</f>
        <v>-80.94312583</v>
      </c>
      <c r="F1371" s="3">
        <f>VLOOKUP(B1371,airports!A:H,7,FALSE)</f>
        <v>42.364347500000001</v>
      </c>
      <c r="G1371" s="3">
        <f>VLOOKUP(B1371,airports!A:H,8,FALSE)</f>
        <v>-71.005179170000005</v>
      </c>
      <c r="H1371">
        <f t="shared" si="42"/>
        <v>1170.7</v>
      </c>
      <c r="I1371">
        <f t="shared" si="43"/>
        <v>727.5</v>
      </c>
    </row>
    <row r="1372" spans="1:9" x14ac:dyDescent="0.25">
      <c r="A1372" s="5" t="s">
        <v>40</v>
      </c>
      <c r="B1372" s="5" t="s">
        <v>434</v>
      </c>
      <c r="C1372" s="5" t="s">
        <v>1741</v>
      </c>
      <c r="D1372" s="3">
        <f>VLOOKUP(A1372,airports!A:H,7,FALSE)</f>
        <v>35.214011110000001</v>
      </c>
      <c r="E1372" s="3">
        <f>VLOOKUP(A1372,airports!A:H,8,FALSE)</f>
        <v>-80.94312583</v>
      </c>
      <c r="F1372" s="3">
        <f>VLOOKUP(B1372,airports!A:H,7,FALSE)</f>
        <v>30.53316083</v>
      </c>
      <c r="G1372" s="3">
        <f>VLOOKUP(B1372,airports!A:H,8,FALSE)</f>
        <v>-91.14963444</v>
      </c>
      <c r="H1372">
        <f t="shared" si="42"/>
        <v>1085.2</v>
      </c>
      <c r="I1372">
        <f t="shared" si="43"/>
        <v>674.3</v>
      </c>
    </row>
    <row r="1373" spans="1:9" x14ac:dyDescent="0.25">
      <c r="A1373" s="5" t="s">
        <v>40</v>
      </c>
      <c r="B1373" s="5" t="s">
        <v>27</v>
      </c>
      <c r="C1373" s="5" t="s">
        <v>1742</v>
      </c>
      <c r="D1373" s="3">
        <f>VLOOKUP(A1373,airports!A:H,7,FALSE)</f>
        <v>35.214011110000001</v>
      </c>
      <c r="E1373" s="3">
        <f>VLOOKUP(A1373,airports!A:H,8,FALSE)</f>
        <v>-80.94312583</v>
      </c>
      <c r="F1373" s="3">
        <f>VLOOKUP(B1373,airports!A:H,7,FALSE)</f>
        <v>44.473003609999999</v>
      </c>
      <c r="G1373" s="3">
        <f>VLOOKUP(B1373,airports!A:H,8,FALSE)</f>
        <v>-73.150312499999998</v>
      </c>
      <c r="H1373">
        <f t="shared" si="42"/>
        <v>1224.5</v>
      </c>
      <c r="I1373">
        <f t="shared" si="43"/>
        <v>760.9</v>
      </c>
    </row>
    <row r="1374" spans="1:9" x14ac:dyDescent="0.25">
      <c r="A1374" s="5" t="s">
        <v>40</v>
      </c>
      <c r="B1374" s="5" t="s">
        <v>29</v>
      </c>
      <c r="C1374" s="5" t="s">
        <v>1743</v>
      </c>
      <c r="D1374" s="3">
        <f>VLOOKUP(A1374,airports!A:H,7,FALSE)</f>
        <v>35.214011110000001</v>
      </c>
      <c r="E1374" s="3">
        <f>VLOOKUP(A1374,airports!A:H,8,FALSE)</f>
        <v>-80.94312583</v>
      </c>
      <c r="F1374" s="3">
        <f>VLOOKUP(B1374,airports!A:H,7,FALSE)</f>
        <v>42.940524719999999</v>
      </c>
      <c r="G1374" s="3">
        <f>VLOOKUP(B1374,airports!A:H,8,FALSE)</f>
        <v>-78.732166669999998</v>
      </c>
      <c r="H1374">
        <f t="shared" si="42"/>
        <v>880</v>
      </c>
      <c r="I1374">
        <f t="shared" si="43"/>
        <v>546.79999999999995</v>
      </c>
    </row>
    <row r="1375" spans="1:9" x14ac:dyDescent="0.25">
      <c r="A1375" s="5" t="s">
        <v>40</v>
      </c>
      <c r="B1375" s="5" t="s">
        <v>32</v>
      </c>
      <c r="C1375" s="5" t="s">
        <v>1744</v>
      </c>
      <c r="D1375" s="3">
        <f>VLOOKUP(A1375,airports!A:H,7,FALSE)</f>
        <v>35.214011110000001</v>
      </c>
      <c r="E1375" s="3">
        <f>VLOOKUP(A1375,airports!A:H,8,FALSE)</f>
        <v>-80.94312583</v>
      </c>
      <c r="F1375" s="3">
        <f>VLOOKUP(B1375,airports!A:H,7,FALSE)</f>
        <v>39.175401669999999</v>
      </c>
      <c r="G1375" s="3">
        <f>VLOOKUP(B1375,airports!A:H,8,FALSE)</f>
        <v>-76.668198329999996</v>
      </c>
      <c r="H1375">
        <f t="shared" si="42"/>
        <v>580.70000000000005</v>
      </c>
      <c r="I1375">
        <f t="shared" si="43"/>
        <v>360.9</v>
      </c>
    </row>
    <row r="1376" spans="1:9" x14ac:dyDescent="0.25">
      <c r="A1376" s="5" t="s">
        <v>40</v>
      </c>
      <c r="B1376" s="5" t="s">
        <v>34</v>
      </c>
      <c r="C1376" s="5" t="s">
        <v>1745</v>
      </c>
      <c r="D1376" s="3">
        <f>VLOOKUP(A1376,airports!A:H,7,FALSE)</f>
        <v>35.214011110000001</v>
      </c>
      <c r="E1376" s="3">
        <f>VLOOKUP(A1376,airports!A:H,8,FALSE)</f>
        <v>-80.94312583</v>
      </c>
      <c r="F1376" s="3">
        <f>VLOOKUP(B1376,airports!A:H,7,FALSE)</f>
        <v>45.776901389999999</v>
      </c>
      <c r="G1376" s="3">
        <f>VLOOKUP(B1376,airports!A:H,8,FALSE)</f>
        <v>-111.1530072</v>
      </c>
      <c r="H1376">
        <f t="shared" si="42"/>
        <v>2789.5</v>
      </c>
      <c r="I1376">
        <f t="shared" si="43"/>
        <v>1733.4</v>
      </c>
    </row>
    <row r="1377" spans="1:9" x14ac:dyDescent="0.25">
      <c r="A1377" s="5" t="s">
        <v>40</v>
      </c>
      <c r="B1377" s="5" t="s">
        <v>441</v>
      </c>
      <c r="C1377" s="5" t="s">
        <v>1746</v>
      </c>
      <c r="D1377" s="3">
        <f>VLOOKUP(A1377,airports!A:H,7,FALSE)</f>
        <v>35.214011110000001</v>
      </c>
      <c r="E1377" s="3">
        <f>VLOOKUP(A1377,airports!A:H,8,FALSE)</f>
        <v>-80.94312583</v>
      </c>
      <c r="F1377" s="3">
        <f>VLOOKUP(B1377,airports!A:H,7,FALSE)</f>
        <v>33.938839999999999</v>
      </c>
      <c r="G1377" s="3">
        <f>VLOOKUP(B1377,airports!A:H,8,FALSE)</f>
        <v>-81.119539439999997</v>
      </c>
      <c r="H1377">
        <f t="shared" si="42"/>
        <v>142.69999999999999</v>
      </c>
      <c r="I1377">
        <f t="shared" si="43"/>
        <v>88.7</v>
      </c>
    </row>
    <row r="1378" spans="1:9" x14ac:dyDescent="0.25">
      <c r="A1378" s="5" t="s">
        <v>40</v>
      </c>
      <c r="B1378" s="5" t="s">
        <v>443</v>
      </c>
      <c r="C1378" s="5" t="s">
        <v>1747</v>
      </c>
      <c r="D1378" s="3">
        <f>VLOOKUP(A1378,airports!A:H,7,FALSE)</f>
        <v>35.214011110000001</v>
      </c>
      <c r="E1378" s="3">
        <f>VLOOKUP(A1378,airports!A:H,8,FALSE)</f>
        <v>-80.94312583</v>
      </c>
      <c r="F1378" s="3">
        <f>VLOOKUP(B1378,airports!A:H,7,FALSE)</f>
        <v>40.91631194</v>
      </c>
      <c r="G1378" s="3">
        <f>VLOOKUP(B1378,airports!A:H,8,FALSE)</f>
        <v>-81.442465560000002</v>
      </c>
      <c r="H1378">
        <f t="shared" si="42"/>
        <v>635.6</v>
      </c>
      <c r="I1378">
        <f t="shared" si="43"/>
        <v>394.9</v>
      </c>
    </row>
    <row r="1379" spans="1:9" ht="30" x14ac:dyDescent="0.25">
      <c r="A1379" s="5" t="s">
        <v>40</v>
      </c>
      <c r="B1379" s="5" t="s">
        <v>445</v>
      </c>
      <c r="C1379" s="5" t="s">
        <v>1748</v>
      </c>
      <c r="D1379" s="3">
        <f>VLOOKUP(A1379,airports!A:H,7,FALSE)</f>
        <v>35.214011110000001</v>
      </c>
      <c r="E1379" s="3">
        <f>VLOOKUP(A1379,airports!A:H,8,FALSE)</f>
        <v>-80.94312583</v>
      </c>
      <c r="F1379" s="3">
        <f>VLOOKUP(B1379,airports!A:H,7,FALSE)</f>
        <v>35.035268330000001</v>
      </c>
      <c r="G1379" s="3">
        <f>VLOOKUP(B1379,airports!A:H,8,FALSE)</f>
        <v>-85.203787779999999</v>
      </c>
      <c r="H1379">
        <f t="shared" si="42"/>
        <v>388</v>
      </c>
      <c r="I1379">
        <f t="shared" si="43"/>
        <v>241.1</v>
      </c>
    </row>
    <row r="1380" spans="1:9" ht="30" x14ac:dyDescent="0.25">
      <c r="A1380" s="5" t="s">
        <v>40</v>
      </c>
      <c r="B1380" s="5" t="s">
        <v>447</v>
      </c>
      <c r="C1380" s="5" t="s">
        <v>1749</v>
      </c>
      <c r="D1380" s="3">
        <f>VLOOKUP(A1380,airports!A:H,7,FALSE)</f>
        <v>35.214011110000001</v>
      </c>
      <c r="E1380" s="3">
        <f>VLOOKUP(A1380,airports!A:H,8,FALSE)</f>
        <v>-80.94312583</v>
      </c>
      <c r="F1380" s="3">
        <f>VLOOKUP(B1380,airports!A:H,7,FALSE)</f>
        <v>38.138638890000003</v>
      </c>
      <c r="G1380" s="3">
        <f>VLOOKUP(B1380,airports!A:H,8,FALSE)</f>
        <v>-78.452861110000001</v>
      </c>
      <c r="H1380">
        <f t="shared" si="42"/>
        <v>393.8</v>
      </c>
      <c r="I1380">
        <f t="shared" si="43"/>
        <v>244.7</v>
      </c>
    </row>
    <row r="1381" spans="1:9" x14ac:dyDescent="0.25">
      <c r="A1381" s="5" t="s">
        <v>40</v>
      </c>
      <c r="B1381" s="5" t="s">
        <v>36</v>
      </c>
      <c r="C1381" s="5" t="s">
        <v>1750</v>
      </c>
      <c r="D1381" s="3">
        <f>VLOOKUP(A1381,airports!A:H,7,FALSE)</f>
        <v>35.214011110000001</v>
      </c>
      <c r="E1381" s="3">
        <f>VLOOKUP(A1381,airports!A:H,8,FALSE)</f>
        <v>-80.94312583</v>
      </c>
      <c r="F1381" s="3">
        <f>VLOOKUP(B1381,airports!A:H,7,FALSE)</f>
        <v>32.898646390000003</v>
      </c>
      <c r="G1381" s="3">
        <f>VLOOKUP(B1381,airports!A:H,8,FALSE)</f>
        <v>-80.040505830000001</v>
      </c>
      <c r="H1381">
        <f t="shared" si="42"/>
        <v>270.5</v>
      </c>
      <c r="I1381">
        <f t="shared" si="43"/>
        <v>168.1</v>
      </c>
    </row>
    <row r="1382" spans="1:9" x14ac:dyDescent="0.25">
      <c r="A1382" s="5" t="s">
        <v>40</v>
      </c>
      <c r="B1382" s="5" t="s">
        <v>450</v>
      </c>
      <c r="C1382" s="5" t="s">
        <v>1751</v>
      </c>
      <c r="D1382" s="3">
        <f>VLOOKUP(A1382,airports!A:H,7,FALSE)</f>
        <v>35.214011110000001</v>
      </c>
      <c r="E1382" s="3">
        <f>VLOOKUP(A1382,airports!A:H,8,FALSE)</f>
        <v>-80.94312583</v>
      </c>
      <c r="F1382" s="3">
        <f>VLOOKUP(B1382,airports!A:H,7,FALSE)</f>
        <v>41.88458833</v>
      </c>
      <c r="G1382" s="3">
        <f>VLOOKUP(B1382,airports!A:H,8,FALSE)</f>
        <v>-91.710872219999999</v>
      </c>
      <c r="H1382">
        <f t="shared" si="42"/>
        <v>1192.9000000000001</v>
      </c>
      <c r="I1382">
        <f t="shared" si="43"/>
        <v>741.3</v>
      </c>
    </row>
    <row r="1383" spans="1:9" x14ac:dyDescent="0.25">
      <c r="A1383" s="5" t="s">
        <v>40</v>
      </c>
      <c r="B1383" s="5" t="s">
        <v>38</v>
      </c>
      <c r="C1383" s="5" t="s">
        <v>1752</v>
      </c>
      <c r="D1383" s="3">
        <f>VLOOKUP(A1383,airports!A:H,7,FALSE)</f>
        <v>35.214011110000001</v>
      </c>
      <c r="E1383" s="3">
        <f>VLOOKUP(A1383,airports!A:H,8,FALSE)</f>
        <v>-80.94312583</v>
      </c>
      <c r="F1383" s="3">
        <f>VLOOKUP(B1383,airports!A:H,7,FALSE)</f>
        <v>41.410894169999999</v>
      </c>
      <c r="G1383" s="3">
        <f>VLOOKUP(B1383,airports!A:H,8,FALSE)</f>
        <v>-81.849396670000004</v>
      </c>
      <c r="H1383">
        <f t="shared" si="42"/>
        <v>693.6</v>
      </c>
      <c r="I1383">
        <f t="shared" si="43"/>
        <v>431</v>
      </c>
    </row>
    <row r="1384" spans="1:9" ht="30" x14ac:dyDescent="0.25">
      <c r="A1384" s="5" t="s">
        <v>40</v>
      </c>
      <c r="B1384" s="5" t="s">
        <v>454</v>
      </c>
      <c r="C1384" s="5" t="s">
        <v>1753</v>
      </c>
      <c r="D1384" s="3">
        <f>VLOOKUP(A1384,airports!A:H,7,FALSE)</f>
        <v>35.214011110000001</v>
      </c>
      <c r="E1384" s="3">
        <f>VLOOKUP(A1384,airports!A:H,8,FALSE)</f>
        <v>-80.94312583</v>
      </c>
      <c r="F1384" s="3">
        <f>VLOOKUP(B1384,airports!A:H,7,FALSE)</f>
        <v>39.997985280000002</v>
      </c>
      <c r="G1384" s="3">
        <f>VLOOKUP(B1384,airports!A:H,8,FALSE)</f>
        <v>-82.891882780000003</v>
      </c>
      <c r="H1384">
        <f t="shared" si="42"/>
        <v>558.9</v>
      </c>
      <c r="I1384">
        <f t="shared" si="43"/>
        <v>347.3</v>
      </c>
    </row>
    <row r="1385" spans="1:9" x14ac:dyDescent="0.25">
      <c r="A1385" s="5" t="s">
        <v>40</v>
      </c>
      <c r="B1385" s="5" t="s">
        <v>1754</v>
      </c>
      <c r="C1385" s="5" t="s">
        <v>1755</v>
      </c>
      <c r="D1385" s="3">
        <f>VLOOKUP(A1385,airports!A:H,7,FALSE)</f>
        <v>35.214011110000001</v>
      </c>
      <c r="E1385" s="3">
        <f>VLOOKUP(A1385,airports!A:H,8,FALSE)</f>
        <v>-80.94312583</v>
      </c>
      <c r="F1385" s="3">
        <f>VLOOKUP(B1385,airports!A:H,7,FALSE)</f>
        <v>40.039250000000003</v>
      </c>
      <c r="G1385" s="3">
        <f>VLOOKUP(B1385,airports!A:H,8,FALSE)</f>
        <v>-88.278055559999999</v>
      </c>
      <c r="H1385">
        <f t="shared" si="42"/>
        <v>839.2</v>
      </c>
      <c r="I1385">
        <f t="shared" si="43"/>
        <v>521.5</v>
      </c>
    </row>
    <row r="1386" spans="1:9" ht="30" x14ac:dyDescent="0.25">
      <c r="A1386" s="5" t="s">
        <v>40</v>
      </c>
      <c r="B1386" s="5" t="s">
        <v>458</v>
      </c>
      <c r="C1386" s="5" t="s">
        <v>1756</v>
      </c>
      <c r="D1386" s="3">
        <f>VLOOKUP(A1386,airports!A:H,7,FALSE)</f>
        <v>35.214011110000001</v>
      </c>
      <c r="E1386" s="3">
        <f>VLOOKUP(A1386,airports!A:H,8,FALSE)</f>
        <v>-80.94312583</v>
      </c>
      <c r="F1386" s="3">
        <f>VLOOKUP(B1386,airports!A:H,7,FALSE)</f>
        <v>38.37315083</v>
      </c>
      <c r="G1386" s="3">
        <f>VLOOKUP(B1386,airports!A:H,8,FALSE)</f>
        <v>-81.593189719999998</v>
      </c>
      <c r="H1386">
        <f t="shared" si="42"/>
        <v>356</v>
      </c>
      <c r="I1386">
        <f t="shared" si="43"/>
        <v>221.2</v>
      </c>
    </row>
    <row r="1387" spans="1:9" x14ac:dyDescent="0.25">
      <c r="A1387" s="5" t="s">
        <v>40</v>
      </c>
      <c r="B1387" s="5" t="s">
        <v>460</v>
      </c>
      <c r="C1387" s="5" t="s">
        <v>1757</v>
      </c>
      <c r="D1387" s="3">
        <f>VLOOKUP(A1387,airports!A:H,7,FALSE)</f>
        <v>35.214011110000001</v>
      </c>
      <c r="E1387" s="3">
        <f>VLOOKUP(A1387,airports!A:H,8,FALSE)</f>
        <v>-80.94312583</v>
      </c>
      <c r="F1387" s="3">
        <f>VLOOKUP(B1387,airports!A:H,7,FALSE)</f>
        <v>32.516333330000002</v>
      </c>
      <c r="G1387" s="3">
        <f>VLOOKUP(B1387,airports!A:H,8,FALSE)</f>
        <v>-84.938861110000005</v>
      </c>
      <c r="H1387">
        <f t="shared" si="42"/>
        <v>475.4</v>
      </c>
      <c r="I1387">
        <f t="shared" si="43"/>
        <v>295.39999999999998</v>
      </c>
    </row>
    <row r="1388" spans="1:9" ht="30" x14ac:dyDescent="0.25">
      <c r="A1388" s="5" t="s">
        <v>40</v>
      </c>
      <c r="B1388" s="5" t="s">
        <v>462</v>
      </c>
      <c r="C1388" s="5" t="s">
        <v>1758</v>
      </c>
      <c r="D1388" s="3">
        <f>VLOOKUP(A1388,airports!A:H,7,FALSE)</f>
        <v>35.214011110000001</v>
      </c>
      <c r="E1388" s="3">
        <f>VLOOKUP(A1388,airports!A:H,8,FALSE)</f>
        <v>-80.94312583</v>
      </c>
      <c r="F1388" s="3">
        <f>VLOOKUP(B1388,airports!A:H,7,FALSE)</f>
        <v>39.046142779999997</v>
      </c>
      <c r="G1388" s="3">
        <f>VLOOKUP(B1388,airports!A:H,8,FALSE)</f>
        <v>-84.662172499999997</v>
      </c>
      <c r="H1388">
        <f t="shared" si="42"/>
        <v>538.70000000000005</v>
      </c>
      <c r="I1388">
        <f t="shared" si="43"/>
        <v>334.7</v>
      </c>
    </row>
    <row r="1389" spans="1:9" ht="30" x14ac:dyDescent="0.25">
      <c r="A1389" s="5" t="s">
        <v>40</v>
      </c>
      <c r="B1389" s="5" t="s">
        <v>464</v>
      </c>
      <c r="C1389" s="5" t="s">
        <v>1759</v>
      </c>
      <c r="D1389" s="3">
        <f>VLOOKUP(A1389,airports!A:H,7,FALSE)</f>
        <v>35.214011110000001</v>
      </c>
      <c r="E1389" s="3">
        <f>VLOOKUP(A1389,airports!A:H,8,FALSE)</f>
        <v>-80.94312583</v>
      </c>
      <c r="F1389" s="3">
        <f>VLOOKUP(B1389,airports!A:H,7,FALSE)</f>
        <v>29.179916670000001</v>
      </c>
      <c r="G1389" s="3">
        <f>VLOOKUP(B1389,airports!A:H,8,FALSE)</f>
        <v>-81.05805556</v>
      </c>
      <c r="H1389">
        <f t="shared" si="42"/>
        <v>671</v>
      </c>
      <c r="I1389">
        <f t="shared" si="43"/>
        <v>417</v>
      </c>
    </row>
    <row r="1390" spans="1:9" x14ac:dyDescent="0.25">
      <c r="A1390" s="5" t="s">
        <v>40</v>
      </c>
      <c r="B1390" s="5" t="s">
        <v>201</v>
      </c>
      <c r="C1390" s="5" t="s">
        <v>1760</v>
      </c>
      <c r="D1390" s="3">
        <f>VLOOKUP(A1390,airports!A:H,7,FALSE)</f>
        <v>35.214011110000001</v>
      </c>
      <c r="E1390" s="3">
        <f>VLOOKUP(A1390,airports!A:H,8,FALSE)</f>
        <v>-80.94312583</v>
      </c>
      <c r="F1390" s="3">
        <f>VLOOKUP(B1390,airports!A:H,7,FALSE)</f>
        <v>32.847113890000003</v>
      </c>
      <c r="G1390" s="3">
        <f>VLOOKUP(B1390,airports!A:H,8,FALSE)</f>
        <v>-96.851772220000001</v>
      </c>
      <c r="H1390">
        <f t="shared" si="42"/>
        <v>1487.7</v>
      </c>
      <c r="I1390">
        <f t="shared" si="43"/>
        <v>924.5</v>
      </c>
    </row>
    <row r="1391" spans="1:9" x14ac:dyDescent="0.25">
      <c r="A1391" s="5" t="s">
        <v>40</v>
      </c>
      <c r="B1391" s="5" t="s">
        <v>467</v>
      </c>
      <c r="C1391" s="5" t="s">
        <v>1761</v>
      </c>
      <c r="D1391" s="3">
        <f>VLOOKUP(A1391,airports!A:H,7,FALSE)</f>
        <v>35.214011110000001</v>
      </c>
      <c r="E1391" s="3">
        <f>VLOOKUP(A1391,airports!A:H,8,FALSE)</f>
        <v>-80.94312583</v>
      </c>
      <c r="F1391" s="3">
        <f>VLOOKUP(B1391,airports!A:H,7,FALSE)</f>
        <v>39.902375829999997</v>
      </c>
      <c r="G1391" s="3">
        <f>VLOOKUP(B1391,airports!A:H,8,FALSE)</f>
        <v>-84.219374999999999</v>
      </c>
      <c r="H1391">
        <f t="shared" si="42"/>
        <v>595.9</v>
      </c>
      <c r="I1391">
        <f t="shared" si="43"/>
        <v>370.3</v>
      </c>
    </row>
    <row r="1392" spans="1:9" ht="30" x14ac:dyDescent="0.25">
      <c r="A1392" s="5" t="s">
        <v>40</v>
      </c>
      <c r="B1392" s="5" t="s">
        <v>45</v>
      </c>
      <c r="C1392" s="5" t="s">
        <v>1762</v>
      </c>
      <c r="D1392" s="3">
        <f>VLOOKUP(A1392,airports!A:H,7,FALSE)</f>
        <v>35.214011110000001</v>
      </c>
      <c r="E1392" s="3">
        <f>VLOOKUP(A1392,airports!A:H,8,FALSE)</f>
        <v>-80.94312583</v>
      </c>
      <c r="F1392" s="3">
        <f>VLOOKUP(B1392,airports!A:H,7,FALSE)</f>
        <v>38.852083329999999</v>
      </c>
      <c r="G1392" s="3">
        <f>VLOOKUP(B1392,airports!A:H,8,FALSE)</f>
        <v>-77.037722220000006</v>
      </c>
      <c r="H1392">
        <f t="shared" si="42"/>
        <v>532.6</v>
      </c>
      <c r="I1392">
        <f t="shared" si="43"/>
        <v>331</v>
      </c>
    </row>
    <row r="1393" spans="1:9" ht="30" x14ac:dyDescent="0.25">
      <c r="A1393" s="5" t="s">
        <v>40</v>
      </c>
      <c r="B1393" s="5" t="s">
        <v>47</v>
      </c>
      <c r="C1393" s="5" t="s">
        <v>1763</v>
      </c>
      <c r="D1393" s="3">
        <f>VLOOKUP(A1393,airports!A:H,7,FALSE)</f>
        <v>35.214011110000001</v>
      </c>
      <c r="E1393" s="3">
        <f>VLOOKUP(A1393,airports!A:H,8,FALSE)</f>
        <v>-80.94312583</v>
      </c>
      <c r="F1393" s="3">
        <f>VLOOKUP(B1393,airports!A:H,7,FALSE)</f>
        <v>39.858408060000002</v>
      </c>
      <c r="G1393" s="3">
        <f>VLOOKUP(B1393,airports!A:H,8,FALSE)</f>
        <v>-104.6670019</v>
      </c>
      <c r="H1393">
        <f t="shared" si="42"/>
        <v>2147.6999999999998</v>
      </c>
      <c r="I1393">
        <f t="shared" si="43"/>
        <v>1334.6</v>
      </c>
    </row>
    <row r="1394" spans="1:9" ht="30" x14ac:dyDescent="0.25">
      <c r="A1394" s="5" t="s">
        <v>40</v>
      </c>
      <c r="B1394" s="5" t="s">
        <v>49</v>
      </c>
      <c r="C1394" s="5" t="s">
        <v>1764</v>
      </c>
      <c r="D1394" s="3">
        <f>VLOOKUP(A1394,airports!A:H,7,FALSE)</f>
        <v>35.214011110000001</v>
      </c>
      <c r="E1394" s="3">
        <f>VLOOKUP(A1394,airports!A:H,8,FALSE)</f>
        <v>-80.94312583</v>
      </c>
      <c r="F1394" s="3">
        <f>VLOOKUP(B1394,airports!A:H,7,FALSE)</f>
        <v>32.895950560000003</v>
      </c>
      <c r="G1394" s="3">
        <f>VLOOKUP(B1394,airports!A:H,8,FALSE)</f>
        <v>-97.037199999999999</v>
      </c>
      <c r="H1394">
        <f t="shared" si="42"/>
        <v>1503.2</v>
      </c>
      <c r="I1394">
        <f t="shared" si="43"/>
        <v>934.1</v>
      </c>
    </row>
    <row r="1395" spans="1:9" ht="30" x14ac:dyDescent="0.25">
      <c r="A1395" s="5" t="s">
        <v>40</v>
      </c>
      <c r="B1395" s="5" t="s">
        <v>474</v>
      </c>
      <c r="C1395" s="5" t="s">
        <v>1765</v>
      </c>
      <c r="D1395" s="3">
        <f>VLOOKUP(A1395,airports!A:H,7,FALSE)</f>
        <v>35.214011110000001</v>
      </c>
      <c r="E1395" s="3">
        <f>VLOOKUP(A1395,airports!A:H,8,FALSE)</f>
        <v>-80.94312583</v>
      </c>
      <c r="F1395" s="3">
        <f>VLOOKUP(B1395,airports!A:H,7,FALSE)</f>
        <v>41.53493306</v>
      </c>
      <c r="G1395" s="3">
        <f>VLOOKUP(B1395,airports!A:H,8,FALSE)</f>
        <v>-93.660682219999998</v>
      </c>
      <c r="H1395">
        <f t="shared" si="42"/>
        <v>1310.5</v>
      </c>
      <c r="I1395">
        <f t="shared" si="43"/>
        <v>814.4</v>
      </c>
    </row>
    <row r="1396" spans="1:9" ht="30" x14ac:dyDescent="0.25">
      <c r="A1396" s="5" t="s">
        <v>40</v>
      </c>
      <c r="B1396" s="5" t="s">
        <v>50</v>
      </c>
      <c r="C1396" s="5" t="s">
        <v>1766</v>
      </c>
      <c r="D1396" s="3">
        <f>VLOOKUP(A1396,airports!A:H,7,FALSE)</f>
        <v>35.214011110000001</v>
      </c>
      <c r="E1396" s="3">
        <f>VLOOKUP(A1396,airports!A:H,8,FALSE)</f>
        <v>-80.94312583</v>
      </c>
      <c r="F1396" s="3">
        <f>VLOOKUP(B1396,airports!A:H,7,FALSE)</f>
        <v>42.212058890000002</v>
      </c>
      <c r="G1396" s="3">
        <f>VLOOKUP(B1396,airports!A:H,8,FALSE)</f>
        <v>-83.348835829999999</v>
      </c>
      <c r="H1396">
        <f t="shared" si="42"/>
        <v>805.6</v>
      </c>
      <c r="I1396">
        <f t="shared" si="43"/>
        <v>500.6</v>
      </c>
    </row>
    <row r="1397" spans="1:9" x14ac:dyDescent="0.25">
      <c r="A1397" s="5" t="s">
        <v>40</v>
      </c>
      <c r="B1397" s="5" t="s">
        <v>477</v>
      </c>
      <c r="C1397" s="5" t="s">
        <v>1767</v>
      </c>
      <c r="D1397" s="3">
        <f>VLOOKUP(A1397,airports!A:H,7,FALSE)</f>
        <v>35.214011110000001</v>
      </c>
      <c r="E1397" s="3">
        <f>VLOOKUP(A1397,airports!A:H,8,FALSE)</f>
        <v>-80.94312583</v>
      </c>
      <c r="F1397" s="3">
        <f>VLOOKUP(B1397,airports!A:H,7,FALSE)</f>
        <v>30.357106000000002</v>
      </c>
      <c r="G1397" s="3">
        <f>VLOOKUP(B1397,airports!A:H,8,FALSE)</f>
        <v>-85.795413999999994</v>
      </c>
      <c r="H1397">
        <f t="shared" si="42"/>
        <v>705.1</v>
      </c>
      <c r="I1397">
        <f t="shared" si="43"/>
        <v>438.1</v>
      </c>
    </row>
    <row r="1398" spans="1:9" x14ac:dyDescent="0.25">
      <c r="A1398" s="5" t="s">
        <v>40</v>
      </c>
      <c r="B1398" s="5" t="s">
        <v>483</v>
      </c>
      <c r="C1398" s="5" t="s">
        <v>1768</v>
      </c>
      <c r="D1398" s="3">
        <f>VLOOKUP(A1398,airports!A:H,7,FALSE)</f>
        <v>35.214011110000001</v>
      </c>
      <c r="E1398" s="3">
        <f>VLOOKUP(A1398,airports!A:H,8,FALSE)</f>
        <v>-80.94312583</v>
      </c>
      <c r="F1398" s="3">
        <f>VLOOKUP(B1398,airports!A:H,7,FALSE)</f>
        <v>31.806666669999998</v>
      </c>
      <c r="G1398" s="3">
        <f>VLOOKUP(B1398,airports!A:H,8,FALSE)</f>
        <v>-106.3778056</v>
      </c>
      <c r="H1398">
        <f t="shared" si="42"/>
        <v>2381.6999999999998</v>
      </c>
      <c r="I1398">
        <f t="shared" si="43"/>
        <v>1480</v>
      </c>
    </row>
    <row r="1399" spans="1:9" x14ac:dyDescent="0.25">
      <c r="A1399" s="5" t="s">
        <v>40</v>
      </c>
      <c r="B1399" s="5" t="s">
        <v>1769</v>
      </c>
      <c r="C1399" s="5" t="s">
        <v>1770</v>
      </c>
      <c r="D1399" s="3">
        <f>VLOOKUP(A1399,airports!A:H,7,FALSE)</f>
        <v>35.214011110000001</v>
      </c>
      <c r="E1399" s="3">
        <f>VLOOKUP(A1399,airports!A:H,8,FALSE)</f>
        <v>-80.94312583</v>
      </c>
      <c r="F1399" s="3">
        <f>VLOOKUP(B1399,airports!A:H,7,FALSE)</f>
        <v>42.082021390000001</v>
      </c>
      <c r="G1399" s="3">
        <f>VLOOKUP(B1399,airports!A:H,8,FALSE)</f>
        <v>-80.176215560000003</v>
      </c>
      <c r="H1399">
        <f t="shared" si="42"/>
        <v>766.6</v>
      </c>
      <c r="I1399">
        <f t="shared" si="43"/>
        <v>476.4</v>
      </c>
    </row>
    <row r="1400" spans="1:9" x14ac:dyDescent="0.25">
      <c r="A1400" s="5" t="s">
        <v>40</v>
      </c>
      <c r="B1400" s="5" t="s">
        <v>485</v>
      </c>
      <c r="C1400" s="5" t="s">
        <v>1771</v>
      </c>
      <c r="D1400" s="3">
        <f>VLOOKUP(A1400,airports!A:H,7,FALSE)</f>
        <v>35.214011110000001</v>
      </c>
      <c r="E1400" s="3">
        <f>VLOOKUP(A1400,airports!A:H,8,FALSE)</f>
        <v>-80.94312583</v>
      </c>
      <c r="F1400" s="3">
        <f>VLOOKUP(B1400,airports!A:H,7,FALSE)</f>
        <v>38.037991390000002</v>
      </c>
      <c r="G1400" s="3">
        <f>VLOOKUP(B1400,airports!A:H,8,FALSE)</f>
        <v>-87.530626670000004</v>
      </c>
      <c r="H1400">
        <f t="shared" si="42"/>
        <v>666.2</v>
      </c>
      <c r="I1400">
        <f t="shared" si="43"/>
        <v>414</v>
      </c>
    </row>
    <row r="1401" spans="1:9" ht="30" x14ac:dyDescent="0.25">
      <c r="A1401" s="5" t="s">
        <v>40</v>
      </c>
      <c r="B1401" s="5" t="s">
        <v>487</v>
      </c>
      <c r="C1401" s="5" t="s">
        <v>1772</v>
      </c>
      <c r="D1401" s="3">
        <f>VLOOKUP(A1401,airports!A:H,7,FALSE)</f>
        <v>35.214011110000001</v>
      </c>
      <c r="E1401" s="3">
        <f>VLOOKUP(A1401,airports!A:H,8,FALSE)</f>
        <v>-80.94312583</v>
      </c>
      <c r="F1401" s="3">
        <f>VLOOKUP(B1401,airports!A:H,7,FALSE)</f>
        <v>35.072972219999997</v>
      </c>
      <c r="G1401" s="3">
        <f>VLOOKUP(B1401,airports!A:H,8,FALSE)</f>
        <v>-77.042944439999999</v>
      </c>
      <c r="H1401">
        <f t="shared" si="42"/>
        <v>354.9</v>
      </c>
      <c r="I1401">
        <f t="shared" si="43"/>
        <v>220.6</v>
      </c>
    </row>
    <row r="1402" spans="1:9" ht="30" x14ac:dyDescent="0.25">
      <c r="A1402" s="5" t="s">
        <v>40</v>
      </c>
      <c r="B1402" s="5" t="s">
        <v>52</v>
      </c>
      <c r="C1402" s="5" t="s">
        <v>1773</v>
      </c>
      <c r="D1402" s="3">
        <f>VLOOKUP(A1402,airports!A:H,7,FALSE)</f>
        <v>35.214011110000001</v>
      </c>
      <c r="E1402" s="3">
        <f>VLOOKUP(A1402,airports!A:H,8,FALSE)</f>
        <v>-80.94312583</v>
      </c>
      <c r="F1402" s="3">
        <f>VLOOKUP(B1402,airports!A:H,7,FALSE)</f>
        <v>40.69249722</v>
      </c>
      <c r="G1402" s="3">
        <f>VLOOKUP(B1402,airports!A:H,8,FALSE)</f>
        <v>-74.168660560000006</v>
      </c>
      <c r="H1402">
        <f t="shared" si="42"/>
        <v>850.3</v>
      </c>
      <c r="I1402">
        <f t="shared" si="43"/>
        <v>528.4</v>
      </c>
    </row>
    <row r="1403" spans="1:9" ht="30" x14ac:dyDescent="0.25">
      <c r="A1403" s="5" t="s">
        <v>40</v>
      </c>
      <c r="B1403" s="5" t="s">
        <v>54</v>
      </c>
      <c r="C1403" s="5" t="s">
        <v>1774</v>
      </c>
      <c r="D1403" s="3">
        <f>VLOOKUP(A1403,airports!A:H,7,FALSE)</f>
        <v>35.214011110000001</v>
      </c>
      <c r="E1403" s="3">
        <f>VLOOKUP(A1403,airports!A:H,8,FALSE)</f>
        <v>-80.94312583</v>
      </c>
      <c r="F1403" s="3">
        <f>VLOOKUP(B1403,airports!A:H,7,FALSE)</f>
        <v>24.55611111</v>
      </c>
      <c r="G1403" s="3">
        <f>VLOOKUP(B1403,airports!A:H,8,FALSE)</f>
        <v>-81.759555559999995</v>
      </c>
      <c r="H1403">
        <f t="shared" si="42"/>
        <v>1187.7</v>
      </c>
      <c r="I1403">
        <f t="shared" si="43"/>
        <v>738</v>
      </c>
    </row>
    <row r="1404" spans="1:9" x14ac:dyDescent="0.25">
      <c r="A1404" s="5" t="s">
        <v>40</v>
      </c>
      <c r="B1404" s="5" t="s">
        <v>493</v>
      </c>
      <c r="C1404" s="5" t="s">
        <v>1775</v>
      </c>
      <c r="D1404" s="3">
        <f>VLOOKUP(A1404,airports!A:H,7,FALSE)</f>
        <v>35.214011110000001</v>
      </c>
      <c r="E1404" s="3">
        <f>VLOOKUP(A1404,airports!A:H,8,FALSE)</f>
        <v>-80.94312583</v>
      </c>
      <c r="F1404" s="3">
        <f>VLOOKUP(B1404,airports!A:H,7,FALSE)</f>
        <v>34.991472219999999</v>
      </c>
      <c r="G1404" s="3">
        <f>VLOOKUP(B1404,airports!A:H,8,FALSE)</f>
        <v>-78.88</v>
      </c>
      <c r="H1404">
        <f t="shared" si="42"/>
        <v>189.3</v>
      </c>
      <c r="I1404">
        <f t="shared" si="43"/>
        <v>117.6</v>
      </c>
    </row>
    <row r="1405" spans="1:9" x14ac:dyDescent="0.25">
      <c r="A1405" s="5" t="s">
        <v>40</v>
      </c>
      <c r="B1405" s="5" t="s">
        <v>56</v>
      </c>
      <c r="C1405" s="5" t="s">
        <v>1776</v>
      </c>
      <c r="D1405" s="3">
        <f>VLOOKUP(A1405,airports!A:H,7,FALSE)</f>
        <v>35.214011110000001</v>
      </c>
      <c r="E1405" s="3">
        <f>VLOOKUP(A1405,airports!A:H,8,FALSE)</f>
        <v>-80.94312583</v>
      </c>
      <c r="F1405" s="3">
        <f>VLOOKUP(B1405,airports!A:H,7,FALSE)</f>
        <v>48.311404719999999</v>
      </c>
      <c r="G1405" s="3">
        <f>VLOOKUP(B1405,airports!A:H,8,FALSE)</f>
        <v>-114.2550694</v>
      </c>
      <c r="H1405">
        <f t="shared" si="42"/>
        <v>3089.5</v>
      </c>
      <c r="I1405">
        <f t="shared" si="43"/>
        <v>1919.9</v>
      </c>
    </row>
    <row r="1406" spans="1:9" x14ac:dyDescent="0.25">
      <c r="A1406" s="5" t="s">
        <v>40</v>
      </c>
      <c r="B1406" s="5" t="s">
        <v>57</v>
      </c>
      <c r="C1406" s="5" t="s">
        <v>1777</v>
      </c>
      <c r="D1406" s="3">
        <f>VLOOKUP(A1406,airports!A:H,7,FALSE)</f>
        <v>35.214011110000001</v>
      </c>
      <c r="E1406" s="3">
        <f>VLOOKUP(A1406,airports!A:H,8,FALSE)</f>
        <v>-80.94312583</v>
      </c>
      <c r="F1406" s="3">
        <f>VLOOKUP(B1406,airports!A:H,7,FALSE)</f>
        <v>26.072583330000001</v>
      </c>
      <c r="G1406" s="3">
        <f>VLOOKUP(B1406,airports!A:H,8,FALSE)</f>
        <v>-80.152749999999997</v>
      </c>
      <c r="H1406">
        <f t="shared" si="42"/>
        <v>1019.3</v>
      </c>
      <c r="I1406">
        <f t="shared" si="43"/>
        <v>633.4</v>
      </c>
    </row>
    <row r="1407" spans="1:9" x14ac:dyDescent="0.25">
      <c r="A1407" s="5" t="s">
        <v>40</v>
      </c>
      <c r="B1407" s="5" t="s">
        <v>1778</v>
      </c>
      <c r="C1407" s="5" t="s">
        <v>1779</v>
      </c>
      <c r="D1407" s="3">
        <f>VLOOKUP(A1407,airports!A:H,7,FALSE)</f>
        <v>35.214011110000001</v>
      </c>
      <c r="E1407" s="3">
        <f>VLOOKUP(A1407,airports!A:H,8,FALSE)</f>
        <v>-80.94312583</v>
      </c>
      <c r="F1407" s="3">
        <f>VLOOKUP(B1407,airports!A:H,7,FALSE)</f>
        <v>34.185361110000002</v>
      </c>
      <c r="G1407" s="3">
        <f>VLOOKUP(B1407,airports!A:H,8,FALSE)</f>
        <v>-79.723888889999998</v>
      </c>
      <c r="H1407">
        <f t="shared" si="42"/>
        <v>159.69999999999999</v>
      </c>
      <c r="I1407">
        <f t="shared" si="43"/>
        <v>99.2</v>
      </c>
    </row>
    <row r="1408" spans="1:9" x14ac:dyDescent="0.25">
      <c r="A1408" s="5" t="s">
        <v>40</v>
      </c>
      <c r="B1408" s="5" t="s">
        <v>497</v>
      </c>
      <c r="C1408" s="5" t="s">
        <v>1780</v>
      </c>
      <c r="D1408" s="3">
        <f>VLOOKUP(A1408,airports!A:H,7,FALSE)</f>
        <v>35.214011110000001</v>
      </c>
      <c r="E1408" s="3">
        <f>VLOOKUP(A1408,airports!A:H,8,FALSE)</f>
        <v>-80.94312583</v>
      </c>
      <c r="F1408" s="3">
        <f>VLOOKUP(B1408,airports!A:H,7,FALSE)</f>
        <v>42.965503329999997</v>
      </c>
      <c r="G1408" s="3">
        <f>VLOOKUP(B1408,airports!A:H,8,FALSE)</f>
        <v>-83.743456390000006</v>
      </c>
      <c r="H1408">
        <f t="shared" si="42"/>
        <v>895</v>
      </c>
      <c r="I1408">
        <f t="shared" si="43"/>
        <v>556.20000000000005</v>
      </c>
    </row>
    <row r="1409" spans="1:9" x14ac:dyDescent="0.25">
      <c r="A1409" s="5" t="s">
        <v>40</v>
      </c>
      <c r="B1409" s="5" t="s">
        <v>499</v>
      </c>
      <c r="C1409" s="5" t="s">
        <v>1781</v>
      </c>
      <c r="D1409" s="3">
        <f>VLOOKUP(A1409,airports!A:H,7,FALSE)</f>
        <v>35.214011110000001</v>
      </c>
      <c r="E1409" s="3">
        <f>VLOOKUP(A1409,airports!A:H,8,FALSE)</f>
        <v>-80.94312583</v>
      </c>
      <c r="F1409" s="3">
        <f>VLOOKUP(B1409,airports!A:H,7,FALSE)</f>
        <v>43.58135111</v>
      </c>
      <c r="G1409" s="3">
        <f>VLOOKUP(B1409,airports!A:H,8,FALSE)</f>
        <v>-96.741700280000003</v>
      </c>
      <c r="H1409">
        <f t="shared" si="42"/>
        <v>1641.3</v>
      </c>
      <c r="I1409">
        <f t="shared" si="43"/>
        <v>1019.9</v>
      </c>
    </row>
    <row r="1410" spans="1:9" ht="30" x14ac:dyDescent="0.25">
      <c r="A1410" s="5" t="s">
        <v>40</v>
      </c>
      <c r="B1410" s="5" t="s">
        <v>503</v>
      </c>
      <c r="C1410" s="5" t="s">
        <v>1782</v>
      </c>
      <c r="D1410" s="3">
        <f>VLOOKUP(A1410,airports!A:H,7,FALSE)</f>
        <v>35.214011110000001</v>
      </c>
      <c r="E1410" s="3">
        <f>VLOOKUP(A1410,airports!A:H,8,FALSE)</f>
        <v>-80.94312583</v>
      </c>
      <c r="F1410" s="3">
        <f>VLOOKUP(B1410,airports!A:H,7,FALSE)</f>
        <v>40.978465829999998</v>
      </c>
      <c r="G1410" s="3">
        <f>VLOOKUP(B1410,airports!A:H,8,FALSE)</f>
        <v>-85.195146390000005</v>
      </c>
      <c r="H1410">
        <f t="shared" si="42"/>
        <v>740.9</v>
      </c>
      <c r="I1410">
        <f t="shared" si="43"/>
        <v>460.4</v>
      </c>
    </row>
    <row r="1411" spans="1:9" ht="30" x14ac:dyDescent="0.25">
      <c r="A1411" s="5" t="s">
        <v>40</v>
      </c>
      <c r="B1411" s="5" t="s">
        <v>507</v>
      </c>
      <c r="C1411" s="5" t="s">
        <v>1783</v>
      </c>
      <c r="D1411" s="3">
        <f>VLOOKUP(A1411,airports!A:H,7,FALSE)</f>
        <v>35.214011110000001</v>
      </c>
      <c r="E1411" s="3">
        <f>VLOOKUP(A1411,airports!A:H,8,FALSE)</f>
        <v>-80.94312583</v>
      </c>
      <c r="F1411" s="3">
        <f>VLOOKUP(B1411,airports!A:H,7,FALSE)</f>
        <v>29.690055560000001</v>
      </c>
      <c r="G1411" s="3">
        <f>VLOOKUP(B1411,airports!A:H,8,FALSE)</f>
        <v>-82.271777779999994</v>
      </c>
      <c r="H1411">
        <f t="shared" si="42"/>
        <v>626.70000000000005</v>
      </c>
      <c r="I1411">
        <f t="shared" si="43"/>
        <v>389.5</v>
      </c>
    </row>
    <row r="1412" spans="1:9" x14ac:dyDescent="0.25">
      <c r="A1412" s="5" t="s">
        <v>40</v>
      </c>
      <c r="B1412" s="5" t="s">
        <v>509</v>
      </c>
      <c r="C1412" s="5" t="s">
        <v>1784</v>
      </c>
      <c r="D1412" s="3">
        <f>VLOOKUP(A1412,airports!A:H,7,FALSE)</f>
        <v>35.214011110000001</v>
      </c>
      <c r="E1412" s="3">
        <f>VLOOKUP(A1412,airports!A:H,8,FALSE)</f>
        <v>-80.94312583</v>
      </c>
      <c r="F1412" s="3">
        <f>VLOOKUP(B1412,airports!A:H,7,FALSE)</f>
        <v>30.407280279999998</v>
      </c>
      <c r="G1412" s="3">
        <f>VLOOKUP(B1412,airports!A:H,8,FALSE)</f>
        <v>-89.070092779999996</v>
      </c>
      <c r="H1412">
        <f t="shared" ref="H1412:H1475" si="44">ROUND(ACOS(COS(RADIANS(90-D1412)) * COS(RADIANS(90-F1412)) + SIN(RADIANS(90-D1412)) * SIN(RADIANS(90-F1412)) * COS(RADIANS(E1412-G1412))) * 6371,1)</f>
        <v>928.2</v>
      </c>
      <c r="I1412">
        <f t="shared" ref="I1412:I1475" si="45">ROUND(ACOS(COS(RADIANS(90-D1412)) * COS(RADIANS(90-F1412)) + SIN(RADIANS(90-D1412)) * SIN(RADIANS(90-F1412)) * COS(RADIANS(E1412-G1412))) * 3959,1)</f>
        <v>576.79999999999995</v>
      </c>
    </row>
    <row r="1413" spans="1:9" x14ac:dyDescent="0.25">
      <c r="A1413" s="5" t="s">
        <v>40</v>
      </c>
      <c r="B1413" s="5" t="s">
        <v>515</v>
      </c>
      <c r="C1413" s="5" t="s">
        <v>1785</v>
      </c>
      <c r="D1413" s="3">
        <f>VLOOKUP(A1413,airports!A:H,7,FALSE)</f>
        <v>35.214011110000001</v>
      </c>
      <c r="E1413" s="3">
        <f>VLOOKUP(A1413,airports!A:H,8,FALSE)</f>
        <v>-80.94312583</v>
      </c>
      <c r="F1413" s="3">
        <f>VLOOKUP(B1413,airports!A:H,7,FALSE)</f>
        <v>42.880819719999998</v>
      </c>
      <c r="G1413" s="3">
        <f>VLOOKUP(B1413,airports!A:H,8,FALSE)</f>
        <v>-85.522767779999995</v>
      </c>
      <c r="H1413">
        <f t="shared" si="44"/>
        <v>939.4</v>
      </c>
      <c r="I1413">
        <f t="shared" si="45"/>
        <v>583.70000000000005</v>
      </c>
    </row>
    <row r="1414" spans="1:9" ht="30" x14ac:dyDescent="0.25">
      <c r="A1414" s="5" t="s">
        <v>40</v>
      </c>
      <c r="B1414" s="5" t="s">
        <v>517</v>
      </c>
      <c r="C1414" s="5" t="s">
        <v>1786</v>
      </c>
      <c r="D1414" s="3">
        <f>VLOOKUP(A1414,airports!A:H,7,FALSE)</f>
        <v>35.214011110000001</v>
      </c>
      <c r="E1414" s="3">
        <f>VLOOKUP(A1414,airports!A:H,8,FALSE)</f>
        <v>-80.94312583</v>
      </c>
      <c r="F1414" s="3">
        <f>VLOOKUP(B1414,airports!A:H,7,FALSE)</f>
        <v>36.09774694</v>
      </c>
      <c r="G1414" s="3">
        <f>VLOOKUP(B1414,airports!A:H,8,FALSE)</f>
        <v>-79.9372975</v>
      </c>
      <c r="H1414">
        <f t="shared" si="44"/>
        <v>133.80000000000001</v>
      </c>
      <c r="I1414">
        <f t="shared" si="45"/>
        <v>83.2</v>
      </c>
    </row>
    <row r="1415" spans="1:9" x14ac:dyDescent="0.25">
      <c r="A1415" s="5" t="s">
        <v>40</v>
      </c>
      <c r="B1415" s="5" t="s">
        <v>519</v>
      </c>
      <c r="C1415" s="5" t="s">
        <v>1787</v>
      </c>
      <c r="D1415" s="3">
        <f>VLOOKUP(A1415,airports!A:H,7,FALSE)</f>
        <v>35.214011110000001</v>
      </c>
      <c r="E1415" s="3">
        <f>VLOOKUP(A1415,airports!A:H,8,FALSE)</f>
        <v>-80.94312583</v>
      </c>
      <c r="F1415" s="3">
        <f>VLOOKUP(B1415,airports!A:H,7,FALSE)</f>
        <v>34.89566722</v>
      </c>
      <c r="G1415" s="3">
        <f>VLOOKUP(B1415,airports!A:H,8,FALSE)</f>
        <v>-82.218858330000003</v>
      </c>
      <c r="H1415">
        <f t="shared" si="44"/>
        <v>121.4</v>
      </c>
      <c r="I1415">
        <f t="shared" si="45"/>
        <v>75.400000000000006</v>
      </c>
    </row>
    <row r="1416" spans="1:9" ht="30" x14ac:dyDescent="0.25">
      <c r="A1416" s="5" t="s">
        <v>40</v>
      </c>
      <c r="B1416" s="5" t="s">
        <v>524</v>
      </c>
      <c r="C1416" s="5" t="s">
        <v>1788</v>
      </c>
      <c r="D1416" s="3">
        <f>VLOOKUP(A1416,airports!A:H,7,FALSE)</f>
        <v>35.214011110000001</v>
      </c>
      <c r="E1416" s="3">
        <f>VLOOKUP(A1416,airports!A:H,8,FALSE)</f>
        <v>-80.94312583</v>
      </c>
      <c r="F1416" s="3">
        <f>VLOOKUP(B1416,airports!A:H,7,FALSE)</f>
        <v>32.224399566700001</v>
      </c>
      <c r="G1416" s="3">
        <f>VLOOKUP(B1416,airports!A:H,8,FALSE)</f>
        <v>-80.697502136200001</v>
      </c>
      <c r="H1416">
        <f t="shared" si="44"/>
        <v>333.2</v>
      </c>
      <c r="I1416">
        <f t="shared" si="45"/>
        <v>207.1</v>
      </c>
    </row>
    <row r="1417" spans="1:9" x14ac:dyDescent="0.25">
      <c r="A1417" s="5" t="s">
        <v>40</v>
      </c>
      <c r="B1417" s="5" t="s">
        <v>360</v>
      </c>
      <c r="C1417" s="5" t="s">
        <v>1789</v>
      </c>
      <c r="D1417" s="3">
        <f>VLOOKUP(A1417,airports!A:H,7,FALSE)</f>
        <v>35.214011110000001</v>
      </c>
      <c r="E1417" s="3">
        <f>VLOOKUP(A1417,airports!A:H,8,FALSE)</f>
        <v>-80.94312583</v>
      </c>
      <c r="F1417" s="3">
        <f>VLOOKUP(B1417,airports!A:H,7,FALSE)</f>
        <v>21.31869111</v>
      </c>
      <c r="G1417" s="3">
        <f>VLOOKUP(B1417,airports!A:H,8,FALSE)</f>
        <v>-157.92240720000001</v>
      </c>
      <c r="H1417">
        <f t="shared" si="44"/>
        <v>7516.5</v>
      </c>
      <c r="I1417">
        <f t="shared" si="45"/>
        <v>4670.8</v>
      </c>
    </row>
    <row r="1418" spans="1:9" ht="30" x14ac:dyDescent="0.25">
      <c r="A1418" s="5" t="s">
        <v>40</v>
      </c>
      <c r="B1418" s="5" t="s">
        <v>205</v>
      </c>
      <c r="C1418" s="5" t="s">
        <v>1790</v>
      </c>
      <c r="D1418" s="3">
        <f>VLOOKUP(A1418,airports!A:H,7,FALSE)</f>
        <v>35.214011110000001</v>
      </c>
      <c r="E1418" s="3">
        <f>VLOOKUP(A1418,airports!A:H,8,FALSE)</f>
        <v>-80.94312583</v>
      </c>
      <c r="F1418" s="3">
        <f>VLOOKUP(B1418,airports!A:H,7,FALSE)</f>
        <v>29.64541861</v>
      </c>
      <c r="G1418" s="3">
        <f>VLOOKUP(B1418,airports!A:H,8,FALSE)</f>
        <v>-95.278888890000005</v>
      </c>
      <c r="H1418">
        <f t="shared" si="44"/>
        <v>1479.1</v>
      </c>
      <c r="I1418">
        <f t="shared" si="45"/>
        <v>919.1</v>
      </c>
    </row>
    <row r="1419" spans="1:9" ht="30" x14ac:dyDescent="0.25">
      <c r="A1419" s="5" t="s">
        <v>40</v>
      </c>
      <c r="B1419" s="5" t="s">
        <v>65</v>
      </c>
      <c r="C1419" s="5" t="s">
        <v>1791</v>
      </c>
      <c r="D1419" s="3">
        <f>VLOOKUP(A1419,airports!A:H,7,FALSE)</f>
        <v>35.214011110000001</v>
      </c>
      <c r="E1419" s="3">
        <f>VLOOKUP(A1419,airports!A:H,8,FALSE)</f>
        <v>-80.94312583</v>
      </c>
      <c r="F1419" s="3">
        <f>VLOOKUP(B1419,airports!A:H,7,FALSE)</f>
        <v>41.066957780000003</v>
      </c>
      <c r="G1419" s="3">
        <f>VLOOKUP(B1419,airports!A:H,8,FALSE)</f>
        <v>-73.707574440000002</v>
      </c>
      <c r="H1419">
        <f t="shared" si="44"/>
        <v>907.1</v>
      </c>
      <c r="I1419">
        <f t="shared" si="45"/>
        <v>563.70000000000005</v>
      </c>
    </row>
    <row r="1420" spans="1:9" x14ac:dyDescent="0.25">
      <c r="A1420" s="5" t="s">
        <v>40</v>
      </c>
      <c r="B1420" s="5" t="s">
        <v>529</v>
      </c>
      <c r="C1420" s="5" t="s">
        <v>1792</v>
      </c>
      <c r="D1420" s="3">
        <f>VLOOKUP(A1420,airports!A:H,7,FALSE)</f>
        <v>35.214011110000001</v>
      </c>
      <c r="E1420" s="3">
        <f>VLOOKUP(A1420,airports!A:H,8,FALSE)</f>
        <v>-80.94312583</v>
      </c>
      <c r="F1420" s="3">
        <f>VLOOKUP(B1420,airports!A:H,7,FALSE)</f>
        <v>34.640447500000001</v>
      </c>
      <c r="G1420" s="3">
        <f>VLOOKUP(B1420,airports!A:H,8,FALSE)</f>
        <v>-86.773109439999999</v>
      </c>
      <c r="H1420">
        <f t="shared" si="44"/>
        <v>535.20000000000005</v>
      </c>
      <c r="I1420">
        <f t="shared" si="45"/>
        <v>332.6</v>
      </c>
    </row>
    <row r="1421" spans="1:9" x14ac:dyDescent="0.25">
      <c r="A1421" s="5" t="s">
        <v>40</v>
      </c>
      <c r="B1421" s="5" t="s">
        <v>1793</v>
      </c>
      <c r="C1421" s="5" t="s">
        <v>1794</v>
      </c>
      <c r="D1421" s="3">
        <f>VLOOKUP(A1421,airports!A:H,7,FALSE)</f>
        <v>35.214011110000001</v>
      </c>
      <c r="E1421" s="3">
        <f>VLOOKUP(A1421,airports!A:H,8,FALSE)</f>
        <v>-80.94312583</v>
      </c>
      <c r="F1421" s="3">
        <f>VLOOKUP(B1421,airports!A:H,7,FALSE)</f>
        <v>38.366666670000001</v>
      </c>
      <c r="G1421" s="3">
        <f>VLOOKUP(B1421,airports!A:H,8,FALSE)</f>
        <v>-82.558027780000003</v>
      </c>
      <c r="H1421">
        <f t="shared" si="44"/>
        <v>378.9</v>
      </c>
      <c r="I1421">
        <f t="shared" si="45"/>
        <v>235.4</v>
      </c>
    </row>
    <row r="1422" spans="1:9" ht="30" x14ac:dyDescent="0.25">
      <c r="A1422" s="5" t="s">
        <v>40</v>
      </c>
      <c r="B1422" s="5" t="s">
        <v>1795</v>
      </c>
      <c r="C1422" s="5" t="s">
        <v>1796</v>
      </c>
      <c r="D1422" s="3">
        <f>VLOOKUP(A1422,airports!A:H,7,FALSE)</f>
        <v>35.214011110000001</v>
      </c>
      <c r="E1422" s="3">
        <f>VLOOKUP(A1422,airports!A:H,8,FALSE)</f>
        <v>-80.94312583</v>
      </c>
      <c r="F1422" s="3">
        <f>VLOOKUP(B1422,airports!A:H,7,FALSE)</f>
        <v>41.263698580000003</v>
      </c>
      <c r="G1422" s="3">
        <f>VLOOKUP(B1422,airports!A:H,8,FALSE)</f>
        <v>-72.886802669999994</v>
      </c>
      <c r="H1422">
        <f t="shared" si="44"/>
        <v>972.6</v>
      </c>
      <c r="I1422">
        <f t="shared" si="45"/>
        <v>604.4</v>
      </c>
    </row>
    <row r="1423" spans="1:9" x14ac:dyDescent="0.25">
      <c r="A1423" s="5" t="s">
        <v>40</v>
      </c>
      <c r="B1423" s="5" t="s">
        <v>176</v>
      </c>
      <c r="C1423" s="5" t="s">
        <v>1797</v>
      </c>
      <c r="D1423" s="3">
        <f>VLOOKUP(A1423,airports!A:H,7,FALSE)</f>
        <v>35.214011110000001</v>
      </c>
      <c r="E1423" s="3">
        <f>VLOOKUP(A1423,airports!A:H,8,FALSE)</f>
        <v>-80.94312583</v>
      </c>
      <c r="F1423" s="3">
        <f>VLOOKUP(B1423,airports!A:H,7,FALSE)</f>
        <v>38.944531939999997</v>
      </c>
      <c r="G1423" s="3">
        <f>VLOOKUP(B1423,airports!A:H,8,FALSE)</f>
        <v>-77.455809720000005</v>
      </c>
      <c r="H1423">
        <f t="shared" si="44"/>
        <v>517.4</v>
      </c>
      <c r="I1423">
        <f t="shared" si="45"/>
        <v>321.5</v>
      </c>
    </row>
    <row r="1424" spans="1:9" x14ac:dyDescent="0.25">
      <c r="A1424" s="5" t="s">
        <v>40</v>
      </c>
      <c r="B1424" s="5" t="s">
        <v>67</v>
      </c>
      <c r="C1424" s="5" t="s">
        <v>1798</v>
      </c>
      <c r="D1424" s="3">
        <f>VLOOKUP(A1424,airports!A:H,7,FALSE)</f>
        <v>35.214011110000001</v>
      </c>
      <c r="E1424" s="3">
        <f>VLOOKUP(A1424,airports!A:H,8,FALSE)</f>
        <v>-80.94312583</v>
      </c>
      <c r="F1424" s="3">
        <f>VLOOKUP(B1424,airports!A:H,7,FALSE)</f>
        <v>29.980472219999999</v>
      </c>
      <c r="G1424" s="3">
        <f>VLOOKUP(B1424,airports!A:H,8,FALSE)</f>
        <v>-95.339722219999999</v>
      </c>
      <c r="H1424">
        <f t="shared" si="44"/>
        <v>1467</v>
      </c>
      <c r="I1424">
        <f t="shared" si="45"/>
        <v>911.6</v>
      </c>
    </row>
    <row r="1425" spans="1:9" x14ac:dyDescent="0.25">
      <c r="A1425" s="5" t="s">
        <v>40</v>
      </c>
      <c r="B1425" s="5" t="s">
        <v>535</v>
      </c>
      <c r="C1425" s="5" t="s">
        <v>1799</v>
      </c>
      <c r="D1425" s="3">
        <f>VLOOKUP(A1425,airports!A:H,7,FALSE)</f>
        <v>35.214011110000001</v>
      </c>
      <c r="E1425" s="3">
        <f>VLOOKUP(A1425,airports!A:H,8,FALSE)</f>
        <v>-80.94312583</v>
      </c>
      <c r="F1425" s="3">
        <f>VLOOKUP(B1425,airports!A:H,7,FALSE)</f>
        <v>34.270611109999997</v>
      </c>
      <c r="G1425" s="3">
        <f>VLOOKUP(B1425,airports!A:H,8,FALSE)</f>
        <v>-77.902555559999996</v>
      </c>
      <c r="H1425">
        <f t="shared" si="44"/>
        <v>296.89999999999998</v>
      </c>
      <c r="I1425">
        <f t="shared" si="45"/>
        <v>184.5</v>
      </c>
    </row>
    <row r="1426" spans="1:9" x14ac:dyDescent="0.25">
      <c r="A1426" s="5" t="s">
        <v>40</v>
      </c>
      <c r="B1426" s="5" t="s">
        <v>537</v>
      </c>
      <c r="C1426" s="5" t="s">
        <v>1800</v>
      </c>
      <c r="D1426" s="3">
        <f>VLOOKUP(A1426,airports!A:H,7,FALSE)</f>
        <v>35.214011110000001</v>
      </c>
      <c r="E1426" s="3">
        <f>VLOOKUP(A1426,airports!A:H,8,FALSE)</f>
        <v>-80.94312583</v>
      </c>
      <c r="F1426" s="3">
        <f>VLOOKUP(B1426,airports!A:H,7,FALSE)</f>
        <v>39.717329169999999</v>
      </c>
      <c r="G1426" s="3">
        <f>VLOOKUP(B1426,airports!A:H,8,FALSE)</f>
        <v>-86.294384170000001</v>
      </c>
      <c r="H1426">
        <f t="shared" si="44"/>
        <v>688.1</v>
      </c>
      <c r="I1426">
        <f t="shared" si="45"/>
        <v>427.6</v>
      </c>
    </row>
    <row r="1427" spans="1:9" x14ac:dyDescent="0.25">
      <c r="A1427" s="5" t="s">
        <v>40</v>
      </c>
      <c r="B1427" s="5" t="s">
        <v>1801</v>
      </c>
      <c r="C1427" s="5" t="s">
        <v>1802</v>
      </c>
      <c r="D1427" s="3">
        <f>VLOOKUP(A1427,airports!A:H,7,FALSE)</f>
        <v>35.214011110000001</v>
      </c>
      <c r="E1427" s="3">
        <f>VLOOKUP(A1427,airports!A:H,8,FALSE)</f>
        <v>-80.94312583</v>
      </c>
      <c r="F1427" s="3">
        <f>VLOOKUP(B1427,airports!A:H,7,FALSE)</f>
        <v>41.241798400878899</v>
      </c>
      <c r="G1427" s="3">
        <f>VLOOKUP(B1427,airports!A:H,8,FALSE)</f>
        <v>-76.921096801757798</v>
      </c>
      <c r="H1427">
        <f t="shared" si="44"/>
        <v>756.5</v>
      </c>
      <c r="I1427">
        <f t="shared" si="45"/>
        <v>470.1</v>
      </c>
    </row>
    <row r="1428" spans="1:9" x14ac:dyDescent="0.25">
      <c r="A1428" s="5" t="s">
        <v>40</v>
      </c>
      <c r="B1428" s="5" t="s">
        <v>1803</v>
      </c>
      <c r="C1428" s="5" t="s">
        <v>1804</v>
      </c>
      <c r="D1428" s="3">
        <f>VLOOKUP(A1428,airports!A:H,7,FALSE)</f>
        <v>35.214011110000001</v>
      </c>
      <c r="E1428" s="3">
        <f>VLOOKUP(A1428,airports!A:H,8,FALSE)</f>
        <v>-80.94312583</v>
      </c>
      <c r="F1428" s="3">
        <f>VLOOKUP(B1428,airports!A:H,7,FALSE)</f>
        <v>42.491027780000003</v>
      </c>
      <c r="G1428" s="3">
        <f>VLOOKUP(B1428,airports!A:H,8,FALSE)</f>
        <v>-76.458444439999994</v>
      </c>
      <c r="H1428">
        <f t="shared" si="44"/>
        <v>897.2</v>
      </c>
      <c r="I1428">
        <f t="shared" si="45"/>
        <v>557.5</v>
      </c>
    </row>
    <row r="1429" spans="1:9" x14ac:dyDescent="0.25">
      <c r="A1429" s="5" t="s">
        <v>40</v>
      </c>
      <c r="B1429" s="5" t="s">
        <v>541</v>
      </c>
      <c r="C1429" s="5" t="s">
        <v>1805</v>
      </c>
      <c r="D1429" s="3">
        <f>VLOOKUP(A1429,airports!A:H,7,FALSE)</f>
        <v>35.214011110000001</v>
      </c>
      <c r="E1429" s="3">
        <f>VLOOKUP(A1429,airports!A:H,8,FALSE)</f>
        <v>-80.94312583</v>
      </c>
      <c r="F1429" s="3">
        <f>VLOOKUP(B1429,airports!A:H,7,FALSE)</f>
        <v>43.607324169999998</v>
      </c>
      <c r="G1429" s="3">
        <f>VLOOKUP(B1429,airports!A:H,8,FALSE)</f>
        <v>-110.7377389</v>
      </c>
      <c r="H1429">
        <f t="shared" si="44"/>
        <v>2706.9</v>
      </c>
      <c r="I1429">
        <f t="shared" si="45"/>
        <v>1682.1</v>
      </c>
    </row>
    <row r="1430" spans="1:9" x14ac:dyDescent="0.25">
      <c r="A1430" s="5" t="s">
        <v>40</v>
      </c>
      <c r="B1430" s="5" t="s">
        <v>543</v>
      </c>
      <c r="C1430" s="5" t="s">
        <v>1806</v>
      </c>
      <c r="D1430" s="3">
        <f>VLOOKUP(A1430,airports!A:H,7,FALSE)</f>
        <v>35.214011110000001</v>
      </c>
      <c r="E1430" s="3">
        <f>VLOOKUP(A1430,airports!A:H,8,FALSE)</f>
        <v>-80.94312583</v>
      </c>
      <c r="F1430" s="3">
        <f>VLOOKUP(B1430,airports!A:H,7,FALSE)</f>
        <v>32.311166669999999</v>
      </c>
      <c r="G1430" s="3">
        <f>VLOOKUP(B1430,airports!A:H,8,FALSE)</f>
        <v>-90.075888890000002</v>
      </c>
      <c r="H1430">
        <f t="shared" si="44"/>
        <v>903.4</v>
      </c>
      <c r="I1430">
        <f t="shared" si="45"/>
        <v>561.4</v>
      </c>
    </row>
    <row r="1431" spans="1:9" x14ac:dyDescent="0.25">
      <c r="A1431" s="5" t="s">
        <v>40</v>
      </c>
      <c r="B1431" s="5" t="s">
        <v>68</v>
      </c>
      <c r="C1431" s="5" t="s">
        <v>1807</v>
      </c>
      <c r="D1431" s="3">
        <f>VLOOKUP(A1431,airports!A:H,7,FALSE)</f>
        <v>35.214011110000001</v>
      </c>
      <c r="E1431" s="3">
        <f>VLOOKUP(A1431,airports!A:H,8,FALSE)</f>
        <v>-80.94312583</v>
      </c>
      <c r="F1431" s="3">
        <f>VLOOKUP(B1431,airports!A:H,7,FALSE)</f>
        <v>30.49405556</v>
      </c>
      <c r="G1431" s="3">
        <f>VLOOKUP(B1431,airports!A:H,8,FALSE)</f>
        <v>-81.68786111</v>
      </c>
      <c r="H1431">
        <f t="shared" si="44"/>
        <v>529.4</v>
      </c>
      <c r="I1431">
        <f t="shared" si="45"/>
        <v>329</v>
      </c>
    </row>
    <row r="1432" spans="1:9" x14ac:dyDescent="0.25">
      <c r="A1432" s="5" t="s">
        <v>40</v>
      </c>
      <c r="B1432" s="5" t="s">
        <v>69</v>
      </c>
      <c r="C1432" s="5" t="s">
        <v>1808</v>
      </c>
      <c r="D1432" s="3">
        <f>VLOOKUP(A1432,airports!A:H,7,FALSE)</f>
        <v>35.214011110000001</v>
      </c>
      <c r="E1432" s="3">
        <f>VLOOKUP(A1432,airports!A:H,8,FALSE)</f>
        <v>-80.94312583</v>
      </c>
      <c r="F1432" s="3">
        <f>VLOOKUP(B1432,airports!A:H,7,FALSE)</f>
        <v>40.639751109999999</v>
      </c>
      <c r="G1432" s="3">
        <f>VLOOKUP(B1432,airports!A:H,8,FALSE)</f>
        <v>-73.778925560000005</v>
      </c>
      <c r="H1432">
        <f t="shared" si="44"/>
        <v>870.5</v>
      </c>
      <c r="I1432">
        <f t="shared" si="45"/>
        <v>541</v>
      </c>
    </row>
    <row r="1433" spans="1:9" x14ac:dyDescent="0.25">
      <c r="A1433" s="5" t="s">
        <v>40</v>
      </c>
      <c r="B1433" s="5" t="s">
        <v>71</v>
      </c>
      <c r="C1433" s="5" t="s">
        <v>1809</v>
      </c>
      <c r="D1433" s="3">
        <f>VLOOKUP(A1433,airports!A:H,7,FALSE)</f>
        <v>35.214011110000001</v>
      </c>
      <c r="E1433" s="3">
        <f>VLOOKUP(A1433,airports!A:H,8,FALSE)</f>
        <v>-80.94312583</v>
      </c>
      <c r="F1433" s="3">
        <f>VLOOKUP(B1433,airports!A:H,7,FALSE)</f>
        <v>36.080361109999998</v>
      </c>
      <c r="G1433" s="3">
        <f>VLOOKUP(B1433,airports!A:H,8,FALSE)</f>
        <v>-115.1523333</v>
      </c>
      <c r="H1433">
        <f t="shared" si="44"/>
        <v>3076.6</v>
      </c>
      <c r="I1433">
        <f t="shared" si="45"/>
        <v>1911.8</v>
      </c>
    </row>
    <row r="1434" spans="1:9" x14ac:dyDescent="0.25">
      <c r="A1434" s="5" t="s">
        <v>40</v>
      </c>
      <c r="B1434" s="5" t="s">
        <v>73</v>
      </c>
      <c r="C1434" s="5" t="s">
        <v>1810</v>
      </c>
      <c r="D1434" s="3">
        <f>VLOOKUP(A1434,airports!A:H,7,FALSE)</f>
        <v>35.214011110000001</v>
      </c>
      <c r="E1434" s="3">
        <f>VLOOKUP(A1434,airports!A:H,8,FALSE)</f>
        <v>-80.94312583</v>
      </c>
      <c r="F1434" s="3">
        <f>VLOOKUP(B1434,airports!A:H,7,FALSE)</f>
        <v>33.942536109999999</v>
      </c>
      <c r="G1434" s="3">
        <f>VLOOKUP(B1434,airports!A:H,8,FALSE)</f>
        <v>-118.4080744</v>
      </c>
      <c r="H1434">
        <f t="shared" si="44"/>
        <v>3412.5</v>
      </c>
      <c r="I1434">
        <f t="shared" si="45"/>
        <v>2120.6</v>
      </c>
    </row>
    <row r="1435" spans="1:9" x14ac:dyDescent="0.25">
      <c r="A1435" s="5" t="s">
        <v>40</v>
      </c>
      <c r="B1435" s="5" t="s">
        <v>549</v>
      </c>
      <c r="C1435" s="5" t="s">
        <v>1811</v>
      </c>
      <c r="D1435" s="3">
        <f>VLOOKUP(A1435,airports!A:H,7,FALSE)</f>
        <v>35.214011110000001</v>
      </c>
      <c r="E1435" s="3">
        <f>VLOOKUP(A1435,airports!A:H,8,FALSE)</f>
        <v>-80.94312583</v>
      </c>
      <c r="F1435" s="3">
        <f>VLOOKUP(B1435,airports!A:H,7,FALSE)</f>
        <v>38.036972220000003</v>
      </c>
      <c r="G1435" s="3">
        <f>VLOOKUP(B1435,airports!A:H,8,FALSE)</f>
        <v>-84.60538889</v>
      </c>
      <c r="H1435">
        <f t="shared" si="44"/>
        <v>453.1</v>
      </c>
      <c r="I1435">
        <f t="shared" si="45"/>
        <v>281.5</v>
      </c>
    </row>
    <row r="1436" spans="1:9" x14ac:dyDescent="0.25">
      <c r="A1436" s="5" t="s">
        <v>40</v>
      </c>
      <c r="B1436" s="5" t="s">
        <v>551</v>
      </c>
      <c r="C1436" s="5" t="s">
        <v>1812</v>
      </c>
      <c r="D1436" s="3">
        <f>VLOOKUP(A1436,airports!A:H,7,FALSE)</f>
        <v>35.214011110000001</v>
      </c>
      <c r="E1436" s="3">
        <f>VLOOKUP(A1436,airports!A:H,8,FALSE)</f>
        <v>-80.94312583</v>
      </c>
      <c r="F1436" s="3">
        <f>VLOOKUP(B1436,airports!A:H,7,FALSE)</f>
        <v>30.20527972</v>
      </c>
      <c r="G1436" s="3">
        <f>VLOOKUP(B1436,airports!A:H,8,FALSE)</f>
        <v>-91.987655000000004</v>
      </c>
      <c r="H1436">
        <f t="shared" si="44"/>
        <v>1172.8</v>
      </c>
      <c r="I1436">
        <f t="shared" si="45"/>
        <v>728.8</v>
      </c>
    </row>
    <row r="1437" spans="1:9" x14ac:dyDescent="0.25">
      <c r="A1437" s="5" t="s">
        <v>40</v>
      </c>
      <c r="B1437" s="5" t="s">
        <v>74</v>
      </c>
      <c r="C1437" s="5" t="s">
        <v>1813</v>
      </c>
      <c r="D1437" s="3">
        <f>VLOOKUP(A1437,airports!A:H,7,FALSE)</f>
        <v>35.214011110000001</v>
      </c>
      <c r="E1437" s="3">
        <f>VLOOKUP(A1437,airports!A:H,8,FALSE)</f>
        <v>-80.94312583</v>
      </c>
      <c r="F1437" s="3">
        <f>VLOOKUP(B1437,airports!A:H,7,FALSE)</f>
        <v>40.777243060000004</v>
      </c>
      <c r="G1437" s="3">
        <f>VLOOKUP(B1437,airports!A:H,8,FALSE)</f>
        <v>-73.872609170000004</v>
      </c>
      <c r="H1437">
        <f t="shared" si="44"/>
        <v>874.9</v>
      </c>
      <c r="I1437">
        <f t="shared" si="45"/>
        <v>543.70000000000005</v>
      </c>
    </row>
    <row r="1438" spans="1:9" x14ac:dyDescent="0.25">
      <c r="A1438" s="5" t="s">
        <v>40</v>
      </c>
      <c r="B1438" s="5" t="s">
        <v>554</v>
      </c>
      <c r="C1438" s="5" t="s">
        <v>1814</v>
      </c>
      <c r="D1438" s="3">
        <f>VLOOKUP(A1438,airports!A:H,7,FALSE)</f>
        <v>35.214011110000001</v>
      </c>
      <c r="E1438" s="3">
        <f>VLOOKUP(A1438,airports!A:H,8,FALSE)</f>
        <v>-80.94312583</v>
      </c>
      <c r="F1438" s="3">
        <f>VLOOKUP(B1438,airports!A:H,7,FALSE)</f>
        <v>34.729396110000003</v>
      </c>
      <c r="G1438" s="3">
        <f>VLOOKUP(B1438,airports!A:H,8,FALSE)</f>
        <v>-92.22424556</v>
      </c>
      <c r="H1438">
        <f t="shared" si="44"/>
        <v>1028.8</v>
      </c>
      <c r="I1438">
        <f t="shared" si="45"/>
        <v>639.29999999999995</v>
      </c>
    </row>
    <row r="1439" spans="1:9" x14ac:dyDescent="0.25">
      <c r="A1439" s="5" t="s">
        <v>40</v>
      </c>
      <c r="B1439" s="5" t="s">
        <v>1815</v>
      </c>
      <c r="C1439" s="5" t="s">
        <v>1816</v>
      </c>
      <c r="D1439" s="3">
        <f>VLOOKUP(A1439,airports!A:H,7,FALSE)</f>
        <v>35.214011110000001</v>
      </c>
      <c r="E1439" s="3">
        <f>VLOOKUP(A1439,airports!A:H,8,FALSE)</f>
        <v>-80.94312583</v>
      </c>
      <c r="F1439" s="3">
        <f>VLOOKUP(B1439,airports!A:H,7,FALSE)</f>
        <v>37.32668528</v>
      </c>
      <c r="G1439" s="3">
        <f>VLOOKUP(B1439,airports!A:H,8,FALSE)</f>
        <v>-79.200430560000001</v>
      </c>
      <c r="H1439">
        <f t="shared" si="44"/>
        <v>282.10000000000002</v>
      </c>
      <c r="I1439">
        <f t="shared" si="45"/>
        <v>175.3</v>
      </c>
    </row>
    <row r="1440" spans="1:9" x14ac:dyDescent="0.25">
      <c r="A1440" s="5" t="s">
        <v>40</v>
      </c>
      <c r="B1440" s="5" t="s">
        <v>80</v>
      </c>
      <c r="C1440" s="5" t="s">
        <v>1817</v>
      </c>
      <c r="D1440" s="3">
        <f>VLOOKUP(A1440,airports!A:H,7,FALSE)</f>
        <v>35.214011110000001</v>
      </c>
      <c r="E1440" s="3">
        <f>VLOOKUP(A1440,airports!A:H,8,FALSE)</f>
        <v>-80.94312583</v>
      </c>
      <c r="F1440" s="3">
        <f>VLOOKUP(B1440,airports!A:H,7,FALSE)</f>
        <v>39.297605279999999</v>
      </c>
      <c r="G1440" s="3">
        <f>VLOOKUP(B1440,airports!A:H,8,FALSE)</f>
        <v>-94.713905560000001</v>
      </c>
      <c r="H1440">
        <f t="shared" si="44"/>
        <v>1298.9000000000001</v>
      </c>
      <c r="I1440">
        <f t="shared" si="45"/>
        <v>807.2</v>
      </c>
    </row>
    <row r="1441" spans="1:9" ht="30" x14ac:dyDescent="0.25">
      <c r="A1441" s="5" t="s">
        <v>40</v>
      </c>
      <c r="B1441" s="5" t="s">
        <v>82</v>
      </c>
      <c r="C1441" s="5" t="s">
        <v>1818</v>
      </c>
      <c r="D1441" s="3">
        <f>VLOOKUP(A1441,airports!A:H,7,FALSE)</f>
        <v>35.214011110000001</v>
      </c>
      <c r="E1441" s="3">
        <f>VLOOKUP(A1441,airports!A:H,8,FALSE)</f>
        <v>-80.94312583</v>
      </c>
      <c r="F1441" s="3">
        <f>VLOOKUP(B1441,airports!A:H,7,FALSE)</f>
        <v>28.42888889</v>
      </c>
      <c r="G1441" s="3">
        <f>VLOOKUP(B1441,airports!A:H,8,FALSE)</f>
        <v>-81.316027779999999</v>
      </c>
      <c r="H1441">
        <f t="shared" si="44"/>
        <v>755.3</v>
      </c>
      <c r="I1441">
        <f t="shared" si="45"/>
        <v>469.3</v>
      </c>
    </row>
    <row r="1442" spans="1:9" ht="30" x14ac:dyDescent="0.25">
      <c r="A1442" s="5" t="s">
        <v>40</v>
      </c>
      <c r="B1442" s="5" t="s">
        <v>178</v>
      </c>
      <c r="C1442" s="5" t="s">
        <v>1819</v>
      </c>
      <c r="D1442" s="3">
        <f>VLOOKUP(A1442,airports!A:H,7,FALSE)</f>
        <v>35.214011110000001</v>
      </c>
      <c r="E1442" s="3">
        <f>VLOOKUP(A1442,airports!A:H,8,FALSE)</f>
        <v>-80.94312583</v>
      </c>
      <c r="F1442" s="3">
        <f>VLOOKUP(B1442,airports!A:H,7,FALSE)</f>
        <v>40.19349528</v>
      </c>
      <c r="G1442" s="3">
        <f>VLOOKUP(B1442,airports!A:H,8,FALSE)</f>
        <v>-76.763403609999997</v>
      </c>
      <c r="H1442">
        <f t="shared" si="44"/>
        <v>664.5</v>
      </c>
      <c r="I1442">
        <f t="shared" si="45"/>
        <v>412.9</v>
      </c>
    </row>
    <row r="1443" spans="1:9" ht="30" x14ac:dyDescent="0.25">
      <c r="A1443" s="5" t="s">
        <v>40</v>
      </c>
      <c r="B1443" s="5" t="s">
        <v>180</v>
      </c>
      <c r="C1443" s="5" t="s">
        <v>1820</v>
      </c>
      <c r="D1443" s="3">
        <f>VLOOKUP(A1443,airports!A:H,7,FALSE)</f>
        <v>35.214011110000001</v>
      </c>
      <c r="E1443" s="3">
        <f>VLOOKUP(A1443,airports!A:H,8,FALSE)</f>
        <v>-80.94312583</v>
      </c>
      <c r="F1443" s="3">
        <f>VLOOKUP(B1443,airports!A:H,7,FALSE)</f>
        <v>41.785982500000003</v>
      </c>
      <c r="G1443" s="3">
        <f>VLOOKUP(B1443,airports!A:H,8,FALSE)</f>
        <v>-87.752424439999999</v>
      </c>
      <c r="H1443">
        <f t="shared" si="44"/>
        <v>940.1</v>
      </c>
      <c r="I1443">
        <f t="shared" si="45"/>
        <v>584.20000000000005</v>
      </c>
    </row>
    <row r="1444" spans="1:9" ht="30" x14ac:dyDescent="0.25">
      <c r="A1444" s="5" t="s">
        <v>40</v>
      </c>
      <c r="B1444" s="5" t="s">
        <v>563</v>
      </c>
      <c r="C1444" s="5" t="s">
        <v>1821</v>
      </c>
      <c r="D1444" s="3">
        <f>VLOOKUP(A1444,airports!A:H,7,FALSE)</f>
        <v>35.214011110000001</v>
      </c>
      <c r="E1444" s="3">
        <f>VLOOKUP(A1444,airports!A:H,8,FALSE)</f>
        <v>-80.94312583</v>
      </c>
      <c r="F1444" s="3">
        <f>VLOOKUP(B1444,airports!A:H,7,FALSE)</f>
        <v>35.042416670000001</v>
      </c>
      <c r="G1444" s="3">
        <f>VLOOKUP(B1444,airports!A:H,8,FALSE)</f>
        <v>-89.97666667</v>
      </c>
      <c r="H1444">
        <f t="shared" si="44"/>
        <v>821.5</v>
      </c>
      <c r="I1444">
        <f t="shared" si="45"/>
        <v>510.5</v>
      </c>
    </row>
    <row r="1445" spans="1:9" ht="30" x14ac:dyDescent="0.25">
      <c r="A1445" s="5" t="s">
        <v>40</v>
      </c>
      <c r="B1445" s="5" t="s">
        <v>565</v>
      </c>
      <c r="C1445" s="5" t="s">
        <v>1822</v>
      </c>
      <c r="D1445" s="3">
        <f>VLOOKUP(A1445,airports!A:H,7,FALSE)</f>
        <v>35.214011110000001</v>
      </c>
      <c r="E1445" s="3">
        <f>VLOOKUP(A1445,airports!A:H,8,FALSE)</f>
        <v>-80.94312583</v>
      </c>
      <c r="F1445" s="3">
        <f>VLOOKUP(B1445,airports!A:H,7,FALSE)</f>
        <v>32.300644169999998</v>
      </c>
      <c r="G1445" s="3">
        <f>VLOOKUP(B1445,airports!A:H,8,FALSE)</f>
        <v>-86.393976109999997</v>
      </c>
      <c r="H1445">
        <f t="shared" si="44"/>
        <v>598.9</v>
      </c>
      <c r="I1445">
        <f t="shared" si="45"/>
        <v>372.2</v>
      </c>
    </row>
    <row r="1446" spans="1:9" ht="30" x14ac:dyDescent="0.25">
      <c r="A1446" s="5" t="s">
        <v>40</v>
      </c>
      <c r="B1446" s="5" t="s">
        <v>567</v>
      </c>
      <c r="C1446" s="5" t="s">
        <v>1823</v>
      </c>
      <c r="D1446" s="3">
        <f>VLOOKUP(A1446,airports!A:H,7,FALSE)</f>
        <v>35.214011110000001</v>
      </c>
      <c r="E1446" s="3">
        <f>VLOOKUP(A1446,airports!A:H,8,FALSE)</f>
        <v>-80.94312583</v>
      </c>
      <c r="F1446" s="3">
        <f>VLOOKUP(B1446,airports!A:H,7,FALSE)</f>
        <v>42.934516389999999</v>
      </c>
      <c r="G1446" s="3">
        <f>VLOOKUP(B1446,airports!A:H,8,FALSE)</f>
        <v>-71.437055830000006</v>
      </c>
      <c r="H1446">
        <f t="shared" si="44"/>
        <v>1186.0999999999999</v>
      </c>
      <c r="I1446">
        <f t="shared" si="45"/>
        <v>737</v>
      </c>
    </row>
    <row r="1447" spans="1:9" x14ac:dyDescent="0.25">
      <c r="A1447" s="5" t="s">
        <v>40</v>
      </c>
      <c r="B1447" s="5" t="s">
        <v>84</v>
      </c>
      <c r="C1447" s="5" t="s">
        <v>1824</v>
      </c>
      <c r="D1447" s="3">
        <f>VLOOKUP(A1447,airports!A:H,7,FALSE)</f>
        <v>35.214011110000001</v>
      </c>
      <c r="E1447" s="3">
        <f>VLOOKUP(A1447,airports!A:H,8,FALSE)</f>
        <v>-80.94312583</v>
      </c>
      <c r="F1447" s="3">
        <f>VLOOKUP(B1447,airports!A:H,7,FALSE)</f>
        <v>25.79325</v>
      </c>
      <c r="G1447" s="3">
        <f>VLOOKUP(B1447,airports!A:H,8,FALSE)</f>
        <v>-80.290555560000001</v>
      </c>
      <c r="H1447">
        <f t="shared" si="44"/>
        <v>1049.4000000000001</v>
      </c>
      <c r="I1447">
        <f t="shared" si="45"/>
        <v>652.1</v>
      </c>
    </row>
    <row r="1448" spans="1:9" ht="30" x14ac:dyDescent="0.25">
      <c r="A1448" s="5" t="s">
        <v>40</v>
      </c>
      <c r="B1448" s="5" t="s">
        <v>85</v>
      </c>
      <c r="C1448" s="5" t="s">
        <v>1825</v>
      </c>
      <c r="D1448" s="3">
        <f>VLOOKUP(A1448,airports!A:H,7,FALSE)</f>
        <v>35.214011110000001</v>
      </c>
      <c r="E1448" s="3">
        <f>VLOOKUP(A1448,airports!A:H,8,FALSE)</f>
        <v>-80.94312583</v>
      </c>
      <c r="F1448" s="3">
        <f>VLOOKUP(B1448,airports!A:H,7,FALSE)</f>
        <v>42.94722222</v>
      </c>
      <c r="G1448" s="3">
        <f>VLOOKUP(B1448,airports!A:H,8,FALSE)</f>
        <v>-87.896583329999999</v>
      </c>
      <c r="H1448">
        <f t="shared" si="44"/>
        <v>1047.8</v>
      </c>
      <c r="I1448">
        <f t="shared" si="45"/>
        <v>651.1</v>
      </c>
    </row>
    <row r="1449" spans="1:9" ht="30" x14ac:dyDescent="0.25">
      <c r="A1449" s="5" t="s">
        <v>40</v>
      </c>
      <c r="B1449" s="5" t="s">
        <v>571</v>
      </c>
      <c r="C1449" s="5" t="s">
        <v>1826</v>
      </c>
      <c r="D1449" s="3">
        <f>VLOOKUP(A1449,airports!A:H,7,FALSE)</f>
        <v>35.214011110000001</v>
      </c>
      <c r="E1449" s="3">
        <f>VLOOKUP(A1449,airports!A:H,8,FALSE)</f>
        <v>-80.94312583</v>
      </c>
      <c r="F1449" s="3">
        <f>VLOOKUP(B1449,airports!A:H,7,FALSE)</f>
        <v>28.10275</v>
      </c>
      <c r="G1449" s="3">
        <f>VLOOKUP(B1449,airports!A:H,8,FALSE)</f>
        <v>-80.645805559999999</v>
      </c>
      <c r="H1449">
        <f t="shared" si="44"/>
        <v>791.2</v>
      </c>
      <c r="I1449">
        <f t="shared" si="45"/>
        <v>491.7</v>
      </c>
    </row>
    <row r="1450" spans="1:9" ht="30" x14ac:dyDescent="0.25">
      <c r="A1450" s="5" t="s">
        <v>40</v>
      </c>
      <c r="B1450" s="5" t="s">
        <v>577</v>
      </c>
      <c r="C1450" s="5" t="s">
        <v>1827</v>
      </c>
      <c r="D1450" s="3">
        <f>VLOOKUP(A1450,airports!A:H,7,FALSE)</f>
        <v>35.214011110000001</v>
      </c>
      <c r="E1450" s="3">
        <f>VLOOKUP(A1450,airports!A:H,8,FALSE)</f>
        <v>-80.94312583</v>
      </c>
      <c r="F1450" s="3">
        <f>VLOOKUP(B1450,airports!A:H,7,FALSE)</f>
        <v>30.691416669999999</v>
      </c>
      <c r="G1450" s="3">
        <f>VLOOKUP(B1450,airports!A:H,8,FALSE)</f>
        <v>-88.242833329999996</v>
      </c>
      <c r="H1450">
        <f t="shared" si="44"/>
        <v>846.2</v>
      </c>
      <c r="I1450">
        <f t="shared" si="45"/>
        <v>525.79999999999995</v>
      </c>
    </row>
    <row r="1451" spans="1:9" ht="30" x14ac:dyDescent="0.25">
      <c r="A1451" s="5" t="s">
        <v>40</v>
      </c>
      <c r="B1451" s="5" t="s">
        <v>579</v>
      </c>
      <c r="C1451" s="5" t="s">
        <v>1828</v>
      </c>
      <c r="D1451" s="3">
        <f>VLOOKUP(A1451,airports!A:H,7,FALSE)</f>
        <v>35.214011110000001</v>
      </c>
      <c r="E1451" s="3">
        <f>VLOOKUP(A1451,airports!A:H,8,FALSE)</f>
        <v>-80.94312583</v>
      </c>
      <c r="F1451" s="3">
        <f>VLOOKUP(B1451,airports!A:H,7,FALSE)</f>
        <v>43.13985778</v>
      </c>
      <c r="G1451" s="3">
        <f>VLOOKUP(B1451,airports!A:H,8,FALSE)</f>
        <v>-89.337513610000002</v>
      </c>
      <c r="H1451">
        <f t="shared" si="44"/>
        <v>1139</v>
      </c>
      <c r="I1451">
        <f t="shared" si="45"/>
        <v>707.8</v>
      </c>
    </row>
    <row r="1452" spans="1:9" ht="30" x14ac:dyDescent="0.25">
      <c r="A1452" s="5" t="s">
        <v>40</v>
      </c>
      <c r="B1452" s="5" t="s">
        <v>87</v>
      </c>
      <c r="C1452" s="5" t="s">
        <v>1829</v>
      </c>
      <c r="D1452" s="3">
        <f>VLOOKUP(A1452,airports!A:H,7,FALSE)</f>
        <v>35.214011110000001</v>
      </c>
      <c r="E1452" s="3">
        <f>VLOOKUP(A1452,airports!A:H,8,FALSE)</f>
        <v>-80.94312583</v>
      </c>
      <c r="F1452" s="3">
        <f>VLOOKUP(B1452,airports!A:H,7,FALSE)</f>
        <v>44.880546940000002</v>
      </c>
      <c r="G1452" s="3">
        <f>VLOOKUP(B1452,airports!A:H,8,FALSE)</f>
        <v>-93.216922499999995</v>
      </c>
      <c r="H1452">
        <f t="shared" si="44"/>
        <v>1495.7</v>
      </c>
      <c r="I1452">
        <f t="shared" si="45"/>
        <v>929.4</v>
      </c>
    </row>
    <row r="1453" spans="1:9" ht="30" x14ac:dyDescent="0.25">
      <c r="A1453" s="5" t="s">
        <v>40</v>
      </c>
      <c r="B1453" s="5" t="s">
        <v>89</v>
      </c>
      <c r="C1453" s="5" t="s">
        <v>1830</v>
      </c>
      <c r="D1453" s="3">
        <f>VLOOKUP(A1453,airports!A:H,7,FALSE)</f>
        <v>35.214011110000001</v>
      </c>
      <c r="E1453" s="3">
        <f>VLOOKUP(A1453,airports!A:H,8,FALSE)</f>
        <v>-80.94312583</v>
      </c>
      <c r="F1453" s="3">
        <f>VLOOKUP(B1453,airports!A:H,7,FALSE)</f>
        <v>29.993388889999999</v>
      </c>
      <c r="G1453" s="3">
        <f>VLOOKUP(B1453,airports!A:H,8,FALSE)</f>
        <v>-90.258027780000006</v>
      </c>
      <c r="H1453">
        <f t="shared" si="44"/>
        <v>1047.2</v>
      </c>
      <c r="I1453">
        <f t="shared" si="45"/>
        <v>650.79999999999995</v>
      </c>
    </row>
    <row r="1454" spans="1:9" x14ac:dyDescent="0.25">
      <c r="A1454" s="5" t="s">
        <v>40</v>
      </c>
      <c r="B1454" s="5" t="s">
        <v>91</v>
      </c>
      <c r="C1454" s="5" t="s">
        <v>1831</v>
      </c>
      <c r="D1454" s="3">
        <f>VLOOKUP(A1454,airports!A:H,7,FALSE)</f>
        <v>35.214011110000001</v>
      </c>
      <c r="E1454" s="3">
        <f>VLOOKUP(A1454,airports!A:H,8,FALSE)</f>
        <v>-80.94312583</v>
      </c>
      <c r="F1454" s="3">
        <f>VLOOKUP(B1454,airports!A:H,7,FALSE)</f>
        <v>38.508867219999999</v>
      </c>
      <c r="G1454" s="3">
        <f>VLOOKUP(B1454,airports!A:H,8,FALSE)</f>
        <v>-107.8938333</v>
      </c>
      <c r="H1454">
        <f t="shared" si="44"/>
        <v>2416.6999999999998</v>
      </c>
      <c r="I1454">
        <f t="shared" si="45"/>
        <v>1501.7</v>
      </c>
    </row>
    <row r="1455" spans="1:9" ht="30" x14ac:dyDescent="0.25">
      <c r="A1455" s="5" t="s">
        <v>40</v>
      </c>
      <c r="B1455" s="5" t="s">
        <v>92</v>
      </c>
      <c r="C1455" s="5" t="s">
        <v>1832</v>
      </c>
      <c r="D1455" s="3">
        <f>VLOOKUP(A1455,airports!A:H,7,FALSE)</f>
        <v>35.214011110000001</v>
      </c>
      <c r="E1455" s="3">
        <f>VLOOKUP(A1455,airports!A:H,8,FALSE)</f>
        <v>-80.94312583</v>
      </c>
      <c r="F1455" s="3">
        <f>VLOOKUP(B1455,airports!A:H,7,FALSE)</f>
        <v>41.393025829999999</v>
      </c>
      <c r="G1455" s="3">
        <f>VLOOKUP(B1455,airports!A:H,8,FALSE)</f>
        <v>-70.614332500000003</v>
      </c>
      <c r="H1455">
        <f t="shared" si="44"/>
        <v>1131.9000000000001</v>
      </c>
      <c r="I1455">
        <f t="shared" si="45"/>
        <v>703.4</v>
      </c>
    </row>
    <row r="1456" spans="1:9" ht="30" x14ac:dyDescent="0.25">
      <c r="A1456" s="5" t="s">
        <v>40</v>
      </c>
      <c r="B1456" s="5" t="s">
        <v>182</v>
      </c>
      <c r="C1456" s="5" t="s">
        <v>1833</v>
      </c>
      <c r="D1456" s="3">
        <f>VLOOKUP(A1456,airports!A:H,7,FALSE)</f>
        <v>35.214011110000001</v>
      </c>
      <c r="E1456" s="3">
        <f>VLOOKUP(A1456,airports!A:H,8,FALSE)</f>
        <v>-80.94312583</v>
      </c>
      <c r="F1456" s="3">
        <f>VLOOKUP(B1456,airports!A:H,7,FALSE)</f>
        <v>33.679749999999999</v>
      </c>
      <c r="G1456" s="3">
        <f>VLOOKUP(B1456,airports!A:H,8,FALSE)</f>
        <v>-78.928333330000001</v>
      </c>
      <c r="H1456">
        <f t="shared" si="44"/>
        <v>251.5</v>
      </c>
      <c r="I1456">
        <f t="shared" si="45"/>
        <v>156.30000000000001</v>
      </c>
    </row>
    <row r="1457" spans="1:9" x14ac:dyDescent="0.25">
      <c r="A1457" s="5" t="s">
        <v>40</v>
      </c>
      <c r="B1457" s="5" t="s">
        <v>587</v>
      </c>
      <c r="C1457" s="5" t="s">
        <v>1834</v>
      </c>
      <c r="D1457" s="3">
        <f>VLOOKUP(A1457,airports!A:H,7,FALSE)</f>
        <v>35.214011110000001</v>
      </c>
      <c r="E1457" s="3">
        <f>VLOOKUP(A1457,airports!A:H,8,FALSE)</f>
        <v>-80.94312583</v>
      </c>
      <c r="F1457" s="3">
        <f>VLOOKUP(B1457,airports!A:H,7,FALSE)</f>
        <v>34.82916444</v>
      </c>
      <c r="G1457" s="3">
        <f>VLOOKUP(B1457,airports!A:H,8,FALSE)</f>
        <v>-77.612137779999998</v>
      </c>
      <c r="H1457">
        <f t="shared" si="44"/>
        <v>306.3</v>
      </c>
      <c r="I1457">
        <f t="shared" si="45"/>
        <v>190.3</v>
      </c>
    </row>
    <row r="1458" spans="1:9" ht="30" x14ac:dyDescent="0.25">
      <c r="A1458" s="5" t="s">
        <v>40</v>
      </c>
      <c r="B1458" s="5" t="s">
        <v>590</v>
      </c>
      <c r="C1458" s="5" t="s">
        <v>1835</v>
      </c>
      <c r="D1458" s="3">
        <f>VLOOKUP(A1458,airports!A:H,7,FALSE)</f>
        <v>35.214011110000001</v>
      </c>
      <c r="E1458" s="3">
        <f>VLOOKUP(A1458,airports!A:H,8,FALSE)</f>
        <v>-80.94312583</v>
      </c>
      <c r="F1458" s="3">
        <f>VLOOKUP(B1458,airports!A:H,7,FALSE)</f>
        <v>35.393088329999998</v>
      </c>
      <c r="G1458" s="3">
        <f>VLOOKUP(B1458,airports!A:H,8,FALSE)</f>
        <v>-97.600733890000001</v>
      </c>
      <c r="H1458">
        <f t="shared" si="44"/>
        <v>1510</v>
      </c>
      <c r="I1458">
        <f t="shared" si="45"/>
        <v>938.3</v>
      </c>
    </row>
    <row r="1459" spans="1:9" ht="30" x14ac:dyDescent="0.25">
      <c r="A1459" s="5" t="s">
        <v>40</v>
      </c>
      <c r="B1459" s="5" t="s">
        <v>592</v>
      </c>
      <c r="C1459" s="5" t="s">
        <v>1836</v>
      </c>
      <c r="D1459" s="3">
        <f>VLOOKUP(A1459,airports!A:H,7,FALSE)</f>
        <v>35.214011110000001</v>
      </c>
      <c r="E1459" s="3">
        <f>VLOOKUP(A1459,airports!A:H,8,FALSE)</f>
        <v>-80.94312583</v>
      </c>
      <c r="F1459" s="3">
        <f>VLOOKUP(B1459,airports!A:H,7,FALSE)</f>
        <v>41.30251861</v>
      </c>
      <c r="G1459" s="3">
        <f>VLOOKUP(B1459,airports!A:H,8,FALSE)</f>
        <v>-95.89417306</v>
      </c>
      <c r="H1459">
        <f t="shared" si="44"/>
        <v>1467.7</v>
      </c>
      <c r="I1459">
        <f t="shared" si="45"/>
        <v>912</v>
      </c>
    </row>
    <row r="1460" spans="1:9" ht="30" x14ac:dyDescent="0.25">
      <c r="A1460" s="5" t="s">
        <v>40</v>
      </c>
      <c r="B1460" s="5" t="s">
        <v>94</v>
      </c>
      <c r="C1460" s="5" t="s">
        <v>1837</v>
      </c>
      <c r="D1460" s="3">
        <f>VLOOKUP(A1460,airports!A:H,7,FALSE)</f>
        <v>35.214011110000001</v>
      </c>
      <c r="E1460" s="3">
        <f>VLOOKUP(A1460,airports!A:H,8,FALSE)</f>
        <v>-80.94312583</v>
      </c>
      <c r="F1460" s="3">
        <f>VLOOKUP(B1460,airports!A:H,7,FALSE)</f>
        <v>34.055999999999997</v>
      </c>
      <c r="G1460" s="3">
        <f>VLOOKUP(B1460,airports!A:H,8,FALSE)</f>
        <v>-117.6011944</v>
      </c>
      <c r="H1460">
        <f t="shared" si="44"/>
        <v>3337.2</v>
      </c>
      <c r="I1460">
        <f t="shared" si="45"/>
        <v>2073.8000000000002</v>
      </c>
    </row>
    <row r="1461" spans="1:9" ht="30" x14ac:dyDescent="0.25">
      <c r="A1461" s="5" t="s">
        <v>40</v>
      </c>
      <c r="B1461" s="5" t="s">
        <v>95</v>
      </c>
      <c r="C1461" s="5" t="s">
        <v>1838</v>
      </c>
      <c r="D1461" s="3">
        <f>VLOOKUP(A1461,airports!A:H,7,FALSE)</f>
        <v>35.214011110000001</v>
      </c>
      <c r="E1461" s="3">
        <f>VLOOKUP(A1461,airports!A:H,8,FALSE)</f>
        <v>-80.94312583</v>
      </c>
      <c r="F1461" s="3">
        <f>VLOOKUP(B1461,airports!A:H,7,FALSE)</f>
        <v>41.979595000000003</v>
      </c>
      <c r="G1461" s="3">
        <f>VLOOKUP(B1461,airports!A:H,8,FALSE)</f>
        <v>-87.904464169999997</v>
      </c>
      <c r="H1461">
        <f t="shared" si="44"/>
        <v>964.6</v>
      </c>
      <c r="I1461">
        <f t="shared" si="45"/>
        <v>599.4</v>
      </c>
    </row>
    <row r="1462" spans="1:9" x14ac:dyDescent="0.25">
      <c r="A1462" s="5" t="s">
        <v>40</v>
      </c>
      <c r="B1462" s="5" t="s">
        <v>596</v>
      </c>
      <c r="C1462" s="5" t="s">
        <v>1839</v>
      </c>
      <c r="D1462" s="3">
        <f>VLOOKUP(A1462,airports!A:H,7,FALSE)</f>
        <v>35.214011110000001</v>
      </c>
      <c r="E1462" s="3">
        <f>VLOOKUP(A1462,airports!A:H,8,FALSE)</f>
        <v>-80.94312583</v>
      </c>
      <c r="F1462" s="3">
        <f>VLOOKUP(B1462,airports!A:H,7,FALSE)</f>
        <v>36.89461111</v>
      </c>
      <c r="G1462" s="3">
        <f>VLOOKUP(B1462,airports!A:H,8,FALSE)</f>
        <v>-76.201222220000005</v>
      </c>
      <c r="H1462">
        <f t="shared" si="44"/>
        <v>465.4</v>
      </c>
      <c r="I1462">
        <f t="shared" si="45"/>
        <v>289.2</v>
      </c>
    </row>
    <row r="1463" spans="1:9" x14ac:dyDescent="0.25">
      <c r="A1463" s="5" t="s">
        <v>40</v>
      </c>
      <c r="B1463" s="5" t="s">
        <v>99</v>
      </c>
      <c r="C1463" s="5" t="s">
        <v>1840</v>
      </c>
      <c r="D1463" s="3">
        <f>VLOOKUP(A1463,airports!A:H,7,FALSE)</f>
        <v>35.214011110000001</v>
      </c>
      <c r="E1463" s="3">
        <f>VLOOKUP(A1463,airports!A:H,8,FALSE)</f>
        <v>-80.94312583</v>
      </c>
      <c r="F1463" s="3">
        <f>VLOOKUP(B1463,airports!A:H,7,FALSE)</f>
        <v>26.683161940000002</v>
      </c>
      <c r="G1463" s="3">
        <f>VLOOKUP(B1463,airports!A:H,8,FALSE)</f>
        <v>-80.095594169999998</v>
      </c>
      <c r="H1463">
        <f t="shared" si="44"/>
        <v>952</v>
      </c>
      <c r="I1463">
        <f t="shared" si="45"/>
        <v>591.6</v>
      </c>
    </row>
    <row r="1464" spans="1:9" x14ac:dyDescent="0.25">
      <c r="A1464" s="5" t="s">
        <v>40</v>
      </c>
      <c r="B1464" s="5" t="s">
        <v>100</v>
      </c>
      <c r="C1464" s="5" t="s">
        <v>1841</v>
      </c>
      <c r="D1464" s="3">
        <f>VLOOKUP(A1464,airports!A:H,7,FALSE)</f>
        <v>35.214011110000001</v>
      </c>
      <c r="E1464" s="3">
        <f>VLOOKUP(A1464,airports!A:H,8,FALSE)</f>
        <v>-80.94312583</v>
      </c>
      <c r="F1464" s="3">
        <f>VLOOKUP(B1464,airports!A:H,7,FALSE)</f>
        <v>45.588722220000001</v>
      </c>
      <c r="G1464" s="3">
        <f>VLOOKUP(B1464,airports!A:H,8,FALSE)</f>
        <v>-122.5975</v>
      </c>
      <c r="H1464">
        <f t="shared" si="44"/>
        <v>3664.5</v>
      </c>
      <c r="I1464">
        <f t="shared" si="45"/>
        <v>2277.1</v>
      </c>
    </row>
    <row r="1465" spans="1:9" ht="30" x14ac:dyDescent="0.25">
      <c r="A1465" s="5" t="s">
        <v>40</v>
      </c>
      <c r="B1465" s="5" t="s">
        <v>1842</v>
      </c>
      <c r="C1465" s="5" t="s">
        <v>1843</v>
      </c>
      <c r="D1465" s="3">
        <f>VLOOKUP(A1465,airports!A:H,7,FALSE)</f>
        <v>35.214011110000001</v>
      </c>
      <c r="E1465" s="3">
        <f>VLOOKUP(A1465,airports!A:H,8,FALSE)</f>
        <v>-80.94312583</v>
      </c>
      <c r="F1465" s="3">
        <f>VLOOKUP(B1465,airports!A:H,7,FALSE)</f>
        <v>35.635200500000003</v>
      </c>
      <c r="G1465" s="3">
        <f>VLOOKUP(B1465,airports!A:H,8,FALSE)</f>
        <v>-77.385299680000003</v>
      </c>
      <c r="H1465">
        <f t="shared" si="44"/>
        <v>325.7</v>
      </c>
      <c r="I1465">
        <f t="shared" si="45"/>
        <v>202.4</v>
      </c>
    </row>
    <row r="1466" spans="1:9" x14ac:dyDescent="0.25">
      <c r="A1466" s="5" t="s">
        <v>40</v>
      </c>
      <c r="B1466" s="5" t="s">
        <v>600</v>
      </c>
      <c r="C1466" s="5" t="s">
        <v>1844</v>
      </c>
      <c r="D1466" s="3">
        <f>VLOOKUP(A1466,airports!A:H,7,FALSE)</f>
        <v>35.214011110000001</v>
      </c>
      <c r="E1466" s="3">
        <f>VLOOKUP(A1466,airports!A:H,8,FALSE)</f>
        <v>-80.94312583</v>
      </c>
      <c r="F1466" s="3">
        <f>VLOOKUP(B1466,airports!A:H,7,FALSE)</f>
        <v>37.131895559999997</v>
      </c>
      <c r="G1466" s="3">
        <f>VLOOKUP(B1466,airports!A:H,8,FALSE)</f>
        <v>-76.492987499999998</v>
      </c>
      <c r="H1466">
        <f t="shared" si="44"/>
        <v>452.7</v>
      </c>
      <c r="I1466">
        <f t="shared" si="45"/>
        <v>281.3</v>
      </c>
    </row>
    <row r="1467" spans="1:9" x14ac:dyDescent="0.25">
      <c r="A1467" s="5" t="s">
        <v>40</v>
      </c>
      <c r="B1467" s="5" t="s">
        <v>102</v>
      </c>
      <c r="C1467" s="5" t="s">
        <v>1845</v>
      </c>
      <c r="D1467" s="3">
        <f>VLOOKUP(A1467,airports!A:H,7,FALSE)</f>
        <v>35.214011110000001</v>
      </c>
      <c r="E1467" s="3">
        <f>VLOOKUP(A1467,airports!A:H,8,FALSE)</f>
        <v>-80.94312583</v>
      </c>
      <c r="F1467" s="3">
        <f>VLOOKUP(B1467,airports!A:H,7,FALSE)</f>
        <v>39.871952780000001</v>
      </c>
      <c r="G1467" s="3">
        <f>VLOOKUP(B1467,airports!A:H,8,FALSE)</f>
        <v>-75.241140830000006</v>
      </c>
      <c r="H1467">
        <f t="shared" si="44"/>
        <v>721.5</v>
      </c>
      <c r="I1467">
        <f t="shared" si="45"/>
        <v>448.3</v>
      </c>
    </row>
    <row r="1468" spans="1:9" x14ac:dyDescent="0.25">
      <c r="A1468" s="5" t="s">
        <v>40</v>
      </c>
      <c r="B1468" s="5" t="s">
        <v>104</v>
      </c>
      <c r="C1468" s="5" t="s">
        <v>1846</v>
      </c>
      <c r="D1468" s="3">
        <f>VLOOKUP(A1468,airports!A:H,7,FALSE)</f>
        <v>35.214011110000001</v>
      </c>
      <c r="E1468" s="3">
        <f>VLOOKUP(A1468,airports!A:H,8,FALSE)</f>
        <v>-80.94312583</v>
      </c>
      <c r="F1468" s="3">
        <f>VLOOKUP(B1468,airports!A:H,7,FALSE)</f>
        <v>33.434166670000003</v>
      </c>
      <c r="G1468" s="3">
        <f>VLOOKUP(B1468,airports!A:H,8,FALSE)</f>
        <v>-112.00805560000001</v>
      </c>
      <c r="H1468">
        <f t="shared" si="44"/>
        <v>2848</v>
      </c>
      <c r="I1468">
        <f t="shared" si="45"/>
        <v>1769.8</v>
      </c>
    </row>
    <row r="1469" spans="1:9" x14ac:dyDescent="0.25">
      <c r="A1469" s="5" t="s">
        <v>40</v>
      </c>
      <c r="B1469" s="5" t="s">
        <v>604</v>
      </c>
      <c r="C1469" s="5" t="s">
        <v>1847</v>
      </c>
      <c r="D1469" s="3">
        <f>VLOOKUP(A1469,airports!A:H,7,FALSE)</f>
        <v>35.214011110000001</v>
      </c>
      <c r="E1469" s="3">
        <f>VLOOKUP(A1469,airports!A:H,8,FALSE)</f>
        <v>-80.94312583</v>
      </c>
      <c r="F1469" s="3">
        <f>VLOOKUP(B1469,airports!A:H,7,FALSE)</f>
        <v>40.664243329999998</v>
      </c>
      <c r="G1469" s="3">
        <f>VLOOKUP(B1469,airports!A:H,8,FALSE)</f>
        <v>-89.693305559999999</v>
      </c>
      <c r="H1469">
        <f t="shared" si="44"/>
        <v>976.9</v>
      </c>
      <c r="I1469">
        <f t="shared" si="45"/>
        <v>607.1</v>
      </c>
    </row>
    <row r="1470" spans="1:9" x14ac:dyDescent="0.25">
      <c r="A1470" s="5" t="s">
        <v>40</v>
      </c>
      <c r="B1470" s="5" t="s">
        <v>106</v>
      </c>
      <c r="C1470" s="5" t="s">
        <v>1848</v>
      </c>
      <c r="D1470" s="3">
        <f>VLOOKUP(A1470,airports!A:H,7,FALSE)</f>
        <v>35.214011110000001</v>
      </c>
      <c r="E1470" s="3">
        <f>VLOOKUP(A1470,airports!A:H,8,FALSE)</f>
        <v>-80.94312583</v>
      </c>
      <c r="F1470" s="3">
        <f>VLOOKUP(B1470,airports!A:H,7,FALSE)</f>
        <v>40.491465830000003</v>
      </c>
      <c r="G1470" s="3">
        <f>VLOOKUP(B1470,airports!A:H,8,FALSE)</f>
        <v>-80.232870829999996</v>
      </c>
      <c r="H1470">
        <f t="shared" si="44"/>
        <v>590.1</v>
      </c>
      <c r="I1470">
        <f t="shared" si="45"/>
        <v>366.7</v>
      </c>
    </row>
    <row r="1471" spans="1:9" x14ac:dyDescent="0.25">
      <c r="A1471" s="5" t="s">
        <v>40</v>
      </c>
      <c r="B1471" s="5" t="s">
        <v>607</v>
      </c>
      <c r="C1471" s="5" t="s">
        <v>1849</v>
      </c>
      <c r="D1471" s="3">
        <f>VLOOKUP(A1471,airports!A:H,7,FALSE)</f>
        <v>35.214011110000001</v>
      </c>
      <c r="E1471" s="3">
        <f>VLOOKUP(A1471,airports!A:H,8,FALSE)</f>
        <v>-80.94312583</v>
      </c>
      <c r="F1471" s="3">
        <f>VLOOKUP(B1471,airports!A:H,7,FALSE)</f>
        <v>30.47330556</v>
      </c>
      <c r="G1471" s="3">
        <f>VLOOKUP(B1471,airports!A:H,8,FALSE)</f>
        <v>-87.187444439999993</v>
      </c>
      <c r="H1471">
        <f t="shared" si="44"/>
        <v>785.9</v>
      </c>
      <c r="I1471">
        <f t="shared" si="45"/>
        <v>488.4</v>
      </c>
    </row>
    <row r="1472" spans="1:9" ht="30" x14ac:dyDescent="0.25">
      <c r="A1472" s="5" t="s">
        <v>40</v>
      </c>
      <c r="B1472" s="5" t="s">
        <v>114</v>
      </c>
      <c r="C1472" s="5" t="s">
        <v>1850</v>
      </c>
      <c r="D1472" s="3">
        <f>VLOOKUP(A1472,airports!A:H,7,FALSE)</f>
        <v>35.214011110000001</v>
      </c>
      <c r="E1472" s="3">
        <f>VLOOKUP(A1472,airports!A:H,8,FALSE)</f>
        <v>-80.94312583</v>
      </c>
      <c r="F1472" s="3">
        <f>VLOOKUP(B1472,airports!A:H,7,FALSE)</f>
        <v>41.723999169999999</v>
      </c>
      <c r="G1472" s="3">
        <f>VLOOKUP(B1472,airports!A:H,8,FALSE)</f>
        <v>-71.428221109999996</v>
      </c>
      <c r="H1472">
        <f t="shared" si="44"/>
        <v>1098.8</v>
      </c>
      <c r="I1472">
        <f t="shared" si="45"/>
        <v>682.8</v>
      </c>
    </row>
    <row r="1473" spans="1:9" ht="30" x14ac:dyDescent="0.25">
      <c r="A1473" s="5" t="s">
        <v>40</v>
      </c>
      <c r="B1473" s="5" t="s">
        <v>117</v>
      </c>
      <c r="C1473" s="5" t="s">
        <v>1851</v>
      </c>
      <c r="D1473" s="3">
        <f>VLOOKUP(A1473,airports!A:H,7,FALSE)</f>
        <v>35.214011110000001</v>
      </c>
      <c r="E1473" s="3">
        <f>VLOOKUP(A1473,airports!A:H,8,FALSE)</f>
        <v>-80.94312583</v>
      </c>
      <c r="F1473" s="3">
        <f>VLOOKUP(B1473,airports!A:H,7,FALSE)</f>
        <v>43.646166669999999</v>
      </c>
      <c r="G1473" s="3">
        <f>VLOOKUP(B1473,airports!A:H,8,FALSE)</f>
        <v>-70.308750000000003</v>
      </c>
      <c r="H1473">
        <f t="shared" si="44"/>
        <v>1306.8</v>
      </c>
      <c r="I1473">
        <f t="shared" si="45"/>
        <v>812.1</v>
      </c>
    </row>
    <row r="1474" spans="1:9" x14ac:dyDescent="0.25">
      <c r="A1474" s="5" t="s">
        <v>40</v>
      </c>
      <c r="B1474" s="5" t="s">
        <v>612</v>
      </c>
      <c r="C1474" s="5" t="s">
        <v>1852</v>
      </c>
      <c r="D1474" s="3">
        <f>VLOOKUP(A1474,airports!A:H,7,FALSE)</f>
        <v>35.214011110000001</v>
      </c>
      <c r="E1474" s="3">
        <f>VLOOKUP(A1474,airports!A:H,8,FALSE)</f>
        <v>-80.94312583</v>
      </c>
      <c r="F1474" s="3">
        <f>VLOOKUP(B1474,airports!A:H,7,FALSE)</f>
        <v>44.045321389999998</v>
      </c>
      <c r="G1474" s="3">
        <f>VLOOKUP(B1474,airports!A:H,8,FALSE)</f>
        <v>-103.0573708</v>
      </c>
      <c r="H1474">
        <f t="shared" si="44"/>
        <v>2123.9</v>
      </c>
      <c r="I1474">
        <f t="shared" si="45"/>
        <v>1319.8</v>
      </c>
    </row>
    <row r="1475" spans="1:9" ht="30" x14ac:dyDescent="0.25">
      <c r="A1475" s="5" t="s">
        <v>40</v>
      </c>
      <c r="B1475" s="5" t="s">
        <v>119</v>
      </c>
      <c r="C1475" s="5" t="s">
        <v>1853</v>
      </c>
      <c r="D1475" s="3">
        <f>VLOOKUP(A1475,airports!A:H,7,FALSE)</f>
        <v>35.214011110000001</v>
      </c>
      <c r="E1475" s="3">
        <f>VLOOKUP(A1475,airports!A:H,8,FALSE)</f>
        <v>-80.94312583</v>
      </c>
      <c r="F1475" s="3">
        <f>VLOOKUP(B1475,airports!A:H,7,FALSE)</f>
        <v>35.87763889</v>
      </c>
      <c r="G1475" s="3">
        <f>VLOOKUP(B1475,airports!A:H,8,FALSE)</f>
        <v>-78.787472219999998</v>
      </c>
      <c r="H1475">
        <f t="shared" si="44"/>
        <v>208.5</v>
      </c>
      <c r="I1475">
        <f t="shared" si="45"/>
        <v>129.6</v>
      </c>
    </row>
    <row r="1476" spans="1:9" x14ac:dyDescent="0.25">
      <c r="A1476" s="5" t="s">
        <v>40</v>
      </c>
      <c r="B1476" s="5" t="s">
        <v>120</v>
      </c>
      <c r="C1476" s="5" t="s">
        <v>1854</v>
      </c>
      <c r="D1476" s="3">
        <f>VLOOKUP(A1476,airports!A:H,7,FALSE)</f>
        <v>35.214011110000001</v>
      </c>
      <c r="E1476" s="3">
        <f>VLOOKUP(A1476,airports!A:H,8,FALSE)</f>
        <v>-80.94312583</v>
      </c>
      <c r="F1476" s="3">
        <f>VLOOKUP(B1476,airports!A:H,7,FALSE)</f>
        <v>37.505166670000001</v>
      </c>
      <c r="G1476" s="3">
        <f>VLOOKUP(B1476,airports!A:H,8,FALSE)</f>
        <v>-77.319666670000004</v>
      </c>
      <c r="H1476">
        <f t="shared" ref="H1476:H1539" si="46">ROUND(ACOS(COS(RADIANS(90-D1476)) * COS(RADIANS(90-F1476)) + SIN(RADIANS(90-D1476)) * SIN(RADIANS(90-F1476)) * COS(RADIANS(E1476-G1476))) * 6371,1)</f>
        <v>412.5</v>
      </c>
      <c r="I1476">
        <f t="shared" ref="I1476:I1539" si="47">ROUND(ACOS(COS(RADIANS(90-D1476)) * COS(RADIANS(90-F1476)) + SIN(RADIANS(90-D1476)) * SIN(RADIANS(90-F1476)) * COS(RADIANS(E1476-G1476))) * 3959,1)</f>
        <v>256.3</v>
      </c>
    </row>
    <row r="1477" spans="1:9" ht="30" x14ac:dyDescent="0.25">
      <c r="A1477" s="5" t="s">
        <v>40</v>
      </c>
      <c r="B1477" s="5" t="s">
        <v>121</v>
      </c>
      <c r="C1477" s="5" t="s">
        <v>1855</v>
      </c>
      <c r="D1477" s="3">
        <f>VLOOKUP(A1477,airports!A:H,7,FALSE)</f>
        <v>35.214011110000001</v>
      </c>
      <c r="E1477" s="3">
        <f>VLOOKUP(A1477,airports!A:H,8,FALSE)</f>
        <v>-80.94312583</v>
      </c>
      <c r="F1477" s="3">
        <f>VLOOKUP(B1477,airports!A:H,7,FALSE)</f>
        <v>39.498576110000002</v>
      </c>
      <c r="G1477" s="3">
        <f>VLOOKUP(B1477,airports!A:H,8,FALSE)</f>
        <v>-119.7680647</v>
      </c>
      <c r="H1477">
        <f t="shared" si="46"/>
        <v>3437.7</v>
      </c>
      <c r="I1477">
        <f t="shared" si="47"/>
        <v>2136.1999999999998</v>
      </c>
    </row>
    <row r="1478" spans="1:9" ht="30" x14ac:dyDescent="0.25">
      <c r="A1478" s="5" t="s">
        <v>40</v>
      </c>
      <c r="B1478" s="5" t="s">
        <v>617</v>
      </c>
      <c r="C1478" s="5" t="s">
        <v>1856</v>
      </c>
      <c r="D1478" s="3">
        <f>VLOOKUP(A1478,airports!A:H,7,FALSE)</f>
        <v>35.214011110000001</v>
      </c>
      <c r="E1478" s="3">
        <f>VLOOKUP(A1478,airports!A:H,8,FALSE)</f>
        <v>-80.94312583</v>
      </c>
      <c r="F1478" s="3">
        <f>VLOOKUP(B1478,airports!A:H,7,FALSE)</f>
        <v>37.32546833</v>
      </c>
      <c r="G1478" s="3">
        <f>VLOOKUP(B1478,airports!A:H,8,FALSE)</f>
        <v>-79.97542833</v>
      </c>
      <c r="H1478">
        <f t="shared" si="46"/>
        <v>250.3</v>
      </c>
      <c r="I1478">
        <f t="shared" si="47"/>
        <v>155.5</v>
      </c>
    </row>
    <row r="1479" spans="1:9" ht="30" x14ac:dyDescent="0.25">
      <c r="A1479" s="5" t="s">
        <v>40</v>
      </c>
      <c r="B1479" s="5" t="s">
        <v>122</v>
      </c>
      <c r="C1479" s="5" t="s">
        <v>1857</v>
      </c>
      <c r="D1479" s="3">
        <f>VLOOKUP(A1479,airports!A:H,7,FALSE)</f>
        <v>35.214011110000001</v>
      </c>
      <c r="E1479" s="3">
        <f>VLOOKUP(A1479,airports!A:H,8,FALSE)</f>
        <v>-80.94312583</v>
      </c>
      <c r="F1479" s="3">
        <f>VLOOKUP(B1479,airports!A:H,7,FALSE)</f>
        <v>43.118866109999999</v>
      </c>
      <c r="G1479" s="3">
        <f>VLOOKUP(B1479,airports!A:H,8,FALSE)</f>
        <v>-77.672383890000006</v>
      </c>
      <c r="H1479">
        <f t="shared" si="46"/>
        <v>922.9</v>
      </c>
      <c r="I1479">
        <f t="shared" si="47"/>
        <v>573.5</v>
      </c>
    </row>
    <row r="1480" spans="1:9" ht="30" x14ac:dyDescent="0.25">
      <c r="A1480" s="5" t="s">
        <v>40</v>
      </c>
      <c r="B1480" s="5" t="s">
        <v>123</v>
      </c>
      <c r="C1480" s="5" t="s">
        <v>1858</v>
      </c>
      <c r="D1480" s="3">
        <f>VLOOKUP(A1480,airports!A:H,7,FALSE)</f>
        <v>35.214011110000001</v>
      </c>
      <c r="E1480" s="3">
        <f>VLOOKUP(A1480,airports!A:H,8,FALSE)</f>
        <v>-80.94312583</v>
      </c>
      <c r="F1480" s="3">
        <f>VLOOKUP(B1480,airports!A:H,7,FALSE)</f>
        <v>26.53616667</v>
      </c>
      <c r="G1480" s="3">
        <f>VLOOKUP(B1480,airports!A:H,8,FALSE)</f>
        <v>-81.755166669999994</v>
      </c>
      <c r="H1480">
        <f t="shared" si="46"/>
        <v>968</v>
      </c>
      <c r="I1480">
        <f t="shared" si="47"/>
        <v>601.5</v>
      </c>
    </row>
    <row r="1481" spans="1:9" ht="30" x14ac:dyDescent="0.25">
      <c r="A1481" s="5" t="s">
        <v>40</v>
      </c>
      <c r="B1481" s="5" t="s">
        <v>124</v>
      </c>
      <c r="C1481" s="5" t="s">
        <v>1859</v>
      </c>
      <c r="D1481" s="3">
        <f>VLOOKUP(A1481,airports!A:H,7,FALSE)</f>
        <v>35.214011110000001</v>
      </c>
      <c r="E1481" s="3">
        <f>VLOOKUP(A1481,airports!A:H,8,FALSE)</f>
        <v>-80.94312583</v>
      </c>
      <c r="F1481" s="3">
        <f>VLOOKUP(B1481,airports!A:H,7,FALSE)</f>
        <v>32.733556110000002</v>
      </c>
      <c r="G1481" s="3">
        <f>VLOOKUP(B1481,airports!A:H,8,FALSE)</f>
        <v>-117.1896567</v>
      </c>
      <c r="H1481">
        <f t="shared" si="46"/>
        <v>3335.3</v>
      </c>
      <c r="I1481">
        <f t="shared" si="47"/>
        <v>2072.6</v>
      </c>
    </row>
    <row r="1482" spans="1:9" x14ac:dyDescent="0.25">
      <c r="A1482" s="5" t="s">
        <v>40</v>
      </c>
      <c r="B1482" s="5" t="s">
        <v>125</v>
      </c>
      <c r="C1482" s="5" t="s">
        <v>1860</v>
      </c>
      <c r="D1482" s="3">
        <f>VLOOKUP(A1482,airports!A:H,7,FALSE)</f>
        <v>35.214011110000001</v>
      </c>
      <c r="E1482" s="3">
        <f>VLOOKUP(A1482,airports!A:H,8,FALSE)</f>
        <v>-80.94312583</v>
      </c>
      <c r="F1482" s="3">
        <f>VLOOKUP(B1482,airports!A:H,7,FALSE)</f>
        <v>29.533694440000001</v>
      </c>
      <c r="G1482" s="3">
        <f>VLOOKUP(B1482,airports!A:H,8,FALSE)</f>
        <v>-98.469777780000001</v>
      </c>
      <c r="H1482">
        <f t="shared" si="46"/>
        <v>1759.9</v>
      </c>
      <c r="I1482">
        <f t="shared" si="47"/>
        <v>1093.5999999999999</v>
      </c>
    </row>
    <row r="1483" spans="1:9" x14ac:dyDescent="0.25">
      <c r="A1483" s="5" t="s">
        <v>40</v>
      </c>
      <c r="B1483" s="5" t="s">
        <v>126</v>
      </c>
      <c r="C1483" s="5" t="s">
        <v>1861</v>
      </c>
      <c r="D1483" s="3">
        <f>VLOOKUP(A1483,airports!A:H,7,FALSE)</f>
        <v>35.214011110000001</v>
      </c>
      <c r="E1483" s="3">
        <f>VLOOKUP(A1483,airports!A:H,8,FALSE)</f>
        <v>-80.94312583</v>
      </c>
      <c r="F1483" s="3">
        <f>VLOOKUP(B1483,airports!A:H,7,FALSE)</f>
        <v>32.12758333</v>
      </c>
      <c r="G1483" s="3">
        <f>VLOOKUP(B1483,airports!A:H,8,FALSE)</f>
        <v>-81.202138890000001</v>
      </c>
      <c r="H1483">
        <f t="shared" si="46"/>
        <v>344</v>
      </c>
      <c r="I1483">
        <f t="shared" si="47"/>
        <v>213.8</v>
      </c>
    </row>
    <row r="1484" spans="1:9" x14ac:dyDescent="0.25">
      <c r="A1484" s="5" t="s">
        <v>40</v>
      </c>
      <c r="B1484" s="5" t="s">
        <v>626</v>
      </c>
      <c r="C1484" s="5" t="s">
        <v>1862</v>
      </c>
      <c r="D1484" s="3">
        <f>VLOOKUP(A1484,airports!A:H,7,FALSE)</f>
        <v>35.214011110000001</v>
      </c>
      <c r="E1484" s="3">
        <f>VLOOKUP(A1484,airports!A:H,8,FALSE)</f>
        <v>-80.94312583</v>
      </c>
      <c r="F1484" s="3">
        <f>VLOOKUP(B1484,airports!A:H,7,FALSE)</f>
        <v>41.708953610000002</v>
      </c>
      <c r="G1484" s="3">
        <f>VLOOKUP(B1484,airports!A:H,8,FALSE)</f>
        <v>-86.318474170000002</v>
      </c>
      <c r="H1484">
        <f t="shared" si="46"/>
        <v>860.2</v>
      </c>
      <c r="I1484">
        <f t="shared" si="47"/>
        <v>534.5</v>
      </c>
    </row>
    <row r="1485" spans="1:9" x14ac:dyDescent="0.25">
      <c r="A1485" s="5" t="s">
        <v>40</v>
      </c>
      <c r="B1485" s="5" t="s">
        <v>1863</v>
      </c>
      <c r="C1485" s="5" t="s">
        <v>1864</v>
      </c>
      <c r="D1485" s="3">
        <f>VLOOKUP(A1485,airports!A:H,7,FALSE)</f>
        <v>35.214011110000001</v>
      </c>
      <c r="E1485" s="3">
        <f>VLOOKUP(A1485,airports!A:H,8,FALSE)</f>
        <v>-80.94312583</v>
      </c>
      <c r="F1485" s="3">
        <f>VLOOKUP(B1485,airports!A:H,7,FALSE)</f>
        <v>38.340499877929602</v>
      </c>
      <c r="G1485" s="3">
        <f>VLOOKUP(B1485,airports!A:H,8,FALSE)</f>
        <v>-75.510299682617102</v>
      </c>
      <c r="H1485">
        <f t="shared" si="46"/>
        <v>595.6</v>
      </c>
      <c r="I1485">
        <f t="shared" si="47"/>
        <v>370.1</v>
      </c>
    </row>
    <row r="1486" spans="1:9" x14ac:dyDescent="0.25">
      <c r="A1486" s="5" t="s">
        <v>40</v>
      </c>
      <c r="B1486" s="5" t="s">
        <v>630</v>
      </c>
      <c r="C1486" s="5" t="s">
        <v>1865</v>
      </c>
      <c r="D1486" s="3">
        <f>VLOOKUP(A1486,airports!A:H,7,FALSE)</f>
        <v>35.214011110000001</v>
      </c>
      <c r="E1486" s="3">
        <f>VLOOKUP(A1486,airports!A:H,8,FALSE)</f>
        <v>-80.94312583</v>
      </c>
      <c r="F1486" s="3">
        <f>VLOOKUP(B1486,airports!A:H,7,FALSE)</f>
        <v>38.174388890000003</v>
      </c>
      <c r="G1486" s="3">
        <f>VLOOKUP(B1486,airports!A:H,8,FALSE)</f>
        <v>-85.736000000000004</v>
      </c>
      <c r="H1486">
        <f t="shared" si="46"/>
        <v>539.29999999999995</v>
      </c>
      <c r="I1486">
        <f t="shared" si="47"/>
        <v>335.1</v>
      </c>
    </row>
    <row r="1487" spans="1:9" x14ac:dyDescent="0.25">
      <c r="A1487" s="5" t="s">
        <v>40</v>
      </c>
      <c r="B1487" s="5" t="s">
        <v>128</v>
      </c>
      <c r="C1487" s="5" t="s">
        <v>1866</v>
      </c>
      <c r="D1487" s="3">
        <f>VLOOKUP(A1487,airports!A:H,7,FALSE)</f>
        <v>35.214011110000001</v>
      </c>
      <c r="E1487" s="3">
        <f>VLOOKUP(A1487,airports!A:H,8,FALSE)</f>
        <v>-80.94312583</v>
      </c>
      <c r="F1487" s="3">
        <f>VLOOKUP(B1487,airports!A:H,7,FALSE)</f>
        <v>47.448981940000003</v>
      </c>
      <c r="G1487" s="3">
        <f>VLOOKUP(B1487,airports!A:H,8,FALSE)</f>
        <v>-122.3093131</v>
      </c>
      <c r="H1487">
        <f t="shared" si="46"/>
        <v>3660.4</v>
      </c>
      <c r="I1487">
        <f t="shared" si="47"/>
        <v>2274.6</v>
      </c>
    </row>
    <row r="1488" spans="1:9" x14ac:dyDescent="0.25">
      <c r="A1488" s="5" t="s">
        <v>40</v>
      </c>
      <c r="B1488" s="5" t="s">
        <v>130</v>
      </c>
      <c r="C1488" s="5" t="s">
        <v>1867</v>
      </c>
      <c r="D1488" s="3">
        <f>VLOOKUP(A1488,airports!A:H,7,FALSE)</f>
        <v>35.214011110000001</v>
      </c>
      <c r="E1488" s="3">
        <f>VLOOKUP(A1488,airports!A:H,8,FALSE)</f>
        <v>-80.94312583</v>
      </c>
      <c r="F1488" s="3">
        <f>VLOOKUP(B1488,airports!A:H,7,FALSE)</f>
        <v>37.619001939999997</v>
      </c>
      <c r="G1488" s="3">
        <f>VLOOKUP(B1488,airports!A:H,8,FALSE)</f>
        <v>-122.37484329999999</v>
      </c>
      <c r="H1488">
        <f t="shared" si="46"/>
        <v>3687</v>
      </c>
      <c r="I1488">
        <f t="shared" si="47"/>
        <v>2291.1</v>
      </c>
    </row>
    <row r="1489" spans="1:9" x14ac:dyDescent="0.25">
      <c r="A1489" s="5" t="s">
        <v>40</v>
      </c>
      <c r="B1489" s="5" t="s">
        <v>634</v>
      </c>
      <c r="C1489" s="5" t="s">
        <v>1868</v>
      </c>
      <c r="D1489" s="3">
        <f>VLOOKUP(A1489,airports!A:H,7,FALSE)</f>
        <v>35.214011110000001</v>
      </c>
      <c r="E1489" s="3">
        <f>VLOOKUP(A1489,airports!A:H,8,FALSE)</f>
        <v>-80.94312583</v>
      </c>
      <c r="F1489" s="3">
        <f>VLOOKUP(B1489,airports!A:H,7,FALSE)</f>
        <v>37.244326110000003</v>
      </c>
      <c r="G1489" s="3">
        <f>VLOOKUP(B1489,airports!A:H,8,FALSE)</f>
        <v>-93.386858059999994</v>
      </c>
      <c r="H1489">
        <f t="shared" si="46"/>
        <v>1137.9000000000001</v>
      </c>
      <c r="I1489">
        <f t="shared" si="47"/>
        <v>707.1</v>
      </c>
    </row>
    <row r="1490" spans="1:9" x14ac:dyDescent="0.25">
      <c r="A1490" s="5" t="s">
        <v>40</v>
      </c>
      <c r="B1490" s="5" t="s">
        <v>636</v>
      </c>
      <c r="C1490" s="5" t="s">
        <v>1869</v>
      </c>
      <c r="D1490" s="3">
        <f>VLOOKUP(A1490,airports!A:H,7,FALSE)</f>
        <v>35.214011110000001</v>
      </c>
      <c r="E1490" s="3">
        <f>VLOOKUP(A1490,airports!A:H,8,FALSE)</f>
        <v>-80.94312583</v>
      </c>
      <c r="F1490" s="3">
        <f>VLOOKUP(B1490,airports!A:H,7,FALSE)</f>
        <v>32.446627499999998</v>
      </c>
      <c r="G1490" s="3">
        <f>VLOOKUP(B1490,airports!A:H,8,FALSE)</f>
        <v>-93.825598330000005</v>
      </c>
      <c r="H1490">
        <f t="shared" si="46"/>
        <v>1228.0999999999999</v>
      </c>
      <c r="I1490">
        <f t="shared" si="47"/>
        <v>763.1</v>
      </c>
    </row>
    <row r="1491" spans="1:9" x14ac:dyDescent="0.25">
      <c r="A1491" s="5" t="s">
        <v>40</v>
      </c>
      <c r="B1491" s="5" t="s">
        <v>131</v>
      </c>
      <c r="C1491" s="5" t="s">
        <v>1870</v>
      </c>
      <c r="D1491" s="3">
        <f>VLOOKUP(A1491,airports!A:H,7,FALSE)</f>
        <v>35.214011110000001</v>
      </c>
      <c r="E1491" s="3">
        <f>VLOOKUP(A1491,airports!A:H,8,FALSE)</f>
        <v>-80.94312583</v>
      </c>
      <c r="F1491" s="3">
        <f>VLOOKUP(B1491,airports!A:H,7,FALSE)</f>
        <v>37.361861939999997</v>
      </c>
      <c r="G1491" s="3">
        <f>VLOOKUP(B1491,airports!A:H,8,FALSE)</f>
        <v>-121.9290089</v>
      </c>
      <c r="H1491">
        <f t="shared" si="46"/>
        <v>3652.5</v>
      </c>
      <c r="I1491">
        <f t="shared" si="47"/>
        <v>2269.6999999999998</v>
      </c>
    </row>
    <row r="1492" spans="1:9" x14ac:dyDescent="0.25">
      <c r="A1492" s="5" t="s">
        <v>40</v>
      </c>
      <c r="B1492" s="5" t="s">
        <v>134</v>
      </c>
      <c r="C1492" s="5" t="s">
        <v>1871</v>
      </c>
      <c r="D1492" s="3">
        <f>VLOOKUP(A1492,airports!A:H,7,FALSE)</f>
        <v>35.214011110000001</v>
      </c>
      <c r="E1492" s="3">
        <f>VLOOKUP(A1492,airports!A:H,8,FALSE)</f>
        <v>-80.94312583</v>
      </c>
      <c r="F1492" s="3">
        <f>VLOOKUP(B1492,airports!A:H,7,FALSE)</f>
        <v>18.43941667</v>
      </c>
      <c r="G1492" s="3">
        <f>VLOOKUP(B1492,airports!A:H,8,FALSE)</f>
        <v>-66.001833329999997</v>
      </c>
      <c r="H1492">
        <f t="shared" si="46"/>
        <v>2376.3000000000002</v>
      </c>
      <c r="I1492">
        <f t="shared" si="47"/>
        <v>1476.7</v>
      </c>
    </row>
    <row r="1493" spans="1:9" x14ac:dyDescent="0.25">
      <c r="A1493" s="5" t="s">
        <v>40</v>
      </c>
      <c r="B1493" s="5" t="s">
        <v>135</v>
      </c>
      <c r="C1493" s="5" t="s">
        <v>1872</v>
      </c>
      <c r="D1493" s="3">
        <f>VLOOKUP(A1493,airports!A:H,7,FALSE)</f>
        <v>35.214011110000001</v>
      </c>
      <c r="E1493" s="3">
        <f>VLOOKUP(A1493,airports!A:H,8,FALSE)</f>
        <v>-80.94312583</v>
      </c>
      <c r="F1493" s="3">
        <f>VLOOKUP(B1493,airports!A:H,7,FALSE)</f>
        <v>40.788387780000001</v>
      </c>
      <c r="G1493" s="3">
        <f>VLOOKUP(B1493,airports!A:H,8,FALSE)</f>
        <v>-111.97777309999999</v>
      </c>
      <c r="H1493">
        <f t="shared" si="46"/>
        <v>2773.6</v>
      </c>
      <c r="I1493">
        <f t="shared" si="47"/>
        <v>1723.5</v>
      </c>
    </row>
    <row r="1494" spans="1:9" ht="30" x14ac:dyDescent="0.25">
      <c r="A1494" s="5" t="s">
        <v>40</v>
      </c>
      <c r="B1494" s="5" t="s">
        <v>137</v>
      </c>
      <c r="C1494" s="5" t="s">
        <v>1873</v>
      </c>
      <c r="D1494" s="3">
        <f>VLOOKUP(A1494,airports!A:H,7,FALSE)</f>
        <v>35.214011110000001</v>
      </c>
      <c r="E1494" s="3">
        <f>VLOOKUP(A1494,airports!A:H,8,FALSE)</f>
        <v>-80.94312583</v>
      </c>
      <c r="F1494" s="3">
        <f>VLOOKUP(B1494,airports!A:H,7,FALSE)</f>
        <v>38.695421670000002</v>
      </c>
      <c r="G1494" s="3">
        <f>VLOOKUP(B1494,airports!A:H,8,FALSE)</f>
        <v>-121.59076690000001</v>
      </c>
      <c r="H1494">
        <f t="shared" si="46"/>
        <v>3603</v>
      </c>
      <c r="I1494">
        <f t="shared" si="47"/>
        <v>2238.9</v>
      </c>
    </row>
    <row r="1495" spans="1:9" x14ac:dyDescent="0.25">
      <c r="A1495" s="5" t="s">
        <v>40</v>
      </c>
      <c r="B1495" s="5" t="s">
        <v>138</v>
      </c>
      <c r="C1495" s="5" t="s">
        <v>1874</v>
      </c>
      <c r="D1495" s="3">
        <f>VLOOKUP(A1495,airports!A:H,7,FALSE)</f>
        <v>35.214011110000001</v>
      </c>
      <c r="E1495" s="3">
        <f>VLOOKUP(A1495,airports!A:H,8,FALSE)</f>
        <v>-80.94312583</v>
      </c>
      <c r="F1495" s="3">
        <f>VLOOKUP(B1495,airports!A:H,7,FALSE)</f>
        <v>27.39533333</v>
      </c>
      <c r="G1495" s="3">
        <f>VLOOKUP(B1495,airports!A:H,8,FALSE)</f>
        <v>-82.554111109999994</v>
      </c>
      <c r="H1495">
        <f t="shared" si="46"/>
        <v>882.7</v>
      </c>
      <c r="I1495">
        <f t="shared" si="47"/>
        <v>548.5</v>
      </c>
    </row>
    <row r="1496" spans="1:9" x14ac:dyDescent="0.25">
      <c r="A1496" s="5" t="s">
        <v>40</v>
      </c>
      <c r="B1496" s="5" t="s">
        <v>644</v>
      </c>
      <c r="C1496" s="5" t="s">
        <v>1875</v>
      </c>
      <c r="D1496" s="3">
        <f>VLOOKUP(A1496,airports!A:H,7,FALSE)</f>
        <v>35.214011110000001</v>
      </c>
      <c r="E1496" s="3">
        <f>VLOOKUP(A1496,airports!A:H,8,FALSE)</f>
        <v>-80.94312583</v>
      </c>
      <c r="F1496" s="3">
        <f>VLOOKUP(B1496,airports!A:H,7,FALSE)</f>
        <v>38.747686940000001</v>
      </c>
      <c r="G1496" s="3">
        <f>VLOOKUP(B1496,airports!A:H,8,FALSE)</f>
        <v>-90.359989720000002</v>
      </c>
      <c r="H1496">
        <f t="shared" si="46"/>
        <v>923.5</v>
      </c>
      <c r="I1496">
        <f t="shared" si="47"/>
        <v>573.9</v>
      </c>
    </row>
    <row r="1497" spans="1:9" x14ac:dyDescent="0.25">
      <c r="A1497" s="5" t="s">
        <v>40</v>
      </c>
      <c r="B1497" s="5" t="s">
        <v>140</v>
      </c>
      <c r="C1497" s="5" t="s">
        <v>1876</v>
      </c>
      <c r="D1497" s="3">
        <f>VLOOKUP(A1497,airports!A:H,7,FALSE)</f>
        <v>35.214011110000001</v>
      </c>
      <c r="E1497" s="3">
        <f>VLOOKUP(A1497,airports!A:H,8,FALSE)</f>
        <v>-80.94312583</v>
      </c>
      <c r="F1497" s="3">
        <f>VLOOKUP(B1497,airports!A:H,7,FALSE)</f>
        <v>18.337305560000001</v>
      </c>
      <c r="G1497" s="3">
        <f>VLOOKUP(B1497,airports!A:H,8,FALSE)</f>
        <v>-64.973361109999999</v>
      </c>
      <c r="H1497">
        <f t="shared" si="46"/>
        <v>2449.4</v>
      </c>
      <c r="I1497">
        <f t="shared" si="47"/>
        <v>1522.1</v>
      </c>
    </row>
    <row r="1498" spans="1:9" x14ac:dyDescent="0.25">
      <c r="A1498" s="5" t="s">
        <v>40</v>
      </c>
      <c r="B1498" s="5" t="s">
        <v>647</v>
      </c>
      <c r="C1498" s="5" t="s">
        <v>1877</v>
      </c>
      <c r="D1498" s="3">
        <f>VLOOKUP(A1498,airports!A:H,7,FALSE)</f>
        <v>35.214011110000001</v>
      </c>
      <c r="E1498" s="3">
        <f>VLOOKUP(A1498,airports!A:H,8,FALSE)</f>
        <v>-80.94312583</v>
      </c>
      <c r="F1498" s="3">
        <f>VLOOKUP(B1498,airports!A:H,7,FALSE)</f>
        <v>17.701888889999999</v>
      </c>
      <c r="G1498" s="3">
        <f>VLOOKUP(B1498,airports!A:H,8,FALSE)</f>
        <v>-64.798555559999997</v>
      </c>
      <c r="H1498">
        <f t="shared" si="46"/>
        <v>2517.1999999999998</v>
      </c>
      <c r="I1498">
        <f t="shared" si="47"/>
        <v>1564.2</v>
      </c>
    </row>
    <row r="1499" spans="1:9" x14ac:dyDescent="0.25">
      <c r="A1499" s="5" t="s">
        <v>40</v>
      </c>
      <c r="B1499" s="5" t="s">
        <v>144</v>
      </c>
      <c r="C1499" s="5" t="s">
        <v>1878</v>
      </c>
      <c r="D1499" s="3">
        <f>VLOOKUP(A1499,airports!A:H,7,FALSE)</f>
        <v>35.214011110000001</v>
      </c>
      <c r="E1499" s="3">
        <f>VLOOKUP(A1499,airports!A:H,8,FALSE)</f>
        <v>-80.94312583</v>
      </c>
      <c r="F1499" s="3">
        <f>VLOOKUP(B1499,airports!A:H,7,FALSE)</f>
        <v>43.111186940000003</v>
      </c>
      <c r="G1499" s="3">
        <f>VLOOKUP(B1499,airports!A:H,8,FALSE)</f>
        <v>-76.106310559999997</v>
      </c>
      <c r="H1499">
        <f t="shared" si="46"/>
        <v>971.7</v>
      </c>
      <c r="I1499">
        <f t="shared" si="47"/>
        <v>603.79999999999995</v>
      </c>
    </row>
    <row r="1500" spans="1:9" x14ac:dyDescent="0.25">
      <c r="A1500" s="5" t="s">
        <v>40</v>
      </c>
      <c r="B1500" s="5" t="s">
        <v>651</v>
      </c>
      <c r="C1500" s="5" t="s">
        <v>1879</v>
      </c>
      <c r="D1500" s="3">
        <f>VLOOKUP(A1500,airports!A:H,7,FALSE)</f>
        <v>35.214011110000001</v>
      </c>
      <c r="E1500" s="3">
        <f>VLOOKUP(A1500,airports!A:H,8,FALSE)</f>
        <v>-80.94312583</v>
      </c>
      <c r="F1500" s="3">
        <f>VLOOKUP(B1500,airports!A:H,7,FALSE)</f>
        <v>30.39652778</v>
      </c>
      <c r="G1500" s="3">
        <f>VLOOKUP(B1500,airports!A:H,8,FALSE)</f>
        <v>-84.350333329999998</v>
      </c>
      <c r="H1500">
        <f t="shared" si="46"/>
        <v>623.1</v>
      </c>
      <c r="I1500">
        <f t="shared" si="47"/>
        <v>387.2</v>
      </c>
    </row>
    <row r="1501" spans="1:9" x14ac:dyDescent="0.25">
      <c r="A1501" s="5" t="s">
        <v>40</v>
      </c>
      <c r="B1501" s="5" t="s">
        <v>913</v>
      </c>
      <c r="C1501" s="5" t="s">
        <v>1880</v>
      </c>
      <c r="D1501" s="3">
        <f>VLOOKUP(A1501,airports!A:H,7,FALSE)</f>
        <v>35.214011110000001</v>
      </c>
      <c r="E1501" s="3">
        <f>VLOOKUP(A1501,airports!A:H,8,FALSE)</f>
        <v>-80.94312583</v>
      </c>
      <c r="F1501" s="3">
        <f>VLOOKUP(B1501,airports!A:H,7,FALSE)</f>
        <v>41.586805560000002</v>
      </c>
      <c r="G1501" s="3">
        <f>VLOOKUP(B1501,airports!A:H,8,FALSE)</f>
        <v>-83.807833329999994</v>
      </c>
      <c r="H1501">
        <f t="shared" si="46"/>
        <v>751.2</v>
      </c>
      <c r="I1501">
        <f t="shared" si="47"/>
        <v>466.8</v>
      </c>
    </row>
    <row r="1502" spans="1:9" x14ac:dyDescent="0.25">
      <c r="A1502" s="5" t="s">
        <v>40</v>
      </c>
      <c r="B1502" s="5" t="s">
        <v>145</v>
      </c>
      <c r="C1502" s="5" t="s">
        <v>1881</v>
      </c>
      <c r="D1502" s="3">
        <f>VLOOKUP(A1502,airports!A:H,7,FALSE)</f>
        <v>35.214011110000001</v>
      </c>
      <c r="E1502" s="3">
        <f>VLOOKUP(A1502,airports!A:H,8,FALSE)</f>
        <v>-80.94312583</v>
      </c>
      <c r="F1502" s="3">
        <f>VLOOKUP(B1502,airports!A:H,7,FALSE)</f>
        <v>27.97547222</v>
      </c>
      <c r="G1502" s="3">
        <f>VLOOKUP(B1502,airports!A:H,8,FALSE)</f>
        <v>-82.533249999999995</v>
      </c>
      <c r="H1502">
        <f t="shared" si="46"/>
        <v>818.8</v>
      </c>
      <c r="I1502">
        <f t="shared" si="47"/>
        <v>508.8</v>
      </c>
    </row>
    <row r="1503" spans="1:9" x14ac:dyDescent="0.25">
      <c r="A1503" s="5" t="s">
        <v>40</v>
      </c>
      <c r="B1503" s="5" t="s">
        <v>654</v>
      </c>
      <c r="C1503" s="5" t="s">
        <v>1882</v>
      </c>
      <c r="D1503" s="3">
        <f>VLOOKUP(A1503,airports!A:H,7,FALSE)</f>
        <v>35.214011110000001</v>
      </c>
      <c r="E1503" s="3">
        <f>VLOOKUP(A1503,airports!A:H,8,FALSE)</f>
        <v>-80.94312583</v>
      </c>
      <c r="F1503" s="3">
        <f>VLOOKUP(B1503,airports!A:H,7,FALSE)</f>
        <v>36.475214170000001</v>
      </c>
      <c r="G1503" s="3">
        <f>VLOOKUP(B1503,airports!A:H,8,FALSE)</f>
        <v>-82.407420560000006</v>
      </c>
      <c r="H1503">
        <f t="shared" si="46"/>
        <v>192.6</v>
      </c>
      <c r="I1503">
        <f t="shared" si="47"/>
        <v>119.7</v>
      </c>
    </row>
    <row r="1504" spans="1:9" x14ac:dyDescent="0.25">
      <c r="A1504" s="5" t="s">
        <v>40</v>
      </c>
      <c r="B1504" s="5" t="s">
        <v>656</v>
      </c>
      <c r="C1504" s="5" t="s">
        <v>1883</v>
      </c>
      <c r="D1504" s="3">
        <f>VLOOKUP(A1504,airports!A:H,7,FALSE)</f>
        <v>35.214011110000001</v>
      </c>
      <c r="E1504" s="3">
        <f>VLOOKUP(A1504,airports!A:H,8,FALSE)</f>
        <v>-80.94312583</v>
      </c>
      <c r="F1504" s="3">
        <f>VLOOKUP(B1504,airports!A:H,7,FALSE)</f>
        <v>40.276691110000002</v>
      </c>
      <c r="G1504" s="3">
        <f>VLOOKUP(B1504,airports!A:H,8,FALSE)</f>
        <v>-74.813468330000006</v>
      </c>
      <c r="H1504">
        <f t="shared" si="46"/>
        <v>778.9</v>
      </c>
      <c r="I1504">
        <f t="shared" si="47"/>
        <v>484</v>
      </c>
    </row>
    <row r="1505" spans="1:9" x14ac:dyDescent="0.25">
      <c r="A1505" s="5" t="s">
        <v>40</v>
      </c>
      <c r="B1505" s="5" t="s">
        <v>658</v>
      </c>
      <c r="C1505" s="5" t="s">
        <v>1884</v>
      </c>
      <c r="D1505" s="3">
        <f>VLOOKUP(A1505,airports!A:H,7,FALSE)</f>
        <v>35.214011110000001</v>
      </c>
      <c r="E1505" s="3">
        <f>VLOOKUP(A1505,airports!A:H,8,FALSE)</f>
        <v>-80.94312583</v>
      </c>
      <c r="F1505" s="3">
        <f>VLOOKUP(B1505,airports!A:H,7,FALSE)</f>
        <v>36.198372220000003</v>
      </c>
      <c r="G1505" s="3">
        <f>VLOOKUP(B1505,airports!A:H,8,FALSE)</f>
        <v>-95.888241669999999</v>
      </c>
      <c r="H1505">
        <f t="shared" si="46"/>
        <v>1352.5</v>
      </c>
      <c r="I1505">
        <f t="shared" si="47"/>
        <v>840.5</v>
      </c>
    </row>
    <row r="1506" spans="1:9" x14ac:dyDescent="0.25">
      <c r="A1506" s="5" t="s">
        <v>40</v>
      </c>
      <c r="B1506" s="5" t="s">
        <v>660</v>
      </c>
      <c r="C1506" s="5" t="s">
        <v>1885</v>
      </c>
      <c r="D1506" s="3">
        <f>VLOOKUP(A1506,airports!A:H,7,FALSE)</f>
        <v>35.214011110000001</v>
      </c>
      <c r="E1506" s="3">
        <f>VLOOKUP(A1506,airports!A:H,8,FALSE)</f>
        <v>-80.94312583</v>
      </c>
      <c r="F1506" s="3">
        <f>VLOOKUP(B1506,airports!A:H,7,FALSE)</f>
        <v>32.116083330000002</v>
      </c>
      <c r="G1506" s="3">
        <f>VLOOKUP(B1506,airports!A:H,8,FALSE)</f>
        <v>-110.9410278</v>
      </c>
      <c r="H1506">
        <f t="shared" si="46"/>
        <v>2786.9</v>
      </c>
      <c r="I1506">
        <f t="shared" si="47"/>
        <v>1731.8</v>
      </c>
    </row>
    <row r="1507" spans="1:9" x14ac:dyDescent="0.25">
      <c r="A1507" s="5" t="s">
        <v>40</v>
      </c>
      <c r="B1507" s="5" t="s">
        <v>662</v>
      </c>
      <c r="C1507" s="5" t="s">
        <v>1886</v>
      </c>
      <c r="D1507" s="3">
        <f>VLOOKUP(A1507,airports!A:H,7,FALSE)</f>
        <v>35.214011110000001</v>
      </c>
      <c r="E1507" s="3">
        <f>VLOOKUP(A1507,airports!A:H,8,FALSE)</f>
        <v>-80.94312583</v>
      </c>
      <c r="F1507" s="3">
        <f>VLOOKUP(B1507,airports!A:H,7,FALSE)</f>
        <v>44.741444719999997</v>
      </c>
      <c r="G1507" s="3">
        <f>VLOOKUP(B1507,airports!A:H,8,FALSE)</f>
        <v>-85.582234999999997</v>
      </c>
      <c r="H1507">
        <f t="shared" si="46"/>
        <v>1130.2</v>
      </c>
      <c r="I1507">
        <f t="shared" si="47"/>
        <v>702.3</v>
      </c>
    </row>
    <row r="1508" spans="1:9" x14ac:dyDescent="0.25">
      <c r="A1508" s="5" t="s">
        <v>40</v>
      </c>
      <c r="B1508" s="5" t="s">
        <v>664</v>
      </c>
      <c r="C1508" s="5" t="s">
        <v>1887</v>
      </c>
      <c r="D1508" s="3">
        <f>VLOOKUP(A1508,airports!A:H,7,FALSE)</f>
        <v>35.214011110000001</v>
      </c>
      <c r="E1508" s="3">
        <f>VLOOKUP(A1508,airports!A:H,8,FALSE)</f>
        <v>-80.94312583</v>
      </c>
      <c r="F1508" s="3">
        <f>VLOOKUP(B1508,airports!A:H,7,FALSE)</f>
        <v>35.812487220000001</v>
      </c>
      <c r="G1508" s="3">
        <f>VLOOKUP(B1508,airports!A:H,8,FALSE)</f>
        <v>-83.992855829999996</v>
      </c>
      <c r="H1508">
        <f t="shared" si="46"/>
        <v>283.89999999999998</v>
      </c>
      <c r="I1508">
        <f t="shared" si="47"/>
        <v>176.4</v>
      </c>
    </row>
    <row r="1509" spans="1:9" x14ac:dyDescent="0.25">
      <c r="A1509" s="5" t="s">
        <v>40</v>
      </c>
      <c r="B1509" s="5" t="s">
        <v>668</v>
      </c>
      <c r="C1509" s="5" t="s">
        <v>1888</v>
      </c>
      <c r="D1509" s="3">
        <f>VLOOKUP(A1509,airports!A:H,7,FALSE)</f>
        <v>35.214011110000001</v>
      </c>
      <c r="E1509" s="3">
        <f>VLOOKUP(A1509,airports!A:H,8,FALSE)</f>
        <v>-80.94312583</v>
      </c>
      <c r="F1509" s="3">
        <f>VLOOKUP(B1509,airports!A:H,7,FALSE)</f>
        <v>30.483250000000002</v>
      </c>
      <c r="G1509" s="3">
        <f>VLOOKUP(B1509,airports!A:H,8,FALSE)</f>
        <v>-86.525400000000005</v>
      </c>
      <c r="H1509">
        <f t="shared" si="46"/>
        <v>740.4</v>
      </c>
      <c r="I1509">
        <f t="shared" si="47"/>
        <v>460.1</v>
      </c>
    </row>
    <row r="1510" spans="1:9" ht="30" x14ac:dyDescent="0.25">
      <c r="A1510" s="5" t="s">
        <v>40</v>
      </c>
      <c r="B1510" s="5" t="s">
        <v>670</v>
      </c>
      <c r="C1510" s="5" t="s">
        <v>1889</v>
      </c>
      <c r="D1510" s="3">
        <f>VLOOKUP(A1510,airports!A:H,7,FALSE)</f>
        <v>35.214011110000001</v>
      </c>
      <c r="E1510" s="3">
        <f>VLOOKUP(A1510,airports!A:H,8,FALSE)</f>
        <v>-80.94312583</v>
      </c>
      <c r="F1510" s="3">
        <f>VLOOKUP(B1510,airports!A:H,7,FALSE)</f>
        <v>36.281869440000001</v>
      </c>
      <c r="G1510" s="3">
        <f>VLOOKUP(B1510,airports!A:H,8,FALSE)</f>
        <v>-94.306811109999998</v>
      </c>
      <c r="H1510">
        <f t="shared" si="46"/>
        <v>1210.9000000000001</v>
      </c>
      <c r="I1510">
        <f t="shared" si="47"/>
        <v>752.4</v>
      </c>
    </row>
    <row r="1511" spans="1:9" ht="30" x14ac:dyDescent="0.25">
      <c r="A1511" s="5" t="s">
        <v>454</v>
      </c>
      <c r="B1511" s="5" t="s">
        <v>10</v>
      </c>
      <c r="C1511" s="5" t="s">
        <v>1890</v>
      </c>
      <c r="D1511" s="3">
        <f>VLOOKUP(A1511,airports!A:H,7,FALSE)</f>
        <v>39.997985280000002</v>
      </c>
      <c r="E1511" s="3">
        <f>VLOOKUP(A1511,airports!A:H,8,FALSE)</f>
        <v>-82.891882780000003</v>
      </c>
      <c r="F1511" s="3">
        <f>VLOOKUP(B1511,airports!A:H,7,FALSE)</f>
        <v>33.640444440000003</v>
      </c>
      <c r="G1511" s="3">
        <f>VLOOKUP(B1511,airports!A:H,8,FALSE)</f>
        <v>-84.42694444</v>
      </c>
      <c r="H1511">
        <f t="shared" si="46"/>
        <v>720</v>
      </c>
      <c r="I1511">
        <f t="shared" si="47"/>
        <v>447.4</v>
      </c>
    </row>
    <row r="1512" spans="1:9" ht="30" x14ac:dyDescent="0.25">
      <c r="A1512" s="5" t="s">
        <v>454</v>
      </c>
      <c r="B1512" s="5" t="s">
        <v>13</v>
      </c>
      <c r="C1512" s="5" t="s">
        <v>1891</v>
      </c>
      <c r="D1512" s="3">
        <f>VLOOKUP(A1512,airports!A:H,7,FALSE)</f>
        <v>39.997985280000002</v>
      </c>
      <c r="E1512" s="3">
        <f>VLOOKUP(A1512,airports!A:H,8,FALSE)</f>
        <v>-82.891882780000003</v>
      </c>
      <c r="F1512" s="3">
        <f>VLOOKUP(B1512,airports!A:H,7,FALSE)</f>
        <v>30.194532779999999</v>
      </c>
      <c r="G1512" s="3">
        <f>VLOOKUP(B1512,airports!A:H,8,FALSE)</f>
        <v>-97.669871939999993</v>
      </c>
      <c r="H1512">
        <f t="shared" si="46"/>
        <v>1726.7</v>
      </c>
      <c r="I1512">
        <f t="shared" si="47"/>
        <v>1073</v>
      </c>
    </row>
    <row r="1513" spans="1:9" ht="30" x14ac:dyDescent="0.25">
      <c r="A1513" s="5" t="s">
        <v>454</v>
      </c>
      <c r="B1513" s="5" t="s">
        <v>19</v>
      </c>
      <c r="C1513" s="5" t="s">
        <v>1892</v>
      </c>
      <c r="D1513" s="3">
        <f>VLOOKUP(A1513,airports!A:H,7,FALSE)</f>
        <v>39.997985280000002</v>
      </c>
      <c r="E1513" s="3">
        <f>VLOOKUP(A1513,airports!A:H,8,FALSE)</f>
        <v>-82.891882780000003</v>
      </c>
      <c r="F1513" s="3">
        <f>VLOOKUP(B1513,airports!A:H,7,FALSE)</f>
        <v>36.12447667</v>
      </c>
      <c r="G1513" s="3">
        <f>VLOOKUP(B1513,airports!A:H,8,FALSE)</f>
        <v>-86.678182219999997</v>
      </c>
      <c r="H1513">
        <f t="shared" si="46"/>
        <v>543.4</v>
      </c>
      <c r="I1513">
        <f t="shared" si="47"/>
        <v>337.7</v>
      </c>
    </row>
    <row r="1514" spans="1:9" ht="30" x14ac:dyDescent="0.25">
      <c r="A1514" s="5" t="s">
        <v>454</v>
      </c>
      <c r="B1514" s="5" t="s">
        <v>24</v>
      </c>
      <c r="C1514" s="5" t="s">
        <v>1893</v>
      </c>
      <c r="D1514" s="3">
        <f>VLOOKUP(A1514,airports!A:H,7,FALSE)</f>
        <v>39.997985280000002</v>
      </c>
      <c r="E1514" s="3">
        <f>VLOOKUP(A1514,airports!A:H,8,FALSE)</f>
        <v>-82.891882780000003</v>
      </c>
      <c r="F1514" s="3">
        <f>VLOOKUP(B1514,airports!A:H,7,FALSE)</f>
        <v>42.364347500000001</v>
      </c>
      <c r="G1514" s="3">
        <f>VLOOKUP(B1514,airports!A:H,8,FALSE)</f>
        <v>-71.005179170000005</v>
      </c>
      <c r="H1514">
        <f t="shared" si="46"/>
        <v>1028</v>
      </c>
      <c r="I1514">
        <f t="shared" si="47"/>
        <v>638.79999999999995</v>
      </c>
    </row>
    <row r="1515" spans="1:9" ht="30" x14ac:dyDescent="0.25">
      <c r="A1515" s="5" t="s">
        <v>454</v>
      </c>
      <c r="B1515" s="5" t="s">
        <v>32</v>
      </c>
      <c r="C1515" s="5" t="s">
        <v>1894</v>
      </c>
      <c r="D1515" s="3">
        <f>VLOOKUP(A1515,airports!A:H,7,FALSE)</f>
        <v>39.997985280000002</v>
      </c>
      <c r="E1515" s="3">
        <f>VLOOKUP(A1515,airports!A:H,8,FALSE)</f>
        <v>-82.891882780000003</v>
      </c>
      <c r="F1515" s="3">
        <f>VLOOKUP(B1515,airports!A:H,7,FALSE)</f>
        <v>39.175401669999999</v>
      </c>
      <c r="G1515" s="3">
        <f>VLOOKUP(B1515,airports!A:H,8,FALSE)</f>
        <v>-76.668198329999996</v>
      </c>
      <c r="H1515">
        <f t="shared" si="46"/>
        <v>541</v>
      </c>
      <c r="I1515">
        <f t="shared" si="47"/>
        <v>336.2</v>
      </c>
    </row>
    <row r="1516" spans="1:9" ht="30" x14ac:dyDescent="0.25">
      <c r="A1516" s="5" t="s">
        <v>454</v>
      </c>
      <c r="B1516" s="5" t="s">
        <v>36</v>
      </c>
      <c r="C1516" s="5" t="s">
        <v>1895</v>
      </c>
      <c r="D1516" s="3">
        <f>VLOOKUP(A1516,airports!A:H,7,FALSE)</f>
        <v>39.997985280000002</v>
      </c>
      <c r="E1516" s="3">
        <f>VLOOKUP(A1516,airports!A:H,8,FALSE)</f>
        <v>-82.891882780000003</v>
      </c>
      <c r="F1516" s="3">
        <f>VLOOKUP(B1516,airports!A:H,7,FALSE)</f>
        <v>32.898646390000003</v>
      </c>
      <c r="G1516" s="3">
        <f>VLOOKUP(B1516,airports!A:H,8,FALSE)</f>
        <v>-80.040505830000001</v>
      </c>
      <c r="H1516">
        <f t="shared" si="46"/>
        <v>829.5</v>
      </c>
      <c r="I1516">
        <f t="shared" si="47"/>
        <v>515.4</v>
      </c>
    </row>
    <row r="1517" spans="1:9" ht="30" x14ac:dyDescent="0.25">
      <c r="A1517" s="5" t="s">
        <v>454</v>
      </c>
      <c r="B1517" s="5" t="s">
        <v>40</v>
      </c>
      <c r="C1517" s="5" t="s">
        <v>1896</v>
      </c>
      <c r="D1517" s="3">
        <f>VLOOKUP(A1517,airports!A:H,7,FALSE)</f>
        <v>39.997985280000002</v>
      </c>
      <c r="E1517" s="3">
        <f>VLOOKUP(A1517,airports!A:H,8,FALSE)</f>
        <v>-82.891882780000003</v>
      </c>
      <c r="F1517" s="3">
        <f>VLOOKUP(B1517,airports!A:H,7,FALSE)</f>
        <v>35.214011110000001</v>
      </c>
      <c r="G1517" s="3">
        <f>VLOOKUP(B1517,airports!A:H,8,FALSE)</f>
        <v>-80.94312583</v>
      </c>
      <c r="H1517">
        <f t="shared" si="46"/>
        <v>558.9</v>
      </c>
      <c r="I1517">
        <f t="shared" si="47"/>
        <v>347.3</v>
      </c>
    </row>
    <row r="1518" spans="1:9" ht="30" x14ac:dyDescent="0.25">
      <c r="A1518" s="5" t="s">
        <v>454</v>
      </c>
      <c r="B1518" s="5" t="s">
        <v>462</v>
      </c>
      <c r="C1518" s="5" t="s">
        <v>1897</v>
      </c>
      <c r="D1518" s="3">
        <f>VLOOKUP(A1518,airports!A:H,7,FALSE)</f>
        <v>39.997985280000002</v>
      </c>
      <c r="E1518" s="3">
        <f>VLOOKUP(A1518,airports!A:H,8,FALSE)</f>
        <v>-82.891882780000003</v>
      </c>
      <c r="F1518" s="3">
        <f>VLOOKUP(B1518,airports!A:H,7,FALSE)</f>
        <v>39.046142779999997</v>
      </c>
      <c r="G1518" s="3">
        <f>VLOOKUP(B1518,airports!A:H,8,FALSE)</f>
        <v>-84.662172499999997</v>
      </c>
      <c r="H1518">
        <f t="shared" si="46"/>
        <v>185.1</v>
      </c>
      <c r="I1518">
        <f t="shared" si="47"/>
        <v>115</v>
      </c>
    </row>
    <row r="1519" spans="1:9" ht="30" x14ac:dyDescent="0.25">
      <c r="A1519" s="5" t="s">
        <v>454</v>
      </c>
      <c r="B1519" s="5" t="s">
        <v>201</v>
      </c>
      <c r="C1519" s="5" t="s">
        <v>1898</v>
      </c>
      <c r="D1519" s="3">
        <f>VLOOKUP(A1519,airports!A:H,7,FALSE)</f>
        <v>39.997985280000002</v>
      </c>
      <c r="E1519" s="3">
        <f>VLOOKUP(A1519,airports!A:H,8,FALSE)</f>
        <v>-82.891882780000003</v>
      </c>
      <c r="F1519" s="3">
        <f>VLOOKUP(B1519,airports!A:H,7,FALSE)</f>
        <v>32.847113890000003</v>
      </c>
      <c r="G1519" s="3">
        <f>VLOOKUP(B1519,airports!A:H,8,FALSE)</f>
        <v>-96.851772220000001</v>
      </c>
      <c r="H1519">
        <f t="shared" si="46"/>
        <v>1477.9</v>
      </c>
      <c r="I1519">
        <f t="shared" si="47"/>
        <v>918.4</v>
      </c>
    </row>
    <row r="1520" spans="1:9" ht="30" x14ac:dyDescent="0.25">
      <c r="A1520" s="5" t="s">
        <v>454</v>
      </c>
      <c r="B1520" s="5" t="s">
        <v>45</v>
      </c>
      <c r="C1520" s="5" t="s">
        <v>1899</v>
      </c>
      <c r="D1520" s="3">
        <f>VLOOKUP(A1520,airports!A:H,7,FALSE)</f>
        <v>39.997985280000002</v>
      </c>
      <c r="E1520" s="3">
        <f>VLOOKUP(A1520,airports!A:H,8,FALSE)</f>
        <v>-82.891882780000003</v>
      </c>
      <c r="F1520" s="3">
        <f>VLOOKUP(B1520,airports!A:H,7,FALSE)</f>
        <v>38.852083329999999</v>
      </c>
      <c r="G1520" s="3">
        <f>VLOOKUP(B1520,airports!A:H,8,FALSE)</f>
        <v>-77.037722220000006</v>
      </c>
      <c r="H1520">
        <f t="shared" si="46"/>
        <v>518.6</v>
      </c>
      <c r="I1520">
        <f t="shared" si="47"/>
        <v>322.3</v>
      </c>
    </row>
    <row r="1521" spans="1:9" ht="30" x14ac:dyDescent="0.25">
      <c r="A1521" s="5" t="s">
        <v>454</v>
      </c>
      <c r="B1521" s="5" t="s">
        <v>47</v>
      </c>
      <c r="C1521" s="5" t="s">
        <v>1900</v>
      </c>
      <c r="D1521" s="3">
        <f>VLOOKUP(A1521,airports!A:H,7,FALSE)</f>
        <v>39.997985280000002</v>
      </c>
      <c r="E1521" s="3">
        <f>VLOOKUP(A1521,airports!A:H,8,FALSE)</f>
        <v>-82.891882780000003</v>
      </c>
      <c r="F1521" s="3">
        <f>VLOOKUP(B1521,airports!A:H,7,FALSE)</f>
        <v>39.858408060000002</v>
      </c>
      <c r="G1521" s="3">
        <f>VLOOKUP(B1521,airports!A:H,8,FALSE)</f>
        <v>-104.6670019</v>
      </c>
      <c r="H1521">
        <f t="shared" si="46"/>
        <v>1852.2</v>
      </c>
      <c r="I1521">
        <f t="shared" si="47"/>
        <v>1151</v>
      </c>
    </row>
    <row r="1522" spans="1:9" ht="30" x14ac:dyDescent="0.25">
      <c r="A1522" s="5" t="s">
        <v>454</v>
      </c>
      <c r="B1522" s="5" t="s">
        <v>49</v>
      </c>
      <c r="C1522" s="5" t="s">
        <v>1901</v>
      </c>
      <c r="D1522" s="3">
        <f>VLOOKUP(A1522,airports!A:H,7,FALSE)</f>
        <v>39.997985280000002</v>
      </c>
      <c r="E1522" s="3">
        <f>VLOOKUP(A1522,airports!A:H,8,FALSE)</f>
        <v>-82.891882780000003</v>
      </c>
      <c r="F1522" s="3">
        <f>VLOOKUP(B1522,airports!A:H,7,FALSE)</f>
        <v>32.895950560000003</v>
      </c>
      <c r="G1522" s="3">
        <f>VLOOKUP(B1522,airports!A:H,8,FALSE)</f>
        <v>-97.037199999999999</v>
      </c>
      <c r="H1522">
        <f t="shared" si="46"/>
        <v>1488.7</v>
      </c>
      <c r="I1522">
        <f t="shared" si="47"/>
        <v>925.1</v>
      </c>
    </row>
    <row r="1523" spans="1:9" ht="30" x14ac:dyDescent="0.25">
      <c r="A1523" s="5" t="s">
        <v>454</v>
      </c>
      <c r="B1523" s="5" t="s">
        <v>50</v>
      </c>
      <c r="C1523" s="5" t="s">
        <v>1902</v>
      </c>
      <c r="D1523" s="3">
        <f>VLOOKUP(A1523,airports!A:H,7,FALSE)</f>
        <v>39.997985280000002</v>
      </c>
      <c r="E1523" s="3">
        <f>VLOOKUP(A1523,airports!A:H,8,FALSE)</f>
        <v>-82.891882780000003</v>
      </c>
      <c r="F1523" s="3">
        <f>VLOOKUP(B1523,airports!A:H,7,FALSE)</f>
        <v>42.212058890000002</v>
      </c>
      <c r="G1523" s="3">
        <f>VLOOKUP(B1523,airports!A:H,8,FALSE)</f>
        <v>-83.348835829999999</v>
      </c>
      <c r="H1523">
        <f t="shared" si="46"/>
        <v>249.2</v>
      </c>
      <c r="I1523">
        <f t="shared" si="47"/>
        <v>154.80000000000001</v>
      </c>
    </row>
    <row r="1524" spans="1:9" ht="30" x14ac:dyDescent="0.25">
      <c r="A1524" s="5" t="s">
        <v>454</v>
      </c>
      <c r="B1524" s="5" t="s">
        <v>477</v>
      </c>
      <c r="C1524" s="5" t="s">
        <v>1903</v>
      </c>
      <c r="D1524" s="3">
        <f>VLOOKUP(A1524,airports!A:H,7,FALSE)</f>
        <v>39.997985280000002</v>
      </c>
      <c r="E1524" s="3">
        <f>VLOOKUP(A1524,airports!A:H,8,FALSE)</f>
        <v>-82.891882780000003</v>
      </c>
      <c r="F1524" s="3">
        <f>VLOOKUP(B1524,airports!A:H,7,FALSE)</f>
        <v>30.357106000000002</v>
      </c>
      <c r="G1524" s="3">
        <f>VLOOKUP(B1524,airports!A:H,8,FALSE)</f>
        <v>-85.795413999999994</v>
      </c>
      <c r="H1524">
        <f t="shared" si="46"/>
        <v>1103.8</v>
      </c>
      <c r="I1524">
        <f t="shared" si="47"/>
        <v>685.9</v>
      </c>
    </row>
    <row r="1525" spans="1:9" ht="30" x14ac:dyDescent="0.25">
      <c r="A1525" s="5" t="s">
        <v>454</v>
      </c>
      <c r="B1525" s="5" t="s">
        <v>848</v>
      </c>
      <c r="C1525" s="5" t="s">
        <v>1904</v>
      </c>
      <c r="D1525" s="3">
        <f>VLOOKUP(A1525,airports!A:H,7,FALSE)</f>
        <v>39.997985280000002</v>
      </c>
      <c r="E1525" s="3">
        <f>VLOOKUP(A1525,airports!A:H,8,FALSE)</f>
        <v>-82.891882780000003</v>
      </c>
      <c r="F1525" s="3">
        <f>VLOOKUP(B1525,airports!A:H,7,FALSE)</f>
        <v>44.123260000000002</v>
      </c>
      <c r="G1525" s="3">
        <f>VLOOKUP(B1525,airports!A:H,8,FALSE)</f>
        <v>-123.2186856</v>
      </c>
      <c r="H1525">
        <f t="shared" si="46"/>
        <v>3326.9</v>
      </c>
      <c r="I1525">
        <f t="shared" si="47"/>
        <v>2067.3000000000002</v>
      </c>
    </row>
    <row r="1526" spans="1:9" ht="30" x14ac:dyDescent="0.25">
      <c r="A1526" s="5" t="s">
        <v>454</v>
      </c>
      <c r="B1526" s="5" t="s">
        <v>52</v>
      </c>
      <c r="C1526" s="5" t="s">
        <v>1905</v>
      </c>
      <c r="D1526" s="3">
        <f>VLOOKUP(A1526,airports!A:H,7,FALSE)</f>
        <v>39.997985280000002</v>
      </c>
      <c r="E1526" s="3">
        <f>VLOOKUP(A1526,airports!A:H,8,FALSE)</f>
        <v>-82.891882780000003</v>
      </c>
      <c r="F1526" s="3">
        <f>VLOOKUP(B1526,airports!A:H,7,FALSE)</f>
        <v>40.69249722</v>
      </c>
      <c r="G1526" s="3">
        <f>VLOOKUP(B1526,airports!A:H,8,FALSE)</f>
        <v>-74.168660560000006</v>
      </c>
      <c r="H1526">
        <f t="shared" si="46"/>
        <v>743</v>
      </c>
      <c r="I1526">
        <f t="shared" si="47"/>
        <v>461.7</v>
      </c>
    </row>
    <row r="1527" spans="1:9" ht="30" x14ac:dyDescent="0.25">
      <c r="A1527" s="5" t="s">
        <v>454</v>
      </c>
      <c r="B1527" s="5" t="s">
        <v>57</v>
      </c>
      <c r="C1527" s="5" t="s">
        <v>1906</v>
      </c>
      <c r="D1527" s="3">
        <f>VLOOKUP(A1527,airports!A:H,7,FALSE)</f>
        <v>39.997985280000002</v>
      </c>
      <c r="E1527" s="3">
        <f>VLOOKUP(A1527,airports!A:H,8,FALSE)</f>
        <v>-82.891882780000003</v>
      </c>
      <c r="F1527" s="3">
        <f>VLOOKUP(B1527,airports!A:H,7,FALSE)</f>
        <v>26.072583330000001</v>
      </c>
      <c r="G1527" s="3">
        <f>VLOOKUP(B1527,airports!A:H,8,FALSE)</f>
        <v>-80.152749999999997</v>
      </c>
      <c r="H1527">
        <f t="shared" si="46"/>
        <v>1569.1</v>
      </c>
      <c r="I1527">
        <f t="shared" si="47"/>
        <v>975.1</v>
      </c>
    </row>
    <row r="1528" spans="1:9" ht="30" x14ac:dyDescent="0.25">
      <c r="A1528" s="5" t="s">
        <v>454</v>
      </c>
      <c r="B1528" s="5" t="s">
        <v>524</v>
      </c>
      <c r="C1528" s="5" t="s">
        <v>1907</v>
      </c>
      <c r="D1528" s="3">
        <f>VLOOKUP(A1528,airports!A:H,7,FALSE)</f>
        <v>39.997985280000002</v>
      </c>
      <c r="E1528" s="3">
        <f>VLOOKUP(A1528,airports!A:H,8,FALSE)</f>
        <v>-82.891882780000003</v>
      </c>
      <c r="F1528" s="3">
        <f>VLOOKUP(B1528,airports!A:H,7,FALSE)</f>
        <v>32.224399566700001</v>
      </c>
      <c r="G1528" s="3">
        <f>VLOOKUP(B1528,airports!A:H,8,FALSE)</f>
        <v>-80.697502136200001</v>
      </c>
      <c r="H1528">
        <f t="shared" si="46"/>
        <v>886.5</v>
      </c>
      <c r="I1528">
        <f t="shared" si="47"/>
        <v>550.9</v>
      </c>
    </row>
    <row r="1529" spans="1:9" ht="30" x14ac:dyDescent="0.25">
      <c r="A1529" s="5" t="s">
        <v>454</v>
      </c>
      <c r="B1529" s="5" t="s">
        <v>205</v>
      </c>
      <c r="C1529" s="5" t="s">
        <v>1908</v>
      </c>
      <c r="D1529" s="3">
        <f>VLOOKUP(A1529,airports!A:H,7,FALSE)</f>
        <v>39.997985280000002</v>
      </c>
      <c r="E1529" s="3">
        <f>VLOOKUP(A1529,airports!A:H,8,FALSE)</f>
        <v>-82.891882780000003</v>
      </c>
      <c r="F1529" s="3">
        <f>VLOOKUP(B1529,airports!A:H,7,FALSE)</f>
        <v>29.64541861</v>
      </c>
      <c r="G1529" s="3">
        <f>VLOOKUP(B1529,airports!A:H,8,FALSE)</f>
        <v>-95.278888890000005</v>
      </c>
      <c r="H1529">
        <f t="shared" si="46"/>
        <v>1610.4</v>
      </c>
      <c r="I1529">
        <f t="shared" si="47"/>
        <v>1000.7</v>
      </c>
    </row>
    <row r="1530" spans="1:9" ht="30" x14ac:dyDescent="0.25">
      <c r="A1530" s="5" t="s">
        <v>454</v>
      </c>
      <c r="B1530" s="5" t="s">
        <v>176</v>
      </c>
      <c r="C1530" s="5" t="s">
        <v>1909</v>
      </c>
      <c r="D1530" s="3">
        <f>VLOOKUP(A1530,airports!A:H,7,FALSE)</f>
        <v>39.997985280000002</v>
      </c>
      <c r="E1530" s="3">
        <f>VLOOKUP(A1530,airports!A:H,8,FALSE)</f>
        <v>-82.891882780000003</v>
      </c>
      <c r="F1530" s="3">
        <f>VLOOKUP(B1530,airports!A:H,7,FALSE)</f>
        <v>38.944531939999997</v>
      </c>
      <c r="G1530" s="3">
        <f>VLOOKUP(B1530,airports!A:H,8,FALSE)</f>
        <v>-77.455809720000005</v>
      </c>
      <c r="H1530">
        <f t="shared" si="46"/>
        <v>481</v>
      </c>
      <c r="I1530">
        <f t="shared" si="47"/>
        <v>298.89999999999998</v>
      </c>
    </row>
    <row r="1531" spans="1:9" ht="30" x14ac:dyDescent="0.25">
      <c r="A1531" s="5" t="s">
        <v>454</v>
      </c>
      <c r="B1531" s="5" t="s">
        <v>67</v>
      </c>
      <c r="C1531" s="5" t="s">
        <v>1910</v>
      </c>
      <c r="D1531" s="3">
        <f>VLOOKUP(A1531,airports!A:H,7,FALSE)</f>
        <v>39.997985280000002</v>
      </c>
      <c r="E1531" s="3">
        <f>VLOOKUP(A1531,airports!A:H,8,FALSE)</f>
        <v>-82.891882780000003</v>
      </c>
      <c r="F1531" s="3">
        <f>VLOOKUP(B1531,airports!A:H,7,FALSE)</f>
        <v>29.980472219999999</v>
      </c>
      <c r="G1531" s="3">
        <f>VLOOKUP(B1531,airports!A:H,8,FALSE)</f>
        <v>-95.339722219999999</v>
      </c>
      <c r="H1531">
        <f t="shared" si="46"/>
        <v>1586.5</v>
      </c>
      <c r="I1531">
        <f t="shared" si="47"/>
        <v>985.8</v>
      </c>
    </row>
    <row r="1532" spans="1:9" ht="30" x14ac:dyDescent="0.25">
      <c r="A1532" s="5" t="s">
        <v>454</v>
      </c>
      <c r="B1532" s="5" t="s">
        <v>69</v>
      </c>
      <c r="C1532" s="5" t="s">
        <v>1911</v>
      </c>
      <c r="D1532" s="3">
        <f>VLOOKUP(A1532,airports!A:H,7,FALSE)</f>
        <v>39.997985280000002</v>
      </c>
      <c r="E1532" s="3">
        <f>VLOOKUP(A1532,airports!A:H,8,FALSE)</f>
        <v>-82.891882780000003</v>
      </c>
      <c r="F1532" s="3">
        <f>VLOOKUP(B1532,airports!A:H,7,FALSE)</f>
        <v>40.639751109999999</v>
      </c>
      <c r="G1532" s="3">
        <f>VLOOKUP(B1532,airports!A:H,8,FALSE)</f>
        <v>-73.778925560000005</v>
      </c>
      <c r="H1532">
        <f t="shared" si="46"/>
        <v>775.5</v>
      </c>
      <c r="I1532">
        <f t="shared" si="47"/>
        <v>481.9</v>
      </c>
    </row>
    <row r="1533" spans="1:9" ht="30" x14ac:dyDescent="0.25">
      <c r="A1533" s="5" t="s">
        <v>454</v>
      </c>
      <c r="B1533" s="5" t="s">
        <v>71</v>
      </c>
      <c r="C1533" s="5" t="s">
        <v>1912</v>
      </c>
      <c r="D1533" s="3">
        <f>VLOOKUP(A1533,airports!A:H,7,FALSE)</f>
        <v>39.997985280000002</v>
      </c>
      <c r="E1533" s="3">
        <f>VLOOKUP(A1533,airports!A:H,8,FALSE)</f>
        <v>-82.891882780000003</v>
      </c>
      <c r="F1533" s="3">
        <f>VLOOKUP(B1533,airports!A:H,7,FALSE)</f>
        <v>36.080361109999998</v>
      </c>
      <c r="G1533" s="3">
        <f>VLOOKUP(B1533,airports!A:H,8,FALSE)</f>
        <v>-115.1523333</v>
      </c>
      <c r="H1533">
        <f t="shared" si="46"/>
        <v>2842.8</v>
      </c>
      <c r="I1533">
        <f t="shared" si="47"/>
        <v>1766.6</v>
      </c>
    </row>
    <row r="1534" spans="1:9" ht="30" x14ac:dyDescent="0.25">
      <c r="A1534" s="5" t="s">
        <v>454</v>
      </c>
      <c r="B1534" s="5" t="s">
        <v>73</v>
      </c>
      <c r="C1534" s="5" t="s">
        <v>1913</v>
      </c>
      <c r="D1534" s="3">
        <f>VLOOKUP(A1534,airports!A:H,7,FALSE)</f>
        <v>39.997985280000002</v>
      </c>
      <c r="E1534" s="3">
        <f>VLOOKUP(A1534,airports!A:H,8,FALSE)</f>
        <v>-82.891882780000003</v>
      </c>
      <c r="F1534" s="3">
        <f>VLOOKUP(B1534,airports!A:H,7,FALSE)</f>
        <v>33.942536109999999</v>
      </c>
      <c r="G1534" s="3">
        <f>VLOOKUP(B1534,airports!A:H,8,FALSE)</f>
        <v>-118.4080744</v>
      </c>
      <c r="H1534">
        <f t="shared" si="46"/>
        <v>3204.1</v>
      </c>
      <c r="I1534">
        <f t="shared" si="47"/>
        <v>1991</v>
      </c>
    </row>
    <row r="1535" spans="1:9" ht="30" x14ac:dyDescent="0.25">
      <c r="A1535" s="5" t="s">
        <v>454</v>
      </c>
      <c r="B1535" s="5" t="s">
        <v>74</v>
      </c>
      <c r="C1535" s="5" t="s">
        <v>1914</v>
      </c>
      <c r="D1535" s="3">
        <f>VLOOKUP(A1535,airports!A:H,7,FALSE)</f>
        <v>39.997985280000002</v>
      </c>
      <c r="E1535" s="3">
        <f>VLOOKUP(A1535,airports!A:H,8,FALSE)</f>
        <v>-82.891882780000003</v>
      </c>
      <c r="F1535" s="3">
        <f>VLOOKUP(B1535,airports!A:H,7,FALSE)</f>
        <v>40.777243060000004</v>
      </c>
      <c r="G1535" s="3">
        <f>VLOOKUP(B1535,airports!A:H,8,FALSE)</f>
        <v>-73.872609170000004</v>
      </c>
      <c r="H1535">
        <f t="shared" si="46"/>
        <v>768.4</v>
      </c>
      <c r="I1535">
        <f t="shared" si="47"/>
        <v>477.5</v>
      </c>
    </row>
    <row r="1536" spans="1:9" ht="30" x14ac:dyDescent="0.25">
      <c r="A1536" s="5" t="s">
        <v>454</v>
      </c>
      <c r="B1536" s="5" t="s">
        <v>556</v>
      </c>
      <c r="C1536" s="5" t="s">
        <v>1915</v>
      </c>
      <c r="D1536" s="3">
        <f>VLOOKUP(A1536,airports!A:H,7,FALSE)</f>
        <v>39.997985280000002</v>
      </c>
      <c r="E1536" s="3">
        <f>VLOOKUP(A1536,airports!A:H,8,FALSE)</f>
        <v>-82.891882780000003</v>
      </c>
      <c r="F1536" s="3">
        <f>VLOOKUP(B1536,airports!A:H,7,FALSE)</f>
        <v>40.850972220000003</v>
      </c>
      <c r="G1536" s="3">
        <f>VLOOKUP(B1536,airports!A:H,8,FALSE)</f>
        <v>-96.759249999999994</v>
      </c>
      <c r="H1536">
        <f t="shared" si="46"/>
        <v>1176.4000000000001</v>
      </c>
      <c r="I1536">
        <f t="shared" si="47"/>
        <v>731</v>
      </c>
    </row>
    <row r="1537" spans="1:9" ht="30" x14ac:dyDescent="0.25">
      <c r="A1537" s="5" t="s">
        <v>454</v>
      </c>
      <c r="B1537" s="5" t="s">
        <v>82</v>
      </c>
      <c r="C1537" s="5" t="s">
        <v>1916</v>
      </c>
      <c r="D1537" s="3">
        <f>VLOOKUP(A1537,airports!A:H,7,FALSE)</f>
        <v>39.997985280000002</v>
      </c>
      <c r="E1537" s="3">
        <f>VLOOKUP(A1537,airports!A:H,8,FALSE)</f>
        <v>-82.891882780000003</v>
      </c>
      <c r="F1537" s="3">
        <f>VLOOKUP(B1537,airports!A:H,7,FALSE)</f>
        <v>28.42888889</v>
      </c>
      <c r="G1537" s="3">
        <f>VLOOKUP(B1537,airports!A:H,8,FALSE)</f>
        <v>-81.316027779999999</v>
      </c>
      <c r="H1537">
        <f t="shared" si="46"/>
        <v>1294.5</v>
      </c>
      <c r="I1537">
        <f t="shared" si="47"/>
        <v>804.4</v>
      </c>
    </row>
    <row r="1538" spans="1:9" ht="30" x14ac:dyDescent="0.25">
      <c r="A1538" s="5" t="s">
        <v>454</v>
      </c>
      <c r="B1538" s="5" t="s">
        <v>180</v>
      </c>
      <c r="C1538" s="5" t="s">
        <v>1917</v>
      </c>
      <c r="D1538" s="3">
        <f>VLOOKUP(A1538,airports!A:H,7,FALSE)</f>
        <v>39.997985280000002</v>
      </c>
      <c r="E1538" s="3">
        <f>VLOOKUP(A1538,airports!A:H,8,FALSE)</f>
        <v>-82.891882780000003</v>
      </c>
      <c r="F1538" s="3">
        <f>VLOOKUP(B1538,airports!A:H,7,FALSE)</f>
        <v>41.785982500000003</v>
      </c>
      <c r="G1538" s="3">
        <f>VLOOKUP(B1538,airports!A:H,8,FALSE)</f>
        <v>-87.752424439999999</v>
      </c>
      <c r="H1538">
        <f t="shared" si="46"/>
        <v>454.3</v>
      </c>
      <c r="I1538">
        <f t="shared" si="47"/>
        <v>282.3</v>
      </c>
    </row>
    <row r="1539" spans="1:9" ht="30" x14ac:dyDescent="0.25">
      <c r="A1539" s="5" t="s">
        <v>454</v>
      </c>
      <c r="B1539" s="5" t="s">
        <v>84</v>
      </c>
      <c r="C1539" s="5" t="s">
        <v>1918</v>
      </c>
      <c r="D1539" s="3">
        <f>VLOOKUP(A1539,airports!A:H,7,FALSE)</f>
        <v>39.997985280000002</v>
      </c>
      <c r="E1539" s="3">
        <f>VLOOKUP(A1539,airports!A:H,8,FALSE)</f>
        <v>-82.891882780000003</v>
      </c>
      <c r="F1539" s="3">
        <f>VLOOKUP(B1539,airports!A:H,7,FALSE)</f>
        <v>25.79325</v>
      </c>
      <c r="G1539" s="3">
        <f>VLOOKUP(B1539,airports!A:H,8,FALSE)</f>
        <v>-80.290555560000001</v>
      </c>
      <c r="H1539">
        <f t="shared" si="46"/>
        <v>1597.8</v>
      </c>
      <c r="I1539">
        <f t="shared" si="47"/>
        <v>992.9</v>
      </c>
    </row>
    <row r="1540" spans="1:9" ht="30" x14ac:dyDescent="0.25">
      <c r="A1540" s="5" t="s">
        <v>454</v>
      </c>
      <c r="B1540" s="5" t="s">
        <v>579</v>
      </c>
      <c r="C1540" s="5" t="s">
        <v>1919</v>
      </c>
      <c r="D1540" s="3">
        <f>VLOOKUP(A1540,airports!A:H,7,FALSE)</f>
        <v>39.997985280000002</v>
      </c>
      <c r="E1540" s="3">
        <f>VLOOKUP(A1540,airports!A:H,8,FALSE)</f>
        <v>-82.891882780000003</v>
      </c>
      <c r="F1540" s="3">
        <f>VLOOKUP(B1540,airports!A:H,7,FALSE)</f>
        <v>43.13985778</v>
      </c>
      <c r="G1540" s="3">
        <f>VLOOKUP(B1540,airports!A:H,8,FALSE)</f>
        <v>-89.337513610000002</v>
      </c>
      <c r="H1540">
        <f t="shared" ref="H1540:H1603" si="48">ROUND(ACOS(COS(RADIANS(90-D1540)) * COS(RADIANS(90-F1540)) + SIN(RADIANS(90-D1540)) * SIN(RADIANS(90-F1540)) * COS(RADIANS(E1540-G1540))) * 6371,1)</f>
        <v>639.70000000000005</v>
      </c>
      <c r="I1540">
        <f t="shared" ref="I1540:I1603" si="49">ROUND(ACOS(COS(RADIANS(90-D1540)) * COS(RADIANS(90-F1540)) + SIN(RADIANS(90-D1540)) * SIN(RADIANS(90-F1540)) * COS(RADIANS(E1540-G1540))) * 3959,1)</f>
        <v>397.5</v>
      </c>
    </row>
    <row r="1541" spans="1:9" ht="30" x14ac:dyDescent="0.25">
      <c r="A1541" s="5" t="s">
        <v>454</v>
      </c>
      <c r="B1541" s="5" t="s">
        <v>87</v>
      </c>
      <c r="C1541" s="5" t="s">
        <v>1920</v>
      </c>
      <c r="D1541" s="3">
        <f>VLOOKUP(A1541,airports!A:H,7,FALSE)</f>
        <v>39.997985280000002</v>
      </c>
      <c r="E1541" s="3">
        <f>VLOOKUP(A1541,airports!A:H,8,FALSE)</f>
        <v>-82.891882780000003</v>
      </c>
      <c r="F1541" s="3">
        <f>VLOOKUP(B1541,airports!A:H,7,FALSE)</f>
        <v>44.880546940000002</v>
      </c>
      <c r="G1541" s="3">
        <f>VLOOKUP(B1541,airports!A:H,8,FALSE)</f>
        <v>-93.216922499999995</v>
      </c>
      <c r="H1541">
        <f t="shared" si="48"/>
        <v>1005.1</v>
      </c>
      <c r="I1541">
        <f t="shared" si="49"/>
        <v>624.6</v>
      </c>
    </row>
    <row r="1542" spans="1:9" ht="30" x14ac:dyDescent="0.25">
      <c r="A1542" s="5" t="s">
        <v>454</v>
      </c>
      <c r="B1542" s="5" t="s">
        <v>89</v>
      </c>
      <c r="C1542" s="5" t="s">
        <v>1921</v>
      </c>
      <c r="D1542" s="3">
        <f>VLOOKUP(A1542,airports!A:H,7,FALSE)</f>
        <v>39.997985280000002</v>
      </c>
      <c r="E1542" s="3">
        <f>VLOOKUP(A1542,airports!A:H,8,FALSE)</f>
        <v>-82.891882780000003</v>
      </c>
      <c r="F1542" s="3">
        <f>VLOOKUP(B1542,airports!A:H,7,FALSE)</f>
        <v>29.993388889999999</v>
      </c>
      <c r="G1542" s="3">
        <f>VLOOKUP(B1542,airports!A:H,8,FALSE)</f>
        <v>-90.258027780000006</v>
      </c>
      <c r="H1542">
        <f t="shared" si="48"/>
        <v>1298</v>
      </c>
      <c r="I1542">
        <f t="shared" si="49"/>
        <v>806.6</v>
      </c>
    </row>
    <row r="1543" spans="1:9" ht="30" x14ac:dyDescent="0.25">
      <c r="A1543" s="5" t="s">
        <v>454</v>
      </c>
      <c r="B1543" s="5" t="s">
        <v>182</v>
      </c>
      <c r="C1543" s="5" t="s">
        <v>1922</v>
      </c>
      <c r="D1543" s="3">
        <f>VLOOKUP(A1543,airports!A:H,7,FALSE)</f>
        <v>39.997985280000002</v>
      </c>
      <c r="E1543" s="3">
        <f>VLOOKUP(A1543,airports!A:H,8,FALSE)</f>
        <v>-82.891882780000003</v>
      </c>
      <c r="F1543" s="3">
        <f>VLOOKUP(B1543,airports!A:H,7,FALSE)</f>
        <v>33.679749999999999</v>
      </c>
      <c r="G1543" s="3">
        <f>VLOOKUP(B1543,airports!A:H,8,FALSE)</f>
        <v>-78.928333330000001</v>
      </c>
      <c r="H1543">
        <f t="shared" si="48"/>
        <v>785.9</v>
      </c>
      <c r="I1543">
        <f t="shared" si="49"/>
        <v>488.4</v>
      </c>
    </row>
    <row r="1544" spans="1:9" ht="30" x14ac:dyDescent="0.25">
      <c r="A1544" s="5" t="s">
        <v>454</v>
      </c>
      <c r="B1544" s="5" t="s">
        <v>215</v>
      </c>
      <c r="C1544" s="5" t="s">
        <v>1923</v>
      </c>
      <c r="D1544" s="3">
        <f>VLOOKUP(A1544,airports!A:H,7,FALSE)</f>
        <v>39.997985280000002</v>
      </c>
      <c r="E1544" s="3">
        <f>VLOOKUP(A1544,airports!A:H,8,FALSE)</f>
        <v>-82.891882780000003</v>
      </c>
      <c r="F1544" s="3">
        <f>VLOOKUP(B1544,airports!A:H,7,FALSE)</f>
        <v>37.721290830000001</v>
      </c>
      <c r="G1544" s="3">
        <f>VLOOKUP(B1544,airports!A:H,8,FALSE)</f>
        <v>-122.2207167</v>
      </c>
      <c r="H1544">
        <f t="shared" si="48"/>
        <v>3387.1</v>
      </c>
      <c r="I1544">
        <f t="shared" si="49"/>
        <v>2104.8000000000002</v>
      </c>
    </row>
    <row r="1545" spans="1:9" ht="30" x14ac:dyDescent="0.25">
      <c r="A1545" s="5" t="s">
        <v>454</v>
      </c>
      <c r="B1545" s="5" t="s">
        <v>95</v>
      </c>
      <c r="C1545" s="5" t="s">
        <v>1924</v>
      </c>
      <c r="D1545" s="3">
        <f>VLOOKUP(A1545,airports!A:H,7,FALSE)</f>
        <v>39.997985280000002</v>
      </c>
      <c r="E1545" s="3">
        <f>VLOOKUP(A1545,airports!A:H,8,FALSE)</f>
        <v>-82.891882780000003</v>
      </c>
      <c r="F1545" s="3">
        <f>VLOOKUP(B1545,airports!A:H,7,FALSE)</f>
        <v>41.979595000000003</v>
      </c>
      <c r="G1545" s="3">
        <f>VLOOKUP(B1545,airports!A:H,8,FALSE)</f>
        <v>-87.904464169999997</v>
      </c>
      <c r="H1545">
        <f t="shared" si="48"/>
        <v>474.8</v>
      </c>
      <c r="I1545">
        <f t="shared" si="49"/>
        <v>295.10000000000002</v>
      </c>
    </row>
    <row r="1546" spans="1:9" ht="30" x14ac:dyDescent="0.25">
      <c r="A1546" s="5" t="s">
        <v>454</v>
      </c>
      <c r="B1546" s="5" t="s">
        <v>99</v>
      </c>
      <c r="C1546" s="5" t="s">
        <v>1925</v>
      </c>
      <c r="D1546" s="3">
        <f>VLOOKUP(A1546,airports!A:H,7,FALSE)</f>
        <v>39.997985280000002</v>
      </c>
      <c r="E1546" s="3">
        <f>VLOOKUP(A1546,airports!A:H,8,FALSE)</f>
        <v>-82.891882780000003</v>
      </c>
      <c r="F1546" s="3">
        <f>VLOOKUP(B1546,airports!A:H,7,FALSE)</f>
        <v>26.683161940000002</v>
      </c>
      <c r="G1546" s="3">
        <f>VLOOKUP(B1546,airports!A:H,8,FALSE)</f>
        <v>-80.095594169999998</v>
      </c>
      <c r="H1546">
        <f t="shared" si="48"/>
        <v>1502.9</v>
      </c>
      <c r="I1546">
        <f t="shared" si="49"/>
        <v>933.9</v>
      </c>
    </row>
    <row r="1547" spans="1:9" ht="30" x14ac:dyDescent="0.25">
      <c r="A1547" s="5" t="s">
        <v>454</v>
      </c>
      <c r="B1547" s="5" t="s">
        <v>100</v>
      </c>
      <c r="C1547" s="5" t="s">
        <v>1926</v>
      </c>
      <c r="D1547" s="3">
        <f>VLOOKUP(A1547,airports!A:H,7,FALSE)</f>
        <v>39.997985280000002</v>
      </c>
      <c r="E1547" s="3">
        <f>VLOOKUP(A1547,airports!A:H,8,FALSE)</f>
        <v>-82.891882780000003</v>
      </c>
      <c r="F1547" s="3">
        <f>VLOOKUP(B1547,airports!A:H,7,FALSE)</f>
        <v>45.588722220000001</v>
      </c>
      <c r="G1547" s="3">
        <f>VLOOKUP(B1547,airports!A:H,8,FALSE)</f>
        <v>-122.5975</v>
      </c>
      <c r="H1547">
        <f t="shared" si="48"/>
        <v>3264.3</v>
      </c>
      <c r="I1547">
        <f t="shared" si="49"/>
        <v>2028.5</v>
      </c>
    </row>
    <row r="1548" spans="1:9" ht="30" x14ac:dyDescent="0.25">
      <c r="A1548" s="5" t="s">
        <v>454</v>
      </c>
      <c r="B1548" s="5" t="s">
        <v>102</v>
      </c>
      <c r="C1548" s="5" t="s">
        <v>1927</v>
      </c>
      <c r="D1548" s="3">
        <f>VLOOKUP(A1548,airports!A:H,7,FALSE)</f>
        <v>39.997985280000002</v>
      </c>
      <c r="E1548" s="3">
        <f>VLOOKUP(A1548,airports!A:H,8,FALSE)</f>
        <v>-82.891882780000003</v>
      </c>
      <c r="F1548" s="3">
        <f>VLOOKUP(B1548,airports!A:H,7,FALSE)</f>
        <v>39.871952780000001</v>
      </c>
      <c r="G1548" s="3">
        <f>VLOOKUP(B1548,airports!A:H,8,FALSE)</f>
        <v>-75.241140830000006</v>
      </c>
      <c r="H1548">
        <f t="shared" si="48"/>
        <v>652.29999999999995</v>
      </c>
      <c r="I1548">
        <f t="shared" si="49"/>
        <v>405.3</v>
      </c>
    </row>
    <row r="1549" spans="1:9" ht="30" x14ac:dyDescent="0.25">
      <c r="A1549" s="5" t="s">
        <v>454</v>
      </c>
      <c r="B1549" s="5" t="s">
        <v>104</v>
      </c>
      <c r="C1549" s="5" t="s">
        <v>1928</v>
      </c>
      <c r="D1549" s="3">
        <f>VLOOKUP(A1549,airports!A:H,7,FALSE)</f>
        <v>39.997985280000002</v>
      </c>
      <c r="E1549" s="3">
        <f>VLOOKUP(A1549,airports!A:H,8,FALSE)</f>
        <v>-82.891882780000003</v>
      </c>
      <c r="F1549" s="3">
        <f>VLOOKUP(B1549,airports!A:H,7,FALSE)</f>
        <v>33.434166670000003</v>
      </c>
      <c r="G1549" s="3">
        <f>VLOOKUP(B1549,airports!A:H,8,FALSE)</f>
        <v>-112.00805560000001</v>
      </c>
      <c r="H1549">
        <f t="shared" si="48"/>
        <v>2682.5</v>
      </c>
      <c r="I1549">
        <f t="shared" si="49"/>
        <v>1666.9</v>
      </c>
    </row>
    <row r="1550" spans="1:9" ht="30" x14ac:dyDescent="0.25">
      <c r="A1550" s="5" t="s">
        <v>454</v>
      </c>
      <c r="B1550" s="5" t="s">
        <v>607</v>
      </c>
      <c r="C1550" s="5" t="s">
        <v>1929</v>
      </c>
      <c r="D1550" s="3">
        <f>VLOOKUP(A1550,airports!A:H,7,FALSE)</f>
        <v>39.997985280000002</v>
      </c>
      <c r="E1550" s="3">
        <f>VLOOKUP(A1550,airports!A:H,8,FALSE)</f>
        <v>-82.891882780000003</v>
      </c>
      <c r="F1550" s="3">
        <f>VLOOKUP(B1550,airports!A:H,7,FALSE)</f>
        <v>30.47330556</v>
      </c>
      <c r="G1550" s="3">
        <f>VLOOKUP(B1550,airports!A:H,8,FALSE)</f>
        <v>-87.187444439999993</v>
      </c>
      <c r="H1550">
        <f t="shared" si="48"/>
        <v>1128.3</v>
      </c>
      <c r="I1550">
        <f t="shared" si="49"/>
        <v>701.1</v>
      </c>
    </row>
    <row r="1551" spans="1:9" ht="30" x14ac:dyDescent="0.25">
      <c r="A1551" s="5" t="s">
        <v>454</v>
      </c>
      <c r="B1551" s="5" t="s">
        <v>117</v>
      </c>
      <c r="C1551" s="5" t="s">
        <v>1930</v>
      </c>
      <c r="D1551" s="3">
        <f>VLOOKUP(A1551,airports!A:H,7,FALSE)</f>
        <v>39.997985280000002</v>
      </c>
      <c r="E1551" s="3">
        <f>VLOOKUP(A1551,airports!A:H,8,FALSE)</f>
        <v>-82.891882780000003</v>
      </c>
      <c r="F1551" s="3">
        <f>VLOOKUP(B1551,airports!A:H,7,FALSE)</f>
        <v>43.646166669999999</v>
      </c>
      <c r="G1551" s="3">
        <f>VLOOKUP(B1551,airports!A:H,8,FALSE)</f>
        <v>-70.308750000000003</v>
      </c>
      <c r="H1551">
        <f t="shared" si="48"/>
        <v>1117.4000000000001</v>
      </c>
      <c r="I1551">
        <f t="shared" si="49"/>
        <v>694.4</v>
      </c>
    </row>
    <row r="1552" spans="1:9" ht="30" x14ac:dyDescent="0.25">
      <c r="A1552" s="5" t="s">
        <v>454</v>
      </c>
      <c r="B1552" s="5" t="s">
        <v>119</v>
      </c>
      <c r="C1552" s="5" t="s">
        <v>1931</v>
      </c>
      <c r="D1552" s="3">
        <f>VLOOKUP(A1552,airports!A:H,7,FALSE)</f>
        <v>39.997985280000002</v>
      </c>
      <c r="E1552" s="3">
        <f>VLOOKUP(A1552,airports!A:H,8,FALSE)</f>
        <v>-82.891882780000003</v>
      </c>
      <c r="F1552" s="3">
        <f>VLOOKUP(B1552,airports!A:H,7,FALSE)</f>
        <v>35.87763889</v>
      </c>
      <c r="G1552" s="3">
        <f>VLOOKUP(B1552,airports!A:H,8,FALSE)</f>
        <v>-78.787472219999998</v>
      </c>
      <c r="H1552">
        <f t="shared" si="48"/>
        <v>582.5</v>
      </c>
      <c r="I1552">
        <f t="shared" si="49"/>
        <v>362</v>
      </c>
    </row>
    <row r="1553" spans="1:9" ht="30" x14ac:dyDescent="0.25">
      <c r="A1553" s="5" t="s">
        <v>454</v>
      </c>
      <c r="B1553" s="5" t="s">
        <v>123</v>
      </c>
      <c r="C1553" s="5" t="s">
        <v>1932</v>
      </c>
      <c r="D1553" s="3">
        <f>VLOOKUP(A1553,airports!A:H,7,FALSE)</f>
        <v>39.997985280000002</v>
      </c>
      <c r="E1553" s="3">
        <f>VLOOKUP(A1553,airports!A:H,8,FALSE)</f>
        <v>-82.891882780000003</v>
      </c>
      <c r="F1553" s="3">
        <f>VLOOKUP(B1553,airports!A:H,7,FALSE)</f>
        <v>26.53616667</v>
      </c>
      <c r="G1553" s="3">
        <f>VLOOKUP(B1553,airports!A:H,8,FALSE)</f>
        <v>-81.755166669999994</v>
      </c>
      <c r="H1553">
        <f t="shared" si="48"/>
        <v>1500.6</v>
      </c>
      <c r="I1553">
        <f t="shared" si="49"/>
        <v>932.5</v>
      </c>
    </row>
    <row r="1554" spans="1:9" ht="30" x14ac:dyDescent="0.25">
      <c r="A1554" s="5" t="s">
        <v>454</v>
      </c>
      <c r="B1554" s="5" t="s">
        <v>125</v>
      </c>
      <c r="C1554" s="5" t="s">
        <v>1933</v>
      </c>
      <c r="D1554" s="3">
        <f>VLOOKUP(A1554,airports!A:H,7,FALSE)</f>
        <v>39.997985280000002</v>
      </c>
      <c r="E1554" s="3">
        <f>VLOOKUP(A1554,airports!A:H,8,FALSE)</f>
        <v>-82.891882780000003</v>
      </c>
      <c r="F1554" s="3">
        <f>VLOOKUP(B1554,airports!A:H,7,FALSE)</f>
        <v>29.533694440000001</v>
      </c>
      <c r="G1554" s="3">
        <f>VLOOKUP(B1554,airports!A:H,8,FALSE)</f>
        <v>-98.469777780000001</v>
      </c>
      <c r="H1554">
        <f t="shared" si="48"/>
        <v>1833.3</v>
      </c>
      <c r="I1554">
        <f t="shared" si="49"/>
        <v>1139.2</v>
      </c>
    </row>
    <row r="1555" spans="1:9" ht="30" x14ac:dyDescent="0.25">
      <c r="A1555" s="5" t="s">
        <v>454</v>
      </c>
      <c r="B1555" s="5" t="s">
        <v>128</v>
      </c>
      <c r="C1555" s="5" t="s">
        <v>1934</v>
      </c>
      <c r="D1555" s="3">
        <f>VLOOKUP(A1555,airports!A:H,7,FALSE)</f>
        <v>39.997985280000002</v>
      </c>
      <c r="E1555" s="3">
        <f>VLOOKUP(A1555,airports!A:H,8,FALSE)</f>
        <v>-82.891882780000003</v>
      </c>
      <c r="F1555" s="3">
        <f>VLOOKUP(B1555,airports!A:H,7,FALSE)</f>
        <v>47.448981940000003</v>
      </c>
      <c r="G1555" s="3">
        <f>VLOOKUP(B1555,airports!A:H,8,FALSE)</f>
        <v>-122.3093131</v>
      </c>
      <c r="H1555">
        <f t="shared" si="48"/>
        <v>3236.4</v>
      </c>
      <c r="I1555">
        <f t="shared" si="49"/>
        <v>2011.2</v>
      </c>
    </row>
    <row r="1556" spans="1:9" ht="30" x14ac:dyDescent="0.25">
      <c r="A1556" s="5" t="s">
        <v>454</v>
      </c>
      <c r="B1556" s="5" t="s">
        <v>130</v>
      </c>
      <c r="C1556" s="5" t="s">
        <v>1935</v>
      </c>
      <c r="D1556" s="3">
        <f>VLOOKUP(A1556,airports!A:H,7,FALSE)</f>
        <v>39.997985280000002</v>
      </c>
      <c r="E1556" s="3">
        <f>VLOOKUP(A1556,airports!A:H,8,FALSE)</f>
        <v>-82.891882780000003</v>
      </c>
      <c r="F1556" s="3">
        <f>VLOOKUP(B1556,airports!A:H,7,FALSE)</f>
        <v>37.619001939999997</v>
      </c>
      <c r="G1556" s="3">
        <f>VLOOKUP(B1556,airports!A:H,8,FALSE)</f>
        <v>-122.37484329999999</v>
      </c>
      <c r="H1556">
        <f t="shared" si="48"/>
        <v>3403.4</v>
      </c>
      <c r="I1556">
        <f t="shared" si="49"/>
        <v>2114.9</v>
      </c>
    </row>
    <row r="1557" spans="1:9" ht="30" x14ac:dyDescent="0.25">
      <c r="A1557" s="5" t="s">
        <v>454</v>
      </c>
      <c r="B1557" s="5" t="s">
        <v>135</v>
      </c>
      <c r="C1557" s="5" t="s">
        <v>1936</v>
      </c>
      <c r="D1557" s="3">
        <f>VLOOKUP(A1557,airports!A:H,7,FALSE)</f>
        <v>39.997985280000002</v>
      </c>
      <c r="E1557" s="3">
        <f>VLOOKUP(A1557,airports!A:H,8,FALSE)</f>
        <v>-82.891882780000003</v>
      </c>
      <c r="F1557" s="3">
        <f>VLOOKUP(B1557,airports!A:H,7,FALSE)</f>
        <v>40.788387780000001</v>
      </c>
      <c r="G1557" s="3">
        <f>VLOOKUP(B1557,airports!A:H,8,FALSE)</f>
        <v>-111.97777309999999</v>
      </c>
      <c r="H1557">
        <f t="shared" si="48"/>
        <v>2453.5</v>
      </c>
      <c r="I1557">
        <f t="shared" si="49"/>
        <v>1524.6</v>
      </c>
    </row>
    <row r="1558" spans="1:9" ht="30" x14ac:dyDescent="0.25">
      <c r="A1558" s="5" t="s">
        <v>454</v>
      </c>
      <c r="B1558" s="5" t="s">
        <v>138</v>
      </c>
      <c r="C1558" s="5" t="s">
        <v>1937</v>
      </c>
      <c r="D1558" s="3">
        <f>VLOOKUP(A1558,airports!A:H,7,FALSE)</f>
        <v>39.997985280000002</v>
      </c>
      <c r="E1558" s="3">
        <f>VLOOKUP(A1558,airports!A:H,8,FALSE)</f>
        <v>-82.891882780000003</v>
      </c>
      <c r="F1558" s="3">
        <f>VLOOKUP(B1558,airports!A:H,7,FALSE)</f>
        <v>27.39533333</v>
      </c>
      <c r="G1558" s="3">
        <f>VLOOKUP(B1558,airports!A:H,8,FALSE)</f>
        <v>-82.554111109999994</v>
      </c>
      <c r="H1558">
        <f t="shared" si="48"/>
        <v>1401.7</v>
      </c>
      <c r="I1558">
        <f t="shared" si="49"/>
        <v>871</v>
      </c>
    </row>
    <row r="1559" spans="1:9" ht="30" x14ac:dyDescent="0.25">
      <c r="A1559" s="5" t="s">
        <v>454</v>
      </c>
      <c r="B1559" s="5" t="s">
        <v>644</v>
      </c>
      <c r="C1559" s="5" t="s">
        <v>1938</v>
      </c>
      <c r="D1559" s="3">
        <f>VLOOKUP(A1559,airports!A:H,7,FALSE)</f>
        <v>39.997985280000002</v>
      </c>
      <c r="E1559" s="3">
        <f>VLOOKUP(A1559,airports!A:H,8,FALSE)</f>
        <v>-82.891882780000003</v>
      </c>
      <c r="F1559" s="3">
        <f>VLOOKUP(B1559,airports!A:H,7,FALSE)</f>
        <v>38.747686940000001</v>
      </c>
      <c r="G1559" s="3">
        <f>VLOOKUP(B1559,airports!A:H,8,FALSE)</f>
        <v>-90.359989720000002</v>
      </c>
      <c r="H1559">
        <f t="shared" si="48"/>
        <v>656.6</v>
      </c>
      <c r="I1559">
        <f t="shared" si="49"/>
        <v>408</v>
      </c>
    </row>
    <row r="1560" spans="1:9" ht="30" x14ac:dyDescent="0.25">
      <c r="A1560" s="5" t="s">
        <v>454</v>
      </c>
      <c r="B1560" s="5" t="s">
        <v>145</v>
      </c>
      <c r="C1560" s="5" t="s">
        <v>1939</v>
      </c>
      <c r="D1560" s="3">
        <f>VLOOKUP(A1560,airports!A:H,7,FALSE)</f>
        <v>39.997985280000002</v>
      </c>
      <c r="E1560" s="3">
        <f>VLOOKUP(A1560,airports!A:H,8,FALSE)</f>
        <v>-82.891882780000003</v>
      </c>
      <c r="F1560" s="3">
        <f>VLOOKUP(B1560,airports!A:H,7,FALSE)</f>
        <v>27.97547222</v>
      </c>
      <c r="G1560" s="3">
        <f>VLOOKUP(B1560,airports!A:H,8,FALSE)</f>
        <v>-82.533249999999995</v>
      </c>
      <c r="H1560">
        <f t="shared" si="48"/>
        <v>1337.2</v>
      </c>
      <c r="I1560">
        <f t="shared" si="49"/>
        <v>831</v>
      </c>
    </row>
    <row r="1561" spans="1:9" x14ac:dyDescent="0.25">
      <c r="A1561" s="5" t="s">
        <v>1754</v>
      </c>
      <c r="B1561" s="5" t="s">
        <v>40</v>
      </c>
      <c r="C1561" s="5" t="s">
        <v>1940</v>
      </c>
      <c r="D1561" s="3">
        <f>VLOOKUP(A1561,airports!A:H,7,FALSE)</f>
        <v>40.039250000000003</v>
      </c>
      <c r="E1561" s="3">
        <f>VLOOKUP(A1561,airports!A:H,8,FALSE)</f>
        <v>-88.278055559999999</v>
      </c>
      <c r="F1561" s="3">
        <f>VLOOKUP(B1561,airports!A:H,7,FALSE)</f>
        <v>35.214011110000001</v>
      </c>
      <c r="G1561" s="3">
        <f>VLOOKUP(B1561,airports!A:H,8,FALSE)</f>
        <v>-80.94312583</v>
      </c>
      <c r="H1561">
        <f t="shared" si="48"/>
        <v>839.2</v>
      </c>
      <c r="I1561">
        <f t="shared" si="49"/>
        <v>521.5</v>
      </c>
    </row>
    <row r="1562" spans="1:9" ht="30" x14ac:dyDescent="0.25">
      <c r="A1562" s="5" t="s">
        <v>1754</v>
      </c>
      <c r="B1562" s="5" t="s">
        <v>49</v>
      </c>
      <c r="C1562" s="5" t="s">
        <v>1941</v>
      </c>
      <c r="D1562" s="3">
        <f>VLOOKUP(A1562,airports!A:H,7,FALSE)</f>
        <v>40.039250000000003</v>
      </c>
      <c r="E1562" s="3">
        <f>VLOOKUP(A1562,airports!A:H,8,FALSE)</f>
        <v>-88.278055559999999</v>
      </c>
      <c r="F1562" s="3">
        <f>VLOOKUP(B1562,airports!A:H,7,FALSE)</f>
        <v>32.895950560000003</v>
      </c>
      <c r="G1562" s="3">
        <f>VLOOKUP(B1562,airports!A:H,8,FALSE)</f>
        <v>-97.037199999999999</v>
      </c>
      <c r="H1562">
        <f t="shared" si="48"/>
        <v>1114.4000000000001</v>
      </c>
      <c r="I1562">
        <f t="shared" si="49"/>
        <v>692.5</v>
      </c>
    </row>
    <row r="1563" spans="1:9" ht="30" x14ac:dyDescent="0.25">
      <c r="A1563" s="5" t="s">
        <v>1754</v>
      </c>
      <c r="B1563" s="5" t="s">
        <v>95</v>
      </c>
      <c r="C1563" s="5" t="s">
        <v>1942</v>
      </c>
      <c r="D1563" s="3">
        <f>VLOOKUP(A1563,airports!A:H,7,FALSE)</f>
        <v>40.039250000000003</v>
      </c>
      <c r="E1563" s="3">
        <f>VLOOKUP(A1563,airports!A:H,8,FALSE)</f>
        <v>-88.278055559999999</v>
      </c>
      <c r="F1563" s="3">
        <f>VLOOKUP(B1563,airports!A:H,7,FALSE)</f>
        <v>41.979595000000003</v>
      </c>
      <c r="G1563" s="3">
        <f>VLOOKUP(B1563,airports!A:H,8,FALSE)</f>
        <v>-87.904464169999997</v>
      </c>
      <c r="H1563">
        <f t="shared" si="48"/>
        <v>218</v>
      </c>
      <c r="I1563">
        <f t="shared" si="49"/>
        <v>135.5</v>
      </c>
    </row>
    <row r="1564" spans="1:9" ht="30" x14ac:dyDescent="0.25">
      <c r="A1564" s="5" t="s">
        <v>1943</v>
      </c>
      <c r="B1564" s="5" t="s">
        <v>1944</v>
      </c>
      <c r="C1564" s="5" t="s">
        <v>1945</v>
      </c>
      <c r="D1564" s="3">
        <f>VLOOKUP(A1564,airports!A:H,7,FALSE)</f>
        <v>47.168417220000002</v>
      </c>
      <c r="E1564" s="3">
        <f>VLOOKUP(A1564,airports!A:H,8,FALSE)</f>
        <v>-88.48906083</v>
      </c>
      <c r="F1564" s="3">
        <f>VLOOKUP(B1564,airports!A:H,7,FALSE)</f>
        <v>46.842090280000001</v>
      </c>
      <c r="G1564" s="3">
        <f>VLOOKUP(B1564,airports!A:H,8,FALSE)</f>
        <v>-92.193648609999997</v>
      </c>
      <c r="H1564">
        <f t="shared" si="48"/>
        <v>283.2</v>
      </c>
      <c r="I1564">
        <f t="shared" si="49"/>
        <v>176</v>
      </c>
    </row>
    <row r="1565" spans="1:9" ht="30" x14ac:dyDescent="0.25">
      <c r="A1565" s="5" t="s">
        <v>1943</v>
      </c>
      <c r="B1565" s="5" t="s">
        <v>1946</v>
      </c>
      <c r="C1565" s="5" t="s">
        <v>1947</v>
      </c>
      <c r="D1565" s="3">
        <f>VLOOKUP(A1565,airports!A:H,7,FALSE)</f>
        <v>47.168417220000002</v>
      </c>
      <c r="E1565" s="3">
        <f>VLOOKUP(A1565,airports!A:H,8,FALSE)</f>
        <v>-88.48906083</v>
      </c>
      <c r="F1565" s="3">
        <f>VLOOKUP(B1565,airports!A:H,7,FALSE)</f>
        <v>44.865257219999997</v>
      </c>
      <c r="G1565" s="3">
        <f>VLOOKUP(B1565,airports!A:H,8,FALSE)</f>
        <v>-91.485071939999997</v>
      </c>
      <c r="H1565">
        <f t="shared" si="48"/>
        <v>345.1</v>
      </c>
      <c r="I1565">
        <f t="shared" si="49"/>
        <v>214.4</v>
      </c>
    </row>
    <row r="1566" spans="1:9" ht="30" x14ac:dyDescent="0.25">
      <c r="A1566" s="5" t="s">
        <v>1943</v>
      </c>
      <c r="B1566" s="5" t="s">
        <v>95</v>
      </c>
      <c r="C1566" s="5" t="s">
        <v>1948</v>
      </c>
      <c r="D1566" s="3">
        <f>VLOOKUP(A1566,airports!A:H,7,FALSE)</f>
        <v>47.168417220000002</v>
      </c>
      <c r="E1566" s="3">
        <f>VLOOKUP(A1566,airports!A:H,8,FALSE)</f>
        <v>-88.48906083</v>
      </c>
      <c r="F1566" s="3">
        <f>VLOOKUP(B1566,airports!A:H,7,FALSE)</f>
        <v>41.979595000000003</v>
      </c>
      <c r="G1566" s="3">
        <f>VLOOKUP(B1566,airports!A:H,8,FALSE)</f>
        <v>-87.904464169999997</v>
      </c>
      <c r="H1566">
        <f t="shared" si="48"/>
        <v>578.79999999999995</v>
      </c>
      <c r="I1566">
        <f t="shared" si="49"/>
        <v>359.7</v>
      </c>
    </row>
    <row r="1567" spans="1:9" ht="30" x14ac:dyDescent="0.25">
      <c r="A1567" s="5" t="s">
        <v>1949</v>
      </c>
      <c r="B1567" s="5" t="s">
        <v>47</v>
      </c>
      <c r="C1567" s="5" t="s">
        <v>1950</v>
      </c>
      <c r="D1567" s="3">
        <f>VLOOKUP(A1567,airports!A:H,7,FALSE)</f>
        <v>38.754956110000002</v>
      </c>
      <c r="E1567" s="3">
        <f>VLOOKUP(A1567,airports!A:H,8,FALSE)</f>
        <v>-109.7548439</v>
      </c>
      <c r="F1567" s="3">
        <f>VLOOKUP(B1567,airports!A:H,7,FALSE)</f>
        <v>39.858408060000002</v>
      </c>
      <c r="G1567" s="3">
        <f>VLOOKUP(B1567,airports!A:H,8,FALSE)</f>
        <v>-104.6670019</v>
      </c>
      <c r="H1567">
        <f t="shared" si="48"/>
        <v>454.5</v>
      </c>
      <c r="I1567">
        <f t="shared" si="49"/>
        <v>282.5</v>
      </c>
    </row>
    <row r="1568" spans="1:9" x14ac:dyDescent="0.25">
      <c r="A1568" s="5" t="s">
        <v>1949</v>
      </c>
      <c r="B1568" s="5" t="s">
        <v>135</v>
      </c>
      <c r="C1568" s="5" t="s">
        <v>1951</v>
      </c>
      <c r="D1568" s="3">
        <f>VLOOKUP(A1568,airports!A:H,7,FALSE)</f>
        <v>38.754956110000002</v>
      </c>
      <c r="E1568" s="3">
        <f>VLOOKUP(A1568,airports!A:H,8,FALSE)</f>
        <v>-109.7548439</v>
      </c>
      <c r="F1568" s="3">
        <f>VLOOKUP(B1568,airports!A:H,7,FALSE)</f>
        <v>40.788387780000001</v>
      </c>
      <c r="G1568" s="3">
        <f>VLOOKUP(B1568,airports!A:H,8,FALSE)</f>
        <v>-111.97777309999999</v>
      </c>
      <c r="H1568">
        <f t="shared" si="48"/>
        <v>295.3</v>
      </c>
      <c r="I1568">
        <f t="shared" si="49"/>
        <v>183.5</v>
      </c>
    </row>
    <row r="1569" spans="1:9" ht="30" x14ac:dyDescent="0.25">
      <c r="A1569" s="5" t="s">
        <v>1949</v>
      </c>
      <c r="B1569" s="5" t="s">
        <v>1952</v>
      </c>
      <c r="C1569" s="5" t="s">
        <v>1953</v>
      </c>
      <c r="D1569" s="3">
        <f>VLOOKUP(A1569,airports!A:H,7,FALSE)</f>
        <v>38.754956110000002</v>
      </c>
      <c r="E1569" s="3">
        <f>VLOOKUP(A1569,airports!A:H,8,FALSE)</f>
        <v>-109.7548439</v>
      </c>
      <c r="F1569" s="3">
        <f>VLOOKUP(B1569,airports!A:H,7,FALSE)</f>
        <v>40.440901670000002</v>
      </c>
      <c r="G1569" s="3">
        <f>VLOOKUP(B1569,airports!A:H,8,FALSE)</f>
        <v>-109.5099203</v>
      </c>
      <c r="H1569">
        <f t="shared" si="48"/>
        <v>188.6</v>
      </c>
      <c r="I1569">
        <f t="shared" si="49"/>
        <v>117.2</v>
      </c>
    </row>
    <row r="1570" spans="1:9" ht="30" x14ac:dyDescent="0.25">
      <c r="A1570" s="5" t="s">
        <v>1027</v>
      </c>
      <c r="B1570" s="5" t="s">
        <v>47</v>
      </c>
      <c r="C1570" s="5" t="s">
        <v>1954</v>
      </c>
      <c r="D1570" s="3">
        <f>VLOOKUP(A1570,airports!A:H,7,FALSE)</f>
        <v>44.520194170000003</v>
      </c>
      <c r="E1570" s="3">
        <f>VLOOKUP(A1570,airports!A:H,8,FALSE)</f>
        <v>-109.0237961</v>
      </c>
      <c r="F1570" s="3">
        <f>VLOOKUP(B1570,airports!A:H,7,FALSE)</f>
        <v>39.858408060000002</v>
      </c>
      <c r="G1570" s="3">
        <f>VLOOKUP(B1570,airports!A:H,8,FALSE)</f>
        <v>-104.6670019</v>
      </c>
      <c r="H1570">
        <f t="shared" si="48"/>
        <v>630.29999999999995</v>
      </c>
      <c r="I1570">
        <f t="shared" si="49"/>
        <v>391.7</v>
      </c>
    </row>
    <row r="1571" spans="1:9" ht="30" x14ac:dyDescent="0.25">
      <c r="A1571" s="5" t="s">
        <v>1027</v>
      </c>
      <c r="B1571" s="5" t="s">
        <v>95</v>
      </c>
      <c r="C1571" s="5" t="s">
        <v>1955</v>
      </c>
      <c r="D1571" s="3">
        <f>VLOOKUP(A1571,airports!A:H,7,FALSE)</f>
        <v>44.520194170000003</v>
      </c>
      <c r="E1571" s="3">
        <f>VLOOKUP(A1571,airports!A:H,8,FALSE)</f>
        <v>-109.0237961</v>
      </c>
      <c r="F1571" s="3">
        <f>VLOOKUP(B1571,airports!A:H,7,FALSE)</f>
        <v>41.979595000000003</v>
      </c>
      <c r="G1571" s="3">
        <f>VLOOKUP(B1571,airports!A:H,8,FALSE)</f>
        <v>-87.904464169999997</v>
      </c>
      <c r="H1571">
        <f t="shared" si="48"/>
        <v>1728.6</v>
      </c>
      <c r="I1571">
        <f t="shared" si="49"/>
        <v>1074.2</v>
      </c>
    </row>
    <row r="1572" spans="1:9" ht="30" x14ac:dyDescent="0.25">
      <c r="A1572" s="5" t="s">
        <v>1027</v>
      </c>
      <c r="B1572" s="5" t="s">
        <v>135</v>
      </c>
      <c r="C1572" s="5" t="s">
        <v>1956</v>
      </c>
      <c r="D1572" s="3">
        <f>VLOOKUP(A1572,airports!A:H,7,FALSE)</f>
        <v>44.520194170000003</v>
      </c>
      <c r="E1572" s="3">
        <f>VLOOKUP(A1572,airports!A:H,8,FALSE)</f>
        <v>-109.0237961</v>
      </c>
      <c r="F1572" s="3">
        <f>VLOOKUP(B1572,airports!A:H,7,FALSE)</f>
        <v>40.788387780000001</v>
      </c>
      <c r="G1572" s="3">
        <f>VLOOKUP(B1572,airports!A:H,8,FALSE)</f>
        <v>-111.97777309999999</v>
      </c>
      <c r="H1572">
        <f t="shared" si="48"/>
        <v>480.1</v>
      </c>
      <c r="I1572">
        <f t="shared" si="49"/>
        <v>298.3</v>
      </c>
    </row>
    <row r="1573" spans="1:9" ht="30" x14ac:dyDescent="0.25">
      <c r="A1573" s="5" t="s">
        <v>456</v>
      </c>
      <c r="B1573" s="5" t="s">
        <v>10</v>
      </c>
      <c r="C1573" s="5" t="s">
        <v>1957</v>
      </c>
      <c r="D1573" s="3">
        <f>VLOOKUP(A1573,airports!A:H,7,FALSE)</f>
        <v>38.805805560000003</v>
      </c>
      <c r="E1573" s="3">
        <f>VLOOKUP(A1573,airports!A:H,8,FALSE)</f>
        <v>-104.70025</v>
      </c>
      <c r="F1573" s="3">
        <f>VLOOKUP(B1573,airports!A:H,7,FALSE)</f>
        <v>33.640444440000003</v>
      </c>
      <c r="G1573" s="3">
        <f>VLOOKUP(B1573,airports!A:H,8,FALSE)</f>
        <v>-84.42694444</v>
      </c>
      <c r="H1573">
        <f t="shared" si="48"/>
        <v>1902.4</v>
      </c>
      <c r="I1573">
        <f t="shared" si="49"/>
        <v>1182.2</v>
      </c>
    </row>
    <row r="1574" spans="1:9" ht="30" x14ac:dyDescent="0.25">
      <c r="A1574" s="5" t="s">
        <v>456</v>
      </c>
      <c r="B1574" s="5" t="s">
        <v>201</v>
      </c>
      <c r="C1574" s="5" t="s">
        <v>1958</v>
      </c>
      <c r="D1574" s="3">
        <f>VLOOKUP(A1574,airports!A:H,7,FALSE)</f>
        <v>38.805805560000003</v>
      </c>
      <c r="E1574" s="3">
        <f>VLOOKUP(A1574,airports!A:H,8,FALSE)</f>
        <v>-104.70025</v>
      </c>
      <c r="F1574" s="3">
        <f>VLOOKUP(B1574,airports!A:H,7,FALSE)</f>
        <v>32.847113890000003</v>
      </c>
      <c r="G1574" s="3">
        <f>VLOOKUP(B1574,airports!A:H,8,FALSE)</f>
        <v>-96.851772220000001</v>
      </c>
      <c r="H1574">
        <f t="shared" si="48"/>
        <v>968.6</v>
      </c>
      <c r="I1574">
        <f t="shared" si="49"/>
        <v>601.9</v>
      </c>
    </row>
    <row r="1575" spans="1:9" ht="30" x14ac:dyDescent="0.25">
      <c r="A1575" s="5" t="s">
        <v>456</v>
      </c>
      <c r="B1575" s="5" t="s">
        <v>47</v>
      </c>
      <c r="C1575" s="5" t="s">
        <v>1959</v>
      </c>
      <c r="D1575" s="3">
        <f>VLOOKUP(A1575,airports!A:H,7,FALSE)</f>
        <v>38.805805560000003</v>
      </c>
      <c r="E1575" s="3">
        <f>VLOOKUP(A1575,airports!A:H,8,FALSE)</f>
        <v>-104.70025</v>
      </c>
      <c r="F1575" s="3">
        <f>VLOOKUP(B1575,airports!A:H,7,FALSE)</f>
        <v>39.858408060000002</v>
      </c>
      <c r="G1575" s="3">
        <f>VLOOKUP(B1575,airports!A:H,8,FALSE)</f>
        <v>-104.6670019</v>
      </c>
      <c r="H1575">
        <f t="shared" si="48"/>
        <v>117.1</v>
      </c>
      <c r="I1575">
        <f t="shared" si="49"/>
        <v>72.8</v>
      </c>
    </row>
    <row r="1576" spans="1:9" ht="30" x14ac:dyDescent="0.25">
      <c r="A1576" s="5" t="s">
        <v>456</v>
      </c>
      <c r="B1576" s="5" t="s">
        <v>49</v>
      </c>
      <c r="C1576" s="5" t="s">
        <v>1960</v>
      </c>
      <c r="D1576" s="3">
        <f>VLOOKUP(A1576,airports!A:H,7,FALSE)</f>
        <v>38.805805560000003</v>
      </c>
      <c r="E1576" s="3">
        <f>VLOOKUP(A1576,airports!A:H,8,FALSE)</f>
        <v>-104.70025</v>
      </c>
      <c r="F1576" s="3">
        <f>VLOOKUP(B1576,airports!A:H,7,FALSE)</f>
        <v>32.895950560000003</v>
      </c>
      <c r="G1576" s="3">
        <f>VLOOKUP(B1576,airports!A:H,8,FALSE)</f>
        <v>-97.037199999999999</v>
      </c>
      <c r="H1576">
        <f t="shared" si="48"/>
        <v>952.6</v>
      </c>
      <c r="I1576">
        <f t="shared" si="49"/>
        <v>592</v>
      </c>
    </row>
    <row r="1577" spans="1:9" ht="30" x14ac:dyDescent="0.25">
      <c r="A1577" s="5" t="s">
        <v>456</v>
      </c>
      <c r="B1577" s="5" t="s">
        <v>205</v>
      </c>
      <c r="C1577" s="5" t="s">
        <v>1961</v>
      </c>
      <c r="D1577" s="3">
        <f>VLOOKUP(A1577,airports!A:H,7,FALSE)</f>
        <v>38.805805560000003</v>
      </c>
      <c r="E1577" s="3">
        <f>VLOOKUP(A1577,airports!A:H,8,FALSE)</f>
        <v>-104.70025</v>
      </c>
      <c r="F1577" s="3">
        <f>VLOOKUP(B1577,airports!A:H,7,FALSE)</f>
        <v>29.64541861</v>
      </c>
      <c r="G1577" s="3">
        <f>VLOOKUP(B1577,airports!A:H,8,FALSE)</f>
        <v>-95.278888890000005</v>
      </c>
      <c r="H1577">
        <f t="shared" si="48"/>
        <v>1335.5</v>
      </c>
      <c r="I1577">
        <f t="shared" si="49"/>
        <v>829.9</v>
      </c>
    </row>
    <row r="1578" spans="1:9" ht="30" x14ac:dyDescent="0.25">
      <c r="A1578" s="5" t="s">
        <v>456</v>
      </c>
      <c r="B1578" s="5" t="s">
        <v>176</v>
      </c>
      <c r="C1578" s="5" t="s">
        <v>1962</v>
      </c>
      <c r="D1578" s="3">
        <f>VLOOKUP(A1578,airports!A:H,7,FALSE)</f>
        <v>38.805805560000003</v>
      </c>
      <c r="E1578" s="3">
        <f>VLOOKUP(A1578,airports!A:H,8,FALSE)</f>
        <v>-104.70025</v>
      </c>
      <c r="F1578" s="3">
        <f>VLOOKUP(B1578,airports!A:H,7,FALSE)</f>
        <v>38.944531939999997</v>
      </c>
      <c r="G1578" s="3">
        <f>VLOOKUP(B1578,airports!A:H,8,FALSE)</f>
        <v>-77.455809720000005</v>
      </c>
      <c r="H1578">
        <f t="shared" si="48"/>
        <v>2349.6999999999998</v>
      </c>
      <c r="I1578">
        <f t="shared" si="49"/>
        <v>1460.1</v>
      </c>
    </row>
    <row r="1579" spans="1:9" ht="30" x14ac:dyDescent="0.25">
      <c r="A1579" s="5" t="s">
        <v>456</v>
      </c>
      <c r="B1579" s="5" t="s">
        <v>67</v>
      </c>
      <c r="C1579" s="5" t="s">
        <v>1963</v>
      </c>
      <c r="D1579" s="3">
        <f>VLOOKUP(A1579,airports!A:H,7,FALSE)</f>
        <v>38.805805560000003</v>
      </c>
      <c r="E1579" s="3">
        <f>VLOOKUP(A1579,airports!A:H,8,FALSE)</f>
        <v>-104.70025</v>
      </c>
      <c r="F1579" s="3">
        <f>VLOOKUP(B1579,airports!A:H,7,FALSE)</f>
        <v>29.980472219999999</v>
      </c>
      <c r="G1579" s="3">
        <f>VLOOKUP(B1579,airports!A:H,8,FALSE)</f>
        <v>-95.339722219999999</v>
      </c>
      <c r="H1579">
        <f t="shared" si="48"/>
        <v>1302.5999999999999</v>
      </c>
      <c r="I1579">
        <f t="shared" si="49"/>
        <v>809.4</v>
      </c>
    </row>
    <row r="1580" spans="1:9" ht="30" x14ac:dyDescent="0.25">
      <c r="A1580" s="5" t="s">
        <v>456</v>
      </c>
      <c r="B1580" s="5" t="s">
        <v>71</v>
      </c>
      <c r="C1580" s="5" t="s">
        <v>1964</v>
      </c>
      <c r="D1580" s="3">
        <f>VLOOKUP(A1580,airports!A:H,7,FALSE)</f>
        <v>38.805805560000003</v>
      </c>
      <c r="E1580" s="3">
        <f>VLOOKUP(A1580,airports!A:H,8,FALSE)</f>
        <v>-104.70025</v>
      </c>
      <c r="F1580" s="3">
        <f>VLOOKUP(B1580,airports!A:H,7,FALSE)</f>
        <v>36.080361109999998</v>
      </c>
      <c r="G1580" s="3">
        <f>VLOOKUP(B1580,airports!A:H,8,FALSE)</f>
        <v>-115.1523333</v>
      </c>
      <c r="H1580">
        <f t="shared" si="48"/>
        <v>970.6</v>
      </c>
      <c r="I1580">
        <f t="shared" si="49"/>
        <v>603.1</v>
      </c>
    </row>
    <row r="1581" spans="1:9" ht="30" x14ac:dyDescent="0.25">
      <c r="A1581" s="5" t="s">
        <v>456</v>
      </c>
      <c r="B1581" s="5" t="s">
        <v>73</v>
      </c>
      <c r="C1581" s="5" t="s">
        <v>1965</v>
      </c>
      <c r="D1581" s="3">
        <f>VLOOKUP(A1581,airports!A:H,7,FALSE)</f>
        <v>38.805805560000003</v>
      </c>
      <c r="E1581" s="3">
        <f>VLOOKUP(A1581,airports!A:H,8,FALSE)</f>
        <v>-104.70025</v>
      </c>
      <c r="F1581" s="3">
        <f>VLOOKUP(B1581,airports!A:H,7,FALSE)</f>
        <v>33.942536109999999</v>
      </c>
      <c r="G1581" s="3">
        <f>VLOOKUP(B1581,airports!A:H,8,FALSE)</f>
        <v>-118.4080744</v>
      </c>
      <c r="H1581">
        <f t="shared" si="48"/>
        <v>1339.3</v>
      </c>
      <c r="I1581">
        <f t="shared" si="49"/>
        <v>832.2</v>
      </c>
    </row>
    <row r="1582" spans="1:9" ht="30" x14ac:dyDescent="0.25">
      <c r="A1582" s="5" t="s">
        <v>456</v>
      </c>
      <c r="B1582" s="5" t="s">
        <v>82</v>
      </c>
      <c r="C1582" s="5" t="s">
        <v>1966</v>
      </c>
      <c r="D1582" s="3">
        <f>VLOOKUP(A1582,airports!A:H,7,FALSE)</f>
        <v>38.805805560000003</v>
      </c>
      <c r="E1582" s="3">
        <f>VLOOKUP(A1582,airports!A:H,8,FALSE)</f>
        <v>-104.70025</v>
      </c>
      <c r="F1582" s="3">
        <f>VLOOKUP(B1582,airports!A:H,7,FALSE)</f>
        <v>28.42888889</v>
      </c>
      <c r="G1582" s="3">
        <f>VLOOKUP(B1582,airports!A:H,8,FALSE)</f>
        <v>-81.316027779999999</v>
      </c>
      <c r="H1582">
        <f t="shared" si="48"/>
        <v>2443.4</v>
      </c>
      <c r="I1582">
        <f t="shared" si="49"/>
        <v>1518.3</v>
      </c>
    </row>
    <row r="1583" spans="1:9" ht="30" x14ac:dyDescent="0.25">
      <c r="A1583" s="5" t="s">
        <v>456</v>
      </c>
      <c r="B1583" s="5" t="s">
        <v>180</v>
      </c>
      <c r="C1583" s="5" t="s">
        <v>1967</v>
      </c>
      <c r="D1583" s="3">
        <f>VLOOKUP(A1583,airports!A:H,7,FALSE)</f>
        <v>38.805805560000003</v>
      </c>
      <c r="E1583" s="3">
        <f>VLOOKUP(A1583,airports!A:H,8,FALSE)</f>
        <v>-104.70025</v>
      </c>
      <c r="F1583" s="3">
        <f>VLOOKUP(B1583,airports!A:H,7,FALSE)</f>
        <v>41.785982500000003</v>
      </c>
      <c r="G1583" s="3">
        <f>VLOOKUP(B1583,airports!A:H,8,FALSE)</f>
        <v>-87.752424439999999</v>
      </c>
      <c r="H1583">
        <f t="shared" si="48"/>
        <v>1472.4</v>
      </c>
      <c r="I1583">
        <f t="shared" si="49"/>
        <v>915</v>
      </c>
    </row>
    <row r="1584" spans="1:9" ht="30" x14ac:dyDescent="0.25">
      <c r="A1584" s="5" t="s">
        <v>456</v>
      </c>
      <c r="B1584" s="5" t="s">
        <v>87</v>
      </c>
      <c r="C1584" s="5" t="s">
        <v>1968</v>
      </c>
      <c r="D1584" s="3">
        <f>VLOOKUP(A1584,airports!A:H,7,FALSE)</f>
        <v>38.805805560000003</v>
      </c>
      <c r="E1584" s="3">
        <f>VLOOKUP(A1584,airports!A:H,8,FALSE)</f>
        <v>-104.70025</v>
      </c>
      <c r="F1584" s="3">
        <f>VLOOKUP(B1584,airports!A:H,7,FALSE)</f>
        <v>44.880546940000002</v>
      </c>
      <c r="G1584" s="3">
        <f>VLOOKUP(B1584,airports!A:H,8,FALSE)</f>
        <v>-93.216922499999995</v>
      </c>
      <c r="H1584">
        <f t="shared" si="48"/>
        <v>1164.9000000000001</v>
      </c>
      <c r="I1584">
        <f t="shared" si="49"/>
        <v>723.9</v>
      </c>
    </row>
    <row r="1585" spans="1:9" ht="30" x14ac:dyDescent="0.25">
      <c r="A1585" s="5" t="s">
        <v>456</v>
      </c>
      <c r="B1585" s="5" t="s">
        <v>95</v>
      </c>
      <c r="C1585" s="5" t="s">
        <v>1969</v>
      </c>
      <c r="D1585" s="3">
        <f>VLOOKUP(A1585,airports!A:H,7,FALSE)</f>
        <v>38.805805560000003</v>
      </c>
      <c r="E1585" s="3">
        <f>VLOOKUP(A1585,airports!A:H,8,FALSE)</f>
        <v>-104.70025</v>
      </c>
      <c r="F1585" s="3">
        <f>VLOOKUP(B1585,airports!A:H,7,FALSE)</f>
        <v>41.979595000000003</v>
      </c>
      <c r="G1585" s="3">
        <f>VLOOKUP(B1585,airports!A:H,8,FALSE)</f>
        <v>-87.904464169999997</v>
      </c>
      <c r="H1585">
        <f t="shared" si="48"/>
        <v>1462.9</v>
      </c>
      <c r="I1585">
        <f t="shared" si="49"/>
        <v>909.1</v>
      </c>
    </row>
    <row r="1586" spans="1:9" ht="30" x14ac:dyDescent="0.25">
      <c r="A1586" s="5" t="s">
        <v>456</v>
      </c>
      <c r="B1586" s="5" t="s">
        <v>104</v>
      </c>
      <c r="C1586" s="5" t="s">
        <v>1970</v>
      </c>
      <c r="D1586" s="3">
        <f>VLOOKUP(A1586,airports!A:H,7,FALSE)</f>
        <v>38.805805560000003</v>
      </c>
      <c r="E1586" s="3">
        <f>VLOOKUP(A1586,airports!A:H,8,FALSE)</f>
        <v>-104.70025</v>
      </c>
      <c r="F1586" s="3">
        <f>VLOOKUP(B1586,airports!A:H,7,FALSE)</f>
        <v>33.434166670000003</v>
      </c>
      <c r="G1586" s="3">
        <f>VLOOKUP(B1586,airports!A:H,8,FALSE)</f>
        <v>-112.00805560000001</v>
      </c>
      <c r="H1586">
        <f t="shared" si="48"/>
        <v>886.9</v>
      </c>
      <c r="I1586">
        <f t="shared" si="49"/>
        <v>551.1</v>
      </c>
    </row>
    <row r="1587" spans="1:9" ht="30" x14ac:dyDescent="0.25">
      <c r="A1587" s="5" t="s">
        <v>456</v>
      </c>
      <c r="B1587" s="5" t="s">
        <v>123</v>
      </c>
      <c r="C1587" s="5" t="s">
        <v>1971</v>
      </c>
      <c r="D1587" s="3">
        <f>VLOOKUP(A1587,airports!A:H,7,FALSE)</f>
        <v>38.805805560000003</v>
      </c>
      <c r="E1587" s="3">
        <f>VLOOKUP(A1587,airports!A:H,8,FALSE)</f>
        <v>-104.70025</v>
      </c>
      <c r="F1587" s="3">
        <f>VLOOKUP(B1587,airports!A:H,7,FALSE)</f>
        <v>26.53616667</v>
      </c>
      <c r="G1587" s="3">
        <f>VLOOKUP(B1587,airports!A:H,8,FALSE)</f>
        <v>-81.755166669999994</v>
      </c>
      <c r="H1587">
        <f t="shared" si="48"/>
        <v>2533</v>
      </c>
      <c r="I1587">
        <f t="shared" si="49"/>
        <v>1574.1</v>
      </c>
    </row>
    <row r="1588" spans="1:9" ht="30" x14ac:dyDescent="0.25">
      <c r="A1588" s="5" t="s">
        <v>456</v>
      </c>
      <c r="B1588" s="5" t="s">
        <v>124</v>
      </c>
      <c r="C1588" s="5" t="s">
        <v>1972</v>
      </c>
      <c r="D1588" s="3">
        <f>VLOOKUP(A1588,airports!A:H,7,FALSE)</f>
        <v>38.805805560000003</v>
      </c>
      <c r="E1588" s="3">
        <f>VLOOKUP(A1588,airports!A:H,8,FALSE)</f>
        <v>-104.70025</v>
      </c>
      <c r="F1588" s="3">
        <f>VLOOKUP(B1588,airports!A:H,7,FALSE)</f>
        <v>32.733556110000002</v>
      </c>
      <c r="G1588" s="3">
        <f>VLOOKUP(B1588,airports!A:H,8,FALSE)</f>
        <v>-117.1896567</v>
      </c>
      <c r="H1588">
        <f t="shared" si="48"/>
        <v>1311.8</v>
      </c>
      <c r="I1588">
        <f t="shared" si="49"/>
        <v>815.2</v>
      </c>
    </row>
    <row r="1589" spans="1:9" ht="30" x14ac:dyDescent="0.25">
      <c r="A1589" s="5" t="s">
        <v>456</v>
      </c>
      <c r="B1589" s="5" t="s">
        <v>125</v>
      </c>
      <c r="C1589" s="5" t="s">
        <v>1973</v>
      </c>
      <c r="D1589" s="3">
        <f>VLOOKUP(A1589,airports!A:H,7,FALSE)</f>
        <v>38.805805560000003</v>
      </c>
      <c r="E1589" s="3">
        <f>VLOOKUP(A1589,airports!A:H,8,FALSE)</f>
        <v>-104.70025</v>
      </c>
      <c r="F1589" s="3">
        <f>VLOOKUP(B1589,airports!A:H,7,FALSE)</f>
        <v>29.533694440000001</v>
      </c>
      <c r="G1589" s="3">
        <f>VLOOKUP(B1589,airports!A:H,8,FALSE)</f>
        <v>-98.469777780000001</v>
      </c>
      <c r="H1589">
        <f t="shared" si="48"/>
        <v>1178.9000000000001</v>
      </c>
      <c r="I1589">
        <f t="shared" si="49"/>
        <v>732.6</v>
      </c>
    </row>
    <row r="1590" spans="1:9" ht="30" x14ac:dyDescent="0.25">
      <c r="A1590" s="5" t="s">
        <v>456</v>
      </c>
      <c r="B1590" s="5" t="s">
        <v>128</v>
      </c>
      <c r="C1590" s="5" t="s">
        <v>1974</v>
      </c>
      <c r="D1590" s="3">
        <f>VLOOKUP(A1590,airports!A:H,7,FALSE)</f>
        <v>38.805805560000003</v>
      </c>
      <c r="E1590" s="3">
        <f>VLOOKUP(A1590,airports!A:H,8,FALSE)</f>
        <v>-104.70025</v>
      </c>
      <c r="F1590" s="3">
        <f>VLOOKUP(B1590,airports!A:H,7,FALSE)</f>
        <v>47.448981940000003</v>
      </c>
      <c r="G1590" s="3">
        <f>VLOOKUP(B1590,airports!A:H,8,FALSE)</f>
        <v>-122.3093131</v>
      </c>
      <c r="H1590">
        <f t="shared" si="48"/>
        <v>1715.9</v>
      </c>
      <c r="I1590">
        <f t="shared" si="49"/>
        <v>1066.3</v>
      </c>
    </row>
    <row r="1591" spans="1:9" x14ac:dyDescent="0.25">
      <c r="A1591" s="5" t="s">
        <v>456</v>
      </c>
      <c r="B1591" s="5" t="s">
        <v>135</v>
      </c>
      <c r="C1591" s="5" t="s">
        <v>1975</v>
      </c>
      <c r="D1591" s="3">
        <f>VLOOKUP(A1591,airports!A:H,7,FALSE)</f>
        <v>38.805805560000003</v>
      </c>
      <c r="E1591" s="3">
        <f>VLOOKUP(A1591,airports!A:H,8,FALSE)</f>
        <v>-104.70025</v>
      </c>
      <c r="F1591" s="3">
        <f>VLOOKUP(B1591,airports!A:H,7,FALSE)</f>
        <v>40.788387780000001</v>
      </c>
      <c r="G1591" s="3">
        <f>VLOOKUP(B1591,airports!A:H,8,FALSE)</f>
        <v>-111.97777309999999</v>
      </c>
      <c r="H1591">
        <f t="shared" si="48"/>
        <v>659.4</v>
      </c>
      <c r="I1591">
        <f t="shared" si="49"/>
        <v>409.8</v>
      </c>
    </row>
    <row r="1592" spans="1:9" ht="30" x14ac:dyDescent="0.25">
      <c r="A1592" s="5" t="s">
        <v>456</v>
      </c>
      <c r="B1592" s="5" t="s">
        <v>145</v>
      </c>
      <c r="C1592" s="5" t="s">
        <v>1976</v>
      </c>
      <c r="D1592" s="3">
        <f>VLOOKUP(A1592,airports!A:H,7,FALSE)</f>
        <v>38.805805560000003</v>
      </c>
      <c r="E1592" s="3">
        <f>VLOOKUP(A1592,airports!A:H,8,FALSE)</f>
        <v>-104.70025</v>
      </c>
      <c r="F1592" s="3">
        <f>VLOOKUP(B1592,airports!A:H,7,FALSE)</f>
        <v>27.97547222</v>
      </c>
      <c r="G1592" s="3">
        <f>VLOOKUP(B1592,airports!A:H,8,FALSE)</f>
        <v>-82.533249999999995</v>
      </c>
      <c r="H1592">
        <f t="shared" si="48"/>
        <v>2374.9</v>
      </c>
      <c r="I1592">
        <f t="shared" si="49"/>
        <v>1475.8</v>
      </c>
    </row>
    <row r="1593" spans="1:9" ht="30" x14ac:dyDescent="0.25">
      <c r="A1593" s="5" t="s">
        <v>1977</v>
      </c>
      <c r="B1593" s="5" t="s">
        <v>47</v>
      </c>
      <c r="C1593" s="5" t="s">
        <v>1978</v>
      </c>
      <c r="D1593" s="3">
        <f>VLOOKUP(A1593,airports!A:H,7,FALSE)</f>
        <v>38.818093060000002</v>
      </c>
      <c r="E1593" s="3">
        <f>VLOOKUP(A1593,airports!A:H,8,FALSE)</f>
        <v>-92.219629170000005</v>
      </c>
      <c r="F1593" s="3">
        <f>VLOOKUP(B1593,airports!A:H,7,FALSE)</f>
        <v>39.858408060000002</v>
      </c>
      <c r="G1593" s="3">
        <f>VLOOKUP(B1593,airports!A:H,8,FALSE)</f>
        <v>-104.6670019</v>
      </c>
      <c r="H1593">
        <f t="shared" si="48"/>
        <v>1075.8</v>
      </c>
      <c r="I1593">
        <f t="shared" si="49"/>
        <v>668.5</v>
      </c>
    </row>
    <row r="1594" spans="1:9" ht="30" x14ac:dyDescent="0.25">
      <c r="A1594" s="5" t="s">
        <v>1977</v>
      </c>
      <c r="B1594" s="5" t="s">
        <v>49</v>
      </c>
      <c r="C1594" s="5" t="s">
        <v>1979</v>
      </c>
      <c r="D1594" s="3">
        <f>VLOOKUP(A1594,airports!A:H,7,FALSE)</f>
        <v>38.818093060000002</v>
      </c>
      <c r="E1594" s="3">
        <f>VLOOKUP(A1594,airports!A:H,8,FALSE)</f>
        <v>-92.219629170000005</v>
      </c>
      <c r="F1594" s="3">
        <f>VLOOKUP(B1594,airports!A:H,7,FALSE)</f>
        <v>32.895950560000003</v>
      </c>
      <c r="G1594" s="3">
        <f>VLOOKUP(B1594,airports!A:H,8,FALSE)</f>
        <v>-97.037199999999999</v>
      </c>
      <c r="H1594">
        <f t="shared" si="48"/>
        <v>788.5</v>
      </c>
      <c r="I1594">
        <f t="shared" si="49"/>
        <v>490</v>
      </c>
    </row>
    <row r="1595" spans="1:9" ht="30" x14ac:dyDescent="0.25">
      <c r="A1595" s="5" t="s">
        <v>1977</v>
      </c>
      <c r="B1595" s="5" t="s">
        <v>95</v>
      </c>
      <c r="C1595" s="5" t="s">
        <v>1980</v>
      </c>
      <c r="D1595" s="3">
        <f>VLOOKUP(A1595,airports!A:H,7,FALSE)</f>
        <v>38.818093060000002</v>
      </c>
      <c r="E1595" s="3">
        <f>VLOOKUP(A1595,airports!A:H,8,FALSE)</f>
        <v>-92.219629170000005</v>
      </c>
      <c r="F1595" s="3">
        <f>VLOOKUP(B1595,airports!A:H,7,FALSE)</f>
        <v>41.979595000000003</v>
      </c>
      <c r="G1595" s="3">
        <f>VLOOKUP(B1595,airports!A:H,8,FALSE)</f>
        <v>-87.904464169999997</v>
      </c>
      <c r="H1595">
        <f t="shared" si="48"/>
        <v>506.9</v>
      </c>
      <c r="I1595">
        <f t="shared" si="49"/>
        <v>315</v>
      </c>
    </row>
    <row r="1596" spans="1:9" ht="30" x14ac:dyDescent="0.25">
      <c r="A1596" s="5" t="s">
        <v>1981</v>
      </c>
      <c r="B1596" s="5" t="s">
        <v>1027</v>
      </c>
      <c r="C1596" s="5" t="s">
        <v>1982</v>
      </c>
      <c r="D1596" s="3">
        <f>VLOOKUP(A1596,airports!A:H,7,FALSE)</f>
        <v>42.908355559999997</v>
      </c>
      <c r="E1596" s="3">
        <f>VLOOKUP(A1596,airports!A:H,8,FALSE)</f>
        <v>-106.4644661</v>
      </c>
      <c r="F1596" s="3">
        <f>VLOOKUP(B1596,airports!A:H,7,FALSE)</f>
        <v>44.520194170000003</v>
      </c>
      <c r="G1596" s="3">
        <f>VLOOKUP(B1596,airports!A:H,8,FALSE)</f>
        <v>-109.0237961</v>
      </c>
      <c r="H1596">
        <f t="shared" si="48"/>
        <v>272.8</v>
      </c>
      <c r="I1596">
        <f t="shared" si="49"/>
        <v>169.5</v>
      </c>
    </row>
    <row r="1597" spans="1:9" ht="30" x14ac:dyDescent="0.25">
      <c r="A1597" s="5" t="s">
        <v>1981</v>
      </c>
      <c r="B1597" s="5" t="s">
        <v>47</v>
      </c>
      <c r="C1597" s="5" t="s">
        <v>1983</v>
      </c>
      <c r="D1597" s="3">
        <f>VLOOKUP(A1597,airports!A:H,7,FALSE)</f>
        <v>42.908355559999997</v>
      </c>
      <c r="E1597" s="3">
        <f>VLOOKUP(A1597,airports!A:H,8,FALSE)</f>
        <v>-106.4644661</v>
      </c>
      <c r="F1597" s="3">
        <f>VLOOKUP(B1597,airports!A:H,7,FALSE)</f>
        <v>39.858408060000002</v>
      </c>
      <c r="G1597" s="3">
        <f>VLOOKUP(B1597,airports!A:H,8,FALSE)</f>
        <v>-104.6670019</v>
      </c>
      <c r="H1597">
        <f t="shared" si="48"/>
        <v>370.8</v>
      </c>
      <c r="I1597">
        <f t="shared" si="49"/>
        <v>230.4</v>
      </c>
    </row>
    <row r="1598" spans="1:9" x14ac:dyDescent="0.25">
      <c r="A1598" s="5" t="s">
        <v>1981</v>
      </c>
      <c r="B1598" s="5" t="s">
        <v>71</v>
      </c>
      <c r="C1598" s="5" t="s">
        <v>1984</v>
      </c>
      <c r="D1598" s="3">
        <f>VLOOKUP(A1598,airports!A:H,7,FALSE)</f>
        <v>42.908355559999997</v>
      </c>
      <c r="E1598" s="3">
        <f>VLOOKUP(A1598,airports!A:H,8,FALSE)</f>
        <v>-106.4644661</v>
      </c>
      <c r="F1598" s="3">
        <f>VLOOKUP(B1598,airports!A:H,7,FALSE)</f>
        <v>36.080361109999998</v>
      </c>
      <c r="G1598" s="3">
        <f>VLOOKUP(B1598,airports!A:H,8,FALSE)</f>
        <v>-115.1523333</v>
      </c>
      <c r="H1598">
        <f t="shared" si="48"/>
        <v>1062.9000000000001</v>
      </c>
      <c r="I1598">
        <f t="shared" si="49"/>
        <v>660.5</v>
      </c>
    </row>
    <row r="1599" spans="1:9" ht="30" x14ac:dyDescent="0.25">
      <c r="A1599" s="5" t="s">
        <v>1981</v>
      </c>
      <c r="B1599" s="5" t="s">
        <v>612</v>
      </c>
      <c r="C1599" s="5" t="s">
        <v>1985</v>
      </c>
      <c r="D1599" s="3">
        <f>VLOOKUP(A1599,airports!A:H,7,FALSE)</f>
        <v>42.908355559999997</v>
      </c>
      <c r="E1599" s="3">
        <f>VLOOKUP(A1599,airports!A:H,8,FALSE)</f>
        <v>-106.4644661</v>
      </c>
      <c r="F1599" s="3">
        <f>VLOOKUP(B1599,airports!A:H,7,FALSE)</f>
        <v>44.045321389999998</v>
      </c>
      <c r="G1599" s="3">
        <f>VLOOKUP(B1599,airports!A:H,8,FALSE)</f>
        <v>-103.0573708</v>
      </c>
      <c r="H1599">
        <f t="shared" si="48"/>
        <v>302.60000000000002</v>
      </c>
      <c r="I1599">
        <f t="shared" si="49"/>
        <v>188</v>
      </c>
    </row>
    <row r="1600" spans="1:9" x14ac:dyDescent="0.25">
      <c r="A1600" s="5" t="s">
        <v>1981</v>
      </c>
      <c r="B1600" s="5" t="s">
        <v>135</v>
      </c>
      <c r="C1600" s="5" t="s">
        <v>1986</v>
      </c>
      <c r="D1600" s="3">
        <f>VLOOKUP(A1600,airports!A:H,7,FALSE)</f>
        <v>42.908355559999997</v>
      </c>
      <c r="E1600" s="3">
        <f>VLOOKUP(A1600,airports!A:H,8,FALSE)</f>
        <v>-106.4644661</v>
      </c>
      <c r="F1600" s="3">
        <f>VLOOKUP(B1600,airports!A:H,7,FALSE)</f>
        <v>40.788387780000001</v>
      </c>
      <c r="G1600" s="3">
        <f>VLOOKUP(B1600,airports!A:H,8,FALSE)</f>
        <v>-111.97777309999999</v>
      </c>
      <c r="H1600">
        <f t="shared" si="48"/>
        <v>513.79999999999995</v>
      </c>
      <c r="I1600">
        <f t="shared" si="49"/>
        <v>319.3</v>
      </c>
    </row>
    <row r="1601" spans="1:9" ht="30" x14ac:dyDescent="0.25">
      <c r="A1601" s="5" t="s">
        <v>1987</v>
      </c>
      <c r="B1601" s="5" t="s">
        <v>1327</v>
      </c>
      <c r="C1601" s="5" t="s">
        <v>1988</v>
      </c>
      <c r="D1601" s="3">
        <f>VLOOKUP(A1601,airports!A:H,7,FALSE)</f>
        <v>27.770360830000001</v>
      </c>
      <c r="E1601" s="3">
        <f>VLOOKUP(A1601,airports!A:H,8,FALSE)</f>
        <v>-97.501215279999997</v>
      </c>
      <c r="F1601" s="3">
        <f>VLOOKUP(B1601,airports!A:H,7,FALSE)</f>
        <v>25.906833330000001</v>
      </c>
      <c r="G1601" s="3">
        <f>VLOOKUP(B1601,airports!A:H,8,FALSE)</f>
        <v>-97.42586111</v>
      </c>
      <c r="H1601">
        <f t="shared" si="48"/>
        <v>207.3</v>
      </c>
      <c r="I1601">
        <f t="shared" si="49"/>
        <v>128.80000000000001</v>
      </c>
    </row>
    <row r="1602" spans="1:9" ht="30" x14ac:dyDescent="0.25">
      <c r="A1602" s="5" t="s">
        <v>1987</v>
      </c>
      <c r="B1602" s="5" t="s">
        <v>201</v>
      </c>
      <c r="C1602" s="5" t="s">
        <v>1989</v>
      </c>
      <c r="D1602" s="3">
        <f>VLOOKUP(A1602,airports!A:H,7,FALSE)</f>
        <v>27.770360830000001</v>
      </c>
      <c r="E1602" s="3">
        <f>VLOOKUP(A1602,airports!A:H,8,FALSE)</f>
        <v>-97.501215279999997</v>
      </c>
      <c r="F1602" s="3">
        <f>VLOOKUP(B1602,airports!A:H,7,FALSE)</f>
        <v>32.847113890000003</v>
      </c>
      <c r="G1602" s="3">
        <f>VLOOKUP(B1602,airports!A:H,8,FALSE)</f>
        <v>-96.851772220000001</v>
      </c>
      <c r="H1602">
        <f t="shared" si="48"/>
        <v>567.9</v>
      </c>
      <c r="I1602">
        <f t="shared" si="49"/>
        <v>352.9</v>
      </c>
    </row>
    <row r="1603" spans="1:9" ht="30" x14ac:dyDescent="0.25">
      <c r="A1603" s="5" t="s">
        <v>1987</v>
      </c>
      <c r="B1603" s="5" t="s">
        <v>49</v>
      </c>
      <c r="C1603" s="5" t="s">
        <v>1990</v>
      </c>
      <c r="D1603" s="3">
        <f>VLOOKUP(A1603,airports!A:H,7,FALSE)</f>
        <v>27.770360830000001</v>
      </c>
      <c r="E1603" s="3">
        <f>VLOOKUP(A1603,airports!A:H,8,FALSE)</f>
        <v>-97.501215279999997</v>
      </c>
      <c r="F1603" s="3">
        <f>VLOOKUP(B1603,airports!A:H,7,FALSE)</f>
        <v>32.895950560000003</v>
      </c>
      <c r="G1603" s="3">
        <f>VLOOKUP(B1603,airports!A:H,8,FALSE)</f>
        <v>-97.037199999999999</v>
      </c>
      <c r="H1603">
        <f t="shared" si="48"/>
        <v>571.70000000000005</v>
      </c>
      <c r="I1603">
        <f t="shared" si="49"/>
        <v>355.2</v>
      </c>
    </row>
    <row r="1604" spans="1:9" ht="30" x14ac:dyDescent="0.25">
      <c r="A1604" s="5" t="s">
        <v>1987</v>
      </c>
      <c r="B1604" s="5" t="s">
        <v>205</v>
      </c>
      <c r="C1604" s="5" t="s">
        <v>1991</v>
      </c>
      <c r="D1604" s="3">
        <f>VLOOKUP(A1604,airports!A:H,7,FALSE)</f>
        <v>27.770360830000001</v>
      </c>
      <c r="E1604" s="3">
        <f>VLOOKUP(A1604,airports!A:H,8,FALSE)</f>
        <v>-97.501215279999997</v>
      </c>
      <c r="F1604" s="3">
        <f>VLOOKUP(B1604,airports!A:H,7,FALSE)</f>
        <v>29.64541861</v>
      </c>
      <c r="G1604" s="3">
        <f>VLOOKUP(B1604,airports!A:H,8,FALSE)</f>
        <v>-95.278888890000005</v>
      </c>
      <c r="H1604">
        <f t="shared" ref="H1604:H1667" si="50">ROUND(ACOS(COS(RADIANS(90-D1604)) * COS(RADIANS(90-F1604)) + SIN(RADIANS(90-D1604)) * SIN(RADIANS(90-F1604)) * COS(RADIANS(E1604-G1604))) * 6371,1)</f>
        <v>300.7</v>
      </c>
      <c r="I1604">
        <f t="shared" ref="I1604:I1667" si="51">ROUND(ACOS(COS(RADIANS(90-D1604)) * COS(RADIANS(90-F1604)) + SIN(RADIANS(90-D1604)) * SIN(RADIANS(90-F1604)) * COS(RADIANS(E1604-G1604))) * 3959,1)</f>
        <v>186.9</v>
      </c>
    </row>
    <row r="1605" spans="1:9" x14ac:dyDescent="0.25">
      <c r="A1605" s="5" t="s">
        <v>1987</v>
      </c>
      <c r="B1605" s="5" t="s">
        <v>67</v>
      </c>
      <c r="C1605" s="5" t="s">
        <v>1992</v>
      </c>
      <c r="D1605" s="3">
        <f>VLOOKUP(A1605,airports!A:H,7,FALSE)</f>
        <v>27.770360830000001</v>
      </c>
      <c r="E1605" s="3">
        <f>VLOOKUP(A1605,airports!A:H,8,FALSE)</f>
        <v>-97.501215279999997</v>
      </c>
      <c r="F1605" s="3">
        <f>VLOOKUP(B1605,airports!A:H,7,FALSE)</f>
        <v>29.980472219999999</v>
      </c>
      <c r="G1605" s="3">
        <f>VLOOKUP(B1605,airports!A:H,8,FALSE)</f>
        <v>-95.339722219999999</v>
      </c>
      <c r="H1605">
        <f t="shared" si="50"/>
        <v>323.5</v>
      </c>
      <c r="I1605">
        <f t="shared" si="51"/>
        <v>201.1</v>
      </c>
    </row>
    <row r="1606" spans="1:9" ht="30" x14ac:dyDescent="0.25">
      <c r="A1606" s="5" t="s">
        <v>458</v>
      </c>
      <c r="B1606" s="5" t="s">
        <v>10</v>
      </c>
      <c r="C1606" s="5" t="s">
        <v>1993</v>
      </c>
      <c r="D1606" s="3">
        <f>VLOOKUP(A1606,airports!A:H,7,FALSE)</f>
        <v>38.37315083</v>
      </c>
      <c r="E1606" s="3">
        <f>VLOOKUP(A1606,airports!A:H,8,FALSE)</f>
        <v>-81.593189719999998</v>
      </c>
      <c r="F1606" s="3">
        <f>VLOOKUP(B1606,airports!A:H,7,FALSE)</f>
        <v>33.640444440000003</v>
      </c>
      <c r="G1606" s="3">
        <f>VLOOKUP(B1606,airports!A:H,8,FALSE)</f>
        <v>-84.42694444</v>
      </c>
      <c r="H1606">
        <f t="shared" si="50"/>
        <v>584.6</v>
      </c>
      <c r="I1606">
        <f t="shared" si="51"/>
        <v>363.3</v>
      </c>
    </row>
    <row r="1607" spans="1:9" ht="30" x14ac:dyDescent="0.25">
      <c r="A1607" s="5" t="s">
        <v>458</v>
      </c>
      <c r="B1607" s="5" t="s">
        <v>40</v>
      </c>
      <c r="C1607" s="5" t="s">
        <v>1994</v>
      </c>
      <c r="D1607" s="3">
        <f>VLOOKUP(A1607,airports!A:H,7,FALSE)</f>
        <v>38.37315083</v>
      </c>
      <c r="E1607" s="3">
        <f>VLOOKUP(A1607,airports!A:H,8,FALSE)</f>
        <v>-81.593189719999998</v>
      </c>
      <c r="F1607" s="3">
        <f>VLOOKUP(B1607,airports!A:H,7,FALSE)</f>
        <v>35.214011110000001</v>
      </c>
      <c r="G1607" s="3">
        <f>VLOOKUP(B1607,airports!A:H,8,FALSE)</f>
        <v>-80.94312583</v>
      </c>
      <c r="H1607">
        <f t="shared" si="50"/>
        <v>356</v>
      </c>
      <c r="I1607">
        <f t="shared" si="51"/>
        <v>221.2</v>
      </c>
    </row>
    <row r="1608" spans="1:9" ht="30" x14ac:dyDescent="0.25">
      <c r="A1608" s="5" t="s">
        <v>458</v>
      </c>
      <c r="B1608" s="5" t="s">
        <v>45</v>
      </c>
      <c r="C1608" s="5" t="s">
        <v>1995</v>
      </c>
      <c r="D1608" s="3">
        <f>VLOOKUP(A1608,airports!A:H,7,FALSE)</f>
        <v>38.37315083</v>
      </c>
      <c r="E1608" s="3">
        <f>VLOOKUP(A1608,airports!A:H,8,FALSE)</f>
        <v>-81.593189719999998</v>
      </c>
      <c r="F1608" s="3">
        <f>VLOOKUP(B1608,airports!A:H,7,FALSE)</f>
        <v>38.852083329999999</v>
      </c>
      <c r="G1608" s="3">
        <f>VLOOKUP(B1608,airports!A:H,8,FALSE)</f>
        <v>-77.037722220000006</v>
      </c>
      <c r="H1608">
        <f t="shared" si="50"/>
        <v>399.3</v>
      </c>
      <c r="I1608">
        <f t="shared" si="51"/>
        <v>248.1</v>
      </c>
    </row>
    <row r="1609" spans="1:9" ht="30" x14ac:dyDescent="0.25">
      <c r="A1609" s="5" t="s">
        <v>458</v>
      </c>
      <c r="B1609" s="5" t="s">
        <v>176</v>
      </c>
      <c r="C1609" s="5" t="s">
        <v>1996</v>
      </c>
      <c r="D1609" s="3">
        <f>VLOOKUP(A1609,airports!A:H,7,FALSE)</f>
        <v>38.37315083</v>
      </c>
      <c r="E1609" s="3">
        <f>VLOOKUP(A1609,airports!A:H,8,FALSE)</f>
        <v>-81.593189719999998</v>
      </c>
      <c r="F1609" s="3">
        <f>VLOOKUP(B1609,airports!A:H,7,FALSE)</f>
        <v>38.944531939999997</v>
      </c>
      <c r="G1609" s="3">
        <f>VLOOKUP(B1609,airports!A:H,8,FALSE)</f>
        <v>-77.455809720000005</v>
      </c>
      <c r="H1609">
        <f t="shared" si="50"/>
        <v>364.8</v>
      </c>
      <c r="I1609">
        <f t="shared" si="51"/>
        <v>226.7</v>
      </c>
    </row>
    <row r="1610" spans="1:9" ht="30" x14ac:dyDescent="0.25">
      <c r="A1610" s="5" t="s">
        <v>458</v>
      </c>
      <c r="B1610" s="5" t="s">
        <v>67</v>
      </c>
      <c r="C1610" s="5" t="s">
        <v>1997</v>
      </c>
      <c r="D1610" s="3">
        <f>VLOOKUP(A1610,airports!A:H,7,FALSE)</f>
        <v>38.37315083</v>
      </c>
      <c r="E1610" s="3">
        <f>VLOOKUP(A1610,airports!A:H,8,FALSE)</f>
        <v>-81.593189719999998</v>
      </c>
      <c r="F1610" s="3">
        <f>VLOOKUP(B1610,airports!A:H,7,FALSE)</f>
        <v>29.980472219999999</v>
      </c>
      <c r="G1610" s="3">
        <f>VLOOKUP(B1610,airports!A:H,8,FALSE)</f>
        <v>-95.339722219999999</v>
      </c>
      <c r="H1610">
        <f t="shared" si="50"/>
        <v>1568.7</v>
      </c>
      <c r="I1610">
        <f t="shared" si="51"/>
        <v>974.8</v>
      </c>
    </row>
    <row r="1611" spans="1:9" ht="30" x14ac:dyDescent="0.25">
      <c r="A1611" s="5" t="s">
        <v>458</v>
      </c>
      <c r="B1611" s="5" t="s">
        <v>82</v>
      </c>
      <c r="C1611" s="5" t="s">
        <v>1998</v>
      </c>
      <c r="D1611" s="3">
        <f>VLOOKUP(A1611,airports!A:H,7,FALSE)</f>
        <v>38.37315083</v>
      </c>
      <c r="E1611" s="3">
        <f>VLOOKUP(A1611,airports!A:H,8,FALSE)</f>
        <v>-81.593189719999998</v>
      </c>
      <c r="F1611" s="3">
        <f>VLOOKUP(B1611,airports!A:H,7,FALSE)</f>
        <v>28.42888889</v>
      </c>
      <c r="G1611" s="3">
        <f>VLOOKUP(B1611,airports!A:H,8,FALSE)</f>
        <v>-81.316027779999999</v>
      </c>
      <c r="H1611">
        <f t="shared" si="50"/>
        <v>1106</v>
      </c>
      <c r="I1611">
        <f t="shared" si="51"/>
        <v>687.3</v>
      </c>
    </row>
    <row r="1612" spans="1:9" ht="30" x14ac:dyDescent="0.25">
      <c r="A1612" s="5" t="s">
        <v>458</v>
      </c>
      <c r="B1612" s="5" t="s">
        <v>182</v>
      </c>
      <c r="C1612" s="5" t="s">
        <v>1999</v>
      </c>
      <c r="D1612" s="3">
        <f>VLOOKUP(A1612,airports!A:H,7,FALSE)</f>
        <v>38.37315083</v>
      </c>
      <c r="E1612" s="3">
        <f>VLOOKUP(A1612,airports!A:H,8,FALSE)</f>
        <v>-81.593189719999998</v>
      </c>
      <c r="F1612" s="3">
        <f>VLOOKUP(B1612,airports!A:H,7,FALSE)</f>
        <v>33.679749999999999</v>
      </c>
      <c r="G1612" s="3">
        <f>VLOOKUP(B1612,airports!A:H,8,FALSE)</f>
        <v>-78.928333330000001</v>
      </c>
      <c r="H1612">
        <f t="shared" si="50"/>
        <v>574.20000000000005</v>
      </c>
      <c r="I1612">
        <f t="shared" si="51"/>
        <v>356.8</v>
      </c>
    </row>
    <row r="1613" spans="1:9" ht="30" x14ac:dyDescent="0.25">
      <c r="A1613" s="5" t="s">
        <v>458</v>
      </c>
      <c r="B1613" s="5" t="s">
        <v>95</v>
      </c>
      <c r="C1613" s="5" t="s">
        <v>2000</v>
      </c>
      <c r="D1613" s="3">
        <f>VLOOKUP(A1613,airports!A:H,7,FALSE)</f>
        <v>38.37315083</v>
      </c>
      <c r="E1613" s="3">
        <f>VLOOKUP(A1613,airports!A:H,8,FALSE)</f>
        <v>-81.593189719999998</v>
      </c>
      <c r="F1613" s="3">
        <f>VLOOKUP(B1613,airports!A:H,7,FALSE)</f>
        <v>41.979595000000003</v>
      </c>
      <c r="G1613" s="3">
        <f>VLOOKUP(B1613,airports!A:H,8,FALSE)</f>
        <v>-87.904464169999997</v>
      </c>
      <c r="H1613">
        <f t="shared" si="50"/>
        <v>669.3</v>
      </c>
      <c r="I1613">
        <f t="shared" si="51"/>
        <v>415.9</v>
      </c>
    </row>
    <row r="1614" spans="1:9" ht="30" x14ac:dyDescent="0.25">
      <c r="A1614" s="5" t="s">
        <v>458</v>
      </c>
      <c r="B1614" s="5" t="s">
        <v>102</v>
      </c>
      <c r="C1614" s="5" t="s">
        <v>2001</v>
      </c>
      <c r="D1614" s="3">
        <f>VLOOKUP(A1614,airports!A:H,7,FALSE)</f>
        <v>38.37315083</v>
      </c>
      <c r="E1614" s="3">
        <f>VLOOKUP(A1614,airports!A:H,8,FALSE)</f>
        <v>-81.593189719999998</v>
      </c>
      <c r="F1614" s="3">
        <f>VLOOKUP(B1614,airports!A:H,7,FALSE)</f>
        <v>39.871952780000001</v>
      </c>
      <c r="G1614" s="3">
        <f>VLOOKUP(B1614,airports!A:H,8,FALSE)</f>
        <v>-75.241140830000006</v>
      </c>
      <c r="H1614">
        <f t="shared" si="50"/>
        <v>572.6</v>
      </c>
      <c r="I1614">
        <f t="shared" si="51"/>
        <v>355.8</v>
      </c>
    </row>
    <row r="1615" spans="1:9" x14ac:dyDescent="0.25">
      <c r="A1615" s="5" t="s">
        <v>460</v>
      </c>
      <c r="B1615" s="5" t="s">
        <v>10</v>
      </c>
      <c r="C1615" s="5" t="s">
        <v>2002</v>
      </c>
      <c r="D1615" s="3">
        <f>VLOOKUP(A1615,airports!A:H,7,FALSE)</f>
        <v>32.516333330000002</v>
      </c>
      <c r="E1615" s="3">
        <f>VLOOKUP(A1615,airports!A:H,8,FALSE)</f>
        <v>-84.938861110000005</v>
      </c>
      <c r="F1615" s="3">
        <f>VLOOKUP(B1615,airports!A:H,7,FALSE)</f>
        <v>33.640444440000003</v>
      </c>
      <c r="G1615" s="3">
        <f>VLOOKUP(B1615,airports!A:H,8,FALSE)</f>
        <v>-84.42694444</v>
      </c>
      <c r="H1615">
        <f t="shared" si="50"/>
        <v>133.80000000000001</v>
      </c>
      <c r="I1615">
        <f t="shared" si="51"/>
        <v>83.1</v>
      </c>
    </row>
    <row r="1616" spans="1:9" x14ac:dyDescent="0.25">
      <c r="A1616" s="5" t="s">
        <v>460</v>
      </c>
      <c r="B1616" s="5" t="s">
        <v>40</v>
      </c>
      <c r="C1616" s="5" t="s">
        <v>2003</v>
      </c>
      <c r="D1616" s="3">
        <f>VLOOKUP(A1616,airports!A:H,7,FALSE)</f>
        <v>32.516333330000002</v>
      </c>
      <c r="E1616" s="3">
        <f>VLOOKUP(A1616,airports!A:H,8,FALSE)</f>
        <v>-84.938861110000005</v>
      </c>
      <c r="F1616" s="3">
        <f>VLOOKUP(B1616,airports!A:H,7,FALSE)</f>
        <v>35.214011110000001</v>
      </c>
      <c r="G1616" s="3">
        <f>VLOOKUP(B1616,airports!A:H,8,FALSE)</f>
        <v>-80.94312583</v>
      </c>
      <c r="H1616">
        <f t="shared" si="50"/>
        <v>475.4</v>
      </c>
      <c r="I1616">
        <f t="shared" si="51"/>
        <v>295.39999999999998</v>
      </c>
    </row>
    <row r="1617" spans="1:9" ht="30" x14ac:dyDescent="0.25">
      <c r="A1617" s="5" t="s">
        <v>460</v>
      </c>
      <c r="B1617" s="5" t="s">
        <v>49</v>
      </c>
      <c r="C1617" s="5" t="s">
        <v>2004</v>
      </c>
      <c r="D1617" s="3">
        <f>VLOOKUP(A1617,airports!A:H,7,FALSE)</f>
        <v>32.516333330000002</v>
      </c>
      <c r="E1617" s="3">
        <f>VLOOKUP(A1617,airports!A:H,8,FALSE)</f>
        <v>-84.938861110000005</v>
      </c>
      <c r="F1617" s="3">
        <f>VLOOKUP(B1617,airports!A:H,7,FALSE)</f>
        <v>32.895950560000003</v>
      </c>
      <c r="G1617" s="3">
        <f>VLOOKUP(B1617,airports!A:H,8,FALSE)</f>
        <v>-97.037199999999999</v>
      </c>
      <c r="H1617">
        <f t="shared" si="50"/>
        <v>1132.2</v>
      </c>
      <c r="I1617">
        <f t="shared" si="51"/>
        <v>703.5</v>
      </c>
    </row>
    <row r="1618" spans="1:9" ht="30" x14ac:dyDescent="0.25">
      <c r="A1618" s="5" t="s">
        <v>462</v>
      </c>
      <c r="B1618" s="5" t="s">
        <v>170</v>
      </c>
      <c r="C1618" s="5" t="s">
        <v>2005</v>
      </c>
      <c r="D1618" s="3">
        <f>VLOOKUP(A1618,airports!A:H,7,FALSE)</f>
        <v>39.046142779999997</v>
      </c>
      <c r="E1618" s="3">
        <f>VLOOKUP(A1618,airports!A:H,8,FALSE)</f>
        <v>-84.662172499999997</v>
      </c>
      <c r="F1618" s="3">
        <f>VLOOKUP(B1618,airports!A:H,7,FALSE)</f>
        <v>40.652362779999997</v>
      </c>
      <c r="G1618" s="3">
        <f>VLOOKUP(B1618,airports!A:H,8,FALSE)</f>
        <v>-75.44040167</v>
      </c>
      <c r="H1618">
        <f t="shared" si="50"/>
        <v>806.8</v>
      </c>
      <c r="I1618">
        <f t="shared" si="51"/>
        <v>501.4</v>
      </c>
    </row>
    <row r="1619" spans="1:9" ht="30" x14ac:dyDescent="0.25">
      <c r="A1619" s="5" t="s">
        <v>462</v>
      </c>
      <c r="B1619" s="5" t="s">
        <v>10</v>
      </c>
      <c r="C1619" s="5" t="s">
        <v>2006</v>
      </c>
      <c r="D1619" s="3">
        <f>VLOOKUP(A1619,airports!A:H,7,FALSE)</f>
        <v>39.046142779999997</v>
      </c>
      <c r="E1619" s="3">
        <f>VLOOKUP(A1619,airports!A:H,8,FALSE)</f>
        <v>-84.662172499999997</v>
      </c>
      <c r="F1619" s="3">
        <f>VLOOKUP(B1619,airports!A:H,7,FALSE)</f>
        <v>33.640444440000003</v>
      </c>
      <c r="G1619" s="3">
        <f>VLOOKUP(B1619,airports!A:H,8,FALSE)</f>
        <v>-84.42694444</v>
      </c>
      <c r="H1619">
        <f t="shared" si="50"/>
        <v>601.5</v>
      </c>
      <c r="I1619">
        <f t="shared" si="51"/>
        <v>373.7</v>
      </c>
    </row>
    <row r="1620" spans="1:9" ht="30" x14ac:dyDescent="0.25">
      <c r="A1620" s="5" t="s">
        <v>462</v>
      </c>
      <c r="B1620" s="5" t="s">
        <v>13</v>
      </c>
      <c r="C1620" s="5" t="s">
        <v>2007</v>
      </c>
      <c r="D1620" s="3">
        <f>VLOOKUP(A1620,airports!A:H,7,FALSE)</f>
        <v>39.046142779999997</v>
      </c>
      <c r="E1620" s="3">
        <f>VLOOKUP(A1620,airports!A:H,8,FALSE)</f>
        <v>-84.662172499999997</v>
      </c>
      <c r="F1620" s="3">
        <f>VLOOKUP(B1620,airports!A:H,7,FALSE)</f>
        <v>30.194532779999999</v>
      </c>
      <c r="G1620" s="3">
        <f>VLOOKUP(B1620,airports!A:H,8,FALSE)</f>
        <v>-97.669871939999993</v>
      </c>
      <c r="H1620">
        <f t="shared" si="50"/>
        <v>1541.7</v>
      </c>
      <c r="I1620">
        <f t="shared" si="51"/>
        <v>958</v>
      </c>
    </row>
    <row r="1621" spans="1:9" ht="30" x14ac:dyDescent="0.25">
      <c r="A1621" s="5" t="s">
        <v>462</v>
      </c>
      <c r="B1621" s="5" t="s">
        <v>329</v>
      </c>
      <c r="C1621" s="5" t="s">
        <v>2008</v>
      </c>
      <c r="D1621" s="3">
        <f>VLOOKUP(A1621,airports!A:H,7,FALSE)</f>
        <v>39.046142779999997</v>
      </c>
      <c r="E1621" s="3">
        <f>VLOOKUP(A1621,airports!A:H,8,FALSE)</f>
        <v>-84.662172499999997</v>
      </c>
      <c r="F1621" s="3">
        <f>VLOOKUP(B1621,airports!A:H,7,FALSE)</f>
        <v>33.308999999999997</v>
      </c>
      <c r="G1621" s="3">
        <f>VLOOKUP(B1621,airports!A:H,8,FALSE)</f>
        <v>-111.6559</v>
      </c>
      <c r="H1621">
        <f t="shared" si="50"/>
        <v>2495.1999999999998</v>
      </c>
      <c r="I1621">
        <f t="shared" si="51"/>
        <v>1550.5</v>
      </c>
    </row>
    <row r="1622" spans="1:9" ht="30" x14ac:dyDescent="0.25">
      <c r="A1622" s="5" t="s">
        <v>462</v>
      </c>
      <c r="B1622" s="5" t="s">
        <v>16</v>
      </c>
      <c r="C1622" s="5" t="s">
        <v>2009</v>
      </c>
      <c r="D1622" s="3">
        <f>VLOOKUP(A1622,airports!A:H,7,FALSE)</f>
        <v>39.046142779999997</v>
      </c>
      <c r="E1622" s="3">
        <f>VLOOKUP(A1622,airports!A:H,8,FALSE)</f>
        <v>-84.662172499999997</v>
      </c>
      <c r="F1622" s="3">
        <f>VLOOKUP(B1622,airports!A:H,7,FALSE)</f>
        <v>41.938874169999998</v>
      </c>
      <c r="G1622" s="3">
        <f>VLOOKUP(B1622,airports!A:H,8,FALSE)</f>
        <v>-72.683228330000006</v>
      </c>
      <c r="H1622">
        <f t="shared" si="50"/>
        <v>1061.7</v>
      </c>
      <c r="I1622">
        <f t="shared" si="51"/>
        <v>659.8</v>
      </c>
    </row>
    <row r="1623" spans="1:9" ht="30" x14ac:dyDescent="0.25">
      <c r="A1623" s="5" t="s">
        <v>462</v>
      </c>
      <c r="B1623" s="5" t="s">
        <v>19</v>
      </c>
      <c r="C1623" s="5" t="s">
        <v>2010</v>
      </c>
      <c r="D1623" s="3">
        <f>VLOOKUP(A1623,airports!A:H,7,FALSE)</f>
        <v>39.046142779999997</v>
      </c>
      <c r="E1623" s="3">
        <f>VLOOKUP(A1623,airports!A:H,8,FALSE)</f>
        <v>-84.662172499999997</v>
      </c>
      <c r="F1623" s="3">
        <f>VLOOKUP(B1623,airports!A:H,7,FALSE)</f>
        <v>36.12447667</v>
      </c>
      <c r="G1623" s="3">
        <f>VLOOKUP(B1623,airports!A:H,8,FALSE)</f>
        <v>-86.678182219999997</v>
      </c>
      <c r="H1623">
        <f t="shared" si="50"/>
        <v>370.2</v>
      </c>
      <c r="I1623">
        <f t="shared" si="51"/>
        <v>230.1</v>
      </c>
    </row>
    <row r="1624" spans="1:9" ht="30" x14ac:dyDescent="0.25">
      <c r="A1624" s="5" t="s">
        <v>462</v>
      </c>
      <c r="B1624" s="5" t="s">
        <v>24</v>
      </c>
      <c r="C1624" s="5" t="s">
        <v>2011</v>
      </c>
      <c r="D1624" s="3">
        <f>VLOOKUP(A1624,airports!A:H,7,FALSE)</f>
        <v>39.046142779999997</v>
      </c>
      <c r="E1624" s="3">
        <f>VLOOKUP(A1624,airports!A:H,8,FALSE)</f>
        <v>-84.662172499999997</v>
      </c>
      <c r="F1624" s="3">
        <f>VLOOKUP(B1624,airports!A:H,7,FALSE)</f>
        <v>42.364347500000001</v>
      </c>
      <c r="G1624" s="3">
        <f>VLOOKUP(B1624,airports!A:H,8,FALSE)</f>
        <v>-71.005179170000005</v>
      </c>
      <c r="H1624">
        <f t="shared" si="50"/>
        <v>1207.3</v>
      </c>
      <c r="I1624">
        <f t="shared" si="51"/>
        <v>750.2</v>
      </c>
    </row>
    <row r="1625" spans="1:9" ht="30" x14ac:dyDescent="0.25">
      <c r="A1625" s="5" t="s">
        <v>462</v>
      </c>
      <c r="B1625" s="5" t="s">
        <v>32</v>
      </c>
      <c r="C1625" s="5" t="s">
        <v>2012</v>
      </c>
      <c r="D1625" s="3">
        <f>VLOOKUP(A1625,airports!A:H,7,FALSE)</f>
        <v>39.046142779999997</v>
      </c>
      <c r="E1625" s="3">
        <f>VLOOKUP(A1625,airports!A:H,8,FALSE)</f>
        <v>-84.662172499999997</v>
      </c>
      <c r="F1625" s="3">
        <f>VLOOKUP(B1625,airports!A:H,7,FALSE)</f>
        <v>39.175401669999999</v>
      </c>
      <c r="G1625" s="3">
        <f>VLOOKUP(B1625,airports!A:H,8,FALSE)</f>
        <v>-76.668198329999996</v>
      </c>
      <c r="H1625">
        <f t="shared" si="50"/>
        <v>689.6</v>
      </c>
      <c r="I1625">
        <f t="shared" si="51"/>
        <v>428.5</v>
      </c>
    </row>
    <row r="1626" spans="1:9" ht="30" x14ac:dyDescent="0.25">
      <c r="A1626" s="5" t="s">
        <v>462</v>
      </c>
      <c r="B1626" s="5" t="s">
        <v>36</v>
      </c>
      <c r="C1626" s="5" t="s">
        <v>2013</v>
      </c>
      <c r="D1626" s="3">
        <f>VLOOKUP(A1626,airports!A:H,7,FALSE)</f>
        <v>39.046142779999997</v>
      </c>
      <c r="E1626" s="3">
        <f>VLOOKUP(A1626,airports!A:H,8,FALSE)</f>
        <v>-84.662172499999997</v>
      </c>
      <c r="F1626" s="3">
        <f>VLOOKUP(B1626,airports!A:H,7,FALSE)</f>
        <v>32.898646390000003</v>
      </c>
      <c r="G1626" s="3">
        <f>VLOOKUP(B1626,airports!A:H,8,FALSE)</f>
        <v>-80.040505830000001</v>
      </c>
      <c r="H1626">
        <f t="shared" si="50"/>
        <v>799.9</v>
      </c>
      <c r="I1626">
        <f t="shared" si="51"/>
        <v>497</v>
      </c>
    </row>
    <row r="1627" spans="1:9" ht="30" x14ac:dyDescent="0.25">
      <c r="A1627" s="5" t="s">
        <v>462</v>
      </c>
      <c r="B1627" s="5" t="s">
        <v>38</v>
      </c>
      <c r="C1627" s="5" t="s">
        <v>2014</v>
      </c>
      <c r="D1627" s="3">
        <f>VLOOKUP(A1627,airports!A:H,7,FALSE)</f>
        <v>39.046142779999997</v>
      </c>
      <c r="E1627" s="3">
        <f>VLOOKUP(A1627,airports!A:H,8,FALSE)</f>
        <v>-84.662172499999997</v>
      </c>
      <c r="F1627" s="3">
        <f>VLOOKUP(B1627,airports!A:H,7,FALSE)</f>
        <v>41.410894169999999</v>
      </c>
      <c r="G1627" s="3">
        <f>VLOOKUP(B1627,airports!A:H,8,FALSE)</f>
        <v>-81.849396670000004</v>
      </c>
      <c r="H1627">
        <f t="shared" si="50"/>
        <v>355.2</v>
      </c>
      <c r="I1627">
        <f t="shared" si="51"/>
        <v>220.7</v>
      </c>
    </row>
    <row r="1628" spans="1:9" ht="30" x14ac:dyDescent="0.25">
      <c r="A1628" s="5" t="s">
        <v>462</v>
      </c>
      <c r="B1628" s="5" t="s">
        <v>40</v>
      </c>
      <c r="C1628" s="5" t="s">
        <v>2015</v>
      </c>
      <c r="D1628" s="3">
        <f>VLOOKUP(A1628,airports!A:H,7,FALSE)</f>
        <v>39.046142779999997</v>
      </c>
      <c r="E1628" s="3">
        <f>VLOOKUP(A1628,airports!A:H,8,FALSE)</f>
        <v>-84.662172499999997</v>
      </c>
      <c r="F1628" s="3">
        <f>VLOOKUP(B1628,airports!A:H,7,FALSE)</f>
        <v>35.214011110000001</v>
      </c>
      <c r="G1628" s="3">
        <f>VLOOKUP(B1628,airports!A:H,8,FALSE)</f>
        <v>-80.94312583</v>
      </c>
      <c r="H1628">
        <f t="shared" si="50"/>
        <v>538.70000000000005</v>
      </c>
      <c r="I1628">
        <f t="shared" si="51"/>
        <v>334.7</v>
      </c>
    </row>
    <row r="1629" spans="1:9" ht="30" x14ac:dyDescent="0.25">
      <c r="A1629" s="5" t="s">
        <v>462</v>
      </c>
      <c r="B1629" s="5" t="s">
        <v>45</v>
      </c>
      <c r="C1629" s="5" t="s">
        <v>2016</v>
      </c>
      <c r="D1629" s="3">
        <f>VLOOKUP(A1629,airports!A:H,7,FALSE)</f>
        <v>39.046142779999997</v>
      </c>
      <c r="E1629" s="3">
        <f>VLOOKUP(A1629,airports!A:H,8,FALSE)</f>
        <v>-84.662172499999997</v>
      </c>
      <c r="F1629" s="3">
        <f>VLOOKUP(B1629,airports!A:H,7,FALSE)</f>
        <v>38.852083329999999</v>
      </c>
      <c r="G1629" s="3">
        <f>VLOOKUP(B1629,airports!A:H,8,FALSE)</f>
        <v>-77.037722220000006</v>
      </c>
      <c r="H1629">
        <f t="shared" si="50"/>
        <v>659.5</v>
      </c>
      <c r="I1629">
        <f t="shared" si="51"/>
        <v>409.8</v>
      </c>
    </row>
    <row r="1630" spans="1:9" ht="30" x14ac:dyDescent="0.25">
      <c r="A1630" s="5" t="s">
        <v>462</v>
      </c>
      <c r="B1630" s="5" t="s">
        <v>47</v>
      </c>
      <c r="C1630" s="5" t="s">
        <v>2017</v>
      </c>
      <c r="D1630" s="3">
        <f>VLOOKUP(A1630,airports!A:H,7,FALSE)</f>
        <v>39.046142779999997</v>
      </c>
      <c r="E1630" s="3">
        <f>VLOOKUP(A1630,airports!A:H,8,FALSE)</f>
        <v>-84.662172499999997</v>
      </c>
      <c r="F1630" s="3">
        <f>VLOOKUP(B1630,airports!A:H,7,FALSE)</f>
        <v>39.858408060000002</v>
      </c>
      <c r="G1630" s="3">
        <f>VLOOKUP(B1630,airports!A:H,8,FALSE)</f>
        <v>-104.6670019</v>
      </c>
      <c r="H1630">
        <f t="shared" si="50"/>
        <v>1716.4</v>
      </c>
      <c r="I1630">
        <f t="shared" si="51"/>
        <v>1066.5999999999999</v>
      </c>
    </row>
    <row r="1631" spans="1:9" ht="30" x14ac:dyDescent="0.25">
      <c r="A1631" s="5" t="s">
        <v>462</v>
      </c>
      <c r="B1631" s="5" t="s">
        <v>49</v>
      </c>
      <c r="C1631" s="5" t="s">
        <v>2018</v>
      </c>
      <c r="D1631" s="3">
        <f>VLOOKUP(A1631,airports!A:H,7,FALSE)</f>
        <v>39.046142779999997</v>
      </c>
      <c r="E1631" s="3">
        <f>VLOOKUP(A1631,airports!A:H,8,FALSE)</f>
        <v>-84.662172499999997</v>
      </c>
      <c r="F1631" s="3">
        <f>VLOOKUP(B1631,airports!A:H,7,FALSE)</f>
        <v>32.895950560000003</v>
      </c>
      <c r="G1631" s="3">
        <f>VLOOKUP(B1631,airports!A:H,8,FALSE)</f>
        <v>-97.037199999999999</v>
      </c>
      <c r="H1631">
        <f t="shared" si="50"/>
        <v>1305</v>
      </c>
      <c r="I1631">
        <f t="shared" si="51"/>
        <v>811</v>
      </c>
    </row>
    <row r="1632" spans="1:9" ht="30" x14ac:dyDescent="0.25">
      <c r="A1632" s="5" t="s">
        <v>462</v>
      </c>
      <c r="B1632" s="5" t="s">
        <v>50</v>
      </c>
      <c r="C1632" s="5" t="s">
        <v>2019</v>
      </c>
      <c r="D1632" s="3">
        <f>VLOOKUP(A1632,airports!A:H,7,FALSE)</f>
        <v>39.046142779999997</v>
      </c>
      <c r="E1632" s="3">
        <f>VLOOKUP(A1632,airports!A:H,8,FALSE)</f>
        <v>-84.662172499999997</v>
      </c>
      <c r="F1632" s="3">
        <f>VLOOKUP(B1632,airports!A:H,7,FALSE)</f>
        <v>42.212058890000002</v>
      </c>
      <c r="G1632" s="3">
        <f>VLOOKUP(B1632,airports!A:H,8,FALSE)</f>
        <v>-83.348835829999999</v>
      </c>
      <c r="H1632">
        <f t="shared" si="50"/>
        <v>369.1</v>
      </c>
      <c r="I1632">
        <f t="shared" si="51"/>
        <v>229.3</v>
      </c>
    </row>
    <row r="1633" spans="1:9" ht="30" x14ac:dyDescent="0.25">
      <c r="A1633" s="5" t="s">
        <v>462</v>
      </c>
      <c r="B1633" s="5" t="s">
        <v>52</v>
      </c>
      <c r="C1633" s="5" t="s">
        <v>2020</v>
      </c>
      <c r="D1633" s="3">
        <f>VLOOKUP(A1633,airports!A:H,7,FALSE)</f>
        <v>39.046142779999997</v>
      </c>
      <c r="E1633" s="3">
        <f>VLOOKUP(A1633,airports!A:H,8,FALSE)</f>
        <v>-84.662172499999997</v>
      </c>
      <c r="F1633" s="3">
        <f>VLOOKUP(B1633,airports!A:H,7,FALSE)</f>
        <v>40.69249722</v>
      </c>
      <c r="G1633" s="3">
        <f>VLOOKUP(B1633,airports!A:H,8,FALSE)</f>
        <v>-74.168660560000006</v>
      </c>
      <c r="H1633">
        <f t="shared" si="50"/>
        <v>913.5</v>
      </c>
      <c r="I1633">
        <f t="shared" si="51"/>
        <v>567.6</v>
      </c>
    </row>
    <row r="1634" spans="1:9" ht="30" x14ac:dyDescent="0.25">
      <c r="A1634" s="5" t="s">
        <v>462</v>
      </c>
      <c r="B1634" s="5" t="s">
        <v>54</v>
      </c>
      <c r="C1634" s="5" t="s">
        <v>2021</v>
      </c>
      <c r="D1634" s="3">
        <f>VLOOKUP(A1634,airports!A:H,7,FALSE)</f>
        <v>39.046142779999997</v>
      </c>
      <c r="E1634" s="3">
        <f>VLOOKUP(A1634,airports!A:H,8,FALSE)</f>
        <v>-84.662172499999997</v>
      </c>
      <c r="F1634" s="3">
        <f>VLOOKUP(B1634,airports!A:H,7,FALSE)</f>
        <v>24.55611111</v>
      </c>
      <c r="G1634" s="3">
        <f>VLOOKUP(B1634,airports!A:H,8,FALSE)</f>
        <v>-81.759555559999995</v>
      </c>
      <c r="H1634">
        <f t="shared" si="50"/>
        <v>1634.1</v>
      </c>
      <c r="I1634">
        <f t="shared" si="51"/>
        <v>1015.5</v>
      </c>
    </row>
    <row r="1635" spans="1:9" x14ac:dyDescent="0.25">
      <c r="A1635" s="5" t="s">
        <v>462</v>
      </c>
      <c r="B1635" s="5" t="s">
        <v>57</v>
      </c>
      <c r="C1635" s="5" t="s">
        <v>2022</v>
      </c>
      <c r="D1635" s="3">
        <f>VLOOKUP(A1635,airports!A:H,7,FALSE)</f>
        <v>39.046142779999997</v>
      </c>
      <c r="E1635" s="3">
        <f>VLOOKUP(A1635,airports!A:H,8,FALSE)</f>
        <v>-84.662172499999997</v>
      </c>
      <c r="F1635" s="3">
        <f>VLOOKUP(B1635,airports!A:H,7,FALSE)</f>
        <v>26.072583330000001</v>
      </c>
      <c r="G1635" s="3">
        <f>VLOOKUP(B1635,airports!A:H,8,FALSE)</f>
        <v>-80.152749999999997</v>
      </c>
      <c r="H1635">
        <f t="shared" si="50"/>
        <v>1502.6</v>
      </c>
      <c r="I1635">
        <f t="shared" si="51"/>
        <v>933.8</v>
      </c>
    </row>
    <row r="1636" spans="1:9" ht="30" x14ac:dyDescent="0.25">
      <c r="A1636" s="5" t="s">
        <v>462</v>
      </c>
      <c r="B1636" s="5" t="s">
        <v>503</v>
      </c>
      <c r="C1636" s="5" t="s">
        <v>2023</v>
      </c>
      <c r="D1636" s="3">
        <f>VLOOKUP(A1636,airports!A:H,7,FALSE)</f>
        <v>39.046142779999997</v>
      </c>
      <c r="E1636" s="3">
        <f>VLOOKUP(A1636,airports!A:H,8,FALSE)</f>
        <v>-84.662172499999997</v>
      </c>
      <c r="F1636" s="3">
        <f>VLOOKUP(B1636,airports!A:H,7,FALSE)</f>
        <v>40.978465829999998</v>
      </c>
      <c r="G1636" s="3">
        <f>VLOOKUP(B1636,airports!A:H,8,FALSE)</f>
        <v>-85.195146390000005</v>
      </c>
      <c r="H1636">
        <f t="shared" si="50"/>
        <v>219.6</v>
      </c>
      <c r="I1636">
        <f t="shared" si="51"/>
        <v>136.5</v>
      </c>
    </row>
    <row r="1637" spans="1:9" ht="30" x14ac:dyDescent="0.25">
      <c r="A1637" s="5" t="s">
        <v>462</v>
      </c>
      <c r="B1637" s="5" t="s">
        <v>524</v>
      </c>
      <c r="C1637" s="5" t="s">
        <v>2024</v>
      </c>
      <c r="D1637" s="3">
        <f>VLOOKUP(A1637,airports!A:H,7,FALSE)</f>
        <v>39.046142779999997</v>
      </c>
      <c r="E1637" s="3">
        <f>VLOOKUP(A1637,airports!A:H,8,FALSE)</f>
        <v>-84.662172499999997</v>
      </c>
      <c r="F1637" s="3">
        <f>VLOOKUP(B1637,airports!A:H,7,FALSE)</f>
        <v>32.224399566700001</v>
      </c>
      <c r="G1637" s="3">
        <f>VLOOKUP(B1637,airports!A:H,8,FALSE)</f>
        <v>-80.697502136200001</v>
      </c>
      <c r="H1637">
        <f t="shared" si="50"/>
        <v>838.7</v>
      </c>
      <c r="I1637">
        <f t="shared" si="51"/>
        <v>521.20000000000005</v>
      </c>
    </row>
    <row r="1638" spans="1:9" ht="30" x14ac:dyDescent="0.25">
      <c r="A1638" s="5" t="s">
        <v>462</v>
      </c>
      <c r="B1638" s="5" t="s">
        <v>205</v>
      </c>
      <c r="C1638" s="5" t="s">
        <v>2025</v>
      </c>
      <c r="D1638" s="3">
        <f>VLOOKUP(A1638,airports!A:H,7,FALSE)</f>
        <v>39.046142779999997</v>
      </c>
      <c r="E1638" s="3">
        <f>VLOOKUP(A1638,airports!A:H,8,FALSE)</f>
        <v>-84.662172499999997</v>
      </c>
      <c r="F1638" s="3">
        <f>VLOOKUP(B1638,airports!A:H,7,FALSE)</f>
        <v>29.64541861</v>
      </c>
      <c r="G1638" s="3">
        <f>VLOOKUP(B1638,airports!A:H,8,FALSE)</f>
        <v>-95.278888890000005</v>
      </c>
      <c r="H1638">
        <f t="shared" si="50"/>
        <v>1427.1</v>
      </c>
      <c r="I1638">
        <f t="shared" si="51"/>
        <v>886.8</v>
      </c>
    </row>
    <row r="1639" spans="1:9" ht="30" x14ac:dyDescent="0.25">
      <c r="A1639" s="5" t="s">
        <v>462</v>
      </c>
      <c r="B1639" s="5" t="s">
        <v>1793</v>
      </c>
      <c r="C1639" s="5" t="s">
        <v>2026</v>
      </c>
      <c r="D1639" s="3">
        <f>VLOOKUP(A1639,airports!A:H,7,FALSE)</f>
        <v>39.046142779999997</v>
      </c>
      <c r="E1639" s="3">
        <f>VLOOKUP(A1639,airports!A:H,8,FALSE)</f>
        <v>-84.662172499999997</v>
      </c>
      <c r="F1639" s="3">
        <f>VLOOKUP(B1639,airports!A:H,7,FALSE)</f>
        <v>38.366666670000001</v>
      </c>
      <c r="G1639" s="3">
        <f>VLOOKUP(B1639,airports!A:H,8,FALSE)</f>
        <v>-82.558027780000003</v>
      </c>
      <c r="H1639">
        <f t="shared" si="50"/>
        <v>197.6</v>
      </c>
      <c r="I1639">
        <f t="shared" si="51"/>
        <v>122.8</v>
      </c>
    </row>
    <row r="1640" spans="1:9" ht="30" x14ac:dyDescent="0.25">
      <c r="A1640" s="5" t="s">
        <v>462</v>
      </c>
      <c r="B1640" s="5" t="s">
        <v>176</v>
      </c>
      <c r="C1640" s="5" t="s">
        <v>2027</v>
      </c>
      <c r="D1640" s="3">
        <f>VLOOKUP(A1640,airports!A:H,7,FALSE)</f>
        <v>39.046142779999997</v>
      </c>
      <c r="E1640" s="3">
        <f>VLOOKUP(A1640,airports!A:H,8,FALSE)</f>
        <v>-84.662172499999997</v>
      </c>
      <c r="F1640" s="3">
        <f>VLOOKUP(B1640,airports!A:H,7,FALSE)</f>
        <v>38.944531939999997</v>
      </c>
      <c r="G1640" s="3">
        <f>VLOOKUP(B1640,airports!A:H,8,FALSE)</f>
        <v>-77.455809720000005</v>
      </c>
      <c r="H1640">
        <f t="shared" si="50"/>
        <v>622.70000000000005</v>
      </c>
      <c r="I1640">
        <f t="shared" si="51"/>
        <v>387</v>
      </c>
    </row>
    <row r="1641" spans="1:9" ht="30" x14ac:dyDescent="0.25">
      <c r="A1641" s="5" t="s">
        <v>462</v>
      </c>
      <c r="B1641" s="5" t="s">
        <v>67</v>
      </c>
      <c r="C1641" s="5" t="s">
        <v>2028</v>
      </c>
      <c r="D1641" s="3">
        <f>VLOOKUP(A1641,airports!A:H,7,FALSE)</f>
        <v>39.046142779999997</v>
      </c>
      <c r="E1641" s="3">
        <f>VLOOKUP(A1641,airports!A:H,8,FALSE)</f>
        <v>-84.662172499999997</v>
      </c>
      <c r="F1641" s="3">
        <f>VLOOKUP(B1641,airports!A:H,7,FALSE)</f>
        <v>29.980472219999999</v>
      </c>
      <c r="G1641" s="3">
        <f>VLOOKUP(B1641,airports!A:H,8,FALSE)</f>
        <v>-95.339722219999999</v>
      </c>
      <c r="H1641">
        <f t="shared" si="50"/>
        <v>1402.7</v>
      </c>
      <c r="I1641">
        <f t="shared" si="51"/>
        <v>871.6</v>
      </c>
    </row>
    <row r="1642" spans="1:9" ht="30" x14ac:dyDescent="0.25">
      <c r="A1642" s="5" t="s">
        <v>462</v>
      </c>
      <c r="B1642" s="5" t="s">
        <v>68</v>
      </c>
      <c r="C1642" s="5" t="s">
        <v>2029</v>
      </c>
      <c r="D1642" s="3">
        <f>VLOOKUP(A1642,airports!A:H,7,FALSE)</f>
        <v>39.046142779999997</v>
      </c>
      <c r="E1642" s="3">
        <f>VLOOKUP(A1642,airports!A:H,8,FALSE)</f>
        <v>-84.662172499999997</v>
      </c>
      <c r="F1642" s="3">
        <f>VLOOKUP(B1642,airports!A:H,7,FALSE)</f>
        <v>30.49405556</v>
      </c>
      <c r="G1642" s="3">
        <f>VLOOKUP(B1642,airports!A:H,8,FALSE)</f>
        <v>-81.68786111</v>
      </c>
      <c r="H1642">
        <f t="shared" si="50"/>
        <v>988.8</v>
      </c>
      <c r="I1642">
        <f t="shared" si="51"/>
        <v>614.5</v>
      </c>
    </row>
    <row r="1643" spans="1:9" x14ac:dyDescent="0.25">
      <c r="A1643" s="5" t="s">
        <v>462</v>
      </c>
      <c r="B1643" s="5" t="s">
        <v>69</v>
      </c>
      <c r="C1643" s="5" t="s">
        <v>2030</v>
      </c>
      <c r="D1643" s="3">
        <f>VLOOKUP(A1643,airports!A:H,7,FALSE)</f>
        <v>39.046142779999997</v>
      </c>
      <c r="E1643" s="3">
        <f>VLOOKUP(A1643,airports!A:H,8,FALSE)</f>
        <v>-84.662172499999997</v>
      </c>
      <c r="F1643" s="3">
        <f>VLOOKUP(B1643,airports!A:H,7,FALSE)</f>
        <v>40.639751109999999</v>
      </c>
      <c r="G1643" s="3">
        <f>VLOOKUP(B1643,airports!A:H,8,FALSE)</f>
        <v>-73.778925560000005</v>
      </c>
      <c r="H1643">
        <f t="shared" si="50"/>
        <v>945.3</v>
      </c>
      <c r="I1643">
        <f t="shared" si="51"/>
        <v>587.4</v>
      </c>
    </row>
    <row r="1644" spans="1:9" ht="30" x14ac:dyDescent="0.25">
      <c r="A1644" s="5" t="s">
        <v>462</v>
      </c>
      <c r="B1644" s="5" t="s">
        <v>71</v>
      </c>
      <c r="C1644" s="5" t="s">
        <v>2031</v>
      </c>
      <c r="D1644" s="3">
        <f>VLOOKUP(A1644,airports!A:H,7,FALSE)</f>
        <v>39.046142779999997</v>
      </c>
      <c r="E1644" s="3">
        <f>VLOOKUP(A1644,airports!A:H,8,FALSE)</f>
        <v>-84.662172499999997</v>
      </c>
      <c r="F1644" s="3">
        <f>VLOOKUP(B1644,airports!A:H,7,FALSE)</f>
        <v>36.080361109999998</v>
      </c>
      <c r="G1644" s="3">
        <f>VLOOKUP(B1644,airports!A:H,8,FALSE)</f>
        <v>-115.1523333</v>
      </c>
      <c r="H1644">
        <f t="shared" si="50"/>
        <v>2694.9</v>
      </c>
      <c r="I1644">
        <f t="shared" si="51"/>
        <v>1674.6</v>
      </c>
    </row>
    <row r="1645" spans="1:9" ht="30" x14ac:dyDescent="0.25">
      <c r="A1645" s="5" t="s">
        <v>462</v>
      </c>
      <c r="B1645" s="5" t="s">
        <v>73</v>
      </c>
      <c r="C1645" s="5" t="s">
        <v>2032</v>
      </c>
      <c r="D1645" s="3">
        <f>VLOOKUP(A1645,airports!A:H,7,FALSE)</f>
        <v>39.046142779999997</v>
      </c>
      <c r="E1645" s="3">
        <f>VLOOKUP(A1645,airports!A:H,8,FALSE)</f>
        <v>-84.662172499999997</v>
      </c>
      <c r="F1645" s="3">
        <f>VLOOKUP(B1645,airports!A:H,7,FALSE)</f>
        <v>33.942536109999999</v>
      </c>
      <c r="G1645" s="3">
        <f>VLOOKUP(B1645,airports!A:H,8,FALSE)</f>
        <v>-118.4080744</v>
      </c>
      <c r="H1645">
        <f t="shared" si="50"/>
        <v>3051.4</v>
      </c>
      <c r="I1645">
        <f t="shared" si="51"/>
        <v>1896.2</v>
      </c>
    </row>
    <row r="1646" spans="1:9" ht="30" x14ac:dyDescent="0.25">
      <c r="A1646" s="5" t="s">
        <v>462</v>
      </c>
      <c r="B1646" s="5" t="s">
        <v>74</v>
      </c>
      <c r="C1646" s="5" t="s">
        <v>2033</v>
      </c>
      <c r="D1646" s="3">
        <f>VLOOKUP(A1646,airports!A:H,7,FALSE)</f>
        <v>39.046142779999997</v>
      </c>
      <c r="E1646" s="3">
        <f>VLOOKUP(A1646,airports!A:H,8,FALSE)</f>
        <v>-84.662172499999997</v>
      </c>
      <c r="F1646" s="3">
        <f>VLOOKUP(B1646,airports!A:H,7,FALSE)</f>
        <v>40.777243060000004</v>
      </c>
      <c r="G1646" s="3">
        <f>VLOOKUP(B1646,airports!A:H,8,FALSE)</f>
        <v>-73.872609170000004</v>
      </c>
      <c r="H1646">
        <f t="shared" si="50"/>
        <v>939.5</v>
      </c>
      <c r="I1646">
        <f t="shared" si="51"/>
        <v>583.79999999999995</v>
      </c>
    </row>
    <row r="1647" spans="1:9" ht="30" x14ac:dyDescent="0.25">
      <c r="A1647" s="5" t="s">
        <v>462</v>
      </c>
      <c r="B1647" s="5" t="s">
        <v>80</v>
      </c>
      <c r="C1647" s="5" t="s">
        <v>2034</v>
      </c>
      <c r="D1647" s="3">
        <f>VLOOKUP(A1647,airports!A:H,7,FALSE)</f>
        <v>39.046142779999997</v>
      </c>
      <c r="E1647" s="3">
        <f>VLOOKUP(A1647,airports!A:H,8,FALSE)</f>
        <v>-84.662172499999997</v>
      </c>
      <c r="F1647" s="3">
        <f>VLOOKUP(B1647,airports!A:H,7,FALSE)</f>
        <v>39.297605279999999</v>
      </c>
      <c r="G1647" s="3">
        <f>VLOOKUP(B1647,airports!A:H,8,FALSE)</f>
        <v>-94.713905560000001</v>
      </c>
      <c r="H1647">
        <f t="shared" si="50"/>
        <v>866.5</v>
      </c>
      <c r="I1647">
        <f t="shared" si="51"/>
        <v>538.5</v>
      </c>
    </row>
    <row r="1648" spans="1:9" ht="30" x14ac:dyDescent="0.25">
      <c r="A1648" s="5" t="s">
        <v>462</v>
      </c>
      <c r="B1648" s="5" t="s">
        <v>82</v>
      </c>
      <c r="C1648" s="5" t="s">
        <v>2035</v>
      </c>
      <c r="D1648" s="3">
        <f>VLOOKUP(A1648,airports!A:H,7,FALSE)</f>
        <v>39.046142779999997</v>
      </c>
      <c r="E1648" s="3">
        <f>VLOOKUP(A1648,airports!A:H,8,FALSE)</f>
        <v>-84.662172499999997</v>
      </c>
      <c r="F1648" s="3">
        <f>VLOOKUP(B1648,airports!A:H,7,FALSE)</f>
        <v>28.42888889</v>
      </c>
      <c r="G1648" s="3">
        <f>VLOOKUP(B1648,airports!A:H,8,FALSE)</f>
        <v>-81.316027779999999</v>
      </c>
      <c r="H1648">
        <f t="shared" si="50"/>
        <v>1220.2</v>
      </c>
      <c r="I1648">
        <f t="shared" si="51"/>
        <v>758.2</v>
      </c>
    </row>
    <row r="1649" spans="1:9" ht="30" x14ac:dyDescent="0.25">
      <c r="A1649" s="5" t="s">
        <v>462</v>
      </c>
      <c r="B1649" s="5" t="s">
        <v>180</v>
      </c>
      <c r="C1649" s="5" t="s">
        <v>2036</v>
      </c>
      <c r="D1649" s="3">
        <f>VLOOKUP(A1649,airports!A:H,7,FALSE)</f>
        <v>39.046142779999997</v>
      </c>
      <c r="E1649" s="3">
        <f>VLOOKUP(A1649,airports!A:H,8,FALSE)</f>
        <v>-84.662172499999997</v>
      </c>
      <c r="F1649" s="3">
        <f>VLOOKUP(B1649,airports!A:H,7,FALSE)</f>
        <v>41.785982500000003</v>
      </c>
      <c r="G1649" s="3">
        <f>VLOOKUP(B1649,airports!A:H,8,FALSE)</f>
        <v>-87.752424439999999</v>
      </c>
      <c r="H1649">
        <f t="shared" si="50"/>
        <v>401.5</v>
      </c>
      <c r="I1649">
        <f t="shared" si="51"/>
        <v>249.5</v>
      </c>
    </row>
    <row r="1650" spans="1:9" ht="30" x14ac:dyDescent="0.25">
      <c r="A1650" s="5" t="s">
        <v>462</v>
      </c>
      <c r="B1650" s="5" t="s">
        <v>563</v>
      </c>
      <c r="C1650" s="5" t="s">
        <v>2037</v>
      </c>
      <c r="D1650" s="3">
        <f>VLOOKUP(A1650,airports!A:H,7,FALSE)</f>
        <v>39.046142779999997</v>
      </c>
      <c r="E1650" s="3">
        <f>VLOOKUP(A1650,airports!A:H,8,FALSE)</f>
        <v>-84.662172499999997</v>
      </c>
      <c r="F1650" s="3">
        <f>VLOOKUP(B1650,airports!A:H,7,FALSE)</f>
        <v>35.042416670000001</v>
      </c>
      <c r="G1650" s="3">
        <f>VLOOKUP(B1650,airports!A:H,8,FALSE)</f>
        <v>-89.97666667</v>
      </c>
      <c r="H1650">
        <f t="shared" si="50"/>
        <v>648.4</v>
      </c>
      <c r="I1650">
        <f t="shared" si="51"/>
        <v>402.9</v>
      </c>
    </row>
    <row r="1651" spans="1:9" ht="30" x14ac:dyDescent="0.25">
      <c r="A1651" s="5" t="s">
        <v>462</v>
      </c>
      <c r="B1651" s="5" t="s">
        <v>84</v>
      </c>
      <c r="C1651" s="5" t="s">
        <v>2038</v>
      </c>
      <c r="D1651" s="3">
        <f>VLOOKUP(A1651,airports!A:H,7,FALSE)</f>
        <v>39.046142779999997</v>
      </c>
      <c r="E1651" s="3">
        <f>VLOOKUP(A1651,airports!A:H,8,FALSE)</f>
        <v>-84.662172499999997</v>
      </c>
      <c r="F1651" s="3">
        <f>VLOOKUP(B1651,airports!A:H,7,FALSE)</f>
        <v>25.79325</v>
      </c>
      <c r="G1651" s="3">
        <f>VLOOKUP(B1651,airports!A:H,8,FALSE)</f>
        <v>-80.290555560000001</v>
      </c>
      <c r="H1651">
        <f t="shared" si="50"/>
        <v>1529.2</v>
      </c>
      <c r="I1651">
        <f t="shared" si="51"/>
        <v>950.2</v>
      </c>
    </row>
    <row r="1652" spans="1:9" ht="30" x14ac:dyDescent="0.25">
      <c r="A1652" s="5" t="s">
        <v>462</v>
      </c>
      <c r="B1652" s="5" t="s">
        <v>85</v>
      </c>
      <c r="C1652" s="5" t="s">
        <v>2039</v>
      </c>
      <c r="D1652" s="3">
        <f>VLOOKUP(A1652,airports!A:H,7,FALSE)</f>
        <v>39.046142779999997</v>
      </c>
      <c r="E1652" s="3">
        <f>VLOOKUP(A1652,airports!A:H,8,FALSE)</f>
        <v>-84.662172499999997</v>
      </c>
      <c r="F1652" s="3">
        <f>VLOOKUP(B1652,airports!A:H,7,FALSE)</f>
        <v>42.94722222</v>
      </c>
      <c r="G1652" s="3">
        <f>VLOOKUP(B1652,airports!A:H,8,FALSE)</f>
        <v>-87.896583329999999</v>
      </c>
      <c r="H1652">
        <f t="shared" si="50"/>
        <v>511.6</v>
      </c>
      <c r="I1652">
        <f t="shared" si="51"/>
        <v>317.89999999999998</v>
      </c>
    </row>
    <row r="1653" spans="1:9" ht="30" x14ac:dyDescent="0.25">
      <c r="A1653" s="5" t="s">
        <v>462</v>
      </c>
      <c r="B1653" s="5" t="s">
        <v>579</v>
      </c>
      <c r="C1653" s="5" t="s">
        <v>2040</v>
      </c>
      <c r="D1653" s="3">
        <f>VLOOKUP(A1653,airports!A:H,7,FALSE)</f>
        <v>39.046142779999997</v>
      </c>
      <c r="E1653" s="3">
        <f>VLOOKUP(A1653,airports!A:H,8,FALSE)</f>
        <v>-84.662172499999997</v>
      </c>
      <c r="F1653" s="3">
        <f>VLOOKUP(B1653,airports!A:H,7,FALSE)</f>
        <v>43.13985778</v>
      </c>
      <c r="G1653" s="3">
        <f>VLOOKUP(B1653,airports!A:H,8,FALSE)</f>
        <v>-89.337513610000002</v>
      </c>
      <c r="H1653">
        <f t="shared" si="50"/>
        <v>600.4</v>
      </c>
      <c r="I1653">
        <f t="shared" si="51"/>
        <v>373.1</v>
      </c>
    </row>
    <row r="1654" spans="1:9" ht="30" x14ac:dyDescent="0.25">
      <c r="A1654" s="5" t="s">
        <v>462</v>
      </c>
      <c r="B1654" s="5" t="s">
        <v>87</v>
      </c>
      <c r="C1654" s="5" t="s">
        <v>2041</v>
      </c>
      <c r="D1654" s="3">
        <f>VLOOKUP(A1654,airports!A:H,7,FALSE)</f>
        <v>39.046142779999997</v>
      </c>
      <c r="E1654" s="3">
        <f>VLOOKUP(A1654,airports!A:H,8,FALSE)</f>
        <v>-84.662172499999997</v>
      </c>
      <c r="F1654" s="3">
        <f>VLOOKUP(B1654,airports!A:H,7,FALSE)</f>
        <v>44.880546940000002</v>
      </c>
      <c r="G1654" s="3">
        <f>VLOOKUP(B1654,airports!A:H,8,FALSE)</f>
        <v>-93.216922499999995</v>
      </c>
      <c r="H1654">
        <f t="shared" si="50"/>
        <v>958.8</v>
      </c>
      <c r="I1654">
        <f t="shared" si="51"/>
        <v>595.79999999999995</v>
      </c>
    </row>
    <row r="1655" spans="1:9" ht="30" x14ac:dyDescent="0.25">
      <c r="A1655" s="5" t="s">
        <v>462</v>
      </c>
      <c r="B1655" s="5" t="s">
        <v>89</v>
      </c>
      <c r="C1655" s="5" t="s">
        <v>2042</v>
      </c>
      <c r="D1655" s="3">
        <f>VLOOKUP(A1655,airports!A:H,7,FALSE)</f>
        <v>39.046142779999997</v>
      </c>
      <c r="E1655" s="3">
        <f>VLOOKUP(A1655,airports!A:H,8,FALSE)</f>
        <v>-84.662172499999997</v>
      </c>
      <c r="F1655" s="3">
        <f>VLOOKUP(B1655,airports!A:H,7,FALSE)</f>
        <v>29.993388889999999</v>
      </c>
      <c r="G1655" s="3">
        <f>VLOOKUP(B1655,airports!A:H,8,FALSE)</f>
        <v>-90.258027780000006</v>
      </c>
      <c r="H1655">
        <f t="shared" si="50"/>
        <v>1129</v>
      </c>
      <c r="I1655">
        <f t="shared" si="51"/>
        <v>701.6</v>
      </c>
    </row>
    <row r="1656" spans="1:9" ht="30" x14ac:dyDescent="0.25">
      <c r="A1656" s="5" t="s">
        <v>462</v>
      </c>
      <c r="B1656" s="5" t="s">
        <v>182</v>
      </c>
      <c r="C1656" s="5" t="s">
        <v>2043</v>
      </c>
      <c r="D1656" s="3">
        <f>VLOOKUP(A1656,airports!A:H,7,FALSE)</f>
        <v>39.046142779999997</v>
      </c>
      <c r="E1656" s="3">
        <f>VLOOKUP(A1656,airports!A:H,8,FALSE)</f>
        <v>-84.662172499999997</v>
      </c>
      <c r="F1656" s="3">
        <f>VLOOKUP(B1656,airports!A:H,7,FALSE)</f>
        <v>33.679749999999999</v>
      </c>
      <c r="G1656" s="3">
        <f>VLOOKUP(B1656,airports!A:H,8,FALSE)</f>
        <v>-78.928333330000001</v>
      </c>
      <c r="H1656">
        <f t="shared" si="50"/>
        <v>786.8</v>
      </c>
      <c r="I1656">
        <f t="shared" si="51"/>
        <v>488.9</v>
      </c>
    </row>
    <row r="1657" spans="1:9" ht="30" x14ac:dyDescent="0.25">
      <c r="A1657" s="5" t="s">
        <v>462</v>
      </c>
      <c r="B1657" s="5" t="s">
        <v>95</v>
      </c>
      <c r="C1657" s="5" t="s">
        <v>2044</v>
      </c>
      <c r="D1657" s="3">
        <f>VLOOKUP(A1657,airports!A:H,7,FALSE)</f>
        <v>39.046142779999997</v>
      </c>
      <c r="E1657" s="3">
        <f>VLOOKUP(A1657,airports!A:H,8,FALSE)</f>
        <v>-84.662172499999997</v>
      </c>
      <c r="F1657" s="3">
        <f>VLOOKUP(B1657,airports!A:H,7,FALSE)</f>
        <v>41.979595000000003</v>
      </c>
      <c r="G1657" s="3">
        <f>VLOOKUP(B1657,airports!A:H,8,FALSE)</f>
        <v>-87.904464169999997</v>
      </c>
      <c r="H1657">
        <f t="shared" si="50"/>
        <v>426</v>
      </c>
      <c r="I1657">
        <f t="shared" si="51"/>
        <v>264.7</v>
      </c>
    </row>
    <row r="1658" spans="1:9" ht="30" x14ac:dyDescent="0.25">
      <c r="A1658" s="5" t="s">
        <v>462</v>
      </c>
      <c r="B1658" s="5" t="s">
        <v>596</v>
      </c>
      <c r="C1658" s="5" t="s">
        <v>2045</v>
      </c>
      <c r="D1658" s="3">
        <f>VLOOKUP(A1658,airports!A:H,7,FALSE)</f>
        <v>39.046142779999997</v>
      </c>
      <c r="E1658" s="3">
        <f>VLOOKUP(A1658,airports!A:H,8,FALSE)</f>
        <v>-84.662172499999997</v>
      </c>
      <c r="F1658" s="3">
        <f>VLOOKUP(B1658,airports!A:H,7,FALSE)</f>
        <v>36.89461111</v>
      </c>
      <c r="G1658" s="3">
        <f>VLOOKUP(B1658,airports!A:H,8,FALSE)</f>
        <v>-76.201222220000005</v>
      </c>
      <c r="H1658">
        <f t="shared" si="50"/>
        <v>778.9</v>
      </c>
      <c r="I1658">
        <f t="shared" si="51"/>
        <v>484</v>
      </c>
    </row>
    <row r="1659" spans="1:9" x14ac:dyDescent="0.25">
      <c r="A1659" s="5" t="s">
        <v>462</v>
      </c>
      <c r="B1659" s="5" t="s">
        <v>99</v>
      </c>
      <c r="C1659" s="5" t="s">
        <v>2046</v>
      </c>
      <c r="D1659" s="3">
        <f>VLOOKUP(A1659,airports!A:H,7,FALSE)</f>
        <v>39.046142779999997</v>
      </c>
      <c r="E1659" s="3">
        <f>VLOOKUP(A1659,airports!A:H,8,FALSE)</f>
        <v>-84.662172499999997</v>
      </c>
      <c r="F1659" s="3">
        <f>VLOOKUP(B1659,airports!A:H,7,FALSE)</f>
        <v>26.683161940000002</v>
      </c>
      <c r="G1659" s="3">
        <f>VLOOKUP(B1659,airports!A:H,8,FALSE)</f>
        <v>-80.095594169999998</v>
      </c>
      <c r="H1659">
        <f t="shared" si="50"/>
        <v>1438.8</v>
      </c>
      <c r="I1659">
        <f t="shared" si="51"/>
        <v>894.1</v>
      </c>
    </row>
    <row r="1660" spans="1:9" ht="30" x14ac:dyDescent="0.25">
      <c r="A1660" s="5" t="s">
        <v>462</v>
      </c>
      <c r="B1660" s="5" t="s">
        <v>185</v>
      </c>
      <c r="C1660" s="5" t="s">
        <v>2047</v>
      </c>
      <c r="D1660" s="3">
        <f>VLOOKUP(A1660,airports!A:H,7,FALSE)</f>
        <v>39.046142779999997</v>
      </c>
      <c r="E1660" s="3">
        <f>VLOOKUP(A1660,airports!A:H,8,FALSE)</f>
        <v>-84.662172499999997</v>
      </c>
      <c r="F1660" s="3">
        <f>VLOOKUP(B1660,airports!A:H,7,FALSE)</f>
        <v>26.919699999999999</v>
      </c>
      <c r="G1660" s="3">
        <f>VLOOKUP(B1660,airports!A:H,8,FALSE)</f>
        <v>-81.995999999999995</v>
      </c>
      <c r="H1660">
        <f t="shared" si="50"/>
        <v>1370.9</v>
      </c>
      <c r="I1660">
        <f t="shared" si="51"/>
        <v>851.9</v>
      </c>
    </row>
    <row r="1661" spans="1:9" ht="30" x14ac:dyDescent="0.25">
      <c r="A1661" s="5" t="s">
        <v>462</v>
      </c>
      <c r="B1661" s="5" t="s">
        <v>102</v>
      </c>
      <c r="C1661" s="5" t="s">
        <v>2048</v>
      </c>
      <c r="D1661" s="3">
        <f>VLOOKUP(A1661,airports!A:H,7,FALSE)</f>
        <v>39.046142779999997</v>
      </c>
      <c r="E1661" s="3">
        <f>VLOOKUP(A1661,airports!A:H,8,FALSE)</f>
        <v>-84.662172499999997</v>
      </c>
      <c r="F1661" s="3">
        <f>VLOOKUP(B1661,airports!A:H,7,FALSE)</f>
        <v>39.871952780000001</v>
      </c>
      <c r="G1661" s="3">
        <f>VLOOKUP(B1661,airports!A:H,8,FALSE)</f>
        <v>-75.241140830000006</v>
      </c>
      <c r="H1661">
        <f t="shared" si="50"/>
        <v>813.6</v>
      </c>
      <c r="I1661">
        <f t="shared" si="51"/>
        <v>505.6</v>
      </c>
    </row>
    <row r="1662" spans="1:9" ht="30" x14ac:dyDescent="0.25">
      <c r="A1662" s="5" t="s">
        <v>462</v>
      </c>
      <c r="B1662" s="5" t="s">
        <v>104</v>
      </c>
      <c r="C1662" s="5" t="s">
        <v>2049</v>
      </c>
      <c r="D1662" s="3">
        <f>VLOOKUP(A1662,airports!A:H,7,FALSE)</f>
        <v>39.046142779999997</v>
      </c>
      <c r="E1662" s="3">
        <f>VLOOKUP(A1662,airports!A:H,8,FALSE)</f>
        <v>-84.662172499999997</v>
      </c>
      <c r="F1662" s="3">
        <f>VLOOKUP(B1662,airports!A:H,7,FALSE)</f>
        <v>33.434166670000003</v>
      </c>
      <c r="G1662" s="3">
        <f>VLOOKUP(B1662,airports!A:H,8,FALSE)</f>
        <v>-112.00805560000001</v>
      </c>
      <c r="H1662">
        <f t="shared" si="50"/>
        <v>2520.1</v>
      </c>
      <c r="I1662">
        <f t="shared" si="51"/>
        <v>1566</v>
      </c>
    </row>
    <row r="1663" spans="1:9" x14ac:dyDescent="0.25">
      <c r="A1663" s="5" t="s">
        <v>462</v>
      </c>
      <c r="B1663" s="5" t="s">
        <v>188</v>
      </c>
      <c r="C1663" s="5" t="s">
        <v>2050</v>
      </c>
      <c r="D1663" s="3">
        <f>VLOOKUP(A1663,airports!A:H,7,FALSE)</f>
        <v>39.046142779999997</v>
      </c>
      <c r="E1663" s="3">
        <f>VLOOKUP(A1663,airports!A:H,8,FALSE)</f>
        <v>-84.662172499999997</v>
      </c>
      <c r="F1663" s="3">
        <f>VLOOKUP(B1663,airports!A:H,7,FALSE)</f>
        <v>27.910763330000002</v>
      </c>
      <c r="G1663" s="3">
        <f>VLOOKUP(B1663,airports!A:H,8,FALSE)</f>
        <v>-82.687439440000006</v>
      </c>
      <c r="H1663">
        <f t="shared" si="50"/>
        <v>1251.5999999999999</v>
      </c>
      <c r="I1663">
        <f t="shared" si="51"/>
        <v>777.7</v>
      </c>
    </row>
    <row r="1664" spans="1:9" ht="30" x14ac:dyDescent="0.25">
      <c r="A1664" s="5" t="s">
        <v>462</v>
      </c>
      <c r="B1664" s="5" t="s">
        <v>607</v>
      </c>
      <c r="C1664" s="5" t="s">
        <v>2051</v>
      </c>
      <c r="D1664" s="3">
        <f>VLOOKUP(A1664,airports!A:H,7,FALSE)</f>
        <v>39.046142779999997</v>
      </c>
      <c r="E1664" s="3">
        <f>VLOOKUP(A1664,airports!A:H,8,FALSE)</f>
        <v>-84.662172499999997</v>
      </c>
      <c r="F1664" s="3">
        <f>VLOOKUP(B1664,airports!A:H,7,FALSE)</f>
        <v>30.47330556</v>
      </c>
      <c r="G1664" s="3">
        <f>VLOOKUP(B1664,airports!A:H,8,FALSE)</f>
        <v>-87.187444439999993</v>
      </c>
      <c r="H1664">
        <f t="shared" si="50"/>
        <v>980.6</v>
      </c>
      <c r="I1664">
        <f t="shared" si="51"/>
        <v>609.4</v>
      </c>
    </row>
    <row r="1665" spans="1:9" ht="30" x14ac:dyDescent="0.25">
      <c r="A1665" s="5" t="s">
        <v>462</v>
      </c>
      <c r="B1665" s="5" t="s">
        <v>114</v>
      </c>
      <c r="C1665" s="5" t="s">
        <v>2052</v>
      </c>
      <c r="D1665" s="3">
        <f>VLOOKUP(A1665,airports!A:H,7,FALSE)</f>
        <v>39.046142779999997</v>
      </c>
      <c r="E1665" s="3">
        <f>VLOOKUP(A1665,airports!A:H,8,FALSE)</f>
        <v>-84.662172499999997</v>
      </c>
      <c r="F1665" s="3">
        <f>VLOOKUP(B1665,airports!A:H,7,FALSE)</f>
        <v>41.723999169999999</v>
      </c>
      <c r="G1665" s="3">
        <f>VLOOKUP(B1665,airports!A:H,8,FALSE)</f>
        <v>-71.428221109999996</v>
      </c>
      <c r="H1665">
        <f t="shared" si="50"/>
        <v>1158.4000000000001</v>
      </c>
      <c r="I1665">
        <f t="shared" si="51"/>
        <v>719.9</v>
      </c>
    </row>
    <row r="1666" spans="1:9" ht="30" x14ac:dyDescent="0.25">
      <c r="A1666" s="5" t="s">
        <v>462</v>
      </c>
      <c r="B1666" s="5" t="s">
        <v>117</v>
      </c>
      <c r="C1666" s="5" t="s">
        <v>2053</v>
      </c>
      <c r="D1666" s="3">
        <f>VLOOKUP(A1666,airports!A:H,7,FALSE)</f>
        <v>39.046142779999997</v>
      </c>
      <c r="E1666" s="3">
        <f>VLOOKUP(A1666,airports!A:H,8,FALSE)</f>
        <v>-84.662172499999997</v>
      </c>
      <c r="F1666" s="3">
        <f>VLOOKUP(B1666,airports!A:H,7,FALSE)</f>
        <v>43.646166669999999</v>
      </c>
      <c r="G1666" s="3">
        <f>VLOOKUP(B1666,airports!A:H,8,FALSE)</f>
        <v>-70.308750000000003</v>
      </c>
      <c r="H1666">
        <f t="shared" si="50"/>
        <v>1300.5999999999999</v>
      </c>
      <c r="I1666">
        <f t="shared" si="51"/>
        <v>808.2</v>
      </c>
    </row>
    <row r="1667" spans="1:9" ht="30" x14ac:dyDescent="0.25">
      <c r="A1667" s="5" t="s">
        <v>462</v>
      </c>
      <c r="B1667" s="5" t="s">
        <v>119</v>
      </c>
      <c r="C1667" s="5" t="s">
        <v>2054</v>
      </c>
      <c r="D1667" s="3">
        <f>VLOOKUP(A1667,airports!A:H,7,FALSE)</f>
        <v>39.046142779999997</v>
      </c>
      <c r="E1667" s="3">
        <f>VLOOKUP(A1667,airports!A:H,8,FALSE)</f>
        <v>-84.662172499999997</v>
      </c>
      <c r="F1667" s="3">
        <f>VLOOKUP(B1667,airports!A:H,7,FALSE)</f>
        <v>35.87763889</v>
      </c>
      <c r="G1667" s="3">
        <f>VLOOKUP(B1667,airports!A:H,8,FALSE)</f>
        <v>-78.787472219999998</v>
      </c>
      <c r="H1667">
        <f t="shared" si="50"/>
        <v>626.70000000000005</v>
      </c>
      <c r="I1667">
        <f t="shared" si="51"/>
        <v>389.4</v>
      </c>
    </row>
    <row r="1668" spans="1:9" ht="30" x14ac:dyDescent="0.25">
      <c r="A1668" s="5" t="s">
        <v>462</v>
      </c>
      <c r="B1668" s="5" t="s">
        <v>617</v>
      </c>
      <c r="C1668" s="5" t="s">
        <v>2055</v>
      </c>
      <c r="D1668" s="3">
        <f>VLOOKUP(A1668,airports!A:H,7,FALSE)</f>
        <v>39.046142779999997</v>
      </c>
      <c r="E1668" s="3">
        <f>VLOOKUP(A1668,airports!A:H,8,FALSE)</f>
        <v>-84.662172499999997</v>
      </c>
      <c r="F1668" s="3">
        <f>VLOOKUP(B1668,airports!A:H,7,FALSE)</f>
        <v>37.32546833</v>
      </c>
      <c r="G1668" s="3">
        <f>VLOOKUP(B1668,airports!A:H,8,FALSE)</f>
        <v>-79.97542833</v>
      </c>
      <c r="H1668">
        <f t="shared" ref="H1668:H1731" si="52">ROUND(ACOS(COS(RADIANS(90-D1668)) * COS(RADIANS(90-F1668)) + SIN(RADIANS(90-D1668)) * SIN(RADIANS(90-F1668)) * COS(RADIANS(E1668-G1668))) * 6371,1)</f>
        <v>452</v>
      </c>
      <c r="I1668">
        <f t="shared" ref="I1668:I1731" si="53">ROUND(ACOS(COS(RADIANS(90-D1668)) * COS(RADIANS(90-F1668)) + SIN(RADIANS(90-D1668)) * SIN(RADIANS(90-F1668)) * COS(RADIANS(E1668-G1668))) * 3959,1)</f>
        <v>280.89999999999998</v>
      </c>
    </row>
    <row r="1669" spans="1:9" ht="30" x14ac:dyDescent="0.25">
      <c r="A1669" s="5" t="s">
        <v>462</v>
      </c>
      <c r="B1669" s="5" t="s">
        <v>123</v>
      </c>
      <c r="C1669" s="5" t="s">
        <v>2056</v>
      </c>
      <c r="D1669" s="3">
        <f>VLOOKUP(A1669,airports!A:H,7,FALSE)</f>
        <v>39.046142779999997</v>
      </c>
      <c r="E1669" s="3">
        <f>VLOOKUP(A1669,airports!A:H,8,FALSE)</f>
        <v>-84.662172499999997</v>
      </c>
      <c r="F1669" s="3">
        <f>VLOOKUP(B1669,airports!A:H,7,FALSE)</f>
        <v>26.53616667</v>
      </c>
      <c r="G1669" s="3">
        <f>VLOOKUP(B1669,airports!A:H,8,FALSE)</f>
        <v>-81.755166669999994</v>
      </c>
      <c r="H1669">
        <f t="shared" si="52"/>
        <v>1417.1</v>
      </c>
      <c r="I1669">
        <f t="shared" si="53"/>
        <v>880.6</v>
      </c>
    </row>
    <row r="1670" spans="1:9" ht="30" x14ac:dyDescent="0.25">
      <c r="A1670" s="5" t="s">
        <v>462</v>
      </c>
      <c r="B1670" s="5" t="s">
        <v>124</v>
      </c>
      <c r="C1670" s="5" t="s">
        <v>2057</v>
      </c>
      <c r="D1670" s="3">
        <f>VLOOKUP(A1670,airports!A:H,7,FALSE)</f>
        <v>39.046142779999997</v>
      </c>
      <c r="E1670" s="3">
        <f>VLOOKUP(A1670,airports!A:H,8,FALSE)</f>
        <v>-84.662172499999997</v>
      </c>
      <c r="F1670" s="3">
        <f>VLOOKUP(B1670,airports!A:H,7,FALSE)</f>
        <v>32.733556110000002</v>
      </c>
      <c r="G1670" s="3">
        <f>VLOOKUP(B1670,airports!A:H,8,FALSE)</f>
        <v>-117.1896567</v>
      </c>
      <c r="H1670">
        <f t="shared" si="52"/>
        <v>2996</v>
      </c>
      <c r="I1670">
        <f t="shared" si="53"/>
        <v>1861.7</v>
      </c>
    </row>
    <row r="1671" spans="1:9" ht="30" x14ac:dyDescent="0.25">
      <c r="A1671" s="5" t="s">
        <v>462</v>
      </c>
      <c r="B1671" s="5" t="s">
        <v>125</v>
      </c>
      <c r="C1671" s="5" t="s">
        <v>2058</v>
      </c>
      <c r="D1671" s="3">
        <f>VLOOKUP(A1671,airports!A:H,7,FALSE)</f>
        <v>39.046142779999997</v>
      </c>
      <c r="E1671" s="3">
        <f>VLOOKUP(A1671,airports!A:H,8,FALSE)</f>
        <v>-84.662172499999997</v>
      </c>
      <c r="F1671" s="3">
        <f>VLOOKUP(B1671,airports!A:H,7,FALSE)</f>
        <v>29.533694440000001</v>
      </c>
      <c r="G1671" s="3">
        <f>VLOOKUP(B1671,airports!A:H,8,FALSE)</f>
        <v>-98.469777780000001</v>
      </c>
      <c r="H1671">
        <f t="shared" si="52"/>
        <v>1648.2</v>
      </c>
      <c r="I1671">
        <f t="shared" si="53"/>
        <v>1024.2</v>
      </c>
    </row>
    <row r="1672" spans="1:9" ht="30" x14ac:dyDescent="0.25">
      <c r="A1672" s="5" t="s">
        <v>462</v>
      </c>
      <c r="B1672" s="5" t="s">
        <v>126</v>
      </c>
      <c r="C1672" s="5" t="s">
        <v>2059</v>
      </c>
      <c r="D1672" s="3">
        <f>VLOOKUP(A1672,airports!A:H,7,FALSE)</f>
        <v>39.046142779999997</v>
      </c>
      <c r="E1672" s="3">
        <f>VLOOKUP(A1672,airports!A:H,8,FALSE)</f>
        <v>-84.662172499999997</v>
      </c>
      <c r="F1672" s="3">
        <f>VLOOKUP(B1672,airports!A:H,7,FALSE)</f>
        <v>32.12758333</v>
      </c>
      <c r="G1672" s="3">
        <f>VLOOKUP(B1672,airports!A:H,8,FALSE)</f>
        <v>-81.202138890000001</v>
      </c>
      <c r="H1672">
        <f t="shared" si="52"/>
        <v>830.3</v>
      </c>
      <c r="I1672">
        <f t="shared" si="53"/>
        <v>516</v>
      </c>
    </row>
    <row r="1673" spans="1:9" ht="30" x14ac:dyDescent="0.25">
      <c r="A1673" s="5" t="s">
        <v>462</v>
      </c>
      <c r="B1673" s="5" t="s">
        <v>128</v>
      </c>
      <c r="C1673" s="5" t="s">
        <v>2060</v>
      </c>
      <c r="D1673" s="3">
        <f>VLOOKUP(A1673,airports!A:H,7,FALSE)</f>
        <v>39.046142779999997</v>
      </c>
      <c r="E1673" s="3">
        <f>VLOOKUP(A1673,airports!A:H,8,FALSE)</f>
        <v>-84.662172499999997</v>
      </c>
      <c r="F1673" s="3">
        <f>VLOOKUP(B1673,airports!A:H,7,FALSE)</f>
        <v>47.448981940000003</v>
      </c>
      <c r="G1673" s="3">
        <f>VLOOKUP(B1673,airports!A:H,8,FALSE)</f>
        <v>-122.3093131</v>
      </c>
      <c r="H1673">
        <f t="shared" si="52"/>
        <v>3154.4</v>
      </c>
      <c r="I1673">
        <f t="shared" si="53"/>
        <v>1960.2</v>
      </c>
    </row>
    <row r="1674" spans="1:9" ht="30" x14ac:dyDescent="0.25">
      <c r="A1674" s="5" t="s">
        <v>462</v>
      </c>
      <c r="B1674" s="5" t="s">
        <v>191</v>
      </c>
      <c r="C1674" s="5" t="s">
        <v>2061</v>
      </c>
      <c r="D1674" s="3">
        <f>VLOOKUP(A1674,airports!A:H,7,FALSE)</f>
        <v>39.046142779999997</v>
      </c>
      <c r="E1674" s="3">
        <f>VLOOKUP(A1674,airports!A:H,8,FALSE)</f>
        <v>-84.662172499999997</v>
      </c>
      <c r="F1674" s="3">
        <f>VLOOKUP(B1674,airports!A:H,7,FALSE)</f>
        <v>28.7776</v>
      </c>
      <c r="G1674" s="3">
        <f>VLOOKUP(B1674,airports!A:H,8,FALSE)</f>
        <v>-81.237499999999997</v>
      </c>
      <c r="H1674">
        <f t="shared" si="52"/>
        <v>1184.5</v>
      </c>
      <c r="I1674">
        <f t="shared" si="53"/>
        <v>736</v>
      </c>
    </row>
    <row r="1675" spans="1:9" ht="30" x14ac:dyDescent="0.25">
      <c r="A1675" s="5" t="s">
        <v>462</v>
      </c>
      <c r="B1675" s="5" t="s">
        <v>130</v>
      </c>
      <c r="C1675" s="5" t="s">
        <v>2062</v>
      </c>
      <c r="D1675" s="3">
        <f>VLOOKUP(A1675,airports!A:H,7,FALSE)</f>
        <v>39.046142779999997</v>
      </c>
      <c r="E1675" s="3">
        <f>VLOOKUP(A1675,airports!A:H,8,FALSE)</f>
        <v>-84.662172499999997</v>
      </c>
      <c r="F1675" s="3">
        <f>VLOOKUP(B1675,airports!A:H,7,FALSE)</f>
        <v>37.619001939999997</v>
      </c>
      <c r="G1675" s="3">
        <f>VLOOKUP(B1675,airports!A:H,8,FALSE)</f>
        <v>-122.37484329999999</v>
      </c>
      <c r="H1675">
        <f t="shared" si="52"/>
        <v>3269.6</v>
      </c>
      <c r="I1675">
        <f t="shared" si="53"/>
        <v>2031.8</v>
      </c>
    </row>
    <row r="1676" spans="1:9" x14ac:dyDescent="0.25">
      <c r="A1676" s="5" t="s">
        <v>462</v>
      </c>
      <c r="B1676" s="5" t="s">
        <v>131</v>
      </c>
      <c r="C1676" s="5" t="s">
        <v>2063</v>
      </c>
      <c r="D1676" s="3">
        <f>VLOOKUP(A1676,airports!A:H,7,FALSE)</f>
        <v>39.046142779999997</v>
      </c>
      <c r="E1676" s="3">
        <f>VLOOKUP(A1676,airports!A:H,8,FALSE)</f>
        <v>-84.662172499999997</v>
      </c>
      <c r="F1676" s="3">
        <f>VLOOKUP(B1676,airports!A:H,7,FALSE)</f>
        <v>37.361861939999997</v>
      </c>
      <c r="G1676" s="3">
        <f>VLOOKUP(B1676,airports!A:H,8,FALSE)</f>
        <v>-121.9290089</v>
      </c>
      <c r="H1676">
        <f t="shared" si="52"/>
        <v>3238.9</v>
      </c>
      <c r="I1676">
        <f t="shared" si="53"/>
        <v>2012.7</v>
      </c>
    </row>
    <row r="1677" spans="1:9" ht="30" x14ac:dyDescent="0.25">
      <c r="A1677" s="5" t="s">
        <v>462</v>
      </c>
      <c r="B1677" s="5" t="s">
        <v>134</v>
      </c>
      <c r="C1677" s="5" t="s">
        <v>2064</v>
      </c>
      <c r="D1677" s="3">
        <f>VLOOKUP(A1677,airports!A:H,7,FALSE)</f>
        <v>39.046142779999997</v>
      </c>
      <c r="E1677" s="3">
        <f>VLOOKUP(A1677,airports!A:H,8,FALSE)</f>
        <v>-84.662172499999997</v>
      </c>
      <c r="F1677" s="3">
        <f>VLOOKUP(B1677,airports!A:H,7,FALSE)</f>
        <v>18.43941667</v>
      </c>
      <c r="G1677" s="3">
        <f>VLOOKUP(B1677,airports!A:H,8,FALSE)</f>
        <v>-66.001833329999997</v>
      </c>
      <c r="H1677">
        <f t="shared" si="52"/>
        <v>2912.9</v>
      </c>
      <c r="I1677">
        <f t="shared" si="53"/>
        <v>1810.1</v>
      </c>
    </row>
    <row r="1678" spans="1:9" ht="30" x14ac:dyDescent="0.25">
      <c r="A1678" s="5" t="s">
        <v>462</v>
      </c>
      <c r="B1678" s="5" t="s">
        <v>135</v>
      </c>
      <c r="C1678" s="5" t="s">
        <v>2065</v>
      </c>
      <c r="D1678" s="3">
        <f>VLOOKUP(A1678,airports!A:H,7,FALSE)</f>
        <v>39.046142779999997</v>
      </c>
      <c r="E1678" s="3">
        <f>VLOOKUP(A1678,airports!A:H,8,FALSE)</f>
        <v>-84.662172499999997</v>
      </c>
      <c r="F1678" s="3">
        <f>VLOOKUP(B1678,airports!A:H,7,FALSE)</f>
        <v>40.788387780000001</v>
      </c>
      <c r="G1678" s="3">
        <f>VLOOKUP(B1678,airports!A:H,8,FALSE)</f>
        <v>-111.97777309999999</v>
      </c>
      <c r="H1678">
        <f t="shared" si="52"/>
        <v>2328.1999999999998</v>
      </c>
      <c r="I1678">
        <f t="shared" si="53"/>
        <v>1446.7</v>
      </c>
    </row>
    <row r="1679" spans="1:9" ht="30" x14ac:dyDescent="0.25">
      <c r="A1679" s="5" t="s">
        <v>462</v>
      </c>
      <c r="B1679" s="5" t="s">
        <v>138</v>
      </c>
      <c r="C1679" s="5" t="s">
        <v>2066</v>
      </c>
      <c r="D1679" s="3">
        <f>VLOOKUP(A1679,airports!A:H,7,FALSE)</f>
        <v>39.046142779999997</v>
      </c>
      <c r="E1679" s="3">
        <f>VLOOKUP(A1679,airports!A:H,8,FALSE)</f>
        <v>-84.662172499999997</v>
      </c>
      <c r="F1679" s="3">
        <f>VLOOKUP(B1679,airports!A:H,7,FALSE)</f>
        <v>27.39533333</v>
      </c>
      <c r="G1679" s="3">
        <f>VLOOKUP(B1679,airports!A:H,8,FALSE)</f>
        <v>-82.554111109999994</v>
      </c>
      <c r="H1679">
        <f t="shared" si="52"/>
        <v>1310.2</v>
      </c>
      <c r="I1679">
        <f t="shared" si="53"/>
        <v>814.1</v>
      </c>
    </row>
    <row r="1680" spans="1:9" x14ac:dyDescent="0.25">
      <c r="A1680" s="5" t="s">
        <v>462</v>
      </c>
      <c r="B1680" s="5" t="s">
        <v>644</v>
      </c>
      <c r="C1680" s="5" t="s">
        <v>2067</v>
      </c>
      <c r="D1680" s="3">
        <f>VLOOKUP(A1680,airports!A:H,7,FALSE)</f>
        <v>39.046142779999997</v>
      </c>
      <c r="E1680" s="3">
        <f>VLOOKUP(A1680,airports!A:H,8,FALSE)</f>
        <v>-84.662172499999997</v>
      </c>
      <c r="F1680" s="3">
        <f>VLOOKUP(B1680,airports!A:H,7,FALSE)</f>
        <v>38.747686940000001</v>
      </c>
      <c r="G1680" s="3">
        <f>VLOOKUP(B1680,airports!A:H,8,FALSE)</f>
        <v>-90.359989720000002</v>
      </c>
      <c r="H1680">
        <f t="shared" si="52"/>
        <v>494.1</v>
      </c>
      <c r="I1680">
        <f t="shared" si="53"/>
        <v>307.10000000000002</v>
      </c>
    </row>
    <row r="1681" spans="1:9" ht="30" x14ac:dyDescent="0.25">
      <c r="A1681" s="5" t="s">
        <v>462</v>
      </c>
      <c r="B1681" s="5" t="s">
        <v>145</v>
      </c>
      <c r="C1681" s="5" t="s">
        <v>2068</v>
      </c>
      <c r="D1681" s="3">
        <f>VLOOKUP(A1681,airports!A:H,7,FALSE)</f>
        <v>39.046142779999997</v>
      </c>
      <c r="E1681" s="3">
        <f>VLOOKUP(A1681,airports!A:H,8,FALSE)</f>
        <v>-84.662172499999997</v>
      </c>
      <c r="F1681" s="3">
        <f>VLOOKUP(B1681,airports!A:H,7,FALSE)</f>
        <v>27.97547222</v>
      </c>
      <c r="G1681" s="3">
        <f>VLOOKUP(B1681,airports!A:H,8,FALSE)</f>
        <v>-82.533249999999995</v>
      </c>
      <c r="H1681">
        <f t="shared" si="52"/>
        <v>1246.5999999999999</v>
      </c>
      <c r="I1681">
        <f t="shared" si="53"/>
        <v>774.7</v>
      </c>
    </row>
    <row r="1682" spans="1:9" ht="30" x14ac:dyDescent="0.25">
      <c r="A1682" s="5" t="s">
        <v>462</v>
      </c>
      <c r="B1682" s="5" t="s">
        <v>664</v>
      </c>
      <c r="C1682" s="5" t="s">
        <v>2069</v>
      </c>
      <c r="D1682" s="3">
        <f>VLOOKUP(A1682,airports!A:H,7,FALSE)</f>
        <v>39.046142779999997</v>
      </c>
      <c r="E1682" s="3">
        <f>VLOOKUP(A1682,airports!A:H,8,FALSE)</f>
        <v>-84.662172499999997</v>
      </c>
      <c r="F1682" s="3">
        <f>VLOOKUP(B1682,airports!A:H,7,FALSE)</f>
        <v>35.812487220000001</v>
      </c>
      <c r="G1682" s="3">
        <f>VLOOKUP(B1682,airports!A:H,8,FALSE)</f>
        <v>-83.992855829999996</v>
      </c>
      <c r="H1682">
        <f t="shared" si="52"/>
        <v>364.4</v>
      </c>
      <c r="I1682">
        <f t="shared" si="53"/>
        <v>226.4</v>
      </c>
    </row>
    <row r="1683" spans="1:9" ht="30" x14ac:dyDescent="0.25">
      <c r="A1683" s="5" t="s">
        <v>462</v>
      </c>
      <c r="B1683" s="5" t="s">
        <v>668</v>
      </c>
      <c r="C1683" s="5" t="s">
        <v>2070</v>
      </c>
      <c r="D1683" s="3">
        <f>VLOOKUP(A1683,airports!A:H,7,FALSE)</f>
        <v>39.046142779999997</v>
      </c>
      <c r="E1683" s="3">
        <f>VLOOKUP(A1683,airports!A:H,8,FALSE)</f>
        <v>-84.662172499999997</v>
      </c>
      <c r="F1683" s="3">
        <f>VLOOKUP(B1683,airports!A:H,7,FALSE)</f>
        <v>30.483250000000002</v>
      </c>
      <c r="G1683" s="3">
        <f>VLOOKUP(B1683,airports!A:H,8,FALSE)</f>
        <v>-86.525400000000005</v>
      </c>
      <c r="H1683">
        <f t="shared" si="52"/>
        <v>967.2</v>
      </c>
      <c r="I1683">
        <f t="shared" si="53"/>
        <v>601</v>
      </c>
    </row>
    <row r="1684" spans="1:9" ht="30" x14ac:dyDescent="0.25">
      <c r="A1684" s="5" t="s">
        <v>462</v>
      </c>
      <c r="B1684" s="5" t="s">
        <v>670</v>
      </c>
      <c r="C1684" s="5" t="s">
        <v>2071</v>
      </c>
      <c r="D1684" s="3">
        <f>VLOOKUP(A1684,airports!A:H,7,FALSE)</f>
        <v>39.046142779999997</v>
      </c>
      <c r="E1684" s="3">
        <f>VLOOKUP(A1684,airports!A:H,8,FALSE)</f>
        <v>-84.662172499999997</v>
      </c>
      <c r="F1684" s="3">
        <f>VLOOKUP(B1684,airports!A:H,7,FALSE)</f>
        <v>36.281869440000001</v>
      </c>
      <c r="G1684" s="3">
        <f>VLOOKUP(B1684,airports!A:H,8,FALSE)</f>
        <v>-94.306811109999998</v>
      </c>
      <c r="H1684">
        <f t="shared" si="52"/>
        <v>902.3</v>
      </c>
      <c r="I1684">
        <f t="shared" si="53"/>
        <v>560.70000000000005</v>
      </c>
    </row>
    <row r="1685" spans="1:9" ht="30" x14ac:dyDescent="0.25">
      <c r="A1685" s="5" t="s">
        <v>2072</v>
      </c>
      <c r="B1685" s="5" t="s">
        <v>50</v>
      </c>
      <c r="C1685" s="5" t="s">
        <v>2073</v>
      </c>
      <c r="D1685" s="3">
        <f>VLOOKUP(A1685,airports!A:H,7,FALSE)</f>
        <v>44.777619170000001</v>
      </c>
      <c r="E1685" s="3">
        <f>VLOOKUP(A1685,airports!A:H,8,FALSE)</f>
        <v>-89.666779439999999</v>
      </c>
      <c r="F1685" s="3">
        <f>VLOOKUP(B1685,airports!A:H,7,FALSE)</f>
        <v>42.212058890000002</v>
      </c>
      <c r="G1685" s="3">
        <f>VLOOKUP(B1685,airports!A:H,8,FALSE)</f>
        <v>-83.348835829999999</v>
      </c>
      <c r="H1685">
        <f t="shared" si="52"/>
        <v>583.79999999999995</v>
      </c>
      <c r="I1685">
        <f t="shared" si="53"/>
        <v>362.8</v>
      </c>
    </row>
    <row r="1686" spans="1:9" ht="30" x14ac:dyDescent="0.25">
      <c r="A1686" s="5" t="s">
        <v>2072</v>
      </c>
      <c r="B1686" s="5" t="s">
        <v>87</v>
      </c>
      <c r="C1686" s="5" t="s">
        <v>2074</v>
      </c>
      <c r="D1686" s="3">
        <f>VLOOKUP(A1686,airports!A:H,7,FALSE)</f>
        <v>44.777619170000001</v>
      </c>
      <c r="E1686" s="3">
        <f>VLOOKUP(A1686,airports!A:H,8,FALSE)</f>
        <v>-89.666779439999999</v>
      </c>
      <c r="F1686" s="3">
        <f>VLOOKUP(B1686,airports!A:H,7,FALSE)</f>
        <v>44.880546940000002</v>
      </c>
      <c r="G1686" s="3">
        <f>VLOOKUP(B1686,airports!A:H,8,FALSE)</f>
        <v>-93.216922499999995</v>
      </c>
      <c r="H1686">
        <f t="shared" si="52"/>
        <v>280.2</v>
      </c>
      <c r="I1686">
        <f t="shared" si="53"/>
        <v>174.1</v>
      </c>
    </row>
    <row r="1687" spans="1:9" ht="30" x14ac:dyDescent="0.25">
      <c r="A1687" s="5" t="s">
        <v>2072</v>
      </c>
      <c r="B1687" s="5" t="s">
        <v>95</v>
      </c>
      <c r="C1687" s="5" t="s">
        <v>2075</v>
      </c>
      <c r="D1687" s="3">
        <f>VLOOKUP(A1687,airports!A:H,7,FALSE)</f>
        <v>44.777619170000001</v>
      </c>
      <c r="E1687" s="3">
        <f>VLOOKUP(A1687,airports!A:H,8,FALSE)</f>
        <v>-89.666779439999999</v>
      </c>
      <c r="F1687" s="3">
        <f>VLOOKUP(B1687,airports!A:H,7,FALSE)</f>
        <v>41.979595000000003</v>
      </c>
      <c r="G1687" s="3">
        <f>VLOOKUP(B1687,airports!A:H,8,FALSE)</f>
        <v>-87.904464169999997</v>
      </c>
      <c r="H1687">
        <f t="shared" si="52"/>
        <v>342.2</v>
      </c>
      <c r="I1687">
        <f t="shared" si="53"/>
        <v>212.6</v>
      </c>
    </row>
    <row r="1688" spans="1:9" ht="30" x14ac:dyDescent="0.25">
      <c r="A1688" s="5" t="s">
        <v>2076</v>
      </c>
      <c r="B1688" s="5" t="s">
        <v>47</v>
      </c>
      <c r="C1688" s="5" t="s">
        <v>2077</v>
      </c>
      <c r="D1688" s="3">
        <f>VLOOKUP(A1688,airports!A:H,7,FALSE)</f>
        <v>41.155722500000003</v>
      </c>
      <c r="E1688" s="3">
        <f>VLOOKUP(A1688,airports!A:H,8,FALSE)</f>
        <v>-104.8118381</v>
      </c>
      <c r="F1688" s="3">
        <f>VLOOKUP(B1688,airports!A:H,7,FALSE)</f>
        <v>39.858408060000002</v>
      </c>
      <c r="G1688" s="3">
        <f>VLOOKUP(B1688,airports!A:H,8,FALSE)</f>
        <v>-104.6670019</v>
      </c>
      <c r="H1688">
        <f t="shared" si="52"/>
        <v>144.80000000000001</v>
      </c>
      <c r="I1688">
        <f t="shared" si="53"/>
        <v>90</v>
      </c>
    </row>
    <row r="1689" spans="1:9" ht="30" x14ac:dyDescent="0.25">
      <c r="A1689" s="5" t="s">
        <v>2076</v>
      </c>
      <c r="B1689" s="5" t="s">
        <v>49</v>
      </c>
      <c r="C1689" s="5" t="s">
        <v>2078</v>
      </c>
      <c r="D1689" s="3">
        <f>VLOOKUP(A1689,airports!A:H,7,FALSE)</f>
        <v>41.155722500000003</v>
      </c>
      <c r="E1689" s="3">
        <f>VLOOKUP(A1689,airports!A:H,8,FALSE)</f>
        <v>-104.8118381</v>
      </c>
      <c r="F1689" s="3">
        <f>VLOOKUP(B1689,airports!A:H,7,FALSE)</f>
        <v>32.895950560000003</v>
      </c>
      <c r="G1689" s="3">
        <f>VLOOKUP(B1689,airports!A:H,8,FALSE)</f>
        <v>-97.037199999999999</v>
      </c>
      <c r="H1689">
        <f t="shared" si="52"/>
        <v>1147.8</v>
      </c>
      <c r="I1689">
        <f t="shared" si="53"/>
        <v>713.2</v>
      </c>
    </row>
    <row r="1690" spans="1:9" ht="30" x14ac:dyDescent="0.25">
      <c r="A1690" s="5" t="s">
        <v>464</v>
      </c>
      <c r="B1690" s="5" t="s">
        <v>10</v>
      </c>
      <c r="C1690" s="5" t="s">
        <v>2079</v>
      </c>
      <c r="D1690" s="3">
        <f>VLOOKUP(A1690,airports!A:H,7,FALSE)</f>
        <v>29.179916670000001</v>
      </c>
      <c r="E1690" s="3">
        <f>VLOOKUP(A1690,airports!A:H,8,FALSE)</f>
        <v>-81.05805556</v>
      </c>
      <c r="F1690" s="3">
        <f>VLOOKUP(B1690,airports!A:H,7,FALSE)</f>
        <v>33.640444440000003</v>
      </c>
      <c r="G1690" s="3">
        <f>VLOOKUP(B1690,airports!A:H,8,FALSE)</f>
        <v>-84.42694444</v>
      </c>
      <c r="H1690">
        <f t="shared" si="52"/>
        <v>590</v>
      </c>
      <c r="I1690">
        <f t="shared" si="53"/>
        <v>366.6</v>
      </c>
    </row>
    <row r="1691" spans="1:9" ht="30" x14ac:dyDescent="0.25">
      <c r="A1691" s="5" t="s">
        <v>464</v>
      </c>
      <c r="B1691" s="5" t="s">
        <v>40</v>
      </c>
      <c r="C1691" s="5" t="s">
        <v>2080</v>
      </c>
      <c r="D1691" s="3">
        <f>VLOOKUP(A1691,airports!A:H,7,FALSE)</f>
        <v>29.179916670000001</v>
      </c>
      <c r="E1691" s="3">
        <f>VLOOKUP(A1691,airports!A:H,8,FALSE)</f>
        <v>-81.05805556</v>
      </c>
      <c r="F1691" s="3">
        <f>VLOOKUP(B1691,airports!A:H,7,FALSE)</f>
        <v>35.214011110000001</v>
      </c>
      <c r="G1691" s="3">
        <f>VLOOKUP(B1691,airports!A:H,8,FALSE)</f>
        <v>-80.94312583</v>
      </c>
      <c r="H1691">
        <f t="shared" si="52"/>
        <v>671</v>
      </c>
      <c r="I1691">
        <f t="shared" si="53"/>
        <v>417</v>
      </c>
    </row>
    <row r="1692" spans="1:9" ht="30" x14ac:dyDescent="0.25">
      <c r="A1692" s="5" t="s">
        <v>464</v>
      </c>
      <c r="B1692" s="5" t="s">
        <v>45</v>
      </c>
      <c r="C1692" s="5" t="s">
        <v>2081</v>
      </c>
      <c r="D1692" s="3">
        <f>VLOOKUP(A1692,airports!A:H,7,FALSE)</f>
        <v>29.179916670000001</v>
      </c>
      <c r="E1692" s="3">
        <f>VLOOKUP(A1692,airports!A:H,8,FALSE)</f>
        <v>-81.05805556</v>
      </c>
      <c r="F1692" s="3">
        <f>VLOOKUP(B1692,airports!A:H,7,FALSE)</f>
        <v>38.852083329999999</v>
      </c>
      <c r="G1692" s="3">
        <f>VLOOKUP(B1692,airports!A:H,8,FALSE)</f>
        <v>-77.037722220000006</v>
      </c>
      <c r="H1692">
        <f t="shared" si="52"/>
        <v>1137.2</v>
      </c>
      <c r="I1692">
        <f t="shared" si="53"/>
        <v>706.7</v>
      </c>
    </row>
    <row r="1693" spans="1:9" ht="30" x14ac:dyDescent="0.25">
      <c r="A1693" s="5" t="s">
        <v>464</v>
      </c>
      <c r="B1693" s="5" t="s">
        <v>49</v>
      </c>
      <c r="C1693" s="5" t="s">
        <v>2082</v>
      </c>
      <c r="D1693" s="3">
        <f>VLOOKUP(A1693,airports!A:H,7,FALSE)</f>
        <v>29.179916670000001</v>
      </c>
      <c r="E1693" s="3">
        <f>VLOOKUP(A1693,airports!A:H,8,FALSE)</f>
        <v>-81.05805556</v>
      </c>
      <c r="F1693" s="3">
        <f>VLOOKUP(B1693,airports!A:H,7,FALSE)</f>
        <v>32.895950560000003</v>
      </c>
      <c r="G1693" s="3">
        <f>VLOOKUP(B1693,airports!A:H,8,FALSE)</f>
        <v>-97.037199999999999</v>
      </c>
      <c r="H1693">
        <f t="shared" si="52"/>
        <v>1575.7</v>
      </c>
      <c r="I1693">
        <f t="shared" si="53"/>
        <v>979.1</v>
      </c>
    </row>
    <row r="1694" spans="1:9" ht="30" x14ac:dyDescent="0.25">
      <c r="A1694" s="5" t="s">
        <v>464</v>
      </c>
      <c r="B1694" s="5" t="s">
        <v>50</v>
      </c>
      <c r="C1694" s="5" t="s">
        <v>2083</v>
      </c>
      <c r="D1694" s="3">
        <f>VLOOKUP(A1694,airports!A:H,7,FALSE)</f>
        <v>29.179916670000001</v>
      </c>
      <c r="E1694" s="3">
        <f>VLOOKUP(A1694,airports!A:H,8,FALSE)</f>
        <v>-81.05805556</v>
      </c>
      <c r="F1694" s="3">
        <f>VLOOKUP(B1694,airports!A:H,7,FALSE)</f>
        <v>42.212058890000002</v>
      </c>
      <c r="G1694" s="3">
        <f>VLOOKUP(B1694,airports!A:H,8,FALSE)</f>
        <v>-83.348835829999999</v>
      </c>
      <c r="H1694">
        <f t="shared" si="52"/>
        <v>1463.6</v>
      </c>
      <c r="I1694">
        <f t="shared" si="53"/>
        <v>909.5</v>
      </c>
    </row>
    <row r="1695" spans="1:9" x14ac:dyDescent="0.25">
      <c r="A1695" s="5" t="s">
        <v>464</v>
      </c>
      <c r="B1695" s="5" t="s">
        <v>69</v>
      </c>
      <c r="C1695" s="5" t="s">
        <v>2084</v>
      </c>
      <c r="D1695" s="3">
        <f>VLOOKUP(A1695,airports!A:H,7,FALSE)</f>
        <v>29.179916670000001</v>
      </c>
      <c r="E1695" s="3">
        <f>VLOOKUP(A1695,airports!A:H,8,FALSE)</f>
        <v>-81.05805556</v>
      </c>
      <c r="F1695" s="3">
        <f>VLOOKUP(B1695,airports!A:H,7,FALSE)</f>
        <v>40.639751109999999</v>
      </c>
      <c r="G1695" s="3">
        <f>VLOOKUP(B1695,airports!A:H,8,FALSE)</f>
        <v>-73.778925560000005</v>
      </c>
      <c r="H1695">
        <f t="shared" si="52"/>
        <v>1435.5</v>
      </c>
      <c r="I1695">
        <f t="shared" si="53"/>
        <v>892</v>
      </c>
    </row>
    <row r="1696" spans="1:9" ht="30" x14ac:dyDescent="0.25">
      <c r="A1696" s="5" t="s">
        <v>464</v>
      </c>
      <c r="B1696" s="5" t="s">
        <v>74</v>
      </c>
      <c r="C1696" s="5" t="s">
        <v>2085</v>
      </c>
      <c r="D1696" s="3">
        <f>VLOOKUP(A1696,airports!A:H,7,FALSE)</f>
        <v>29.179916670000001</v>
      </c>
      <c r="E1696" s="3">
        <f>VLOOKUP(A1696,airports!A:H,8,FALSE)</f>
        <v>-81.05805556</v>
      </c>
      <c r="F1696" s="3">
        <f>VLOOKUP(B1696,airports!A:H,7,FALSE)</f>
        <v>40.777243060000004</v>
      </c>
      <c r="G1696" s="3">
        <f>VLOOKUP(B1696,airports!A:H,8,FALSE)</f>
        <v>-73.872609170000004</v>
      </c>
      <c r="H1696">
        <f t="shared" si="52"/>
        <v>1444.9</v>
      </c>
      <c r="I1696">
        <f t="shared" si="53"/>
        <v>897.9</v>
      </c>
    </row>
    <row r="1697" spans="1:9" ht="30" x14ac:dyDescent="0.25">
      <c r="A1697" s="5" t="s">
        <v>464</v>
      </c>
      <c r="B1697" s="5" t="s">
        <v>102</v>
      </c>
      <c r="C1697" s="5" t="s">
        <v>2086</v>
      </c>
      <c r="D1697" s="3">
        <f>VLOOKUP(A1697,airports!A:H,7,FALSE)</f>
        <v>29.179916670000001</v>
      </c>
      <c r="E1697" s="3">
        <f>VLOOKUP(A1697,airports!A:H,8,FALSE)</f>
        <v>-81.05805556</v>
      </c>
      <c r="F1697" s="3">
        <f>VLOOKUP(B1697,airports!A:H,7,FALSE)</f>
        <v>39.871952780000001</v>
      </c>
      <c r="G1697" s="3">
        <f>VLOOKUP(B1697,airports!A:H,8,FALSE)</f>
        <v>-75.241140830000006</v>
      </c>
      <c r="H1697">
        <f t="shared" si="52"/>
        <v>1302.0999999999999</v>
      </c>
      <c r="I1697">
        <f t="shared" si="53"/>
        <v>809.1</v>
      </c>
    </row>
    <row r="1698" spans="1:9" ht="30" x14ac:dyDescent="0.25">
      <c r="A1698" s="5" t="s">
        <v>201</v>
      </c>
      <c r="B1698" s="5" t="s">
        <v>2</v>
      </c>
      <c r="C1698" s="5" t="s">
        <v>2087</v>
      </c>
      <c r="D1698" s="3">
        <f>VLOOKUP(A1698,airports!A:H,7,FALSE)</f>
        <v>32.847113890000003</v>
      </c>
      <c r="E1698" s="3">
        <f>VLOOKUP(A1698,airports!A:H,8,FALSE)</f>
        <v>-96.851772220000001</v>
      </c>
      <c r="F1698" s="3">
        <f>VLOOKUP(B1698,airports!A:H,7,FALSE)</f>
        <v>35.040222219999997</v>
      </c>
      <c r="G1698" s="3">
        <f>VLOOKUP(B1698,airports!A:H,8,FALSE)</f>
        <v>-106.60919440000001</v>
      </c>
      <c r="H1698">
        <f t="shared" si="52"/>
        <v>932.1</v>
      </c>
      <c r="I1698">
        <f t="shared" si="53"/>
        <v>579.20000000000005</v>
      </c>
    </row>
    <row r="1699" spans="1:9" ht="30" x14ac:dyDescent="0.25">
      <c r="A1699" s="5" t="s">
        <v>201</v>
      </c>
      <c r="B1699" s="5" t="s">
        <v>327</v>
      </c>
      <c r="C1699" s="5" t="s">
        <v>2088</v>
      </c>
      <c r="D1699" s="3">
        <f>VLOOKUP(A1699,airports!A:H,7,FALSE)</f>
        <v>32.847113890000003</v>
      </c>
      <c r="E1699" s="3">
        <f>VLOOKUP(A1699,airports!A:H,8,FALSE)</f>
        <v>-96.851772220000001</v>
      </c>
      <c r="F1699" s="3">
        <f>VLOOKUP(B1699,airports!A:H,7,FALSE)</f>
        <v>35.219372499999999</v>
      </c>
      <c r="G1699" s="3">
        <f>VLOOKUP(B1699,airports!A:H,8,FALSE)</f>
        <v>-101.7059272</v>
      </c>
      <c r="H1699">
        <f t="shared" si="52"/>
        <v>519.20000000000005</v>
      </c>
      <c r="I1699">
        <f t="shared" si="53"/>
        <v>322.60000000000002</v>
      </c>
    </row>
    <row r="1700" spans="1:9" x14ac:dyDescent="0.25">
      <c r="A1700" s="5" t="s">
        <v>201</v>
      </c>
      <c r="B1700" s="5" t="s">
        <v>10</v>
      </c>
      <c r="C1700" s="5" t="s">
        <v>2089</v>
      </c>
      <c r="D1700" s="3">
        <f>VLOOKUP(A1700,airports!A:H,7,FALSE)</f>
        <v>32.847113890000003</v>
      </c>
      <c r="E1700" s="3">
        <f>VLOOKUP(A1700,airports!A:H,8,FALSE)</f>
        <v>-96.851772220000001</v>
      </c>
      <c r="F1700" s="3">
        <f>VLOOKUP(B1700,airports!A:H,7,FALSE)</f>
        <v>33.640444440000003</v>
      </c>
      <c r="G1700" s="3">
        <f>VLOOKUP(B1700,airports!A:H,8,FALSE)</f>
        <v>-84.42694444</v>
      </c>
      <c r="H1700">
        <f t="shared" si="52"/>
        <v>1158.0999999999999</v>
      </c>
      <c r="I1700">
        <f t="shared" si="53"/>
        <v>719.7</v>
      </c>
    </row>
    <row r="1701" spans="1:9" ht="30" x14ac:dyDescent="0.25">
      <c r="A1701" s="5" t="s">
        <v>201</v>
      </c>
      <c r="B1701" s="5" t="s">
        <v>13</v>
      </c>
      <c r="C1701" s="5" t="s">
        <v>2090</v>
      </c>
      <c r="D1701" s="3">
        <f>VLOOKUP(A1701,airports!A:H,7,FALSE)</f>
        <v>32.847113890000003</v>
      </c>
      <c r="E1701" s="3">
        <f>VLOOKUP(A1701,airports!A:H,8,FALSE)</f>
        <v>-96.851772220000001</v>
      </c>
      <c r="F1701" s="3">
        <f>VLOOKUP(B1701,airports!A:H,7,FALSE)</f>
        <v>30.194532779999999</v>
      </c>
      <c r="G1701" s="3">
        <f>VLOOKUP(B1701,airports!A:H,8,FALSE)</f>
        <v>-97.669871939999993</v>
      </c>
      <c r="H1701">
        <f t="shared" si="52"/>
        <v>305</v>
      </c>
      <c r="I1701">
        <f t="shared" si="53"/>
        <v>189.5</v>
      </c>
    </row>
    <row r="1702" spans="1:9" ht="30" x14ac:dyDescent="0.25">
      <c r="A1702" s="5" t="s">
        <v>201</v>
      </c>
      <c r="B1702" s="5" t="s">
        <v>425</v>
      </c>
      <c r="C1702" s="5" t="s">
        <v>2091</v>
      </c>
      <c r="D1702" s="3">
        <f>VLOOKUP(A1702,airports!A:H,7,FALSE)</f>
        <v>32.847113890000003</v>
      </c>
      <c r="E1702" s="3">
        <f>VLOOKUP(A1702,airports!A:H,8,FALSE)</f>
        <v>-96.851772220000001</v>
      </c>
      <c r="F1702" s="3">
        <f>VLOOKUP(B1702,airports!A:H,7,FALSE)</f>
        <v>33.562943060000002</v>
      </c>
      <c r="G1702" s="3">
        <f>VLOOKUP(B1702,airports!A:H,8,FALSE)</f>
        <v>-86.753549719999995</v>
      </c>
      <c r="H1702">
        <f t="shared" si="52"/>
        <v>942.5</v>
      </c>
      <c r="I1702">
        <f t="shared" si="53"/>
        <v>585.70000000000005</v>
      </c>
    </row>
    <row r="1703" spans="1:9" ht="30" x14ac:dyDescent="0.25">
      <c r="A1703" s="5" t="s">
        <v>201</v>
      </c>
      <c r="B1703" s="5" t="s">
        <v>19</v>
      </c>
      <c r="C1703" s="5" t="s">
        <v>2092</v>
      </c>
      <c r="D1703" s="3">
        <f>VLOOKUP(A1703,airports!A:H,7,FALSE)</f>
        <v>32.847113890000003</v>
      </c>
      <c r="E1703" s="3">
        <f>VLOOKUP(A1703,airports!A:H,8,FALSE)</f>
        <v>-96.851772220000001</v>
      </c>
      <c r="F1703" s="3">
        <f>VLOOKUP(B1703,airports!A:H,7,FALSE)</f>
        <v>36.12447667</v>
      </c>
      <c r="G1703" s="3">
        <f>VLOOKUP(B1703,airports!A:H,8,FALSE)</f>
        <v>-86.678182219999997</v>
      </c>
      <c r="H1703">
        <f t="shared" si="52"/>
        <v>1000.5</v>
      </c>
      <c r="I1703">
        <f t="shared" si="53"/>
        <v>621.70000000000005</v>
      </c>
    </row>
    <row r="1704" spans="1:9" x14ac:dyDescent="0.25">
      <c r="A1704" s="5" t="s">
        <v>201</v>
      </c>
      <c r="B1704" s="5" t="s">
        <v>22</v>
      </c>
      <c r="C1704" s="5" t="s">
        <v>2093</v>
      </c>
      <c r="D1704" s="3">
        <f>VLOOKUP(A1704,airports!A:H,7,FALSE)</f>
        <v>32.847113890000003</v>
      </c>
      <c r="E1704" s="3">
        <f>VLOOKUP(A1704,airports!A:H,8,FALSE)</f>
        <v>-96.851772220000001</v>
      </c>
      <c r="F1704" s="3">
        <f>VLOOKUP(B1704,airports!A:H,7,FALSE)</f>
        <v>43.564444440000003</v>
      </c>
      <c r="G1704" s="3">
        <f>VLOOKUP(B1704,airports!A:H,8,FALSE)</f>
        <v>-116.2227778</v>
      </c>
      <c r="H1704">
        <f t="shared" si="52"/>
        <v>2061.6999999999998</v>
      </c>
      <c r="I1704">
        <f t="shared" si="53"/>
        <v>1281.0999999999999</v>
      </c>
    </row>
    <row r="1705" spans="1:9" ht="30" x14ac:dyDescent="0.25">
      <c r="A1705" s="5" t="s">
        <v>201</v>
      </c>
      <c r="B1705" s="5" t="s">
        <v>24</v>
      </c>
      <c r="C1705" s="5" t="s">
        <v>2094</v>
      </c>
      <c r="D1705" s="3">
        <f>VLOOKUP(A1705,airports!A:H,7,FALSE)</f>
        <v>32.847113890000003</v>
      </c>
      <c r="E1705" s="3">
        <f>VLOOKUP(A1705,airports!A:H,8,FALSE)</f>
        <v>-96.851772220000001</v>
      </c>
      <c r="F1705" s="3">
        <f>VLOOKUP(B1705,airports!A:H,7,FALSE)</f>
        <v>42.364347500000001</v>
      </c>
      <c r="G1705" s="3">
        <f>VLOOKUP(B1705,airports!A:H,8,FALSE)</f>
        <v>-71.005179170000005</v>
      </c>
      <c r="H1705">
        <f t="shared" si="52"/>
        <v>2497.6</v>
      </c>
      <c r="I1705">
        <f t="shared" si="53"/>
        <v>1552</v>
      </c>
    </row>
    <row r="1706" spans="1:9" ht="30" x14ac:dyDescent="0.25">
      <c r="A1706" s="5" t="s">
        <v>201</v>
      </c>
      <c r="B1706" s="5" t="s">
        <v>30</v>
      </c>
      <c r="C1706" s="5" t="s">
        <v>2095</v>
      </c>
      <c r="D1706" s="3">
        <f>VLOOKUP(A1706,airports!A:H,7,FALSE)</f>
        <v>32.847113890000003</v>
      </c>
      <c r="E1706" s="3">
        <f>VLOOKUP(A1706,airports!A:H,8,FALSE)</f>
        <v>-96.851772220000001</v>
      </c>
      <c r="F1706" s="3">
        <f>VLOOKUP(B1706,airports!A:H,7,FALSE)</f>
        <v>34.200619170000003</v>
      </c>
      <c r="G1706" s="3">
        <f>VLOOKUP(B1706,airports!A:H,8,FALSE)</f>
        <v>-118.35849690000001</v>
      </c>
      <c r="H1706">
        <f t="shared" si="52"/>
        <v>1995.6</v>
      </c>
      <c r="I1706">
        <f t="shared" si="53"/>
        <v>1240.0999999999999</v>
      </c>
    </row>
    <row r="1707" spans="1:9" ht="30" x14ac:dyDescent="0.25">
      <c r="A1707" s="5" t="s">
        <v>201</v>
      </c>
      <c r="B1707" s="5" t="s">
        <v>32</v>
      </c>
      <c r="C1707" s="5" t="s">
        <v>2096</v>
      </c>
      <c r="D1707" s="3">
        <f>VLOOKUP(A1707,airports!A:H,7,FALSE)</f>
        <v>32.847113890000003</v>
      </c>
      <c r="E1707" s="3">
        <f>VLOOKUP(A1707,airports!A:H,8,FALSE)</f>
        <v>-96.851772220000001</v>
      </c>
      <c r="F1707" s="3">
        <f>VLOOKUP(B1707,airports!A:H,7,FALSE)</f>
        <v>39.175401669999999</v>
      </c>
      <c r="G1707" s="3">
        <f>VLOOKUP(B1707,airports!A:H,8,FALSE)</f>
        <v>-76.668198329999996</v>
      </c>
      <c r="H1707">
        <f t="shared" si="52"/>
        <v>1941.8</v>
      </c>
      <c r="I1707">
        <f t="shared" si="53"/>
        <v>1206.5999999999999</v>
      </c>
    </row>
    <row r="1708" spans="1:9" ht="30" x14ac:dyDescent="0.25">
      <c r="A1708" s="5" t="s">
        <v>201</v>
      </c>
      <c r="B1708" s="5" t="s">
        <v>34</v>
      </c>
      <c r="C1708" s="5" t="s">
        <v>2097</v>
      </c>
      <c r="D1708" s="3">
        <f>VLOOKUP(A1708,airports!A:H,7,FALSE)</f>
        <v>32.847113890000003</v>
      </c>
      <c r="E1708" s="3">
        <f>VLOOKUP(A1708,airports!A:H,8,FALSE)</f>
        <v>-96.851772220000001</v>
      </c>
      <c r="F1708" s="3">
        <f>VLOOKUP(B1708,airports!A:H,7,FALSE)</f>
        <v>45.776901389999999</v>
      </c>
      <c r="G1708" s="3">
        <f>VLOOKUP(B1708,airports!A:H,8,FALSE)</f>
        <v>-111.1530072</v>
      </c>
      <c r="H1708">
        <f t="shared" si="52"/>
        <v>1886.3</v>
      </c>
      <c r="I1708">
        <f t="shared" si="53"/>
        <v>1172.2</v>
      </c>
    </row>
    <row r="1709" spans="1:9" ht="30" x14ac:dyDescent="0.25">
      <c r="A1709" s="5" t="s">
        <v>201</v>
      </c>
      <c r="B1709" s="5" t="s">
        <v>36</v>
      </c>
      <c r="C1709" s="5" t="s">
        <v>2098</v>
      </c>
      <c r="D1709" s="3">
        <f>VLOOKUP(A1709,airports!A:H,7,FALSE)</f>
        <v>32.847113890000003</v>
      </c>
      <c r="E1709" s="3">
        <f>VLOOKUP(A1709,airports!A:H,8,FALSE)</f>
        <v>-96.851772220000001</v>
      </c>
      <c r="F1709" s="3">
        <f>VLOOKUP(B1709,airports!A:H,7,FALSE)</f>
        <v>32.898646390000003</v>
      </c>
      <c r="G1709" s="3">
        <f>VLOOKUP(B1709,airports!A:H,8,FALSE)</f>
        <v>-80.040505830000001</v>
      </c>
      <c r="H1709">
        <f t="shared" si="52"/>
        <v>1568.3</v>
      </c>
      <c r="I1709">
        <f t="shared" si="53"/>
        <v>974.6</v>
      </c>
    </row>
    <row r="1710" spans="1:9" x14ac:dyDescent="0.25">
      <c r="A1710" s="5" t="s">
        <v>201</v>
      </c>
      <c r="B1710" s="5" t="s">
        <v>38</v>
      </c>
      <c r="C1710" s="5" t="s">
        <v>2099</v>
      </c>
      <c r="D1710" s="3">
        <f>VLOOKUP(A1710,airports!A:H,7,FALSE)</f>
        <v>32.847113890000003</v>
      </c>
      <c r="E1710" s="3">
        <f>VLOOKUP(A1710,airports!A:H,8,FALSE)</f>
        <v>-96.851772220000001</v>
      </c>
      <c r="F1710" s="3">
        <f>VLOOKUP(B1710,airports!A:H,7,FALSE)</f>
        <v>41.410894169999999</v>
      </c>
      <c r="G1710" s="3">
        <f>VLOOKUP(B1710,airports!A:H,8,FALSE)</f>
        <v>-81.849396670000004</v>
      </c>
      <c r="H1710">
        <f t="shared" si="52"/>
        <v>1631.9</v>
      </c>
      <c r="I1710">
        <f t="shared" si="53"/>
        <v>1014.1</v>
      </c>
    </row>
    <row r="1711" spans="1:9" x14ac:dyDescent="0.25">
      <c r="A1711" s="5" t="s">
        <v>201</v>
      </c>
      <c r="B1711" s="5" t="s">
        <v>40</v>
      </c>
      <c r="C1711" s="5" t="s">
        <v>2100</v>
      </c>
      <c r="D1711" s="3">
        <f>VLOOKUP(A1711,airports!A:H,7,FALSE)</f>
        <v>32.847113890000003</v>
      </c>
      <c r="E1711" s="3">
        <f>VLOOKUP(A1711,airports!A:H,8,FALSE)</f>
        <v>-96.851772220000001</v>
      </c>
      <c r="F1711" s="3">
        <f>VLOOKUP(B1711,airports!A:H,7,FALSE)</f>
        <v>35.214011110000001</v>
      </c>
      <c r="G1711" s="3">
        <f>VLOOKUP(B1711,airports!A:H,8,FALSE)</f>
        <v>-80.94312583</v>
      </c>
      <c r="H1711">
        <f t="shared" si="52"/>
        <v>1487.7</v>
      </c>
      <c r="I1711">
        <f t="shared" si="53"/>
        <v>924.5</v>
      </c>
    </row>
    <row r="1712" spans="1:9" ht="30" x14ac:dyDescent="0.25">
      <c r="A1712" s="5" t="s">
        <v>201</v>
      </c>
      <c r="B1712" s="5" t="s">
        <v>454</v>
      </c>
      <c r="C1712" s="5" t="s">
        <v>2101</v>
      </c>
      <c r="D1712" s="3">
        <f>VLOOKUP(A1712,airports!A:H,7,FALSE)</f>
        <v>32.847113890000003</v>
      </c>
      <c r="E1712" s="3">
        <f>VLOOKUP(A1712,airports!A:H,8,FALSE)</f>
        <v>-96.851772220000001</v>
      </c>
      <c r="F1712" s="3">
        <f>VLOOKUP(B1712,airports!A:H,7,FALSE)</f>
        <v>39.997985280000002</v>
      </c>
      <c r="G1712" s="3">
        <f>VLOOKUP(B1712,airports!A:H,8,FALSE)</f>
        <v>-82.891882780000003</v>
      </c>
      <c r="H1712">
        <f t="shared" si="52"/>
        <v>1477.9</v>
      </c>
      <c r="I1712">
        <f t="shared" si="53"/>
        <v>918.4</v>
      </c>
    </row>
    <row r="1713" spans="1:9" ht="30" x14ac:dyDescent="0.25">
      <c r="A1713" s="5" t="s">
        <v>201</v>
      </c>
      <c r="B1713" s="5" t="s">
        <v>456</v>
      </c>
      <c r="C1713" s="5" t="s">
        <v>2102</v>
      </c>
      <c r="D1713" s="3">
        <f>VLOOKUP(A1713,airports!A:H,7,FALSE)</f>
        <v>32.847113890000003</v>
      </c>
      <c r="E1713" s="3">
        <f>VLOOKUP(A1713,airports!A:H,8,FALSE)</f>
        <v>-96.851772220000001</v>
      </c>
      <c r="F1713" s="3">
        <f>VLOOKUP(B1713,airports!A:H,7,FALSE)</f>
        <v>38.805805560000003</v>
      </c>
      <c r="G1713" s="3">
        <f>VLOOKUP(B1713,airports!A:H,8,FALSE)</f>
        <v>-104.70025</v>
      </c>
      <c r="H1713">
        <f t="shared" si="52"/>
        <v>968.6</v>
      </c>
      <c r="I1713">
        <f t="shared" si="53"/>
        <v>601.9</v>
      </c>
    </row>
    <row r="1714" spans="1:9" ht="30" x14ac:dyDescent="0.25">
      <c r="A1714" s="5" t="s">
        <v>201</v>
      </c>
      <c r="B1714" s="5" t="s">
        <v>1987</v>
      </c>
      <c r="C1714" s="5" t="s">
        <v>2103</v>
      </c>
      <c r="D1714" s="3">
        <f>VLOOKUP(A1714,airports!A:H,7,FALSE)</f>
        <v>32.847113890000003</v>
      </c>
      <c r="E1714" s="3">
        <f>VLOOKUP(A1714,airports!A:H,8,FALSE)</f>
        <v>-96.851772220000001</v>
      </c>
      <c r="F1714" s="3">
        <f>VLOOKUP(B1714,airports!A:H,7,FALSE)</f>
        <v>27.770360830000001</v>
      </c>
      <c r="G1714" s="3">
        <f>VLOOKUP(B1714,airports!A:H,8,FALSE)</f>
        <v>-97.501215279999997</v>
      </c>
      <c r="H1714">
        <f t="shared" si="52"/>
        <v>567.9</v>
      </c>
      <c r="I1714">
        <f t="shared" si="53"/>
        <v>352.9</v>
      </c>
    </row>
    <row r="1715" spans="1:9" ht="30" x14ac:dyDescent="0.25">
      <c r="A1715" s="5" t="s">
        <v>201</v>
      </c>
      <c r="B1715" s="5" t="s">
        <v>45</v>
      </c>
      <c r="C1715" s="5" t="s">
        <v>2104</v>
      </c>
      <c r="D1715" s="3">
        <f>VLOOKUP(A1715,airports!A:H,7,FALSE)</f>
        <v>32.847113890000003</v>
      </c>
      <c r="E1715" s="3">
        <f>VLOOKUP(A1715,airports!A:H,8,FALSE)</f>
        <v>-96.851772220000001</v>
      </c>
      <c r="F1715" s="3">
        <f>VLOOKUP(B1715,airports!A:H,7,FALSE)</f>
        <v>38.852083329999999</v>
      </c>
      <c r="G1715" s="3">
        <f>VLOOKUP(B1715,airports!A:H,8,FALSE)</f>
        <v>-77.037722220000006</v>
      </c>
      <c r="H1715">
        <f t="shared" si="52"/>
        <v>1901.7</v>
      </c>
      <c r="I1715">
        <f t="shared" si="53"/>
        <v>1181.8</v>
      </c>
    </row>
    <row r="1716" spans="1:9" ht="30" x14ac:dyDescent="0.25">
      <c r="A1716" s="5" t="s">
        <v>201</v>
      </c>
      <c r="B1716" s="5" t="s">
        <v>47</v>
      </c>
      <c r="C1716" s="5" t="s">
        <v>2105</v>
      </c>
      <c r="D1716" s="3">
        <f>VLOOKUP(A1716,airports!A:H,7,FALSE)</f>
        <v>32.847113890000003</v>
      </c>
      <c r="E1716" s="3">
        <f>VLOOKUP(A1716,airports!A:H,8,FALSE)</f>
        <v>-96.851772220000001</v>
      </c>
      <c r="F1716" s="3">
        <f>VLOOKUP(B1716,airports!A:H,7,FALSE)</f>
        <v>39.858408060000002</v>
      </c>
      <c r="G1716" s="3">
        <f>VLOOKUP(B1716,airports!A:H,8,FALSE)</f>
        <v>-104.6670019</v>
      </c>
      <c r="H1716">
        <f t="shared" si="52"/>
        <v>1046.8</v>
      </c>
      <c r="I1716">
        <f t="shared" si="53"/>
        <v>650.5</v>
      </c>
    </row>
    <row r="1717" spans="1:9" ht="30" x14ac:dyDescent="0.25">
      <c r="A1717" s="5" t="s">
        <v>201</v>
      </c>
      <c r="B1717" s="5" t="s">
        <v>50</v>
      </c>
      <c r="C1717" s="5" t="s">
        <v>2106</v>
      </c>
      <c r="D1717" s="3">
        <f>VLOOKUP(A1717,airports!A:H,7,FALSE)</f>
        <v>32.847113890000003</v>
      </c>
      <c r="E1717" s="3">
        <f>VLOOKUP(A1717,airports!A:H,8,FALSE)</f>
        <v>-96.851772220000001</v>
      </c>
      <c r="F1717" s="3">
        <f>VLOOKUP(B1717,airports!A:H,7,FALSE)</f>
        <v>42.212058890000002</v>
      </c>
      <c r="G1717" s="3">
        <f>VLOOKUP(B1717,airports!A:H,8,FALSE)</f>
        <v>-83.348835829999999</v>
      </c>
      <c r="H1717">
        <f t="shared" si="52"/>
        <v>1578.3</v>
      </c>
      <c r="I1717">
        <f t="shared" si="53"/>
        <v>980.8</v>
      </c>
    </row>
    <row r="1718" spans="1:9" ht="30" x14ac:dyDescent="0.25">
      <c r="A1718" s="5" t="s">
        <v>201</v>
      </c>
      <c r="B1718" s="5" t="s">
        <v>477</v>
      </c>
      <c r="C1718" s="5" t="s">
        <v>2107</v>
      </c>
      <c r="D1718" s="3">
        <f>VLOOKUP(A1718,airports!A:H,7,FALSE)</f>
        <v>32.847113890000003</v>
      </c>
      <c r="E1718" s="3">
        <f>VLOOKUP(A1718,airports!A:H,8,FALSE)</f>
        <v>-96.851772220000001</v>
      </c>
      <c r="F1718" s="3">
        <f>VLOOKUP(B1718,airports!A:H,7,FALSE)</f>
        <v>30.357106000000002</v>
      </c>
      <c r="G1718" s="3">
        <f>VLOOKUP(B1718,airports!A:H,8,FALSE)</f>
        <v>-85.795413999999994</v>
      </c>
      <c r="H1718">
        <f t="shared" si="52"/>
        <v>1082.5</v>
      </c>
      <c r="I1718">
        <f t="shared" si="53"/>
        <v>672.7</v>
      </c>
    </row>
    <row r="1719" spans="1:9" x14ac:dyDescent="0.25">
      <c r="A1719" s="5" t="s">
        <v>201</v>
      </c>
      <c r="B1719" s="5" t="s">
        <v>483</v>
      </c>
      <c r="C1719" s="5" t="s">
        <v>2108</v>
      </c>
      <c r="D1719" s="3">
        <f>VLOOKUP(A1719,airports!A:H,7,FALSE)</f>
        <v>32.847113890000003</v>
      </c>
      <c r="E1719" s="3">
        <f>VLOOKUP(A1719,airports!A:H,8,FALSE)</f>
        <v>-96.851772220000001</v>
      </c>
      <c r="F1719" s="3">
        <f>VLOOKUP(B1719,airports!A:H,7,FALSE)</f>
        <v>31.806666669999998</v>
      </c>
      <c r="G1719" s="3">
        <f>VLOOKUP(B1719,airports!A:H,8,FALSE)</f>
        <v>-106.3778056</v>
      </c>
      <c r="H1719">
        <f t="shared" si="52"/>
        <v>902.2</v>
      </c>
      <c r="I1719">
        <f t="shared" si="53"/>
        <v>560.6</v>
      </c>
    </row>
    <row r="1720" spans="1:9" x14ac:dyDescent="0.25">
      <c r="A1720" s="5" t="s">
        <v>201</v>
      </c>
      <c r="B1720" s="5" t="s">
        <v>57</v>
      </c>
      <c r="C1720" s="5" t="s">
        <v>2109</v>
      </c>
      <c r="D1720" s="3">
        <f>VLOOKUP(A1720,airports!A:H,7,FALSE)</f>
        <v>32.847113890000003</v>
      </c>
      <c r="E1720" s="3">
        <f>VLOOKUP(A1720,airports!A:H,8,FALSE)</f>
        <v>-96.851772220000001</v>
      </c>
      <c r="F1720" s="3">
        <f>VLOOKUP(B1720,airports!A:H,7,FALSE)</f>
        <v>26.072583330000001</v>
      </c>
      <c r="G1720" s="3">
        <f>VLOOKUP(B1720,airports!A:H,8,FALSE)</f>
        <v>-80.152749999999997</v>
      </c>
      <c r="H1720">
        <f t="shared" si="52"/>
        <v>1780.7</v>
      </c>
      <c r="I1720">
        <f t="shared" si="53"/>
        <v>1106.5</v>
      </c>
    </row>
    <row r="1721" spans="1:9" ht="30" x14ac:dyDescent="0.25">
      <c r="A1721" s="5" t="s">
        <v>201</v>
      </c>
      <c r="B1721" s="5" t="s">
        <v>519</v>
      </c>
      <c r="C1721" s="5" t="s">
        <v>2110</v>
      </c>
      <c r="D1721" s="3">
        <f>VLOOKUP(A1721,airports!A:H,7,FALSE)</f>
        <v>32.847113890000003</v>
      </c>
      <c r="E1721" s="3">
        <f>VLOOKUP(A1721,airports!A:H,8,FALSE)</f>
        <v>-96.851772220000001</v>
      </c>
      <c r="F1721" s="3">
        <f>VLOOKUP(B1721,airports!A:H,7,FALSE)</f>
        <v>34.89566722</v>
      </c>
      <c r="G1721" s="3">
        <f>VLOOKUP(B1721,airports!A:H,8,FALSE)</f>
        <v>-82.218858330000003</v>
      </c>
      <c r="H1721">
        <f t="shared" si="52"/>
        <v>1368.7</v>
      </c>
      <c r="I1721">
        <f t="shared" si="53"/>
        <v>850.6</v>
      </c>
    </row>
    <row r="1722" spans="1:9" ht="30" x14ac:dyDescent="0.25">
      <c r="A1722" s="5" t="s">
        <v>201</v>
      </c>
      <c r="B1722" s="5" t="s">
        <v>64</v>
      </c>
      <c r="C1722" s="5" t="s">
        <v>2111</v>
      </c>
      <c r="D1722" s="3">
        <f>VLOOKUP(A1722,airports!A:H,7,FALSE)</f>
        <v>32.847113890000003</v>
      </c>
      <c r="E1722" s="3">
        <f>VLOOKUP(A1722,airports!A:H,8,FALSE)</f>
        <v>-96.851772220000001</v>
      </c>
      <c r="F1722" s="3">
        <f>VLOOKUP(B1722,airports!A:H,7,FALSE)</f>
        <v>40.481180279999997</v>
      </c>
      <c r="G1722" s="3">
        <f>VLOOKUP(B1722,airports!A:H,8,FALSE)</f>
        <v>-107.2176597</v>
      </c>
      <c r="H1722">
        <f t="shared" si="52"/>
        <v>1253.5</v>
      </c>
      <c r="I1722">
        <f t="shared" si="53"/>
        <v>778.9</v>
      </c>
    </row>
    <row r="1723" spans="1:9" ht="30" x14ac:dyDescent="0.25">
      <c r="A1723" s="5" t="s">
        <v>201</v>
      </c>
      <c r="B1723" s="5" t="s">
        <v>205</v>
      </c>
      <c r="C1723" s="5" t="s">
        <v>2112</v>
      </c>
      <c r="D1723" s="3">
        <f>VLOOKUP(A1723,airports!A:H,7,FALSE)</f>
        <v>32.847113890000003</v>
      </c>
      <c r="E1723" s="3">
        <f>VLOOKUP(A1723,airports!A:H,8,FALSE)</f>
        <v>-96.851772220000001</v>
      </c>
      <c r="F1723" s="3">
        <f>VLOOKUP(B1723,airports!A:H,7,FALSE)</f>
        <v>29.64541861</v>
      </c>
      <c r="G1723" s="3">
        <f>VLOOKUP(B1723,airports!A:H,8,FALSE)</f>
        <v>-95.278888890000005</v>
      </c>
      <c r="H1723">
        <f t="shared" si="52"/>
        <v>386.1</v>
      </c>
      <c r="I1723">
        <f t="shared" si="53"/>
        <v>239.9</v>
      </c>
    </row>
    <row r="1724" spans="1:9" ht="30" x14ac:dyDescent="0.25">
      <c r="A1724" s="5" t="s">
        <v>201</v>
      </c>
      <c r="B1724" s="5" t="s">
        <v>729</v>
      </c>
      <c r="C1724" s="5" t="s">
        <v>2113</v>
      </c>
      <c r="D1724" s="3">
        <f>VLOOKUP(A1724,airports!A:H,7,FALSE)</f>
        <v>32.847113890000003</v>
      </c>
      <c r="E1724" s="3">
        <f>VLOOKUP(A1724,airports!A:H,8,FALSE)</f>
        <v>-96.851772220000001</v>
      </c>
      <c r="F1724" s="3">
        <f>VLOOKUP(B1724,airports!A:H,7,FALSE)</f>
        <v>26.228506110000001</v>
      </c>
      <c r="G1724" s="3">
        <f>VLOOKUP(B1724,airports!A:H,8,FALSE)</f>
        <v>-97.654393889999994</v>
      </c>
      <c r="H1724">
        <f t="shared" si="52"/>
        <v>740</v>
      </c>
      <c r="I1724">
        <f t="shared" si="53"/>
        <v>459.9</v>
      </c>
    </row>
    <row r="1725" spans="1:9" x14ac:dyDescent="0.25">
      <c r="A1725" s="5" t="s">
        <v>201</v>
      </c>
      <c r="B1725" s="5" t="s">
        <v>67</v>
      </c>
      <c r="C1725" s="5" t="s">
        <v>2114</v>
      </c>
      <c r="D1725" s="3">
        <f>VLOOKUP(A1725,airports!A:H,7,FALSE)</f>
        <v>32.847113890000003</v>
      </c>
      <c r="E1725" s="3">
        <f>VLOOKUP(A1725,airports!A:H,8,FALSE)</f>
        <v>-96.851772220000001</v>
      </c>
      <c r="F1725" s="3">
        <f>VLOOKUP(B1725,airports!A:H,7,FALSE)</f>
        <v>29.980472219999999</v>
      </c>
      <c r="G1725" s="3">
        <f>VLOOKUP(B1725,airports!A:H,8,FALSE)</f>
        <v>-95.339722219999999</v>
      </c>
      <c r="H1725">
        <f t="shared" si="52"/>
        <v>349.5</v>
      </c>
      <c r="I1725">
        <f t="shared" si="53"/>
        <v>217.2</v>
      </c>
    </row>
    <row r="1726" spans="1:9" ht="30" x14ac:dyDescent="0.25">
      <c r="A1726" s="5" t="s">
        <v>201</v>
      </c>
      <c r="B1726" s="5" t="s">
        <v>537</v>
      </c>
      <c r="C1726" s="5" t="s">
        <v>2115</v>
      </c>
      <c r="D1726" s="3">
        <f>VLOOKUP(A1726,airports!A:H,7,FALSE)</f>
        <v>32.847113890000003</v>
      </c>
      <c r="E1726" s="3">
        <f>VLOOKUP(A1726,airports!A:H,8,FALSE)</f>
        <v>-96.851772220000001</v>
      </c>
      <c r="F1726" s="3">
        <f>VLOOKUP(B1726,airports!A:H,7,FALSE)</f>
        <v>39.717329169999999</v>
      </c>
      <c r="G1726" s="3">
        <f>VLOOKUP(B1726,airports!A:H,8,FALSE)</f>
        <v>-86.294384170000001</v>
      </c>
      <c r="H1726">
        <f t="shared" si="52"/>
        <v>1214.7</v>
      </c>
      <c r="I1726">
        <f t="shared" si="53"/>
        <v>754.8</v>
      </c>
    </row>
    <row r="1727" spans="1:9" x14ac:dyDescent="0.25">
      <c r="A1727" s="5" t="s">
        <v>201</v>
      </c>
      <c r="B1727" s="5" t="s">
        <v>68</v>
      </c>
      <c r="C1727" s="5" t="s">
        <v>2116</v>
      </c>
      <c r="D1727" s="3">
        <f>VLOOKUP(A1727,airports!A:H,7,FALSE)</f>
        <v>32.847113890000003</v>
      </c>
      <c r="E1727" s="3">
        <f>VLOOKUP(A1727,airports!A:H,8,FALSE)</f>
        <v>-96.851772220000001</v>
      </c>
      <c r="F1727" s="3">
        <f>VLOOKUP(B1727,airports!A:H,7,FALSE)</f>
        <v>30.49405556</v>
      </c>
      <c r="G1727" s="3">
        <f>VLOOKUP(B1727,airports!A:H,8,FALSE)</f>
        <v>-81.68786111</v>
      </c>
      <c r="H1727">
        <f t="shared" si="52"/>
        <v>1457.4</v>
      </c>
      <c r="I1727">
        <f t="shared" si="53"/>
        <v>905.6</v>
      </c>
    </row>
    <row r="1728" spans="1:9" x14ac:dyDescent="0.25">
      <c r="A1728" s="5" t="s">
        <v>201</v>
      </c>
      <c r="B1728" s="5" t="s">
        <v>71</v>
      </c>
      <c r="C1728" s="5" t="s">
        <v>2117</v>
      </c>
      <c r="D1728" s="3">
        <f>VLOOKUP(A1728,airports!A:H,7,FALSE)</f>
        <v>32.847113890000003</v>
      </c>
      <c r="E1728" s="3">
        <f>VLOOKUP(A1728,airports!A:H,8,FALSE)</f>
        <v>-96.851772220000001</v>
      </c>
      <c r="F1728" s="3">
        <f>VLOOKUP(B1728,airports!A:H,7,FALSE)</f>
        <v>36.080361109999998</v>
      </c>
      <c r="G1728" s="3">
        <f>VLOOKUP(B1728,airports!A:H,8,FALSE)</f>
        <v>-115.1523333</v>
      </c>
      <c r="H1728">
        <f t="shared" si="52"/>
        <v>1713.1</v>
      </c>
      <c r="I1728">
        <f t="shared" si="53"/>
        <v>1064.5</v>
      </c>
    </row>
    <row r="1729" spans="1:9" ht="30" x14ac:dyDescent="0.25">
      <c r="A1729" s="5" t="s">
        <v>201</v>
      </c>
      <c r="B1729" s="5" t="s">
        <v>73</v>
      </c>
      <c r="C1729" s="5" t="s">
        <v>2118</v>
      </c>
      <c r="D1729" s="3">
        <f>VLOOKUP(A1729,airports!A:H,7,FALSE)</f>
        <v>32.847113890000003</v>
      </c>
      <c r="E1729" s="3">
        <f>VLOOKUP(A1729,airports!A:H,8,FALSE)</f>
        <v>-96.851772220000001</v>
      </c>
      <c r="F1729" s="3">
        <f>VLOOKUP(B1729,airports!A:H,7,FALSE)</f>
        <v>33.942536109999999</v>
      </c>
      <c r="G1729" s="3">
        <f>VLOOKUP(B1729,airports!A:H,8,FALSE)</f>
        <v>-118.4080744</v>
      </c>
      <c r="H1729">
        <f t="shared" si="52"/>
        <v>2001.2</v>
      </c>
      <c r="I1729">
        <f t="shared" si="53"/>
        <v>1243.5999999999999</v>
      </c>
    </row>
    <row r="1730" spans="1:9" x14ac:dyDescent="0.25">
      <c r="A1730" s="5" t="s">
        <v>201</v>
      </c>
      <c r="B1730" s="5" t="s">
        <v>738</v>
      </c>
      <c r="C1730" s="5" t="s">
        <v>2119</v>
      </c>
      <c r="D1730" s="3">
        <f>VLOOKUP(A1730,airports!A:H,7,FALSE)</f>
        <v>32.847113890000003</v>
      </c>
      <c r="E1730" s="3">
        <f>VLOOKUP(A1730,airports!A:H,8,FALSE)</f>
        <v>-96.851772220000001</v>
      </c>
      <c r="F1730" s="3">
        <f>VLOOKUP(B1730,airports!A:H,7,FALSE)</f>
        <v>33.663638890000001</v>
      </c>
      <c r="G1730" s="3">
        <f>VLOOKUP(B1730,airports!A:H,8,FALSE)</f>
        <v>-101.8227778</v>
      </c>
      <c r="H1730">
        <f t="shared" si="52"/>
        <v>471</v>
      </c>
      <c r="I1730">
        <f t="shared" si="53"/>
        <v>292.7</v>
      </c>
    </row>
    <row r="1731" spans="1:9" ht="30" x14ac:dyDescent="0.25">
      <c r="A1731" s="5" t="s">
        <v>201</v>
      </c>
      <c r="B1731" s="5" t="s">
        <v>74</v>
      </c>
      <c r="C1731" s="5" t="s">
        <v>2120</v>
      </c>
      <c r="D1731" s="3">
        <f>VLOOKUP(A1731,airports!A:H,7,FALSE)</f>
        <v>32.847113890000003</v>
      </c>
      <c r="E1731" s="3">
        <f>VLOOKUP(A1731,airports!A:H,8,FALSE)</f>
        <v>-96.851772220000001</v>
      </c>
      <c r="F1731" s="3">
        <f>VLOOKUP(B1731,airports!A:H,7,FALSE)</f>
        <v>40.777243060000004</v>
      </c>
      <c r="G1731" s="3">
        <f>VLOOKUP(B1731,airports!A:H,8,FALSE)</f>
        <v>-73.872609170000004</v>
      </c>
      <c r="H1731">
        <f t="shared" si="52"/>
        <v>2219</v>
      </c>
      <c r="I1731">
        <f t="shared" si="53"/>
        <v>1378.9</v>
      </c>
    </row>
    <row r="1732" spans="1:9" ht="30" x14ac:dyDescent="0.25">
      <c r="A1732" s="5" t="s">
        <v>201</v>
      </c>
      <c r="B1732" s="5" t="s">
        <v>742</v>
      </c>
      <c r="C1732" s="5" t="s">
        <v>2121</v>
      </c>
      <c r="D1732" s="3">
        <f>VLOOKUP(A1732,airports!A:H,7,FALSE)</f>
        <v>32.847113890000003</v>
      </c>
      <c r="E1732" s="3">
        <f>VLOOKUP(A1732,airports!A:H,8,FALSE)</f>
        <v>-96.851772220000001</v>
      </c>
      <c r="F1732" s="3">
        <f>VLOOKUP(B1732,airports!A:H,7,FALSE)</f>
        <v>33.81772222</v>
      </c>
      <c r="G1732" s="3">
        <f>VLOOKUP(B1732,airports!A:H,8,FALSE)</f>
        <v>-118.1516111</v>
      </c>
      <c r="H1732">
        <f t="shared" ref="H1732:H1795" si="54">ROUND(ACOS(COS(RADIANS(90-D1732)) * COS(RADIANS(90-F1732)) + SIN(RADIANS(90-D1732)) * SIN(RADIANS(90-F1732)) * COS(RADIANS(E1732-G1732))) * 6371,1)</f>
        <v>1978.2</v>
      </c>
      <c r="I1732">
        <f t="shared" ref="I1732:I1795" si="55">ROUND(ACOS(COS(RADIANS(90-D1732)) * COS(RADIANS(90-F1732)) + SIN(RADIANS(90-D1732)) * SIN(RADIANS(90-F1732)) * COS(RADIANS(E1732-G1732))) * 3959,1)</f>
        <v>1229.3</v>
      </c>
    </row>
    <row r="1733" spans="1:9" x14ac:dyDescent="0.25">
      <c r="A1733" s="5" t="s">
        <v>201</v>
      </c>
      <c r="B1733" s="5" t="s">
        <v>554</v>
      </c>
      <c r="C1733" s="5" t="s">
        <v>2122</v>
      </c>
      <c r="D1733" s="3">
        <f>VLOOKUP(A1733,airports!A:H,7,FALSE)</f>
        <v>32.847113890000003</v>
      </c>
      <c r="E1733" s="3">
        <f>VLOOKUP(A1733,airports!A:H,8,FALSE)</f>
        <v>-96.851772220000001</v>
      </c>
      <c r="F1733" s="3">
        <f>VLOOKUP(B1733,airports!A:H,7,FALSE)</f>
        <v>34.729396110000003</v>
      </c>
      <c r="G1733" s="3">
        <f>VLOOKUP(B1733,airports!A:H,8,FALSE)</f>
        <v>-92.22424556</v>
      </c>
      <c r="H1733">
        <f t="shared" si="54"/>
        <v>476</v>
      </c>
      <c r="I1733">
        <f t="shared" si="55"/>
        <v>295.8</v>
      </c>
    </row>
    <row r="1734" spans="1:9" ht="30" x14ac:dyDescent="0.25">
      <c r="A1734" s="5" t="s">
        <v>201</v>
      </c>
      <c r="B1734" s="5" t="s">
        <v>744</v>
      </c>
      <c r="C1734" s="5" t="s">
        <v>2123</v>
      </c>
      <c r="D1734" s="3">
        <f>VLOOKUP(A1734,airports!A:H,7,FALSE)</f>
        <v>32.847113890000003</v>
      </c>
      <c r="E1734" s="3">
        <f>VLOOKUP(A1734,airports!A:H,8,FALSE)</f>
        <v>-96.851772220000001</v>
      </c>
      <c r="F1734" s="3">
        <f>VLOOKUP(B1734,airports!A:H,7,FALSE)</f>
        <v>31.942527779999999</v>
      </c>
      <c r="G1734" s="3">
        <f>VLOOKUP(B1734,airports!A:H,8,FALSE)</f>
        <v>-102.20191389999999</v>
      </c>
      <c r="H1734">
        <f t="shared" si="54"/>
        <v>512.20000000000005</v>
      </c>
      <c r="I1734">
        <f t="shared" si="55"/>
        <v>318.3</v>
      </c>
    </row>
    <row r="1735" spans="1:9" ht="30" x14ac:dyDescent="0.25">
      <c r="A1735" s="5" t="s">
        <v>201</v>
      </c>
      <c r="B1735" s="5" t="s">
        <v>80</v>
      </c>
      <c r="C1735" s="5" t="s">
        <v>2124</v>
      </c>
      <c r="D1735" s="3">
        <f>VLOOKUP(A1735,airports!A:H,7,FALSE)</f>
        <v>32.847113890000003</v>
      </c>
      <c r="E1735" s="3">
        <f>VLOOKUP(A1735,airports!A:H,8,FALSE)</f>
        <v>-96.851772220000001</v>
      </c>
      <c r="F1735" s="3">
        <f>VLOOKUP(B1735,airports!A:H,7,FALSE)</f>
        <v>39.297605279999999</v>
      </c>
      <c r="G1735" s="3">
        <f>VLOOKUP(B1735,airports!A:H,8,FALSE)</f>
        <v>-94.713905560000001</v>
      </c>
      <c r="H1735">
        <f t="shared" si="54"/>
        <v>742.5</v>
      </c>
      <c r="I1735">
        <f t="shared" si="55"/>
        <v>461.4</v>
      </c>
    </row>
    <row r="1736" spans="1:9" ht="30" x14ac:dyDescent="0.25">
      <c r="A1736" s="5" t="s">
        <v>201</v>
      </c>
      <c r="B1736" s="5" t="s">
        <v>82</v>
      </c>
      <c r="C1736" s="5" t="s">
        <v>2125</v>
      </c>
      <c r="D1736" s="3">
        <f>VLOOKUP(A1736,airports!A:H,7,FALSE)</f>
        <v>32.847113890000003</v>
      </c>
      <c r="E1736" s="3">
        <f>VLOOKUP(A1736,airports!A:H,8,FALSE)</f>
        <v>-96.851772220000001</v>
      </c>
      <c r="F1736" s="3">
        <f>VLOOKUP(B1736,airports!A:H,7,FALSE)</f>
        <v>28.42888889</v>
      </c>
      <c r="G1736" s="3">
        <f>VLOOKUP(B1736,airports!A:H,8,FALSE)</f>
        <v>-81.316027779999999</v>
      </c>
      <c r="H1736">
        <f t="shared" si="54"/>
        <v>1563.6</v>
      </c>
      <c r="I1736">
        <f t="shared" si="55"/>
        <v>971.6</v>
      </c>
    </row>
    <row r="1737" spans="1:9" ht="30" x14ac:dyDescent="0.25">
      <c r="A1737" s="5" t="s">
        <v>201</v>
      </c>
      <c r="B1737" s="5" t="s">
        <v>180</v>
      </c>
      <c r="C1737" s="5" t="s">
        <v>2126</v>
      </c>
      <c r="D1737" s="3">
        <f>VLOOKUP(A1737,airports!A:H,7,FALSE)</f>
        <v>32.847113890000003</v>
      </c>
      <c r="E1737" s="3">
        <f>VLOOKUP(A1737,airports!A:H,8,FALSE)</f>
        <v>-96.851772220000001</v>
      </c>
      <c r="F1737" s="3">
        <f>VLOOKUP(B1737,airports!A:H,7,FALSE)</f>
        <v>41.785982500000003</v>
      </c>
      <c r="G1737" s="3">
        <f>VLOOKUP(B1737,airports!A:H,8,FALSE)</f>
        <v>-87.752424439999999</v>
      </c>
      <c r="H1737">
        <f t="shared" si="54"/>
        <v>1277.2</v>
      </c>
      <c r="I1737">
        <f t="shared" si="55"/>
        <v>793.7</v>
      </c>
    </row>
    <row r="1738" spans="1:9" ht="30" x14ac:dyDescent="0.25">
      <c r="A1738" s="5" t="s">
        <v>201</v>
      </c>
      <c r="B1738" s="5" t="s">
        <v>563</v>
      </c>
      <c r="C1738" s="5" t="s">
        <v>2127</v>
      </c>
      <c r="D1738" s="3">
        <f>VLOOKUP(A1738,airports!A:H,7,FALSE)</f>
        <v>32.847113890000003</v>
      </c>
      <c r="E1738" s="3">
        <f>VLOOKUP(A1738,airports!A:H,8,FALSE)</f>
        <v>-96.851772220000001</v>
      </c>
      <c r="F1738" s="3">
        <f>VLOOKUP(B1738,airports!A:H,7,FALSE)</f>
        <v>35.042416670000001</v>
      </c>
      <c r="G1738" s="3">
        <f>VLOOKUP(B1738,airports!A:H,8,FALSE)</f>
        <v>-89.97666667</v>
      </c>
      <c r="H1738">
        <f t="shared" si="54"/>
        <v>679.4</v>
      </c>
      <c r="I1738">
        <f t="shared" si="55"/>
        <v>422.2</v>
      </c>
    </row>
    <row r="1739" spans="1:9" ht="30" x14ac:dyDescent="0.25">
      <c r="A1739" s="5" t="s">
        <v>201</v>
      </c>
      <c r="B1739" s="5" t="s">
        <v>84</v>
      </c>
      <c r="C1739" s="5" t="s">
        <v>2128</v>
      </c>
      <c r="D1739" s="3">
        <f>VLOOKUP(A1739,airports!A:H,7,FALSE)</f>
        <v>32.847113890000003</v>
      </c>
      <c r="E1739" s="3">
        <f>VLOOKUP(A1739,airports!A:H,8,FALSE)</f>
        <v>-96.851772220000001</v>
      </c>
      <c r="F1739" s="3">
        <f>VLOOKUP(B1739,airports!A:H,7,FALSE)</f>
        <v>25.79325</v>
      </c>
      <c r="G1739" s="3">
        <f>VLOOKUP(B1739,airports!A:H,8,FALSE)</f>
        <v>-80.290555560000001</v>
      </c>
      <c r="H1739">
        <f t="shared" si="54"/>
        <v>1784</v>
      </c>
      <c r="I1739">
        <f t="shared" si="55"/>
        <v>1108.5999999999999</v>
      </c>
    </row>
    <row r="1740" spans="1:9" ht="30" x14ac:dyDescent="0.25">
      <c r="A1740" s="5" t="s">
        <v>201</v>
      </c>
      <c r="B1740" s="5" t="s">
        <v>85</v>
      </c>
      <c r="C1740" s="5" t="s">
        <v>2129</v>
      </c>
      <c r="D1740" s="3">
        <f>VLOOKUP(A1740,airports!A:H,7,FALSE)</f>
        <v>32.847113890000003</v>
      </c>
      <c r="E1740" s="3">
        <f>VLOOKUP(A1740,airports!A:H,8,FALSE)</f>
        <v>-96.851772220000001</v>
      </c>
      <c r="F1740" s="3">
        <f>VLOOKUP(B1740,airports!A:H,7,FALSE)</f>
        <v>42.94722222</v>
      </c>
      <c r="G1740" s="3">
        <f>VLOOKUP(B1740,airports!A:H,8,FALSE)</f>
        <v>-87.896583329999999</v>
      </c>
      <c r="H1740">
        <f t="shared" si="54"/>
        <v>1368.9</v>
      </c>
      <c r="I1740">
        <f t="shared" si="55"/>
        <v>850.6</v>
      </c>
    </row>
    <row r="1741" spans="1:9" ht="30" x14ac:dyDescent="0.25">
      <c r="A1741" s="5" t="s">
        <v>201</v>
      </c>
      <c r="B1741" s="5" t="s">
        <v>87</v>
      </c>
      <c r="C1741" s="5" t="s">
        <v>2130</v>
      </c>
      <c r="D1741" s="3">
        <f>VLOOKUP(A1741,airports!A:H,7,FALSE)</f>
        <v>32.847113890000003</v>
      </c>
      <c r="E1741" s="3">
        <f>VLOOKUP(A1741,airports!A:H,8,FALSE)</f>
        <v>-96.851772220000001</v>
      </c>
      <c r="F1741" s="3">
        <f>VLOOKUP(B1741,airports!A:H,7,FALSE)</f>
        <v>44.880546940000002</v>
      </c>
      <c r="G1741" s="3">
        <f>VLOOKUP(B1741,airports!A:H,8,FALSE)</f>
        <v>-93.216922499999995</v>
      </c>
      <c r="H1741">
        <f t="shared" si="54"/>
        <v>1374.2</v>
      </c>
      <c r="I1741">
        <f t="shared" si="55"/>
        <v>853.9</v>
      </c>
    </row>
    <row r="1742" spans="1:9" ht="30" x14ac:dyDescent="0.25">
      <c r="A1742" s="5" t="s">
        <v>201</v>
      </c>
      <c r="B1742" s="5" t="s">
        <v>89</v>
      </c>
      <c r="C1742" s="5" t="s">
        <v>2131</v>
      </c>
      <c r="D1742" s="3">
        <f>VLOOKUP(A1742,airports!A:H,7,FALSE)</f>
        <v>32.847113890000003</v>
      </c>
      <c r="E1742" s="3">
        <f>VLOOKUP(A1742,airports!A:H,8,FALSE)</f>
        <v>-96.851772220000001</v>
      </c>
      <c r="F1742" s="3">
        <f>VLOOKUP(B1742,airports!A:H,7,FALSE)</f>
        <v>29.993388889999999</v>
      </c>
      <c r="G1742" s="3">
        <f>VLOOKUP(B1742,airports!A:H,8,FALSE)</f>
        <v>-90.258027780000006</v>
      </c>
      <c r="H1742">
        <f t="shared" si="54"/>
        <v>701.3</v>
      </c>
      <c r="I1742">
        <f t="shared" si="55"/>
        <v>435.8</v>
      </c>
    </row>
    <row r="1743" spans="1:9" ht="30" x14ac:dyDescent="0.25">
      <c r="A1743" s="5" t="s">
        <v>201</v>
      </c>
      <c r="B1743" s="5" t="s">
        <v>91</v>
      </c>
      <c r="C1743" s="5" t="s">
        <v>2132</v>
      </c>
      <c r="D1743" s="3">
        <f>VLOOKUP(A1743,airports!A:H,7,FALSE)</f>
        <v>32.847113890000003</v>
      </c>
      <c r="E1743" s="3">
        <f>VLOOKUP(A1743,airports!A:H,8,FALSE)</f>
        <v>-96.851772220000001</v>
      </c>
      <c r="F1743" s="3">
        <f>VLOOKUP(B1743,airports!A:H,7,FALSE)</f>
        <v>38.508867219999999</v>
      </c>
      <c r="G1743" s="3">
        <f>VLOOKUP(B1743,airports!A:H,8,FALSE)</f>
        <v>-107.8938333</v>
      </c>
      <c r="H1743">
        <f t="shared" si="54"/>
        <v>1178.0999999999999</v>
      </c>
      <c r="I1743">
        <f t="shared" si="55"/>
        <v>732.1</v>
      </c>
    </row>
    <row r="1744" spans="1:9" ht="30" x14ac:dyDescent="0.25">
      <c r="A1744" s="5" t="s">
        <v>201</v>
      </c>
      <c r="B1744" s="5" t="s">
        <v>182</v>
      </c>
      <c r="C1744" s="5" t="s">
        <v>2133</v>
      </c>
      <c r="D1744" s="3">
        <f>VLOOKUP(A1744,airports!A:H,7,FALSE)</f>
        <v>32.847113890000003</v>
      </c>
      <c r="E1744" s="3">
        <f>VLOOKUP(A1744,airports!A:H,8,FALSE)</f>
        <v>-96.851772220000001</v>
      </c>
      <c r="F1744" s="3">
        <f>VLOOKUP(B1744,airports!A:H,7,FALSE)</f>
        <v>33.679749999999999</v>
      </c>
      <c r="G1744" s="3">
        <f>VLOOKUP(B1744,airports!A:H,8,FALSE)</f>
        <v>-78.928333330000001</v>
      </c>
      <c r="H1744">
        <f t="shared" si="54"/>
        <v>1666.9</v>
      </c>
      <c r="I1744">
        <f t="shared" si="55"/>
        <v>1035.9000000000001</v>
      </c>
    </row>
    <row r="1745" spans="1:9" ht="30" x14ac:dyDescent="0.25">
      <c r="A1745" s="5" t="s">
        <v>201</v>
      </c>
      <c r="B1745" s="5" t="s">
        <v>215</v>
      </c>
      <c r="C1745" s="5" t="s">
        <v>2134</v>
      </c>
      <c r="D1745" s="3">
        <f>VLOOKUP(A1745,airports!A:H,7,FALSE)</f>
        <v>32.847113890000003</v>
      </c>
      <c r="E1745" s="3">
        <f>VLOOKUP(A1745,airports!A:H,8,FALSE)</f>
        <v>-96.851772220000001</v>
      </c>
      <c r="F1745" s="3">
        <f>VLOOKUP(B1745,airports!A:H,7,FALSE)</f>
        <v>37.721290830000001</v>
      </c>
      <c r="G1745" s="3">
        <f>VLOOKUP(B1745,airports!A:H,8,FALSE)</f>
        <v>-122.2207167</v>
      </c>
      <c r="H1745">
        <f t="shared" si="54"/>
        <v>2357.6999999999998</v>
      </c>
      <c r="I1745">
        <f t="shared" si="55"/>
        <v>1465.1</v>
      </c>
    </row>
    <row r="1746" spans="1:9" ht="30" x14ac:dyDescent="0.25">
      <c r="A1746" s="5" t="s">
        <v>201</v>
      </c>
      <c r="B1746" s="5" t="s">
        <v>590</v>
      </c>
      <c r="C1746" s="5" t="s">
        <v>2135</v>
      </c>
      <c r="D1746" s="3">
        <f>VLOOKUP(A1746,airports!A:H,7,FALSE)</f>
        <v>32.847113890000003</v>
      </c>
      <c r="E1746" s="3">
        <f>VLOOKUP(A1746,airports!A:H,8,FALSE)</f>
        <v>-96.851772220000001</v>
      </c>
      <c r="F1746" s="3">
        <f>VLOOKUP(B1746,airports!A:H,7,FALSE)</f>
        <v>35.393088329999998</v>
      </c>
      <c r="G1746" s="3">
        <f>VLOOKUP(B1746,airports!A:H,8,FALSE)</f>
        <v>-97.600733890000001</v>
      </c>
      <c r="H1746">
        <f t="shared" si="54"/>
        <v>291.39999999999998</v>
      </c>
      <c r="I1746">
        <f t="shared" si="55"/>
        <v>181.1</v>
      </c>
    </row>
    <row r="1747" spans="1:9" ht="30" x14ac:dyDescent="0.25">
      <c r="A1747" s="5" t="s">
        <v>201</v>
      </c>
      <c r="B1747" s="5" t="s">
        <v>592</v>
      </c>
      <c r="C1747" s="5" t="s">
        <v>2136</v>
      </c>
      <c r="D1747" s="3">
        <f>VLOOKUP(A1747,airports!A:H,7,FALSE)</f>
        <v>32.847113890000003</v>
      </c>
      <c r="E1747" s="3">
        <f>VLOOKUP(A1747,airports!A:H,8,FALSE)</f>
        <v>-96.851772220000001</v>
      </c>
      <c r="F1747" s="3">
        <f>VLOOKUP(B1747,airports!A:H,7,FALSE)</f>
        <v>41.30251861</v>
      </c>
      <c r="G1747" s="3">
        <f>VLOOKUP(B1747,airports!A:H,8,FALSE)</f>
        <v>-95.89417306</v>
      </c>
      <c r="H1747">
        <f t="shared" si="54"/>
        <v>944</v>
      </c>
      <c r="I1747">
        <f t="shared" si="55"/>
        <v>586.6</v>
      </c>
    </row>
    <row r="1748" spans="1:9" ht="30" x14ac:dyDescent="0.25">
      <c r="A1748" s="5" t="s">
        <v>201</v>
      </c>
      <c r="B1748" s="5" t="s">
        <v>94</v>
      </c>
      <c r="C1748" s="5" t="s">
        <v>2137</v>
      </c>
      <c r="D1748" s="3">
        <f>VLOOKUP(A1748,airports!A:H,7,FALSE)</f>
        <v>32.847113890000003</v>
      </c>
      <c r="E1748" s="3">
        <f>VLOOKUP(A1748,airports!A:H,8,FALSE)</f>
        <v>-96.851772220000001</v>
      </c>
      <c r="F1748" s="3">
        <f>VLOOKUP(B1748,airports!A:H,7,FALSE)</f>
        <v>34.055999999999997</v>
      </c>
      <c r="G1748" s="3">
        <f>VLOOKUP(B1748,airports!A:H,8,FALSE)</f>
        <v>-117.6011944</v>
      </c>
      <c r="H1748">
        <f t="shared" si="54"/>
        <v>1926.4</v>
      </c>
      <c r="I1748">
        <f t="shared" si="55"/>
        <v>1197.0999999999999</v>
      </c>
    </row>
    <row r="1749" spans="1:9" ht="30" x14ac:dyDescent="0.25">
      <c r="A1749" s="5" t="s">
        <v>201</v>
      </c>
      <c r="B1749" s="5" t="s">
        <v>95</v>
      </c>
      <c r="C1749" s="5" t="s">
        <v>2138</v>
      </c>
      <c r="D1749" s="3">
        <f>VLOOKUP(A1749,airports!A:H,7,FALSE)</f>
        <v>32.847113890000003</v>
      </c>
      <c r="E1749" s="3">
        <f>VLOOKUP(A1749,airports!A:H,8,FALSE)</f>
        <v>-96.851772220000001</v>
      </c>
      <c r="F1749" s="3">
        <f>VLOOKUP(B1749,airports!A:H,7,FALSE)</f>
        <v>41.979595000000003</v>
      </c>
      <c r="G1749" s="3">
        <f>VLOOKUP(B1749,airports!A:H,8,FALSE)</f>
        <v>-87.904464169999997</v>
      </c>
      <c r="H1749">
        <f t="shared" si="54"/>
        <v>1285.0999999999999</v>
      </c>
      <c r="I1749">
        <f t="shared" si="55"/>
        <v>798.6</v>
      </c>
    </row>
    <row r="1750" spans="1:9" ht="30" x14ac:dyDescent="0.25">
      <c r="A1750" s="5" t="s">
        <v>201</v>
      </c>
      <c r="B1750" s="5" t="s">
        <v>596</v>
      </c>
      <c r="C1750" s="5" t="s">
        <v>2139</v>
      </c>
      <c r="D1750" s="3">
        <f>VLOOKUP(A1750,airports!A:H,7,FALSE)</f>
        <v>32.847113890000003</v>
      </c>
      <c r="E1750" s="3">
        <f>VLOOKUP(A1750,airports!A:H,8,FALSE)</f>
        <v>-96.851772220000001</v>
      </c>
      <c r="F1750" s="3">
        <f>VLOOKUP(B1750,airports!A:H,7,FALSE)</f>
        <v>36.89461111</v>
      </c>
      <c r="G1750" s="3">
        <f>VLOOKUP(B1750,airports!A:H,8,FALSE)</f>
        <v>-76.201222220000005</v>
      </c>
      <c r="H1750">
        <f t="shared" si="54"/>
        <v>1932.7</v>
      </c>
      <c r="I1750">
        <f t="shared" si="55"/>
        <v>1201</v>
      </c>
    </row>
    <row r="1751" spans="1:9" x14ac:dyDescent="0.25">
      <c r="A1751" s="5" t="s">
        <v>201</v>
      </c>
      <c r="B1751" s="5" t="s">
        <v>99</v>
      </c>
      <c r="C1751" s="5" t="s">
        <v>2140</v>
      </c>
      <c r="D1751" s="3">
        <f>VLOOKUP(A1751,airports!A:H,7,FALSE)</f>
        <v>32.847113890000003</v>
      </c>
      <c r="E1751" s="3">
        <f>VLOOKUP(A1751,airports!A:H,8,FALSE)</f>
        <v>-96.851772220000001</v>
      </c>
      <c r="F1751" s="3">
        <f>VLOOKUP(B1751,airports!A:H,7,FALSE)</f>
        <v>26.683161940000002</v>
      </c>
      <c r="G1751" s="3">
        <f>VLOOKUP(B1751,airports!A:H,8,FALSE)</f>
        <v>-80.095594169999998</v>
      </c>
      <c r="H1751">
        <f t="shared" si="54"/>
        <v>1753.9</v>
      </c>
      <c r="I1751">
        <f t="shared" si="55"/>
        <v>1089.9000000000001</v>
      </c>
    </row>
    <row r="1752" spans="1:9" ht="30" x14ac:dyDescent="0.25">
      <c r="A1752" s="5" t="s">
        <v>201</v>
      </c>
      <c r="B1752" s="5" t="s">
        <v>100</v>
      </c>
      <c r="C1752" s="5" t="s">
        <v>2141</v>
      </c>
      <c r="D1752" s="3">
        <f>VLOOKUP(A1752,airports!A:H,7,FALSE)</f>
        <v>32.847113890000003</v>
      </c>
      <c r="E1752" s="3">
        <f>VLOOKUP(A1752,airports!A:H,8,FALSE)</f>
        <v>-96.851772220000001</v>
      </c>
      <c r="F1752" s="3">
        <f>VLOOKUP(B1752,airports!A:H,7,FALSE)</f>
        <v>45.588722220000001</v>
      </c>
      <c r="G1752" s="3">
        <f>VLOOKUP(B1752,airports!A:H,8,FALSE)</f>
        <v>-122.5975</v>
      </c>
      <c r="H1752">
        <f t="shared" si="54"/>
        <v>2613.8000000000002</v>
      </c>
      <c r="I1752">
        <f t="shared" si="55"/>
        <v>1624.3</v>
      </c>
    </row>
    <row r="1753" spans="1:9" ht="30" x14ac:dyDescent="0.25">
      <c r="A1753" s="5" t="s">
        <v>201</v>
      </c>
      <c r="B1753" s="5" t="s">
        <v>102</v>
      </c>
      <c r="C1753" s="5" t="s">
        <v>2142</v>
      </c>
      <c r="D1753" s="3">
        <f>VLOOKUP(A1753,airports!A:H,7,FALSE)</f>
        <v>32.847113890000003</v>
      </c>
      <c r="E1753" s="3">
        <f>VLOOKUP(A1753,airports!A:H,8,FALSE)</f>
        <v>-96.851772220000001</v>
      </c>
      <c r="F1753" s="3">
        <f>VLOOKUP(B1753,airports!A:H,7,FALSE)</f>
        <v>39.871952780000001</v>
      </c>
      <c r="G1753" s="3">
        <f>VLOOKUP(B1753,airports!A:H,8,FALSE)</f>
        <v>-75.241140830000006</v>
      </c>
      <c r="H1753">
        <f t="shared" si="54"/>
        <v>2080.1</v>
      </c>
      <c r="I1753">
        <f t="shared" si="55"/>
        <v>1292.5999999999999</v>
      </c>
    </row>
    <row r="1754" spans="1:9" ht="30" x14ac:dyDescent="0.25">
      <c r="A1754" s="5" t="s">
        <v>201</v>
      </c>
      <c r="B1754" s="5" t="s">
        <v>104</v>
      </c>
      <c r="C1754" s="5" t="s">
        <v>2143</v>
      </c>
      <c r="D1754" s="3">
        <f>VLOOKUP(A1754,airports!A:H,7,FALSE)</f>
        <v>32.847113890000003</v>
      </c>
      <c r="E1754" s="3">
        <f>VLOOKUP(A1754,airports!A:H,8,FALSE)</f>
        <v>-96.851772220000001</v>
      </c>
      <c r="F1754" s="3">
        <f>VLOOKUP(B1754,airports!A:H,7,FALSE)</f>
        <v>33.434166670000003</v>
      </c>
      <c r="G1754" s="3">
        <f>VLOOKUP(B1754,airports!A:H,8,FALSE)</f>
        <v>-112.00805560000001</v>
      </c>
      <c r="H1754">
        <f t="shared" si="54"/>
        <v>1411.4</v>
      </c>
      <c r="I1754">
        <f t="shared" si="55"/>
        <v>877.1</v>
      </c>
    </row>
    <row r="1755" spans="1:9" x14ac:dyDescent="0.25">
      <c r="A1755" s="5" t="s">
        <v>201</v>
      </c>
      <c r="B1755" s="5" t="s">
        <v>106</v>
      </c>
      <c r="C1755" s="5" t="s">
        <v>2144</v>
      </c>
      <c r="D1755" s="3">
        <f>VLOOKUP(A1755,airports!A:H,7,FALSE)</f>
        <v>32.847113890000003</v>
      </c>
      <c r="E1755" s="3">
        <f>VLOOKUP(A1755,airports!A:H,8,FALSE)</f>
        <v>-96.851772220000001</v>
      </c>
      <c r="F1755" s="3">
        <f>VLOOKUP(B1755,airports!A:H,7,FALSE)</f>
        <v>40.491465830000003</v>
      </c>
      <c r="G1755" s="3">
        <f>VLOOKUP(B1755,airports!A:H,8,FALSE)</f>
        <v>-80.232870829999996</v>
      </c>
      <c r="H1755">
        <f t="shared" si="54"/>
        <v>1704.5</v>
      </c>
      <c r="I1755">
        <f t="shared" si="55"/>
        <v>1059.2</v>
      </c>
    </row>
    <row r="1756" spans="1:9" ht="30" x14ac:dyDescent="0.25">
      <c r="A1756" s="5" t="s">
        <v>201</v>
      </c>
      <c r="B1756" s="5" t="s">
        <v>607</v>
      </c>
      <c r="C1756" s="5" t="s">
        <v>2145</v>
      </c>
      <c r="D1756" s="3">
        <f>VLOOKUP(A1756,airports!A:H,7,FALSE)</f>
        <v>32.847113890000003</v>
      </c>
      <c r="E1756" s="3">
        <f>VLOOKUP(A1756,airports!A:H,8,FALSE)</f>
        <v>-96.851772220000001</v>
      </c>
      <c r="F1756" s="3">
        <f>VLOOKUP(B1756,airports!A:H,7,FALSE)</f>
        <v>30.47330556</v>
      </c>
      <c r="G1756" s="3">
        <f>VLOOKUP(B1756,airports!A:H,8,FALSE)</f>
        <v>-87.187444439999993</v>
      </c>
      <c r="H1756">
        <f t="shared" si="54"/>
        <v>951.6</v>
      </c>
      <c r="I1756">
        <f t="shared" si="55"/>
        <v>591.29999999999995</v>
      </c>
    </row>
    <row r="1757" spans="1:9" ht="30" x14ac:dyDescent="0.25">
      <c r="A1757" s="5" t="s">
        <v>201</v>
      </c>
      <c r="B1757" s="5" t="s">
        <v>111</v>
      </c>
      <c r="C1757" s="5" t="s">
        <v>2146</v>
      </c>
      <c r="D1757" s="3">
        <f>VLOOKUP(A1757,airports!A:H,7,FALSE)</f>
        <v>32.847113890000003</v>
      </c>
      <c r="E1757" s="3">
        <f>VLOOKUP(A1757,airports!A:H,8,FALSE)</f>
        <v>-96.851772220000001</v>
      </c>
      <c r="F1757" s="3">
        <f>VLOOKUP(B1757,airports!A:H,7,FALSE)</f>
        <v>33.829215560000002</v>
      </c>
      <c r="G1757" s="3">
        <f>VLOOKUP(B1757,airports!A:H,8,FALSE)</f>
        <v>-116.5062531</v>
      </c>
      <c r="H1757">
        <f t="shared" si="54"/>
        <v>1826.3</v>
      </c>
      <c r="I1757">
        <f t="shared" si="55"/>
        <v>1134.9000000000001</v>
      </c>
    </row>
    <row r="1758" spans="1:9" ht="30" x14ac:dyDescent="0.25">
      <c r="A1758" s="5" t="s">
        <v>201</v>
      </c>
      <c r="B1758" s="5" t="s">
        <v>119</v>
      </c>
      <c r="C1758" s="5" t="s">
        <v>2147</v>
      </c>
      <c r="D1758" s="3">
        <f>VLOOKUP(A1758,airports!A:H,7,FALSE)</f>
        <v>32.847113890000003</v>
      </c>
      <c r="E1758" s="3">
        <f>VLOOKUP(A1758,airports!A:H,8,FALSE)</f>
        <v>-96.851772220000001</v>
      </c>
      <c r="F1758" s="3">
        <f>VLOOKUP(B1758,airports!A:H,7,FALSE)</f>
        <v>35.87763889</v>
      </c>
      <c r="G1758" s="3">
        <f>VLOOKUP(B1758,airports!A:H,8,FALSE)</f>
        <v>-78.787472219999998</v>
      </c>
      <c r="H1758">
        <f t="shared" si="54"/>
        <v>1689.4</v>
      </c>
      <c r="I1758">
        <f t="shared" si="55"/>
        <v>1049.8</v>
      </c>
    </row>
    <row r="1759" spans="1:9" ht="30" x14ac:dyDescent="0.25">
      <c r="A1759" s="5" t="s">
        <v>201</v>
      </c>
      <c r="B1759" s="5" t="s">
        <v>121</v>
      </c>
      <c r="C1759" s="5" t="s">
        <v>2148</v>
      </c>
      <c r="D1759" s="3">
        <f>VLOOKUP(A1759,airports!A:H,7,FALSE)</f>
        <v>32.847113890000003</v>
      </c>
      <c r="E1759" s="3">
        <f>VLOOKUP(A1759,airports!A:H,8,FALSE)</f>
        <v>-96.851772220000001</v>
      </c>
      <c r="F1759" s="3">
        <f>VLOOKUP(B1759,airports!A:H,7,FALSE)</f>
        <v>39.498576110000002</v>
      </c>
      <c r="G1759" s="3">
        <f>VLOOKUP(B1759,airports!A:H,8,FALSE)</f>
        <v>-119.7680647</v>
      </c>
      <c r="H1759">
        <f t="shared" si="54"/>
        <v>2178.5</v>
      </c>
      <c r="I1759">
        <f t="shared" si="55"/>
        <v>1353.8</v>
      </c>
    </row>
    <row r="1760" spans="1:9" ht="30" x14ac:dyDescent="0.25">
      <c r="A1760" s="5" t="s">
        <v>201</v>
      </c>
      <c r="B1760" s="5" t="s">
        <v>123</v>
      </c>
      <c r="C1760" s="5" t="s">
        <v>2149</v>
      </c>
      <c r="D1760" s="3">
        <f>VLOOKUP(A1760,airports!A:H,7,FALSE)</f>
        <v>32.847113890000003</v>
      </c>
      <c r="E1760" s="3">
        <f>VLOOKUP(A1760,airports!A:H,8,FALSE)</f>
        <v>-96.851772220000001</v>
      </c>
      <c r="F1760" s="3">
        <f>VLOOKUP(B1760,airports!A:H,7,FALSE)</f>
        <v>26.53616667</v>
      </c>
      <c r="G1760" s="3">
        <f>VLOOKUP(B1760,airports!A:H,8,FALSE)</f>
        <v>-81.755166669999994</v>
      </c>
      <c r="H1760">
        <f t="shared" si="54"/>
        <v>1616.1</v>
      </c>
      <c r="I1760">
        <f t="shared" si="55"/>
        <v>1004.2</v>
      </c>
    </row>
    <row r="1761" spans="1:9" ht="30" x14ac:dyDescent="0.25">
      <c r="A1761" s="5" t="s">
        <v>201</v>
      </c>
      <c r="B1761" s="5" t="s">
        <v>124</v>
      </c>
      <c r="C1761" s="5" t="s">
        <v>2150</v>
      </c>
      <c r="D1761" s="3">
        <f>VLOOKUP(A1761,airports!A:H,7,FALSE)</f>
        <v>32.847113890000003</v>
      </c>
      <c r="E1761" s="3">
        <f>VLOOKUP(A1761,airports!A:H,8,FALSE)</f>
        <v>-96.851772220000001</v>
      </c>
      <c r="F1761" s="3">
        <f>VLOOKUP(B1761,airports!A:H,7,FALSE)</f>
        <v>32.733556110000002</v>
      </c>
      <c r="G1761" s="3">
        <f>VLOOKUP(B1761,airports!A:H,8,FALSE)</f>
        <v>-117.1896567</v>
      </c>
      <c r="H1761">
        <f t="shared" si="54"/>
        <v>1898.2</v>
      </c>
      <c r="I1761">
        <f t="shared" si="55"/>
        <v>1179.5999999999999</v>
      </c>
    </row>
    <row r="1762" spans="1:9" ht="30" x14ac:dyDescent="0.25">
      <c r="A1762" s="5" t="s">
        <v>201</v>
      </c>
      <c r="B1762" s="5" t="s">
        <v>125</v>
      </c>
      <c r="C1762" s="5" t="s">
        <v>2151</v>
      </c>
      <c r="D1762" s="3">
        <f>VLOOKUP(A1762,airports!A:H,7,FALSE)</f>
        <v>32.847113890000003</v>
      </c>
      <c r="E1762" s="3">
        <f>VLOOKUP(A1762,airports!A:H,8,FALSE)</f>
        <v>-96.851772220000001</v>
      </c>
      <c r="F1762" s="3">
        <f>VLOOKUP(B1762,airports!A:H,7,FALSE)</f>
        <v>29.533694440000001</v>
      </c>
      <c r="G1762" s="3">
        <f>VLOOKUP(B1762,airports!A:H,8,FALSE)</f>
        <v>-98.469777780000001</v>
      </c>
      <c r="H1762">
        <f t="shared" si="54"/>
        <v>399.3</v>
      </c>
      <c r="I1762">
        <f t="shared" si="55"/>
        <v>248.1</v>
      </c>
    </row>
    <row r="1763" spans="1:9" ht="30" x14ac:dyDescent="0.25">
      <c r="A1763" s="5" t="s">
        <v>201</v>
      </c>
      <c r="B1763" s="5" t="s">
        <v>126</v>
      </c>
      <c r="C1763" s="5" t="s">
        <v>2152</v>
      </c>
      <c r="D1763" s="3">
        <f>VLOOKUP(A1763,airports!A:H,7,FALSE)</f>
        <v>32.847113890000003</v>
      </c>
      <c r="E1763" s="3">
        <f>VLOOKUP(A1763,airports!A:H,8,FALSE)</f>
        <v>-96.851772220000001</v>
      </c>
      <c r="F1763" s="3">
        <f>VLOOKUP(B1763,airports!A:H,7,FALSE)</f>
        <v>32.12758333</v>
      </c>
      <c r="G1763" s="3">
        <f>VLOOKUP(B1763,airports!A:H,8,FALSE)</f>
        <v>-81.202138890000001</v>
      </c>
      <c r="H1763">
        <f t="shared" si="54"/>
        <v>1468.7</v>
      </c>
      <c r="I1763">
        <f t="shared" si="55"/>
        <v>912.7</v>
      </c>
    </row>
    <row r="1764" spans="1:9" ht="30" x14ac:dyDescent="0.25">
      <c r="A1764" s="5" t="s">
        <v>201</v>
      </c>
      <c r="B1764" s="5" t="s">
        <v>630</v>
      </c>
      <c r="C1764" s="5" t="s">
        <v>2153</v>
      </c>
      <c r="D1764" s="3">
        <f>VLOOKUP(A1764,airports!A:H,7,FALSE)</f>
        <v>32.847113890000003</v>
      </c>
      <c r="E1764" s="3">
        <f>VLOOKUP(A1764,airports!A:H,8,FALSE)</f>
        <v>-96.851772220000001</v>
      </c>
      <c r="F1764" s="3">
        <f>VLOOKUP(B1764,airports!A:H,7,FALSE)</f>
        <v>38.174388890000003</v>
      </c>
      <c r="G1764" s="3">
        <f>VLOOKUP(B1764,airports!A:H,8,FALSE)</f>
        <v>-85.736000000000004</v>
      </c>
      <c r="H1764">
        <f t="shared" si="54"/>
        <v>1166.3</v>
      </c>
      <c r="I1764">
        <f t="shared" si="55"/>
        <v>724.8</v>
      </c>
    </row>
    <row r="1765" spans="1:9" ht="30" x14ac:dyDescent="0.25">
      <c r="A1765" s="5" t="s">
        <v>201</v>
      </c>
      <c r="B1765" s="5" t="s">
        <v>128</v>
      </c>
      <c r="C1765" s="5" t="s">
        <v>2154</v>
      </c>
      <c r="D1765" s="3">
        <f>VLOOKUP(A1765,airports!A:H,7,FALSE)</f>
        <v>32.847113890000003</v>
      </c>
      <c r="E1765" s="3">
        <f>VLOOKUP(A1765,airports!A:H,8,FALSE)</f>
        <v>-96.851772220000001</v>
      </c>
      <c r="F1765" s="3">
        <f>VLOOKUP(B1765,airports!A:H,7,FALSE)</f>
        <v>47.448981940000003</v>
      </c>
      <c r="G1765" s="3">
        <f>VLOOKUP(B1765,airports!A:H,8,FALSE)</f>
        <v>-122.3093131</v>
      </c>
      <c r="H1765">
        <f t="shared" si="54"/>
        <v>2684.4</v>
      </c>
      <c r="I1765">
        <f t="shared" si="55"/>
        <v>1668.1</v>
      </c>
    </row>
    <row r="1766" spans="1:9" ht="30" x14ac:dyDescent="0.25">
      <c r="A1766" s="5" t="s">
        <v>201</v>
      </c>
      <c r="B1766" s="5" t="s">
        <v>130</v>
      </c>
      <c r="C1766" s="5" t="s">
        <v>2155</v>
      </c>
      <c r="D1766" s="3">
        <f>VLOOKUP(A1766,airports!A:H,7,FALSE)</f>
        <v>32.847113890000003</v>
      </c>
      <c r="E1766" s="3">
        <f>VLOOKUP(A1766,airports!A:H,8,FALSE)</f>
        <v>-96.851772220000001</v>
      </c>
      <c r="F1766" s="3">
        <f>VLOOKUP(B1766,airports!A:H,7,FALSE)</f>
        <v>37.619001939999997</v>
      </c>
      <c r="G1766" s="3">
        <f>VLOOKUP(B1766,airports!A:H,8,FALSE)</f>
        <v>-122.37484329999999</v>
      </c>
      <c r="H1766">
        <f t="shared" si="54"/>
        <v>2370.1999999999998</v>
      </c>
      <c r="I1766">
        <f t="shared" si="55"/>
        <v>1472.8</v>
      </c>
    </row>
    <row r="1767" spans="1:9" x14ac:dyDescent="0.25">
      <c r="A1767" s="5" t="s">
        <v>201</v>
      </c>
      <c r="B1767" s="5" t="s">
        <v>131</v>
      </c>
      <c r="C1767" s="5" t="s">
        <v>2156</v>
      </c>
      <c r="D1767" s="3">
        <f>VLOOKUP(A1767,airports!A:H,7,FALSE)</f>
        <v>32.847113890000003</v>
      </c>
      <c r="E1767" s="3">
        <f>VLOOKUP(A1767,airports!A:H,8,FALSE)</f>
        <v>-96.851772220000001</v>
      </c>
      <c r="F1767" s="3">
        <f>VLOOKUP(B1767,airports!A:H,7,FALSE)</f>
        <v>37.361861939999997</v>
      </c>
      <c r="G1767" s="3">
        <f>VLOOKUP(B1767,airports!A:H,8,FALSE)</f>
        <v>-121.9290089</v>
      </c>
      <c r="H1767">
        <f t="shared" si="54"/>
        <v>2328.4</v>
      </c>
      <c r="I1767">
        <f t="shared" si="55"/>
        <v>1446.9</v>
      </c>
    </row>
    <row r="1768" spans="1:9" x14ac:dyDescent="0.25">
      <c r="A1768" s="5" t="s">
        <v>201</v>
      </c>
      <c r="B1768" s="5" t="s">
        <v>135</v>
      </c>
      <c r="C1768" s="5" t="s">
        <v>2157</v>
      </c>
      <c r="D1768" s="3">
        <f>VLOOKUP(A1768,airports!A:H,7,FALSE)</f>
        <v>32.847113890000003</v>
      </c>
      <c r="E1768" s="3">
        <f>VLOOKUP(A1768,airports!A:H,8,FALSE)</f>
        <v>-96.851772220000001</v>
      </c>
      <c r="F1768" s="3">
        <f>VLOOKUP(B1768,airports!A:H,7,FALSE)</f>
        <v>40.788387780000001</v>
      </c>
      <c r="G1768" s="3">
        <f>VLOOKUP(B1768,airports!A:H,8,FALSE)</f>
        <v>-111.97777309999999</v>
      </c>
      <c r="H1768">
        <f t="shared" si="54"/>
        <v>1606.6</v>
      </c>
      <c r="I1768">
        <f t="shared" si="55"/>
        <v>998.3</v>
      </c>
    </row>
    <row r="1769" spans="1:9" ht="30" x14ac:dyDescent="0.25">
      <c r="A1769" s="5" t="s">
        <v>201</v>
      </c>
      <c r="B1769" s="5" t="s">
        <v>137</v>
      </c>
      <c r="C1769" s="5" t="s">
        <v>2158</v>
      </c>
      <c r="D1769" s="3">
        <f>VLOOKUP(A1769,airports!A:H,7,FALSE)</f>
        <v>32.847113890000003</v>
      </c>
      <c r="E1769" s="3">
        <f>VLOOKUP(A1769,airports!A:H,8,FALSE)</f>
        <v>-96.851772220000001</v>
      </c>
      <c r="F1769" s="3">
        <f>VLOOKUP(B1769,airports!A:H,7,FALSE)</f>
        <v>38.695421670000002</v>
      </c>
      <c r="G1769" s="3">
        <f>VLOOKUP(B1769,airports!A:H,8,FALSE)</f>
        <v>-121.59076690000001</v>
      </c>
      <c r="H1769">
        <f t="shared" si="54"/>
        <v>2316.6</v>
      </c>
      <c r="I1769">
        <f t="shared" si="55"/>
        <v>1439.5</v>
      </c>
    </row>
    <row r="1770" spans="1:9" ht="30" x14ac:dyDescent="0.25">
      <c r="A1770" s="5" t="s">
        <v>201</v>
      </c>
      <c r="B1770" s="5" t="s">
        <v>227</v>
      </c>
      <c r="C1770" s="5" t="s">
        <v>2159</v>
      </c>
      <c r="D1770" s="3">
        <f>VLOOKUP(A1770,airports!A:H,7,FALSE)</f>
        <v>32.847113890000003</v>
      </c>
      <c r="E1770" s="3">
        <f>VLOOKUP(A1770,airports!A:H,8,FALSE)</f>
        <v>-96.851772220000001</v>
      </c>
      <c r="F1770" s="3">
        <f>VLOOKUP(B1770,airports!A:H,7,FALSE)</f>
        <v>33.675658609999999</v>
      </c>
      <c r="G1770" s="3">
        <f>VLOOKUP(B1770,airports!A:H,8,FALSE)</f>
        <v>-117.8682225</v>
      </c>
      <c r="H1770">
        <f t="shared" si="54"/>
        <v>1952.9</v>
      </c>
      <c r="I1770">
        <f t="shared" si="55"/>
        <v>1213.5</v>
      </c>
    </row>
    <row r="1771" spans="1:9" ht="30" x14ac:dyDescent="0.25">
      <c r="A1771" s="5" t="s">
        <v>201</v>
      </c>
      <c r="B1771" s="5" t="s">
        <v>138</v>
      </c>
      <c r="C1771" s="5" t="s">
        <v>2160</v>
      </c>
      <c r="D1771" s="3">
        <f>VLOOKUP(A1771,airports!A:H,7,FALSE)</f>
        <v>32.847113890000003</v>
      </c>
      <c r="E1771" s="3">
        <f>VLOOKUP(A1771,airports!A:H,8,FALSE)</f>
        <v>-96.851772220000001</v>
      </c>
      <c r="F1771" s="3">
        <f>VLOOKUP(B1771,airports!A:H,7,FALSE)</f>
        <v>27.39533333</v>
      </c>
      <c r="G1771" s="3">
        <f>VLOOKUP(B1771,airports!A:H,8,FALSE)</f>
        <v>-82.554111109999994</v>
      </c>
      <c r="H1771">
        <f t="shared" si="54"/>
        <v>1501.1</v>
      </c>
      <c r="I1771">
        <f t="shared" si="55"/>
        <v>932.8</v>
      </c>
    </row>
    <row r="1772" spans="1:9" x14ac:dyDescent="0.25">
      <c r="A1772" s="5" t="s">
        <v>201</v>
      </c>
      <c r="B1772" s="5" t="s">
        <v>644</v>
      </c>
      <c r="C1772" s="5" t="s">
        <v>2161</v>
      </c>
      <c r="D1772" s="3">
        <f>VLOOKUP(A1772,airports!A:H,7,FALSE)</f>
        <v>32.847113890000003</v>
      </c>
      <c r="E1772" s="3">
        <f>VLOOKUP(A1772,airports!A:H,8,FALSE)</f>
        <v>-96.851772220000001</v>
      </c>
      <c r="F1772" s="3">
        <f>VLOOKUP(B1772,airports!A:H,7,FALSE)</f>
        <v>38.747686940000001</v>
      </c>
      <c r="G1772" s="3">
        <f>VLOOKUP(B1772,airports!A:H,8,FALSE)</f>
        <v>-90.359989720000002</v>
      </c>
      <c r="H1772">
        <f t="shared" si="54"/>
        <v>878.9</v>
      </c>
      <c r="I1772">
        <f t="shared" si="55"/>
        <v>546.1</v>
      </c>
    </row>
    <row r="1773" spans="1:9" ht="30" x14ac:dyDescent="0.25">
      <c r="A1773" s="5" t="s">
        <v>201</v>
      </c>
      <c r="B1773" s="5" t="s">
        <v>145</v>
      </c>
      <c r="C1773" s="5" t="s">
        <v>2162</v>
      </c>
      <c r="D1773" s="3">
        <f>VLOOKUP(A1773,airports!A:H,7,FALSE)</f>
        <v>32.847113890000003</v>
      </c>
      <c r="E1773" s="3">
        <f>VLOOKUP(A1773,airports!A:H,8,FALSE)</f>
        <v>-96.851772220000001</v>
      </c>
      <c r="F1773" s="3">
        <f>VLOOKUP(B1773,airports!A:H,7,FALSE)</f>
        <v>27.97547222</v>
      </c>
      <c r="G1773" s="3">
        <f>VLOOKUP(B1773,airports!A:H,8,FALSE)</f>
        <v>-82.533249999999995</v>
      </c>
      <c r="H1773">
        <f t="shared" si="54"/>
        <v>1474.4</v>
      </c>
      <c r="I1773">
        <f t="shared" si="55"/>
        <v>916.2</v>
      </c>
    </row>
    <row r="1774" spans="1:9" x14ac:dyDescent="0.25">
      <c r="A1774" s="5" t="s">
        <v>201</v>
      </c>
      <c r="B1774" s="5" t="s">
        <v>658</v>
      </c>
      <c r="C1774" s="5" t="s">
        <v>2163</v>
      </c>
      <c r="D1774" s="3">
        <f>VLOOKUP(A1774,airports!A:H,7,FALSE)</f>
        <v>32.847113890000003</v>
      </c>
      <c r="E1774" s="3">
        <f>VLOOKUP(A1774,airports!A:H,8,FALSE)</f>
        <v>-96.851772220000001</v>
      </c>
      <c r="F1774" s="3">
        <f>VLOOKUP(B1774,airports!A:H,7,FALSE)</f>
        <v>36.198372220000003</v>
      </c>
      <c r="G1774" s="3">
        <f>VLOOKUP(B1774,airports!A:H,8,FALSE)</f>
        <v>-95.888241669999999</v>
      </c>
      <c r="H1774">
        <f t="shared" si="54"/>
        <v>382.9</v>
      </c>
      <c r="I1774">
        <f t="shared" si="55"/>
        <v>238</v>
      </c>
    </row>
    <row r="1775" spans="1:9" ht="30" x14ac:dyDescent="0.25">
      <c r="A1775" s="5" t="s">
        <v>201</v>
      </c>
      <c r="B1775" s="5" t="s">
        <v>660</v>
      </c>
      <c r="C1775" s="5" t="s">
        <v>2164</v>
      </c>
      <c r="D1775" s="3">
        <f>VLOOKUP(A1775,airports!A:H,7,FALSE)</f>
        <v>32.847113890000003</v>
      </c>
      <c r="E1775" s="3">
        <f>VLOOKUP(A1775,airports!A:H,8,FALSE)</f>
        <v>-96.851772220000001</v>
      </c>
      <c r="F1775" s="3">
        <f>VLOOKUP(B1775,airports!A:H,7,FALSE)</f>
        <v>32.116083330000002</v>
      </c>
      <c r="G1775" s="3">
        <f>VLOOKUP(B1775,airports!A:H,8,FALSE)</f>
        <v>-110.9410278</v>
      </c>
      <c r="H1775">
        <f t="shared" si="54"/>
        <v>1323.1</v>
      </c>
      <c r="I1775">
        <f t="shared" si="55"/>
        <v>822.2</v>
      </c>
    </row>
    <row r="1776" spans="1:9" ht="30" x14ac:dyDescent="0.25">
      <c r="A1776" s="5" t="s">
        <v>201</v>
      </c>
      <c r="B1776" s="5" t="s">
        <v>668</v>
      </c>
      <c r="C1776" s="5" t="s">
        <v>2165</v>
      </c>
      <c r="D1776" s="3">
        <f>VLOOKUP(A1776,airports!A:H,7,FALSE)</f>
        <v>32.847113890000003</v>
      </c>
      <c r="E1776" s="3">
        <f>VLOOKUP(A1776,airports!A:H,8,FALSE)</f>
        <v>-96.851772220000001</v>
      </c>
      <c r="F1776" s="3">
        <f>VLOOKUP(B1776,airports!A:H,7,FALSE)</f>
        <v>30.483250000000002</v>
      </c>
      <c r="G1776" s="3">
        <f>VLOOKUP(B1776,airports!A:H,8,FALSE)</f>
        <v>-86.525400000000005</v>
      </c>
      <c r="H1776">
        <f t="shared" si="54"/>
        <v>1011.5</v>
      </c>
      <c r="I1776">
        <f t="shared" si="55"/>
        <v>628.6</v>
      </c>
    </row>
    <row r="1777" spans="1:9" ht="30" x14ac:dyDescent="0.25">
      <c r="A1777" s="5" t="s">
        <v>467</v>
      </c>
      <c r="B1777" s="5" t="s">
        <v>10</v>
      </c>
      <c r="C1777" s="5" t="s">
        <v>2166</v>
      </c>
      <c r="D1777" s="3">
        <f>VLOOKUP(A1777,airports!A:H,7,FALSE)</f>
        <v>39.902375829999997</v>
      </c>
      <c r="E1777" s="3">
        <f>VLOOKUP(A1777,airports!A:H,8,FALSE)</f>
        <v>-84.219374999999999</v>
      </c>
      <c r="F1777" s="3">
        <f>VLOOKUP(B1777,airports!A:H,7,FALSE)</f>
        <v>33.640444440000003</v>
      </c>
      <c r="G1777" s="3">
        <f>VLOOKUP(B1777,airports!A:H,8,FALSE)</f>
        <v>-84.42694444</v>
      </c>
      <c r="H1777">
        <f t="shared" si="54"/>
        <v>696.5</v>
      </c>
      <c r="I1777">
        <f t="shared" si="55"/>
        <v>432.8</v>
      </c>
    </row>
    <row r="1778" spans="1:9" x14ac:dyDescent="0.25">
      <c r="A1778" s="5" t="s">
        <v>467</v>
      </c>
      <c r="B1778" s="5" t="s">
        <v>40</v>
      </c>
      <c r="C1778" s="5" t="s">
        <v>2167</v>
      </c>
      <c r="D1778" s="3">
        <f>VLOOKUP(A1778,airports!A:H,7,FALSE)</f>
        <v>39.902375829999997</v>
      </c>
      <c r="E1778" s="3">
        <f>VLOOKUP(A1778,airports!A:H,8,FALSE)</f>
        <v>-84.219374999999999</v>
      </c>
      <c r="F1778" s="3">
        <f>VLOOKUP(B1778,airports!A:H,7,FALSE)</f>
        <v>35.214011110000001</v>
      </c>
      <c r="G1778" s="3">
        <f>VLOOKUP(B1778,airports!A:H,8,FALSE)</f>
        <v>-80.94312583</v>
      </c>
      <c r="H1778">
        <f t="shared" si="54"/>
        <v>595.9</v>
      </c>
      <c r="I1778">
        <f t="shared" si="55"/>
        <v>370.3</v>
      </c>
    </row>
    <row r="1779" spans="1:9" ht="30" x14ac:dyDescent="0.25">
      <c r="A1779" s="5" t="s">
        <v>467</v>
      </c>
      <c r="B1779" s="5" t="s">
        <v>45</v>
      </c>
      <c r="C1779" s="5" t="s">
        <v>2168</v>
      </c>
      <c r="D1779" s="3">
        <f>VLOOKUP(A1779,airports!A:H,7,FALSE)</f>
        <v>39.902375829999997</v>
      </c>
      <c r="E1779" s="3">
        <f>VLOOKUP(A1779,airports!A:H,8,FALSE)</f>
        <v>-84.219374999999999</v>
      </c>
      <c r="F1779" s="3">
        <f>VLOOKUP(B1779,airports!A:H,7,FALSE)</f>
        <v>38.852083329999999</v>
      </c>
      <c r="G1779" s="3">
        <f>VLOOKUP(B1779,airports!A:H,8,FALSE)</f>
        <v>-77.037722220000006</v>
      </c>
      <c r="H1779">
        <f t="shared" si="54"/>
        <v>628</v>
      </c>
      <c r="I1779">
        <f t="shared" si="55"/>
        <v>390.3</v>
      </c>
    </row>
    <row r="1780" spans="1:9" ht="30" x14ac:dyDescent="0.25">
      <c r="A1780" s="5" t="s">
        <v>467</v>
      </c>
      <c r="B1780" s="5" t="s">
        <v>47</v>
      </c>
      <c r="C1780" s="5" t="s">
        <v>2169</v>
      </c>
      <c r="D1780" s="3">
        <f>VLOOKUP(A1780,airports!A:H,7,FALSE)</f>
        <v>39.902375829999997</v>
      </c>
      <c r="E1780" s="3">
        <f>VLOOKUP(A1780,airports!A:H,8,FALSE)</f>
        <v>-84.219374999999999</v>
      </c>
      <c r="F1780" s="3">
        <f>VLOOKUP(B1780,airports!A:H,7,FALSE)</f>
        <v>39.858408060000002</v>
      </c>
      <c r="G1780" s="3">
        <f>VLOOKUP(B1780,airports!A:H,8,FALSE)</f>
        <v>-104.6670019</v>
      </c>
      <c r="H1780">
        <f t="shared" si="54"/>
        <v>1741</v>
      </c>
      <c r="I1780">
        <f t="shared" si="55"/>
        <v>1081.8</v>
      </c>
    </row>
    <row r="1781" spans="1:9" ht="30" x14ac:dyDescent="0.25">
      <c r="A1781" s="5" t="s">
        <v>467</v>
      </c>
      <c r="B1781" s="5" t="s">
        <v>49</v>
      </c>
      <c r="C1781" s="5" t="s">
        <v>2170</v>
      </c>
      <c r="D1781" s="3">
        <f>VLOOKUP(A1781,airports!A:H,7,FALSE)</f>
        <v>39.902375829999997</v>
      </c>
      <c r="E1781" s="3">
        <f>VLOOKUP(A1781,airports!A:H,8,FALSE)</f>
        <v>-84.219374999999999</v>
      </c>
      <c r="F1781" s="3">
        <f>VLOOKUP(B1781,airports!A:H,7,FALSE)</f>
        <v>32.895950560000003</v>
      </c>
      <c r="G1781" s="3">
        <f>VLOOKUP(B1781,airports!A:H,8,FALSE)</f>
        <v>-97.037199999999999</v>
      </c>
      <c r="H1781">
        <f t="shared" si="54"/>
        <v>1384.5</v>
      </c>
      <c r="I1781">
        <f t="shared" si="55"/>
        <v>860.3</v>
      </c>
    </row>
    <row r="1782" spans="1:9" ht="30" x14ac:dyDescent="0.25">
      <c r="A1782" s="5" t="s">
        <v>467</v>
      </c>
      <c r="B1782" s="5" t="s">
        <v>50</v>
      </c>
      <c r="C1782" s="5" t="s">
        <v>2171</v>
      </c>
      <c r="D1782" s="3">
        <f>VLOOKUP(A1782,airports!A:H,7,FALSE)</f>
        <v>39.902375829999997</v>
      </c>
      <c r="E1782" s="3">
        <f>VLOOKUP(A1782,airports!A:H,8,FALSE)</f>
        <v>-84.219374999999999</v>
      </c>
      <c r="F1782" s="3">
        <f>VLOOKUP(B1782,airports!A:H,7,FALSE)</f>
        <v>42.212058890000002</v>
      </c>
      <c r="G1782" s="3">
        <f>VLOOKUP(B1782,airports!A:H,8,FALSE)</f>
        <v>-83.348835829999999</v>
      </c>
      <c r="H1782">
        <f t="shared" si="54"/>
        <v>267</v>
      </c>
      <c r="I1782">
        <f t="shared" si="55"/>
        <v>165.9</v>
      </c>
    </row>
    <row r="1783" spans="1:9" ht="30" x14ac:dyDescent="0.25">
      <c r="A1783" s="5" t="s">
        <v>467</v>
      </c>
      <c r="B1783" s="5" t="s">
        <v>52</v>
      </c>
      <c r="C1783" s="5" t="s">
        <v>2172</v>
      </c>
      <c r="D1783" s="3">
        <f>VLOOKUP(A1783,airports!A:H,7,FALSE)</f>
        <v>39.902375829999997</v>
      </c>
      <c r="E1783" s="3">
        <f>VLOOKUP(A1783,airports!A:H,8,FALSE)</f>
        <v>-84.219374999999999</v>
      </c>
      <c r="F1783" s="3">
        <f>VLOOKUP(B1783,airports!A:H,7,FALSE)</f>
        <v>40.69249722</v>
      </c>
      <c r="G1783" s="3">
        <f>VLOOKUP(B1783,airports!A:H,8,FALSE)</f>
        <v>-74.168660560000006</v>
      </c>
      <c r="H1783">
        <f t="shared" si="54"/>
        <v>856.4</v>
      </c>
      <c r="I1783">
        <f t="shared" si="55"/>
        <v>532.20000000000005</v>
      </c>
    </row>
    <row r="1784" spans="1:9" ht="30" x14ac:dyDescent="0.25">
      <c r="A1784" s="5" t="s">
        <v>467</v>
      </c>
      <c r="B1784" s="5" t="s">
        <v>176</v>
      </c>
      <c r="C1784" s="5" t="s">
        <v>2173</v>
      </c>
      <c r="D1784" s="3">
        <f>VLOOKUP(A1784,airports!A:H,7,FALSE)</f>
        <v>39.902375829999997</v>
      </c>
      <c r="E1784" s="3">
        <f>VLOOKUP(A1784,airports!A:H,8,FALSE)</f>
        <v>-84.219374999999999</v>
      </c>
      <c r="F1784" s="3">
        <f>VLOOKUP(B1784,airports!A:H,7,FALSE)</f>
        <v>38.944531939999997</v>
      </c>
      <c r="G1784" s="3">
        <f>VLOOKUP(B1784,airports!A:H,8,FALSE)</f>
        <v>-77.455809720000005</v>
      </c>
      <c r="H1784">
        <f t="shared" si="54"/>
        <v>590.5</v>
      </c>
      <c r="I1784">
        <f t="shared" si="55"/>
        <v>366.9</v>
      </c>
    </row>
    <row r="1785" spans="1:9" ht="30" x14ac:dyDescent="0.25">
      <c r="A1785" s="5" t="s">
        <v>467</v>
      </c>
      <c r="B1785" s="5" t="s">
        <v>67</v>
      </c>
      <c r="C1785" s="5" t="s">
        <v>2174</v>
      </c>
      <c r="D1785" s="3">
        <f>VLOOKUP(A1785,airports!A:H,7,FALSE)</f>
        <v>39.902375829999997</v>
      </c>
      <c r="E1785" s="3">
        <f>VLOOKUP(A1785,airports!A:H,8,FALSE)</f>
        <v>-84.219374999999999</v>
      </c>
      <c r="F1785" s="3">
        <f>VLOOKUP(B1785,airports!A:H,7,FALSE)</f>
        <v>29.980472219999999</v>
      </c>
      <c r="G1785" s="3">
        <f>VLOOKUP(B1785,airports!A:H,8,FALSE)</f>
        <v>-95.339722219999999</v>
      </c>
      <c r="H1785">
        <f t="shared" si="54"/>
        <v>1495.7</v>
      </c>
      <c r="I1785">
        <f t="shared" si="55"/>
        <v>929.5</v>
      </c>
    </row>
    <row r="1786" spans="1:9" ht="30" x14ac:dyDescent="0.25">
      <c r="A1786" s="5" t="s">
        <v>467</v>
      </c>
      <c r="B1786" s="5" t="s">
        <v>74</v>
      </c>
      <c r="C1786" s="5" t="s">
        <v>2175</v>
      </c>
      <c r="D1786" s="3">
        <f>VLOOKUP(A1786,airports!A:H,7,FALSE)</f>
        <v>39.902375829999997</v>
      </c>
      <c r="E1786" s="3">
        <f>VLOOKUP(A1786,airports!A:H,8,FALSE)</f>
        <v>-84.219374999999999</v>
      </c>
      <c r="F1786" s="3">
        <f>VLOOKUP(B1786,airports!A:H,7,FALSE)</f>
        <v>40.777243060000004</v>
      </c>
      <c r="G1786" s="3">
        <f>VLOOKUP(B1786,airports!A:H,8,FALSE)</f>
        <v>-73.872609170000004</v>
      </c>
      <c r="H1786">
        <f t="shared" si="54"/>
        <v>881.8</v>
      </c>
      <c r="I1786">
        <f t="shared" si="55"/>
        <v>548</v>
      </c>
    </row>
    <row r="1787" spans="1:9" ht="30" x14ac:dyDescent="0.25">
      <c r="A1787" s="5" t="s">
        <v>467</v>
      </c>
      <c r="B1787" s="5" t="s">
        <v>82</v>
      </c>
      <c r="C1787" s="5" t="s">
        <v>2176</v>
      </c>
      <c r="D1787" s="3">
        <f>VLOOKUP(A1787,airports!A:H,7,FALSE)</f>
        <v>39.902375829999997</v>
      </c>
      <c r="E1787" s="3">
        <f>VLOOKUP(A1787,airports!A:H,8,FALSE)</f>
        <v>-84.219374999999999</v>
      </c>
      <c r="F1787" s="3">
        <f>VLOOKUP(B1787,airports!A:H,7,FALSE)</f>
        <v>28.42888889</v>
      </c>
      <c r="G1787" s="3">
        <f>VLOOKUP(B1787,airports!A:H,8,FALSE)</f>
        <v>-81.316027779999999</v>
      </c>
      <c r="H1787">
        <f t="shared" si="54"/>
        <v>1303.2</v>
      </c>
      <c r="I1787">
        <f t="shared" si="55"/>
        <v>809.8</v>
      </c>
    </row>
    <row r="1788" spans="1:9" ht="30" x14ac:dyDescent="0.25">
      <c r="A1788" s="5" t="s">
        <v>467</v>
      </c>
      <c r="B1788" s="5" t="s">
        <v>84</v>
      </c>
      <c r="C1788" s="5" t="s">
        <v>2177</v>
      </c>
      <c r="D1788" s="3">
        <f>VLOOKUP(A1788,airports!A:H,7,FALSE)</f>
        <v>39.902375829999997</v>
      </c>
      <c r="E1788" s="3">
        <f>VLOOKUP(A1788,airports!A:H,8,FALSE)</f>
        <v>-84.219374999999999</v>
      </c>
      <c r="F1788" s="3">
        <f>VLOOKUP(B1788,airports!A:H,7,FALSE)</f>
        <v>25.79325</v>
      </c>
      <c r="G1788" s="3">
        <f>VLOOKUP(B1788,airports!A:H,8,FALSE)</f>
        <v>-80.290555560000001</v>
      </c>
      <c r="H1788">
        <f t="shared" si="54"/>
        <v>1610.7</v>
      </c>
      <c r="I1788">
        <f t="shared" si="55"/>
        <v>1000.9</v>
      </c>
    </row>
    <row r="1789" spans="1:9" ht="30" x14ac:dyDescent="0.25">
      <c r="A1789" s="5" t="s">
        <v>467</v>
      </c>
      <c r="B1789" s="5" t="s">
        <v>87</v>
      </c>
      <c r="C1789" s="5" t="s">
        <v>2178</v>
      </c>
      <c r="D1789" s="3">
        <f>VLOOKUP(A1789,airports!A:H,7,FALSE)</f>
        <v>39.902375829999997</v>
      </c>
      <c r="E1789" s="3">
        <f>VLOOKUP(A1789,airports!A:H,8,FALSE)</f>
        <v>-84.219374999999999</v>
      </c>
      <c r="F1789" s="3">
        <f>VLOOKUP(B1789,airports!A:H,7,FALSE)</f>
        <v>44.880546940000002</v>
      </c>
      <c r="G1789" s="3">
        <f>VLOOKUP(B1789,airports!A:H,8,FALSE)</f>
        <v>-93.216922499999995</v>
      </c>
      <c r="H1789">
        <f t="shared" si="54"/>
        <v>922.3</v>
      </c>
      <c r="I1789">
        <f t="shared" si="55"/>
        <v>573.1</v>
      </c>
    </row>
    <row r="1790" spans="1:9" ht="30" x14ac:dyDescent="0.25">
      <c r="A1790" s="5" t="s">
        <v>467</v>
      </c>
      <c r="B1790" s="5" t="s">
        <v>182</v>
      </c>
      <c r="C1790" s="5" t="s">
        <v>2179</v>
      </c>
      <c r="D1790" s="3">
        <f>VLOOKUP(A1790,airports!A:H,7,FALSE)</f>
        <v>39.902375829999997</v>
      </c>
      <c r="E1790" s="3">
        <f>VLOOKUP(A1790,airports!A:H,8,FALSE)</f>
        <v>-84.219374999999999</v>
      </c>
      <c r="F1790" s="3">
        <f>VLOOKUP(B1790,airports!A:H,7,FALSE)</f>
        <v>33.679749999999999</v>
      </c>
      <c r="G1790" s="3">
        <f>VLOOKUP(B1790,airports!A:H,8,FALSE)</f>
        <v>-78.928333330000001</v>
      </c>
      <c r="H1790">
        <f t="shared" si="54"/>
        <v>836.7</v>
      </c>
      <c r="I1790">
        <f t="shared" si="55"/>
        <v>519.9</v>
      </c>
    </row>
    <row r="1791" spans="1:9" ht="30" x14ac:dyDescent="0.25">
      <c r="A1791" s="5" t="s">
        <v>467</v>
      </c>
      <c r="B1791" s="5" t="s">
        <v>95</v>
      </c>
      <c r="C1791" s="5" t="s">
        <v>2180</v>
      </c>
      <c r="D1791" s="3">
        <f>VLOOKUP(A1791,airports!A:H,7,FALSE)</f>
        <v>39.902375829999997</v>
      </c>
      <c r="E1791" s="3">
        <f>VLOOKUP(A1791,airports!A:H,8,FALSE)</f>
        <v>-84.219374999999999</v>
      </c>
      <c r="F1791" s="3">
        <f>VLOOKUP(B1791,airports!A:H,7,FALSE)</f>
        <v>41.979595000000003</v>
      </c>
      <c r="G1791" s="3">
        <f>VLOOKUP(B1791,airports!A:H,8,FALSE)</f>
        <v>-87.904464169999997</v>
      </c>
      <c r="H1791">
        <f t="shared" si="54"/>
        <v>386.1</v>
      </c>
      <c r="I1791">
        <f t="shared" si="55"/>
        <v>240</v>
      </c>
    </row>
    <row r="1792" spans="1:9" ht="30" x14ac:dyDescent="0.25">
      <c r="A1792" s="5" t="s">
        <v>467</v>
      </c>
      <c r="B1792" s="5" t="s">
        <v>185</v>
      </c>
      <c r="C1792" s="5" t="s">
        <v>2181</v>
      </c>
      <c r="D1792" s="3">
        <f>VLOOKUP(A1792,airports!A:H,7,FALSE)</f>
        <v>39.902375829999997</v>
      </c>
      <c r="E1792" s="3">
        <f>VLOOKUP(A1792,airports!A:H,8,FALSE)</f>
        <v>-84.219374999999999</v>
      </c>
      <c r="F1792" s="3">
        <f>VLOOKUP(B1792,airports!A:H,7,FALSE)</f>
        <v>26.919699999999999</v>
      </c>
      <c r="G1792" s="3">
        <f>VLOOKUP(B1792,airports!A:H,8,FALSE)</f>
        <v>-81.995999999999995</v>
      </c>
      <c r="H1792">
        <f t="shared" si="54"/>
        <v>1458.1</v>
      </c>
      <c r="I1792">
        <f t="shared" si="55"/>
        <v>906.1</v>
      </c>
    </row>
    <row r="1793" spans="1:9" ht="30" x14ac:dyDescent="0.25">
      <c r="A1793" s="5" t="s">
        <v>467</v>
      </c>
      <c r="B1793" s="5" t="s">
        <v>102</v>
      </c>
      <c r="C1793" s="5" t="s">
        <v>2182</v>
      </c>
      <c r="D1793" s="3">
        <f>VLOOKUP(A1793,airports!A:H,7,FALSE)</f>
        <v>39.902375829999997</v>
      </c>
      <c r="E1793" s="3">
        <f>VLOOKUP(A1793,airports!A:H,8,FALSE)</f>
        <v>-84.219374999999999</v>
      </c>
      <c r="F1793" s="3">
        <f>VLOOKUP(B1793,airports!A:H,7,FALSE)</f>
        <v>39.871952780000001</v>
      </c>
      <c r="G1793" s="3">
        <f>VLOOKUP(B1793,airports!A:H,8,FALSE)</f>
        <v>-75.241140830000006</v>
      </c>
      <c r="H1793">
        <f t="shared" si="54"/>
        <v>765.7</v>
      </c>
      <c r="I1793">
        <f t="shared" si="55"/>
        <v>475.8</v>
      </c>
    </row>
    <row r="1794" spans="1:9" x14ac:dyDescent="0.25">
      <c r="A1794" s="5" t="s">
        <v>467</v>
      </c>
      <c r="B1794" s="5" t="s">
        <v>188</v>
      </c>
      <c r="C1794" s="5" t="s">
        <v>2183</v>
      </c>
      <c r="D1794" s="3">
        <f>VLOOKUP(A1794,airports!A:H,7,FALSE)</f>
        <v>39.902375829999997</v>
      </c>
      <c r="E1794" s="3">
        <f>VLOOKUP(A1794,airports!A:H,8,FALSE)</f>
        <v>-84.219374999999999</v>
      </c>
      <c r="F1794" s="3">
        <f>VLOOKUP(B1794,airports!A:H,7,FALSE)</f>
        <v>27.910763330000002</v>
      </c>
      <c r="G1794" s="3">
        <f>VLOOKUP(B1794,airports!A:H,8,FALSE)</f>
        <v>-82.687439440000006</v>
      </c>
      <c r="H1794">
        <f t="shared" si="54"/>
        <v>1340.8</v>
      </c>
      <c r="I1794">
        <f t="shared" si="55"/>
        <v>833.2</v>
      </c>
    </row>
    <row r="1795" spans="1:9" ht="30" x14ac:dyDescent="0.25">
      <c r="A1795" s="5" t="s">
        <v>467</v>
      </c>
      <c r="B1795" s="5" t="s">
        <v>191</v>
      </c>
      <c r="C1795" s="5" t="s">
        <v>2184</v>
      </c>
      <c r="D1795" s="3">
        <f>VLOOKUP(A1795,airports!A:H,7,FALSE)</f>
        <v>39.902375829999997</v>
      </c>
      <c r="E1795" s="3">
        <f>VLOOKUP(A1795,airports!A:H,8,FALSE)</f>
        <v>-84.219374999999999</v>
      </c>
      <c r="F1795" s="3">
        <f>VLOOKUP(B1795,airports!A:H,7,FALSE)</f>
        <v>28.7776</v>
      </c>
      <c r="G1795" s="3">
        <f>VLOOKUP(B1795,airports!A:H,8,FALSE)</f>
        <v>-81.237499999999997</v>
      </c>
      <c r="H1795">
        <f t="shared" si="54"/>
        <v>1266.7</v>
      </c>
      <c r="I1795">
        <f t="shared" si="55"/>
        <v>787.2</v>
      </c>
    </row>
    <row r="1796" spans="1:9" ht="30" x14ac:dyDescent="0.25">
      <c r="A1796" s="5" t="s">
        <v>467</v>
      </c>
      <c r="B1796" s="5" t="s">
        <v>668</v>
      </c>
      <c r="C1796" s="5" t="s">
        <v>2185</v>
      </c>
      <c r="D1796" s="3">
        <f>VLOOKUP(A1796,airports!A:H,7,FALSE)</f>
        <v>39.902375829999997</v>
      </c>
      <c r="E1796" s="3">
        <f>VLOOKUP(A1796,airports!A:H,8,FALSE)</f>
        <v>-84.219374999999999</v>
      </c>
      <c r="F1796" s="3">
        <f>VLOOKUP(B1796,airports!A:H,7,FALSE)</f>
        <v>30.483250000000002</v>
      </c>
      <c r="G1796" s="3">
        <f>VLOOKUP(B1796,airports!A:H,8,FALSE)</f>
        <v>-86.525400000000005</v>
      </c>
      <c r="H1796">
        <f t="shared" ref="H1796:H1859" si="56">ROUND(ACOS(COS(RADIANS(90-D1796)) * COS(RADIANS(90-F1796)) + SIN(RADIANS(90-D1796)) * SIN(RADIANS(90-F1796)) * COS(RADIANS(E1796-G1796))) * 6371,1)</f>
        <v>1068</v>
      </c>
      <c r="I1796">
        <f t="shared" ref="I1796:I1859" si="57">ROUND(ACOS(COS(RADIANS(90-D1796)) * COS(RADIANS(90-F1796)) + SIN(RADIANS(90-D1796)) * SIN(RADIANS(90-F1796)) * COS(RADIANS(E1796-G1796))) * 3959,1)</f>
        <v>663.7</v>
      </c>
    </row>
    <row r="1797" spans="1:9" ht="30" x14ac:dyDescent="0.25">
      <c r="A1797" s="5" t="s">
        <v>2186</v>
      </c>
      <c r="B1797" s="5" t="s">
        <v>95</v>
      </c>
      <c r="C1797" s="5" t="s">
        <v>2187</v>
      </c>
      <c r="D1797" s="3">
        <f>VLOOKUP(A1797,airports!A:H,7,FALSE)</f>
        <v>42.402959439999997</v>
      </c>
      <c r="E1797" s="3">
        <f>VLOOKUP(A1797,airports!A:H,8,FALSE)</f>
        <v>-90.709167219999998</v>
      </c>
      <c r="F1797" s="3">
        <f>VLOOKUP(B1797,airports!A:H,7,FALSE)</f>
        <v>41.979595000000003</v>
      </c>
      <c r="G1797" s="3">
        <f>VLOOKUP(B1797,airports!A:H,8,FALSE)</f>
        <v>-87.904464169999997</v>
      </c>
      <c r="H1797">
        <f t="shared" si="56"/>
        <v>235.8</v>
      </c>
      <c r="I1797">
        <f t="shared" si="57"/>
        <v>146.5</v>
      </c>
    </row>
    <row r="1798" spans="1:9" ht="30" x14ac:dyDescent="0.25">
      <c r="A1798" s="5" t="s">
        <v>45</v>
      </c>
      <c r="B1798" s="5" t="s">
        <v>5</v>
      </c>
      <c r="C1798" s="5" t="s">
        <v>2188</v>
      </c>
      <c r="D1798" s="3">
        <f>VLOOKUP(A1798,airports!A:H,7,FALSE)</f>
        <v>38.852083329999999</v>
      </c>
      <c r="E1798" s="3">
        <f>VLOOKUP(A1798,airports!A:H,8,FALSE)</f>
        <v>-77.037722220000006</v>
      </c>
      <c r="F1798" s="3">
        <f>VLOOKUP(B1798,airports!A:H,7,FALSE)</f>
        <v>41.253051939999999</v>
      </c>
      <c r="G1798" s="3">
        <f>VLOOKUP(B1798,airports!A:H,8,FALSE)</f>
        <v>-70.060181389999997</v>
      </c>
      <c r="H1798">
        <f t="shared" si="56"/>
        <v>650.9</v>
      </c>
      <c r="I1798">
        <f t="shared" si="57"/>
        <v>404.5</v>
      </c>
    </row>
    <row r="1799" spans="1:9" ht="30" x14ac:dyDescent="0.25">
      <c r="A1799" s="5" t="s">
        <v>45</v>
      </c>
      <c r="B1799" s="5" t="s">
        <v>276</v>
      </c>
      <c r="C1799" s="5" t="s">
        <v>2189</v>
      </c>
      <c r="D1799" s="3">
        <f>VLOOKUP(A1799,airports!A:H,7,FALSE)</f>
        <v>38.852083329999999</v>
      </c>
      <c r="E1799" s="3">
        <f>VLOOKUP(A1799,airports!A:H,8,FALSE)</f>
        <v>-77.037722220000006</v>
      </c>
      <c r="F1799" s="3">
        <f>VLOOKUP(B1799,airports!A:H,7,FALSE)</f>
        <v>33.369954999999997</v>
      </c>
      <c r="G1799" s="3">
        <f>VLOOKUP(B1799,airports!A:H,8,FALSE)</f>
        <v>-81.964496109999999</v>
      </c>
      <c r="H1799">
        <f t="shared" si="56"/>
        <v>753</v>
      </c>
      <c r="I1799">
        <f t="shared" si="57"/>
        <v>467.9</v>
      </c>
    </row>
    <row r="1800" spans="1:9" ht="30" x14ac:dyDescent="0.25">
      <c r="A1800" s="5" t="s">
        <v>45</v>
      </c>
      <c r="B1800" s="5" t="s">
        <v>7</v>
      </c>
      <c r="C1800" s="5" t="s">
        <v>2190</v>
      </c>
      <c r="D1800" s="3">
        <f>VLOOKUP(A1800,airports!A:H,7,FALSE)</f>
        <v>38.852083329999999</v>
      </c>
      <c r="E1800" s="3">
        <f>VLOOKUP(A1800,airports!A:H,8,FALSE)</f>
        <v>-77.037722220000006</v>
      </c>
      <c r="F1800" s="3">
        <f>VLOOKUP(B1800,airports!A:H,7,FALSE)</f>
        <v>42.748119440000004</v>
      </c>
      <c r="G1800" s="3">
        <f>VLOOKUP(B1800,airports!A:H,8,FALSE)</f>
        <v>-73.802978609999997</v>
      </c>
      <c r="H1800">
        <f t="shared" si="56"/>
        <v>511.6</v>
      </c>
      <c r="I1800">
        <f t="shared" si="57"/>
        <v>317.89999999999998</v>
      </c>
    </row>
    <row r="1801" spans="1:9" ht="30" x14ac:dyDescent="0.25">
      <c r="A1801" s="5" t="s">
        <v>45</v>
      </c>
      <c r="B1801" s="5" t="s">
        <v>10</v>
      </c>
      <c r="C1801" s="5" t="s">
        <v>2191</v>
      </c>
      <c r="D1801" s="3">
        <f>VLOOKUP(A1801,airports!A:H,7,FALSE)</f>
        <v>38.852083329999999</v>
      </c>
      <c r="E1801" s="3">
        <f>VLOOKUP(A1801,airports!A:H,8,FALSE)</f>
        <v>-77.037722220000006</v>
      </c>
      <c r="F1801" s="3">
        <f>VLOOKUP(B1801,airports!A:H,7,FALSE)</f>
        <v>33.640444440000003</v>
      </c>
      <c r="G1801" s="3">
        <f>VLOOKUP(B1801,airports!A:H,8,FALSE)</f>
        <v>-84.42694444</v>
      </c>
      <c r="H1801">
        <f t="shared" si="56"/>
        <v>879.7</v>
      </c>
      <c r="I1801">
        <f t="shared" si="57"/>
        <v>546.70000000000005</v>
      </c>
    </row>
    <row r="1802" spans="1:9" ht="30" x14ac:dyDescent="0.25">
      <c r="A1802" s="5" t="s">
        <v>45</v>
      </c>
      <c r="B1802" s="5" t="s">
        <v>13</v>
      </c>
      <c r="C1802" s="5" t="s">
        <v>2192</v>
      </c>
      <c r="D1802" s="3">
        <f>VLOOKUP(A1802,airports!A:H,7,FALSE)</f>
        <v>38.852083329999999</v>
      </c>
      <c r="E1802" s="3">
        <f>VLOOKUP(A1802,airports!A:H,8,FALSE)</f>
        <v>-77.037722220000006</v>
      </c>
      <c r="F1802" s="3">
        <f>VLOOKUP(B1802,airports!A:H,7,FALSE)</f>
        <v>30.194532779999999</v>
      </c>
      <c r="G1802" s="3">
        <f>VLOOKUP(B1802,airports!A:H,8,FALSE)</f>
        <v>-97.669871939999993</v>
      </c>
      <c r="H1802">
        <f t="shared" si="56"/>
        <v>2114.4</v>
      </c>
      <c r="I1802">
        <f t="shared" si="57"/>
        <v>1313.9</v>
      </c>
    </row>
    <row r="1803" spans="1:9" ht="30" x14ac:dyDescent="0.25">
      <c r="A1803" s="5" t="s">
        <v>45</v>
      </c>
      <c r="B1803" s="5" t="s">
        <v>419</v>
      </c>
      <c r="C1803" s="5" t="s">
        <v>2193</v>
      </c>
      <c r="D1803" s="3">
        <f>VLOOKUP(A1803,airports!A:H,7,FALSE)</f>
        <v>38.852083329999999</v>
      </c>
      <c r="E1803" s="3">
        <f>VLOOKUP(A1803,airports!A:H,8,FALSE)</f>
        <v>-77.037722220000006</v>
      </c>
      <c r="F1803" s="3">
        <f>VLOOKUP(B1803,airports!A:H,7,FALSE)</f>
        <v>35.436194440000001</v>
      </c>
      <c r="G1803" s="3">
        <f>VLOOKUP(B1803,airports!A:H,8,FALSE)</f>
        <v>-82.54180556</v>
      </c>
      <c r="H1803">
        <f t="shared" si="56"/>
        <v>618.1</v>
      </c>
      <c r="I1803">
        <f t="shared" si="57"/>
        <v>384.1</v>
      </c>
    </row>
    <row r="1804" spans="1:9" ht="30" x14ac:dyDescent="0.25">
      <c r="A1804" s="5" t="s">
        <v>45</v>
      </c>
      <c r="B1804" s="5" t="s">
        <v>16</v>
      </c>
      <c r="C1804" s="5" t="s">
        <v>2194</v>
      </c>
      <c r="D1804" s="3">
        <f>VLOOKUP(A1804,airports!A:H,7,FALSE)</f>
        <v>38.852083329999999</v>
      </c>
      <c r="E1804" s="3">
        <f>VLOOKUP(A1804,airports!A:H,8,FALSE)</f>
        <v>-77.037722220000006</v>
      </c>
      <c r="F1804" s="3">
        <f>VLOOKUP(B1804,airports!A:H,7,FALSE)</f>
        <v>41.938874169999998</v>
      </c>
      <c r="G1804" s="3">
        <f>VLOOKUP(B1804,airports!A:H,8,FALSE)</f>
        <v>-72.683228330000006</v>
      </c>
      <c r="H1804">
        <f t="shared" si="56"/>
        <v>503.6</v>
      </c>
      <c r="I1804">
        <f t="shared" si="57"/>
        <v>313</v>
      </c>
    </row>
    <row r="1805" spans="1:9" ht="30" x14ac:dyDescent="0.25">
      <c r="A1805" s="5" t="s">
        <v>45</v>
      </c>
      <c r="B1805" s="5" t="s">
        <v>233</v>
      </c>
      <c r="C1805" s="5" t="s">
        <v>2195</v>
      </c>
      <c r="D1805" s="3">
        <f>VLOOKUP(A1805,airports!A:H,7,FALSE)</f>
        <v>38.852083329999999</v>
      </c>
      <c r="E1805" s="3">
        <f>VLOOKUP(A1805,airports!A:H,8,FALSE)</f>
        <v>-77.037722220000006</v>
      </c>
      <c r="F1805" s="3">
        <f>VLOOKUP(B1805,airports!A:H,7,FALSE)</f>
        <v>44.807444439999998</v>
      </c>
      <c r="G1805" s="3">
        <f>VLOOKUP(B1805,airports!A:H,8,FALSE)</f>
        <v>-68.828138890000005</v>
      </c>
      <c r="H1805">
        <f t="shared" si="56"/>
        <v>948.4</v>
      </c>
      <c r="I1805">
        <f t="shared" si="57"/>
        <v>589.29999999999995</v>
      </c>
    </row>
    <row r="1806" spans="1:9" ht="30" x14ac:dyDescent="0.25">
      <c r="A1806" s="5" t="s">
        <v>45</v>
      </c>
      <c r="B1806" s="5" t="s">
        <v>425</v>
      </c>
      <c r="C1806" s="5" t="s">
        <v>2196</v>
      </c>
      <c r="D1806" s="3">
        <f>VLOOKUP(A1806,airports!A:H,7,FALSE)</f>
        <v>38.852083329999999</v>
      </c>
      <c r="E1806" s="3">
        <f>VLOOKUP(A1806,airports!A:H,8,FALSE)</f>
        <v>-77.037722220000006</v>
      </c>
      <c r="F1806" s="3">
        <f>VLOOKUP(B1806,airports!A:H,7,FALSE)</f>
        <v>33.562943060000002</v>
      </c>
      <c r="G1806" s="3">
        <f>VLOOKUP(B1806,airports!A:H,8,FALSE)</f>
        <v>-86.753549719999995</v>
      </c>
      <c r="H1806">
        <f t="shared" si="56"/>
        <v>1050.5999999999999</v>
      </c>
      <c r="I1806">
        <f t="shared" si="57"/>
        <v>652.79999999999995</v>
      </c>
    </row>
    <row r="1807" spans="1:9" ht="30" x14ac:dyDescent="0.25">
      <c r="A1807" s="5" t="s">
        <v>45</v>
      </c>
      <c r="B1807" s="5" t="s">
        <v>19</v>
      </c>
      <c r="C1807" s="5" t="s">
        <v>2197</v>
      </c>
      <c r="D1807" s="3">
        <f>VLOOKUP(A1807,airports!A:H,7,FALSE)</f>
        <v>38.852083329999999</v>
      </c>
      <c r="E1807" s="3">
        <f>VLOOKUP(A1807,airports!A:H,8,FALSE)</f>
        <v>-77.037722220000006</v>
      </c>
      <c r="F1807" s="3">
        <f>VLOOKUP(B1807,airports!A:H,7,FALSE)</f>
        <v>36.12447667</v>
      </c>
      <c r="G1807" s="3">
        <f>VLOOKUP(B1807,airports!A:H,8,FALSE)</f>
        <v>-86.678182219999997</v>
      </c>
      <c r="H1807">
        <f t="shared" si="56"/>
        <v>902.5</v>
      </c>
      <c r="I1807">
        <f t="shared" si="57"/>
        <v>560.79999999999995</v>
      </c>
    </row>
    <row r="1808" spans="1:9" ht="30" x14ac:dyDescent="0.25">
      <c r="A1808" s="5" t="s">
        <v>45</v>
      </c>
      <c r="B1808" s="5" t="s">
        <v>24</v>
      </c>
      <c r="C1808" s="5" t="s">
        <v>2198</v>
      </c>
      <c r="D1808" s="3">
        <f>VLOOKUP(A1808,airports!A:H,7,FALSE)</f>
        <v>38.852083329999999</v>
      </c>
      <c r="E1808" s="3">
        <f>VLOOKUP(A1808,airports!A:H,8,FALSE)</f>
        <v>-77.037722220000006</v>
      </c>
      <c r="F1808" s="3">
        <f>VLOOKUP(B1808,airports!A:H,7,FALSE)</f>
        <v>42.364347500000001</v>
      </c>
      <c r="G1808" s="3">
        <f>VLOOKUP(B1808,airports!A:H,8,FALSE)</f>
        <v>-71.005179170000005</v>
      </c>
      <c r="H1808">
        <f t="shared" si="56"/>
        <v>641.5</v>
      </c>
      <c r="I1808">
        <f t="shared" si="57"/>
        <v>398.6</v>
      </c>
    </row>
    <row r="1809" spans="1:9" ht="30" x14ac:dyDescent="0.25">
      <c r="A1809" s="5" t="s">
        <v>45</v>
      </c>
      <c r="B1809" s="5" t="s">
        <v>434</v>
      </c>
      <c r="C1809" s="5" t="s">
        <v>2199</v>
      </c>
      <c r="D1809" s="3">
        <f>VLOOKUP(A1809,airports!A:H,7,FALSE)</f>
        <v>38.852083329999999</v>
      </c>
      <c r="E1809" s="3">
        <f>VLOOKUP(A1809,airports!A:H,8,FALSE)</f>
        <v>-77.037722220000006</v>
      </c>
      <c r="F1809" s="3">
        <f>VLOOKUP(B1809,airports!A:H,7,FALSE)</f>
        <v>30.53316083</v>
      </c>
      <c r="G1809" s="3">
        <f>VLOOKUP(B1809,airports!A:H,8,FALSE)</f>
        <v>-91.14963444</v>
      </c>
      <c r="H1809">
        <f t="shared" si="56"/>
        <v>1584.4</v>
      </c>
      <c r="I1809">
        <f t="shared" si="57"/>
        <v>984.6</v>
      </c>
    </row>
    <row r="1810" spans="1:9" ht="30" x14ac:dyDescent="0.25">
      <c r="A1810" s="5" t="s">
        <v>45</v>
      </c>
      <c r="B1810" s="5" t="s">
        <v>27</v>
      </c>
      <c r="C1810" s="5" t="s">
        <v>2200</v>
      </c>
      <c r="D1810" s="3">
        <f>VLOOKUP(A1810,airports!A:H,7,FALSE)</f>
        <v>38.852083329999999</v>
      </c>
      <c r="E1810" s="3">
        <f>VLOOKUP(A1810,airports!A:H,8,FALSE)</f>
        <v>-77.037722220000006</v>
      </c>
      <c r="F1810" s="3">
        <f>VLOOKUP(B1810,airports!A:H,7,FALSE)</f>
        <v>44.473003609999999</v>
      </c>
      <c r="G1810" s="3">
        <f>VLOOKUP(B1810,airports!A:H,8,FALSE)</f>
        <v>-73.150312499999998</v>
      </c>
      <c r="H1810">
        <f t="shared" si="56"/>
        <v>703.3</v>
      </c>
      <c r="I1810">
        <f t="shared" si="57"/>
        <v>437</v>
      </c>
    </row>
    <row r="1811" spans="1:9" ht="30" x14ac:dyDescent="0.25">
      <c r="A1811" s="5" t="s">
        <v>45</v>
      </c>
      <c r="B1811" s="5" t="s">
        <v>29</v>
      </c>
      <c r="C1811" s="5" t="s">
        <v>2201</v>
      </c>
      <c r="D1811" s="3">
        <f>VLOOKUP(A1811,airports!A:H,7,FALSE)</f>
        <v>38.852083329999999</v>
      </c>
      <c r="E1811" s="3">
        <f>VLOOKUP(A1811,airports!A:H,8,FALSE)</f>
        <v>-77.037722220000006</v>
      </c>
      <c r="F1811" s="3">
        <f>VLOOKUP(B1811,airports!A:H,7,FALSE)</f>
        <v>42.940524719999999</v>
      </c>
      <c r="G1811" s="3">
        <f>VLOOKUP(B1811,airports!A:H,8,FALSE)</f>
        <v>-78.732166669999998</v>
      </c>
      <c r="H1811">
        <f t="shared" si="56"/>
        <v>476.4</v>
      </c>
      <c r="I1811">
        <f t="shared" si="57"/>
        <v>296</v>
      </c>
    </row>
    <row r="1812" spans="1:9" ht="30" x14ac:dyDescent="0.25">
      <c r="A1812" s="5" t="s">
        <v>45</v>
      </c>
      <c r="B1812" s="5" t="s">
        <v>441</v>
      </c>
      <c r="C1812" s="5" t="s">
        <v>2202</v>
      </c>
      <c r="D1812" s="3">
        <f>VLOOKUP(A1812,airports!A:H,7,FALSE)</f>
        <v>38.852083329999999</v>
      </c>
      <c r="E1812" s="3">
        <f>VLOOKUP(A1812,airports!A:H,8,FALSE)</f>
        <v>-77.037722220000006</v>
      </c>
      <c r="F1812" s="3">
        <f>VLOOKUP(B1812,airports!A:H,7,FALSE)</f>
        <v>33.938839999999999</v>
      </c>
      <c r="G1812" s="3">
        <f>VLOOKUP(B1812,airports!A:H,8,FALSE)</f>
        <v>-81.119539439999997</v>
      </c>
      <c r="H1812">
        <f t="shared" si="56"/>
        <v>657.1</v>
      </c>
      <c r="I1812">
        <f t="shared" si="57"/>
        <v>408.3</v>
      </c>
    </row>
    <row r="1813" spans="1:9" ht="30" x14ac:dyDescent="0.25">
      <c r="A1813" s="5" t="s">
        <v>45</v>
      </c>
      <c r="B1813" s="5" t="s">
        <v>443</v>
      </c>
      <c r="C1813" s="5" t="s">
        <v>2203</v>
      </c>
      <c r="D1813" s="3">
        <f>VLOOKUP(A1813,airports!A:H,7,FALSE)</f>
        <v>38.852083329999999</v>
      </c>
      <c r="E1813" s="3">
        <f>VLOOKUP(A1813,airports!A:H,8,FALSE)</f>
        <v>-77.037722220000006</v>
      </c>
      <c r="F1813" s="3">
        <f>VLOOKUP(B1813,airports!A:H,7,FALSE)</f>
        <v>40.91631194</v>
      </c>
      <c r="G1813" s="3">
        <f>VLOOKUP(B1813,airports!A:H,8,FALSE)</f>
        <v>-81.442465560000002</v>
      </c>
      <c r="H1813">
        <f t="shared" si="56"/>
        <v>440.3</v>
      </c>
      <c r="I1813">
        <f t="shared" si="57"/>
        <v>273.60000000000002</v>
      </c>
    </row>
    <row r="1814" spans="1:9" ht="30" x14ac:dyDescent="0.25">
      <c r="A1814" s="5" t="s">
        <v>45</v>
      </c>
      <c r="B1814" s="5" t="s">
        <v>445</v>
      </c>
      <c r="C1814" s="5" t="s">
        <v>2204</v>
      </c>
      <c r="D1814" s="3">
        <f>VLOOKUP(A1814,airports!A:H,7,FALSE)</f>
        <v>38.852083329999999</v>
      </c>
      <c r="E1814" s="3">
        <f>VLOOKUP(A1814,airports!A:H,8,FALSE)</f>
        <v>-77.037722220000006</v>
      </c>
      <c r="F1814" s="3">
        <f>VLOOKUP(B1814,airports!A:H,7,FALSE)</f>
        <v>35.035268330000001</v>
      </c>
      <c r="G1814" s="3">
        <f>VLOOKUP(B1814,airports!A:H,8,FALSE)</f>
        <v>-85.203787779999999</v>
      </c>
      <c r="H1814">
        <f t="shared" si="56"/>
        <v>840.2</v>
      </c>
      <c r="I1814">
        <f t="shared" si="57"/>
        <v>522.1</v>
      </c>
    </row>
    <row r="1815" spans="1:9" ht="30" x14ac:dyDescent="0.25">
      <c r="A1815" s="5" t="s">
        <v>45</v>
      </c>
      <c r="B1815" s="5" t="s">
        <v>36</v>
      </c>
      <c r="C1815" s="5" t="s">
        <v>2205</v>
      </c>
      <c r="D1815" s="3">
        <f>VLOOKUP(A1815,airports!A:H,7,FALSE)</f>
        <v>38.852083329999999</v>
      </c>
      <c r="E1815" s="3">
        <f>VLOOKUP(A1815,airports!A:H,8,FALSE)</f>
        <v>-77.037722220000006</v>
      </c>
      <c r="F1815" s="3">
        <f>VLOOKUP(B1815,airports!A:H,7,FALSE)</f>
        <v>32.898646390000003</v>
      </c>
      <c r="G1815" s="3">
        <f>VLOOKUP(B1815,airports!A:H,8,FALSE)</f>
        <v>-80.040505830000001</v>
      </c>
      <c r="H1815">
        <f t="shared" si="56"/>
        <v>715</v>
      </c>
      <c r="I1815">
        <f t="shared" si="57"/>
        <v>444.3</v>
      </c>
    </row>
    <row r="1816" spans="1:9" ht="30" x14ac:dyDescent="0.25">
      <c r="A1816" s="5" t="s">
        <v>45</v>
      </c>
      <c r="B1816" s="5" t="s">
        <v>38</v>
      </c>
      <c r="C1816" s="5" t="s">
        <v>2206</v>
      </c>
      <c r="D1816" s="3">
        <f>VLOOKUP(A1816,airports!A:H,7,FALSE)</f>
        <v>38.852083329999999</v>
      </c>
      <c r="E1816" s="3">
        <f>VLOOKUP(A1816,airports!A:H,8,FALSE)</f>
        <v>-77.037722220000006</v>
      </c>
      <c r="F1816" s="3">
        <f>VLOOKUP(B1816,airports!A:H,7,FALSE)</f>
        <v>41.410894169999999</v>
      </c>
      <c r="G1816" s="3">
        <f>VLOOKUP(B1816,airports!A:H,8,FALSE)</f>
        <v>-81.849396670000004</v>
      </c>
      <c r="H1816">
        <f t="shared" si="56"/>
        <v>498.2</v>
      </c>
      <c r="I1816">
        <f t="shared" si="57"/>
        <v>309.60000000000002</v>
      </c>
    </row>
    <row r="1817" spans="1:9" ht="30" x14ac:dyDescent="0.25">
      <c r="A1817" s="5" t="s">
        <v>45</v>
      </c>
      <c r="B1817" s="5" t="s">
        <v>40</v>
      </c>
      <c r="C1817" s="5" t="s">
        <v>2207</v>
      </c>
      <c r="D1817" s="3">
        <f>VLOOKUP(A1817,airports!A:H,7,FALSE)</f>
        <v>38.852083329999999</v>
      </c>
      <c r="E1817" s="3">
        <f>VLOOKUP(A1817,airports!A:H,8,FALSE)</f>
        <v>-77.037722220000006</v>
      </c>
      <c r="F1817" s="3">
        <f>VLOOKUP(B1817,airports!A:H,7,FALSE)</f>
        <v>35.214011110000001</v>
      </c>
      <c r="G1817" s="3">
        <f>VLOOKUP(B1817,airports!A:H,8,FALSE)</f>
        <v>-80.94312583</v>
      </c>
      <c r="H1817">
        <f t="shared" si="56"/>
        <v>532.6</v>
      </c>
      <c r="I1817">
        <f t="shared" si="57"/>
        <v>331</v>
      </c>
    </row>
    <row r="1818" spans="1:9" ht="30" x14ac:dyDescent="0.25">
      <c r="A1818" s="5" t="s">
        <v>45</v>
      </c>
      <c r="B1818" s="5" t="s">
        <v>454</v>
      </c>
      <c r="C1818" s="5" t="s">
        <v>2208</v>
      </c>
      <c r="D1818" s="3">
        <f>VLOOKUP(A1818,airports!A:H,7,FALSE)</f>
        <v>38.852083329999999</v>
      </c>
      <c r="E1818" s="3">
        <f>VLOOKUP(A1818,airports!A:H,8,FALSE)</f>
        <v>-77.037722220000006</v>
      </c>
      <c r="F1818" s="3">
        <f>VLOOKUP(B1818,airports!A:H,7,FALSE)</f>
        <v>39.997985280000002</v>
      </c>
      <c r="G1818" s="3">
        <f>VLOOKUP(B1818,airports!A:H,8,FALSE)</f>
        <v>-82.891882780000003</v>
      </c>
      <c r="H1818">
        <f t="shared" si="56"/>
        <v>518.6</v>
      </c>
      <c r="I1818">
        <f t="shared" si="57"/>
        <v>322.3</v>
      </c>
    </row>
    <row r="1819" spans="1:9" ht="30" x14ac:dyDescent="0.25">
      <c r="A1819" s="5" t="s">
        <v>45</v>
      </c>
      <c r="B1819" s="5" t="s">
        <v>458</v>
      </c>
      <c r="C1819" s="5" t="s">
        <v>2209</v>
      </c>
      <c r="D1819" s="3">
        <f>VLOOKUP(A1819,airports!A:H,7,FALSE)</f>
        <v>38.852083329999999</v>
      </c>
      <c r="E1819" s="3">
        <f>VLOOKUP(A1819,airports!A:H,8,FALSE)</f>
        <v>-77.037722220000006</v>
      </c>
      <c r="F1819" s="3">
        <f>VLOOKUP(B1819,airports!A:H,7,FALSE)</f>
        <v>38.37315083</v>
      </c>
      <c r="G1819" s="3">
        <f>VLOOKUP(B1819,airports!A:H,8,FALSE)</f>
        <v>-81.593189719999998</v>
      </c>
      <c r="H1819">
        <f t="shared" si="56"/>
        <v>399.3</v>
      </c>
      <c r="I1819">
        <f t="shared" si="57"/>
        <v>248.1</v>
      </c>
    </row>
    <row r="1820" spans="1:9" ht="30" x14ac:dyDescent="0.25">
      <c r="A1820" s="5" t="s">
        <v>45</v>
      </c>
      <c r="B1820" s="5" t="s">
        <v>462</v>
      </c>
      <c r="C1820" s="5" t="s">
        <v>2210</v>
      </c>
      <c r="D1820" s="3">
        <f>VLOOKUP(A1820,airports!A:H,7,FALSE)</f>
        <v>38.852083329999999</v>
      </c>
      <c r="E1820" s="3">
        <f>VLOOKUP(A1820,airports!A:H,8,FALSE)</f>
        <v>-77.037722220000006</v>
      </c>
      <c r="F1820" s="3">
        <f>VLOOKUP(B1820,airports!A:H,7,FALSE)</f>
        <v>39.046142779999997</v>
      </c>
      <c r="G1820" s="3">
        <f>VLOOKUP(B1820,airports!A:H,8,FALSE)</f>
        <v>-84.662172499999997</v>
      </c>
      <c r="H1820">
        <f t="shared" si="56"/>
        <v>659.5</v>
      </c>
      <c r="I1820">
        <f t="shared" si="57"/>
        <v>409.8</v>
      </c>
    </row>
    <row r="1821" spans="1:9" ht="30" x14ac:dyDescent="0.25">
      <c r="A1821" s="5" t="s">
        <v>45</v>
      </c>
      <c r="B1821" s="5" t="s">
        <v>464</v>
      </c>
      <c r="C1821" s="5" t="s">
        <v>2211</v>
      </c>
      <c r="D1821" s="3">
        <f>VLOOKUP(A1821,airports!A:H,7,FALSE)</f>
        <v>38.852083329999999</v>
      </c>
      <c r="E1821" s="3">
        <f>VLOOKUP(A1821,airports!A:H,8,FALSE)</f>
        <v>-77.037722220000006</v>
      </c>
      <c r="F1821" s="3">
        <f>VLOOKUP(B1821,airports!A:H,7,FALSE)</f>
        <v>29.179916670000001</v>
      </c>
      <c r="G1821" s="3">
        <f>VLOOKUP(B1821,airports!A:H,8,FALSE)</f>
        <v>-81.05805556</v>
      </c>
      <c r="H1821">
        <f t="shared" si="56"/>
        <v>1137.2</v>
      </c>
      <c r="I1821">
        <f t="shared" si="57"/>
        <v>706.7</v>
      </c>
    </row>
    <row r="1822" spans="1:9" ht="30" x14ac:dyDescent="0.25">
      <c r="A1822" s="5" t="s">
        <v>45</v>
      </c>
      <c r="B1822" s="5" t="s">
        <v>201</v>
      </c>
      <c r="C1822" s="5" t="s">
        <v>2212</v>
      </c>
      <c r="D1822" s="3">
        <f>VLOOKUP(A1822,airports!A:H,7,FALSE)</f>
        <v>38.852083329999999</v>
      </c>
      <c r="E1822" s="3">
        <f>VLOOKUP(A1822,airports!A:H,8,FALSE)</f>
        <v>-77.037722220000006</v>
      </c>
      <c r="F1822" s="3">
        <f>VLOOKUP(B1822,airports!A:H,7,FALSE)</f>
        <v>32.847113890000003</v>
      </c>
      <c r="G1822" s="3">
        <f>VLOOKUP(B1822,airports!A:H,8,FALSE)</f>
        <v>-96.851772220000001</v>
      </c>
      <c r="H1822">
        <f t="shared" si="56"/>
        <v>1901.7</v>
      </c>
      <c r="I1822">
        <f t="shared" si="57"/>
        <v>1181.8</v>
      </c>
    </row>
    <row r="1823" spans="1:9" ht="30" x14ac:dyDescent="0.25">
      <c r="A1823" s="5" t="s">
        <v>45</v>
      </c>
      <c r="B1823" s="5" t="s">
        <v>467</v>
      </c>
      <c r="C1823" s="5" t="s">
        <v>2213</v>
      </c>
      <c r="D1823" s="3">
        <f>VLOOKUP(A1823,airports!A:H,7,FALSE)</f>
        <v>38.852083329999999</v>
      </c>
      <c r="E1823" s="3">
        <f>VLOOKUP(A1823,airports!A:H,8,FALSE)</f>
        <v>-77.037722220000006</v>
      </c>
      <c r="F1823" s="3">
        <f>VLOOKUP(B1823,airports!A:H,7,FALSE)</f>
        <v>39.902375829999997</v>
      </c>
      <c r="G1823" s="3">
        <f>VLOOKUP(B1823,airports!A:H,8,FALSE)</f>
        <v>-84.219374999999999</v>
      </c>
      <c r="H1823">
        <f t="shared" si="56"/>
        <v>628</v>
      </c>
      <c r="I1823">
        <f t="shared" si="57"/>
        <v>390.3</v>
      </c>
    </row>
    <row r="1824" spans="1:9" ht="30" x14ac:dyDescent="0.25">
      <c r="A1824" s="5" t="s">
        <v>45</v>
      </c>
      <c r="B1824" s="5" t="s">
        <v>47</v>
      </c>
      <c r="C1824" s="5" t="s">
        <v>2214</v>
      </c>
      <c r="D1824" s="3">
        <f>VLOOKUP(A1824,airports!A:H,7,FALSE)</f>
        <v>38.852083329999999</v>
      </c>
      <c r="E1824" s="3">
        <f>VLOOKUP(A1824,airports!A:H,8,FALSE)</f>
        <v>-77.037722220000006</v>
      </c>
      <c r="F1824" s="3">
        <f>VLOOKUP(B1824,airports!A:H,7,FALSE)</f>
        <v>39.858408060000002</v>
      </c>
      <c r="G1824" s="3">
        <f>VLOOKUP(B1824,airports!A:H,8,FALSE)</f>
        <v>-104.6670019</v>
      </c>
      <c r="H1824">
        <f t="shared" si="56"/>
        <v>2368.6999999999998</v>
      </c>
      <c r="I1824">
        <f t="shared" si="57"/>
        <v>1471.9</v>
      </c>
    </row>
    <row r="1825" spans="1:9" ht="30" x14ac:dyDescent="0.25">
      <c r="A1825" s="5" t="s">
        <v>45</v>
      </c>
      <c r="B1825" s="5" t="s">
        <v>49</v>
      </c>
      <c r="C1825" s="5" t="s">
        <v>2215</v>
      </c>
      <c r="D1825" s="3">
        <f>VLOOKUP(A1825,airports!A:H,7,FALSE)</f>
        <v>38.852083329999999</v>
      </c>
      <c r="E1825" s="3">
        <f>VLOOKUP(A1825,airports!A:H,8,FALSE)</f>
        <v>-77.037722220000006</v>
      </c>
      <c r="F1825" s="3">
        <f>VLOOKUP(B1825,airports!A:H,7,FALSE)</f>
        <v>32.895950560000003</v>
      </c>
      <c r="G1825" s="3">
        <f>VLOOKUP(B1825,airports!A:H,8,FALSE)</f>
        <v>-97.037199999999999</v>
      </c>
      <c r="H1825">
        <f t="shared" si="56"/>
        <v>1914.9</v>
      </c>
      <c r="I1825">
        <f t="shared" si="57"/>
        <v>1189.9000000000001</v>
      </c>
    </row>
    <row r="1826" spans="1:9" ht="30" x14ac:dyDescent="0.25">
      <c r="A1826" s="5" t="s">
        <v>45</v>
      </c>
      <c r="B1826" s="5" t="s">
        <v>474</v>
      </c>
      <c r="C1826" s="5" t="s">
        <v>2216</v>
      </c>
      <c r="D1826" s="3">
        <f>VLOOKUP(A1826,airports!A:H,7,FALSE)</f>
        <v>38.852083329999999</v>
      </c>
      <c r="E1826" s="3">
        <f>VLOOKUP(A1826,airports!A:H,8,FALSE)</f>
        <v>-77.037722220000006</v>
      </c>
      <c r="F1826" s="3">
        <f>VLOOKUP(B1826,airports!A:H,7,FALSE)</f>
        <v>41.53493306</v>
      </c>
      <c r="G1826" s="3">
        <f>VLOOKUP(B1826,airports!A:H,8,FALSE)</f>
        <v>-93.660682219999998</v>
      </c>
      <c r="H1826">
        <f t="shared" si="56"/>
        <v>1440.7</v>
      </c>
      <c r="I1826">
        <f t="shared" si="57"/>
        <v>895.2</v>
      </c>
    </row>
    <row r="1827" spans="1:9" ht="30" x14ac:dyDescent="0.25">
      <c r="A1827" s="5" t="s">
        <v>45</v>
      </c>
      <c r="B1827" s="5" t="s">
        <v>50</v>
      </c>
      <c r="C1827" s="5" t="s">
        <v>2217</v>
      </c>
      <c r="D1827" s="3">
        <f>VLOOKUP(A1827,airports!A:H,7,FALSE)</f>
        <v>38.852083329999999</v>
      </c>
      <c r="E1827" s="3">
        <f>VLOOKUP(A1827,airports!A:H,8,FALSE)</f>
        <v>-77.037722220000006</v>
      </c>
      <c r="F1827" s="3">
        <f>VLOOKUP(B1827,airports!A:H,7,FALSE)</f>
        <v>42.212058890000002</v>
      </c>
      <c r="G1827" s="3">
        <f>VLOOKUP(B1827,airports!A:H,8,FALSE)</f>
        <v>-83.348835829999999</v>
      </c>
      <c r="H1827">
        <f t="shared" si="56"/>
        <v>650.9</v>
      </c>
      <c r="I1827">
        <f t="shared" si="57"/>
        <v>404.5</v>
      </c>
    </row>
    <row r="1828" spans="1:9" ht="30" x14ac:dyDescent="0.25">
      <c r="A1828" s="5" t="s">
        <v>45</v>
      </c>
      <c r="B1828" s="5" t="s">
        <v>477</v>
      </c>
      <c r="C1828" s="5" t="s">
        <v>2218</v>
      </c>
      <c r="D1828" s="3">
        <f>VLOOKUP(A1828,airports!A:H,7,FALSE)</f>
        <v>38.852083329999999</v>
      </c>
      <c r="E1828" s="3">
        <f>VLOOKUP(A1828,airports!A:H,8,FALSE)</f>
        <v>-77.037722220000006</v>
      </c>
      <c r="F1828" s="3">
        <f>VLOOKUP(B1828,airports!A:H,7,FALSE)</f>
        <v>30.357106000000002</v>
      </c>
      <c r="G1828" s="3">
        <f>VLOOKUP(B1828,airports!A:H,8,FALSE)</f>
        <v>-85.795413999999994</v>
      </c>
      <c r="H1828">
        <f t="shared" si="56"/>
        <v>1237.5</v>
      </c>
      <c r="I1828">
        <f t="shared" si="57"/>
        <v>769</v>
      </c>
    </row>
    <row r="1829" spans="1:9" ht="30" x14ac:dyDescent="0.25">
      <c r="A1829" s="5" t="s">
        <v>45</v>
      </c>
      <c r="B1829" s="5" t="s">
        <v>487</v>
      </c>
      <c r="C1829" s="5" t="s">
        <v>2219</v>
      </c>
      <c r="D1829" s="3">
        <f>VLOOKUP(A1829,airports!A:H,7,FALSE)</f>
        <v>38.852083329999999</v>
      </c>
      <c r="E1829" s="3">
        <f>VLOOKUP(A1829,airports!A:H,8,FALSE)</f>
        <v>-77.037722220000006</v>
      </c>
      <c r="F1829" s="3">
        <f>VLOOKUP(B1829,airports!A:H,7,FALSE)</f>
        <v>35.072972219999997</v>
      </c>
      <c r="G1829" s="3">
        <f>VLOOKUP(B1829,airports!A:H,8,FALSE)</f>
        <v>-77.042944439999999</v>
      </c>
      <c r="H1829">
        <f t="shared" si="56"/>
        <v>420.2</v>
      </c>
      <c r="I1829">
        <f t="shared" si="57"/>
        <v>261.10000000000002</v>
      </c>
    </row>
    <row r="1830" spans="1:9" ht="30" x14ac:dyDescent="0.25">
      <c r="A1830" s="5" t="s">
        <v>45</v>
      </c>
      <c r="B1830" s="5" t="s">
        <v>52</v>
      </c>
      <c r="C1830" s="5" t="s">
        <v>2220</v>
      </c>
      <c r="D1830" s="3">
        <f>VLOOKUP(A1830,airports!A:H,7,FALSE)</f>
        <v>38.852083329999999</v>
      </c>
      <c r="E1830" s="3">
        <f>VLOOKUP(A1830,airports!A:H,8,FALSE)</f>
        <v>-77.037722220000006</v>
      </c>
      <c r="F1830" s="3">
        <f>VLOOKUP(B1830,airports!A:H,7,FALSE)</f>
        <v>40.69249722</v>
      </c>
      <c r="G1830" s="3">
        <f>VLOOKUP(B1830,airports!A:H,8,FALSE)</f>
        <v>-74.168660560000006</v>
      </c>
      <c r="H1830">
        <f t="shared" si="56"/>
        <v>319.3</v>
      </c>
      <c r="I1830">
        <f t="shared" si="57"/>
        <v>198.4</v>
      </c>
    </row>
    <row r="1831" spans="1:9" ht="30" x14ac:dyDescent="0.25">
      <c r="A1831" s="5" t="s">
        <v>45</v>
      </c>
      <c r="B1831" s="5" t="s">
        <v>54</v>
      </c>
      <c r="C1831" s="5" t="s">
        <v>2221</v>
      </c>
      <c r="D1831" s="3">
        <f>VLOOKUP(A1831,airports!A:H,7,FALSE)</f>
        <v>38.852083329999999</v>
      </c>
      <c r="E1831" s="3">
        <f>VLOOKUP(A1831,airports!A:H,8,FALSE)</f>
        <v>-77.037722220000006</v>
      </c>
      <c r="F1831" s="3">
        <f>VLOOKUP(B1831,airports!A:H,7,FALSE)</f>
        <v>24.55611111</v>
      </c>
      <c r="G1831" s="3">
        <f>VLOOKUP(B1831,airports!A:H,8,FALSE)</f>
        <v>-81.759555559999995</v>
      </c>
      <c r="H1831">
        <f t="shared" si="56"/>
        <v>1650.5</v>
      </c>
      <c r="I1831">
        <f t="shared" si="57"/>
        <v>1025.7</v>
      </c>
    </row>
    <row r="1832" spans="1:9" x14ac:dyDescent="0.25">
      <c r="A1832" s="5" t="s">
        <v>45</v>
      </c>
      <c r="B1832" s="5" t="s">
        <v>57</v>
      </c>
      <c r="C1832" s="5" t="s">
        <v>2222</v>
      </c>
      <c r="D1832" s="3">
        <f>VLOOKUP(A1832,airports!A:H,7,FALSE)</f>
        <v>38.852083329999999</v>
      </c>
      <c r="E1832" s="3">
        <f>VLOOKUP(A1832,airports!A:H,8,FALSE)</f>
        <v>-77.037722220000006</v>
      </c>
      <c r="F1832" s="3">
        <f>VLOOKUP(B1832,airports!A:H,7,FALSE)</f>
        <v>26.072583330000001</v>
      </c>
      <c r="G1832" s="3">
        <f>VLOOKUP(B1832,airports!A:H,8,FALSE)</f>
        <v>-80.152749999999997</v>
      </c>
      <c r="H1832">
        <f t="shared" si="56"/>
        <v>1450.5</v>
      </c>
      <c r="I1832">
        <f t="shared" si="57"/>
        <v>901.3</v>
      </c>
    </row>
    <row r="1833" spans="1:9" ht="30" x14ac:dyDescent="0.25">
      <c r="A1833" s="5" t="s">
        <v>45</v>
      </c>
      <c r="B1833" s="5" t="s">
        <v>515</v>
      </c>
      <c r="C1833" s="5" t="s">
        <v>2223</v>
      </c>
      <c r="D1833" s="3">
        <f>VLOOKUP(A1833,airports!A:H,7,FALSE)</f>
        <v>38.852083329999999</v>
      </c>
      <c r="E1833" s="3">
        <f>VLOOKUP(A1833,airports!A:H,8,FALSE)</f>
        <v>-77.037722220000006</v>
      </c>
      <c r="F1833" s="3">
        <f>VLOOKUP(B1833,airports!A:H,7,FALSE)</f>
        <v>42.880819719999998</v>
      </c>
      <c r="G1833" s="3">
        <f>VLOOKUP(B1833,airports!A:H,8,FALSE)</f>
        <v>-85.522767779999995</v>
      </c>
      <c r="H1833">
        <f t="shared" si="56"/>
        <v>841.8</v>
      </c>
      <c r="I1833">
        <f t="shared" si="57"/>
        <v>523.1</v>
      </c>
    </row>
    <row r="1834" spans="1:9" ht="30" x14ac:dyDescent="0.25">
      <c r="A1834" s="5" t="s">
        <v>45</v>
      </c>
      <c r="B1834" s="5" t="s">
        <v>517</v>
      </c>
      <c r="C1834" s="5" t="s">
        <v>2224</v>
      </c>
      <c r="D1834" s="3">
        <f>VLOOKUP(A1834,airports!A:H,7,FALSE)</f>
        <v>38.852083329999999</v>
      </c>
      <c r="E1834" s="3">
        <f>VLOOKUP(A1834,airports!A:H,8,FALSE)</f>
        <v>-77.037722220000006</v>
      </c>
      <c r="F1834" s="3">
        <f>VLOOKUP(B1834,airports!A:H,7,FALSE)</f>
        <v>36.09774694</v>
      </c>
      <c r="G1834" s="3">
        <f>VLOOKUP(B1834,airports!A:H,8,FALSE)</f>
        <v>-79.9372975</v>
      </c>
      <c r="H1834">
        <f t="shared" si="56"/>
        <v>399</v>
      </c>
      <c r="I1834">
        <f t="shared" si="57"/>
        <v>248</v>
      </c>
    </row>
    <row r="1835" spans="1:9" ht="30" x14ac:dyDescent="0.25">
      <c r="A1835" s="5" t="s">
        <v>45</v>
      </c>
      <c r="B1835" s="5" t="s">
        <v>519</v>
      </c>
      <c r="C1835" s="5" t="s">
        <v>2225</v>
      </c>
      <c r="D1835" s="3">
        <f>VLOOKUP(A1835,airports!A:H,7,FALSE)</f>
        <v>38.852083329999999</v>
      </c>
      <c r="E1835" s="3">
        <f>VLOOKUP(A1835,airports!A:H,8,FALSE)</f>
        <v>-77.037722220000006</v>
      </c>
      <c r="F1835" s="3">
        <f>VLOOKUP(B1835,airports!A:H,7,FALSE)</f>
        <v>34.89566722</v>
      </c>
      <c r="G1835" s="3">
        <f>VLOOKUP(B1835,airports!A:H,8,FALSE)</f>
        <v>-82.218858330000003</v>
      </c>
      <c r="H1835">
        <f t="shared" si="56"/>
        <v>636.9</v>
      </c>
      <c r="I1835">
        <f t="shared" si="57"/>
        <v>395.8</v>
      </c>
    </row>
    <row r="1836" spans="1:9" ht="30" x14ac:dyDescent="0.25">
      <c r="A1836" s="5" t="s">
        <v>45</v>
      </c>
      <c r="B1836" s="5" t="s">
        <v>524</v>
      </c>
      <c r="C1836" s="5" t="s">
        <v>2226</v>
      </c>
      <c r="D1836" s="3">
        <f>VLOOKUP(A1836,airports!A:H,7,FALSE)</f>
        <v>38.852083329999999</v>
      </c>
      <c r="E1836" s="3">
        <f>VLOOKUP(A1836,airports!A:H,8,FALSE)</f>
        <v>-77.037722220000006</v>
      </c>
      <c r="F1836" s="3">
        <f>VLOOKUP(B1836,airports!A:H,7,FALSE)</f>
        <v>32.224399566700001</v>
      </c>
      <c r="G1836" s="3">
        <f>VLOOKUP(B1836,airports!A:H,8,FALSE)</f>
        <v>-80.697502136200001</v>
      </c>
      <c r="H1836">
        <f t="shared" si="56"/>
        <v>807.7</v>
      </c>
      <c r="I1836">
        <f t="shared" si="57"/>
        <v>501.9</v>
      </c>
    </row>
    <row r="1837" spans="1:9" ht="30" x14ac:dyDescent="0.25">
      <c r="A1837" s="5" t="s">
        <v>45</v>
      </c>
      <c r="B1837" s="5" t="s">
        <v>205</v>
      </c>
      <c r="C1837" s="5" t="s">
        <v>2227</v>
      </c>
      <c r="D1837" s="3">
        <f>VLOOKUP(A1837,airports!A:H,7,FALSE)</f>
        <v>38.852083329999999</v>
      </c>
      <c r="E1837" s="3">
        <f>VLOOKUP(A1837,airports!A:H,8,FALSE)</f>
        <v>-77.037722220000006</v>
      </c>
      <c r="F1837" s="3">
        <f>VLOOKUP(B1837,airports!A:H,7,FALSE)</f>
        <v>29.64541861</v>
      </c>
      <c r="G1837" s="3">
        <f>VLOOKUP(B1837,airports!A:H,8,FALSE)</f>
        <v>-95.278888890000005</v>
      </c>
      <c r="H1837">
        <f t="shared" si="56"/>
        <v>1958.8</v>
      </c>
      <c r="I1837">
        <f t="shared" si="57"/>
        <v>1217.2</v>
      </c>
    </row>
    <row r="1838" spans="1:9" ht="30" x14ac:dyDescent="0.25">
      <c r="A1838" s="5" t="s">
        <v>45</v>
      </c>
      <c r="B1838" s="5" t="s">
        <v>65</v>
      </c>
      <c r="C1838" s="5" t="s">
        <v>2228</v>
      </c>
      <c r="D1838" s="3">
        <f>VLOOKUP(A1838,airports!A:H,7,FALSE)</f>
        <v>38.852083329999999</v>
      </c>
      <c r="E1838" s="3">
        <f>VLOOKUP(A1838,airports!A:H,8,FALSE)</f>
        <v>-77.037722220000006</v>
      </c>
      <c r="F1838" s="3">
        <f>VLOOKUP(B1838,airports!A:H,7,FALSE)</f>
        <v>41.066957780000003</v>
      </c>
      <c r="G1838" s="3">
        <f>VLOOKUP(B1838,airports!A:H,8,FALSE)</f>
        <v>-73.707574440000002</v>
      </c>
      <c r="H1838">
        <f t="shared" si="56"/>
        <v>375.7</v>
      </c>
      <c r="I1838">
        <f t="shared" si="57"/>
        <v>233.5</v>
      </c>
    </row>
    <row r="1839" spans="1:9" ht="30" x14ac:dyDescent="0.25">
      <c r="A1839" s="5" t="s">
        <v>45</v>
      </c>
      <c r="B1839" s="5" t="s">
        <v>529</v>
      </c>
      <c r="C1839" s="5" t="s">
        <v>2229</v>
      </c>
      <c r="D1839" s="3">
        <f>VLOOKUP(A1839,airports!A:H,7,FALSE)</f>
        <v>38.852083329999999</v>
      </c>
      <c r="E1839" s="3">
        <f>VLOOKUP(A1839,airports!A:H,8,FALSE)</f>
        <v>-77.037722220000006</v>
      </c>
      <c r="F1839" s="3">
        <f>VLOOKUP(B1839,airports!A:H,7,FALSE)</f>
        <v>34.640447500000001</v>
      </c>
      <c r="G1839" s="3">
        <f>VLOOKUP(B1839,airports!A:H,8,FALSE)</f>
        <v>-86.773109439999999</v>
      </c>
      <c r="H1839">
        <f t="shared" si="56"/>
        <v>985</v>
      </c>
      <c r="I1839">
        <f t="shared" si="57"/>
        <v>612.1</v>
      </c>
    </row>
    <row r="1840" spans="1:9" ht="30" x14ac:dyDescent="0.25">
      <c r="A1840" s="5" t="s">
        <v>45</v>
      </c>
      <c r="B1840" s="5" t="s">
        <v>67</v>
      </c>
      <c r="C1840" s="5" t="s">
        <v>2230</v>
      </c>
      <c r="D1840" s="3">
        <f>VLOOKUP(A1840,airports!A:H,7,FALSE)</f>
        <v>38.852083329999999</v>
      </c>
      <c r="E1840" s="3">
        <f>VLOOKUP(A1840,airports!A:H,8,FALSE)</f>
        <v>-77.037722220000006</v>
      </c>
      <c r="F1840" s="3">
        <f>VLOOKUP(B1840,airports!A:H,7,FALSE)</f>
        <v>29.980472219999999</v>
      </c>
      <c r="G1840" s="3">
        <f>VLOOKUP(B1840,airports!A:H,8,FALSE)</f>
        <v>-95.339722219999999</v>
      </c>
      <c r="H1840">
        <f t="shared" si="56"/>
        <v>1941.7</v>
      </c>
      <c r="I1840">
        <f t="shared" si="57"/>
        <v>1206.5999999999999</v>
      </c>
    </row>
    <row r="1841" spans="1:9" ht="30" x14ac:dyDescent="0.25">
      <c r="A1841" s="5" t="s">
        <v>45</v>
      </c>
      <c r="B1841" s="5" t="s">
        <v>535</v>
      </c>
      <c r="C1841" s="5" t="s">
        <v>2231</v>
      </c>
      <c r="D1841" s="3">
        <f>VLOOKUP(A1841,airports!A:H,7,FALSE)</f>
        <v>38.852083329999999</v>
      </c>
      <c r="E1841" s="3">
        <f>VLOOKUP(A1841,airports!A:H,8,FALSE)</f>
        <v>-77.037722220000006</v>
      </c>
      <c r="F1841" s="3">
        <f>VLOOKUP(B1841,airports!A:H,7,FALSE)</f>
        <v>34.270611109999997</v>
      </c>
      <c r="G1841" s="3">
        <f>VLOOKUP(B1841,airports!A:H,8,FALSE)</f>
        <v>-77.902555559999996</v>
      </c>
      <c r="H1841">
        <f t="shared" si="56"/>
        <v>515.29999999999995</v>
      </c>
      <c r="I1841">
        <f t="shared" si="57"/>
        <v>320.2</v>
      </c>
    </row>
    <row r="1842" spans="1:9" ht="30" x14ac:dyDescent="0.25">
      <c r="A1842" s="5" t="s">
        <v>45</v>
      </c>
      <c r="B1842" s="5" t="s">
        <v>537</v>
      </c>
      <c r="C1842" s="5" t="s">
        <v>2232</v>
      </c>
      <c r="D1842" s="3">
        <f>VLOOKUP(A1842,airports!A:H,7,FALSE)</f>
        <v>38.852083329999999</v>
      </c>
      <c r="E1842" s="3">
        <f>VLOOKUP(A1842,airports!A:H,8,FALSE)</f>
        <v>-77.037722220000006</v>
      </c>
      <c r="F1842" s="3">
        <f>VLOOKUP(B1842,airports!A:H,7,FALSE)</f>
        <v>39.717329169999999</v>
      </c>
      <c r="G1842" s="3">
        <f>VLOOKUP(B1842,airports!A:H,8,FALSE)</f>
        <v>-86.294384170000001</v>
      </c>
      <c r="H1842">
        <f t="shared" si="56"/>
        <v>802.1</v>
      </c>
      <c r="I1842">
        <f t="shared" si="57"/>
        <v>498.4</v>
      </c>
    </row>
    <row r="1843" spans="1:9" ht="30" x14ac:dyDescent="0.25">
      <c r="A1843" s="5" t="s">
        <v>45</v>
      </c>
      <c r="B1843" s="5" t="s">
        <v>543</v>
      </c>
      <c r="C1843" s="5" t="s">
        <v>2233</v>
      </c>
      <c r="D1843" s="3">
        <f>VLOOKUP(A1843,airports!A:H,7,FALSE)</f>
        <v>38.852083329999999</v>
      </c>
      <c r="E1843" s="3">
        <f>VLOOKUP(A1843,airports!A:H,8,FALSE)</f>
        <v>-77.037722220000006</v>
      </c>
      <c r="F1843" s="3">
        <f>VLOOKUP(B1843,airports!A:H,7,FALSE)</f>
        <v>32.311166669999999</v>
      </c>
      <c r="G1843" s="3">
        <f>VLOOKUP(B1843,airports!A:H,8,FALSE)</f>
        <v>-90.075888890000002</v>
      </c>
      <c r="H1843">
        <f t="shared" si="56"/>
        <v>1383.2</v>
      </c>
      <c r="I1843">
        <f t="shared" si="57"/>
        <v>859.6</v>
      </c>
    </row>
    <row r="1844" spans="1:9" ht="30" x14ac:dyDescent="0.25">
      <c r="A1844" s="5" t="s">
        <v>45</v>
      </c>
      <c r="B1844" s="5" t="s">
        <v>68</v>
      </c>
      <c r="C1844" s="5" t="s">
        <v>2234</v>
      </c>
      <c r="D1844" s="3">
        <f>VLOOKUP(A1844,airports!A:H,7,FALSE)</f>
        <v>38.852083329999999</v>
      </c>
      <c r="E1844" s="3">
        <f>VLOOKUP(A1844,airports!A:H,8,FALSE)</f>
        <v>-77.037722220000006</v>
      </c>
      <c r="F1844" s="3">
        <f>VLOOKUP(B1844,airports!A:H,7,FALSE)</f>
        <v>30.49405556</v>
      </c>
      <c r="G1844" s="3">
        <f>VLOOKUP(B1844,airports!A:H,8,FALSE)</f>
        <v>-81.68786111</v>
      </c>
      <c r="H1844">
        <f t="shared" si="56"/>
        <v>1021.6</v>
      </c>
      <c r="I1844">
        <f t="shared" si="57"/>
        <v>634.9</v>
      </c>
    </row>
    <row r="1845" spans="1:9" x14ac:dyDescent="0.25">
      <c r="A1845" s="5" t="s">
        <v>45</v>
      </c>
      <c r="B1845" s="5" t="s">
        <v>69</v>
      </c>
      <c r="C1845" s="5" t="s">
        <v>2235</v>
      </c>
      <c r="D1845" s="3">
        <f>VLOOKUP(A1845,airports!A:H,7,FALSE)</f>
        <v>38.852083329999999</v>
      </c>
      <c r="E1845" s="3">
        <f>VLOOKUP(A1845,airports!A:H,8,FALSE)</f>
        <v>-77.037722220000006</v>
      </c>
      <c r="F1845" s="3">
        <f>VLOOKUP(B1845,airports!A:H,7,FALSE)</f>
        <v>40.639751109999999</v>
      </c>
      <c r="G1845" s="3">
        <f>VLOOKUP(B1845,airports!A:H,8,FALSE)</f>
        <v>-73.778925560000005</v>
      </c>
      <c r="H1845">
        <f t="shared" si="56"/>
        <v>342.2</v>
      </c>
      <c r="I1845">
        <f t="shared" si="57"/>
        <v>212.7</v>
      </c>
    </row>
    <row r="1846" spans="1:9" ht="30" x14ac:dyDescent="0.25">
      <c r="A1846" s="5" t="s">
        <v>45</v>
      </c>
      <c r="B1846" s="5" t="s">
        <v>2236</v>
      </c>
      <c r="C1846" s="5" t="s">
        <v>2237</v>
      </c>
      <c r="D1846" s="3">
        <f>VLOOKUP(A1846,airports!A:H,7,FALSE)</f>
        <v>38.852083329999999</v>
      </c>
      <c r="E1846" s="3">
        <f>VLOOKUP(A1846,airports!A:H,8,FALSE)</f>
        <v>-77.037722220000006</v>
      </c>
      <c r="F1846" s="3">
        <f>VLOOKUP(B1846,airports!A:H,7,FALSE)</f>
        <v>42.778700000000001</v>
      </c>
      <c r="G1846" s="3">
        <f>VLOOKUP(B1846,airports!A:H,8,FALSE)</f>
        <v>-84.58735806</v>
      </c>
      <c r="H1846">
        <f t="shared" si="56"/>
        <v>770.4</v>
      </c>
      <c r="I1846">
        <f t="shared" si="57"/>
        <v>478.7</v>
      </c>
    </row>
    <row r="1847" spans="1:9" ht="30" x14ac:dyDescent="0.25">
      <c r="A1847" s="5" t="s">
        <v>45</v>
      </c>
      <c r="B1847" s="5" t="s">
        <v>71</v>
      </c>
      <c r="C1847" s="5" t="s">
        <v>2238</v>
      </c>
      <c r="D1847" s="3">
        <f>VLOOKUP(A1847,airports!A:H,7,FALSE)</f>
        <v>38.852083329999999</v>
      </c>
      <c r="E1847" s="3">
        <f>VLOOKUP(A1847,airports!A:H,8,FALSE)</f>
        <v>-77.037722220000006</v>
      </c>
      <c r="F1847" s="3">
        <f>VLOOKUP(B1847,airports!A:H,7,FALSE)</f>
        <v>36.080361109999998</v>
      </c>
      <c r="G1847" s="3">
        <f>VLOOKUP(B1847,airports!A:H,8,FALSE)</f>
        <v>-115.1523333</v>
      </c>
      <c r="H1847">
        <f t="shared" si="56"/>
        <v>3353.6</v>
      </c>
      <c r="I1847">
        <f t="shared" si="57"/>
        <v>2084</v>
      </c>
    </row>
    <row r="1848" spans="1:9" ht="30" x14ac:dyDescent="0.25">
      <c r="A1848" s="5" t="s">
        <v>45</v>
      </c>
      <c r="B1848" s="5" t="s">
        <v>73</v>
      </c>
      <c r="C1848" s="5" t="s">
        <v>2239</v>
      </c>
      <c r="D1848" s="3">
        <f>VLOOKUP(A1848,airports!A:H,7,FALSE)</f>
        <v>38.852083329999999</v>
      </c>
      <c r="E1848" s="3">
        <f>VLOOKUP(A1848,airports!A:H,8,FALSE)</f>
        <v>-77.037722220000006</v>
      </c>
      <c r="F1848" s="3">
        <f>VLOOKUP(B1848,airports!A:H,7,FALSE)</f>
        <v>33.942536109999999</v>
      </c>
      <c r="G1848" s="3">
        <f>VLOOKUP(B1848,airports!A:H,8,FALSE)</f>
        <v>-118.4080744</v>
      </c>
      <c r="H1848">
        <f t="shared" si="56"/>
        <v>3710.9</v>
      </c>
      <c r="I1848">
        <f t="shared" si="57"/>
        <v>2306</v>
      </c>
    </row>
    <row r="1849" spans="1:9" ht="30" x14ac:dyDescent="0.25">
      <c r="A1849" s="5" t="s">
        <v>45</v>
      </c>
      <c r="B1849" s="5" t="s">
        <v>549</v>
      </c>
      <c r="C1849" s="5" t="s">
        <v>2240</v>
      </c>
      <c r="D1849" s="3">
        <f>VLOOKUP(A1849,airports!A:H,7,FALSE)</f>
        <v>38.852083329999999</v>
      </c>
      <c r="E1849" s="3">
        <f>VLOOKUP(A1849,airports!A:H,8,FALSE)</f>
        <v>-77.037722220000006</v>
      </c>
      <c r="F1849" s="3">
        <f>VLOOKUP(B1849,airports!A:H,7,FALSE)</f>
        <v>38.036972220000003</v>
      </c>
      <c r="G1849" s="3">
        <f>VLOOKUP(B1849,airports!A:H,8,FALSE)</f>
        <v>-84.60538889</v>
      </c>
      <c r="H1849">
        <f t="shared" si="56"/>
        <v>665.1</v>
      </c>
      <c r="I1849">
        <f t="shared" si="57"/>
        <v>413.3</v>
      </c>
    </row>
    <row r="1850" spans="1:9" ht="30" x14ac:dyDescent="0.25">
      <c r="A1850" s="5" t="s">
        <v>45</v>
      </c>
      <c r="B1850" s="5" t="s">
        <v>74</v>
      </c>
      <c r="C1850" s="5" t="s">
        <v>2241</v>
      </c>
      <c r="D1850" s="3">
        <f>VLOOKUP(A1850,airports!A:H,7,FALSE)</f>
        <v>38.852083329999999</v>
      </c>
      <c r="E1850" s="3">
        <f>VLOOKUP(A1850,airports!A:H,8,FALSE)</f>
        <v>-77.037722220000006</v>
      </c>
      <c r="F1850" s="3">
        <f>VLOOKUP(B1850,airports!A:H,7,FALSE)</f>
        <v>40.777243060000004</v>
      </c>
      <c r="G1850" s="3">
        <f>VLOOKUP(B1850,airports!A:H,8,FALSE)</f>
        <v>-73.872609170000004</v>
      </c>
      <c r="H1850">
        <f t="shared" si="56"/>
        <v>344.8</v>
      </c>
      <c r="I1850">
        <f t="shared" si="57"/>
        <v>214.3</v>
      </c>
    </row>
    <row r="1851" spans="1:9" x14ac:dyDescent="0.25">
      <c r="A1851" s="5" t="s">
        <v>45</v>
      </c>
      <c r="B1851" s="5" t="s">
        <v>554</v>
      </c>
      <c r="C1851" s="5" t="s">
        <v>2242</v>
      </c>
      <c r="D1851" s="3">
        <f>VLOOKUP(A1851,airports!A:H,7,FALSE)</f>
        <v>38.852083329999999</v>
      </c>
      <c r="E1851" s="3">
        <f>VLOOKUP(A1851,airports!A:H,8,FALSE)</f>
        <v>-77.037722220000006</v>
      </c>
      <c r="F1851" s="3">
        <f>VLOOKUP(B1851,airports!A:H,7,FALSE)</f>
        <v>34.729396110000003</v>
      </c>
      <c r="G1851" s="3">
        <f>VLOOKUP(B1851,airports!A:H,8,FALSE)</f>
        <v>-92.22424556</v>
      </c>
      <c r="H1851">
        <f t="shared" si="56"/>
        <v>1425.8</v>
      </c>
      <c r="I1851">
        <f t="shared" si="57"/>
        <v>886</v>
      </c>
    </row>
    <row r="1852" spans="1:9" ht="30" x14ac:dyDescent="0.25">
      <c r="A1852" s="5" t="s">
        <v>45</v>
      </c>
      <c r="B1852" s="5" t="s">
        <v>80</v>
      </c>
      <c r="C1852" s="5" t="s">
        <v>2243</v>
      </c>
      <c r="D1852" s="3">
        <f>VLOOKUP(A1852,airports!A:H,7,FALSE)</f>
        <v>38.852083329999999</v>
      </c>
      <c r="E1852" s="3">
        <f>VLOOKUP(A1852,airports!A:H,8,FALSE)</f>
        <v>-77.037722220000006</v>
      </c>
      <c r="F1852" s="3">
        <f>VLOOKUP(B1852,airports!A:H,7,FALSE)</f>
        <v>39.297605279999999</v>
      </c>
      <c r="G1852" s="3">
        <f>VLOOKUP(B1852,airports!A:H,8,FALSE)</f>
        <v>-94.713905560000001</v>
      </c>
      <c r="H1852">
        <f t="shared" si="56"/>
        <v>1524.2</v>
      </c>
      <c r="I1852">
        <f t="shared" si="57"/>
        <v>947.2</v>
      </c>
    </row>
    <row r="1853" spans="1:9" ht="30" x14ac:dyDescent="0.25">
      <c r="A1853" s="5" t="s">
        <v>45</v>
      </c>
      <c r="B1853" s="5" t="s">
        <v>82</v>
      </c>
      <c r="C1853" s="5" t="s">
        <v>2244</v>
      </c>
      <c r="D1853" s="3">
        <f>VLOOKUP(A1853,airports!A:H,7,FALSE)</f>
        <v>38.852083329999999</v>
      </c>
      <c r="E1853" s="3">
        <f>VLOOKUP(A1853,airports!A:H,8,FALSE)</f>
        <v>-77.037722220000006</v>
      </c>
      <c r="F1853" s="3">
        <f>VLOOKUP(B1853,airports!A:H,7,FALSE)</f>
        <v>28.42888889</v>
      </c>
      <c r="G1853" s="3">
        <f>VLOOKUP(B1853,airports!A:H,8,FALSE)</f>
        <v>-81.316027779999999</v>
      </c>
      <c r="H1853">
        <f t="shared" si="56"/>
        <v>1224.4000000000001</v>
      </c>
      <c r="I1853">
        <f t="shared" si="57"/>
        <v>760.8</v>
      </c>
    </row>
    <row r="1854" spans="1:9" ht="30" x14ac:dyDescent="0.25">
      <c r="A1854" s="5" t="s">
        <v>45</v>
      </c>
      <c r="B1854" s="5" t="s">
        <v>180</v>
      </c>
      <c r="C1854" s="5" t="s">
        <v>2245</v>
      </c>
      <c r="D1854" s="3">
        <f>VLOOKUP(A1854,airports!A:H,7,FALSE)</f>
        <v>38.852083329999999</v>
      </c>
      <c r="E1854" s="3">
        <f>VLOOKUP(A1854,airports!A:H,8,FALSE)</f>
        <v>-77.037722220000006</v>
      </c>
      <c r="F1854" s="3">
        <f>VLOOKUP(B1854,airports!A:H,7,FALSE)</f>
        <v>41.785982500000003</v>
      </c>
      <c r="G1854" s="3">
        <f>VLOOKUP(B1854,airports!A:H,8,FALSE)</f>
        <v>-87.752424439999999</v>
      </c>
      <c r="H1854">
        <f t="shared" si="56"/>
        <v>964.4</v>
      </c>
      <c r="I1854">
        <f t="shared" si="57"/>
        <v>599.29999999999995</v>
      </c>
    </row>
    <row r="1855" spans="1:9" ht="30" x14ac:dyDescent="0.25">
      <c r="A1855" s="5" t="s">
        <v>45</v>
      </c>
      <c r="B1855" s="5" t="s">
        <v>563</v>
      </c>
      <c r="C1855" s="5" t="s">
        <v>2246</v>
      </c>
      <c r="D1855" s="3">
        <f>VLOOKUP(A1855,airports!A:H,7,FALSE)</f>
        <v>38.852083329999999</v>
      </c>
      <c r="E1855" s="3">
        <f>VLOOKUP(A1855,airports!A:H,8,FALSE)</f>
        <v>-77.037722220000006</v>
      </c>
      <c r="F1855" s="3">
        <f>VLOOKUP(B1855,airports!A:H,7,FALSE)</f>
        <v>35.042416670000001</v>
      </c>
      <c r="G1855" s="3">
        <f>VLOOKUP(B1855,airports!A:H,8,FALSE)</f>
        <v>-89.97666667</v>
      </c>
      <c r="H1855">
        <f t="shared" si="56"/>
        <v>1224</v>
      </c>
      <c r="I1855">
        <f t="shared" si="57"/>
        <v>760.6</v>
      </c>
    </row>
    <row r="1856" spans="1:9" ht="30" x14ac:dyDescent="0.25">
      <c r="A1856" s="5" t="s">
        <v>45</v>
      </c>
      <c r="B1856" s="5" t="s">
        <v>565</v>
      </c>
      <c r="C1856" s="5" t="s">
        <v>2247</v>
      </c>
      <c r="D1856" s="3">
        <f>VLOOKUP(A1856,airports!A:H,7,FALSE)</f>
        <v>38.852083329999999</v>
      </c>
      <c r="E1856" s="3">
        <f>VLOOKUP(A1856,airports!A:H,8,FALSE)</f>
        <v>-77.037722220000006</v>
      </c>
      <c r="F1856" s="3">
        <f>VLOOKUP(B1856,airports!A:H,7,FALSE)</f>
        <v>32.300644169999998</v>
      </c>
      <c r="G1856" s="3">
        <f>VLOOKUP(B1856,airports!A:H,8,FALSE)</f>
        <v>-86.393976109999997</v>
      </c>
      <c r="H1856">
        <f t="shared" si="56"/>
        <v>1115.4000000000001</v>
      </c>
      <c r="I1856">
        <f t="shared" si="57"/>
        <v>693.1</v>
      </c>
    </row>
    <row r="1857" spans="1:9" ht="30" x14ac:dyDescent="0.25">
      <c r="A1857" s="5" t="s">
        <v>45</v>
      </c>
      <c r="B1857" s="5" t="s">
        <v>567</v>
      </c>
      <c r="C1857" s="5" t="s">
        <v>2248</v>
      </c>
      <c r="D1857" s="3">
        <f>VLOOKUP(A1857,airports!A:H,7,FALSE)</f>
        <v>38.852083329999999</v>
      </c>
      <c r="E1857" s="3">
        <f>VLOOKUP(A1857,airports!A:H,8,FALSE)</f>
        <v>-77.037722220000006</v>
      </c>
      <c r="F1857" s="3">
        <f>VLOOKUP(B1857,airports!A:H,7,FALSE)</f>
        <v>42.934516389999999</v>
      </c>
      <c r="G1857" s="3">
        <f>VLOOKUP(B1857,airports!A:H,8,FALSE)</f>
        <v>-71.437055830000006</v>
      </c>
      <c r="H1857">
        <f t="shared" si="56"/>
        <v>653.70000000000005</v>
      </c>
      <c r="I1857">
        <f t="shared" si="57"/>
        <v>406.2</v>
      </c>
    </row>
    <row r="1858" spans="1:9" ht="30" x14ac:dyDescent="0.25">
      <c r="A1858" s="5" t="s">
        <v>45</v>
      </c>
      <c r="B1858" s="5" t="s">
        <v>84</v>
      </c>
      <c r="C1858" s="5" t="s">
        <v>2249</v>
      </c>
      <c r="D1858" s="3">
        <f>VLOOKUP(A1858,airports!A:H,7,FALSE)</f>
        <v>38.852083329999999</v>
      </c>
      <c r="E1858" s="3">
        <f>VLOOKUP(A1858,airports!A:H,8,FALSE)</f>
        <v>-77.037722220000006</v>
      </c>
      <c r="F1858" s="3">
        <f>VLOOKUP(B1858,airports!A:H,7,FALSE)</f>
        <v>25.79325</v>
      </c>
      <c r="G1858" s="3">
        <f>VLOOKUP(B1858,airports!A:H,8,FALSE)</f>
        <v>-80.290555560000001</v>
      </c>
      <c r="H1858">
        <f t="shared" si="56"/>
        <v>1483.6</v>
      </c>
      <c r="I1858">
        <f t="shared" si="57"/>
        <v>921.9</v>
      </c>
    </row>
    <row r="1859" spans="1:9" ht="30" x14ac:dyDescent="0.25">
      <c r="A1859" s="5" t="s">
        <v>45</v>
      </c>
      <c r="B1859" s="5" t="s">
        <v>85</v>
      </c>
      <c r="C1859" s="5" t="s">
        <v>2250</v>
      </c>
      <c r="D1859" s="3">
        <f>VLOOKUP(A1859,airports!A:H,7,FALSE)</f>
        <v>38.852083329999999</v>
      </c>
      <c r="E1859" s="3">
        <f>VLOOKUP(A1859,airports!A:H,8,FALSE)</f>
        <v>-77.037722220000006</v>
      </c>
      <c r="F1859" s="3">
        <f>VLOOKUP(B1859,airports!A:H,7,FALSE)</f>
        <v>42.94722222</v>
      </c>
      <c r="G1859" s="3">
        <f>VLOOKUP(B1859,airports!A:H,8,FALSE)</f>
        <v>-87.896583329999999</v>
      </c>
      <c r="H1859">
        <f t="shared" si="56"/>
        <v>1018.9</v>
      </c>
      <c r="I1859">
        <f t="shared" si="57"/>
        <v>633.1</v>
      </c>
    </row>
    <row r="1860" spans="1:9" ht="30" x14ac:dyDescent="0.25">
      <c r="A1860" s="5" t="s">
        <v>45</v>
      </c>
      <c r="B1860" s="5" t="s">
        <v>571</v>
      </c>
      <c r="C1860" s="5" t="s">
        <v>2251</v>
      </c>
      <c r="D1860" s="3">
        <f>VLOOKUP(A1860,airports!A:H,7,FALSE)</f>
        <v>38.852083329999999</v>
      </c>
      <c r="E1860" s="3">
        <f>VLOOKUP(A1860,airports!A:H,8,FALSE)</f>
        <v>-77.037722220000006</v>
      </c>
      <c r="F1860" s="3">
        <f>VLOOKUP(B1860,airports!A:H,7,FALSE)</f>
        <v>28.10275</v>
      </c>
      <c r="G1860" s="3">
        <f>VLOOKUP(B1860,airports!A:H,8,FALSE)</f>
        <v>-80.645805559999999</v>
      </c>
      <c r="H1860">
        <f t="shared" ref="H1860:H1923" si="58">ROUND(ACOS(COS(RADIANS(90-D1860)) * COS(RADIANS(90-F1860)) + SIN(RADIANS(90-D1860)) * SIN(RADIANS(90-F1860)) * COS(RADIANS(E1860-G1860))) * 6371,1)</f>
        <v>1240.9000000000001</v>
      </c>
      <c r="I1860">
        <f t="shared" ref="I1860:I1923" si="59">ROUND(ACOS(COS(RADIANS(90-D1860)) * COS(RADIANS(90-F1860)) + SIN(RADIANS(90-D1860)) * SIN(RADIANS(90-F1860)) * COS(RADIANS(E1860-G1860))) * 3959,1)</f>
        <v>771.1</v>
      </c>
    </row>
    <row r="1861" spans="1:9" ht="30" x14ac:dyDescent="0.25">
      <c r="A1861" s="5" t="s">
        <v>45</v>
      </c>
      <c r="B1861" s="5" t="s">
        <v>579</v>
      </c>
      <c r="C1861" s="5" t="s">
        <v>2252</v>
      </c>
      <c r="D1861" s="3">
        <f>VLOOKUP(A1861,airports!A:H,7,FALSE)</f>
        <v>38.852083329999999</v>
      </c>
      <c r="E1861" s="3">
        <f>VLOOKUP(A1861,airports!A:H,8,FALSE)</f>
        <v>-77.037722220000006</v>
      </c>
      <c r="F1861" s="3">
        <f>VLOOKUP(B1861,airports!A:H,7,FALSE)</f>
        <v>43.13985778</v>
      </c>
      <c r="G1861" s="3">
        <f>VLOOKUP(B1861,airports!A:H,8,FALSE)</f>
        <v>-89.337513610000002</v>
      </c>
      <c r="H1861">
        <f t="shared" si="58"/>
        <v>1135.5999999999999</v>
      </c>
      <c r="I1861">
        <f t="shared" si="59"/>
        <v>705.6</v>
      </c>
    </row>
    <row r="1862" spans="1:9" ht="30" x14ac:dyDescent="0.25">
      <c r="A1862" s="5" t="s">
        <v>45</v>
      </c>
      <c r="B1862" s="5" t="s">
        <v>87</v>
      </c>
      <c r="C1862" s="5" t="s">
        <v>2253</v>
      </c>
      <c r="D1862" s="3">
        <f>VLOOKUP(A1862,airports!A:H,7,FALSE)</f>
        <v>38.852083329999999</v>
      </c>
      <c r="E1862" s="3">
        <f>VLOOKUP(A1862,airports!A:H,8,FALSE)</f>
        <v>-77.037722220000006</v>
      </c>
      <c r="F1862" s="3">
        <f>VLOOKUP(B1862,airports!A:H,7,FALSE)</f>
        <v>44.880546940000002</v>
      </c>
      <c r="G1862" s="3">
        <f>VLOOKUP(B1862,airports!A:H,8,FALSE)</f>
        <v>-93.216922499999995</v>
      </c>
      <c r="H1862">
        <f t="shared" si="58"/>
        <v>1494.4</v>
      </c>
      <c r="I1862">
        <f t="shared" si="59"/>
        <v>928.7</v>
      </c>
    </row>
    <row r="1863" spans="1:9" ht="30" x14ac:dyDescent="0.25">
      <c r="A1863" s="5" t="s">
        <v>45</v>
      </c>
      <c r="B1863" s="5" t="s">
        <v>89</v>
      </c>
      <c r="C1863" s="5" t="s">
        <v>2254</v>
      </c>
      <c r="D1863" s="3">
        <f>VLOOKUP(A1863,airports!A:H,7,FALSE)</f>
        <v>38.852083329999999</v>
      </c>
      <c r="E1863" s="3">
        <f>VLOOKUP(A1863,airports!A:H,8,FALSE)</f>
        <v>-77.037722220000006</v>
      </c>
      <c r="F1863" s="3">
        <f>VLOOKUP(B1863,airports!A:H,7,FALSE)</f>
        <v>29.993388889999999</v>
      </c>
      <c r="G1863" s="3">
        <f>VLOOKUP(B1863,airports!A:H,8,FALSE)</f>
        <v>-90.258027780000006</v>
      </c>
      <c r="H1863">
        <f t="shared" si="58"/>
        <v>1559.4</v>
      </c>
      <c r="I1863">
        <f t="shared" si="59"/>
        <v>969</v>
      </c>
    </row>
    <row r="1864" spans="1:9" ht="30" x14ac:dyDescent="0.25">
      <c r="A1864" s="5" t="s">
        <v>45</v>
      </c>
      <c r="B1864" s="5" t="s">
        <v>92</v>
      </c>
      <c r="C1864" s="5" t="s">
        <v>2255</v>
      </c>
      <c r="D1864" s="3">
        <f>VLOOKUP(A1864,airports!A:H,7,FALSE)</f>
        <v>38.852083329999999</v>
      </c>
      <c r="E1864" s="3">
        <f>VLOOKUP(A1864,airports!A:H,8,FALSE)</f>
        <v>-77.037722220000006</v>
      </c>
      <c r="F1864" s="3">
        <f>VLOOKUP(B1864,airports!A:H,7,FALSE)</f>
        <v>41.393025829999999</v>
      </c>
      <c r="G1864" s="3">
        <f>VLOOKUP(B1864,airports!A:H,8,FALSE)</f>
        <v>-70.614332500000003</v>
      </c>
      <c r="H1864">
        <f t="shared" si="58"/>
        <v>614.70000000000005</v>
      </c>
      <c r="I1864">
        <f t="shared" si="59"/>
        <v>382</v>
      </c>
    </row>
    <row r="1865" spans="1:9" ht="30" x14ac:dyDescent="0.25">
      <c r="A1865" s="5" t="s">
        <v>45</v>
      </c>
      <c r="B1865" s="5" t="s">
        <v>182</v>
      </c>
      <c r="C1865" s="5" t="s">
        <v>2256</v>
      </c>
      <c r="D1865" s="3">
        <f>VLOOKUP(A1865,airports!A:H,7,FALSE)</f>
        <v>38.852083329999999</v>
      </c>
      <c r="E1865" s="3">
        <f>VLOOKUP(A1865,airports!A:H,8,FALSE)</f>
        <v>-77.037722220000006</v>
      </c>
      <c r="F1865" s="3">
        <f>VLOOKUP(B1865,airports!A:H,7,FALSE)</f>
        <v>33.679749999999999</v>
      </c>
      <c r="G1865" s="3">
        <f>VLOOKUP(B1865,airports!A:H,8,FALSE)</f>
        <v>-78.928333330000001</v>
      </c>
      <c r="H1865">
        <f t="shared" si="58"/>
        <v>599.6</v>
      </c>
      <c r="I1865">
        <f t="shared" si="59"/>
        <v>372.6</v>
      </c>
    </row>
    <row r="1866" spans="1:9" ht="30" x14ac:dyDescent="0.25">
      <c r="A1866" s="5" t="s">
        <v>45</v>
      </c>
      <c r="B1866" s="5" t="s">
        <v>590</v>
      </c>
      <c r="C1866" s="5" t="s">
        <v>2257</v>
      </c>
      <c r="D1866" s="3">
        <f>VLOOKUP(A1866,airports!A:H,7,FALSE)</f>
        <v>38.852083329999999</v>
      </c>
      <c r="E1866" s="3">
        <f>VLOOKUP(A1866,airports!A:H,8,FALSE)</f>
        <v>-77.037722220000006</v>
      </c>
      <c r="F1866" s="3">
        <f>VLOOKUP(B1866,airports!A:H,7,FALSE)</f>
        <v>35.393088329999998</v>
      </c>
      <c r="G1866" s="3">
        <f>VLOOKUP(B1866,airports!A:H,8,FALSE)</f>
        <v>-97.600733890000001</v>
      </c>
      <c r="H1866">
        <f t="shared" si="58"/>
        <v>1859</v>
      </c>
      <c r="I1866">
        <f t="shared" si="59"/>
        <v>1155.2</v>
      </c>
    </row>
    <row r="1867" spans="1:9" ht="30" x14ac:dyDescent="0.25">
      <c r="A1867" s="5" t="s">
        <v>45</v>
      </c>
      <c r="B1867" s="5" t="s">
        <v>592</v>
      </c>
      <c r="C1867" s="5" t="s">
        <v>2258</v>
      </c>
      <c r="D1867" s="3">
        <f>VLOOKUP(A1867,airports!A:H,7,FALSE)</f>
        <v>38.852083329999999</v>
      </c>
      <c r="E1867" s="3">
        <f>VLOOKUP(A1867,airports!A:H,8,FALSE)</f>
        <v>-77.037722220000006</v>
      </c>
      <c r="F1867" s="3">
        <f>VLOOKUP(B1867,airports!A:H,7,FALSE)</f>
        <v>41.30251861</v>
      </c>
      <c r="G1867" s="3">
        <f>VLOOKUP(B1867,airports!A:H,8,FALSE)</f>
        <v>-95.89417306</v>
      </c>
      <c r="H1867">
        <f t="shared" si="58"/>
        <v>1624</v>
      </c>
      <c r="I1867">
        <f t="shared" si="59"/>
        <v>1009.2</v>
      </c>
    </row>
    <row r="1868" spans="1:9" ht="30" x14ac:dyDescent="0.25">
      <c r="A1868" s="5" t="s">
        <v>45</v>
      </c>
      <c r="B1868" s="5" t="s">
        <v>95</v>
      </c>
      <c r="C1868" s="5" t="s">
        <v>2259</v>
      </c>
      <c r="D1868" s="3">
        <f>VLOOKUP(A1868,airports!A:H,7,FALSE)</f>
        <v>38.852083329999999</v>
      </c>
      <c r="E1868" s="3">
        <f>VLOOKUP(A1868,airports!A:H,8,FALSE)</f>
        <v>-77.037722220000006</v>
      </c>
      <c r="F1868" s="3">
        <f>VLOOKUP(B1868,airports!A:H,7,FALSE)</f>
        <v>41.979595000000003</v>
      </c>
      <c r="G1868" s="3">
        <f>VLOOKUP(B1868,airports!A:H,8,FALSE)</f>
        <v>-87.904464169999997</v>
      </c>
      <c r="H1868">
        <f t="shared" si="58"/>
        <v>982.6</v>
      </c>
      <c r="I1868">
        <f t="shared" si="59"/>
        <v>610.6</v>
      </c>
    </row>
    <row r="1869" spans="1:9" ht="30" x14ac:dyDescent="0.25">
      <c r="A1869" s="5" t="s">
        <v>45</v>
      </c>
      <c r="B1869" s="5" t="s">
        <v>596</v>
      </c>
      <c r="C1869" s="5" t="s">
        <v>2260</v>
      </c>
      <c r="D1869" s="3">
        <f>VLOOKUP(A1869,airports!A:H,7,FALSE)</f>
        <v>38.852083329999999</v>
      </c>
      <c r="E1869" s="3">
        <f>VLOOKUP(A1869,airports!A:H,8,FALSE)</f>
        <v>-77.037722220000006</v>
      </c>
      <c r="F1869" s="3">
        <f>VLOOKUP(B1869,airports!A:H,7,FALSE)</f>
        <v>36.89461111</v>
      </c>
      <c r="G1869" s="3">
        <f>VLOOKUP(B1869,airports!A:H,8,FALSE)</f>
        <v>-76.201222220000005</v>
      </c>
      <c r="H1869">
        <f t="shared" si="58"/>
        <v>229.7</v>
      </c>
      <c r="I1869">
        <f t="shared" si="59"/>
        <v>142.69999999999999</v>
      </c>
    </row>
    <row r="1870" spans="1:9" x14ac:dyDescent="0.25">
      <c r="A1870" s="5" t="s">
        <v>45</v>
      </c>
      <c r="B1870" s="5" t="s">
        <v>99</v>
      </c>
      <c r="C1870" s="5" t="s">
        <v>2261</v>
      </c>
      <c r="D1870" s="3">
        <f>VLOOKUP(A1870,airports!A:H,7,FALSE)</f>
        <v>38.852083329999999</v>
      </c>
      <c r="E1870" s="3">
        <f>VLOOKUP(A1870,airports!A:H,8,FALSE)</f>
        <v>-77.037722220000006</v>
      </c>
      <c r="F1870" s="3">
        <f>VLOOKUP(B1870,airports!A:H,7,FALSE)</f>
        <v>26.683161940000002</v>
      </c>
      <c r="G1870" s="3">
        <f>VLOOKUP(B1870,airports!A:H,8,FALSE)</f>
        <v>-80.095594169999998</v>
      </c>
      <c r="H1870">
        <f t="shared" si="58"/>
        <v>1382.7</v>
      </c>
      <c r="I1870">
        <f t="shared" si="59"/>
        <v>859.3</v>
      </c>
    </row>
    <row r="1871" spans="1:9" ht="30" x14ac:dyDescent="0.25">
      <c r="A1871" s="5" t="s">
        <v>45</v>
      </c>
      <c r="B1871" s="5" t="s">
        <v>100</v>
      </c>
      <c r="C1871" s="5" t="s">
        <v>2262</v>
      </c>
      <c r="D1871" s="3">
        <f>VLOOKUP(A1871,airports!A:H,7,FALSE)</f>
        <v>38.852083329999999</v>
      </c>
      <c r="E1871" s="3">
        <f>VLOOKUP(A1871,airports!A:H,8,FALSE)</f>
        <v>-77.037722220000006</v>
      </c>
      <c r="F1871" s="3">
        <f>VLOOKUP(B1871,airports!A:H,7,FALSE)</f>
        <v>45.588722220000001</v>
      </c>
      <c r="G1871" s="3">
        <f>VLOOKUP(B1871,airports!A:H,8,FALSE)</f>
        <v>-122.5975</v>
      </c>
      <c r="H1871">
        <f t="shared" si="58"/>
        <v>3773.2</v>
      </c>
      <c r="I1871">
        <f t="shared" si="59"/>
        <v>2344.6999999999998</v>
      </c>
    </row>
    <row r="1872" spans="1:9" ht="30" x14ac:dyDescent="0.25">
      <c r="A1872" s="5" t="s">
        <v>45</v>
      </c>
      <c r="B1872" s="5" t="s">
        <v>102</v>
      </c>
      <c r="C1872" s="5" t="s">
        <v>2263</v>
      </c>
      <c r="D1872" s="3">
        <f>VLOOKUP(A1872,airports!A:H,7,FALSE)</f>
        <v>38.852083329999999</v>
      </c>
      <c r="E1872" s="3">
        <f>VLOOKUP(A1872,airports!A:H,8,FALSE)</f>
        <v>-77.037722220000006</v>
      </c>
      <c r="F1872" s="3">
        <f>VLOOKUP(B1872,airports!A:H,7,FALSE)</f>
        <v>39.871952780000001</v>
      </c>
      <c r="G1872" s="3">
        <f>VLOOKUP(B1872,airports!A:H,8,FALSE)</f>
        <v>-75.241140830000006</v>
      </c>
      <c r="H1872">
        <f t="shared" si="58"/>
        <v>191.6</v>
      </c>
      <c r="I1872">
        <f t="shared" si="59"/>
        <v>119.1</v>
      </c>
    </row>
    <row r="1873" spans="1:9" ht="30" x14ac:dyDescent="0.25">
      <c r="A1873" s="5" t="s">
        <v>45</v>
      </c>
      <c r="B1873" s="5" t="s">
        <v>104</v>
      </c>
      <c r="C1873" s="5" t="s">
        <v>2264</v>
      </c>
      <c r="D1873" s="3">
        <f>VLOOKUP(A1873,airports!A:H,7,FALSE)</f>
        <v>38.852083329999999</v>
      </c>
      <c r="E1873" s="3">
        <f>VLOOKUP(A1873,airports!A:H,8,FALSE)</f>
        <v>-77.037722220000006</v>
      </c>
      <c r="F1873" s="3">
        <f>VLOOKUP(B1873,airports!A:H,7,FALSE)</f>
        <v>33.434166670000003</v>
      </c>
      <c r="G1873" s="3">
        <f>VLOOKUP(B1873,airports!A:H,8,FALSE)</f>
        <v>-112.00805560000001</v>
      </c>
      <c r="H1873">
        <f t="shared" si="58"/>
        <v>3177.4</v>
      </c>
      <c r="I1873">
        <f t="shared" si="59"/>
        <v>1974.5</v>
      </c>
    </row>
    <row r="1874" spans="1:9" x14ac:dyDescent="0.25">
      <c r="A1874" s="5" t="s">
        <v>45</v>
      </c>
      <c r="B1874" s="5" t="s">
        <v>106</v>
      </c>
      <c r="C1874" s="5" t="s">
        <v>2265</v>
      </c>
      <c r="D1874" s="3">
        <f>VLOOKUP(A1874,airports!A:H,7,FALSE)</f>
        <v>38.852083329999999</v>
      </c>
      <c r="E1874" s="3">
        <f>VLOOKUP(A1874,airports!A:H,8,FALSE)</f>
        <v>-77.037722220000006</v>
      </c>
      <c r="F1874" s="3">
        <f>VLOOKUP(B1874,airports!A:H,7,FALSE)</f>
        <v>40.491465830000003</v>
      </c>
      <c r="G1874" s="3">
        <f>VLOOKUP(B1874,airports!A:H,8,FALSE)</f>
        <v>-80.232870829999996</v>
      </c>
      <c r="H1874">
        <f t="shared" si="58"/>
        <v>328.6</v>
      </c>
      <c r="I1874">
        <f t="shared" si="59"/>
        <v>204.2</v>
      </c>
    </row>
    <row r="1875" spans="1:9" ht="30" x14ac:dyDescent="0.25">
      <c r="A1875" s="5" t="s">
        <v>45</v>
      </c>
      <c r="B1875" s="5" t="s">
        <v>607</v>
      </c>
      <c r="C1875" s="5" t="s">
        <v>2266</v>
      </c>
      <c r="D1875" s="3">
        <f>VLOOKUP(A1875,airports!A:H,7,FALSE)</f>
        <v>38.852083329999999</v>
      </c>
      <c r="E1875" s="3">
        <f>VLOOKUP(A1875,airports!A:H,8,FALSE)</f>
        <v>-77.037722220000006</v>
      </c>
      <c r="F1875" s="3">
        <f>VLOOKUP(B1875,airports!A:H,7,FALSE)</f>
        <v>30.47330556</v>
      </c>
      <c r="G1875" s="3">
        <f>VLOOKUP(B1875,airports!A:H,8,FALSE)</f>
        <v>-87.187444439999993</v>
      </c>
      <c r="H1875">
        <f t="shared" si="58"/>
        <v>1313.5</v>
      </c>
      <c r="I1875">
        <f t="shared" si="59"/>
        <v>816.2</v>
      </c>
    </row>
    <row r="1876" spans="1:9" ht="30" x14ac:dyDescent="0.25">
      <c r="A1876" s="5" t="s">
        <v>45</v>
      </c>
      <c r="B1876" s="5" t="s">
        <v>114</v>
      </c>
      <c r="C1876" s="5" t="s">
        <v>2267</v>
      </c>
      <c r="D1876" s="3">
        <f>VLOOKUP(A1876,airports!A:H,7,FALSE)</f>
        <v>38.852083329999999</v>
      </c>
      <c r="E1876" s="3">
        <f>VLOOKUP(A1876,airports!A:H,8,FALSE)</f>
        <v>-77.037722220000006</v>
      </c>
      <c r="F1876" s="3">
        <f>VLOOKUP(B1876,airports!A:H,7,FALSE)</f>
        <v>41.723999169999999</v>
      </c>
      <c r="G1876" s="3">
        <f>VLOOKUP(B1876,airports!A:H,8,FALSE)</f>
        <v>-71.428221109999996</v>
      </c>
      <c r="H1876">
        <f t="shared" si="58"/>
        <v>572.79999999999995</v>
      </c>
      <c r="I1876">
        <f t="shared" si="59"/>
        <v>356</v>
      </c>
    </row>
    <row r="1877" spans="1:9" ht="30" x14ac:dyDescent="0.25">
      <c r="A1877" s="5" t="s">
        <v>45</v>
      </c>
      <c r="B1877" s="5" t="s">
        <v>117</v>
      </c>
      <c r="C1877" s="5" t="s">
        <v>2268</v>
      </c>
      <c r="D1877" s="3">
        <f>VLOOKUP(A1877,airports!A:H,7,FALSE)</f>
        <v>38.852083329999999</v>
      </c>
      <c r="E1877" s="3">
        <f>VLOOKUP(A1877,airports!A:H,8,FALSE)</f>
        <v>-77.037722220000006</v>
      </c>
      <c r="F1877" s="3">
        <f>VLOOKUP(B1877,airports!A:H,7,FALSE)</f>
        <v>43.646166669999999</v>
      </c>
      <c r="G1877" s="3">
        <f>VLOOKUP(B1877,airports!A:H,8,FALSE)</f>
        <v>-70.308750000000003</v>
      </c>
      <c r="H1877">
        <f t="shared" si="58"/>
        <v>774.5</v>
      </c>
      <c r="I1877">
        <f t="shared" si="59"/>
        <v>481.3</v>
      </c>
    </row>
    <row r="1878" spans="1:9" ht="30" x14ac:dyDescent="0.25">
      <c r="A1878" s="5" t="s">
        <v>45</v>
      </c>
      <c r="B1878" s="5" t="s">
        <v>119</v>
      </c>
      <c r="C1878" s="5" t="s">
        <v>2269</v>
      </c>
      <c r="D1878" s="3">
        <f>VLOOKUP(A1878,airports!A:H,7,FALSE)</f>
        <v>38.852083329999999</v>
      </c>
      <c r="E1878" s="3">
        <f>VLOOKUP(A1878,airports!A:H,8,FALSE)</f>
        <v>-77.037722220000006</v>
      </c>
      <c r="F1878" s="3">
        <f>VLOOKUP(B1878,airports!A:H,7,FALSE)</f>
        <v>35.87763889</v>
      </c>
      <c r="G1878" s="3">
        <f>VLOOKUP(B1878,airports!A:H,8,FALSE)</f>
        <v>-78.787472219999998</v>
      </c>
      <c r="H1878">
        <f t="shared" si="58"/>
        <v>365.1</v>
      </c>
      <c r="I1878">
        <f t="shared" si="59"/>
        <v>226.9</v>
      </c>
    </row>
    <row r="1879" spans="1:9" ht="30" x14ac:dyDescent="0.25">
      <c r="A1879" s="5" t="s">
        <v>45</v>
      </c>
      <c r="B1879" s="5" t="s">
        <v>122</v>
      </c>
      <c r="C1879" s="5" t="s">
        <v>2270</v>
      </c>
      <c r="D1879" s="3">
        <f>VLOOKUP(A1879,airports!A:H,7,FALSE)</f>
        <v>38.852083329999999</v>
      </c>
      <c r="E1879" s="3">
        <f>VLOOKUP(A1879,airports!A:H,8,FALSE)</f>
        <v>-77.037722220000006</v>
      </c>
      <c r="F1879" s="3">
        <f>VLOOKUP(B1879,airports!A:H,7,FALSE)</f>
        <v>43.118866109999999</v>
      </c>
      <c r="G1879" s="3">
        <f>VLOOKUP(B1879,airports!A:H,8,FALSE)</f>
        <v>-77.672383890000006</v>
      </c>
      <c r="H1879">
        <f t="shared" si="58"/>
        <v>477.4</v>
      </c>
      <c r="I1879">
        <f t="shared" si="59"/>
        <v>296.7</v>
      </c>
    </row>
    <row r="1880" spans="1:9" ht="30" x14ac:dyDescent="0.25">
      <c r="A1880" s="5" t="s">
        <v>45</v>
      </c>
      <c r="B1880" s="5" t="s">
        <v>123</v>
      </c>
      <c r="C1880" s="5" t="s">
        <v>2271</v>
      </c>
      <c r="D1880" s="3">
        <f>VLOOKUP(A1880,airports!A:H,7,FALSE)</f>
        <v>38.852083329999999</v>
      </c>
      <c r="E1880" s="3">
        <f>VLOOKUP(A1880,airports!A:H,8,FALSE)</f>
        <v>-77.037722220000006</v>
      </c>
      <c r="F1880" s="3">
        <f>VLOOKUP(B1880,airports!A:H,7,FALSE)</f>
        <v>26.53616667</v>
      </c>
      <c r="G1880" s="3">
        <f>VLOOKUP(B1880,airports!A:H,8,FALSE)</f>
        <v>-81.755166669999994</v>
      </c>
      <c r="H1880">
        <f t="shared" si="58"/>
        <v>1438.3</v>
      </c>
      <c r="I1880">
        <f t="shared" si="59"/>
        <v>893.8</v>
      </c>
    </row>
    <row r="1881" spans="1:9" ht="30" x14ac:dyDescent="0.25">
      <c r="A1881" s="5" t="s">
        <v>45</v>
      </c>
      <c r="B1881" s="5" t="s">
        <v>126</v>
      </c>
      <c r="C1881" s="5" t="s">
        <v>2272</v>
      </c>
      <c r="D1881" s="3">
        <f>VLOOKUP(A1881,airports!A:H,7,FALSE)</f>
        <v>38.852083329999999</v>
      </c>
      <c r="E1881" s="3">
        <f>VLOOKUP(A1881,airports!A:H,8,FALSE)</f>
        <v>-77.037722220000006</v>
      </c>
      <c r="F1881" s="3">
        <f>VLOOKUP(B1881,airports!A:H,7,FALSE)</f>
        <v>32.12758333</v>
      </c>
      <c r="G1881" s="3">
        <f>VLOOKUP(B1881,airports!A:H,8,FALSE)</f>
        <v>-81.202138890000001</v>
      </c>
      <c r="H1881">
        <f t="shared" si="58"/>
        <v>837.2</v>
      </c>
      <c r="I1881">
        <f t="shared" si="59"/>
        <v>520.20000000000005</v>
      </c>
    </row>
    <row r="1882" spans="1:9" ht="30" x14ac:dyDescent="0.25">
      <c r="A1882" s="5" t="s">
        <v>45</v>
      </c>
      <c r="B1882" s="5" t="s">
        <v>626</v>
      </c>
      <c r="C1882" s="5" t="s">
        <v>2273</v>
      </c>
      <c r="D1882" s="3">
        <f>VLOOKUP(A1882,airports!A:H,7,FALSE)</f>
        <v>38.852083329999999</v>
      </c>
      <c r="E1882" s="3">
        <f>VLOOKUP(A1882,airports!A:H,8,FALSE)</f>
        <v>-77.037722220000006</v>
      </c>
      <c r="F1882" s="3">
        <f>VLOOKUP(B1882,airports!A:H,7,FALSE)</f>
        <v>41.708953610000002</v>
      </c>
      <c r="G1882" s="3">
        <f>VLOOKUP(B1882,airports!A:H,8,FALSE)</f>
        <v>-86.318474170000002</v>
      </c>
      <c r="H1882">
        <f t="shared" si="58"/>
        <v>848.4</v>
      </c>
      <c r="I1882">
        <f t="shared" si="59"/>
        <v>527.20000000000005</v>
      </c>
    </row>
    <row r="1883" spans="1:9" ht="30" x14ac:dyDescent="0.25">
      <c r="A1883" s="5" t="s">
        <v>45</v>
      </c>
      <c r="B1883" s="5" t="s">
        <v>630</v>
      </c>
      <c r="C1883" s="5" t="s">
        <v>2274</v>
      </c>
      <c r="D1883" s="3">
        <f>VLOOKUP(A1883,airports!A:H,7,FALSE)</f>
        <v>38.852083329999999</v>
      </c>
      <c r="E1883" s="3">
        <f>VLOOKUP(A1883,airports!A:H,8,FALSE)</f>
        <v>-77.037722220000006</v>
      </c>
      <c r="F1883" s="3">
        <f>VLOOKUP(B1883,airports!A:H,7,FALSE)</f>
        <v>38.174388890000003</v>
      </c>
      <c r="G1883" s="3">
        <f>VLOOKUP(B1883,airports!A:H,8,FALSE)</f>
        <v>-85.736000000000004</v>
      </c>
      <c r="H1883">
        <f t="shared" si="58"/>
        <v>760.3</v>
      </c>
      <c r="I1883">
        <f t="shared" si="59"/>
        <v>472.4</v>
      </c>
    </row>
    <row r="1884" spans="1:9" ht="30" x14ac:dyDescent="0.25">
      <c r="A1884" s="5" t="s">
        <v>45</v>
      </c>
      <c r="B1884" s="5" t="s">
        <v>128</v>
      </c>
      <c r="C1884" s="5" t="s">
        <v>2275</v>
      </c>
      <c r="D1884" s="3">
        <f>VLOOKUP(A1884,airports!A:H,7,FALSE)</f>
        <v>38.852083329999999</v>
      </c>
      <c r="E1884" s="3">
        <f>VLOOKUP(A1884,airports!A:H,8,FALSE)</f>
        <v>-77.037722220000006</v>
      </c>
      <c r="F1884" s="3">
        <f>VLOOKUP(B1884,airports!A:H,7,FALSE)</f>
        <v>47.448981940000003</v>
      </c>
      <c r="G1884" s="3">
        <f>VLOOKUP(B1884,airports!A:H,8,FALSE)</f>
        <v>-122.3093131</v>
      </c>
      <c r="H1884">
        <f t="shared" si="58"/>
        <v>3738.2</v>
      </c>
      <c r="I1884">
        <f t="shared" si="59"/>
        <v>2322.9</v>
      </c>
    </row>
    <row r="1885" spans="1:9" ht="30" x14ac:dyDescent="0.25">
      <c r="A1885" s="5" t="s">
        <v>45</v>
      </c>
      <c r="B1885" s="5" t="s">
        <v>130</v>
      </c>
      <c r="C1885" s="5" t="s">
        <v>2276</v>
      </c>
      <c r="D1885" s="3">
        <f>VLOOKUP(A1885,airports!A:H,7,FALSE)</f>
        <v>38.852083329999999</v>
      </c>
      <c r="E1885" s="3">
        <f>VLOOKUP(A1885,airports!A:H,8,FALSE)</f>
        <v>-77.037722220000006</v>
      </c>
      <c r="F1885" s="3">
        <f>VLOOKUP(B1885,airports!A:H,7,FALSE)</f>
        <v>37.619001939999997</v>
      </c>
      <c r="G1885" s="3">
        <f>VLOOKUP(B1885,airports!A:H,8,FALSE)</f>
        <v>-122.37484329999999</v>
      </c>
      <c r="H1885">
        <f t="shared" si="58"/>
        <v>3920.9</v>
      </c>
      <c r="I1885">
        <f t="shared" si="59"/>
        <v>2436.5</v>
      </c>
    </row>
    <row r="1886" spans="1:9" ht="30" x14ac:dyDescent="0.25">
      <c r="A1886" s="5" t="s">
        <v>45</v>
      </c>
      <c r="B1886" s="5" t="s">
        <v>134</v>
      </c>
      <c r="C1886" s="5" t="s">
        <v>2277</v>
      </c>
      <c r="D1886" s="3">
        <f>VLOOKUP(A1886,airports!A:H,7,FALSE)</f>
        <v>38.852083329999999</v>
      </c>
      <c r="E1886" s="3">
        <f>VLOOKUP(A1886,airports!A:H,8,FALSE)</f>
        <v>-77.037722220000006</v>
      </c>
      <c r="F1886" s="3">
        <f>VLOOKUP(B1886,airports!A:H,7,FALSE)</f>
        <v>18.43941667</v>
      </c>
      <c r="G1886" s="3">
        <f>VLOOKUP(B1886,airports!A:H,8,FALSE)</f>
        <v>-66.001833329999997</v>
      </c>
      <c r="H1886">
        <f t="shared" si="58"/>
        <v>2507.5</v>
      </c>
      <c r="I1886">
        <f t="shared" si="59"/>
        <v>1558.2</v>
      </c>
    </row>
    <row r="1887" spans="1:9" ht="30" x14ac:dyDescent="0.25">
      <c r="A1887" s="5" t="s">
        <v>45</v>
      </c>
      <c r="B1887" s="5" t="s">
        <v>135</v>
      </c>
      <c r="C1887" s="5" t="s">
        <v>2278</v>
      </c>
      <c r="D1887" s="3">
        <f>VLOOKUP(A1887,airports!A:H,7,FALSE)</f>
        <v>38.852083329999999</v>
      </c>
      <c r="E1887" s="3">
        <f>VLOOKUP(A1887,airports!A:H,8,FALSE)</f>
        <v>-77.037722220000006</v>
      </c>
      <c r="F1887" s="3">
        <f>VLOOKUP(B1887,airports!A:H,7,FALSE)</f>
        <v>40.788387780000001</v>
      </c>
      <c r="G1887" s="3">
        <f>VLOOKUP(B1887,airports!A:H,8,FALSE)</f>
        <v>-111.97777309999999</v>
      </c>
      <c r="H1887">
        <f t="shared" si="58"/>
        <v>2972</v>
      </c>
      <c r="I1887">
        <f t="shared" si="59"/>
        <v>1846.9</v>
      </c>
    </row>
    <row r="1888" spans="1:9" ht="30" x14ac:dyDescent="0.25">
      <c r="A1888" s="5" t="s">
        <v>45</v>
      </c>
      <c r="B1888" s="5" t="s">
        <v>138</v>
      </c>
      <c r="C1888" s="5" t="s">
        <v>2279</v>
      </c>
      <c r="D1888" s="3">
        <f>VLOOKUP(A1888,airports!A:H,7,FALSE)</f>
        <v>38.852083329999999</v>
      </c>
      <c r="E1888" s="3">
        <f>VLOOKUP(A1888,airports!A:H,8,FALSE)</f>
        <v>-77.037722220000006</v>
      </c>
      <c r="F1888" s="3">
        <f>VLOOKUP(B1888,airports!A:H,7,FALSE)</f>
        <v>27.39533333</v>
      </c>
      <c r="G1888" s="3">
        <f>VLOOKUP(B1888,airports!A:H,8,FALSE)</f>
        <v>-82.554111109999994</v>
      </c>
      <c r="H1888">
        <f t="shared" si="58"/>
        <v>1372.9</v>
      </c>
      <c r="I1888">
        <f t="shared" si="59"/>
        <v>853.1</v>
      </c>
    </row>
    <row r="1889" spans="1:9" x14ac:dyDescent="0.25">
      <c r="A1889" s="5" t="s">
        <v>45</v>
      </c>
      <c r="B1889" s="5" t="s">
        <v>644</v>
      </c>
      <c r="C1889" s="5" t="s">
        <v>2280</v>
      </c>
      <c r="D1889" s="3">
        <f>VLOOKUP(A1889,airports!A:H,7,FALSE)</f>
        <v>38.852083329999999</v>
      </c>
      <c r="E1889" s="3">
        <f>VLOOKUP(A1889,airports!A:H,8,FALSE)</f>
        <v>-77.037722220000006</v>
      </c>
      <c r="F1889" s="3">
        <f>VLOOKUP(B1889,airports!A:H,7,FALSE)</f>
        <v>38.747686940000001</v>
      </c>
      <c r="G1889" s="3">
        <f>VLOOKUP(B1889,airports!A:H,8,FALSE)</f>
        <v>-90.359989720000002</v>
      </c>
      <c r="H1889">
        <f t="shared" si="58"/>
        <v>1153.5</v>
      </c>
      <c r="I1889">
        <f t="shared" si="59"/>
        <v>716.8</v>
      </c>
    </row>
    <row r="1890" spans="1:9" ht="30" x14ac:dyDescent="0.25">
      <c r="A1890" s="5" t="s">
        <v>45</v>
      </c>
      <c r="B1890" s="5" t="s">
        <v>144</v>
      </c>
      <c r="C1890" s="5" t="s">
        <v>2281</v>
      </c>
      <c r="D1890" s="3">
        <f>VLOOKUP(A1890,airports!A:H,7,FALSE)</f>
        <v>38.852083329999999</v>
      </c>
      <c r="E1890" s="3">
        <f>VLOOKUP(A1890,airports!A:H,8,FALSE)</f>
        <v>-77.037722220000006</v>
      </c>
      <c r="F1890" s="3">
        <f>VLOOKUP(B1890,airports!A:H,7,FALSE)</f>
        <v>43.111186940000003</v>
      </c>
      <c r="G1890" s="3">
        <f>VLOOKUP(B1890,airports!A:H,8,FALSE)</f>
        <v>-76.106310559999997</v>
      </c>
      <c r="H1890">
        <f t="shared" si="58"/>
        <v>480</v>
      </c>
      <c r="I1890">
        <f t="shared" si="59"/>
        <v>298.3</v>
      </c>
    </row>
    <row r="1891" spans="1:9" ht="30" x14ac:dyDescent="0.25">
      <c r="A1891" s="5" t="s">
        <v>45</v>
      </c>
      <c r="B1891" s="5" t="s">
        <v>651</v>
      </c>
      <c r="C1891" s="5" t="s">
        <v>2282</v>
      </c>
      <c r="D1891" s="3">
        <f>VLOOKUP(A1891,airports!A:H,7,FALSE)</f>
        <v>38.852083329999999</v>
      </c>
      <c r="E1891" s="3">
        <f>VLOOKUP(A1891,airports!A:H,8,FALSE)</f>
        <v>-77.037722220000006</v>
      </c>
      <c r="F1891" s="3">
        <f>VLOOKUP(B1891,airports!A:H,7,FALSE)</f>
        <v>30.39652778</v>
      </c>
      <c r="G1891" s="3">
        <f>VLOOKUP(B1891,airports!A:H,8,FALSE)</f>
        <v>-84.350333329999998</v>
      </c>
      <c r="H1891">
        <f t="shared" si="58"/>
        <v>1153.0999999999999</v>
      </c>
      <c r="I1891">
        <f t="shared" si="59"/>
        <v>716.5</v>
      </c>
    </row>
    <row r="1892" spans="1:9" ht="30" x14ac:dyDescent="0.25">
      <c r="A1892" s="5" t="s">
        <v>45</v>
      </c>
      <c r="B1892" s="5" t="s">
        <v>145</v>
      </c>
      <c r="C1892" s="5" t="s">
        <v>2283</v>
      </c>
      <c r="D1892" s="3">
        <f>VLOOKUP(A1892,airports!A:H,7,FALSE)</f>
        <v>38.852083329999999</v>
      </c>
      <c r="E1892" s="3">
        <f>VLOOKUP(A1892,airports!A:H,8,FALSE)</f>
        <v>-77.037722220000006</v>
      </c>
      <c r="F1892" s="3">
        <f>VLOOKUP(B1892,airports!A:H,7,FALSE)</f>
        <v>27.97547222</v>
      </c>
      <c r="G1892" s="3">
        <f>VLOOKUP(B1892,airports!A:H,8,FALSE)</f>
        <v>-82.533249999999995</v>
      </c>
      <c r="H1892">
        <f t="shared" si="58"/>
        <v>1311.9</v>
      </c>
      <c r="I1892">
        <f t="shared" si="59"/>
        <v>815.2</v>
      </c>
    </row>
    <row r="1893" spans="1:9" ht="30" x14ac:dyDescent="0.25">
      <c r="A1893" s="5" t="s">
        <v>45</v>
      </c>
      <c r="B1893" s="5" t="s">
        <v>658</v>
      </c>
      <c r="C1893" s="5" t="s">
        <v>2284</v>
      </c>
      <c r="D1893" s="3">
        <f>VLOOKUP(A1893,airports!A:H,7,FALSE)</f>
        <v>38.852083329999999</v>
      </c>
      <c r="E1893" s="3">
        <f>VLOOKUP(A1893,airports!A:H,8,FALSE)</f>
        <v>-77.037722220000006</v>
      </c>
      <c r="F1893" s="3">
        <f>VLOOKUP(B1893,airports!A:H,7,FALSE)</f>
        <v>36.198372220000003</v>
      </c>
      <c r="G1893" s="3">
        <f>VLOOKUP(B1893,airports!A:H,8,FALSE)</f>
        <v>-95.888241669999999</v>
      </c>
      <c r="H1893">
        <f t="shared" si="58"/>
        <v>1685.2</v>
      </c>
      <c r="I1893">
        <f t="shared" si="59"/>
        <v>1047.2</v>
      </c>
    </row>
    <row r="1894" spans="1:9" ht="30" x14ac:dyDescent="0.25">
      <c r="A1894" s="5" t="s">
        <v>45</v>
      </c>
      <c r="B1894" s="5" t="s">
        <v>662</v>
      </c>
      <c r="C1894" s="5" t="s">
        <v>2285</v>
      </c>
      <c r="D1894" s="3">
        <f>VLOOKUP(A1894,airports!A:H,7,FALSE)</f>
        <v>38.852083329999999</v>
      </c>
      <c r="E1894" s="3">
        <f>VLOOKUP(A1894,airports!A:H,8,FALSE)</f>
        <v>-77.037722220000006</v>
      </c>
      <c r="F1894" s="3">
        <f>VLOOKUP(B1894,airports!A:H,7,FALSE)</f>
        <v>44.741444719999997</v>
      </c>
      <c r="G1894" s="3">
        <f>VLOOKUP(B1894,airports!A:H,8,FALSE)</f>
        <v>-85.582234999999997</v>
      </c>
      <c r="H1894">
        <f t="shared" si="58"/>
        <v>963.7</v>
      </c>
      <c r="I1894">
        <f t="shared" si="59"/>
        <v>598.79999999999995</v>
      </c>
    </row>
    <row r="1895" spans="1:9" ht="30" x14ac:dyDescent="0.25">
      <c r="A1895" s="5" t="s">
        <v>45</v>
      </c>
      <c r="B1895" s="5" t="s">
        <v>664</v>
      </c>
      <c r="C1895" s="5" t="s">
        <v>2286</v>
      </c>
      <c r="D1895" s="3">
        <f>VLOOKUP(A1895,airports!A:H,7,FALSE)</f>
        <v>38.852083329999999</v>
      </c>
      <c r="E1895" s="3">
        <f>VLOOKUP(A1895,airports!A:H,8,FALSE)</f>
        <v>-77.037722220000006</v>
      </c>
      <c r="F1895" s="3">
        <f>VLOOKUP(B1895,airports!A:H,7,FALSE)</f>
        <v>35.812487220000001</v>
      </c>
      <c r="G1895" s="3">
        <f>VLOOKUP(B1895,airports!A:H,8,FALSE)</f>
        <v>-83.992855829999996</v>
      </c>
      <c r="H1895">
        <f t="shared" si="58"/>
        <v>701.4</v>
      </c>
      <c r="I1895">
        <f t="shared" si="59"/>
        <v>435.9</v>
      </c>
    </row>
    <row r="1896" spans="1:9" ht="30" x14ac:dyDescent="0.25">
      <c r="A1896" s="5" t="s">
        <v>45</v>
      </c>
      <c r="B1896" s="5" t="s">
        <v>668</v>
      </c>
      <c r="C1896" s="5" t="s">
        <v>2287</v>
      </c>
      <c r="D1896" s="3">
        <f>VLOOKUP(A1896,airports!A:H,7,FALSE)</f>
        <v>38.852083329999999</v>
      </c>
      <c r="E1896" s="3">
        <f>VLOOKUP(A1896,airports!A:H,8,FALSE)</f>
        <v>-77.037722220000006</v>
      </c>
      <c r="F1896" s="3">
        <f>VLOOKUP(B1896,airports!A:H,7,FALSE)</f>
        <v>30.483250000000002</v>
      </c>
      <c r="G1896" s="3">
        <f>VLOOKUP(B1896,airports!A:H,8,FALSE)</f>
        <v>-86.525400000000005</v>
      </c>
      <c r="H1896">
        <f t="shared" si="58"/>
        <v>1270.8</v>
      </c>
      <c r="I1896">
        <f t="shared" si="59"/>
        <v>789.7</v>
      </c>
    </row>
    <row r="1897" spans="1:9" ht="30" x14ac:dyDescent="0.25">
      <c r="A1897" s="5" t="s">
        <v>45</v>
      </c>
      <c r="B1897" s="5" t="s">
        <v>670</v>
      </c>
      <c r="C1897" s="5" t="s">
        <v>2288</v>
      </c>
      <c r="D1897" s="3">
        <f>VLOOKUP(A1897,airports!A:H,7,FALSE)</f>
        <v>38.852083329999999</v>
      </c>
      <c r="E1897" s="3">
        <f>VLOOKUP(A1897,airports!A:H,8,FALSE)</f>
        <v>-77.037722220000006</v>
      </c>
      <c r="F1897" s="3">
        <f>VLOOKUP(B1897,airports!A:H,7,FALSE)</f>
        <v>36.281869440000001</v>
      </c>
      <c r="G1897" s="3">
        <f>VLOOKUP(B1897,airports!A:H,8,FALSE)</f>
        <v>-94.306811109999998</v>
      </c>
      <c r="H1897">
        <f t="shared" si="58"/>
        <v>1546.2</v>
      </c>
      <c r="I1897">
        <f t="shared" si="59"/>
        <v>960.8</v>
      </c>
    </row>
    <row r="1898" spans="1:9" ht="30" x14ac:dyDescent="0.25">
      <c r="A1898" s="5" t="s">
        <v>2289</v>
      </c>
      <c r="B1898" s="5" t="s">
        <v>47</v>
      </c>
      <c r="C1898" s="5" t="s">
        <v>2290</v>
      </c>
      <c r="D1898" s="3">
        <f>VLOOKUP(A1898,airports!A:H,7,FALSE)</f>
        <v>37.763401031494098</v>
      </c>
      <c r="E1898" s="3">
        <f>VLOOKUP(A1898,airports!A:H,8,FALSE)</f>
        <v>-99.965599060058594</v>
      </c>
      <c r="F1898" s="3">
        <f>VLOOKUP(B1898,airports!A:H,7,FALSE)</f>
        <v>39.858408060000002</v>
      </c>
      <c r="G1898" s="3">
        <f>VLOOKUP(B1898,airports!A:H,8,FALSE)</f>
        <v>-104.6670019</v>
      </c>
      <c r="H1898">
        <f t="shared" si="58"/>
        <v>469.2</v>
      </c>
      <c r="I1898">
        <f t="shared" si="59"/>
        <v>291.5</v>
      </c>
    </row>
    <row r="1899" spans="1:9" x14ac:dyDescent="0.25">
      <c r="A1899" s="5" t="s">
        <v>2289</v>
      </c>
      <c r="B1899" s="5" t="s">
        <v>2291</v>
      </c>
      <c r="C1899" s="5" t="s">
        <v>2292</v>
      </c>
      <c r="D1899" s="3">
        <f>VLOOKUP(A1899,airports!A:H,7,FALSE)</f>
        <v>37.763401031494098</v>
      </c>
      <c r="E1899" s="3">
        <f>VLOOKUP(A1899,airports!A:H,8,FALSE)</f>
        <v>-99.965599060058594</v>
      </c>
      <c r="F1899" s="3">
        <f>VLOOKUP(B1899,airports!A:H,7,FALSE)</f>
        <v>37.0442009</v>
      </c>
      <c r="G1899" s="3">
        <f>VLOOKUP(B1899,airports!A:H,8,FALSE)</f>
        <v>-100.9599991</v>
      </c>
      <c r="H1899">
        <f t="shared" si="58"/>
        <v>118.8</v>
      </c>
      <c r="I1899">
        <f t="shared" si="59"/>
        <v>73.8</v>
      </c>
    </row>
    <row r="1900" spans="1:9" x14ac:dyDescent="0.25">
      <c r="A1900" s="5" t="s">
        <v>1562</v>
      </c>
      <c r="B1900" s="5" t="s">
        <v>1561</v>
      </c>
      <c r="C1900" s="5" t="s">
        <v>2293</v>
      </c>
      <c r="D1900" s="3">
        <f>VLOOKUP(A1900,airports!A:H,7,FALSE)</f>
        <v>39.834598541259702</v>
      </c>
      <c r="E1900" s="3">
        <f>VLOOKUP(A1900,airports!A:H,8,FALSE)</f>
        <v>-88.865699768066406</v>
      </c>
      <c r="F1900" s="3">
        <f>VLOOKUP(B1900,airports!A:H,7,FALSE)</f>
        <v>37.225299999999997</v>
      </c>
      <c r="G1900" s="3">
        <f>VLOOKUP(B1900,airports!A:H,8,FALSE)</f>
        <v>-89.570801000000003</v>
      </c>
      <c r="H1900">
        <f t="shared" si="58"/>
        <v>296.5</v>
      </c>
      <c r="I1900">
        <f t="shared" si="59"/>
        <v>184.3</v>
      </c>
    </row>
    <row r="1901" spans="1:9" ht="30" x14ac:dyDescent="0.25">
      <c r="A1901" s="5" t="s">
        <v>1562</v>
      </c>
      <c r="B1901" s="5" t="s">
        <v>95</v>
      </c>
      <c r="C1901" s="5" t="s">
        <v>2294</v>
      </c>
      <c r="D1901" s="3">
        <f>VLOOKUP(A1901,airports!A:H,7,FALSE)</f>
        <v>39.834598541259702</v>
      </c>
      <c r="E1901" s="3">
        <f>VLOOKUP(A1901,airports!A:H,8,FALSE)</f>
        <v>-88.865699768066406</v>
      </c>
      <c r="F1901" s="3">
        <f>VLOOKUP(B1901,airports!A:H,7,FALSE)</f>
        <v>41.979595000000003</v>
      </c>
      <c r="G1901" s="3">
        <f>VLOOKUP(B1901,airports!A:H,8,FALSE)</f>
        <v>-87.904464169999997</v>
      </c>
      <c r="H1901">
        <f t="shared" si="58"/>
        <v>251.8</v>
      </c>
      <c r="I1901">
        <f t="shared" si="59"/>
        <v>156.5</v>
      </c>
    </row>
    <row r="1902" spans="1:9" x14ac:dyDescent="0.25">
      <c r="A1902" s="5" t="s">
        <v>1562</v>
      </c>
      <c r="B1902" s="5" t="s">
        <v>909</v>
      </c>
      <c r="C1902" s="5" t="s">
        <v>2295</v>
      </c>
      <c r="D1902" s="3">
        <f>VLOOKUP(A1902,airports!A:H,7,FALSE)</f>
        <v>39.834598541259702</v>
      </c>
      <c r="E1902" s="3">
        <f>VLOOKUP(A1902,airports!A:H,8,FALSE)</f>
        <v>-88.865699768066406</v>
      </c>
      <c r="F1902" s="3">
        <f>VLOOKUP(B1902,airports!A:H,7,FALSE)</f>
        <v>39.843951939999997</v>
      </c>
      <c r="G1902" s="3">
        <f>VLOOKUP(B1902,airports!A:H,8,FALSE)</f>
        <v>-89.677618609999996</v>
      </c>
      <c r="H1902">
        <f t="shared" si="58"/>
        <v>69.3</v>
      </c>
      <c r="I1902">
        <f t="shared" si="59"/>
        <v>43.1</v>
      </c>
    </row>
    <row r="1903" spans="1:9" ht="30" x14ac:dyDescent="0.25">
      <c r="A1903" s="5" t="s">
        <v>1562</v>
      </c>
      <c r="B1903" s="5" t="s">
        <v>2296</v>
      </c>
      <c r="C1903" s="5" t="s">
        <v>2297</v>
      </c>
      <c r="D1903" s="3">
        <f>VLOOKUP(A1903,airports!A:H,7,FALSE)</f>
        <v>39.834598541259702</v>
      </c>
      <c r="E1903" s="3">
        <f>VLOOKUP(A1903,airports!A:H,8,FALSE)</f>
        <v>-88.865699768066406</v>
      </c>
      <c r="F1903" s="3">
        <f>VLOOKUP(B1903,airports!A:H,7,FALSE)</f>
        <v>37.741600040000002</v>
      </c>
      <c r="G1903" s="3">
        <f>VLOOKUP(B1903,airports!A:H,8,FALSE)</f>
        <v>-92.140701289999996</v>
      </c>
      <c r="H1903">
        <f t="shared" si="58"/>
        <v>367</v>
      </c>
      <c r="I1903">
        <f t="shared" si="59"/>
        <v>228.1</v>
      </c>
    </row>
    <row r="1904" spans="1:9" ht="30" x14ac:dyDescent="0.25">
      <c r="A1904" s="5" t="s">
        <v>47</v>
      </c>
      <c r="B1904" s="5" t="s">
        <v>2</v>
      </c>
      <c r="C1904" s="5" t="s">
        <v>2298</v>
      </c>
      <c r="D1904" s="3">
        <f>VLOOKUP(A1904,airports!A:H,7,FALSE)</f>
        <v>39.858408060000002</v>
      </c>
      <c r="E1904" s="3">
        <f>VLOOKUP(A1904,airports!A:H,8,FALSE)</f>
        <v>-104.6670019</v>
      </c>
      <c r="F1904" s="3">
        <f>VLOOKUP(B1904,airports!A:H,7,FALSE)</f>
        <v>35.040222219999997</v>
      </c>
      <c r="G1904" s="3">
        <f>VLOOKUP(B1904,airports!A:H,8,FALSE)</f>
        <v>-106.60919440000001</v>
      </c>
      <c r="H1904">
        <f t="shared" si="58"/>
        <v>562.5</v>
      </c>
      <c r="I1904">
        <f t="shared" si="59"/>
        <v>349.5</v>
      </c>
    </row>
    <row r="1905" spans="1:9" ht="30" x14ac:dyDescent="0.25">
      <c r="A1905" s="5" t="s">
        <v>47</v>
      </c>
      <c r="B1905" s="5" t="s">
        <v>247</v>
      </c>
      <c r="C1905" s="5" t="s">
        <v>2299</v>
      </c>
      <c r="D1905" s="3">
        <f>VLOOKUP(A1905,airports!A:H,7,FALSE)</f>
        <v>39.858408060000002</v>
      </c>
      <c r="E1905" s="3">
        <f>VLOOKUP(A1905,airports!A:H,8,FALSE)</f>
        <v>-104.6670019</v>
      </c>
      <c r="F1905" s="3">
        <f>VLOOKUP(B1905,airports!A:H,7,FALSE)</f>
        <v>40.978115279999997</v>
      </c>
      <c r="G1905" s="3">
        <f>VLOOKUP(B1905,airports!A:H,8,FALSE)</f>
        <v>-124.1086189</v>
      </c>
      <c r="H1905">
        <f t="shared" si="58"/>
        <v>1647.1</v>
      </c>
      <c r="I1905">
        <f t="shared" si="59"/>
        <v>1023.6</v>
      </c>
    </row>
    <row r="1906" spans="1:9" ht="30" x14ac:dyDescent="0.25">
      <c r="A1906" s="5" t="s">
        <v>47</v>
      </c>
      <c r="B1906" s="5" t="s">
        <v>7</v>
      </c>
      <c r="C1906" s="5" t="s">
        <v>2300</v>
      </c>
      <c r="D1906" s="3">
        <f>VLOOKUP(A1906,airports!A:H,7,FALSE)</f>
        <v>39.858408060000002</v>
      </c>
      <c r="E1906" s="3">
        <f>VLOOKUP(A1906,airports!A:H,8,FALSE)</f>
        <v>-104.6670019</v>
      </c>
      <c r="F1906" s="3">
        <f>VLOOKUP(B1906,airports!A:H,7,FALSE)</f>
        <v>42.748119440000004</v>
      </c>
      <c r="G1906" s="3">
        <f>VLOOKUP(B1906,airports!A:H,8,FALSE)</f>
        <v>-73.802978609999997</v>
      </c>
      <c r="H1906">
        <f t="shared" si="58"/>
        <v>2583.5</v>
      </c>
      <c r="I1906">
        <f t="shared" si="59"/>
        <v>1605.4</v>
      </c>
    </row>
    <row r="1907" spans="1:9" ht="30" x14ac:dyDescent="0.25">
      <c r="A1907" s="5" t="s">
        <v>47</v>
      </c>
      <c r="B1907" s="5" t="s">
        <v>321</v>
      </c>
      <c r="C1907" s="5" t="s">
        <v>2301</v>
      </c>
      <c r="D1907" s="3">
        <f>VLOOKUP(A1907,airports!A:H,7,FALSE)</f>
        <v>39.858408060000002</v>
      </c>
      <c r="E1907" s="3">
        <f>VLOOKUP(A1907,airports!A:H,8,FALSE)</f>
        <v>-104.6670019</v>
      </c>
      <c r="F1907" s="3">
        <f>VLOOKUP(B1907,airports!A:H,7,FALSE)</f>
        <v>37.443800000000003</v>
      </c>
      <c r="G1907" s="3">
        <f>VLOOKUP(B1907,airports!A:H,8,FALSE)</f>
        <v>-105.86450000000001</v>
      </c>
      <c r="H1907">
        <f t="shared" si="58"/>
        <v>287.89999999999998</v>
      </c>
      <c r="I1907">
        <f t="shared" si="59"/>
        <v>178.9</v>
      </c>
    </row>
    <row r="1908" spans="1:9" ht="30" x14ac:dyDescent="0.25">
      <c r="A1908" s="5" t="s">
        <v>47</v>
      </c>
      <c r="B1908" s="5" t="s">
        <v>327</v>
      </c>
      <c r="C1908" s="5" t="s">
        <v>2302</v>
      </c>
      <c r="D1908" s="3">
        <f>VLOOKUP(A1908,airports!A:H,7,FALSE)</f>
        <v>39.858408060000002</v>
      </c>
      <c r="E1908" s="3">
        <f>VLOOKUP(A1908,airports!A:H,8,FALSE)</f>
        <v>-104.6670019</v>
      </c>
      <c r="F1908" s="3">
        <f>VLOOKUP(B1908,airports!A:H,7,FALSE)</f>
        <v>35.219372499999999</v>
      </c>
      <c r="G1908" s="3">
        <f>VLOOKUP(B1908,airports!A:H,8,FALSE)</f>
        <v>-101.7059272</v>
      </c>
      <c r="H1908">
        <f t="shared" si="58"/>
        <v>578.1</v>
      </c>
      <c r="I1908">
        <f t="shared" si="59"/>
        <v>359.2</v>
      </c>
    </row>
    <row r="1909" spans="1:9" ht="30" x14ac:dyDescent="0.25">
      <c r="A1909" s="5" t="s">
        <v>47</v>
      </c>
      <c r="B1909" s="5" t="s">
        <v>265</v>
      </c>
      <c r="C1909" s="5" t="s">
        <v>2303</v>
      </c>
      <c r="D1909" s="3">
        <f>VLOOKUP(A1909,airports!A:H,7,FALSE)</f>
        <v>39.858408060000002</v>
      </c>
      <c r="E1909" s="3">
        <f>VLOOKUP(A1909,airports!A:H,8,FALSE)</f>
        <v>-104.6670019</v>
      </c>
      <c r="F1909" s="3">
        <f>VLOOKUP(B1909,airports!A:H,7,FALSE)</f>
        <v>61.174320280000003</v>
      </c>
      <c r="G1909" s="3">
        <f>VLOOKUP(B1909,airports!A:H,8,FALSE)</f>
        <v>-149.99618559999999</v>
      </c>
      <c r="H1909">
        <f t="shared" si="58"/>
        <v>3863.7</v>
      </c>
      <c r="I1909">
        <f t="shared" si="59"/>
        <v>2400.9</v>
      </c>
    </row>
    <row r="1910" spans="1:9" ht="30" x14ac:dyDescent="0.25">
      <c r="A1910" s="5" t="s">
        <v>47</v>
      </c>
      <c r="B1910" s="5" t="s">
        <v>393</v>
      </c>
      <c r="C1910" s="5" t="s">
        <v>2304</v>
      </c>
      <c r="D1910" s="3">
        <f>VLOOKUP(A1910,airports!A:H,7,FALSE)</f>
        <v>39.858408060000002</v>
      </c>
      <c r="E1910" s="3">
        <f>VLOOKUP(A1910,airports!A:H,8,FALSE)</f>
        <v>-104.6670019</v>
      </c>
      <c r="F1910" s="3">
        <f>VLOOKUP(B1910,airports!A:H,7,FALSE)</f>
        <v>39.22316</v>
      </c>
      <c r="G1910" s="3">
        <f>VLOOKUP(B1910,airports!A:H,8,FALSE)</f>
        <v>-106.86884499999999</v>
      </c>
      <c r="H1910">
        <f t="shared" si="58"/>
        <v>201.6</v>
      </c>
      <c r="I1910">
        <f t="shared" si="59"/>
        <v>125.3</v>
      </c>
    </row>
    <row r="1911" spans="1:9" ht="30" x14ac:dyDescent="0.25">
      <c r="A1911" s="5" t="s">
        <v>47</v>
      </c>
      <c r="B1911" s="5" t="s">
        <v>10</v>
      </c>
      <c r="C1911" s="5" t="s">
        <v>2305</v>
      </c>
      <c r="D1911" s="3">
        <f>VLOOKUP(A1911,airports!A:H,7,FALSE)</f>
        <v>39.858408060000002</v>
      </c>
      <c r="E1911" s="3">
        <f>VLOOKUP(A1911,airports!A:H,8,FALSE)</f>
        <v>-104.6670019</v>
      </c>
      <c r="F1911" s="3">
        <f>VLOOKUP(B1911,airports!A:H,7,FALSE)</f>
        <v>33.640444440000003</v>
      </c>
      <c r="G1911" s="3">
        <f>VLOOKUP(B1911,airports!A:H,8,FALSE)</f>
        <v>-84.42694444</v>
      </c>
      <c r="H1911">
        <f t="shared" si="58"/>
        <v>1925.9</v>
      </c>
      <c r="I1911">
        <f t="shared" si="59"/>
        <v>1196.8</v>
      </c>
    </row>
    <row r="1912" spans="1:9" ht="30" x14ac:dyDescent="0.25">
      <c r="A1912" s="5" t="s">
        <v>47</v>
      </c>
      <c r="B1912" s="5" t="s">
        <v>416</v>
      </c>
      <c r="C1912" s="5" t="s">
        <v>2306</v>
      </c>
      <c r="D1912" s="3">
        <f>VLOOKUP(A1912,airports!A:H,7,FALSE)</f>
        <v>39.858408060000002</v>
      </c>
      <c r="E1912" s="3">
        <f>VLOOKUP(A1912,airports!A:H,8,FALSE)</f>
        <v>-104.6670019</v>
      </c>
      <c r="F1912" s="3">
        <f>VLOOKUP(B1912,airports!A:H,7,FALSE)</f>
        <v>44.257408060000003</v>
      </c>
      <c r="G1912" s="3">
        <f>VLOOKUP(B1912,airports!A:H,8,FALSE)</f>
        <v>-88.519475560000004</v>
      </c>
      <c r="H1912">
        <f t="shared" si="58"/>
        <v>1417.1</v>
      </c>
      <c r="I1912">
        <f t="shared" si="59"/>
        <v>880.6</v>
      </c>
    </row>
    <row r="1913" spans="1:9" ht="30" x14ac:dyDescent="0.25">
      <c r="A1913" s="5" t="s">
        <v>47</v>
      </c>
      <c r="B1913" s="5" t="s">
        <v>690</v>
      </c>
      <c r="C1913" s="5" t="s">
        <v>2307</v>
      </c>
      <c r="D1913" s="3">
        <f>VLOOKUP(A1913,airports!A:H,7,FALSE)</f>
        <v>39.858408060000002</v>
      </c>
      <c r="E1913" s="3">
        <f>VLOOKUP(A1913,airports!A:H,8,FALSE)</f>
        <v>-104.6670019</v>
      </c>
      <c r="F1913" s="3">
        <f>VLOOKUP(B1913,airports!A:H,7,FALSE)</f>
        <v>44.922400000000003</v>
      </c>
      <c r="G1913" s="3">
        <f>VLOOKUP(B1913,airports!A:H,8,FALSE)</f>
        <v>-97.158000000000001</v>
      </c>
      <c r="H1913">
        <f t="shared" si="58"/>
        <v>834.4</v>
      </c>
      <c r="I1913">
        <f t="shared" si="59"/>
        <v>518.5</v>
      </c>
    </row>
    <row r="1914" spans="1:9" ht="30" x14ac:dyDescent="0.25">
      <c r="A1914" s="5" t="s">
        <v>47</v>
      </c>
      <c r="B1914" s="5" t="s">
        <v>13</v>
      </c>
      <c r="C1914" s="5" t="s">
        <v>2308</v>
      </c>
      <c r="D1914" s="3">
        <f>VLOOKUP(A1914,airports!A:H,7,FALSE)</f>
        <v>39.858408060000002</v>
      </c>
      <c r="E1914" s="3">
        <f>VLOOKUP(A1914,airports!A:H,8,FALSE)</f>
        <v>-104.6670019</v>
      </c>
      <c r="F1914" s="3">
        <f>VLOOKUP(B1914,airports!A:H,7,FALSE)</f>
        <v>30.194532779999999</v>
      </c>
      <c r="G1914" s="3">
        <f>VLOOKUP(B1914,airports!A:H,8,FALSE)</f>
        <v>-97.669871939999993</v>
      </c>
      <c r="H1914">
        <f t="shared" si="58"/>
        <v>1248.2</v>
      </c>
      <c r="I1914">
        <f t="shared" si="59"/>
        <v>775.7</v>
      </c>
    </row>
    <row r="1915" spans="1:9" ht="30" x14ac:dyDescent="0.25">
      <c r="A1915" s="5" t="s">
        <v>47</v>
      </c>
      <c r="B1915" s="5" t="s">
        <v>419</v>
      </c>
      <c r="C1915" s="5" t="s">
        <v>2309</v>
      </c>
      <c r="D1915" s="3">
        <f>VLOOKUP(A1915,airports!A:H,7,FALSE)</f>
        <v>39.858408060000002</v>
      </c>
      <c r="E1915" s="3">
        <f>VLOOKUP(A1915,airports!A:H,8,FALSE)</f>
        <v>-104.6670019</v>
      </c>
      <c r="F1915" s="3">
        <f>VLOOKUP(B1915,airports!A:H,7,FALSE)</f>
        <v>35.436194440000001</v>
      </c>
      <c r="G1915" s="3">
        <f>VLOOKUP(B1915,airports!A:H,8,FALSE)</f>
        <v>-82.54180556</v>
      </c>
      <c r="H1915">
        <f t="shared" si="58"/>
        <v>2003.3</v>
      </c>
      <c r="I1915">
        <f t="shared" si="59"/>
        <v>1244.9000000000001</v>
      </c>
    </row>
    <row r="1916" spans="1:9" ht="30" x14ac:dyDescent="0.25">
      <c r="A1916" s="5" t="s">
        <v>47</v>
      </c>
      <c r="B1916" s="5" t="s">
        <v>16</v>
      </c>
      <c r="C1916" s="5" t="s">
        <v>2310</v>
      </c>
      <c r="D1916" s="3">
        <f>VLOOKUP(A1916,airports!A:H,7,FALSE)</f>
        <v>39.858408060000002</v>
      </c>
      <c r="E1916" s="3">
        <f>VLOOKUP(A1916,airports!A:H,8,FALSE)</f>
        <v>-104.6670019</v>
      </c>
      <c r="F1916" s="3">
        <f>VLOOKUP(B1916,airports!A:H,7,FALSE)</f>
        <v>41.938874169999998</v>
      </c>
      <c r="G1916" s="3">
        <f>VLOOKUP(B1916,airports!A:H,8,FALSE)</f>
        <v>-72.683228330000006</v>
      </c>
      <c r="H1916">
        <f t="shared" si="58"/>
        <v>2682.5</v>
      </c>
      <c r="I1916">
        <f t="shared" si="59"/>
        <v>1666.9</v>
      </c>
    </row>
    <row r="1917" spans="1:9" ht="30" x14ac:dyDescent="0.25">
      <c r="A1917" s="5" t="s">
        <v>47</v>
      </c>
      <c r="B1917" s="5" t="s">
        <v>956</v>
      </c>
      <c r="C1917" s="5" t="s">
        <v>2311</v>
      </c>
      <c r="D1917" s="3">
        <f>VLOOKUP(A1917,airports!A:H,7,FALSE)</f>
        <v>39.858408060000002</v>
      </c>
      <c r="E1917" s="3">
        <f>VLOOKUP(A1917,airports!A:H,8,FALSE)</f>
        <v>-104.6670019</v>
      </c>
      <c r="F1917" s="3">
        <f>VLOOKUP(B1917,airports!A:H,7,FALSE)</f>
        <v>41.869599999999998</v>
      </c>
      <c r="G1917" s="3">
        <f>VLOOKUP(B1917,airports!A:H,8,FALSE)</f>
        <v>-103.5926</v>
      </c>
      <c r="H1917">
        <f t="shared" si="58"/>
        <v>241.2</v>
      </c>
      <c r="I1917">
        <f t="shared" si="59"/>
        <v>149.9</v>
      </c>
    </row>
    <row r="1918" spans="1:9" ht="30" x14ac:dyDescent="0.25">
      <c r="A1918" s="5" t="s">
        <v>47</v>
      </c>
      <c r="B1918" s="5" t="s">
        <v>963</v>
      </c>
      <c r="C1918" s="5" t="s">
        <v>2312</v>
      </c>
      <c r="D1918" s="3">
        <f>VLOOKUP(A1918,airports!A:H,7,FALSE)</f>
        <v>39.858408060000002</v>
      </c>
      <c r="E1918" s="3">
        <f>VLOOKUP(A1918,airports!A:H,8,FALSE)</f>
        <v>-104.6670019</v>
      </c>
      <c r="F1918" s="3">
        <f>VLOOKUP(B1918,airports!A:H,7,FALSE)</f>
        <v>35.433598060000001</v>
      </c>
      <c r="G1918" s="3">
        <f>VLOOKUP(B1918,airports!A:H,8,FALSE)</f>
        <v>-119.0567681</v>
      </c>
      <c r="H1918">
        <f t="shared" si="58"/>
        <v>1357.1</v>
      </c>
      <c r="I1918">
        <f t="shared" si="59"/>
        <v>843.3</v>
      </c>
    </row>
    <row r="1919" spans="1:9" ht="30" x14ac:dyDescent="0.25">
      <c r="A1919" s="5" t="s">
        <v>47</v>
      </c>
      <c r="B1919" s="5" t="s">
        <v>970</v>
      </c>
      <c r="C1919" s="5" t="s">
        <v>2313</v>
      </c>
      <c r="D1919" s="3">
        <f>VLOOKUP(A1919,airports!A:H,7,FALSE)</f>
        <v>39.858408060000002</v>
      </c>
      <c r="E1919" s="3">
        <f>VLOOKUP(A1919,airports!A:H,8,FALSE)</f>
        <v>-104.6670019</v>
      </c>
      <c r="F1919" s="3">
        <f>VLOOKUP(B1919,airports!A:H,7,FALSE)</f>
        <v>30.6371</v>
      </c>
      <c r="G1919" s="3">
        <f>VLOOKUP(B1919,airports!A:H,8,FALSE)</f>
        <v>-88.078800000000001</v>
      </c>
      <c r="H1919">
        <f t="shared" si="58"/>
        <v>1817.4</v>
      </c>
      <c r="I1919">
        <f t="shared" si="59"/>
        <v>1129.3</v>
      </c>
    </row>
    <row r="1920" spans="1:9" ht="30" x14ac:dyDescent="0.25">
      <c r="A1920" s="5" t="s">
        <v>47</v>
      </c>
      <c r="B1920" s="5" t="s">
        <v>425</v>
      </c>
      <c r="C1920" s="5" t="s">
        <v>2314</v>
      </c>
      <c r="D1920" s="3">
        <f>VLOOKUP(A1920,airports!A:H,7,FALSE)</f>
        <v>39.858408060000002</v>
      </c>
      <c r="E1920" s="3">
        <f>VLOOKUP(A1920,airports!A:H,8,FALSE)</f>
        <v>-104.6670019</v>
      </c>
      <c r="F1920" s="3">
        <f>VLOOKUP(B1920,airports!A:H,7,FALSE)</f>
        <v>33.562943060000002</v>
      </c>
      <c r="G1920" s="3">
        <f>VLOOKUP(B1920,airports!A:H,8,FALSE)</f>
        <v>-86.753549719999995</v>
      </c>
      <c r="H1920">
        <f t="shared" si="58"/>
        <v>1739.4</v>
      </c>
      <c r="I1920">
        <f t="shared" si="59"/>
        <v>1080.9000000000001</v>
      </c>
    </row>
    <row r="1921" spans="1:9" ht="30" x14ac:dyDescent="0.25">
      <c r="A1921" s="5" t="s">
        <v>47</v>
      </c>
      <c r="B1921" s="5" t="s">
        <v>1021</v>
      </c>
      <c r="C1921" s="5" t="s">
        <v>2315</v>
      </c>
      <c r="D1921" s="3">
        <f>VLOOKUP(A1921,airports!A:H,7,FALSE)</f>
        <v>39.858408060000002</v>
      </c>
      <c r="E1921" s="3">
        <f>VLOOKUP(A1921,airports!A:H,8,FALSE)</f>
        <v>-104.6670019</v>
      </c>
      <c r="F1921" s="3">
        <f>VLOOKUP(B1921,airports!A:H,7,FALSE)</f>
        <v>37.373100280800003</v>
      </c>
      <c r="G1921" s="3">
        <f>VLOOKUP(B1921,airports!A:H,8,FALSE)</f>
        <v>-118.363998413</v>
      </c>
      <c r="H1921">
        <f t="shared" si="58"/>
        <v>1220.3</v>
      </c>
      <c r="I1921">
        <f t="shared" si="59"/>
        <v>758.3</v>
      </c>
    </row>
    <row r="1922" spans="1:9" x14ac:dyDescent="0.25">
      <c r="A1922" s="5" t="s">
        <v>47</v>
      </c>
      <c r="B1922" s="5" t="s">
        <v>836</v>
      </c>
      <c r="C1922" s="5" t="s">
        <v>2316</v>
      </c>
      <c r="D1922" s="3">
        <f>VLOOKUP(A1922,airports!A:H,7,FALSE)</f>
        <v>39.858408060000002</v>
      </c>
      <c r="E1922" s="3">
        <f>VLOOKUP(A1922,airports!A:H,8,FALSE)</f>
        <v>-104.6670019</v>
      </c>
      <c r="F1922" s="3">
        <f>VLOOKUP(B1922,airports!A:H,7,FALSE)</f>
        <v>45.807662499999999</v>
      </c>
      <c r="G1922" s="3">
        <f>VLOOKUP(B1922,airports!A:H,8,FALSE)</f>
        <v>-108.5428611</v>
      </c>
      <c r="H1922">
        <f t="shared" si="58"/>
        <v>732.9</v>
      </c>
      <c r="I1922">
        <f t="shared" si="59"/>
        <v>455.4</v>
      </c>
    </row>
    <row r="1923" spans="1:9" x14ac:dyDescent="0.25">
      <c r="A1923" s="5" t="s">
        <v>47</v>
      </c>
      <c r="B1923" s="5" t="s">
        <v>838</v>
      </c>
      <c r="C1923" s="5" t="s">
        <v>2317</v>
      </c>
      <c r="D1923" s="3">
        <f>VLOOKUP(A1923,airports!A:H,7,FALSE)</f>
        <v>39.858408060000002</v>
      </c>
      <c r="E1923" s="3">
        <f>VLOOKUP(A1923,airports!A:H,8,FALSE)</f>
        <v>-104.6670019</v>
      </c>
      <c r="F1923" s="3">
        <f>VLOOKUP(B1923,airports!A:H,7,FALSE)</f>
        <v>46.77411111</v>
      </c>
      <c r="G1923" s="3">
        <f>VLOOKUP(B1923,airports!A:H,8,FALSE)</f>
        <v>-100.74672219999999</v>
      </c>
      <c r="H1923">
        <f t="shared" si="58"/>
        <v>831.5</v>
      </c>
      <c r="I1923">
        <f t="shared" si="59"/>
        <v>516.70000000000005</v>
      </c>
    </row>
    <row r="1924" spans="1:9" ht="30" x14ac:dyDescent="0.25">
      <c r="A1924" s="5" t="s">
        <v>47</v>
      </c>
      <c r="B1924" s="5" t="s">
        <v>1054</v>
      </c>
      <c r="C1924" s="5" t="s">
        <v>2318</v>
      </c>
      <c r="D1924" s="3">
        <f>VLOOKUP(A1924,airports!A:H,7,FALSE)</f>
        <v>39.858408060000002</v>
      </c>
      <c r="E1924" s="3">
        <f>VLOOKUP(A1924,airports!A:H,8,FALSE)</f>
        <v>-104.6670019</v>
      </c>
      <c r="F1924" s="3">
        <f>VLOOKUP(B1924,airports!A:H,7,FALSE)</f>
        <v>36.532082000000003</v>
      </c>
      <c r="G1924" s="3">
        <f>VLOOKUP(B1924,airports!A:H,8,FALSE)</f>
        <v>-93.200543999999994</v>
      </c>
      <c r="H1924">
        <f t="shared" ref="H1924:H1987" si="60">ROUND(ACOS(COS(RADIANS(90-D1924)) * COS(RADIANS(90-F1924)) + SIN(RADIANS(90-D1924)) * SIN(RADIANS(90-F1924)) * COS(RADIANS(E1924-G1924))) * 6371,1)</f>
        <v>1067.0999999999999</v>
      </c>
      <c r="I1924">
        <f t="shared" ref="I1924:I1987" si="61">ROUND(ACOS(COS(RADIANS(90-D1924)) * COS(RADIANS(90-F1924)) + SIN(RADIANS(90-D1924)) * SIN(RADIANS(90-F1924)) * COS(RADIANS(E1924-G1924))) * 3959,1)</f>
        <v>663.1</v>
      </c>
    </row>
    <row r="1925" spans="1:9" x14ac:dyDescent="0.25">
      <c r="A1925" s="5" t="s">
        <v>47</v>
      </c>
      <c r="B1925" s="5" t="s">
        <v>344</v>
      </c>
      <c r="C1925" s="5" t="s">
        <v>2319</v>
      </c>
      <c r="D1925" s="3">
        <f>VLOOKUP(A1925,airports!A:H,7,FALSE)</f>
        <v>39.858408060000002</v>
      </c>
      <c r="E1925" s="3">
        <f>VLOOKUP(A1925,airports!A:H,8,FALSE)</f>
        <v>-104.6670019</v>
      </c>
      <c r="F1925" s="3">
        <f>VLOOKUP(B1925,airports!A:H,7,FALSE)</f>
        <v>48.792749999999998</v>
      </c>
      <c r="G1925" s="3">
        <f>VLOOKUP(B1925,airports!A:H,8,FALSE)</f>
        <v>-122.53752780000001</v>
      </c>
      <c r="H1925">
        <f t="shared" si="60"/>
        <v>1727.4</v>
      </c>
      <c r="I1925">
        <f t="shared" si="61"/>
        <v>1073.4000000000001</v>
      </c>
    </row>
    <row r="1926" spans="1:9" ht="30" x14ac:dyDescent="0.25">
      <c r="A1926" s="5" t="s">
        <v>47</v>
      </c>
      <c r="B1926" s="5" t="s">
        <v>427</v>
      </c>
      <c r="C1926" s="5" t="s">
        <v>2320</v>
      </c>
      <c r="D1926" s="3">
        <f>VLOOKUP(A1926,airports!A:H,7,FALSE)</f>
        <v>39.858408060000002</v>
      </c>
      <c r="E1926" s="3">
        <f>VLOOKUP(A1926,airports!A:H,8,FALSE)</f>
        <v>-104.6670019</v>
      </c>
      <c r="F1926" s="3">
        <f>VLOOKUP(B1926,airports!A:H,7,FALSE)</f>
        <v>40.47798556</v>
      </c>
      <c r="G1926" s="3">
        <f>VLOOKUP(B1926,airports!A:H,8,FALSE)</f>
        <v>-88.915952779999998</v>
      </c>
      <c r="H1926">
        <f t="shared" si="60"/>
        <v>1338.4</v>
      </c>
      <c r="I1926">
        <f t="shared" si="61"/>
        <v>831.7</v>
      </c>
    </row>
    <row r="1927" spans="1:9" ht="30" x14ac:dyDescent="0.25">
      <c r="A1927" s="5" t="s">
        <v>47</v>
      </c>
      <c r="B1927" s="5" t="s">
        <v>19</v>
      </c>
      <c r="C1927" s="5" t="s">
        <v>2321</v>
      </c>
      <c r="D1927" s="3">
        <f>VLOOKUP(A1927,airports!A:H,7,FALSE)</f>
        <v>39.858408060000002</v>
      </c>
      <c r="E1927" s="3">
        <f>VLOOKUP(A1927,airports!A:H,8,FALSE)</f>
        <v>-104.6670019</v>
      </c>
      <c r="F1927" s="3">
        <f>VLOOKUP(B1927,airports!A:H,7,FALSE)</f>
        <v>36.12447667</v>
      </c>
      <c r="G1927" s="3">
        <f>VLOOKUP(B1927,airports!A:H,8,FALSE)</f>
        <v>-86.678182219999997</v>
      </c>
      <c r="H1927">
        <f t="shared" si="60"/>
        <v>1627</v>
      </c>
      <c r="I1927">
        <f t="shared" si="61"/>
        <v>1011</v>
      </c>
    </row>
    <row r="1928" spans="1:9" ht="30" x14ac:dyDescent="0.25">
      <c r="A1928" s="5" t="s">
        <v>47</v>
      </c>
      <c r="B1928" s="5" t="s">
        <v>22</v>
      </c>
      <c r="C1928" s="5" t="s">
        <v>2322</v>
      </c>
      <c r="D1928" s="3">
        <f>VLOOKUP(A1928,airports!A:H,7,FALSE)</f>
        <v>39.858408060000002</v>
      </c>
      <c r="E1928" s="3">
        <f>VLOOKUP(A1928,airports!A:H,8,FALSE)</f>
        <v>-104.6670019</v>
      </c>
      <c r="F1928" s="3">
        <f>VLOOKUP(B1928,airports!A:H,7,FALSE)</f>
        <v>43.564444440000003</v>
      </c>
      <c r="G1928" s="3">
        <f>VLOOKUP(B1928,airports!A:H,8,FALSE)</f>
        <v>-116.2227778</v>
      </c>
      <c r="H1928">
        <f t="shared" si="60"/>
        <v>1042.8</v>
      </c>
      <c r="I1928">
        <f t="shared" si="61"/>
        <v>648</v>
      </c>
    </row>
    <row r="1929" spans="1:9" ht="30" x14ac:dyDescent="0.25">
      <c r="A1929" s="5" t="s">
        <v>47</v>
      </c>
      <c r="B1929" s="5" t="s">
        <v>24</v>
      </c>
      <c r="C1929" s="5" t="s">
        <v>2323</v>
      </c>
      <c r="D1929" s="3">
        <f>VLOOKUP(A1929,airports!A:H,7,FALSE)</f>
        <v>39.858408060000002</v>
      </c>
      <c r="E1929" s="3">
        <f>VLOOKUP(A1929,airports!A:H,8,FALSE)</f>
        <v>-104.6670019</v>
      </c>
      <c r="F1929" s="3">
        <f>VLOOKUP(B1929,airports!A:H,7,FALSE)</f>
        <v>42.364347500000001</v>
      </c>
      <c r="G1929" s="3">
        <f>VLOOKUP(B1929,airports!A:H,8,FALSE)</f>
        <v>-71.005179170000005</v>
      </c>
      <c r="H1929">
        <f t="shared" si="60"/>
        <v>2815.3</v>
      </c>
      <c r="I1929">
        <f t="shared" si="61"/>
        <v>1749.5</v>
      </c>
    </row>
    <row r="1930" spans="1:9" ht="30" x14ac:dyDescent="0.25">
      <c r="A1930" s="5" t="s">
        <v>47</v>
      </c>
      <c r="B1930" s="5" t="s">
        <v>1327</v>
      </c>
      <c r="C1930" s="5" t="s">
        <v>2324</v>
      </c>
      <c r="D1930" s="3">
        <f>VLOOKUP(A1930,airports!A:H,7,FALSE)</f>
        <v>39.858408060000002</v>
      </c>
      <c r="E1930" s="3">
        <f>VLOOKUP(A1930,airports!A:H,8,FALSE)</f>
        <v>-104.6670019</v>
      </c>
      <c r="F1930" s="3">
        <f>VLOOKUP(B1930,airports!A:H,7,FALSE)</f>
        <v>25.906833330000001</v>
      </c>
      <c r="G1930" s="3">
        <f>VLOOKUP(B1930,airports!A:H,8,FALSE)</f>
        <v>-97.42586111</v>
      </c>
      <c r="H1930">
        <f t="shared" si="60"/>
        <v>1690.7</v>
      </c>
      <c r="I1930">
        <f t="shared" si="61"/>
        <v>1050.5999999999999</v>
      </c>
    </row>
    <row r="1931" spans="1:9" ht="30" x14ac:dyDescent="0.25">
      <c r="A1931" s="5" t="s">
        <v>47</v>
      </c>
      <c r="B1931" s="5" t="s">
        <v>1334</v>
      </c>
      <c r="C1931" s="5" t="s">
        <v>2325</v>
      </c>
      <c r="D1931" s="3">
        <f>VLOOKUP(A1931,airports!A:H,7,FALSE)</f>
        <v>39.858408060000002</v>
      </c>
      <c r="E1931" s="3">
        <f>VLOOKUP(A1931,airports!A:H,8,FALSE)</f>
        <v>-104.6670019</v>
      </c>
      <c r="F1931" s="3">
        <f>VLOOKUP(B1931,airports!A:H,7,FALSE)</f>
        <v>45.954795279999999</v>
      </c>
      <c r="G1931" s="3">
        <f>VLOOKUP(B1931,airports!A:H,8,FALSE)</f>
        <v>-112.49746</v>
      </c>
      <c r="H1931">
        <f t="shared" si="60"/>
        <v>929.8</v>
      </c>
      <c r="I1931">
        <f t="shared" si="61"/>
        <v>577.79999999999995</v>
      </c>
    </row>
    <row r="1932" spans="1:9" ht="30" x14ac:dyDescent="0.25">
      <c r="A1932" s="5" t="s">
        <v>47</v>
      </c>
      <c r="B1932" s="5" t="s">
        <v>27</v>
      </c>
      <c r="C1932" s="5" t="s">
        <v>2326</v>
      </c>
      <c r="D1932" s="3">
        <f>VLOOKUP(A1932,airports!A:H,7,FALSE)</f>
        <v>39.858408060000002</v>
      </c>
      <c r="E1932" s="3">
        <f>VLOOKUP(A1932,airports!A:H,8,FALSE)</f>
        <v>-104.6670019</v>
      </c>
      <c r="F1932" s="3">
        <f>VLOOKUP(B1932,airports!A:H,7,FALSE)</f>
        <v>44.473003609999999</v>
      </c>
      <c r="G1932" s="3">
        <f>VLOOKUP(B1932,airports!A:H,8,FALSE)</f>
        <v>-73.150312499999998</v>
      </c>
      <c r="H1932">
        <f t="shared" si="60"/>
        <v>2630.7</v>
      </c>
      <c r="I1932">
        <f t="shared" si="61"/>
        <v>1634.7</v>
      </c>
    </row>
    <row r="1933" spans="1:9" ht="30" x14ac:dyDescent="0.25">
      <c r="A1933" s="5" t="s">
        <v>47</v>
      </c>
      <c r="B1933" s="5" t="s">
        <v>29</v>
      </c>
      <c r="C1933" s="5" t="s">
        <v>2327</v>
      </c>
      <c r="D1933" s="3">
        <f>VLOOKUP(A1933,airports!A:H,7,FALSE)</f>
        <v>39.858408060000002</v>
      </c>
      <c r="E1933" s="3">
        <f>VLOOKUP(A1933,airports!A:H,8,FALSE)</f>
        <v>-104.6670019</v>
      </c>
      <c r="F1933" s="3">
        <f>VLOOKUP(B1933,airports!A:H,7,FALSE)</f>
        <v>42.940524719999999</v>
      </c>
      <c r="G1933" s="3">
        <f>VLOOKUP(B1933,airports!A:H,8,FALSE)</f>
        <v>-78.732166669999998</v>
      </c>
      <c r="H1933">
        <f t="shared" si="60"/>
        <v>2181.3000000000002</v>
      </c>
      <c r="I1933">
        <f t="shared" si="61"/>
        <v>1355.5</v>
      </c>
    </row>
    <row r="1934" spans="1:9" ht="30" x14ac:dyDescent="0.25">
      <c r="A1934" s="5" t="s">
        <v>47</v>
      </c>
      <c r="B1934" s="5" t="s">
        <v>30</v>
      </c>
      <c r="C1934" s="5" t="s">
        <v>2328</v>
      </c>
      <c r="D1934" s="3">
        <f>VLOOKUP(A1934,airports!A:H,7,FALSE)</f>
        <v>39.858408060000002</v>
      </c>
      <c r="E1934" s="3">
        <f>VLOOKUP(A1934,airports!A:H,8,FALSE)</f>
        <v>-104.6670019</v>
      </c>
      <c r="F1934" s="3">
        <f>VLOOKUP(B1934,airports!A:H,7,FALSE)</f>
        <v>34.200619170000003</v>
      </c>
      <c r="G1934" s="3">
        <f>VLOOKUP(B1934,airports!A:H,8,FALSE)</f>
        <v>-118.35849690000001</v>
      </c>
      <c r="H1934">
        <f t="shared" si="60"/>
        <v>1366.4</v>
      </c>
      <c r="I1934">
        <f t="shared" si="61"/>
        <v>849.1</v>
      </c>
    </row>
    <row r="1935" spans="1:9" ht="30" x14ac:dyDescent="0.25">
      <c r="A1935" s="5" t="s">
        <v>47</v>
      </c>
      <c r="B1935" s="5" t="s">
        <v>32</v>
      </c>
      <c r="C1935" s="5" t="s">
        <v>2329</v>
      </c>
      <c r="D1935" s="3">
        <f>VLOOKUP(A1935,airports!A:H,7,FALSE)</f>
        <v>39.858408060000002</v>
      </c>
      <c r="E1935" s="3">
        <f>VLOOKUP(A1935,airports!A:H,8,FALSE)</f>
        <v>-104.6670019</v>
      </c>
      <c r="F1935" s="3">
        <f>VLOOKUP(B1935,airports!A:H,7,FALSE)</f>
        <v>39.175401669999999</v>
      </c>
      <c r="G1935" s="3">
        <f>VLOOKUP(B1935,airports!A:H,8,FALSE)</f>
        <v>-76.668198329999996</v>
      </c>
      <c r="H1935">
        <f t="shared" si="60"/>
        <v>2393.1</v>
      </c>
      <c r="I1935">
        <f t="shared" si="61"/>
        <v>1487.1</v>
      </c>
    </row>
    <row r="1936" spans="1:9" ht="30" x14ac:dyDescent="0.25">
      <c r="A1936" s="5" t="s">
        <v>47</v>
      </c>
      <c r="B1936" s="5" t="s">
        <v>34</v>
      </c>
      <c r="C1936" s="5" t="s">
        <v>2330</v>
      </c>
      <c r="D1936" s="3">
        <f>VLOOKUP(A1936,airports!A:H,7,FALSE)</f>
        <v>39.858408060000002</v>
      </c>
      <c r="E1936" s="3">
        <f>VLOOKUP(A1936,airports!A:H,8,FALSE)</f>
        <v>-104.6670019</v>
      </c>
      <c r="F1936" s="3">
        <f>VLOOKUP(B1936,airports!A:H,7,FALSE)</f>
        <v>45.776901389999999</v>
      </c>
      <c r="G1936" s="3">
        <f>VLOOKUP(B1936,airports!A:H,8,FALSE)</f>
        <v>-111.1530072</v>
      </c>
      <c r="H1936">
        <f t="shared" si="60"/>
        <v>843.8</v>
      </c>
      <c r="I1936">
        <f t="shared" si="61"/>
        <v>524.29999999999995</v>
      </c>
    </row>
    <row r="1937" spans="1:9" ht="30" x14ac:dyDescent="0.25">
      <c r="A1937" s="5" t="s">
        <v>47</v>
      </c>
      <c r="B1937" s="5" t="s">
        <v>36</v>
      </c>
      <c r="C1937" s="5" t="s">
        <v>2331</v>
      </c>
      <c r="D1937" s="3">
        <f>VLOOKUP(A1937,airports!A:H,7,FALSE)</f>
        <v>39.858408060000002</v>
      </c>
      <c r="E1937" s="3">
        <f>VLOOKUP(A1937,airports!A:H,8,FALSE)</f>
        <v>-104.6670019</v>
      </c>
      <c r="F1937" s="3">
        <f>VLOOKUP(B1937,airports!A:H,7,FALSE)</f>
        <v>32.898646390000003</v>
      </c>
      <c r="G1937" s="3">
        <f>VLOOKUP(B1937,airports!A:H,8,FALSE)</f>
        <v>-80.040505830000001</v>
      </c>
      <c r="H1937">
        <f t="shared" si="60"/>
        <v>2327.5</v>
      </c>
      <c r="I1937">
        <f t="shared" si="61"/>
        <v>1446.3</v>
      </c>
    </row>
    <row r="1938" spans="1:9" ht="30" x14ac:dyDescent="0.25">
      <c r="A1938" s="5" t="s">
        <v>47</v>
      </c>
      <c r="B1938" s="5" t="s">
        <v>450</v>
      </c>
      <c r="C1938" s="5" t="s">
        <v>2332</v>
      </c>
      <c r="D1938" s="3">
        <f>VLOOKUP(A1938,airports!A:H,7,FALSE)</f>
        <v>39.858408060000002</v>
      </c>
      <c r="E1938" s="3">
        <f>VLOOKUP(A1938,airports!A:H,8,FALSE)</f>
        <v>-104.6670019</v>
      </c>
      <c r="F1938" s="3">
        <f>VLOOKUP(B1938,airports!A:H,7,FALSE)</f>
        <v>41.88458833</v>
      </c>
      <c r="G1938" s="3">
        <f>VLOOKUP(B1938,airports!A:H,8,FALSE)</f>
        <v>-91.710872219999999</v>
      </c>
      <c r="H1938">
        <f t="shared" si="60"/>
        <v>1111.3</v>
      </c>
      <c r="I1938">
        <f t="shared" si="61"/>
        <v>690.6</v>
      </c>
    </row>
    <row r="1939" spans="1:9" ht="30" x14ac:dyDescent="0.25">
      <c r="A1939" s="5" t="s">
        <v>47</v>
      </c>
      <c r="B1939" s="5" t="s">
        <v>38</v>
      </c>
      <c r="C1939" s="5" t="s">
        <v>2333</v>
      </c>
      <c r="D1939" s="3">
        <f>VLOOKUP(A1939,airports!A:H,7,FALSE)</f>
        <v>39.858408060000002</v>
      </c>
      <c r="E1939" s="3">
        <f>VLOOKUP(A1939,airports!A:H,8,FALSE)</f>
        <v>-104.6670019</v>
      </c>
      <c r="F1939" s="3">
        <f>VLOOKUP(B1939,airports!A:H,7,FALSE)</f>
        <v>41.410894169999999</v>
      </c>
      <c r="G1939" s="3">
        <f>VLOOKUP(B1939,airports!A:H,8,FALSE)</f>
        <v>-81.849396670000004</v>
      </c>
      <c r="H1939">
        <f t="shared" si="60"/>
        <v>1927.5</v>
      </c>
      <c r="I1939">
        <f t="shared" si="61"/>
        <v>1197.8</v>
      </c>
    </row>
    <row r="1940" spans="1:9" ht="30" x14ac:dyDescent="0.25">
      <c r="A1940" s="5" t="s">
        <v>47</v>
      </c>
      <c r="B1940" s="5" t="s">
        <v>40</v>
      </c>
      <c r="C1940" s="5" t="s">
        <v>2334</v>
      </c>
      <c r="D1940" s="3">
        <f>VLOOKUP(A1940,airports!A:H,7,FALSE)</f>
        <v>39.858408060000002</v>
      </c>
      <c r="E1940" s="3">
        <f>VLOOKUP(A1940,airports!A:H,8,FALSE)</f>
        <v>-104.6670019</v>
      </c>
      <c r="F1940" s="3">
        <f>VLOOKUP(B1940,airports!A:H,7,FALSE)</f>
        <v>35.214011110000001</v>
      </c>
      <c r="G1940" s="3">
        <f>VLOOKUP(B1940,airports!A:H,8,FALSE)</f>
        <v>-80.94312583</v>
      </c>
      <c r="H1940">
        <f t="shared" si="60"/>
        <v>2147.6999999999998</v>
      </c>
      <c r="I1940">
        <f t="shared" si="61"/>
        <v>1334.6</v>
      </c>
    </row>
    <row r="1941" spans="1:9" ht="30" x14ac:dyDescent="0.25">
      <c r="A1941" s="5" t="s">
        <v>47</v>
      </c>
      <c r="B1941" s="5" t="s">
        <v>454</v>
      </c>
      <c r="C1941" s="5" t="s">
        <v>2335</v>
      </c>
      <c r="D1941" s="3">
        <f>VLOOKUP(A1941,airports!A:H,7,FALSE)</f>
        <v>39.858408060000002</v>
      </c>
      <c r="E1941" s="3">
        <f>VLOOKUP(A1941,airports!A:H,8,FALSE)</f>
        <v>-104.6670019</v>
      </c>
      <c r="F1941" s="3">
        <f>VLOOKUP(B1941,airports!A:H,7,FALSE)</f>
        <v>39.997985280000002</v>
      </c>
      <c r="G1941" s="3">
        <f>VLOOKUP(B1941,airports!A:H,8,FALSE)</f>
        <v>-82.891882780000003</v>
      </c>
      <c r="H1941">
        <f t="shared" si="60"/>
        <v>1852.2</v>
      </c>
      <c r="I1941">
        <f t="shared" si="61"/>
        <v>1151</v>
      </c>
    </row>
    <row r="1942" spans="1:9" ht="30" x14ac:dyDescent="0.25">
      <c r="A1942" s="5" t="s">
        <v>47</v>
      </c>
      <c r="B1942" s="5" t="s">
        <v>1949</v>
      </c>
      <c r="C1942" s="5" t="s">
        <v>2336</v>
      </c>
      <c r="D1942" s="3">
        <f>VLOOKUP(A1942,airports!A:H,7,FALSE)</f>
        <v>39.858408060000002</v>
      </c>
      <c r="E1942" s="3">
        <f>VLOOKUP(A1942,airports!A:H,8,FALSE)</f>
        <v>-104.6670019</v>
      </c>
      <c r="F1942" s="3">
        <f>VLOOKUP(B1942,airports!A:H,7,FALSE)</f>
        <v>38.754956110000002</v>
      </c>
      <c r="G1942" s="3">
        <f>VLOOKUP(B1942,airports!A:H,8,FALSE)</f>
        <v>-109.7548439</v>
      </c>
      <c r="H1942">
        <f t="shared" si="60"/>
        <v>454.5</v>
      </c>
      <c r="I1942">
        <f t="shared" si="61"/>
        <v>282.5</v>
      </c>
    </row>
    <row r="1943" spans="1:9" ht="30" x14ac:dyDescent="0.25">
      <c r="A1943" s="5" t="s">
        <v>47</v>
      </c>
      <c r="B1943" s="5" t="s">
        <v>1027</v>
      </c>
      <c r="C1943" s="5" t="s">
        <v>2337</v>
      </c>
      <c r="D1943" s="3">
        <f>VLOOKUP(A1943,airports!A:H,7,FALSE)</f>
        <v>39.858408060000002</v>
      </c>
      <c r="E1943" s="3">
        <f>VLOOKUP(A1943,airports!A:H,8,FALSE)</f>
        <v>-104.6670019</v>
      </c>
      <c r="F1943" s="3">
        <f>VLOOKUP(B1943,airports!A:H,7,FALSE)</f>
        <v>44.520194170000003</v>
      </c>
      <c r="G1943" s="3">
        <f>VLOOKUP(B1943,airports!A:H,8,FALSE)</f>
        <v>-109.0237961</v>
      </c>
      <c r="H1943">
        <f t="shared" si="60"/>
        <v>630.29999999999995</v>
      </c>
      <c r="I1943">
        <f t="shared" si="61"/>
        <v>391.7</v>
      </c>
    </row>
    <row r="1944" spans="1:9" ht="30" x14ac:dyDescent="0.25">
      <c r="A1944" s="5" t="s">
        <v>47</v>
      </c>
      <c r="B1944" s="5" t="s">
        <v>456</v>
      </c>
      <c r="C1944" s="5" t="s">
        <v>2338</v>
      </c>
      <c r="D1944" s="3">
        <f>VLOOKUP(A1944,airports!A:H,7,FALSE)</f>
        <v>39.858408060000002</v>
      </c>
      <c r="E1944" s="3">
        <f>VLOOKUP(A1944,airports!A:H,8,FALSE)</f>
        <v>-104.6670019</v>
      </c>
      <c r="F1944" s="3">
        <f>VLOOKUP(B1944,airports!A:H,7,FALSE)</f>
        <v>38.805805560000003</v>
      </c>
      <c r="G1944" s="3">
        <f>VLOOKUP(B1944,airports!A:H,8,FALSE)</f>
        <v>-104.70025</v>
      </c>
      <c r="H1944">
        <f t="shared" si="60"/>
        <v>117.1</v>
      </c>
      <c r="I1944">
        <f t="shared" si="61"/>
        <v>72.8</v>
      </c>
    </row>
    <row r="1945" spans="1:9" ht="30" x14ac:dyDescent="0.25">
      <c r="A1945" s="5" t="s">
        <v>47</v>
      </c>
      <c r="B1945" s="5" t="s">
        <v>1977</v>
      </c>
      <c r="C1945" s="5" t="s">
        <v>2339</v>
      </c>
      <c r="D1945" s="3">
        <f>VLOOKUP(A1945,airports!A:H,7,FALSE)</f>
        <v>39.858408060000002</v>
      </c>
      <c r="E1945" s="3">
        <f>VLOOKUP(A1945,airports!A:H,8,FALSE)</f>
        <v>-104.6670019</v>
      </c>
      <c r="F1945" s="3">
        <f>VLOOKUP(B1945,airports!A:H,7,FALSE)</f>
        <v>38.818093060000002</v>
      </c>
      <c r="G1945" s="3">
        <f>VLOOKUP(B1945,airports!A:H,8,FALSE)</f>
        <v>-92.219629170000005</v>
      </c>
      <c r="H1945">
        <f t="shared" si="60"/>
        <v>1075.8</v>
      </c>
      <c r="I1945">
        <f t="shared" si="61"/>
        <v>668.5</v>
      </c>
    </row>
    <row r="1946" spans="1:9" ht="30" x14ac:dyDescent="0.25">
      <c r="A1946" s="5" t="s">
        <v>47</v>
      </c>
      <c r="B1946" s="5" t="s">
        <v>1981</v>
      </c>
      <c r="C1946" s="5" t="s">
        <v>2340</v>
      </c>
      <c r="D1946" s="3">
        <f>VLOOKUP(A1946,airports!A:H,7,FALSE)</f>
        <v>39.858408060000002</v>
      </c>
      <c r="E1946" s="3">
        <f>VLOOKUP(A1946,airports!A:H,8,FALSE)</f>
        <v>-104.6670019</v>
      </c>
      <c r="F1946" s="3">
        <f>VLOOKUP(B1946,airports!A:H,7,FALSE)</f>
        <v>42.908355559999997</v>
      </c>
      <c r="G1946" s="3">
        <f>VLOOKUP(B1946,airports!A:H,8,FALSE)</f>
        <v>-106.4644661</v>
      </c>
      <c r="H1946">
        <f t="shared" si="60"/>
        <v>370.8</v>
      </c>
      <c r="I1946">
        <f t="shared" si="61"/>
        <v>230.4</v>
      </c>
    </row>
    <row r="1947" spans="1:9" ht="30" x14ac:dyDescent="0.25">
      <c r="A1947" s="5" t="s">
        <v>47</v>
      </c>
      <c r="B1947" s="5" t="s">
        <v>462</v>
      </c>
      <c r="C1947" s="5" t="s">
        <v>2341</v>
      </c>
      <c r="D1947" s="3">
        <f>VLOOKUP(A1947,airports!A:H,7,FALSE)</f>
        <v>39.858408060000002</v>
      </c>
      <c r="E1947" s="3">
        <f>VLOOKUP(A1947,airports!A:H,8,FALSE)</f>
        <v>-104.6670019</v>
      </c>
      <c r="F1947" s="3">
        <f>VLOOKUP(B1947,airports!A:H,7,FALSE)</f>
        <v>39.046142779999997</v>
      </c>
      <c r="G1947" s="3">
        <f>VLOOKUP(B1947,airports!A:H,8,FALSE)</f>
        <v>-84.662172499999997</v>
      </c>
      <c r="H1947">
        <f t="shared" si="60"/>
        <v>1716.4</v>
      </c>
      <c r="I1947">
        <f t="shared" si="61"/>
        <v>1066.5999999999999</v>
      </c>
    </row>
    <row r="1948" spans="1:9" ht="30" x14ac:dyDescent="0.25">
      <c r="A1948" s="5" t="s">
        <v>47</v>
      </c>
      <c r="B1948" s="5" t="s">
        <v>2076</v>
      </c>
      <c r="C1948" s="5" t="s">
        <v>2342</v>
      </c>
      <c r="D1948" s="3">
        <f>VLOOKUP(A1948,airports!A:H,7,FALSE)</f>
        <v>39.858408060000002</v>
      </c>
      <c r="E1948" s="3">
        <f>VLOOKUP(A1948,airports!A:H,8,FALSE)</f>
        <v>-104.6670019</v>
      </c>
      <c r="F1948" s="3">
        <f>VLOOKUP(B1948,airports!A:H,7,FALSE)</f>
        <v>41.155722500000003</v>
      </c>
      <c r="G1948" s="3">
        <f>VLOOKUP(B1948,airports!A:H,8,FALSE)</f>
        <v>-104.8118381</v>
      </c>
      <c r="H1948">
        <f t="shared" si="60"/>
        <v>144.80000000000001</v>
      </c>
      <c r="I1948">
        <f t="shared" si="61"/>
        <v>90</v>
      </c>
    </row>
    <row r="1949" spans="1:9" ht="30" x14ac:dyDescent="0.25">
      <c r="A1949" s="5" t="s">
        <v>47</v>
      </c>
      <c r="B1949" s="5" t="s">
        <v>201</v>
      </c>
      <c r="C1949" s="5" t="s">
        <v>2343</v>
      </c>
      <c r="D1949" s="3">
        <f>VLOOKUP(A1949,airports!A:H,7,FALSE)</f>
        <v>39.858408060000002</v>
      </c>
      <c r="E1949" s="3">
        <f>VLOOKUP(A1949,airports!A:H,8,FALSE)</f>
        <v>-104.6670019</v>
      </c>
      <c r="F1949" s="3">
        <f>VLOOKUP(B1949,airports!A:H,7,FALSE)</f>
        <v>32.847113890000003</v>
      </c>
      <c r="G1949" s="3">
        <f>VLOOKUP(B1949,airports!A:H,8,FALSE)</f>
        <v>-96.851772220000001</v>
      </c>
      <c r="H1949">
        <f t="shared" si="60"/>
        <v>1046.8</v>
      </c>
      <c r="I1949">
        <f t="shared" si="61"/>
        <v>650.5</v>
      </c>
    </row>
    <row r="1950" spans="1:9" ht="30" x14ac:dyDescent="0.25">
      <c r="A1950" s="5" t="s">
        <v>47</v>
      </c>
      <c r="B1950" s="5" t="s">
        <v>467</v>
      </c>
      <c r="C1950" s="5" t="s">
        <v>2344</v>
      </c>
      <c r="D1950" s="3">
        <f>VLOOKUP(A1950,airports!A:H,7,FALSE)</f>
        <v>39.858408060000002</v>
      </c>
      <c r="E1950" s="3">
        <f>VLOOKUP(A1950,airports!A:H,8,FALSE)</f>
        <v>-104.6670019</v>
      </c>
      <c r="F1950" s="3">
        <f>VLOOKUP(B1950,airports!A:H,7,FALSE)</f>
        <v>39.902375829999997</v>
      </c>
      <c r="G1950" s="3">
        <f>VLOOKUP(B1950,airports!A:H,8,FALSE)</f>
        <v>-84.219374999999999</v>
      </c>
      <c r="H1950">
        <f t="shared" si="60"/>
        <v>1741</v>
      </c>
      <c r="I1950">
        <f t="shared" si="61"/>
        <v>1081.8</v>
      </c>
    </row>
    <row r="1951" spans="1:9" ht="30" x14ac:dyDescent="0.25">
      <c r="A1951" s="5" t="s">
        <v>47</v>
      </c>
      <c r="B1951" s="5" t="s">
        <v>45</v>
      </c>
      <c r="C1951" s="5" t="s">
        <v>2345</v>
      </c>
      <c r="D1951" s="3">
        <f>VLOOKUP(A1951,airports!A:H,7,FALSE)</f>
        <v>39.858408060000002</v>
      </c>
      <c r="E1951" s="3">
        <f>VLOOKUP(A1951,airports!A:H,8,FALSE)</f>
        <v>-104.6670019</v>
      </c>
      <c r="F1951" s="3">
        <f>VLOOKUP(B1951,airports!A:H,7,FALSE)</f>
        <v>38.852083329999999</v>
      </c>
      <c r="G1951" s="3">
        <f>VLOOKUP(B1951,airports!A:H,8,FALSE)</f>
        <v>-77.037722220000006</v>
      </c>
      <c r="H1951">
        <f t="shared" si="60"/>
        <v>2368.6999999999998</v>
      </c>
      <c r="I1951">
        <f t="shared" si="61"/>
        <v>1471.9</v>
      </c>
    </row>
    <row r="1952" spans="1:9" ht="30" x14ac:dyDescent="0.25">
      <c r="A1952" s="5" t="s">
        <v>47</v>
      </c>
      <c r="B1952" s="5" t="s">
        <v>2289</v>
      </c>
      <c r="C1952" s="5" t="s">
        <v>2346</v>
      </c>
      <c r="D1952" s="3">
        <f>VLOOKUP(A1952,airports!A:H,7,FALSE)</f>
        <v>39.858408060000002</v>
      </c>
      <c r="E1952" s="3">
        <f>VLOOKUP(A1952,airports!A:H,8,FALSE)</f>
        <v>-104.6670019</v>
      </c>
      <c r="F1952" s="3">
        <f>VLOOKUP(B1952,airports!A:H,7,FALSE)</f>
        <v>37.763401031494098</v>
      </c>
      <c r="G1952" s="3">
        <f>VLOOKUP(B1952,airports!A:H,8,FALSE)</f>
        <v>-99.965599060058594</v>
      </c>
      <c r="H1952">
        <f t="shared" si="60"/>
        <v>469.2</v>
      </c>
      <c r="I1952">
        <f t="shared" si="61"/>
        <v>291.5</v>
      </c>
    </row>
    <row r="1953" spans="1:9" ht="30" x14ac:dyDescent="0.25">
      <c r="A1953" s="5" t="s">
        <v>47</v>
      </c>
      <c r="B1953" s="5" t="s">
        <v>49</v>
      </c>
      <c r="C1953" s="5" t="s">
        <v>2347</v>
      </c>
      <c r="D1953" s="3">
        <f>VLOOKUP(A1953,airports!A:H,7,FALSE)</f>
        <v>39.858408060000002</v>
      </c>
      <c r="E1953" s="3">
        <f>VLOOKUP(A1953,airports!A:H,8,FALSE)</f>
        <v>-104.6670019</v>
      </c>
      <c r="F1953" s="3">
        <f>VLOOKUP(B1953,airports!A:H,7,FALSE)</f>
        <v>32.895950560000003</v>
      </c>
      <c r="G1953" s="3">
        <f>VLOOKUP(B1953,airports!A:H,8,FALSE)</f>
        <v>-97.037199999999999</v>
      </c>
      <c r="H1953">
        <f t="shared" si="60"/>
        <v>1031.5999999999999</v>
      </c>
      <c r="I1953">
        <f t="shared" si="61"/>
        <v>641</v>
      </c>
    </row>
    <row r="1954" spans="1:9" ht="30" x14ac:dyDescent="0.25">
      <c r="A1954" s="5" t="s">
        <v>47</v>
      </c>
      <c r="B1954" s="5" t="s">
        <v>2348</v>
      </c>
      <c r="C1954" s="5" t="s">
        <v>2349</v>
      </c>
      <c r="D1954" s="3">
        <f>VLOOKUP(A1954,airports!A:H,7,FALSE)</f>
        <v>39.858408060000002</v>
      </c>
      <c r="E1954" s="3">
        <f>VLOOKUP(A1954,airports!A:H,8,FALSE)</f>
        <v>-104.6670019</v>
      </c>
      <c r="F1954" s="3">
        <f>VLOOKUP(B1954,airports!A:H,7,FALSE)</f>
        <v>46.797388890000001</v>
      </c>
      <c r="G1954" s="3">
        <f>VLOOKUP(B1954,airports!A:H,8,FALSE)</f>
        <v>-102.8019528</v>
      </c>
      <c r="H1954">
        <f t="shared" si="60"/>
        <v>786.1</v>
      </c>
      <c r="I1954">
        <f t="shared" si="61"/>
        <v>488.5</v>
      </c>
    </row>
    <row r="1955" spans="1:9" ht="30" x14ac:dyDescent="0.25">
      <c r="A1955" s="5" t="s">
        <v>47</v>
      </c>
      <c r="B1955" s="5" t="s">
        <v>2350</v>
      </c>
      <c r="C1955" s="5" t="s">
        <v>2351</v>
      </c>
      <c r="D1955" s="3">
        <f>VLOOKUP(A1955,airports!A:H,7,FALSE)</f>
        <v>39.858408060000002</v>
      </c>
      <c r="E1955" s="3">
        <f>VLOOKUP(A1955,airports!A:H,8,FALSE)</f>
        <v>-104.6670019</v>
      </c>
      <c r="F1955" s="3">
        <f>VLOOKUP(B1955,airports!A:H,7,FALSE)</f>
        <v>37.151516669999999</v>
      </c>
      <c r="G1955" s="3">
        <f>VLOOKUP(B1955,airports!A:H,8,FALSE)</f>
        <v>-107.75376919999999</v>
      </c>
      <c r="H1955">
        <f t="shared" si="60"/>
        <v>403.4</v>
      </c>
      <c r="I1955">
        <f t="shared" si="61"/>
        <v>250.6</v>
      </c>
    </row>
    <row r="1956" spans="1:9" ht="30" x14ac:dyDescent="0.25">
      <c r="A1956" s="5" t="s">
        <v>47</v>
      </c>
      <c r="B1956" s="5" t="s">
        <v>474</v>
      </c>
      <c r="C1956" s="5" t="s">
        <v>2352</v>
      </c>
      <c r="D1956" s="3">
        <f>VLOOKUP(A1956,airports!A:H,7,FALSE)</f>
        <v>39.858408060000002</v>
      </c>
      <c r="E1956" s="3">
        <f>VLOOKUP(A1956,airports!A:H,8,FALSE)</f>
        <v>-104.6670019</v>
      </c>
      <c r="F1956" s="3">
        <f>VLOOKUP(B1956,airports!A:H,7,FALSE)</f>
        <v>41.53493306</v>
      </c>
      <c r="G1956" s="3">
        <f>VLOOKUP(B1956,airports!A:H,8,FALSE)</f>
        <v>-93.660682219999998</v>
      </c>
      <c r="H1956">
        <f t="shared" si="60"/>
        <v>945.7</v>
      </c>
      <c r="I1956">
        <f t="shared" si="61"/>
        <v>587.70000000000005</v>
      </c>
    </row>
    <row r="1957" spans="1:9" ht="30" x14ac:dyDescent="0.25">
      <c r="A1957" s="5" t="s">
        <v>47</v>
      </c>
      <c r="B1957" s="5" t="s">
        <v>50</v>
      </c>
      <c r="C1957" s="5" t="s">
        <v>2353</v>
      </c>
      <c r="D1957" s="3">
        <f>VLOOKUP(A1957,airports!A:H,7,FALSE)</f>
        <v>39.858408060000002</v>
      </c>
      <c r="E1957" s="3">
        <f>VLOOKUP(A1957,airports!A:H,8,FALSE)</f>
        <v>-104.6670019</v>
      </c>
      <c r="F1957" s="3">
        <f>VLOOKUP(B1957,airports!A:H,7,FALSE)</f>
        <v>42.212058890000002</v>
      </c>
      <c r="G1957" s="3">
        <f>VLOOKUP(B1957,airports!A:H,8,FALSE)</f>
        <v>-83.348835829999999</v>
      </c>
      <c r="H1957">
        <f t="shared" si="60"/>
        <v>1802.3</v>
      </c>
      <c r="I1957">
        <f t="shared" si="61"/>
        <v>1120</v>
      </c>
    </row>
    <row r="1958" spans="1:9" ht="30" x14ac:dyDescent="0.25">
      <c r="A1958" s="5" t="s">
        <v>47</v>
      </c>
      <c r="B1958" s="5" t="s">
        <v>2354</v>
      </c>
      <c r="C1958" s="5" t="s">
        <v>2355</v>
      </c>
      <c r="D1958" s="3">
        <f>VLOOKUP(A1958,airports!A:H,7,FALSE)</f>
        <v>39.858408060000002</v>
      </c>
      <c r="E1958" s="3">
        <f>VLOOKUP(A1958,airports!A:H,8,FALSE)</f>
        <v>-104.6670019</v>
      </c>
      <c r="F1958" s="3">
        <f>VLOOKUP(B1958,airports!A:H,7,FALSE)</f>
        <v>48.114245279999999</v>
      </c>
      <c r="G1958" s="3">
        <f>VLOOKUP(B1958,airports!A:H,8,FALSE)</f>
        <v>-98.908778330000004</v>
      </c>
      <c r="H1958">
        <f t="shared" si="60"/>
        <v>1026.4000000000001</v>
      </c>
      <c r="I1958">
        <f t="shared" si="61"/>
        <v>637.79999999999995</v>
      </c>
    </row>
    <row r="1959" spans="1:9" ht="30" x14ac:dyDescent="0.25">
      <c r="A1959" s="5" t="s">
        <v>47</v>
      </c>
      <c r="B1959" s="5" t="s">
        <v>2356</v>
      </c>
      <c r="C1959" s="5" t="s">
        <v>2357</v>
      </c>
      <c r="D1959" s="3">
        <f>VLOOKUP(A1959,airports!A:H,7,FALSE)</f>
        <v>39.858408060000002</v>
      </c>
      <c r="E1959" s="3">
        <f>VLOOKUP(A1959,airports!A:H,8,FALSE)</f>
        <v>-104.6670019</v>
      </c>
      <c r="F1959" s="3">
        <f>VLOOKUP(B1959,airports!A:H,7,FALSE)</f>
        <v>40.727001000000001</v>
      </c>
      <c r="G1959" s="3">
        <f>VLOOKUP(B1959,airports!A:H,8,FALSE)</f>
        <v>-99.006798000000003</v>
      </c>
      <c r="H1959">
        <f t="shared" si="60"/>
        <v>489.6</v>
      </c>
      <c r="I1959">
        <f t="shared" si="61"/>
        <v>304.2</v>
      </c>
    </row>
    <row r="1960" spans="1:9" ht="30" x14ac:dyDescent="0.25">
      <c r="A1960" s="5" t="s">
        <v>47</v>
      </c>
      <c r="B1960" s="5" t="s">
        <v>477</v>
      </c>
      <c r="C1960" s="5" t="s">
        <v>2358</v>
      </c>
      <c r="D1960" s="3">
        <f>VLOOKUP(A1960,airports!A:H,7,FALSE)</f>
        <v>39.858408060000002</v>
      </c>
      <c r="E1960" s="3">
        <f>VLOOKUP(A1960,airports!A:H,8,FALSE)</f>
        <v>-104.6670019</v>
      </c>
      <c r="F1960" s="3">
        <f>VLOOKUP(B1960,airports!A:H,7,FALSE)</f>
        <v>30.357106000000002</v>
      </c>
      <c r="G1960" s="3">
        <f>VLOOKUP(B1960,airports!A:H,8,FALSE)</f>
        <v>-85.795413999999994</v>
      </c>
      <c r="H1960">
        <f t="shared" si="60"/>
        <v>2009.3</v>
      </c>
      <c r="I1960">
        <f t="shared" si="61"/>
        <v>1248.5999999999999</v>
      </c>
    </row>
    <row r="1961" spans="1:9" ht="30" x14ac:dyDescent="0.25">
      <c r="A1961" s="5" t="s">
        <v>47</v>
      </c>
      <c r="B1961" s="5" t="s">
        <v>479</v>
      </c>
      <c r="C1961" s="5" t="s">
        <v>2359</v>
      </c>
      <c r="D1961" s="3">
        <f>VLOOKUP(A1961,airports!A:H,7,FALSE)</f>
        <v>39.858408060000002</v>
      </c>
      <c r="E1961" s="3">
        <f>VLOOKUP(A1961,airports!A:H,8,FALSE)</f>
        <v>-104.6670019</v>
      </c>
      <c r="F1961" s="3">
        <f>VLOOKUP(B1961,airports!A:H,7,FALSE)</f>
        <v>39.64256778</v>
      </c>
      <c r="G1961" s="3">
        <f>VLOOKUP(B1961,airports!A:H,8,FALSE)</f>
        <v>-106.91769530000001</v>
      </c>
      <c r="H1961">
        <f t="shared" si="60"/>
        <v>193.9</v>
      </c>
      <c r="I1961">
        <f t="shared" si="61"/>
        <v>120.5</v>
      </c>
    </row>
    <row r="1962" spans="1:9" ht="30" x14ac:dyDescent="0.25">
      <c r="A1962" s="5" t="s">
        <v>47</v>
      </c>
      <c r="B1962" s="5" t="s">
        <v>483</v>
      </c>
      <c r="C1962" s="5" t="s">
        <v>2360</v>
      </c>
      <c r="D1962" s="3">
        <f>VLOOKUP(A1962,airports!A:H,7,FALSE)</f>
        <v>39.858408060000002</v>
      </c>
      <c r="E1962" s="3">
        <f>VLOOKUP(A1962,airports!A:H,8,FALSE)</f>
        <v>-104.6670019</v>
      </c>
      <c r="F1962" s="3">
        <f>VLOOKUP(B1962,airports!A:H,7,FALSE)</f>
        <v>31.806666669999998</v>
      </c>
      <c r="G1962" s="3">
        <f>VLOOKUP(B1962,airports!A:H,8,FALSE)</f>
        <v>-106.3778056</v>
      </c>
      <c r="H1962">
        <f t="shared" si="60"/>
        <v>908.4</v>
      </c>
      <c r="I1962">
        <f t="shared" si="61"/>
        <v>564.5</v>
      </c>
    </row>
    <row r="1963" spans="1:9" ht="30" x14ac:dyDescent="0.25">
      <c r="A1963" s="5" t="s">
        <v>47</v>
      </c>
      <c r="B1963" s="5" t="s">
        <v>848</v>
      </c>
      <c r="C1963" s="5" t="s">
        <v>2361</v>
      </c>
      <c r="D1963" s="3">
        <f>VLOOKUP(A1963,airports!A:H,7,FALSE)</f>
        <v>39.858408060000002</v>
      </c>
      <c r="E1963" s="3">
        <f>VLOOKUP(A1963,airports!A:H,8,FALSE)</f>
        <v>-104.6670019</v>
      </c>
      <c r="F1963" s="3">
        <f>VLOOKUP(B1963,airports!A:H,7,FALSE)</f>
        <v>44.123260000000002</v>
      </c>
      <c r="G1963" s="3">
        <f>VLOOKUP(B1963,airports!A:H,8,FALSE)</f>
        <v>-123.2186856</v>
      </c>
      <c r="H1963">
        <f t="shared" si="60"/>
        <v>1600.8</v>
      </c>
      <c r="I1963">
        <f t="shared" si="61"/>
        <v>994.8</v>
      </c>
    </row>
    <row r="1964" spans="1:9" ht="30" x14ac:dyDescent="0.25">
      <c r="A1964" s="5" t="s">
        <v>47</v>
      </c>
      <c r="B1964" s="5" t="s">
        <v>52</v>
      </c>
      <c r="C1964" s="5" t="s">
        <v>2362</v>
      </c>
      <c r="D1964" s="3">
        <f>VLOOKUP(A1964,airports!A:H,7,FALSE)</f>
        <v>39.858408060000002</v>
      </c>
      <c r="E1964" s="3">
        <f>VLOOKUP(A1964,airports!A:H,8,FALSE)</f>
        <v>-104.6670019</v>
      </c>
      <c r="F1964" s="3">
        <f>VLOOKUP(B1964,airports!A:H,7,FALSE)</f>
        <v>40.69249722</v>
      </c>
      <c r="G1964" s="3">
        <f>VLOOKUP(B1964,airports!A:H,8,FALSE)</f>
        <v>-74.168660560000006</v>
      </c>
      <c r="H1964">
        <f t="shared" si="60"/>
        <v>2576</v>
      </c>
      <c r="I1964">
        <f t="shared" si="61"/>
        <v>1600.7</v>
      </c>
    </row>
    <row r="1965" spans="1:9" x14ac:dyDescent="0.25">
      <c r="A1965" s="5" t="s">
        <v>47</v>
      </c>
      <c r="B1965" s="5" t="s">
        <v>358</v>
      </c>
      <c r="C1965" s="5" t="s">
        <v>2363</v>
      </c>
      <c r="D1965" s="3">
        <f>VLOOKUP(A1965,airports!A:H,7,FALSE)</f>
        <v>39.858408060000002</v>
      </c>
      <c r="E1965" s="3">
        <f>VLOOKUP(A1965,airports!A:H,8,FALSE)</f>
        <v>-104.6670019</v>
      </c>
      <c r="F1965" s="3">
        <f>VLOOKUP(B1965,airports!A:H,7,FALSE)</f>
        <v>64.813677499999997</v>
      </c>
      <c r="G1965" s="3">
        <f>VLOOKUP(B1965,airports!A:H,8,FALSE)</f>
        <v>-147.8596694</v>
      </c>
      <c r="H1965">
        <f t="shared" si="60"/>
        <v>3903.2</v>
      </c>
      <c r="I1965">
        <f t="shared" si="61"/>
        <v>2425.5</v>
      </c>
    </row>
    <row r="1966" spans="1:9" ht="30" x14ac:dyDescent="0.25">
      <c r="A1966" s="5" t="s">
        <v>47</v>
      </c>
      <c r="B1966" s="5" t="s">
        <v>491</v>
      </c>
      <c r="C1966" s="5" t="s">
        <v>2364</v>
      </c>
      <c r="D1966" s="3">
        <f>VLOOKUP(A1966,airports!A:H,7,FALSE)</f>
        <v>39.858408060000002</v>
      </c>
      <c r="E1966" s="3">
        <f>VLOOKUP(A1966,airports!A:H,8,FALSE)</f>
        <v>-104.6670019</v>
      </c>
      <c r="F1966" s="3">
        <f>VLOOKUP(B1966,airports!A:H,7,FALSE)</f>
        <v>46.919348890000002</v>
      </c>
      <c r="G1966" s="3">
        <f>VLOOKUP(B1966,airports!A:H,8,FALSE)</f>
        <v>-96.814988889999995</v>
      </c>
      <c r="H1966">
        <f t="shared" si="60"/>
        <v>1008.4</v>
      </c>
      <c r="I1966">
        <f t="shared" si="61"/>
        <v>626.6</v>
      </c>
    </row>
    <row r="1967" spans="1:9" ht="30" x14ac:dyDescent="0.25">
      <c r="A1967" s="5" t="s">
        <v>47</v>
      </c>
      <c r="B1967" s="5" t="s">
        <v>2365</v>
      </c>
      <c r="C1967" s="5" t="s">
        <v>2366</v>
      </c>
      <c r="D1967" s="3">
        <f>VLOOKUP(A1967,airports!A:H,7,FALSE)</f>
        <v>39.858408060000002</v>
      </c>
      <c r="E1967" s="3">
        <f>VLOOKUP(A1967,airports!A:H,8,FALSE)</f>
        <v>-104.6670019</v>
      </c>
      <c r="F1967" s="3">
        <f>VLOOKUP(B1967,airports!A:H,7,FALSE)</f>
        <v>36.776194439999998</v>
      </c>
      <c r="G1967" s="3">
        <f>VLOOKUP(B1967,airports!A:H,8,FALSE)</f>
        <v>-119.7181389</v>
      </c>
      <c r="H1967">
        <f t="shared" si="60"/>
        <v>1355.2</v>
      </c>
      <c r="I1967">
        <f t="shared" si="61"/>
        <v>842.2</v>
      </c>
    </row>
    <row r="1968" spans="1:9" ht="30" x14ac:dyDescent="0.25">
      <c r="A1968" s="5" t="s">
        <v>47</v>
      </c>
      <c r="B1968" s="5" t="s">
        <v>56</v>
      </c>
      <c r="C1968" s="5" t="s">
        <v>2367</v>
      </c>
      <c r="D1968" s="3">
        <f>VLOOKUP(A1968,airports!A:H,7,FALSE)</f>
        <v>39.858408060000002</v>
      </c>
      <c r="E1968" s="3">
        <f>VLOOKUP(A1968,airports!A:H,8,FALSE)</f>
        <v>-104.6670019</v>
      </c>
      <c r="F1968" s="3">
        <f>VLOOKUP(B1968,airports!A:H,7,FALSE)</f>
        <v>48.311404719999999</v>
      </c>
      <c r="G1968" s="3">
        <f>VLOOKUP(B1968,airports!A:H,8,FALSE)</f>
        <v>-114.2550694</v>
      </c>
      <c r="H1968">
        <f t="shared" si="60"/>
        <v>1210.5</v>
      </c>
      <c r="I1968">
        <f t="shared" si="61"/>
        <v>752.2</v>
      </c>
    </row>
    <row r="1969" spans="1:9" ht="30" x14ac:dyDescent="0.25">
      <c r="A1969" s="5" t="s">
        <v>47</v>
      </c>
      <c r="B1969" s="5" t="s">
        <v>2368</v>
      </c>
      <c r="C1969" s="5" t="s">
        <v>2369</v>
      </c>
      <c r="D1969" s="3">
        <f>VLOOKUP(A1969,airports!A:H,7,FALSE)</f>
        <v>39.858408060000002</v>
      </c>
      <c r="E1969" s="3">
        <f>VLOOKUP(A1969,airports!A:H,8,FALSE)</f>
        <v>-104.6670019</v>
      </c>
      <c r="F1969" s="3">
        <f>VLOOKUP(B1969,airports!A:H,7,FALSE)</f>
        <v>35.138454719999999</v>
      </c>
      <c r="G1969" s="3">
        <f>VLOOKUP(B1969,airports!A:H,8,FALSE)</f>
        <v>-111.67121830000001</v>
      </c>
      <c r="H1969">
        <f t="shared" si="60"/>
        <v>810.2</v>
      </c>
      <c r="I1969">
        <f t="shared" si="61"/>
        <v>503.5</v>
      </c>
    </row>
    <row r="1970" spans="1:9" x14ac:dyDescent="0.25">
      <c r="A1970" s="5" t="s">
        <v>47</v>
      </c>
      <c r="B1970" s="5" t="s">
        <v>57</v>
      </c>
      <c r="C1970" s="5" t="s">
        <v>2370</v>
      </c>
      <c r="D1970" s="3">
        <f>VLOOKUP(A1970,airports!A:H,7,FALSE)</f>
        <v>39.858408060000002</v>
      </c>
      <c r="E1970" s="3">
        <f>VLOOKUP(A1970,airports!A:H,8,FALSE)</f>
        <v>-104.6670019</v>
      </c>
      <c r="F1970" s="3">
        <f>VLOOKUP(B1970,airports!A:H,7,FALSE)</f>
        <v>26.072583330000001</v>
      </c>
      <c r="G1970" s="3">
        <f>VLOOKUP(B1970,airports!A:H,8,FALSE)</f>
        <v>-80.152749999999997</v>
      </c>
      <c r="H1970">
        <f t="shared" si="60"/>
        <v>2738.4</v>
      </c>
      <c r="I1970">
        <f t="shared" si="61"/>
        <v>1701.7</v>
      </c>
    </row>
    <row r="1971" spans="1:9" ht="30" x14ac:dyDescent="0.25">
      <c r="A1971" s="5" t="s">
        <v>47</v>
      </c>
      <c r="B1971" s="5" t="s">
        <v>2371</v>
      </c>
      <c r="C1971" s="5" t="s">
        <v>2372</v>
      </c>
      <c r="D1971" s="3">
        <f>VLOOKUP(A1971,airports!A:H,7,FALSE)</f>
        <v>39.858408060000002</v>
      </c>
      <c r="E1971" s="3">
        <f>VLOOKUP(A1971,airports!A:H,8,FALSE)</f>
        <v>-104.6670019</v>
      </c>
      <c r="F1971" s="3">
        <f>VLOOKUP(B1971,airports!A:H,7,FALSE)</f>
        <v>42.551498410000001</v>
      </c>
      <c r="G1971" s="3">
        <f>VLOOKUP(B1971,airports!A:H,8,FALSE)</f>
        <v>-94.192596440000003</v>
      </c>
      <c r="H1971">
        <f t="shared" si="60"/>
        <v>925.3</v>
      </c>
      <c r="I1971">
        <f t="shared" si="61"/>
        <v>575</v>
      </c>
    </row>
    <row r="1972" spans="1:9" ht="30" x14ac:dyDescent="0.25">
      <c r="A1972" s="5" t="s">
        <v>47</v>
      </c>
      <c r="B1972" s="5" t="s">
        <v>499</v>
      </c>
      <c r="C1972" s="5" t="s">
        <v>2373</v>
      </c>
      <c r="D1972" s="3">
        <f>VLOOKUP(A1972,airports!A:H,7,FALSE)</f>
        <v>39.858408060000002</v>
      </c>
      <c r="E1972" s="3">
        <f>VLOOKUP(A1972,airports!A:H,8,FALSE)</f>
        <v>-104.6670019</v>
      </c>
      <c r="F1972" s="3">
        <f>VLOOKUP(B1972,airports!A:H,7,FALSE)</f>
        <v>43.58135111</v>
      </c>
      <c r="G1972" s="3">
        <f>VLOOKUP(B1972,airports!A:H,8,FALSE)</f>
        <v>-96.741700280000003</v>
      </c>
      <c r="H1972">
        <f t="shared" si="60"/>
        <v>776.7</v>
      </c>
      <c r="I1972">
        <f t="shared" si="61"/>
        <v>482.6</v>
      </c>
    </row>
    <row r="1973" spans="1:9" ht="30" x14ac:dyDescent="0.25">
      <c r="A1973" s="5" t="s">
        <v>47</v>
      </c>
      <c r="B1973" s="5" t="s">
        <v>2374</v>
      </c>
      <c r="C1973" s="5" t="s">
        <v>2375</v>
      </c>
      <c r="D1973" s="3">
        <f>VLOOKUP(A1973,airports!A:H,7,FALSE)</f>
        <v>39.858408060000002</v>
      </c>
      <c r="E1973" s="3">
        <f>VLOOKUP(A1973,airports!A:H,8,FALSE)</f>
        <v>-104.6670019</v>
      </c>
      <c r="F1973" s="3">
        <f>VLOOKUP(B1973,airports!A:H,7,FALSE)</f>
        <v>44.348898060000003</v>
      </c>
      <c r="G1973" s="3">
        <f>VLOOKUP(B1973,airports!A:H,8,FALSE)</f>
        <v>-105.5393614</v>
      </c>
      <c r="H1973">
        <f t="shared" si="60"/>
        <v>504.5</v>
      </c>
      <c r="I1973">
        <f t="shared" si="61"/>
        <v>313.5</v>
      </c>
    </row>
    <row r="1974" spans="1:9" ht="30" x14ac:dyDescent="0.25">
      <c r="A1974" s="5" t="s">
        <v>47</v>
      </c>
      <c r="B1974" s="5" t="s">
        <v>505</v>
      </c>
      <c r="C1974" s="5" t="s">
        <v>2376</v>
      </c>
      <c r="D1974" s="3">
        <f>VLOOKUP(A1974,airports!A:H,7,FALSE)</f>
        <v>39.858408060000002</v>
      </c>
      <c r="E1974" s="3">
        <f>VLOOKUP(A1974,airports!A:H,8,FALSE)</f>
        <v>-104.6670019</v>
      </c>
      <c r="F1974" s="3">
        <f>VLOOKUP(B1974,airports!A:H,7,FALSE)</f>
        <v>47.619855559999998</v>
      </c>
      <c r="G1974" s="3">
        <f>VLOOKUP(B1974,airports!A:H,8,FALSE)</f>
        <v>-117.53384250000001</v>
      </c>
      <c r="H1974">
        <f t="shared" si="60"/>
        <v>1343.5</v>
      </c>
      <c r="I1974">
        <f t="shared" si="61"/>
        <v>834.9</v>
      </c>
    </row>
    <row r="1975" spans="1:9" ht="30" x14ac:dyDescent="0.25">
      <c r="A1975" s="5" t="s">
        <v>47</v>
      </c>
      <c r="B1975" s="5" t="s">
        <v>858</v>
      </c>
      <c r="C1975" s="5" t="s">
        <v>2377</v>
      </c>
      <c r="D1975" s="3">
        <f>VLOOKUP(A1975,airports!A:H,7,FALSE)</f>
        <v>39.858408060000002</v>
      </c>
      <c r="E1975" s="3">
        <f>VLOOKUP(A1975,airports!A:H,8,FALSE)</f>
        <v>-104.6670019</v>
      </c>
      <c r="F1975" s="3">
        <f>VLOOKUP(B1975,airports!A:H,7,FALSE)</f>
        <v>39.122412500000003</v>
      </c>
      <c r="G1975" s="3">
        <f>VLOOKUP(B1975,airports!A:H,8,FALSE)</f>
        <v>-108.52673470000001</v>
      </c>
      <c r="H1975">
        <f t="shared" si="60"/>
        <v>341.1</v>
      </c>
      <c r="I1975">
        <f t="shared" si="61"/>
        <v>212</v>
      </c>
    </row>
    <row r="1976" spans="1:9" ht="30" x14ac:dyDescent="0.25">
      <c r="A1976" s="5" t="s">
        <v>47</v>
      </c>
      <c r="B1976" s="5" t="s">
        <v>511</v>
      </c>
      <c r="C1976" s="5" t="s">
        <v>2378</v>
      </c>
      <c r="D1976" s="3">
        <f>VLOOKUP(A1976,airports!A:H,7,FALSE)</f>
        <v>39.858408060000002</v>
      </c>
      <c r="E1976" s="3">
        <f>VLOOKUP(A1976,airports!A:H,8,FALSE)</f>
        <v>-104.6670019</v>
      </c>
      <c r="F1976" s="3">
        <f>VLOOKUP(B1976,airports!A:H,7,FALSE)</f>
        <v>44.485073329999999</v>
      </c>
      <c r="G1976" s="3">
        <f>VLOOKUP(B1976,airports!A:H,8,FALSE)</f>
        <v>-88.129589999999993</v>
      </c>
      <c r="H1976">
        <f t="shared" si="60"/>
        <v>1453.5</v>
      </c>
      <c r="I1976">
        <f t="shared" si="61"/>
        <v>903.2</v>
      </c>
    </row>
    <row r="1977" spans="1:9" ht="30" x14ac:dyDescent="0.25">
      <c r="A1977" s="5" t="s">
        <v>47</v>
      </c>
      <c r="B1977" s="5" t="s">
        <v>515</v>
      </c>
      <c r="C1977" s="5" t="s">
        <v>2379</v>
      </c>
      <c r="D1977" s="3">
        <f>VLOOKUP(A1977,airports!A:H,7,FALSE)</f>
        <v>39.858408060000002</v>
      </c>
      <c r="E1977" s="3">
        <f>VLOOKUP(A1977,airports!A:H,8,FALSE)</f>
        <v>-104.6670019</v>
      </c>
      <c r="F1977" s="3">
        <f>VLOOKUP(B1977,airports!A:H,7,FALSE)</f>
        <v>42.880819719999998</v>
      </c>
      <c r="G1977" s="3">
        <f>VLOOKUP(B1977,airports!A:H,8,FALSE)</f>
        <v>-85.522767779999995</v>
      </c>
      <c r="H1977">
        <f t="shared" si="60"/>
        <v>1628.7</v>
      </c>
      <c r="I1977">
        <f t="shared" si="61"/>
        <v>1012.1</v>
      </c>
    </row>
    <row r="1978" spans="1:9" ht="30" x14ac:dyDescent="0.25">
      <c r="A1978" s="5" t="s">
        <v>47</v>
      </c>
      <c r="B1978" s="5" t="s">
        <v>517</v>
      </c>
      <c r="C1978" s="5" t="s">
        <v>2380</v>
      </c>
      <c r="D1978" s="3">
        <f>VLOOKUP(A1978,airports!A:H,7,FALSE)</f>
        <v>39.858408060000002</v>
      </c>
      <c r="E1978" s="3">
        <f>VLOOKUP(A1978,airports!A:H,8,FALSE)</f>
        <v>-104.6670019</v>
      </c>
      <c r="F1978" s="3">
        <f>VLOOKUP(B1978,airports!A:H,7,FALSE)</f>
        <v>36.09774694</v>
      </c>
      <c r="G1978" s="3">
        <f>VLOOKUP(B1978,airports!A:H,8,FALSE)</f>
        <v>-79.9372975</v>
      </c>
      <c r="H1978">
        <f t="shared" si="60"/>
        <v>2200.1</v>
      </c>
      <c r="I1978">
        <f t="shared" si="61"/>
        <v>1367.2</v>
      </c>
    </row>
    <row r="1979" spans="1:9" ht="30" x14ac:dyDescent="0.25">
      <c r="A1979" s="5" t="s">
        <v>47</v>
      </c>
      <c r="B1979" s="5" t="s">
        <v>519</v>
      </c>
      <c r="C1979" s="5" t="s">
        <v>2381</v>
      </c>
      <c r="D1979" s="3">
        <f>VLOOKUP(A1979,airports!A:H,7,FALSE)</f>
        <v>39.858408060000002</v>
      </c>
      <c r="E1979" s="3">
        <f>VLOOKUP(A1979,airports!A:H,8,FALSE)</f>
        <v>-104.6670019</v>
      </c>
      <c r="F1979" s="3">
        <f>VLOOKUP(B1979,airports!A:H,7,FALSE)</f>
        <v>34.89566722</v>
      </c>
      <c r="G1979" s="3">
        <f>VLOOKUP(B1979,airports!A:H,8,FALSE)</f>
        <v>-82.218858330000003</v>
      </c>
      <c r="H1979">
        <f t="shared" si="60"/>
        <v>2052.6999999999998</v>
      </c>
      <c r="I1979">
        <f t="shared" si="61"/>
        <v>1275.5999999999999</v>
      </c>
    </row>
    <row r="1980" spans="1:9" ht="30" x14ac:dyDescent="0.25">
      <c r="A1980" s="5" t="s">
        <v>47</v>
      </c>
      <c r="B1980" s="5" t="s">
        <v>863</v>
      </c>
      <c r="C1980" s="5" t="s">
        <v>2382</v>
      </c>
      <c r="D1980" s="3">
        <f>VLOOKUP(A1980,airports!A:H,7,FALSE)</f>
        <v>39.858408060000002</v>
      </c>
      <c r="E1980" s="3">
        <f>VLOOKUP(A1980,airports!A:H,8,FALSE)</f>
        <v>-104.6670019</v>
      </c>
      <c r="F1980" s="3">
        <f>VLOOKUP(B1980,airports!A:H,7,FALSE)</f>
        <v>47.482001940000004</v>
      </c>
      <c r="G1980" s="3">
        <f>VLOOKUP(B1980,airports!A:H,8,FALSE)</f>
        <v>-111.37068530000001</v>
      </c>
      <c r="H1980">
        <f t="shared" si="60"/>
        <v>1003.8</v>
      </c>
      <c r="I1980">
        <f t="shared" si="61"/>
        <v>623.79999999999995</v>
      </c>
    </row>
    <row r="1981" spans="1:9" ht="30" x14ac:dyDescent="0.25">
      <c r="A1981" s="5" t="s">
        <v>47</v>
      </c>
      <c r="B1981" s="5" t="s">
        <v>2383</v>
      </c>
      <c r="C1981" s="5" t="s">
        <v>2384</v>
      </c>
      <c r="D1981" s="3">
        <f>VLOOKUP(A1981,airports!A:H,7,FALSE)</f>
        <v>39.858408060000002</v>
      </c>
      <c r="E1981" s="3">
        <f>VLOOKUP(A1981,airports!A:H,8,FALSE)</f>
        <v>-104.6670019</v>
      </c>
      <c r="F1981" s="3">
        <f>VLOOKUP(B1981,airports!A:H,7,FALSE)</f>
        <v>38.533963329999999</v>
      </c>
      <c r="G1981" s="3">
        <f>VLOOKUP(B1981,airports!A:H,8,FALSE)</f>
        <v>-106.93318170000001</v>
      </c>
      <c r="H1981">
        <f t="shared" si="60"/>
        <v>244.6</v>
      </c>
      <c r="I1981">
        <f t="shared" si="61"/>
        <v>152</v>
      </c>
    </row>
    <row r="1982" spans="1:9" ht="30" x14ac:dyDescent="0.25">
      <c r="A1982" s="5" t="s">
        <v>47</v>
      </c>
      <c r="B1982" s="5" t="s">
        <v>64</v>
      </c>
      <c r="C1982" s="5" t="s">
        <v>2385</v>
      </c>
      <c r="D1982" s="3">
        <f>VLOOKUP(A1982,airports!A:H,7,FALSE)</f>
        <v>39.858408060000002</v>
      </c>
      <c r="E1982" s="3">
        <f>VLOOKUP(A1982,airports!A:H,8,FALSE)</f>
        <v>-104.6670019</v>
      </c>
      <c r="F1982" s="3">
        <f>VLOOKUP(B1982,airports!A:H,7,FALSE)</f>
        <v>40.481180279999997</v>
      </c>
      <c r="G1982" s="3">
        <f>VLOOKUP(B1982,airports!A:H,8,FALSE)</f>
        <v>-107.2176597</v>
      </c>
      <c r="H1982">
        <f t="shared" si="60"/>
        <v>227.5</v>
      </c>
      <c r="I1982">
        <f t="shared" si="61"/>
        <v>141.4</v>
      </c>
    </row>
    <row r="1983" spans="1:9" ht="30" x14ac:dyDescent="0.25">
      <c r="A1983" s="5" t="s">
        <v>47</v>
      </c>
      <c r="B1983" s="5" t="s">
        <v>2386</v>
      </c>
      <c r="C1983" s="5" t="s">
        <v>2387</v>
      </c>
      <c r="D1983" s="3">
        <f>VLOOKUP(A1983,airports!A:H,7,FALSE)</f>
        <v>39.858408060000002</v>
      </c>
      <c r="E1983" s="3">
        <f>VLOOKUP(A1983,airports!A:H,8,FALSE)</f>
        <v>-104.6670019</v>
      </c>
      <c r="F1983" s="3">
        <f>VLOOKUP(B1983,airports!A:H,7,FALSE)</f>
        <v>46.606818060000002</v>
      </c>
      <c r="G1983" s="3">
        <f>VLOOKUP(B1983,airports!A:H,8,FALSE)</f>
        <v>-111.98275030000001</v>
      </c>
      <c r="H1983">
        <f t="shared" si="60"/>
        <v>955.3</v>
      </c>
      <c r="I1983">
        <f t="shared" si="61"/>
        <v>593.6</v>
      </c>
    </row>
    <row r="1984" spans="1:9" ht="30" x14ac:dyDescent="0.25">
      <c r="A1984" s="5" t="s">
        <v>47</v>
      </c>
      <c r="B1984" s="5" t="s">
        <v>360</v>
      </c>
      <c r="C1984" s="5" t="s">
        <v>2388</v>
      </c>
      <c r="D1984" s="3">
        <f>VLOOKUP(A1984,airports!A:H,7,FALSE)</f>
        <v>39.858408060000002</v>
      </c>
      <c r="E1984" s="3">
        <f>VLOOKUP(A1984,airports!A:H,8,FALSE)</f>
        <v>-104.6670019</v>
      </c>
      <c r="F1984" s="3">
        <f>VLOOKUP(B1984,airports!A:H,7,FALSE)</f>
        <v>21.31869111</v>
      </c>
      <c r="G1984" s="3">
        <f>VLOOKUP(B1984,airports!A:H,8,FALSE)</f>
        <v>-157.92240720000001</v>
      </c>
      <c r="H1984">
        <f t="shared" si="60"/>
        <v>5408.3</v>
      </c>
      <c r="I1984">
        <f t="shared" si="61"/>
        <v>3360.8</v>
      </c>
    </row>
    <row r="1985" spans="1:9" ht="30" x14ac:dyDescent="0.25">
      <c r="A1985" s="5" t="s">
        <v>47</v>
      </c>
      <c r="B1985" s="5" t="s">
        <v>2389</v>
      </c>
      <c r="C1985" s="5" t="s">
        <v>2390</v>
      </c>
      <c r="D1985" s="3">
        <f>VLOOKUP(A1985,airports!A:H,7,FALSE)</f>
        <v>39.858408060000002</v>
      </c>
      <c r="E1985" s="3">
        <f>VLOOKUP(A1985,airports!A:H,8,FALSE)</f>
        <v>-104.6670019</v>
      </c>
      <c r="F1985" s="3">
        <f>VLOOKUP(B1985,airports!A:H,7,FALSE)</f>
        <v>32.687527780000003</v>
      </c>
      <c r="G1985" s="3">
        <f>VLOOKUP(B1985,airports!A:H,8,FALSE)</f>
        <v>-103.2170278</v>
      </c>
      <c r="H1985">
        <f t="shared" si="60"/>
        <v>807.9</v>
      </c>
      <c r="I1985">
        <f t="shared" si="61"/>
        <v>502</v>
      </c>
    </row>
    <row r="1986" spans="1:9" ht="30" x14ac:dyDescent="0.25">
      <c r="A1986" s="5" t="s">
        <v>47</v>
      </c>
      <c r="B1986" s="5" t="s">
        <v>205</v>
      </c>
      <c r="C1986" s="5" t="s">
        <v>2391</v>
      </c>
      <c r="D1986" s="3">
        <f>VLOOKUP(A1986,airports!A:H,7,FALSE)</f>
        <v>39.858408060000002</v>
      </c>
      <c r="E1986" s="3">
        <f>VLOOKUP(A1986,airports!A:H,8,FALSE)</f>
        <v>-104.6670019</v>
      </c>
      <c r="F1986" s="3">
        <f>VLOOKUP(B1986,airports!A:H,7,FALSE)</f>
        <v>29.64541861</v>
      </c>
      <c r="G1986" s="3">
        <f>VLOOKUP(B1986,airports!A:H,8,FALSE)</f>
        <v>-95.278888890000005</v>
      </c>
      <c r="H1986">
        <f t="shared" si="60"/>
        <v>1421.3</v>
      </c>
      <c r="I1986">
        <f t="shared" si="61"/>
        <v>883.2</v>
      </c>
    </row>
    <row r="1987" spans="1:9" ht="30" x14ac:dyDescent="0.25">
      <c r="A1987" s="5" t="s">
        <v>47</v>
      </c>
      <c r="B1987" s="5" t="s">
        <v>729</v>
      </c>
      <c r="C1987" s="5" t="s">
        <v>2392</v>
      </c>
      <c r="D1987" s="3">
        <f>VLOOKUP(A1987,airports!A:H,7,FALSE)</f>
        <v>39.858408060000002</v>
      </c>
      <c r="E1987" s="3">
        <f>VLOOKUP(A1987,airports!A:H,8,FALSE)</f>
        <v>-104.6670019</v>
      </c>
      <c r="F1987" s="3">
        <f>VLOOKUP(B1987,airports!A:H,7,FALSE)</f>
        <v>26.228506110000001</v>
      </c>
      <c r="G1987" s="3">
        <f>VLOOKUP(B1987,airports!A:H,8,FALSE)</f>
        <v>-97.654393889999994</v>
      </c>
      <c r="H1987">
        <f t="shared" si="60"/>
        <v>1649.1</v>
      </c>
      <c r="I1987">
        <f t="shared" si="61"/>
        <v>1024.8</v>
      </c>
    </row>
    <row r="1988" spans="1:9" ht="30" x14ac:dyDescent="0.25">
      <c r="A1988" s="5" t="s">
        <v>47</v>
      </c>
      <c r="B1988" s="5" t="s">
        <v>529</v>
      </c>
      <c r="C1988" s="5" t="s">
        <v>2393</v>
      </c>
      <c r="D1988" s="3">
        <f>VLOOKUP(A1988,airports!A:H,7,FALSE)</f>
        <v>39.858408060000002</v>
      </c>
      <c r="E1988" s="3">
        <f>VLOOKUP(A1988,airports!A:H,8,FALSE)</f>
        <v>-104.6670019</v>
      </c>
      <c r="F1988" s="3">
        <f>VLOOKUP(B1988,airports!A:H,7,FALSE)</f>
        <v>34.640447500000001</v>
      </c>
      <c r="G1988" s="3">
        <f>VLOOKUP(B1988,airports!A:H,8,FALSE)</f>
        <v>-86.773109439999999</v>
      </c>
      <c r="H1988">
        <f t="shared" ref="H1988:H2051" si="62">ROUND(ACOS(COS(RADIANS(90-D1988)) * COS(RADIANS(90-F1988)) + SIN(RADIANS(90-D1988)) * SIN(RADIANS(90-F1988)) * COS(RADIANS(E1988-G1988))) * 6371,1)</f>
        <v>1683.1</v>
      </c>
      <c r="I1988">
        <f t="shared" ref="I1988:I2051" si="63">ROUND(ACOS(COS(RADIANS(90-D1988)) * COS(RADIANS(90-F1988)) + SIN(RADIANS(90-D1988)) * SIN(RADIANS(90-F1988)) * COS(RADIANS(E1988-G1988))) * 3959,1)</f>
        <v>1045.9000000000001</v>
      </c>
    </row>
    <row r="1989" spans="1:9" ht="30" x14ac:dyDescent="0.25">
      <c r="A1989" s="5" t="s">
        <v>47</v>
      </c>
      <c r="B1989" s="5" t="s">
        <v>2394</v>
      </c>
      <c r="C1989" s="5" t="s">
        <v>2395</v>
      </c>
      <c r="D1989" s="3">
        <f>VLOOKUP(A1989,airports!A:H,7,FALSE)</f>
        <v>39.858408060000002</v>
      </c>
      <c r="E1989" s="3">
        <f>VLOOKUP(A1989,airports!A:H,8,FALSE)</f>
        <v>-104.6670019</v>
      </c>
      <c r="F1989" s="3">
        <f>VLOOKUP(B1989,airports!A:H,7,FALSE)</f>
        <v>38.844941669999997</v>
      </c>
      <c r="G1989" s="3">
        <f>VLOOKUP(B1989,airports!A:H,8,FALSE)</f>
        <v>-99.274033610000004</v>
      </c>
      <c r="H1989">
        <f t="shared" si="62"/>
        <v>477.1</v>
      </c>
      <c r="I1989">
        <f t="shared" si="63"/>
        <v>296.5</v>
      </c>
    </row>
    <row r="1990" spans="1:9" ht="30" x14ac:dyDescent="0.25">
      <c r="A1990" s="5" t="s">
        <v>47</v>
      </c>
      <c r="B1990" s="5" t="s">
        <v>176</v>
      </c>
      <c r="C1990" s="5" t="s">
        <v>2396</v>
      </c>
      <c r="D1990" s="3">
        <f>VLOOKUP(A1990,airports!A:H,7,FALSE)</f>
        <v>39.858408060000002</v>
      </c>
      <c r="E1990" s="3">
        <f>VLOOKUP(A1990,airports!A:H,8,FALSE)</f>
        <v>-104.6670019</v>
      </c>
      <c r="F1990" s="3">
        <f>VLOOKUP(B1990,airports!A:H,7,FALSE)</f>
        <v>38.944531939999997</v>
      </c>
      <c r="G1990" s="3">
        <f>VLOOKUP(B1990,airports!A:H,8,FALSE)</f>
        <v>-77.455809720000005</v>
      </c>
      <c r="H1990">
        <f t="shared" si="62"/>
        <v>2331.1999999999998</v>
      </c>
      <c r="I1990">
        <f t="shared" si="63"/>
        <v>1448.6</v>
      </c>
    </row>
    <row r="1991" spans="1:9" ht="30" x14ac:dyDescent="0.25">
      <c r="A1991" s="5" t="s">
        <v>47</v>
      </c>
      <c r="B1991" s="5" t="s">
        <v>67</v>
      </c>
      <c r="C1991" s="5" t="s">
        <v>2397</v>
      </c>
      <c r="D1991" s="3">
        <f>VLOOKUP(A1991,airports!A:H,7,FALSE)</f>
        <v>39.858408060000002</v>
      </c>
      <c r="E1991" s="3">
        <f>VLOOKUP(A1991,airports!A:H,8,FALSE)</f>
        <v>-104.6670019</v>
      </c>
      <c r="F1991" s="3">
        <f>VLOOKUP(B1991,airports!A:H,7,FALSE)</f>
        <v>29.980472219999999</v>
      </c>
      <c r="G1991" s="3">
        <f>VLOOKUP(B1991,airports!A:H,8,FALSE)</f>
        <v>-95.339722219999999</v>
      </c>
      <c r="H1991">
        <f t="shared" si="62"/>
        <v>1387.3</v>
      </c>
      <c r="I1991">
        <f t="shared" si="63"/>
        <v>862.1</v>
      </c>
    </row>
    <row r="1992" spans="1:9" x14ac:dyDescent="0.25">
      <c r="A1992" s="5" t="s">
        <v>47</v>
      </c>
      <c r="B1992" s="5" t="s">
        <v>533</v>
      </c>
      <c r="C1992" s="5" t="s">
        <v>2398</v>
      </c>
      <c r="D1992" s="3">
        <f>VLOOKUP(A1992,airports!A:H,7,FALSE)</f>
        <v>39.858408060000002</v>
      </c>
      <c r="E1992" s="3">
        <f>VLOOKUP(A1992,airports!A:H,8,FALSE)</f>
        <v>-104.6670019</v>
      </c>
      <c r="F1992" s="3">
        <f>VLOOKUP(B1992,airports!A:H,7,FALSE)</f>
        <v>37.649958890000001</v>
      </c>
      <c r="G1992" s="3">
        <f>VLOOKUP(B1992,airports!A:H,8,FALSE)</f>
        <v>-97.433045829999998</v>
      </c>
      <c r="H1992">
        <f t="shared" si="62"/>
        <v>673.4</v>
      </c>
      <c r="I1992">
        <f t="shared" si="63"/>
        <v>418.4</v>
      </c>
    </row>
    <row r="1993" spans="1:9" ht="30" x14ac:dyDescent="0.25">
      <c r="A1993" s="5" t="s">
        <v>47</v>
      </c>
      <c r="B1993" s="5" t="s">
        <v>867</v>
      </c>
      <c r="C1993" s="5" t="s">
        <v>2399</v>
      </c>
      <c r="D1993" s="3">
        <f>VLOOKUP(A1993,airports!A:H,7,FALSE)</f>
        <v>39.858408060000002</v>
      </c>
      <c r="E1993" s="3">
        <f>VLOOKUP(A1993,airports!A:H,8,FALSE)</f>
        <v>-104.6670019</v>
      </c>
      <c r="F1993" s="3">
        <f>VLOOKUP(B1993,airports!A:H,7,FALSE)</f>
        <v>43.514555559999998</v>
      </c>
      <c r="G1993" s="3">
        <f>VLOOKUP(B1993,airports!A:H,8,FALSE)</f>
        <v>-112.0701667</v>
      </c>
      <c r="H1993">
        <f t="shared" si="62"/>
        <v>736.6</v>
      </c>
      <c r="I1993">
        <f t="shared" si="63"/>
        <v>457.7</v>
      </c>
    </row>
    <row r="1994" spans="1:9" ht="30" x14ac:dyDescent="0.25">
      <c r="A1994" s="5" t="s">
        <v>47</v>
      </c>
      <c r="B1994" s="5" t="s">
        <v>537</v>
      </c>
      <c r="C1994" s="5" t="s">
        <v>2400</v>
      </c>
      <c r="D1994" s="3">
        <f>VLOOKUP(A1994,airports!A:H,7,FALSE)</f>
        <v>39.858408060000002</v>
      </c>
      <c r="E1994" s="3">
        <f>VLOOKUP(A1994,airports!A:H,8,FALSE)</f>
        <v>-104.6670019</v>
      </c>
      <c r="F1994" s="3">
        <f>VLOOKUP(B1994,airports!A:H,7,FALSE)</f>
        <v>39.717329169999999</v>
      </c>
      <c r="G1994" s="3">
        <f>VLOOKUP(B1994,airports!A:H,8,FALSE)</f>
        <v>-86.294384170000001</v>
      </c>
      <c r="H1994">
        <f t="shared" si="62"/>
        <v>1567.1</v>
      </c>
      <c r="I1994">
        <f t="shared" si="63"/>
        <v>973.8</v>
      </c>
    </row>
    <row r="1995" spans="1:9" ht="30" x14ac:dyDescent="0.25">
      <c r="A1995" s="5" t="s">
        <v>47</v>
      </c>
      <c r="B1995" s="5" t="s">
        <v>2401</v>
      </c>
      <c r="C1995" s="5" t="s">
        <v>2402</v>
      </c>
      <c r="D1995" s="3">
        <f>VLOOKUP(A1995,airports!A:H,7,FALSE)</f>
        <v>39.858408060000002</v>
      </c>
      <c r="E1995" s="3">
        <f>VLOOKUP(A1995,airports!A:H,8,FALSE)</f>
        <v>-104.6670019</v>
      </c>
      <c r="F1995" s="3">
        <f>VLOOKUP(B1995,airports!A:H,7,FALSE)</f>
        <v>48.177938609999998</v>
      </c>
      <c r="G1995" s="3">
        <f>VLOOKUP(B1995,airports!A:H,8,FALSE)</f>
        <v>-103.6423467</v>
      </c>
      <c r="H1995">
        <f t="shared" si="62"/>
        <v>928.7</v>
      </c>
      <c r="I1995">
        <f t="shared" si="63"/>
        <v>577.1</v>
      </c>
    </row>
    <row r="1996" spans="1:9" ht="30" x14ac:dyDescent="0.25">
      <c r="A1996" s="5" t="s">
        <v>47</v>
      </c>
      <c r="B1996" s="5" t="s">
        <v>541</v>
      </c>
      <c r="C1996" s="5" t="s">
        <v>2403</v>
      </c>
      <c r="D1996" s="3">
        <f>VLOOKUP(A1996,airports!A:H,7,FALSE)</f>
        <v>39.858408060000002</v>
      </c>
      <c r="E1996" s="3">
        <f>VLOOKUP(A1996,airports!A:H,8,FALSE)</f>
        <v>-104.6670019</v>
      </c>
      <c r="F1996" s="3">
        <f>VLOOKUP(B1996,airports!A:H,7,FALSE)</f>
        <v>43.607324169999998</v>
      </c>
      <c r="G1996" s="3">
        <f>VLOOKUP(B1996,airports!A:H,8,FALSE)</f>
        <v>-110.7377389</v>
      </c>
      <c r="H1996">
        <f t="shared" si="62"/>
        <v>653.5</v>
      </c>
      <c r="I1996">
        <f t="shared" si="63"/>
        <v>406.1</v>
      </c>
    </row>
    <row r="1997" spans="1:9" ht="30" x14ac:dyDescent="0.25">
      <c r="A1997" s="5" t="s">
        <v>47</v>
      </c>
      <c r="B1997" s="5" t="s">
        <v>543</v>
      </c>
      <c r="C1997" s="5" t="s">
        <v>2404</v>
      </c>
      <c r="D1997" s="3">
        <f>VLOOKUP(A1997,airports!A:H,7,FALSE)</f>
        <v>39.858408060000002</v>
      </c>
      <c r="E1997" s="3">
        <f>VLOOKUP(A1997,airports!A:H,8,FALSE)</f>
        <v>-104.6670019</v>
      </c>
      <c r="F1997" s="3">
        <f>VLOOKUP(B1997,airports!A:H,7,FALSE)</f>
        <v>32.311166669999999</v>
      </c>
      <c r="G1997" s="3">
        <f>VLOOKUP(B1997,airports!A:H,8,FALSE)</f>
        <v>-90.075888890000002</v>
      </c>
      <c r="H1997">
        <f t="shared" si="62"/>
        <v>1553.6</v>
      </c>
      <c r="I1997">
        <f t="shared" si="63"/>
        <v>965.4</v>
      </c>
    </row>
    <row r="1998" spans="1:9" ht="30" x14ac:dyDescent="0.25">
      <c r="A1998" s="5" t="s">
        <v>47</v>
      </c>
      <c r="B1998" s="5" t="s">
        <v>68</v>
      </c>
      <c r="C1998" s="5" t="s">
        <v>2405</v>
      </c>
      <c r="D1998" s="3">
        <f>VLOOKUP(A1998,airports!A:H,7,FALSE)</f>
        <v>39.858408060000002</v>
      </c>
      <c r="E1998" s="3">
        <f>VLOOKUP(A1998,airports!A:H,8,FALSE)</f>
        <v>-104.6670019</v>
      </c>
      <c r="F1998" s="3">
        <f>VLOOKUP(B1998,airports!A:H,7,FALSE)</f>
        <v>30.49405556</v>
      </c>
      <c r="G1998" s="3">
        <f>VLOOKUP(B1998,airports!A:H,8,FALSE)</f>
        <v>-81.68786111</v>
      </c>
      <c r="H1998">
        <f t="shared" si="62"/>
        <v>2324.3000000000002</v>
      </c>
      <c r="I1998">
        <f t="shared" si="63"/>
        <v>1444.4</v>
      </c>
    </row>
    <row r="1999" spans="1:9" x14ac:dyDescent="0.25">
      <c r="A1999" s="5" t="s">
        <v>47</v>
      </c>
      <c r="B1999" s="5" t="s">
        <v>69</v>
      </c>
      <c r="C1999" s="5" t="s">
        <v>2406</v>
      </c>
      <c r="D1999" s="3">
        <f>VLOOKUP(A1999,airports!A:H,7,FALSE)</f>
        <v>39.858408060000002</v>
      </c>
      <c r="E1999" s="3">
        <f>VLOOKUP(A1999,airports!A:H,8,FALSE)</f>
        <v>-104.6670019</v>
      </c>
      <c r="F1999" s="3">
        <f>VLOOKUP(B1999,airports!A:H,7,FALSE)</f>
        <v>40.639751109999999</v>
      </c>
      <c r="G1999" s="3">
        <f>VLOOKUP(B1999,airports!A:H,8,FALSE)</f>
        <v>-73.778925560000005</v>
      </c>
      <c r="H1999">
        <f t="shared" si="62"/>
        <v>2609.4</v>
      </c>
      <c r="I1999">
        <f t="shared" si="63"/>
        <v>1621.5</v>
      </c>
    </row>
    <row r="2000" spans="1:9" ht="30" x14ac:dyDescent="0.25">
      <c r="A2000" s="5" t="s">
        <v>47</v>
      </c>
      <c r="B2000" s="5" t="s">
        <v>2407</v>
      </c>
      <c r="C2000" s="5" t="s">
        <v>2408</v>
      </c>
      <c r="D2000" s="3">
        <f>VLOOKUP(A2000,airports!A:H,7,FALSE)</f>
        <v>39.858408060000002</v>
      </c>
      <c r="E2000" s="3">
        <f>VLOOKUP(A2000,airports!A:H,8,FALSE)</f>
        <v>-104.6670019</v>
      </c>
      <c r="F2000" s="3">
        <f>VLOOKUP(B2000,airports!A:H,7,FALSE)</f>
        <v>37.151813609999998</v>
      </c>
      <c r="G2000" s="3">
        <f>VLOOKUP(B2000,airports!A:H,8,FALSE)</f>
        <v>-94.498268330000002</v>
      </c>
      <c r="H2000">
        <f t="shared" si="62"/>
        <v>934</v>
      </c>
      <c r="I2000">
        <f t="shared" si="63"/>
        <v>580.4</v>
      </c>
    </row>
    <row r="2001" spans="1:9" ht="30" x14ac:dyDescent="0.25">
      <c r="A2001" s="5" t="s">
        <v>47</v>
      </c>
      <c r="B2001" s="5" t="s">
        <v>2409</v>
      </c>
      <c r="C2001" s="5" t="s">
        <v>2410</v>
      </c>
      <c r="D2001" s="3">
        <f>VLOOKUP(A2001,airports!A:H,7,FALSE)</f>
        <v>39.858408060000002</v>
      </c>
      <c r="E2001" s="3">
        <f>VLOOKUP(A2001,airports!A:H,8,FALSE)</f>
        <v>-104.6670019</v>
      </c>
      <c r="F2001" s="3">
        <f>VLOOKUP(B2001,airports!A:H,7,FALSE)</f>
        <v>46.92971944</v>
      </c>
      <c r="G2001" s="3">
        <f>VLOOKUP(B2001,airports!A:H,8,FALSE)</f>
        <v>-98.678195279999997</v>
      </c>
      <c r="H2001">
        <f t="shared" si="62"/>
        <v>922.6</v>
      </c>
      <c r="I2001">
        <f t="shared" si="63"/>
        <v>573.29999999999995</v>
      </c>
    </row>
    <row r="2002" spans="1:9" ht="30" x14ac:dyDescent="0.25">
      <c r="A2002" s="5" t="s">
        <v>47</v>
      </c>
      <c r="B2002" s="5" t="s">
        <v>366</v>
      </c>
      <c r="C2002" s="5" t="s">
        <v>2411</v>
      </c>
      <c r="D2002" s="3">
        <f>VLOOKUP(A2002,airports!A:H,7,FALSE)</f>
        <v>39.858408060000002</v>
      </c>
      <c r="E2002" s="3">
        <f>VLOOKUP(A2002,airports!A:H,8,FALSE)</f>
        <v>-104.6670019</v>
      </c>
      <c r="F2002" s="3">
        <f>VLOOKUP(B2002,airports!A:H,7,FALSE)</f>
        <v>19.738765829999998</v>
      </c>
      <c r="G2002" s="3">
        <f>VLOOKUP(B2002,airports!A:H,8,FALSE)</f>
        <v>-156.04563139999999</v>
      </c>
      <c r="H2002">
        <f t="shared" si="62"/>
        <v>5351.9</v>
      </c>
      <c r="I2002">
        <f t="shared" si="63"/>
        <v>3325.7</v>
      </c>
    </row>
    <row r="2003" spans="1:9" ht="30" x14ac:dyDescent="0.25">
      <c r="A2003" s="5" t="s">
        <v>47</v>
      </c>
      <c r="B2003" s="5" t="s">
        <v>958</v>
      </c>
      <c r="C2003" s="5" t="s">
        <v>2412</v>
      </c>
      <c r="D2003" s="3">
        <f>VLOOKUP(A2003,airports!A:H,7,FALSE)</f>
        <v>39.858408060000002</v>
      </c>
      <c r="E2003" s="3">
        <f>VLOOKUP(A2003,airports!A:H,8,FALSE)</f>
        <v>-104.6670019</v>
      </c>
      <c r="F2003" s="3">
        <f>VLOOKUP(B2003,airports!A:H,7,FALSE)</f>
        <v>41.312049999999999</v>
      </c>
      <c r="G2003" s="3">
        <f>VLOOKUP(B2003,airports!A:H,8,FALSE)</f>
        <v>-105.67498639999999</v>
      </c>
      <c r="H2003">
        <f t="shared" si="62"/>
        <v>182.7</v>
      </c>
      <c r="I2003">
        <f t="shared" si="63"/>
        <v>113.5</v>
      </c>
    </row>
    <row r="2004" spans="1:9" ht="30" x14ac:dyDescent="0.25">
      <c r="A2004" s="5" t="s">
        <v>47</v>
      </c>
      <c r="B2004" s="5" t="s">
        <v>71</v>
      </c>
      <c r="C2004" s="5" t="s">
        <v>2413</v>
      </c>
      <c r="D2004" s="3">
        <f>VLOOKUP(A2004,airports!A:H,7,FALSE)</f>
        <v>39.858408060000002</v>
      </c>
      <c r="E2004" s="3">
        <f>VLOOKUP(A2004,airports!A:H,8,FALSE)</f>
        <v>-104.6670019</v>
      </c>
      <c r="F2004" s="3">
        <f>VLOOKUP(B2004,airports!A:H,7,FALSE)</f>
        <v>36.080361109999998</v>
      </c>
      <c r="G2004" s="3">
        <f>VLOOKUP(B2004,airports!A:H,8,FALSE)</f>
        <v>-115.1523333</v>
      </c>
      <c r="H2004">
        <f t="shared" si="62"/>
        <v>1009.7</v>
      </c>
      <c r="I2004">
        <f t="shared" si="63"/>
        <v>627.5</v>
      </c>
    </row>
    <row r="2005" spans="1:9" ht="30" x14ac:dyDescent="0.25">
      <c r="A2005" s="5" t="s">
        <v>47</v>
      </c>
      <c r="B2005" s="5" t="s">
        <v>73</v>
      </c>
      <c r="C2005" s="5" t="s">
        <v>2414</v>
      </c>
      <c r="D2005" s="3">
        <f>VLOOKUP(A2005,airports!A:H,7,FALSE)</f>
        <v>39.858408060000002</v>
      </c>
      <c r="E2005" s="3">
        <f>VLOOKUP(A2005,airports!A:H,8,FALSE)</f>
        <v>-104.6670019</v>
      </c>
      <c r="F2005" s="3">
        <f>VLOOKUP(B2005,airports!A:H,7,FALSE)</f>
        <v>33.942536109999999</v>
      </c>
      <c r="G2005" s="3">
        <f>VLOOKUP(B2005,airports!A:H,8,FALSE)</f>
        <v>-118.4080744</v>
      </c>
      <c r="H2005">
        <f t="shared" si="62"/>
        <v>1385.5</v>
      </c>
      <c r="I2005">
        <f t="shared" si="63"/>
        <v>860.9</v>
      </c>
    </row>
    <row r="2006" spans="1:9" ht="30" x14ac:dyDescent="0.25">
      <c r="A2006" s="5" t="s">
        <v>47</v>
      </c>
      <c r="B2006" s="5" t="s">
        <v>738</v>
      </c>
      <c r="C2006" s="5" t="s">
        <v>2415</v>
      </c>
      <c r="D2006" s="3">
        <f>VLOOKUP(A2006,airports!A:H,7,FALSE)</f>
        <v>39.858408060000002</v>
      </c>
      <c r="E2006" s="3">
        <f>VLOOKUP(A2006,airports!A:H,8,FALSE)</f>
        <v>-104.6670019</v>
      </c>
      <c r="F2006" s="3">
        <f>VLOOKUP(B2006,airports!A:H,7,FALSE)</f>
        <v>33.663638890000001</v>
      </c>
      <c r="G2006" s="3">
        <f>VLOOKUP(B2006,airports!A:H,8,FALSE)</f>
        <v>-101.8227778</v>
      </c>
      <c r="H2006">
        <f t="shared" si="62"/>
        <v>733.8</v>
      </c>
      <c r="I2006">
        <f t="shared" si="63"/>
        <v>456</v>
      </c>
    </row>
    <row r="2007" spans="1:9" ht="30" x14ac:dyDescent="0.25">
      <c r="A2007" s="5" t="s">
        <v>47</v>
      </c>
      <c r="B2007" s="5" t="s">
        <v>960</v>
      </c>
      <c r="C2007" s="5" t="s">
        <v>2416</v>
      </c>
      <c r="D2007" s="3">
        <f>VLOOKUP(A2007,airports!A:H,7,FALSE)</f>
        <v>39.858408060000002</v>
      </c>
      <c r="E2007" s="3">
        <f>VLOOKUP(A2007,airports!A:H,8,FALSE)</f>
        <v>-104.6670019</v>
      </c>
      <c r="F2007" s="3">
        <f>VLOOKUP(B2007,airports!A:H,7,FALSE)</f>
        <v>41.1327</v>
      </c>
      <c r="G2007" s="3">
        <f>VLOOKUP(B2007,airports!A:H,8,FALSE)</f>
        <v>-100.69799999999999</v>
      </c>
      <c r="H2007">
        <f t="shared" si="62"/>
        <v>364.3</v>
      </c>
      <c r="I2007">
        <f t="shared" si="63"/>
        <v>226.4</v>
      </c>
    </row>
    <row r="2008" spans="1:9" x14ac:dyDescent="0.25">
      <c r="A2008" s="5" t="s">
        <v>47</v>
      </c>
      <c r="B2008" s="5" t="s">
        <v>2291</v>
      </c>
      <c r="C2008" s="5" t="s">
        <v>2417</v>
      </c>
      <c r="D2008" s="3">
        <f>VLOOKUP(A2008,airports!A:H,7,FALSE)</f>
        <v>39.858408060000002</v>
      </c>
      <c r="E2008" s="3">
        <f>VLOOKUP(A2008,airports!A:H,8,FALSE)</f>
        <v>-104.6670019</v>
      </c>
      <c r="F2008" s="3">
        <f>VLOOKUP(B2008,airports!A:H,7,FALSE)</f>
        <v>37.0442009</v>
      </c>
      <c r="G2008" s="3">
        <f>VLOOKUP(B2008,airports!A:H,8,FALSE)</f>
        <v>-100.9599991</v>
      </c>
      <c r="H2008">
        <f t="shared" si="62"/>
        <v>449.5</v>
      </c>
      <c r="I2008">
        <f t="shared" si="63"/>
        <v>279.3</v>
      </c>
    </row>
    <row r="2009" spans="1:9" x14ac:dyDescent="0.25">
      <c r="A2009" s="5" t="s">
        <v>47</v>
      </c>
      <c r="B2009" s="5" t="s">
        <v>551</v>
      </c>
      <c r="C2009" s="5" t="s">
        <v>2418</v>
      </c>
      <c r="D2009" s="3">
        <f>VLOOKUP(A2009,airports!A:H,7,FALSE)</f>
        <v>39.858408060000002</v>
      </c>
      <c r="E2009" s="3">
        <f>VLOOKUP(A2009,airports!A:H,8,FALSE)</f>
        <v>-104.6670019</v>
      </c>
      <c r="F2009" s="3">
        <f>VLOOKUP(B2009,airports!A:H,7,FALSE)</f>
        <v>30.20527972</v>
      </c>
      <c r="G2009" s="3">
        <f>VLOOKUP(B2009,airports!A:H,8,FALSE)</f>
        <v>-91.987655000000004</v>
      </c>
      <c r="H2009">
        <f t="shared" si="62"/>
        <v>1573.3</v>
      </c>
      <c r="I2009">
        <f t="shared" si="63"/>
        <v>977.7</v>
      </c>
    </row>
    <row r="2010" spans="1:9" ht="30" x14ac:dyDescent="0.25">
      <c r="A2010" s="5" t="s">
        <v>47</v>
      </c>
      <c r="B2010" s="5" t="s">
        <v>74</v>
      </c>
      <c r="C2010" s="5" t="s">
        <v>2419</v>
      </c>
      <c r="D2010" s="3">
        <f>VLOOKUP(A2010,airports!A:H,7,FALSE)</f>
        <v>39.858408060000002</v>
      </c>
      <c r="E2010" s="3">
        <f>VLOOKUP(A2010,airports!A:H,8,FALSE)</f>
        <v>-104.6670019</v>
      </c>
      <c r="F2010" s="3">
        <f>VLOOKUP(B2010,airports!A:H,7,FALSE)</f>
        <v>40.777243060000004</v>
      </c>
      <c r="G2010" s="3">
        <f>VLOOKUP(B2010,airports!A:H,8,FALSE)</f>
        <v>-73.872609170000004</v>
      </c>
      <c r="H2010">
        <f t="shared" si="62"/>
        <v>2599.4</v>
      </c>
      <c r="I2010">
        <f t="shared" si="63"/>
        <v>1615.3</v>
      </c>
    </row>
    <row r="2011" spans="1:9" ht="30" x14ac:dyDescent="0.25">
      <c r="A2011" s="5" t="s">
        <v>47</v>
      </c>
      <c r="B2011" s="5" t="s">
        <v>742</v>
      </c>
      <c r="C2011" s="5" t="s">
        <v>2420</v>
      </c>
      <c r="D2011" s="3">
        <f>VLOOKUP(A2011,airports!A:H,7,FALSE)</f>
        <v>39.858408060000002</v>
      </c>
      <c r="E2011" s="3">
        <f>VLOOKUP(A2011,airports!A:H,8,FALSE)</f>
        <v>-104.6670019</v>
      </c>
      <c r="F2011" s="3">
        <f>VLOOKUP(B2011,airports!A:H,7,FALSE)</f>
        <v>33.81772222</v>
      </c>
      <c r="G2011" s="3">
        <f>VLOOKUP(B2011,airports!A:H,8,FALSE)</f>
        <v>-118.1516111</v>
      </c>
      <c r="H2011">
        <f t="shared" si="62"/>
        <v>1373.1</v>
      </c>
      <c r="I2011">
        <f t="shared" si="63"/>
        <v>853.2</v>
      </c>
    </row>
    <row r="2012" spans="1:9" x14ac:dyDescent="0.25">
      <c r="A2012" s="5" t="s">
        <v>47</v>
      </c>
      <c r="B2012" s="5" t="s">
        <v>2421</v>
      </c>
      <c r="C2012" s="5" t="s">
        <v>2422</v>
      </c>
      <c r="D2012" s="3">
        <f>VLOOKUP(A2012,airports!A:H,7,FALSE)</f>
        <v>39.858408060000002</v>
      </c>
      <c r="E2012" s="3">
        <f>VLOOKUP(A2012,airports!A:H,8,FALSE)</f>
        <v>-104.6670019</v>
      </c>
      <c r="F2012" s="3">
        <f>VLOOKUP(B2012,airports!A:H,7,FALSE)</f>
        <v>21.975983060000001</v>
      </c>
      <c r="G2012" s="3">
        <f>VLOOKUP(B2012,airports!A:H,8,FALSE)</f>
        <v>-159.33895810000001</v>
      </c>
      <c r="H2012">
        <f t="shared" si="62"/>
        <v>5487.2</v>
      </c>
      <c r="I2012">
        <f t="shared" si="63"/>
        <v>3409.8</v>
      </c>
    </row>
    <row r="2013" spans="1:9" x14ac:dyDescent="0.25">
      <c r="A2013" s="5" t="s">
        <v>47</v>
      </c>
      <c r="B2013" s="5" t="s">
        <v>554</v>
      </c>
      <c r="C2013" s="5" t="s">
        <v>2423</v>
      </c>
      <c r="D2013" s="3">
        <f>VLOOKUP(A2013,airports!A:H,7,FALSE)</f>
        <v>39.858408060000002</v>
      </c>
      <c r="E2013" s="3">
        <f>VLOOKUP(A2013,airports!A:H,8,FALSE)</f>
        <v>-104.6670019</v>
      </c>
      <c r="F2013" s="3">
        <f>VLOOKUP(B2013,airports!A:H,7,FALSE)</f>
        <v>34.729396110000003</v>
      </c>
      <c r="G2013" s="3">
        <f>VLOOKUP(B2013,airports!A:H,8,FALSE)</f>
        <v>-92.22424556</v>
      </c>
      <c r="H2013">
        <f t="shared" si="62"/>
        <v>1238.0999999999999</v>
      </c>
      <c r="I2013">
        <f t="shared" si="63"/>
        <v>769.3</v>
      </c>
    </row>
    <row r="2014" spans="1:9" ht="30" x14ac:dyDescent="0.25">
      <c r="A2014" s="5" t="s">
        <v>47</v>
      </c>
      <c r="B2014" s="5" t="s">
        <v>556</v>
      </c>
      <c r="C2014" s="5" t="s">
        <v>2424</v>
      </c>
      <c r="D2014" s="3">
        <f>VLOOKUP(A2014,airports!A:H,7,FALSE)</f>
        <v>39.858408060000002</v>
      </c>
      <c r="E2014" s="3">
        <f>VLOOKUP(A2014,airports!A:H,8,FALSE)</f>
        <v>-104.6670019</v>
      </c>
      <c r="F2014" s="3">
        <f>VLOOKUP(B2014,airports!A:H,7,FALSE)</f>
        <v>40.850972220000003</v>
      </c>
      <c r="G2014" s="3">
        <f>VLOOKUP(B2014,airports!A:H,8,FALSE)</f>
        <v>-96.759249999999994</v>
      </c>
      <c r="H2014">
        <f t="shared" si="62"/>
        <v>678.9</v>
      </c>
      <c r="I2014">
        <f t="shared" si="63"/>
        <v>421.8</v>
      </c>
    </row>
    <row r="2015" spans="1:9" ht="30" x14ac:dyDescent="0.25">
      <c r="A2015" s="5" t="s">
        <v>47</v>
      </c>
      <c r="B2015" s="5" t="s">
        <v>1208</v>
      </c>
      <c r="C2015" s="5" t="s">
        <v>2425</v>
      </c>
      <c r="D2015" s="3">
        <f>VLOOKUP(A2015,airports!A:H,7,FALSE)</f>
        <v>39.858408060000002</v>
      </c>
      <c r="E2015" s="3">
        <f>VLOOKUP(A2015,airports!A:H,8,FALSE)</f>
        <v>-104.6670019</v>
      </c>
      <c r="F2015" s="3">
        <f>VLOOKUP(B2015,airports!A:H,7,FALSE)</f>
        <v>46.374498060000001</v>
      </c>
      <c r="G2015" s="3">
        <f>VLOOKUP(B2015,airports!A:H,8,FALSE)</f>
        <v>-117.01539440000001</v>
      </c>
      <c r="H2015">
        <f t="shared" si="62"/>
        <v>1234.4000000000001</v>
      </c>
      <c r="I2015">
        <f t="shared" si="63"/>
        <v>767.1</v>
      </c>
    </row>
    <row r="2016" spans="1:9" ht="30" x14ac:dyDescent="0.25">
      <c r="A2016" s="5" t="s">
        <v>47</v>
      </c>
      <c r="B2016" s="5" t="s">
        <v>744</v>
      </c>
      <c r="C2016" s="5" t="s">
        <v>2426</v>
      </c>
      <c r="D2016" s="3">
        <f>VLOOKUP(A2016,airports!A:H,7,FALSE)</f>
        <v>39.858408060000002</v>
      </c>
      <c r="E2016" s="3">
        <f>VLOOKUP(A2016,airports!A:H,8,FALSE)</f>
        <v>-104.6670019</v>
      </c>
      <c r="F2016" s="3">
        <f>VLOOKUP(B2016,airports!A:H,7,FALSE)</f>
        <v>31.942527779999999</v>
      </c>
      <c r="G2016" s="3">
        <f>VLOOKUP(B2016,airports!A:H,8,FALSE)</f>
        <v>-102.20191389999999</v>
      </c>
      <c r="H2016">
        <f t="shared" si="62"/>
        <v>907.7</v>
      </c>
      <c r="I2016">
        <f t="shared" si="63"/>
        <v>564</v>
      </c>
    </row>
    <row r="2017" spans="1:9" ht="30" x14ac:dyDescent="0.25">
      <c r="A2017" s="5" t="s">
        <v>47</v>
      </c>
      <c r="B2017" s="5" t="s">
        <v>80</v>
      </c>
      <c r="C2017" s="5" t="s">
        <v>2427</v>
      </c>
      <c r="D2017" s="3">
        <f>VLOOKUP(A2017,airports!A:H,7,FALSE)</f>
        <v>39.858408060000002</v>
      </c>
      <c r="E2017" s="3">
        <f>VLOOKUP(A2017,airports!A:H,8,FALSE)</f>
        <v>-104.6670019</v>
      </c>
      <c r="F2017" s="3">
        <f>VLOOKUP(B2017,airports!A:H,7,FALSE)</f>
        <v>39.297605279999999</v>
      </c>
      <c r="G2017" s="3">
        <f>VLOOKUP(B2017,airports!A:H,8,FALSE)</f>
        <v>-94.713905560000001</v>
      </c>
      <c r="H2017">
        <f t="shared" si="62"/>
        <v>854.9</v>
      </c>
      <c r="I2017">
        <f t="shared" si="63"/>
        <v>531.20000000000005</v>
      </c>
    </row>
    <row r="2018" spans="1:9" ht="30" x14ac:dyDescent="0.25">
      <c r="A2018" s="5" t="s">
        <v>47</v>
      </c>
      <c r="B2018" s="5" t="s">
        <v>82</v>
      </c>
      <c r="C2018" s="5" t="s">
        <v>2428</v>
      </c>
      <c r="D2018" s="3">
        <f>VLOOKUP(A2018,airports!A:H,7,FALSE)</f>
        <v>39.858408060000002</v>
      </c>
      <c r="E2018" s="3">
        <f>VLOOKUP(A2018,airports!A:H,8,FALSE)</f>
        <v>-104.6670019</v>
      </c>
      <c r="F2018" s="3">
        <f>VLOOKUP(B2018,airports!A:H,7,FALSE)</f>
        <v>28.42888889</v>
      </c>
      <c r="G2018" s="3">
        <f>VLOOKUP(B2018,airports!A:H,8,FALSE)</f>
        <v>-81.316027779999999</v>
      </c>
      <c r="H2018">
        <f t="shared" si="62"/>
        <v>2485.1999999999998</v>
      </c>
      <c r="I2018">
        <f t="shared" si="63"/>
        <v>1544.3</v>
      </c>
    </row>
    <row r="2019" spans="1:9" ht="30" x14ac:dyDescent="0.25">
      <c r="A2019" s="5" t="s">
        <v>47</v>
      </c>
      <c r="B2019" s="5" t="s">
        <v>178</v>
      </c>
      <c r="C2019" s="5" t="s">
        <v>2429</v>
      </c>
      <c r="D2019" s="3">
        <f>VLOOKUP(A2019,airports!A:H,7,FALSE)</f>
        <v>39.858408060000002</v>
      </c>
      <c r="E2019" s="3">
        <f>VLOOKUP(A2019,airports!A:H,8,FALSE)</f>
        <v>-104.6670019</v>
      </c>
      <c r="F2019" s="3">
        <f>VLOOKUP(B2019,airports!A:H,7,FALSE)</f>
        <v>40.19349528</v>
      </c>
      <c r="G2019" s="3">
        <f>VLOOKUP(B2019,airports!A:H,8,FALSE)</f>
        <v>-76.763403609999997</v>
      </c>
      <c r="H2019">
        <f t="shared" si="62"/>
        <v>2366.4</v>
      </c>
      <c r="I2019">
        <f t="shared" si="63"/>
        <v>1470.5</v>
      </c>
    </row>
    <row r="2020" spans="1:9" ht="30" x14ac:dyDescent="0.25">
      <c r="A2020" s="5" t="s">
        <v>47</v>
      </c>
      <c r="B2020" s="5" t="s">
        <v>180</v>
      </c>
      <c r="C2020" s="5" t="s">
        <v>2430</v>
      </c>
      <c r="D2020" s="3">
        <f>VLOOKUP(A2020,airports!A:H,7,FALSE)</f>
        <v>39.858408060000002</v>
      </c>
      <c r="E2020" s="3">
        <f>VLOOKUP(A2020,airports!A:H,8,FALSE)</f>
        <v>-104.6670019</v>
      </c>
      <c r="F2020" s="3">
        <f>VLOOKUP(B2020,airports!A:H,7,FALSE)</f>
        <v>41.785982500000003</v>
      </c>
      <c r="G2020" s="3">
        <f>VLOOKUP(B2020,airports!A:H,8,FALSE)</f>
        <v>-87.752424439999999</v>
      </c>
      <c r="H2020">
        <f t="shared" si="62"/>
        <v>1436.9</v>
      </c>
      <c r="I2020">
        <f t="shared" si="63"/>
        <v>892.9</v>
      </c>
    </row>
    <row r="2021" spans="1:9" ht="30" x14ac:dyDescent="0.25">
      <c r="A2021" s="5" t="s">
        <v>47</v>
      </c>
      <c r="B2021" s="5" t="s">
        <v>563</v>
      </c>
      <c r="C2021" s="5" t="s">
        <v>2431</v>
      </c>
      <c r="D2021" s="3">
        <f>VLOOKUP(A2021,airports!A:H,7,FALSE)</f>
        <v>39.858408060000002</v>
      </c>
      <c r="E2021" s="3">
        <f>VLOOKUP(A2021,airports!A:H,8,FALSE)</f>
        <v>-104.6670019</v>
      </c>
      <c r="F2021" s="3">
        <f>VLOOKUP(B2021,airports!A:H,7,FALSE)</f>
        <v>35.042416670000001</v>
      </c>
      <c r="G2021" s="3">
        <f>VLOOKUP(B2021,airports!A:H,8,FALSE)</f>
        <v>-89.97666667</v>
      </c>
      <c r="H2021">
        <f t="shared" si="62"/>
        <v>1400.8</v>
      </c>
      <c r="I2021">
        <f t="shared" si="63"/>
        <v>870.5</v>
      </c>
    </row>
    <row r="2022" spans="1:9" ht="30" x14ac:dyDescent="0.25">
      <c r="A2022" s="5" t="s">
        <v>47</v>
      </c>
      <c r="B2022" s="5" t="s">
        <v>875</v>
      </c>
      <c r="C2022" s="5" t="s">
        <v>2432</v>
      </c>
      <c r="D2022" s="3">
        <f>VLOOKUP(A2022,airports!A:H,7,FALSE)</f>
        <v>39.858408060000002</v>
      </c>
      <c r="E2022" s="3">
        <f>VLOOKUP(A2022,airports!A:H,8,FALSE)</f>
        <v>-104.6670019</v>
      </c>
      <c r="F2022" s="3">
        <f>VLOOKUP(B2022,airports!A:H,7,FALSE)</f>
        <v>42.374227779999998</v>
      </c>
      <c r="G2022" s="3">
        <f>VLOOKUP(B2022,airports!A:H,8,FALSE)</f>
        <v>-122.8734978</v>
      </c>
      <c r="H2022">
        <f t="shared" si="62"/>
        <v>1547.5</v>
      </c>
      <c r="I2022">
        <f t="shared" si="63"/>
        <v>961.6</v>
      </c>
    </row>
    <row r="2023" spans="1:9" ht="30" x14ac:dyDescent="0.25">
      <c r="A2023" s="5" t="s">
        <v>47</v>
      </c>
      <c r="B2023" s="5" t="s">
        <v>84</v>
      </c>
      <c r="C2023" s="5" t="s">
        <v>2433</v>
      </c>
      <c r="D2023" s="3">
        <f>VLOOKUP(A2023,airports!A:H,7,FALSE)</f>
        <v>39.858408060000002</v>
      </c>
      <c r="E2023" s="3">
        <f>VLOOKUP(A2023,airports!A:H,8,FALSE)</f>
        <v>-104.6670019</v>
      </c>
      <c r="F2023" s="3">
        <f>VLOOKUP(B2023,airports!A:H,7,FALSE)</f>
        <v>25.79325</v>
      </c>
      <c r="G2023" s="3">
        <f>VLOOKUP(B2023,airports!A:H,8,FALSE)</f>
        <v>-80.290555560000001</v>
      </c>
      <c r="H2023">
        <f t="shared" si="62"/>
        <v>2748.1</v>
      </c>
      <c r="I2023">
        <f t="shared" si="63"/>
        <v>1707.7</v>
      </c>
    </row>
    <row r="2024" spans="1:9" ht="30" x14ac:dyDescent="0.25">
      <c r="A2024" s="5" t="s">
        <v>47</v>
      </c>
      <c r="B2024" s="5" t="s">
        <v>85</v>
      </c>
      <c r="C2024" s="5" t="s">
        <v>2434</v>
      </c>
      <c r="D2024" s="3">
        <f>VLOOKUP(A2024,airports!A:H,7,FALSE)</f>
        <v>39.858408060000002</v>
      </c>
      <c r="E2024" s="3">
        <f>VLOOKUP(A2024,airports!A:H,8,FALSE)</f>
        <v>-104.6670019</v>
      </c>
      <c r="F2024" s="3">
        <f>VLOOKUP(B2024,airports!A:H,7,FALSE)</f>
        <v>42.94722222</v>
      </c>
      <c r="G2024" s="3">
        <f>VLOOKUP(B2024,airports!A:H,8,FALSE)</f>
        <v>-87.896583329999999</v>
      </c>
      <c r="H2024">
        <f t="shared" si="62"/>
        <v>1437.6</v>
      </c>
      <c r="I2024">
        <f t="shared" si="63"/>
        <v>893.3</v>
      </c>
    </row>
    <row r="2025" spans="1:9" ht="30" x14ac:dyDescent="0.25">
      <c r="A2025" s="5" t="s">
        <v>47</v>
      </c>
      <c r="B2025" s="5" t="s">
        <v>573</v>
      </c>
      <c r="C2025" s="5" t="s">
        <v>2435</v>
      </c>
      <c r="D2025" s="3">
        <f>VLOOKUP(A2025,airports!A:H,7,FALSE)</f>
        <v>39.858408060000002</v>
      </c>
      <c r="E2025" s="3">
        <f>VLOOKUP(A2025,airports!A:H,8,FALSE)</f>
        <v>-104.6670019</v>
      </c>
      <c r="F2025" s="3">
        <f>VLOOKUP(B2025,airports!A:H,7,FALSE)</f>
        <v>41.448526389999998</v>
      </c>
      <c r="G2025" s="3">
        <f>VLOOKUP(B2025,airports!A:H,8,FALSE)</f>
        <v>-90.507539170000001</v>
      </c>
      <c r="H2025">
        <f t="shared" si="62"/>
        <v>1206.0999999999999</v>
      </c>
      <c r="I2025">
        <f t="shared" si="63"/>
        <v>749.5</v>
      </c>
    </row>
    <row r="2026" spans="1:9" ht="30" x14ac:dyDescent="0.25">
      <c r="A2026" s="5" t="s">
        <v>47</v>
      </c>
      <c r="B2026" s="5" t="s">
        <v>2436</v>
      </c>
      <c r="C2026" s="5" t="s">
        <v>2437</v>
      </c>
      <c r="D2026" s="3">
        <f>VLOOKUP(A2026,airports!A:H,7,FALSE)</f>
        <v>39.858408060000002</v>
      </c>
      <c r="E2026" s="3">
        <f>VLOOKUP(A2026,airports!A:H,8,FALSE)</f>
        <v>-104.6670019</v>
      </c>
      <c r="F2026" s="3">
        <f>VLOOKUP(B2026,airports!A:H,7,FALSE)</f>
        <v>37.624048610000003</v>
      </c>
      <c r="G2026" s="3">
        <f>VLOOKUP(B2026,airports!A:H,8,FALSE)</f>
        <v>-118.8377722</v>
      </c>
      <c r="H2026">
        <f t="shared" si="62"/>
        <v>1252.5</v>
      </c>
      <c r="I2026">
        <f t="shared" si="63"/>
        <v>778.3</v>
      </c>
    </row>
    <row r="2027" spans="1:9" ht="30" x14ac:dyDescent="0.25">
      <c r="A2027" s="5" t="s">
        <v>47</v>
      </c>
      <c r="B2027" s="5" t="s">
        <v>879</v>
      </c>
      <c r="C2027" s="5" t="s">
        <v>2438</v>
      </c>
      <c r="D2027" s="3">
        <f>VLOOKUP(A2027,airports!A:H,7,FALSE)</f>
        <v>39.858408060000002</v>
      </c>
      <c r="E2027" s="3">
        <f>VLOOKUP(A2027,airports!A:H,8,FALSE)</f>
        <v>-104.6670019</v>
      </c>
      <c r="F2027" s="3">
        <f>VLOOKUP(B2027,airports!A:H,7,FALSE)</f>
        <v>48.259377780000001</v>
      </c>
      <c r="G2027" s="3">
        <f>VLOOKUP(B2027,airports!A:H,8,FALSE)</f>
        <v>-101.2803339</v>
      </c>
      <c r="H2027">
        <f t="shared" si="62"/>
        <v>972.3</v>
      </c>
      <c r="I2027">
        <f t="shared" si="63"/>
        <v>604.20000000000005</v>
      </c>
    </row>
    <row r="2028" spans="1:9" ht="30" x14ac:dyDescent="0.25">
      <c r="A2028" s="5" t="s">
        <v>47</v>
      </c>
      <c r="B2028" s="5" t="s">
        <v>2439</v>
      </c>
      <c r="C2028" s="5" t="s">
        <v>2440</v>
      </c>
      <c r="D2028" s="3">
        <f>VLOOKUP(A2028,airports!A:H,7,FALSE)</f>
        <v>39.858408060000002</v>
      </c>
      <c r="E2028" s="3">
        <f>VLOOKUP(A2028,airports!A:H,8,FALSE)</f>
        <v>-104.6670019</v>
      </c>
      <c r="F2028" s="3">
        <f>VLOOKUP(B2028,airports!A:H,7,FALSE)</f>
        <v>36.586982499999998</v>
      </c>
      <c r="G2028" s="3">
        <f>VLOOKUP(B2028,airports!A:H,8,FALSE)</f>
        <v>-121.8429478</v>
      </c>
      <c r="H2028">
        <f t="shared" si="62"/>
        <v>1541.2</v>
      </c>
      <c r="I2028">
        <f t="shared" si="63"/>
        <v>957.7</v>
      </c>
    </row>
    <row r="2029" spans="1:9" ht="30" x14ac:dyDescent="0.25">
      <c r="A2029" s="5" t="s">
        <v>47</v>
      </c>
      <c r="B2029" s="5" t="s">
        <v>579</v>
      </c>
      <c r="C2029" s="5" t="s">
        <v>2441</v>
      </c>
      <c r="D2029" s="3">
        <f>VLOOKUP(A2029,airports!A:H,7,FALSE)</f>
        <v>39.858408060000002</v>
      </c>
      <c r="E2029" s="3">
        <f>VLOOKUP(A2029,airports!A:H,8,FALSE)</f>
        <v>-104.6670019</v>
      </c>
      <c r="F2029" s="3">
        <f>VLOOKUP(B2029,airports!A:H,7,FALSE)</f>
        <v>43.13985778</v>
      </c>
      <c r="G2029" s="3">
        <f>VLOOKUP(B2029,airports!A:H,8,FALSE)</f>
        <v>-89.337513610000002</v>
      </c>
      <c r="H2029">
        <f t="shared" si="62"/>
        <v>1325.6</v>
      </c>
      <c r="I2029">
        <f t="shared" si="63"/>
        <v>823.7</v>
      </c>
    </row>
    <row r="2030" spans="1:9" ht="30" x14ac:dyDescent="0.25">
      <c r="A2030" s="5" t="s">
        <v>47</v>
      </c>
      <c r="B2030" s="5" t="s">
        <v>581</v>
      </c>
      <c r="C2030" s="5" t="s">
        <v>2442</v>
      </c>
      <c r="D2030" s="3">
        <f>VLOOKUP(A2030,airports!A:H,7,FALSE)</f>
        <v>39.858408060000002</v>
      </c>
      <c r="E2030" s="3">
        <f>VLOOKUP(A2030,airports!A:H,8,FALSE)</f>
        <v>-104.6670019</v>
      </c>
      <c r="F2030" s="3">
        <f>VLOOKUP(B2030,airports!A:H,7,FALSE)</f>
        <v>46.916305559999998</v>
      </c>
      <c r="G2030" s="3">
        <f>VLOOKUP(B2030,airports!A:H,8,FALSE)</f>
        <v>-114.0905556</v>
      </c>
      <c r="H2030">
        <f t="shared" si="62"/>
        <v>1092</v>
      </c>
      <c r="I2030">
        <f t="shared" si="63"/>
        <v>678.6</v>
      </c>
    </row>
    <row r="2031" spans="1:9" ht="30" x14ac:dyDescent="0.25">
      <c r="A2031" s="5" t="s">
        <v>47</v>
      </c>
      <c r="B2031" s="5" t="s">
        <v>87</v>
      </c>
      <c r="C2031" s="5" t="s">
        <v>2443</v>
      </c>
      <c r="D2031" s="3">
        <f>VLOOKUP(A2031,airports!A:H,7,FALSE)</f>
        <v>39.858408060000002</v>
      </c>
      <c r="E2031" s="3">
        <f>VLOOKUP(A2031,airports!A:H,8,FALSE)</f>
        <v>-104.6670019</v>
      </c>
      <c r="F2031" s="3">
        <f>VLOOKUP(B2031,airports!A:H,7,FALSE)</f>
        <v>44.880546940000002</v>
      </c>
      <c r="G2031" s="3">
        <f>VLOOKUP(B2031,airports!A:H,8,FALSE)</f>
        <v>-93.216922499999995</v>
      </c>
      <c r="H2031">
        <f t="shared" si="62"/>
        <v>1092.4000000000001</v>
      </c>
      <c r="I2031">
        <f t="shared" si="63"/>
        <v>678.8</v>
      </c>
    </row>
    <row r="2032" spans="1:9" ht="30" x14ac:dyDescent="0.25">
      <c r="A2032" s="5" t="s">
        <v>47</v>
      </c>
      <c r="B2032" s="5" t="s">
        <v>89</v>
      </c>
      <c r="C2032" s="5" t="s">
        <v>2444</v>
      </c>
      <c r="D2032" s="3">
        <f>VLOOKUP(A2032,airports!A:H,7,FALSE)</f>
        <v>39.858408060000002</v>
      </c>
      <c r="E2032" s="3">
        <f>VLOOKUP(A2032,airports!A:H,8,FALSE)</f>
        <v>-104.6670019</v>
      </c>
      <c r="F2032" s="3">
        <f>VLOOKUP(B2032,airports!A:H,7,FALSE)</f>
        <v>29.993388889999999</v>
      </c>
      <c r="G2032" s="3">
        <f>VLOOKUP(B2032,airports!A:H,8,FALSE)</f>
        <v>-90.258027780000006</v>
      </c>
      <c r="H2032">
        <f t="shared" si="62"/>
        <v>1707.5</v>
      </c>
      <c r="I2032">
        <f t="shared" si="63"/>
        <v>1061</v>
      </c>
    </row>
    <row r="2033" spans="1:9" ht="30" x14ac:dyDescent="0.25">
      <c r="A2033" s="5" t="s">
        <v>47</v>
      </c>
      <c r="B2033" s="5" t="s">
        <v>91</v>
      </c>
      <c r="C2033" s="5" t="s">
        <v>2445</v>
      </c>
      <c r="D2033" s="3">
        <f>VLOOKUP(A2033,airports!A:H,7,FALSE)</f>
        <v>39.858408060000002</v>
      </c>
      <c r="E2033" s="3">
        <f>VLOOKUP(A2033,airports!A:H,8,FALSE)</f>
        <v>-104.6670019</v>
      </c>
      <c r="F2033" s="3">
        <f>VLOOKUP(B2033,airports!A:H,7,FALSE)</f>
        <v>38.508867219999999</v>
      </c>
      <c r="G2033" s="3">
        <f>VLOOKUP(B2033,airports!A:H,8,FALSE)</f>
        <v>-107.8938333</v>
      </c>
      <c r="H2033">
        <f t="shared" si="62"/>
        <v>316</v>
      </c>
      <c r="I2033">
        <f t="shared" si="63"/>
        <v>196.4</v>
      </c>
    </row>
    <row r="2034" spans="1:9" ht="30" x14ac:dyDescent="0.25">
      <c r="A2034" s="5" t="s">
        <v>47</v>
      </c>
      <c r="B2034" s="5" t="s">
        <v>182</v>
      </c>
      <c r="C2034" s="5" t="s">
        <v>2446</v>
      </c>
      <c r="D2034" s="3">
        <f>VLOOKUP(A2034,airports!A:H,7,FALSE)</f>
        <v>39.858408060000002</v>
      </c>
      <c r="E2034" s="3">
        <f>VLOOKUP(A2034,airports!A:H,8,FALSE)</f>
        <v>-104.6670019</v>
      </c>
      <c r="F2034" s="3">
        <f>VLOOKUP(B2034,airports!A:H,7,FALSE)</f>
        <v>33.679749999999999</v>
      </c>
      <c r="G2034" s="3">
        <f>VLOOKUP(B2034,airports!A:H,8,FALSE)</f>
        <v>-78.928333330000001</v>
      </c>
      <c r="H2034">
        <f t="shared" si="62"/>
        <v>2383.8000000000002</v>
      </c>
      <c r="I2034">
        <f t="shared" si="63"/>
        <v>1481.3</v>
      </c>
    </row>
    <row r="2035" spans="1:9" ht="30" x14ac:dyDescent="0.25">
      <c r="A2035" s="5" t="s">
        <v>47</v>
      </c>
      <c r="B2035" s="5" t="s">
        <v>215</v>
      </c>
      <c r="C2035" s="5" t="s">
        <v>2447</v>
      </c>
      <c r="D2035" s="3">
        <f>VLOOKUP(A2035,airports!A:H,7,FALSE)</f>
        <v>39.858408060000002</v>
      </c>
      <c r="E2035" s="3">
        <f>VLOOKUP(A2035,airports!A:H,8,FALSE)</f>
        <v>-104.6670019</v>
      </c>
      <c r="F2035" s="3">
        <f>VLOOKUP(B2035,airports!A:H,7,FALSE)</f>
        <v>37.721290830000001</v>
      </c>
      <c r="G2035" s="3">
        <f>VLOOKUP(B2035,airports!A:H,8,FALSE)</f>
        <v>-122.2207167</v>
      </c>
      <c r="H2035">
        <f t="shared" si="62"/>
        <v>1537.3</v>
      </c>
      <c r="I2035">
        <f t="shared" si="63"/>
        <v>955.3</v>
      </c>
    </row>
    <row r="2036" spans="1:9" ht="30" x14ac:dyDescent="0.25">
      <c r="A2036" s="5" t="s">
        <v>47</v>
      </c>
      <c r="B2036" s="5" t="s">
        <v>371</v>
      </c>
      <c r="C2036" s="5" t="s">
        <v>2448</v>
      </c>
      <c r="D2036" s="3">
        <f>VLOOKUP(A2036,airports!A:H,7,FALSE)</f>
        <v>39.858408060000002</v>
      </c>
      <c r="E2036" s="3">
        <f>VLOOKUP(A2036,airports!A:H,8,FALSE)</f>
        <v>-104.6670019</v>
      </c>
      <c r="F2036" s="3">
        <f>VLOOKUP(B2036,airports!A:H,7,FALSE)</f>
        <v>20.898649720000002</v>
      </c>
      <c r="G2036" s="3">
        <f>VLOOKUP(B2036,airports!A:H,8,FALSE)</f>
        <v>-156.4304578</v>
      </c>
      <c r="H2036">
        <f t="shared" si="62"/>
        <v>5308.8</v>
      </c>
      <c r="I2036">
        <f t="shared" si="63"/>
        <v>3298.9</v>
      </c>
    </row>
    <row r="2037" spans="1:9" ht="30" x14ac:dyDescent="0.25">
      <c r="A2037" s="5" t="s">
        <v>47</v>
      </c>
      <c r="B2037" s="5" t="s">
        <v>590</v>
      </c>
      <c r="C2037" s="5" t="s">
        <v>2449</v>
      </c>
      <c r="D2037" s="3">
        <f>VLOOKUP(A2037,airports!A:H,7,FALSE)</f>
        <v>39.858408060000002</v>
      </c>
      <c r="E2037" s="3">
        <f>VLOOKUP(A2037,airports!A:H,8,FALSE)</f>
        <v>-104.6670019</v>
      </c>
      <c r="F2037" s="3">
        <f>VLOOKUP(B2037,airports!A:H,7,FALSE)</f>
        <v>35.393088329999998</v>
      </c>
      <c r="G2037" s="3">
        <f>VLOOKUP(B2037,airports!A:H,8,FALSE)</f>
        <v>-97.600733890000001</v>
      </c>
      <c r="H2037">
        <f t="shared" si="62"/>
        <v>795.7</v>
      </c>
      <c r="I2037">
        <f t="shared" si="63"/>
        <v>494.4</v>
      </c>
    </row>
    <row r="2038" spans="1:9" ht="30" x14ac:dyDescent="0.25">
      <c r="A2038" s="5" t="s">
        <v>47</v>
      </c>
      <c r="B2038" s="5" t="s">
        <v>592</v>
      </c>
      <c r="C2038" s="5" t="s">
        <v>2450</v>
      </c>
      <c r="D2038" s="3">
        <f>VLOOKUP(A2038,airports!A:H,7,FALSE)</f>
        <v>39.858408060000002</v>
      </c>
      <c r="E2038" s="3">
        <f>VLOOKUP(A2038,airports!A:H,8,FALSE)</f>
        <v>-104.6670019</v>
      </c>
      <c r="F2038" s="3">
        <f>VLOOKUP(B2038,airports!A:H,7,FALSE)</f>
        <v>41.30251861</v>
      </c>
      <c r="G2038" s="3">
        <f>VLOOKUP(B2038,airports!A:H,8,FALSE)</f>
        <v>-95.89417306</v>
      </c>
      <c r="H2038">
        <f t="shared" si="62"/>
        <v>757.7</v>
      </c>
      <c r="I2038">
        <f t="shared" si="63"/>
        <v>470.9</v>
      </c>
    </row>
    <row r="2039" spans="1:9" ht="30" x14ac:dyDescent="0.25">
      <c r="A2039" s="5" t="s">
        <v>47</v>
      </c>
      <c r="B2039" s="5" t="s">
        <v>94</v>
      </c>
      <c r="C2039" s="5" t="s">
        <v>2451</v>
      </c>
      <c r="D2039" s="3">
        <f>VLOOKUP(A2039,airports!A:H,7,FALSE)</f>
        <v>39.858408060000002</v>
      </c>
      <c r="E2039" s="3">
        <f>VLOOKUP(A2039,airports!A:H,8,FALSE)</f>
        <v>-104.6670019</v>
      </c>
      <c r="F2039" s="3">
        <f>VLOOKUP(B2039,airports!A:H,7,FALSE)</f>
        <v>34.055999999999997</v>
      </c>
      <c r="G2039" s="3">
        <f>VLOOKUP(B2039,airports!A:H,8,FALSE)</f>
        <v>-117.6011944</v>
      </c>
      <c r="H2039">
        <f t="shared" si="62"/>
        <v>1316.1</v>
      </c>
      <c r="I2039">
        <f t="shared" si="63"/>
        <v>817.8</v>
      </c>
    </row>
    <row r="2040" spans="1:9" ht="30" x14ac:dyDescent="0.25">
      <c r="A2040" s="5" t="s">
        <v>47</v>
      </c>
      <c r="B2040" s="5" t="s">
        <v>95</v>
      </c>
      <c r="C2040" s="5" t="s">
        <v>2452</v>
      </c>
      <c r="D2040" s="3">
        <f>VLOOKUP(A2040,airports!A:H,7,FALSE)</f>
        <v>39.858408060000002</v>
      </c>
      <c r="E2040" s="3">
        <f>VLOOKUP(A2040,airports!A:H,8,FALSE)</f>
        <v>-104.6670019</v>
      </c>
      <c r="F2040" s="3">
        <f>VLOOKUP(B2040,airports!A:H,7,FALSE)</f>
        <v>41.979595000000003</v>
      </c>
      <c r="G2040" s="3">
        <f>VLOOKUP(B2040,airports!A:H,8,FALSE)</f>
        <v>-87.904464169999997</v>
      </c>
      <c r="H2040">
        <f t="shared" si="62"/>
        <v>1425.7</v>
      </c>
      <c r="I2040">
        <f t="shared" si="63"/>
        <v>885.9</v>
      </c>
    </row>
    <row r="2041" spans="1:9" ht="30" x14ac:dyDescent="0.25">
      <c r="A2041" s="5" t="s">
        <v>47</v>
      </c>
      <c r="B2041" s="5" t="s">
        <v>596</v>
      </c>
      <c r="C2041" s="5" t="s">
        <v>2453</v>
      </c>
      <c r="D2041" s="3">
        <f>VLOOKUP(A2041,airports!A:H,7,FALSE)</f>
        <v>39.858408060000002</v>
      </c>
      <c r="E2041" s="3">
        <f>VLOOKUP(A2041,airports!A:H,8,FALSE)</f>
        <v>-104.6670019</v>
      </c>
      <c r="F2041" s="3">
        <f>VLOOKUP(B2041,airports!A:H,7,FALSE)</f>
        <v>36.89461111</v>
      </c>
      <c r="G2041" s="3">
        <f>VLOOKUP(B2041,airports!A:H,8,FALSE)</f>
        <v>-76.201222220000005</v>
      </c>
      <c r="H2041">
        <f t="shared" si="62"/>
        <v>2492.5</v>
      </c>
      <c r="I2041">
        <f t="shared" si="63"/>
        <v>1548.9</v>
      </c>
    </row>
    <row r="2042" spans="1:9" ht="30" x14ac:dyDescent="0.25">
      <c r="A2042" s="5" t="s">
        <v>47</v>
      </c>
      <c r="B2042" s="5" t="s">
        <v>2454</v>
      </c>
      <c r="C2042" s="5" t="s">
        <v>2455</v>
      </c>
      <c r="D2042" s="3">
        <f>VLOOKUP(A2042,airports!A:H,7,FALSE)</f>
        <v>39.858408060000002</v>
      </c>
      <c r="E2042" s="3">
        <f>VLOOKUP(A2042,airports!A:H,8,FALSE)</f>
        <v>-104.6670019</v>
      </c>
      <c r="F2042" s="3">
        <f>VLOOKUP(B2042,airports!A:H,7,FALSE)</f>
        <v>43.417138889999997</v>
      </c>
      <c r="G2042" s="3">
        <f>VLOOKUP(B2042,airports!A:H,8,FALSE)</f>
        <v>-124.24602779999999</v>
      </c>
      <c r="H2042">
        <f t="shared" si="62"/>
        <v>1670.2</v>
      </c>
      <c r="I2042">
        <f t="shared" si="63"/>
        <v>1037.9000000000001</v>
      </c>
    </row>
    <row r="2043" spans="1:9" ht="30" x14ac:dyDescent="0.25">
      <c r="A2043" s="5" t="s">
        <v>47</v>
      </c>
      <c r="B2043" s="5" t="s">
        <v>1214</v>
      </c>
      <c r="C2043" s="5" t="s">
        <v>2456</v>
      </c>
      <c r="D2043" s="3">
        <f>VLOOKUP(A2043,airports!A:H,7,FALSE)</f>
        <v>39.858408060000002</v>
      </c>
      <c r="E2043" s="3">
        <f>VLOOKUP(A2043,airports!A:H,8,FALSE)</f>
        <v>-104.6670019</v>
      </c>
      <c r="F2043" s="3">
        <f>VLOOKUP(B2043,airports!A:H,7,FALSE)</f>
        <v>47.906300000000002</v>
      </c>
      <c r="G2043" s="3">
        <f>VLOOKUP(B2043,airports!A:H,8,FALSE)</f>
        <v>-122.281998</v>
      </c>
      <c r="H2043">
        <f t="shared" si="62"/>
        <v>1665.5</v>
      </c>
      <c r="I2043">
        <f t="shared" si="63"/>
        <v>1035</v>
      </c>
    </row>
    <row r="2044" spans="1:9" x14ac:dyDescent="0.25">
      <c r="A2044" s="5" t="s">
        <v>47</v>
      </c>
      <c r="B2044" s="5" t="s">
        <v>99</v>
      </c>
      <c r="C2044" s="5" t="s">
        <v>2457</v>
      </c>
      <c r="D2044" s="3">
        <f>VLOOKUP(A2044,airports!A:H,7,FALSE)</f>
        <v>39.858408060000002</v>
      </c>
      <c r="E2044" s="3">
        <f>VLOOKUP(A2044,airports!A:H,8,FALSE)</f>
        <v>-104.6670019</v>
      </c>
      <c r="F2044" s="3">
        <f>VLOOKUP(B2044,airports!A:H,7,FALSE)</f>
        <v>26.683161940000002</v>
      </c>
      <c r="G2044" s="3">
        <f>VLOOKUP(B2044,airports!A:H,8,FALSE)</f>
        <v>-80.095594169999998</v>
      </c>
      <c r="H2044">
        <f t="shared" si="62"/>
        <v>2699.5</v>
      </c>
      <c r="I2044">
        <f t="shared" si="63"/>
        <v>1677.5</v>
      </c>
    </row>
    <row r="2045" spans="1:9" ht="30" x14ac:dyDescent="0.25">
      <c r="A2045" s="5" t="s">
        <v>47</v>
      </c>
      <c r="B2045" s="5" t="s">
        <v>100</v>
      </c>
      <c r="C2045" s="5" t="s">
        <v>2458</v>
      </c>
      <c r="D2045" s="3">
        <f>VLOOKUP(A2045,airports!A:H,7,FALSE)</f>
        <v>39.858408060000002</v>
      </c>
      <c r="E2045" s="3">
        <f>VLOOKUP(A2045,airports!A:H,8,FALSE)</f>
        <v>-104.6670019</v>
      </c>
      <c r="F2045" s="3">
        <f>VLOOKUP(B2045,airports!A:H,7,FALSE)</f>
        <v>45.588722220000001</v>
      </c>
      <c r="G2045" s="3">
        <f>VLOOKUP(B2045,airports!A:H,8,FALSE)</f>
        <v>-122.5975</v>
      </c>
      <c r="H2045">
        <f t="shared" si="62"/>
        <v>1592.8</v>
      </c>
      <c r="I2045">
        <f t="shared" si="63"/>
        <v>989.8</v>
      </c>
    </row>
    <row r="2046" spans="1:9" ht="30" x14ac:dyDescent="0.25">
      <c r="A2046" s="5" t="s">
        <v>47</v>
      </c>
      <c r="B2046" s="5" t="s">
        <v>102</v>
      </c>
      <c r="C2046" s="5" t="s">
        <v>2459</v>
      </c>
      <c r="D2046" s="3">
        <f>VLOOKUP(A2046,airports!A:H,7,FALSE)</f>
        <v>39.858408060000002</v>
      </c>
      <c r="E2046" s="3">
        <f>VLOOKUP(A2046,airports!A:H,8,FALSE)</f>
        <v>-104.6670019</v>
      </c>
      <c r="F2046" s="3">
        <f>VLOOKUP(B2046,airports!A:H,7,FALSE)</f>
        <v>39.871952780000001</v>
      </c>
      <c r="G2046" s="3">
        <f>VLOOKUP(B2046,airports!A:H,8,FALSE)</f>
        <v>-75.241140830000006</v>
      </c>
      <c r="H2046">
        <f t="shared" si="62"/>
        <v>2499.9</v>
      </c>
      <c r="I2046">
        <f t="shared" si="63"/>
        <v>1553.5</v>
      </c>
    </row>
    <row r="2047" spans="1:9" ht="30" x14ac:dyDescent="0.25">
      <c r="A2047" s="5" t="s">
        <v>47</v>
      </c>
      <c r="B2047" s="5" t="s">
        <v>104</v>
      </c>
      <c r="C2047" s="5" t="s">
        <v>2460</v>
      </c>
      <c r="D2047" s="3">
        <f>VLOOKUP(A2047,airports!A:H,7,FALSE)</f>
        <v>39.858408060000002</v>
      </c>
      <c r="E2047" s="3">
        <f>VLOOKUP(A2047,airports!A:H,8,FALSE)</f>
        <v>-104.6670019</v>
      </c>
      <c r="F2047" s="3">
        <f>VLOOKUP(B2047,airports!A:H,7,FALSE)</f>
        <v>33.434166670000003</v>
      </c>
      <c r="G2047" s="3">
        <f>VLOOKUP(B2047,airports!A:H,8,FALSE)</f>
        <v>-112.00805560000001</v>
      </c>
      <c r="H2047">
        <f t="shared" si="62"/>
        <v>968.4</v>
      </c>
      <c r="I2047">
        <f t="shared" si="63"/>
        <v>601.79999999999995</v>
      </c>
    </row>
    <row r="2048" spans="1:9" ht="30" x14ac:dyDescent="0.25">
      <c r="A2048" s="5" t="s">
        <v>47</v>
      </c>
      <c r="B2048" s="5" t="s">
        <v>604</v>
      </c>
      <c r="C2048" s="5" t="s">
        <v>2461</v>
      </c>
      <c r="D2048" s="3">
        <f>VLOOKUP(A2048,airports!A:H,7,FALSE)</f>
        <v>39.858408060000002</v>
      </c>
      <c r="E2048" s="3">
        <f>VLOOKUP(A2048,airports!A:H,8,FALSE)</f>
        <v>-104.6670019</v>
      </c>
      <c r="F2048" s="3">
        <f>VLOOKUP(B2048,airports!A:H,7,FALSE)</f>
        <v>40.664243329999998</v>
      </c>
      <c r="G2048" s="3">
        <f>VLOOKUP(B2048,airports!A:H,8,FALSE)</f>
        <v>-89.693305559999999</v>
      </c>
      <c r="H2048">
        <f t="shared" si="62"/>
        <v>1272.2</v>
      </c>
      <c r="I2048">
        <f t="shared" si="63"/>
        <v>790.5</v>
      </c>
    </row>
    <row r="2049" spans="1:9" x14ac:dyDescent="0.25">
      <c r="A2049" s="5" t="s">
        <v>47</v>
      </c>
      <c r="B2049" s="5" t="s">
        <v>693</v>
      </c>
      <c r="C2049" s="5" t="s">
        <v>2462</v>
      </c>
      <c r="D2049" s="3">
        <f>VLOOKUP(A2049,airports!A:H,7,FALSE)</f>
        <v>39.858408060000002</v>
      </c>
      <c r="E2049" s="3">
        <f>VLOOKUP(A2049,airports!A:H,8,FALSE)</f>
        <v>-104.6670019</v>
      </c>
      <c r="F2049" s="3">
        <f>VLOOKUP(B2049,airports!A:H,7,FALSE)</f>
        <v>44.382676940000003</v>
      </c>
      <c r="G2049" s="3">
        <f>VLOOKUP(B2049,airports!A:H,8,FALSE)</f>
        <v>-100.285965</v>
      </c>
      <c r="H2049">
        <f t="shared" si="62"/>
        <v>619.20000000000005</v>
      </c>
      <c r="I2049">
        <f t="shared" si="63"/>
        <v>384.8</v>
      </c>
    </row>
    <row r="2050" spans="1:9" x14ac:dyDescent="0.25">
      <c r="A2050" s="5" t="s">
        <v>47</v>
      </c>
      <c r="B2050" s="5" t="s">
        <v>106</v>
      </c>
      <c r="C2050" s="5" t="s">
        <v>2463</v>
      </c>
      <c r="D2050" s="3">
        <f>VLOOKUP(A2050,airports!A:H,7,FALSE)</f>
        <v>39.858408060000002</v>
      </c>
      <c r="E2050" s="3">
        <f>VLOOKUP(A2050,airports!A:H,8,FALSE)</f>
        <v>-104.6670019</v>
      </c>
      <c r="F2050" s="3">
        <f>VLOOKUP(B2050,airports!A:H,7,FALSE)</f>
        <v>40.491465830000003</v>
      </c>
      <c r="G2050" s="3">
        <f>VLOOKUP(B2050,airports!A:H,8,FALSE)</f>
        <v>-80.232870829999996</v>
      </c>
      <c r="H2050">
        <f t="shared" si="62"/>
        <v>2070.5</v>
      </c>
      <c r="I2050">
        <f t="shared" si="63"/>
        <v>1286.5999999999999</v>
      </c>
    </row>
    <row r="2051" spans="1:9" ht="30" x14ac:dyDescent="0.25">
      <c r="A2051" s="5" t="s">
        <v>47</v>
      </c>
      <c r="B2051" s="5" t="s">
        <v>607</v>
      </c>
      <c r="C2051" s="5" t="s">
        <v>2464</v>
      </c>
      <c r="D2051" s="3">
        <f>VLOOKUP(A2051,airports!A:H,7,FALSE)</f>
        <v>39.858408060000002</v>
      </c>
      <c r="E2051" s="3">
        <f>VLOOKUP(A2051,airports!A:H,8,FALSE)</f>
        <v>-104.6670019</v>
      </c>
      <c r="F2051" s="3">
        <f>VLOOKUP(B2051,airports!A:H,7,FALSE)</f>
        <v>30.47330556</v>
      </c>
      <c r="G2051" s="3">
        <f>VLOOKUP(B2051,airports!A:H,8,FALSE)</f>
        <v>-87.187444439999993</v>
      </c>
      <c r="H2051">
        <f t="shared" si="62"/>
        <v>1895.5</v>
      </c>
      <c r="I2051">
        <f t="shared" si="63"/>
        <v>1177.9000000000001</v>
      </c>
    </row>
    <row r="2052" spans="1:9" ht="30" x14ac:dyDescent="0.25">
      <c r="A2052" s="5" t="s">
        <v>47</v>
      </c>
      <c r="B2052" s="5" t="s">
        <v>2465</v>
      </c>
      <c r="C2052" s="5" t="s">
        <v>2466</v>
      </c>
      <c r="D2052" s="3">
        <f>VLOOKUP(A2052,airports!A:H,7,FALSE)</f>
        <v>39.858408060000002</v>
      </c>
      <c r="E2052" s="3">
        <f>VLOOKUP(A2052,airports!A:H,8,FALSE)</f>
        <v>-104.6670019</v>
      </c>
      <c r="F2052" s="3">
        <f>VLOOKUP(B2052,airports!A:H,7,FALSE)</f>
        <v>34.654499000000001</v>
      </c>
      <c r="G2052" s="3">
        <f>VLOOKUP(B2052,airports!A:H,8,FALSE)</f>
        <v>-112.41999800000001</v>
      </c>
      <c r="H2052">
        <f t="shared" ref="H2052:H2115" si="64">ROUND(ACOS(COS(RADIANS(90-D2052)) * COS(RADIANS(90-F2052)) + SIN(RADIANS(90-D2052)) * SIN(RADIANS(90-F2052)) * COS(RADIANS(E2052-G2052))) * 6371,1)</f>
        <v>896.9</v>
      </c>
      <c r="I2052">
        <f t="shared" ref="I2052:I2115" si="65">ROUND(ACOS(COS(RADIANS(90-D2052)) * COS(RADIANS(90-F2052)) + SIN(RADIANS(90-D2052)) * SIN(RADIANS(90-F2052)) * COS(RADIANS(E2052-G2052))) * 3959,1)</f>
        <v>557.4</v>
      </c>
    </row>
    <row r="2053" spans="1:9" ht="30" x14ac:dyDescent="0.25">
      <c r="A2053" s="5" t="s">
        <v>47</v>
      </c>
      <c r="B2053" s="5" t="s">
        <v>890</v>
      </c>
      <c r="C2053" s="5" t="s">
        <v>2467</v>
      </c>
      <c r="D2053" s="3">
        <f>VLOOKUP(A2053,airports!A:H,7,FALSE)</f>
        <v>39.858408060000002</v>
      </c>
      <c r="E2053" s="3">
        <f>VLOOKUP(A2053,airports!A:H,8,FALSE)</f>
        <v>-104.6670019</v>
      </c>
      <c r="F2053" s="3">
        <f>VLOOKUP(B2053,airports!A:H,7,FALSE)</f>
        <v>46.26468028</v>
      </c>
      <c r="G2053" s="3">
        <f>VLOOKUP(B2053,airports!A:H,8,FALSE)</f>
        <v>-119.1190292</v>
      </c>
      <c r="H2053">
        <f t="shared" si="64"/>
        <v>1370.2</v>
      </c>
      <c r="I2053">
        <f t="shared" si="65"/>
        <v>851.4</v>
      </c>
    </row>
    <row r="2054" spans="1:9" ht="30" x14ac:dyDescent="0.25">
      <c r="A2054" s="5" t="s">
        <v>47</v>
      </c>
      <c r="B2054" s="5" t="s">
        <v>111</v>
      </c>
      <c r="C2054" s="5" t="s">
        <v>2468</v>
      </c>
      <c r="D2054" s="3">
        <f>VLOOKUP(A2054,airports!A:H,7,FALSE)</f>
        <v>39.858408060000002</v>
      </c>
      <c r="E2054" s="3">
        <f>VLOOKUP(A2054,airports!A:H,8,FALSE)</f>
        <v>-104.6670019</v>
      </c>
      <c r="F2054" s="3">
        <f>VLOOKUP(B2054,airports!A:H,7,FALSE)</f>
        <v>33.829215560000002</v>
      </c>
      <c r="G2054" s="3">
        <f>VLOOKUP(B2054,airports!A:H,8,FALSE)</f>
        <v>-116.5062531</v>
      </c>
      <c r="H2054">
        <f t="shared" si="64"/>
        <v>1247.0999999999999</v>
      </c>
      <c r="I2054">
        <f t="shared" si="65"/>
        <v>774.9</v>
      </c>
    </row>
    <row r="2055" spans="1:9" ht="30" x14ac:dyDescent="0.25">
      <c r="A2055" s="5" t="s">
        <v>47</v>
      </c>
      <c r="B2055" s="5" t="s">
        <v>2469</v>
      </c>
      <c r="C2055" s="5" t="s">
        <v>2470</v>
      </c>
      <c r="D2055" s="3">
        <f>VLOOKUP(A2055,airports!A:H,7,FALSE)</f>
        <v>39.858408060000002</v>
      </c>
      <c r="E2055" s="3">
        <f>VLOOKUP(A2055,airports!A:H,8,FALSE)</f>
        <v>-104.6670019</v>
      </c>
      <c r="F2055" s="3">
        <f>VLOOKUP(B2055,airports!A:H,7,FALSE)</f>
        <v>38.289087219999999</v>
      </c>
      <c r="G2055" s="3">
        <f>VLOOKUP(B2055,airports!A:H,8,FALSE)</f>
        <v>-104.4965722</v>
      </c>
      <c r="H2055">
        <f t="shared" si="64"/>
        <v>175.1</v>
      </c>
      <c r="I2055">
        <f t="shared" si="65"/>
        <v>108.8</v>
      </c>
    </row>
    <row r="2056" spans="1:9" ht="30" x14ac:dyDescent="0.25">
      <c r="A2056" s="5" t="s">
        <v>47</v>
      </c>
      <c r="B2056" s="5" t="s">
        <v>114</v>
      </c>
      <c r="C2056" s="5" t="s">
        <v>2471</v>
      </c>
      <c r="D2056" s="3">
        <f>VLOOKUP(A2056,airports!A:H,7,FALSE)</f>
        <v>39.858408060000002</v>
      </c>
      <c r="E2056" s="3">
        <f>VLOOKUP(A2056,airports!A:H,8,FALSE)</f>
        <v>-104.6670019</v>
      </c>
      <c r="F2056" s="3">
        <f>VLOOKUP(B2056,airports!A:H,7,FALSE)</f>
        <v>41.723999169999999</v>
      </c>
      <c r="G2056" s="3">
        <f>VLOOKUP(B2056,airports!A:H,8,FALSE)</f>
        <v>-71.428221109999996</v>
      </c>
      <c r="H2056">
        <f t="shared" si="64"/>
        <v>2788.5</v>
      </c>
      <c r="I2056">
        <f t="shared" si="65"/>
        <v>1732.8</v>
      </c>
    </row>
    <row r="2057" spans="1:9" ht="30" x14ac:dyDescent="0.25">
      <c r="A2057" s="5" t="s">
        <v>47</v>
      </c>
      <c r="B2057" s="5" t="s">
        <v>772</v>
      </c>
      <c r="C2057" s="5" t="s">
        <v>2472</v>
      </c>
      <c r="D2057" s="3">
        <f>VLOOKUP(A2057,airports!A:H,7,FALSE)</f>
        <v>39.858408060000002</v>
      </c>
      <c r="E2057" s="3">
        <f>VLOOKUP(A2057,airports!A:H,8,FALSE)</f>
        <v>-104.6670019</v>
      </c>
      <c r="F2057" s="3">
        <f>VLOOKUP(B2057,airports!A:H,7,FALSE)</f>
        <v>40.219200000000001</v>
      </c>
      <c r="G2057" s="3">
        <f>VLOOKUP(B2057,airports!A:H,8,FALSE)</f>
        <v>-111.723</v>
      </c>
      <c r="H2057">
        <f t="shared" si="64"/>
        <v>601.9</v>
      </c>
      <c r="I2057">
        <f t="shared" si="65"/>
        <v>374</v>
      </c>
    </row>
    <row r="2058" spans="1:9" ht="30" x14ac:dyDescent="0.25">
      <c r="A2058" s="5" t="s">
        <v>47</v>
      </c>
      <c r="B2058" s="5" t="s">
        <v>117</v>
      </c>
      <c r="C2058" s="5" t="s">
        <v>2473</v>
      </c>
      <c r="D2058" s="3">
        <f>VLOOKUP(A2058,airports!A:H,7,FALSE)</f>
        <v>39.858408060000002</v>
      </c>
      <c r="E2058" s="3">
        <f>VLOOKUP(A2058,airports!A:H,8,FALSE)</f>
        <v>-104.6670019</v>
      </c>
      <c r="F2058" s="3">
        <f>VLOOKUP(B2058,airports!A:H,7,FALSE)</f>
        <v>43.646166669999999</v>
      </c>
      <c r="G2058" s="3">
        <f>VLOOKUP(B2058,airports!A:H,8,FALSE)</f>
        <v>-70.308750000000003</v>
      </c>
      <c r="H2058">
        <f t="shared" si="64"/>
        <v>2860.3</v>
      </c>
      <c r="I2058">
        <f t="shared" si="65"/>
        <v>1777.4</v>
      </c>
    </row>
    <row r="2059" spans="1:9" ht="30" x14ac:dyDescent="0.25">
      <c r="A2059" s="5" t="s">
        <v>47</v>
      </c>
      <c r="B2059" s="5" t="s">
        <v>612</v>
      </c>
      <c r="C2059" s="5" t="s">
        <v>2474</v>
      </c>
      <c r="D2059" s="3">
        <f>VLOOKUP(A2059,airports!A:H,7,FALSE)</f>
        <v>39.858408060000002</v>
      </c>
      <c r="E2059" s="3">
        <f>VLOOKUP(A2059,airports!A:H,8,FALSE)</f>
        <v>-104.6670019</v>
      </c>
      <c r="F2059" s="3">
        <f>VLOOKUP(B2059,airports!A:H,7,FALSE)</f>
        <v>44.045321389999998</v>
      </c>
      <c r="G2059" s="3">
        <f>VLOOKUP(B2059,airports!A:H,8,FALSE)</f>
        <v>-103.0573708</v>
      </c>
      <c r="H2059">
        <f t="shared" si="64"/>
        <v>484.2</v>
      </c>
      <c r="I2059">
        <f t="shared" si="65"/>
        <v>300.89999999999998</v>
      </c>
    </row>
    <row r="2060" spans="1:9" ht="30" x14ac:dyDescent="0.25">
      <c r="A2060" s="5" t="s">
        <v>47</v>
      </c>
      <c r="B2060" s="5" t="s">
        <v>894</v>
      </c>
      <c r="C2060" s="5" t="s">
        <v>2475</v>
      </c>
      <c r="D2060" s="3">
        <f>VLOOKUP(A2060,airports!A:H,7,FALSE)</f>
        <v>39.858408060000002</v>
      </c>
      <c r="E2060" s="3">
        <f>VLOOKUP(A2060,airports!A:H,8,FALSE)</f>
        <v>-104.6670019</v>
      </c>
      <c r="F2060" s="3">
        <f>VLOOKUP(B2060,airports!A:H,7,FALSE)</f>
        <v>44.254067220000003</v>
      </c>
      <c r="G2060" s="3">
        <f>VLOOKUP(B2060,airports!A:H,8,FALSE)</f>
        <v>-121.1499633</v>
      </c>
      <c r="H2060">
        <f t="shared" si="64"/>
        <v>1442.9</v>
      </c>
      <c r="I2060">
        <f t="shared" si="65"/>
        <v>896.6</v>
      </c>
    </row>
    <row r="2061" spans="1:9" ht="30" x14ac:dyDescent="0.25">
      <c r="A2061" s="5" t="s">
        <v>47</v>
      </c>
      <c r="B2061" s="5" t="s">
        <v>119</v>
      </c>
      <c r="C2061" s="5" t="s">
        <v>2476</v>
      </c>
      <c r="D2061" s="3">
        <f>VLOOKUP(A2061,airports!A:H,7,FALSE)</f>
        <v>39.858408060000002</v>
      </c>
      <c r="E2061" s="3">
        <f>VLOOKUP(A2061,airports!A:H,8,FALSE)</f>
        <v>-104.6670019</v>
      </c>
      <c r="F2061" s="3">
        <f>VLOOKUP(B2061,airports!A:H,7,FALSE)</f>
        <v>35.87763889</v>
      </c>
      <c r="G2061" s="3">
        <f>VLOOKUP(B2061,airports!A:H,8,FALSE)</f>
        <v>-78.787472219999998</v>
      </c>
      <c r="H2061">
        <f t="shared" si="64"/>
        <v>2305.9</v>
      </c>
      <c r="I2061">
        <f t="shared" si="65"/>
        <v>1432.9</v>
      </c>
    </row>
    <row r="2062" spans="1:9" x14ac:dyDescent="0.25">
      <c r="A2062" s="5" t="s">
        <v>47</v>
      </c>
      <c r="B2062" s="5" t="s">
        <v>120</v>
      </c>
      <c r="C2062" s="5" t="s">
        <v>2477</v>
      </c>
      <c r="D2062" s="3">
        <f>VLOOKUP(A2062,airports!A:H,7,FALSE)</f>
        <v>39.858408060000002</v>
      </c>
      <c r="E2062" s="3">
        <f>VLOOKUP(A2062,airports!A:H,8,FALSE)</f>
        <v>-104.6670019</v>
      </c>
      <c r="F2062" s="3">
        <f>VLOOKUP(B2062,airports!A:H,7,FALSE)</f>
        <v>37.505166670000001</v>
      </c>
      <c r="G2062" s="3">
        <f>VLOOKUP(B2062,airports!A:H,8,FALSE)</f>
        <v>-77.319666670000004</v>
      </c>
      <c r="H2062">
        <f t="shared" si="64"/>
        <v>2378.8000000000002</v>
      </c>
      <c r="I2062">
        <f t="shared" si="65"/>
        <v>1478.2</v>
      </c>
    </row>
    <row r="2063" spans="1:9" ht="30" x14ac:dyDescent="0.25">
      <c r="A2063" s="5" t="s">
        <v>47</v>
      </c>
      <c r="B2063" s="5" t="s">
        <v>2478</v>
      </c>
      <c r="C2063" s="5" t="s">
        <v>2479</v>
      </c>
      <c r="D2063" s="3">
        <f>VLOOKUP(A2063,airports!A:H,7,FALSE)</f>
        <v>39.858408060000002</v>
      </c>
      <c r="E2063" s="3">
        <f>VLOOKUP(A2063,airports!A:H,8,FALSE)</f>
        <v>-104.6670019</v>
      </c>
      <c r="F2063" s="3">
        <f>VLOOKUP(B2063,airports!A:H,7,FALSE)</f>
        <v>43.064201355000002</v>
      </c>
      <c r="G2063" s="3">
        <f>VLOOKUP(B2063,airports!A:H,8,FALSE)</f>
        <v>-108.459999084</v>
      </c>
      <c r="H2063">
        <f t="shared" si="64"/>
        <v>476.3</v>
      </c>
      <c r="I2063">
        <f t="shared" si="65"/>
        <v>296</v>
      </c>
    </row>
    <row r="2064" spans="1:9" ht="30" x14ac:dyDescent="0.25">
      <c r="A2064" s="5" t="s">
        <v>47</v>
      </c>
      <c r="B2064" s="5" t="s">
        <v>2480</v>
      </c>
      <c r="C2064" s="5" t="s">
        <v>2481</v>
      </c>
      <c r="D2064" s="3">
        <f>VLOOKUP(A2064,airports!A:H,7,FALSE)</f>
        <v>39.858408060000002</v>
      </c>
      <c r="E2064" s="3">
        <f>VLOOKUP(A2064,airports!A:H,8,FALSE)</f>
        <v>-104.6670019</v>
      </c>
      <c r="F2064" s="3">
        <f>VLOOKUP(B2064,airports!A:H,7,FALSE)</f>
        <v>41.594217499999999</v>
      </c>
      <c r="G2064" s="3">
        <f>VLOOKUP(B2064,airports!A:H,8,FALSE)</f>
        <v>-109.06519280000001</v>
      </c>
      <c r="H2064">
        <f t="shared" si="64"/>
        <v>417.8</v>
      </c>
      <c r="I2064">
        <f t="shared" si="65"/>
        <v>259.60000000000002</v>
      </c>
    </row>
    <row r="2065" spans="1:9" ht="30" x14ac:dyDescent="0.25">
      <c r="A2065" s="5" t="s">
        <v>47</v>
      </c>
      <c r="B2065" s="5" t="s">
        <v>121</v>
      </c>
      <c r="C2065" s="5" t="s">
        <v>2482</v>
      </c>
      <c r="D2065" s="3">
        <f>VLOOKUP(A2065,airports!A:H,7,FALSE)</f>
        <v>39.858408060000002</v>
      </c>
      <c r="E2065" s="3">
        <f>VLOOKUP(A2065,airports!A:H,8,FALSE)</f>
        <v>-104.6670019</v>
      </c>
      <c r="F2065" s="3">
        <f>VLOOKUP(B2065,airports!A:H,7,FALSE)</f>
        <v>39.498576110000002</v>
      </c>
      <c r="G2065" s="3">
        <f>VLOOKUP(B2065,airports!A:H,8,FALSE)</f>
        <v>-119.7680647</v>
      </c>
      <c r="H2065">
        <f t="shared" si="64"/>
        <v>1291.4000000000001</v>
      </c>
      <c r="I2065">
        <f t="shared" si="65"/>
        <v>802.5</v>
      </c>
    </row>
    <row r="2066" spans="1:9" ht="30" x14ac:dyDescent="0.25">
      <c r="A2066" s="5" t="s">
        <v>47</v>
      </c>
      <c r="B2066" s="5" t="s">
        <v>122</v>
      </c>
      <c r="C2066" s="5" t="s">
        <v>2483</v>
      </c>
      <c r="D2066" s="3">
        <f>VLOOKUP(A2066,airports!A:H,7,FALSE)</f>
        <v>39.858408060000002</v>
      </c>
      <c r="E2066" s="3">
        <f>VLOOKUP(A2066,airports!A:H,8,FALSE)</f>
        <v>-104.6670019</v>
      </c>
      <c r="F2066" s="3">
        <f>VLOOKUP(B2066,airports!A:H,7,FALSE)</f>
        <v>43.118866109999999</v>
      </c>
      <c r="G2066" s="3">
        <f>VLOOKUP(B2066,airports!A:H,8,FALSE)</f>
        <v>-77.672383890000006</v>
      </c>
      <c r="H2066">
        <f t="shared" si="64"/>
        <v>2267.4</v>
      </c>
      <c r="I2066">
        <f t="shared" si="65"/>
        <v>1409</v>
      </c>
    </row>
    <row r="2067" spans="1:9" ht="30" x14ac:dyDescent="0.25">
      <c r="A2067" s="5" t="s">
        <v>47</v>
      </c>
      <c r="B2067" s="5" t="s">
        <v>620</v>
      </c>
      <c r="C2067" s="5" t="s">
        <v>2484</v>
      </c>
      <c r="D2067" s="3">
        <f>VLOOKUP(A2067,airports!A:H,7,FALSE)</f>
        <v>39.858408060000002</v>
      </c>
      <c r="E2067" s="3">
        <f>VLOOKUP(A2067,airports!A:H,8,FALSE)</f>
        <v>-104.6670019</v>
      </c>
      <c r="F2067" s="3">
        <f>VLOOKUP(B2067,airports!A:H,7,FALSE)</f>
        <v>43.908826390000002</v>
      </c>
      <c r="G2067" s="3">
        <f>VLOOKUP(B2067,airports!A:H,8,FALSE)</f>
        <v>-92.497987219999999</v>
      </c>
      <c r="H2067">
        <f t="shared" si="64"/>
        <v>1102.0999999999999</v>
      </c>
      <c r="I2067">
        <f t="shared" si="65"/>
        <v>684.8</v>
      </c>
    </row>
    <row r="2068" spans="1:9" ht="30" x14ac:dyDescent="0.25">
      <c r="A2068" s="5" t="s">
        <v>47</v>
      </c>
      <c r="B2068" s="5" t="s">
        <v>123</v>
      </c>
      <c r="C2068" s="5" t="s">
        <v>2485</v>
      </c>
      <c r="D2068" s="3">
        <f>VLOOKUP(A2068,airports!A:H,7,FALSE)</f>
        <v>39.858408060000002</v>
      </c>
      <c r="E2068" s="3">
        <f>VLOOKUP(A2068,airports!A:H,8,FALSE)</f>
        <v>-104.6670019</v>
      </c>
      <c r="F2068" s="3">
        <f>VLOOKUP(B2068,airports!A:H,7,FALSE)</f>
        <v>26.53616667</v>
      </c>
      <c r="G2068" s="3">
        <f>VLOOKUP(B2068,airports!A:H,8,FALSE)</f>
        <v>-81.755166669999994</v>
      </c>
      <c r="H2068">
        <f t="shared" si="64"/>
        <v>2583.4</v>
      </c>
      <c r="I2068">
        <f t="shared" si="65"/>
        <v>1605.4</v>
      </c>
    </row>
    <row r="2069" spans="1:9" ht="30" x14ac:dyDescent="0.25">
      <c r="A2069" s="5" t="s">
        <v>47</v>
      </c>
      <c r="B2069" s="5" t="s">
        <v>2486</v>
      </c>
      <c r="C2069" s="5" t="s">
        <v>2487</v>
      </c>
      <c r="D2069" s="3">
        <f>VLOOKUP(A2069,airports!A:H,7,FALSE)</f>
        <v>39.858408060000002</v>
      </c>
      <c r="E2069" s="3">
        <f>VLOOKUP(A2069,airports!A:H,8,FALSE)</f>
        <v>-104.6670019</v>
      </c>
      <c r="F2069" s="3">
        <f>VLOOKUP(B2069,airports!A:H,7,FALSE)</f>
        <v>35.61677778</v>
      </c>
      <c r="G2069" s="3">
        <f>VLOOKUP(B2069,airports!A:H,8,FALSE)</f>
        <v>-106.0881389</v>
      </c>
      <c r="H2069">
        <f t="shared" si="64"/>
        <v>487.9</v>
      </c>
      <c r="I2069">
        <f t="shared" si="65"/>
        <v>303.2</v>
      </c>
    </row>
    <row r="2070" spans="1:9" ht="30" x14ac:dyDescent="0.25">
      <c r="A2070" s="5" t="s">
        <v>47</v>
      </c>
      <c r="B2070" s="5" t="s">
        <v>124</v>
      </c>
      <c r="C2070" s="5" t="s">
        <v>2488</v>
      </c>
      <c r="D2070" s="3">
        <f>VLOOKUP(A2070,airports!A:H,7,FALSE)</f>
        <v>39.858408060000002</v>
      </c>
      <c r="E2070" s="3">
        <f>VLOOKUP(A2070,airports!A:H,8,FALSE)</f>
        <v>-104.6670019</v>
      </c>
      <c r="F2070" s="3">
        <f>VLOOKUP(B2070,airports!A:H,7,FALSE)</f>
        <v>32.733556110000002</v>
      </c>
      <c r="G2070" s="3">
        <f>VLOOKUP(B2070,airports!A:H,8,FALSE)</f>
        <v>-117.1896567</v>
      </c>
      <c r="H2070">
        <f t="shared" si="64"/>
        <v>1371.5</v>
      </c>
      <c r="I2070">
        <f t="shared" si="65"/>
        <v>852.3</v>
      </c>
    </row>
    <row r="2071" spans="1:9" ht="30" x14ac:dyDescent="0.25">
      <c r="A2071" s="5" t="s">
        <v>47</v>
      </c>
      <c r="B2071" s="5" t="s">
        <v>125</v>
      </c>
      <c r="C2071" s="5" t="s">
        <v>2489</v>
      </c>
      <c r="D2071" s="3">
        <f>VLOOKUP(A2071,airports!A:H,7,FALSE)</f>
        <v>39.858408060000002</v>
      </c>
      <c r="E2071" s="3">
        <f>VLOOKUP(A2071,airports!A:H,8,FALSE)</f>
        <v>-104.6670019</v>
      </c>
      <c r="F2071" s="3">
        <f>VLOOKUP(B2071,airports!A:H,7,FALSE)</f>
        <v>29.533694440000001</v>
      </c>
      <c r="G2071" s="3">
        <f>VLOOKUP(B2071,airports!A:H,8,FALSE)</f>
        <v>-98.469777780000001</v>
      </c>
      <c r="H2071">
        <f t="shared" si="64"/>
        <v>1279.4000000000001</v>
      </c>
      <c r="I2071">
        <f t="shared" si="65"/>
        <v>795</v>
      </c>
    </row>
    <row r="2072" spans="1:9" ht="30" x14ac:dyDescent="0.25">
      <c r="A2072" s="5" t="s">
        <v>47</v>
      </c>
      <c r="B2072" s="5" t="s">
        <v>126</v>
      </c>
      <c r="C2072" s="5" t="s">
        <v>2490</v>
      </c>
      <c r="D2072" s="3">
        <f>VLOOKUP(A2072,airports!A:H,7,FALSE)</f>
        <v>39.858408060000002</v>
      </c>
      <c r="E2072" s="3">
        <f>VLOOKUP(A2072,airports!A:H,8,FALSE)</f>
        <v>-104.6670019</v>
      </c>
      <c r="F2072" s="3">
        <f>VLOOKUP(B2072,airports!A:H,7,FALSE)</f>
        <v>32.12758333</v>
      </c>
      <c r="G2072" s="3">
        <f>VLOOKUP(B2072,airports!A:H,8,FALSE)</f>
        <v>-81.202138890000001</v>
      </c>
      <c r="H2072">
        <f t="shared" si="64"/>
        <v>2270.6999999999998</v>
      </c>
      <c r="I2072">
        <f t="shared" si="65"/>
        <v>1411.1</v>
      </c>
    </row>
    <row r="2073" spans="1:9" ht="30" x14ac:dyDescent="0.25">
      <c r="A2073" s="5" t="s">
        <v>47</v>
      </c>
      <c r="B2073" s="5" t="s">
        <v>967</v>
      </c>
      <c r="C2073" s="5" t="s">
        <v>2491</v>
      </c>
      <c r="D2073" s="3">
        <f>VLOOKUP(A2073,airports!A:H,7,FALSE)</f>
        <v>39.858408060000002</v>
      </c>
      <c r="E2073" s="3">
        <f>VLOOKUP(A2073,airports!A:H,8,FALSE)</f>
        <v>-104.6670019</v>
      </c>
      <c r="F2073" s="3">
        <f>VLOOKUP(B2073,airports!A:H,7,FALSE)</f>
        <v>34.426211940000002</v>
      </c>
      <c r="G2073" s="3">
        <f>VLOOKUP(B2073,airports!A:H,8,FALSE)</f>
        <v>-119.8403733</v>
      </c>
      <c r="H2073">
        <f t="shared" si="64"/>
        <v>1471.8</v>
      </c>
      <c r="I2073">
        <f t="shared" si="65"/>
        <v>914.6</v>
      </c>
    </row>
    <row r="2074" spans="1:9" ht="30" x14ac:dyDescent="0.25">
      <c r="A2074" s="5" t="s">
        <v>47</v>
      </c>
      <c r="B2074" s="5" t="s">
        <v>626</v>
      </c>
      <c r="C2074" s="5" t="s">
        <v>2492</v>
      </c>
      <c r="D2074" s="3">
        <f>VLOOKUP(A2074,airports!A:H,7,FALSE)</f>
        <v>39.858408060000002</v>
      </c>
      <c r="E2074" s="3">
        <f>VLOOKUP(A2074,airports!A:H,8,FALSE)</f>
        <v>-104.6670019</v>
      </c>
      <c r="F2074" s="3">
        <f>VLOOKUP(B2074,airports!A:H,7,FALSE)</f>
        <v>41.708953610000002</v>
      </c>
      <c r="G2074" s="3">
        <f>VLOOKUP(B2074,airports!A:H,8,FALSE)</f>
        <v>-86.318474170000002</v>
      </c>
      <c r="H2074">
        <f t="shared" si="64"/>
        <v>1555.5</v>
      </c>
      <c r="I2074">
        <f t="shared" si="65"/>
        <v>966.6</v>
      </c>
    </row>
    <row r="2075" spans="1:9" ht="30" x14ac:dyDescent="0.25">
      <c r="A2075" s="5" t="s">
        <v>47</v>
      </c>
      <c r="B2075" s="5" t="s">
        <v>2493</v>
      </c>
      <c r="C2075" s="5" t="s">
        <v>2494</v>
      </c>
      <c r="D2075" s="3">
        <f>VLOOKUP(A2075,airports!A:H,7,FALSE)</f>
        <v>39.858408060000002</v>
      </c>
      <c r="E2075" s="3">
        <f>VLOOKUP(A2075,airports!A:H,8,FALSE)</f>
        <v>-104.6670019</v>
      </c>
      <c r="F2075" s="3">
        <f>VLOOKUP(B2075,airports!A:H,7,FALSE)</f>
        <v>35.237058060000003</v>
      </c>
      <c r="G2075" s="3">
        <f>VLOOKUP(B2075,airports!A:H,8,FALSE)</f>
        <v>-120.64239310000001</v>
      </c>
      <c r="H2075">
        <f t="shared" si="64"/>
        <v>1496.6</v>
      </c>
      <c r="I2075">
        <f t="shared" si="65"/>
        <v>930</v>
      </c>
    </row>
    <row r="2076" spans="1:9" ht="30" x14ac:dyDescent="0.25">
      <c r="A2076" s="5" t="s">
        <v>47</v>
      </c>
      <c r="B2076" s="5" t="s">
        <v>630</v>
      </c>
      <c r="C2076" s="5" t="s">
        <v>2495</v>
      </c>
      <c r="D2076" s="3">
        <f>VLOOKUP(A2076,airports!A:H,7,FALSE)</f>
        <v>39.858408060000002</v>
      </c>
      <c r="E2076" s="3">
        <f>VLOOKUP(A2076,airports!A:H,8,FALSE)</f>
        <v>-104.6670019</v>
      </c>
      <c r="F2076" s="3">
        <f>VLOOKUP(B2076,airports!A:H,7,FALSE)</f>
        <v>38.174388890000003</v>
      </c>
      <c r="G2076" s="3">
        <f>VLOOKUP(B2076,airports!A:H,8,FALSE)</f>
        <v>-85.736000000000004</v>
      </c>
      <c r="H2076">
        <f t="shared" si="64"/>
        <v>1643.1</v>
      </c>
      <c r="I2076">
        <f t="shared" si="65"/>
        <v>1021</v>
      </c>
    </row>
    <row r="2077" spans="1:9" ht="30" x14ac:dyDescent="0.25">
      <c r="A2077" s="5" t="s">
        <v>47</v>
      </c>
      <c r="B2077" s="5" t="s">
        <v>128</v>
      </c>
      <c r="C2077" s="5" t="s">
        <v>2496</v>
      </c>
      <c r="D2077" s="3">
        <f>VLOOKUP(A2077,airports!A:H,7,FALSE)</f>
        <v>39.858408060000002</v>
      </c>
      <c r="E2077" s="3">
        <f>VLOOKUP(A2077,airports!A:H,8,FALSE)</f>
        <v>-104.6670019</v>
      </c>
      <c r="F2077" s="3">
        <f>VLOOKUP(B2077,airports!A:H,7,FALSE)</f>
        <v>47.448981940000003</v>
      </c>
      <c r="G2077" s="3">
        <f>VLOOKUP(B2077,airports!A:H,8,FALSE)</f>
        <v>-122.3093131</v>
      </c>
      <c r="H2077">
        <f t="shared" si="64"/>
        <v>1645.7</v>
      </c>
      <c r="I2077">
        <f t="shared" si="65"/>
        <v>1022.7</v>
      </c>
    </row>
    <row r="2078" spans="1:9" ht="30" x14ac:dyDescent="0.25">
      <c r="A2078" s="5" t="s">
        <v>47</v>
      </c>
      <c r="B2078" s="5" t="s">
        <v>130</v>
      </c>
      <c r="C2078" s="5" t="s">
        <v>2497</v>
      </c>
      <c r="D2078" s="3">
        <f>VLOOKUP(A2078,airports!A:H,7,FALSE)</f>
        <v>39.858408060000002</v>
      </c>
      <c r="E2078" s="3">
        <f>VLOOKUP(A2078,airports!A:H,8,FALSE)</f>
        <v>-104.6670019</v>
      </c>
      <c r="F2078" s="3">
        <f>VLOOKUP(B2078,airports!A:H,7,FALSE)</f>
        <v>37.619001939999997</v>
      </c>
      <c r="G2078" s="3">
        <f>VLOOKUP(B2078,airports!A:H,8,FALSE)</f>
        <v>-122.37484329999999</v>
      </c>
      <c r="H2078">
        <f t="shared" si="64"/>
        <v>1553.2</v>
      </c>
      <c r="I2078">
        <f t="shared" si="65"/>
        <v>965.2</v>
      </c>
    </row>
    <row r="2079" spans="1:9" ht="30" x14ac:dyDescent="0.25">
      <c r="A2079" s="5" t="s">
        <v>47</v>
      </c>
      <c r="B2079" s="5" t="s">
        <v>634</v>
      </c>
      <c r="C2079" s="5" t="s">
        <v>2498</v>
      </c>
      <c r="D2079" s="3">
        <f>VLOOKUP(A2079,airports!A:H,7,FALSE)</f>
        <v>39.858408060000002</v>
      </c>
      <c r="E2079" s="3">
        <f>VLOOKUP(A2079,airports!A:H,8,FALSE)</f>
        <v>-104.6670019</v>
      </c>
      <c r="F2079" s="3">
        <f>VLOOKUP(B2079,airports!A:H,7,FALSE)</f>
        <v>37.244326110000003</v>
      </c>
      <c r="G2079" s="3">
        <f>VLOOKUP(B2079,airports!A:H,8,FALSE)</f>
        <v>-93.386858059999994</v>
      </c>
      <c r="H2079">
        <f t="shared" si="64"/>
        <v>1022.3</v>
      </c>
      <c r="I2079">
        <f t="shared" si="65"/>
        <v>635.20000000000005</v>
      </c>
    </row>
    <row r="2080" spans="1:9" ht="30" x14ac:dyDescent="0.25">
      <c r="A2080" s="5" t="s">
        <v>47</v>
      </c>
      <c r="B2080" s="5" t="s">
        <v>904</v>
      </c>
      <c r="C2080" s="5" t="s">
        <v>2499</v>
      </c>
      <c r="D2080" s="3">
        <f>VLOOKUP(A2080,airports!A:H,7,FALSE)</f>
        <v>39.858408060000002</v>
      </c>
      <c r="E2080" s="3">
        <f>VLOOKUP(A2080,airports!A:H,8,FALSE)</f>
        <v>-104.6670019</v>
      </c>
      <c r="F2080" s="3">
        <f>VLOOKUP(B2080,airports!A:H,7,FALSE)</f>
        <v>37.090583330000001</v>
      </c>
      <c r="G2080" s="3">
        <f>VLOOKUP(B2080,airports!A:H,8,FALSE)</f>
        <v>-113.5930556</v>
      </c>
      <c r="H2080">
        <f t="shared" si="64"/>
        <v>835.3</v>
      </c>
      <c r="I2080">
        <f t="shared" si="65"/>
        <v>519.1</v>
      </c>
    </row>
    <row r="2081" spans="1:9" ht="30" x14ac:dyDescent="0.25">
      <c r="A2081" s="5" t="s">
        <v>47</v>
      </c>
      <c r="B2081" s="5" t="s">
        <v>2500</v>
      </c>
      <c r="C2081" s="5" t="s">
        <v>2501</v>
      </c>
      <c r="D2081" s="3">
        <f>VLOOKUP(A2081,airports!A:H,7,FALSE)</f>
        <v>39.858408060000002</v>
      </c>
      <c r="E2081" s="3">
        <f>VLOOKUP(A2081,airports!A:H,8,FALSE)</f>
        <v>-104.6670019</v>
      </c>
      <c r="F2081" s="3">
        <f>VLOOKUP(B2081,airports!A:H,7,FALSE)</f>
        <v>44.769199371337798</v>
      </c>
      <c r="G2081" s="3">
        <f>VLOOKUP(B2081,airports!A:H,8,FALSE)</f>
        <v>-106.980003356933</v>
      </c>
      <c r="H2081">
        <f t="shared" si="64"/>
        <v>578.20000000000005</v>
      </c>
      <c r="I2081">
        <f t="shared" si="65"/>
        <v>359.3</v>
      </c>
    </row>
    <row r="2082" spans="1:9" ht="30" x14ac:dyDescent="0.25">
      <c r="A2082" s="5" t="s">
        <v>47</v>
      </c>
      <c r="B2082" s="5" t="s">
        <v>636</v>
      </c>
      <c r="C2082" s="5" t="s">
        <v>2502</v>
      </c>
      <c r="D2082" s="3">
        <f>VLOOKUP(A2082,airports!A:H,7,FALSE)</f>
        <v>39.858408060000002</v>
      </c>
      <c r="E2082" s="3">
        <f>VLOOKUP(A2082,airports!A:H,8,FALSE)</f>
        <v>-104.6670019</v>
      </c>
      <c r="F2082" s="3">
        <f>VLOOKUP(B2082,airports!A:H,7,FALSE)</f>
        <v>32.446627499999998</v>
      </c>
      <c r="G2082" s="3">
        <f>VLOOKUP(B2082,airports!A:H,8,FALSE)</f>
        <v>-93.825598330000005</v>
      </c>
      <c r="H2082">
        <f t="shared" si="64"/>
        <v>1273.7</v>
      </c>
      <c r="I2082">
        <f t="shared" si="65"/>
        <v>791.5</v>
      </c>
    </row>
    <row r="2083" spans="1:9" x14ac:dyDescent="0.25">
      <c r="A2083" s="5" t="s">
        <v>47</v>
      </c>
      <c r="B2083" s="5" t="s">
        <v>131</v>
      </c>
      <c r="C2083" s="5" t="s">
        <v>2503</v>
      </c>
      <c r="D2083" s="3">
        <f>VLOOKUP(A2083,airports!A:H,7,FALSE)</f>
        <v>39.858408060000002</v>
      </c>
      <c r="E2083" s="3">
        <f>VLOOKUP(A2083,airports!A:H,8,FALSE)</f>
        <v>-104.6670019</v>
      </c>
      <c r="F2083" s="3">
        <f>VLOOKUP(B2083,airports!A:H,7,FALSE)</f>
        <v>37.361861939999997</v>
      </c>
      <c r="G2083" s="3">
        <f>VLOOKUP(B2083,airports!A:H,8,FALSE)</f>
        <v>-121.9290089</v>
      </c>
      <c r="H2083">
        <f t="shared" si="64"/>
        <v>1522.8</v>
      </c>
      <c r="I2083">
        <f t="shared" si="65"/>
        <v>946.3</v>
      </c>
    </row>
    <row r="2084" spans="1:9" ht="30" x14ac:dyDescent="0.25">
      <c r="A2084" s="5" t="s">
        <v>47</v>
      </c>
      <c r="B2084" s="5" t="s">
        <v>135</v>
      </c>
      <c r="C2084" s="5" t="s">
        <v>2504</v>
      </c>
      <c r="D2084" s="3">
        <f>VLOOKUP(A2084,airports!A:H,7,FALSE)</f>
        <v>39.858408060000002</v>
      </c>
      <c r="E2084" s="3">
        <f>VLOOKUP(A2084,airports!A:H,8,FALSE)</f>
        <v>-104.6670019</v>
      </c>
      <c r="F2084" s="3">
        <f>VLOOKUP(B2084,airports!A:H,7,FALSE)</f>
        <v>40.788387780000001</v>
      </c>
      <c r="G2084" s="3">
        <f>VLOOKUP(B2084,airports!A:H,8,FALSE)</f>
        <v>-111.97777309999999</v>
      </c>
      <c r="H2084">
        <f t="shared" si="64"/>
        <v>628.1</v>
      </c>
      <c r="I2084">
        <f t="shared" si="65"/>
        <v>390.3</v>
      </c>
    </row>
    <row r="2085" spans="1:9" ht="30" x14ac:dyDescent="0.25">
      <c r="A2085" s="5" t="s">
        <v>47</v>
      </c>
      <c r="B2085" s="5" t="s">
        <v>2505</v>
      </c>
      <c r="C2085" s="5" t="s">
        <v>2506</v>
      </c>
      <c r="D2085" s="3">
        <f>VLOOKUP(A2085,airports!A:H,7,FALSE)</f>
        <v>39.858408060000002</v>
      </c>
      <c r="E2085" s="3">
        <f>VLOOKUP(A2085,airports!A:H,8,FALSE)</f>
        <v>-104.6670019</v>
      </c>
      <c r="F2085" s="3">
        <f>VLOOKUP(B2085,airports!A:H,7,FALSE)</f>
        <v>38.791000366210902</v>
      </c>
      <c r="G2085" s="3">
        <f>VLOOKUP(B2085,airports!A:H,8,FALSE)</f>
        <v>-97.652198791503906</v>
      </c>
      <c r="H2085">
        <f t="shared" si="64"/>
        <v>614.79999999999995</v>
      </c>
      <c r="I2085">
        <f t="shared" si="65"/>
        <v>382</v>
      </c>
    </row>
    <row r="2086" spans="1:9" ht="30" x14ac:dyDescent="0.25">
      <c r="A2086" s="5" t="s">
        <v>47</v>
      </c>
      <c r="B2086" s="5" t="s">
        <v>137</v>
      </c>
      <c r="C2086" s="5" t="s">
        <v>2507</v>
      </c>
      <c r="D2086" s="3">
        <f>VLOOKUP(A2086,airports!A:H,7,FALSE)</f>
        <v>39.858408060000002</v>
      </c>
      <c r="E2086" s="3">
        <f>VLOOKUP(A2086,airports!A:H,8,FALSE)</f>
        <v>-104.6670019</v>
      </c>
      <c r="F2086" s="3">
        <f>VLOOKUP(B2086,airports!A:H,7,FALSE)</f>
        <v>38.695421670000002</v>
      </c>
      <c r="G2086" s="3">
        <f>VLOOKUP(B2086,airports!A:H,8,FALSE)</f>
        <v>-121.59076690000001</v>
      </c>
      <c r="H2086">
        <f t="shared" si="64"/>
        <v>1460.3</v>
      </c>
      <c r="I2086">
        <f t="shared" si="65"/>
        <v>907.4</v>
      </c>
    </row>
    <row r="2087" spans="1:9" ht="30" x14ac:dyDescent="0.25">
      <c r="A2087" s="5" t="s">
        <v>47</v>
      </c>
      <c r="B2087" s="5" t="s">
        <v>227</v>
      </c>
      <c r="C2087" s="5" t="s">
        <v>2508</v>
      </c>
      <c r="D2087" s="3">
        <f>VLOOKUP(A2087,airports!A:H,7,FALSE)</f>
        <v>39.858408060000002</v>
      </c>
      <c r="E2087" s="3">
        <f>VLOOKUP(A2087,airports!A:H,8,FALSE)</f>
        <v>-104.6670019</v>
      </c>
      <c r="F2087" s="3">
        <f>VLOOKUP(B2087,airports!A:H,7,FALSE)</f>
        <v>33.675658609999999</v>
      </c>
      <c r="G2087" s="3">
        <f>VLOOKUP(B2087,airports!A:H,8,FALSE)</f>
        <v>-117.8682225</v>
      </c>
      <c r="H2087">
        <f t="shared" si="64"/>
        <v>1360</v>
      </c>
      <c r="I2087">
        <f t="shared" si="65"/>
        <v>845.1</v>
      </c>
    </row>
    <row r="2088" spans="1:9" ht="30" x14ac:dyDescent="0.25">
      <c r="A2088" s="5" t="s">
        <v>47</v>
      </c>
      <c r="B2088" s="5" t="s">
        <v>138</v>
      </c>
      <c r="C2088" s="5" t="s">
        <v>2509</v>
      </c>
      <c r="D2088" s="3">
        <f>VLOOKUP(A2088,airports!A:H,7,FALSE)</f>
        <v>39.858408060000002</v>
      </c>
      <c r="E2088" s="3">
        <f>VLOOKUP(A2088,airports!A:H,8,FALSE)</f>
        <v>-104.6670019</v>
      </c>
      <c r="F2088" s="3">
        <f>VLOOKUP(B2088,airports!A:H,7,FALSE)</f>
        <v>27.39533333</v>
      </c>
      <c r="G2088" s="3">
        <f>VLOOKUP(B2088,airports!A:H,8,FALSE)</f>
        <v>-82.554111109999994</v>
      </c>
      <c r="H2088">
        <f t="shared" si="64"/>
        <v>2461.1999999999998</v>
      </c>
      <c r="I2088">
        <f t="shared" si="65"/>
        <v>1529.4</v>
      </c>
    </row>
    <row r="2089" spans="1:9" x14ac:dyDescent="0.25">
      <c r="A2089" s="5" t="s">
        <v>47</v>
      </c>
      <c r="B2089" s="5" t="s">
        <v>644</v>
      </c>
      <c r="C2089" s="5" t="s">
        <v>2510</v>
      </c>
      <c r="D2089" s="3">
        <f>VLOOKUP(A2089,airports!A:H,7,FALSE)</f>
        <v>39.858408060000002</v>
      </c>
      <c r="E2089" s="3">
        <f>VLOOKUP(A2089,airports!A:H,8,FALSE)</f>
        <v>-104.6670019</v>
      </c>
      <c r="F2089" s="3">
        <f>VLOOKUP(B2089,airports!A:H,7,FALSE)</f>
        <v>38.747686940000001</v>
      </c>
      <c r="G2089" s="3">
        <f>VLOOKUP(B2089,airports!A:H,8,FALSE)</f>
        <v>-90.359989720000002</v>
      </c>
      <c r="H2089">
        <f t="shared" si="64"/>
        <v>1235.9000000000001</v>
      </c>
      <c r="I2089">
        <f t="shared" si="65"/>
        <v>768</v>
      </c>
    </row>
    <row r="2090" spans="1:9" ht="30" x14ac:dyDescent="0.25">
      <c r="A2090" s="5" t="s">
        <v>47</v>
      </c>
      <c r="B2090" s="5" t="s">
        <v>1413</v>
      </c>
      <c r="C2090" s="5" t="s">
        <v>2511</v>
      </c>
      <c r="D2090" s="3">
        <f>VLOOKUP(A2090,airports!A:H,7,FALSE)</f>
        <v>39.858408060000002</v>
      </c>
      <c r="E2090" s="3">
        <f>VLOOKUP(A2090,airports!A:H,8,FALSE)</f>
        <v>-104.6670019</v>
      </c>
      <c r="F2090" s="3">
        <f>VLOOKUP(B2090,airports!A:H,7,FALSE)</f>
        <v>38.508998869999999</v>
      </c>
      <c r="G2090" s="3">
        <f>VLOOKUP(B2090,airports!A:H,8,FALSE)</f>
        <v>-122.81300349999999</v>
      </c>
      <c r="H2090">
        <f t="shared" si="64"/>
        <v>1568.5</v>
      </c>
      <c r="I2090">
        <f t="shared" si="65"/>
        <v>974.7</v>
      </c>
    </row>
    <row r="2091" spans="1:9" ht="30" x14ac:dyDescent="0.25">
      <c r="A2091" s="5" t="s">
        <v>47</v>
      </c>
      <c r="B2091" s="5" t="s">
        <v>2512</v>
      </c>
      <c r="C2091" s="5" t="s">
        <v>2513</v>
      </c>
      <c r="D2091" s="3">
        <f>VLOOKUP(A2091,airports!A:H,7,FALSE)</f>
        <v>39.858408060000002</v>
      </c>
      <c r="E2091" s="3">
        <f>VLOOKUP(A2091,airports!A:H,8,FALSE)</f>
        <v>-104.6670019</v>
      </c>
      <c r="F2091" s="3">
        <f>VLOOKUP(B2091,airports!A:H,7,FALSE)</f>
        <v>43.504841390000003</v>
      </c>
      <c r="G2091" s="3">
        <f>VLOOKUP(B2091,airports!A:H,8,FALSE)</f>
        <v>-114.29659030000001</v>
      </c>
      <c r="H2091">
        <f t="shared" si="64"/>
        <v>895.8</v>
      </c>
      <c r="I2091">
        <f t="shared" si="65"/>
        <v>556.70000000000005</v>
      </c>
    </row>
    <row r="2092" spans="1:9" ht="30" x14ac:dyDescent="0.25">
      <c r="A2092" s="5" t="s">
        <v>47</v>
      </c>
      <c r="B2092" s="5" t="s">
        <v>2514</v>
      </c>
      <c r="C2092" s="5" t="s">
        <v>2515</v>
      </c>
      <c r="D2092" s="3">
        <f>VLOOKUP(A2092,airports!A:H,7,FALSE)</f>
        <v>39.858408060000002</v>
      </c>
      <c r="E2092" s="3">
        <f>VLOOKUP(A2092,airports!A:H,8,FALSE)</f>
        <v>-104.6670019</v>
      </c>
      <c r="F2092" s="3">
        <f>VLOOKUP(B2092,airports!A:H,7,FALSE)</f>
        <v>42.402603329999998</v>
      </c>
      <c r="G2092" s="3">
        <f>VLOOKUP(B2092,airports!A:H,8,FALSE)</f>
        <v>-96.384366940000007</v>
      </c>
      <c r="H2092">
        <f t="shared" si="64"/>
        <v>748.8</v>
      </c>
      <c r="I2092">
        <f t="shared" si="65"/>
        <v>465.3</v>
      </c>
    </row>
    <row r="2093" spans="1:9" ht="30" x14ac:dyDescent="0.25">
      <c r="A2093" s="5" t="s">
        <v>47</v>
      </c>
      <c r="B2093" s="5" t="s">
        <v>144</v>
      </c>
      <c r="C2093" s="5" t="s">
        <v>2516</v>
      </c>
      <c r="D2093" s="3">
        <f>VLOOKUP(A2093,airports!A:H,7,FALSE)</f>
        <v>39.858408060000002</v>
      </c>
      <c r="E2093" s="3">
        <f>VLOOKUP(A2093,airports!A:H,8,FALSE)</f>
        <v>-104.6670019</v>
      </c>
      <c r="F2093" s="3">
        <f>VLOOKUP(B2093,airports!A:H,7,FALSE)</f>
        <v>43.111186940000003</v>
      </c>
      <c r="G2093" s="3">
        <f>VLOOKUP(B2093,airports!A:H,8,FALSE)</f>
        <v>-76.106310559999997</v>
      </c>
      <c r="H2093">
        <f t="shared" si="64"/>
        <v>2394.5</v>
      </c>
      <c r="I2093">
        <f t="shared" si="65"/>
        <v>1488</v>
      </c>
    </row>
    <row r="2094" spans="1:9" ht="30" x14ac:dyDescent="0.25">
      <c r="A2094" s="5" t="s">
        <v>47</v>
      </c>
      <c r="B2094" s="5" t="s">
        <v>145</v>
      </c>
      <c r="C2094" s="5" t="s">
        <v>2517</v>
      </c>
      <c r="D2094" s="3">
        <f>VLOOKUP(A2094,airports!A:H,7,FALSE)</f>
        <v>39.858408060000002</v>
      </c>
      <c r="E2094" s="3">
        <f>VLOOKUP(A2094,airports!A:H,8,FALSE)</f>
        <v>-104.6670019</v>
      </c>
      <c r="F2094" s="3">
        <f>VLOOKUP(B2094,airports!A:H,7,FALSE)</f>
        <v>27.97547222</v>
      </c>
      <c r="G2094" s="3">
        <f>VLOOKUP(B2094,airports!A:H,8,FALSE)</f>
        <v>-82.533249999999995</v>
      </c>
      <c r="H2094">
        <f t="shared" si="64"/>
        <v>2421.9</v>
      </c>
      <c r="I2094">
        <f t="shared" si="65"/>
        <v>1505</v>
      </c>
    </row>
    <row r="2095" spans="1:9" ht="30" x14ac:dyDescent="0.25">
      <c r="A2095" s="5" t="s">
        <v>47</v>
      </c>
      <c r="B2095" s="5" t="s">
        <v>658</v>
      </c>
      <c r="C2095" s="5" t="s">
        <v>2518</v>
      </c>
      <c r="D2095" s="3">
        <f>VLOOKUP(A2095,airports!A:H,7,FALSE)</f>
        <v>39.858408060000002</v>
      </c>
      <c r="E2095" s="3">
        <f>VLOOKUP(A2095,airports!A:H,8,FALSE)</f>
        <v>-104.6670019</v>
      </c>
      <c r="F2095" s="3">
        <f>VLOOKUP(B2095,airports!A:H,7,FALSE)</f>
        <v>36.198372220000003</v>
      </c>
      <c r="G2095" s="3">
        <f>VLOOKUP(B2095,airports!A:H,8,FALSE)</f>
        <v>-95.888241669999999</v>
      </c>
      <c r="H2095">
        <f t="shared" si="64"/>
        <v>869.4</v>
      </c>
      <c r="I2095">
        <f t="shared" si="65"/>
        <v>540.29999999999995</v>
      </c>
    </row>
    <row r="2096" spans="1:9" ht="30" x14ac:dyDescent="0.25">
      <c r="A2096" s="5" t="s">
        <v>47</v>
      </c>
      <c r="B2096" s="5" t="s">
        <v>660</v>
      </c>
      <c r="C2096" s="5" t="s">
        <v>2519</v>
      </c>
      <c r="D2096" s="3">
        <f>VLOOKUP(A2096,airports!A:H,7,FALSE)</f>
        <v>39.858408060000002</v>
      </c>
      <c r="E2096" s="3">
        <f>VLOOKUP(A2096,airports!A:H,8,FALSE)</f>
        <v>-104.6670019</v>
      </c>
      <c r="F2096" s="3">
        <f>VLOOKUP(B2096,airports!A:H,7,FALSE)</f>
        <v>32.116083330000002</v>
      </c>
      <c r="G2096" s="3">
        <f>VLOOKUP(B2096,airports!A:H,8,FALSE)</f>
        <v>-110.9410278</v>
      </c>
      <c r="H2096">
        <f t="shared" si="64"/>
        <v>1028.8</v>
      </c>
      <c r="I2096">
        <f t="shared" si="65"/>
        <v>639.29999999999995</v>
      </c>
    </row>
    <row r="2097" spans="1:9" ht="30" x14ac:dyDescent="0.25">
      <c r="A2097" s="5" t="s">
        <v>47</v>
      </c>
      <c r="B2097" s="5" t="s">
        <v>662</v>
      </c>
      <c r="C2097" s="5" t="s">
        <v>2520</v>
      </c>
      <c r="D2097" s="3">
        <f>VLOOKUP(A2097,airports!A:H,7,FALSE)</f>
        <v>39.858408060000002</v>
      </c>
      <c r="E2097" s="3">
        <f>VLOOKUP(A2097,airports!A:H,8,FALSE)</f>
        <v>-104.6670019</v>
      </c>
      <c r="F2097" s="3">
        <f>VLOOKUP(B2097,airports!A:H,7,FALSE)</f>
        <v>44.741444719999997</v>
      </c>
      <c r="G2097" s="3">
        <f>VLOOKUP(B2097,airports!A:H,8,FALSE)</f>
        <v>-85.582234999999997</v>
      </c>
      <c r="H2097">
        <f t="shared" si="64"/>
        <v>1656.2</v>
      </c>
      <c r="I2097">
        <f t="shared" si="65"/>
        <v>1029.2</v>
      </c>
    </row>
    <row r="2098" spans="1:9" ht="30" x14ac:dyDescent="0.25">
      <c r="A2098" s="5" t="s">
        <v>47</v>
      </c>
      <c r="B2098" s="5" t="s">
        <v>2521</v>
      </c>
      <c r="C2098" s="5" t="s">
        <v>2522</v>
      </c>
      <c r="D2098" s="3">
        <f>VLOOKUP(A2098,airports!A:H,7,FALSE)</f>
        <v>39.858408060000002</v>
      </c>
      <c r="E2098" s="3">
        <f>VLOOKUP(A2098,airports!A:H,8,FALSE)</f>
        <v>-104.6670019</v>
      </c>
      <c r="F2098" s="3">
        <f>VLOOKUP(B2098,airports!A:H,7,FALSE)</f>
        <v>42.481803890000002</v>
      </c>
      <c r="G2098" s="3">
        <f>VLOOKUP(B2098,airports!A:H,8,FALSE)</f>
        <v>-114.48773559999999</v>
      </c>
      <c r="H2098">
        <f t="shared" si="64"/>
        <v>871.6</v>
      </c>
      <c r="I2098">
        <f t="shared" si="65"/>
        <v>541.6</v>
      </c>
    </row>
    <row r="2099" spans="1:9" ht="30" x14ac:dyDescent="0.25">
      <c r="A2099" s="5" t="s">
        <v>47</v>
      </c>
      <c r="B2099" s="5" t="s">
        <v>2523</v>
      </c>
      <c r="C2099" s="5" t="s">
        <v>2524</v>
      </c>
      <c r="D2099" s="3">
        <f>VLOOKUP(A2099,airports!A:H,7,FALSE)</f>
        <v>39.858408060000002</v>
      </c>
      <c r="E2099" s="3">
        <f>VLOOKUP(A2099,airports!A:H,8,FALSE)</f>
        <v>-104.6670019</v>
      </c>
      <c r="F2099" s="3">
        <f>VLOOKUP(B2099,airports!A:H,7,FALSE)</f>
        <v>32.354138890000002</v>
      </c>
      <c r="G2099" s="3">
        <f>VLOOKUP(B2099,airports!A:H,8,FALSE)</f>
        <v>-95.402386109999995</v>
      </c>
      <c r="H2099">
        <f t="shared" si="64"/>
        <v>1177.3</v>
      </c>
      <c r="I2099">
        <f t="shared" si="65"/>
        <v>731.6</v>
      </c>
    </row>
    <row r="2100" spans="1:9" ht="30" x14ac:dyDescent="0.25">
      <c r="A2100" s="5" t="s">
        <v>47</v>
      </c>
      <c r="B2100" s="5" t="s">
        <v>664</v>
      </c>
      <c r="C2100" s="5" t="s">
        <v>2525</v>
      </c>
      <c r="D2100" s="3">
        <f>VLOOKUP(A2100,airports!A:H,7,FALSE)</f>
        <v>39.858408060000002</v>
      </c>
      <c r="E2100" s="3">
        <f>VLOOKUP(A2100,airports!A:H,8,FALSE)</f>
        <v>-104.6670019</v>
      </c>
      <c r="F2100" s="3">
        <f>VLOOKUP(B2100,airports!A:H,7,FALSE)</f>
        <v>35.812487220000001</v>
      </c>
      <c r="G2100" s="3">
        <f>VLOOKUP(B2100,airports!A:H,8,FALSE)</f>
        <v>-83.992855829999996</v>
      </c>
      <c r="H2100">
        <f t="shared" si="64"/>
        <v>1865.8</v>
      </c>
      <c r="I2100">
        <f t="shared" si="65"/>
        <v>1159.4000000000001</v>
      </c>
    </row>
    <row r="2101" spans="1:9" ht="30" x14ac:dyDescent="0.25">
      <c r="A2101" s="5" t="s">
        <v>47</v>
      </c>
      <c r="B2101" s="5" t="s">
        <v>1952</v>
      </c>
      <c r="C2101" s="5" t="s">
        <v>2526</v>
      </c>
      <c r="D2101" s="3">
        <f>VLOOKUP(A2101,airports!A:H,7,FALSE)</f>
        <v>39.858408060000002</v>
      </c>
      <c r="E2101" s="3">
        <f>VLOOKUP(A2101,airports!A:H,8,FALSE)</f>
        <v>-104.6670019</v>
      </c>
      <c r="F2101" s="3">
        <f>VLOOKUP(B2101,airports!A:H,7,FALSE)</f>
        <v>40.440901670000002</v>
      </c>
      <c r="G2101" s="3">
        <f>VLOOKUP(B2101,airports!A:H,8,FALSE)</f>
        <v>-109.5099203</v>
      </c>
      <c r="H2101">
        <f t="shared" si="64"/>
        <v>416.6</v>
      </c>
      <c r="I2101">
        <f t="shared" si="65"/>
        <v>258.89999999999998</v>
      </c>
    </row>
    <row r="2102" spans="1:9" ht="30" x14ac:dyDescent="0.25">
      <c r="A2102" s="5" t="s">
        <v>47</v>
      </c>
      <c r="B2102" s="5" t="s">
        <v>668</v>
      </c>
      <c r="C2102" s="5" t="s">
        <v>2527</v>
      </c>
      <c r="D2102" s="3">
        <f>VLOOKUP(A2102,airports!A:H,7,FALSE)</f>
        <v>39.858408060000002</v>
      </c>
      <c r="E2102" s="3">
        <f>VLOOKUP(A2102,airports!A:H,8,FALSE)</f>
        <v>-104.6670019</v>
      </c>
      <c r="F2102" s="3">
        <f>VLOOKUP(B2102,airports!A:H,7,FALSE)</f>
        <v>30.483250000000002</v>
      </c>
      <c r="G2102" s="3">
        <f>VLOOKUP(B2102,airports!A:H,8,FALSE)</f>
        <v>-86.525400000000005</v>
      </c>
      <c r="H2102">
        <f t="shared" si="64"/>
        <v>1945</v>
      </c>
      <c r="I2102">
        <f t="shared" si="65"/>
        <v>1208.7</v>
      </c>
    </row>
    <row r="2103" spans="1:9" ht="30" x14ac:dyDescent="0.25">
      <c r="A2103" s="5" t="s">
        <v>47</v>
      </c>
      <c r="B2103" s="5" t="s">
        <v>2528</v>
      </c>
      <c r="C2103" s="5" t="s">
        <v>2529</v>
      </c>
      <c r="D2103" s="3">
        <f>VLOOKUP(A2103,airports!A:H,7,FALSE)</f>
        <v>39.858408060000002</v>
      </c>
      <c r="E2103" s="3">
        <f>VLOOKUP(A2103,airports!A:H,8,FALSE)</f>
        <v>-104.6670019</v>
      </c>
      <c r="F2103" s="3">
        <f>VLOOKUP(B2103,airports!A:H,7,FALSE)</f>
        <v>44.688399169999997</v>
      </c>
      <c r="G2103" s="3">
        <f>VLOOKUP(B2103,airports!A:H,8,FALSE)</f>
        <v>-111.1176375</v>
      </c>
      <c r="H2103">
        <f t="shared" si="64"/>
        <v>754.6</v>
      </c>
      <c r="I2103">
        <f t="shared" si="65"/>
        <v>468.9</v>
      </c>
    </row>
    <row r="2104" spans="1:9" ht="30" x14ac:dyDescent="0.25">
      <c r="A2104" s="5" t="s">
        <v>47</v>
      </c>
      <c r="B2104" s="5" t="s">
        <v>670</v>
      </c>
      <c r="C2104" s="5" t="s">
        <v>2530</v>
      </c>
      <c r="D2104" s="3">
        <f>VLOOKUP(A2104,airports!A:H,7,FALSE)</f>
        <v>39.858408060000002</v>
      </c>
      <c r="E2104" s="3">
        <f>VLOOKUP(A2104,airports!A:H,8,FALSE)</f>
        <v>-104.6670019</v>
      </c>
      <c r="F2104" s="3">
        <f>VLOOKUP(B2104,airports!A:H,7,FALSE)</f>
        <v>36.281869440000001</v>
      </c>
      <c r="G2104" s="3">
        <f>VLOOKUP(B2104,airports!A:H,8,FALSE)</f>
        <v>-94.306811109999998</v>
      </c>
      <c r="H2104">
        <f t="shared" si="64"/>
        <v>989.5</v>
      </c>
      <c r="I2104">
        <f t="shared" si="65"/>
        <v>614.9</v>
      </c>
    </row>
    <row r="2105" spans="1:9" ht="30" x14ac:dyDescent="0.25">
      <c r="A2105" s="5" t="s">
        <v>47</v>
      </c>
      <c r="B2105" s="5" t="s">
        <v>2531</v>
      </c>
      <c r="C2105" s="5" t="s">
        <v>2532</v>
      </c>
      <c r="D2105" s="3">
        <f>VLOOKUP(A2105,airports!A:H,7,FALSE)</f>
        <v>39.858408060000002</v>
      </c>
      <c r="E2105" s="3">
        <f>VLOOKUP(A2105,airports!A:H,8,FALSE)</f>
        <v>-104.6670019</v>
      </c>
      <c r="F2105" s="3">
        <f>VLOOKUP(B2105,airports!A:H,7,FALSE)</f>
        <v>48.258386999999999</v>
      </c>
      <c r="G2105" s="3">
        <f>VLOOKUP(B2105,airports!A:H,8,FALSE)</f>
        <v>-103.748797</v>
      </c>
      <c r="H2105">
        <f t="shared" si="64"/>
        <v>936.9</v>
      </c>
      <c r="I2105">
        <f t="shared" si="65"/>
        <v>582.20000000000005</v>
      </c>
    </row>
    <row r="2106" spans="1:9" ht="30" x14ac:dyDescent="0.25">
      <c r="A2106" s="5" t="s">
        <v>49</v>
      </c>
      <c r="B2106" s="5" t="s">
        <v>194</v>
      </c>
      <c r="C2106" s="5" t="s">
        <v>2533</v>
      </c>
      <c r="D2106" s="3">
        <f>VLOOKUP(A2106,airports!A:H,7,FALSE)</f>
        <v>32.895950560000003</v>
      </c>
      <c r="E2106" s="3">
        <f>VLOOKUP(A2106,airports!A:H,8,FALSE)</f>
        <v>-97.037199999999999</v>
      </c>
      <c r="F2106" s="3">
        <f>VLOOKUP(B2106,airports!A:H,7,FALSE)</f>
        <v>32.411320000000003</v>
      </c>
      <c r="G2106" s="3">
        <f>VLOOKUP(B2106,airports!A:H,8,FALSE)</f>
        <v>-99.681897219999996</v>
      </c>
      <c r="H2106">
        <f t="shared" si="64"/>
        <v>253.4</v>
      </c>
      <c r="I2106">
        <f t="shared" si="65"/>
        <v>157.5</v>
      </c>
    </row>
    <row r="2107" spans="1:9" ht="30" x14ac:dyDescent="0.25">
      <c r="A2107" s="5" t="s">
        <v>49</v>
      </c>
      <c r="B2107" s="5" t="s">
        <v>2</v>
      </c>
      <c r="C2107" s="5" t="s">
        <v>2534</v>
      </c>
      <c r="D2107" s="3">
        <f>VLOOKUP(A2107,airports!A:H,7,FALSE)</f>
        <v>32.895950560000003</v>
      </c>
      <c r="E2107" s="3">
        <f>VLOOKUP(A2107,airports!A:H,8,FALSE)</f>
        <v>-97.037199999999999</v>
      </c>
      <c r="F2107" s="3">
        <f>VLOOKUP(B2107,airports!A:H,7,FALSE)</f>
        <v>35.040222219999997</v>
      </c>
      <c r="G2107" s="3">
        <f>VLOOKUP(B2107,airports!A:H,8,FALSE)</f>
        <v>-106.60919440000001</v>
      </c>
      <c r="H2107">
        <f t="shared" si="64"/>
        <v>913.9</v>
      </c>
      <c r="I2107">
        <f t="shared" si="65"/>
        <v>567.9</v>
      </c>
    </row>
    <row r="2108" spans="1:9" ht="30" x14ac:dyDescent="0.25">
      <c r="A2108" s="5" t="s">
        <v>49</v>
      </c>
      <c r="B2108" s="5" t="s">
        <v>245</v>
      </c>
      <c r="C2108" s="5" t="s">
        <v>2535</v>
      </c>
      <c r="D2108" s="3">
        <f>VLOOKUP(A2108,airports!A:H,7,FALSE)</f>
        <v>32.895950560000003</v>
      </c>
      <c r="E2108" s="3">
        <f>VLOOKUP(A2108,airports!A:H,8,FALSE)</f>
        <v>-97.037199999999999</v>
      </c>
      <c r="F2108" s="3">
        <f>VLOOKUP(B2108,airports!A:H,7,FALSE)</f>
        <v>31.611288330000001</v>
      </c>
      <c r="G2108" s="3">
        <f>VLOOKUP(B2108,airports!A:H,8,FALSE)</f>
        <v>-97.230519169999994</v>
      </c>
      <c r="H2108">
        <f t="shared" si="64"/>
        <v>144</v>
      </c>
      <c r="I2108">
        <f t="shared" si="65"/>
        <v>89.5</v>
      </c>
    </row>
    <row r="2109" spans="1:9" ht="30" x14ac:dyDescent="0.25">
      <c r="A2109" s="5" t="s">
        <v>49</v>
      </c>
      <c r="B2109" s="5" t="s">
        <v>271</v>
      </c>
      <c r="C2109" s="5" t="s">
        <v>2536</v>
      </c>
      <c r="D2109" s="3">
        <f>VLOOKUP(A2109,airports!A:H,7,FALSE)</f>
        <v>32.895950560000003</v>
      </c>
      <c r="E2109" s="3">
        <f>VLOOKUP(A2109,airports!A:H,8,FALSE)</f>
        <v>-97.037199999999999</v>
      </c>
      <c r="F2109" s="3">
        <f>VLOOKUP(B2109,airports!A:H,7,FALSE)</f>
        <v>31.327371670000002</v>
      </c>
      <c r="G2109" s="3">
        <f>VLOOKUP(B2109,airports!A:H,8,FALSE)</f>
        <v>-92.548556110000007</v>
      </c>
      <c r="H2109">
        <f t="shared" si="64"/>
        <v>457.3</v>
      </c>
      <c r="I2109">
        <f t="shared" si="65"/>
        <v>284.2</v>
      </c>
    </row>
    <row r="2110" spans="1:9" ht="30" x14ac:dyDescent="0.25">
      <c r="A2110" s="5" t="s">
        <v>49</v>
      </c>
      <c r="B2110" s="5" t="s">
        <v>276</v>
      </c>
      <c r="C2110" s="5" t="s">
        <v>2537</v>
      </c>
      <c r="D2110" s="3">
        <f>VLOOKUP(A2110,airports!A:H,7,FALSE)</f>
        <v>32.895950560000003</v>
      </c>
      <c r="E2110" s="3">
        <f>VLOOKUP(A2110,airports!A:H,8,FALSE)</f>
        <v>-97.037199999999999</v>
      </c>
      <c r="F2110" s="3">
        <f>VLOOKUP(B2110,airports!A:H,7,FALSE)</f>
        <v>33.369954999999997</v>
      </c>
      <c r="G2110" s="3">
        <f>VLOOKUP(B2110,airports!A:H,8,FALSE)</f>
        <v>-81.964496109999999</v>
      </c>
      <c r="H2110">
        <f t="shared" si="64"/>
        <v>1403.3</v>
      </c>
      <c r="I2110">
        <f t="shared" si="65"/>
        <v>872</v>
      </c>
    </row>
    <row r="2111" spans="1:9" ht="30" x14ac:dyDescent="0.25">
      <c r="A2111" s="5" t="s">
        <v>49</v>
      </c>
      <c r="B2111" s="5" t="s">
        <v>327</v>
      </c>
      <c r="C2111" s="5" t="s">
        <v>2538</v>
      </c>
      <c r="D2111" s="3">
        <f>VLOOKUP(A2111,airports!A:H,7,FALSE)</f>
        <v>32.895950560000003</v>
      </c>
      <c r="E2111" s="3">
        <f>VLOOKUP(A2111,airports!A:H,8,FALSE)</f>
        <v>-97.037199999999999</v>
      </c>
      <c r="F2111" s="3">
        <f>VLOOKUP(B2111,airports!A:H,7,FALSE)</f>
        <v>35.219372499999999</v>
      </c>
      <c r="G2111" s="3">
        <f>VLOOKUP(B2111,airports!A:H,8,FALSE)</f>
        <v>-101.7059272</v>
      </c>
      <c r="H2111">
        <f t="shared" si="64"/>
        <v>501.6</v>
      </c>
      <c r="I2111">
        <f t="shared" si="65"/>
        <v>311.7</v>
      </c>
    </row>
    <row r="2112" spans="1:9" ht="30" x14ac:dyDescent="0.25">
      <c r="A2112" s="5" t="s">
        <v>49</v>
      </c>
      <c r="B2112" s="5" t="s">
        <v>265</v>
      </c>
      <c r="C2112" s="5" t="s">
        <v>2539</v>
      </c>
      <c r="D2112" s="3">
        <f>VLOOKUP(A2112,airports!A:H,7,FALSE)</f>
        <v>32.895950560000003</v>
      </c>
      <c r="E2112" s="3">
        <f>VLOOKUP(A2112,airports!A:H,8,FALSE)</f>
        <v>-97.037199999999999</v>
      </c>
      <c r="F2112" s="3">
        <f>VLOOKUP(B2112,airports!A:H,7,FALSE)</f>
        <v>61.174320280000003</v>
      </c>
      <c r="G2112" s="3">
        <f>VLOOKUP(B2112,airports!A:H,8,FALSE)</f>
        <v>-149.99618559999999</v>
      </c>
      <c r="H2112">
        <f t="shared" si="64"/>
        <v>4889.3999999999996</v>
      </c>
      <c r="I2112">
        <f t="shared" si="65"/>
        <v>3038.3</v>
      </c>
    </row>
    <row r="2113" spans="1:9" ht="30" x14ac:dyDescent="0.25">
      <c r="A2113" s="5" t="s">
        <v>49</v>
      </c>
      <c r="B2113" s="5" t="s">
        <v>393</v>
      </c>
      <c r="C2113" s="5" t="s">
        <v>2540</v>
      </c>
      <c r="D2113" s="3">
        <f>VLOOKUP(A2113,airports!A:H,7,FALSE)</f>
        <v>32.895950560000003</v>
      </c>
      <c r="E2113" s="3">
        <f>VLOOKUP(A2113,airports!A:H,8,FALSE)</f>
        <v>-97.037199999999999</v>
      </c>
      <c r="F2113" s="3">
        <f>VLOOKUP(B2113,airports!A:H,7,FALSE)</f>
        <v>39.22316</v>
      </c>
      <c r="G2113" s="3">
        <f>VLOOKUP(B2113,airports!A:H,8,FALSE)</f>
        <v>-106.86884499999999</v>
      </c>
      <c r="H2113">
        <f t="shared" si="64"/>
        <v>1128.4000000000001</v>
      </c>
      <c r="I2113">
        <f t="shared" si="65"/>
        <v>701.2</v>
      </c>
    </row>
    <row r="2114" spans="1:9" ht="30" x14ac:dyDescent="0.25">
      <c r="A2114" s="5" t="s">
        <v>49</v>
      </c>
      <c r="B2114" s="5" t="s">
        <v>10</v>
      </c>
      <c r="C2114" s="5" t="s">
        <v>2541</v>
      </c>
      <c r="D2114" s="3">
        <f>VLOOKUP(A2114,airports!A:H,7,FALSE)</f>
        <v>32.895950560000003</v>
      </c>
      <c r="E2114" s="3">
        <f>VLOOKUP(A2114,airports!A:H,8,FALSE)</f>
        <v>-97.037199999999999</v>
      </c>
      <c r="F2114" s="3">
        <f>VLOOKUP(B2114,airports!A:H,7,FALSE)</f>
        <v>33.640444440000003</v>
      </c>
      <c r="G2114" s="3">
        <f>VLOOKUP(B2114,airports!A:H,8,FALSE)</f>
        <v>-84.42694444</v>
      </c>
      <c r="H2114">
        <f t="shared" si="64"/>
        <v>1174.5999999999999</v>
      </c>
      <c r="I2114">
        <f t="shared" si="65"/>
        <v>729.9</v>
      </c>
    </row>
    <row r="2115" spans="1:9" ht="30" x14ac:dyDescent="0.25">
      <c r="A2115" s="5" t="s">
        <v>49</v>
      </c>
      <c r="B2115" s="5" t="s">
        <v>13</v>
      </c>
      <c r="C2115" s="5" t="s">
        <v>2542</v>
      </c>
      <c r="D2115" s="3">
        <f>VLOOKUP(A2115,airports!A:H,7,FALSE)</f>
        <v>32.895950560000003</v>
      </c>
      <c r="E2115" s="3">
        <f>VLOOKUP(A2115,airports!A:H,8,FALSE)</f>
        <v>-97.037199999999999</v>
      </c>
      <c r="F2115" s="3">
        <f>VLOOKUP(B2115,airports!A:H,7,FALSE)</f>
        <v>30.194532779999999</v>
      </c>
      <c r="G2115" s="3">
        <f>VLOOKUP(B2115,airports!A:H,8,FALSE)</f>
        <v>-97.669871939999993</v>
      </c>
      <c r="H2115">
        <f t="shared" si="64"/>
        <v>306.3</v>
      </c>
      <c r="I2115">
        <f t="shared" si="65"/>
        <v>190.3</v>
      </c>
    </row>
    <row r="2116" spans="1:9" ht="30" x14ac:dyDescent="0.25">
      <c r="A2116" s="5" t="s">
        <v>49</v>
      </c>
      <c r="B2116" s="5" t="s">
        <v>419</v>
      </c>
      <c r="C2116" s="5" t="s">
        <v>2543</v>
      </c>
      <c r="D2116" s="3">
        <f>VLOOKUP(A2116,airports!A:H,7,FALSE)</f>
        <v>32.895950560000003</v>
      </c>
      <c r="E2116" s="3">
        <f>VLOOKUP(A2116,airports!A:H,8,FALSE)</f>
        <v>-97.037199999999999</v>
      </c>
      <c r="F2116" s="3">
        <f>VLOOKUP(B2116,airports!A:H,7,FALSE)</f>
        <v>35.436194440000001</v>
      </c>
      <c r="G2116" s="3">
        <f>VLOOKUP(B2116,airports!A:H,8,FALSE)</f>
        <v>-82.54180556</v>
      </c>
      <c r="H2116">
        <f t="shared" ref="H2116:H2179" si="66">ROUND(ACOS(COS(RADIANS(90-D2116)) * COS(RADIANS(90-F2116)) + SIN(RADIANS(90-D2116)) * SIN(RADIANS(90-F2116)) * COS(RADIANS(E2116-G2116))) * 6371,1)</f>
        <v>1361.9</v>
      </c>
      <c r="I2116">
        <f t="shared" ref="I2116:I2179" si="67">ROUND(ACOS(COS(RADIANS(90-D2116)) * COS(RADIANS(90-F2116)) + SIN(RADIANS(90-D2116)) * SIN(RADIANS(90-F2116)) * COS(RADIANS(E2116-G2116))) * 3959,1)</f>
        <v>846.3</v>
      </c>
    </row>
    <row r="2117" spans="1:9" ht="30" x14ac:dyDescent="0.25">
      <c r="A2117" s="5" t="s">
        <v>49</v>
      </c>
      <c r="B2117" s="5" t="s">
        <v>16</v>
      </c>
      <c r="C2117" s="5" t="s">
        <v>2544</v>
      </c>
      <c r="D2117" s="3">
        <f>VLOOKUP(A2117,airports!A:H,7,FALSE)</f>
        <v>32.895950560000003</v>
      </c>
      <c r="E2117" s="3">
        <f>VLOOKUP(A2117,airports!A:H,8,FALSE)</f>
        <v>-97.037199999999999</v>
      </c>
      <c r="F2117" s="3">
        <f>VLOOKUP(B2117,airports!A:H,7,FALSE)</f>
        <v>41.938874169999998</v>
      </c>
      <c r="G2117" s="3">
        <f>VLOOKUP(B2117,airports!A:H,8,FALSE)</f>
        <v>-72.683228330000006</v>
      </c>
      <c r="H2117">
        <f t="shared" si="66"/>
        <v>2363.1999999999998</v>
      </c>
      <c r="I2117">
        <f t="shared" si="67"/>
        <v>1468.5</v>
      </c>
    </row>
    <row r="2118" spans="1:9" ht="30" x14ac:dyDescent="0.25">
      <c r="A2118" s="5" t="s">
        <v>49</v>
      </c>
      <c r="B2118" s="5" t="s">
        <v>963</v>
      </c>
      <c r="C2118" s="5" t="s">
        <v>2545</v>
      </c>
      <c r="D2118" s="3">
        <f>VLOOKUP(A2118,airports!A:H,7,FALSE)</f>
        <v>32.895950560000003</v>
      </c>
      <c r="E2118" s="3">
        <f>VLOOKUP(A2118,airports!A:H,8,FALSE)</f>
        <v>-97.037199999999999</v>
      </c>
      <c r="F2118" s="3">
        <f>VLOOKUP(B2118,airports!A:H,7,FALSE)</f>
        <v>35.433598060000001</v>
      </c>
      <c r="G2118" s="3">
        <f>VLOOKUP(B2118,airports!A:H,8,FALSE)</f>
        <v>-119.0567681</v>
      </c>
      <c r="H2118">
        <f t="shared" si="66"/>
        <v>2041.2</v>
      </c>
      <c r="I2118">
        <f t="shared" si="67"/>
        <v>1268.4000000000001</v>
      </c>
    </row>
    <row r="2119" spans="1:9" ht="30" x14ac:dyDescent="0.25">
      <c r="A2119" s="5" t="s">
        <v>49</v>
      </c>
      <c r="B2119" s="5" t="s">
        <v>233</v>
      </c>
      <c r="C2119" s="5" t="s">
        <v>2546</v>
      </c>
      <c r="D2119" s="3">
        <f>VLOOKUP(A2119,airports!A:H,7,FALSE)</f>
        <v>32.895950560000003</v>
      </c>
      <c r="E2119" s="3">
        <f>VLOOKUP(A2119,airports!A:H,8,FALSE)</f>
        <v>-97.037199999999999</v>
      </c>
      <c r="F2119" s="3">
        <f>VLOOKUP(B2119,airports!A:H,7,FALSE)</f>
        <v>44.807444439999998</v>
      </c>
      <c r="G2119" s="3">
        <f>VLOOKUP(B2119,airports!A:H,8,FALSE)</f>
        <v>-68.828138890000005</v>
      </c>
      <c r="H2119">
        <f t="shared" si="66"/>
        <v>2758.6</v>
      </c>
      <c r="I2119">
        <f t="shared" si="67"/>
        <v>1714.2</v>
      </c>
    </row>
    <row r="2120" spans="1:9" ht="30" x14ac:dyDescent="0.25">
      <c r="A2120" s="5" t="s">
        <v>49</v>
      </c>
      <c r="B2120" s="5" t="s">
        <v>425</v>
      </c>
      <c r="C2120" s="5" t="s">
        <v>2547</v>
      </c>
      <c r="D2120" s="3">
        <f>VLOOKUP(A2120,airports!A:H,7,FALSE)</f>
        <v>32.895950560000003</v>
      </c>
      <c r="E2120" s="3">
        <f>VLOOKUP(A2120,airports!A:H,8,FALSE)</f>
        <v>-97.037199999999999</v>
      </c>
      <c r="F2120" s="3">
        <f>VLOOKUP(B2120,airports!A:H,7,FALSE)</f>
        <v>33.562943060000002</v>
      </c>
      <c r="G2120" s="3">
        <f>VLOOKUP(B2120,airports!A:H,8,FALSE)</f>
        <v>-86.753549719999995</v>
      </c>
      <c r="H2120">
        <f t="shared" si="66"/>
        <v>959</v>
      </c>
      <c r="I2120">
        <f t="shared" si="67"/>
        <v>595.9</v>
      </c>
    </row>
    <row r="2121" spans="1:9" ht="30" x14ac:dyDescent="0.25">
      <c r="A2121" s="5" t="s">
        <v>49</v>
      </c>
      <c r="B2121" s="5" t="s">
        <v>836</v>
      </c>
      <c r="C2121" s="5" t="s">
        <v>2548</v>
      </c>
      <c r="D2121" s="3">
        <f>VLOOKUP(A2121,airports!A:H,7,FALSE)</f>
        <v>32.895950560000003</v>
      </c>
      <c r="E2121" s="3">
        <f>VLOOKUP(A2121,airports!A:H,8,FALSE)</f>
        <v>-97.037199999999999</v>
      </c>
      <c r="F2121" s="3">
        <f>VLOOKUP(B2121,airports!A:H,7,FALSE)</f>
        <v>45.807662499999999</v>
      </c>
      <c r="G2121" s="3">
        <f>VLOOKUP(B2121,airports!A:H,8,FALSE)</f>
        <v>-108.5428611</v>
      </c>
      <c r="H2121">
        <f t="shared" si="66"/>
        <v>1739.6</v>
      </c>
      <c r="I2121">
        <f t="shared" si="67"/>
        <v>1081</v>
      </c>
    </row>
    <row r="2122" spans="1:9" ht="30" x14ac:dyDescent="0.25">
      <c r="A2122" s="5" t="s">
        <v>49</v>
      </c>
      <c r="B2122" s="5" t="s">
        <v>838</v>
      </c>
      <c r="C2122" s="5" t="s">
        <v>2549</v>
      </c>
      <c r="D2122" s="3">
        <f>VLOOKUP(A2122,airports!A:H,7,FALSE)</f>
        <v>32.895950560000003</v>
      </c>
      <c r="E2122" s="3">
        <f>VLOOKUP(A2122,airports!A:H,8,FALSE)</f>
        <v>-97.037199999999999</v>
      </c>
      <c r="F2122" s="3">
        <f>VLOOKUP(B2122,airports!A:H,7,FALSE)</f>
        <v>46.77411111</v>
      </c>
      <c r="G2122" s="3">
        <f>VLOOKUP(B2122,airports!A:H,8,FALSE)</f>
        <v>-100.74672219999999</v>
      </c>
      <c r="H2122">
        <f t="shared" si="66"/>
        <v>1574.9</v>
      </c>
      <c r="I2122">
        <f t="shared" si="67"/>
        <v>978.6</v>
      </c>
    </row>
    <row r="2123" spans="1:9" ht="30" x14ac:dyDescent="0.25">
      <c r="A2123" s="5" t="s">
        <v>49</v>
      </c>
      <c r="B2123" s="5" t="s">
        <v>1054</v>
      </c>
      <c r="C2123" s="5" t="s">
        <v>2550</v>
      </c>
      <c r="D2123" s="3">
        <f>VLOOKUP(A2123,airports!A:H,7,FALSE)</f>
        <v>32.895950560000003</v>
      </c>
      <c r="E2123" s="3">
        <f>VLOOKUP(A2123,airports!A:H,8,FALSE)</f>
        <v>-97.037199999999999</v>
      </c>
      <c r="F2123" s="3">
        <f>VLOOKUP(B2123,airports!A:H,7,FALSE)</f>
        <v>36.532082000000003</v>
      </c>
      <c r="G2123" s="3">
        <f>VLOOKUP(B2123,airports!A:H,8,FALSE)</f>
        <v>-93.200543999999994</v>
      </c>
      <c r="H2123">
        <f t="shared" si="66"/>
        <v>535.1</v>
      </c>
      <c r="I2123">
        <f t="shared" si="67"/>
        <v>332.5</v>
      </c>
    </row>
    <row r="2124" spans="1:9" ht="30" x14ac:dyDescent="0.25">
      <c r="A2124" s="5" t="s">
        <v>49</v>
      </c>
      <c r="B2124" s="5" t="s">
        <v>427</v>
      </c>
      <c r="C2124" s="5" t="s">
        <v>2551</v>
      </c>
      <c r="D2124" s="3">
        <f>VLOOKUP(A2124,airports!A:H,7,FALSE)</f>
        <v>32.895950560000003</v>
      </c>
      <c r="E2124" s="3">
        <f>VLOOKUP(A2124,airports!A:H,8,FALSE)</f>
        <v>-97.037199999999999</v>
      </c>
      <c r="F2124" s="3">
        <f>VLOOKUP(B2124,airports!A:H,7,FALSE)</f>
        <v>40.47798556</v>
      </c>
      <c r="G2124" s="3">
        <f>VLOOKUP(B2124,airports!A:H,8,FALSE)</f>
        <v>-88.915952779999998</v>
      </c>
      <c r="H2124">
        <f t="shared" si="66"/>
        <v>1110.3</v>
      </c>
      <c r="I2124">
        <f t="shared" si="67"/>
        <v>690</v>
      </c>
    </row>
    <row r="2125" spans="1:9" ht="30" x14ac:dyDescent="0.25">
      <c r="A2125" s="5" t="s">
        <v>49</v>
      </c>
      <c r="B2125" s="5" t="s">
        <v>19</v>
      </c>
      <c r="C2125" s="5" t="s">
        <v>2552</v>
      </c>
      <c r="D2125" s="3">
        <f>VLOOKUP(A2125,airports!A:H,7,FALSE)</f>
        <v>32.895950560000003</v>
      </c>
      <c r="E2125" s="3">
        <f>VLOOKUP(A2125,airports!A:H,8,FALSE)</f>
        <v>-97.037199999999999</v>
      </c>
      <c r="F2125" s="3">
        <f>VLOOKUP(B2125,airports!A:H,7,FALSE)</f>
        <v>36.12447667</v>
      </c>
      <c r="G2125" s="3">
        <f>VLOOKUP(B2125,airports!A:H,8,FALSE)</f>
        <v>-86.678182219999997</v>
      </c>
      <c r="H2125">
        <f t="shared" si="66"/>
        <v>1014.1</v>
      </c>
      <c r="I2125">
        <f t="shared" si="67"/>
        <v>630.20000000000005</v>
      </c>
    </row>
    <row r="2126" spans="1:9" ht="30" x14ac:dyDescent="0.25">
      <c r="A2126" s="5" t="s">
        <v>49</v>
      </c>
      <c r="B2126" s="5" t="s">
        <v>22</v>
      </c>
      <c r="C2126" s="5" t="s">
        <v>2553</v>
      </c>
      <c r="D2126" s="3">
        <f>VLOOKUP(A2126,airports!A:H,7,FALSE)</f>
        <v>32.895950560000003</v>
      </c>
      <c r="E2126" s="3">
        <f>VLOOKUP(A2126,airports!A:H,8,FALSE)</f>
        <v>-97.037199999999999</v>
      </c>
      <c r="F2126" s="3">
        <f>VLOOKUP(B2126,airports!A:H,7,FALSE)</f>
        <v>43.564444440000003</v>
      </c>
      <c r="G2126" s="3">
        <f>VLOOKUP(B2126,airports!A:H,8,FALSE)</f>
        <v>-116.2227778</v>
      </c>
      <c r="H2126">
        <f t="shared" si="66"/>
        <v>2045</v>
      </c>
      <c r="I2126">
        <f t="shared" si="67"/>
        <v>1270.8</v>
      </c>
    </row>
    <row r="2127" spans="1:9" ht="30" x14ac:dyDescent="0.25">
      <c r="A2127" s="5" t="s">
        <v>49</v>
      </c>
      <c r="B2127" s="5" t="s">
        <v>24</v>
      </c>
      <c r="C2127" s="5" t="s">
        <v>2554</v>
      </c>
      <c r="D2127" s="3">
        <f>VLOOKUP(A2127,airports!A:H,7,FALSE)</f>
        <v>32.895950560000003</v>
      </c>
      <c r="E2127" s="3">
        <f>VLOOKUP(A2127,airports!A:H,8,FALSE)</f>
        <v>-97.037199999999999</v>
      </c>
      <c r="F2127" s="3">
        <f>VLOOKUP(B2127,airports!A:H,7,FALSE)</f>
        <v>42.364347500000001</v>
      </c>
      <c r="G2127" s="3">
        <f>VLOOKUP(B2127,airports!A:H,8,FALSE)</f>
        <v>-71.005179170000005</v>
      </c>
      <c r="H2127">
        <f t="shared" si="66"/>
        <v>2509.3000000000002</v>
      </c>
      <c r="I2127">
        <f t="shared" si="67"/>
        <v>1559.3</v>
      </c>
    </row>
    <row r="2128" spans="1:9" ht="30" x14ac:dyDescent="0.25">
      <c r="A2128" s="5" t="s">
        <v>49</v>
      </c>
      <c r="B2128" s="5" t="s">
        <v>1317</v>
      </c>
      <c r="C2128" s="5" t="s">
        <v>2555</v>
      </c>
      <c r="D2128" s="3">
        <f>VLOOKUP(A2128,airports!A:H,7,FALSE)</f>
        <v>32.895950560000003</v>
      </c>
      <c r="E2128" s="3">
        <f>VLOOKUP(A2128,airports!A:H,8,FALSE)</f>
        <v>-97.037199999999999</v>
      </c>
      <c r="F2128" s="3">
        <f>VLOOKUP(B2128,airports!A:H,7,FALSE)</f>
        <v>29.950833329999998</v>
      </c>
      <c r="G2128" s="3">
        <f>VLOOKUP(B2128,airports!A:H,8,FALSE)</f>
        <v>-94.02069444</v>
      </c>
      <c r="H2128">
        <f t="shared" si="66"/>
        <v>434.9</v>
      </c>
      <c r="I2128">
        <f t="shared" si="67"/>
        <v>270.2</v>
      </c>
    </row>
    <row r="2129" spans="1:9" ht="30" x14ac:dyDescent="0.25">
      <c r="A2129" s="5" t="s">
        <v>49</v>
      </c>
      <c r="B2129" s="5" t="s">
        <v>1327</v>
      </c>
      <c r="C2129" s="5" t="s">
        <v>2556</v>
      </c>
      <c r="D2129" s="3">
        <f>VLOOKUP(A2129,airports!A:H,7,FALSE)</f>
        <v>32.895950560000003</v>
      </c>
      <c r="E2129" s="3">
        <f>VLOOKUP(A2129,airports!A:H,8,FALSE)</f>
        <v>-97.037199999999999</v>
      </c>
      <c r="F2129" s="3">
        <f>VLOOKUP(B2129,airports!A:H,7,FALSE)</f>
        <v>25.906833330000001</v>
      </c>
      <c r="G2129" s="3">
        <f>VLOOKUP(B2129,airports!A:H,8,FALSE)</f>
        <v>-97.42586111</v>
      </c>
      <c r="H2129">
        <f t="shared" si="66"/>
        <v>778.1</v>
      </c>
      <c r="I2129">
        <f t="shared" si="67"/>
        <v>483.5</v>
      </c>
    </row>
    <row r="2130" spans="1:9" ht="30" x14ac:dyDescent="0.25">
      <c r="A2130" s="5" t="s">
        <v>49</v>
      </c>
      <c r="B2130" s="5" t="s">
        <v>434</v>
      </c>
      <c r="C2130" s="5" t="s">
        <v>2557</v>
      </c>
      <c r="D2130" s="3">
        <f>VLOOKUP(A2130,airports!A:H,7,FALSE)</f>
        <v>32.895950560000003</v>
      </c>
      <c r="E2130" s="3">
        <f>VLOOKUP(A2130,airports!A:H,8,FALSE)</f>
        <v>-97.037199999999999</v>
      </c>
      <c r="F2130" s="3">
        <f>VLOOKUP(B2130,airports!A:H,7,FALSE)</f>
        <v>30.53316083</v>
      </c>
      <c r="G2130" s="3">
        <f>VLOOKUP(B2130,airports!A:H,8,FALSE)</f>
        <v>-91.14963444</v>
      </c>
      <c r="H2130">
        <f t="shared" si="66"/>
        <v>615.6</v>
      </c>
      <c r="I2130">
        <f t="shared" si="67"/>
        <v>382.6</v>
      </c>
    </row>
    <row r="2131" spans="1:9" ht="30" x14ac:dyDescent="0.25">
      <c r="A2131" s="5" t="s">
        <v>49</v>
      </c>
      <c r="B2131" s="5" t="s">
        <v>27</v>
      </c>
      <c r="C2131" s="5" t="s">
        <v>2558</v>
      </c>
      <c r="D2131" s="3">
        <f>VLOOKUP(A2131,airports!A:H,7,FALSE)</f>
        <v>32.895950560000003</v>
      </c>
      <c r="E2131" s="3">
        <f>VLOOKUP(A2131,airports!A:H,8,FALSE)</f>
        <v>-97.037199999999999</v>
      </c>
      <c r="F2131" s="3">
        <f>VLOOKUP(B2131,airports!A:H,7,FALSE)</f>
        <v>44.473003609999999</v>
      </c>
      <c r="G2131" s="3">
        <f>VLOOKUP(B2131,airports!A:H,8,FALSE)</f>
        <v>-73.150312499999998</v>
      </c>
      <c r="H2131">
        <f t="shared" si="66"/>
        <v>2426.6</v>
      </c>
      <c r="I2131">
        <f t="shared" si="67"/>
        <v>1507.9</v>
      </c>
    </row>
    <row r="2132" spans="1:9" ht="30" x14ac:dyDescent="0.25">
      <c r="A2132" s="5" t="s">
        <v>49</v>
      </c>
      <c r="B2132" s="5" t="s">
        <v>29</v>
      </c>
      <c r="C2132" s="5" t="s">
        <v>2559</v>
      </c>
      <c r="D2132" s="3">
        <f>VLOOKUP(A2132,airports!A:H,7,FALSE)</f>
        <v>32.895950560000003</v>
      </c>
      <c r="E2132" s="3">
        <f>VLOOKUP(A2132,airports!A:H,8,FALSE)</f>
        <v>-97.037199999999999</v>
      </c>
      <c r="F2132" s="3">
        <f>VLOOKUP(B2132,airports!A:H,7,FALSE)</f>
        <v>42.940524719999999</v>
      </c>
      <c r="G2132" s="3">
        <f>VLOOKUP(B2132,airports!A:H,8,FALSE)</f>
        <v>-78.732166669999998</v>
      </c>
      <c r="H2132">
        <f t="shared" si="66"/>
        <v>1949.1</v>
      </c>
      <c r="I2132">
        <f t="shared" si="67"/>
        <v>1211.2</v>
      </c>
    </row>
    <row r="2133" spans="1:9" ht="30" x14ac:dyDescent="0.25">
      <c r="A2133" s="5" t="s">
        <v>49</v>
      </c>
      <c r="B2133" s="5" t="s">
        <v>30</v>
      </c>
      <c r="C2133" s="5" t="s">
        <v>2560</v>
      </c>
      <c r="D2133" s="3">
        <f>VLOOKUP(A2133,airports!A:H,7,FALSE)</f>
        <v>32.895950560000003</v>
      </c>
      <c r="E2133" s="3">
        <f>VLOOKUP(A2133,airports!A:H,8,FALSE)</f>
        <v>-97.037199999999999</v>
      </c>
      <c r="F2133" s="3">
        <f>VLOOKUP(B2133,airports!A:H,7,FALSE)</f>
        <v>34.200619170000003</v>
      </c>
      <c r="G2133" s="3">
        <f>VLOOKUP(B2133,airports!A:H,8,FALSE)</f>
        <v>-118.35849690000001</v>
      </c>
      <c r="H2133">
        <f t="shared" si="66"/>
        <v>1977.6</v>
      </c>
      <c r="I2133">
        <f t="shared" si="67"/>
        <v>1228.9000000000001</v>
      </c>
    </row>
    <row r="2134" spans="1:9" ht="30" x14ac:dyDescent="0.25">
      <c r="A2134" s="5" t="s">
        <v>49</v>
      </c>
      <c r="B2134" s="5" t="s">
        <v>32</v>
      </c>
      <c r="C2134" s="5" t="s">
        <v>2561</v>
      </c>
      <c r="D2134" s="3">
        <f>VLOOKUP(A2134,airports!A:H,7,FALSE)</f>
        <v>32.895950560000003</v>
      </c>
      <c r="E2134" s="3">
        <f>VLOOKUP(A2134,airports!A:H,8,FALSE)</f>
        <v>-97.037199999999999</v>
      </c>
      <c r="F2134" s="3">
        <f>VLOOKUP(B2134,airports!A:H,7,FALSE)</f>
        <v>39.175401669999999</v>
      </c>
      <c r="G2134" s="3">
        <f>VLOOKUP(B2134,airports!A:H,8,FALSE)</f>
        <v>-76.668198329999996</v>
      </c>
      <c r="H2134">
        <f t="shared" si="66"/>
        <v>1954.8</v>
      </c>
      <c r="I2134">
        <f t="shared" si="67"/>
        <v>1214.7</v>
      </c>
    </row>
    <row r="2135" spans="1:9" ht="30" x14ac:dyDescent="0.25">
      <c r="A2135" s="5" t="s">
        <v>49</v>
      </c>
      <c r="B2135" s="5" t="s">
        <v>34</v>
      </c>
      <c r="C2135" s="5" t="s">
        <v>2562</v>
      </c>
      <c r="D2135" s="3">
        <f>VLOOKUP(A2135,airports!A:H,7,FALSE)</f>
        <v>32.895950560000003</v>
      </c>
      <c r="E2135" s="3">
        <f>VLOOKUP(A2135,airports!A:H,8,FALSE)</f>
        <v>-97.037199999999999</v>
      </c>
      <c r="F2135" s="3">
        <f>VLOOKUP(B2135,airports!A:H,7,FALSE)</f>
        <v>45.776901389999999</v>
      </c>
      <c r="G2135" s="3">
        <f>VLOOKUP(B2135,airports!A:H,8,FALSE)</f>
        <v>-111.1530072</v>
      </c>
      <c r="H2135">
        <f t="shared" si="66"/>
        <v>1871.8</v>
      </c>
      <c r="I2135">
        <f t="shared" si="67"/>
        <v>1163.0999999999999</v>
      </c>
    </row>
    <row r="2136" spans="1:9" ht="30" x14ac:dyDescent="0.25">
      <c r="A2136" s="5" t="s">
        <v>49</v>
      </c>
      <c r="B2136" s="5" t="s">
        <v>441</v>
      </c>
      <c r="C2136" s="5" t="s">
        <v>2563</v>
      </c>
      <c r="D2136" s="3">
        <f>VLOOKUP(A2136,airports!A:H,7,FALSE)</f>
        <v>32.895950560000003</v>
      </c>
      <c r="E2136" s="3">
        <f>VLOOKUP(A2136,airports!A:H,8,FALSE)</f>
        <v>-97.037199999999999</v>
      </c>
      <c r="F2136" s="3">
        <f>VLOOKUP(B2136,airports!A:H,7,FALSE)</f>
        <v>33.938839999999999</v>
      </c>
      <c r="G2136" s="3">
        <f>VLOOKUP(B2136,airports!A:H,8,FALSE)</f>
        <v>-81.119539439999997</v>
      </c>
      <c r="H2136">
        <f t="shared" si="66"/>
        <v>1480.4</v>
      </c>
      <c r="I2136">
        <f t="shared" si="67"/>
        <v>919.9</v>
      </c>
    </row>
    <row r="2137" spans="1:9" ht="30" x14ac:dyDescent="0.25">
      <c r="A2137" s="5" t="s">
        <v>49</v>
      </c>
      <c r="B2137" s="5" t="s">
        <v>445</v>
      </c>
      <c r="C2137" s="5" t="s">
        <v>2564</v>
      </c>
      <c r="D2137" s="3">
        <f>VLOOKUP(A2137,airports!A:H,7,FALSE)</f>
        <v>32.895950560000003</v>
      </c>
      <c r="E2137" s="3">
        <f>VLOOKUP(A2137,airports!A:H,8,FALSE)</f>
        <v>-97.037199999999999</v>
      </c>
      <c r="F2137" s="3">
        <f>VLOOKUP(B2137,airports!A:H,7,FALSE)</f>
        <v>35.035268330000001</v>
      </c>
      <c r="G2137" s="3">
        <f>VLOOKUP(B2137,airports!A:H,8,FALSE)</f>
        <v>-85.203787779999999</v>
      </c>
      <c r="H2137">
        <f t="shared" si="66"/>
        <v>1116.2</v>
      </c>
      <c r="I2137">
        <f t="shared" si="67"/>
        <v>693.6</v>
      </c>
    </row>
    <row r="2138" spans="1:9" ht="30" x14ac:dyDescent="0.25">
      <c r="A2138" s="5" t="s">
        <v>49</v>
      </c>
      <c r="B2138" s="5" t="s">
        <v>36</v>
      </c>
      <c r="C2138" s="5" t="s">
        <v>2565</v>
      </c>
      <c r="D2138" s="3">
        <f>VLOOKUP(A2138,airports!A:H,7,FALSE)</f>
        <v>32.895950560000003</v>
      </c>
      <c r="E2138" s="3">
        <f>VLOOKUP(A2138,airports!A:H,8,FALSE)</f>
        <v>-97.037199999999999</v>
      </c>
      <c r="F2138" s="3">
        <f>VLOOKUP(B2138,airports!A:H,7,FALSE)</f>
        <v>32.898646390000003</v>
      </c>
      <c r="G2138" s="3">
        <f>VLOOKUP(B2138,airports!A:H,8,FALSE)</f>
        <v>-80.040505830000001</v>
      </c>
      <c r="H2138">
        <f t="shared" si="66"/>
        <v>1585.2</v>
      </c>
      <c r="I2138">
        <f t="shared" si="67"/>
        <v>985</v>
      </c>
    </row>
    <row r="2139" spans="1:9" ht="30" x14ac:dyDescent="0.25">
      <c r="A2139" s="5" t="s">
        <v>49</v>
      </c>
      <c r="B2139" s="5" t="s">
        <v>450</v>
      </c>
      <c r="C2139" s="5" t="s">
        <v>2566</v>
      </c>
      <c r="D2139" s="3">
        <f>VLOOKUP(A2139,airports!A:H,7,FALSE)</f>
        <v>32.895950560000003</v>
      </c>
      <c r="E2139" s="3">
        <f>VLOOKUP(A2139,airports!A:H,8,FALSE)</f>
        <v>-97.037199999999999</v>
      </c>
      <c r="F2139" s="3">
        <f>VLOOKUP(B2139,airports!A:H,7,FALSE)</f>
        <v>41.88458833</v>
      </c>
      <c r="G2139" s="3">
        <f>VLOOKUP(B2139,airports!A:H,8,FALSE)</f>
        <v>-91.710872219999999</v>
      </c>
      <c r="H2139">
        <f t="shared" si="66"/>
        <v>1104.0999999999999</v>
      </c>
      <c r="I2139">
        <f t="shared" si="67"/>
        <v>686.1</v>
      </c>
    </row>
    <row r="2140" spans="1:9" ht="30" x14ac:dyDescent="0.25">
      <c r="A2140" s="5" t="s">
        <v>49</v>
      </c>
      <c r="B2140" s="5" t="s">
        <v>38</v>
      </c>
      <c r="C2140" s="5" t="s">
        <v>2567</v>
      </c>
      <c r="D2140" s="3">
        <f>VLOOKUP(A2140,airports!A:H,7,FALSE)</f>
        <v>32.895950560000003</v>
      </c>
      <c r="E2140" s="3">
        <f>VLOOKUP(A2140,airports!A:H,8,FALSE)</f>
        <v>-97.037199999999999</v>
      </c>
      <c r="F2140" s="3">
        <f>VLOOKUP(B2140,airports!A:H,7,FALSE)</f>
        <v>41.410894169999999</v>
      </c>
      <c r="G2140" s="3">
        <f>VLOOKUP(B2140,airports!A:H,8,FALSE)</f>
        <v>-81.849396670000004</v>
      </c>
      <c r="H2140">
        <f t="shared" si="66"/>
        <v>1641.7</v>
      </c>
      <c r="I2140">
        <f t="shared" si="67"/>
        <v>1020.2</v>
      </c>
    </row>
    <row r="2141" spans="1:9" ht="30" x14ac:dyDescent="0.25">
      <c r="A2141" s="5" t="s">
        <v>49</v>
      </c>
      <c r="B2141" s="5" t="s">
        <v>997</v>
      </c>
      <c r="C2141" s="5" t="s">
        <v>2568</v>
      </c>
      <c r="D2141" s="3">
        <f>VLOOKUP(A2141,airports!A:H,7,FALSE)</f>
        <v>32.895950560000003</v>
      </c>
      <c r="E2141" s="3">
        <f>VLOOKUP(A2141,airports!A:H,8,FALSE)</f>
        <v>-97.037199999999999</v>
      </c>
      <c r="F2141" s="3">
        <f>VLOOKUP(B2141,airports!A:H,7,FALSE)</f>
        <v>30.58858944</v>
      </c>
      <c r="G2141" s="3">
        <f>VLOOKUP(B2141,airports!A:H,8,FALSE)</f>
        <v>-96.363824170000001</v>
      </c>
      <c r="H2141">
        <f t="shared" si="66"/>
        <v>264.3</v>
      </c>
      <c r="I2141">
        <f t="shared" si="67"/>
        <v>164.3</v>
      </c>
    </row>
    <row r="2142" spans="1:9" ht="30" x14ac:dyDescent="0.25">
      <c r="A2142" s="5" t="s">
        <v>49</v>
      </c>
      <c r="B2142" s="5" t="s">
        <v>40</v>
      </c>
      <c r="C2142" s="5" t="s">
        <v>2569</v>
      </c>
      <c r="D2142" s="3">
        <f>VLOOKUP(A2142,airports!A:H,7,FALSE)</f>
        <v>32.895950560000003</v>
      </c>
      <c r="E2142" s="3">
        <f>VLOOKUP(A2142,airports!A:H,8,FALSE)</f>
        <v>-97.037199999999999</v>
      </c>
      <c r="F2142" s="3">
        <f>VLOOKUP(B2142,airports!A:H,7,FALSE)</f>
        <v>35.214011110000001</v>
      </c>
      <c r="G2142" s="3">
        <f>VLOOKUP(B2142,airports!A:H,8,FALSE)</f>
        <v>-80.94312583</v>
      </c>
      <c r="H2142">
        <f t="shared" si="66"/>
        <v>1503.2</v>
      </c>
      <c r="I2142">
        <f t="shared" si="67"/>
        <v>934.1</v>
      </c>
    </row>
    <row r="2143" spans="1:9" ht="30" x14ac:dyDescent="0.25">
      <c r="A2143" s="5" t="s">
        <v>49</v>
      </c>
      <c r="B2143" s="5" t="s">
        <v>454</v>
      </c>
      <c r="C2143" s="5" t="s">
        <v>2570</v>
      </c>
      <c r="D2143" s="3">
        <f>VLOOKUP(A2143,airports!A:H,7,FALSE)</f>
        <v>32.895950560000003</v>
      </c>
      <c r="E2143" s="3">
        <f>VLOOKUP(A2143,airports!A:H,8,FALSE)</f>
        <v>-97.037199999999999</v>
      </c>
      <c r="F2143" s="3">
        <f>VLOOKUP(B2143,airports!A:H,7,FALSE)</f>
        <v>39.997985280000002</v>
      </c>
      <c r="G2143" s="3">
        <f>VLOOKUP(B2143,airports!A:H,8,FALSE)</f>
        <v>-82.891882780000003</v>
      </c>
      <c r="H2143">
        <f t="shared" si="66"/>
        <v>1488.7</v>
      </c>
      <c r="I2143">
        <f t="shared" si="67"/>
        <v>925.1</v>
      </c>
    </row>
    <row r="2144" spans="1:9" ht="30" x14ac:dyDescent="0.25">
      <c r="A2144" s="5" t="s">
        <v>49</v>
      </c>
      <c r="B2144" s="5" t="s">
        <v>1754</v>
      </c>
      <c r="C2144" s="5" t="s">
        <v>2571</v>
      </c>
      <c r="D2144" s="3">
        <f>VLOOKUP(A2144,airports!A:H,7,FALSE)</f>
        <v>32.895950560000003</v>
      </c>
      <c r="E2144" s="3">
        <f>VLOOKUP(A2144,airports!A:H,8,FALSE)</f>
        <v>-97.037199999999999</v>
      </c>
      <c r="F2144" s="3">
        <f>VLOOKUP(B2144,airports!A:H,7,FALSE)</f>
        <v>40.039250000000003</v>
      </c>
      <c r="G2144" s="3">
        <f>VLOOKUP(B2144,airports!A:H,8,FALSE)</f>
        <v>-88.278055559999999</v>
      </c>
      <c r="H2144">
        <f t="shared" si="66"/>
        <v>1114.4000000000001</v>
      </c>
      <c r="I2144">
        <f t="shared" si="67"/>
        <v>692.5</v>
      </c>
    </row>
    <row r="2145" spans="1:9" ht="30" x14ac:dyDescent="0.25">
      <c r="A2145" s="5" t="s">
        <v>49</v>
      </c>
      <c r="B2145" s="5" t="s">
        <v>456</v>
      </c>
      <c r="C2145" s="5" t="s">
        <v>2572</v>
      </c>
      <c r="D2145" s="3">
        <f>VLOOKUP(A2145,airports!A:H,7,FALSE)</f>
        <v>32.895950560000003</v>
      </c>
      <c r="E2145" s="3">
        <f>VLOOKUP(A2145,airports!A:H,8,FALSE)</f>
        <v>-97.037199999999999</v>
      </c>
      <c r="F2145" s="3">
        <f>VLOOKUP(B2145,airports!A:H,7,FALSE)</f>
        <v>38.805805560000003</v>
      </c>
      <c r="G2145" s="3">
        <f>VLOOKUP(B2145,airports!A:H,8,FALSE)</f>
        <v>-104.70025</v>
      </c>
      <c r="H2145">
        <f t="shared" si="66"/>
        <v>952.6</v>
      </c>
      <c r="I2145">
        <f t="shared" si="67"/>
        <v>592</v>
      </c>
    </row>
    <row r="2146" spans="1:9" ht="30" x14ac:dyDescent="0.25">
      <c r="A2146" s="5" t="s">
        <v>49</v>
      </c>
      <c r="B2146" s="5" t="s">
        <v>1977</v>
      </c>
      <c r="C2146" s="5" t="s">
        <v>2573</v>
      </c>
      <c r="D2146" s="3">
        <f>VLOOKUP(A2146,airports!A:H,7,FALSE)</f>
        <v>32.895950560000003</v>
      </c>
      <c r="E2146" s="3">
        <f>VLOOKUP(A2146,airports!A:H,8,FALSE)</f>
        <v>-97.037199999999999</v>
      </c>
      <c r="F2146" s="3">
        <f>VLOOKUP(B2146,airports!A:H,7,FALSE)</f>
        <v>38.818093060000002</v>
      </c>
      <c r="G2146" s="3">
        <f>VLOOKUP(B2146,airports!A:H,8,FALSE)</f>
        <v>-92.219629170000005</v>
      </c>
      <c r="H2146">
        <f t="shared" si="66"/>
        <v>788.5</v>
      </c>
      <c r="I2146">
        <f t="shared" si="67"/>
        <v>490</v>
      </c>
    </row>
    <row r="2147" spans="1:9" ht="30" x14ac:dyDescent="0.25">
      <c r="A2147" s="5" t="s">
        <v>49</v>
      </c>
      <c r="B2147" s="5" t="s">
        <v>1987</v>
      </c>
      <c r="C2147" s="5" t="s">
        <v>2574</v>
      </c>
      <c r="D2147" s="3">
        <f>VLOOKUP(A2147,airports!A:H,7,FALSE)</f>
        <v>32.895950560000003</v>
      </c>
      <c r="E2147" s="3">
        <f>VLOOKUP(A2147,airports!A:H,8,FALSE)</f>
        <v>-97.037199999999999</v>
      </c>
      <c r="F2147" s="3">
        <f>VLOOKUP(B2147,airports!A:H,7,FALSE)</f>
        <v>27.770360830000001</v>
      </c>
      <c r="G2147" s="3">
        <f>VLOOKUP(B2147,airports!A:H,8,FALSE)</f>
        <v>-97.501215279999997</v>
      </c>
      <c r="H2147">
        <f t="shared" si="66"/>
        <v>571.70000000000005</v>
      </c>
      <c r="I2147">
        <f t="shared" si="67"/>
        <v>355.2</v>
      </c>
    </row>
    <row r="2148" spans="1:9" ht="30" x14ac:dyDescent="0.25">
      <c r="A2148" s="5" t="s">
        <v>49</v>
      </c>
      <c r="B2148" s="5" t="s">
        <v>460</v>
      </c>
      <c r="C2148" s="5" t="s">
        <v>2575</v>
      </c>
      <c r="D2148" s="3">
        <f>VLOOKUP(A2148,airports!A:H,7,FALSE)</f>
        <v>32.895950560000003</v>
      </c>
      <c r="E2148" s="3">
        <f>VLOOKUP(A2148,airports!A:H,8,FALSE)</f>
        <v>-97.037199999999999</v>
      </c>
      <c r="F2148" s="3">
        <f>VLOOKUP(B2148,airports!A:H,7,FALSE)</f>
        <v>32.516333330000002</v>
      </c>
      <c r="G2148" s="3">
        <f>VLOOKUP(B2148,airports!A:H,8,FALSE)</f>
        <v>-84.938861110000005</v>
      </c>
      <c r="H2148">
        <f t="shared" si="66"/>
        <v>1132.2</v>
      </c>
      <c r="I2148">
        <f t="shared" si="67"/>
        <v>703.5</v>
      </c>
    </row>
    <row r="2149" spans="1:9" ht="30" x14ac:dyDescent="0.25">
      <c r="A2149" s="5" t="s">
        <v>49</v>
      </c>
      <c r="B2149" s="5" t="s">
        <v>462</v>
      </c>
      <c r="C2149" s="5" t="s">
        <v>2576</v>
      </c>
      <c r="D2149" s="3">
        <f>VLOOKUP(A2149,airports!A:H,7,FALSE)</f>
        <v>32.895950560000003</v>
      </c>
      <c r="E2149" s="3">
        <f>VLOOKUP(A2149,airports!A:H,8,FALSE)</f>
        <v>-97.037199999999999</v>
      </c>
      <c r="F2149" s="3">
        <f>VLOOKUP(B2149,airports!A:H,7,FALSE)</f>
        <v>39.046142779999997</v>
      </c>
      <c r="G2149" s="3">
        <f>VLOOKUP(B2149,airports!A:H,8,FALSE)</f>
        <v>-84.662172499999997</v>
      </c>
      <c r="H2149">
        <f t="shared" si="66"/>
        <v>1305</v>
      </c>
      <c r="I2149">
        <f t="shared" si="67"/>
        <v>811</v>
      </c>
    </row>
    <row r="2150" spans="1:9" ht="30" x14ac:dyDescent="0.25">
      <c r="A2150" s="5" t="s">
        <v>49</v>
      </c>
      <c r="B2150" s="5" t="s">
        <v>2076</v>
      </c>
      <c r="C2150" s="5" t="s">
        <v>2577</v>
      </c>
      <c r="D2150" s="3">
        <f>VLOOKUP(A2150,airports!A:H,7,FALSE)</f>
        <v>32.895950560000003</v>
      </c>
      <c r="E2150" s="3">
        <f>VLOOKUP(A2150,airports!A:H,8,FALSE)</f>
        <v>-97.037199999999999</v>
      </c>
      <c r="F2150" s="3">
        <f>VLOOKUP(B2150,airports!A:H,7,FALSE)</f>
        <v>41.155722500000003</v>
      </c>
      <c r="G2150" s="3">
        <f>VLOOKUP(B2150,airports!A:H,8,FALSE)</f>
        <v>-104.8118381</v>
      </c>
      <c r="H2150">
        <f t="shared" si="66"/>
        <v>1147.8</v>
      </c>
      <c r="I2150">
        <f t="shared" si="67"/>
        <v>713.2</v>
      </c>
    </row>
    <row r="2151" spans="1:9" ht="30" x14ac:dyDescent="0.25">
      <c r="A2151" s="5" t="s">
        <v>49</v>
      </c>
      <c r="B2151" s="5" t="s">
        <v>464</v>
      </c>
      <c r="C2151" s="5" t="s">
        <v>2578</v>
      </c>
      <c r="D2151" s="3">
        <f>VLOOKUP(A2151,airports!A:H,7,FALSE)</f>
        <v>32.895950560000003</v>
      </c>
      <c r="E2151" s="3">
        <f>VLOOKUP(A2151,airports!A:H,8,FALSE)</f>
        <v>-97.037199999999999</v>
      </c>
      <c r="F2151" s="3">
        <f>VLOOKUP(B2151,airports!A:H,7,FALSE)</f>
        <v>29.179916670000001</v>
      </c>
      <c r="G2151" s="3">
        <f>VLOOKUP(B2151,airports!A:H,8,FALSE)</f>
        <v>-81.05805556</v>
      </c>
      <c r="H2151">
        <f t="shared" si="66"/>
        <v>1575.7</v>
      </c>
      <c r="I2151">
        <f t="shared" si="67"/>
        <v>979.1</v>
      </c>
    </row>
    <row r="2152" spans="1:9" ht="30" x14ac:dyDescent="0.25">
      <c r="A2152" s="5" t="s">
        <v>49</v>
      </c>
      <c r="B2152" s="5" t="s">
        <v>467</v>
      </c>
      <c r="C2152" s="5" t="s">
        <v>2579</v>
      </c>
      <c r="D2152" s="3">
        <f>VLOOKUP(A2152,airports!A:H,7,FALSE)</f>
        <v>32.895950560000003</v>
      </c>
      <c r="E2152" s="3">
        <f>VLOOKUP(A2152,airports!A:H,8,FALSE)</f>
        <v>-97.037199999999999</v>
      </c>
      <c r="F2152" s="3">
        <f>VLOOKUP(B2152,airports!A:H,7,FALSE)</f>
        <v>39.902375829999997</v>
      </c>
      <c r="G2152" s="3">
        <f>VLOOKUP(B2152,airports!A:H,8,FALSE)</f>
        <v>-84.219374999999999</v>
      </c>
      <c r="H2152">
        <f t="shared" si="66"/>
        <v>1384.5</v>
      </c>
      <c r="I2152">
        <f t="shared" si="67"/>
        <v>860.3</v>
      </c>
    </row>
    <row r="2153" spans="1:9" ht="30" x14ac:dyDescent="0.25">
      <c r="A2153" s="5" t="s">
        <v>49</v>
      </c>
      <c r="B2153" s="5" t="s">
        <v>45</v>
      </c>
      <c r="C2153" s="5" t="s">
        <v>2580</v>
      </c>
      <c r="D2153" s="3">
        <f>VLOOKUP(A2153,airports!A:H,7,FALSE)</f>
        <v>32.895950560000003</v>
      </c>
      <c r="E2153" s="3">
        <f>VLOOKUP(A2153,airports!A:H,8,FALSE)</f>
        <v>-97.037199999999999</v>
      </c>
      <c r="F2153" s="3">
        <f>VLOOKUP(B2153,airports!A:H,7,FALSE)</f>
        <v>38.852083329999999</v>
      </c>
      <c r="G2153" s="3">
        <f>VLOOKUP(B2153,airports!A:H,8,FALSE)</f>
        <v>-77.037722220000006</v>
      </c>
      <c r="H2153">
        <f t="shared" si="66"/>
        <v>1914.9</v>
      </c>
      <c r="I2153">
        <f t="shared" si="67"/>
        <v>1189.9000000000001</v>
      </c>
    </row>
    <row r="2154" spans="1:9" ht="30" x14ac:dyDescent="0.25">
      <c r="A2154" s="5" t="s">
        <v>49</v>
      </c>
      <c r="B2154" s="5" t="s">
        <v>47</v>
      </c>
      <c r="C2154" s="5" t="s">
        <v>2581</v>
      </c>
      <c r="D2154" s="3">
        <f>VLOOKUP(A2154,airports!A:H,7,FALSE)</f>
        <v>32.895950560000003</v>
      </c>
      <c r="E2154" s="3">
        <f>VLOOKUP(A2154,airports!A:H,8,FALSE)</f>
        <v>-97.037199999999999</v>
      </c>
      <c r="F2154" s="3">
        <f>VLOOKUP(B2154,airports!A:H,7,FALSE)</f>
        <v>39.858408060000002</v>
      </c>
      <c r="G2154" s="3">
        <f>VLOOKUP(B2154,airports!A:H,8,FALSE)</f>
        <v>-104.6670019</v>
      </c>
      <c r="H2154">
        <f t="shared" si="66"/>
        <v>1031.5999999999999</v>
      </c>
      <c r="I2154">
        <f t="shared" si="67"/>
        <v>641</v>
      </c>
    </row>
    <row r="2155" spans="1:9" ht="30" x14ac:dyDescent="0.25">
      <c r="A2155" s="5" t="s">
        <v>49</v>
      </c>
      <c r="B2155" s="5" t="s">
        <v>2350</v>
      </c>
      <c r="C2155" s="5" t="s">
        <v>2582</v>
      </c>
      <c r="D2155" s="3">
        <f>VLOOKUP(A2155,airports!A:H,7,FALSE)</f>
        <v>32.895950560000003</v>
      </c>
      <c r="E2155" s="3">
        <f>VLOOKUP(A2155,airports!A:H,8,FALSE)</f>
        <v>-97.037199999999999</v>
      </c>
      <c r="F2155" s="3">
        <f>VLOOKUP(B2155,airports!A:H,7,FALSE)</f>
        <v>37.151516669999999</v>
      </c>
      <c r="G2155" s="3">
        <f>VLOOKUP(B2155,airports!A:H,8,FALSE)</f>
        <v>-107.75376919999999</v>
      </c>
      <c r="H2155">
        <f t="shared" si="66"/>
        <v>1083.5999999999999</v>
      </c>
      <c r="I2155">
        <f t="shared" si="67"/>
        <v>673.4</v>
      </c>
    </row>
    <row r="2156" spans="1:9" ht="30" x14ac:dyDescent="0.25">
      <c r="A2156" s="5" t="s">
        <v>49</v>
      </c>
      <c r="B2156" s="5" t="s">
        <v>2583</v>
      </c>
      <c r="C2156" s="5" t="s">
        <v>2584</v>
      </c>
      <c r="D2156" s="3">
        <f>VLOOKUP(A2156,airports!A:H,7,FALSE)</f>
        <v>32.895950560000003</v>
      </c>
      <c r="E2156" s="3">
        <f>VLOOKUP(A2156,airports!A:H,8,FALSE)</f>
        <v>-97.037199999999999</v>
      </c>
      <c r="F2156" s="3">
        <f>VLOOKUP(B2156,airports!A:H,7,FALSE)</f>
        <v>29.371812219999999</v>
      </c>
      <c r="G2156" s="3">
        <f>VLOOKUP(B2156,airports!A:H,8,FALSE)</f>
        <v>-100.9232339</v>
      </c>
      <c r="H2156">
        <f t="shared" si="66"/>
        <v>538.79999999999995</v>
      </c>
      <c r="I2156">
        <f t="shared" si="67"/>
        <v>334.8</v>
      </c>
    </row>
    <row r="2157" spans="1:9" ht="30" x14ac:dyDescent="0.25">
      <c r="A2157" s="5" t="s">
        <v>49</v>
      </c>
      <c r="B2157" s="5" t="s">
        <v>474</v>
      </c>
      <c r="C2157" s="5" t="s">
        <v>2585</v>
      </c>
      <c r="D2157" s="3">
        <f>VLOOKUP(A2157,airports!A:H,7,FALSE)</f>
        <v>32.895950560000003</v>
      </c>
      <c r="E2157" s="3">
        <f>VLOOKUP(A2157,airports!A:H,8,FALSE)</f>
        <v>-97.037199999999999</v>
      </c>
      <c r="F2157" s="3">
        <f>VLOOKUP(B2157,airports!A:H,7,FALSE)</f>
        <v>41.53493306</v>
      </c>
      <c r="G2157" s="3">
        <f>VLOOKUP(B2157,airports!A:H,8,FALSE)</f>
        <v>-93.660682219999998</v>
      </c>
      <c r="H2157">
        <f t="shared" si="66"/>
        <v>1005.8</v>
      </c>
      <c r="I2157">
        <f t="shared" si="67"/>
        <v>625</v>
      </c>
    </row>
    <row r="2158" spans="1:9" ht="30" x14ac:dyDescent="0.25">
      <c r="A2158" s="5" t="s">
        <v>49</v>
      </c>
      <c r="B2158" s="5" t="s">
        <v>50</v>
      </c>
      <c r="C2158" s="5" t="s">
        <v>2586</v>
      </c>
      <c r="D2158" s="3">
        <f>VLOOKUP(A2158,airports!A:H,7,FALSE)</f>
        <v>32.895950560000003</v>
      </c>
      <c r="E2158" s="3">
        <f>VLOOKUP(A2158,airports!A:H,8,FALSE)</f>
        <v>-97.037199999999999</v>
      </c>
      <c r="F2158" s="3">
        <f>VLOOKUP(B2158,airports!A:H,7,FALSE)</f>
        <v>42.212058890000002</v>
      </c>
      <c r="G2158" s="3">
        <f>VLOOKUP(B2158,airports!A:H,8,FALSE)</f>
        <v>-83.348835829999999</v>
      </c>
      <c r="H2158">
        <f t="shared" si="66"/>
        <v>1586.7</v>
      </c>
      <c r="I2158">
        <f t="shared" si="67"/>
        <v>986</v>
      </c>
    </row>
    <row r="2159" spans="1:9" ht="30" x14ac:dyDescent="0.25">
      <c r="A2159" s="5" t="s">
        <v>49</v>
      </c>
      <c r="B2159" s="5" t="s">
        <v>477</v>
      </c>
      <c r="C2159" s="5" t="s">
        <v>2587</v>
      </c>
      <c r="D2159" s="3">
        <f>VLOOKUP(A2159,airports!A:H,7,FALSE)</f>
        <v>32.895950560000003</v>
      </c>
      <c r="E2159" s="3">
        <f>VLOOKUP(A2159,airports!A:H,8,FALSE)</f>
        <v>-97.037199999999999</v>
      </c>
      <c r="F2159" s="3">
        <f>VLOOKUP(B2159,airports!A:H,7,FALSE)</f>
        <v>30.357106000000002</v>
      </c>
      <c r="G2159" s="3">
        <f>VLOOKUP(B2159,airports!A:H,8,FALSE)</f>
        <v>-85.795413999999994</v>
      </c>
      <c r="H2159">
        <f t="shared" si="66"/>
        <v>1100.5</v>
      </c>
      <c r="I2159">
        <f t="shared" si="67"/>
        <v>683.9</v>
      </c>
    </row>
    <row r="2160" spans="1:9" ht="30" x14ac:dyDescent="0.25">
      <c r="A2160" s="5" t="s">
        <v>49</v>
      </c>
      <c r="B2160" s="5" t="s">
        <v>479</v>
      </c>
      <c r="C2160" s="5" t="s">
        <v>2588</v>
      </c>
      <c r="D2160" s="3">
        <f>VLOOKUP(A2160,airports!A:H,7,FALSE)</f>
        <v>32.895950560000003</v>
      </c>
      <c r="E2160" s="3">
        <f>VLOOKUP(A2160,airports!A:H,8,FALSE)</f>
        <v>-97.037199999999999</v>
      </c>
      <c r="F2160" s="3">
        <f>VLOOKUP(B2160,airports!A:H,7,FALSE)</f>
        <v>39.64256778</v>
      </c>
      <c r="G2160" s="3">
        <f>VLOOKUP(B2160,airports!A:H,8,FALSE)</f>
        <v>-106.91769530000001</v>
      </c>
      <c r="H2160">
        <f t="shared" si="66"/>
        <v>1159.5</v>
      </c>
      <c r="I2160">
        <f t="shared" si="67"/>
        <v>720.5</v>
      </c>
    </row>
    <row r="2161" spans="1:9" ht="30" x14ac:dyDescent="0.25">
      <c r="A2161" s="5" t="s">
        <v>49</v>
      </c>
      <c r="B2161" s="5" t="s">
        <v>483</v>
      </c>
      <c r="C2161" s="5" t="s">
        <v>2589</v>
      </c>
      <c r="D2161" s="3">
        <f>VLOOKUP(A2161,airports!A:H,7,FALSE)</f>
        <v>32.895950560000003</v>
      </c>
      <c r="E2161" s="3">
        <f>VLOOKUP(A2161,airports!A:H,8,FALSE)</f>
        <v>-97.037199999999999</v>
      </c>
      <c r="F2161" s="3">
        <f>VLOOKUP(B2161,airports!A:H,7,FALSE)</f>
        <v>31.806666669999998</v>
      </c>
      <c r="G2161" s="3">
        <f>VLOOKUP(B2161,airports!A:H,8,FALSE)</f>
        <v>-106.3778056</v>
      </c>
      <c r="H2161">
        <f t="shared" si="66"/>
        <v>885.4</v>
      </c>
      <c r="I2161">
        <f t="shared" si="67"/>
        <v>550.20000000000005</v>
      </c>
    </row>
    <row r="2162" spans="1:9" ht="30" x14ac:dyDescent="0.25">
      <c r="A2162" s="5" t="s">
        <v>49</v>
      </c>
      <c r="B2162" s="5" t="s">
        <v>848</v>
      </c>
      <c r="C2162" s="5" t="s">
        <v>2590</v>
      </c>
      <c r="D2162" s="3">
        <f>VLOOKUP(A2162,airports!A:H,7,FALSE)</f>
        <v>32.895950560000003</v>
      </c>
      <c r="E2162" s="3">
        <f>VLOOKUP(A2162,airports!A:H,8,FALSE)</f>
        <v>-97.037199999999999</v>
      </c>
      <c r="F2162" s="3">
        <f>VLOOKUP(B2162,airports!A:H,7,FALSE)</f>
        <v>44.123260000000002</v>
      </c>
      <c r="G2162" s="3">
        <f>VLOOKUP(B2162,airports!A:H,8,FALSE)</f>
        <v>-123.2186856</v>
      </c>
      <c r="H2162">
        <f t="shared" si="66"/>
        <v>2581.6</v>
      </c>
      <c r="I2162">
        <f t="shared" si="67"/>
        <v>1604.2</v>
      </c>
    </row>
    <row r="2163" spans="1:9" ht="30" x14ac:dyDescent="0.25">
      <c r="A2163" s="5" t="s">
        <v>49</v>
      </c>
      <c r="B2163" s="5" t="s">
        <v>485</v>
      </c>
      <c r="C2163" s="5" t="s">
        <v>2591</v>
      </c>
      <c r="D2163" s="3">
        <f>VLOOKUP(A2163,airports!A:H,7,FALSE)</f>
        <v>32.895950560000003</v>
      </c>
      <c r="E2163" s="3">
        <f>VLOOKUP(A2163,airports!A:H,8,FALSE)</f>
        <v>-97.037199999999999</v>
      </c>
      <c r="F2163" s="3">
        <f>VLOOKUP(B2163,airports!A:H,7,FALSE)</f>
        <v>38.037991390000002</v>
      </c>
      <c r="G2163" s="3">
        <f>VLOOKUP(B2163,airports!A:H,8,FALSE)</f>
        <v>-87.530626670000004</v>
      </c>
      <c r="H2163">
        <f t="shared" si="66"/>
        <v>1032.5999999999999</v>
      </c>
      <c r="I2163">
        <f t="shared" si="67"/>
        <v>641.70000000000005</v>
      </c>
    </row>
    <row r="2164" spans="1:9" ht="30" x14ac:dyDescent="0.25">
      <c r="A2164" s="5" t="s">
        <v>49</v>
      </c>
      <c r="B2164" s="5" t="s">
        <v>52</v>
      </c>
      <c r="C2164" s="5" t="s">
        <v>2592</v>
      </c>
      <c r="D2164" s="3">
        <f>VLOOKUP(A2164,airports!A:H,7,FALSE)</f>
        <v>32.895950560000003</v>
      </c>
      <c r="E2164" s="3">
        <f>VLOOKUP(A2164,airports!A:H,8,FALSE)</f>
        <v>-97.037199999999999</v>
      </c>
      <c r="F2164" s="3">
        <f>VLOOKUP(B2164,airports!A:H,7,FALSE)</f>
        <v>40.69249722</v>
      </c>
      <c r="G2164" s="3">
        <f>VLOOKUP(B2164,airports!A:H,8,FALSE)</f>
        <v>-74.168660560000006</v>
      </c>
      <c r="H2164">
        <f t="shared" si="66"/>
        <v>2204.8000000000002</v>
      </c>
      <c r="I2164">
        <f t="shared" si="67"/>
        <v>1370.1</v>
      </c>
    </row>
    <row r="2165" spans="1:9" ht="30" x14ac:dyDescent="0.25">
      <c r="A2165" s="5" t="s">
        <v>49</v>
      </c>
      <c r="B2165" s="5" t="s">
        <v>54</v>
      </c>
      <c r="C2165" s="5" t="s">
        <v>2593</v>
      </c>
      <c r="D2165" s="3">
        <f>VLOOKUP(A2165,airports!A:H,7,FALSE)</f>
        <v>32.895950560000003</v>
      </c>
      <c r="E2165" s="3">
        <f>VLOOKUP(A2165,airports!A:H,8,FALSE)</f>
        <v>-97.037199999999999</v>
      </c>
      <c r="F2165" s="3">
        <f>VLOOKUP(B2165,airports!A:H,7,FALSE)</f>
        <v>24.55611111</v>
      </c>
      <c r="G2165" s="3">
        <f>VLOOKUP(B2165,airports!A:H,8,FALSE)</f>
        <v>-81.759555559999995</v>
      </c>
      <c r="H2165">
        <f t="shared" si="66"/>
        <v>1751.8</v>
      </c>
      <c r="I2165">
        <f t="shared" si="67"/>
        <v>1088.5999999999999</v>
      </c>
    </row>
    <row r="2166" spans="1:9" ht="30" x14ac:dyDescent="0.25">
      <c r="A2166" s="5" t="s">
        <v>49</v>
      </c>
      <c r="B2166" s="5" t="s">
        <v>358</v>
      </c>
      <c r="C2166" s="5" t="s">
        <v>2594</v>
      </c>
      <c r="D2166" s="3">
        <f>VLOOKUP(A2166,airports!A:H,7,FALSE)</f>
        <v>32.895950560000003</v>
      </c>
      <c r="E2166" s="3">
        <f>VLOOKUP(A2166,airports!A:H,8,FALSE)</f>
        <v>-97.037199999999999</v>
      </c>
      <c r="F2166" s="3">
        <f>VLOOKUP(B2166,airports!A:H,7,FALSE)</f>
        <v>64.813677499999997</v>
      </c>
      <c r="G2166" s="3">
        <f>VLOOKUP(B2166,airports!A:H,8,FALSE)</f>
        <v>-147.8596694</v>
      </c>
      <c r="H2166">
        <f t="shared" si="66"/>
        <v>4912</v>
      </c>
      <c r="I2166">
        <f t="shared" si="67"/>
        <v>3052.4</v>
      </c>
    </row>
    <row r="2167" spans="1:9" ht="30" x14ac:dyDescent="0.25">
      <c r="A2167" s="5" t="s">
        <v>49</v>
      </c>
      <c r="B2167" s="5" t="s">
        <v>491</v>
      </c>
      <c r="C2167" s="5" t="s">
        <v>2595</v>
      </c>
      <c r="D2167" s="3">
        <f>VLOOKUP(A2167,airports!A:H,7,FALSE)</f>
        <v>32.895950560000003</v>
      </c>
      <c r="E2167" s="3">
        <f>VLOOKUP(A2167,airports!A:H,8,FALSE)</f>
        <v>-97.037199999999999</v>
      </c>
      <c r="F2167" s="3">
        <f>VLOOKUP(B2167,airports!A:H,7,FALSE)</f>
        <v>46.919348890000002</v>
      </c>
      <c r="G2167" s="3">
        <f>VLOOKUP(B2167,airports!A:H,8,FALSE)</f>
        <v>-96.814988889999995</v>
      </c>
      <c r="H2167">
        <f t="shared" si="66"/>
        <v>1559.4</v>
      </c>
      <c r="I2167">
        <f t="shared" si="67"/>
        <v>969.1</v>
      </c>
    </row>
    <row r="2168" spans="1:9" ht="30" x14ac:dyDescent="0.25">
      <c r="A2168" s="5" t="s">
        <v>49</v>
      </c>
      <c r="B2168" s="5" t="s">
        <v>2365</v>
      </c>
      <c r="C2168" s="5" t="s">
        <v>2596</v>
      </c>
      <c r="D2168" s="3">
        <f>VLOOKUP(A2168,airports!A:H,7,FALSE)</f>
        <v>32.895950560000003</v>
      </c>
      <c r="E2168" s="3">
        <f>VLOOKUP(A2168,airports!A:H,8,FALSE)</f>
        <v>-97.037199999999999</v>
      </c>
      <c r="F2168" s="3">
        <f>VLOOKUP(B2168,airports!A:H,7,FALSE)</f>
        <v>36.776194439999998</v>
      </c>
      <c r="G2168" s="3">
        <f>VLOOKUP(B2168,airports!A:H,8,FALSE)</f>
        <v>-119.7181389</v>
      </c>
      <c r="H2168">
        <f t="shared" si="66"/>
        <v>2109.1999999999998</v>
      </c>
      <c r="I2168">
        <f t="shared" si="67"/>
        <v>1310.7</v>
      </c>
    </row>
    <row r="2169" spans="1:9" ht="30" x14ac:dyDescent="0.25">
      <c r="A2169" s="5" t="s">
        <v>49</v>
      </c>
      <c r="B2169" s="5" t="s">
        <v>493</v>
      </c>
      <c r="C2169" s="5" t="s">
        <v>2597</v>
      </c>
      <c r="D2169" s="3">
        <f>VLOOKUP(A2169,airports!A:H,7,FALSE)</f>
        <v>32.895950560000003</v>
      </c>
      <c r="E2169" s="3">
        <f>VLOOKUP(A2169,airports!A:H,8,FALSE)</f>
        <v>-97.037199999999999</v>
      </c>
      <c r="F2169" s="3">
        <f>VLOOKUP(B2169,airports!A:H,7,FALSE)</f>
        <v>34.991472219999999</v>
      </c>
      <c r="G2169" s="3">
        <f>VLOOKUP(B2169,airports!A:H,8,FALSE)</f>
        <v>-78.88</v>
      </c>
      <c r="H2169">
        <f t="shared" si="66"/>
        <v>1688.7</v>
      </c>
      <c r="I2169">
        <f t="shared" si="67"/>
        <v>1049.3</v>
      </c>
    </row>
    <row r="2170" spans="1:9" ht="30" x14ac:dyDescent="0.25">
      <c r="A2170" s="5" t="s">
        <v>49</v>
      </c>
      <c r="B2170" s="5" t="s">
        <v>56</v>
      </c>
      <c r="C2170" s="5" t="s">
        <v>2598</v>
      </c>
      <c r="D2170" s="3">
        <f>VLOOKUP(A2170,airports!A:H,7,FALSE)</f>
        <v>32.895950560000003</v>
      </c>
      <c r="E2170" s="3">
        <f>VLOOKUP(A2170,airports!A:H,8,FALSE)</f>
        <v>-97.037199999999999</v>
      </c>
      <c r="F2170" s="3">
        <f>VLOOKUP(B2170,airports!A:H,7,FALSE)</f>
        <v>48.311404719999999</v>
      </c>
      <c r="G2170" s="3">
        <f>VLOOKUP(B2170,airports!A:H,8,FALSE)</f>
        <v>-114.2550694</v>
      </c>
      <c r="H2170">
        <f t="shared" si="66"/>
        <v>2236.8000000000002</v>
      </c>
      <c r="I2170">
        <f t="shared" si="67"/>
        <v>1390</v>
      </c>
    </row>
    <row r="2171" spans="1:9" ht="30" x14ac:dyDescent="0.25">
      <c r="A2171" s="5" t="s">
        <v>49</v>
      </c>
      <c r="B2171" s="5" t="s">
        <v>2368</v>
      </c>
      <c r="C2171" s="5" t="s">
        <v>2599</v>
      </c>
      <c r="D2171" s="3">
        <f>VLOOKUP(A2171,airports!A:H,7,FALSE)</f>
        <v>32.895950560000003</v>
      </c>
      <c r="E2171" s="3">
        <f>VLOOKUP(A2171,airports!A:H,8,FALSE)</f>
        <v>-97.037199999999999</v>
      </c>
      <c r="F2171" s="3">
        <f>VLOOKUP(B2171,airports!A:H,7,FALSE)</f>
        <v>35.138454719999999</v>
      </c>
      <c r="G2171" s="3">
        <f>VLOOKUP(B2171,airports!A:H,8,FALSE)</f>
        <v>-111.67121830000001</v>
      </c>
      <c r="H2171">
        <f t="shared" si="66"/>
        <v>1370.3</v>
      </c>
      <c r="I2171">
        <f t="shared" si="67"/>
        <v>851.5</v>
      </c>
    </row>
    <row r="2172" spans="1:9" ht="30" x14ac:dyDescent="0.25">
      <c r="A2172" s="5" t="s">
        <v>49</v>
      </c>
      <c r="B2172" s="5" t="s">
        <v>57</v>
      </c>
      <c r="C2172" s="5" t="s">
        <v>2600</v>
      </c>
      <c r="D2172" s="3">
        <f>VLOOKUP(A2172,airports!A:H,7,FALSE)</f>
        <v>32.895950560000003</v>
      </c>
      <c r="E2172" s="3">
        <f>VLOOKUP(A2172,airports!A:H,8,FALSE)</f>
        <v>-97.037199999999999</v>
      </c>
      <c r="F2172" s="3">
        <f>VLOOKUP(B2172,airports!A:H,7,FALSE)</f>
        <v>26.072583330000001</v>
      </c>
      <c r="G2172" s="3">
        <f>VLOOKUP(B2172,airports!A:H,8,FALSE)</f>
        <v>-80.152749999999997</v>
      </c>
      <c r="H2172">
        <f t="shared" si="66"/>
        <v>1798.8</v>
      </c>
      <c r="I2172">
        <f t="shared" si="67"/>
        <v>1117.8</v>
      </c>
    </row>
    <row r="2173" spans="1:9" ht="30" x14ac:dyDescent="0.25">
      <c r="A2173" s="5" t="s">
        <v>49</v>
      </c>
      <c r="B2173" s="5" t="s">
        <v>499</v>
      </c>
      <c r="C2173" s="5" t="s">
        <v>2601</v>
      </c>
      <c r="D2173" s="3">
        <f>VLOOKUP(A2173,airports!A:H,7,FALSE)</f>
        <v>32.895950560000003</v>
      </c>
      <c r="E2173" s="3">
        <f>VLOOKUP(A2173,airports!A:H,8,FALSE)</f>
        <v>-97.037199999999999</v>
      </c>
      <c r="F2173" s="3">
        <f>VLOOKUP(B2173,airports!A:H,7,FALSE)</f>
        <v>43.58135111</v>
      </c>
      <c r="G2173" s="3">
        <f>VLOOKUP(B2173,airports!A:H,8,FALSE)</f>
        <v>-96.741700280000003</v>
      </c>
      <c r="H2173">
        <f t="shared" si="66"/>
        <v>1188.4000000000001</v>
      </c>
      <c r="I2173">
        <f t="shared" si="67"/>
        <v>738.5</v>
      </c>
    </row>
    <row r="2174" spans="1:9" ht="30" x14ac:dyDescent="0.25">
      <c r="A2174" s="5" t="s">
        <v>49</v>
      </c>
      <c r="B2174" s="5" t="s">
        <v>501</v>
      </c>
      <c r="C2174" s="5" t="s">
        <v>2602</v>
      </c>
      <c r="D2174" s="3">
        <f>VLOOKUP(A2174,airports!A:H,7,FALSE)</f>
        <v>32.895950560000003</v>
      </c>
      <c r="E2174" s="3">
        <f>VLOOKUP(A2174,airports!A:H,8,FALSE)</f>
        <v>-97.037199999999999</v>
      </c>
      <c r="F2174" s="3">
        <f>VLOOKUP(B2174,airports!A:H,7,FALSE)</f>
        <v>35.336590280000003</v>
      </c>
      <c r="G2174" s="3">
        <f>VLOOKUP(B2174,airports!A:H,8,FALSE)</f>
        <v>-94.367441110000001</v>
      </c>
      <c r="H2174">
        <f t="shared" si="66"/>
        <v>366.1</v>
      </c>
      <c r="I2174">
        <f t="shared" si="67"/>
        <v>227.5</v>
      </c>
    </row>
    <row r="2175" spans="1:9" ht="30" x14ac:dyDescent="0.25">
      <c r="A2175" s="5" t="s">
        <v>49</v>
      </c>
      <c r="B2175" s="5" t="s">
        <v>503</v>
      </c>
      <c r="C2175" s="5" t="s">
        <v>2603</v>
      </c>
      <c r="D2175" s="3">
        <f>VLOOKUP(A2175,airports!A:H,7,FALSE)</f>
        <v>32.895950560000003</v>
      </c>
      <c r="E2175" s="3">
        <f>VLOOKUP(A2175,airports!A:H,8,FALSE)</f>
        <v>-97.037199999999999</v>
      </c>
      <c r="F2175" s="3">
        <f>VLOOKUP(B2175,airports!A:H,7,FALSE)</f>
        <v>40.978465829999998</v>
      </c>
      <c r="G2175" s="3">
        <f>VLOOKUP(B2175,airports!A:H,8,FALSE)</f>
        <v>-85.195146390000005</v>
      </c>
      <c r="H2175">
        <f t="shared" si="66"/>
        <v>1381.7</v>
      </c>
      <c r="I2175">
        <f t="shared" si="67"/>
        <v>858.6</v>
      </c>
    </row>
    <row r="2176" spans="1:9" ht="30" x14ac:dyDescent="0.25">
      <c r="A2176" s="5" t="s">
        <v>49</v>
      </c>
      <c r="B2176" s="5" t="s">
        <v>2604</v>
      </c>
      <c r="C2176" s="5" t="s">
        <v>2605</v>
      </c>
      <c r="D2176" s="3">
        <f>VLOOKUP(A2176,airports!A:H,7,FALSE)</f>
        <v>32.895950560000003</v>
      </c>
      <c r="E2176" s="3">
        <f>VLOOKUP(A2176,airports!A:H,8,FALSE)</f>
        <v>-97.037199999999999</v>
      </c>
      <c r="F2176" s="3">
        <f>VLOOKUP(B2176,airports!A:H,7,FALSE)</f>
        <v>37.927515560000003</v>
      </c>
      <c r="G2176" s="3">
        <f>VLOOKUP(B2176,airports!A:H,8,FALSE)</f>
        <v>-100.7244147</v>
      </c>
      <c r="H2176">
        <f t="shared" si="66"/>
        <v>651.5</v>
      </c>
      <c r="I2176">
        <f t="shared" si="67"/>
        <v>404.9</v>
      </c>
    </row>
    <row r="2177" spans="1:9" ht="30" x14ac:dyDescent="0.25">
      <c r="A2177" s="5" t="s">
        <v>49</v>
      </c>
      <c r="B2177" s="5" t="s">
        <v>505</v>
      </c>
      <c r="C2177" s="5" t="s">
        <v>2606</v>
      </c>
      <c r="D2177" s="3">
        <f>VLOOKUP(A2177,airports!A:H,7,FALSE)</f>
        <v>32.895950560000003</v>
      </c>
      <c r="E2177" s="3">
        <f>VLOOKUP(A2177,airports!A:H,8,FALSE)</f>
        <v>-97.037199999999999</v>
      </c>
      <c r="F2177" s="3">
        <f>VLOOKUP(B2177,airports!A:H,7,FALSE)</f>
        <v>47.619855559999998</v>
      </c>
      <c r="G2177" s="3">
        <f>VLOOKUP(B2177,airports!A:H,8,FALSE)</f>
        <v>-117.53384250000001</v>
      </c>
      <c r="H2177">
        <f t="shared" si="66"/>
        <v>2374.6999999999998</v>
      </c>
      <c r="I2177">
        <f t="shared" si="67"/>
        <v>1475.7</v>
      </c>
    </row>
    <row r="2178" spans="1:9" ht="30" x14ac:dyDescent="0.25">
      <c r="A2178" s="5" t="s">
        <v>49</v>
      </c>
      <c r="B2178" s="5" t="s">
        <v>2607</v>
      </c>
      <c r="C2178" s="5" t="s">
        <v>2608</v>
      </c>
      <c r="D2178" s="3">
        <f>VLOOKUP(A2178,airports!A:H,7,FALSE)</f>
        <v>32.895950560000003</v>
      </c>
      <c r="E2178" s="3">
        <f>VLOOKUP(A2178,airports!A:H,8,FALSE)</f>
        <v>-97.037199999999999</v>
      </c>
      <c r="F2178" s="3">
        <f>VLOOKUP(B2178,airports!A:H,7,FALSE)</f>
        <v>32.384861110000003</v>
      </c>
      <c r="G2178" s="3">
        <f>VLOOKUP(B2178,airports!A:H,8,FALSE)</f>
        <v>-94.711709999999997</v>
      </c>
      <c r="H2178">
        <f t="shared" si="66"/>
        <v>225</v>
      </c>
      <c r="I2178">
        <f t="shared" si="67"/>
        <v>139.80000000000001</v>
      </c>
    </row>
    <row r="2179" spans="1:9" ht="30" x14ac:dyDescent="0.25">
      <c r="A2179" s="5" t="s">
        <v>49</v>
      </c>
      <c r="B2179" s="5" t="s">
        <v>858</v>
      </c>
      <c r="C2179" s="5" t="s">
        <v>2609</v>
      </c>
      <c r="D2179" s="3">
        <f>VLOOKUP(A2179,airports!A:H,7,FALSE)</f>
        <v>32.895950560000003</v>
      </c>
      <c r="E2179" s="3">
        <f>VLOOKUP(A2179,airports!A:H,8,FALSE)</f>
        <v>-97.037199999999999</v>
      </c>
      <c r="F2179" s="3">
        <f>VLOOKUP(B2179,airports!A:H,7,FALSE)</f>
        <v>39.122412500000003</v>
      </c>
      <c r="G2179" s="3">
        <f>VLOOKUP(B2179,airports!A:H,8,FALSE)</f>
        <v>-108.52673470000001</v>
      </c>
      <c r="H2179">
        <f t="shared" si="66"/>
        <v>1242.4000000000001</v>
      </c>
      <c r="I2179">
        <f t="shared" si="67"/>
        <v>772</v>
      </c>
    </row>
    <row r="2180" spans="1:9" ht="30" x14ac:dyDescent="0.25">
      <c r="A2180" s="5" t="s">
        <v>49</v>
      </c>
      <c r="B2180" s="5" t="s">
        <v>507</v>
      </c>
      <c r="C2180" s="5" t="s">
        <v>2610</v>
      </c>
      <c r="D2180" s="3">
        <f>VLOOKUP(A2180,airports!A:H,7,FALSE)</f>
        <v>32.895950560000003</v>
      </c>
      <c r="E2180" s="3">
        <f>VLOOKUP(A2180,airports!A:H,8,FALSE)</f>
        <v>-97.037199999999999</v>
      </c>
      <c r="F2180" s="3">
        <f>VLOOKUP(B2180,airports!A:H,7,FALSE)</f>
        <v>29.690055560000001</v>
      </c>
      <c r="G2180" s="3">
        <f>VLOOKUP(B2180,airports!A:H,8,FALSE)</f>
        <v>-82.271777779999994</v>
      </c>
      <c r="H2180">
        <f t="shared" ref="H2180:H2243" si="68">ROUND(ACOS(COS(RADIANS(90-D2180)) * COS(RADIANS(90-F2180)) + SIN(RADIANS(90-D2180)) * SIN(RADIANS(90-F2180)) * COS(RADIANS(E2180-G2180))) * 6371,1)</f>
        <v>1446.2</v>
      </c>
      <c r="I2180">
        <f t="shared" ref="I2180:I2243" si="69">ROUND(ACOS(COS(RADIANS(90-D2180)) * COS(RADIANS(90-F2180)) + SIN(RADIANS(90-D2180)) * SIN(RADIANS(90-F2180)) * COS(RADIANS(E2180-G2180))) * 3959,1)</f>
        <v>898.7</v>
      </c>
    </row>
    <row r="2181" spans="1:9" ht="30" x14ac:dyDescent="0.25">
      <c r="A2181" s="5" t="s">
        <v>49</v>
      </c>
      <c r="B2181" s="5" t="s">
        <v>509</v>
      </c>
      <c r="C2181" s="5" t="s">
        <v>2611</v>
      </c>
      <c r="D2181" s="3">
        <f>VLOOKUP(A2181,airports!A:H,7,FALSE)</f>
        <v>32.895950560000003</v>
      </c>
      <c r="E2181" s="3">
        <f>VLOOKUP(A2181,airports!A:H,8,FALSE)</f>
        <v>-97.037199999999999</v>
      </c>
      <c r="F2181" s="3">
        <f>VLOOKUP(B2181,airports!A:H,7,FALSE)</f>
        <v>30.407280279999998</v>
      </c>
      <c r="G2181" s="3">
        <f>VLOOKUP(B2181,airports!A:H,8,FALSE)</f>
        <v>-89.070092779999996</v>
      </c>
      <c r="H2181">
        <f t="shared" si="68"/>
        <v>803</v>
      </c>
      <c r="I2181">
        <f t="shared" si="69"/>
        <v>499</v>
      </c>
    </row>
    <row r="2182" spans="1:9" ht="30" x14ac:dyDescent="0.25">
      <c r="A2182" s="5" t="s">
        <v>49</v>
      </c>
      <c r="B2182" s="5" t="s">
        <v>860</v>
      </c>
      <c r="C2182" s="5" t="s">
        <v>2612</v>
      </c>
      <c r="D2182" s="3">
        <f>VLOOKUP(A2182,airports!A:H,7,FALSE)</f>
        <v>32.895950560000003</v>
      </c>
      <c r="E2182" s="3">
        <f>VLOOKUP(A2182,airports!A:H,8,FALSE)</f>
        <v>-97.037199999999999</v>
      </c>
      <c r="F2182" s="3">
        <f>VLOOKUP(B2182,airports!A:H,7,FALSE)</f>
        <v>40.967472219999998</v>
      </c>
      <c r="G2182" s="3">
        <f>VLOOKUP(B2182,airports!A:H,8,FALSE)</f>
        <v>-98.308611110000001</v>
      </c>
      <c r="H2182">
        <f t="shared" si="68"/>
        <v>904.6</v>
      </c>
      <c r="I2182">
        <f t="shared" si="69"/>
        <v>562.1</v>
      </c>
    </row>
    <row r="2183" spans="1:9" ht="30" x14ac:dyDescent="0.25">
      <c r="A2183" s="5" t="s">
        <v>49</v>
      </c>
      <c r="B2183" s="5" t="s">
        <v>513</v>
      </c>
      <c r="C2183" s="5" t="s">
        <v>2613</v>
      </c>
      <c r="D2183" s="3">
        <f>VLOOKUP(A2183,airports!A:H,7,FALSE)</f>
        <v>32.895950560000003</v>
      </c>
      <c r="E2183" s="3">
        <f>VLOOKUP(A2183,airports!A:H,8,FALSE)</f>
        <v>-97.037199999999999</v>
      </c>
      <c r="F2183" s="3">
        <f>VLOOKUP(B2183,airports!A:H,7,FALSE)</f>
        <v>31.064897779999999</v>
      </c>
      <c r="G2183" s="3">
        <f>VLOOKUP(B2183,airports!A:H,8,FALSE)</f>
        <v>-97.827797779999997</v>
      </c>
      <c r="H2183">
        <f t="shared" si="68"/>
        <v>216.8</v>
      </c>
      <c r="I2183">
        <f t="shared" si="69"/>
        <v>134.69999999999999</v>
      </c>
    </row>
    <row r="2184" spans="1:9" ht="30" x14ac:dyDescent="0.25">
      <c r="A2184" s="5" t="s">
        <v>49</v>
      </c>
      <c r="B2184" s="5" t="s">
        <v>515</v>
      </c>
      <c r="C2184" s="5" t="s">
        <v>2614</v>
      </c>
      <c r="D2184" s="3">
        <f>VLOOKUP(A2184,airports!A:H,7,FALSE)</f>
        <v>32.895950560000003</v>
      </c>
      <c r="E2184" s="3">
        <f>VLOOKUP(A2184,airports!A:H,8,FALSE)</f>
        <v>-97.037199999999999</v>
      </c>
      <c r="F2184" s="3">
        <f>VLOOKUP(B2184,airports!A:H,7,FALSE)</f>
        <v>42.880819719999998</v>
      </c>
      <c r="G2184" s="3">
        <f>VLOOKUP(B2184,airports!A:H,8,FALSE)</f>
        <v>-85.522767779999995</v>
      </c>
      <c r="H2184">
        <f t="shared" si="68"/>
        <v>1498.4</v>
      </c>
      <c r="I2184">
        <f t="shared" si="69"/>
        <v>931.1</v>
      </c>
    </row>
    <row r="2185" spans="1:9" ht="30" x14ac:dyDescent="0.25">
      <c r="A2185" s="5" t="s">
        <v>49</v>
      </c>
      <c r="B2185" s="5" t="s">
        <v>517</v>
      </c>
      <c r="C2185" s="5" t="s">
        <v>2615</v>
      </c>
      <c r="D2185" s="3">
        <f>VLOOKUP(A2185,airports!A:H,7,FALSE)</f>
        <v>32.895950560000003</v>
      </c>
      <c r="E2185" s="3">
        <f>VLOOKUP(A2185,airports!A:H,8,FALSE)</f>
        <v>-97.037199999999999</v>
      </c>
      <c r="F2185" s="3">
        <f>VLOOKUP(B2185,airports!A:H,7,FALSE)</f>
        <v>36.09774694</v>
      </c>
      <c r="G2185" s="3">
        <f>VLOOKUP(B2185,airports!A:H,8,FALSE)</f>
        <v>-79.9372975</v>
      </c>
      <c r="H2185">
        <f t="shared" si="68"/>
        <v>1604.7</v>
      </c>
      <c r="I2185">
        <f t="shared" si="69"/>
        <v>997.2</v>
      </c>
    </row>
    <row r="2186" spans="1:9" ht="30" x14ac:dyDescent="0.25">
      <c r="A2186" s="5" t="s">
        <v>49</v>
      </c>
      <c r="B2186" s="5" t="s">
        <v>519</v>
      </c>
      <c r="C2186" s="5" t="s">
        <v>2616</v>
      </c>
      <c r="D2186" s="3">
        <f>VLOOKUP(A2186,airports!A:H,7,FALSE)</f>
        <v>32.895950560000003</v>
      </c>
      <c r="E2186" s="3">
        <f>VLOOKUP(A2186,airports!A:H,8,FALSE)</f>
        <v>-97.037199999999999</v>
      </c>
      <c r="F2186" s="3">
        <f>VLOOKUP(B2186,airports!A:H,7,FALSE)</f>
        <v>34.89566722</v>
      </c>
      <c r="G2186" s="3">
        <f>VLOOKUP(B2186,airports!A:H,8,FALSE)</f>
        <v>-82.218858330000003</v>
      </c>
      <c r="H2186">
        <f t="shared" si="68"/>
        <v>1384.3</v>
      </c>
      <c r="I2186">
        <f t="shared" si="69"/>
        <v>860.2</v>
      </c>
    </row>
    <row r="2187" spans="1:9" ht="30" x14ac:dyDescent="0.25">
      <c r="A2187" s="5" t="s">
        <v>49</v>
      </c>
      <c r="B2187" s="5" t="s">
        <v>2383</v>
      </c>
      <c r="C2187" s="5" t="s">
        <v>2617</v>
      </c>
      <c r="D2187" s="3">
        <f>VLOOKUP(A2187,airports!A:H,7,FALSE)</f>
        <v>32.895950560000003</v>
      </c>
      <c r="E2187" s="3">
        <f>VLOOKUP(A2187,airports!A:H,8,FALSE)</f>
        <v>-97.037199999999999</v>
      </c>
      <c r="F2187" s="3">
        <f>VLOOKUP(B2187,airports!A:H,7,FALSE)</f>
        <v>38.533963329999999</v>
      </c>
      <c r="G2187" s="3">
        <f>VLOOKUP(B2187,airports!A:H,8,FALSE)</f>
        <v>-106.93318170000001</v>
      </c>
      <c r="H2187">
        <f t="shared" si="68"/>
        <v>1090.4000000000001</v>
      </c>
      <c r="I2187">
        <f t="shared" si="69"/>
        <v>677.6</v>
      </c>
    </row>
    <row r="2188" spans="1:9" ht="30" x14ac:dyDescent="0.25">
      <c r="A2188" s="5" t="s">
        <v>49</v>
      </c>
      <c r="B2188" s="5" t="s">
        <v>64</v>
      </c>
      <c r="C2188" s="5" t="s">
        <v>2618</v>
      </c>
      <c r="D2188" s="3">
        <f>VLOOKUP(A2188,airports!A:H,7,FALSE)</f>
        <v>32.895950560000003</v>
      </c>
      <c r="E2188" s="3">
        <f>VLOOKUP(A2188,airports!A:H,8,FALSE)</f>
        <v>-97.037199999999999</v>
      </c>
      <c r="F2188" s="3">
        <f>VLOOKUP(B2188,airports!A:H,7,FALSE)</f>
        <v>40.481180279999997</v>
      </c>
      <c r="G2188" s="3">
        <f>VLOOKUP(B2188,airports!A:H,8,FALSE)</f>
        <v>-107.2176597</v>
      </c>
      <c r="H2188">
        <f t="shared" si="68"/>
        <v>1237.5</v>
      </c>
      <c r="I2188">
        <f t="shared" si="69"/>
        <v>769</v>
      </c>
    </row>
    <row r="2189" spans="1:9" ht="30" x14ac:dyDescent="0.25">
      <c r="A2189" s="5" t="s">
        <v>49</v>
      </c>
      <c r="B2189" s="5" t="s">
        <v>524</v>
      </c>
      <c r="C2189" s="5" t="s">
        <v>2619</v>
      </c>
      <c r="D2189" s="3">
        <f>VLOOKUP(A2189,airports!A:H,7,FALSE)</f>
        <v>32.895950560000003</v>
      </c>
      <c r="E2189" s="3">
        <f>VLOOKUP(A2189,airports!A:H,8,FALSE)</f>
        <v>-97.037199999999999</v>
      </c>
      <c r="F2189" s="3">
        <f>VLOOKUP(B2189,airports!A:H,7,FALSE)</f>
        <v>32.224399566700001</v>
      </c>
      <c r="G2189" s="3">
        <f>VLOOKUP(B2189,airports!A:H,8,FALSE)</f>
        <v>-80.697502136200001</v>
      </c>
      <c r="H2189">
        <f t="shared" si="68"/>
        <v>1531.6</v>
      </c>
      <c r="I2189">
        <f t="shared" si="69"/>
        <v>951.8</v>
      </c>
    </row>
    <row r="2190" spans="1:9" ht="30" x14ac:dyDescent="0.25">
      <c r="A2190" s="5" t="s">
        <v>49</v>
      </c>
      <c r="B2190" s="5" t="s">
        <v>360</v>
      </c>
      <c r="C2190" s="5" t="s">
        <v>2620</v>
      </c>
      <c r="D2190" s="3">
        <f>VLOOKUP(A2190,airports!A:H,7,FALSE)</f>
        <v>32.895950560000003</v>
      </c>
      <c r="E2190" s="3">
        <f>VLOOKUP(A2190,airports!A:H,8,FALSE)</f>
        <v>-97.037199999999999</v>
      </c>
      <c r="F2190" s="3">
        <f>VLOOKUP(B2190,airports!A:H,7,FALSE)</f>
        <v>21.31869111</v>
      </c>
      <c r="G2190" s="3">
        <f>VLOOKUP(B2190,airports!A:H,8,FALSE)</f>
        <v>-157.92240720000001</v>
      </c>
      <c r="H2190">
        <f t="shared" si="68"/>
        <v>6080.9</v>
      </c>
      <c r="I2190">
        <f t="shared" si="69"/>
        <v>3778.7</v>
      </c>
    </row>
    <row r="2191" spans="1:9" ht="30" x14ac:dyDescent="0.25">
      <c r="A2191" s="5" t="s">
        <v>49</v>
      </c>
      <c r="B2191" s="5" t="s">
        <v>205</v>
      </c>
      <c r="C2191" s="5" t="s">
        <v>2621</v>
      </c>
      <c r="D2191" s="3">
        <f>VLOOKUP(A2191,airports!A:H,7,FALSE)</f>
        <v>32.895950560000003</v>
      </c>
      <c r="E2191" s="3">
        <f>VLOOKUP(A2191,airports!A:H,8,FALSE)</f>
        <v>-97.037199999999999</v>
      </c>
      <c r="F2191" s="3">
        <f>VLOOKUP(B2191,airports!A:H,7,FALSE)</f>
        <v>29.64541861</v>
      </c>
      <c r="G2191" s="3">
        <f>VLOOKUP(B2191,airports!A:H,8,FALSE)</f>
        <v>-95.278888890000005</v>
      </c>
      <c r="H2191">
        <f t="shared" si="68"/>
        <v>398.2</v>
      </c>
      <c r="I2191">
        <f t="shared" si="69"/>
        <v>247.4</v>
      </c>
    </row>
    <row r="2192" spans="1:9" ht="30" x14ac:dyDescent="0.25">
      <c r="A2192" s="5" t="s">
        <v>49</v>
      </c>
      <c r="B2192" s="5" t="s">
        <v>729</v>
      </c>
      <c r="C2192" s="5" t="s">
        <v>2622</v>
      </c>
      <c r="D2192" s="3">
        <f>VLOOKUP(A2192,airports!A:H,7,FALSE)</f>
        <v>32.895950560000003</v>
      </c>
      <c r="E2192" s="3">
        <f>VLOOKUP(A2192,airports!A:H,8,FALSE)</f>
        <v>-97.037199999999999</v>
      </c>
      <c r="F2192" s="3">
        <f>VLOOKUP(B2192,airports!A:H,7,FALSE)</f>
        <v>26.228506110000001</v>
      </c>
      <c r="G2192" s="3">
        <f>VLOOKUP(B2192,airports!A:H,8,FALSE)</f>
        <v>-97.654393889999994</v>
      </c>
      <c r="H2192">
        <f t="shared" si="68"/>
        <v>743.8</v>
      </c>
      <c r="I2192">
        <f t="shared" si="69"/>
        <v>462.2</v>
      </c>
    </row>
    <row r="2193" spans="1:9" ht="30" x14ac:dyDescent="0.25">
      <c r="A2193" s="5" t="s">
        <v>49</v>
      </c>
      <c r="B2193" s="5" t="s">
        <v>529</v>
      </c>
      <c r="C2193" s="5" t="s">
        <v>2623</v>
      </c>
      <c r="D2193" s="3">
        <f>VLOOKUP(A2193,airports!A:H,7,FALSE)</f>
        <v>32.895950560000003</v>
      </c>
      <c r="E2193" s="3">
        <f>VLOOKUP(A2193,airports!A:H,8,FALSE)</f>
        <v>-97.037199999999999</v>
      </c>
      <c r="F2193" s="3">
        <f>VLOOKUP(B2193,airports!A:H,7,FALSE)</f>
        <v>34.640447500000001</v>
      </c>
      <c r="G2193" s="3">
        <f>VLOOKUP(B2193,airports!A:H,8,FALSE)</f>
        <v>-86.773109439999999</v>
      </c>
      <c r="H2193">
        <f t="shared" si="68"/>
        <v>967.9</v>
      </c>
      <c r="I2193">
        <f t="shared" si="69"/>
        <v>601.5</v>
      </c>
    </row>
    <row r="2194" spans="1:9" ht="30" x14ac:dyDescent="0.25">
      <c r="A2194" s="5" t="s">
        <v>49</v>
      </c>
      <c r="B2194" s="5" t="s">
        <v>176</v>
      </c>
      <c r="C2194" s="5" t="s">
        <v>2624</v>
      </c>
      <c r="D2194" s="3">
        <f>VLOOKUP(A2194,airports!A:H,7,FALSE)</f>
        <v>32.895950560000003</v>
      </c>
      <c r="E2194" s="3">
        <f>VLOOKUP(A2194,airports!A:H,8,FALSE)</f>
        <v>-97.037199999999999</v>
      </c>
      <c r="F2194" s="3">
        <f>VLOOKUP(B2194,airports!A:H,7,FALSE)</f>
        <v>38.944531939999997</v>
      </c>
      <c r="G2194" s="3">
        <f>VLOOKUP(B2194,airports!A:H,8,FALSE)</f>
        <v>-77.455809720000005</v>
      </c>
      <c r="H2194">
        <f t="shared" si="68"/>
        <v>1882.5</v>
      </c>
      <c r="I2194">
        <f t="shared" si="69"/>
        <v>1169.8</v>
      </c>
    </row>
    <row r="2195" spans="1:9" ht="30" x14ac:dyDescent="0.25">
      <c r="A2195" s="5" t="s">
        <v>49</v>
      </c>
      <c r="B2195" s="5" t="s">
        <v>67</v>
      </c>
      <c r="C2195" s="5" t="s">
        <v>2625</v>
      </c>
      <c r="D2195" s="3">
        <f>VLOOKUP(A2195,airports!A:H,7,FALSE)</f>
        <v>32.895950560000003</v>
      </c>
      <c r="E2195" s="3">
        <f>VLOOKUP(A2195,airports!A:H,8,FALSE)</f>
        <v>-97.037199999999999</v>
      </c>
      <c r="F2195" s="3">
        <f>VLOOKUP(B2195,airports!A:H,7,FALSE)</f>
        <v>29.980472219999999</v>
      </c>
      <c r="G2195" s="3">
        <f>VLOOKUP(B2195,airports!A:H,8,FALSE)</f>
        <v>-95.339722219999999</v>
      </c>
      <c r="H2195">
        <f t="shared" si="68"/>
        <v>362</v>
      </c>
      <c r="I2195">
        <f t="shared" si="69"/>
        <v>224.9</v>
      </c>
    </row>
    <row r="2196" spans="1:9" ht="30" x14ac:dyDescent="0.25">
      <c r="A2196" s="5" t="s">
        <v>49</v>
      </c>
      <c r="B2196" s="5" t="s">
        <v>533</v>
      </c>
      <c r="C2196" s="5" t="s">
        <v>2626</v>
      </c>
      <c r="D2196" s="3">
        <f>VLOOKUP(A2196,airports!A:H,7,FALSE)</f>
        <v>32.895950560000003</v>
      </c>
      <c r="E2196" s="3">
        <f>VLOOKUP(A2196,airports!A:H,8,FALSE)</f>
        <v>-97.037199999999999</v>
      </c>
      <c r="F2196" s="3">
        <f>VLOOKUP(B2196,airports!A:H,7,FALSE)</f>
        <v>37.649958890000001</v>
      </c>
      <c r="G2196" s="3">
        <f>VLOOKUP(B2196,airports!A:H,8,FALSE)</f>
        <v>-97.433045829999998</v>
      </c>
      <c r="H2196">
        <f t="shared" si="68"/>
        <v>529.79999999999995</v>
      </c>
      <c r="I2196">
        <f t="shared" si="69"/>
        <v>329.2</v>
      </c>
    </row>
    <row r="2197" spans="1:9" ht="30" x14ac:dyDescent="0.25">
      <c r="A2197" s="5" t="s">
        <v>49</v>
      </c>
      <c r="B2197" s="5" t="s">
        <v>867</v>
      </c>
      <c r="C2197" s="5" t="s">
        <v>2627</v>
      </c>
      <c r="D2197" s="3">
        <f>VLOOKUP(A2197,airports!A:H,7,FALSE)</f>
        <v>32.895950560000003</v>
      </c>
      <c r="E2197" s="3">
        <f>VLOOKUP(A2197,airports!A:H,8,FALSE)</f>
        <v>-97.037199999999999</v>
      </c>
      <c r="F2197" s="3">
        <f>VLOOKUP(B2197,airports!A:H,7,FALSE)</f>
        <v>43.514555559999998</v>
      </c>
      <c r="G2197" s="3">
        <f>VLOOKUP(B2197,airports!A:H,8,FALSE)</f>
        <v>-112.0701667</v>
      </c>
      <c r="H2197">
        <f t="shared" si="68"/>
        <v>1761.1</v>
      </c>
      <c r="I2197">
        <f t="shared" si="69"/>
        <v>1094.4000000000001</v>
      </c>
    </row>
    <row r="2198" spans="1:9" ht="30" x14ac:dyDescent="0.25">
      <c r="A2198" s="5" t="s">
        <v>49</v>
      </c>
      <c r="B2198" s="5" t="s">
        <v>535</v>
      </c>
      <c r="C2198" s="5" t="s">
        <v>2628</v>
      </c>
      <c r="D2198" s="3">
        <f>VLOOKUP(A2198,airports!A:H,7,FALSE)</f>
        <v>32.895950560000003</v>
      </c>
      <c r="E2198" s="3">
        <f>VLOOKUP(A2198,airports!A:H,8,FALSE)</f>
        <v>-97.037199999999999</v>
      </c>
      <c r="F2198" s="3">
        <f>VLOOKUP(B2198,airports!A:H,7,FALSE)</f>
        <v>34.270611109999997</v>
      </c>
      <c r="G2198" s="3">
        <f>VLOOKUP(B2198,airports!A:H,8,FALSE)</f>
        <v>-77.902555559999996</v>
      </c>
      <c r="H2198">
        <f t="shared" si="68"/>
        <v>1776.5</v>
      </c>
      <c r="I2198">
        <f t="shared" si="69"/>
        <v>1103.9000000000001</v>
      </c>
    </row>
    <row r="2199" spans="1:9" ht="30" x14ac:dyDescent="0.25">
      <c r="A2199" s="5" t="s">
        <v>49</v>
      </c>
      <c r="B2199" s="5" t="s">
        <v>537</v>
      </c>
      <c r="C2199" s="5" t="s">
        <v>2629</v>
      </c>
      <c r="D2199" s="3">
        <f>VLOOKUP(A2199,airports!A:H,7,FALSE)</f>
        <v>32.895950560000003</v>
      </c>
      <c r="E2199" s="3">
        <f>VLOOKUP(A2199,airports!A:H,8,FALSE)</f>
        <v>-97.037199999999999</v>
      </c>
      <c r="F2199" s="3">
        <f>VLOOKUP(B2199,airports!A:H,7,FALSE)</f>
        <v>39.717329169999999</v>
      </c>
      <c r="G2199" s="3">
        <f>VLOOKUP(B2199,airports!A:H,8,FALSE)</f>
        <v>-86.294384170000001</v>
      </c>
      <c r="H2199">
        <f t="shared" si="68"/>
        <v>1224</v>
      </c>
      <c r="I2199">
        <f t="shared" si="69"/>
        <v>760.6</v>
      </c>
    </row>
    <row r="2200" spans="1:9" ht="30" x14ac:dyDescent="0.25">
      <c r="A2200" s="5" t="s">
        <v>49</v>
      </c>
      <c r="B2200" s="5" t="s">
        <v>541</v>
      </c>
      <c r="C2200" s="5" t="s">
        <v>2630</v>
      </c>
      <c r="D2200" s="3">
        <f>VLOOKUP(A2200,airports!A:H,7,FALSE)</f>
        <v>32.895950560000003</v>
      </c>
      <c r="E2200" s="3">
        <f>VLOOKUP(A2200,airports!A:H,8,FALSE)</f>
        <v>-97.037199999999999</v>
      </c>
      <c r="F2200" s="3">
        <f>VLOOKUP(B2200,airports!A:H,7,FALSE)</f>
        <v>43.607324169999998</v>
      </c>
      <c r="G2200" s="3">
        <f>VLOOKUP(B2200,airports!A:H,8,FALSE)</f>
        <v>-110.7377389</v>
      </c>
      <c r="H2200">
        <f t="shared" si="68"/>
        <v>1683.8</v>
      </c>
      <c r="I2200">
        <f t="shared" si="69"/>
        <v>1046.3</v>
      </c>
    </row>
    <row r="2201" spans="1:9" ht="30" x14ac:dyDescent="0.25">
      <c r="A2201" s="5" t="s">
        <v>49</v>
      </c>
      <c r="B2201" s="5" t="s">
        <v>543</v>
      </c>
      <c r="C2201" s="5" t="s">
        <v>2631</v>
      </c>
      <c r="D2201" s="3">
        <f>VLOOKUP(A2201,airports!A:H,7,FALSE)</f>
        <v>32.895950560000003</v>
      </c>
      <c r="E2201" s="3">
        <f>VLOOKUP(A2201,airports!A:H,8,FALSE)</f>
        <v>-97.037199999999999</v>
      </c>
      <c r="F2201" s="3">
        <f>VLOOKUP(B2201,airports!A:H,7,FALSE)</f>
        <v>32.311166669999999</v>
      </c>
      <c r="G2201" s="3">
        <f>VLOOKUP(B2201,airports!A:H,8,FALSE)</f>
        <v>-90.075888890000002</v>
      </c>
      <c r="H2201">
        <f t="shared" si="68"/>
        <v>655.20000000000005</v>
      </c>
      <c r="I2201">
        <f t="shared" si="69"/>
        <v>407.1</v>
      </c>
    </row>
    <row r="2202" spans="1:9" ht="30" x14ac:dyDescent="0.25">
      <c r="A2202" s="5" t="s">
        <v>49</v>
      </c>
      <c r="B2202" s="5" t="s">
        <v>68</v>
      </c>
      <c r="C2202" s="5" t="s">
        <v>2632</v>
      </c>
      <c r="D2202" s="3">
        <f>VLOOKUP(A2202,airports!A:H,7,FALSE)</f>
        <v>32.895950560000003</v>
      </c>
      <c r="E2202" s="3">
        <f>VLOOKUP(A2202,airports!A:H,8,FALSE)</f>
        <v>-97.037199999999999</v>
      </c>
      <c r="F2202" s="3">
        <f>VLOOKUP(B2202,airports!A:H,7,FALSE)</f>
        <v>30.49405556</v>
      </c>
      <c r="G2202" s="3">
        <f>VLOOKUP(B2202,airports!A:H,8,FALSE)</f>
        <v>-81.68786111</v>
      </c>
      <c r="H2202">
        <f t="shared" si="68"/>
        <v>1475.2</v>
      </c>
      <c r="I2202">
        <f t="shared" si="69"/>
        <v>916.7</v>
      </c>
    </row>
    <row r="2203" spans="1:9" ht="30" x14ac:dyDescent="0.25">
      <c r="A2203" s="5" t="s">
        <v>49</v>
      </c>
      <c r="B2203" s="5" t="s">
        <v>69</v>
      </c>
      <c r="C2203" s="5" t="s">
        <v>2633</v>
      </c>
      <c r="D2203" s="3">
        <f>VLOOKUP(A2203,airports!A:H,7,FALSE)</f>
        <v>32.895950560000003</v>
      </c>
      <c r="E2203" s="3">
        <f>VLOOKUP(A2203,airports!A:H,8,FALSE)</f>
        <v>-97.037199999999999</v>
      </c>
      <c r="F2203" s="3">
        <f>VLOOKUP(B2203,airports!A:H,7,FALSE)</f>
        <v>40.639751109999999</v>
      </c>
      <c r="G2203" s="3">
        <f>VLOOKUP(B2203,airports!A:H,8,FALSE)</f>
        <v>-73.778925560000005</v>
      </c>
      <c r="H2203">
        <f t="shared" si="68"/>
        <v>2234.9</v>
      </c>
      <c r="I2203">
        <f t="shared" si="69"/>
        <v>1388.8</v>
      </c>
    </row>
    <row r="2204" spans="1:9" ht="30" x14ac:dyDescent="0.25">
      <c r="A2204" s="5" t="s">
        <v>49</v>
      </c>
      <c r="B2204" s="5" t="s">
        <v>2407</v>
      </c>
      <c r="C2204" s="5" t="s">
        <v>2634</v>
      </c>
      <c r="D2204" s="3">
        <f>VLOOKUP(A2204,airports!A:H,7,FALSE)</f>
        <v>32.895950560000003</v>
      </c>
      <c r="E2204" s="3">
        <f>VLOOKUP(A2204,airports!A:H,8,FALSE)</f>
        <v>-97.037199999999999</v>
      </c>
      <c r="F2204" s="3">
        <f>VLOOKUP(B2204,airports!A:H,7,FALSE)</f>
        <v>37.151813609999998</v>
      </c>
      <c r="G2204" s="3">
        <f>VLOOKUP(B2204,airports!A:H,8,FALSE)</f>
        <v>-94.498268330000002</v>
      </c>
      <c r="H2204">
        <f t="shared" si="68"/>
        <v>526.6</v>
      </c>
      <c r="I2204">
        <f t="shared" si="69"/>
        <v>327.2</v>
      </c>
    </row>
    <row r="2205" spans="1:9" ht="30" x14ac:dyDescent="0.25">
      <c r="A2205" s="5" t="s">
        <v>49</v>
      </c>
      <c r="B2205" s="5" t="s">
        <v>366</v>
      </c>
      <c r="C2205" s="5" t="s">
        <v>2635</v>
      </c>
      <c r="D2205" s="3">
        <f>VLOOKUP(A2205,airports!A:H,7,FALSE)</f>
        <v>32.895950560000003</v>
      </c>
      <c r="E2205" s="3">
        <f>VLOOKUP(A2205,airports!A:H,8,FALSE)</f>
        <v>-97.037199999999999</v>
      </c>
      <c r="F2205" s="3">
        <f>VLOOKUP(B2205,airports!A:H,7,FALSE)</f>
        <v>19.738765829999998</v>
      </c>
      <c r="G2205" s="3">
        <f>VLOOKUP(B2205,airports!A:H,8,FALSE)</f>
        <v>-156.04563139999999</v>
      </c>
      <c r="H2205">
        <f t="shared" si="68"/>
        <v>5984.1</v>
      </c>
      <c r="I2205">
        <f t="shared" si="69"/>
        <v>3718.6</v>
      </c>
    </row>
    <row r="2206" spans="1:9" ht="30" x14ac:dyDescent="0.25">
      <c r="A2206" s="5" t="s">
        <v>49</v>
      </c>
      <c r="B2206" s="5" t="s">
        <v>71</v>
      </c>
      <c r="C2206" s="5" t="s">
        <v>2636</v>
      </c>
      <c r="D2206" s="3">
        <f>VLOOKUP(A2206,airports!A:H,7,FALSE)</f>
        <v>32.895950560000003</v>
      </c>
      <c r="E2206" s="3">
        <f>VLOOKUP(A2206,airports!A:H,8,FALSE)</f>
        <v>-97.037199999999999</v>
      </c>
      <c r="F2206" s="3">
        <f>VLOOKUP(B2206,airports!A:H,7,FALSE)</f>
        <v>36.080361109999998</v>
      </c>
      <c r="G2206" s="3">
        <f>VLOOKUP(B2206,airports!A:H,8,FALSE)</f>
        <v>-115.1523333</v>
      </c>
      <c r="H2206">
        <f t="shared" si="68"/>
        <v>1694.9</v>
      </c>
      <c r="I2206">
        <f t="shared" si="69"/>
        <v>1053.2</v>
      </c>
    </row>
    <row r="2207" spans="1:9" ht="30" x14ac:dyDescent="0.25">
      <c r="A2207" s="5" t="s">
        <v>49</v>
      </c>
      <c r="B2207" s="5" t="s">
        <v>2637</v>
      </c>
      <c r="C2207" s="5" t="s">
        <v>2638</v>
      </c>
      <c r="D2207" s="3">
        <f>VLOOKUP(A2207,airports!A:H,7,FALSE)</f>
        <v>32.895950560000003</v>
      </c>
      <c r="E2207" s="3">
        <f>VLOOKUP(A2207,airports!A:H,8,FALSE)</f>
        <v>-97.037199999999999</v>
      </c>
      <c r="F2207" s="3">
        <f>VLOOKUP(B2207,airports!A:H,7,FALSE)</f>
        <v>34.567714440000003</v>
      </c>
      <c r="G2207" s="3">
        <f>VLOOKUP(B2207,airports!A:H,8,FALSE)</f>
        <v>-98.416636670000003</v>
      </c>
      <c r="H2207">
        <f t="shared" si="68"/>
        <v>225.4</v>
      </c>
      <c r="I2207">
        <f t="shared" si="69"/>
        <v>140.1</v>
      </c>
    </row>
    <row r="2208" spans="1:9" ht="30" x14ac:dyDescent="0.25">
      <c r="A2208" s="5" t="s">
        <v>49</v>
      </c>
      <c r="B2208" s="5" t="s">
        <v>73</v>
      </c>
      <c r="C2208" s="5" t="s">
        <v>2639</v>
      </c>
      <c r="D2208" s="3">
        <f>VLOOKUP(A2208,airports!A:H,7,FALSE)</f>
        <v>32.895950560000003</v>
      </c>
      <c r="E2208" s="3">
        <f>VLOOKUP(A2208,airports!A:H,8,FALSE)</f>
        <v>-97.037199999999999</v>
      </c>
      <c r="F2208" s="3">
        <f>VLOOKUP(B2208,airports!A:H,7,FALSE)</f>
        <v>33.942536109999999</v>
      </c>
      <c r="G2208" s="3">
        <f>VLOOKUP(B2208,airports!A:H,8,FALSE)</f>
        <v>-118.4080744</v>
      </c>
      <c r="H2208">
        <f t="shared" si="68"/>
        <v>1983.3</v>
      </c>
      <c r="I2208">
        <f t="shared" si="69"/>
        <v>1232.4000000000001</v>
      </c>
    </row>
    <row r="2209" spans="1:9" ht="30" x14ac:dyDescent="0.25">
      <c r="A2209" s="5" t="s">
        <v>49</v>
      </c>
      <c r="B2209" s="5" t="s">
        <v>738</v>
      </c>
      <c r="C2209" s="5" t="s">
        <v>2640</v>
      </c>
      <c r="D2209" s="3">
        <f>VLOOKUP(A2209,airports!A:H,7,FALSE)</f>
        <v>32.895950560000003</v>
      </c>
      <c r="E2209" s="3">
        <f>VLOOKUP(A2209,airports!A:H,8,FALSE)</f>
        <v>-97.037199999999999</v>
      </c>
      <c r="F2209" s="3">
        <f>VLOOKUP(B2209,airports!A:H,7,FALSE)</f>
        <v>33.663638890000001</v>
      </c>
      <c r="G2209" s="3">
        <f>VLOOKUP(B2209,airports!A:H,8,FALSE)</f>
        <v>-101.8227778</v>
      </c>
      <c r="H2209">
        <f t="shared" si="68"/>
        <v>452.9</v>
      </c>
      <c r="I2209">
        <f t="shared" si="69"/>
        <v>281.5</v>
      </c>
    </row>
    <row r="2210" spans="1:9" ht="30" x14ac:dyDescent="0.25">
      <c r="A2210" s="5" t="s">
        <v>49</v>
      </c>
      <c r="B2210" s="5" t="s">
        <v>2641</v>
      </c>
      <c r="C2210" s="5" t="s">
        <v>2642</v>
      </c>
      <c r="D2210" s="3">
        <f>VLOOKUP(A2210,airports!A:H,7,FALSE)</f>
        <v>32.895950560000003</v>
      </c>
      <c r="E2210" s="3">
        <f>VLOOKUP(A2210,airports!A:H,8,FALSE)</f>
        <v>-97.037199999999999</v>
      </c>
      <c r="F2210" s="3">
        <f>VLOOKUP(B2210,airports!A:H,7,FALSE)</f>
        <v>30.1260975</v>
      </c>
      <c r="G2210" s="3">
        <f>VLOOKUP(B2210,airports!A:H,8,FALSE)</f>
        <v>-93.223403610000005</v>
      </c>
      <c r="H2210">
        <f t="shared" si="68"/>
        <v>474.9</v>
      </c>
      <c r="I2210">
        <f t="shared" si="69"/>
        <v>295.10000000000002</v>
      </c>
    </row>
    <row r="2211" spans="1:9" ht="30" x14ac:dyDescent="0.25">
      <c r="A2211" s="5" t="s">
        <v>49</v>
      </c>
      <c r="B2211" s="5" t="s">
        <v>549</v>
      </c>
      <c r="C2211" s="5" t="s">
        <v>2643</v>
      </c>
      <c r="D2211" s="3">
        <f>VLOOKUP(A2211,airports!A:H,7,FALSE)</f>
        <v>32.895950560000003</v>
      </c>
      <c r="E2211" s="3">
        <f>VLOOKUP(A2211,airports!A:H,8,FALSE)</f>
        <v>-97.037199999999999</v>
      </c>
      <c r="F2211" s="3">
        <f>VLOOKUP(B2211,airports!A:H,7,FALSE)</f>
        <v>38.036972220000003</v>
      </c>
      <c r="G2211" s="3">
        <f>VLOOKUP(B2211,airports!A:H,8,FALSE)</f>
        <v>-84.60538889</v>
      </c>
      <c r="H2211">
        <f t="shared" si="68"/>
        <v>1261.2</v>
      </c>
      <c r="I2211">
        <f t="shared" si="69"/>
        <v>783.7</v>
      </c>
    </row>
    <row r="2212" spans="1:9" ht="30" x14ac:dyDescent="0.25">
      <c r="A2212" s="5" t="s">
        <v>49</v>
      </c>
      <c r="B2212" s="5" t="s">
        <v>551</v>
      </c>
      <c r="C2212" s="5" t="s">
        <v>2644</v>
      </c>
      <c r="D2212" s="3">
        <f>VLOOKUP(A2212,airports!A:H,7,FALSE)</f>
        <v>32.895950560000003</v>
      </c>
      <c r="E2212" s="3">
        <f>VLOOKUP(A2212,airports!A:H,8,FALSE)</f>
        <v>-97.037199999999999</v>
      </c>
      <c r="F2212" s="3">
        <f>VLOOKUP(B2212,airports!A:H,7,FALSE)</f>
        <v>30.20527972</v>
      </c>
      <c r="G2212" s="3">
        <f>VLOOKUP(B2212,airports!A:H,8,FALSE)</f>
        <v>-91.987655000000004</v>
      </c>
      <c r="H2212">
        <f t="shared" si="68"/>
        <v>564.20000000000005</v>
      </c>
      <c r="I2212">
        <f t="shared" si="69"/>
        <v>350.6</v>
      </c>
    </row>
    <row r="2213" spans="1:9" ht="30" x14ac:dyDescent="0.25">
      <c r="A2213" s="5" t="s">
        <v>49</v>
      </c>
      <c r="B2213" s="5" t="s">
        <v>74</v>
      </c>
      <c r="C2213" s="5" t="s">
        <v>2645</v>
      </c>
      <c r="D2213" s="3">
        <f>VLOOKUP(A2213,airports!A:H,7,FALSE)</f>
        <v>32.895950560000003</v>
      </c>
      <c r="E2213" s="3">
        <f>VLOOKUP(A2213,airports!A:H,8,FALSE)</f>
        <v>-97.037199999999999</v>
      </c>
      <c r="F2213" s="3">
        <f>VLOOKUP(B2213,airports!A:H,7,FALSE)</f>
        <v>40.777243060000004</v>
      </c>
      <c r="G2213" s="3">
        <f>VLOOKUP(B2213,airports!A:H,8,FALSE)</f>
        <v>-73.872609170000004</v>
      </c>
      <c r="H2213">
        <f t="shared" si="68"/>
        <v>2231.3000000000002</v>
      </c>
      <c r="I2213">
        <f t="shared" si="69"/>
        <v>1386.6</v>
      </c>
    </row>
    <row r="2214" spans="1:9" ht="30" x14ac:dyDescent="0.25">
      <c r="A2214" s="5" t="s">
        <v>49</v>
      </c>
      <c r="B2214" s="5" t="s">
        <v>742</v>
      </c>
      <c r="C2214" s="5" t="s">
        <v>2646</v>
      </c>
      <c r="D2214" s="3">
        <f>VLOOKUP(A2214,airports!A:H,7,FALSE)</f>
        <v>32.895950560000003</v>
      </c>
      <c r="E2214" s="3">
        <f>VLOOKUP(A2214,airports!A:H,8,FALSE)</f>
        <v>-97.037199999999999</v>
      </c>
      <c r="F2214" s="3">
        <f>VLOOKUP(B2214,airports!A:H,7,FALSE)</f>
        <v>33.81772222</v>
      </c>
      <c r="G2214" s="3">
        <f>VLOOKUP(B2214,airports!A:H,8,FALSE)</f>
        <v>-118.1516111</v>
      </c>
      <c r="H2214">
        <f t="shared" si="68"/>
        <v>1960.3</v>
      </c>
      <c r="I2214">
        <f t="shared" si="69"/>
        <v>1218.0999999999999</v>
      </c>
    </row>
    <row r="2215" spans="1:9" ht="30" x14ac:dyDescent="0.25">
      <c r="A2215" s="5" t="s">
        <v>49</v>
      </c>
      <c r="B2215" s="5" t="s">
        <v>2421</v>
      </c>
      <c r="C2215" s="5" t="s">
        <v>2647</v>
      </c>
      <c r="D2215" s="3">
        <f>VLOOKUP(A2215,airports!A:H,7,FALSE)</f>
        <v>32.895950560000003</v>
      </c>
      <c r="E2215" s="3">
        <f>VLOOKUP(A2215,airports!A:H,8,FALSE)</f>
        <v>-97.037199999999999</v>
      </c>
      <c r="F2215" s="3">
        <f>VLOOKUP(B2215,airports!A:H,7,FALSE)</f>
        <v>21.975983060000001</v>
      </c>
      <c r="G2215" s="3">
        <f>VLOOKUP(B2215,airports!A:H,8,FALSE)</f>
        <v>-159.33895810000001</v>
      </c>
      <c r="H2215">
        <f t="shared" si="68"/>
        <v>6180.9</v>
      </c>
      <c r="I2215">
        <f t="shared" si="69"/>
        <v>3840.8</v>
      </c>
    </row>
    <row r="2216" spans="1:9" x14ac:dyDescent="0.25">
      <c r="A2216" s="5" t="s">
        <v>49</v>
      </c>
      <c r="B2216" s="5" t="s">
        <v>554</v>
      </c>
      <c r="C2216" s="5" t="s">
        <v>2648</v>
      </c>
      <c r="D2216" s="3">
        <f>VLOOKUP(A2216,airports!A:H,7,FALSE)</f>
        <v>32.895950560000003</v>
      </c>
      <c r="E2216" s="3">
        <f>VLOOKUP(A2216,airports!A:H,8,FALSE)</f>
        <v>-97.037199999999999</v>
      </c>
      <c r="F2216" s="3">
        <f>VLOOKUP(B2216,airports!A:H,7,FALSE)</f>
        <v>34.729396110000003</v>
      </c>
      <c r="G2216" s="3">
        <f>VLOOKUP(B2216,airports!A:H,8,FALSE)</f>
        <v>-92.22424556</v>
      </c>
      <c r="H2216">
        <f t="shared" si="68"/>
        <v>489.1</v>
      </c>
      <c r="I2216">
        <f t="shared" si="69"/>
        <v>303.89999999999998</v>
      </c>
    </row>
    <row r="2217" spans="1:9" ht="30" x14ac:dyDescent="0.25">
      <c r="A2217" s="5" t="s">
        <v>49</v>
      </c>
      <c r="B2217" s="5" t="s">
        <v>2649</v>
      </c>
      <c r="C2217" s="5" t="s">
        <v>2650</v>
      </c>
      <c r="D2217" s="3">
        <f>VLOOKUP(A2217,airports!A:H,7,FALSE)</f>
        <v>32.895950560000003</v>
      </c>
      <c r="E2217" s="3">
        <f>VLOOKUP(A2217,airports!A:H,8,FALSE)</f>
        <v>-97.037199999999999</v>
      </c>
      <c r="F2217" s="3">
        <f>VLOOKUP(B2217,airports!A:H,7,FALSE)</f>
        <v>27.543738609999998</v>
      </c>
      <c r="G2217" s="3">
        <f>VLOOKUP(B2217,airports!A:H,8,FALSE)</f>
        <v>-99.461543610000007</v>
      </c>
      <c r="H2217">
        <f t="shared" si="68"/>
        <v>639</v>
      </c>
      <c r="I2217">
        <f t="shared" si="69"/>
        <v>397.1</v>
      </c>
    </row>
    <row r="2218" spans="1:9" ht="30" x14ac:dyDescent="0.25">
      <c r="A2218" s="5" t="s">
        <v>49</v>
      </c>
      <c r="B2218" s="5" t="s">
        <v>744</v>
      </c>
      <c r="C2218" s="5" t="s">
        <v>2651</v>
      </c>
      <c r="D2218" s="3">
        <f>VLOOKUP(A2218,airports!A:H,7,FALSE)</f>
        <v>32.895950560000003</v>
      </c>
      <c r="E2218" s="3">
        <f>VLOOKUP(A2218,airports!A:H,8,FALSE)</f>
        <v>-97.037199999999999</v>
      </c>
      <c r="F2218" s="3">
        <f>VLOOKUP(B2218,airports!A:H,7,FALSE)</f>
        <v>31.942527779999999</v>
      </c>
      <c r="G2218" s="3">
        <f>VLOOKUP(B2218,airports!A:H,8,FALSE)</f>
        <v>-102.20191389999999</v>
      </c>
      <c r="H2218">
        <f t="shared" si="68"/>
        <v>496.2</v>
      </c>
      <c r="I2218">
        <f t="shared" si="69"/>
        <v>308.3</v>
      </c>
    </row>
    <row r="2219" spans="1:9" ht="30" x14ac:dyDescent="0.25">
      <c r="A2219" s="5" t="s">
        <v>49</v>
      </c>
      <c r="B2219" s="5" t="s">
        <v>80</v>
      </c>
      <c r="C2219" s="5" t="s">
        <v>2652</v>
      </c>
      <c r="D2219" s="3">
        <f>VLOOKUP(A2219,airports!A:H,7,FALSE)</f>
        <v>32.895950560000003</v>
      </c>
      <c r="E2219" s="3">
        <f>VLOOKUP(A2219,airports!A:H,8,FALSE)</f>
        <v>-97.037199999999999</v>
      </c>
      <c r="F2219" s="3">
        <f>VLOOKUP(B2219,airports!A:H,7,FALSE)</f>
        <v>39.297605279999999</v>
      </c>
      <c r="G2219" s="3">
        <f>VLOOKUP(B2219,airports!A:H,8,FALSE)</f>
        <v>-94.713905560000001</v>
      </c>
      <c r="H2219">
        <f t="shared" si="68"/>
        <v>741.7</v>
      </c>
      <c r="I2219">
        <f t="shared" si="69"/>
        <v>460.9</v>
      </c>
    </row>
    <row r="2220" spans="1:9" ht="30" x14ac:dyDescent="0.25">
      <c r="A2220" s="5" t="s">
        <v>49</v>
      </c>
      <c r="B2220" s="5" t="s">
        <v>82</v>
      </c>
      <c r="C2220" s="5" t="s">
        <v>2653</v>
      </c>
      <c r="D2220" s="3">
        <f>VLOOKUP(A2220,airports!A:H,7,FALSE)</f>
        <v>32.895950560000003</v>
      </c>
      <c r="E2220" s="3">
        <f>VLOOKUP(A2220,airports!A:H,8,FALSE)</f>
        <v>-97.037199999999999</v>
      </c>
      <c r="F2220" s="3">
        <f>VLOOKUP(B2220,airports!A:H,7,FALSE)</f>
        <v>28.42888889</v>
      </c>
      <c r="G2220" s="3">
        <f>VLOOKUP(B2220,airports!A:H,8,FALSE)</f>
        <v>-81.316027779999999</v>
      </c>
      <c r="H2220">
        <f t="shared" si="68"/>
        <v>1581.7</v>
      </c>
      <c r="I2220">
        <f t="shared" si="69"/>
        <v>982.9</v>
      </c>
    </row>
    <row r="2221" spans="1:9" ht="30" x14ac:dyDescent="0.25">
      <c r="A2221" s="5" t="s">
        <v>49</v>
      </c>
      <c r="B2221" s="5" t="s">
        <v>178</v>
      </c>
      <c r="C2221" s="5" t="s">
        <v>2654</v>
      </c>
      <c r="D2221" s="3">
        <f>VLOOKUP(A2221,airports!A:H,7,FALSE)</f>
        <v>32.895950560000003</v>
      </c>
      <c r="E2221" s="3">
        <f>VLOOKUP(A2221,airports!A:H,8,FALSE)</f>
        <v>-97.037199999999999</v>
      </c>
      <c r="F2221" s="3">
        <f>VLOOKUP(B2221,airports!A:H,7,FALSE)</f>
        <v>40.19349528</v>
      </c>
      <c r="G2221" s="3">
        <f>VLOOKUP(B2221,airports!A:H,8,FALSE)</f>
        <v>-76.763403609999997</v>
      </c>
      <c r="H2221">
        <f t="shared" si="68"/>
        <v>1978.5</v>
      </c>
      <c r="I2221">
        <f t="shared" si="69"/>
        <v>1229.5</v>
      </c>
    </row>
    <row r="2222" spans="1:9" ht="30" x14ac:dyDescent="0.25">
      <c r="A2222" s="5" t="s">
        <v>49</v>
      </c>
      <c r="B2222" s="5" t="s">
        <v>180</v>
      </c>
      <c r="C2222" s="5" t="s">
        <v>2655</v>
      </c>
      <c r="D2222" s="3">
        <f>VLOOKUP(A2222,airports!A:H,7,FALSE)</f>
        <v>32.895950560000003</v>
      </c>
      <c r="E2222" s="3">
        <f>VLOOKUP(A2222,airports!A:H,8,FALSE)</f>
        <v>-97.037199999999999</v>
      </c>
      <c r="F2222" s="3">
        <f>VLOOKUP(B2222,airports!A:H,7,FALSE)</f>
        <v>41.785982500000003</v>
      </c>
      <c r="G2222" s="3">
        <f>VLOOKUP(B2222,airports!A:H,8,FALSE)</f>
        <v>-87.752424439999999</v>
      </c>
      <c r="H2222">
        <f t="shared" si="68"/>
        <v>1283.2</v>
      </c>
      <c r="I2222">
        <f t="shared" si="69"/>
        <v>797.4</v>
      </c>
    </row>
    <row r="2223" spans="1:9" ht="30" x14ac:dyDescent="0.25">
      <c r="A2223" s="5" t="s">
        <v>49</v>
      </c>
      <c r="B2223" s="5" t="s">
        <v>2656</v>
      </c>
      <c r="C2223" s="5" t="s">
        <v>2657</v>
      </c>
      <c r="D2223" s="3">
        <f>VLOOKUP(A2223,airports!A:H,7,FALSE)</f>
        <v>32.895950560000003</v>
      </c>
      <c r="E2223" s="3">
        <f>VLOOKUP(A2223,airports!A:H,8,FALSE)</f>
        <v>-97.037199999999999</v>
      </c>
      <c r="F2223" s="3">
        <f>VLOOKUP(B2223,airports!A:H,7,FALSE)</f>
        <v>32.333133330000003</v>
      </c>
      <c r="G2223" s="3">
        <f>VLOOKUP(B2223,airports!A:H,8,FALSE)</f>
        <v>-88.751205560000002</v>
      </c>
      <c r="H2223">
        <f t="shared" si="68"/>
        <v>778.4</v>
      </c>
      <c r="I2223">
        <f t="shared" si="69"/>
        <v>483.7</v>
      </c>
    </row>
    <row r="2224" spans="1:9" ht="30" x14ac:dyDescent="0.25">
      <c r="A2224" s="5" t="s">
        <v>49</v>
      </c>
      <c r="B2224" s="5" t="s">
        <v>563</v>
      </c>
      <c r="C2224" s="5" t="s">
        <v>2658</v>
      </c>
      <c r="D2224" s="3">
        <f>VLOOKUP(A2224,airports!A:H,7,FALSE)</f>
        <v>32.895950560000003</v>
      </c>
      <c r="E2224" s="3">
        <f>VLOOKUP(A2224,airports!A:H,8,FALSE)</f>
        <v>-97.037199999999999</v>
      </c>
      <c r="F2224" s="3">
        <f>VLOOKUP(B2224,airports!A:H,7,FALSE)</f>
        <v>35.042416670000001</v>
      </c>
      <c r="G2224" s="3">
        <f>VLOOKUP(B2224,airports!A:H,8,FALSE)</f>
        <v>-89.97666667</v>
      </c>
      <c r="H2224">
        <f t="shared" si="68"/>
        <v>693.3</v>
      </c>
      <c r="I2224">
        <f t="shared" si="69"/>
        <v>430.8</v>
      </c>
    </row>
    <row r="2225" spans="1:9" ht="30" x14ac:dyDescent="0.25">
      <c r="A2225" s="5" t="s">
        <v>49</v>
      </c>
      <c r="B2225" s="5" t="s">
        <v>750</v>
      </c>
      <c r="C2225" s="5" t="s">
        <v>2659</v>
      </c>
      <c r="D2225" s="3">
        <f>VLOOKUP(A2225,airports!A:H,7,FALSE)</f>
        <v>32.895950560000003</v>
      </c>
      <c r="E2225" s="3">
        <f>VLOOKUP(A2225,airports!A:H,8,FALSE)</f>
        <v>-97.037199999999999</v>
      </c>
      <c r="F2225" s="3">
        <f>VLOOKUP(B2225,airports!A:H,7,FALSE)</f>
        <v>26.17583333</v>
      </c>
      <c r="G2225" s="3">
        <f>VLOOKUP(B2225,airports!A:H,8,FALSE)</f>
        <v>-98.238611109999994</v>
      </c>
      <c r="H2225">
        <f t="shared" si="68"/>
        <v>756.2</v>
      </c>
      <c r="I2225">
        <f t="shared" si="69"/>
        <v>469.9</v>
      </c>
    </row>
    <row r="2226" spans="1:9" ht="30" x14ac:dyDescent="0.25">
      <c r="A2226" s="5" t="s">
        <v>49</v>
      </c>
      <c r="B2226" s="5" t="s">
        <v>565</v>
      </c>
      <c r="C2226" s="5" t="s">
        <v>2660</v>
      </c>
      <c r="D2226" s="3">
        <f>VLOOKUP(A2226,airports!A:H,7,FALSE)</f>
        <v>32.895950560000003</v>
      </c>
      <c r="E2226" s="3">
        <f>VLOOKUP(A2226,airports!A:H,8,FALSE)</f>
        <v>-97.037199999999999</v>
      </c>
      <c r="F2226" s="3">
        <f>VLOOKUP(B2226,airports!A:H,7,FALSE)</f>
        <v>32.300644169999998</v>
      </c>
      <c r="G2226" s="3">
        <f>VLOOKUP(B2226,airports!A:H,8,FALSE)</f>
        <v>-86.393976109999997</v>
      </c>
      <c r="H2226">
        <f t="shared" si="68"/>
        <v>998.8</v>
      </c>
      <c r="I2226">
        <f t="shared" si="69"/>
        <v>620.70000000000005</v>
      </c>
    </row>
    <row r="2227" spans="1:9" ht="30" x14ac:dyDescent="0.25">
      <c r="A2227" s="5" t="s">
        <v>49</v>
      </c>
      <c r="B2227" s="5" t="s">
        <v>2661</v>
      </c>
      <c r="C2227" s="5" t="s">
        <v>2662</v>
      </c>
      <c r="D2227" s="3">
        <f>VLOOKUP(A2227,airports!A:H,7,FALSE)</f>
        <v>32.895950560000003</v>
      </c>
      <c r="E2227" s="3">
        <f>VLOOKUP(A2227,airports!A:H,8,FALSE)</f>
        <v>-97.037199999999999</v>
      </c>
      <c r="F2227" s="3">
        <f>VLOOKUP(B2227,airports!A:H,7,FALSE)</f>
        <v>39.14096722</v>
      </c>
      <c r="G2227" s="3">
        <f>VLOOKUP(B2227,airports!A:H,8,FALSE)</f>
        <v>-96.670832779999998</v>
      </c>
      <c r="H2227">
        <f t="shared" si="68"/>
        <v>695.2</v>
      </c>
      <c r="I2227">
        <f t="shared" si="69"/>
        <v>432</v>
      </c>
    </row>
    <row r="2228" spans="1:9" ht="30" x14ac:dyDescent="0.25">
      <c r="A2228" s="5" t="s">
        <v>49</v>
      </c>
      <c r="B2228" s="5" t="s">
        <v>84</v>
      </c>
      <c r="C2228" s="5" t="s">
        <v>2663</v>
      </c>
      <c r="D2228" s="3">
        <f>VLOOKUP(A2228,airports!A:H,7,FALSE)</f>
        <v>32.895950560000003</v>
      </c>
      <c r="E2228" s="3">
        <f>VLOOKUP(A2228,airports!A:H,8,FALSE)</f>
        <v>-97.037199999999999</v>
      </c>
      <c r="F2228" s="3">
        <f>VLOOKUP(B2228,airports!A:H,7,FALSE)</f>
        <v>25.79325</v>
      </c>
      <c r="G2228" s="3">
        <f>VLOOKUP(B2228,airports!A:H,8,FALSE)</f>
        <v>-80.290555560000001</v>
      </c>
      <c r="H2228">
        <f t="shared" si="68"/>
        <v>1802.1</v>
      </c>
      <c r="I2228">
        <f t="shared" si="69"/>
        <v>1119.8</v>
      </c>
    </row>
    <row r="2229" spans="1:9" ht="30" x14ac:dyDescent="0.25">
      <c r="A2229" s="5" t="s">
        <v>49</v>
      </c>
      <c r="B2229" s="5" t="s">
        <v>85</v>
      </c>
      <c r="C2229" s="5" t="s">
        <v>2664</v>
      </c>
      <c r="D2229" s="3">
        <f>VLOOKUP(A2229,airports!A:H,7,FALSE)</f>
        <v>32.895950560000003</v>
      </c>
      <c r="E2229" s="3">
        <f>VLOOKUP(A2229,airports!A:H,8,FALSE)</f>
        <v>-97.037199999999999</v>
      </c>
      <c r="F2229" s="3">
        <f>VLOOKUP(B2229,airports!A:H,7,FALSE)</f>
        <v>42.94722222</v>
      </c>
      <c r="G2229" s="3">
        <f>VLOOKUP(B2229,airports!A:H,8,FALSE)</f>
        <v>-87.896583329999999</v>
      </c>
      <c r="H2229">
        <f t="shared" si="68"/>
        <v>1373.6</v>
      </c>
      <c r="I2229">
        <f t="shared" si="69"/>
        <v>853.6</v>
      </c>
    </row>
    <row r="2230" spans="1:9" ht="30" x14ac:dyDescent="0.25">
      <c r="A2230" s="5" t="s">
        <v>49</v>
      </c>
      <c r="B2230" s="5" t="s">
        <v>571</v>
      </c>
      <c r="C2230" s="5" t="s">
        <v>2665</v>
      </c>
      <c r="D2230" s="3">
        <f>VLOOKUP(A2230,airports!A:H,7,FALSE)</f>
        <v>32.895950560000003</v>
      </c>
      <c r="E2230" s="3">
        <f>VLOOKUP(A2230,airports!A:H,8,FALSE)</f>
        <v>-97.037199999999999</v>
      </c>
      <c r="F2230" s="3">
        <f>VLOOKUP(B2230,airports!A:H,7,FALSE)</f>
        <v>28.10275</v>
      </c>
      <c r="G2230" s="3">
        <f>VLOOKUP(B2230,airports!A:H,8,FALSE)</f>
        <v>-80.645805559999999</v>
      </c>
      <c r="H2230">
        <f t="shared" si="68"/>
        <v>1656.2</v>
      </c>
      <c r="I2230">
        <f t="shared" si="69"/>
        <v>1029.2</v>
      </c>
    </row>
    <row r="2231" spans="1:9" ht="30" x14ac:dyDescent="0.25">
      <c r="A2231" s="5" t="s">
        <v>49</v>
      </c>
      <c r="B2231" s="5" t="s">
        <v>573</v>
      </c>
      <c r="C2231" s="5" t="s">
        <v>2666</v>
      </c>
      <c r="D2231" s="3">
        <f>VLOOKUP(A2231,airports!A:H,7,FALSE)</f>
        <v>32.895950560000003</v>
      </c>
      <c r="E2231" s="3">
        <f>VLOOKUP(A2231,airports!A:H,8,FALSE)</f>
        <v>-97.037199999999999</v>
      </c>
      <c r="F2231" s="3">
        <f>VLOOKUP(B2231,airports!A:H,7,FALSE)</f>
        <v>41.448526389999998</v>
      </c>
      <c r="G2231" s="3">
        <f>VLOOKUP(B2231,airports!A:H,8,FALSE)</f>
        <v>-90.507539170000001</v>
      </c>
      <c r="H2231">
        <f t="shared" si="68"/>
        <v>1112.3</v>
      </c>
      <c r="I2231">
        <f t="shared" si="69"/>
        <v>691.2</v>
      </c>
    </row>
    <row r="2232" spans="1:9" ht="30" x14ac:dyDescent="0.25">
      <c r="A2232" s="5" t="s">
        <v>49</v>
      </c>
      <c r="B2232" s="5" t="s">
        <v>575</v>
      </c>
      <c r="C2232" s="5" t="s">
        <v>2667</v>
      </c>
      <c r="D2232" s="3">
        <f>VLOOKUP(A2232,airports!A:H,7,FALSE)</f>
        <v>32.895950560000003</v>
      </c>
      <c r="E2232" s="3">
        <f>VLOOKUP(A2232,airports!A:H,8,FALSE)</f>
        <v>-97.037199999999999</v>
      </c>
      <c r="F2232" s="3">
        <f>VLOOKUP(B2232,airports!A:H,7,FALSE)</f>
        <v>32.510865559999999</v>
      </c>
      <c r="G2232" s="3">
        <f>VLOOKUP(B2232,airports!A:H,8,FALSE)</f>
        <v>-92.037687779999999</v>
      </c>
      <c r="H2232">
        <f t="shared" si="68"/>
        <v>469.7</v>
      </c>
      <c r="I2232">
        <f t="shared" si="69"/>
        <v>291.89999999999998</v>
      </c>
    </row>
    <row r="2233" spans="1:9" ht="30" x14ac:dyDescent="0.25">
      <c r="A2233" s="5" t="s">
        <v>49</v>
      </c>
      <c r="B2233" s="5" t="s">
        <v>577</v>
      </c>
      <c r="C2233" s="5" t="s">
        <v>2668</v>
      </c>
      <c r="D2233" s="3">
        <f>VLOOKUP(A2233,airports!A:H,7,FALSE)</f>
        <v>32.895950560000003</v>
      </c>
      <c r="E2233" s="3">
        <f>VLOOKUP(A2233,airports!A:H,8,FALSE)</f>
        <v>-97.037199999999999</v>
      </c>
      <c r="F2233" s="3">
        <f>VLOOKUP(B2233,airports!A:H,7,FALSE)</f>
        <v>30.691416669999999</v>
      </c>
      <c r="G2233" s="3">
        <f>VLOOKUP(B2233,airports!A:H,8,FALSE)</f>
        <v>-88.242833329999996</v>
      </c>
      <c r="H2233">
        <f t="shared" si="68"/>
        <v>866.2</v>
      </c>
      <c r="I2233">
        <f t="shared" si="69"/>
        <v>538.29999999999995</v>
      </c>
    </row>
    <row r="2234" spans="1:9" ht="30" x14ac:dyDescent="0.25">
      <c r="A2234" s="5" t="s">
        <v>49</v>
      </c>
      <c r="B2234" s="5" t="s">
        <v>2439</v>
      </c>
      <c r="C2234" s="5" t="s">
        <v>2669</v>
      </c>
      <c r="D2234" s="3">
        <f>VLOOKUP(A2234,airports!A:H,7,FALSE)</f>
        <v>32.895950560000003</v>
      </c>
      <c r="E2234" s="3">
        <f>VLOOKUP(A2234,airports!A:H,8,FALSE)</f>
        <v>-97.037199999999999</v>
      </c>
      <c r="F2234" s="3">
        <f>VLOOKUP(B2234,airports!A:H,7,FALSE)</f>
        <v>36.586982499999998</v>
      </c>
      <c r="G2234" s="3">
        <f>VLOOKUP(B2234,airports!A:H,8,FALSE)</f>
        <v>-121.8429478</v>
      </c>
      <c r="H2234">
        <f t="shared" si="68"/>
        <v>2296.6999999999998</v>
      </c>
      <c r="I2234">
        <f t="shared" si="69"/>
        <v>1427.2</v>
      </c>
    </row>
    <row r="2235" spans="1:9" ht="30" x14ac:dyDescent="0.25">
      <c r="A2235" s="5" t="s">
        <v>49</v>
      </c>
      <c r="B2235" s="5" t="s">
        <v>579</v>
      </c>
      <c r="C2235" s="5" t="s">
        <v>2670</v>
      </c>
      <c r="D2235" s="3">
        <f>VLOOKUP(A2235,airports!A:H,7,FALSE)</f>
        <v>32.895950560000003</v>
      </c>
      <c r="E2235" s="3">
        <f>VLOOKUP(A2235,airports!A:H,8,FALSE)</f>
        <v>-97.037199999999999</v>
      </c>
      <c r="F2235" s="3">
        <f>VLOOKUP(B2235,airports!A:H,7,FALSE)</f>
        <v>43.13985778</v>
      </c>
      <c r="G2235" s="3">
        <f>VLOOKUP(B2235,airports!A:H,8,FALSE)</f>
        <v>-89.337513610000002</v>
      </c>
      <c r="H2235">
        <f t="shared" si="68"/>
        <v>1322.4</v>
      </c>
      <c r="I2235">
        <f t="shared" si="69"/>
        <v>821.8</v>
      </c>
    </row>
    <row r="2236" spans="1:9" ht="30" x14ac:dyDescent="0.25">
      <c r="A2236" s="5" t="s">
        <v>49</v>
      </c>
      <c r="B2236" s="5" t="s">
        <v>581</v>
      </c>
      <c r="C2236" s="5" t="s">
        <v>2671</v>
      </c>
      <c r="D2236" s="3">
        <f>VLOOKUP(A2236,airports!A:H,7,FALSE)</f>
        <v>32.895950560000003</v>
      </c>
      <c r="E2236" s="3">
        <f>VLOOKUP(A2236,airports!A:H,8,FALSE)</f>
        <v>-97.037199999999999</v>
      </c>
      <c r="F2236" s="3">
        <f>VLOOKUP(B2236,airports!A:H,7,FALSE)</f>
        <v>46.916305559999998</v>
      </c>
      <c r="G2236" s="3">
        <f>VLOOKUP(B2236,airports!A:H,8,FALSE)</f>
        <v>-114.0905556</v>
      </c>
      <c r="H2236">
        <f t="shared" si="68"/>
        <v>2123</v>
      </c>
      <c r="I2236">
        <f t="shared" si="69"/>
        <v>1319.2</v>
      </c>
    </row>
    <row r="2237" spans="1:9" ht="30" x14ac:dyDescent="0.25">
      <c r="A2237" s="5" t="s">
        <v>49</v>
      </c>
      <c r="B2237" s="5" t="s">
        <v>87</v>
      </c>
      <c r="C2237" s="5" t="s">
        <v>2672</v>
      </c>
      <c r="D2237" s="3">
        <f>VLOOKUP(A2237,airports!A:H,7,FALSE)</f>
        <v>32.895950560000003</v>
      </c>
      <c r="E2237" s="3">
        <f>VLOOKUP(A2237,airports!A:H,8,FALSE)</f>
        <v>-97.037199999999999</v>
      </c>
      <c r="F2237" s="3">
        <f>VLOOKUP(B2237,airports!A:H,7,FALSE)</f>
        <v>44.880546940000002</v>
      </c>
      <c r="G2237" s="3">
        <f>VLOOKUP(B2237,airports!A:H,8,FALSE)</f>
        <v>-93.216922499999995</v>
      </c>
      <c r="H2237">
        <f t="shared" si="68"/>
        <v>1372.6</v>
      </c>
      <c r="I2237">
        <f t="shared" si="69"/>
        <v>852.9</v>
      </c>
    </row>
    <row r="2238" spans="1:9" ht="30" x14ac:dyDescent="0.25">
      <c r="A2238" s="5" t="s">
        <v>49</v>
      </c>
      <c r="B2238" s="5" t="s">
        <v>89</v>
      </c>
      <c r="C2238" s="5" t="s">
        <v>2673</v>
      </c>
      <c r="D2238" s="3">
        <f>VLOOKUP(A2238,airports!A:H,7,FALSE)</f>
        <v>32.895950560000003</v>
      </c>
      <c r="E2238" s="3">
        <f>VLOOKUP(A2238,airports!A:H,8,FALSE)</f>
        <v>-97.037199999999999</v>
      </c>
      <c r="F2238" s="3">
        <f>VLOOKUP(B2238,airports!A:H,7,FALSE)</f>
        <v>29.993388889999999</v>
      </c>
      <c r="G2238" s="3">
        <f>VLOOKUP(B2238,airports!A:H,8,FALSE)</f>
        <v>-90.258027780000006</v>
      </c>
      <c r="H2238">
        <f t="shared" si="68"/>
        <v>719.3</v>
      </c>
      <c r="I2238">
        <f t="shared" si="69"/>
        <v>447</v>
      </c>
    </row>
    <row r="2239" spans="1:9" ht="30" x14ac:dyDescent="0.25">
      <c r="A2239" s="5" t="s">
        <v>49</v>
      </c>
      <c r="B2239" s="5" t="s">
        <v>91</v>
      </c>
      <c r="C2239" s="5" t="s">
        <v>2674</v>
      </c>
      <c r="D2239" s="3">
        <f>VLOOKUP(A2239,airports!A:H,7,FALSE)</f>
        <v>32.895950560000003</v>
      </c>
      <c r="E2239" s="3">
        <f>VLOOKUP(A2239,airports!A:H,8,FALSE)</f>
        <v>-97.037199999999999</v>
      </c>
      <c r="F2239" s="3">
        <f>VLOOKUP(B2239,airports!A:H,7,FALSE)</f>
        <v>38.508867219999999</v>
      </c>
      <c r="G2239" s="3">
        <f>VLOOKUP(B2239,airports!A:H,8,FALSE)</f>
        <v>-107.8938333</v>
      </c>
      <c r="H2239">
        <f t="shared" si="68"/>
        <v>1160.9000000000001</v>
      </c>
      <c r="I2239">
        <f t="shared" si="69"/>
        <v>721.4</v>
      </c>
    </row>
    <row r="2240" spans="1:9" ht="30" x14ac:dyDescent="0.25">
      <c r="A2240" s="5" t="s">
        <v>49</v>
      </c>
      <c r="B2240" s="5" t="s">
        <v>182</v>
      </c>
      <c r="C2240" s="5" t="s">
        <v>2675</v>
      </c>
      <c r="D2240" s="3">
        <f>VLOOKUP(A2240,airports!A:H,7,FALSE)</f>
        <v>32.895950560000003</v>
      </c>
      <c r="E2240" s="3">
        <f>VLOOKUP(A2240,airports!A:H,8,FALSE)</f>
        <v>-97.037199999999999</v>
      </c>
      <c r="F2240" s="3">
        <f>VLOOKUP(B2240,airports!A:H,7,FALSE)</f>
        <v>33.679749999999999</v>
      </c>
      <c r="G2240" s="3">
        <f>VLOOKUP(B2240,airports!A:H,8,FALSE)</f>
        <v>-78.928333330000001</v>
      </c>
      <c r="H2240">
        <f t="shared" si="68"/>
        <v>1683.3</v>
      </c>
      <c r="I2240">
        <f t="shared" si="69"/>
        <v>1046</v>
      </c>
    </row>
    <row r="2241" spans="1:9" ht="30" x14ac:dyDescent="0.25">
      <c r="A2241" s="5" t="s">
        <v>49</v>
      </c>
      <c r="B2241" s="5" t="s">
        <v>215</v>
      </c>
      <c r="C2241" s="5" t="s">
        <v>2676</v>
      </c>
      <c r="D2241" s="3">
        <f>VLOOKUP(A2241,airports!A:H,7,FALSE)</f>
        <v>32.895950560000003</v>
      </c>
      <c r="E2241" s="3">
        <f>VLOOKUP(A2241,airports!A:H,8,FALSE)</f>
        <v>-97.037199999999999</v>
      </c>
      <c r="F2241" s="3">
        <f>VLOOKUP(B2241,airports!A:H,7,FALSE)</f>
        <v>37.721290830000001</v>
      </c>
      <c r="G2241" s="3">
        <f>VLOOKUP(B2241,airports!A:H,8,FALSE)</f>
        <v>-122.2207167</v>
      </c>
      <c r="H2241">
        <f t="shared" si="68"/>
        <v>2339.6</v>
      </c>
      <c r="I2241">
        <f t="shared" si="69"/>
        <v>1453.9</v>
      </c>
    </row>
    <row r="2242" spans="1:9" ht="30" x14ac:dyDescent="0.25">
      <c r="A2242" s="5" t="s">
        <v>49</v>
      </c>
      <c r="B2242" s="5" t="s">
        <v>371</v>
      </c>
      <c r="C2242" s="5" t="s">
        <v>2677</v>
      </c>
      <c r="D2242" s="3">
        <f>VLOOKUP(A2242,airports!A:H,7,FALSE)</f>
        <v>32.895950560000003</v>
      </c>
      <c r="E2242" s="3">
        <f>VLOOKUP(A2242,airports!A:H,8,FALSE)</f>
        <v>-97.037199999999999</v>
      </c>
      <c r="F2242" s="3">
        <f>VLOOKUP(B2242,airports!A:H,7,FALSE)</f>
        <v>20.898649720000002</v>
      </c>
      <c r="G2242" s="3">
        <f>VLOOKUP(B2242,airports!A:H,8,FALSE)</f>
        <v>-156.4304578</v>
      </c>
      <c r="H2242">
        <f t="shared" si="68"/>
        <v>5962.4</v>
      </c>
      <c r="I2242">
        <f t="shared" si="69"/>
        <v>3705.1</v>
      </c>
    </row>
    <row r="2243" spans="1:9" ht="30" x14ac:dyDescent="0.25">
      <c r="A2243" s="5" t="s">
        <v>49</v>
      </c>
      <c r="B2243" s="5" t="s">
        <v>590</v>
      </c>
      <c r="C2243" s="5" t="s">
        <v>2678</v>
      </c>
      <c r="D2243" s="3">
        <f>VLOOKUP(A2243,airports!A:H,7,FALSE)</f>
        <v>32.895950560000003</v>
      </c>
      <c r="E2243" s="3">
        <f>VLOOKUP(A2243,airports!A:H,8,FALSE)</f>
        <v>-97.037199999999999</v>
      </c>
      <c r="F2243" s="3">
        <f>VLOOKUP(B2243,airports!A:H,7,FALSE)</f>
        <v>35.393088329999998</v>
      </c>
      <c r="G2243" s="3">
        <f>VLOOKUP(B2243,airports!A:H,8,FALSE)</f>
        <v>-97.600733890000001</v>
      </c>
      <c r="H2243">
        <f t="shared" si="68"/>
        <v>282.5</v>
      </c>
      <c r="I2243">
        <f t="shared" si="69"/>
        <v>175.5</v>
      </c>
    </row>
    <row r="2244" spans="1:9" ht="30" x14ac:dyDescent="0.25">
      <c r="A2244" s="5" t="s">
        <v>49</v>
      </c>
      <c r="B2244" s="5" t="s">
        <v>592</v>
      </c>
      <c r="C2244" s="5" t="s">
        <v>2679</v>
      </c>
      <c r="D2244" s="3">
        <f>VLOOKUP(A2244,airports!A:H,7,FALSE)</f>
        <v>32.895950560000003</v>
      </c>
      <c r="E2244" s="3">
        <f>VLOOKUP(A2244,airports!A:H,8,FALSE)</f>
        <v>-97.037199999999999</v>
      </c>
      <c r="F2244" s="3">
        <f>VLOOKUP(B2244,airports!A:H,7,FALSE)</f>
        <v>41.30251861</v>
      </c>
      <c r="G2244" s="3">
        <f>VLOOKUP(B2244,airports!A:H,8,FALSE)</f>
        <v>-95.89417306</v>
      </c>
      <c r="H2244">
        <f t="shared" ref="H2244:H2307" si="70">ROUND(ACOS(COS(RADIANS(90-D2244)) * COS(RADIANS(90-F2244)) + SIN(RADIANS(90-D2244)) * SIN(RADIANS(90-F2244)) * COS(RADIANS(E2244-G2244))) * 6371,1)</f>
        <v>940.2</v>
      </c>
      <c r="I2244">
        <f t="shared" ref="I2244:I2307" si="71">ROUND(ACOS(COS(RADIANS(90-D2244)) * COS(RADIANS(90-F2244)) + SIN(RADIANS(90-D2244)) * SIN(RADIANS(90-F2244)) * COS(RADIANS(E2244-G2244))) * 3959,1)</f>
        <v>584.29999999999995</v>
      </c>
    </row>
    <row r="2245" spans="1:9" ht="30" x14ac:dyDescent="0.25">
      <c r="A2245" s="5" t="s">
        <v>49</v>
      </c>
      <c r="B2245" s="5" t="s">
        <v>94</v>
      </c>
      <c r="C2245" s="5" t="s">
        <v>2680</v>
      </c>
      <c r="D2245" s="3">
        <f>VLOOKUP(A2245,airports!A:H,7,FALSE)</f>
        <v>32.895950560000003</v>
      </c>
      <c r="E2245" s="3">
        <f>VLOOKUP(A2245,airports!A:H,8,FALSE)</f>
        <v>-97.037199999999999</v>
      </c>
      <c r="F2245" s="3">
        <f>VLOOKUP(B2245,airports!A:H,7,FALSE)</f>
        <v>34.055999999999997</v>
      </c>
      <c r="G2245" s="3">
        <f>VLOOKUP(B2245,airports!A:H,8,FALSE)</f>
        <v>-117.6011944</v>
      </c>
      <c r="H2245">
        <f t="shared" si="70"/>
        <v>1908.4</v>
      </c>
      <c r="I2245">
        <f t="shared" si="71"/>
        <v>1185.9000000000001</v>
      </c>
    </row>
    <row r="2246" spans="1:9" ht="30" x14ac:dyDescent="0.25">
      <c r="A2246" s="5" t="s">
        <v>49</v>
      </c>
      <c r="B2246" s="5" t="s">
        <v>95</v>
      </c>
      <c r="C2246" s="5" t="s">
        <v>2681</v>
      </c>
      <c r="D2246" s="3">
        <f>VLOOKUP(A2246,airports!A:H,7,FALSE)</f>
        <v>32.895950560000003</v>
      </c>
      <c r="E2246" s="3">
        <f>VLOOKUP(A2246,airports!A:H,8,FALSE)</f>
        <v>-97.037199999999999</v>
      </c>
      <c r="F2246" s="3">
        <f>VLOOKUP(B2246,airports!A:H,7,FALSE)</f>
        <v>41.979595000000003</v>
      </c>
      <c r="G2246" s="3">
        <f>VLOOKUP(B2246,airports!A:H,8,FALSE)</f>
        <v>-87.904464169999997</v>
      </c>
      <c r="H2246">
        <f t="shared" si="70"/>
        <v>1290.8</v>
      </c>
      <c r="I2246">
        <f t="shared" si="71"/>
        <v>802.1</v>
      </c>
    </row>
    <row r="2247" spans="1:9" ht="30" x14ac:dyDescent="0.25">
      <c r="A2247" s="5" t="s">
        <v>49</v>
      </c>
      <c r="B2247" s="5" t="s">
        <v>596</v>
      </c>
      <c r="C2247" s="5" t="s">
        <v>2682</v>
      </c>
      <c r="D2247" s="3">
        <f>VLOOKUP(A2247,airports!A:H,7,FALSE)</f>
        <v>32.895950560000003</v>
      </c>
      <c r="E2247" s="3">
        <f>VLOOKUP(A2247,airports!A:H,8,FALSE)</f>
        <v>-97.037199999999999</v>
      </c>
      <c r="F2247" s="3">
        <f>VLOOKUP(B2247,airports!A:H,7,FALSE)</f>
        <v>36.89461111</v>
      </c>
      <c r="G2247" s="3">
        <f>VLOOKUP(B2247,airports!A:H,8,FALSE)</f>
        <v>-76.201222220000005</v>
      </c>
      <c r="H2247">
        <f t="shared" si="70"/>
        <v>1947.3</v>
      </c>
      <c r="I2247">
        <f t="shared" si="71"/>
        <v>1210.0999999999999</v>
      </c>
    </row>
    <row r="2248" spans="1:9" ht="30" x14ac:dyDescent="0.25">
      <c r="A2248" s="5" t="s">
        <v>49</v>
      </c>
      <c r="B2248" s="5" t="s">
        <v>99</v>
      </c>
      <c r="C2248" s="5" t="s">
        <v>2683</v>
      </c>
      <c r="D2248" s="3">
        <f>VLOOKUP(A2248,airports!A:H,7,FALSE)</f>
        <v>32.895950560000003</v>
      </c>
      <c r="E2248" s="3">
        <f>VLOOKUP(A2248,airports!A:H,8,FALSE)</f>
        <v>-97.037199999999999</v>
      </c>
      <c r="F2248" s="3">
        <f>VLOOKUP(B2248,airports!A:H,7,FALSE)</f>
        <v>26.683161940000002</v>
      </c>
      <c r="G2248" s="3">
        <f>VLOOKUP(B2248,airports!A:H,8,FALSE)</f>
        <v>-80.095594169999998</v>
      </c>
      <c r="H2248">
        <f t="shared" si="70"/>
        <v>1772</v>
      </c>
      <c r="I2248">
        <f t="shared" si="71"/>
        <v>1101.2</v>
      </c>
    </row>
    <row r="2249" spans="1:9" ht="30" x14ac:dyDescent="0.25">
      <c r="A2249" s="5" t="s">
        <v>49</v>
      </c>
      <c r="B2249" s="5" t="s">
        <v>100</v>
      </c>
      <c r="C2249" s="5" t="s">
        <v>2684</v>
      </c>
      <c r="D2249" s="3">
        <f>VLOOKUP(A2249,airports!A:H,7,FALSE)</f>
        <v>32.895950560000003</v>
      </c>
      <c r="E2249" s="3">
        <f>VLOOKUP(A2249,airports!A:H,8,FALSE)</f>
        <v>-97.037199999999999</v>
      </c>
      <c r="F2249" s="3">
        <f>VLOOKUP(B2249,airports!A:H,7,FALSE)</f>
        <v>45.588722220000001</v>
      </c>
      <c r="G2249" s="3">
        <f>VLOOKUP(B2249,airports!A:H,8,FALSE)</f>
        <v>-122.5975</v>
      </c>
      <c r="H2249">
        <f t="shared" si="70"/>
        <v>2597.1</v>
      </c>
      <c r="I2249">
        <f t="shared" si="71"/>
        <v>1613.9</v>
      </c>
    </row>
    <row r="2250" spans="1:9" ht="30" x14ac:dyDescent="0.25">
      <c r="A2250" s="5" t="s">
        <v>49</v>
      </c>
      <c r="B2250" s="5" t="s">
        <v>102</v>
      </c>
      <c r="C2250" s="5" t="s">
        <v>2685</v>
      </c>
      <c r="D2250" s="3">
        <f>VLOOKUP(A2250,airports!A:H,7,FALSE)</f>
        <v>32.895950560000003</v>
      </c>
      <c r="E2250" s="3">
        <f>VLOOKUP(A2250,airports!A:H,8,FALSE)</f>
        <v>-97.037199999999999</v>
      </c>
      <c r="F2250" s="3">
        <f>VLOOKUP(B2250,airports!A:H,7,FALSE)</f>
        <v>39.871952780000001</v>
      </c>
      <c r="G2250" s="3">
        <f>VLOOKUP(B2250,airports!A:H,8,FALSE)</f>
        <v>-75.241140830000006</v>
      </c>
      <c r="H2250">
        <f t="shared" si="70"/>
        <v>2092.9</v>
      </c>
      <c r="I2250">
        <f t="shared" si="71"/>
        <v>1300.5</v>
      </c>
    </row>
    <row r="2251" spans="1:9" ht="30" x14ac:dyDescent="0.25">
      <c r="A2251" s="5" t="s">
        <v>49</v>
      </c>
      <c r="B2251" s="5" t="s">
        <v>104</v>
      </c>
      <c r="C2251" s="5" t="s">
        <v>2686</v>
      </c>
      <c r="D2251" s="3">
        <f>VLOOKUP(A2251,airports!A:H,7,FALSE)</f>
        <v>32.895950560000003</v>
      </c>
      <c r="E2251" s="3">
        <f>VLOOKUP(A2251,airports!A:H,8,FALSE)</f>
        <v>-97.037199999999999</v>
      </c>
      <c r="F2251" s="3">
        <f>VLOOKUP(B2251,airports!A:H,7,FALSE)</f>
        <v>33.434166670000003</v>
      </c>
      <c r="G2251" s="3">
        <f>VLOOKUP(B2251,airports!A:H,8,FALSE)</f>
        <v>-112.00805560000001</v>
      </c>
      <c r="H2251">
        <f t="shared" si="70"/>
        <v>1393.6</v>
      </c>
      <c r="I2251">
        <f t="shared" si="71"/>
        <v>866</v>
      </c>
    </row>
    <row r="2252" spans="1:9" ht="30" x14ac:dyDescent="0.25">
      <c r="A2252" s="5" t="s">
        <v>49</v>
      </c>
      <c r="B2252" s="5" t="s">
        <v>604</v>
      </c>
      <c r="C2252" s="5" t="s">
        <v>2687</v>
      </c>
      <c r="D2252" s="3">
        <f>VLOOKUP(A2252,airports!A:H,7,FALSE)</f>
        <v>32.895950560000003</v>
      </c>
      <c r="E2252" s="3">
        <f>VLOOKUP(A2252,airports!A:H,8,FALSE)</f>
        <v>-97.037199999999999</v>
      </c>
      <c r="F2252" s="3">
        <f>VLOOKUP(B2252,airports!A:H,7,FALSE)</f>
        <v>40.664243329999998</v>
      </c>
      <c r="G2252" s="3">
        <f>VLOOKUP(B2252,airports!A:H,8,FALSE)</f>
        <v>-89.693305559999999</v>
      </c>
      <c r="H2252">
        <f t="shared" si="70"/>
        <v>1082.5999999999999</v>
      </c>
      <c r="I2252">
        <f t="shared" si="71"/>
        <v>672.7</v>
      </c>
    </row>
    <row r="2253" spans="1:9" ht="30" x14ac:dyDescent="0.25">
      <c r="A2253" s="5" t="s">
        <v>49</v>
      </c>
      <c r="B2253" s="5" t="s">
        <v>2688</v>
      </c>
      <c r="C2253" s="5" t="s">
        <v>2689</v>
      </c>
      <c r="D2253" s="3">
        <f>VLOOKUP(A2253,airports!A:H,7,FALSE)</f>
        <v>32.895950560000003</v>
      </c>
      <c r="E2253" s="3">
        <f>VLOOKUP(A2253,airports!A:H,8,FALSE)</f>
        <v>-97.037199999999999</v>
      </c>
      <c r="F2253" s="3">
        <f>VLOOKUP(B2253,airports!A:H,7,FALSE)</f>
        <v>31.46714944</v>
      </c>
      <c r="G2253" s="3">
        <f>VLOOKUP(B2253,airports!A:H,8,FALSE)</f>
        <v>-89.337057779999995</v>
      </c>
      <c r="H2253">
        <f t="shared" si="70"/>
        <v>741.7</v>
      </c>
      <c r="I2253">
        <f t="shared" si="71"/>
        <v>460.9</v>
      </c>
    </row>
    <row r="2254" spans="1:9" ht="30" x14ac:dyDescent="0.25">
      <c r="A2254" s="5" t="s">
        <v>49</v>
      </c>
      <c r="B2254" s="5" t="s">
        <v>106</v>
      </c>
      <c r="C2254" s="5" t="s">
        <v>2690</v>
      </c>
      <c r="D2254" s="3">
        <f>VLOOKUP(A2254,airports!A:H,7,FALSE)</f>
        <v>32.895950560000003</v>
      </c>
      <c r="E2254" s="3">
        <f>VLOOKUP(A2254,airports!A:H,8,FALSE)</f>
        <v>-97.037199999999999</v>
      </c>
      <c r="F2254" s="3">
        <f>VLOOKUP(B2254,airports!A:H,7,FALSE)</f>
        <v>40.491465830000003</v>
      </c>
      <c r="G2254" s="3">
        <f>VLOOKUP(B2254,airports!A:H,8,FALSE)</f>
        <v>-80.232870829999996</v>
      </c>
      <c r="H2254">
        <f t="shared" si="70"/>
        <v>1715.7</v>
      </c>
      <c r="I2254">
        <f t="shared" si="71"/>
        <v>1066.2</v>
      </c>
    </row>
    <row r="2255" spans="1:9" ht="30" x14ac:dyDescent="0.25">
      <c r="A2255" s="5" t="s">
        <v>49</v>
      </c>
      <c r="B2255" s="5" t="s">
        <v>607</v>
      </c>
      <c r="C2255" s="5" t="s">
        <v>2691</v>
      </c>
      <c r="D2255" s="3">
        <f>VLOOKUP(A2255,airports!A:H,7,FALSE)</f>
        <v>32.895950560000003</v>
      </c>
      <c r="E2255" s="3">
        <f>VLOOKUP(A2255,airports!A:H,8,FALSE)</f>
        <v>-97.037199999999999</v>
      </c>
      <c r="F2255" s="3">
        <f>VLOOKUP(B2255,airports!A:H,7,FALSE)</f>
        <v>30.47330556</v>
      </c>
      <c r="G2255" s="3">
        <f>VLOOKUP(B2255,airports!A:H,8,FALSE)</f>
        <v>-87.187444439999993</v>
      </c>
      <c r="H2255">
        <f t="shared" si="70"/>
        <v>969.7</v>
      </c>
      <c r="I2255">
        <f t="shared" si="71"/>
        <v>602.6</v>
      </c>
    </row>
    <row r="2256" spans="1:9" ht="30" x14ac:dyDescent="0.25">
      <c r="A2256" s="5" t="s">
        <v>49</v>
      </c>
      <c r="B2256" s="5" t="s">
        <v>111</v>
      </c>
      <c r="C2256" s="5" t="s">
        <v>2692</v>
      </c>
      <c r="D2256" s="3">
        <f>VLOOKUP(A2256,airports!A:H,7,FALSE)</f>
        <v>32.895950560000003</v>
      </c>
      <c r="E2256" s="3">
        <f>VLOOKUP(A2256,airports!A:H,8,FALSE)</f>
        <v>-97.037199999999999</v>
      </c>
      <c r="F2256" s="3">
        <f>VLOOKUP(B2256,airports!A:H,7,FALSE)</f>
        <v>33.829215560000002</v>
      </c>
      <c r="G2256" s="3">
        <f>VLOOKUP(B2256,airports!A:H,8,FALSE)</f>
        <v>-116.5062531</v>
      </c>
      <c r="H2256">
        <f t="shared" si="70"/>
        <v>1808.4</v>
      </c>
      <c r="I2256">
        <f t="shared" si="71"/>
        <v>1123.8</v>
      </c>
    </row>
    <row r="2257" spans="1:9" ht="30" x14ac:dyDescent="0.25">
      <c r="A2257" s="5" t="s">
        <v>49</v>
      </c>
      <c r="B2257" s="5" t="s">
        <v>117</v>
      </c>
      <c r="C2257" s="5" t="s">
        <v>2693</v>
      </c>
      <c r="D2257" s="3">
        <f>VLOOKUP(A2257,airports!A:H,7,FALSE)</f>
        <v>32.895950560000003</v>
      </c>
      <c r="E2257" s="3">
        <f>VLOOKUP(A2257,airports!A:H,8,FALSE)</f>
        <v>-97.037199999999999</v>
      </c>
      <c r="F2257" s="3">
        <f>VLOOKUP(B2257,airports!A:H,7,FALSE)</f>
        <v>43.646166669999999</v>
      </c>
      <c r="G2257" s="3">
        <f>VLOOKUP(B2257,airports!A:H,8,FALSE)</f>
        <v>-70.308750000000003</v>
      </c>
      <c r="H2257">
        <f t="shared" si="70"/>
        <v>2605.6</v>
      </c>
      <c r="I2257">
        <f t="shared" si="71"/>
        <v>1619.1</v>
      </c>
    </row>
    <row r="2258" spans="1:9" ht="30" x14ac:dyDescent="0.25">
      <c r="A2258" s="5" t="s">
        <v>49</v>
      </c>
      <c r="B2258" s="5" t="s">
        <v>612</v>
      </c>
      <c r="C2258" s="5" t="s">
        <v>2694</v>
      </c>
      <c r="D2258" s="3">
        <f>VLOOKUP(A2258,airports!A:H,7,FALSE)</f>
        <v>32.895950560000003</v>
      </c>
      <c r="E2258" s="3">
        <f>VLOOKUP(A2258,airports!A:H,8,FALSE)</f>
        <v>-97.037199999999999</v>
      </c>
      <c r="F2258" s="3">
        <f>VLOOKUP(B2258,airports!A:H,7,FALSE)</f>
        <v>44.045321389999998</v>
      </c>
      <c r="G2258" s="3">
        <f>VLOOKUP(B2258,airports!A:H,8,FALSE)</f>
        <v>-103.0573708</v>
      </c>
      <c r="H2258">
        <f t="shared" si="70"/>
        <v>1345</v>
      </c>
      <c r="I2258">
        <f t="shared" si="71"/>
        <v>835.8</v>
      </c>
    </row>
    <row r="2259" spans="1:9" ht="30" x14ac:dyDescent="0.25">
      <c r="A2259" s="5" t="s">
        <v>49</v>
      </c>
      <c r="B2259" s="5" t="s">
        <v>119</v>
      </c>
      <c r="C2259" s="5" t="s">
        <v>2695</v>
      </c>
      <c r="D2259" s="3">
        <f>VLOOKUP(A2259,airports!A:H,7,FALSE)</f>
        <v>32.895950560000003</v>
      </c>
      <c r="E2259" s="3">
        <f>VLOOKUP(A2259,airports!A:H,8,FALSE)</f>
        <v>-97.037199999999999</v>
      </c>
      <c r="F2259" s="3">
        <f>VLOOKUP(B2259,airports!A:H,7,FALSE)</f>
        <v>35.87763889</v>
      </c>
      <c r="G2259" s="3">
        <f>VLOOKUP(B2259,airports!A:H,8,FALSE)</f>
        <v>-78.787472219999998</v>
      </c>
      <c r="H2259">
        <f t="shared" si="70"/>
        <v>1704.5</v>
      </c>
      <c r="I2259">
        <f t="shared" si="71"/>
        <v>1059.2</v>
      </c>
    </row>
    <row r="2260" spans="1:9" ht="30" x14ac:dyDescent="0.25">
      <c r="A2260" s="5" t="s">
        <v>49</v>
      </c>
      <c r="B2260" s="5" t="s">
        <v>120</v>
      </c>
      <c r="C2260" s="5" t="s">
        <v>2696</v>
      </c>
      <c r="D2260" s="3">
        <f>VLOOKUP(A2260,airports!A:H,7,FALSE)</f>
        <v>32.895950560000003</v>
      </c>
      <c r="E2260" s="3">
        <f>VLOOKUP(A2260,airports!A:H,8,FALSE)</f>
        <v>-97.037199999999999</v>
      </c>
      <c r="F2260" s="3">
        <f>VLOOKUP(B2260,airports!A:H,7,FALSE)</f>
        <v>37.505166670000001</v>
      </c>
      <c r="G2260" s="3">
        <f>VLOOKUP(B2260,airports!A:H,8,FALSE)</f>
        <v>-77.319666670000004</v>
      </c>
      <c r="H2260">
        <f t="shared" si="70"/>
        <v>1859.4</v>
      </c>
      <c r="I2260">
        <f t="shared" si="71"/>
        <v>1155.5</v>
      </c>
    </row>
    <row r="2261" spans="1:9" ht="30" x14ac:dyDescent="0.25">
      <c r="A2261" s="5" t="s">
        <v>49</v>
      </c>
      <c r="B2261" s="5" t="s">
        <v>121</v>
      </c>
      <c r="C2261" s="5" t="s">
        <v>2697</v>
      </c>
      <c r="D2261" s="3">
        <f>VLOOKUP(A2261,airports!A:H,7,FALSE)</f>
        <v>32.895950560000003</v>
      </c>
      <c r="E2261" s="3">
        <f>VLOOKUP(A2261,airports!A:H,8,FALSE)</f>
        <v>-97.037199999999999</v>
      </c>
      <c r="F2261" s="3">
        <f>VLOOKUP(B2261,airports!A:H,7,FALSE)</f>
        <v>39.498576110000002</v>
      </c>
      <c r="G2261" s="3">
        <f>VLOOKUP(B2261,airports!A:H,8,FALSE)</f>
        <v>-119.7680647</v>
      </c>
      <c r="H2261">
        <f t="shared" si="70"/>
        <v>2160.6</v>
      </c>
      <c r="I2261">
        <f t="shared" si="71"/>
        <v>1342.6</v>
      </c>
    </row>
    <row r="2262" spans="1:9" ht="30" x14ac:dyDescent="0.25">
      <c r="A2262" s="5" t="s">
        <v>49</v>
      </c>
      <c r="B2262" s="5" t="s">
        <v>2698</v>
      </c>
      <c r="C2262" s="5" t="s">
        <v>2699</v>
      </c>
      <c r="D2262" s="3">
        <f>VLOOKUP(A2262,airports!A:H,7,FALSE)</f>
        <v>32.895950560000003</v>
      </c>
      <c r="E2262" s="3">
        <f>VLOOKUP(A2262,airports!A:H,8,FALSE)</f>
        <v>-97.037199999999999</v>
      </c>
      <c r="F2262" s="3">
        <f>VLOOKUP(B2262,airports!A:H,7,FALSE)</f>
        <v>33.301555559999997</v>
      </c>
      <c r="G2262" s="3">
        <f>VLOOKUP(B2262,airports!A:H,8,FALSE)</f>
        <v>-104.5305556</v>
      </c>
      <c r="H2262">
        <f t="shared" si="70"/>
        <v>699.3</v>
      </c>
      <c r="I2262">
        <f t="shared" si="71"/>
        <v>434.6</v>
      </c>
    </row>
    <row r="2263" spans="1:9" ht="30" x14ac:dyDescent="0.25">
      <c r="A2263" s="5" t="s">
        <v>49</v>
      </c>
      <c r="B2263" s="5" t="s">
        <v>123</v>
      </c>
      <c r="C2263" s="5" t="s">
        <v>2700</v>
      </c>
      <c r="D2263" s="3">
        <f>VLOOKUP(A2263,airports!A:H,7,FALSE)</f>
        <v>32.895950560000003</v>
      </c>
      <c r="E2263" s="3">
        <f>VLOOKUP(A2263,airports!A:H,8,FALSE)</f>
        <v>-97.037199999999999</v>
      </c>
      <c r="F2263" s="3">
        <f>VLOOKUP(B2263,airports!A:H,7,FALSE)</f>
        <v>26.53616667</v>
      </c>
      <c r="G2263" s="3">
        <f>VLOOKUP(B2263,airports!A:H,8,FALSE)</f>
        <v>-81.755166669999994</v>
      </c>
      <c r="H2263">
        <f t="shared" si="70"/>
        <v>1634.2</v>
      </c>
      <c r="I2263">
        <f t="shared" si="71"/>
        <v>1015.5</v>
      </c>
    </row>
    <row r="2264" spans="1:9" ht="30" x14ac:dyDescent="0.25">
      <c r="A2264" s="5" t="s">
        <v>49</v>
      </c>
      <c r="B2264" s="5" t="s">
        <v>2486</v>
      </c>
      <c r="C2264" s="5" t="s">
        <v>2701</v>
      </c>
      <c r="D2264" s="3">
        <f>VLOOKUP(A2264,airports!A:H,7,FALSE)</f>
        <v>32.895950560000003</v>
      </c>
      <c r="E2264" s="3">
        <f>VLOOKUP(A2264,airports!A:H,8,FALSE)</f>
        <v>-97.037199999999999</v>
      </c>
      <c r="F2264" s="3">
        <f>VLOOKUP(B2264,airports!A:H,7,FALSE)</f>
        <v>35.61677778</v>
      </c>
      <c r="G2264" s="3">
        <f>VLOOKUP(B2264,airports!A:H,8,FALSE)</f>
        <v>-106.0881389</v>
      </c>
      <c r="H2264">
        <f t="shared" si="70"/>
        <v>884.7</v>
      </c>
      <c r="I2264">
        <f t="shared" si="71"/>
        <v>549.79999999999995</v>
      </c>
    </row>
    <row r="2265" spans="1:9" ht="30" x14ac:dyDescent="0.25">
      <c r="A2265" s="5" t="s">
        <v>49</v>
      </c>
      <c r="B2265" s="5" t="s">
        <v>124</v>
      </c>
      <c r="C2265" s="5" t="s">
        <v>2702</v>
      </c>
      <c r="D2265" s="3">
        <f>VLOOKUP(A2265,airports!A:H,7,FALSE)</f>
        <v>32.895950560000003</v>
      </c>
      <c r="E2265" s="3">
        <f>VLOOKUP(A2265,airports!A:H,8,FALSE)</f>
        <v>-97.037199999999999</v>
      </c>
      <c r="F2265" s="3">
        <f>VLOOKUP(B2265,airports!A:H,7,FALSE)</f>
        <v>32.733556110000002</v>
      </c>
      <c r="G2265" s="3">
        <f>VLOOKUP(B2265,airports!A:H,8,FALSE)</f>
        <v>-117.1896567</v>
      </c>
      <c r="H2265">
        <f t="shared" si="70"/>
        <v>1880.5</v>
      </c>
      <c r="I2265">
        <f t="shared" si="71"/>
        <v>1168.5</v>
      </c>
    </row>
    <row r="2266" spans="1:9" ht="30" x14ac:dyDescent="0.25">
      <c r="A2266" s="5" t="s">
        <v>49</v>
      </c>
      <c r="B2266" s="5" t="s">
        <v>125</v>
      </c>
      <c r="C2266" s="5" t="s">
        <v>2703</v>
      </c>
      <c r="D2266" s="3">
        <f>VLOOKUP(A2266,airports!A:H,7,FALSE)</f>
        <v>32.895950560000003</v>
      </c>
      <c r="E2266" s="3">
        <f>VLOOKUP(A2266,airports!A:H,8,FALSE)</f>
        <v>-97.037199999999999</v>
      </c>
      <c r="F2266" s="3">
        <f>VLOOKUP(B2266,airports!A:H,7,FALSE)</f>
        <v>29.533694440000001</v>
      </c>
      <c r="G2266" s="3">
        <f>VLOOKUP(B2266,airports!A:H,8,FALSE)</f>
        <v>-98.469777780000001</v>
      </c>
      <c r="H2266">
        <f t="shared" si="70"/>
        <v>397.9</v>
      </c>
      <c r="I2266">
        <f t="shared" si="71"/>
        <v>247.3</v>
      </c>
    </row>
    <row r="2267" spans="1:9" ht="30" x14ac:dyDescent="0.25">
      <c r="A2267" s="5" t="s">
        <v>49</v>
      </c>
      <c r="B2267" s="5" t="s">
        <v>126</v>
      </c>
      <c r="C2267" s="5" t="s">
        <v>2704</v>
      </c>
      <c r="D2267" s="3">
        <f>VLOOKUP(A2267,airports!A:H,7,FALSE)</f>
        <v>32.895950560000003</v>
      </c>
      <c r="E2267" s="3">
        <f>VLOOKUP(A2267,airports!A:H,8,FALSE)</f>
        <v>-97.037199999999999</v>
      </c>
      <c r="F2267" s="3">
        <f>VLOOKUP(B2267,airports!A:H,7,FALSE)</f>
        <v>32.12758333</v>
      </c>
      <c r="G2267" s="3">
        <f>VLOOKUP(B2267,airports!A:H,8,FALSE)</f>
        <v>-81.202138890000001</v>
      </c>
      <c r="H2267">
        <f t="shared" si="70"/>
        <v>1485.9</v>
      </c>
      <c r="I2267">
        <f t="shared" si="71"/>
        <v>923.3</v>
      </c>
    </row>
    <row r="2268" spans="1:9" ht="30" x14ac:dyDescent="0.25">
      <c r="A2268" s="5" t="s">
        <v>49</v>
      </c>
      <c r="B2268" s="5" t="s">
        <v>967</v>
      </c>
      <c r="C2268" s="5" t="s">
        <v>2705</v>
      </c>
      <c r="D2268" s="3">
        <f>VLOOKUP(A2268,airports!A:H,7,FALSE)</f>
        <v>32.895950560000003</v>
      </c>
      <c r="E2268" s="3">
        <f>VLOOKUP(A2268,airports!A:H,8,FALSE)</f>
        <v>-97.037199999999999</v>
      </c>
      <c r="F2268" s="3">
        <f>VLOOKUP(B2268,airports!A:H,7,FALSE)</f>
        <v>34.426211940000002</v>
      </c>
      <c r="G2268" s="3">
        <f>VLOOKUP(B2268,airports!A:H,8,FALSE)</f>
        <v>-119.8403733</v>
      </c>
      <c r="H2268">
        <f t="shared" si="70"/>
        <v>2112.8000000000002</v>
      </c>
      <c r="I2268">
        <f t="shared" si="71"/>
        <v>1312.9</v>
      </c>
    </row>
    <row r="2269" spans="1:9" ht="30" x14ac:dyDescent="0.25">
      <c r="A2269" s="5" t="s">
        <v>49</v>
      </c>
      <c r="B2269" s="5" t="s">
        <v>626</v>
      </c>
      <c r="C2269" s="5" t="s">
        <v>2706</v>
      </c>
      <c r="D2269" s="3">
        <f>VLOOKUP(A2269,airports!A:H,7,FALSE)</f>
        <v>32.895950560000003</v>
      </c>
      <c r="E2269" s="3">
        <f>VLOOKUP(A2269,airports!A:H,8,FALSE)</f>
        <v>-97.037199999999999</v>
      </c>
      <c r="F2269" s="3">
        <f>VLOOKUP(B2269,airports!A:H,7,FALSE)</f>
        <v>41.708953610000002</v>
      </c>
      <c r="G2269" s="3">
        <f>VLOOKUP(B2269,airports!A:H,8,FALSE)</f>
        <v>-86.318474170000002</v>
      </c>
      <c r="H2269">
        <f t="shared" si="70"/>
        <v>1361.4</v>
      </c>
      <c r="I2269">
        <f t="shared" si="71"/>
        <v>846</v>
      </c>
    </row>
    <row r="2270" spans="1:9" ht="30" x14ac:dyDescent="0.25">
      <c r="A2270" s="5" t="s">
        <v>49</v>
      </c>
      <c r="B2270" s="5" t="s">
        <v>2493</v>
      </c>
      <c r="C2270" s="5" t="s">
        <v>2707</v>
      </c>
      <c r="D2270" s="3">
        <f>VLOOKUP(A2270,airports!A:H,7,FALSE)</f>
        <v>32.895950560000003</v>
      </c>
      <c r="E2270" s="3">
        <f>VLOOKUP(A2270,airports!A:H,8,FALSE)</f>
        <v>-97.037199999999999</v>
      </c>
      <c r="F2270" s="3">
        <f>VLOOKUP(B2270,airports!A:H,7,FALSE)</f>
        <v>35.237058060000003</v>
      </c>
      <c r="G2270" s="3">
        <f>VLOOKUP(B2270,airports!A:H,8,FALSE)</f>
        <v>-120.64239310000001</v>
      </c>
      <c r="H2270">
        <f t="shared" si="70"/>
        <v>2184.6999999999998</v>
      </c>
      <c r="I2270">
        <f t="shared" si="71"/>
        <v>1357.6</v>
      </c>
    </row>
    <row r="2271" spans="1:9" ht="30" x14ac:dyDescent="0.25">
      <c r="A2271" s="5" t="s">
        <v>49</v>
      </c>
      <c r="B2271" s="5" t="s">
        <v>630</v>
      </c>
      <c r="C2271" s="5" t="s">
        <v>2708</v>
      </c>
      <c r="D2271" s="3">
        <f>VLOOKUP(A2271,airports!A:H,7,FALSE)</f>
        <v>32.895950560000003</v>
      </c>
      <c r="E2271" s="3">
        <f>VLOOKUP(A2271,airports!A:H,8,FALSE)</f>
        <v>-97.037199999999999</v>
      </c>
      <c r="F2271" s="3">
        <f>VLOOKUP(B2271,airports!A:H,7,FALSE)</f>
        <v>38.174388890000003</v>
      </c>
      <c r="G2271" s="3">
        <f>VLOOKUP(B2271,airports!A:H,8,FALSE)</f>
        <v>-85.736000000000004</v>
      </c>
      <c r="H2271">
        <f t="shared" si="70"/>
        <v>1177.8</v>
      </c>
      <c r="I2271">
        <f t="shared" si="71"/>
        <v>731.9</v>
      </c>
    </row>
    <row r="2272" spans="1:9" ht="30" x14ac:dyDescent="0.25">
      <c r="A2272" s="5" t="s">
        <v>49</v>
      </c>
      <c r="B2272" s="5" t="s">
        <v>128</v>
      </c>
      <c r="C2272" s="5" t="s">
        <v>2709</v>
      </c>
      <c r="D2272" s="3">
        <f>VLOOKUP(A2272,airports!A:H,7,FALSE)</f>
        <v>32.895950560000003</v>
      </c>
      <c r="E2272" s="3">
        <f>VLOOKUP(A2272,airports!A:H,8,FALSE)</f>
        <v>-97.037199999999999</v>
      </c>
      <c r="F2272" s="3">
        <f>VLOOKUP(B2272,airports!A:H,7,FALSE)</f>
        <v>47.448981940000003</v>
      </c>
      <c r="G2272" s="3">
        <f>VLOOKUP(B2272,airports!A:H,8,FALSE)</f>
        <v>-122.3093131</v>
      </c>
      <c r="H2272">
        <f t="shared" si="70"/>
        <v>2668.3</v>
      </c>
      <c r="I2272">
        <f t="shared" si="71"/>
        <v>1658.1</v>
      </c>
    </row>
    <row r="2273" spans="1:9" ht="30" x14ac:dyDescent="0.25">
      <c r="A2273" s="5" t="s">
        <v>49</v>
      </c>
      <c r="B2273" s="5" t="s">
        <v>130</v>
      </c>
      <c r="C2273" s="5" t="s">
        <v>2710</v>
      </c>
      <c r="D2273" s="3">
        <f>VLOOKUP(A2273,airports!A:H,7,FALSE)</f>
        <v>32.895950560000003</v>
      </c>
      <c r="E2273" s="3">
        <f>VLOOKUP(A2273,airports!A:H,8,FALSE)</f>
        <v>-97.037199999999999</v>
      </c>
      <c r="F2273" s="3">
        <f>VLOOKUP(B2273,airports!A:H,7,FALSE)</f>
        <v>37.619001939999997</v>
      </c>
      <c r="G2273" s="3">
        <f>VLOOKUP(B2273,airports!A:H,8,FALSE)</f>
        <v>-122.37484329999999</v>
      </c>
      <c r="H2273">
        <f t="shared" si="70"/>
        <v>2352</v>
      </c>
      <c r="I2273">
        <f t="shared" si="71"/>
        <v>1461.6</v>
      </c>
    </row>
    <row r="2274" spans="1:9" ht="30" x14ac:dyDescent="0.25">
      <c r="A2274" s="5" t="s">
        <v>49</v>
      </c>
      <c r="B2274" s="5" t="s">
        <v>634</v>
      </c>
      <c r="C2274" s="5" t="s">
        <v>2711</v>
      </c>
      <c r="D2274" s="3">
        <f>VLOOKUP(A2274,airports!A:H,7,FALSE)</f>
        <v>32.895950560000003</v>
      </c>
      <c r="E2274" s="3">
        <f>VLOOKUP(A2274,airports!A:H,8,FALSE)</f>
        <v>-97.037199999999999</v>
      </c>
      <c r="F2274" s="3">
        <f>VLOOKUP(B2274,airports!A:H,7,FALSE)</f>
        <v>37.244326110000003</v>
      </c>
      <c r="G2274" s="3">
        <f>VLOOKUP(B2274,airports!A:H,8,FALSE)</f>
        <v>-93.386858059999994</v>
      </c>
      <c r="H2274">
        <f t="shared" si="70"/>
        <v>586.5</v>
      </c>
      <c r="I2274">
        <f t="shared" si="71"/>
        <v>364.5</v>
      </c>
    </row>
    <row r="2275" spans="1:9" ht="30" x14ac:dyDescent="0.25">
      <c r="A2275" s="5" t="s">
        <v>49</v>
      </c>
      <c r="B2275" s="5" t="s">
        <v>904</v>
      </c>
      <c r="C2275" s="5" t="s">
        <v>2712</v>
      </c>
      <c r="D2275" s="3">
        <f>VLOOKUP(A2275,airports!A:H,7,FALSE)</f>
        <v>32.895950560000003</v>
      </c>
      <c r="E2275" s="3">
        <f>VLOOKUP(A2275,airports!A:H,8,FALSE)</f>
        <v>-97.037199999999999</v>
      </c>
      <c r="F2275" s="3">
        <f>VLOOKUP(B2275,airports!A:H,7,FALSE)</f>
        <v>37.090583330000001</v>
      </c>
      <c r="G2275" s="3">
        <f>VLOOKUP(B2275,airports!A:H,8,FALSE)</f>
        <v>-113.5930556</v>
      </c>
      <c r="H2275">
        <f t="shared" si="70"/>
        <v>1576.1</v>
      </c>
      <c r="I2275">
        <f t="shared" si="71"/>
        <v>979.4</v>
      </c>
    </row>
    <row r="2276" spans="1:9" ht="30" x14ac:dyDescent="0.25">
      <c r="A2276" s="5" t="s">
        <v>49</v>
      </c>
      <c r="B2276" s="5" t="s">
        <v>636</v>
      </c>
      <c r="C2276" s="5" t="s">
        <v>2713</v>
      </c>
      <c r="D2276" s="3">
        <f>VLOOKUP(A2276,airports!A:H,7,FALSE)</f>
        <v>32.895950560000003</v>
      </c>
      <c r="E2276" s="3">
        <f>VLOOKUP(A2276,airports!A:H,8,FALSE)</f>
        <v>-97.037199999999999</v>
      </c>
      <c r="F2276" s="3">
        <f>VLOOKUP(B2276,airports!A:H,7,FALSE)</f>
        <v>32.446627499999998</v>
      </c>
      <c r="G2276" s="3">
        <f>VLOOKUP(B2276,airports!A:H,8,FALSE)</f>
        <v>-93.825598330000005</v>
      </c>
      <c r="H2276">
        <f t="shared" si="70"/>
        <v>304.7</v>
      </c>
      <c r="I2276">
        <f t="shared" si="71"/>
        <v>189.4</v>
      </c>
    </row>
    <row r="2277" spans="1:9" ht="30" x14ac:dyDescent="0.25">
      <c r="A2277" s="5" t="s">
        <v>49</v>
      </c>
      <c r="B2277" s="5" t="s">
        <v>131</v>
      </c>
      <c r="C2277" s="5" t="s">
        <v>2714</v>
      </c>
      <c r="D2277" s="3">
        <f>VLOOKUP(A2277,airports!A:H,7,FALSE)</f>
        <v>32.895950560000003</v>
      </c>
      <c r="E2277" s="3">
        <f>VLOOKUP(A2277,airports!A:H,8,FALSE)</f>
        <v>-97.037199999999999</v>
      </c>
      <c r="F2277" s="3">
        <f>VLOOKUP(B2277,airports!A:H,7,FALSE)</f>
        <v>37.361861939999997</v>
      </c>
      <c r="G2277" s="3">
        <f>VLOOKUP(B2277,airports!A:H,8,FALSE)</f>
        <v>-121.9290089</v>
      </c>
      <c r="H2277">
        <f t="shared" si="70"/>
        <v>2310.3000000000002</v>
      </c>
      <c r="I2277">
        <f t="shared" si="71"/>
        <v>1435.6</v>
      </c>
    </row>
    <row r="2278" spans="1:9" ht="30" x14ac:dyDescent="0.25">
      <c r="A2278" s="5" t="s">
        <v>49</v>
      </c>
      <c r="B2278" s="5" t="s">
        <v>2715</v>
      </c>
      <c r="C2278" s="5" t="s">
        <v>2716</v>
      </c>
      <c r="D2278" s="3">
        <f>VLOOKUP(A2278,airports!A:H,7,FALSE)</f>
        <v>32.895950560000003</v>
      </c>
      <c r="E2278" s="3">
        <f>VLOOKUP(A2278,airports!A:H,8,FALSE)</f>
        <v>-97.037199999999999</v>
      </c>
      <c r="F2278" s="3">
        <f>VLOOKUP(B2278,airports!A:H,7,FALSE)</f>
        <v>31.357749999999999</v>
      </c>
      <c r="G2278" s="3">
        <f>VLOOKUP(B2278,airports!A:H,8,FALSE)</f>
        <v>-100.4963056</v>
      </c>
      <c r="H2278">
        <f t="shared" si="70"/>
        <v>367.9</v>
      </c>
      <c r="I2278">
        <f t="shared" si="71"/>
        <v>228.6</v>
      </c>
    </row>
    <row r="2279" spans="1:9" ht="30" x14ac:dyDescent="0.25">
      <c r="A2279" s="5" t="s">
        <v>49</v>
      </c>
      <c r="B2279" s="5" t="s">
        <v>134</v>
      </c>
      <c r="C2279" s="5" t="s">
        <v>2717</v>
      </c>
      <c r="D2279" s="3">
        <f>VLOOKUP(A2279,airports!A:H,7,FALSE)</f>
        <v>32.895950560000003</v>
      </c>
      <c r="E2279" s="3">
        <f>VLOOKUP(A2279,airports!A:H,8,FALSE)</f>
        <v>-97.037199999999999</v>
      </c>
      <c r="F2279" s="3">
        <f>VLOOKUP(B2279,airports!A:H,7,FALSE)</f>
        <v>18.43941667</v>
      </c>
      <c r="G2279" s="3">
        <f>VLOOKUP(B2279,airports!A:H,8,FALSE)</f>
        <v>-66.001833329999997</v>
      </c>
      <c r="H2279">
        <f t="shared" si="70"/>
        <v>3482.2</v>
      </c>
      <c r="I2279">
        <f t="shared" si="71"/>
        <v>2163.9</v>
      </c>
    </row>
    <row r="2280" spans="1:9" ht="30" x14ac:dyDescent="0.25">
      <c r="A2280" s="5" t="s">
        <v>49</v>
      </c>
      <c r="B2280" s="5" t="s">
        <v>135</v>
      </c>
      <c r="C2280" s="5" t="s">
        <v>2718</v>
      </c>
      <c r="D2280" s="3">
        <f>VLOOKUP(A2280,airports!A:H,7,FALSE)</f>
        <v>32.895950560000003</v>
      </c>
      <c r="E2280" s="3">
        <f>VLOOKUP(A2280,airports!A:H,8,FALSE)</f>
        <v>-97.037199999999999</v>
      </c>
      <c r="F2280" s="3">
        <f>VLOOKUP(B2280,airports!A:H,7,FALSE)</f>
        <v>40.788387780000001</v>
      </c>
      <c r="G2280" s="3">
        <f>VLOOKUP(B2280,airports!A:H,8,FALSE)</f>
        <v>-111.97777309999999</v>
      </c>
      <c r="H2280">
        <f t="shared" si="70"/>
        <v>1589.6</v>
      </c>
      <c r="I2280">
        <f t="shared" si="71"/>
        <v>987.8</v>
      </c>
    </row>
    <row r="2281" spans="1:9" ht="30" x14ac:dyDescent="0.25">
      <c r="A2281" s="5" t="s">
        <v>49</v>
      </c>
      <c r="B2281" s="5" t="s">
        <v>137</v>
      </c>
      <c r="C2281" s="5" t="s">
        <v>2719</v>
      </c>
      <c r="D2281" s="3">
        <f>VLOOKUP(A2281,airports!A:H,7,FALSE)</f>
        <v>32.895950560000003</v>
      </c>
      <c r="E2281" s="3">
        <f>VLOOKUP(A2281,airports!A:H,8,FALSE)</f>
        <v>-97.037199999999999</v>
      </c>
      <c r="F2281" s="3">
        <f>VLOOKUP(B2281,airports!A:H,7,FALSE)</f>
        <v>38.695421670000002</v>
      </c>
      <c r="G2281" s="3">
        <f>VLOOKUP(B2281,airports!A:H,8,FALSE)</f>
        <v>-121.59076690000001</v>
      </c>
      <c r="H2281">
        <f t="shared" si="70"/>
        <v>2298.5</v>
      </c>
      <c r="I2281">
        <f t="shared" si="71"/>
        <v>1428.3</v>
      </c>
    </row>
    <row r="2282" spans="1:9" ht="30" x14ac:dyDescent="0.25">
      <c r="A2282" s="5" t="s">
        <v>49</v>
      </c>
      <c r="B2282" s="5" t="s">
        <v>227</v>
      </c>
      <c r="C2282" s="5" t="s">
        <v>2720</v>
      </c>
      <c r="D2282" s="3">
        <f>VLOOKUP(A2282,airports!A:H,7,FALSE)</f>
        <v>32.895950560000003</v>
      </c>
      <c r="E2282" s="3">
        <f>VLOOKUP(A2282,airports!A:H,8,FALSE)</f>
        <v>-97.037199999999999</v>
      </c>
      <c r="F2282" s="3">
        <f>VLOOKUP(B2282,airports!A:H,7,FALSE)</f>
        <v>33.675658609999999</v>
      </c>
      <c r="G2282" s="3">
        <f>VLOOKUP(B2282,airports!A:H,8,FALSE)</f>
        <v>-117.8682225</v>
      </c>
      <c r="H2282">
        <f t="shared" si="70"/>
        <v>1935</v>
      </c>
      <c r="I2282">
        <f t="shared" si="71"/>
        <v>1202.4000000000001</v>
      </c>
    </row>
    <row r="2283" spans="1:9" ht="30" x14ac:dyDescent="0.25">
      <c r="A2283" s="5" t="s">
        <v>49</v>
      </c>
      <c r="B2283" s="5" t="s">
        <v>909</v>
      </c>
      <c r="C2283" s="5" t="s">
        <v>2721</v>
      </c>
      <c r="D2283" s="3">
        <f>VLOOKUP(A2283,airports!A:H,7,FALSE)</f>
        <v>32.895950560000003</v>
      </c>
      <c r="E2283" s="3">
        <f>VLOOKUP(A2283,airports!A:H,8,FALSE)</f>
        <v>-97.037199999999999</v>
      </c>
      <c r="F2283" s="3">
        <f>VLOOKUP(B2283,airports!A:H,7,FALSE)</f>
        <v>39.843951939999997</v>
      </c>
      <c r="G2283" s="3">
        <f>VLOOKUP(B2283,airports!A:H,8,FALSE)</f>
        <v>-89.677618609999996</v>
      </c>
      <c r="H2283">
        <f t="shared" si="70"/>
        <v>1014.6</v>
      </c>
      <c r="I2283">
        <f t="shared" si="71"/>
        <v>630.5</v>
      </c>
    </row>
    <row r="2284" spans="1:9" ht="30" x14ac:dyDescent="0.25">
      <c r="A2284" s="5" t="s">
        <v>49</v>
      </c>
      <c r="B2284" s="5" t="s">
        <v>2722</v>
      </c>
      <c r="C2284" s="5" t="s">
        <v>2723</v>
      </c>
      <c r="D2284" s="3">
        <f>VLOOKUP(A2284,airports!A:H,7,FALSE)</f>
        <v>32.895950560000003</v>
      </c>
      <c r="E2284" s="3">
        <f>VLOOKUP(A2284,airports!A:H,8,FALSE)</f>
        <v>-97.037199999999999</v>
      </c>
      <c r="F2284" s="3">
        <f>VLOOKUP(B2284,airports!A:H,7,FALSE)</f>
        <v>33.988796110000003</v>
      </c>
      <c r="G2284" s="3">
        <f>VLOOKUP(B2284,airports!A:H,8,FALSE)</f>
        <v>-98.491893329999996</v>
      </c>
      <c r="H2284">
        <f t="shared" si="70"/>
        <v>181.6</v>
      </c>
      <c r="I2284">
        <f t="shared" si="71"/>
        <v>112.9</v>
      </c>
    </row>
    <row r="2285" spans="1:9" ht="30" x14ac:dyDescent="0.25">
      <c r="A2285" s="5" t="s">
        <v>49</v>
      </c>
      <c r="B2285" s="5" t="s">
        <v>138</v>
      </c>
      <c r="C2285" s="5" t="s">
        <v>2724</v>
      </c>
      <c r="D2285" s="3">
        <f>VLOOKUP(A2285,airports!A:H,7,FALSE)</f>
        <v>32.895950560000003</v>
      </c>
      <c r="E2285" s="3">
        <f>VLOOKUP(A2285,airports!A:H,8,FALSE)</f>
        <v>-97.037199999999999</v>
      </c>
      <c r="F2285" s="3">
        <f>VLOOKUP(B2285,airports!A:H,7,FALSE)</f>
        <v>27.39533333</v>
      </c>
      <c r="G2285" s="3">
        <f>VLOOKUP(B2285,airports!A:H,8,FALSE)</f>
        <v>-82.554111109999994</v>
      </c>
      <c r="H2285">
        <f t="shared" si="70"/>
        <v>1519.2</v>
      </c>
      <c r="I2285">
        <f t="shared" si="71"/>
        <v>944</v>
      </c>
    </row>
    <row r="2286" spans="1:9" ht="30" x14ac:dyDescent="0.25">
      <c r="A2286" s="5" t="s">
        <v>49</v>
      </c>
      <c r="B2286" s="5" t="s">
        <v>644</v>
      </c>
      <c r="C2286" s="5" t="s">
        <v>2725</v>
      </c>
      <c r="D2286" s="3">
        <f>VLOOKUP(A2286,airports!A:H,7,FALSE)</f>
        <v>32.895950560000003</v>
      </c>
      <c r="E2286" s="3">
        <f>VLOOKUP(A2286,airports!A:H,8,FALSE)</f>
        <v>-97.037199999999999</v>
      </c>
      <c r="F2286" s="3">
        <f>VLOOKUP(B2286,airports!A:H,7,FALSE)</f>
        <v>38.747686940000001</v>
      </c>
      <c r="G2286" s="3">
        <f>VLOOKUP(B2286,airports!A:H,8,FALSE)</f>
        <v>-90.359989720000002</v>
      </c>
      <c r="H2286">
        <f t="shared" si="70"/>
        <v>885.9</v>
      </c>
      <c r="I2286">
        <f t="shared" si="71"/>
        <v>550.5</v>
      </c>
    </row>
    <row r="2287" spans="1:9" ht="30" x14ac:dyDescent="0.25">
      <c r="A2287" s="5" t="s">
        <v>49</v>
      </c>
      <c r="B2287" s="5" t="s">
        <v>1413</v>
      </c>
      <c r="C2287" s="5" t="s">
        <v>2726</v>
      </c>
      <c r="D2287" s="3">
        <f>VLOOKUP(A2287,airports!A:H,7,FALSE)</f>
        <v>32.895950560000003</v>
      </c>
      <c r="E2287" s="3">
        <f>VLOOKUP(A2287,airports!A:H,8,FALSE)</f>
        <v>-97.037199999999999</v>
      </c>
      <c r="F2287" s="3">
        <f>VLOOKUP(B2287,airports!A:H,7,FALSE)</f>
        <v>38.508998869999999</v>
      </c>
      <c r="G2287" s="3">
        <f>VLOOKUP(B2287,airports!A:H,8,FALSE)</f>
        <v>-122.81300349999999</v>
      </c>
      <c r="H2287">
        <f t="shared" si="70"/>
        <v>2400.9</v>
      </c>
      <c r="I2287">
        <f t="shared" si="71"/>
        <v>1491.9</v>
      </c>
    </row>
    <row r="2288" spans="1:9" ht="30" x14ac:dyDescent="0.25">
      <c r="A2288" s="5" t="s">
        <v>49</v>
      </c>
      <c r="B2288" s="5" t="s">
        <v>140</v>
      </c>
      <c r="C2288" s="5" t="s">
        <v>2727</v>
      </c>
      <c r="D2288" s="3">
        <f>VLOOKUP(A2288,airports!A:H,7,FALSE)</f>
        <v>32.895950560000003</v>
      </c>
      <c r="E2288" s="3">
        <f>VLOOKUP(A2288,airports!A:H,8,FALSE)</f>
        <v>-97.037199999999999</v>
      </c>
      <c r="F2288" s="3">
        <f>VLOOKUP(B2288,airports!A:H,7,FALSE)</f>
        <v>18.337305560000001</v>
      </c>
      <c r="G2288" s="3">
        <f>VLOOKUP(B2288,airports!A:H,8,FALSE)</f>
        <v>-64.973361109999999</v>
      </c>
      <c r="H2288">
        <f t="shared" si="70"/>
        <v>3579.1</v>
      </c>
      <c r="I2288">
        <f t="shared" si="71"/>
        <v>2224.1</v>
      </c>
    </row>
    <row r="2289" spans="1:9" ht="30" x14ac:dyDescent="0.25">
      <c r="A2289" s="5" t="s">
        <v>49</v>
      </c>
      <c r="B2289" s="5" t="s">
        <v>2514</v>
      </c>
      <c r="C2289" s="5" t="s">
        <v>2728</v>
      </c>
      <c r="D2289" s="3">
        <f>VLOOKUP(A2289,airports!A:H,7,FALSE)</f>
        <v>32.895950560000003</v>
      </c>
      <c r="E2289" s="3">
        <f>VLOOKUP(A2289,airports!A:H,8,FALSE)</f>
        <v>-97.037199999999999</v>
      </c>
      <c r="F2289" s="3">
        <f>VLOOKUP(B2289,airports!A:H,7,FALSE)</f>
        <v>42.402603329999998</v>
      </c>
      <c r="G2289" s="3">
        <f>VLOOKUP(B2289,airports!A:H,8,FALSE)</f>
        <v>-96.384366940000007</v>
      </c>
      <c r="H2289">
        <f t="shared" si="70"/>
        <v>1058.5999999999999</v>
      </c>
      <c r="I2289">
        <f t="shared" si="71"/>
        <v>657.9</v>
      </c>
    </row>
    <row r="2290" spans="1:9" ht="30" x14ac:dyDescent="0.25">
      <c r="A2290" s="5" t="s">
        <v>49</v>
      </c>
      <c r="B2290" s="5" t="s">
        <v>2729</v>
      </c>
      <c r="C2290" s="5" t="s">
        <v>2730</v>
      </c>
      <c r="D2290" s="3">
        <f>VLOOKUP(A2290,airports!A:H,7,FALSE)</f>
        <v>32.895950560000003</v>
      </c>
      <c r="E2290" s="3">
        <f>VLOOKUP(A2290,airports!A:H,8,FALSE)</f>
        <v>-97.037199999999999</v>
      </c>
      <c r="F2290" s="3">
        <f>VLOOKUP(B2290,airports!A:H,7,FALSE)</f>
        <v>36.161201477051002</v>
      </c>
      <c r="G2290" s="3">
        <f>VLOOKUP(B2290,airports!A:H,8,FALSE)</f>
        <v>-97.08570098877</v>
      </c>
      <c r="H2290">
        <f t="shared" si="70"/>
        <v>363.1</v>
      </c>
      <c r="I2290">
        <f t="shared" si="71"/>
        <v>225.6</v>
      </c>
    </row>
    <row r="2291" spans="1:9" ht="30" x14ac:dyDescent="0.25">
      <c r="A2291" s="5" t="s">
        <v>49</v>
      </c>
      <c r="B2291" s="5" t="s">
        <v>144</v>
      </c>
      <c r="C2291" s="5" t="s">
        <v>2731</v>
      </c>
      <c r="D2291" s="3">
        <f>VLOOKUP(A2291,airports!A:H,7,FALSE)</f>
        <v>32.895950560000003</v>
      </c>
      <c r="E2291" s="3">
        <f>VLOOKUP(A2291,airports!A:H,8,FALSE)</f>
        <v>-97.037199999999999</v>
      </c>
      <c r="F2291" s="3">
        <f>VLOOKUP(B2291,airports!A:H,7,FALSE)</f>
        <v>43.111186940000003</v>
      </c>
      <c r="G2291" s="3">
        <f>VLOOKUP(B2291,airports!A:H,8,FALSE)</f>
        <v>-76.106310559999997</v>
      </c>
      <c r="H2291">
        <f t="shared" si="70"/>
        <v>2148</v>
      </c>
      <c r="I2291">
        <f t="shared" si="71"/>
        <v>1334.8</v>
      </c>
    </row>
    <row r="2292" spans="1:9" ht="30" x14ac:dyDescent="0.25">
      <c r="A2292" s="5" t="s">
        <v>49</v>
      </c>
      <c r="B2292" s="5" t="s">
        <v>651</v>
      </c>
      <c r="C2292" s="5" t="s">
        <v>2732</v>
      </c>
      <c r="D2292" s="3">
        <f>VLOOKUP(A2292,airports!A:H,7,FALSE)</f>
        <v>32.895950560000003</v>
      </c>
      <c r="E2292" s="3">
        <f>VLOOKUP(A2292,airports!A:H,8,FALSE)</f>
        <v>-97.037199999999999</v>
      </c>
      <c r="F2292" s="3">
        <f>VLOOKUP(B2292,airports!A:H,7,FALSE)</f>
        <v>30.39652778</v>
      </c>
      <c r="G2292" s="3">
        <f>VLOOKUP(B2292,airports!A:H,8,FALSE)</f>
        <v>-84.350333329999998</v>
      </c>
      <c r="H2292">
        <f t="shared" si="70"/>
        <v>1231.8</v>
      </c>
      <c r="I2292">
        <f t="shared" si="71"/>
        <v>765.5</v>
      </c>
    </row>
    <row r="2293" spans="1:9" ht="30" x14ac:dyDescent="0.25">
      <c r="A2293" s="5" t="s">
        <v>49</v>
      </c>
      <c r="B2293" s="5" t="s">
        <v>145</v>
      </c>
      <c r="C2293" s="5" t="s">
        <v>2733</v>
      </c>
      <c r="D2293" s="3">
        <f>VLOOKUP(A2293,airports!A:H,7,FALSE)</f>
        <v>32.895950560000003</v>
      </c>
      <c r="E2293" s="3">
        <f>VLOOKUP(A2293,airports!A:H,8,FALSE)</f>
        <v>-97.037199999999999</v>
      </c>
      <c r="F2293" s="3">
        <f>VLOOKUP(B2293,airports!A:H,7,FALSE)</f>
        <v>27.97547222</v>
      </c>
      <c r="G2293" s="3">
        <f>VLOOKUP(B2293,airports!A:H,8,FALSE)</f>
        <v>-82.533249999999995</v>
      </c>
      <c r="H2293">
        <f t="shared" si="70"/>
        <v>1492.6</v>
      </c>
      <c r="I2293">
        <f t="shared" si="71"/>
        <v>927.5</v>
      </c>
    </row>
    <row r="2294" spans="1:9" ht="30" x14ac:dyDescent="0.25">
      <c r="A2294" s="5" t="s">
        <v>49</v>
      </c>
      <c r="B2294" s="5" t="s">
        <v>654</v>
      </c>
      <c r="C2294" s="5" t="s">
        <v>2734</v>
      </c>
      <c r="D2294" s="3">
        <f>VLOOKUP(A2294,airports!A:H,7,FALSE)</f>
        <v>32.895950560000003</v>
      </c>
      <c r="E2294" s="3">
        <f>VLOOKUP(A2294,airports!A:H,8,FALSE)</f>
        <v>-97.037199999999999</v>
      </c>
      <c r="F2294" s="3">
        <f>VLOOKUP(B2294,airports!A:H,7,FALSE)</f>
        <v>36.475214170000001</v>
      </c>
      <c r="G2294" s="3">
        <f>VLOOKUP(B2294,airports!A:H,8,FALSE)</f>
        <v>-82.407420560000006</v>
      </c>
      <c r="H2294">
        <f t="shared" si="70"/>
        <v>1394</v>
      </c>
      <c r="I2294">
        <f t="shared" si="71"/>
        <v>866.2</v>
      </c>
    </row>
    <row r="2295" spans="1:9" ht="30" x14ac:dyDescent="0.25">
      <c r="A2295" s="5" t="s">
        <v>49</v>
      </c>
      <c r="B2295" s="5" t="s">
        <v>658</v>
      </c>
      <c r="C2295" s="5" t="s">
        <v>2735</v>
      </c>
      <c r="D2295" s="3">
        <f>VLOOKUP(A2295,airports!A:H,7,FALSE)</f>
        <v>32.895950560000003</v>
      </c>
      <c r="E2295" s="3">
        <f>VLOOKUP(A2295,airports!A:H,8,FALSE)</f>
        <v>-97.037199999999999</v>
      </c>
      <c r="F2295" s="3">
        <f>VLOOKUP(B2295,airports!A:H,7,FALSE)</f>
        <v>36.198372220000003</v>
      </c>
      <c r="G2295" s="3">
        <f>VLOOKUP(B2295,airports!A:H,8,FALSE)</f>
        <v>-95.888241669999999</v>
      </c>
      <c r="H2295">
        <f t="shared" si="70"/>
        <v>382</v>
      </c>
      <c r="I2295">
        <f t="shared" si="71"/>
        <v>237.4</v>
      </c>
    </row>
    <row r="2296" spans="1:9" ht="30" x14ac:dyDescent="0.25">
      <c r="A2296" s="5" t="s">
        <v>49</v>
      </c>
      <c r="B2296" s="5" t="s">
        <v>660</v>
      </c>
      <c r="C2296" s="5" t="s">
        <v>2736</v>
      </c>
      <c r="D2296" s="3">
        <f>VLOOKUP(A2296,airports!A:H,7,FALSE)</f>
        <v>32.895950560000003</v>
      </c>
      <c r="E2296" s="3">
        <f>VLOOKUP(A2296,airports!A:H,8,FALSE)</f>
        <v>-97.037199999999999</v>
      </c>
      <c r="F2296" s="3">
        <f>VLOOKUP(B2296,airports!A:H,7,FALSE)</f>
        <v>32.116083330000002</v>
      </c>
      <c r="G2296" s="3">
        <f>VLOOKUP(B2296,airports!A:H,8,FALSE)</f>
        <v>-110.9410278</v>
      </c>
      <c r="H2296">
        <f t="shared" si="70"/>
        <v>1305.8</v>
      </c>
      <c r="I2296">
        <f t="shared" si="71"/>
        <v>811.4</v>
      </c>
    </row>
    <row r="2297" spans="1:9" ht="30" x14ac:dyDescent="0.25">
      <c r="A2297" s="5" t="s">
        <v>49</v>
      </c>
      <c r="B2297" s="5" t="s">
        <v>662</v>
      </c>
      <c r="C2297" s="5" t="s">
        <v>2737</v>
      </c>
      <c r="D2297" s="3">
        <f>VLOOKUP(A2297,airports!A:H,7,FALSE)</f>
        <v>32.895950560000003</v>
      </c>
      <c r="E2297" s="3">
        <f>VLOOKUP(A2297,airports!A:H,8,FALSE)</f>
        <v>-97.037199999999999</v>
      </c>
      <c r="F2297" s="3">
        <f>VLOOKUP(B2297,airports!A:H,7,FALSE)</f>
        <v>44.741444719999997</v>
      </c>
      <c r="G2297" s="3">
        <f>VLOOKUP(B2297,airports!A:H,8,FALSE)</f>
        <v>-85.582234999999997</v>
      </c>
      <c r="H2297">
        <f t="shared" si="70"/>
        <v>1645.6</v>
      </c>
      <c r="I2297">
        <f t="shared" si="71"/>
        <v>1022.6</v>
      </c>
    </row>
    <row r="2298" spans="1:9" ht="30" x14ac:dyDescent="0.25">
      <c r="A2298" s="5" t="s">
        <v>49</v>
      </c>
      <c r="B2298" s="5" t="s">
        <v>2738</v>
      </c>
      <c r="C2298" s="5" t="s">
        <v>2739</v>
      </c>
      <c r="D2298" s="3">
        <f>VLOOKUP(A2298,airports!A:H,7,FALSE)</f>
        <v>32.895950560000003</v>
      </c>
      <c r="E2298" s="3">
        <f>VLOOKUP(A2298,airports!A:H,8,FALSE)</f>
        <v>-97.037199999999999</v>
      </c>
      <c r="F2298" s="3">
        <f>VLOOKUP(B2298,airports!A:H,7,FALSE)</f>
        <v>33.453708059999997</v>
      </c>
      <c r="G2298" s="3">
        <f>VLOOKUP(B2298,airports!A:H,8,FALSE)</f>
        <v>-93.991020000000006</v>
      </c>
      <c r="H2298">
        <f t="shared" si="70"/>
        <v>290.2</v>
      </c>
      <c r="I2298">
        <f t="shared" si="71"/>
        <v>180.3</v>
      </c>
    </row>
    <row r="2299" spans="1:9" ht="30" x14ac:dyDescent="0.25">
      <c r="A2299" s="5" t="s">
        <v>49</v>
      </c>
      <c r="B2299" s="5" t="s">
        <v>2523</v>
      </c>
      <c r="C2299" s="5" t="s">
        <v>2740</v>
      </c>
      <c r="D2299" s="3">
        <f>VLOOKUP(A2299,airports!A:H,7,FALSE)</f>
        <v>32.895950560000003</v>
      </c>
      <c r="E2299" s="3">
        <f>VLOOKUP(A2299,airports!A:H,8,FALSE)</f>
        <v>-97.037199999999999</v>
      </c>
      <c r="F2299" s="3">
        <f>VLOOKUP(B2299,airports!A:H,7,FALSE)</f>
        <v>32.354138890000002</v>
      </c>
      <c r="G2299" s="3">
        <f>VLOOKUP(B2299,airports!A:H,8,FALSE)</f>
        <v>-95.402386109999995</v>
      </c>
      <c r="H2299">
        <f t="shared" si="70"/>
        <v>164.5</v>
      </c>
      <c r="I2299">
        <f t="shared" si="71"/>
        <v>102.2</v>
      </c>
    </row>
    <row r="2300" spans="1:9" ht="30" x14ac:dyDescent="0.25">
      <c r="A2300" s="5" t="s">
        <v>49</v>
      </c>
      <c r="B2300" s="5" t="s">
        <v>664</v>
      </c>
      <c r="C2300" s="5" t="s">
        <v>2741</v>
      </c>
      <c r="D2300" s="3">
        <f>VLOOKUP(A2300,airports!A:H,7,FALSE)</f>
        <v>32.895950560000003</v>
      </c>
      <c r="E2300" s="3">
        <f>VLOOKUP(A2300,airports!A:H,8,FALSE)</f>
        <v>-97.037199999999999</v>
      </c>
      <c r="F2300" s="3">
        <f>VLOOKUP(B2300,airports!A:H,7,FALSE)</f>
        <v>35.812487220000001</v>
      </c>
      <c r="G2300" s="3">
        <f>VLOOKUP(B2300,airports!A:H,8,FALSE)</f>
        <v>-83.992855829999996</v>
      </c>
      <c r="H2300">
        <f t="shared" si="70"/>
        <v>1239.5</v>
      </c>
      <c r="I2300">
        <f t="shared" si="71"/>
        <v>770.2</v>
      </c>
    </row>
    <row r="2301" spans="1:9" ht="30" x14ac:dyDescent="0.25">
      <c r="A2301" s="5" t="s">
        <v>49</v>
      </c>
      <c r="B2301" s="5" t="s">
        <v>668</v>
      </c>
      <c r="C2301" s="5" t="s">
        <v>2742</v>
      </c>
      <c r="D2301" s="3">
        <f>VLOOKUP(A2301,airports!A:H,7,FALSE)</f>
        <v>32.895950560000003</v>
      </c>
      <c r="E2301" s="3">
        <f>VLOOKUP(A2301,airports!A:H,8,FALSE)</f>
        <v>-97.037199999999999</v>
      </c>
      <c r="F2301" s="3">
        <f>VLOOKUP(B2301,airports!A:H,7,FALSE)</f>
        <v>30.483250000000002</v>
      </c>
      <c r="G2301" s="3">
        <f>VLOOKUP(B2301,airports!A:H,8,FALSE)</f>
        <v>-86.525400000000005</v>
      </c>
      <c r="H2301">
        <f t="shared" si="70"/>
        <v>1029.5999999999999</v>
      </c>
      <c r="I2301">
        <f t="shared" si="71"/>
        <v>639.79999999999995</v>
      </c>
    </row>
    <row r="2302" spans="1:9" ht="30" x14ac:dyDescent="0.25">
      <c r="A2302" s="5" t="s">
        <v>49</v>
      </c>
      <c r="B2302" s="5" t="s">
        <v>670</v>
      </c>
      <c r="C2302" s="5" t="s">
        <v>2743</v>
      </c>
      <c r="D2302" s="3">
        <f>VLOOKUP(A2302,airports!A:H,7,FALSE)</f>
        <v>32.895950560000003</v>
      </c>
      <c r="E2302" s="3">
        <f>VLOOKUP(A2302,airports!A:H,8,FALSE)</f>
        <v>-97.037199999999999</v>
      </c>
      <c r="F2302" s="3">
        <f>VLOOKUP(B2302,airports!A:H,7,FALSE)</f>
        <v>36.281869440000001</v>
      </c>
      <c r="G2302" s="3">
        <f>VLOOKUP(B2302,airports!A:H,8,FALSE)</f>
        <v>-94.306811109999998</v>
      </c>
      <c r="H2302">
        <f t="shared" si="70"/>
        <v>451.9</v>
      </c>
      <c r="I2302">
        <f t="shared" si="71"/>
        <v>280.8</v>
      </c>
    </row>
    <row r="2303" spans="1:9" ht="30" x14ac:dyDescent="0.25">
      <c r="A2303" s="5" t="s">
        <v>49</v>
      </c>
      <c r="B2303" s="5" t="s">
        <v>2744</v>
      </c>
      <c r="C2303" s="5" t="s">
        <v>2745</v>
      </c>
      <c r="D2303" s="3">
        <f>VLOOKUP(A2303,airports!A:H,7,FALSE)</f>
        <v>32.895950560000003</v>
      </c>
      <c r="E2303" s="3">
        <f>VLOOKUP(A2303,airports!A:H,8,FALSE)</f>
        <v>-97.037199999999999</v>
      </c>
      <c r="F2303" s="3">
        <f>VLOOKUP(B2303,airports!A:H,7,FALSE)</f>
        <v>32.656583329999997</v>
      </c>
      <c r="G2303" s="3">
        <f>VLOOKUP(B2303,airports!A:H,8,FALSE)</f>
        <v>-114.6059722</v>
      </c>
      <c r="H2303">
        <f t="shared" si="70"/>
        <v>1640.8</v>
      </c>
      <c r="I2303">
        <f t="shared" si="71"/>
        <v>1019.6</v>
      </c>
    </row>
    <row r="2304" spans="1:9" ht="30" x14ac:dyDescent="0.25">
      <c r="A2304" s="5" t="s">
        <v>472</v>
      </c>
      <c r="B2304" s="5" t="s">
        <v>10</v>
      </c>
      <c r="C2304" s="5" t="s">
        <v>2746</v>
      </c>
      <c r="D2304" s="3">
        <f>VLOOKUP(A2304,airports!A:H,7,FALSE)</f>
        <v>31.321339170000002</v>
      </c>
      <c r="E2304" s="3">
        <f>VLOOKUP(A2304,airports!A:H,8,FALSE)</f>
        <v>-85.44962889</v>
      </c>
      <c r="F2304" s="3">
        <f>VLOOKUP(B2304,airports!A:H,7,FALSE)</f>
        <v>33.640444440000003</v>
      </c>
      <c r="G2304" s="3">
        <f>VLOOKUP(B2304,airports!A:H,8,FALSE)</f>
        <v>-84.42694444</v>
      </c>
      <c r="H2304">
        <f t="shared" si="70"/>
        <v>275.10000000000002</v>
      </c>
      <c r="I2304">
        <f t="shared" si="71"/>
        <v>171</v>
      </c>
    </row>
    <row r="2305" spans="1:9" ht="30" x14ac:dyDescent="0.25">
      <c r="A2305" s="5" t="s">
        <v>2348</v>
      </c>
      <c r="B2305" s="5" t="s">
        <v>47</v>
      </c>
      <c r="C2305" s="5" t="s">
        <v>2747</v>
      </c>
      <c r="D2305" s="3">
        <f>VLOOKUP(A2305,airports!A:H,7,FALSE)</f>
        <v>46.797388890000001</v>
      </c>
      <c r="E2305" s="3">
        <f>VLOOKUP(A2305,airports!A:H,8,FALSE)</f>
        <v>-102.8019528</v>
      </c>
      <c r="F2305" s="3">
        <f>VLOOKUP(B2305,airports!A:H,7,FALSE)</f>
        <v>39.858408060000002</v>
      </c>
      <c r="G2305" s="3">
        <f>VLOOKUP(B2305,airports!A:H,8,FALSE)</f>
        <v>-104.6670019</v>
      </c>
      <c r="H2305">
        <f t="shared" si="70"/>
        <v>786.1</v>
      </c>
      <c r="I2305">
        <f t="shared" si="71"/>
        <v>488.5</v>
      </c>
    </row>
    <row r="2306" spans="1:9" ht="30" x14ac:dyDescent="0.25">
      <c r="A2306" s="5" t="s">
        <v>289</v>
      </c>
      <c r="B2306" s="5" t="s">
        <v>287</v>
      </c>
      <c r="C2306" s="5" t="s">
        <v>2748</v>
      </c>
      <c r="D2306" s="3">
        <f>VLOOKUP(A2306,airports!A:H,7,FALSE)</f>
        <v>59.045412499999998</v>
      </c>
      <c r="E2306" s="3">
        <f>VLOOKUP(A2306,airports!A:H,8,FALSE)</f>
        <v>-158.50333889999999</v>
      </c>
      <c r="F2306" s="3">
        <f>VLOOKUP(B2306,airports!A:H,7,FALSE)</f>
        <v>58.676801670000003</v>
      </c>
      <c r="G2306" s="3">
        <f>VLOOKUP(B2306,airports!A:H,8,FALSE)</f>
        <v>-156.64921749999999</v>
      </c>
      <c r="H2306">
        <f t="shared" si="70"/>
        <v>114.2</v>
      </c>
      <c r="I2306">
        <f t="shared" si="71"/>
        <v>71</v>
      </c>
    </row>
    <row r="2307" spans="1:9" ht="30" x14ac:dyDescent="0.25">
      <c r="A2307" s="5" t="s">
        <v>289</v>
      </c>
      <c r="B2307" s="5" t="s">
        <v>265</v>
      </c>
      <c r="C2307" s="5" t="s">
        <v>2749</v>
      </c>
      <c r="D2307" s="3">
        <f>VLOOKUP(A2307,airports!A:H,7,FALSE)</f>
        <v>59.045412499999998</v>
      </c>
      <c r="E2307" s="3">
        <f>VLOOKUP(A2307,airports!A:H,8,FALSE)</f>
        <v>-158.50333889999999</v>
      </c>
      <c r="F2307" s="3">
        <f>VLOOKUP(B2307,airports!A:H,7,FALSE)</f>
        <v>61.174320280000003</v>
      </c>
      <c r="G2307" s="3">
        <f>VLOOKUP(B2307,airports!A:H,8,FALSE)</f>
        <v>-149.99618559999999</v>
      </c>
      <c r="H2307">
        <f t="shared" si="70"/>
        <v>527</v>
      </c>
      <c r="I2307">
        <f t="shared" si="71"/>
        <v>327.5</v>
      </c>
    </row>
    <row r="2308" spans="1:9" ht="30" x14ac:dyDescent="0.25">
      <c r="A2308" s="5" t="s">
        <v>1944</v>
      </c>
      <c r="B2308" s="5" t="s">
        <v>556</v>
      </c>
      <c r="C2308" s="5" t="s">
        <v>2750</v>
      </c>
      <c r="D2308" s="3">
        <f>VLOOKUP(A2308,airports!A:H,7,FALSE)</f>
        <v>46.842090280000001</v>
      </c>
      <c r="E2308" s="3">
        <f>VLOOKUP(A2308,airports!A:H,8,FALSE)</f>
        <v>-92.193648609999997</v>
      </c>
      <c r="F2308" s="3">
        <f>VLOOKUP(B2308,airports!A:H,7,FALSE)</f>
        <v>40.850972220000003</v>
      </c>
      <c r="G2308" s="3">
        <f>VLOOKUP(B2308,airports!A:H,8,FALSE)</f>
        <v>-96.759249999999994</v>
      </c>
      <c r="H2308">
        <f t="shared" ref="H2308:H2371" si="72">ROUND(ACOS(COS(RADIANS(90-D2308)) * COS(RADIANS(90-F2308)) + SIN(RADIANS(90-D2308)) * SIN(RADIANS(90-F2308)) * COS(RADIANS(E2308-G2308))) * 6371,1)</f>
        <v>759.8</v>
      </c>
      <c r="I2308">
        <f t="shared" ref="I2308:I2371" si="73">ROUND(ACOS(COS(RADIANS(90-D2308)) * COS(RADIANS(90-F2308)) + SIN(RADIANS(90-D2308)) * SIN(RADIANS(90-F2308)) * COS(RADIANS(E2308-G2308))) * 3959,1)</f>
        <v>472.2</v>
      </c>
    </row>
    <row r="2309" spans="1:9" ht="30" x14ac:dyDescent="0.25">
      <c r="A2309" s="5" t="s">
        <v>1944</v>
      </c>
      <c r="B2309" s="5" t="s">
        <v>87</v>
      </c>
      <c r="C2309" s="5" t="s">
        <v>2751</v>
      </c>
      <c r="D2309" s="3">
        <f>VLOOKUP(A2309,airports!A:H,7,FALSE)</f>
        <v>46.842090280000001</v>
      </c>
      <c r="E2309" s="3">
        <f>VLOOKUP(A2309,airports!A:H,8,FALSE)</f>
        <v>-92.193648609999997</v>
      </c>
      <c r="F2309" s="3">
        <f>VLOOKUP(B2309,airports!A:H,7,FALSE)</f>
        <v>44.880546940000002</v>
      </c>
      <c r="G2309" s="3">
        <f>VLOOKUP(B2309,airports!A:H,8,FALSE)</f>
        <v>-93.216922499999995</v>
      </c>
      <c r="H2309">
        <f t="shared" si="72"/>
        <v>232.1</v>
      </c>
      <c r="I2309">
        <f t="shared" si="73"/>
        <v>144.19999999999999</v>
      </c>
    </row>
    <row r="2310" spans="1:9" ht="30" x14ac:dyDescent="0.25">
      <c r="A2310" s="5" t="s">
        <v>1944</v>
      </c>
      <c r="B2310" s="5" t="s">
        <v>95</v>
      </c>
      <c r="C2310" s="5" t="s">
        <v>2752</v>
      </c>
      <c r="D2310" s="3">
        <f>VLOOKUP(A2310,airports!A:H,7,FALSE)</f>
        <v>46.842090280000001</v>
      </c>
      <c r="E2310" s="3">
        <f>VLOOKUP(A2310,airports!A:H,8,FALSE)</f>
        <v>-92.193648609999997</v>
      </c>
      <c r="F2310" s="3">
        <f>VLOOKUP(B2310,airports!A:H,7,FALSE)</f>
        <v>41.979595000000003</v>
      </c>
      <c r="G2310" s="3">
        <f>VLOOKUP(B2310,airports!A:H,8,FALSE)</f>
        <v>-87.904464169999997</v>
      </c>
      <c r="H2310">
        <f t="shared" si="72"/>
        <v>638.79999999999995</v>
      </c>
      <c r="I2310">
        <f t="shared" si="73"/>
        <v>397</v>
      </c>
    </row>
    <row r="2311" spans="1:9" ht="30" x14ac:dyDescent="0.25">
      <c r="A2311" s="5" t="s">
        <v>2350</v>
      </c>
      <c r="B2311" s="5" t="s">
        <v>1981</v>
      </c>
      <c r="C2311" s="5" t="s">
        <v>2753</v>
      </c>
      <c r="D2311" s="3">
        <f>VLOOKUP(A2311,airports!A:H,7,FALSE)</f>
        <v>37.151516669999999</v>
      </c>
      <c r="E2311" s="3">
        <f>VLOOKUP(A2311,airports!A:H,8,FALSE)</f>
        <v>-107.75376919999999</v>
      </c>
      <c r="F2311" s="3">
        <f>VLOOKUP(B2311,airports!A:H,7,FALSE)</f>
        <v>42.908355559999997</v>
      </c>
      <c r="G2311" s="3">
        <f>VLOOKUP(B2311,airports!A:H,8,FALSE)</f>
        <v>-106.4644661</v>
      </c>
      <c r="H2311">
        <f t="shared" si="72"/>
        <v>649.5</v>
      </c>
      <c r="I2311">
        <f t="shared" si="73"/>
        <v>403.6</v>
      </c>
    </row>
    <row r="2312" spans="1:9" ht="30" x14ac:dyDescent="0.25">
      <c r="A2312" s="5" t="s">
        <v>2350</v>
      </c>
      <c r="B2312" s="5" t="s">
        <v>47</v>
      </c>
      <c r="C2312" s="5" t="s">
        <v>2754</v>
      </c>
      <c r="D2312" s="3">
        <f>VLOOKUP(A2312,airports!A:H,7,FALSE)</f>
        <v>37.151516669999999</v>
      </c>
      <c r="E2312" s="3">
        <f>VLOOKUP(A2312,airports!A:H,8,FALSE)</f>
        <v>-107.75376919999999</v>
      </c>
      <c r="F2312" s="3">
        <f>VLOOKUP(B2312,airports!A:H,7,FALSE)</f>
        <v>39.858408060000002</v>
      </c>
      <c r="G2312" s="3">
        <f>VLOOKUP(B2312,airports!A:H,8,FALSE)</f>
        <v>-104.6670019</v>
      </c>
      <c r="H2312">
        <f t="shared" si="72"/>
        <v>403.4</v>
      </c>
      <c r="I2312">
        <f t="shared" si="73"/>
        <v>250.6</v>
      </c>
    </row>
    <row r="2313" spans="1:9" ht="30" x14ac:dyDescent="0.25">
      <c r="A2313" s="5" t="s">
        <v>2350</v>
      </c>
      <c r="B2313" s="5" t="s">
        <v>49</v>
      </c>
      <c r="C2313" s="5" t="s">
        <v>2755</v>
      </c>
      <c r="D2313" s="3">
        <f>VLOOKUP(A2313,airports!A:H,7,FALSE)</f>
        <v>37.151516669999999</v>
      </c>
      <c r="E2313" s="3">
        <f>VLOOKUP(A2313,airports!A:H,8,FALSE)</f>
        <v>-107.75376919999999</v>
      </c>
      <c r="F2313" s="3">
        <f>VLOOKUP(B2313,airports!A:H,7,FALSE)</f>
        <v>32.895950560000003</v>
      </c>
      <c r="G2313" s="3">
        <f>VLOOKUP(B2313,airports!A:H,8,FALSE)</f>
        <v>-97.037199999999999</v>
      </c>
      <c r="H2313">
        <f t="shared" si="72"/>
        <v>1083.5999999999999</v>
      </c>
      <c r="I2313">
        <f t="shared" si="73"/>
        <v>673.4</v>
      </c>
    </row>
    <row r="2314" spans="1:9" ht="30" x14ac:dyDescent="0.25">
      <c r="A2314" s="5" t="s">
        <v>2350</v>
      </c>
      <c r="B2314" s="5" t="s">
        <v>67</v>
      </c>
      <c r="C2314" s="5" t="s">
        <v>2756</v>
      </c>
      <c r="D2314" s="3">
        <f>VLOOKUP(A2314,airports!A:H,7,FALSE)</f>
        <v>37.151516669999999</v>
      </c>
      <c r="E2314" s="3">
        <f>VLOOKUP(A2314,airports!A:H,8,FALSE)</f>
        <v>-107.75376919999999</v>
      </c>
      <c r="F2314" s="3">
        <f>VLOOKUP(B2314,airports!A:H,7,FALSE)</f>
        <v>29.980472219999999</v>
      </c>
      <c r="G2314" s="3">
        <f>VLOOKUP(B2314,airports!A:H,8,FALSE)</f>
        <v>-95.339722219999999</v>
      </c>
      <c r="H2314">
        <f t="shared" si="72"/>
        <v>1397.6</v>
      </c>
      <c r="I2314">
        <f t="shared" si="73"/>
        <v>868.5</v>
      </c>
    </row>
    <row r="2315" spans="1:9" ht="30" x14ac:dyDescent="0.25">
      <c r="A2315" s="5" t="s">
        <v>2350</v>
      </c>
      <c r="B2315" s="5" t="s">
        <v>71</v>
      </c>
      <c r="C2315" s="5" t="s">
        <v>2757</v>
      </c>
      <c r="D2315" s="3">
        <f>VLOOKUP(A2315,airports!A:H,7,FALSE)</f>
        <v>37.151516669999999</v>
      </c>
      <c r="E2315" s="3">
        <f>VLOOKUP(A2315,airports!A:H,8,FALSE)</f>
        <v>-107.75376919999999</v>
      </c>
      <c r="F2315" s="3">
        <f>VLOOKUP(B2315,airports!A:H,7,FALSE)</f>
        <v>36.080361109999998</v>
      </c>
      <c r="G2315" s="3">
        <f>VLOOKUP(B2315,airports!A:H,8,FALSE)</f>
        <v>-115.1523333</v>
      </c>
      <c r="H2315">
        <f t="shared" si="72"/>
        <v>670.8</v>
      </c>
      <c r="I2315">
        <f t="shared" si="73"/>
        <v>416.8</v>
      </c>
    </row>
    <row r="2316" spans="1:9" ht="30" x14ac:dyDescent="0.25">
      <c r="A2316" s="5" t="s">
        <v>2350</v>
      </c>
      <c r="B2316" s="5" t="s">
        <v>73</v>
      </c>
      <c r="C2316" s="5" t="s">
        <v>2758</v>
      </c>
      <c r="D2316" s="3">
        <f>VLOOKUP(A2316,airports!A:H,7,FALSE)</f>
        <v>37.151516669999999</v>
      </c>
      <c r="E2316" s="3">
        <f>VLOOKUP(A2316,airports!A:H,8,FALSE)</f>
        <v>-107.75376919999999</v>
      </c>
      <c r="F2316" s="3">
        <f>VLOOKUP(B2316,airports!A:H,7,FALSE)</f>
        <v>33.942536109999999</v>
      </c>
      <c r="G2316" s="3">
        <f>VLOOKUP(B2316,airports!A:H,8,FALSE)</f>
        <v>-118.4080744</v>
      </c>
      <c r="H2316">
        <f t="shared" si="72"/>
        <v>1027.0999999999999</v>
      </c>
      <c r="I2316">
        <f t="shared" si="73"/>
        <v>638.29999999999995</v>
      </c>
    </row>
    <row r="2317" spans="1:9" ht="30" x14ac:dyDescent="0.25">
      <c r="A2317" s="5" t="s">
        <v>2350</v>
      </c>
      <c r="B2317" s="5" t="s">
        <v>95</v>
      </c>
      <c r="C2317" s="5" t="s">
        <v>2759</v>
      </c>
      <c r="D2317" s="3">
        <f>VLOOKUP(A2317,airports!A:H,7,FALSE)</f>
        <v>37.151516669999999</v>
      </c>
      <c r="E2317" s="3">
        <f>VLOOKUP(A2317,airports!A:H,8,FALSE)</f>
        <v>-107.75376919999999</v>
      </c>
      <c r="F2317" s="3">
        <f>VLOOKUP(B2317,airports!A:H,7,FALSE)</f>
        <v>41.979595000000003</v>
      </c>
      <c r="G2317" s="3">
        <f>VLOOKUP(B2317,airports!A:H,8,FALSE)</f>
        <v>-87.904464169999997</v>
      </c>
      <c r="H2317">
        <f t="shared" si="72"/>
        <v>1779.4</v>
      </c>
      <c r="I2317">
        <f t="shared" si="73"/>
        <v>1105.7</v>
      </c>
    </row>
    <row r="2318" spans="1:9" ht="30" x14ac:dyDescent="0.25">
      <c r="A2318" s="5" t="s">
        <v>2350</v>
      </c>
      <c r="B2318" s="5" t="s">
        <v>104</v>
      </c>
      <c r="C2318" s="5" t="s">
        <v>2760</v>
      </c>
      <c r="D2318" s="3">
        <f>VLOOKUP(A2318,airports!A:H,7,FALSE)</f>
        <v>37.151516669999999</v>
      </c>
      <c r="E2318" s="3">
        <f>VLOOKUP(A2318,airports!A:H,8,FALSE)</f>
        <v>-107.75376919999999</v>
      </c>
      <c r="F2318" s="3">
        <f>VLOOKUP(B2318,airports!A:H,7,FALSE)</f>
        <v>33.434166670000003</v>
      </c>
      <c r="G2318" s="3">
        <f>VLOOKUP(B2318,airports!A:H,8,FALSE)</f>
        <v>-112.00805560000001</v>
      </c>
      <c r="H2318">
        <f t="shared" si="72"/>
        <v>565.5</v>
      </c>
      <c r="I2318">
        <f t="shared" si="73"/>
        <v>351.4</v>
      </c>
    </row>
    <row r="2319" spans="1:9" ht="30" x14ac:dyDescent="0.25">
      <c r="A2319" s="5" t="s">
        <v>2350</v>
      </c>
      <c r="B2319" s="5" t="s">
        <v>135</v>
      </c>
      <c r="C2319" s="5" t="s">
        <v>2761</v>
      </c>
      <c r="D2319" s="3">
        <f>VLOOKUP(A2319,airports!A:H,7,FALSE)</f>
        <v>37.151516669999999</v>
      </c>
      <c r="E2319" s="3">
        <f>VLOOKUP(A2319,airports!A:H,8,FALSE)</f>
        <v>-107.75376919999999</v>
      </c>
      <c r="F2319" s="3">
        <f>VLOOKUP(B2319,airports!A:H,7,FALSE)</f>
        <v>40.788387780000001</v>
      </c>
      <c r="G2319" s="3">
        <f>VLOOKUP(B2319,airports!A:H,8,FALSE)</f>
        <v>-111.97777309999999</v>
      </c>
      <c r="H2319">
        <f t="shared" si="72"/>
        <v>544.70000000000005</v>
      </c>
      <c r="I2319">
        <f t="shared" si="73"/>
        <v>338.5</v>
      </c>
    </row>
    <row r="2320" spans="1:9" ht="30" x14ac:dyDescent="0.25">
      <c r="A2320" s="5" t="s">
        <v>2583</v>
      </c>
      <c r="B2320" s="5" t="s">
        <v>49</v>
      </c>
      <c r="C2320" s="5" t="s">
        <v>2762</v>
      </c>
      <c r="D2320" s="3">
        <f>VLOOKUP(A2320,airports!A:H,7,FALSE)</f>
        <v>29.371812219999999</v>
      </c>
      <c r="E2320" s="3">
        <f>VLOOKUP(A2320,airports!A:H,8,FALSE)</f>
        <v>-100.9232339</v>
      </c>
      <c r="F2320" s="3">
        <f>VLOOKUP(B2320,airports!A:H,7,FALSE)</f>
        <v>32.895950560000003</v>
      </c>
      <c r="G2320" s="3">
        <f>VLOOKUP(B2320,airports!A:H,8,FALSE)</f>
        <v>-97.037199999999999</v>
      </c>
      <c r="H2320">
        <f t="shared" si="72"/>
        <v>538.79999999999995</v>
      </c>
      <c r="I2320">
        <f t="shared" si="73"/>
        <v>334.8</v>
      </c>
    </row>
    <row r="2321" spans="1:9" ht="30" x14ac:dyDescent="0.25">
      <c r="A2321" s="5" t="s">
        <v>474</v>
      </c>
      <c r="B2321" s="5" t="s">
        <v>10</v>
      </c>
      <c r="C2321" s="5" t="s">
        <v>2763</v>
      </c>
      <c r="D2321" s="3">
        <f>VLOOKUP(A2321,airports!A:H,7,FALSE)</f>
        <v>41.53493306</v>
      </c>
      <c r="E2321" s="3">
        <f>VLOOKUP(A2321,airports!A:H,8,FALSE)</f>
        <v>-93.660682219999998</v>
      </c>
      <c r="F2321" s="3">
        <f>VLOOKUP(B2321,airports!A:H,7,FALSE)</f>
        <v>33.640444440000003</v>
      </c>
      <c r="G2321" s="3">
        <f>VLOOKUP(B2321,airports!A:H,8,FALSE)</f>
        <v>-84.42694444</v>
      </c>
      <c r="H2321">
        <f t="shared" si="72"/>
        <v>1195.5</v>
      </c>
      <c r="I2321">
        <f t="shared" si="73"/>
        <v>742.9</v>
      </c>
    </row>
    <row r="2322" spans="1:9" ht="30" x14ac:dyDescent="0.25">
      <c r="A2322" s="5" t="s">
        <v>474</v>
      </c>
      <c r="B2322" s="5" t="s">
        <v>13</v>
      </c>
      <c r="C2322" s="5" t="s">
        <v>2764</v>
      </c>
      <c r="D2322" s="3">
        <f>VLOOKUP(A2322,airports!A:H,7,FALSE)</f>
        <v>41.53493306</v>
      </c>
      <c r="E2322" s="3">
        <f>VLOOKUP(A2322,airports!A:H,8,FALSE)</f>
        <v>-93.660682219999998</v>
      </c>
      <c r="F2322" s="3">
        <f>VLOOKUP(B2322,airports!A:H,7,FALSE)</f>
        <v>30.194532779999999</v>
      </c>
      <c r="G2322" s="3">
        <f>VLOOKUP(B2322,airports!A:H,8,FALSE)</f>
        <v>-97.669871939999993</v>
      </c>
      <c r="H2322">
        <f t="shared" si="72"/>
        <v>1311.3</v>
      </c>
      <c r="I2322">
        <f t="shared" si="73"/>
        <v>814.9</v>
      </c>
    </row>
    <row r="2323" spans="1:9" ht="30" x14ac:dyDescent="0.25">
      <c r="A2323" s="5" t="s">
        <v>474</v>
      </c>
      <c r="B2323" s="5" t="s">
        <v>329</v>
      </c>
      <c r="C2323" s="5" t="s">
        <v>2765</v>
      </c>
      <c r="D2323" s="3">
        <f>VLOOKUP(A2323,airports!A:H,7,FALSE)</f>
        <v>41.53493306</v>
      </c>
      <c r="E2323" s="3">
        <f>VLOOKUP(A2323,airports!A:H,8,FALSE)</f>
        <v>-93.660682219999998</v>
      </c>
      <c r="F2323" s="3">
        <f>VLOOKUP(B2323,airports!A:H,7,FALSE)</f>
        <v>33.308999999999997</v>
      </c>
      <c r="G2323" s="3">
        <f>VLOOKUP(B2323,airports!A:H,8,FALSE)</f>
        <v>-111.6559</v>
      </c>
      <c r="H2323">
        <f t="shared" si="72"/>
        <v>1828.2</v>
      </c>
      <c r="I2323">
        <f t="shared" si="73"/>
        <v>1136.0999999999999</v>
      </c>
    </row>
    <row r="2324" spans="1:9" ht="30" x14ac:dyDescent="0.25">
      <c r="A2324" s="5" t="s">
        <v>474</v>
      </c>
      <c r="B2324" s="5" t="s">
        <v>19</v>
      </c>
      <c r="C2324" s="5" t="s">
        <v>2766</v>
      </c>
      <c r="D2324" s="3">
        <f>VLOOKUP(A2324,airports!A:H,7,FALSE)</f>
        <v>41.53493306</v>
      </c>
      <c r="E2324" s="3">
        <f>VLOOKUP(A2324,airports!A:H,8,FALSE)</f>
        <v>-93.660682219999998</v>
      </c>
      <c r="F2324" s="3">
        <f>VLOOKUP(B2324,airports!A:H,7,FALSE)</f>
        <v>36.12447667</v>
      </c>
      <c r="G2324" s="3">
        <f>VLOOKUP(B2324,airports!A:H,8,FALSE)</f>
        <v>-86.678182219999997</v>
      </c>
      <c r="H2324">
        <f t="shared" si="72"/>
        <v>852.5</v>
      </c>
      <c r="I2324">
        <f t="shared" si="73"/>
        <v>529.79999999999995</v>
      </c>
    </row>
    <row r="2325" spans="1:9" ht="30" x14ac:dyDescent="0.25">
      <c r="A2325" s="5" t="s">
        <v>474</v>
      </c>
      <c r="B2325" s="5" t="s">
        <v>450</v>
      </c>
      <c r="C2325" s="5" t="s">
        <v>2767</v>
      </c>
      <c r="D2325" s="3">
        <f>VLOOKUP(A2325,airports!A:H,7,FALSE)</f>
        <v>41.53493306</v>
      </c>
      <c r="E2325" s="3">
        <f>VLOOKUP(A2325,airports!A:H,8,FALSE)</f>
        <v>-93.660682219999998</v>
      </c>
      <c r="F2325" s="3">
        <f>VLOOKUP(B2325,airports!A:H,7,FALSE)</f>
        <v>41.88458833</v>
      </c>
      <c r="G2325" s="3">
        <f>VLOOKUP(B2325,airports!A:H,8,FALSE)</f>
        <v>-91.710872219999999</v>
      </c>
      <c r="H2325">
        <f t="shared" si="72"/>
        <v>166.5</v>
      </c>
      <c r="I2325">
        <f t="shared" si="73"/>
        <v>103.4</v>
      </c>
    </row>
    <row r="2326" spans="1:9" ht="30" x14ac:dyDescent="0.25">
      <c r="A2326" s="5" t="s">
        <v>474</v>
      </c>
      <c r="B2326" s="5" t="s">
        <v>40</v>
      </c>
      <c r="C2326" s="5" t="s">
        <v>2768</v>
      </c>
      <c r="D2326" s="3">
        <f>VLOOKUP(A2326,airports!A:H,7,FALSE)</f>
        <v>41.53493306</v>
      </c>
      <c r="E2326" s="3">
        <f>VLOOKUP(A2326,airports!A:H,8,FALSE)</f>
        <v>-93.660682219999998</v>
      </c>
      <c r="F2326" s="3">
        <f>VLOOKUP(B2326,airports!A:H,7,FALSE)</f>
        <v>35.214011110000001</v>
      </c>
      <c r="G2326" s="3">
        <f>VLOOKUP(B2326,airports!A:H,8,FALSE)</f>
        <v>-80.94312583</v>
      </c>
      <c r="H2326">
        <f t="shared" si="72"/>
        <v>1310.5</v>
      </c>
      <c r="I2326">
        <f t="shared" si="73"/>
        <v>814.4</v>
      </c>
    </row>
    <row r="2327" spans="1:9" ht="30" x14ac:dyDescent="0.25">
      <c r="A2327" s="5" t="s">
        <v>474</v>
      </c>
      <c r="B2327" s="5" t="s">
        <v>45</v>
      </c>
      <c r="C2327" s="5" t="s">
        <v>2769</v>
      </c>
      <c r="D2327" s="3">
        <f>VLOOKUP(A2327,airports!A:H,7,FALSE)</f>
        <v>41.53493306</v>
      </c>
      <c r="E2327" s="3">
        <f>VLOOKUP(A2327,airports!A:H,8,FALSE)</f>
        <v>-93.660682219999998</v>
      </c>
      <c r="F2327" s="3">
        <f>VLOOKUP(B2327,airports!A:H,7,FALSE)</f>
        <v>38.852083329999999</v>
      </c>
      <c r="G2327" s="3">
        <f>VLOOKUP(B2327,airports!A:H,8,FALSE)</f>
        <v>-77.037722220000006</v>
      </c>
      <c r="H2327">
        <f t="shared" si="72"/>
        <v>1440.7</v>
      </c>
      <c r="I2327">
        <f t="shared" si="73"/>
        <v>895.2</v>
      </c>
    </row>
    <row r="2328" spans="1:9" ht="30" x14ac:dyDescent="0.25">
      <c r="A2328" s="5" t="s">
        <v>474</v>
      </c>
      <c r="B2328" s="5" t="s">
        <v>47</v>
      </c>
      <c r="C2328" s="5" t="s">
        <v>2770</v>
      </c>
      <c r="D2328" s="3">
        <f>VLOOKUP(A2328,airports!A:H,7,FALSE)</f>
        <v>41.53493306</v>
      </c>
      <c r="E2328" s="3">
        <f>VLOOKUP(A2328,airports!A:H,8,FALSE)</f>
        <v>-93.660682219999998</v>
      </c>
      <c r="F2328" s="3">
        <f>VLOOKUP(B2328,airports!A:H,7,FALSE)</f>
        <v>39.858408060000002</v>
      </c>
      <c r="G2328" s="3">
        <f>VLOOKUP(B2328,airports!A:H,8,FALSE)</f>
        <v>-104.6670019</v>
      </c>
      <c r="H2328">
        <f t="shared" si="72"/>
        <v>945.7</v>
      </c>
      <c r="I2328">
        <f t="shared" si="73"/>
        <v>587.70000000000005</v>
      </c>
    </row>
    <row r="2329" spans="1:9" ht="30" x14ac:dyDescent="0.25">
      <c r="A2329" s="5" t="s">
        <v>474</v>
      </c>
      <c r="B2329" s="5" t="s">
        <v>49</v>
      </c>
      <c r="C2329" s="5" t="s">
        <v>2771</v>
      </c>
      <c r="D2329" s="3">
        <f>VLOOKUP(A2329,airports!A:H,7,FALSE)</f>
        <v>41.53493306</v>
      </c>
      <c r="E2329" s="3">
        <f>VLOOKUP(A2329,airports!A:H,8,FALSE)</f>
        <v>-93.660682219999998</v>
      </c>
      <c r="F2329" s="3">
        <f>VLOOKUP(B2329,airports!A:H,7,FALSE)</f>
        <v>32.895950560000003</v>
      </c>
      <c r="G2329" s="3">
        <f>VLOOKUP(B2329,airports!A:H,8,FALSE)</f>
        <v>-97.037199999999999</v>
      </c>
      <c r="H2329">
        <f t="shared" si="72"/>
        <v>1005.8</v>
      </c>
      <c r="I2329">
        <f t="shared" si="73"/>
        <v>625</v>
      </c>
    </row>
    <row r="2330" spans="1:9" ht="30" x14ac:dyDescent="0.25">
      <c r="A2330" s="5" t="s">
        <v>474</v>
      </c>
      <c r="B2330" s="5" t="s">
        <v>50</v>
      </c>
      <c r="C2330" s="5" t="s">
        <v>2772</v>
      </c>
      <c r="D2330" s="3">
        <f>VLOOKUP(A2330,airports!A:H,7,FALSE)</f>
        <v>41.53493306</v>
      </c>
      <c r="E2330" s="3">
        <f>VLOOKUP(A2330,airports!A:H,8,FALSE)</f>
        <v>-93.660682219999998</v>
      </c>
      <c r="F2330" s="3">
        <f>VLOOKUP(B2330,airports!A:H,7,FALSE)</f>
        <v>42.212058890000002</v>
      </c>
      <c r="G2330" s="3">
        <f>VLOOKUP(B2330,airports!A:H,8,FALSE)</f>
        <v>-83.348835829999999</v>
      </c>
      <c r="H2330">
        <f t="shared" si="72"/>
        <v>856.6</v>
      </c>
      <c r="I2330">
        <f t="shared" si="73"/>
        <v>532.29999999999995</v>
      </c>
    </row>
    <row r="2331" spans="1:9" ht="30" x14ac:dyDescent="0.25">
      <c r="A2331" s="5" t="s">
        <v>474</v>
      </c>
      <c r="B2331" s="5" t="s">
        <v>52</v>
      </c>
      <c r="C2331" s="5" t="s">
        <v>2773</v>
      </c>
      <c r="D2331" s="3">
        <f>VLOOKUP(A2331,airports!A:H,7,FALSE)</f>
        <v>41.53493306</v>
      </c>
      <c r="E2331" s="3">
        <f>VLOOKUP(A2331,airports!A:H,8,FALSE)</f>
        <v>-93.660682219999998</v>
      </c>
      <c r="F2331" s="3">
        <f>VLOOKUP(B2331,airports!A:H,7,FALSE)</f>
        <v>40.69249722</v>
      </c>
      <c r="G2331" s="3">
        <f>VLOOKUP(B2331,airports!A:H,8,FALSE)</f>
        <v>-74.168660560000006</v>
      </c>
      <c r="H2331">
        <f t="shared" si="72"/>
        <v>1632.2</v>
      </c>
      <c r="I2331">
        <f t="shared" si="73"/>
        <v>1014.2</v>
      </c>
    </row>
    <row r="2332" spans="1:9" ht="30" x14ac:dyDescent="0.25">
      <c r="A2332" s="5" t="s">
        <v>474</v>
      </c>
      <c r="B2332" s="5" t="s">
        <v>57</v>
      </c>
      <c r="C2332" s="5" t="s">
        <v>2774</v>
      </c>
      <c r="D2332" s="3">
        <f>VLOOKUP(A2332,airports!A:H,7,FALSE)</f>
        <v>41.53493306</v>
      </c>
      <c r="E2332" s="3">
        <f>VLOOKUP(A2332,airports!A:H,8,FALSE)</f>
        <v>-93.660682219999998</v>
      </c>
      <c r="F2332" s="3">
        <f>VLOOKUP(B2332,airports!A:H,7,FALSE)</f>
        <v>26.072583330000001</v>
      </c>
      <c r="G2332" s="3">
        <f>VLOOKUP(B2332,airports!A:H,8,FALSE)</f>
        <v>-80.152749999999997</v>
      </c>
      <c r="H2332">
        <f t="shared" si="72"/>
        <v>2118.8000000000002</v>
      </c>
      <c r="I2332">
        <f t="shared" si="73"/>
        <v>1316.6</v>
      </c>
    </row>
    <row r="2333" spans="1:9" ht="30" x14ac:dyDescent="0.25">
      <c r="A2333" s="5" t="s">
        <v>474</v>
      </c>
      <c r="B2333" s="5" t="s">
        <v>205</v>
      </c>
      <c r="C2333" s="5" t="s">
        <v>2775</v>
      </c>
      <c r="D2333" s="3">
        <f>VLOOKUP(A2333,airports!A:H,7,FALSE)</f>
        <v>41.53493306</v>
      </c>
      <c r="E2333" s="3">
        <f>VLOOKUP(A2333,airports!A:H,8,FALSE)</f>
        <v>-93.660682219999998</v>
      </c>
      <c r="F2333" s="3">
        <f>VLOOKUP(B2333,airports!A:H,7,FALSE)</f>
        <v>29.64541861</v>
      </c>
      <c r="G2333" s="3">
        <f>VLOOKUP(B2333,airports!A:H,8,FALSE)</f>
        <v>-95.278888890000005</v>
      </c>
      <c r="H2333">
        <f t="shared" si="72"/>
        <v>1330.1</v>
      </c>
      <c r="I2333">
        <f t="shared" si="73"/>
        <v>826.5</v>
      </c>
    </row>
    <row r="2334" spans="1:9" ht="30" x14ac:dyDescent="0.25">
      <c r="A2334" s="5" t="s">
        <v>474</v>
      </c>
      <c r="B2334" s="5" t="s">
        <v>67</v>
      </c>
      <c r="C2334" s="5" t="s">
        <v>2776</v>
      </c>
      <c r="D2334" s="3">
        <f>VLOOKUP(A2334,airports!A:H,7,FALSE)</f>
        <v>41.53493306</v>
      </c>
      <c r="E2334" s="3">
        <f>VLOOKUP(A2334,airports!A:H,8,FALSE)</f>
        <v>-93.660682219999998</v>
      </c>
      <c r="F2334" s="3">
        <f>VLOOKUP(B2334,airports!A:H,7,FALSE)</f>
        <v>29.980472219999999</v>
      </c>
      <c r="G2334" s="3">
        <f>VLOOKUP(B2334,airports!A:H,8,FALSE)</f>
        <v>-95.339722219999999</v>
      </c>
      <c r="H2334">
        <f t="shared" si="72"/>
        <v>1293.5999999999999</v>
      </c>
      <c r="I2334">
        <f t="shared" si="73"/>
        <v>803.9</v>
      </c>
    </row>
    <row r="2335" spans="1:9" ht="30" x14ac:dyDescent="0.25">
      <c r="A2335" s="5" t="s">
        <v>474</v>
      </c>
      <c r="B2335" s="5" t="s">
        <v>71</v>
      </c>
      <c r="C2335" s="5" t="s">
        <v>2777</v>
      </c>
      <c r="D2335" s="3">
        <f>VLOOKUP(A2335,airports!A:H,7,FALSE)</f>
        <v>41.53493306</v>
      </c>
      <c r="E2335" s="3">
        <f>VLOOKUP(A2335,airports!A:H,8,FALSE)</f>
        <v>-93.660682219999998</v>
      </c>
      <c r="F2335" s="3">
        <f>VLOOKUP(B2335,airports!A:H,7,FALSE)</f>
        <v>36.080361109999998</v>
      </c>
      <c r="G2335" s="3">
        <f>VLOOKUP(B2335,airports!A:H,8,FALSE)</f>
        <v>-115.1523333</v>
      </c>
      <c r="H2335">
        <f t="shared" si="72"/>
        <v>1952.4</v>
      </c>
      <c r="I2335">
        <f t="shared" si="73"/>
        <v>1213.3</v>
      </c>
    </row>
    <row r="2336" spans="1:9" ht="30" x14ac:dyDescent="0.25">
      <c r="A2336" s="5" t="s">
        <v>474</v>
      </c>
      <c r="B2336" s="5" t="s">
        <v>73</v>
      </c>
      <c r="C2336" s="5" t="s">
        <v>2778</v>
      </c>
      <c r="D2336" s="3">
        <f>VLOOKUP(A2336,airports!A:H,7,FALSE)</f>
        <v>41.53493306</v>
      </c>
      <c r="E2336" s="3">
        <f>VLOOKUP(A2336,airports!A:H,8,FALSE)</f>
        <v>-93.660682219999998</v>
      </c>
      <c r="F2336" s="3">
        <f>VLOOKUP(B2336,airports!A:H,7,FALSE)</f>
        <v>33.942536109999999</v>
      </c>
      <c r="G2336" s="3">
        <f>VLOOKUP(B2336,airports!A:H,8,FALSE)</f>
        <v>-118.4080744</v>
      </c>
      <c r="H2336">
        <f t="shared" si="72"/>
        <v>2324</v>
      </c>
      <c r="I2336">
        <f t="shared" si="73"/>
        <v>1444.2</v>
      </c>
    </row>
    <row r="2337" spans="1:9" ht="30" x14ac:dyDescent="0.25">
      <c r="A2337" s="5" t="s">
        <v>474</v>
      </c>
      <c r="B2337" s="5" t="s">
        <v>74</v>
      </c>
      <c r="C2337" s="5" t="s">
        <v>2779</v>
      </c>
      <c r="D2337" s="3">
        <f>VLOOKUP(A2337,airports!A:H,7,FALSE)</f>
        <v>41.53493306</v>
      </c>
      <c r="E2337" s="3">
        <f>VLOOKUP(A2337,airports!A:H,8,FALSE)</f>
        <v>-93.660682219999998</v>
      </c>
      <c r="F2337" s="3">
        <f>VLOOKUP(B2337,airports!A:H,7,FALSE)</f>
        <v>40.777243060000004</v>
      </c>
      <c r="G2337" s="3">
        <f>VLOOKUP(B2337,airports!A:H,8,FALSE)</f>
        <v>-73.872609170000004</v>
      </c>
      <c r="H2337">
        <f t="shared" si="72"/>
        <v>1655.2</v>
      </c>
      <c r="I2337">
        <f t="shared" si="73"/>
        <v>1028.5999999999999</v>
      </c>
    </row>
    <row r="2338" spans="1:9" x14ac:dyDescent="0.25">
      <c r="A2338" s="5" t="s">
        <v>474</v>
      </c>
      <c r="B2338" s="5" t="s">
        <v>554</v>
      </c>
      <c r="C2338" s="5" t="s">
        <v>2780</v>
      </c>
      <c r="D2338" s="3">
        <f>VLOOKUP(A2338,airports!A:H,7,FALSE)</f>
        <v>41.53493306</v>
      </c>
      <c r="E2338" s="3">
        <f>VLOOKUP(A2338,airports!A:H,8,FALSE)</f>
        <v>-93.660682219999998</v>
      </c>
      <c r="F2338" s="3">
        <f>VLOOKUP(B2338,airports!A:H,7,FALSE)</f>
        <v>34.729396110000003</v>
      </c>
      <c r="G2338" s="3">
        <f>VLOOKUP(B2338,airports!A:H,8,FALSE)</f>
        <v>-92.22424556</v>
      </c>
      <c r="H2338">
        <f t="shared" si="72"/>
        <v>767.1</v>
      </c>
      <c r="I2338">
        <f t="shared" si="73"/>
        <v>476.7</v>
      </c>
    </row>
    <row r="2339" spans="1:9" ht="30" x14ac:dyDescent="0.25">
      <c r="A2339" s="5" t="s">
        <v>474</v>
      </c>
      <c r="B2339" s="5" t="s">
        <v>82</v>
      </c>
      <c r="C2339" s="5" t="s">
        <v>2781</v>
      </c>
      <c r="D2339" s="3">
        <f>VLOOKUP(A2339,airports!A:H,7,FALSE)</f>
        <v>41.53493306</v>
      </c>
      <c r="E2339" s="3">
        <f>VLOOKUP(A2339,airports!A:H,8,FALSE)</f>
        <v>-93.660682219999998</v>
      </c>
      <c r="F2339" s="3">
        <f>VLOOKUP(B2339,airports!A:H,7,FALSE)</f>
        <v>28.42888889</v>
      </c>
      <c r="G2339" s="3">
        <f>VLOOKUP(B2339,airports!A:H,8,FALSE)</f>
        <v>-81.316027779999999</v>
      </c>
      <c r="H2339">
        <f t="shared" si="72"/>
        <v>1836.7</v>
      </c>
      <c r="I2339">
        <f t="shared" si="73"/>
        <v>1141.3</v>
      </c>
    </row>
    <row r="2340" spans="1:9" ht="30" x14ac:dyDescent="0.25">
      <c r="A2340" s="5" t="s">
        <v>474</v>
      </c>
      <c r="B2340" s="5" t="s">
        <v>180</v>
      </c>
      <c r="C2340" s="5" t="s">
        <v>2782</v>
      </c>
      <c r="D2340" s="3">
        <f>VLOOKUP(A2340,airports!A:H,7,FALSE)</f>
        <v>41.53493306</v>
      </c>
      <c r="E2340" s="3">
        <f>VLOOKUP(A2340,airports!A:H,8,FALSE)</f>
        <v>-93.660682219999998</v>
      </c>
      <c r="F2340" s="3">
        <f>VLOOKUP(B2340,airports!A:H,7,FALSE)</f>
        <v>41.785982500000003</v>
      </c>
      <c r="G2340" s="3">
        <f>VLOOKUP(B2340,airports!A:H,8,FALSE)</f>
        <v>-87.752424439999999</v>
      </c>
      <c r="H2340">
        <f t="shared" si="72"/>
        <v>491.5</v>
      </c>
      <c r="I2340">
        <f t="shared" si="73"/>
        <v>305.39999999999998</v>
      </c>
    </row>
    <row r="2341" spans="1:9" ht="30" x14ac:dyDescent="0.25">
      <c r="A2341" s="5" t="s">
        <v>474</v>
      </c>
      <c r="B2341" s="5" t="s">
        <v>563</v>
      </c>
      <c r="C2341" s="5" t="s">
        <v>2783</v>
      </c>
      <c r="D2341" s="3">
        <f>VLOOKUP(A2341,airports!A:H,7,FALSE)</f>
        <v>41.53493306</v>
      </c>
      <c r="E2341" s="3">
        <f>VLOOKUP(A2341,airports!A:H,8,FALSE)</f>
        <v>-93.660682219999998</v>
      </c>
      <c r="F2341" s="3">
        <f>VLOOKUP(B2341,airports!A:H,7,FALSE)</f>
        <v>35.042416670000001</v>
      </c>
      <c r="G2341" s="3">
        <f>VLOOKUP(B2341,airports!A:H,8,FALSE)</f>
        <v>-89.97666667</v>
      </c>
      <c r="H2341">
        <f t="shared" si="72"/>
        <v>790.1</v>
      </c>
      <c r="I2341">
        <f t="shared" si="73"/>
        <v>491</v>
      </c>
    </row>
    <row r="2342" spans="1:9" ht="30" x14ac:dyDescent="0.25">
      <c r="A2342" s="5" t="s">
        <v>474</v>
      </c>
      <c r="B2342" s="5" t="s">
        <v>84</v>
      </c>
      <c r="C2342" s="5" t="s">
        <v>2784</v>
      </c>
      <c r="D2342" s="3">
        <f>VLOOKUP(A2342,airports!A:H,7,FALSE)</f>
        <v>41.53493306</v>
      </c>
      <c r="E2342" s="3">
        <f>VLOOKUP(A2342,airports!A:H,8,FALSE)</f>
        <v>-93.660682219999998</v>
      </c>
      <c r="F2342" s="3">
        <f>VLOOKUP(B2342,airports!A:H,7,FALSE)</f>
        <v>25.79325</v>
      </c>
      <c r="G2342" s="3">
        <f>VLOOKUP(B2342,airports!A:H,8,FALSE)</f>
        <v>-80.290555560000001</v>
      </c>
      <c r="H2342">
        <f t="shared" si="72"/>
        <v>2137.8000000000002</v>
      </c>
      <c r="I2342">
        <f t="shared" si="73"/>
        <v>1328.5</v>
      </c>
    </row>
    <row r="2343" spans="1:9" ht="30" x14ac:dyDescent="0.25">
      <c r="A2343" s="5" t="s">
        <v>474</v>
      </c>
      <c r="B2343" s="5" t="s">
        <v>87</v>
      </c>
      <c r="C2343" s="5" t="s">
        <v>2785</v>
      </c>
      <c r="D2343" s="3">
        <f>VLOOKUP(A2343,airports!A:H,7,FALSE)</f>
        <v>41.53493306</v>
      </c>
      <c r="E2343" s="3">
        <f>VLOOKUP(A2343,airports!A:H,8,FALSE)</f>
        <v>-93.660682219999998</v>
      </c>
      <c r="F2343" s="3">
        <f>VLOOKUP(B2343,airports!A:H,7,FALSE)</f>
        <v>44.880546940000002</v>
      </c>
      <c r="G2343" s="3">
        <f>VLOOKUP(B2343,airports!A:H,8,FALSE)</f>
        <v>-93.216922499999995</v>
      </c>
      <c r="H2343">
        <f t="shared" si="72"/>
        <v>373.7</v>
      </c>
      <c r="I2343">
        <f t="shared" si="73"/>
        <v>232.3</v>
      </c>
    </row>
    <row r="2344" spans="1:9" ht="30" x14ac:dyDescent="0.25">
      <c r="A2344" s="5" t="s">
        <v>474</v>
      </c>
      <c r="B2344" s="5" t="s">
        <v>95</v>
      </c>
      <c r="C2344" s="5" t="s">
        <v>2786</v>
      </c>
      <c r="D2344" s="3">
        <f>VLOOKUP(A2344,airports!A:H,7,FALSE)</f>
        <v>41.53493306</v>
      </c>
      <c r="E2344" s="3">
        <f>VLOOKUP(A2344,airports!A:H,8,FALSE)</f>
        <v>-93.660682219999998</v>
      </c>
      <c r="F2344" s="3">
        <f>VLOOKUP(B2344,airports!A:H,7,FALSE)</f>
        <v>41.979595000000003</v>
      </c>
      <c r="G2344" s="3">
        <f>VLOOKUP(B2344,airports!A:H,8,FALSE)</f>
        <v>-87.904464169999997</v>
      </c>
      <c r="H2344">
        <f t="shared" si="72"/>
        <v>479.9</v>
      </c>
      <c r="I2344">
        <f t="shared" si="73"/>
        <v>298.2</v>
      </c>
    </row>
    <row r="2345" spans="1:9" ht="30" x14ac:dyDescent="0.25">
      <c r="A2345" s="5" t="s">
        <v>474</v>
      </c>
      <c r="B2345" s="5" t="s">
        <v>100</v>
      </c>
      <c r="C2345" s="5" t="s">
        <v>2787</v>
      </c>
      <c r="D2345" s="3">
        <f>VLOOKUP(A2345,airports!A:H,7,FALSE)</f>
        <v>41.53493306</v>
      </c>
      <c r="E2345" s="3">
        <f>VLOOKUP(A2345,airports!A:H,8,FALSE)</f>
        <v>-93.660682219999998</v>
      </c>
      <c r="F2345" s="3">
        <f>VLOOKUP(B2345,airports!A:H,7,FALSE)</f>
        <v>45.588722220000001</v>
      </c>
      <c r="G2345" s="3">
        <f>VLOOKUP(B2345,airports!A:H,8,FALSE)</f>
        <v>-122.5975</v>
      </c>
      <c r="H2345">
        <f t="shared" si="72"/>
        <v>2361.3000000000002</v>
      </c>
      <c r="I2345">
        <f t="shared" si="73"/>
        <v>1467.3</v>
      </c>
    </row>
    <row r="2346" spans="1:9" ht="30" x14ac:dyDescent="0.25">
      <c r="A2346" s="5" t="s">
        <v>474</v>
      </c>
      <c r="B2346" s="5" t="s">
        <v>185</v>
      </c>
      <c r="C2346" s="5" t="s">
        <v>2788</v>
      </c>
      <c r="D2346" s="3">
        <f>VLOOKUP(A2346,airports!A:H,7,FALSE)</f>
        <v>41.53493306</v>
      </c>
      <c r="E2346" s="3">
        <f>VLOOKUP(A2346,airports!A:H,8,FALSE)</f>
        <v>-93.660682219999998</v>
      </c>
      <c r="F2346" s="3">
        <f>VLOOKUP(B2346,airports!A:H,7,FALSE)</f>
        <v>26.919699999999999</v>
      </c>
      <c r="G2346" s="3">
        <f>VLOOKUP(B2346,airports!A:H,8,FALSE)</f>
        <v>-81.995999999999995</v>
      </c>
      <c r="H2346">
        <f t="shared" si="72"/>
        <v>1942.9</v>
      </c>
      <c r="I2346">
        <f t="shared" si="73"/>
        <v>1207.4000000000001</v>
      </c>
    </row>
    <row r="2347" spans="1:9" ht="30" x14ac:dyDescent="0.25">
      <c r="A2347" s="5" t="s">
        <v>474</v>
      </c>
      <c r="B2347" s="5" t="s">
        <v>102</v>
      </c>
      <c r="C2347" s="5" t="s">
        <v>2789</v>
      </c>
      <c r="D2347" s="3">
        <f>VLOOKUP(A2347,airports!A:H,7,FALSE)</f>
        <v>41.53493306</v>
      </c>
      <c r="E2347" s="3">
        <f>VLOOKUP(A2347,airports!A:H,8,FALSE)</f>
        <v>-93.660682219999998</v>
      </c>
      <c r="F2347" s="3">
        <f>VLOOKUP(B2347,airports!A:H,7,FALSE)</f>
        <v>39.871952780000001</v>
      </c>
      <c r="G2347" s="3">
        <f>VLOOKUP(B2347,airports!A:H,8,FALSE)</f>
        <v>-75.241140830000006</v>
      </c>
      <c r="H2347">
        <f t="shared" si="72"/>
        <v>1560.7</v>
      </c>
      <c r="I2347">
        <f t="shared" si="73"/>
        <v>969.8</v>
      </c>
    </row>
    <row r="2348" spans="1:9" ht="30" x14ac:dyDescent="0.25">
      <c r="A2348" s="5" t="s">
        <v>474</v>
      </c>
      <c r="B2348" s="5" t="s">
        <v>104</v>
      </c>
      <c r="C2348" s="5" t="s">
        <v>2790</v>
      </c>
      <c r="D2348" s="3">
        <f>VLOOKUP(A2348,airports!A:H,7,FALSE)</f>
        <v>41.53493306</v>
      </c>
      <c r="E2348" s="3">
        <f>VLOOKUP(A2348,airports!A:H,8,FALSE)</f>
        <v>-93.660682219999998</v>
      </c>
      <c r="F2348" s="3">
        <f>VLOOKUP(B2348,airports!A:H,7,FALSE)</f>
        <v>33.434166670000003</v>
      </c>
      <c r="G2348" s="3">
        <f>VLOOKUP(B2348,airports!A:H,8,FALSE)</f>
        <v>-112.00805560000001</v>
      </c>
      <c r="H2348">
        <f t="shared" si="72"/>
        <v>1847.1</v>
      </c>
      <c r="I2348">
        <f t="shared" si="73"/>
        <v>1147.8</v>
      </c>
    </row>
    <row r="2349" spans="1:9" ht="30" x14ac:dyDescent="0.25">
      <c r="A2349" s="5" t="s">
        <v>474</v>
      </c>
      <c r="B2349" s="5" t="s">
        <v>604</v>
      </c>
      <c r="C2349" s="5" t="s">
        <v>2791</v>
      </c>
      <c r="D2349" s="3">
        <f>VLOOKUP(A2349,airports!A:H,7,FALSE)</f>
        <v>41.53493306</v>
      </c>
      <c r="E2349" s="3">
        <f>VLOOKUP(A2349,airports!A:H,8,FALSE)</f>
        <v>-93.660682219999998</v>
      </c>
      <c r="F2349" s="3">
        <f>VLOOKUP(B2349,airports!A:H,7,FALSE)</f>
        <v>40.664243329999998</v>
      </c>
      <c r="G2349" s="3">
        <f>VLOOKUP(B2349,airports!A:H,8,FALSE)</f>
        <v>-89.693305559999999</v>
      </c>
      <c r="H2349">
        <f t="shared" si="72"/>
        <v>346.2</v>
      </c>
      <c r="I2349">
        <f t="shared" si="73"/>
        <v>215.1</v>
      </c>
    </row>
    <row r="2350" spans="1:9" ht="30" x14ac:dyDescent="0.25">
      <c r="A2350" s="5" t="s">
        <v>474</v>
      </c>
      <c r="B2350" s="5" t="s">
        <v>188</v>
      </c>
      <c r="C2350" s="5" t="s">
        <v>2792</v>
      </c>
      <c r="D2350" s="3">
        <f>VLOOKUP(A2350,airports!A:H,7,FALSE)</f>
        <v>41.53493306</v>
      </c>
      <c r="E2350" s="3">
        <f>VLOOKUP(A2350,airports!A:H,8,FALSE)</f>
        <v>-93.660682219999998</v>
      </c>
      <c r="F2350" s="3">
        <f>VLOOKUP(B2350,airports!A:H,7,FALSE)</f>
        <v>27.910763330000002</v>
      </c>
      <c r="G2350" s="3">
        <f>VLOOKUP(B2350,airports!A:H,8,FALSE)</f>
        <v>-82.687439440000006</v>
      </c>
      <c r="H2350">
        <f t="shared" si="72"/>
        <v>1813.3</v>
      </c>
      <c r="I2350">
        <f t="shared" si="73"/>
        <v>1126.8</v>
      </c>
    </row>
    <row r="2351" spans="1:9" ht="30" x14ac:dyDescent="0.25">
      <c r="A2351" s="5" t="s">
        <v>474</v>
      </c>
      <c r="B2351" s="5" t="s">
        <v>111</v>
      </c>
      <c r="C2351" s="5" t="s">
        <v>2793</v>
      </c>
      <c r="D2351" s="3">
        <f>VLOOKUP(A2351,airports!A:H,7,FALSE)</f>
        <v>41.53493306</v>
      </c>
      <c r="E2351" s="3">
        <f>VLOOKUP(A2351,airports!A:H,8,FALSE)</f>
        <v>-93.660682219999998</v>
      </c>
      <c r="F2351" s="3">
        <f>VLOOKUP(B2351,airports!A:H,7,FALSE)</f>
        <v>33.829215560000002</v>
      </c>
      <c r="G2351" s="3">
        <f>VLOOKUP(B2351,airports!A:H,8,FALSE)</f>
        <v>-116.5062531</v>
      </c>
      <c r="H2351">
        <f t="shared" si="72"/>
        <v>2176.9</v>
      </c>
      <c r="I2351">
        <f t="shared" si="73"/>
        <v>1352.7</v>
      </c>
    </row>
    <row r="2352" spans="1:9" ht="30" x14ac:dyDescent="0.25">
      <c r="A2352" s="5" t="s">
        <v>474</v>
      </c>
      <c r="B2352" s="5" t="s">
        <v>124</v>
      </c>
      <c r="C2352" s="5" t="s">
        <v>2794</v>
      </c>
      <c r="D2352" s="3">
        <f>VLOOKUP(A2352,airports!A:H,7,FALSE)</f>
        <v>41.53493306</v>
      </c>
      <c r="E2352" s="3">
        <f>VLOOKUP(A2352,airports!A:H,8,FALSE)</f>
        <v>-93.660682219999998</v>
      </c>
      <c r="F2352" s="3">
        <f>VLOOKUP(B2352,airports!A:H,7,FALSE)</f>
        <v>32.733556110000002</v>
      </c>
      <c r="G2352" s="3">
        <f>VLOOKUP(B2352,airports!A:H,8,FALSE)</f>
        <v>-117.1896567</v>
      </c>
      <c r="H2352">
        <f t="shared" si="72"/>
        <v>2294</v>
      </c>
      <c r="I2352">
        <f t="shared" si="73"/>
        <v>1425.5</v>
      </c>
    </row>
    <row r="2353" spans="1:9" ht="30" x14ac:dyDescent="0.25">
      <c r="A2353" s="5" t="s">
        <v>474</v>
      </c>
      <c r="B2353" s="5" t="s">
        <v>191</v>
      </c>
      <c r="C2353" s="5" t="s">
        <v>2795</v>
      </c>
      <c r="D2353" s="3">
        <f>VLOOKUP(A2353,airports!A:H,7,FALSE)</f>
        <v>41.53493306</v>
      </c>
      <c r="E2353" s="3">
        <f>VLOOKUP(A2353,airports!A:H,8,FALSE)</f>
        <v>-93.660682219999998</v>
      </c>
      <c r="F2353" s="3">
        <f>VLOOKUP(B2353,airports!A:H,7,FALSE)</f>
        <v>28.7776</v>
      </c>
      <c r="G2353" s="3">
        <f>VLOOKUP(B2353,airports!A:H,8,FALSE)</f>
        <v>-81.237499999999997</v>
      </c>
      <c r="H2353">
        <f t="shared" si="72"/>
        <v>1809.2</v>
      </c>
      <c r="I2353">
        <f t="shared" si="73"/>
        <v>1124.2</v>
      </c>
    </row>
    <row r="2354" spans="1:9" ht="30" x14ac:dyDescent="0.25">
      <c r="A2354" s="5" t="s">
        <v>474</v>
      </c>
      <c r="B2354" s="5" t="s">
        <v>130</v>
      </c>
      <c r="C2354" s="5" t="s">
        <v>2796</v>
      </c>
      <c r="D2354" s="3">
        <f>VLOOKUP(A2354,airports!A:H,7,FALSE)</f>
        <v>41.53493306</v>
      </c>
      <c r="E2354" s="3">
        <f>VLOOKUP(A2354,airports!A:H,8,FALSE)</f>
        <v>-93.660682219999998</v>
      </c>
      <c r="F2354" s="3">
        <f>VLOOKUP(B2354,airports!A:H,7,FALSE)</f>
        <v>37.619001939999997</v>
      </c>
      <c r="G2354" s="3">
        <f>VLOOKUP(B2354,airports!A:H,8,FALSE)</f>
        <v>-122.37484329999999</v>
      </c>
      <c r="H2354">
        <f t="shared" si="72"/>
        <v>2487.3000000000002</v>
      </c>
      <c r="I2354">
        <f t="shared" si="73"/>
        <v>1545.6</v>
      </c>
    </row>
    <row r="2355" spans="1:9" ht="30" x14ac:dyDescent="0.25">
      <c r="A2355" s="5" t="s">
        <v>474</v>
      </c>
      <c r="B2355" s="5" t="s">
        <v>135</v>
      </c>
      <c r="C2355" s="5" t="s">
        <v>2797</v>
      </c>
      <c r="D2355" s="3">
        <f>VLOOKUP(A2355,airports!A:H,7,FALSE)</f>
        <v>41.53493306</v>
      </c>
      <c r="E2355" s="3">
        <f>VLOOKUP(A2355,airports!A:H,8,FALSE)</f>
        <v>-93.660682219999998</v>
      </c>
      <c r="F2355" s="3">
        <f>VLOOKUP(B2355,airports!A:H,7,FALSE)</f>
        <v>40.788387780000001</v>
      </c>
      <c r="G2355" s="3">
        <f>VLOOKUP(B2355,airports!A:H,8,FALSE)</f>
        <v>-111.97777309999999</v>
      </c>
      <c r="H2355">
        <f t="shared" si="72"/>
        <v>1532.8</v>
      </c>
      <c r="I2355">
        <f t="shared" si="73"/>
        <v>952.5</v>
      </c>
    </row>
    <row r="2356" spans="1:9" ht="30" x14ac:dyDescent="0.25">
      <c r="A2356" s="5" t="s">
        <v>474</v>
      </c>
      <c r="B2356" s="5" t="s">
        <v>227</v>
      </c>
      <c r="C2356" s="5" t="s">
        <v>2798</v>
      </c>
      <c r="D2356" s="3">
        <f>VLOOKUP(A2356,airports!A:H,7,FALSE)</f>
        <v>41.53493306</v>
      </c>
      <c r="E2356" s="3">
        <f>VLOOKUP(A2356,airports!A:H,8,FALSE)</f>
        <v>-93.660682219999998</v>
      </c>
      <c r="F2356" s="3">
        <f>VLOOKUP(B2356,airports!A:H,7,FALSE)</f>
        <v>33.675658609999999</v>
      </c>
      <c r="G2356" s="3">
        <f>VLOOKUP(B2356,airports!A:H,8,FALSE)</f>
        <v>-117.8682225</v>
      </c>
      <c r="H2356">
        <f t="shared" si="72"/>
        <v>2294.8000000000002</v>
      </c>
      <c r="I2356">
        <f t="shared" si="73"/>
        <v>1426</v>
      </c>
    </row>
    <row r="2357" spans="1:9" ht="30" x14ac:dyDescent="0.25">
      <c r="A2357" s="5" t="s">
        <v>474</v>
      </c>
      <c r="B2357" s="5" t="s">
        <v>138</v>
      </c>
      <c r="C2357" s="5" t="s">
        <v>2799</v>
      </c>
      <c r="D2357" s="3">
        <f>VLOOKUP(A2357,airports!A:H,7,FALSE)</f>
        <v>41.53493306</v>
      </c>
      <c r="E2357" s="3">
        <f>VLOOKUP(A2357,airports!A:H,8,FALSE)</f>
        <v>-93.660682219999998</v>
      </c>
      <c r="F2357" s="3">
        <f>VLOOKUP(B2357,airports!A:H,7,FALSE)</f>
        <v>27.39533333</v>
      </c>
      <c r="G2357" s="3">
        <f>VLOOKUP(B2357,airports!A:H,8,FALSE)</f>
        <v>-82.554111109999994</v>
      </c>
      <c r="H2357">
        <f t="shared" si="72"/>
        <v>1869.5</v>
      </c>
      <c r="I2357">
        <f t="shared" si="73"/>
        <v>1161.7</v>
      </c>
    </row>
    <row r="2358" spans="1:9" ht="30" x14ac:dyDescent="0.25">
      <c r="A2358" s="5" t="s">
        <v>474</v>
      </c>
      <c r="B2358" s="5" t="s">
        <v>644</v>
      </c>
      <c r="C2358" s="5" t="s">
        <v>2800</v>
      </c>
      <c r="D2358" s="3">
        <f>VLOOKUP(A2358,airports!A:H,7,FALSE)</f>
        <v>41.53493306</v>
      </c>
      <c r="E2358" s="3">
        <f>VLOOKUP(A2358,airports!A:H,8,FALSE)</f>
        <v>-93.660682219999998</v>
      </c>
      <c r="F2358" s="3">
        <f>VLOOKUP(B2358,airports!A:H,7,FALSE)</f>
        <v>38.747686940000001</v>
      </c>
      <c r="G2358" s="3">
        <f>VLOOKUP(B2358,airports!A:H,8,FALSE)</f>
        <v>-90.359989720000002</v>
      </c>
      <c r="H2358">
        <f t="shared" si="72"/>
        <v>418</v>
      </c>
      <c r="I2358">
        <f t="shared" si="73"/>
        <v>259.7</v>
      </c>
    </row>
    <row r="2359" spans="1:9" ht="30" x14ac:dyDescent="0.25">
      <c r="A2359" s="5" t="s">
        <v>474</v>
      </c>
      <c r="B2359" s="5" t="s">
        <v>668</v>
      </c>
      <c r="C2359" s="5" t="s">
        <v>2801</v>
      </c>
      <c r="D2359" s="3">
        <f>VLOOKUP(A2359,airports!A:H,7,FALSE)</f>
        <v>41.53493306</v>
      </c>
      <c r="E2359" s="3">
        <f>VLOOKUP(A2359,airports!A:H,8,FALSE)</f>
        <v>-93.660682219999998</v>
      </c>
      <c r="F2359" s="3">
        <f>VLOOKUP(B2359,airports!A:H,7,FALSE)</f>
        <v>30.483250000000002</v>
      </c>
      <c r="G2359" s="3">
        <f>VLOOKUP(B2359,airports!A:H,8,FALSE)</f>
        <v>-86.525400000000005</v>
      </c>
      <c r="H2359">
        <f t="shared" si="72"/>
        <v>1385.1</v>
      </c>
      <c r="I2359">
        <f t="shared" si="73"/>
        <v>860.7</v>
      </c>
    </row>
    <row r="2360" spans="1:9" ht="30" x14ac:dyDescent="0.25">
      <c r="A2360" s="5" t="s">
        <v>50</v>
      </c>
      <c r="B2360" s="5" t="s">
        <v>170</v>
      </c>
      <c r="C2360" s="5" t="s">
        <v>2802</v>
      </c>
      <c r="D2360" s="3">
        <f>VLOOKUP(A2360,airports!A:H,7,FALSE)</f>
        <v>42.212058890000002</v>
      </c>
      <c r="E2360" s="3">
        <f>VLOOKUP(A2360,airports!A:H,8,FALSE)</f>
        <v>-83.348835829999999</v>
      </c>
      <c r="F2360" s="3">
        <f>VLOOKUP(B2360,airports!A:H,7,FALSE)</f>
        <v>40.652362779999997</v>
      </c>
      <c r="G2360" s="3">
        <f>VLOOKUP(B2360,airports!A:H,8,FALSE)</f>
        <v>-75.44040167</v>
      </c>
      <c r="H2360">
        <f t="shared" si="72"/>
        <v>681.4</v>
      </c>
      <c r="I2360">
        <f t="shared" si="73"/>
        <v>423.5</v>
      </c>
    </row>
    <row r="2361" spans="1:9" ht="30" x14ac:dyDescent="0.25">
      <c r="A2361" s="5" t="s">
        <v>50</v>
      </c>
      <c r="B2361" s="5" t="s">
        <v>252</v>
      </c>
      <c r="C2361" s="5" t="s">
        <v>2803</v>
      </c>
      <c r="D2361" s="3">
        <f>VLOOKUP(A2361,airports!A:H,7,FALSE)</f>
        <v>42.212058890000002</v>
      </c>
      <c r="E2361" s="3">
        <f>VLOOKUP(A2361,airports!A:H,8,FALSE)</f>
        <v>-83.348835829999999</v>
      </c>
      <c r="F2361" s="3">
        <f>VLOOKUP(B2361,airports!A:H,7,FALSE)</f>
        <v>39.457583329999999</v>
      </c>
      <c r="G2361" s="3">
        <f>VLOOKUP(B2361,airports!A:H,8,FALSE)</f>
        <v>-74.577166669999997</v>
      </c>
      <c r="H2361">
        <f t="shared" si="72"/>
        <v>798.5</v>
      </c>
      <c r="I2361">
        <f t="shared" si="73"/>
        <v>496.2</v>
      </c>
    </row>
    <row r="2362" spans="1:9" ht="30" x14ac:dyDescent="0.25">
      <c r="A2362" s="5" t="s">
        <v>50</v>
      </c>
      <c r="B2362" s="5" t="s">
        <v>7</v>
      </c>
      <c r="C2362" s="5" t="s">
        <v>2804</v>
      </c>
      <c r="D2362" s="3">
        <f>VLOOKUP(A2362,airports!A:H,7,FALSE)</f>
        <v>42.212058890000002</v>
      </c>
      <c r="E2362" s="3">
        <f>VLOOKUP(A2362,airports!A:H,8,FALSE)</f>
        <v>-83.348835829999999</v>
      </c>
      <c r="F2362" s="3">
        <f>VLOOKUP(B2362,airports!A:H,7,FALSE)</f>
        <v>42.748119440000004</v>
      </c>
      <c r="G2362" s="3">
        <f>VLOOKUP(B2362,airports!A:H,8,FALSE)</f>
        <v>-73.802978609999997</v>
      </c>
      <c r="H2362">
        <f t="shared" si="72"/>
        <v>784.7</v>
      </c>
      <c r="I2362">
        <f t="shared" si="73"/>
        <v>487.6</v>
      </c>
    </row>
    <row r="2363" spans="1:9" ht="30" x14ac:dyDescent="0.25">
      <c r="A2363" s="5" t="s">
        <v>50</v>
      </c>
      <c r="B2363" s="5" t="s">
        <v>265</v>
      </c>
      <c r="C2363" s="5" t="s">
        <v>2805</v>
      </c>
      <c r="D2363" s="3">
        <f>VLOOKUP(A2363,airports!A:H,7,FALSE)</f>
        <v>42.212058890000002</v>
      </c>
      <c r="E2363" s="3">
        <f>VLOOKUP(A2363,airports!A:H,8,FALSE)</f>
        <v>-83.348835829999999</v>
      </c>
      <c r="F2363" s="3">
        <f>VLOOKUP(B2363,airports!A:H,7,FALSE)</f>
        <v>61.174320280000003</v>
      </c>
      <c r="G2363" s="3">
        <f>VLOOKUP(B2363,airports!A:H,8,FALSE)</f>
        <v>-149.99618559999999</v>
      </c>
      <c r="H2363">
        <f t="shared" si="72"/>
        <v>4792.3</v>
      </c>
      <c r="I2363">
        <f t="shared" si="73"/>
        <v>2978</v>
      </c>
    </row>
    <row r="2364" spans="1:9" ht="30" x14ac:dyDescent="0.25">
      <c r="A2364" s="5" t="s">
        <v>50</v>
      </c>
      <c r="B2364" s="5" t="s">
        <v>385</v>
      </c>
      <c r="C2364" s="5" t="s">
        <v>2806</v>
      </c>
      <c r="D2364" s="3">
        <f>VLOOKUP(A2364,airports!A:H,7,FALSE)</f>
        <v>42.212058890000002</v>
      </c>
      <c r="E2364" s="3">
        <f>VLOOKUP(A2364,airports!A:H,8,FALSE)</f>
        <v>-83.348835829999999</v>
      </c>
      <c r="F2364" s="3">
        <f>VLOOKUP(B2364,airports!A:H,7,FALSE)</f>
        <v>45.078067500000003</v>
      </c>
      <c r="G2364" s="3">
        <f>VLOOKUP(B2364,airports!A:H,8,FALSE)</f>
        <v>-83.560285829999998</v>
      </c>
      <c r="H2364">
        <f t="shared" si="72"/>
        <v>319.10000000000002</v>
      </c>
      <c r="I2364">
        <f t="shared" si="73"/>
        <v>198.3</v>
      </c>
    </row>
    <row r="2365" spans="1:9" ht="30" x14ac:dyDescent="0.25">
      <c r="A2365" s="5" t="s">
        <v>50</v>
      </c>
      <c r="B2365" s="5" t="s">
        <v>10</v>
      </c>
      <c r="C2365" s="5" t="s">
        <v>2807</v>
      </c>
      <c r="D2365" s="3">
        <f>VLOOKUP(A2365,airports!A:H,7,FALSE)</f>
        <v>42.212058890000002</v>
      </c>
      <c r="E2365" s="3">
        <f>VLOOKUP(A2365,airports!A:H,8,FALSE)</f>
        <v>-83.348835829999999</v>
      </c>
      <c r="F2365" s="3">
        <f>VLOOKUP(B2365,airports!A:H,7,FALSE)</f>
        <v>33.640444440000003</v>
      </c>
      <c r="G2365" s="3">
        <f>VLOOKUP(B2365,airports!A:H,8,FALSE)</f>
        <v>-84.42694444</v>
      </c>
      <c r="H2365">
        <f t="shared" si="72"/>
        <v>957.8</v>
      </c>
      <c r="I2365">
        <f t="shared" si="73"/>
        <v>595.20000000000005</v>
      </c>
    </row>
    <row r="2366" spans="1:9" ht="30" x14ac:dyDescent="0.25">
      <c r="A2366" s="5" t="s">
        <v>50</v>
      </c>
      <c r="B2366" s="5" t="s">
        <v>416</v>
      </c>
      <c r="C2366" s="5" t="s">
        <v>2808</v>
      </c>
      <c r="D2366" s="3">
        <f>VLOOKUP(A2366,airports!A:H,7,FALSE)</f>
        <v>42.212058890000002</v>
      </c>
      <c r="E2366" s="3">
        <f>VLOOKUP(A2366,airports!A:H,8,FALSE)</f>
        <v>-83.348835829999999</v>
      </c>
      <c r="F2366" s="3">
        <f>VLOOKUP(B2366,airports!A:H,7,FALSE)</f>
        <v>44.257408060000003</v>
      </c>
      <c r="G2366" s="3">
        <f>VLOOKUP(B2366,airports!A:H,8,FALSE)</f>
        <v>-88.519475560000004</v>
      </c>
      <c r="H2366">
        <f t="shared" si="72"/>
        <v>476.5</v>
      </c>
      <c r="I2366">
        <f t="shared" si="73"/>
        <v>296.10000000000002</v>
      </c>
    </row>
    <row r="2367" spans="1:9" ht="30" x14ac:dyDescent="0.25">
      <c r="A2367" s="5" t="s">
        <v>50</v>
      </c>
      <c r="B2367" s="5" t="s">
        <v>13</v>
      </c>
      <c r="C2367" s="5" t="s">
        <v>2809</v>
      </c>
      <c r="D2367" s="3">
        <f>VLOOKUP(A2367,airports!A:H,7,FALSE)</f>
        <v>42.212058890000002</v>
      </c>
      <c r="E2367" s="3">
        <f>VLOOKUP(A2367,airports!A:H,8,FALSE)</f>
        <v>-83.348835829999999</v>
      </c>
      <c r="F2367" s="3">
        <f>VLOOKUP(B2367,airports!A:H,7,FALSE)</f>
        <v>30.194532779999999</v>
      </c>
      <c r="G2367" s="3">
        <f>VLOOKUP(B2367,airports!A:H,8,FALSE)</f>
        <v>-97.669871939999993</v>
      </c>
      <c r="H2367">
        <f t="shared" si="72"/>
        <v>1848.8</v>
      </c>
      <c r="I2367">
        <f t="shared" si="73"/>
        <v>1148.8</v>
      </c>
    </row>
    <row r="2368" spans="1:9" ht="30" x14ac:dyDescent="0.25">
      <c r="A2368" s="5" t="s">
        <v>50</v>
      </c>
      <c r="B2368" s="5" t="s">
        <v>419</v>
      </c>
      <c r="C2368" s="5" t="s">
        <v>2810</v>
      </c>
      <c r="D2368" s="3">
        <f>VLOOKUP(A2368,airports!A:H,7,FALSE)</f>
        <v>42.212058890000002</v>
      </c>
      <c r="E2368" s="3">
        <f>VLOOKUP(A2368,airports!A:H,8,FALSE)</f>
        <v>-83.348835829999999</v>
      </c>
      <c r="F2368" s="3">
        <f>VLOOKUP(B2368,airports!A:H,7,FALSE)</f>
        <v>35.436194440000001</v>
      </c>
      <c r="G2368" s="3">
        <f>VLOOKUP(B2368,airports!A:H,8,FALSE)</f>
        <v>-82.54180556</v>
      </c>
      <c r="H2368">
        <f t="shared" si="72"/>
        <v>756.7</v>
      </c>
      <c r="I2368">
        <f t="shared" si="73"/>
        <v>470.2</v>
      </c>
    </row>
    <row r="2369" spans="1:9" ht="30" x14ac:dyDescent="0.25">
      <c r="A2369" s="5" t="s">
        <v>50</v>
      </c>
      <c r="B2369" s="5" t="s">
        <v>421</v>
      </c>
      <c r="C2369" s="5" t="s">
        <v>2811</v>
      </c>
      <c r="D2369" s="3">
        <f>VLOOKUP(A2369,airports!A:H,7,FALSE)</f>
        <v>42.212058890000002</v>
      </c>
      <c r="E2369" s="3">
        <f>VLOOKUP(A2369,airports!A:H,8,FALSE)</f>
        <v>-83.348835829999999</v>
      </c>
      <c r="F2369" s="3">
        <f>VLOOKUP(B2369,airports!A:H,7,FALSE)</f>
        <v>41.338149440000002</v>
      </c>
      <c r="G2369" s="3">
        <f>VLOOKUP(B2369,airports!A:H,8,FALSE)</f>
        <v>-75.724267499999996</v>
      </c>
      <c r="H2369">
        <f t="shared" si="72"/>
        <v>639.5</v>
      </c>
      <c r="I2369">
        <f t="shared" si="73"/>
        <v>397.4</v>
      </c>
    </row>
    <row r="2370" spans="1:9" ht="30" x14ac:dyDescent="0.25">
      <c r="A2370" s="5" t="s">
        <v>50</v>
      </c>
      <c r="B2370" s="5" t="s">
        <v>919</v>
      </c>
      <c r="C2370" s="5" t="s">
        <v>2812</v>
      </c>
      <c r="D2370" s="3">
        <f>VLOOKUP(A2370,airports!A:H,7,FALSE)</f>
        <v>42.212058890000002</v>
      </c>
      <c r="E2370" s="3">
        <f>VLOOKUP(A2370,airports!A:H,8,FALSE)</f>
        <v>-83.348835829999999</v>
      </c>
      <c r="F2370" s="3">
        <f>VLOOKUP(B2370,airports!A:H,7,FALSE)</f>
        <v>42.234875000000002</v>
      </c>
      <c r="G2370" s="3">
        <f>VLOOKUP(B2370,airports!A:H,8,FALSE)</f>
        <v>-85.552057500000004</v>
      </c>
      <c r="H2370">
        <f t="shared" si="72"/>
        <v>181.4</v>
      </c>
      <c r="I2370">
        <f t="shared" si="73"/>
        <v>112.7</v>
      </c>
    </row>
    <row r="2371" spans="1:9" ht="30" x14ac:dyDescent="0.25">
      <c r="A2371" s="5" t="s">
        <v>50</v>
      </c>
      <c r="B2371" s="5" t="s">
        <v>16</v>
      </c>
      <c r="C2371" s="5" t="s">
        <v>2813</v>
      </c>
      <c r="D2371" s="3">
        <f>VLOOKUP(A2371,airports!A:H,7,FALSE)</f>
        <v>42.212058890000002</v>
      </c>
      <c r="E2371" s="3">
        <f>VLOOKUP(A2371,airports!A:H,8,FALSE)</f>
        <v>-83.348835829999999</v>
      </c>
      <c r="F2371" s="3">
        <f>VLOOKUP(B2371,airports!A:H,7,FALSE)</f>
        <v>41.938874169999998</v>
      </c>
      <c r="G2371" s="3">
        <f>VLOOKUP(B2371,airports!A:H,8,FALSE)</f>
        <v>-72.683228330000006</v>
      </c>
      <c r="H2371">
        <f t="shared" si="72"/>
        <v>880.2</v>
      </c>
      <c r="I2371">
        <f t="shared" si="73"/>
        <v>547</v>
      </c>
    </row>
    <row r="2372" spans="1:9" ht="30" x14ac:dyDescent="0.25">
      <c r="A2372" s="5" t="s">
        <v>50</v>
      </c>
      <c r="B2372" s="5" t="s">
        <v>974</v>
      </c>
      <c r="C2372" s="5" t="s">
        <v>2814</v>
      </c>
      <c r="D2372" s="3">
        <f>VLOOKUP(A2372,airports!A:H,7,FALSE)</f>
        <v>42.212058890000002</v>
      </c>
      <c r="E2372" s="3">
        <f>VLOOKUP(A2372,airports!A:H,8,FALSE)</f>
        <v>-83.348835829999999</v>
      </c>
      <c r="F2372" s="3">
        <f>VLOOKUP(B2372,airports!A:H,7,FALSE)</f>
        <v>42.208482779999997</v>
      </c>
      <c r="G2372" s="3">
        <f>VLOOKUP(B2372,airports!A:H,8,FALSE)</f>
        <v>-75.979613610000001</v>
      </c>
      <c r="H2372">
        <f t="shared" ref="H2372:H2435" si="74">ROUND(ACOS(COS(RADIANS(90-D2372)) * COS(RADIANS(90-F2372)) + SIN(RADIANS(90-D2372)) * SIN(RADIANS(90-F2372)) * COS(RADIANS(E2372-G2372))) * 6371,1)</f>
        <v>606.70000000000005</v>
      </c>
      <c r="I2372">
        <f t="shared" ref="I2372:I2435" si="75">ROUND(ACOS(COS(RADIANS(90-D2372)) * COS(RADIANS(90-F2372)) + SIN(RADIANS(90-D2372)) * SIN(RADIANS(90-F2372)) * COS(RADIANS(E2372-G2372))) * 3959,1)</f>
        <v>377</v>
      </c>
    </row>
    <row r="2373" spans="1:9" ht="30" x14ac:dyDescent="0.25">
      <c r="A2373" s="5" t="s">
        <v>50</v>
      </c>
      <c r="B2373" s="5" t="s">
        <v>233</v>
      </c>
      <c r="C2373" s="5" t="s">
        <v>2815</v>
      </c>
      <c r="D2373" s="3">
        <f>VLOOKUP(A2373,airports!A:H,7,FALSE)</f>
        <v>42.212058890000002</v>
      </c>
      <c r="E2373" s="3">
        <f>VLOOKUP(A2373,airports!A:H,8,FALSE)</f>
        <v>-83.348835829999999</v>
      </c>
      <c r="F2373" s="3">
        <f>VLOOKUP(B2373,airports!A:H,7,FALSE)</f>
        <v>44.807444439999998</v>
      </c>
      <c r="G2373" s="3">
        <f>VLOOKUP(B2373,airports!A:H,8,FALSE)</f>
        <v>-68.828138890000005</v>
      </c>
      <c r="H2373">
        <f t="shared" si="74"/>
        <v>1204.3</v>
      </c>
      <c r="I2373">
        <f t="shared" si="75"/>
        <v>748.3</v>
      </c>
    </row>
    <row r="2374" spans="1:9" ht="30" x14ac:dyDescent="0.25">
      <c r="A2374" s="5" t="s">
        <v>50</v>
      </c>
      <c r="B2374" s="5" t="s">
        <v>425</v>
      </c>
      <c r="C2374" s="5" t="s">
        <v>2816</v>
      </c>
      <c r="D2374" s="3">
        <f>VLOOKUP(A2374,airports!A:H,7,FALSE)</f>
        <v>42.212058890000002</v>
      </c>
      <c r="E2374" s="3">
        <f>VLOOKUP(A2374,airports!A:H,8,FALSE)</f>
        <v>-83.348835829999999</v>
      </c>
      <c r="F2374" s="3">
        <f>VLOOKUP(B2374,airports!A:H,7,FALSE)</f>
        <v>33.562943060000002</v>
      </c>
      <c r="G2374" s="3">
        <f>VLOOKUP(B2374,airports!A:H,8,FALSE)</f>
        <v>-86.753549719999995</v>
      </c>
      <c r="H2374">
        <f t="shared" si="74"/>
        <v>1006.8</v>
      </c>
      <c r="I2374">
        <f t="shared" si="75"/>
        <v>625.70000000000005</v>
      </c>
    </row>
    <row r="2375" spans="1:9" ht="30" x14ac:dyDescent="0.25">
      <c r="A2375" s="5" t="s">
        <v>50</v>
      </c>
      <c r="B2375" s="5" t="s">
        <v>427</v>
      </c>
      <c r="C2375" s="5" t="s">
        <v>2817</v>
      </c>
      <c r="D2375" s="3">
        <f>VLOOKUP(A2375,airports!A:H,7,FALSE)</f>
        <v>42.212058890000002</v>
      </c>
      <c r="E2375" s="3">
        <f>VLOOKUP(A2375,airports!A:H,8,FALSE)</f>
        <v>-83.348835829999999</v>
      </c>
      <c r="F2375" s="3">
        <f>VLOOKUP(B2375,airports!A:H,7,FALSE)</f>
        <v>40.47798556</v>
      </c>
      <c r="G2375" s="3">
        <f>VLOOKUP(B2375,airports!A:H,8,FALSE)</f>
        <v>-88.915952779999998</v>
      </c>
      <c r="H2375">
        <f t="shared" si="74"/>
        <v>503</v>
      </c>
      <c r="I2375">
        <f t="shared" si="75"/>
        <v>312.60000000000002</v>
      </c>
    </row>
    <row r="2376" spans="1:9" ht="30" x14ac:dyDescent="0.25">
      <c r="A2376" s="5" t="s">
        <v>50</v>
      </c>
      <c r="B2376" s="5" t="s">
        <v>19</v>
      </c>
      <c r="C2376" s="5" t="s">
        <v>2818</v>
      </c>
      <c r="D2376" s="3">
        <f>VLOOKUP(A2376,airports!A:H,7,FALSE)</f>
        <v>42.212058890000002</v>
      </c>
      <c r="E2376" s="3">
        <f>VLOOKUP(A2376,airports!A:H,8,FALSE)</f>
        <v>-83.348835829999999</v>
      </c>
      <c r="F2376" s="3">
        <f>VLOOKUP(B2376,airports!A:H,7,FALSE)</f>
        <v>36.12447667</v>
      </c>
      <c r="G2376" s="3">
        <f>VLOOKUP(B2376,airports!A:H,8,FALSE)</f>
        <v>-86.678182219999997</v>
      </c>
      <c r="H2376">
        <f t="shared" si="74"/>
        <v>735.1</v>
      </c>
      <c r="I2376">
        <f t="shared" si="75"/>
        <v>456.8</v>
      </c>
    </row>
    <row r="2377" spans="1:9" ht="30" x14ac:dyDescent="0.25">
      <c r="A2377" s="5" t="s">
        <v>50</v>
      </c>
      <c r="B2377" s="5" t="s">
        <v>24</v>
      </c>
      <c r="C2377" s="5" t="s">
        <v>2819</v>
      </c>
      <c r="D2377" s="3">
        <f>VLOOKUP(A2377,airports!A:H,7,FALSE)</f>
        <v>42.212058890000002</v>
      </c>
      <c r="E2377" s="3">
        <f>VLOOKUP(A2377,airports!A:H,8,FALSE)</f>
        <v>-83.348835829999999</v>
      </c>
      <c r="F2377" s="3">
        <f>VLOOKUP(B2377,airports!A:H,7,FALSE)</f>
        <v>42.364347500000001</v>
      </c>
      <c r="G2377" s="3">
        <f>VLOOKUP(B2377,airports!A:H,8,FALSE)</f>
        <v>-71.005179170000005</v>
      </c>
      <c r="H2377">
        <f t="shared" si="74"/>
        <v>1014.6</v>
      </c>
      <c r="I2377">
        <f t="shared" si="75"/>
        <v>630.5</v>
      </c>
    </row>
    <row r="2378" spans="1:9" ht="30" x14ac:dyDescent="0.25">
      <c r="A2378" s="5" t="s">
        <v>50</v>
      </c>
      <c r="B2378" s="5" t="s">
        <v>27</v>
      </c>
      <c r="C2378" s="5" t="s">
        <v>2820</v>
      </c>
      <c r="D2378" s="3">
        <f>VLOOKUP(A2378,airports!A:H,7,FALSE)</f>
        <v>42.212058890000002</v>
      </c>
      <c r="E2378" s="3">
        <f>VLOOKUP(A2378,airports!A:H,8,FALSE)</f>
        <v>-83.348835829999999</v>
      </c>
      <c r="F2378" s="3">
        <f>VLOOKUP(B2378,airports!A:H,7,FALSE)</f>
        <v>44.473003609999999</v>
      </c>
      <c r="G2378" s="3">
        <f>VLOOKUP(B2378,airports!A:H,8,FALSE)</f>
        <v>-73.150312499999998</v>
      </c>
      <c r="H2378">
        <f t="shared" si="74"/>
        <v>861.5</v>
      </c>
      <c r="I2378">
        <f t="shared" si="75"/>
        <v>535.4</v>
      </c>
    </row>
    <row r="2379" spans="1:9" ht="30" x14ac:dyDescent="0.25">
      <c r="A2379" s="5" t="s">
        <v>50</v>
      </c>
      <c r="B2379" s="5" t="s">
        <v>29</v>
      </c>
      <c r="C2379" s="5" t="s">
        <v>2821</v>
      </c>
      <c r="D2379" s="3">
        <f>VLOOKUP(A2379,airports!A:H,7,FALSE)</f>
        <v>42.212058890000002</v>
      </c>
      <c r="E2379" s="3">
        <f>VLOOKUP(A2379,airports!A:H,8,FALSE)</f>
        <v>-83.348835829999999</v>
      </c>
      <c r="F2379" s="3">
        <f>VLOOKUP(B2379,airports!A:H,7,FALSE)</f>
        <v>42.940524719999999</v>
      </c>
      <c r="G2379" s="3">
        <f>VLOOKUP(B2379,airports!A:H,8,FALSE)</f>
        <v>-78.732166669999998</v>
      </c>
      <c r="H2379">
        <f t="shared" si="74"/>
        <v>386.5</v>
      </c>
      <c r="I2379">
        <f t="shared" si="75"/>
        <v>240.2</v>
      </c>
    </row>
    <row r="2380" spans="1:9" ht="30" x14ac:dyDescent="0.25">
      <c r="A2380" s="5" t="s">
        <v>50</v>
      </c>
      <c r="B2380" s="5" t="s">
        <v>32</v>
      </c>
      <c r="C2380" s="5" t="s">
        <v>2822</v>
      </c>
      <c r="D2380" s="3">
        <f>VLOOKUP(A2380,airports!A:H,7,FALSE)</f>
        <v>42.212058890000002</v>
      </c>
      <c r="E2380" s="3">
        <f>VLOOKUP(A2380,airports!A:H,8,FALSE)</f>
        <v>-83.348835829999999</v>
      </c>
      <c r="F2380" s="3">
        <f>VLOOKUP(B2380,airports!A:H,7,FALSE)</f>
        <v>39.175401669999999</v>
      </c>
      <c r="G2380" s="3">
        <f>VLOOKUP(B2380,airports!A:H,8,FALSE)</f>
        <v>-76.668198329999996</v>
      </c>
      <c r="H2380">
        <f t="shared" si="74"/>
        <v>656.4</v>
      </c>
      <c r="I2380">
        <f t="shared" si="75"/>
        <v>407.9</v>
      </c>
    </row>
    <row r="2381" spans="1:9" ht="30" x14ac:dyDescent="0.25">
      <c r="A2381" s="5" t="s">
        <v>50</v>
      </c>
      <c r="B2381" s="5" t="s">
        <v>34</v>
      </c>
      <c r="C2381" s="5" t="s">
        <v>2823</v>
      </c>
      <c r="D2381" s="3">
        <f>VLOOKUP(A2381,airports!A:H,7,FALSE)</f>
        <v>42.212058890000002</v>
      </c>
      <c r="E2381" s="3">
        <f>VLOOKUP(A2381,airports!A:H,8,FALSE)</f>
        <v>-83.348835829999999</v>
      </c>
      <c r="F2381" s="3">
        <f>VLOOKUP(B2381,airports!A:H,7,FALSE)</f>
        <v>45.776901389999999</v>
      </c>
      <c r="G2381" s="3">
        <f>VLOOKUP(B2381,airports!A:H,8,FALSE)</f>
        <v>-111.1530072</v>
      </c>
      <c r="H2381">
        <f t="shared" si="74"/>
        <v>2247.4</v>
      </c>
      <c r="I2381">
        <f t="shared" si="75"/>
        <v>1396.6</v>
      </c>
    </row>
    <row r="2382" spans="1:9" ht="30" x14ac:dyDescent="0.25">
      <c r="A2382" s="5" t="s">
        <v>50</v>
      </c>
      <c r="B2382" s="5" t="s">
        <v>443</v>
      </c>
      <c r="C2382" s="5" t="s">
        <v>2824</v>
      </c>
      <c r="D2382" s="3">
        <f>VLOOKUP(A2382,airports!A:H,7,FALSE)</f>
        <v>42.212058890000002</v>
      </c>
      <c r="E2382" s="3">
        <f>VLOOKUP(A2382,airports!A:H,8,FALSE)</f>
        <v>-83.348835829999999</v>
      </c>
      <c r="F2382" s="3">
        <f>VLOOKUP(B2382,airports!A:H,7,FALSE)</f>
        <v>40.91631194</v>
      </c>
      <c r="G2382" s="3">
        <f>VLOOKUP(B2382,airports!A:H,8,FALSE)</f>
        <v>-81.442465560000002</v>
      </c>
      <c r="H2382">
        <f t="shared" si="74"/>
        <v>214.3</v>
      </c>
      <c r="I2382">
        <f t="shared" si="75"/>
        <v>133.1</v>
      </c>
    </row>
    <row r="2383" spans="1:9" ht="30" x14ac:dyDescent="0.25">
      <c r="A2383" s="5" t="s">
        <v>50</v>
      </c>
      <c r="B2383" s="5" t="s">
        <v>445</v>
      </c>
      <c r="C2383" s="5" t="s">
        <v>2825</v>
      </c>
      <c r="D2383" s="3">
        <f>VLOOKUP(A2383,airports!A:H,7,FALSE)</f>
        <v>42.212058890000002</v>
      </c>
      <c r="E2383" s="3">
        <f>VLOOKUP(A2383,airports!A:H,8,FALSE)</f>
        <v>-83.348835829999999</v>
      </c>
      <c r="F2383" s="3">
        <f>VLOOKUP(B2383,airports!A:H,7,FALSE)</f>
        <v>35.035268330000001</v>
      </c>
      <c r="G2383" s="3">
        <f>VLOOKUP(B2383,airports!A:H,8,FALSE)</f>
        <v>-85.203787779999999</v>
      </c>
      <c r="H2383">
        <f t="shared" si="74"/>
        <v>814.1</v>
      </c>
      <c r="I2383">
        <f t="shared" si="75"/>
        <v>505.9</v>
      </c>
    </row>
    <row r="2384" spans="1:9" ht="30" x14ac:dyDescent="0.25">
      <c r="A2384" s="5" t="s">
        <v>50</v>
      </c>
      <c r="B2384" s="5" t="s">
        <v>36</v>
      </c>
      <c r="C2384" s="5" t="s">
        <v>2826</v>
      </c>
      <c r="D2384" s="3">
        <f>VLOOKUP(A2384,airports!A:H,7,FALSE)</f>
        <v>42.212058890000002</v>
      </c>
      <c r="E2384" s="3">
        <f>VLOOKUP(A2384,airports!A:H,8,FALSE)</f>
        <v>-83.348835829999999</v>
      </c>
      <c r="F2384" s="3">
        <f>VLOOKUP(B2384,airports!A:H,7,FALSE)</f>
        <v>32.898646390000003</v>
      </c>
      <c r="G2384" s="3">
        <f>VLOOKUP(B2384,airports!A:H,8,FALSE)</f>
        <v>-80.040505830000001</v>
      </c>
      <c r="H2384">
        <f t="shared" si="74"/>
        <v>1075.5999999999999</v>
      </c>
      <c r="I2384">
        <f t="shared" si="75"/>
        <v>668.4</v>
      </c>
    </row>
    <row r="2385" spans="1:9" ht="30" x14ac:dyDescent="0.25">
      <c r="A2385" s="5" t="s">
        <v>50</v>
      </c>
      <c r="B2385" s="5" t="s">
        <v>450</v>
      </c>
      <c r="C2385" s="5" t="s">
        <v>2827</v>
      </c>
      <c r="D2385" s="3">
        <f>VLOOKUP(A2385,airports!A:H,7,FALSE)</f>
        <v>42.212058890000002</v>
      </c>
      <c r="E2385" s="3">
        <f>VLOOKUP(A2385,airports!A:H,8,FALSE)</f>
        <v>-83.348835829999999</v>
      </c>
      <c r="F2385" s="3">
        <f>VLOOKUP(B2385,airports!A:H,7,FALSE)</f>
        <v>41.88458833</v>
      </c>
      <c r="G2385" s="3">
        <f>VLOOKUP(B2385,airports!A:H,8,FALSE)</f>
        <v>-91.710872219999999</v>
      </c>
      <c r="H2385">
        <f t="shared" si="74"/>
        <v>691.1</v>
      </c>
      <c r="I2385">
        <f t="shared" si="75"/>
        <v>429.5</v>
      </c>
    </row>
    <row r="2386" spans="1:9" ht="30" x14ac:dyDescent="0.25">
      <c r="A2386" s="5" t="s">
        <v>50</v>
      </c>
      <c r="B2386" s="5" t="s">
        <v>1652</v>
      </c>
      <c r="C2386" s="5" t="s">
        <v>2828</v>
      </c>
      <c r="D2386" s="3">
        <f>VLOOKUP(A2386,airports!A:H,7,FALSE)</f>
        <v>42.212058890000002</v>
      </c>
      <c r="E2386" s="3">
        <f>VLOOKUP(A2386,airports!A:H,8,FALSE)</f>
        <v>-83.348835829999999</v>
      </c>
      <c r="F2386" s="3">
        <f>VLOOKUP(B2386,airports!A:H,7,FALSE)</f>
        <v>46.250751940000001</v>
      </c>
      <c r="G2386" s="3">
        <f>VLOOKUP(B2386,airports!A:H,8,FALSE)</f>
        <v>-84.472385279999997</v>
      </c>
      <c r="H2386">
        <f t="shared" si="74"/>
        <v>457.9</v>
      </c>
      <c r="I2386">
        <f t="shared" si="75"/>
        <v>284.5</v>
      </c>
    </row>
    <row r="2387" spans="1:9" ht="30" x14ac:dyDescent="0.25">
      <c r="A2387" s="5" t="s">
        <v>50</v>
      </c>
      <c r="B2387" s="5" t="s">
        <v>38</v>
      </c>
      <c r="C2387" s="5" t="s">
        <v>2829</v>
      </c>
      <c r="D2387" s="3">
        <f>VLOOKUP(A2387,airports!A:H,7,FALSE)</f>
        <v>42.212058890000002</v>
      </c>
      <c r="E2387" s="3">
        <f>VLOOKUP(A2387,airports!A:H,8,FALSE)</f>
        <v>-83.348835829999999</v>
      </c>
      <c r="F2387" s="3">
        <f>VLOOKUP(B2387,airports!A:H,7,FALSE)</f>
        <v>41.410894169999999</v>
      </c>
      <c r="G2387" s="3">
        <f>VLOOKUP(B2387,airports!A:H,8,FALSE)</f>
        <v>-81.849396670000004</v>
      </c>
      <c r="H2387">
        <f t="shared" si="74"/>
        <v>152.9</v>
      </c>
      <c r="I2387">
        <f t="shared" si="75"/>
        <v>95</v>
      </c>
    </row>
    <row r="2388" spans="1:9" ht="30" x14ac:dyDescent="0.25">
      <c r="A2388" s="5" t="s">
        <v>50</v>
      </c>
      <c r="B2388" s="5" t="s">
        <v>40</v>
      </c>
      <c r="C2388" s="5" t="s">
        <v>2830</v>
      </c>
      <c r="D2388" s="3">
        <f>VLOOKUP(A2388,airports!A:H,7,FALSE)</f>
        <v>42.212058890000002</v>
      </c>
      <c r="E2388" s="3">
        <f>VLOOKUP(A2388,airports!A:H,8,FALSE)</f>
        <v>-83.348835829999999</v>
      </c>
      <c r="F2388" s="3">
        <f>VLOOKUP(B2388,airports!A:H,7,FALSE)</f>
        <v>35.214011110000001</v>
      </c>
      <c r="G2388" s="3">
        <f>VLOOKUP(B2388,airports!A:H,8,FALSE)</f>
        <v>-80.94312583</v>
      </c>
      <c r="H2388">
        <f t="shared" si="74"/>
        <v>805.6</v>
      </c>
      <c r="I2388">
        <f t="shared" si="75"/>
        <v>500.6</v>
      </c>
    </row>
    <row r="2389" spans="1:9" ht="30" x14ac:dyDescent="0.25">
      <c r="A2389" s="5" t="s">
        <v>50</v>
      </c>
      <c r="B2389" s="5" t="s">
        <v>454</v>
      </c>
      <c r="C2389" s="5" t="s">
        <v>2831</v>
      </c>
      <c r="D2389" s="3">
        <f>VLOOKUP(A2389,airports!A:H,7,FALSE)</f>
        <v>42.212058890000002</v>
      </c>
      <c r="E2389" s="3">
        <f>VLOOKUP(A2389,airports!A:H,8,FALSE)</f>
        <v>-83.348835829999999</v>
      </c>
      <c r="F2389" s="3">
        <f>VLOOKUP(B2389,airports!A:H,7,FALSE)</f>
        <v>39.997985280000002</v>
      </c>
      <c r="G2389" s="3">
        <f>VLOOKUP(B2389,airports!A:H,8,FALSE)</f>
        <v>-82.891882780000003</v>
      </c>
      <c r="H2389">
        <f t="shared" si="74"/>
        <v>249.2</v>
      </c>
      <c r="I2389">
        <f t="shared" si="75"/>
        <v>154.80000000000001</v>
      </c>
    </row>
    <row r="2390" spans="1:9" ht="30" x14ac:dyDescent="0.25">
      <c r="A2390" s="5" t="s">
        <v>50</v>
      </c>
      <c r="B2390" s="5" t="s">
        <v>462</v>
      </c>
      <c r="C2390" s="5" t="s">
        <v>2832</v>
      </c>
      <c r="D2390" s="3">
        <f>VLOOKUP(A2390,airports!A:H,7,FALSE)</f>
        <v>42.212058890000002</v>
      </c>
      <c r="E2390" s="3">
        <f>VLOOKUP(A2390,airports!A:H,8,FALSE)</f>
        <v>-83.348835829999999</v>
      </c>
      <c r="F2390" s="3">
        <f>VLOOKUP(B2390,airports!A:H,7,FALSE)</f>
        <v>39.046142779999997</v>
      </c>
      <c r="G2390" s="3">
        <f>VLOOKUP(B2390,airports!A:H,8,FALSE)</f>
        <v>-84.662172499999997</v>
      </c>
      <c r="H2390">
        <f t="shared" si="74"/>
        <v>369.1</v>
      </c>
      <c r="I2390">
        <f t="shared" si="75"/>
        <v>229.3</v>
      </c>
    </row>
    <row r="2391" spans="1:9" ht="30" x14ac:dyDescent="0.25">
      <c r="A2391" s="5" t="s">
        <v>50</v>
      </c>
      <c r="B2391" s="5" t="s">
        <v>2072</v>
      </c>
      <c r="C2391" s="5" t="s">
        <v>2833</v>
      </c>
      <c r="D2391" s="3">
        <f>VLOOKUP(A2391,airports!A:H,7,FALSE)</f>
        <v>42.212058890000002</v>
      </c>
      <c r="E2391" s="3">
        <f>VLOOKUP(A2391,airports!A:H,8,FALSE)</f>
        <v>-83.348835829999999</v>
      </c>
      <c r="F2391" s="3">
        <f>VLOOKUP(B2391,airports!A:H,7,FALSE)</f>
        <v>44.777619170000001</v>
      </c>
      <c r="G2391" s="3">
        <f>VLOOKUP(B2391,airports!A:H,8,FALSE)</f>
        <v>-89.666779439999999</v>
      </c>
      <c r="H2391">
        <f t="shared" si="74"/>
        <v>583.79999999999995</v>
      </c>
      <c r="I2391">
        <f t="shared" si="75"/>
        <v>362.8</v>
      </c>
    </row>
    <row r="2392" spans="1:9" ht="30" x14ac:dyDescent="0.25">
      <c r="A2392" s="5" t="s">
        <v>50</v>
      </c>
      <c r="B2392" s="5" t="s">
        <v>464</v>
      </c>
      <c r="C2392" s="5" t="s">
        <v>2834</v>
      </c>
      <c r="D2392" s="3">
        <f>VLOOKUP(A2392,airports!A:H,7,FALSE)</f>
        <v>42.212058890000002</v>
      </c>
      <c r="E2392" s="3">
        <f>VLOOKUP(A2392,airports!A:H,8,FALSE)</f>
        <v>-83.348835829999999</v>
      </c>
      <c r="F2392" s="3">
        <f>VLOOKUP(B2392,airports!A:H,7,FALSE)</f>
        <v>29.179916670000001</v>
      </c>
      <c r="G2392" s="3">
        <f>VLOOKUP(B2392,airports!A:H,8,FALSE)</f>
        <v>-81.05805556</v>
      </c>
      <c r="H2392">
        <f t="shared" si="74"/>
        <v>1463.6</v>
      </c>
      <c r="I2392">
        <f t="shared" si="75"/>
        <v>909.5</v>
      </c>
    </row>
    <row r="2393" spans="1:9" ht="30" x14ac:dyDescent="0.25">
      <c r="A2393" s="5" t="s">
        <v>50</v>
      </c>
      <c r="B2393" s="5" t="s">
        <v>201</v>
      </c>
      <c r="C2393" s="5" t="s">
        <v>2835</v>
      </c>
      <c r="D2393" s="3">
        <f>VLOOKUP(A2393,airports!A:H,7,FALSE)</f>
        <v>42.212058890000002</v>
      </c>
      <c r="E2393" s="3">
        <f>VLOOKUP(A2393,airports!A:H,8,FALSE)</f>
        <v>-83.348835829999999</v>
      </c>
      <c r="F2393" s="3">
        <f>VLOOKUP(B2393,airports!A:H,7,FALSE)</f>
        <v>32.847113890000003</v>
      </c>
      <c r="G2393" s="3">
        <f>VLOOKUP(B2393,airports!A:H,8,FALSE)</f>
        <v>-96.851772220000001</v>
      </c>
      <c r="H2393">
        <f t="shared" si="74"/>
        <v>1578.3</v>
      </c>
      <c r="I2393">
        <f t="shared" si="75"/>
        <v>980.8</v>
      </c>
    </row>
    <row r="2394" spans="1:9" ht="30" x14ac:dyDescent="0.25">
      <c r="A2394" s="5" t="s">
        <v>50</v>
      </c>
      <c r="B2394" s="5" t="s">
        <v>467</v>
      </c>
      <c r="C2394" s="5" t="s">
        <v>2836</v>
      </c>
      <c r="D2394" s="3">
        <f>VLOOKUP(A2394,airports!A:H,7,FALSE)</f>
        <v>42.212058890000002</v>
      </c>
      <c r="E2394" s="3">
        <f>VLOOKUP(A2394,airports!A:H,8,FALSE)</f>
        <v>-83.348835829999999</v>
      </c>
      <c r="F2394" s="3">
        <f>VLOOKUP(B2394,airports!A:H,7,FALSE)</f>
        <v>39.902375829999997</v>
      </c>
      <c r="G2394" s="3">
        <f>VLOOKUP(B2394,airports!A:H,8,FALSE)</f>
        <v>-84.219374999999999</v>
      </c>
      <c r="H2394">
        <f t="shared" si="74"/>
        <v>267</v>
      </c>
      <c r="I2394">
        <f t="shared" si="75"/>
        <v>165.9</v>
      </c>
    </row>
    <row r="2395" spans="1:9" ht="30" x14ac:dyDescent="0.25">
      <c r="A2395" s="5" t="s">
        <v>50</v>
      </c>
      <c r="B2395" s="5" t="s">
        <v>45</v>
      </c>
      <c r="C2395" s="5" t="s">
        <v>2837</v>
      </c>
      <c r="D2395" s="3">
        <f>VLOOKUP(A2395,airports!A:H,7,FALSE)</f>
        <v>42.212058890000002</v>
      </c>
      <c r="E2395" s="3">
        <f>VLOOKUP(A2395,airports!A:H,8,FALSE)</f>
        <v>-83.348835829999999</v>
      </c>
      <c r="F2395" s="3">
        <f>VLOOKUP(B2395,airports!A:H,7,FALSE)</f>
        <v>38.852083329999999</v>
      </c>
      <c r="G2395" s="3">
        <f>VLOOKUP(B2395,airports!A:H,8,FALSE)</f>
        <v>-77.037722220000006</v>
      </c>
      <c r="H2395">
        <f t="shared" si="74"/>
        <v>650.9</v>
      </c>
      <c r="I2395">
        <f t="shared" si="75"/>
        <v>404.5</v>
      </c>
    </row>
    <row r="2396" spans="1:9" ht="30" x14ac:dyDescent="0.25">
      <c r="A2396" s="5" t="s">
        <v>50</v>
      </c>
      <c r="B2396" s="5" t="s">
        <v>47</v>
      </c>
      <c r="C2396" s="5" t="s">
        <v>2838</v>
      </c>
      <c r="D2396" s="3">
        <f>VLOOKUP(A2396,airports!A:H,7,FALSE)</f>
        <v>42.212058890000002</v>
      </c>
      <c r="E2396" s="3">
        <f>VLOOKUP(A2396,airports!A:H,8,FALSE)</f>
        <v>-83.348835829999999</v>
      </c>
      <c r="F2396" s="3">
        <f>VLOOKUP(B2396,airports!A:H,7,FALSE)</f>
        <v>39.858408060000002</v>
      </c>
      <c r="G2396" s="3">
        <f>VLOOKUP(B2396,airports!A:H,8,FALSE)</f>
        <v>-104.6670019</v>
      </c>
      <c r="H2396">
        <f t="shared" si="74"/>
        <v>1802.3</v>
      </c>
      <c r="I2396">
        <f t="shared" si="75"/>
        <v>1120</v>
      </c>
    </row>
    <row r="2397" spans="1:9" ht="30" x14ac:dyDescent="0.25">
      <c r="A2397" s="5" t="s">
        <v>50</v>
      </c>
      <c r="B2397" s="5" t="s">
        <v>49</v>
      </c>
      <c r="C2397" s="5" t="s">
        <v>2839</v>
      </c>
      <c r="D2397" s="3">
        <f>VLOOKUP(A2397,airports!A:H,7,FALSE)</f>
        <v>42.212058890000002</v>
      </c>
      <c r="E2397" s="3">
        <f>VLOOKUP(A2397,airports!A:H,8,FALSE)</f>
        <v>-83.348835829999999</v>
      </c>
      <c r="F2397" s="3">
        <f>VLOOKUP(B2397,airports!A:H,7,FALSE)</f>
        <v>32.895950560000003</v>
      </c>
      <c r="G2397" s="3">
        <f>VLOOKUP(B2397,airports!A:H,8,FALSE)</f>
        <v>-97.037199999999999</v>
      </c>
      <c r="H2397">
        <f t="shared" si="74"/>
        <v>1586.7</v>
      </c>
      <c r="I2397">
        <f t="shared" si="75"/>
        <v>986</v>
      </c>
    </row>
    <row r="2398" spans="1:9" ht="30" x14ac:dyDescent="0.25">
      <c r="A2398" s="5" t="s">
        <v>50</v>
      </c>
      <c r="B2398" s="5" t="s">
        <v>474</v>
      </c>
      <c r="C2398" s="5" t="s">
        <v>2840</v>
      </c>
      <c r="D2398" s="3">
        <f>VLOOKUP(A2398,airports!A:H,7,FALSE)</f>
        <v>42.212058890000002</v>
      </c>
      <c r="E2398" s="3">
        <f>VLOOKUP(A2398,airports!A:H,8,FALSE)</f>
        <v>-83.348835829999999</v>
      </c>
      <c r="F2398" s="3">
        <f>VLOOKUP(B2398,airports!A:H,7,FALSE)</f>
        <v>41.53493306</v>
      </c>
      <c r="G2398" s="3">
        <f>VLOOKUP(B2398,airports!A:H,8,FALSE)</f>
        <v>-93.660682219999998</v>
      </c>
      <c r="H2398">
        <f t="shared" si="74"/>
        <v>856.6</v>
      </c>
      <c r="I2398">
        <f t="shared" si="75"/>
        <v>532.29999999999995</v>
      </c>
    </row>
    <row r="2399" spans="1:9" ht="30" x14ac:dyDescent="0.25">
      <c r="A2399" s="5" t="s">
        <v>50</v>
      </c>
      <c r="B2399" s="5" t="s">
        <v>481</v>
      </c>
      <c r="C2399" s="5" t="s">
        <v>2841</v>
      </c>
      <c r="D2399" s="3">
        <f>VLOOKUP(A2399,airports!A:H,7,FALSE)</f>
        <v>42.212058890000002</v>
      </c>
      <c r="E2399" s="3">
        <f>VLOOKUP(A2399,airports!A:H,8,FALSE)</f>
        <v>-83.348835829999999</v>
      </c>
      <c r="F2399" s="3">
        <f>VLOOKUP(B2399,airports!A:H,7,FALSE)</f>
        <v>42.159913609999997</v>
      </c>
      <c r="G2399" s="3">
        <f>VLOOKUP(B2399,airports!A:H,8,FALSE)</f>
        <v>-76.891443330000001</v>
      </c>
      <c r="H2399">
        <f t="shared" si="74"/>
        <v>531.9</v>
      </c>
      <c r="I2399">
        <f t="shared" si="75"/>
        <v>330.6</v>
      </c>
    </row>
    <row r="2400" spans="1:9" ht="30" x14ac:dyDescent="0.25">
      <c r="A2400" s="5" t="s">
        <v>50</v>
      </c>
      <c r="B2400" s="5" t="s">
        <v>1769</v>
      </c>
      <c r="C2400" s="5" t="s">
        <v>2842</v>
      </c>
      <c r="D2400" s="3">
        <f>VLOOKUP(A2400,airports!A:H,7,FALSE)</f>
        <v>42.212058890000002</v>
      </c>
      <c r="E2400" s="3">
        <f>VLOOKUP(A2400,airports!A:H,8,FALSE)</f>
        <v>-83.348835829999999</v>
      </c>
      <c r="F2400" s="3">
        <f>VLOOKUP(B2400,airports!A:H,7,FALSE)</f>
        <v>42.082021390000001</v>
      </c>
      <c r="G2400" s="3">
        <f>VLOOKUP(B2400,airports!A:H,8,FALSE)</f>
        <v>-80.176215560000003</v>
      </c>
      <c r="H2400">
        <f t="shared" si="74"/>
        <v>261.89999999999998</v>
      </c>
      <c r="I2400">
        <f t="shared" si="75"/>
        <v>162.80000000000001</v>
      </c>
    </row>
    <row r="2401" spans="1:9" ht="30" x14ac:dyDescent="0.25">
      <c r="A2401" s="5" t="s">
        <v>50</v>
      </c>
      <c r="B2401" s="5" t="s">
        <v>2843</v>
      </c>
      <c r="C2401" s="5" t="s">
        <v>2844</v>
      </c>
      <c r="D2401" s="3">
        <f>VLOOKUP(A2401,airports!A:H,7,FALSE)</f>
        <v>42.212058890000002</v>
      </c>
      <c r="E2401" s="3">
        <f>VLOOKUP(A2401,airports!A:H,8,FALSE)</f>
        <v>-83.348835829999999</v>
      </c>
      <c r="F2401" s="3">
        <f>VLOOKUP(B2401,airports!A:H,7,FALSE)</f>
        <v>45.722669719999999</v>
      </c>
      <c r="G2401" s="3">
        <f>VLOOKUP(B2401,airports!A:H,8,FALSE)</f>
        <v>-87.093731390000002</v>
      </c>
      <c r="H2401">
        <f t="shared" si="74"/>
        <v>492</v>
      </c>
      <c r="I2401">
        <f t="shared" si="75"/>
        <v>305.7</v>
      </c>
    </row>
    <row r="2402" spans="1:9" ht="30" x14ac:dyDescent="0.25">
      <c r="A2402" s="5" t="s">
        <v>50</v>
      </c>
      <c r="B2402" s="5" t="s">
        <v>485</v>
      </c>
      <c r="C2402" s="5" t="s">
        <v>2845</v>
      </c>
      <c r="D2402" s="3">
        <f>VLOOKUP(A2402,airports!A:H,7,FALSE)</f>
        <v>42.212058890000002</v>
      </c>
      <c r="E2402" s="3">
        <f>VLOOKUP(A2402,airports!A:H,8,FALSE)</f>
        <v>-83.348835829999999</v>
      </c>
      <c r="F2402" s="3">
        <f>VLOOKUP(B2402,airports!A:H,7,FALSE)</f>
        <v>38.037991390000002</v>
      </c>
      <c r="G2402" s="3">
        <f>VLOOKUP(B2402,airports!A:H,8,FALSE)</f>
        <v>-87.530626670000004</v>
      </c>
      <c r="H2402">
        <f t="shared" si="74"/>
        <v>584.5</v>
      </c>
      <c r="I2402">
        <f t="shared" si="75"/>
        <v>363.2</v>
      </c>
    </row>
    <row r="2403" spans="1:9" ht="30" x14ac:dyDescent="0.25">
      <c r="A2403" s="5" t="s">
        <v>50</v>
      </c>
      <c r="B2403" s="5" t="s">
        <v>52</v>
      </c>
      <c r="C2403" s="5" t="s">
        <v>2846</v>
      </c>
      <c r="D2403" s="3">
        <f>VLOOKUP(A2403,airports!A:H,7,FALSE)</f>
        <v>42.212058890000002</v>
      </c>
      <c r="E2403" s="3">
        <f>VLOOKUP(A2403,airports!A:H,8,FALSE)</f>
        <v>-83.348835829999999</v>
      </c>
      <c r="F2403" s="3">
        <f>VLOOKUP(B2403,airports!A:H,7,FALSE)</f>
        <v>40.69249722</v>
      </c>
      <c r="G2403" s="3">
        <f>VLOOKUP(B2403,airports!A:H,8,FALSE)</f>
        <v>-74.168660560000006</v>
      </c>
      <c r="H2403">
        <f t="shared" si="74"/>
        <v>783.1</v>
      </c>
      <c r="I2403">
        <f t="shared" si="75"/>
        <v>486.6</v>
      </c>
    </row>
    <row r="2404" spans="1:9" ht="30" x14ac:dyDescent="0.25">
      <c r="A2404" s="5" t="s">
        <v>50</v>
      </c>
      <c r="B2404" s="5" t="s">
        <v>57</v>
      </c>
      <c r="C2404" s="5" t="s">
        <v>2847</v>
      </c>
      <c r="D2404" s="3">
        <f>VLOOKUP(A2404,airports!A:H,7,FALSE)</f>
        <v>42.212058890000002</v>
      </c>
      <c r="E2404" s="3">
        <f>VLOOKUP(A2404,airports!A:H,8,FALSE)</f>
        <v>-83.348835829999999</v>
      </c>
      <c r="F2404" s="3">
        <f>VLOOKUP(B2404,airports!A:H,7,FALSE)</f>
        <v>26.072583330000001</v>
      </c>
      <c r="G2404" s="3">
        <f>VLOOKUP(B2404,airports!A:H,8,FALSE)</f>
        <v>-80.152749999999997</v>
      </c>
      <c r="H2404">
        <f t="shared" si="74"/>
        <v>1818.2</v>
      </c>
      <c r="I2404">
        <f t="shared" si="75"/>
        <v>1129.8</v>
      </c>
    </row>
    <row r="2405" spans="1:9" ht="30" x14ac:dyDescent="0.25">
      <c r="A2405" s="5" t="s">
        <v>50</v>
      </c>
      <c r="B2405" s="5" t="s">
        <v>503</v>
      </c>
      <c r="C2405" s="5" t="s">
        <v>2848</v>
      </c>
      <c r="D2405" s="3">
        <f>VLOOKUP(A2405,airports!A:H,7,FALSE)</f>
        <v>42.212058890000002</v>
      </c>
      <c r="E2405" s="3">
        <f>VLOOKUP(A2405,airports!A:H,8,FALSE)</f>
        <v>-83.348835829999999</v>
      </c>
      <c r="F2405" s="3">
        <f>VLOOKUP(B2405,airports!A:H,7,FALSE)</f>
        <v>40.978465829999998</v>
      </c>
      <c r="G2405" s="3">
        <f>VLOOKUP(B2405,airports!A:H,8,FALSE)</f>
        <v>-85.195146390000005</v>
      </c>
      <c r="H2405">
        <f t="shared" si="74"/>
        <v>205.9</v>
      </c>
      <c r="I2405">
        <f t="shared" si="75"/>
        <v>127.9</v>
      </c>
    </row>
    <row r="2406" spans="1:9" ht="30" x14ac:dyDescent="0.25">
      <c r="A2406" s="5" t="s">
        <v>50</v>
      </c>
      <c r="B2406" s="5" t="s">
        <v>511</v>
      </c>
      <c r="C2406" s="5" t="s">
        <v>2849</v>
      </c>
      <c r="D2406" s="3">
        <f>VLOOKUP(A2406,airports!A:H,7,FALSE)</f>
        <v>42.212058890000002</v>
      </c>
      <c r="E2406" s="3">
        <f>VLOOKUP(A2406,airports!A:H,8,FALSE)</f>
        <v>-83.348835829999999</v>
      </c>
      <c r="F2406" s="3">
        <f>VLOOKUP(B2406,airports!A:H,7,FALSE)</f>
        <v>44.485073329999999</v>
      </c>
      <c r="G2406" s="3">
        <f>VLOOKUP(B2406,airports!A:H,8,FALSE)</f>
        <v>-88.129589999999993</v>
      </c>
      <c r="H2406">
        <f t="shared" si="74"/>
        <v>461.7</v>
      </c>
      <c r="I2406">
        <f t="shared" si="75"/>
        <v>286.89999999999998</v>
      </c>
    </row>
    <row r="2407" spans="1:9" ht="30" x14ac:dyDescent="0.25">
      <c r="A2407" s="5" t="s">
        <v>50</v>
      </c>
      <c r="B2407" s="5" t="s">
        <v>515</v>
      </c>
      <c r="C2407" s="5" t="s">
        <v>2850</v>
      </c>
      <c r="D2407" s="3">
        <f>VLOOKUP(A2407,airports!A:H,7,FALSE)</f>
        <v>42.212058890000002</v>
      </c>
      <c r="E2407" s="3">
        <f>VLOOKUP(A2407,airports!A:H,8,FALSE)</f>
        <v>-83.348835829999999</v>
      </c>
      <c r="F2407" s="3">
        <f>VLOOKUP(B2407,airports!A:H,7,FALSE)</f>
        <v>42.880819719999998</v>
      </c>
      <c r="G2407" s="3">
        <f>VLOOKUP(B2407,airports!A:H,8,FALSE)</f>
        <v>-85.522767779999995</v>
      </c>
      <c r="H2407">
        <f t="shared" si="74"/>
        <v>193</v>
      </c>
      <c r="I2407">
        <f t="shared" si="75"/>
        <v>119.9</v>
      </c>
    </row>
    <row r="2408" spans="1:9" ht="30" x14ac:dyDescent="0.25">
      <c r="A2408" s="5" t="s">
        <v>50</v>
      </c>
      <c r="B2408" s="5" t="s">
        <v>517</v>
      </c>
      <c r="C2408" s="5" t="s">
        <v>2851</v>
      </c>
      <c r="D2408" s="3">
        <f>VLOOKUP(A2408,airports!A:H,7,FALSE)</f>
        <v>42.212058890000002</v>
      </c>
      <c r="E2408" s="3">
        <f>VLOOKUP(A2408,airports!A:H,8,FALSE)</f>
        <v>-83.348835829999999</v>
      </c>
      <c r="F2408" s="3">
        <f>VLOOKUP(B2408,airports!A:H,7,FALSE)</f>
        <v>36.09774694</v>
      </c>
      <c r="G2408" s="3">
        <f>VLOOKUP(B2408,airports!A:H,8,FALSE)</f>
        <v>-79.9372975</v>
      </c>
      <c r="H2408">
        <f t="shared" si="74"/>
        <v>740.6</v>
      </c>
      <c r="I2408">
        <f t="shared" si="75"/>
        <v>460.2</v>
      </c>
    </row>
    <row r="2409" spans="1:9" ht="30" x14ac:dyDescent="0.25">
      <c r="A2409" s="5" t="s">
        <v>50</v>
      </c>
      <c r="B2409" s="5" t="s">
        <v>519</v>
      </c>
      <c r="C2409" s="5" t="s">
        <v>2852</v>
      </c>
      <c r="D2409" s="3">
        <f>VLOOKUP(A2409,airports!A:H,7,FALSE)</f>
        <v>42.212058890000002</v>
      </c>
      <c r="E2409" s="3">
        <f>VLOOKUP(A2409,airports!A:H,8,FALSE)</f>
        <v>-83.348835829999999</v>
      </c>
      <c r="F2409" s="3">
        <f>VLOOKUP(B2409,airports!A:H,7,FALSE)</f>
        <v>34.89566722</v>
      </c>
      <c r="G2409" s="3">
        <f>VLOOKUP(B2409,airports!A:H,8,FALSE)</f>
        <v>-82.218858330000003</v>
      </c>
      <c r="H2409">
        <f t="shared" si="74"/>
        <v>819.4</v>
      </c>
      <c r="I2409">
        <f t="shared" si="75"/>
        <v>509.2</v>
      </c>
    </row>
    <row r="2410" spans="1:9" ht="30" x14ac:dyDescent="0.25">
      <c r="A2410" s="5" t="s">
        <v>50</v>
      </c>
      <c r="B2410" s="5" t="s">
        <v>360</v>
      </c>
      <c r="C2410" s="5" t="s">
        <v>2853</v>
      </c>
      <c r="D2410" s="3">
        <f>VLOOKUP(A2410,airports!A:H,7,FALSE)</f>
        <v>42.212058890000002</v>
      </c>
      <c r="E2410" s="3">
        <f>VLOOKUP(A2410,airports!A:H,8,FALSE)</f>
        <v>-83.348835829999999</v>
      </c>
      <c r="F2410" s="3">
        <f>VLOOKUP(B2410,airports!A:H,7,FALSE)</f>
        <v>21.31869111</v>
      </c>
      <c r="G2410" s="3">
        <f>VLOOKUP(B2410,airports!A:H,8,FALSE)</f>
        <v>-157.92240720000001</v>
      </c>
      <c r="H2410">
        <f t="shared" si="74"/>
        <v>7191.2</v>
      </c>
      <c r="I2410">
        <f t="shared" si="75"/>
        <v>4468.7</v>
      </c>
    </row>
    <row r="2411" spans="1:9" ht="30" x14ac:dyDescent="0.25">
      <c r="A2411" s="5" t="s">
        <v>50</v>
      </c>
      <c r="B2411" s="5" t="s">
        <v>205</v>
      </c>
      <c r="C2411" s="5" t="s">
        <v>2854</v>
      </c>
      <c r="D2411" s="3">
        <f>VLOOKUP(A2411,airports!A:H,7,FALSE)</f>
        <v>42.212058890000002</v>
      </c>
      <c r="E2411" s="3">
        <f>VLOOKUP(A2411,airports!A:H,8,FALSE)</f>
        <v>-83.348835829999999</v>
      </c>
      <c r="F2411" s="3">
        <f>VLOOKUP(B2411,airports!A:H,7,FALSE)</f>
        <v>29.64541861</v>
      </c>
      <c r="G2411" s="3">
        <f>VLOOKUP(B2411,airports!A:H,8,FALSE)</f>
        <v>-95.278888890000005</v>
      </c>
      <c r="H2411">
        <f t="shared" si="74"/>
        <v>1758.7</v>
      </c>
      <c r="I2411">
        <f t="shared" si="75"/>
        <v>1092.9000000000001</v>
      </c>
    </row>
    <row r="2412" spans="1:9" ht="30" x14ac:dyDescent="0.25">
      <c r="A2412" s="5" t="s">
        <v>50</v>
      </c>
      <c r="B2412" s="5" t="s">
        <v>65</v>
      </c>
      <c r="C2412" s="5" t="s">
        <v>2855</v>
      </c>
      <c r="D2412" s="3">
        <f>VLOOKUP(A2412,airports!A:H,7,FALSE)</f>
        <v>42.212058890000002</v>
      </c>
      <c r="E2412" s="3">
        <f>VLOOKUP(A2412,airports!A:H,8,FALSE)</f>
        <v>-83.348835829999999</v>
      </c>
      <c r="F2412" s="3">
        <f>VLOOKUP(B2412,airports!A:H,7,FALSE)</f>
        <v>41.066957780000003</v>
      </c>
      <c r="G2412" s="3">
        <f>VLOOKUP(B2412,airports!A:H,8,FALSE)</f>
        <v>-73.707574440000002</v>
      </c>
      <c r="H2412">
        <f t="shared" si="74"/>
        <v>810.8</v>
      </c>
      <c r="I2412">
        <f t="shared" si="75"/>
        <v>503.8</v>
      </c>
    </row>
    <row r="2413" spans="1:9" ht="30" x14ac:dyDescent="0.25">
      <c r="A2413" s="5" t="s">
        <v>50</v>
      </c>
      <c r="B2413" s="5" t="s">
        <v>529</v>
      </c>
      <c r="C2413" s="5" t="s">
        <v>2856</v>
      </c>
      <c r="D2413" s="3">
        <f>VLOOKUP(A2413,airports!A:H,7,FALSE)</f>
        <v>42.212058890000002</v>
      </c>
      <c r="E2413" s="3">
        <f>VLOOKUP(A2413,airports!A:H,8,FALSE)</f>
        <v>-83.348835829999999</v>
      </c>
      <c r="F2413" s="3">
        <f>VLOOKUP(B2413,airports!A:H,7,FALSE)</f>
        <v>34.640447500000001</v>
      </c>
      <c r="G2413" s="3">
        <f>VLOOKUP(B2413,airports!A:H,8,FALSE)</f>
        <v>-86.773109439999999</v>
      </c>
      <c r="H2413">
        <f t="shared" si="74"/>
        <v>893</v>
      </c>
      <c r="I2413">
        <f t="shared" si="75"/>
        <v>554.9</v>
      </c>
    </row>
    <row r="2414" spans="1:9" ht="30" x14ac:dyDescent="0.25">
      <c r="A2414" s="5" t="s">
        <v>50</v>
      </c>
      <c r="B2414" s="5" t="s">
        <v>176</v>
      </c>
      <c r="C2414" s="5" t="s">
        <v>2857</v>
      </c>
      <c r="D2414" s="3">
        <f>VLOOKUP(A2414,airports!A:H,7,FALSE)</f>
        <v>42.212058890000002</v>
      </c>
      <c r="E2414" s="3">
        <f>VLOOKUP(A2414,airports!A:H,8,FALSE)</f>
        <v>-83.348835829999999</v>
      </c>
      <c r="F2414" s="3">
        <f>VLOOKUP(B2414,airports!A:H,7,FALSE)</f>
        <v>38.944531939999997</v>
      </c>
      <c r="G2414" s="3">
        <f>VLOOKUP(B2414,airports!A:H,8,FALSE)</f>
        <v>-77.455809720000005</v>
      </c>
      <c r="H2414">
        <f t="shared" si="74"/>
        <v>616</v>
      </c>
      <c r="I2414">
        <f t="shared" si="75"/>
        <v>382.8</v>
      </c>
    </row>
    <row r="2415" spans="1:9" ht="30" x14ac:dyDescent="0.25">
      <c r="A2415" s="5" t="s">
        <v>50</v>
      </c>
      <c r="B2415" s="5" t="s">
        <v>67</v>
      </c>
      <c r="C2415" s="5" t="s">
        <v>2858</v>
      </c>
      <c r="D2415" s="3">
        <f>VLOOKUP(A2415,airports!A:H,7,FALSE)</f>
        <v>42.212058890000002</v>
      </c>
      <c r="E2415" s="3">
        <f>VLOOKUP(A2415,airports!A:H,8,FALSE)</f>
        <v>-83.348835829999999</v>
      </c>
      <c r="F2415" s="3">
        <f>VLOOKUP(B2415,airports!A:H,7,FALSE)</f>
        <v>29.980472219999999</v>
      </c>
      <c r="G2415" s="3">
        <f>VLOOKUP(B2415,airports!A:H,8,FALSE)</f>
        <v>-95.339722219999999</v>
      </c>
      <c r="H2415">
        <f t="shared" si="74"/>
        <v>1731.4</v>
      </c>
      <c r="I2415">
        <f t="shared" si="75"/>
        <v>1075.9000000000001</v>
      </c>
    </row>
    <row r="2416" spans="1:9" ht="30" x14ac:dyDescent="0.25">
      <c r="A2416" s="5" t="s">
        <v>50</v>
      </c>
      <c r="B2416" s="5" t="s">
        <v>2859</v>
      </c>
      <c r="C2416" s="5" t="s">
        <v>2860</v>
      </c>
      <c r="D2416" s="3">
        <f>VLOOKUP(A2416,airports!A:H,7,FALSE)</f>
        <v>42.212058890000002</v>
      </c>
      <c r="E2416" s="3">
        <f>VLOOKUP(A2416,airports!A:H,8,FALSE)</f>
        <v>-83.348835829999999</v>
      </c>
      <c r="F2416" s="3">
        <f>VLOOKUP(B2416,airports!A:H,7,FALSE)</f>
        <v>45.818354169999999</v>
      </c>
      <c r="G2416" s="3">
        <f>VLOOKUP(B2416,airports!A:H,8,FALSE)</f>
        <v>-88.114542499999999</v>
      </c>
      <c r="H2416">
        <f t="shared" si="74"/>
        <v>553</v>
      </c>
      <c r="I2416">
        <f t="shared" si="75"/>
        <v>343.6</v>
      </c>
    </row>
    <row r="2417" spans="1:9" ht="30" x14ac:dyDescent="0.25">
      <c r="A2417" s="5" t="s">
        <v>50</v>
      </c>
      <c r="B2417" s="5" t="s">
        <v>537</v>
      </c>
      <c r="C2417" s="5" t="s">
        <v>2861</v>
      </c>
      <c r="D2417" s="3">
        <f>VLOOKUP(A2417,airports!A:H,7,FALSE)</f>
        <v>42.212058890000002</v>
      </c>
      <c r="E2417" s="3">
        <f>VLOOKUP(A2417,airports!A:H,8,FALSE)</f>
        <v>-83.348835829999999</v>
      </c>
      <c r="F2417" s="3">
        <f>VLOOKUP(B2417,airports!A:H,7,FALSE)</f>
        <v>39.717329169999999</v>
      </c>
      <c r="G2417" s="3">
        <f>VLOOKUP(B2417,airports!A:H,8,FALSE)</f>
        <v>-86.294384170000001</v>
      </c>
      <c r="H2417">
        <f t="shared" si="74"/>
        <v>371.6</v>
      </c>
      <c r="I2417">
        <f t="shared" si="75"/>
        <v>230.9</v>
      </c>
    </row>
    <row r="2418" spans="1:9" ht="30" x14ac:dyDescent="0.25">
      <c r="A2418" s="5" t="s">
        <v>50</v>
      </c>
      <c r="B2418" s="5" t="s">
        <v>539</v>
      </c>
      <c r="C2418" s="5" t="s">
        <v>2862</v>
      </c>
      <c r="D2418" s="3">
        <f>VLOOKUP(A2418,airports!A:H,7,FALSE)</f>
        <v>42.212058890000002</v>
      </c>
      <c r="E2418" s="3">
        <f>VLOOKUP(A2418,airports!A:H,8,FALSE)</f>
        <v>-83.348835829999999</v>
      </c>
      <c r="F2418" s="3">
        <f>VLOOKUP(B2418,airports!A:H,7,FALSE)</f>
        <v>40.795242500000001</v>
      </c>
      <c r="G2418" s="3">
        <f>VLOOKUP(B2418,airports!A:H,8,FALSE)</f>
        <v>-73.100211939999994</v>
      </c>
      <c r="H2418">
        <f t="shared" si="74"/>
        <v>867.3</v>
      </c>
      <c r="I2418">
        <f t="shared" si="75"/>
        <v>539</v>
      </c>
    </row>
    <row r="2419" spans="1:9" ht="30" x14ac:dyDescent="0.25">
      <c r="A2419" s="5" t="s">
        <v>50</v>
      </c>
      <c r="B2419" s="5" t="s">
        <v>1803</v>
      </c>
      <c r="C2419" s="5" t="s">
        <v>2863</v>
      </c>
      <c r="D2419" s="3">
        <f>VLOOKUP(A2419,airports!A:H,7,FALSE)</f>
        <v>42.212058890000002</v>
      </c>
      <c r="E2419" s="3">
        <f>VLOOKUP(A2419,airports!A:H,8,FALSE)</f>
        <v>-83.348835829999999</v>
      </c>
      <c r="F2419" s="3">
        <f>VLOOKUP(B2419,airports!A:H,7,FALSE)</f>
        <v>42.491027780000003</v>
      </c>
      <c r="G2419" s="3">
        <f>VLOOKUP(B2419,airports!A:H,8,FALSE)</f>
        <v>-76.458444439999994</v>
      </c>
      <c r="H2419">
        <f t="shared" si="74"/>
        <v>566.9</v>
      </c>
      <c r="I2419">
        <f t="shared" si="75"/>
        <v>352.3</v>
      </c>
    </row>
    <row r="2420" spans="1:9" ht="30" x14ac:dyDescent="0.25">
      <c r="A2420" s="5" t="s">
        <v>50</v>
      </c>
      <c r="B2420" s="5" t="s">
        <v>541</v>
      </c>
      <c r="C2420" s="5" t="s">
        <v>2864</v>
      </c>
      <c r="D2420" s="3">
        <f>VLOOKUP(A2420,airports!A:H,7,FALSE)</f>
        <v>42.212058890000002</v>
      </c>
      <c r="E2420" s="3">
        <f>VLOOKUP(A2420,airports!A:H,8,FALSE)</f>
        <v>-83.348835829999999</v>
      </c>
      <c r="F2420" s="3">
        <f>VLOOKUP(B2420,airports!A:H,7,FALSE)</f>
        <v>43.607324169999998</v>
      </c>
      <c r="G2420" s="3">
        <f>VLOOKUP(B2420,airports!A:H,8,FALSE)</f>
        <v>-110.7377389</v>
      </c>
      <c r="H2420">
        <f t="shared" si="74"/>
        <v>2225.9</v>
      </c>
      <c r="I2420">
        <f t="shared" si="75"/>
        <v>1383.2</v>
      </c>
    </row>
    <row r="2421" spans="1:9" ht="30" x14ac:dyDescent="0.25">
      <c r="A2421" s="5" t="s">
        <v>50</v>
      </c>
      <c r="B2421" s="5" t="s">
        <v>68</v>
      </c>
      <c r="C2421" s="5" t="s">
        <v>2865</v>
      </c>
      <c r="D2421" s="3">
        <f>VLOOKUP(A2421,airports!A:H,7,FALSE)</f>
        <v>42.212058890000002</v>
      </c>
      <c r="E2421" s="3">
        <f>VLOOKUP(A2421,airports!A:H,8,FALSE)</f>
        <v>-83.348835829999999</v>
      </c>
      <c r="F2421" s="3">
        <f>VLOOKUP(B2421,airports!A:H,7,FALSE)</f>
        <v>30.49405556</v>
      </c>
      <c r="G2421" s="3">
        <f>VLOOKUP(B2421,airports!A:H,8,FALSE)</f>
        <v>-81.68786111</v>
      </c>
      <c r="H2421">
        <f t="shared" si="74"/>
        <v>1311.4</v>
      </c>
      <c r="I2421">
        <f t="shared" si="75"/>
        <v>814.9</v>
      </c>
    </row>
    <row r="2422" spans="1:9" ht="30" x14ac:dyDescent="0.25">
      <c r="A2422" s="5" t="s">
        <v>50</v>
      </c>
      <c r="B2422" s="5" t="s">
        <v>69</v>
      </c>
      <c r="C2422" s="5" t="s">
        <v>2866</v>
      </c>
      <c r="D2422" s="3">
        <f>VLOOKUP(A2422,airports!A:H,7,FALSE)</f>
        <v>42.212058890000002</v>
      </c>
      <c r="E2422" s="3">
        <f>VLOOKUP(A2422,airports!A:H,8,FALSE)</f>
        <v>-83.348835829999999</v>
      </c>
      <c r="F2422" s="3">
        <f>VLOOKUP(B2422,airports!A:H,7,FALSE)</f>
        <v>40.639751109999999</v>
      </c>
      <c r="G2422" s="3">
        <f>VLOOKUP(B2422,airports!A:H,8,FALSE)</f>
        <v>-73.778925560000005</v>
      </c>
      <c r="H2422">
        <f t="shared" si="74"/>
        <v>816.3</v>
      </c>
      <c r="I2422">
        <f t="shared" si="75"/>
        <v>507.3</v>
      </c>
    </row>
    <row r="2423" spans="1:9" ht="30" x14ac:dyDescent="0.25">
      <c r="A2423" s="5" t="s">
        <v>50</v>
      </c>
      <c r="B2423" s="5" t="s">
        <v>2236</v>
      </c>
      <c r="C2423" s="5" t="s">
        <v>2867</v>
      </c>
      <c r="D2423" s="3">
        <f>VLOOKUP(A2423,airports!A:H,7,FALSE)</f>
        <v>42.212058890000002</v>
      </c>
      <c r="E2423" s="3">
        <f>VLOOKUP(A2423,airports!A:H,8,FALSE)</f>
        <v>-83.348835829999999</v>
      </c>
      <c r="F2423" s="3">
        <f>VLOOKUP(B2423,airports!A:H,7,FALSE)</f>
        <v>42.778700000000001</v>
      </c>
      <c r="G2423" s="3">
        <f>VLOOKUP(B2423,airports!A:H,8,FALSE)</f>
        <v>-84.58735806</v>
      </c>
      <c r="H2423">
        <f t="shared" si="74"/>
        <v>119.5</v>
      </c>
      <c r="I2423">
        <f t="shared" si="75"/>
        <v>74.3</v>
      </c>
    </row>
    <row r="2424" spans="1:9" ht="30" x14ac:dyDescent="0.25">
      <c r="A2424" s="5" t="s">
        <v>50</v>
      </c>
      <c r="B2424" s="5" t="s">
        <v>71</v>
      </c>
      <c r="C2424" s="5" t="s">
        <v>2868</v>
      </c>
      <c r="D2424" s="3">
        <f>VLOOKUP(A2424,airports!A:H,7,FALSE)</f>
        <v>42.212058890000002</v>
      </c>
      <c r="E2424" s="3">
        <f>VLOOKUP(A2424,airports!A:H,8,FALSE)</f>
        <v>-83.348835829999999</v>
      </c>
      <c r="F2424" s="3">
        <f>VLOOKUP(B2424,airports!A:H,7,FALSE)</f>
        <v>36.080361109999998</v>
      </c>
      <c r="G2424" s="3">
        <f>VLOOKUP(B2424,airports!A:H,8,FALSE)</f>
        <v>-115.1523333</v>
      </c>
      <c r="H2424">
        <f t="shared" si="74"/>
        <v>2808.4</v>
      </c>
      <c r="I2424">
        <f t="shared" si="75"/>
        <v>1745.2</v>
      </c>
    </row>
    <row r="2425" spans="1:9" ht="30" x14ac:dyDescent="0.25">
      <c r="A2425" s="5" t="s">
        <v>50</v>
      </c>
      <c r="B2425" s="5" t="s">
        <v>73</v>
      </c>
      <c r="C2425" s="5" t="s">
        <v>2869</v>
      </c>
      <c r="D2425" s="3">
        <f>VLOOKUP(A2425,airports!A:H,7,FALSE)</f>
        <v>42.212058890000002</v>
      </c>
      <c r="E2425" s="3">
        <f>VLOOKUP(A2425,airports!A:H,8,FALSE)</f>
        <v>-83.348835829999999</v>
      </c>
      <c r="F2425" s="3">
        <f>VLOOKUP(B2425,airports!A:H,7,FALSE)</f>
        <v>33.942536109999999</v>
      </c>
      <c r="G2425" s="3">
        <f>VLOOKUP(B2425,airports!A:H,8,FALSE)</f>
        <v>-118.4080744</v>
      </c>
      <c r="H2425">
        <f t="shared" si="74"/>
        <v>3178.4</v>
      </c>
      <c r="I2425">
        <f t="shared" si="75"/>
        <v>1975.1</v>
      </c>
    </row>
    <row r="2426" spans="1:9" ht="30" x14ac:dyDescent="0.25">
      <c r="A2426" s="5" t="s">
        <v>50</v>
      </c>
      <c r="B2426" s="5" t="s">
        <v>549</v>
      </c>
      <c r="C2426" s="5" t="s">
        <v>2870</v>
      </c>
      <c r="D2426" s="3">
        <f>VLOOKUP(A2426,airports!A:H,7,FALSE)</f>
        <v>42.212058890000002</v>
      </c>
      <c r="E2426" s="3">
        <f>VLOOKUP(A2426,airports!A:H,8,FALSE)</f>
        <v>-83.348835829999999</v>
      </c>
      <c r="F2426" s="3">
        <f>VLOOKUP(B2426,airports!A:H,7,FALSE)</f>
        <v>38.036972220000003</v>
      </c>
      <c r="G2426" s="3">
        <f>VLOOKUP(B2426,airports!A:H,8,FALSE)</f>
        <v>-84.60538889</v>
      </c>
      <c r="H2426">
        <f t="shared" si="74"/>
        <v>476.4</v>
      </c>
      <c r="I2426">
        <f t="shared" si="75"/>
        <v>296</v>
      </c>
    </row>
    <row r="2427" spans="1:9" ht="30" x14ac:dyDescent="0.25">
      <c r="A2427" s="5" t="s">
        <v>50</v>
      </c>
      <c r="B2427" s="5" t="s">
        <v>74</v>
      </c>
      <c r="C2427" s="5" t="s">
        <v>2871</v>
      </c>
      <c r="D2427" s="3">
        <f>VLOOKUP(A2427,airports!A:H,7,FALSE)</f>
        <v>42.212058890000002</v>
      </c>
      <c r="E2427" s="3">
        <f>VLOOKUP(A2427,airports!A:H,8,FALSE)</f>
        <v>-83.348835829999999</v>
      </c>
      <c r="F2427" s="3">
        <f>VLOOKUP(B2427,airports!A:H,7,FALSE)</f>
        <v>40.777243060000004</v>
      </c>
      <c r="G2427" s="3">
        <f>VLOOKUP(B2427,airports!A:H,8,FALSE)</f>
        <v>-73.872609170000004</v>
      </c>
      <c r="H2427">
        <f t="shared" si="74"/>
        <v>804.8</v>
      </c>
      <c r="I2427">
        <f t="shared" si="75"/>
        <v>500.1</v>
      </c>
    </row>
    <row r="2428" spans="1:9" x14ac:dyDescent="0.25">
      <c r="A2428" s="5" t="s">
        <v>50</v>
      </c>
      <c r="B2428" s="5" t="s">
        <v>554</v>
      </c>
      <c r="C2428" s="5" t="s">
        <v>2872</v>
      </c>
      <c r="D2428" s="3">
        <f>VLOOKUP(A2428,airports!A:H,7,FALSE)</f>
        <v>42.212058890000002</v>
      </c>
      <c r="E2428" s="3">
        <f>VLOOKUP(A2428,airports!A:H,8,FALSE)</f>
        <v>-83.348835829999999</v>
      </c>
      <c r="F2428" s="3">
        <f>VLOOKUP(B2428,airports!A:H,7,FALSE)</f>
        <v>34.729396110000003</v>
      </c>
      <c r="G2428" s="3">
        <f>VLOOKUP(B2428,airports!A:H,8,FALSE)</f>
        <v>-92.22424556</v>
      </c>
      <c r="H2428">
        <f t="shared" si="74"/>
        <v>1134.2</v>
      </c>
      <c r="I2428">
        <f t="shared" si="75"/>
        <v>704.8</v>
      </c>
    </row>
    <row r="2429" spans="1:9" ht="30" x14ac:dyDescent="0.25">
      <c r="A2429" s="5" t="s">
        <v>50</v>
      </c>
      <c r="B2429" s="5" t="s">
        <v>556</v>
      </c>
      <c r="C2429" s="5" t="s">
        <v>2873</v>
      </c>
      <c r="D2429" s="3">
        <f>VLOOKUP(A2429,airports!A:H,7,FALSE)</f>
        <v>42.212058890000002</v>
      </c>
      <c r="E2429" s="3">
        <f>VLOOKUP(A2429,airports!A:H,8,FALSE)</f>
        <v>-83.348835829999999</v>
      </c>
      <c r="F2429" s="3">
        <f>VLOOKUP(B2429,airports!A:H,7,FALSE)</f>
        <v>40.850972220000003</v>
      </c>
      <c r="G2429" s="3">
        <f>VLOOKUP(B2429,airports!A:H,8,FALSE)</f>
        <v>-96.759249999999994</v>
      </c>
      <c r="H2429">
        <f t="shared" si="74"/>
        <v>1125.3</v>
      </c>
      <c r="I2429">
        <f t="shared" si="75"/>
        <v>699.3</v>
      </c>
    </row>
    <row r="2430" spans="1:9" ht="30" x14ac:dyDescent="0.25">
      <c r="A2430" s="5" t="s">
        <v>50</v>
      </c>
      <c r="B2430" s="5" t="s">
        <v>2874</v>
      </c>
      <c r="C2430" s="5" t="s">
        <v>2875</v>
      </c>
      <c r="D2430" s="3">
        <f>VLOOKUP(A2430,airports!A:H,7,FALSE)</f>
        <v>42.212058890000002</v>
      </c>
      <c r="E2430" s="3">
        <f>VLOOKUP(A2430,airports!A:H,8,FALSE)</f>
        <v>-83.348835829999999</v>
      </c>
      <c r="F2430" s="3">
        <f>VLOOKUP(B2430,airports!A:H,7,FALSE)</f>
        <v>43.879379720000003</v>
      </c>
      <c r="G2430" s="3">
        <f>VLOOKUP(B2430,airports!A:H,8,FALSE)</f>
        <v>-91.256537780000002</v>
      </c>
      <c r="H2430">
        <f t="shared" si="74"/>
        <v>668.5</v>
      </c>
      <c r="I2430">
        <f t="shared" si="75"/>
        <v>415.4</v>
      </c>
    </row>
    <row r="2431" spans="1:9" ht="30" x14ac:dyDescent="0.25">
      <c r="A2431" s="5" t="s">
        <v>50</v>
      </c>
      <c r="B2431" s="5" t="s">
        <v>387</v>
      </c>
      <c r="C2431" s="5" t="s">
        <v>2876</v>
      </c>
      <c r="D2431" s="3">
        <f>VLOOKUP(A2431,airports!A:H,7,FALSE)</f>
        <v>42.212058890000002</v>
      </c>
      <c r="E2431" s="3">
        <f>VLOOKUP(A2431,airports!A:H,8,FALSE)</f>
        <v>-83.348835829999999</v>
      </c>
      <c r="F2431" s="3">
        <f>VLOOKUP(B2431,airports!A:H,7,FALSE)</f>
        <v>43.532914720000001</v>
      </c>
      <c r="G2431" s="3">
        <f>VLOOKUP(B2431,airports!A:H,8,FALSE)</f>
        <v>-84.079647219999998</v>
      </c>
      <c r="H2431">
        <f t="shared" si="74"/>
        <v>158.5</v>
      </c>
      <c r="I2431">
        <f t="shared" si="75"/>
        <v>98.5</v>
      </c>
    </row>
    <row r="2432" spans="1:9" ht="30" x14ac:dyDescent="0.25">
      <c r="A2432" s="5" t="s">
        <v>50</v>
      </c>
      <c r="B2432" s="5" t="s">
        <v>80</v>
      </c>
      <c r="C2432" s="5" t="s">
        <v>2877</v>
      </c>
      <c r="D2432" s="3">
        <f>VLOOKUP(A2432,airports!A:H,7,FALSE)</f>
        <v>42.212058890000002</v>
      </c>
      <c r="E2432" s="3">
        <f>VLOOKUP(A2432,airports!A:H,8,FALSE)</f>
        <v>-83.348835829999999</v>
      </c>
      <c r="F2432" s="3">
        <f>VLOOKUP(B2432,airports!A:H,7,FALSE)</f>
        <v>39.297605279999999</v>
      </c>
      <c r="G2432" s="3">
        <f>VLOOKUP(B2432,airports!A:H,8,FALSE)</f>
        <v>-94.713905560000001</v>
      </c>
      <c r="H2432">
        <f t="shared" si="74"/>
        <v>1009.7</v>
      </c>
      <c r="I2432">
        <f t="shared" si="75"/>
        <v>627.4</v>
      </c>
    </row>
    <row r="2433" spans="1:9" ht="30" x14ac:dyDescent="0.25">
      <c r="A2433" s="5" t="s">
        <v>50</v>
      </c>
      <c r="B2433" s="5" t="s">
        <v>82</v>
      </c>
      <c r="C2433" s="5" t="s">
        <v>2878</v>
      </c>
      <c r="D2433" s="3">
        <f>VLOOKUP(A2433,airports!A:H,7,FALSE)</f>
        <v>42.212058890000002</v>
      </c>
      <c r="E2433" s="3">
        <f>VLOOKUP(A2433,airports!A:H,8,FALSE)</f>
        <v>-83.348835829999999</v>
      </c>
      <c r="F2433" s="3">
        <f>VLOOKUP(B2433,airports!A:H,7,FALSE)</f>
        <v>28.42888889</v>
      </c>
      <c r="G2433" s="3">
        <f>VLOOKUP(B2433,airports!A:H,8,FALSE)</f>
        <v>-81.316027779999999</v>
      </c>
      <c r="H2433">
        <f t="shared" si="74"/>
        <v>1543.5</v>
      </c>
      <c r="I2433">
        <f t="shared" si="75"/>
        <v>959.2</v>
      </c>
    </row>
    <row r="2434" spans="1:9" ht="30" x14ac:dyDescent="0.25">
      <c r="A2434" s="5" t="s">
        <v>50</v>
      </c>
      <c r="B2434" s="5" t="s">
        <v>178</v>
      </c>
      <c r="C2434" s="5" t="s">
        <v>2879</v>
      </c>
      <c r="D2434" s="3">
        <f>VLOOKUP(A2434,airports!A:H,7,FALSE)</f>
        <v>42.212058890000002</v>
      </c>
      <c r="E2434" s="3">
        <f>VLOOKUP(A2434,airports!A:H,8,FALSE)</f>
        <v>-83.348835829999999</v>
      </c>
      <c r="F2434" s="3">
        <f>VLOOKUP(B2434,airports!A:H,7,FALSE)</f>
        <v>40.19349528</v>
      </c>
      <c r="G2434" s="3">
        <f>VLOOKUP(B2434,airports!A:H,8,FALSE)</f>
        <v>-76.763403609999997</v>
      </c>
      <c r="H2434">
        <f t="shared" si="74"/>
        <v>594.70000000000005</v>
      </c>
      <c r="I2434">
        <f t="shared" si="75"/>
        <v>369.6</v>
      </c>
    </row>
    <row r="2435" spans="1:9" ht="30" x14ac:dyDescent="0.25">
      <c r="A2435" s="5" t="s">
        <v>50</v>
      </c>
      <c r="B2435" s="5" t="s">
        <v>180</v>
      </c>
      <c r="C2435" s="5" t="s">
        <v>2880</v>
      </c>
      <c r="D2435" s="3">
        <f>VLOOKUP(A2435,airports!A:H,7,FALSE)</f>
        <v>42.212058890000002</v>
      </c>
      <c r="E2435" s="3">
        <f>VLOOKUP(A2435,airports!A:H,8,FALSE)</f>
        <v>-83.348835829999999</v>
      </c>
      <c r="F2435" s="3">
        <f>VLOOKUP(B2435,airports!A:H,7,FALSE)</f>
        <v>41.785982500000003</v>
      </c>
      <c r="G2435" s="3">
        <f>VLOOKUP(B2435,airports!A:H,8,FALSE)</f>
        <v>-87.752424439999999</v>
      </c>
      <c r="H2435">
        <f t="shared" si="74"/>
        <v>366.9</v>
      </c>
      <c r="I2435">
        <f t="shared" si="75"/>
        <v>228</v>
      </c>
    </row>
    <row r="2436" spans="1:9" ht="30" x14ac:dyDescent="0.25">
      <c r="A2436" s="5" t="s">
        <v>50</v>
      </c>
      <c r="B2436" s="5" t="s">
        <v>563</v>
      </c>
      <c r="C2436" s="5" t="s">
        <v>2881</v>
      </c>
      <c r="D2436" s="3">
        <f>VLOOKUP(A2436,airports!A:H,7,FALSE)</f>
        <v>42.212058890000002</v>
      </c>
      <c r="E2436" s="3">
        <f>VLOOKUP(A2436,airports!A:H,8,FALSE)</f>
        <v>-83.348835829999999</v>
      </c>
      <c r="F2436" s="3">
        <f>VLOOKUP(B2436,airports!A:H,7,FALSE)</f>
        <v>35.042416670000001</v>
      </c>
      <c r="G2436" s="3">
        <f>VLOOKUP(B2436,airports!A:H,8,FALSE)</f>
        <v>-89.97666667</v>
      </c>
      <c r="H2436">
        <f t="shared" ref="H2436:H2499" si="76">ROUND(ACOS(COS(RADIANS(90-D2436)) * COS(RADIANS(90-F2436)) + SIN(RADIANS(90-D2436)) * SIN(RADIANS(90-F2436)) * COS(RADIANS(E2436-G2436))) * 6371,1)</f>
        <v>982.7</v>
      </c>
      <c r="I2436">
        <f t="shared" ref="I2436:I2499" si="77">ROUND(ACOS(COS(RADIANS(90-D2436)) * COS(RADIANS(90-F2436)) + SIN(RADIANS(90-D2436)) * SIN(RADIANS(90-F2436)) * COS(RADIANS(E2436-G2436))) * 3959,1)</f>
        <v>610.6</v>
      </c>
    </row>
    <row r="2437" spans="1:9" ht="30" x14ac:dyDescent="0.25">
      <c r="A2437" s="5" t="s">
        <v>50</v>
      </c>
      <c r="B2437" s="5" t="s">
        <v>567</v>
      </c>
      <c r="C2437" s="5" t="s">
        <v>2882</v>
      </c>
      <c r="D2437" s="3">
        <f>VLOOKUP(A2437,airports!A:H,7,FALSE)</f>
        <v>42.212058890000002</v>
      </c>
      <c r="E2437" s="3">
        <f>VLOOKUP(A2437,airports!A:H,8,FALSE)</f>
        <v>-83.348835829999999</v>
      </c>
      <c r="F2437" s="3">
        <f>VLOOKUP(B2437,airports!A:H,7,FALSE)</f>
        <v>42.934516389999999</v>
      </c>
      <c r="G2437" s="3">
        <f>VLOOKUP(B2437,airports!A:H,8,FALSE)</f>
        <v>-71.437055830000006</v>
      </c>
      <c r="H2437">
        <f t="shared" si="76"/>
        <v>977.9</v>
      </c>
      <c r="I2437">
        <f t="shared" si="77"/>
        <v>607.70000000000005</v>
      </c>
    </row>
    <row r="2438" spans="1:9" ht="30" x14ac:dyDescent="0.25">
      <c r="A2438" s="5" t="s">
        <v>50</v>
      </c>
      <c r="B2438" s="5" t="s">
        <v>84</v>
      </c>
      <c r="C2438" s="5" t="s">
        <v>2883</v>
      </c>
      <c r="D2438" s="3">
        <f>VLOOKUP(A2438,airports!A:H,7,FALSE)</f>
        <v>42.212058890000002</v>
      </c>
      <c r="E2438" s="3">
        <f>VLOOKUP(A2438,airports!A:H,8,FALSE)</f>
        <v>-83.348835829999999</v>
      </c>
      <c r="F2438" s="3">
        <f>VLOOKUP(B2438,airports!A:H,7,FALSE)</f>
        <v>25.79325</v>
      </c>
      <c r="G2438" s="3">
        <f>VLOOKUP(B2438,airports!A:H,8,FALSE)</f>
        <v>-80.290555560000001</v>
      </c>
      <c r="H2438">
        <f t="shared" si="76"/>
        <v>1847</v>
      </c>
      <c r="I2438">
        <f t="shared" si="77"/>
        <v>1147.7</v>
      </c>
    </row>
    <row r="2439" spans="1:9" ht="30" x14ac:dyDescent="0.25">
      <c r="A2439" s="5" t="s">
        <v>50</v>
      </c>
      <c r="B2439" s="5" t="s">
        <v>85</v>
      </c>
      <c r="C2439" s="5" t="s">
        <v>2884</v>
      </c>
      <c r="D2439" s="3">
        <f>VLOOKUP(A2439,airports!A:H,7,FALSE)</f>
        <v>42.212058890000002</v>
      </c>
      <c r="E2439" s="3">
        <f>VLOOKUP(A2439,airports!A:H,8,FALSE)</f>
        <v>-83.348835829999999</v>
      </c>
      <c r="F2439" s="3">
        <f>VLOOKUP(B2439,airports!A:H,7,FALSE)</f>
        <v>42.94722222</v>
      </c>
      <c r="G2439" s="3">
        <f>VLOOKUP(B2439,airports!A:H,8,FALSE)</f>
        <v>-87.896583329999999</v>
      </c>
      <c r="H2439">
        <f t="shared" si="76"/>
        <v>381.2</v>
      </c>
      <c r="I2439">
        <f t="shared" si="77"/>
        <v>236.9</v>
      </c>
    </row>
    <row r="2440" spans="1:9" ht="30" x14ac:dyDescent="0.25">
      <c r="A2440" s="5" t="s">
        <v>50</v>
      </c>
      <c r="B2440" s="5" t="s">
        <v>573</v>
      </c>
      <c r="C2440" s="5" t="s">
        <v>2885</v>
      </c>
      <c r="D2440" s="3">
        <f>VLOOKUP(A2440,airports!A:H,7,FALSE)</f>
        <v>42.212058890000002</v>
      </c>
      <c r="E2440" s="3">
        <f>VLOOKUP(A2440,airports!A:H,8,FALSE)</f>
        <v>-83.348835829999999</v>
      </c>
      <c r="F2440" s="3">
        <f>VLOOKUP(B2440,airports!A:H,7,FALSE)</f>
        <v>41.448526389999998</v>
      </c>
      <c r="G2440" s="3">
        <f>VLOOKUP(B2440,airports!A:H,8,FALSE)</f>
        <v>-90.507539170000001</v>
      </c>
      <c r="H2440">
        <f t="shared" si="76"/>
        <v>599</v>
      </c>
      <c r="I2440">
        <f t="shared" si="77"/>
        <v>372.2</v>
      </c>
    </row>
    <row r="2441" spans="1:9" ht="30" x14ac:dyDescent="0.25">
      <c r="A2441" s="5" t="s">
        <v>50</v>
      </c>
      <c r="B2441" s="5" t="s">
        <v>2886</v>
      </c>
      <c r="C2441" s="5" t="s">
        <v>2887</v>
      </c>
      <c r="D2441" s="3">
        <f>VLOOKUP(A2441,airports!A:H,7,FALSE)</f>
        <v>42.212058890000002</v>
      </c>
      <c r="E2441" s="3">
        <f>VLOOKUP(A2441,airports!A:H,8,FALSE)</f>
        <v>-83.348835829999999</v>
      </c>
      <c r="F2441" s="3">
        <f>VLOOKUP(B2441,airports!A:H,7,FALSE)</f>
        <v>46.353639000000001</v>
      </c>
      <c r="G2441" s="3">
        <f>VLOOKUP(B2441,airports!A:H,8,FALSE)</f>
        <v>-87.395360999999994</v>
      </c>
      <c r="H2441">
        <f t="shared" si="76"/>
        <v>561.79999999999995</v>
      </c>
      <c r="I2441">
        <f t="shared" si="77"/>
        <v>349.1</v>
      </c>
    </row>
    <row r="2442" spans="1:9" ht="30" x14ac:dyDescent="0.25">
      <c r="A2442" s="5" t="s">
        <v>50</v>
      </c>
      <c r="B2442" s="5" t="s">
        <v>579</v>
      </c>
      <c r="C2442" s="5" t="s">
        <v>2888</v>
      </c>
      <c r="D2442" s="3">
        <f>VLOOKUP(A2442,airports!A:H,7,FALSE)</f>
        <v>42.212058890000002</v>
      </c>
      <c r="E2442" s="3">
        <f>VLOOKUP(A2442,airports!A:H,8,FALSE)</f>
        <v>-83.348835829999999</v>
      </c>
      <c r="F2442" s="3">
        <f>VLOOKUP(B2442,airports!A:H,7,FALSE)</f>
        <v>43.13985778</v>
      </c>
      <c r="G2442" s="3">
        <f>VLOOKUP(B2442,airports!A:H,8,FALSE)</f>
        <v>-89.337513610000002</v>
      </c>
      <c r="H2442">
        <f t="shared" si="76"/>
        <v>500.2</v>
      </c>
      <c r="I2442">
        <f t="shared" si="77"/>
        <v>310.8</v>
      </c>
    </row>
    <row r="2443" spans="1:9" ht="30" x14ac:dyDescent="0.25">
      <c r="A2443" s="5" t="s">
        <v>50</v>
      </c>
      <c r="B2443" s="5" t="s">
        <v>87</v>
      </c>
      <c r="C2443" s="5" t="s">
        <v>2889</v>
      </c>
      <c r="D2443" s="3">
        <f>VLOOKUP(A2443,airports!A:H,7,FALSE)</f>
        <v>42.212058890000002</v>
      </c>
      <c r="E2443" s="3">
        <f>VLOOKUP(A2443,airports!A:H,8,FALSE)</f>
        <v>-83.348835829999999</v>
      </c>
      <c r="F2443" s="3">
        <f>VLOOKUP(B2443,airports!A:H,7,FALSE)</f>
        <v>44.880546940000002</v>
      </c>
      <c r="G2443" s="3">
        <f>VLOOKUP(B2443,airports!A:H,8,FALSE)</f>
        <v>-93.216922499999995</v>
      </c>
      <c r="H2443">
        <f t="shared" si="76"/>
        <v>848.2</v>
      </c>
      <c r="I2443">
        <f t="shared" si="77"/>
        <v>527.1</v>
      </c>
    </row>
    <row r="2444" spans="1:9" ht="30" x14ac:dyDescent="0.25">
      <c r="A2444" s="5" t="s">
        <v>50</v>
      </c>
      <c r="B2444" s="5" t="s">
        <v>89</v>
      </c>
      <c r="C2444" s="5" t="s">
        <v>2890</v>
      </c>
      <c r="D2444" s="3">
        <f>VLOOKUP(A2444,airports!A:H,7,FALSE)</f>
        <v>42.212058890000002</v>
      </c>
      <c r="E2444" s="3">
        <f>VLOOKUP(A2444,airports!A:H,8,FALSE)</f>
        <v>-83.348835829999999</v>
      </c>
      <c r="F2444" s="3">
        <f>VLOOKUP(B2444,airports!A:H,7,FALSE)</f>
        <v>29.993388889999999</v>
      </c>
      <c r="G2444" s="3">
        <f>VLOOKUP(B2444,airports!A:H,8,FALSE)</f>
        <v>-90.258027780000006</v>
      </c>
      <c r="H2444">
        <f t="shared" si="76"/>
        <v>1492.4</v>
      </c>
      <c r="I2444">
        <f t="shared" si="77"/>
        <v>927.4</v>
      </c>
    </row>
    <row r="2445" spans="1:9" ht="30" x14ac:dyDescent="0.25">
      <c r="A2445" s="5" t="s">
        <v>50</v>
      </c>
      <c r="B2445" s="5" t="s">
        <v>182</v>
      </c>
      <c r="C2445" s="5" t="s">
        <v>2891</v>
      </c>
      <c r="D2445" s="3">
        <f>VLOOKUP(A2445,airports!A:H,7,FALSE)</f>
        <v>42.212058890000002</v>
      </c>
      <c r="E2445" s="3">
        <f>VLOOKUP(A2445,airports!A:H,8,FALSE)</f>
        <v>-83.348835829999999</v>
      </c>
      <c r="F2445" s="3">
        <f>VLOOKUP(B2445,airports!A:H,7,FALSE)</f>
        <v>33.679749999999999</v>
      </c>
      <c r="G2445" s="3">
        <f>VLOOKUP(B2445,airports!A:H,8,FALSE)</f>
        <v>-78.928333330000001</v>
      </c>
      <c r="H2445">
        <f t="shared" si="76"/>
        <v>1024.5</v>
      </c>
      <c r="I2445">
        <f t="shared" si="77"/>
        <v>636.6</v>
      </c>
    </row>
    <row r="2446" spans="1:9" ht="30" x14ac:dyDescent="0.25">
      <c r="A2446" s="5" t="s">
        <v>50</v>
      </c>
      <c r="B2446" s="5" t="s">
        <v>215</v>
      </c>
      <c r="C2446" s="5" t="s">
        <v>2892</v>
      </c>
      <c r="D2446" s="3">
        <f>VLOOKUP(A2446,airports!A:H,7,FALSE)</f>
        <v>42.212058890000002</v>
      </c>
      <c r="E2446" s="3">
        <f>VLOOKUP(A2446,airports!A:H,8,FALSE)</f>
        <v>-83.348835829999999</v>
      </c>
      <c r="F2446" s="3">
        <f>VLOOKUP(B2446,airports!A:H,7,FALSE)</f>
        <v>37.721290830000001</v>
      </c>
      <c r="G2446" s="3">
        <f>VLOOKUP(B2446,airports!A:H,8,FALSE)</f>
        <v>-122.2207167</v>
      </c>
      <c r="H2446">
        <f t="shared" si="76"/>
        <v>3321</v>
      </c>
      <c r="I2446">
        <f t="shared" si="77"/>
        <v>2063.6999999999998</v>
      </c>
    </row>
    <row r="2447" spans="1:9" ht="30" x14ac:dyDescent="0.25">
      <c r="A2447" s="5" t="s">
        <v>50</v>
      </c>
      <c r="B2447" s="5" t="s">
        <v>590</v>
      </c>
      <c r="C2447" s="5" t="s">
        <v>2893</v>
      </c>
      <c r="D2447" s="3">
        <f>VLOOKUP(A2447,airports!A:H,7,FALSE)</f>
        <v>42.212058890000002</v>
      </c>
      <c r="E2447" s="3">
        <f>VLOOKUP(A2447,airports!A:H,8,FALSE)</f>
        <v>-83.348835829999999</v>
      </c>
      <c r="F2447" s="3">
        <f>VLOOKUP(B2447,airports!A:H,7,FALSE)</f>
        <v>35.393088329999998</v>
      </c>
      <c r="G2447" s="3">
        <f>VLOOKUP(B2447,airports!A:H,8,FALSE)</f>
        <v>-97.600733890000001</v>
      </c>
      <c r="H2447">
        <f t="shared" si="76"/>
        <v>1446.3</v>
      </c>
      <c r="I2447">
        <f t="shared" si="77"/>
        <v>898.7</v>
      </c>
    </row>
    <row r="2448" spans="1:9" ht="30" x14ac:dyDescent="0.25">
      <c r="A2448" s="5" t="s">
        <v>50</v>
      </c>
      <c r="B2448" s="5" t="s">
        <v>592</v>
      </c>
      <c r="C2448" s="5" t="s">
        <v>2894</v>
      </c>
      <c r="D2448" s="3">
        <f>VLOOKUP(A2448,airports!A:H,7,FALSE)</f>
        <v>42.212058890000002</v>
      </c>
      <c r="E2448" s="3">
        <f>VLOOKUP(A2448,airports!A:H,8,FALSE)</f>
        <v>-83.348835829999999</v>
      </c>
      <c r="F2448" s="3">
        <f>VLOOKUP(B2448,airports!A:H,7,FALSE)</f>
        <v>41.30251861</v>
      </c>
      <c r="G2448" s="3">
        <f>VLOOKUP(B2448,airports!A:H,8,FALSE)</f>
        <v>-95.89417306</v>
      </c>
      <c r="H2448">
        <f t="shared" si="76"/>
        <v>1044.5999999999999</v>
      </c>
      <c r="I2448">
        <f t="shared" si="77"/>
        <v>649.1</v>
      </c>
    </row>
    <row r="2449" spans="1:9" ht="30" x14ac:dyDescent="0.25">
      <c r="A2449" s="5" t="s">
        <v>50</v>
      </c>
      <c r="B2449" s="5" t="s">
        <v>95</v>
      </c>
      <c r="C2449" s="5" t="s">
        <v>2895</v>
      </c>
      <c r="D2449" s="3">
        <f>VLOOKUP(A2449,airports!A:H,7,FALSE)</f>
        <v>42.212058890000002</v>
      </c>
      <c r="E2449" s="3">
        <f>VLOOKUP(A2449,airports!A:H,8,FALSE)</f>
        <v>-83.348835829999999</v>
      </c>
      <c r="F2449" s="3">
        <f>VLOOKUP(B2449,airports!A:H,7,FALSE)</f>
        <v>41.979595000000003</v>
      </c>
      <c r="G2449" s="3">
        <f>VLOOKUP(B2449,airports!A:H,8,FALSE)</f>
        <v>-87.904464169999997</v>
      </c>
      <c r="H2449">
        <f t="shared" si="76"/>
        <v>376.7</v>
      </c>
      <c r="I2449">
        <f t="shared" si="77"/>
        <v>234.1</v>
      </c>
    </row>
    <row r="2450" spans="1:9" ht="30" x14ac:dyDescent="0.25">
      <c r="A2450" s="5" t="s">
        <v>50</v>
      </c>
      <c r="B2450" s="5" t="s">
        <v>596</v>
      </c>
      <c r="C2450" s="5" t="s">
        <v>2896</v>
      </c>
      <c r="D2450" s="3">
        <f>VLOOKUP(A2450,airports!A:H,7,FALSE)</f>
        <v>42.212058890000002</v>
      </c>
      <c r="E2450" s="3">
        <f>VLOOKUP(A2450,airports!A:H,8,FALSE)</f>
        <v>-83.348835829999999</v>
      </c>
      <c r="F2450" s="3">
        <f>VLOOKUP(B2450,airports!A:H,7,FALSE)</f>
        <v>36.89461111</v>
      </c>
      <c r="G2450" s="3">
        <f>VLOOKUP(B2450,airports!A:H,8,FALSE)</f>
        <v>-76.201222220000005</v>
      </c>
      <c r="H2450">
        <f t="shared" si="76"/>
        <v>850.9</v>
      </c>
      <c r="I2450">
        <f t="shared" si="77"/>
        <v>528.79999999999995</v>
      </c>
    </row>
    <row r="2451" spans="1:9" ht="30" x14ac:dyDescent="0.25">
      <c r="A2451" s="5" t="s">
        <v>50</v>
      </c>
      <c r="B2451" s="5" t="s">
        <v>97</v>
      </c>
      <c r="C2451" s="5" t="s">
        <v>2897</v>
      </c>
      <c r="D2451" s="3">
        <f>VLOOKUP(A2451,airports!A:H,7,FALSE)</f>
        <v>42.212058890000002</v>
      </c>
      <c r="E2451" s="3">
        <f>VLOOKUP(A2451,airports!A:H,8,FALSE)</f>
        <v>-83.348835829999999</v>
      </c>
      <c r="F2451" s="3">
        <f>VLOOKUP(B2451,airports!A:H,7,FALSE)</f>
        <v>42.267339440000001</v>
      </c>
      <c r="G2451" s="3">
        <f>VLOOKUP(B2451,airports!A:H,8,FALSE)</f>
        <v>-71.875709439999994</v>
      </c>
      <c r="H2451">
        <f t="shared" si="76"/>
        <v>943.8</v>
      </c>
      <c r="I2451">
        <f t="shared" si="77"/>
        <v>586.5</v>
      </c>
    </row>
    <row r="2452" spans="1:9" ht="30" x14ac:dyDescent="0.25">
      <c r="A2452" s="5" t="s">
        <v>50</v>
      </c>
      <c r="B2452" s="5" t="s">
        <v>99</v>
      </c>
      <c r="C2452" s="5" t="s">
        <v>2898</v>
      </c>
      <c r="D2452" s="3">
        <f>VLOOKUP(A2452,airports!A:H,7,FALSE)</f>
        <v>42.212058890000002</v>
      </c>
      <c r="E2452" s="3">
        <f>VLOOKUP(A2452,airports!A:H,8,FALSE)</f>
        <v>-83.348835829999999</v>
      </c>
      <c r="F2452" s="3">
        <f>VLOOKUP(B2452,airports!A:H,7,FALSE)</f>
        <v>26.683161940000002</v>
      </c>
      <c r="G2452" s="3">
        <f>VLOOKUP(B2452,airports!A:H,8,FALSE)</f>
        <v>-80.095594169999998</v>
      </c>
      <c r="H2452">
        <f t="shared" si="76"/>
        <v>1751.9</v>
      </c>
      <c r="I2452">
        <f t="shared" si="77"/>
        <v>1088.7</v>
      </c>
    </row>
    <row r="2453" spans="1:9" ht="30" x14ac:dyDescent="0.25">
      <c r="A2453" s="5" t="s">
        <v>50</v>
      </c>
      <c r="B2453" s="5" t="s">
        <v>100</v>
      </c>
      <c r="C2453" s="5" t="s">
        <v>2899</v>
      </c>
      <c r="D2453" s="3">
        <f>VLOOKUP(A2453,airports!A:H,7,FALSE)</f>
        <v>42.212058890000002</v>
      </c>
      <c r="E2453" s="3">
        <f>VLOOKUP(A2453,airports!A:H,8,FALSE)</f>
        <v>-83.348835829999999</v>
      </c>
      <c r="F2453" s="3">
        <f>VLOOKUP(B2453,airports!A:H,7,FALSE)</f>
        <v>45.588722220000001</v>
      </c>
      <c r="G2453" s="3">
        <f>VLOOKUP(B2453,airports!A:H,8,FALSE)</f>
        <v>-122.5975</v>
      </c>
      <c r="H2453">
        <f t="shared" si="76"/>
        <v>3135.3</v>
      </c>
      <c r="I2453">
        <f t="shared" si="77"/>
        <v>1948.3</v>
      </c>
    </row>
    <row r="2454" spans="1:9" ht="30" x14ac:dyDescent="0.25">
      <c r="A2454" s="5" t="s">
        <v>50</v>
      </c>
      <c r="B2454" s="5" t="s">
        <v>102</v>
      </c>
      <c r="C2454" s="5" t="s">
        <v>2900</v>
      </c>
      <c r="D2454" s="3">
        <f>VLOOKUP(A2454,airports!A:H,7,FALSE)</f>
        <v>42.212058890000002</v>
      </c>
      <c r="E2454" s="3">
        <f>VLOOKUP(A2454,airports!A:H,8,FALSE)</f>
        <v>-83.348835829999999</v>
      </c>
      <c r="F2454" s="3">
        <f>VLOOKUP(B2454,airports!A:H,7,FALSE)</f>
        <v>39.871952780000001</v>
      </c>
      <c r="G2454" s="3">
        <f>VLOOKUP(B2454,airports!A:H,8,FALSE)</f>
        <v>-75.241140830000006</v>
      </c>
      <c r="H2454">
        <f t="shared" si="76"/>
        <v>727.7</v>
      </c>
      <c r="I2454">
        <f t="shared" si="77"/>
        <v>452.2</v>
      </c>
    </row>
    <row r="2455" spans="1:9" ht="30" x14ac:dyDescent="0.25">
      <c r="A2455" s="5" t="s">
        <v>50</v>
      </c>
      <c r="B2455" s="5" t="s">
        <v>104</v>
      </c>
      <c r="C2455" s="5" t="s">
        <v>2901</v>
      </c>
      <c r="D2455" s="3">
        <f>VLOOKUP(A2455,airports!A:H,7,FALSE)</f>
        <v>42.212058890000002</v>
      </c>
      <c r="E2455" s="3">
        <f>VLOOKUP(A2455,airports!A:H,8,FALSE)</f>
        <v>-83.348835829999999</v>
      </c>
      <c r="F2455" s="3">
        <f>VLOOKUP(B2455,airports!A:H,7,FALSE)</f>
        <v>33.434166670000003</v>
      </c>
      <c r="G2455" s="3">
        <f>VLOOKUP(B2455,airports!A:H,8,FALSE)</f>
        <v>-112.00805560000001</v>
      </c>
      <c r="H2455">
        <f t="shared" si="76"/>
        <v>2684</v>
      </c>
      <c r="I2455">
        <f t="shared" si="77"/>
        <v>1667.9</v>
      </c>
    </row>
    <row r="2456" spans="1:9" ht="30" x14ac:dyDescent="0.25">
      <c r="A2456" s="5" t="s">
        <v>50</v>
      </c>
      <c r="B2456" s="5" t="s">
        <v>604</v>
      </c>
      <c r="C2456" s="5" t="s">
        <v>2902</v>
      </c>
      <c r="D2456" s="3">
        <f>VLOOKUP(A2456,airports!A:H,7,FALSE)</f>
        <v>42.212058890000002</v>
      </c>
      <c r="E2456" s="3">
        <f>VLOOKUP(A2456,airports!A:H,8,FALSE)</f>
        <v>-83.348835829999999</v>
      </c>
      <c r="F2456" s="3">
        <f>VLOOKUP(B2456,airports!A:H,7,FALSE)</f>
        <v>40.664243329999998</v>
      </c>
      <c r="G2456" s="3">
        <f>VLOOKUP(B2456,airports!A:H,8,FALSE)</f>
        <v>-89.693305559999999</v>
      </c>
      <c r="H2456">
        <f t="shared" si="76"/>
        <v>556</v>
      </c>
      <c r="I2456">
        <f t="shared" si="77"/>
        <v>345.5</v>
      </c>
    </row>
    <row r="2457" spans="1:9" ht="30" x14ac:dyDescent="0.25">
      <c r="A2457" s="5" t="s">
        <v>50</v>
      </c>
      <c r="B2457" s="5" t="s">
        <v>106</v>
      </c>
      <c r="C2457" s="5" t="s">
        <v>2903</v>
      </c>
      <c r="D2457" s="3">
        <f>VLOOKUP(A2457,airports!A:H,7,FALSE)</f>
        <v>42.212058890000002</v>
      </c>
      <c r="E2457" s="3">
        <f>VLOOKUP(A2457,airports!A:H,8,FALSE)</f>
        <v>-83.348835829999999</v>
      </c>
      <c r="F2457" s="3">
        <f>VLOOKUP(B2457,airports!A:H,7,FALSE)</f>
        <v>40.491465830000003</v>
      </c>
      <c r="G2457" s="3">
        <f>VLOOKUP(B2457,airports!A:H,8,FALSE)</f>
        <v>-80.232870829999996</v>
      </c>
      <c r="H2457">
        <f t="shared" si="76"/>
        <v>322.8</v>
      </c>
      <c r="I2457">
        <f t="shared" si="77"/>
        <v>200.6</v>
      </c>
    </row>
    <row r="2458" spans="1:9" ht="30" x14ac:dyDescent="0.25">
      <c r="A2458" s="5" t="s">
        <v>50</v>
      </c>
      <c r="B2458" s="5" t="s">
        <v>389</v>
      </c>
      <c r="C2458" s="5" t="s">
        <v>2904</v>
      </c>
      <c r="D2458" s="3">
        <f>VLOOKUP(A2458,airports!A:H,7,FALSE)</f>
        <v>42.212058890000002</v>
      </c>
      <c r="E2458" s="3">
        <f>VLOOKUP(A2458,airports!A:H,8,FALSE)</f>
        <v>-83.348835829999999</v>
      </c>
      <c r="F2458" s="3">
        <f>VLOOKUP(B2458,airports!A:H,7,FALSE)</f>
        <v>45.570927500000003</v>
      </c>
      <c r="G2458" s="3">
        <f>VLOOKUP(B2458,airports!A:H,8,FALSE)</f>
        <v>-84.796715000000006</v>
      </c>
      <c r="H2458">
        <f t="shared" si="76"/>
        <v>391.1</v>
      </c>
      <c r="I2458">
        <f t="shared" si="77"/>
        <v>243</v>
      </c>
    </row>
    <row r="2459" spans="1:9" ht="30" x14ac:dyDescent="0.25">
      <c r="A2459" s="5" t="s">
        <v>50</v>
      </c>
      <c r="B2459" s="5" t="s">
        <v>114</v>
      </c>
      <c r="C2459" s="5" t="s">
        <v>2905</v>
      </c>
      <c r="D2459" s="3">
        <f>VLOOKUP(A2459,airports!A:H,7,FALSE)</f>
        <v>42.212058890000002</v>
      </c>
      <c r="E2459" s="3">
        <f>VLOOKUP(A2459,airports!A:H,8,FALSE)</f>
        <v>-83.348835829999999</v>
      </c>
      <c r="F2459" s="3">
        <f>VLOOKUP(B2459,airports!A:H,7,FALSE)</f>
        <v>41.723999169999999</v>
      </c>
      <c r="G2459" s="3">
        <f>VLOOKUP(B2459,airports!A:H,8,FALSE)</f>
        <v>-71.428221109999996</v>
      </c>
      <c r="H2459">
        <f t="shared" si="76"/>
        <v>986.2</v>
      </c>
      <c r="I2459">
        <f t="shared" si="77"/>
        <v>612.9</v>
      </c>
    </row>
    <row r="2460" spans="1:9" ht="30" x14ac:dyDescent="0.25">
      <c r="A2460" s="5" t="s">
        <v>50</v>
      </c>
      <c r="B2460" s="5" t="s">
        <v>117</v>
      </c>
      <c r="C2460" s="5" t="s">
        <v>2906</v>
      </c>
      <c r="D2460" s="3">
        <f>VLOOKUP(A2460,airports!A:H,7,FALSE)</f>
        <v>42.212058890000002</v>
      </c>
      <c r="E2460" s="3">
        <f>VLOOKUP(A2460,airports!A:H,8,FALSE)</f>
        <v>-83.348835829999999</v>
      </c>
      <c r="F2460" s="3">
        <f>VLOOKUP(B2460,airports!A:H,7,FALSE)</f>
        <v>43.646166669999999</v>
      </c>
      <c r="G2460" s="3">
        <f>VLOOKUP(B2460,airports!A:H,8,FALSE)</f>
        <v>-70.308750000000003</v>
      </c>
      <c r="H2460">
        <f t="shared" si="76"/>
        <v>1072.4000000000001</v>
      </c>
      <c r="I2460">
        <f t="shared" si="77"/>
        <v>666.4</v>
      </c>
    </row>
    <row r="2461" spans="1:9" ht="30" x14ac:dyDescent="0.25">
      <c r="A2461" s="5" t="s">
        <v>50</v>
      </c>
      <c r="B2461" s="5" t="s">
        <v>612</v>
      </c>
      <c r="C2461" s="5" t="s">
        <v>2907</v>
      </c>
      <c r="D2461" s="3">
        <f>VLOOKUP(A2461,airports!A:H,7,FALSE)</f>
        <v>42.212058890000002</v>
      </c>
      <c r="E2461" s="3">
        <f>VLOOKUP(A2461,airports!A:H,8,FALSE)</f>
        <v>-83.348835829999999</v>
      </c>
      <c r="F2461" s="3">
        <f>VLOOKUP(B2461,airports!A:H,7,FALSE)</f>
        <v>44.045321389999998</v>
      </c>
      <c r="G2461" s="3">
        <f>VLOOKUP(B2461,airports!A:H,8,FALSE)</f>
        <v>-103.0573708</v>
      </c>
      <c r="H2461">
        <f t="shared" si="76"/>
        <v>1608.4</v>
      </c>
      <c r="I2461">
        <f t="shared" si="77"/>
        <v>999.5</v>
      </c>
    </row>
    <row r="2462" spans="1:9" ht="30" x14ac:dyDescent="0.25">
      <c r="A2462" s="5" t="s">
        <v>50</v>
      </c>
      <c r="B2462" s="5" t="s">
        <v>119</v>
      </c>
      <c r="C2462" s="5" t="s">
        <v>2908</v>
      </c>
      <c r="D2462" s="3">
        <f>VLOOKUP(A2462,airports!A:H,7,FALSE)</f>
        <v>42.212058890000002</v>
      </c>
      <c r="E2462" s="3">
        <f>VLOOKUP(A2462,airports!A:H,8,FALSE)</f>
        <v>-83.348835829999999</v>
      </c>
      <c r="F2462" s="3">
        <f>VLOOKUP(B2462,airports!A:H,7,FALSE)</f>
        <v>35.87763889</v>
      </c>
      <c r="G2462" s="3">
        <f>VLOOKUP(B2462,airports!A:H,8,FALSE)</f>
        <v>-78.787472219999998</v>
      </c>
      <c r="H2462">
        <f t="shared" si="76"/>
        <v>806.7</v>
      </c>
      <c r="I2462">
        <f t="shared" si="77"/>
        <v>501.3</v>
      </c>
    </row>
    <row r="2463" spans="1:9" ht="30" x14ac:dyDescent="0.25">
      <c r="A2463" s="5" t="s">
        <v>50</v>
      </c>
      <c r="B2463" s="5" t="s">
        <v>120</v>
      </c>
      <c r="C2463" s="5" t="s">
        <v>2909</v>
      </c>
      <c r="D2463" s="3">
        <f>VLOOKUP(A2463,airports!A:H,7,FALSE)</f>
        <v>42.212058890000002</v>
      </c>
      <c r="E2463" s="3">
        <f>VLOOKUP(A2463,airports!A:H,8,FALSE)</f>
        <v>-83.348835829999999</v>
      </c>
      <c r="F2463" s="3">
        <f>VLOOKUP(B2463,airports!A:H,7,FALSE)</f>
        <v>37.505166670000001</v>
      </c>
      <c r="G2463" s="3">
        <f>VLOOKUP(B2463,airports!A:H,8,FALSE)</f>
        <v>-77.319666670000004</v>
      </c>
      <c r="H2463">
        <f t="shared" si="76"/>
        <v>733.6</v>
      </c>
      <c r="I2463">
        <f t="shared" si="77"/>
        <v>455.9</v>
      </c>
    </row>
    <row r="2464" spans="1:9" ht="30" x14ac:dyDescent="0.25">
      <c r="A2464" s="5" t="s">
        <v>50</v>
      </c>
      <c r="B2464" s="5" t="s">
        <v>122</v>
      </c>
      <c r="C2464" s="5" t="s">
        <v>2910</v>
      </c>
      <c r="D2464" s="3">
        <f>VLOOKUP(A2464,airports!A:H,7,FALSE)</f>
        <v>42.212058890000002</v>
      </c>
      <c r="E2464" s="3">
        <f>VLOOKUP(A2464,airports!A:H,8,FALSE)</f>
        <v>-83.348835829999999</v>
      </c>
      <c r="F2464" s="3">
        <f>VLOOKUP(B2464,airports!A:H,7,FALSE)</f>
        <v>43.118866109999999</v>
      </c>
      <c r="G2464" s="3">
        <f>VLOOKUP(B2464,airports!A:H,8,FALSE)</f>
        <v>-77.672383890000006</v>
      </c>
      <c r="H2464">
        <f t="shared" si="76"/>
        <v>474.9</v>
      </c>
      <c r="I2464">
        <f t="shared" si="77"/>
        <v>295.10000000000002</v>
      </c>
    </row>
    <row r="2465" spans="1:9" ht="30" x14ac:dyDescent="0.25">
      <c r="A2465" s="5" t="s">
        <v>50</v>
      </c>
      <c r="B2465" s="5" t="s">
        <v>123</v>
      </c>
      <c r="C2465" s="5" t="s">
        <v>2911</v>
      </c>
      <c r="D2465" s="3">
        <f>VLOOKUP(A2465,airports!A:H,7,FALSE)</f>
        <v>42.212058890000002</v>
      </c>
      <c r="E2465" s="3">
        <f>VLOOKUP(A2465,airports!A:H,8,FALSE)</f>
        <v>-83.348835829999999</v>
      </c>
      <c r="F2465" s="3">
        <f>VLOOKUP(B2465,airports!A:H,7,FALSE)</f>
        <v>26.53616667</v>
      </c>
      <c r="G2465" s="3">
        <f>VLOOKUP(B2465,airports!A:H,8,FALSE)</f>
        <v>-81.755166669999994</v>
      </c>
      <c r="H2465">
        <f t="shared" si="76"/>
        <v>1749.1</v>
      </c>
      <c r="I2465">
        <f t="shared" si="77"/>
        <v>1086.9000000000001</v>
      </c>
    </row>
    <row r="2466" spans="1:9" ht="30" x14ac:dyDescent="0.25">
      <c r="A2466" s="5" t="s">
        <v>50</v>
      </c>
      <c r="B2466" s="5" t="s">
        <v>124</v>
      </c>
      <c r="C2466" s="5" t="s">
        <v>2912</v>
      </c>
      <c r="D2466" s="3">
        <f>VLOOKUP(A2466,airports!A:H,7,FALSE)</f>
        <v>42.212058890000002</v>
      </c>
      <c r="E2466" s="3">
        <f>VLOOKUP(A2466,airports!A:H,8,FALSE)</f>
        <v>-83.348835829999999</v>
      </c>
      <c r="F2466" s="3">
        <f>VLOOKUP(B2466,airports!A:H,7,FALSE)</f>
        <v>32.733556110000002</v>
      </c>
      <c r="G2466" s="3">
        <f>VLOOKUP(B2466,airports!A:H,8,FALSE)</f>
        <v>-117.1896567</v>
      </c>
      <c r="H2466">
        <f t="shared" si="76"/>
        <v>3142.5</v>
      </c>
      <c r="I2466">
        <f t="shared" si="77"/>
        <v>1952.8</v>
      </c>
    </row>
    <row r="2467" spans="1:9" ht="30" x14ac:dyDescent="0.25">
      <c r="A2467" s="5" t="s">
        <v>50</v>
      </c>
      <c r="B2467" s="5" t="s">
        <v>125</v>
      </c>
      <c r="C2467" s="5" t="s">
        <v>2913</v>
      </c>
      <c r="D2467" s="3">
        <f>VLOOKUP(A2467,airports!A:H,7,FALSE)</f>
        <v>42.212058890000002</v>
      </c>
      <c r="E2467" s="3">
        <f>VLOOKUP(A2467,airports!A:H,8,FALSE)</f>
        <v>-83.348835829999999</v>
      </c>
      <c r="F2467" s="3">
        <f>VLOOKUP(B2467,airports!A:H,7,FALSE)</f>
        <v>29.533694440000001</v>
      </c>
      <c r="G2467" s="3">
        <f>VLOOKUP(B2467,airports!A:H,8,FALSE)</f>
        <v>-98.469777780000001</v>
      </c>
      <c r="H2467">
        <f t="shared" si="76"/>
        <v>1954.6</v>
      </c>
      <c r="I2467">
        <f t="shared" si="77"/>
        <v>1214.5999999999999</v>
      </c>
    </row>
    <row r="2468" spans="1:9" ht="30" x14ac:dyDescent="0.25">
      <c r="A2468" s="5" t="s">
        <v>50</v>
      </c>
      <c r="B2468" s="5" t="s">
        <v>126</v>
      </c>
      <c r="C2468" s="5" t="s">
        <v>2914</v>
      </c>
      <c r="D2468" s="3">
        <f>VLOOKUP(A2468,airports!A:H,7,FALSE)</f>
        <v>42.212058890000002</v>
      </c>
      <c r="E2468" s="3">
        <f>VLOOKUP(A2468,airports!A:H,8,FALSE)</f>
        <v>-83.348835829999999</v>
      </c>
      <c r="F2468" s="3">
        <f>VLOOKUP(B2468,airports!A:H,7,FALSE)</f>
        <v>32.12758333</v>
      </c>
      <c r="G2468" s="3">
        <f>VLOOKUP(B2468,airports!A:H,8,FALSE)</f>
        <v>-81.202138890000001</v>
      </c>
      <c r="H2468">
        <f t="shared" si="76"/>
        <v>1137.2</v>
      </c>
      <c r="I2468">
        <f t="shared" si="77"/>
        <v>706.7</v>
      </c>
    </row>
    <row r="2469" spans="1:9" ht="30" x14ac:dyDescent="0.25">
      <c r="A2469" s="5" t="s">
        <v>50</v>
      </c>
      <c r="B2469" s="5" t="s">
        <v>626</v>
      </c>
      <c r="C2469" s="5" t="s">
        <v>2915</v>
      </c>
      <c r="D2469" s="3">
        <f>VLOOKUP(A2469,airports!A:H,7,FALSE)</f>
        <v>42.212058890000002</v>
      </c>
      <c r="E2469" s="3">
        <f>VLOOKUP(A2469,airports!A:H,8,FALSE)</f>
        <v>-83.348835829999999</v>
      </c>
      <c r="F2469" s="3">
        <f>VLOOKUP(B2469,airports!A:H,7,FALSE)</f>
        <v>41.708953610000002</v>
      </c>
      <c r="G2469" s="3">
        <f>VLOOKUP(B2469,airports!A:H,8,FALSE)</f>
        <v>-86.318474170000002</v>
      </c>
      <c r="H2469">
        <f t="shared" si="76"/>
        <v>251.8</v>
      </c>
      <c r="I2469">
        <f t="shared" si="77"/>
        <v>156.5</v>
      </c>
    </row>
    <row r="2470" spans="1:9" ht="30" x14ac:dyDescent="0.25">
      <c r="A2470" s="5" t="s">
        <v>50</v>
      </c>
      <c r="B2470" s="5" t="s">
        <v>628</v>
      </c>
      <c r="C2470" s="5" t="s">
        <v>2916</v>
      </c>
      <c r="D2470" s="3">
        <f>VLOOKUP(A2470,airports!A:H,7,FALSE)</f>
        <v>42.212058890000002</v>
      </c>
      <c r="E2470" s="3">
        <f>VLOOKUP(A2470,airports!A:H,8,FALSE)</f>
        <v>-83.348835829999999</v>
      </c>
      <c r="F2470" s="3">
        <f>VLOOKUP(B2470,airports!A:H,7,FALSE)</f>
        <v>40.851205999999998</v>
      </c>
      <c r="G2470" s="3">
        <f>VLOOKUP(B2470,airports!A:H,8,FALSE)</f>
        <v>-77.846301999999994</v>
      </c>
      <c r="H2470">
        <f t="shared" si="76"/>
        <v>482.3</v>
      </c>
      <c r="I2470">
        <f t="shared" si="77"/>
        <v>299.7</v>
      </c>
    </row>
    <row r="2471" spans="1:9" ht="30" x14ac:dyDescent="0.25">
      <c r="A2471" s="5" t="s">
        <v>50</v>
      </c>
      <c r="B2471" s="5" t="s">
        <v>630</v>
      </c>
      <c r="C2471" s="5" t="s">
        <v>2917</v>
      </c>
      <c r="D2471" s="3">
        <f>VLOOKUP(A2471,airports!A:H,7,FALSE)</f>
        <v>42.212058890000002</v>
      </c>
      <c r="E2471" s="3">
        <f>VLOOKUP(A2471,airports!A:H,8,FALSE)</f>
        <v>-83.348835829999999</v>
      </c>
      <c r="F2471" s="3">
        <f>VLOOKUP(B2471,airports!A:H,7,FALSE)</f>
        <v>38.174388890000003</v>
      </c>
      <c r="G2471" s="3">
        <f>VLOOKUP(B2471,airports!A:H,8,FALSE)</f>
        <v>-85.736000000000004</v>
      </c>
      <c r="H2471">
        <f t="shared" si="76"/>
        <v>492.6</v>
      </c>
      <c r="I2471">
        <f t="shared" si="77"/>
        <v>306.10000000000002</v>
      </c>
    </row>
    <row r="2472" spans="1:9" ht="30" x14ac:dyDescent="0.25">
      <c r="A2472" s="5" t="s">
        <v>50</v>
      </c>
      <c r="B2472" s="5" t="s">
        <v>128</v>
      </c>
      <c r="C2472" s="5" t="s">
        <v>2918</v>
      </c>
      <c r="D2472" s="3">
        <f>VLOOKUP(A2472,airports!A:H,7,FALSE)</f>
        <v>42.212058890000002</v>
      </c>
      <c r="E2472" s="3">
        <f>VLOOKUP(A2472,airports!A:H,8,FALSE)</f>
        <v>-83.348835829999999</v>
      </c>
      <c r="F2472" s="3">
        <f>VLOOKUP(B2472,airports!A:H,7,FALSE)</f>
        <v>47.448981940000003</v>
      </c>
      <c r="G2472" s="3">
        <f>VLOOKUP(B2472,airports!A:H,8,FALSE)</f>
        <v>-122.3093131</v>
      </c>
      <c r="H2472">
        <f t="shared" si="76"/>
        <v>3093.4</v>
      </c>
      <c r="I2472">
        <f t="shared" si="77"/>
        <v>1922.3</v>
      </c>
    </row>
    <row r="2473" spans="1:9" ht="30" x14ac:dyDescent="0.25">
      <c r="A2473" s="5" t="s">
        <v>50</v>
      </c>
      <c r="B2473" s="5" t="s">
        <v>130</v>
      </c>
      <c r="C2473" s="5" t="s">
        <v>2919</v>
      </c>
      <c r="D2473" s="3">
        <f>VLOOKUP(A2473,airports!A:H,7,FALSE)</f>
        <v>42.212058890000002</v>
      </c>
      <c r="E2473" s="3">
        <f>VLOOKUP(A2473,airports!A:H,8,FALSE)</f>
        <v>-83.348835829999999</v>
      </c>
      <c r="F2473" s="3">
        <f>VLOOKUP(B2473,airports!A:H,7,FALSE)</f>
        <v>37.619001939999997</v>
      </c>
      <c r="G2473" s="3">
        <f>VLOOKUP(B2473,airports!A:H,8,FALSE)</f>
        <v>-122.37484329999999</v>
      </c>
      <c r="H2473">
        <f t="shared" si="76"/>
        <v>3337.7</v>
      </c>
      <c r="I2473">
        <f t="shared" si="77"/>
        <v>2074.1</v>
      </c>
    </row>
    <row r="2474" spans="1:9" ht="30" x14ac:dyDescent="0.25">
      <c r="A2474" s="5" t="s">
        <v>50</v>
      </c>
      <c r="B2474" s="5" t="s">
        <v>131</v>
      </c>
      <c r="C2474" s="5" t="s">
        <v>2920</v>
      </c>
      <c r="D2474" s="3">
        <f>VLOOKUP(A2474,airports!A:H,7,FALSE)</f>
        <v>42.212058890000002</v>
      </c>
      <c r="E2474" s="3">
        <f>VLOOKUP(A2474,airports!A:H,8,FALSE)</f>
        <v>-83.348835829999999</v>
      </c>
      <c r="F2474" s="3">
        <f>VLOOKUP(B2474,airports!A:H,7,FALSE)</f>
        <v>37.361861939999997</v>
      </c>
      <c r="G2474" s="3">
        <f>VLOOKUP(B2474,airports!A:H,8,FALSE)</f>
        <v>-121.9290089</v>
      </c>
      <c r="H2474">
        <f t="shared" si="76"/>
        <v>3311.5</v>
      </c>
      <c r="I2474">
        <f t="shared" si="77"/>
        <v>2057.8000000000002</v>
      </c>
    </row>
    <row r="2475" spans="1:9" ht="30" x14ac:dyDescent="0.25">
      <c r="A2475" s="5" t="s">
        <v>50</v>
      </c>
      <c r="B2475" s="5" t="s">
        <v>134</v>
      </c>
      <c r="C2475" s="5" t="s">
        <v>2921</v>
      </c>
      <c r="D2475" s="3">
        <f>VLOOKUP(A2475,airports!A:H,7,FALSE)</f>
        <v>42.212058890000002</v>
      </c>
      <c r="E2475" s="3">
        <f>VLOOKUP(A2475,airports!A:H,8,FALSE)</f>
        <v>-83.348835829999999</v>
      </c>
      <c r="F2475" s="3">
        <f>VLOOKUP(B2475,airports!A:H,7,FALSE)</f>
        <v>18.43941667</v>
      </c>
      <c r="G2475" s="3">
        <f>VLOOKUP(B2475,airports!A:H,8,FALSE)</f>
        <v>-66.001833329999997</v>
      </c>
      <c r="H2475">
        <f t="shared" si="76"/>
        <v>3110.1</v>
      </c>
      <c r="I2475">
        <f t="shared" si="77"/>
        <v>1932.7</v>
      </c>
    </row>
    <row r="2476" spans="1:9" ht="30" x14ac:dyDescent="0.25">
      <c r="A2476" s="5" t="s">
        <v>50</v>
      </c>
      <c r="B2476" s="5" t="s">
        <v>135</v>
      </c>
      <c r="C2476" s="5" t="s">
        <v>2922</v>
      </c>
      <c r="D2476" s="3">
        <f>VLOOKUP(A2476,airports!A:H,7,FALSE)</f>
        <v>42.212058890000002</v>
      </c>
      <c r="E2476" s="3">
        <f>VLOOKUP(A2476,airports!A:H,8,FALSE)</f>
        <v>-83.348835829999999</v>
      </c>
      <c r="F2476" s="3">
        <f>VLOOKUP(B2476,airports!A:H,7,FALSE)</f>
        <v>40.788387780000001</v>
      </c>
      <c r="G2476" s="3">
        <f>VLOOKUP(B2476,airports!A:H,8,FALSE)</f>
        <v>-111.97777309999999</v>
      </c>
      <c r="H2476">
        <f t="shared" si="76"/>
        <v>2378.3000000000002</v>
      </c>
      <c r="I2476">
        <f t="shared" si="77"/>
        <v>1477.9</v>
      </c>
    </row>
    <row r="2477" spans="1:9" ht="30" x14ac:dyDescent="0.25">
      <c r="A2477" s="5" t="s">
        <v>50</v>
      </c>
      <c r="B2477" s="5" t="s">
        <v>137</v>
      </c>
      <c r="C2477" s="5" t="s">
        <v>2923</v>
      </c>
      <c r="D2477" s="3">
        <f>VLOOKUP(A2477,airports!A:H,7,FALSE)</f>
        <v>42.212058890000002</v>
      </c>
      <c r="E2477" s="3">
        <f>VLOOKUP(A2477,airports!A:H,8,FALSE)</f>
        <v>-83.348835829999999</v>
      </c>
      <c r="F2477" s="3">
        <f>VLOOKUP(B2477,airports!A:H,7,FALSE)</f>
        <v>38.695421670000002</v>
      </c>
      <c r="G2477" s="3">
        <f>VLOOKUP(B2477,airports!A:H,8,FALSE)</f>
        <v>-121.59076690000001</v>
      </c>
      <c r="H2477">
        <f t="shared" si="76"/>
        <v>3231.9</v>
      </c>
      <c r="I2477">
        <f t="shared" si="77"/>
        <v>2008.4</v>
      </c>
    </row>
    <row r="2478" spans="1:9" ht="30" x14ac:dyDescent="0.25">
      <c r="A2478" s="5" t="s">
        <v>50</v>
      </c>
      <c r="B2478" s="5" t="s">
        <v>227</v>
      </c>
      <c r="C2478" s="5" t="s">
        <v>2924</v>
      </c>
      <c r="D2478" s="3">
        <f>VLOOKUP(A2478,airports!A:H,7,FALSE)</f>
        <v>42.212058890000002</v>
      </c>
      <c r="E2478" s="3">
        <f>VLOOKUP(A2478,airports!A:H,8,FALSE)</f>
        <v>-83.348835829999999</v>
      </c>
      <c r="F2478" s="3">
        <f>VLOOKUP(B2478,airports!A:H,7,FALSE)</f>
        <v>33.675658609999999</v>
      </c>
      <c r="G2478" s="3">
        <f>VLOOKUP(B2478,airports!A:H,8,FALSE)</f>
        <v>-117.8682225</v>
      </c>
      <c r="H2478">
        <f t="shared" si="76"/>
        <v>3147.9</v>
      </c>
      <c r="I2478">
        <f t="shared" si="77"/>
        <v>1956.1</v>
      </c>
    </row>
    <row r="2479" spans="1:9" ht="30" x14ac:dyDescent="0.25">
      <c r="A2479" s="5" t="s">
        <v>50</v>
      </c>
      <c r="B2479" s="5" t="s">
        <v>138</v>
      </c>
      <c r="C2479" s="5" t="s">
        <v>2925</v>
      </c>
      <c r="D2479" s="3">
        <f>VLOOKUP(A2479,airports!A:H,7,FALSE)</f>
        <v>42.212058890000002</v>
      </c>
      <c r="E2479" s="3">
        <f>VLOOKUP(A2479,airports!A:H,8,FALSE)</f>
        <v>-83.348835829999999</v>
      </c>
      <c r="F2479" s="3">
        <f>VLOOKUP(B2479,airports!A:H,7,FALSE)</f>
        <v>27.39533333</v>
      </c>
      <c r="G2479" s="3">
        <f>VLOOKUP(B2479,airports!A:H,8,FALSE)</f>
        <v>-82.554111109999994</v>
      </c>
      <c r="H2479">
        <f t="shared" si="76"/>
        <v>1649.1</v>
      </c>
      <c r="I2479">
        <f t="shared" si="77"/>
        <v>1024.8</v>
      </c>
    </row>
    <row r="2480" spans="1:9" ht="30" x14ac:dyDescent="0.25">
      <c r="A2480" s="5" t="s">
        <v>50</v>
      </c>
      <c r="B2480" s="5" t="s">
        <v>644</v>
      </c>
      <c r="C2480" s="5" t="s">
        <v>2926</v>
      </c>
      <c r="D2480" s="3">
        <f>VLOOKUP(A2480,airports!A:H,7,FALSE)</f>
        <v>42.212058890000002</v>
      </c>
      <c r="E2480" s="3">
        <f>VLOOKUP(A2480,airports!A:H,8,FALSE)</f>
        <v>-83.348835829999999</v>
      </c>
      <c r="F2480" s="3">
        <f>VLOOKUP(B2480,airports!A:H,7,FALSE)</f>
        <v>38.747686940000001</v>
      </c>
      <c r="G2480" s="3">
        <f>VLOOKUP(B2480,airports!A:H,8,FALSE)</f>
        <v>-90.359989720000002</v>
      </c>
      <c r="H2480">
        <f t="shared" si="76"/>
        <v>706.8</v>
      </c>
      <c r="I2480">
        <f t="shared" si="77"/>
        <v>439.2</v>
      </c>
    </row>
    <row r="2481" spans="1:9" ht="30" x14ac:dyDescent="0.25">
      <c r="A2481" s="5" t="s">
        <v>50</v>
      </c>
      <c r="B2481" s="5" t="s">
        <v>142</v>
      </c>
      <c r="C2481" s="5" t="s">
        <v>2927</v>
      </c>
      <c r="D2481" s="3">
        <f>VLOOKUP(A2481,airports!A:H,7,FALSE)</f>
        <v>42.212058890000002</v>
      </c>
      <c r="E2481" s="3">
        <f>VLOOKUP(A2481,airports!A:H,8,FALSE)</f>
        <v>-83.348835829999999</v>
      </c>
      <c r="F2481" s="3">
        <f>VLOOKUP(B2481,airports!A:H,7,FALSE)</f>
        <v>41.504093609999998</v>
      </c>
      <c r="G2481" s="3">
        <f>VLOOKUP(B2481,airports!A:H,8,FALSE)</f>
        <v>-74.104838330000007</v>
      </c>
      <c r="H2481">
        <f t="shared" si="76"/>
        <v>769.2</v>
      </c>
      <c r="I2481">
        <f t="shared" si="77"/>
        <v>478</v>
      </c>
    </row>
    <row r="2482" spans="1:9" ht="30" x14ac:dyDescent="0.25">
      <c r="A2482" s="5" t="s">
        <v>50</v>
      </c>
      <c r="B2482" s="5" t="s">
        <v>144</v>
      </c>
      <c r="C2482" s="5" t="s">
        <v>2928</v>
      </c>
      <c r="D2482" s="3">
        <f>VLOOKUP(A2482,airports!A:H,7,FALSE)</f>
        <v>42.212058890000002</v>
      </c>
      <c r="E2482" s="3">
        <f>VLOOKUP(A2482,airports!A:H,8,FALSE)</f>
        <v>-83.348835829999999</v>
      </c>
      <c r="F2482" s="3">
        <f>VLOOKUP(B2482,airports!A:H,7,FALSE)</f>
        <v>43.111186940000003</v>
      </c>
      <c r="G2482" s="3">
        <f>VLOOKUP(B2482,airports!A:H,8,FALSE)</f>
        <v>-76.106310559999997</v>
      </c>
      <c r="H2482">
        <f t="shared" si="76"/>
        <v>600.4</v>
      </c>
      <c r="I2482">
        <f t="shared" si="77"/>
        <v>373.1</v>
      </c>
    </row>
    <row r="2483" spans="1:9" ht="30" x14ac:dyDescent="0.25">
      <c r="A2483" s="5" t="s">
        <v>50</v>
      </c>
      <c r="B2483" s="5" t="s">
        <v>145</v>
      </c>
      <c r="C2483" s="5" t="s">
        <v>2929</v>
      </c>
      <c r="D2483" s="3">
        <f>VLOOKUP(A2483,airports!A:H,7,FALSE)</f>
        <v>42.212058890000002</v>
      </c>
      <c r="E2483" s="3">
        <f>VLOOKUP(A2483,airports!A:H,8,FALSE)</f>
        <v>-83.348835829999999</v>
      </c>
      <c r="F2483" s="3">
        <f>VLOOKUP(B2483,airports!A:H,7,FALSE)</f>
        <v>27.97547222</v>
      </c>
      <c r="G2483" s="3">
        <f>VLOOKUP(B2483,airports!A:H,8,FALSE)</f>
        <v>-82.533249999999995</v>
      </c>
      <c r="H2483">
        <f t="shared" si="76"/>
        <v>1584.8</v>
      </c>
      <c r="I2483">
        <f t="shared" si="77"/>
        <v>984.8</v>
      </c>
    </row>
    <row r="2484" spans="1:9" ht="30" x14ac:dyDescent="0.25">
      <c r="A2484" s="5" t="s">
        <v>50</v>
      </c>
      <c r="B2484" s="5" t="s">
        <v>656</v>
      </c>
      <c r="C2484" s="5" t="s">
        <v>2930</v>
      </c>
      <c r="D2484" s="3">
        <f>VLOOKUP(A2484,airports!A:H,7,FALSE)</f>
        <v>42.212058890000002</v>
      </c>
      <c r="E2484" s="3">
        <f>VLOOKUP(A2484,airports!A:H,8,FALSE)</f>
        <v>-83.348835829999999</v>
      </c>
      <c r="F2484" s="3">
        <f>VLOOKUP(B2484,airports!A:H,7,FALSE)</f>
        <v>40.276691110000002</v>
      </c>
      <c r="G2484" s="3">
        <f>VLOOKUP(B2484,airports!A:H,8,FALSE)</f>
        <v>-74.813468330000006</v>
      </c>
      <c r="H2484">
        <f t="shared" si="76"/>
        <v>745</v>
      </c>
      <c r="I2484">
        <f t="shared" si="77"/>
        <v>462.9</v>
      </c>
    </row>
    <row r="2485" spans="1:9" ht="30" x14ac:dyDescent="0.25">
      <c r="A2485" s="5" t="s">
        <v>50</v>
      </c>
      <c r="B2485" s="5" t="s">
        <v>658</v>
      </c>
      <c r="C2485" s="5" t="s">
        <v>2931</v>
      </c>
      <c r="D2485" s="3">
        <f>VLOOKUP(A2485,airports!A:H,7,FALSE)</f>
        <v>42.212058890000002</v>
      </c>
      <c r="E2485" s="3">
        <f>VLOOKUP(A2485,airports!A:H,8,FALSE)</f>
        <v>-83.348835829999999</v>
      </c>
      <c r="F2485" s="3">
        <f>VLOOKUP(B2485,airports!A:H,7,FALSE)</f>
        <v>36.198372220000003</v>
      </c>
      <c r="G2485" s="3">
        <f>VLOOKUP(B2485,airports!A:H,8,FALSE)</f>
        <v>-95.888241669999999</v>
      </c>
      <c r="H2485">
        <f t="shared" si="76"/>
        <v>1268.5999999999999</v>
      </c>
      <c r="I2485">
        <f t="shared" si="77"/>
        <v>788.3</v>
      </c>
    </row>
    <row r="2486" spans="1:9" ht="30" x14ac:dyDescent="0.25">
      <c r="A2486" s="5" t="s">
        <v>50</v>
      </c>
      <c r="B2486" s="5" t="s">
        <v>660</v>
      </c>
      <c r="C2486" s="5" t="s">
        <v>2932</v>
      </c>
      <c r="D2486" s="3">
        <f>VLOOKUP(A2486,airports!A:H,7,FALSE)</f>
        <v>42.212058890000002</v>
      </c>
      <c r="E2486" s="3">
        <f>VLOOKUP(A2486,airports!A:H,8,FALSE)</f>
        <v>-83.348835829999999</v>
      </c>
      <c r="F2486" s="3">
        <f>VLOOKUP(B2486,airports!A:H,7,FALSE)</f>
        <v>32.116083330000002</v>
      </c>
      <c r="G2486" s="3">
        <f>VLOOKUP(B2486,airports!A:H,8,FALSE)</f>
        <v>-110.9410278</v>
      </c>
      <c r="H2486">
        <f t="shared" si="76"/>
        <v>2674.6</v>
      </c>
      <c r="I2486">
        <f t="shared" si="77"/>
        <v>1662</v>
      </c>
    </row>
    <row r="2487" spans="1:9" ht="30" x14ac:dyDescent="0.25">
      <c r="A2487" s="5" t="s">
        <v>50</v>
      </c>
      <c r="B2487" s="5" t="s">
        <v>662</v>
      </c>
      <c r="C2487" s="5" t="s">
        <v>2933</v>
      </c>
      <c r="D2487" s="3">
        <f>VLOOKUP(A2487,airports!A:H,7,FALSE)</f>
        <v>42.212058890000002</v>
      </c>
      <c r="E2487" s="3">
        <f>VLOOKUP(A2487,airports!A:H,8,FALSE)</f>
        <v>-83.348835829999999</v>
      </c>
      <c r="F2487" s="3">
        <f>VLOOKUP(B2487,airports!A:H,7,FALSE)</f>
        <v>44.741444719999997</v>
      </c>
      <c r="G2487" s="3">
        <f>VLOOKUP(B2487,airports!A:H,8,FALSE)</f>
        <v>-85.582234999999997</v>
      </c>
      <c r="H2487">
        <f t="shared" si="76"/>
        <v>334</v>
      </c>
      <c r="I2487">
        <f t="shared" si="77"/>
        <v>207.6</v>
      </c>
    </row>
    <row r="2488" spans="1:9" ht="30" x14ac:dyDescent="0.25">
      <c r="A2488" s="5" t="s">
        <v>50</v>
      </c>
      <c r="B2488" s="5" t="s">
        <v>664</v>
      </c>
      <c r="C2488" s="5" t="s">
        <v>2934</v>
      </c>
      <c r="D2488" s="3">
        <f>VLOOKUP(A2488,airports!A:H,7,FALSE)</f>
        <v>42.212058890000002</v>
      </c>
      <c r="E2488" s="3">
        <f>VLOOKUP(A2488,airports!A:H,8,FALSE)</f>
        <v>-83.348835829999999</v>
      </c>
      <c r="F2488" s="3">
        <f>VLOOKUP(B2488,airports!A:H,7,FALSE)</f>
        <v>35.812487220000001</v>
      </c>
      <c r="G2488" s="3">
        <f>VLOOKUP(B2488,airports!A:H,8,FALSE)</f>
        <v>-83.992855829999996</v>
      </c>
      <c r="H2488">
        <f t="shared" si="76"/>
        <v>713.8</v>
      </c>
      <c r="I2488">
        <f t="shared" si="77"/>
        <v>443.5</v>
      </c>
    </row>
    <row r="2489" spans="1:9" ht="30" x14ac:dyDescent="0.25">
      <c r="A2489" s="5" t="s">
        <v>355</v>
      </c>
      <c r="B2489" s="5" t="s">
        <v>265</v>
      </c>
      <c r="C2489" s="5" t="s">
        <v>2935</v>
      </c>
      <c r="D2489" s="3">
        <f>VLOOKUP(A2489,airports!A:H,7,FALSE)</f>
        <v>53.898809999999997</v>
      </c>
      <c r="E2489" s="3">
        <f>VLOOKUP(A2489,airports!A:H,8,FALSE)</f>
        <v>-166.544996</v>
      </c>
      <c r="F2489" s="3">
        <f>VLOOKUP(B2489,airports!A:H,7,FALSE)</f>
        <v>61.174320280000003</v>
      </c>
      <c r="G2489" s="3">
        <f>VLOOKUP(B2489,airports!A:H,8,FALSE)</f>
        <v>-149.99618559999999</v>
      </c>
      <c r="H2489">
        <f t="shared" si="76"/>
        <v>1270.5</v>
      </c>
      <c r="I2489">
        <f t="shared" si="77"/>
        <v>789.5</v>
      </c>
    </row>
    <row r="2490" spans="1:9" ht="30" x14ac:dyDescent="0.25">
      <c r="A2490" s="5" t="s">
        <v>2354</v>
      </c>
      <c r="B2490" s="5" t="s">
        <v>47</v>
      </c>
      <c r="C2490" s="5" t="s">
        <v>2936</v>
      </c>
      <c r="D2490" s="3">
        <f>VLOOKUP(A2490,airports!A:H,7,FALSE)</f>
        <v>48.114245279999999</v>
      </c>
      <c r="E2490" s="3">
        <f>VLOOKUP(A2490,airports!A:H,8,FALSE)</f>
        <v>-98.908778330000004</v>
      </c>
      <c r="F2490" s="3">
        <f>VLOOKUP(B2490,airports!A:H,7,FALSE)</f>
        <v>39.858408060000002</v>
      </c>
      <c r="G2490" s="3">
        <f>VLOOKUP(B2490,airports!A:H,8,FALSE)</f>
        <v>-104.6670019</v>
      </c>
      <c r="H2490">
        <f t="shared" si="76"/>
        <v>1026.4000000000001</v>
      </c>
      <c r="I2490">
        <f t="shared" si="77"/>
        <v>637.79999999999995</v>
      </c>
    </row>
    <row r="2491" spans="1:9" ht="30" x14ac:dyDescent="0.25">
      <c r="A2491" s="5" t="s">
        <v>2354</v>
      </c>
      <c r="B2491" s="5" t="s">
        <v>2409</v>
      </c>
      <c r="C2491" s="5" t="s">
        <v>2937</v>
      </c>
      <c r="D2491" s="3">
        <f>VLOOKUP(A2491,airports!A:H,7,FALSE)</f>
        <v>48.114245279999999</v>
      </c>
      <c r="E2491" s="3">
        <f>VLOOKUP(A2491,airports!A:H,8,FALSE)</f>
        <v>-98.908778330000004</v>
      </c>
      <c r="F2491" s="3">
        <f>VLOOKUP(B2491,airports!A:H,7,FALSE)</f>
        <v>46.92971944</v>
      </c>
      <c r="G2491" s="3">
        <f>VLOOKUP(B2491,airports!A:H,8,FALSE)</f>
        <v>-98.678195279999997</v>
      </c>
      <c r="H2491">
        <f t="shared" si="76"/>
        <v>132.80000000000001</v>
      </c>
      <c r="I2491">
        <f t="shared" si="77"/>
        <v>82.6</v>
      </c>
    </row>
    <row r="2492" spans="1:9" ht="30" x14ac:dyDescent="0.25">
      <c r="A2492" s="5" t="s">
        <v>2356</v>
      </c>
      <c r="B2492" s="5" t="s">
        <v>47</v>
      </c>
      <c r="C2492" s="5" t="s">
        <v>2938</v>
      </c>
      <c r="D2492" s="3">
        <f>VLOOKUP(A2492,airports!A:H,7,FALSE)</f>
        <v>40.727001000000001</v>
      </c>
      <c r="E2492" s="3">
        <f>VLOOKUP(A2492,airports!A:H,8,FALSE)</f>
        <v>-99.006798000000003</v>
      </c>
      <c r="F2492" s="3">
        <f>VLOOKUP(B2492,airports!A:H,7,FALSE)</f>
        <v>39.858408060000002</v>
      </c>
      <c r="G2492" s="3">
        <f>VLOOKUP(B2492,airports!A:H,8,FALSE)</f>
        <v>-104.6670019</v>
      </c>
      <c r="H2492">
        <f t="shared" si="76"/>
        <v>489.6</v>
      </c>
      <c r="I2492">
        <f t="shared" si="77"/>
        <v>304.2</v>
      </c>
    </row>
    <row r="2493" spans="1:9" x14ac:dyDescent="0.25">
      <c r="A2493" s="5" t="s">
        <v>2356</v>
      </c>
      <c r="B2493" s="5" t="s">
        <v>960</v>
      </c>
      <c r="C2493" s="5" t="s">
        <v>2939</v>
      </c>
      <c r="D2493" s="3">
        <f>VLOOKUP(A2493,airports!A:H,7,FALSE)</f>
        <v>40.727001000000001</v>
      </c>
      <c r="E2493" s="3">
        <f>VLOOKUP(A2493,airports!A:H,8,FALSE)</f>
        <v>-99.006798000000003</v>
      </c>
      <c r="F2493" s="3">
        <f>VLOOKUP(B2493,airports!A:H,7,FALSE)</f>
        <v>41.1327</v>
      </c>
      <c r="G2493" s="3">
        <f>VLOOKUP(B2493,airports!A:H,8,FALSE)</f>
        <v>-100.69799999999999</v>
      </c>
      <c r="H2493">
        <f t="shared" si="76"/>
        <v>149.1</v>
      </c>
      <c r="I2493">
        <f t="shared" si="77"/>
        <v>92.6</v>
      </c>
    </row>
    <row r="2494" spans="1:9" ht="30" x14ac:dyDescent="0.25">
      <c r="A2494" s="5" t="s">
        <v>2356</v>
      </c>
      <c r="B2494" s="5" t="s">
        <v>95</v>
      </c>
      <c r="C2494" s="5" t="s">
        <v>2940</v>
      </c>
      <c r="D2494" s="3">
        <f>VLOOKUP(A2494,airports!A:H,7,FALSE)</f>
        <v>40.727001000000001</v>
      </c>
      <c r="E2494" s="3">
        <f>VLOOKUP(A2494,airports!A:H,8,FALSE)</f>
        <v>-99.006798000000003</v>
      </c>
      <c r="F2494" s="3">
        <f>VLOOKUP(B2494,airports!A:H,7,FALSE)</f>
        <v>41.979595000000003</v>
      </c>
      <c r="G2494" s="3">
        <f>VLOOKUP(B2494,airports!A:H,8,FALSE)</f>
        <v>-87.904464169999997</v>
      </c>
      <c r="H2494">
        <f t="shared" si="76"/>
        <v>936.4</v>
      </c>
      <c r="I2494">
        <f t="shared" si="77"/>
        <v>581.9</v>
      </c>
    </row>
    <row r="2495" spans="1:9" x14ac:dyDescent="0.25">
      <c r="A2495" s="5" t="s">
        <v>2941</v>
      </c>
      <c r="B2495" s="5" t="s">
        <v>128</v>
      </c>
      <c r="C2495" s="5" t="s">
        <v>2942</v>
      </c>
      <c r="D2495" s="3">
        <f>VLOOKUP(A2495,airports!A:H,7,FALSE)</f>
        <v>47.398899999999998</v>
      </c>
      <c r="E2495" s="3">
        <f>VLOOKUP(A2495,airports!A:H,8,FALSE)</f>
        <v>-120.20699999999999</v>
      </c>
      <c r="F2495" s="3">
        <f>VLOOKUP(B2495,airports!A:H,7,FALSE)</f>
        <v>47.448981940000003</v>
      </c>
      <c r="G2495" s="3">
        <f>VLOOKUP(B2495,airports!A:H,8,FALSE)</f>
        <v>-122.3093131</v>
      </c>
      <c r="H2495">
        <f t="shared" si="76"/>
        <v>158.30000000000001</v>
      </c>
      <c r="I2495">
        <f t="shared" si="77"/>
        <v>98.3</v>
      </c>
    </row>
    <row r="2496" spans="1:9" ht="30" x14ac:dyDescent="0.25">
      <c r="A2496" s="5" t="s">
        <v>2941</v>
      </c>
      <c r="B2496" s="5" t="s">
        <v>2943</v>
      </c>
      <c r="C2496" s="5" t="s">
        <v>2944</v>
      </c>
      <c r="D2496" s="3">
        <f>VLOOKUP(A2496,airports!A:H,7,FALSE)</f>
        <v>47.398899999999998</v>
      </c>
      <c r="E2496" s="3">
        <f>VLOOKUP(A2496,airports!A:H,8,FALSE)</f>
        <v>-120.20699999999999</v>
      </c>
      <c r="F2496" s="3">
        <f>VLOOKUP(B2496,airports!A:H,7,FALSE)</f>
        <v>46.568199159999999</v>
      </c>
      <c r="G2496" s="3">
        <f>VLOOKUP(B2496,airports!A:H,8,FALSE)</f>
        <v>-120.5439987</v>
      </c>
      <c r="H2496">
        <f t="shared" si="76"/>
        <v>95.8</v>
      </c>
      <c r="I2496">
        <f t="shared" si="77"/>
        <v>59.6</v>
      </c>
    </row>
    <row r="2497" spans="1:9" ht="30" x14ac:dyDescent="0.25">
      <c r="A2497" s="5" t="s">
        <v>1946</v>
      </c>
      <c r="B2497" s="5" t="s">
        <v>1943</v>
      </c>
      <c r="C2497" s="5" t="s">
        <v>2945</v>
      </c>
      <c r="D2497" s="3">
        <f>VLOOKUP(A2497,airports!A:H,7,FALSE)</f>
        <v>44.865257219999997</v>
      </c>
      <c r="E2497" s="3">
        <f>VLOOKUP(A2497,airports!A:H,8,FALSE)</f>
        <v>-91.485071939999997</v>
      </c>
      <c r="F2497" s="3">
        <f>VLOOKUP(B2497,airports!A:H,7,FALSE)</f>
        <v>47.168417220000002</v>
      </c>
      <c r="G2497" s="3">
        <f>VLOOKUP(B2497,airports!A:H,8,FALSE)</f>
        <v>-88.48906083</v>
      </c>
      <c r="H2497">
        <f t="shared" si="76"/>
        <v>345.1</v>
      </c>
      <c r="I2497">
        <f t="shared" si="77"/>
        <v>214.4</v>
      </c>
    </row>
    <row r="2498" spans="1:9" ht="30" x14ac:dyDescent="0.25">
      <c r="A2498" s="5" t="s">
        <v>1946</v>
      </c>
      <c r="B2498" s="5" t="s">
        <v>95</v>
      </c>
      <c r="C2498" s="5" t="s">
        <v>2946</v>
      </c>
      <c r="D2498" s="3">
        <f>VLOOKUP(A2498,airports!A:H,7,FALSE)</f>
        <v>44.865257219999997</v>
      </c>
      <c r="E2498" s="3">
        <f>VLOOKUP(A2498,airports!A:H,8,FALSE)</f>
        <v>-91.485071939999997</v>
      </c>
      <c r="F2498" s="3">
        <f>VLOOKUP(B2498,airports!A:H,7,FALSE)</f>
        <v>41.979595000000003</v>
      </c>
      <c r="G2498" s="3">
        <f>VLOOKUP(B2498,airports!A:H,8,FALSE)</f>
        <v>-87.904464169999997</v>
      </c>
      <c r="H2498">
        <f t="shared" si="76"/>
        <v>431.9</v>
      </c>
      <c r="I2498">
        <f t="shared" si="77"/>
        <v>268.39999999999998</v>
      </c>
    </row>
    <row r="2499" spans="1:9" x14ac:dyDescent="0.25">
      <c r="A2499" s="5" t="s">
        <v>477</v>
      </c>
      <c r="B2499" s="5" t="s">
        <v>10</v>
      </c>
      <c r="C2499" s="5" t="s">
        <v>2947</v>
      </c>
      <c r="D2499" s="3">
        <f>VLOOKUP(A2499,airports!A:H,7,FALSE)</f>
        <v>30.357106000000002</v>
      </c>
      <c r="E2499" s="3">
        <f>VLOOKUP(A2499,airports!A:H,8,FALSE)</f>
        <v>-85.795413999999994</v>
      </c>
      <c r="F2499" s="3">
        <f>VLOOKUP(B2499,airports!A:H,7,FALSE)</f>
        <v>33.640444440000003</v>
      </c>
      <c r="G2499" s="3">
        <f>VLOOKUP(B2499,airports!A:H,8,FALSE)</f>
        <v>-84.42694444</v>
      </c>
      <c r="H2499">
        <f t="shared" si="76"/>
        <v>387.2</v>
      </c>
      <c r="I2499">
        <f t="shared" si="77"/>
        <v>240.6</v>
      </c>
    </row>
    <row r="2500" spans="1:9" ht="30" x14ac:dyDescent="0.25">
      <c r="A2500" s="5" t="s">
        <v>477</v>
      </c>
      <c r="B2500" s="5" t="s">
        <v>13</v>
      </c>
      <c r="C2500" s="5" t="s">
        <v>2948</v>
      </c>
      <c r="D2500" s="3">
        <f>VLOOKUP(A2500,airports!A:H,7,FALSE)</f>
        <v>30.357106000000002</v>
      </c>
      <c r="E2500" s="3">
        <f>VLOOKUP(A2500,airports!A:H,8,FALSE)</f>
        <v>-85.795413999999994</v>
      </c>
      <c r="F2500" s="3">
        <f>VLOOKUP(B2500,airports!A:H,7,FALSE)</f>
        <v>30.194532779999999</v>
      </c>
      <c r="G2500" s="3">
        <f>VLOOKUP(B2500,airports!A:H,8,FALSE)</f>
        <v>-97.669871939999993</v>
      </c>
      <c r="H2500">
        <f t="shared" ref="H2500:H2563" si="78">ROUND(ACOS(COS(RADIANS(90-D2500)) * COS(RADIANS(90-F2500)) + SIN(RADIANS(90-D2500)) * SIN(RADIANS(90-F2500)) * COS(RADIANS(E2500-G2500))) * 6371,1)</f>
        <v>1139.9000000000001</v>
      </c>
      <c r="I2500">
        <f t="shared" ref="I2500:I2563" si="79">ROUND(ACOS(COS(RADIANS(90-D2500)) * COS(RADIANS(90-F2500)) + SIN(RADIANS(90-D2500)) * SIN(RADIANS(90-F2500)) * COS(RADIANS(E2500-G2500))) * 3959,1)</f>
        <v>708.4</v>
      </c>
    </row>
    <row r="2501" spans="1:9" ht="30" x14ac:dyDescent="0.25">
      <c r="A2501" s="5" t="s">
        <v>477</v>
      </c>
      <c r="B2501" s="5" t="s">
        <v>19</v>
      </c>
      <c r="C2501" s="5" t="s">
        <v>2949</v>
      </c>
      <c r="D2501" s="3">
        <f>VLOOKUP(A2501,airports!A:H,7,FALSE)</f>
        <v>30.357106000000002</v>
      </c>
      <c r="E2501" s="3">
        <f>VLOOKUP(A2501,airports!A:H,8,FALSE)</f>
        <v>-85.795413999999994</v>
      </c>
      <c r="F2501" s="3">
        <f>VLOOKUP(B2501,airports!A:H,7,FALSE)</f>
        <v>36.12447667</v>
      </c>
      <c r="G2501" s="3">
        <f>VLOOKUP(B2501,airports!A:H,8,FALSE)</f>
        <v>-86.678182219999997</v>
      </c>
      <c r="H2501">
        <f t="shared" si="78"/>
        <v>646.5</v>
      </c>
      <c r="I2501">
        <f t="shared" si="79"/>
        <v>401.8</v>
      </c>
    </row>
    <row r="2502" spans="1:9" ht="30" x14ac:dyDescent="0.25">
      <c r="A2502" s="5" t="s">
        <v>477</v>
      </c>
      <c r="B2502" s="5" t="s">
        <v>32</v>
      </c>
      <c r="C2502" s="5" t="s">
        <v>2950</v>
      </c>
      <c r="D2502" s="3">
        <f>VLOOKUP(A2502,airports!A:H,7,FALSE)</f>
        <v>30.357106000000002</v>
      </c>
      <c r="E2502" s="3">
        <f>VLOOKUP(A2502,airports!A:H,8,FALSE)</f>
        <v>-85.795413999999994</v>
      </c>
      <c r="F2502" s="3">
        <f>VLOOKUP(B2502,airports!A:H,7,FALSE)</f>
        <v>39.175401669999999</v>
      </c>
      <c r="G2502" s="3">
        <f>VLOOKUP(B2502,airports!A:H,8,FALSE)</f>
        <v>-76.668198329999996</v>
      </c>
      <c r="H2502">
        <f t="shared" si="78"/>
        <v>1285.5999999999999</v>
      </c>
      <c r="I2502">
        <f t="shared" si="79"/>
        <v>798.9</v>
      </c>
    </row>
    <row r="2503" spans="1:9" x14ac:dyDescent="0.25">
      <c r="A2503" s="5" t="s">
        <v>477</v>
      </c>
      <c r="B2503" s="5" t="s">
        <v>40</v>
      </c>
      <c r="C2503" s="5" t="s">
        <v>2951</v>
      </c>
      <c r="D2503" s="3">
        <f>VLOOKUP(A2503,airports!A:H,7,FALSE)</f>
        <v>30.357106000000002</v>
      </c>
      <c r="E2503" s="3">
        <f>VLOOKUP(A2503,airports!A:H,8,FALSE)</f>
        <v>-85.795413999999994</v>
      </c>
      <c r="F2503" s="3">
        <f>VLOOKUP(B2503,airports!A:H,7,FALSE)</f>
        <v>35.214011110000001</v>
      </c>
      <c r="G2503" s="3">
        <f>VLOOKUP(B2503,airports!A:H,8,FALSE)</f>
        <v>-80.94312583</v>
      </c>
      <c r="H2503">
        <f t="shared" si="78"/>
        <v>705.1</v>
      </c>
      <c r="I2503">
        <f t="shared" si="79"/>
        <v>438.1</v>
      </c>
    </row>
    <row r="2504" spans="1:9" ht="30" x14ac:dyDescent="0.25">
      <c r="A2504" s="5" t="s">
        <v>477</v>
      </c>
      <c r="B2504" s="5" t="s">
        <v>454</v>
      </c>
      <c r="C2504" s="5" t="s">
        <v>2952</v>
      </c>
      <c r="D2504" s="3">
        <f>VLOOKUP(A2504,airports!A:H,7,FALSE)</f>
        <v>30.357106000000002</v>
      </c>
      <c r="E2504" s="3">
        <f>VLOOKUP(A2504,airports!A:H,8,FALSE)</f>
        <v>-85.795413999999994</v>
      </c>
      <c r="F2504" s="3">
        <f>VLOOKUP(B2504,airports!A:H,7,FALSE)</f>
        <v>39.997985280000002</v>
      </c>
      <c r="G2504" s="3">
        <f>VLOOKUP(B2504,airports!A:H,8,FALSE)</f>
        <v>-82.891882780000003</v>
      </c>
      <c r="H2504">
        <f t="shared" si="78"/>
        <v>1103.8</v>
      </c>
      <c r="I2504">
        <f t="shared" si="79"/>
        <v>685.9</v>
      </c>
    </row>
    <row r="2505" spans="1:9" ht="30" x14ac:dyDescent="0.25">
      <c r="A2505" s="5" t="s">
        <v>477</v>
      </c>
      <c r="B2505" s="5" t="s">
        <v>201</v>
      </c>
      <c r="C2505" s="5" t="s">
        <v>2953</v>
      </c>
      <c r="D2505" s="3">
        <f>VLOOKUP(A2505,airports!A:H,7,FALSE)</f>
        <v>30.357106000000002</v>
      </c>
      <c r="E2505" s="3">
        <f>VLOOKUP(A2505,airports!A:H,8,FALSE)</f>
        <v>-85.795413999999994</v>
      </c>
      <c r="F2505" s="3">
        <f>VLOOKUP(B2505,airports!A:H,7,FALSE)</f>
        <v>32.847113890000003</v>
      </c>
      <c r="G2505" s="3">
        <f>VLOOKUP(B2505,airports!A:H,8,FALSE)</f>
        <v>-96.851772220000001</v>
      </c>
      <c r="H2505">
        <f t="shared" si="78"/>
        <v>1082.5</v>
      </c>
      <c r="I2505">
        <f t="shared" si="79"/>
        <v>672.7</v>
      </c>
    </row>
    <row r="2506" spans="1:9" ht="30" x14ac:dyDescent="0.25">
      <c r="A2506" s="5" t="s">
        <v>477</v>
      </c>
      <c r="B2506" s="5" t="s">
        <v>45</v>
      </c>
      <c r="C2506" s="5" t="s">
        <v>2954</v>
      </c>
      <c r="D2506" s="3">
        <f>VLOOKUP(A2506,airports!A:H,7,FALSE)</f>
        <v>30.357106000000002</v>
      </c>
      <c r="E2506" s="3">
        <f>VLOOKUP(A2506,airports!A:H,8,FALSE)</f>
        <v>-85.795413999999994</v>
      </c>
      <c r="F2506" s="3">
        <f>VLOOKUP(B2506,airports!A:H,7,FALSE)</f>
        <v>38.852083329999999</v>
      </c>
      <c r="G2506" s="3">
        <f>VLOOKUP(B2506,airports!A:H,8,FALSE)</f>
        <v>-77.037722220000006</v>
      </c>
      <c r="H2506">
        <f t="shared" si="78"/>
        <v>1237.5</v>
      </c>
      <c r="I2506">
        <f t="shared" si="79"/>
        <v>769</v>
      </c>
    </row>
    <row r="2507" spans="1:9" ht="30" x14ac:dyDescent="0.25">
      <c r="A2507" s="5" t="s">
        <v>477</v>
      </c>
      <c r="B2507" s="5" t="s">
        <v>47</v>
      </c>
      <c r="C2507" s="5" t="s">
        <v>2955</v>
      </c>
      <c r="D2507" s="3">
        <f>VLOOKUP(A2507,airports!A:H,7,FALSE)</f>
        <v>30.357106000000002</v>
      </c>
      <c r="E2507" s="3">
        <f>VLOOKUP(A2507,airports!A:H,8,FALSE)</f>
        <v>-85.795413999999994</v>
      </c>
      <c r="F2507" s="3">
        <f>VLOOKUP(B2507,airports!A:H,7,FALSE)</f>
        <v>39.858408060000002</v>
      </c>
      <c r="G2507" s="3">
        <f>VLOOKUP(B2507,airports!A:H,8,FALSE)</f>
        <v>-104.6670019</v>
      </c>
      <c r="H2507">
        <f t="shared" si="78"/>
        <v>2009.3</v>
      </c>
      <c r="I2507">
        <f t="shared" si="79"/>
        <v>1248.5999999999999</v>
      </c>
    </row>
    <row r="2508" spans="1:9" ht="30" x14ac:dyDescent="0.25">
      <c r="A2508" s="5" t="s">
        <v>477</v>
      </c>
      <c r="B2508" s="5" t="s">
        <v>49</v>
      </c>
      <c r="C2508" s="5" t="s">
        <v>2956</v>
      </c>
      <c r="D2508" s="3">
        <f>VLOOKUP(A2508,airports!A:H,7,FALSE)</f>
        <v>30.357106000000002</v>
      </c>
      <c r="E2508" s="3">
        <f>VLOOKUP(A2508,airports!A:H,8,FALSE)</f>
        <v>-85.795413999999994</v>
      </c>
      <c r="F2508" s="3">
        <f>VLOOKUP(B2508,airports!A:H,7,FALSE)</f>
        <v>32.895950560000003</v>
      </c>
      <c r="G2508" s="3">
        <f>VLOOKUP(B2508,airports!A:H,8,FALSE)</f>
        <v>-97.037199999999999</v>
      </c>
      <c r="H2508">
        <f t="shared" si="78"/>
        <v>1100.5</v>
      </c>
      <c r="I2508">
        <f t="shared" si="79"/>
        <v>683.9</v>
      </c>
    </row>
    <row r="2509" spans="1:9" ht="30" x14ac:dyDescent="0.25">
      <c r="A2509" s="5" t="s">
        <v>477</v>
      </c>
      <c r="B2509" s="5" t="s">
        <v>205</v>
      </c>
      <c r="C2509" s="5" t="s">
        <v>2957</v>
      </c>
      <c r="D2509" s="3">
        <f>VLOOKUP(A2509,airports!A:H,7,FALSE)</f>
        <v>30.357106000000002</v>
      </c>
      <c r="E2509" s="3">
        <f>VLOOKUP(A2509,airports!A:H,8,FALSE)</f>
        <v>-85.795413999999994</v>
      </c>
      <c r="F2509" s="3">
        <f>VLOOKUP(B2509,airports!A:H,7,FALSE)</f>
        <v>29.64541861</v>
      </c>
      <c r="G2509" s="3">
        <f>VLOOKUP(B2509,airports!A:H,8,FALSE)</f>
        <v>-95.278888890000005</v>
      </c>
      <c r="H2509">
        <f t="shared" si="78"/>
        <v>916.4</v>
      </c>
      <c r="I2509">
        <f t="shared" si="79"/>
        <v>569.4</v>
      </c>
    </row>
    <row r="2510" spans="1:9" x14ac:dyDescent="0.25">
      <c r="A2510" s="5" t="s">
        <v>477</v>
      </c>
      <c r="B2510" s="5" t="s">
        <v>176</v>
      </c>
      <c r="C2510" s="5" t="s">
        <v>2958</v>
      </c>
      <c r="D2510" s="3">
        <f>VLOOKUP(A2510,airports!A:H,7,FALSE)</f>
        <v>30.357106000000002</v>
      </c>
      <c r="E2510" s="3">
        <f>VLOOKUP(A2510,airports!A:H,8,FALSE)</f>
        <v>-85.795413999999994</v>
      </c>
      <c r="F2510" s="3">
        <f>VLOOKUP(B2510,airports!A:H,7,FALSE)</f>
        <v>38.944531939999997</v>
      </c>
      <c r="G2510" s="3">
        <f>VLOOKUP(B2510,airports!A:H,8,FALSE)</f>
        <v>-77.455809720000005</v>
      </c>
      <c r="H2510">
        <f t="shared" si="78"/>
        <v>1221</v>
      </c>
      <c r="I2510">
        <f t="shared" si="79"/>
        <v>758.7</v>
      </c>
    </row>
    <row r="2511" spans="1:9" x14ac:dyDescent="0.25">
      <c r="A2511" s="5" t="s">
        <v>477</v>
      </c>
      <c r="B2511" s="5" t="s">
        <v>67</v>
      </c>
      <c r="C2511" s="5" t="s">
        <v>2959</v>
      </c>
      <c r="D2511" s="3">
        <f>VLOOKUP(A2511,airports!A:H,7,FALSE)</f>
        <v>30.357106000000002</v>
      </c>
      <c r="E2511" s="3">
        <f>VLOOKUP(A2511,airports!A:H,8,FALSE)</f>
        <v>-85.795413999999994</v>
      </c>
      <c r="F2511" s="3">
        <f>VLOOKUP(B2511,airports!A:H,7,FALSE)</f>
        <v>29.980472219999999</v>
      </c>
      <c r="G2511" s="3">
        <f>VLOOKUP(B2511,airports!A:H,8,FALSE)</f>
        <v>-95.339722219999999</v>
      </c>
      <c r="H2511">
        <f t="shared" si="78"/>
        <v>918.2</v>
      </c>
      <c r="I2511">
        <f t="shared" si="79"/>
        <v>570.6</v>
      </c>
    </row>
    <row r="2512" spans="1:9" x14ac:dyDescent="0.25">
      <c r="A2512" s="5" t="s">
        <v>477</v>
      </c>
      <c r="B2512" s="5" t="s">
        <v>537</v>
      </c>
      <c r="C2512" s="5" t="s">
        <v>2960</v>
      </c>
      <c r="D2512" s="3">
        <f>VLOOKUP(A2512,airports!A:H,7,FALSE)</f>
        <v>30.357106000000002</v>
      </c>
      <c r="E2512" s="3">
        <f>VLOOKUP(A2512,airports!A:H,8,FALSE)</f>
        <v>-85.795413999999994</v>
      </c>
      <c r="F2512" s="3">
        <f>VLOOKUP(B2512,airports!A:H,7,FALSE)</f>
        <v>39.717329169999999</v>
      </c>
      <c r="G2512" s="3">
        <f>VLOOKUP(B2512,airports!A:H,8,FALSE)</f>
        <v>-86.294384170000001</v>
      </c>
      <c r="H2512">
        <f t="shared" si="78"/>
        <v>1041.8</v>
      </c>
      <c r="I2512">
        <f t="shared" si="79"/>
        <v>647.4</v>
      </c>
    </row>
    <row r="2513" spans="1:9" ht="30" x14ac:dyDescent="0.25">
      <c r="A2513" s="5" t="s">
        <v>477</v>
      </c>
      <c r="B2513" s="5" t="s">
        <v>80</v>
      </c>
      <c r="C2513" s="5" t="s">
        <v>2961</v>
      </c>
      <c r="D2513" s="3">
        <f>VLOOKUP(A2513,airports!A:H,7,FALSE)</f>
        <v>30.357106000000002</v>
      </c>
      <c r="E2513" s="3">
        <f>VLOOKUP(A2513,airports!A:H,8,FALSE)</f>
        <v>-85.795413999999994</v>
      </c>
      <c r="F2513" s="3">
        <f>VLOOKUP(B2513,airports!A:H,7,FALSE)</f>
        <v>39.297605279999999</v>
      </c>
      <c r="G2513" s="3">
        <f>VLOOKUP(B2513,airports!A:H,8,FALSE)</f>
        <v>-94.713905560000001</v>
      </c>
      <c r="H2513">
        <f t="shared" si="78"/>
        <v>1283.5</v>
      </c>
      <c r="I2513">
        <f t="shared" si="79"/>
        <v>797.6</v>
      </c>
    </row>
    <row r="2514" spans="1:9" ht="30" x14ac:dyDescent="0.25">
      <c r="A2514" s="5" t="s">
        <v>477</v>
      </c>
      <c r="B2514" s="5" t="s">
        <v>180</v>
      </c>
      <c r="C2514" s="5" t="s">
        <v>2962</v>
      </c>
      <c r="D2514" s="3">
        <f>VLOOKUP(A2514,airports!A:H,7,FALSE)</f>
        <v>30.357106000000002</v>
      </c>
      <c r="E2514" s="3">
        <f>VLOOKUP(A2514,airports!A:H,8,FALSE)</f>
        <v>-85.795413999999994</v>
      </c>
      <c r="F2514" s="3">
        <f>VLOOKUP(B2514,airports!A:H,7,FALSE)</f>
        <v>41.785982500000003</v>
      </c>
      <c r="G2514" s="3">
        <f>VLOOKUP(B2514,airports!A:H,8,FALSE)</f>
        <v>-87.752424439999999</v>
      </c>
      <c r="H2514">
        <f t="shared" si="78"/>
        <v>1282.8</v>
      </c>
      <c r="I2514">
        <f t="shared" si="79"/>
        <v>797.2</v>
      </c>
    </row>
    <row r="2515" spans="1:9" ht="30" x14ac:dyDescent="0.25">
      <c r="A2515" s="5" t="s">
        <v>477</v>
      </c>
      <c r="B2515" s="5" t="s">
        <v>95</v>
      </c>
      <c r="C2515" s="5" t="s">
        <v>2963</v>
      </c>
      <c r="D2515" s="3">
        <f>VLOOKUP(A2515,airports!A:H,7,FALSE)</f>
        <v>30.357106000000002</v>
      </c>
      <c r="E2515" s="3">
        <f>VLOOKUP(A2515,airports!A:H,8,FALSE)</f>
        <v>-85.795413999999994</v>
      </c>
      <c r="F2515" s="3">
        <f>VLOOKUP(B2515,airports!A:H,7,FALSE)</f>
        <v>41.979595000000003</v>
      </c>
      <c r="G2515" s="3">
        <f>VLOOKUP(B2515,airports!A:H,8,FALSE)</f>
        <v>-87.904464169999997</v>
      </c>
      <c r="H2515">
        <f t="shared" si="78"/>
        <v>1306</v>
      </c>
      <c r="I2515">
        <f t="shared" si="79"/>
        <v>811.6</v>
      </c>
    </row>
    <row r="2516" spans="1:9" x14ac:dyDescent="0.25">
      <c r="A2516" s="5" t="s">
        <v>477</v>
      </c>
      <c r="B2516" s="5" t="s">
        <v>102</v>
      </c>
      <c r="C2516" s="5" t="s">
        <v>2964</v>
      </c>
      <c r="D2516" s="3">
        <f>VLOOKUP(A2516,airports!A:H,7,FALSE)</f>
        <v>30.357106000000002</v>
      </c>
      <c r="E2516" s="3">
        <f>VLOOKUP(A2516,airports!A:H,8,FALSE)</f>
        <v>-85.795413999999994</v>
      </c>
      <c r="F2516" s="3">
        <f>VLOOKUP(B2516,airports!A:H,7,FALSE)</f>
        <v>39.871952780000001</v>
      </c>
      <c r="G2516" s="3">
        <f>VLOOKUP(B2516,airports!A:H,8,FALSE)</f>
        <v>-75.241140830000006</v>
      </c>
      <c r="H2516">
        <f t="shared" si="78"/>
        <v>1426.5</v>
      </c>
      <c r="I2516">
        <f t="shared" si="79"/>
        <v>886.4</v>
      </c>
    </row>
    <row r="2517" spans="1:9" x14ac:dyDescent="0.25">
      <c r="A2517" s="5" t="s">
        <v>477</v>
      </c>
      <c r="B2517" s="5" t="s">
        <v>644</v>
      </c>
      <c r="C2517" s="5" t="s">
        <v>2965</v>
      </c>
      <c r="D2517" s="3">
        <f>VLOOKUP(A2517,airports!A:H,7,FALSE)</f>
        <v>30.357106000000002</v>
      </c>
      <c r="E2517" s="3">
        <f>VLOOKUP(A2517,airports!A:H,8,FALSE)</f>
        <v>-85.795413999999994</v>
      </c>
      <c r="F2517" s="3">
        <f>VLOOKUP(B2517,airports!A:H,7,FALSE)</f>
        <v>38.747686940000001</v>
      </c>
      <c r="G2517" s="3">
        <f>VLOOKUP(B2517,airports!A:H,8,FALSE)</f>
        <v>-90.359989720000002</v>
      </c>
      <c r="H2517">
        <f t="shared" si="78"/>
        <v>1022</v>
      </c>
      <c r="I2517">
        <f t="shared" si="79"/>
        <v>635.1</v>
      </c>
    </row>
    <row r="2518" spans="1:9" x14ac:dyDescent="0.25">
      <c r="A2518" s="5" t="s">
        <v>479</v>
      </c>
      <c r="B2518" s="5" t="s">
        <v>393</v>
      </c>
      <c r="C2518" s="5" t="s">
        <v>2966</v>
      </c>
      <c r="D2518" s="3">
        <f>VLOOKUP(A2518,airports!A:H,7,FALSE)</f>
        <v>39.64256778</v>
      </c>
      <c r="E2518" s="3">
        <f>VLOOKUP(A2518,airports!A:H,8,FALSE)</f>
        <v>-106.91769530000001</v>
      </c>
      <c r="F2518" s="3">
        <f>VLOOKUP(B2518,airports!A:H,7,FALSE)</f>
        <v>39.22316</v>
      </c>
      <c r="G2518" s="3">
        <f>VLOOKUP(B2518,airports!A:H,8,FALSE)</f>
        <v>-106.86884499999999</v>
      </c>
      <c r="H2518">
        <f t="shared" si="78"/>
        <v>46.8</v>
      </c>
      <c r="I2518">
        <f t="shared" si="79"/>
        <v>29.1</v>
      </c>
    </row>
    <row r="2519" spans="1:9" x14ac:dyDescent="0.25">
      <c r="A2519" s="5" t="s">
        <v>479</v>
      </c>
      <c r="B2519" s="5" t="s">
        <v>10</v>
      </c>
      <c r="C2519" s="5" t="s">
        <v>2967</v>
      </c>
      <c r="D2519" s="3">
        <f>VLOOKUP(A2519,airports!A:H,7,FALSE)</f>
        <v>39.64256778</v>
      </c>
      <c r="E2519" s="3">
        <f>VLOOKUP(A2519,airports!A:H,8,FALSE)</f>
        <v>-106.91769530000001</v>
      </c>
      <c r="F2519" s="3">
        <f>VLOOKUP(B2519,airports!A:H,7,FALSE)</f>
        <v>33.640444440000003</v>
      </c>
      <c r="G2519" s="3">
        <f>VLOOKUP(B2519,airports!A:H,8,FALSE)</f>
        <v>-84.42694444</v>
      </c>
      <c r="H2519">
        <f t="shared" si="78"/>
        <v>2108</v>
      </c>
      <c r="I2519">
        <f t="shared" si="79"/>
        <v>1309.9000000000001</v>
      </c>
    </row>
    <row r="2520" spans="1:9" ht="30" x14ac:dyDescent="0.25">
      <c r="A2520" s="5" t="s">
        <v>479</v>
      </c>
      <c r="B2520" s="5" t="s">
        <v>47</v>
      </c>
      <c r="C2520" s="5" t="s">
        <v>2968</v>
      </c>
      <c r="D2520" s="3">
        <f>VLOOKUP(A2520,airports!A:H,7,FALSE)</f>
        <v>39.64256778</v>
      </c>
      <c r="E2520" s="3">
        <f>VLOOKUP(A2520,airports!A:H,8,FALSE)</f>
        <v>-106.91769530000001</v>
      </c>
      <c r="F2520" s="3">
        <f>VLOOKUP(B2520,airports!A:H,7,FALSE)</f>
        <v>39.858408060000002</v>
      </c>
      <c r="G2520" s="3">
        <f>VLOOKUP(B2520,airports!A:H,8,FALSE)</f>
        <v>-104.6670019</v>
      </c>
      <c r="H2520">
        <f t="shared" si="78"/>
        <v>193.9</v>
      </c>
      <c r="I2520">
        <f t="shared" si="79"/>
        <v>120.5</v>
      </c>
    </row>
    <row r="2521" spans="1:9" ht="30" x14ac:dyDescent="0.25">
      <c r="A2521" s="5" t="s">
        <v>479</v>
      </c>
      <c r="B2521" s="5" t="s">
        <v>49</v>
      </c>
      <c r="C2521" s="5" t="s">
        <v>2969</v>
      </c>
      <c r="D2521" s="3">
        <f>VLOOKUP(A2521,airports!A:H,7,FALSE)</f>
        <v>39.64256778</v>
      </c>
      <c r="E2521" s="3">
        <f>VLOOKUP(A2521,airports!A:H,8,FALSE)</f>
        <v>-106.91769530000001</v>
      </c>
      <c r="F2521" s="3">
        <f>VLOOKUP(B2521,airports!A:H,7,FALSE)</f>
        <v>32.895950560000003</v>
      </c>
      <c r="G2521" s="3">
        <f>VLOOKUP(B2521,airports!A:H,8,FALSE)</f>
        <v>-97.037199999999999</v>
      </c>
      <c r="H2521">
        <f t="shared" si="78"/>
        <v>1159.5</v>
      </c>
      <c r="I2521">
        <f t="shared" si="79"/>
        <v>720.5</v>
      </c>
    </row>
    <row r="2522" spans="1:9" ht="30" x14ac:dyDescent="0.25">
      <c r="A2522" s="5" t="s">
        <v>479</v>
      </c>
      <c r="B2522" s="5" t="s">
        <v>52</v>
      </c>
      <c r="C2522" s="5" t="s">
        <v>2970</v>
      </c>
      <c r="D2522" s="3">
        <f>VLOOKUP(A2522,airports!A:H,7,FALSE)</f>
        <v>39.64256778</v>
      </c>
      <c r="E2522" s="3">
        <f>VLOOKUP(A2522,airports!A:H,8,FALSE)</f>
        <v>-106.91769530000001</v>
      </c>
      <c r="F2522" s="3">
        <f>VLOOKUP(B2522,airports!A:H,7,FALSE)</f>
        <v>40.69249722</v>
      </c>
      <c r="G2522" s="3">
        <f>VLOOKUP(B2522,airports!A:H,8,FALSE)</f>
        <v>-74.168660560000006</v>
      </c>
      <c r="H2522">
        <f t="shared" si="78"/>
        <v>2769</v>
      </c>
      <c r="I2522">
        <f t="shared" si="79"/>
        <v>1720.7</v>
      </c>
    </row>
    <row r="2523" spans="1:9" x14ac:dyDescent="0.25">
      <c r="A2523" s="5" t="s">
        <v>479</v>
      </c>
      <c r="B2523" s="5" t="s">
        <v>176</v>
      </c>
      <c r="C2523" s="5" t="s">
        <v>2971</v>
      </c>
      <c r="D2523" s="3">
        <f>VLOOKUP(A2523,airports!A:H,7,FALSE)</f>
        <v>39.64256778</v>
      </c>
      <c r="E2523" s="3">
        <f>VLOOKUP(A2523,airports!A:H,8,FALSE)</f>
        <v>-106.91769530000001</v>
      </c>
      <c r="F2523" s="3">
        <f>VLOOKUP(B2523,airports!A:H,7,FALSE)</f>
        <v>38.944531939999997</v>
      </c>
      <c r="G2523" s="3">
        <f>VLOOKUP(B2523,airports!A:H,8,FALSE)</f>
        <v>-77.455809720000005</v>
      </c>
      <c r="H2523">
        <f t="shared" si="78"/>
        <v>2525.1</v>
      </c>
      <c r="I2523">
        <f t="shared" si="79"/>
        <v>1569.1</v>
      </c>
    </row>
    <row r="2524" spans="1:9" x14ac:dyDescent="0.25">
      <c r="A2524" s="5" t="s">
        <v>479</v>
      </c>
      <c r="B2524" s="5" t="s">
        <v>67</v>
      </c>
      <c r="C2524" s="5" t="s">
        <v>2972</v>
      </c>
      <c r="D2524" s="3">
        <f>VLOOKUP(A2524,airports!A:H,7,FALSE)</f>
        <v>39.64256778</v>
      </c>
      <c r="E2524" s="3">
        <f>VLOOKUP(A2524,airports!A:H,8,FALSE)</f>
        <v>-106.91769530000001</v>
      </c>
      <c r="F2524" s="3">
        <f>VLOOKUP(B2524,airports!A:H,7,FALSE)</f>
        <v>29.980472219999999</v>
      </c>
      <c r="G2524" s="3">
        <f>VLOOKUP(B2524,airports!A:H,8,FALSE)</f>
        <v>-95.339722219999999</v>
      </c>
      <c r="H2524">
        <f t="shared" si="78"/>
        <v>1504.6</v>
      </c>
      <c r="I2524">
        <f t="shared" si="79"/>
        <v>935</v>
      </c>
    </row>
    <row r="2525" spans="1:9" x14ac:dyDescent="0.25">
      <c r="A2525" s="5" t="s">
        <v>479</v>
      </c>
      <c r="B2525" s="5" t="s">
        <v>69</v>
      </c>
      <c r="C2525" s="5" t="s">
        <v>2973</v>
      </c>
      <c r="D2525" s="3">
        <f>VLOOKUP(A2525,airports!A:H,7,FALSE)</f>
        <v>39.64256778</v>
      </c>
      <c r="E2525" s="3">
        <f>VLOOKUP(A2525,airports!A:H,8,FALSE)</f>
        <v>-106.91769530000001</v>
      </c>
      <c r="F2525" s="3">
        <f>VLOOKUP(B2525,airports!A:H,7,FALSE)</f>
        <v>40.639751109999999</v>
      </c>
      <c r="G2525" s="3">
        <f>VLOOKUP(B2525,airports!A:H,8,FALSE)</f>
        <v>-73.778925560000005</v>
      </c>
      <c r="H2525">
        <f t="shared" si="78"/>
        <v>2802.4</v>
      </c>
      <c r="I2525">
        <f t="shared" si="79"/>
        <v>1741.4</v>
      </c>
    </row>
    <row r="2526" spans="1:9" x14ac:dyDescent="0.25">
      <c r="A2526" s="5" t="s">
        <v>479</v>
      </c>
      <c r="B2526" s="5" t="s">
        <v>73</v>
      </c>
      <c r="C2526" s="5" t="s">
        <v>2974</v>
      </c>
      <c r="D2526" s="3">
        <f>VLOOKUP(A2526,airports!A:H,7,FALSE)</f>
        <v>39.64256778</v>
      </c>
      <c r="E2526" s="3">
        <f>VLOOKUP(A2526,airports!A:H,8,FALSE)</f>
        <v>-106.91769530000001</v>
      </c>
      <c r="F2526" s="3">
        <f>VLOOKUP(B2526,airports!A:H,7,FALSE)</f>
        <v>33.942536109999999</v>
      </c>
      <c r="G2526" s="3">
        <f>VLOOKUP(B2526,airports!A:H,8,FALSE)</f>
        <v>-118.4080744</v>
      </c>
      <c r="H2526">
        <f t="shared" si="78"/>
        <v>1202.0999999999999</v>
      </c>
      <c r="I2526">
        <f t="shared" si="79"/>
        <v>747</v>
      </c>
    </row>
    <row r="2527" spans="1:9" ht="30" x14ac:dyDescent="0.25">
      <c r="A2527" s="5" t="s">
        <v>479</v>
      </c>
      <c r="B2527" s="5" t="s">
        <v>74</v>
      </c>
      <c r="C2527" s="5" t="s">
        <v>2975</v>
      </c>
      <c r="D2527" s="3">
        <f>VLOOKUP(A2527,airports!A:H,7,FALSE)</f>
        <v>39.64256778</v>
      </c>
      <c r="E2527" s="3">
        <f>VLOOKUP(A2527,airports!A:H,8,FALSE)</f>
        <v>-106.91769530000001</v>
      </c>
      <c r="F2527" s="3">
        <f>VLOOKUP(B2527,airports!A:H,7,FALSE)</f>
        <v>40.777243060000004</v>
      </c>
      <c r="G2527" s="3">
        <f>VLOOKUP(B2527,airports!A:H,8,FALSE)</f>
        <v>-73.872609170000004</v>
      </c>
      <c r="H2527">
        <f t="shared" si="78"/>
        <v>2792.3</v>
      </c>
      <c r="I2527">
        <f t="shared" si="79"/>
        <v>1735.2</v>
      </c>
    </row>
    <row r="2528" spans="1:9" ht="30" x14ac:dyDescent="0.25">
      <c r="A2528" s="5" t="s">
        <v>479</v>
      </c>
      <c r="B2528" s="5" t="s">
        <v>84</v>
      </c>
      <c r="C2528" s="5" t="s">
        <v>2976</v>
      </c>
      <c r="D2528" s="3">
        <f>VLOOKUP(A2528,airports!A:H,7,FALSE)</f>
        <v>39.64256778</v>
      </c>
      <c r="E2528" s="3">
        <f>VLOOKUP(A2528,airports!A:H,8,FALSE)</f>
        <v>-106.91769530000001</v>
      </c>
      <c r="F2528" s="3">
        <f>VLOOKUP(B2528,airports!A:H,7,FALSE)</f>
        <v>25.79325</v>
      </c>
      <c r="G2528" s="3">
        <f>VLOOKUP(B2528,airports!A:H,8,FALSE)</f>
        <v>-80.290555560000001</v>
      </c>
      <c r="H2528">
        <f t="shared" si="78"/>
        <v>2911.3</v>
      </c>
      <c r="I2528">
        <f t="shared" si="79"/>
        <v>1809.1</v>
      </c>
    </row>
    <row r="2529" spans="1:9" ht="30" x14ac:dyDescent="0.25">
      <c r="A2529" s="5" t="s">
        <v>479</v>
      </c>
      <c r="B2529" s="5" t="s">
        <v>95</v>
      </c>
      <c r="C2529" s="5" t="s">
        <v>2977</v>
      </c>
      <c r="D2529" s="3">
        <f>VLOOKUP(A2529,airports!A:H,7,FALSE)</f>
        <v>39.64256778</v>
      </c>
      <c r="E2529" s="3">
        <f>VLOOKUP(A2529,airports!A:H,8,FALSE)</f>
        <v>-106.91769530000001</v>
      </c>
      <c r="F2529" s="3">
        <f>VLOOKUP(B2529,airports!A:H,7,FALSE)</f>
        <v>41.979595000000003</v>
      </c>
      <c r="G2529" s="3">
        <f>VLOOKUP(B2529,airports!A:H,8,FALSE)</f>
        <v>-87.904464169999997</v>
      </c>
      <c r="H2529">
        <f t="shared" si="78"/>
        <v>1617.6</v>
      </c>
      <c r="I2529">
        <f t="shared" si="79"/>
        <v>1005.2</v>
      </c>
    </row>
    <row r="2530" spans="1:9" x14ac:dyDescent="0.25">
      <c r="A2530" s="5" t="s">
        <v>479</v>
      </c>
      <c r="B2530" s="5" t="s">
        <v>102</v>
      </c>
      <c r="C2530" s="5" t="s">
        <v>2978</v>
      </c>
      <c r="D2530" s="3">
        <f>VLOOKUP(A2530,airports!A:H,7,FALSE)</f>
        <v>39.64256778</v>
      </c>
      <c r="E2530" s="3">
        <f>VLOOKUP(A2530,airports!A:H,8,FALSE)</f>
        <v>-106.91769530000001</v>
      </c>
      <c r="F2530" s="3">
        <f>VLOOKUP(B2530,airports!A:H,7,FALSE)</f>
        <v>39.871952780000001</v>
      </c>
      <c r="G2530" s="3">
        <f>VLOOKUP(B2530,airports!A:H,8,FALSE)</f>
        <v>-75.241140830000006</v>
      </c>
      <c r="H2530">
        <f t="shared" si="78"/>
        <v>2693.6</v>
      </c>
      <c r="I2530">
        <f t="shared" si="79"/>
        <v>1673.8</v>
      </c>
    </row>
    <row r="2531" spans="1:9" ht="30" x14ac:dyDescent="0.25">
      <c r="A2531" s="5" t="s">
        <v>479</v>
      </c>
      <c r="B2531" s="5" t="s">
        <v>104</v>
      </c>
      <c r="C2531" s="5" t="s">
        <v>2979</v>
      </c>
      <c r="D2531" s="3">
        <f>VLOOKUP(A2531,airports!A:H,7,FALSE)</f>
        <v>39.64256778</v>
      </c>
      <c r="E2531" s="3">
        <f>VLOOKUP(A2531,airports!A:H,8,FALSE)</f>
        <v>-106.91769530000001</v>
      </c>
      <c r="F2531" s="3">
        <f>VLOOKUP(B2531,airports!A:H,7,FALSE)</f>
        <v>33.434166670000003</v>
      </c>
      <c r="G2531" s="3">
        <f>VLOOKUP(B2531,airports!A:H,8,FALSE)</f>
        <v>-112.00805560000001</v>
      </c>
      <c r="H2531">
        <f t="shared" si="78"/>
        <v>826.3</v>
      </c>
      <c r="I2531">
        <f t="shared" si="79"/>
        <v>513.5</v>
      </c>
    </row>
    <row r="2532" spans="1:9" ht="30" x14ac:dyDescent="0.25">
      <c r="A2532" s="5" t="s">
        <v>479</v>
      </c>
      <c r="B2532" s="5" t="s">
        <v>130</v>
      </c>
      <c r="C2532" s="5" t="s">
        <v>2980</v>
      </c>
      <c r="D2532" s="3">
        <f>VLOOKUP(A2532,airports!A:H,7,FALSE)</f>
        <v>39.64256778</v>
      </c>
      <c r="E2532" s="3">
        <f>VLOOKUP(A2532,airports!A:H,8,FALSE)</f>
        <v>-106.91769530000001</v>
      </c>
      <c r="F2532" s="3">
        <f>VLOOKUP(B2532,airports!A:H,7,FALSE)</f>
        <v>37.619001939999997</v>
      </c>
      <c r="G2532" s="3">
        <f>VLOOKUP(B2532,airports!A:H,8,FALSE)</f>
        <v>-122.37484329999999</v>
      </c>
      <c r="H2532">
        <f t="shared" si="78"/>
        <v>1359.6</v>
      </c>
      <c r="I2532">
        <f t="shared" si="79"/>
        <v>844.9</v>
      </c>
    </row>
    <row r="2533" spans="1:9" x14ac:dyDescent="0.25">
      <c r="A2533" s="5" t="s">
        <v>479</v>
      </c>
      <c r="B2533" s="5" t="s">
        <v>135</v>
      </c>
      <c r="C2533" s="5" t="s">
        <v>2981</v>
      </c>
      <c r="D2533" s="3">
        <f>VLOOKUP(A2533,airports!A:H,7,FALSE)</f>
        <v>39.64256778</v>
      </c>
      <c r="E2533" s="3">
        <f>VLOOKUP(A2533,airports!A:H,8,FALSE)</f>
        <v>-106.91769530000001</v>
      </c>
      <c r="F2533" s="3">
        <f>VLOOKUP(B2533,airports!A:H,7,FALSE)</f>
        <v>40.788387780000001</v>
      </c>
      <c r="G2533" s="3">
        <f>VLOOKUP(B2533,airports!A:H,8,FALSE)</f>
        <v>-111.97777309999999</v>
      </c>
      <c r="H2533">
        <f t="shared" si="78"/>
        <v>448.1</v>
      </c>
      <c r="I2533">
        <f t="shared" si="79"/>
        <v>278.39999999999998</v>
      </c>
    </row>
    <row r="2534" spans="1:9" x14ac:dyDescent="0.25">
      <c r="A2534" s="5" t="s">
        <v>2982</v>
      </c>
      <c r="B2534" s="5" t="s">
        <v>135</v>
      </c>
      <c r="C2534" s="5" t="s">
        <v>2983</v>
      </c>
      <c r="D2534" s="3">
        <f>VLOOKUP(A2534,airports!A:H,7,FALSE)</f>
        <v>40.82492611</v>
      </c>
      <c r="E2534" s="3">
        <f>VLOOKUP(A2534,airports!A:H,8,FALSE)</f>
        <v>-115.79169640000001</v>
      </c>
      <c r="F2534" s="3">
        <f>VLOOKUP(B2534,airports!A:H,7,FALSE)</f>
        <v>40.788387780000001</v>
      </c>
      <c r="G2534" s="3">
        <f>VLOOKUP(B2534,airports!A:H,8,FALSE)</f>
        <v>-111.97777309999999</v>
      </c>
      <c r="H2534">
        <f t="shared" si="78"/>
        <v>321</v>
      </c>
      <c r="I2534">
        <f t="shared" si="79"/>
        <v>199.5</v>
      </c>
    </row>
    <row r="2535" spans="1:9" ht="30" x14ac:dyDescent="0.25">
      <c r="A2535" s="5" t="s">
        <v>481</v>
      </c>
      <c r="B2535" s="5" t="s">
        <v>10</v>
      </c>
      <c r="C2535" s="5" t="s">
        <v>2984</v>
      </c>
      <c r="D2535" s="3">
        <f>VLOOKUP(A2535,airports!A:H,7,FALSE)</f>
        <v>42.159913609999997</v>
      </c>
      <c r="E2535" s="3">
        <f>VLOOKUP(A2535,airports!A:H,8,FALSE)</f>
        <v>-76.891443330000001</v>
      </c>
      <c r="F2535" s="3">
        <f>VLOOKUP(B2535,airports!A:H,7,FALSE)</f>
        <v>33.640444440000003</v>
      </c>
      <c r="G2535" s="3">
        <f>VLOOKUP(B2535,airports!A:H,8,FALSE)</f>
        <v>-84.42694444</v>
      </c>
      <c r="H2535">
        <f t="shared" si="78"/>
        <v>1154.2</v>
      </c>
      <c r="I2535">
        <f t="shared" si="79"/>
        <v>717.2</v>
      </c>
    </row>
    <row r="2536" spans="1:9" ht="30" x14ac:dyDescent="0.25">
      <c r="A2536" s="5" t="s">
        <v>481</v>
      </c>
      <c r="B2536" s="5" t="s">
        <v>50</v>
      </c>
      <c r="C2536" s="5" t="s">
        <v>2985</v>
      </c>
      <c r="D2536" s="3">
        <f>VLOOKUP(A2536,airports!A:H,7,FALSE)</f>
        <v>42.159913609999997</v>
      </c>
      <c r="E2536" s="3">
        <f>VLOOKUP(A2536,airports!A:H,8,FALSE)</f>
        <v>-76.891443330000001</v>
      </c>
      <c r="F2536" s="3">
        <f>VLOOKUP(B2536,airports!A:H,7,FALSE)</f>
        <v>42.212058890000002</v>
      </c>
      <c r="G2536" s="3">
        <f>VLOOKUP(B2536,airports!A:H,8,FALSE)</f>
        <v>-83.348835829999999</v>
      </c>
      <c r="H2536">
        <f t="shared" si="78"/>
        <v>531.9</v>
      </c>
      <c r="I2536">
        <f t="shared" si="79"/>
        <v>330.6</v>
      </c>
    </row>
    <row r="2537" spans="1:9" ht="30" x14ac:dyDescent="0.25">
      <c r="A2537" s="5" t="s">
        <v>481</v>
      </c>
      <c r="B2537" s="5" t="s">
        <v>52</v>
      </c>
      <c r="C2537" s="5" t="s">
        <v>2986</v>
      </c>
      <c r="D2537" s="3">
        <f>VLOOKUP(A2537,airports!A:H,7,FALSE)</f>
        <v>42.159913609999997</v>
      </c>
      <c r="E2537" s="3">
        <f>VLOOKUP(A2537,airports!A:H,8,FALSE)</f>
        <v>-76.891443330000001</v>
      </c>
      <c r="F2537" s="3">
        <f>VLOOKUP(B2537,airports!A:H,7,FALSE)</f>
        <v>40.69249722</v>
      </c>
      <c r="G2537" s="3">
        <f>VLOOKUP(B2537,airports!A:H,8,FALSE)</f>
        <v>-74.168660560000006</v>
      </c>
      <c r="H2537">
        <f t="shared" si="78"/>
        <v>279.5</v>
      </c>
      <c r="I2537">
        <f t="shared" si="79"/>
        <v>173.7</v>
      </c>
    </row>
    <row r="2538" spans="1:9" ht="30" x14ac:dyDescent="0.25">
      <c r="A2538" s="5" t="s">
        <v>481</v>
      </c>
      <c r="B2538" s="5" t="s">
        <v>176</v>
      </c>
      <c r="C2538" s="5" t="s">
        <v>2987</v>
      </c>
      <c r="D2538" s="3">
        <f>VLOOKUP(A2538,airports!A:H,7,FALSE)</f>
        <v>42.159913609999997</v>
      </c>
      <c r="E2538" s="3">
        <f>VLOOKUP(A2538,airports!A:H,8,FALSE)</f>
        <v>-76.891443330000001</v>
      </c>
      <c r="F2538" s="3">
        <f>VLOOKUP(B2538,airports!A:H,7,FALSE)</f>
        <v>38.944531939999997</v>
      </c>
      <c r="G2538" s="3">
        <f>VLOOKUP(B2538,airports!A:H,8,FALSE)</f>
        <v>-77.455809720000005</v>
      </c>
      <c r="H2538">
        <f t="shared" si="78"/>
        <v>360.7</v>
      </c>
      <c r="I2538">
        <f t="shared" si="79"/>
        <v>224.1</v>
      </c>
    </row>
    <row r="2539" spans="1:9" ht="30" x14ac:dyDescent="0.25">
      <c r="A2539" s="5" t="s">
        <v>481</v>
      </c>
      <c r="B2539" s="5" t="s">
        <v>2988</v>
      </c>
      <c r="C2539" s="5" t="s">
        <v>2989</v>
      </c>
      <c r="D2539" s="3">
        <f>VLOOKUP(A2539,airports!A:H,7,FALSE)</f>
        <v>42.159913609999997</v>
      </c>
      <c r="E2539" s="3">
        <f>VLOOKUP(A2539,airports!A:H,8,FALSE)</f>
        <v>-76.891443330000001</v>
      </c>
      <c r="F2539" s="3">
        <f>VLOOKUP(B2539,airports!A:H,7,FALSE)</f>
        <v>43.107300000000002</v>
      </c>
      <c r="G2539" s="3">
        <f>VLOOKUP(B2539,airports!A:H,8,FALSE)</f>
        <v>-78.946197999999995</v>
      </c>
      <c r="H2539">
        <f t="shared" si="78"/>
        <v>198.4</v>
      </c>
      <c r="I2539">
        <f t="shared" si="79"/>
        <v>123.3</v>
      </c>
    </row>
    <row r="2540" spans="1:9" ht="30" x14ac:dyDescent="0.25">
      <c r="A2540" s="5" t="s">
        <v>481</v>
      </c>
      <c r="B2540" s="5" t="s">
        <v>185</v>
      </c>
      <c r="C2540" s="5" t="s">
        <v>2990</v>
      </c>
      <c r="D2540" s="3">
        <f>VLOOKUP(A2540,airports!A:H,7,FALSE)</f>
        <v>42.159913609999997</v>
      </c>
      <c r="E2540" s="3">
        <f>VLOOKUP(A2540,airports!A:H,8,FALSE)</f>
        <v>-76.891443330000001</v>
      </c>
      <c r="F2540" s="3">
        <f>VLOOKUP(B2540,airports!A:H,7,FALSE)</f>
        <v>26.919699999999999</v>
      </c>
      <c r="G2540" s="3">
        <f>VLOOKUP(B2540,airports!A:H,8,FALSE)</f>
        <v>-81.995999999999995</v>
      </c>
      <c r="H2540">
        <f t="shared" si="78"/>
        <v>1757</v>
      </c>
      <c r="I2540">
        <f t="shared" si="79"/>
        <v>1091.8</v>
      </c>
    </row>
    <row r="2541" spans="1:9" x14ac:dyDescent="0.25">
      <c r="A2541" s="5" t="s">
        <v>481</v>
      </c>
      <c r="B2541" s="5" t="s">
        <v>188</v>
      </c>
      <c r="C2541" s="5" t="s">
        <v>2991</v>
      </c>
      <c r="D2541" s="3">
        <f>VLOOKUP(A2541,airports!A:H,7,FALSE)</f>
        <v>42.159913609999997</v>
      </c>
      <c r="E2541" s="3">
        <f>VLOOKUP(A2541,airports!A:H,8,FALSE)</f>
        <v>-76.891443330000001</v>
      </c>
      <c r="F2541" s="3">
        <f>VLOOKUP(B2541,airports!A:H,7,FALSE)</f>
        <v>27.910763330000002</v>
      </c>
      <c r="G2541" s="3">
        <f>VLOOKUP(B2541,airports!A:H,8,FALSE)</f>
        <v>-82.687439440000006</v>
      </c>
      <c r="H2541">
        <f t="shared" si="78"/>
        <v>1668.9</v>
      </c>
      <c r="I2541">
        <f t="shared" si="79"/>
        <v>1037.0999999999999</v>
      </c>
    </row>
    <row r="2542" spans="1:9" ht="30" x14ac:dyDescent="0.25">
      <c r="A2542" s="5" t="s">
        <v>481</v>
      </c>
      <c r="B2542" s="5" t="s">
        <v>191</v>
      </c>
      <c r="C2542" s="5" t="s">
        <v>2992</v>
      </c>
      <c r="D2542" s="3">
        <f>VLOOKUP(A2542,airports!A:H,7,FALSE)</f>
        <v>42.159913609999997</v>
      </c>
      <c r="E2542" s="3">
        <f>VLOOKUP(A2542,airports!A:H,8,FALSE)</f>
        <v>-76.891443330000001</v>
      </c>
      <c r="F2542" s="3">
        <f>VLOOKUP(B2542,airports!A:H,7,FALSE)</f>
        <v>28.7776</v>
      </c>
      <c r="G2542" s="3">
        <f>VLOOKUP(B2542,airports!A:H,8,FALSE)</f>
        <v>-81.237499999999997</v>
      </c>
      <c r="H2542">
        <f t="shared" si="78"/>
        <v>1538.6</v>
      </c>
      <c r="I2542">
        <f t="shared" si="79"/>
        <v>956.1</v>
      </c>
    </row>
    <row r="2543" spans="1:9" x14ac:dyDescent="0.25">
      <c r="A2543" s="5" t="s">
        <v>483</v>
      </c>
      <c r="B2543" s="5" t="s">
        <v>10</v>
      </c>
      <c r="C2543" s="5" t="s">
        <v>2993</v>
      </c>
      <c r="D2543" s="3">
        <f>VLOOKUP(A2543,airports!A:H,7,FALSE)</f>
        <v>31.806666669999998</v>
      </c>
      <c r="E2543" s="3">
        <f>VLOOKUP(A2543,airports!A:H,8,FALSE)</f>
        <v>-106.3778056</v>
      </c>
      <c r="F2543" s="3">
        <f>VLOOKUP(B2543,airports!A:H,7,FALSE)</f>
        <v>33.640444440000003</v>
      </c>
      <c r="G2543" s="3">
        <f>VLOOKUP(B2543,airports!A:H,8,FALSE)</f>
        <v>-84.42694444</v>
      </c>
      <c r="H2543">
        <f t="shared" si="78"/>
        <v>2059.6999999999998</v>
      </c>
      <c r="I2543">
        <f t="shared" si="79"/>
        <v>1279.9000000000001</v>
      </c>
    </row>
    <row r="2544" spans="1:9" x14ac:dyDescent="0.25">
      <c r="A2544" s="5" t="s">
        <v>483</v>
      </c>
      <c r="B2544" s="5" t="s">
        <v>13</v>
      </c>
      <c r="C2544" s="5" t="s">
        <v>2994</v>
      </c>
      <c r="D2544" s="3">
        <f>VLOOKUP(A2544,airports!A:H,7,FALSE)</f>
        <v>31.806666669999998</v>
      </c>
      <c r="E2544" s="3">
        <f>VLOOKUP(A2544,airports!A:H,8,FALSE)</f>
        <v>-106.3778056</v>
      </c>
      <c r="F2544" s="3">
        <f>VLOOKUP(B2544,airports!A:H,7,FALSE)</f>
        <v>30.194532779999999</v>
      </c>
      <c r="G2544" s="3">
        <f>VLOOKUP(B2544,airports!A:H,8,FALSE)</f>
        <v>-97.669871939999993</v>
      </c>
      <c r="H2544">
        <f t="shared" si="78"/>
        <v>848.8</v>
      </c>
      <c r="I2544">
        <f t="shared" si="79"/>
        <v>527.5</v>
      </c>
    </row>
    <row r="2545" spans="1:9" x14ac:dyDescent="0.25">
      <c r="A2545" s="5" t="s">
        <v>483</v>
      </c>
      <c r="B2545" s="5" t="s">
        <v>40</v>
      </c>
      <c r="C2545" s="5" t="s">
        <v>2995</v>
      </c>
      <c r="D2545" s="3">
        <f>VLOOKUP(A2545,airports!A:H,7,FALSE)</f>
        <v>31.806666669999998</v>
      </c>
      <c r="E2545" s="3">
        <f>VLOOKUP(A2545,airports!A:H,8,FALSE)</f>
        <v>-106.3778056</v>
      </c>
      <c r="F2545" s="3">
        <f>VLOOKUP(B2545,airports!A:H,7,FALSE)</f>
        <v>35.214011110000001</v>
      </c>
      <c r="G2545" s="3">
        <f>VLOOKUP(B2545,airports!A:H,8,FALSE)</f>
        <v>-80.94312583</v>
      </c>
      <c r="H2545">
        <f t="shared" si="78"/>
        <v>2381.6999999999998</v>
      </c>
      <c r="I2545">
        <f t="shared" si="79"/>
        <v>1480</v>
      </c>
    </row>
    <row r="2546" spans="1:9" x14ac:dyDescent="0.25">
      <c r="A2546" s="5" t="s">
        <v>483</v>
      </c>
      <c r="B2546" s="5" t="s">
        <v>201</v>
      </c>
      <c r="C2546" s="5" t="s">
        <v>2996</v>
      </c>
      <c r="D2546" s="3">
        <f>VLOOKUP(A2546,airports!A:H,7,FALSE)</f>
        <v>31.806666669999998</v>
      </c>
      <c r="E2546" s="3">
        <f>VLOOKUP(A2546,airports!A:H,8,FALSE)</f>
        <v>-106.3778056</v>
      </c>
      <c r="F2546" s="3">
        <f>VLOOKUP(B2546,airports!A:H,7,FALSE)</f>
        <v>32.847113890000003</v>
      </c>
      <c r="G2546" s="3">
        <f>VLOOKUP(B2546,airports!A:H,8,FALSE)</f>
        <v>-96.851772220000001</v>
      </c>
      <c r="H2546">
        <f t="shared" si="78"/>
        <v>902.2</v>
      </c>
      <c r="I2546">
        <f t="shared" si="79"/>
        <v>560.6</v>
      </c>
    </row>
    <row r="2547" spans="1:9" ht="30" x14ac:dyDescent="0.25">
      <c r="A2547" s="5" t="s">
        <v>483</v>
      </c>
      <c r="B2547" s="5" t="s">
        <v>47</v>
      </c>
      <c r="C2547" s="5" t="s">
        <v>2997</v>
      </c>
      <c r="D2547" s="3">
        <f>VLOOKUP(A2547,airports!A:H,7,FALSE)</f>
        <v>31.806666669999998</v>
      </c>
      <c r="E2547" s="3">
        <f>VLOOKUP(A2547,airports!A:H,8,FALSE)</f>
        <v>-106.3778056</v>
      </c>
      <c r="F2547" s="3">
        <f>VLOOKUP(B2547,airports!A:H,7,FALSE)</f>
        <v>39.858408060000002</v>
      </c>
      <c r="G2547" s="3">
        <f>VLOOKUP(B2547,airports!A:H,8,FALSE)</f>
        <v>-104.6670019</v>
      </c>
      <c r="H2547">
        <f t="shared" si="78"/>
        <v>908.4</v>
      </c>
      <c r="I2547">
        <f t="shared" si="79"/>
        <v>564.5</v>
      </c>
    </row>
    <row r="2548" spans="1:9" ht="30" x14ac:dyDescent="0.25">
      <c r="A2548" s="5" t="s">
        <v>483</v>
      </c>
      <c r="B2548" s="5" t="s">
        <v>49</v>
      </c>
      <c r="C2548" s="5" t="s">
        <v>2998</v>
      </c>
      <c r="D2548" s="3">
        <f>VLOOKUP(A2548,airports!A:H,7,FALSE)</f>
        <v>31.806666669999998</v>
      </c>
      <c r="E2548" s="3">
        <f>VLOOKUP(A2548,airports!A:H,8,FALSE)</f>
        <v>-106.3778056</v>
      </c>
      <c r="F2548" s="3">
        <f>VLOOKUP(B2548,airports!A:H,7,FALSE)</f>
        <v>32.895950560000003</v>
      </c>
      <c r="G2548" s="3">
        <f>VLOOKUP(B2548,airports!A:H,8,FALSE)</f>
        <v>-97.037199999999999</v>
      </c>
      <c r="H2548">
        <f t="shared" si="78"/>
        <v>885.4</v>
      </c>
      <c r="I2548">
        <f t="shared" si="79"/>
        <v>550.20000000000005</v>
      </c>
    </row>
    <row r="2549" spans="1:9" ht="30" x14ac:dyDescent="0.25">
      <c r="A2549" s="5" t="s">
        <v>483</v>
      </c>
      <c r="B2549" s="5" t="s">
        <v>205</v>
      </c>
      <c r="C2549" s="5" t="s">
        <v>2999</v>
      </c>
      <c r="D2549" s="3">
        <f>VLOOKUP(A2549,airports!A:H,7,FALSE)</f>
        <v>31.806666669999998</v>
      </c>
      <c r="E2549" s="3">
        <f>VLOOKUP(A2549,airports!A:H,8,FALSE)</f>
        <v>-106.3778056</v>
      </c>
      <c r="F2549" s="3">
        <f>VLOOKUP(B2549,airports!A:H,7,FALSE)</f>
        <v>29.64541861</v>
      </c>
      <c r="G2549" s="3">
        <f>VLOOKUP(B2549,airports!A:H,8,FALSE)</f>
        <v>-95.278888890000005</v>
      </c>
      <c r="H2549">
        <f t="shared" si="78"/>
        <v>1087.2</v>
      </c>
      <c r="I2549">
        <f t="shared" si="79"/>
        <v>675.6</v>
      </c>
    </row>
    <row r="2550" spans="1:9" x14ac:dyDescent="0.25">
      <c r="A2550" s="5" t="s">
        <v>483</v>
      </c>
      <c r="B2550" s="5" t="s">
        <v>67</v>
      </c>
      <c r="C2550" s="5" t="s">
        <v>3000</v>
      </c>
      <c r="D2550" s="3">
        <f>VLOOKUP(A2550,airports!A:H,7,FALSE)</f>
        <v>31.806666669999998</v>
      </c>
      <c r="E2550" s="3">
        <f>VLOOKUP(A2550,airports!A:H,8,FALSE)</f>
        <v>-106.3778056</v>
      </c>
      <c r="F2550" s="3">
        <f>VLOOKUP(B2550,airports!A:H,7,FALSE)</f>
        <v>29.980472219999999</v>
      </c>
      <c r="G2550" s="3">
        <f>VLOOKUP(B2550,airports!A:H,8,FALSE)</f>
        <v>-95.339722219999999</v>
      </c>
      <c r="H2550">
        <f t="shared" si="78"/>
        <v>1072.0999999999999</v>
      </c>
      <c r="I2550">
        <f t="shared" si="79"/>
        <v>666.2</v>
      </c>
    </row>
    <row r="2551" spans="1:9" x14ac:dyDescent="0.25">
      <c r="A2551" s="5" t="s">
        <v>483</v>
      </c>
      <c r="B2551" s="5" t="s">
        <v>71</v>
      </c>
      <c r="C2551" s="5" t="s">
        <v>3001</v>
      </c>
      <c r="D2551" s="3">
        <f>VLOOKUP(A2551,airports!A:H,7,FALSE)</f>
        <v>31.806666669999998</v>
      </c>
      <c r="E2551" s="3">
        <f>VLOOKUP(A2551,airports!A:H,8,FALSE)</f>
        <v>-106.3778056</v>
      </c>
      <c r="F2551" s="3">
        <f>VLOOKUP(B2551,airports!A:H,7,FALSE)</f>
        <v>36.080361109999998</v>
      </c>
      <c r="G2551" s="3">
        <f>VLOOKUP(B2551,airports!A:H,8,FALSE)</f>
        <v>-115.1523333</v>
      </c>
      <c r="H2551">
        <f t="shared" si="78"/>
        <v>938</v>
      </c>
      <c r="I2551">
        <f t="shared" si="79"/>
        <v>582.9</v>
      </c>
    </row>
    <row r="2552" spans="1:9" x14ac:dyDescent="0.25">
      <c r="A2552" s="5" t="s">
        <v>483</v>
      </c>
      <c r="B2552" s="5" t="s">
        <v>73</v>
      </c>
      <c r="C2552" s="5" t="s">
        <v>3002</v>
      </c>
      <c r="D2552" s="3">
        <f>VLOOKUP(A2552,airports!A:H,7,FALSE)</f>
        <v>31.806666669999998</v>
      </c>
      <c r="E2552" s="3">
        <f>VLOOKUP(A2552,airports!A:H,8,FALSE)</f>
        <v>-106.3778056</v>
      </c>
      <c r="F2552" s="3">
        <f>VLOOKUP(B2552,airports!A:H,7,FALSE)</f>
        <v>33.942536109999999</v>
      </c>
      <c r="G2552" s="3">
        <f>VLOOKUP(B2552,airports!A:H,8,FALSE)</f>
        <v>-118.4080744</v>
      </c>
      <c r="H2552">
        <f t="shared" si="78"/>
        <v>1147.5999999999999</v>
      </c>
      <c r="I2552">
        <f t="shared" si="79"/>
        <v>713.1</v>
      </c>
    </row>
    <row r="2553" spans="1:9" ht="30" x14ac:dyDescent="0.25">
      <c r="A2553" s="5" t="s">
        <v>483</v>
      </c>
      <c r="B2553" s="5" t="s">
        <v>82</v>
      </c>
      <c r="C2553" s="5" t="s">
        <v>3003</v>
      </c>
      <c r="D2553" s="3">
        <f>VLOOKUP(A2553,airports!A:H,7,FALSE)</f>
        <v>31.806666669999998</v>
      </c>
      <c r="E2553" s="3">
        <f>VLOOKUP(A2553,airports!A:H,8,FALSE)</f>
        <v>-106.3778056</v>
      </c>
      <c r="F2553" s="3">
        <f>VLOOKUP(B2553,airports!A:H,7,FALSE)</f>
        <v>28.42888889</v>
      </c>
      <c r="G2553" s="3">
        <f>VLOOKUP(B2553,airports!A:H,8,FALSE)</f>
        <v>-81.316027779999999</v>
      </c>
      <c r="H2553">
        <f t="shared" si="78"/>
        <v>2434.1</v>
      </c>
      <c r="I2553">
        <f t="shared" si="79"/>
        <v>1512.5</v>
      </c>
    </row>
    <row r="2554" spans="1:9" ht="30" x14ac:dyDescent="0.25">
      <c r="A2554" s="5" t="s">
        <v>483</v>
      </c>
      <c r="B2554" s="5" t="s">
        <v>590</v>
      </c>
      <c r="C2554" s="5" t="s">
        <v>3004</v>
      </c>
      <c r="D2554" s="3">
        <f>VLOOKUP(A2554,airports!A:H,7,FALSE)</f>
        <v>31.806666669999998</v>
      </c>
      <c r="E2554" s="3">
        <f>VLOOKUP(A2554,airports!A:H,8,FALSE)</f>
        <v>-106.3778056</v>
      </c>
      <c r="F2554" s="3">
        <f>VLOOKUP(B2554,airports!A:H,7,FALSE)</f>
        <v>35.393088329999998</v>
      </c>
      <c r="G2554" s="3">
        <f>VLOOKUP(B2554,airports!A:H,8,FALSE)</f>
        <v>-97.600733890000001</v>
      </c>
      <c r="H2554">
        <f t="shared" si="78"/>
        <v>905</v>
      </c>
      <c r="I2554">
        <f t="shared" si="79"/>
        <v>562.29999999999995</v>
      </c>
    </row>
    <row r="2555" spans="1:9" ht="30" x14ac:dyDescent="0.25">
      <c r="A2555" s="5" t="s">
        <v>483</v>
      </c>
      <c r="B2555" s="5" t="s">
        <v>95</v>
      </c>
      <c r="C2555" s="5" t="s">
        <v>3005</v>
      </c>
      <c r="D2555" s="3">
        <f>VLOOKUP(A2555,airports!A:H,7,FALSE)</f>
        <v>31.806666669999998</v>
      </c>
      <c r="E2555" s="3">
        <f>VLOOKUP(A2555,airports!A:H,8,FALSE)</f>
        <v>-106.3778056</v>
      </c>
      <c r="F2555" s="3">
        <f>VLOOKUP(B2555,airports!A:H,7,FALSE)</f>
        <v>41.979595000000003</v>
      </c>
      <c r="G2555" s="3">
        <f>VLOOKUP(B2555,airports!A:H,8,FALSE)</f>
        <v>-87.904464169999997</v>
      </c>
      <c r="H2555">
        <f t="shared" si="78"/>
        <v>1987.7</v>
      </c>
      <c r="I2555">
        <f t="shared" si="79"/>
        <v>1235.2</v>
      </c>
    </row>
    <row r="2556" spans="1:9" x14ac:dyDescent="0.25">
      <c r="A2556" s="5" t="s">
        <v>483</v>
      </c>
      <c r="B2556" s="5" t="s">
        <v>104</v>
      </c>
      <c r="C2556" s="5" t="s">
        <v>3006</v>
      </c>
      <c r="D2556" s="3">
        <f>VLOOKUP(A2556,airports!A:H,7,FALSE)</f>
        <v>31.806666669999998</v>
      </c>
      <c r="E2556" s="3">
        <f>VLOOKUP(A2556,airports!A:H,8,FALSE)</f>
        <v>-106.3778056</v>
      </c>
      <c r="F2556" s="3">
        <f>VLOOKUP(B2556,airports!A:H,7,FALSE)</f>
        <v>33.434166670000003</v>
      </c>
      <c r="G2556" s="3">
        <f>VLOOKUP(B2556,airports!A:H,8,FALSE)</f>
        <v>-112.00805560000001</v>
      </c>
      <c r="H2556">
        <f t="shared" si="78"/>
        <v>557.4</v>
      </c>
      <c r="I2556">
        <f t="shared" si="79"/>
        <v>346.4</v>
      </c>
    </row>
    <row r="2557" spans="1:9" ht="30" x14ac:dyDescent="0.25">
      <c r="A2557" s="5" t="s">
        <v>483</v>
      </c>
      <c r="B2557" s="5" t="s">
        <v>124</v>
      </c>
      <c r="C2557" s="5" t="s">
        <v>3007</v>
      </c>
      <c r="D2557" s="3">
        <f>VLOOKUP(A2557,airports!A:H,7,FALSE)</f>
        <v>31.806666669999998</v>
      </c>
      <c r="E2557" s="3">
        <f>VLOOKUP(A2557,airports!A:H,8,FALSE)</f>
        <v>-106.3778056</v>
      </c>
      <c r="F2557" s="3">
        <f>VLOOKUP(B2557,airports!A:H,7,FALSE)</f>
        <v>32.733556110000002</v>
      </c>
      <c r="G2557" s="3">
        <f>VLOOKUP(B2557,airports!A:H,8,FALSE)</f>
        <v>-117.1896567</v>
      </c>
      <c r="H2557">
        <f t="shared" si="78"/>
        <v>1021.3</v>
      </c>
      <c r="I2557">
        <f t="shared" si="79"/>
        <v>634.6</v>
      </c>
    </row>
    <row r="2558" spans="1:9" x14ac:dyDescent="0.25">
      <c r="A2558" s="5" t="s">
        <v>483</v>
      </c>
      <c r="B2558" s="5" t="s">
        <v>125</v>
      </c>
      <c r="C2558" s="5" t="s">
        <v>3008</v>
      </c>
      <c r="D2558" s="3">
        <f>VLOOKUP(A2558,airports!A:H,7,FALSE)</f>
        <v>31.806666669999998</v>
      </c>
      <c r="E2558" s="3">
        <f>VLOOKUP(A2558,airports!A:H,8,FALSE)</f>
        <v>-106.3778056</v>
      </c>
      <c r="F2558" s="3">
        <f>VLOOKUP(B2558,airports!A:H,7,FALSE)</f>
        <v>29.533694440000001</v>
      </c>
      <c r="G2558" s="3">
        <f>VLOOKUP(B2558,airports!A:H,8,FALSE)</f>
        <v>-98.469777780000001</v>
      </c>
      <c r="H2558">
        <f t="shared" si="78"/>
        <v>797.2</v>
      </c>
      <c r="I2558">
        <f t="shared" si="79"/>
        <v>495.4</v>
      </c>
    </row>
    <row r="2559" spans="1:9" x14ac:dyDescent="0.25">
      <c r="A2559" s="5" t="s">
        <v>483</v>
      </c>
      <c r="B2559" s="5" t="s">
        <v>128</v>
      </c>
      <c r="C2559" s="5" t="s">
        <v>3009</v>
      </c>
      <c r="D2559" s="3">
        <f>VLOOKUP(A2559,airports!A:H,7,FALSE)</f>
        <v>31.806666669999998</v>
      </c>
      <c r="E2559" s="3">
        <f>VLOOKUP(A2559,airports!A:H,8,FALSE)</f>
        <v>-106.3778056</v>
      </c>
      <c r="F2559" s="3">
        <f>VLOOKUP(B2559,airports!A:H,7,FALSE)</f>
        <v>47.448981940000003</v>
      </c>
      <c r="G2559" s="3">
        <f>VLOOKUP(B2559,airports!A:H,8,FALSE)</f>
        <v>-122.3093131</v>
      </c>
      <c r="H2559">
        <f t="shared" si="78"/>
        <v>2201.5</v>
      </c>
      <c r="I2559">
        <f t="shared" si="79"/>
        <v>1368</v>
      </c>
    </row>
    <row r="2560" spans="1:9" x14ac:dyDescent="0.25">
      <c r="A2560" s="5" t="s">
        <v>483</v>
      </c>
      <c r="B2560" s="5" t="s">
        <v>191</v>
      </c>
      <c r="C2560" s="5" t="s">
        <v>3010</v>
      </c>
      <c r="D2560" s="3">
        <f>VLOOKUP(A2560,airports!A:H,7,FALSE)</f>
        <v>31.806666669999998</v>
      </c>
      <c r="E2560" s="3">
        <f>VLOOKUP(A2560,airports!A:H,8,FALSE)</f>
        <v>-106.3778056</v>
      </c>
      <c r="F2560" s="3">
        <f>VLOOKUP(B2560,airports!A:H,7,FALSE)</f>
        <v>28.7776</v>
      </c>
      <c r="G2560" s="3">
        <f>VLOOKUP(B2560,airports!A:H,8,FALSE)</f>
        <v>-81.237499999999997</v>
      </c>
      <c r="H2560">
        <f t="shared" si="78"/>
        <v>2431.6999999999998</v>
      </c>
      <c r="I2560">
        <f t="shared" si="79"/>
        <v>1511.1</v>
      </c>
    </row>
    <row r="2561" spans="1:9" x14ac:dyDescent="0.25">
      <c r="A2561" s="5" t="s">
        <v>483</v>
      </c>
      <c r="B2561" s="5" t="s">
        <v>131</v>
      </c>
      <c r="C2561" s="5" t="s">
        <v>3011</v>
      </c>
      <c r="D2561" s="3">
        <f>VLOOKUP(A2561,airports!A:H,7,FALSE)</f>
        <v>31.806666669999998</v>
      </c>
      <c r="E2561" s="3">
        <f>VLOOKUP(A2561,airports!A:H,8,FALSE)</f>
        <v>-106.3778056</v>
      </c>
      <c r="F2561" s="3">
        <f>VLOOKUP(B2561,airports!A:H,7,FALSE)</f>
        <v>37.361861939999997</v>
      </c>
      <c r="G2561" s="3">
        <f>VLOOKUP(B2561,airports!A:H,8,FALSE)</f>
        <v>-121.9290089</v>
      </c>
      <c r="H2561">
        <f t="shared" si="78"/>
        <v>1549.3</v>
      </c>
      <c r="I2561">
        <f t="shared" si="79"/>
        <v>962.8</v>
      </c>
    </row>
    <row r="2562" spans="1:9" x14ac:dyDescent="0.25">
      <c r="A2562" s="5" t="s">
        <v>483</v>
      </c>
      <c r="B2562" s="5" t="s">
        <v>135</v>
      </c>
      <c r="C2562" s="5" t="s">
        <v>3012</v>
      </c>
      <c r="D2562" s="3">
        <f>VLOOKUP(A2562,airports!A:H,7,FALSE)</f>
        <v>31.806666669999998</v>
      </c>
      <c r="E2562" s="3">
        <f>VLOOKUP(A2562,airports!A:H,8,FALSE)</f>
        <v>-106.3778056</v>
      </c>
      <c r="F2562" s="3">
        <f>VLOOKUP(B2562,airports!A:H,7,FALSE)</f>
        <v>40.788387780000001</v>
      </c>
      <c r="G2562" s="3">
        <f>VLOOKUP(B2562,airports!A:H,8,FALSE)</f>
        <v>-111.97777309999999</v>
      </c>
      <c r="H2562">
        <f t="shared" si="78"/>
        <v>1117.0999999999999</v>
      </c>
      <c r="I2562">
        <f t="shared" si="79"/>
        <v>694.2</v>
      </c>
    </row>
    <row r="2563" spans="1:9" x14ac:dyDescent="0.25">
      <c r="A2563" s="5" t="s">
        <v>1769</v>
      </c>
      <c r="B2563" s="5" t="s">
        <v>40</v>
      </c>
      <c r="C2563" s="5" t="s">
        <v>3013</v>
      </c>
      <c r="D2563" s="3">
        <f>VLOOKUP(A2563,airports!A:H,7,FALSE)</f>
        <v>42.082021390000001</v>
      </c>
      <c r="E2563" s="3">
        <f>VLOOKUP(A2563,airports!A:H,8,FALSE)</f>
        <v>-80.176215560000003</v>
      </c>
      <c r="F2563" s="3">
        <f>VLOOKUP(B2563,airports!A:H,7,FALSE)</f>
        <v>35.214011110000001</v>
      </c>
      <c r="G2563" s="3">
        <f>VLOOKUP(B2563,airports!A:H,8,FALSE)</f>
        <v>-80.94312583</v>
      </c>
      <c r="H2563">
        <f t="shared" si="78"/>
        <v>766.6</v>
      </c>
      <c r="I2563">
        <f t="shared" si="79"/>
        <v>476.4</v>
      </c>
    </row>
    <row r="2564" spans="1:9" ht="30" x14ac:dyDescent="0.25">
      <c r="A2564" s="5" t="s">
        <v>1769</v>
      </c>
      <c r="B2564" s="5" t="s">
        <v>50</v>
      </c>
      <c r="C2564" s="5" t="s">
        <v>3014</v>
      </c>
      <c r="D2564" s="3">
        <f>VLOOKUP(A2564,airports!A:H,7,FALSE)</f>
        <v>42.082021390000001</v>
      </c>
      <c r="E2564" s="3">
        <f>VLOOKUP(A2564,airports!A:H,8,FALSE)</f>
        <v>-80.176215560000003</v>
      </c>
      <c r="F2564" s="3">
        <f>VLOOKUP(B2564,airports!A:H,7,FALSE)</f>
        <v>42.212058890000002</v>
      </c>
      <c r="G2564" s="3">
        <f>VLOOKUP(B2564,airports!A:H,8,FALSE)</f>
        <v>-83.348835829999999</v>
      </c>
      <c r="H2564">
        <f t="shared" ref="H2564:H2627" si="80">ROUND(ACOS(COS(RADIANS(90-D2564)) * COS(RADIANS(90-F2564)) + SIN(RADIANS(90-D2564)) * SIN(RADIANS(90-F2564)) * COS(RADIANS(E2564-G2564))) * 6371,1)</f>
        <v>261.89999999999998</v>
      </c>
      <c r="I2564">
        <f t="shared" ref="I2564:I2627" si="81">ROUND(ACOS(COS(RADIANS(90-D2564)) * COS(RADIANS(90-F2564)) + SIN(RADIANS(90-D2564)) * SIN(RADIANS(90-F2564)) * COS(RADIANS(E2564-G2564))) * 3959,1)</f>
        <v>162.80000000000001</v>
      </c>
    </row>
    <row r="2565" spans="1:9" x14ac:dyDescent="0.25">
      <c r="A2565" s="5" t="s">
        <v>1769</v>
      </c>
      <c r="B2565" s="5" t="s">
        <v>176</v>
      </c>
      <c r="C2565" s="5" t="s">
        <v>3015</v>
      </c>
      <c r="D2565" s="3">
        <f>VLOOKUP(A2565,airports!A:H,7,FALSE)</f>
        <v>42.082021390000001</v>
      </c>
      <c r="E2565" s="3">
        <f>VLOOKUP(A2565,airports!A:H,8,FALSE)</f>
        <v>-80.176215560000003</v>
      </c>
      <c r="F2565" s="3">
        <f>VLOOKUP(B2565,airports!A:H,7,FALSE)</f>
        <v>38.944531939999997</v>
      </c>
      <c r="G2565" s="3">
        <f>VLOOKUP(B2565,airports!A:H,8,FALSE)</f>
        <v>-77.455809720000005</v>
      </c>
      <c r="H2565">
        <f t="shared" si="80"/>
        <v>417.8</v>
      </c>
      <c r="I2565">
        <f t="shared" si="81"/>
        <v>259.60000000000002</v>
      </c>
    </row>
    <row r="2566" spans="1:9" x14ac:dyDescent="0.25">
      <c r="A2566" s="5" t="s">
        <v>1769</v>
      </c>
      <c r="B2566" s="5" t="s">
        <v>1803</v>
      </c>
      <c r="C2566" s="5" t="s">
        <v>3016</v>
      </c>
      <c r="D2566" s="3">
        <f>VLOOKUP(A2566,airports!A:H,7,FALSE)</f>
        <v>42.082021390000001</v>
      </c>
      <c r="E2566" s="3">
        <f>VLOOKUP(A2566,airports!A:H,8,FALSE)</f>
        <v>-80.176215560000003</v>
      </c>
      <c r="F2566" s="3">
        <f>VLOOKUP(B2566,airports!A:H,7,FALSE)</f>
        <v>42.491027780000003</v>
      </c>
      <c r="G2566" s="3">
        <f>VLOOKUP(B2566,airports!A:H,8,FALSE)</f>
        <v>-76.458444439999994</v>
      </c>
      <c r="H2566">
        <f t="shared" si="80"/>
        <v>309.2</v>
      </c>
      <c r="I2566">
        <f t="shared" si="81"/>
        <v>192.1</v>
      </c>
    </row>
    <row r="2567" spans="1:9" x14ac:dyDescent="0.25">
      <c r="A2567" s="5" t="s">
        <v>1769</v>
      </c>
      <c r="B2567" s="5" t="s">
        <v>95</v>
      </c>
      <c r="C2567" s="5" t="s">
        <v>3017</v>
      </c>
      <c r="D2567" s="3">
        <f>VLOOKUP(A2567,airports!A:H,7,FALSE)</f>
        <v>42.082021390000001</v>
      </c>
      <c r="E2567" s="3">
        <f>VLOOKUP(A2567,airports!A:H,8,FALSE)</f>
        <v>-80.176215560000003</v>
      </c>
      <c r="F2567" s="3">
        <f>VLOOKUP(B2567,airports!A:H,7,FALSE)</f>
        <v>41.979595000000003</v>
      </c>
      <c r="G2567" s="3">
        <f>VLOOKUP(B2567,airports!A:H,8,FALSE)</f>
        <v>-87.904464169999997</v>
      </c>
      <c r="H2567">
        <f t="shared" si="80"/>
        <v>638.20000000000005</v>
      </c>
      <c r="I2567">
        <f t="shared" si="81"/>
        <v>396.6</v>
      </c>
    </row>
    <row r="2568" spans="1:9" x14ac:dyDescent="0.25">
      <c r="A2568" s="5" t="s">
        <v>1769</v>
      </c>
      <c r="B2568" s="5" t="s">
        <v>102</v>
      </c>
      <c r="C2568" s="5" t="s">
        <v>3018</v>
      </c>
      <c r="D2568" s="3">
        <f>VLOOKUP(A2568,airports!A:H,7,FALSE)</f>
        <v>42.082021390000001</v>
      </c>
      <c r="E2568" s="3">
        <f>VLOOKUP(A2568,airports!A:H,8,FALSE)</f>
        <v>-80.176215560000003</v>
      </c>
      <c r="F2568" s="3">
        <f>VLOOKUP(B2568,airports!A:H,7,FALSE)</f>
        <v>39.871952780000001</v>
      </c>
      <c r="G2568" s="3">
        <f>VLOOKUP(B2568,airports!A:H,8,FALSE)</f>
        <v>-75.241140830000006</v>
      </c>
      <c r="H2568">
        <f t="shared" si="80"/>
        <v>481.6</v>
      </c>
      <c r="I2568">
        <f t="shared" si="81"/>
        <v>299.3</v>
      </c>
    </row>
    <row r="2569" spans="1:9" ht="30" x14ac:dyDescent="0.25">
      <c r="A2569" s="5" t="s">
        <v>2843</v>
      </c>
      <c r="B2569" s="5" t="s">
        <v>50</v>
      </c>
      <c r="C2569" s="5" t="s">
        <v>3019</v>
      </c>
      <c r="D2569" s="3">
        <f>VLOOKUP(A2569,airports!A:H,7,FALSE)</f>
        <v>45.722669719999999</v>
      </c>
      <c r="E2569" s="3">
        <f>VLOOKUP(A2569,airports!A:H,8,FALSE)</f>
        <v>-87.093731390000002</v>
      </c>
      <c r="F2569" s="3">
        <f>VLOOKUP(B2569,airports!A:H,7,FALSE)</f>
        <v>42.212058890000002</v>
      </c>
      <c r="G2569" s="3">
        <f>VLOOKUP(B2569,airports!A:H,8,FALSE)</f>
        <v>-83.348835829999999</v>
      </c>
      <c r="H2569">
        <f t="shared" si="80"/>
        <v>492</v>
      </c>
      <c r="I2569">
        <f t="shared" si="81"/>
        <v>305.7</v>
      </c>
    </row>
    <row r="2570" spans="1:9" ht="30" x14ac:dyDescent="0.25">
      <c r="A2570" s="5" t="s">
        <v>2843</v>
      </c>
      <c r="B2570" s="5" t="s">
        <v>2886</v>
      </c>
      <c r="C2570" s="5" t="s">
        <v>3020</v>
      </c>
      <c r="D2570" s="3">
        <f>VLOOKUP(A2570,airports!A:H,7,FALSE)</f>
        <v>45.722669719999999</v>
      </c>
      <c r="E2570" s="3">
        <f>VLOOKUP(A2570,airports!A:H,8,FALSE)</f>
        <v>-87.093731390000002</v>
      </c>
      <c r="F2570" s="3">
        <f>VLOOKUP(B2570,airports!A:H,7,FALSE)</f>
        <v>46.353639000000001</v>
      </c>
      <c r="G2570" s="3">
        <f>VLOOKUP(B2570,airports!A:H,8,FALSE)</f>
        <v>-87.395360999999994</v>
      </c>
      <c r="H2570">
        <f t="shared" si="80"/>
        <v>73.900000000000006</v>
      </c>
      <c r="I2570">
        <f t="shared" si="81"/>
        <v>45.9</v>
      </c>
    </row>
    <row r="2571" spans="1:9" ht="30" x14ac:dyDescent="0.25">
      <c r="A2571" s="5" t="s">
        <v>2843</v>
      </c>
      <c r="B2571" s="5" t="s">
        <v>87</v>
      </c>
      <c r="C2571" s="5" t="s">
        <v>3021</v>
      </c>
      <c r="D2571" s="3">
        <f>VLOOKUP(A2571,airports!A:H,7,FALSE)</f>
        <v>45.722669719999999</v>
      </c>
      <c r="E2571" s="3">
        <f>VLOOKUP(A2571,airports!A:H,8,FALSE)</f>
        <v>-87.093731390000002</v>
      </c>
      <c r="F2571" s="3">
        <f>VLOOKUP(B2571,airports!A:H,7,FALSE)</f>
        <v>44.880546940000002</v>
      </c>
      <c r="G2571" s="3">
        <f>VLOOKUP(B2571,airports!A:H,8,FALSE)</f>
        <v>-93.216922499999995</v>
      </c>
      <c r="H2571">
        <f t="shared" si="80"/>
        <v>487.8</v>
      </c>
      <c r="I2571">
        <f t="shared" si="81"/>
        <v>303.2</v>
      </c>
    </row>
    <row r="2572" spans="1:9" ht="30" x14ac:dyDescent="0.25">
      <c r="A2572" s="5" t="s">
        <v>848</v>
      </c>
      <c r="B2572" s="5" t="s">
        <v>329</v>
      </c>
      <c r="C2572" s="5" t="s">
        <v>3022</v>
      </c>
      <c r="D2572" s="3">
        <f>VLOOKUP(A2572,airports!A:H,7,FALSE)</f>
        <v>44.123260000000002</v>
      </c>
      <c r="E2572" s="3">
        <f>VLOOKUP(A2572,airports!A:H,8,FALSE)</f>
        <v>-123.2186856</v>
      </c>
      <c r="F2572" s="3">
        <f>VLOOKUP(B2572,airports!A:H,7,FALSE)</f>
        <v>33.308999999999997</v>
      </c>
      <c r="G2572" s="3">
        <f>VLOOKUP(B2572,airports!A:H,8,FALSE)</f>
        <v>-111.6559</v>
      </c>
      <c r="H2572">
        <f t="shared" si="80"/>
        <v>1562.8</v>
      </c>
      <c r="I2572">
        <f t="shared" si="81"/>
        <v>971.1</v>
      </c>
    </row>
    <row r="2573" spans="1:9" ht="30" x14ac:dyDescent="0.25">
      <c r="A2573" s="5" t="s">
        <v>848</v>
      </c>
      <c r="B2573" s="5" t="s">
        <v>454</v>
      </c>
      <c r="C2573" s="5" t="s">
        <v>3023</v>
      </c>
      <c r="D2573" s="3">
        <f>VLOOKUP(A2573,airports!A:H,7,FALSE)</f>
        <v>44.123260000000002</v>
      </c>
      <c r="E2573" s="3">
        <f>VLOOKUP(A2573,airports!A:H,8,FALSE)</f>
        <v>-123.2186856</v>
      </c>
      <c r="F2573" s="3">
        <f>VLOOKUP(B2573,airports!A:H,7,FALSE)</f>
        <v>39.997985280000002</v>
      </c>
      <c r="G2573" s="3">
        <f>VLOOKUP(B2573,airports!A:H,8,FALSE)</f>
        <v>-82.891882780000003</v>
      </c>
      <c r="H2573">
        <f t="shared" si="80"/>
        <v>3326.9</v>
      </c>
      <c r="I2573">
        <f t="shared" si="81"/>
        <v>2067.3000000000002</v>
      </c>
    </row>
    <row r="2574" spans="1:9" ht="30" x14ac:dyDescent="0.25">
      <c r="A2574" s="5" t="s">
        <v>848</v>
      </c>
      <c r="B2574" s="5" t="s">
        <v>47</v>
      </c>
      <c r="C2574" s="5" t="s">
        <v>3024</v>
      </c>
      <c r="D2574" s="3">
        <f>VLOOKUP(A2574,airports!A:H,7,FALSE)</f>
        <v>44.123260000000002</v>
      </c>
      <c r="E2574" s="3">
        <f>VLOOKUP(A2574,airports!A:H,8,FALSE)</f>
        <v>-123.2186856</v>
      </c>
      <c r="F2574" s="3">
        <f>VLOOKUP(B2574,airports!A:H,7,FALSE)</f>
        <v>39.858408060000002</v>
      </c>
      <c r="G2574" s="3">
        <f>VLOOKUP(B2574,airports!A:H,8,FALSE)</f>
        <v>-104.6670019</v>
      </c>
      <c r="H2574">
        <f t="shared" si="80"/>
        <v>1600.8</v>
      </c>
      <c r="I2574">
        <f t="shared" si="81"/>
        <v>994.8</v>
      </c>
    </row>
    <row r="2575" spans="1:9" ht="30" x14ac:dyDescent="0.25">
      <c r="A2575" s="5" t="s">
        <v>848</v>
      </c>
      <c r="B2575" s="5" t="s">
        <v>49</v>
      </c>
      <c r="C2575" s="5" t="s">
        <v>3025</v>
      </c>
      <c r="D2575" s="3">
        <f>VLOOKUP(A2575,airports!A:H,7,FALSE)</f>
        <v>44.123260000000002</v>
      </c>
      <c r="E2575" s="3">
        <f>VLOOKUP(A2575,airports!A:H,8,FALSE)</f>
        <v>-123.2186856</v>
      </c>
      <c r="F2575" s="3">
        <f>VLOOKUP(B2575,airports!A:H,7,FALSE)</f>
        <v>32.895950560000003</v>
      </c>
      <c r="G2575" s="3">
        <f>VLOOKUP(B2575,airports!A:H,8,FALSE)</f>
        <v>-97.037199999999999</v>
      </c>
      <c r="H2575">
        <f t="shared" si="80"/>
        <v>2581.6</v>
      </c>
      <c r="I2575">
        <f t="shared" si="81"/>
        <v>1604.2</v>
      </c>
    </row>
    <row r="2576" spans="1:9" ht="30" x14ac:dyDescent="0.25">
      <c r="A2576" s="5" t="s">
        <v>848</v>
      </c>
      <c r="B2576" s="5" t="s">
        <v>71</v>
      </c>
      <c r="C2576" s="5" t="s">
        <v>3026</v>
      </c>
      <c r="D2576" s="3">
        <f>VLOOKUP(A2576,airports!A:H,7,FALSE)</f>
        <v>44.123260000000002</v>
      </c>
      <c r="E2576" s="3">
        <f>VLOOKUP(A2576,airports!A:H,8,FALSE)</f>
        <v>-123.2186856</v>
      </c>
      <c r="F2576" s="3">
        <f>VLOOKUP(B2576,airports!A:H,7,FALSE)</f>
        <v>36.080361109999998</v>
      </c>
      <c r="G2576" s="3">
        <f>VLOOKUP(B2576,airports!A:H,8,FALSE)</f>
        <v>-115.1523333</v>
      </c>
      <c r="H2576">
        <f t="shared" si="80"/>
        <v>1126</v>
      </c>
      <c r="I2576">
        <f t="shared" si="81"/>
        <v>699.7</v>
      </c>
    </row>
    <row r="2577" spans="1:9" ht="30" x14ac:dyDescent="0.25">
      <c r="A2577" s="5" t="s">
        <v>848</v>
      </c>
      <c r="B2577" s="5" t="s">
        <v>73</v>
      </c>
      <c r="C2577" s="5" t="s">
        <v>3027</v>
      </c>
      <c r="D2577" s="3">
        <f>VLOOKUP(A2577,airports!A:H,7,FALSE)</f>
        <v>44.123260000000002</v>
      </c>
      <c r="E2577" s="3">
        <f>VLOOKUP(A2577,airports!A:H,8,FALSE)</f>
        <v>-123.2186856</v>
      </c>
      <c r="F2577" s="3">
        <f>VLOOKUP(B2577,airports!A:H,7,FALSE)</f>
        <v>33.942536109999999</v>
      </c>
      <c r="G2577" s="3">
        <f>VLOOKUP(B2577,airports!A:H,8,FALSE)</f>
        <v>-118.4080744</v>
      </c>
      <c r="H2577">
        <f t="shared" si="80"/>
        <v>1205.3</v>
      </c>
      <c r="I2577">
        <f t="shared" si="81"/>
        <v>749</v>
      </c>
    </row>
    <row r="2578" spans="1:9" ht="30" x14ac:dyDescent="0.25">
      <c r="A2578" s="5" t="s">
        <v>848</v>
      </c>
      <c r="B2578" s="5" t="s">
        <v>215</v>
      </c>
      <c r="C2578" s="5" t="s">
        <v>3028</v>
      </c>
      <c r="D2578" s="3">
        <f>VLOOKUP(A2578,airports!A:H,7,FALSE)</f>
        <v>44.123260000000002</v>
      </c>
      <c r="E2578" s="3">
        <f>VLOOKUP(A2578,airports!A:H,8,FALSE)</f>
        <v>-123.2186856</v>
      </c>
      <c r="F2578" s="3">
        <f>VLOOKUP(B2578,airports!A:H,7,FALSE)</f>
        <v>37.721290830000001</v>
      </c>
      <c r="G2578" s="3">
        <f>VLOOKUP(B2578,airports!A:H,8,FALSE)</f>
        <v>-122.2207167</v>
      </c>
      <c r="H2578">
        <f t="shared" si="80"/>
        <v>716.8</v>
      </c>
      <c r="I2578">
        <f t="shared" si="81"/>
        <v>445.4</v>
      </c>
    </row>
    <row r="2579" spans="1:9" ht="30" x14ac:dyDescent="0.25">
      <c r="A2579" s="5" t="s">
        <v>848</v>
      </c>
      <c r="B2579" s="5" t="s">
        <v>95</v>
      </c>
      <c r="C2579" s="5" t="s">
        <v>3029</v>
      </c>
      <c r="D2579" s="3">
        <f>VLOOKUP(A2579,airports!A:H,7,FALSE)</f>
        <v>44.123260000000002</v>
      </c>
      <c r="E2579" s="3">
        <f>VLOOKUP(A2579,airports!A:H,8,FALSE)</f>
        <v>-123.2186856</v>
      </c>
      <c r="F2579" s="3">
        <f>VLOOKUP(B2579,airports!A:H,7,FALSE)</f>
        <v>41.979595000000003</v>
      </c>
      <c r="G2579" s="3">
        <f>VLOOKUP(B2579,airports!A:H,8,FALSE)</f>
        <v>-87.904464169999997</v>
      </c>
      <c r="H2579">
        <f t="shared" si="80"/>
        <v>2857.2</v>
      </c>
      <c r="I2579">
        <f t="shared" si="81"/>
        <v>1775.5</v>
      </c>
    </row>
    <row r="2580" spans="1:9" ht="30" x14ac:dyDescent="0.25">
      <c r="A2580" s="5" t="s">
        <v>848</v>
      </c>
      <c r="B2580" s="5" t="s">
        <v>2454</v>
      </c>
      <c r="C2580" s="5" t="s">
        <v>3030</v>
      </c>
      <c r="D2580" s="3">
        <f>VLOOKUP(A2580,airports!A:H,7,FALSE)</f>
        <v>44.123260000000002</v>
      </c>
      <c r="E2580" s="3">
        <f>VLOOKUP(A2580,airports!A:H,8,FALSE)</f>
        <v>-123.2186856</v>
      </c>
      <c r="F2580" s="3">
        <f>VLOOKUP(B2580,airports!A:H,7,FALSE)</f>
        <v>43.417138889999997</v>
      </c>
      <c r="G2580" s="3">
        <f>VLOOKUP(B2580,airports!A:H,8,FALSE)</f>
        <v>-124.24602779999999</v>
      </c>
      <c r="H2580">
        <f t="shared" si="80"/>
        <v>113.9</v>
      </c>
      <c r="I2580">
        <f t="shared" si="81"/>
        <v>70.8</v>
      </c>
    </row>
    <row r="2581" spans="1:9" ht="30" x14ac:dyDescent="0.25">
      <c r="A2581" s="5" t="s">
        <v>848</v>
      </c>
      <c r="B2581" s="5" t="s">
        <v>100</v>
      </c>
      <c r="C2581" s="5" t="s">
        <v>3031</v>
      </c>
      <c r="D2581" s="3">
        <f>VLOOKUP(A2581,airports!A:H,7,FALSE)</f>
        <v>44.123260000000002</v>
      </c>
      <c r="E2581" s="3">
        <f>VLOOKUP(A2581,airports!A:H,8,FALSE)</f>
        <v>-123.2186856</v>
      </c>
      <c r="F2581" s="3">
        <f>VLOOKUP(B2581,airports!A:H,7,FALSE)</f>
        <v>45.588722220000001</v>
      </c>
      <c r="G2581" s="3">
        <f>VLOOKUP(B2581,airports!A:H,8,FALSE)</f>
        <v>-122.5975</v>
      </c>
      <c r="H2581">
        <f t="shared" si="80"/>
        <v>170.1</v>
      </c>
      <c r="I2581">
        <f t="shared" si="81"/>
        <v>105.7</v>
      </c>
    </row>
    <row r="2582" spans="1:9" ht="30" x14ac:dyDescent="0.25">
      <c r="A2582" s="5" t="s">
        <v>848</v>
      </c>
      <c r="B2582" s="5" t="s">
        <v>104</v>
      </c>
      <c r="C2582" s="5" t="s">
        <v>3032</v>
      </c>
      <c r="D2582" s="3">
        <f>VLOOKUP(A2582,airports!A:H,7,FALSE)</f>
        <v>44.123260000000002</v>
      </c>
      <c r="E2582" s="3">
        <f>VLOOKUP(A2582,airports!A:H,8,FALSE)</f>
        <v>-123.2186856</v>
      </c>
      <c r="F2582" s="3">
        <f>VLOOKUP(B2582,airports!A:H,7,FALSE)</f>
        <v>33.434166670000003</v>
      </c>
      <c r="G2582" s="3">
        <f>VLOOKUP(B2582,airports!A:H,8,FALSE)</f>
        <v>-112.00805560000001</v>
      </c>
      <c r="H2582">
        <f t="shared" si="80"/>
        <v>1532.3</v>
      </c>
      <c r="I2582">
        <f t="shared" si="81"/>
        <v>952.2</v>
      </c>
    </row>
    <row r="2583" spans="1:9" ht="30" x14ac:dyDescent="0.25">
      <c r="A2583" s="5" t="s">
        <v>848</v>
      </c>
      <c r="B2583" s="5" t="s">
        <v>111</v>
      </c>
      <c r="C2583" s="5" t="s">
        <v>3033</v>
      </c>
      <c r="D2583" s="3">
        <f>VLOOKUP(A2583,airports!A:H,7,FALSE)</f>
        <v>44.123260000000002</v>
      </c>
      <c r="E2583" s="3">
        <f>VLOOKUP(A2583,airports!A:H,8,FALSE)</f>
        <v>-123.2186856</v>
      </c>
      <c r="F2583" s="3">
        <f>VLOOKUP(B2583,airports!A:H,7,FALSE)</f>
        <v>33.829215560000002</v>
      </c>
      <c r="G2583" s="3">
        <f>VLOOKUP(B2583,airports!A:H,8,FALSE)</f>
        <v>-116.5062531</v>
      </c>
      <c r="H2583">
        <f t="shared" si="80"/>
        <v>1282.2</v>
      </c>
      <c r="I2583">
        <f t="shared" si="81"/>
        <v>796.8</v>
      </c>
    </row>
    <row r="2584" spans="1:9" ht="30" x14ac:dyDescent="0.25">
      <c r="A2584" s="5" t="s">
        <v>848</v>
      </c>
      <c r="B2584" s="5" t="s">
        <v>124</v>
      </c>
      <c r="C2584" s="5" t="s">
        <v>3034</v>
      </c>
      <c r="D2584" s="3">
        <f>VLOOKUP(A2584,airports!A:H,7,FALSE)</f>
        <v>44.123260000000002</v>
      </c>
      <c r="E2584" s="3">
        <f>VLOOKUP(A2584,airports!A:H,8,FALSE)</f>
        <v>-123.2186856</v>
      </c>
      <c r="F2584" s="3">
        <f>VLOOKUP(B2584,airports!A:H,7,FALSE)</f>
        <v>32.733556110000002</v>
      </c>
      <c r="G2584" s="3">
        <f>VLOOKUP(B2584,airports!A:H,8,FALSE)</f>
        <v>-117.1896567</v>
      </c>
      <c r="H2584">
        <f t="shared" si="80"/>
        <v>1370.1</v>
      </c>
      <c r="I2584">
        <f t="shared" si="81"/>
        <v>851.4</v>
      </c>
    </row>
    <row r="2585" spans="1:9" ht="30" x14ac:dyDescent="0.25">
      <c r="A2585" s="5" t="s">
        <v>848</v>
      </c>
      <c r="B2585" s="5" t="s">
        <v>128</v>
      </c>
      <c r="C2585" s="5" t="s">
        <v>3035</v>
      </c>
      <c r="D2585" s="3">
        <f>VLOOKUP(A2585,airports!A:H,7,FALSE)</f>
        <v>44.123260000000002</v>
      </c>
      <c r="E2585" s="3">
        <f>VLOOKUP(A2585,airports!A:H,8,FALSE)</f>
        <v>-123.2186856</v>
      </c>
      <c r="F2585" s="3">
        <f>VLOOKUP(B2585,airports!A:H,7,FALSE)</f>
        <v>47.448981940000003</v>
      </c>
      <c r="G2585" s="3">
        <f>VLOOKUP(B2585,airports!A:H,8,FALSE)</f>
        <v>-122.3093131</v>
      </c>
      <c r="H2585">
        <f t="shared" si="80"/>
        <v>376.5</v>
      </c>
      <c r="I2585">
        <f t="shared" si="81"/>
        <v>233.9</v>
      </c>
    </row>
    <row r="2586" spans="1:9" ht="30" x14ac:dyDescent="0.25">
      <c r="A2586" s="5" t="s">
        <v>848</v>
      </c>
      <c r="B2586" s="5" t="s">
        <v>130</v>
      </c>
      <c r="C2586" s="5" t="s">
        <v>3036</v>
      </c>
      <c r="D2586" s="3">
        <f>VLOOKUP(A2586,airports!A:H,7,FALSE)</f>
        <v>44.123260000000002</v>
      </c>
      <c r="E2586" s="3">
        <f>VLOOKUP(A2586,airports!A:H,8,FALSE)</f>
        <v>-123.2186856</v>
      </c>
      <c r="F2586" s="3">
        <f>VLOOKUP(B2586,airports!A:H,7,FALSE)</f>
        <v>37.619001939999997</v>
      </c>
      <c r="G2586" s="3">
        <f>VLOOKUP(B2586,airports!A:H,8,FALSE)</f>
        <v>-122.37484329999999</v>
      </c>
      <c r="H2586">
        <f t="shared" si="80"/>
        <v>726.7</v>
      </c>
      <c r="I2586">
        <f t="shared" si="81"/>
        <v>451.6</v>
      </c>
    </row>
    <row r="2587" spans="1:9" x14ac:dyDescent="0.25">
      <c r="A2587" s="5" t="s">
        <v>848</v>
      </c>
      <c r="B2587" s="5" t="s">
        <v>131</v>
      </c>
      <c r="C2587" s="5" t="s">
        <v>3037</v>
      </c>
      <c r="D2587" s="3">
        <f>VLOOKUP(A2587,airports!A:H,7,FALSE)</f>
        <v>44.123260000000002</v>
      </c>
      <c r="E2587" s="3">
        <f>VLOOKUP(A2587,airports!A:H,8,FALSE)</f>
        <v>-123.2186856</v>
      </c>
      <c r="F2587" s="3">
        <f>VLOOKUP(B2587,airports!A:H,7,FALSE)</f>
        <v>37.361861939999997</v>
      </c>
      <c r="G2587" s="3">
        <f>VLOOKUP(B2587,airports!A:H,8,FALSE)</f>
        <v>-121.9290089</v>
      </c>
      <c r="H2587">
        <f t="shared" si="80"/>
        <v>759.6</v>
      </c>
      <c r="I2587">
        <f t="shared" si="81"/>
        <v>472</v>
      </c>
    </row>
    <row r="2588" spans="1:9" x14ac:dyDescent="0.25">
      <c r="A2588" s="5" t="s">
        <v>848</v>
      </c>
      <c r="B2588" s="5" t="s">
        <v>135</v>
      </c>
      <c r="C2588" s="5" t="s">
        <v>3038</v>
      </c>
      <c r="D2588" s="3">
        <f>VLOOKUP(A2588,airports!A:H,7,FALSE)</f>
        <v>44.123260000000002</v>
      </c>
      <c r="E2588" s="3">
        <f>VLOOKUP(A2588,airports!A:H,8,FALSE)</f>
        <v>-123.2186856</v>
      </c>
      <c r="F2588" s="3">
        <f>VLOOKUP(B2588,airports!A:H,7,FALSE)</f>
        <v>40.788387780000001</v>
      </c>
      <c r="G2588" s="3">
        <f>VLOOKUP(B2588,airports!A:H,8,FALSE)</f>
        <v>-111.97777309999999</v>
      </c>
      <c r="H2588">
        <f t="shared" si="80"/>
        <v>992.9</v>
      </c>
      <c r="I2588">
        <f t="shared" si="81"/>
        <v>617</v>
      </c>
    </row>
    <row r="2589" spans="1:9" ht="30" x14ac:dyDescent="0.25">
      <c r="A2589" s="5" t="s">
        <v>848</v>
      </c>
      <c r="B2589" s="5" t="s">
        <v>227</v>
      </c>
      <c r="C2589" s="5" t="s">
        <v>3039</v>
      </c>
      <c r="D2589" s="3">
        <f>VLOOKUP(A2589,airports!A:H,7,FALSE)</f>
        <v>44.123260000000002</v>
      </c>
      <c r="E2589" s="3">
        <f>VLOOKUP(A2589,airports!A:H,8,FALSE)</f>
        <v>-123.2186856</v>
      </c>
      <c r="F2589" s="3">
        <f>VLOOKUP(B2589,airports!A:H,7,FALSE)</f>
        <v>33.675658609999999</v>
      </c>
      <c r="G2589" s="3">
        <f>VLOOKUP(B2589,airports!A:H,8,FALSE)</f>
        <v>-117.8682225</v>
      </c>
      <c r="H2589">
        <f t="shared" si="80"/>
        <v>1249.9000000000001</v>
      </c>
      <c r="I2589">
        <f t="shared" si="81"/>
        <v>776.7</v>
      </c>
    </row>
    <row r="2590" spans="1:9" ht="30" x14ac:dyDescent="0.25">
      <c r="A2590" s="5" t="s">
        <v>485</v>
      </c>
      <c r="B2590" s="5" t="s">
        <v>10</v>
      </c>
      <c r="C2590" s="5" t="s">
        <v>3040</v>
      </c>
      <c r="D2590" s="3">
        <f>VLOOKUP(A2590,airports!A:H,7,FALSE)</f>
        <v>38.037991390000002</v>
      </c>
      <c r="E2590" s="3">
        <f>VLOOKUP(A2590,airports!A:H,8,FALSE)</f>
        <v>-87.530626670000004</v>
      </c>
      <c r="F2590" s="3">
        <f>VLOOKUP(B2590,airports!A:H,7,FALSE)</f>
        <v>33.640444440000003</v>
      </c>
      <c r="G2590" s="3">
        <f>VLOOKUP(B2590,airports!A:H,8,FALSE)</f>
        <v>-84.42694444</v>
      </c>
      <c r="H2590">
        <f t="shared" si="80"/>
        <v>563.29999999999995</v>
      </c>
      <c r="I2590">
        <f t="shared" si="81"/>
        <v>350</v>
      </c>
    </row>
    <row r="2591" spans="1:9" x14ac:dyDescent="0.25">
      <c r="A2591" s="5" t="s">
        <v>485</v>
      </c>
      <c r="B2591" s="5" t="s">
        <v>40</v>
      </c>
      <c r="C2591" s="5" t="s">
        <v>3041</v>
      </c>
      <c r="D2591" s="3">
        <f>VLOOKUP(A2591,airports!A:H,7,FALSE)</f>
        <v>38.037991390000002</v>
      </c>
      <c r="E2591" s="3">
        <f>VLOOKUP(A2591,airports!A:H,8,FALSE)</f>
        <v>-87.530626670000004</v>
      </c>
      <c r="F2591" s="3">
        <f>VLOOKUP(B2591,airports!A:H,7,FALSE)</f>
        <v>35.214011110000001</v>
      </c>
      <c r="G2591" s="3">
        <f>VLOOKUP(B2591,airports!A:H,8,FALSE)</f>
        <v>-80.94312583</v>
      </c>
      <c r="H2591">
        <f t="shared" si="80"/>
        <v>666.2</v>
      </c>
      <c r="I2591">
        <f t="shared" si="81"/>
        <v>414</v>
      </c>
    </row>
    <row r="2592" spans="1:9" ht="30" x14ac:dyDescent="0.25">
      <c r="A2592" s="5" t="s">
        <v>485</v>
      </c>
      <c r="B2592" s="5" t="s">
        <v>49</v>
      </c>
      <c r="C2592" s="5" t="s">
        <v>3042</v>
      </c>
      <c r="D2592" s="3">
        <f>VLOOKUP(A2592,airports!A:H,7,FALSE)</f>
        <v>38.037991390000002</v>
      </c>
      <c r="E2592" s="3">
        <f>VLOOKUP(A2592,airports!A:H,8,FALSE)</f>
        <v>-87.530626670000004</v>
      </c>
      <c r="F2592" s="3">
        <f>VLOOKUP(B2592,airports!A:H,7,FALSE)</f>
        <v>32.895950560000003</v>
      </c>
      <c r="G2592" s="3">
        <f>VLOOKUP(B2592,airports!A:H,8,FALSE)</f>
        <v>-97.037199999999999</v>
      </c>
      <c r="H2592">
        <f t="shared" si="80"/>
        <v>1032.5999999999999</v>
      </c>
      <c r="I2592">
        <f t="shared" si="81"/>
        <v>641.70000000000005</v>
      </c>
    </row>
    <row r="2593" spans="1:9" ht="30" x14ac:dyDescent="0.25">
      <c r="A2593" s="5" t="s">
        <v>485</v>
      </c>
      <c r="B2593" s="5" t="s">
        <v>50</v>
      </c>
      <c r="C2593" s="5" t="s">
        <v>3043</v>
      </c>
      <c r="D2593" s="3">
        <f>VLOOKUP(A2593,airports!A:H,7,FALSE)</f>
        <v>38.037991390000002</v>
      </c>
      <c r="E2593" s="3">
        <f>VLOOKUP(A2593,airports!A:H,8,FALSE)</f>
        <v>-87.530626670000004</v>
      </c>
      <c r="F2593" s="3">
        <f>VLOOKUP(B2593,airports!A:H,7,FALSE)</f>
        <v>42.212058890000002</v>
      </c>
      <c r="G2593" s="3">
        <f>VLOOKUP(B2593,airports!A:H,8,FALSE)</f>
        <v>-83.348835829999999</v>
      </c>
      <c r="H2593">
        <f t="shared" si="80"/>
        <v>584.5</v>
      </c>
      <c r="I2593">
        <f t="shared" si="81"/>
        <v>363.2</v>
      </c>
    </row>
    <row r="2594" spans="1:9" ht="30" x14ac:dyDescent="0.25">
      <c r="A2594" s="5" t="s">
        <v>485</v>
      </c>
      <c r="B2594" s="5" t="s">
        <v>95</v>
      </c>
      <c r="C2594" s="5" t="s">
        <v>3044</v>
      </c>
      <c r="D2594" s="3">
        <f>VLOOKUP(A2594,airports!A:H,7,FALSE)</f>
        <v>38.037991390000002</v>
      </c>
      <c r="E2594" s="3">
        <f>VLOOKUP(A2594,airports!A:H,8,FALSE)</f>
        <v>-87.530626670000004</v>
      </c>
      <c r="F2594" s="3">
        <f>VLOOKUP(B2594,airports!A:H,7,FALSE)</f>
        <v>41.979595000000003</v>
      </c>
      <c r="G2594" s="3">
        <f>VLOOKUP(B2594,airports!A:H,8,FALSE)</f>
        <v>-87.904464169999997</v>
      </c>
      <c r="H2594">
        <f t="shared" si="80"/>
        <v>439.4</v>
      </c>
      <c r="I2594">
        <f t="shared" si="81"/>
        <v>273.10000000000002</v>
      </c>
    </row>
    <row r="2595" spans="1:9" ht="30" x14ac:dyDescent="0.25">
      <c r="A2595" s="5" t="s">
        <v>485</v>
      </c>
      <c r="B2595" s="5" t="s">
        <v>191</v>
      </c>
      <c r="C2595" s="5" t="s">
        <v>3045</v>
      </c>
      <c r="D2595" s="3">
        <f>VLOOKUP(A2595,airports!A:H,7,FALSE)</f>
        <v>38.037991390000002</v>
      </c>
      <c r="E2595" s="3">
        <f>VLOOKUP(A2595,airports!A:H,8,FALSE)</f>
        <v>-87.530626670000004</v>
      </c>
      <c r="F2595" s="3">
        <f>VLOOKUP(B2595,airports!A:H,7,FALSE)</f>
        <v>28.7776</v>
      </c>
      <c r="G2595" s="3">
        <f>VLOOKUP(B2595,airports!A:H,8,FALSE)</f>
        <v>-81.237499999999997</v>
      </c>
      <c r="H2595">
        <f t="shared" si="80"/>
        <v>1183.0999999999999</v>
      </c>
      <c r="I2595">
        <f t="shared" si="81"/>
        <v>735.2</v>
      </c>
    </row>
    <row r="2596" spans="1:9" ht="30" x14ac:dyDescent="0.25">
      <c r="A2596" s="5" t="s">
        <v>485</v>
      </c>
      <c r="B2596" s="5" t="s">
        <v>668</v>
      </c>
      <c r="C2596" s="5" t="s">
        <v>3046</v>
      </c>
      <c r="D2596" s="3">
        <f>VLOOKUP(A2596,airports!A:H,7,FALSE)</f>
        <v>38.037991390000002</v>
      </c>
      <c r="E2596" s="3">
        <f>VLOOKUP(A2596,airports!A:H,8,FALSE)</f>
        <v>-87.530626670000004</v>
      </c>
      <c r="F2596" s="3">
        <f>VLOOKUP(B2596,airports!A:H,7,FALSE)</f>
        <v>30.483250000000002</v>
      </c>
      <c r="G2596" s="3">
        <f>VLOOKUP(B2596,airports!A:H,8,FALSE)</f>
        <v>-86.525400000000005</v>
      </c>
      <c r="H2596">
        <f t="shared" si="80"/>
        <v>845.1</v>
      </c>
      <c r="I2596">
        <f t="shared" si="81"/>
        <v>525.20000000000005</v>
      </c>
    </row>
    <row r="2597" spans="1:9" ht="30" x14ac:dyDescent="0.25">
      <c r="A2597" s="5" t="s">
        <v>487</v>
      </c>
      <c r="B2597" s="5" t="s">
        <v>10</v>
      </c>
      <c r="C2597" s="5" t="s">
        <v>3047</v>
      </c>
      <c r="D2597" s="3">
        <f>VLOOKUP(A2597,airports!A:H,7,FALSE)</f>
        <v>35.072972219999997</v>
      </c>
      <c r="E2597" s="3">
        <f>VLOOKUP(A2597,airports!A:H,8,FALSE)</f>
        <v>-77.042944439999999</v>
      </c>
      <c r="F2597" s="3">
        <f>VLOOKUP(B2597,airports!A:H,7,FALSE)</f>
        <v>33.640444440000003</v>
      </c>
      <c r="G2597" s="3">
        <f>VLOOKUP(B2597,airports!A:H,8,FALSE)</f>
        <v>-84.42694444</v>
      </c>
      <c r="H2597">
        <f t="shared" si="80"/>
        <v>696.1</v>
      </c>
      <c r="I2597">
        <f t="shared" si="81"/>
        <v>432.6</v>
      </c>
    </row>
    <row r="2598" spans="1:9" ht="30" x14ac:dyDescent="0.25">
      <c r="A2598" s="5" t="s">
        <v>487</v>
      </c>
      <c r="B2598" s="5" t="s">
        <v>40</v>
      </c>
      <c r="C2598" s="5" t="s">
        <v>3048</v>
      </c>
      <c r="D2598" s="3">
        <f>VLOOKUP(A2598,airports!A:H,7,FALSE)</f>
        <v>35.072972219999997</v>
      </c>
      <c r="E2598" s="3">
        <f>VLOOKUP(A2598,airports!A:H,8,FALSE)</f>
        <v>-77.042944439999999</v>
      </c>
      <c r="F2598" s="3">
        <f>VLOOKUP(B2598,airports!A:H,7,FALSE)</f>
        <v>35.214011110000001</v>
      </c>
      <c r="G2598" s="3">
        <f>VLOOKUP(B2598,airports!A:H,8,FALSE)</f>
        <v>-80.94312583</v>
      </c>
      <c r="H2598">
        <f t="shared" si="80"/>
        <v>354.9</v>
      </c>
      <c r="I2598">
        <f t="shared" si="81"/>
        <v>220.6</v>
      </c>
    </row>
    <row r="2599" spans="1:9" ht="30" x14ac:dyDescent="0.25">
      <c r="A2599" s="5" t="s">
        <v>487</v>
      </c>
      <c r="B2599" s="5" t="s">
        <v>45</v>
      </c>
      <c r="C2599" s="5" t="s">
        <v>3049</v>
      </c>
      <c r="D2599" s="3">
        <f>VLOOKUP(A2599,airports!A:H,7,FALSE)</f>
        <v>35.072972219999997</v>
      </c>
      <c r="E2599" s="3">
        <f>VLOOKUP(A2599,airports!A:H,8,FALSE)</f>
        <v>-77.042944439999999</v>
      </c>
      <c r="F2599" s="3">
        <f>VLOOKUP(B2599,airports!A:H,7,FALSE)</f>
        <v>38.852083329999999</v>
      </c>
      <c r="G2599" s="3">
        <f>VLOOKUP(B2599,airports!A:H,8,FALSE)</f>
        <v>-77.037722220000006</v>
      </c>
      <c r="H2599">
        <f t="shared" si="80"/>
        <v>420.2</v>
      </c>
      <c r="I2599">
        <f t="shared" si="81"/>
        <v>261.10000000000002</v>
      </c>
    </row>
    <row r="2600" spans="1:9" ht="30" x14ac:dyDescent="0.25">
      <c r="A2600" s="5" t="s">
        <v>52</v>
      </c>
      <c r="B2600" s="5" t="s">
        <v>5</v>
      </c>
      <c r="C2600" s="5" t="s">
        <v>3050</v>
      </c>
      <c r="D2600" s="3">
        <f>VLOOKUP(A2600,airports!A:H,7,FALSE)</f>
        <v>40.69249722</v>
      </c>
      <c r="E2600" s="3">
        <f>VLOOKUP(A2600,airports!A:H,8,FALSE)</f>
        <v>-74.168660560000006</v>
      </c>
      <c r="F2600" s="3">
        <f>VLOOKUP(B2600,airports!A:H,7,FALSE)</f>
        <v>41.253051939999999</v>
      </c>
      <c r="G2600" s="3">
        <f>VLOOKUP(B2600,airports!A:H,8,FALSE)</f>
        <v>-70.060181389999997</v>
      </c>
      <c r="H2600">
        <f t="shared" si="80"/>
        <v>350.5</v>
      </c>
      <c r="I2600">
        <f t="shared" si="81"/>
        <v>217.8</v>
      </c>
    </row>
    <row r="2601" spans="1:9" ht="30" x14ac:dyDescent="0.25">
      <c r="A2601" s="5" t="s">
        <v>52</v>
      </c>
      <c r="B2601" s="5" t="s">
        <v>7</v>
      </c>
      <c r="C2601" s="5" t="s">
        <v>3051</v>
      </c>
      <c r="D2601" s="3">
        <f>VLOOKUP(A2601,airports!A:H,7,FALSE)</f>
        <v>40.69249722</v>
      </c>
      <c r="E2601" s="3">
        <f>VLOOKUP(A2601,airports!A:H,8,FALSE)</f>
        <v>-74.168660560000006</v>
      </c>
      <c r="F2601" s="3">
        <f>VLOOKUP(B2601,airports!A:H,7,FALSE)</f>
        <v>42.748119440000004</v>
      </c>
      <c r="G2601" s="3">
        <f>VLOOKUP(B2601,airports!A:H,8,FALSE)</f>
        <v>-73.802978609999997</v>
      </c>
      <c r="H2601">
        <f t="shared" si="80"/>
        <v>230.6</v>
      </c>
      <c r="I2601">
        <f t="shared" si="81"/>
        <v>143.30000000000001</v>
      </c>
    </row>
    <row r="2602" spans="1:9" ht="30" x14ac:dyDescent="0.25">
      <c r="A2602" s="5" t="s">
        <v>52</v>
      </c>
      <c r="B2602" s="5" t="s">
        <v>265</v>
      </c>
      <c r="C2602" s="5" t="s">
        <v>3052</v>
      </c>
      <c r="D2602" s="3">
        <f>VLOOKUP(A2602,airports!A:H,7,FALSE)</f>
        <v>40.69249722</v>
      </c>
      <c r="E2602" s="3">
        <f>VLOOKUP(A2602,airports!A:H,8,FALSE)</f>
        <v>-74.168660560000006</v>
      </c>
      <c r="F2602" s="3">
        <f>VLOOKUP(B2602,airports!A:H,7,FALSE)</f>
        <v>61.174320280000003</v>
      </c>
      <c r="G2602" s="3">
        <f>VLOOKUP(B2602,airports!A:H,8,FALSE)</f>
        <v>-149.99618559999999</v>
      </c>
      <c r="H2602">
        <f t="shared" si="80"/>
        <v>5409.1</v>
      </c>
      <c r="I2602">
        <f t="shared" si="81"/>
        <v>3361.3</v>
      </c>
    </row>
    <row r="2603" spans="1:9" ht="30" x14ac:dyDescent="0.25">
      <c r="A2603" s="5" t="s">
        <v>52</v>
      </c>
      <c r="B2603" s="5" t="s">
        <v>10</v>
      </c>
      <c r="C2603" s="5" t="s">
        <v>3053</v>
      </c>
      <c r="D2603" s="3">
        <f>VLOOKUP(A2603,airports!A:H,7,FALSE)</f>
        <v>40.69249722</v>
      </c>
      <c r="E2603" s="3">
        <f>VLOOKUP(A2603,airports!A:H,8,FALSE)</f>
        <v>-74.168660560000006</v>
      </c>
      <c r="F2603" s="3">
        <f>VLOOKUP(B2603,airports!A:H,7,FALSE)</f>
        <v>33.640444440000003</v>
      </c>
      <c r="G2603" s="3">
        <f>VLOOKUP(B2603,airports!A:H,8,FALSE)</f>
        <v>-84.42694444</v>
      </c>
      <c r="H2603">
        <f t="shared" si="80"/>
        <v>1199</v>
      </c>
      <c r="I2603">
        <f t="shared" si="81"/>
        <v>745</v>
      </c>
    </row>
    <row r="2604" spans="1:9" ht="30" x14ac:dyDescent="0.25">
      <c r="A2604" s="5" t="s">
        <v>52</v>
      </c>
      <c r="B2604" s="5" t="s">
        <v>13</v>
      </c>
      <c r="C2604" s="5" t="s">
        <v>3054</v>
      </c>
      <c r="D2604" s="3">
        <f>VLOOKUP(A2604,airports!A:H,7,FALSE)</f>
        <v>40.69249722</v>
      </c>
      <c r="E2604" s="3">
        <f>VLOOKUP(A2604,airports!A:H,8,FALSE)</f>
        <v>-74.168660560000006</v>
      </c>
      <c r="F2604" s="3">
        <f>VLOOKUP(B2604,airports!A:H,7,FALSE)</f>
        <v>30.194532779999999</v>
      </c>
      <c r="G2604" s="3">
        <f>VLOOKUP(B2604,airports!A:H,8,FALSE)</f>
        <v>-97.669871939999993</v>
      </c>
      <c r="H2604">
        <f t="shared" si="80"/>
        <v>2416.9</v>
      </c>
      <c r="I2604">
        <f t="shared" si="81"/>
        <v>1501.9</v>
      </c>
    </row>
    <row r="2605" spans="1:9" ht="30" x14ac:dyDescent="0.25">
      <c r="A2605" s="5" t="s">
        <v>52</v>
      </c>
      <c r="B2605" s="5" t="s">
        <v>419</v>
      </c>
      <c r="C2605" s="5" t="s">
        <v>3055</v>
      </c>
      <c r="D2605" s="3">
        <f>VLOOKUP(A2605,airports!A:H,7,FALSE)</f>
        <v>40.69249722</v>
      </c>
      <c r="E2605" s="3">
        <f>VLOOKUP(A2605,airports!A:H,8,FALSE)</f>
        <v>-74.168660560000006</v>
      </c>
      <c r="F2605" s="3">
        <f>VLOOKUP(B2605,airports!A:H,7,FALSE)</f>
        <v>35.436194440000001</v>
      </c>
      <c r="G2605" s="3">
        <f>VLOOKUP(B2605,airports!A:H,8,FALSE)</f>
        <v>-82.54180556</v>
      </c>
      <c r="H2605">
        <f t="shared" si="80"/>
        <v>936.8</v>
      </c>
      <c r="I2605">
        <f t="shared" si="81"/>
        <v>582.1</v>
      </c>
    </row>
    <row r="2606" spans="1:9" ht="30" x14ac:dyDescent="0.25">
      <c r="A2606" s="5" t="s">
        <v>52</v>
      </c>
      <c r="B2606" s="5" t="s">
        <v>421</v>
      </c>
      <c r="C2606" s="5" t="s">
        <v>3056</v>
      </c>
      <c r="D2606" s="3">
        <f>VLOOKUP(A2606,airports!A:H,7,FALSE)</f>
        <v>40.69249722</v>
      </c>
      <c r="E2606" s="3">
        <f>VLOOKUP(A2606,airports!A:H,8,FALSE)</f>
        <v>-74.168660560000006</v>
      </c>
      <c r="F2606" s="3">
        <f>VLOOKUP(B2606,airports!A:H,7,FALSE)</f>
        <v>41.338149440000002</v>
      </c>
      <c r="G2606" s="3">
        <f>VLOOKUP(B2606,airports!A:H,8,FALSE)</f>
        <v>-75.724267499999996</v>
      </c>
      <c r="H2606">
        <f t="shared" si="80"/>
        <v>149</v>
      </c>
      <c r="I2606">
        <f t="shared" si="81"/>
        <v>92.6</v>
      </c>
    </row>
    <row r="2607" spans="1:9" ht="30" x14ac:dyDescent="0.25">
      <c r="A2607" s="5" t="s">
        <v>52</v>
      </c>
      <c r="B2607" s="5" t="s">
        <v>16</v>
      </c>
      <c r="C2607" s="5" t="s">
        <v>3057</v>
      </c>
      <c r="D2607" s="3">
        <f>VLOOKUP(A2607,airports!A:H,7,FALSE)</f>
        <v>40.69249722</v>
      </c>
      <c r="E2607" s="3">
        <f>VLOOKUP(A2607,airports!A:H,8,FALSE)</f>
        <v>-74.168660560000006</v>
      </c>
      <c r="F2607" s="3">
        <f>VLOOKUP(B2607,airports!A:H,7,FALSE)</f>
        <v>41.938874169999998</v>
      </c>
      <c r="G2607" s="3">
        <f>VLOOKUP(B2607,airports!A:H,8,FALSE)</f>
        <v>-72.683228330000006</v>
      </c>
      <c r="H2607">
        <f t="shared" si="80"/>
        <v>186</v>
      </c>
      <c r="I2607">
        <f t="shared" si="81"/>
        <v>115.6</v>
      </c>
    </row>
    <row r="2608" spans="1:9" ht="30" x14ac:dyDescent="0.25">
      <c r="A2608" s="5" t="s">
        <v>52</v>
      </c>
      <c r="B2608" s="5" t="s">
        <v>233</v>
      </c>
      <c r="C2608" s="5" t="s">
        <v>3058</v>
      </c>
      <c r="D2608" s="3">
        <f>VLOOKUP(A2608,airports!A:H,7,FALSE)</f>
        <v>40.69249722</v>
      </c>
      <c r="E2608" s="3">
        <f>VLOOKUP(A2608,airports!A:H,8,FALSE)</f>
        <v>-74.168660560000006</v>
      </c>
      <c r="F2608" s="3">
        <f>VLOOKUP(B2608,airports!A:H,7,FALSE)</f>
        <v>44.807444439999998</v>
      </c>
      <c r="G2608" s="3">
        <f>VLOOKUP(B2608,airports!A:H,8,FALSE)</f>
        <v>-68.828138890000005</v>
      </c>
      <c r="H2608">
        <f t="shared" si="80"/>
        <v>631.79999999999995</v>
      </c>
      <c r="I2608">
        <f t="shared" si="81"/>
        <v>392.6</v>
      </c>
    </row>
    <row r="2609" spans="1:9" ht="30" x14ac:dyDescent="0.25">
      <c r="A2609" s="5" t="s">
        <v>52</v>
      </c>
      <c r="B2609" s="5" t="s">
        <v>19</v>
      </c>
      <c r="C2609" s="5" t="s">
        <v>3059</v>
      </c>
      <c r="D2609" s="3">
        <f>VLOOKUP(A2609,airports!A:H,7,FALSE)</f>
        <v>40.69249722</v>
      </c>
      <c r="E2609" s="3">
        <f>VLOOKUP(A2609,airports!A:H,8,FALSE)</f>
        <v>-74.168660560000006</v>
      </c>
      <c r="F2609" s="3">
        <f>VLOOKUP(B2609,airports!A:H,7,FALSE)</f>
        <v>36.12447667</v>
      </c>
      <c r="G2609" s="3">
        <f>VLOOKUP(B2609,airports!A:H,8,FALSE)</f>
        <v>-86.678182219999997</v>
      </c>
      <c r="H2609">
        <f t="shared" si="80"/>
        <v>1201</v>
      </c>
      <c r="I2609">
        <f t="shared" si="81"/>
        <v>746.3</v>
      </c>
    </row>
    <row r="2610" spans="1:9" ht="30" x14ac:dyDescent="0.25">
      <c r="A2610" s="5" t="s">
        <v>52</v>
      </c>
      <c r="B2610" s="5" t="s">
        <v>24</v>
      </c>
      <c r="C2610" s="5" t="s">
        <v>3060</v>
      </c>
      <c r="D2610" s="3">
        <f>VLOOKUP(A2610,airports!A:H,7,FALSE)</f>
        <v>40.69249722</v>
      </c>
      <c r="E2610" s="3">
        <f>VLOOKUP(A2610,airports!A:H,8,FALSE)</f>
        <v>-74.168660560000006</v>
      </c>
      <c r="F2610" s="3">
        <f>VLOOKUP(B2610,airports!A:H,7,FALSE)</f>
        <v>42.364347500000001</v>
      </c>
      <c r="G2610" s="3">
        <f>VLOOKUP(B2610,airports!A:H,8,FALSE)</f>
        <v>-71.005179170000005</v>
      </c>
      <c r="H2610">
        <f t="shared" si="80"/>
        <v>322.3</v>
      </c>
      <c r="I2610">
        <f t="shared" si="81"/>
        <v>200.3</v>
      </c>
    </row>
    <row r="2611" spans="1:9" ht="30" x14ac:dyDescent="0.25">
      <c r="A2611" s="5" t="s">
        <v>52</v>
      </c>
      <c r="B2611" s="5" t="s">
        <v>25</v>
      </c>
      <c r="C2611" s="5" t="s">
        <v>3061</v>
      </c>
      <c r="D2611" s="3">
        <f>VLOOKUP(A2611,airports!A:H,7,FALSE)</f>
        <v>40.69249722</v>
      </c>
      <c r="E2611" s="3">
        <f>VLOOKUP(A2611,airports!A:H,8,FALSE)</f>
        <v>-74.168660560000006</v>
      </c>
      <c r="F2611" s="3">
        <f>VLOOKUP(B2611,airports!A:H,7,FALSE)</f>
        <v>18.494861109999999</v>
      </c>
      <c r="G2611" s="3">
        <f>VLOOKUP(B2611,airports!A:H,8,FALSE)</f>
        <v>-67.12944444</v>
      </c>
      <c r="H2611">
        <f t="shared" si="80"/>
        <v>2558.1</v>
      </c>
      <c r="I2611">
        <f t="shared" si="81"/>
        <v>1589.6</v>
      </c>
    </row>
    <row r="2612" spans="1:9" ht="30" x14ac:dyDescent="0.25">
      <c r="A2612" s="5" t="s">
        <v>52</v>
      </c>
      <c r="B2612" s="5" t="s">
        <v>27</v>
      </c>
      <c r="C2612" s="5" t="s">
        <v>3062</v>
      </c>
      <c r="D2612" s="3">
        <f>VLOOKUP(A2612,airports!A:H,7,FALSE)</f>
        <v>40.69249722</v>
      </c>
      <c r="E2612" s="3">
        <f>VLOOKUP(A2612,airports!A:H,8,FALSE)</f>
        <v>-74.168660560000006</v>
      </c>
      <c r="F2612" s="3">
        <f>VLOOKUP(B2612,airports!A:H,7,FALSE)</f>
        <v>44.473003609999999</v>
      </c>
      <c r="G2612" s="3">
        <f>VLOOKUP(B2612,airports!A:H,8,FALSE)</f>
        <v>-73.150312499999998</v>
      </c>
      <c r="H2612">
        <f t="shared" si="80"/>
        <v>428.6</v>
      </c>
      <c r="I2612">
        <f t="shared" si="81"/>
        <v>266.3</v>
      </c>
    </row>
    <row r="2613" spans="1:9" ht="30" x14ac:dyDescent="0.25">
      <c r="A2613" s="5" t="s">
        <v>52</v>
      </c>
      <c r="B2613" s="5" t="s">
        <v>29</v>
      </c>
      <c r="C2613" s="5" t="s">
        <v>3063</v>
      </c>
      <c r="D2613" s="3">
        <f>VLOOKUP(A2613,airports!A:H,7,FALSE)</f>
        <v>40.69249722</v>
      </c>
      <c r="E2613" s="3">
        <f>VLOOKUP(A2613,airports!A:H,8,FALSE)</f>
        <v>-74.168660560000006</v>
      </c>
      <c r="F2613" s="3">
        <f>VLOOKUP(B2613,airports!A:H,7,FALSE)</f>
        <v>42.940524719999999</v>
      </c>
      <c r="G2613" s="3">
        <f>VLOOKUP(B2613,airports!A:H,8,FALSE)</f>
        <v>-78.732166669999998</v>
      </c>
      <c r="H2613">
        <f t="shared" si="80"/>
        <v>453.2</v>
      </c>
      <c r="I2613">
        <f t="shared" si="81"/>
        <v>281.60000000000002</v>
      </c>
    </row>
    <row r="2614" spans="1:9" ht="30" x14ac:dyDescent="0.25">
      <c r="A2614" s="5" t="s">
        <v>52</v>
      </c>
      <c r="B2614" s="5" t="s">
        <v>32</v>
      </c>
      <c r="C2614" s="5" t="s">
        <v>3064</v>
      </c>
      <c r="D2614" s="3">
        <f>VLOOKUP(A2614,airports!A:H,7,FALSE)</f>
        <v>40.69249722</v>
      </c>
      <c r="E2614" s="3">
        <f>VLOOKUP(A2614,airports!A:H,8,FALSE)</f>
        <v>-74.168660560000006</v>
      </c>
      <c r="F2614" s="3">
        <f>VLOOKUP(B2614,airports!A:H,7,FALSE)</f>
        <v>39.175401669999999</v>
      </c>
      <c r="G2614" s="3">
        <f>VLOOKUP(B2614,airports!A:H,8,FALSE)</f>
        <v>-76.668198329999996</v>
      </c>
      <c r="H2614">
        <f t="shared" si="80"/>
        <v>271.8</v>
      </c>
      <c r="I2614">
        <f t="shared" si="81"/>
        <v>168.9</v>
      </c>
    </row>
    <row r="2615" spans="1:9" ht="30" x14ac:dyDescent="0.25">
      <c r="A2615" s="5" t="s">
        <v>52</v>
      </c>
      <c r="B2615" s="5" t="s">
        <v>34</v>
      </c>
      <c r="C2615" s="5" t="s">
        <v>3065</v>
      </c>
      <c r="D2615" s="3">
        <f>VLOOKUP(A2615,airports!A:H,7,FALSE)</f>
        <v>40.69249722</v>
      </c>
      <c r="E2615" s="3">
        <f>VLOOKUP(A2615,airports!A:H,8,FALSE)</f>
        <v>-74.168660560000006</v>
      </c>
      <c r="F2615" s="3">
        <f>VLOOKUP(B2615,airports!A:H,7,FALSE)</f>
        <v>45.776901389999999</v>
      </c>
      <c r="G2615" s="3">
        <f>VLOOKUP(B2615,airports!A:H,8,FALSE)</f>
        <v>-111.1530072</v>
      </c>
      <c r="H2615">
        <f t="shared" si="80"/>
        <v>3021</v>
      </c>
      <c r="I2615">
        <f t="shared" si="81"/>
        <v>1877.3</v>
      </c>
    </row>
    <row r="2616" spans="1:9" ht="30" x14ac:dyDescent="0.25">
      <c r="A2616" s="5" t="s">
        <v>52</v>
      </c>
      <c r="B2616" s="5" t="s">
        <v>443</v>
      </c>
      <c r="C2616" s="5" t="s">
        <v>3066</v>
      </c>
      <c r="D2616" s="3">
        <f>VLOOKUP(A2616,airports!A:H,7,FALSE)</f>
        <v>40.69249722</v>
      </c>
      <c r="E2616" s="3">
        <f>VLOOKUP(A2616,airports!A:H,8,FALSE)</f>
        <v>-74.168660560000006</v>
      </c>
      <c r="F2616" s="3">
        <f>VLOOKUP(B2616,airports!A:H,7,FALSE)</f>
        <v>40.91631194</v>
      </c>
      <c r="G2616" s="3">
        <f>VLOOKUP(B2616,airports!A:H,8,FALSE)</f>
        <v>-81.442465560000002</v>
      </c>
      <c r="H2616">
        <f t="shared" si="80"/>
        <v>612.6</v>
      </c>
      <c r="I2616">
        <f t="shared" si="81"/>
        <v>380.6</v>
      </c>
    </row>
    <row r="2617" spans="1:9" ht="30" x14ac:dyDescent="0.25">
      <c r="A2617" s="5" t="s">
        <v>52</v>
      </c>
      <c r="B2617" s="5" t="s">
        <v>445</v>
      </c>
      <c r="C2617" s="5" t="s">
        <v>3067</v>
      </c>
      <c r="D2617" s="3">
        <f>VLOOKUP(A2617,airports!A:H,7,FALSE)</f>
        <v>40.69249722</v>
      </c>
      <c r="E2617" s="3">
        <f>VLOOKUP(A2617,airports!A:H,8,FALSE)</f>
        <v>-74.168660560000006</v>
      </c>
      <c r="F2617" s="3">
        <f>VLOOKUP(B2617,airports!A:H,7,FALSE)</f>
        <v>35.035268330000001</v>
      </c>
      <c r="G2617" s="3">
        <f>VLOOKUP(B2617,airports!A:H,8,FALSE)</f>
        <v>-85.203787779999999</v>
      </c>
      <c r="H2617">
        <f t="shared" si="80"/>
        <v>1153.5999999999999</v>
      </c>
      <c r="I2617">
        <f t="shared" si="81"/>
        <v>716.9</v>
      </c>
    </row>
    <row r="2618" spans="1:9" ht="30" x14ac:dyDescent="0.25">
      <c r="A2618" s="5" t="s">
        <v>52</v>
      </c>
      <c r="B2618" s="5" t="s">
        <v>36</v>
      </c>
      <c r="C2618" s="5" t="s">
        <v>3068</v>
      </c>
      <c r="D2618" s="3">
        <f>VLOOKUP(A2618,airports!A:H,7,FALSE)</f>
        <v>40.69249722</v>
      </c>
      <c r="E2618" s="3">
        <f>VLOOKUP(A2618,airports!A:H,8,FALSE)</f>
        <v>-74.168660560000006</v>
      </c>
      <c r="F2618" s="3">
        <f>VLOOKUP(B2618,airports!A:H,7,FALSE)</f>
        <v>32.898646390000003</v>
      </c>
      <c r="G2618" s="3">
        <f>VLOOKUP(B2618,airports!A:H,8,FALSE)</f>
        <v>-80.040505830000001</v>
      </c>
      <c r="H2618">
        <f t="shared" si="80"/>
        <v>1011.5</v>
      </c>
      <c r="I2618">
        <f t="shared" si="81"/>
        <v>628.6</v>
      </c>
    </row>
    <row r="2619" spans="1:9" ht="30" x14ac:dyDescent="0.25">
      <c r="A2619" s="5" t="s">
        <v>52</v>
      </c>
      <c r="B2619" s="5" t="s">
        <v>38</v>
      </c>
      <c r="C2619" s="5" t="s">
        <v>3069</v>
      </c>
      <c r="D2619" s="3">
        <f>VLOOKUP(A2619,airports!A:H,7,FALSE)</f>
        <v>40.69249722</v>
      </c>
      <c r="E2619" s="3">
        <f>VLOOKUP(A2619,airports!A:H,8,FALSE)</f>
        <v>-74.168660560000006</v>
      </c>
      <c r="F2619" s="3">
        <f>VLOOKUP(B2619,airports!A:H,7,FALSE)</f>
        <v>41.410894169999999</v>
      </c>
      <c r="G2619" s="3">
        <f>VLOOKUP(B2619,airports!A:H,8,FALSE)</f>
        <v>-81.849396670000004</v>
      </c>
      <c r="H2619">
        <f t="shared" si="80"/>
        <v>648.79999999999995</v>
      </c>
      <c r="I2619">
        <f t="shared" si="81"/>
        <v>403.2</v>
      </c>
    </row>
    <row r="2620" spans="1:9" ht="30" x14ac:dyDescent="0.25">
      <c r="A2620" s="5" t="s">
        <v>52</v>
      </c>
      <c r="B2620" s="5" t="s">
        <v>40</v>
      </c>
      <c r="C2620" s="5" t="s">
        <v>3070</v>
      </c>
      <c r="D2620" s="3">
        <f>VLOOKUP(A2620,airports!A:H,7,FALSE)</f>
        <v>40.69249722</v>
      </c>
      <c r="E2620" s="3">
        <f>VLOOKUP(A2620,airports!A:H,8,FALSE)</f>
        <v>-74.168660560000006</v>
      </c>
      <c r="F2620" s="3">
        <f>VLOOKUP(B2620,airports!A:H,7,FALSE)</f>
        <v>35.214011110000001</v>
      </c>
      <c r="G2620" s="3">
        <f>VLOOKUP(B2620,airports!A:H,8,FALSE)</f>
        <v>-80.94312583</v>
      </c>
      <c r="H2620">
        <f t="shared" si="80"/>
        <v>850.3</v>
      </c>
      <c r="I2620">
        <f t="shared" si="81"/>
        <v>528.4</v>
      </c>
    </row>
    <row r="2621" spans="1:9" ht="30" x14ac:dyDescent="0.25">
      <c r="A2621" s="5" t="s">
        <v>52</v>
      </c>
      <c r="B2621" s="5" t="s">
        <v>454</v>
      </c>
      <c r="C2621" s="5" t="s">
        <v>3071</v>
      </c>
      <c r="D2621" s="3">
        <f>VLOOKUP(A2621,airports!A:H,7,FALSE)</f>
        <v>40.69249722</v>
      </c>
      <c r="E2621" s="3">
        <f>VLOOKUP(A2621,airports!A:H,8,FALSE)</f>
        <v>-74.168660560000006</v>
      </c>
      <c r="F2621" s="3">
        <f>VLOOKUP(B2621,airports!A:H,7,FALSE)</f>
        <v>39.997985280000002</v>
      </c>
      <c r="G2621" s="3">
        <f>VLOOKUP(B2621,airports!A:H,8,FALSE)</f>
        <v>-82.891882780000003</v>
      </c>
      <c r="H2621">
        <f t="shared" si="80"/>
        <v>743</v>
      </c>
      <c r="I2621">
        <f t="shared" si="81"/>
        <v>461.7</v>
      </c>
    </row>
    <row r="2622" spans="1:9" ht="30" x14ac:dyDescent="0.25">
      <c r="A2622" s="5" t="s">
        <v>52</v>
      </c>
      <c r="B2622" s="5" t="s">
        <v>462</v>
      </c>
      <c r="C2622" s="5" t="s">
        <v>3072</v>
      </c>
      <c r="D2622" s="3">
        <f>VLOOKUP(A2622,airports!A:H,7,FALSE)</f>
        <v>40.69249722</v>
      </c>
      <c r="E2622" s="3">
        <f>VLOOKUP(A2622,airports!A:H,8,FALSE)</f>
        <v>-74.168660560000006</v>
      </c>
      <c r="F2622" s="3">
        <f>VLOOKUP(B2622,airports!A:H,7,FALSE)</f>
        <v>39.046142779999997</v>
      </c>
      <c r="G2622" s="3">
        <f>VLOOKUP(B2622,airports!A:H,8,FALSE)</f>
        <v>-84.662172499999997</v>
      </c>
      <c r="H2622">
        <f t="shared" si="80"/>
        <v>913.5</v>
      </c>
      <c r="I2622">
        <f t="shared" si="81"/>
        <v>567.6</v>
      </c>
    </row>
    <row r="2623" spans="1:9" ht="30" x14ac:dyDescent="0.25">
      <c r="A2623" s="5" t="s">
        <v>52</v>
      </c>
      <c r="B2623" s="5" t="s">
        <v>467</v>
      </c>
      <c r="C2623" s="5" t="s">
        <v>3073</v>
      </c>
      <c r="D2623" s="3">
        <f>VLOOKUP(A2623,airports!A:H,7,FALSE)</f>
        <v>40.69249722</v>
      </c>
      <c r="E2623" s="3">
        <f>VLOOKUP(A2623,airports!A:H,8,FALSE)</f>
        <v>-74.168660560000006</v>
      </c>
      <c r="F2623" s="3">
        <f>VLOOKUP(B2623,airports!A:H,7,FALSE)</f>
        <v>39.902375829999997</v>
      </c>
      <c r="G2623" s="3">
        <f>VLOOKUP(B2623,airports!A:H,8,FALSE)</f>
        <v>-84.219374999999999</v>
      </c>
      <c r="H2623">
        <f t="shared" si="80"/>
        <v>856.4</v>
      </c>
      <c r="I2623">
        <f t="shared" si="81"/>
        <v>532.20000000000005</v>
      </c>
    </row>
    <row r="2624" spans="1:9" ht="30" x14ac:dyDescent="0.25">
      <c r="A2624" s="5" t="s">
        <v>52</v>
      </c>
      <c r="B2624" s="5" t="s">
        <v>45</v>
      </c>
      <c r="C2624" s="5" t="s">
        <v>3074</v>
      </c>
      <c r="D2624" s="3">
        <f>VLOOKUP(A2624,airports!A:H,7,FALSE)</f>
        <v>40.69249722</v>
      </c>
      <c r="E2624" s="3">
        <f>VLOOKUP(A2624,airports!A:H,8,FALSE)</f>
        <v>-74.168660560000006</v>
      </c>
      <c r="F2624" s="3">
        <f>VLOOKUP(B2624,airports!A:H,7,FALSE)</f>
        <v>38.852083329999999</v>
      </c>
      <c r="G2624" s="3">
        <f>VLOOKUP(B2624,airports!A:H,8,FALSE)</f>
        <v>-77.037722220000006</v>
      </c>
      <c r="H2624">
        <f t="shared" si="80"/>
        <v>319.3</v>
      </c>
      <c r="I2624">
        <f t="shared" si="81"/>
        <v>198.4</v>
      </c>
    </row>
    <row r="2625" spans="1:9" ht="30" x14ac:dyDescent="0.25">
      <c r="A2625" s="5" t="s">
        <v>52</v>
      </c>
      <c r="B2625" s="5" t="s">
        <v>47</v>
      </c>
      <c r="C2625" s="5" t="s">
        <v>3075</v>
      </c>
      <c r="D2625" s="3">
        <f>VLOOKUP(A2625,airports!A:H,7,FALSE)</f>
        <v>40.69249722</v>
      </c>
      <c r="E2625" s="3">
        <f>VLOOKUP(A2625,airports!A:H,8,FALSE)</f>
        <v>-74.168660560000006</v>
      </c>
      <c r="F2625" s="3">
        <f>VLOOKUP(B2625,airports!A:H,7,FALSE)</f>
        <v>39.858408060000002</v>
      </c>
      <c r="G2625" s="3">
        <f>VLOOKUP(B2625,airports!A:H,8,FALSE)</f>
        <v>-104.6670019</v>
      </c>
      <c r="H2625">
        <f t="shared" si="80"/>
        <v>2576</v>
      </c>
      <c r="I2625">
        <f t="shared" si="81"/>
        <v>1600.7</v>
      </c>
    </row>
    <row r="2626" spans="1:9" ht="30" x14ac:dyDescent="0.25">
      <c r="A2626" s="5" t="s">
        <v>52</v>
      </c>
      <c r="B2626" s="5" t="s">
        <v>49</v>
      </c>
      <c r="C2626" s="5" t="s">
        <v>3076</v>
      </c>
      <c r="D2626" s="3">
        <f>VLOOKUP(A2626,airports!A:H,7,FALSE)</f>
        <v>40.69249722</v>
      </c>
      <c r="E2626" s="3">
        <f>VLOOKUP(A2626,airports!A:H,8,FALSE)</f>
        <v>-74.168660560000006</v>
      </c>
      <c r="F2626" s="3">
        <f>VLOOKUP(B2626,airports!A:H,7,FALSE)</f>
        <v>32.895950560000003</v>
      </c>
      <c r="G2626" s="3">
        <f>VLOOKUP(B2626,airports!A:H,8,FALSE)</f>
        <v>-97.037199999999999</v>
      </c>
      <c r="H2626">
        <f t="shared" si="80"/>
        <v>2204.8000000000002</v>
      </c>
      <c r="I2626">
        <f t="shared" si="81"/>
        <v>1370.1</v>
      </c>
    </row>
    <row r="2627" spans="1:9" ht="30" x14ac:dyDescent="0.25">
      <c r="A2627" s="5" t="s">
        <v>52</v>
      </c>
      <c r="B2627" s="5" t="s">
        <v>474</v>
      </c>
      <c r="C2627" s="5" t="s">
        <v>3077</v>
      </c>
      <c r="D2627" s="3">
        <f>VLOOKUP(A2627,airports!A:H,7,FALSE)</f>
        <v>40.69249722</v>
      </c>
      <c r="E2627" s="3">
        <f>VLOOKUP(A2627,airports!A:H,8,FALSE)</f>
        <v>-74.168660560000006</v>
      </c>
      <c r="F2627" s="3">
        <f>VLOOKUP(B2627,airports!A:H,7,FALSE)</f>
        <v>41.53493306</v>
      </c>
      <c r="G2627" s="3">
        <f>VLOOKUP(B2627,airports!A:H,8,FALSE)</f>
        <v>-93.660682219999998</v>
      </c>
      <c r="H2627">
        <f t="shared" si="80"/>
        <v>1632.2</v>
      </c>
      <c r="I2627">
        <f t="shared" si="81"/>
        <v>1014.2</v>
      </c>
    </row>
    <row r="2628" spans="1:9" ht="30" x14ac:dyDescent="0.25">
      <c r="A2628" s="5" t="s">
        <v>52</v>
      </c>
      <c r="B2628" s="5" t="s">
        <v>50</v>
      </c>
      <c r="C2628" s="5" t="s">
        <v>3078</v>
      </c>
      <c r="D2628" s="3">
        <f>VLOOKUP(A2628,airports!A:H,7,FALSE)</f>
        <v>40.69249722</v>
      </c>
      <c r="E2628" s="3">
        <f>VLOOKUP(A2628,airports!A:H,8,FALSE)</f>
        <v>-74.168660560000006</v>
      </c>
      <c r="F2628" s="3">
        <f>VLOOKUP(B2628,airports!A:H,7,FALSE)</f>
        <v>42.212058890000002</v>
      </c>
      <c r="G2628" s="3">
        <f>VLOOKUP(B2628,airports!A:H,8,FALSE)</f>
        <v>-83.348835829999999</v>
      </c>
      <c r="H2628">
        <f t="shared" ref="H2628:H2691" si="82">ROUND(ACOS(COS(RADIANS(90-D2628)) * COS(RADIANS(90-F2628)) + SIN(RADIANS(90-D2628)) * SIN(RADIANS(90-F2628)) * COS(RADIANS(E2628-G2628))) * 6371,1)</f>
        <v>783.1</v>
      </c>
      <c r="I2628">
        <f t="shared" ref="I2628:I2691" si="83">ROUND(ACOS(COS(RADIANS(90-D2628)) * COS(RADIANS(90-F2628)) + SIN(RADIANS(90-D2628)) * SIN(RADIANS(90-F2628)) * COS(RADIANS(E2628-G2628))) * 3959,1)</f>
        <v>486.6</v>
      </c>
    </row>
    <row r="2629" spans="1:9" ht="30" x14ac:dyDescent="0.25">
      <c r="A2629" s="5" t="s">
        <v>52</v>
      </c>
      <c r="B2629" s="5" t="s">
        <v>479</v>
      </c>
      <c r="C2629" s="5" t="s">
        <v>3079</v>
      </c>
      <c r="D2629" s="3">
        <f>VLOOKUP(A2629,airports!A:H,7,FALSE)</f>
        <v>40.69249722</v>
      </c>
      <c r="E2629" s="3">
        <f>VLOOKUP(A2629,airports!A:H,8,FALSE)</f>
        <v>-74.168660560000006</v>
      </c>
      <c r="F2629" s="3">
        <f>VLOOKUP(B2629,airports!A:H,7,FALSE)</f>
        <v>39.64256778</v>
      </c>
      <c r="G2629" s="3">
        <f>VLOOKUP(B2629,airports!A:H,8,FALSE)</f>
        <v>-106.91769530000001</v>
      </c>
      <c r="H2629">
        <f t="shared" si="82"/>
        <v>2769</v>
      </c>
      <c r="I2629">
        <f t="shared" si="83"/>
        <v>1720.7</v>
      </c>
    </row>
    <row r="2630" spans="1:9" ht="30" x14ac:dyDescent="0.25">
      <c r="A2630" s="5" t="s">
        <v>52</v>
      </c>
      <c r="B2630" s="5" t="s">
        <v>481</v>
      </c>
      <c r="C2630" s="5" t="s">
        <v>3080</v>
      </c>
      <c r="D2630" s="3">
        <f>VLOOKUP(A2630,airports!A:H,7,FALSE)</f>
        <v>40.69249722</v>
      </c>
      <c r="E2630" s="3">
        <f>VLOOKUP(A2630,airports!A:H,8,FALSE)</f>
        <v>-74.168660560000006</v>
      </c>
      <c r="F2630" s="3">
        <f>VLOOKUP(B2630,airports!A:H,7,FALSE)</f>
        <v>42.159913609999997</v>
      </c>
      <c r="G2630" s="3">
        <f>VLOOKUP(B2630,airports!A:H,8,FALSE)</f>
        <v>-76.891443330000001</v>
      </c>
      <c r="H2630">
        <f t="shared" si="82"/>
        <v>279.5</v>
      </c>
      <c r="I2630">
        <f t="shared" si="83"/>
        <v>173.7</v>
      </c>
    </row>
    <row r="2631" spans="1:9" ht="30" x14ac:dyDescent="0.25">
      <c r="A2631" s="5" t="s">
        <v>52</v>
      </c>
      <c r="B2631" s="5" t="s">
        <v>54</v>
      </c>
      <c r="C2631" s="5" t="s">
        <v>3081</v>
      </c>
      <c r="D2631" s="3">
        <f>VLOOKUP(A2631,airports!A:H,7,FALSE)</f>
        <v>40.69249722</v>
      </c>
      <c r="E2631" s="3">
        <f>VLOOKUP(A2631,airports!A:H,8,FALSE)</f>
        <v>-74.168660560000006</v>
      </c>
      <c r="F2631" s="3">
        <f>VLOOKUP(B2631,airports!A:H,7,FALSE)</f>
        <v>24.55611111</v>
      </c>
      <c r="G2631" s="3">
        <f>VLOOKUP(B2631,airports!A:H,8,FALSE)</f>
        <v>-81.759555559999995</v>
      </c>
      <c r="H2631">
        <f t="shared" si="82"/>
        <v>1928</v>
      </c>
      <c r="I2631">
        <f t="shared" si="83"/>
        <v>1198.0999999999999</v>
      </c>
    </row>
    <row r="2632" spans="1:9" ht="30" x14ac:dyDescent="0.25">
      <c r="A2632" s="5" t="s">
        <v>52</v>
      </c>
      <c r="B2632" s="5" t="s">
        <v>57</v>
      </c>
      <c r="C2632" s="5" t="s">
        <v>3082</v>
      </c>
      <c r="D2632" s="3">
        <f>VLOOKUP(A2632,airports!A:H,7,FALSE)</f>
        <v>40.69249722</v>
      </c>
      <c r="E2632" s="3">
        <f>VLOOKUP(A2632,airports!A:H,8,FALSE)</f>
        <v>-74.168660560000006</v>
      </c>
      <c r="F2632" s="3">
        <f>VLOOKUP(B2632,airports!A:H,7,FALSE)</f>
        <v>26.072583330000001</v>
      </c>
      <c r="G2632" s="3">
        <f>VLOOKUP(B2632,airports!A:H,8,FALSE)</f>
        <v>-80.152749999999997</v>
      </c>
      <c r="H2632">
        <f t="shared" si="82"/>
        <v>1716.8</v>
      </c>
      <c r="I2632">
        <f t="shared" si="83"/>
        <v>1066.9000000000001</v>
      </c>
    </row>
    <row r="2633" spans="1:9" ht="30" x14ac:dyDescent="0.25">
      <c r="A2633" s="5" t="s">
        <v>52</v>
      </c>
      <c r="B2633" s="5" t="s">
        <v>503</v>
      </c>
      <c r="C2633" s="5" t="s">
        <v>3083</v>
      </c>
      <c r="D2633" s="3">
        <f>VLOOKUP(A2633,airports!A:H,7,FALSE)</f>
        <v>40.69249722</v>
      </c>
      <c r="E2633" s="3">
        <f>VLOOKUP(A2633,airports!A:H,8,FALSE)</f>
        <v>-74.168660560000006</v>
      </c>
      <c r="F2633" s="3">
        <f>VLOOKUP(B2633,airports!A:H,7,FALSE)</f>
        <v>40.978465829999998</v>
      </c>
      <c r="G2633" s="3">
        <f>VLOOKUP(B2633,airports!A:H,8,FALSE)</f>
        <v>-85.195146390000005</v>
      </c>
      <c r="H2633">
        <f t="shared" si="82"/>
        <v>927.6</v>
      </c>
      <c r="I2633">
        <f t="shared" si="83"/>
        <v>576.4</v>
      </c>
    </row>
    <row r="2634" spans="1:9" ht="30" x14ac:dyDescent="0.25">
      <c r="A2634" s="5" t="s">
        <v>52</v>
      </c>
      <c r="B2634" s="5" t="s">
        <v>515</v>
      </c>
      <c r="C2634" s="5" t="s">
        <v>3084</v>
      </c>
      <c r="D2634" s="3">
        <f>VLOOKUP(A2634,airports!A:H,7,FALSE)</f>
        <v>40.69249722</v>
      </c>
      <c r="E2634" s="3">
        <f>VLOOKUP(A2634,airports!A:H,8,FALSE)</f>
        <v>-74.168660560000006</v>
      </c>
      <c r="F2634" s="3">
        <f>VLOOKUP(B2634,airports!A:H,7,FALSE)</f>
        <v>42.880819719999998</v>
      </c>
      <c r="G2634" s="3">
        <f>VLOOKUP(B2634,airports!A:H,8,FALSE)</f>
        <v>-85.522767779999995</v>
      </c>
      <c r="H2634">
        <f t="shared" si="82"/>
        <v>971.5</v>
      </c>
      <c r="I2634">
        <f t="shared" si="83"/>
        <v>603.70000000000005</v>
      </c>
    </row>
    <row r="2635" spans="1:9" ht="30" x14ac:dyDescent="0.25">
      <c r="A2635" s="5" t="s">
        <v>52</v>
      </c>
      <c r="B2635" s="5" t="s">
        <v>517</v>
      </c>
      <c r="C2635" s="5" t="s">
        <v>3085</v>
      </c>
      <c r="D2635" s="3">
        <f>VLOOKUP(A2635,airports!A:H,7,FALSE)</f>
        <v>40.69249722</v>
      </c>
      <c r="E2635" s="3">
        <f>VLOOKUP(A2635,airports!A:H,8,FALSE)</f>
        <v>-74.168660560000006</v>
      </c>
      <c r="F2635" s="3">
        <f>VLOOKUP(B2635,airports!A:H,7,FALSE)</f>
        <v>36.09774694</v>
      </c>
      <c r="G2635" s="3">
        <f>VLOOKUP(B2635,airports!A:H,8,FALSE)</f>
        <v>-79.9372975</v>
      </c>
      <c r="H2635">
        <f t="shared" si="82"/>
        <v>716.4</v>
      </c>
      <c r="I2635">
        <f t="shared" si="83"/>
        <v>445.2</v>
      </c>
    </row>
    <row r="2636" spans="1:9" ht="30" x14ac:dyDescent="0.25">
      <c r="A2636" s="5" t="s">
        <v>52</v>
      </c>
      <c r="B2636" s="5" t="s">
        <v>519</v>
      </c>
      <c r="C2636" s="5" t="s">
        <v>3086</v>
      </c>
      <c r="D2636" s="3">
        <f>VLOOKUP(A2636,airports!A:H,7,FALSE)</f>
        <v>40.69249722</v>
      </c>
      <c r="E2636" s="3">
        <f>VLOOKUP(A2636,airports!A:H,8,FALSE)</f>
        <v>-74.168660560000006</v>
      </c>
      <c r="F2636" s="3">
        <f>VLOOKUP(B2636,airports!A:H,7,FALSE)</f>
        <v>34.89566722</v>
      </c>
      <c r="G2636" s="3">
        <f>VLOOKUP(B2636,airports!A:H,8,FALSE)</f>
        <v>-82.218858330000003</v>
      </c>
      <c r="H2636">
        <f t="shared" si="82"/>
        <v>956.2</v>
      </c>
      <c r="I2636">
        <f t="shared" si="83"/>
        <v>594.20000000000005</v>
      </c>
    </row>
    <row r="2637" spans="1:9" ht="30" x14ac:dyDescent="0.25">
      <c r="A2637" s="5" t="s">
        <v>52</v>
      </c>
      <c r="B2637" s="5" t="s">
        <v>64</v>
      </c>
      <c r="C2637" s="5" t="s">
        <v>3087</v>
      </c>
      <c r="D2637" s="3">
        <f>VLOOKUP(A2637,airports!A:H,7,FALSE)</f>
        <v>40.69249722</v>
      </c>
      <c r="E2637" s="3">
        <f>VLOOKUP(A2637,airports!A:H,8,FALSE)</f>
        <v>-74.168660560000006</v>
      </c>
      <c r="F2637" s="3">
        <f>VLOOKUP(B2637,airports!A:H,7,FALSE)</f>
        <v>40.481180279999997</v>
      </c>
      <c r="G2637" s="3">
        <f>VLOOKUP(B2637,airports!A:H,8,FALSE)</f>
        <v>-107.2176597</v>
      </c>
      <c r="H2637">
        <f t="shared" si="82"/>
        <v>2774.2</v>
      </c>
      <c r="I2637">
        <f t="shared" si="83"/>
        <v>1723.9</v>
      </c>
    </row>
    <row r="2638" spans="1:9" ht="30" x14ac:dyDescent="0.25">
      <c r="A2638" s="5" t="s">
        <v>52</v>
      </c>
      <c r="B2638" s="5" t="s">
        <v>524</v>
      </c>
      <c r="C2638" s="5" t="s">
        <v>3088</v>
      </c>
      <c r="D2638" s="3">
        <f>VLOOKUP(A2638,airports!A:H,7,FALSE)</f>
        <v>40.69249722</v>
      </c>
      <c r="E2638" s="3">
        <f>VLOOKUP(A2638,airports!A:H,8,FALSE)</f>
        <v>-74.168660560000006</v>
      </c>
      <c r="F2638" s="3">
        <f>VLOOKUP(B2638,airports!A:H,7,FALSE)</f>
        <v>32.224399566700001</v>
      </c>
      <c r="G2638" s="3">
        <f>VLOOKUP(B2638,airports!A:H,8,FALSE)</f>
        <v>-80.697502136200001</v>
      </c>
      <c r="H2638">
        <f t="shared" si="82"/>
        <v>1107.2</v>
      </c>
      <c r="I2638">
        <f t="shared" si="83"/>
        <v>688</v>
      </c>
    </row>
    <row r="2639" spans="1:9" ht="30" x14ac:dyDescent="0.25">
      <c r="A2639" s="5" t="s">
        <v>52</v>
      </c>
      <c r="B2639" s="5" t="s">
        <v>360</v>
      </c>
      <c r="C2639" s="5" t="s">
        <v>3089</v>
      </c>
      <c r="D2639" s="3">
        <f>VLOOKUP(A2639,airports!A:H,7,FALSE)</f>
        <v>40.69249722</v>
      </c>
      <c r="E2639" s="3">
        <f>VLOOKUP(A2639,airports!A:H,8,FALSE)</f>
        <v>-74.168660560000006</v>
      </c>
      <c r="F2639" s="3">
        <f>VLOOKUP(B2639,airports!A:H,7,FALSE)</f>
        <v>21.31869111</v>
      </c>
      <c r="G2639" s="3">
        <f>VLOOKUP(B2639,airports!A:H,8,FALSE)</f>
        <v>-157.92240720000001</v>
      </c>
      <c r="H2639">
        <f t="shared" si="82"/>
        <v>7973.4</v>
      </c>
      <c r="I2639">
        <f t="shared" si="83"/>
        <v>4954.7</v>
      </c>
    </row>
    <row r="2640" spans="1:9" ht="30" x14ac:dyDescent="0.25">
      <c r="A2640" s="5" t="s">
        <v>52</v>
      </c>
      <c r="B2640" s="5" t="s">
        <v>176</v>
      </c>
      <c r="C2640" s="5" t="s">
        <v>3090</v>
      </c>
      <c r="D2640" s="3">
        <f>VLOOKUP(A2640,airports!A:H,7,FALSE)</f>
        <v>40.69249722</v>
      </c>
      <c r="E2640" s="3">
        <f>VLOOKUP(A2640,airports!A:H,8,FALSE)</f>
        <v>-74.168660560000006</v>
      </c>
      <c r="F2640" s="3">
        <f>VLOOKUP(B2640,airports!A:H,7,FALSE)</f>
        <v>38.944531939999997</v>
      </c>
      <c r="G2640" s="3">
        <f>VLOOKUP(B2640,airports!A:H,8,FALSE)</f>
        <v>-77.455809720000005</v>
      </c>
      <c r="H2640">
        <f t="shared" si="82"/>
        <v>341.4</v>
      </c>
      <c r="I2640">
        <f t="shared" si="83"/>
        <v>212.2</v>
      </c>
    </row>
    <row r="2641" spans="1:9" ht="30" x14ac:dyDescent="0.25">
      <c r="A2641" s="5" t="s">
        <v>52</v>
      </c>
      <c r="B2641" s="5" t="s">
        <v>67</v>
      </c>
      <c r="C2641" s="5" t="s">
        <v>3091</v>
      </c>
      <c r="D2641" s="3">
        <f>VLOOKUP(A2641,airports!A:H,7,FALSE)</f>
        <v>40.69249722</v>
      </c>
      <c r="E2641" s="3">
        <f>VLOOKUP(A2641,airports!A:H,8,FALSE)</f>
        <v>-74.168660560000006</v>
      </c>
      <c r="F2641" s="3">
        <f>VLOOKUP(B2641,airports!A:H,7,FALSE)</f>
        <v>29.980472219999999</v>
      </c>
      <c r="G2641" s="3">
        <f>VLOOKUP(B2641,airports!A:H,8,FALSE)</f>
        <v>-95.339722219999999</v>
      </c>
      <c r="H2641">
        <f t="shared" si="82"/>
        <v>2250.6999999999998</v>
      </c>
      <c r="I2641">
        <f t="shared" si="83"/>
        <v>1398.6</v>
      </c>
    </row>
    <row r="2642" spans="1:9" ht="30" x14ac:dyDescent="0.25">
      <c r="A2642" s="5" t="s">
        <v>52</v>
      </c>
      <c r="B2642" s="5" t="s">
        <v>535</v>
      </c>
      <c r="C2642" s="5" t="s">
        <v>3092</v>
      </c>
      <c r="D2642" s="3">
        <f>VLOOKUP(A2642,airports!A:H,7,FALSE)</f>
        <v>40.69249722</v>
      </c>
      <c r="E2642" s="3">
        <f>VLOOKUP(A2642,airports!A:H,8,FALSE)</f>
        <v>-74.168660560000006</v>
      </c>
      <c r="F2642" s="3">
        <f>VLOOKUP(B2642,airports!A:H,7,FALSE)</f>
        <v>34.270611109999997</v>
      </c>
      <c r="G2642" s="3">
        <f>VLOOKUP(B2642,airports!A:H,8,FALSE)</f>
        <v>-77.902555559999996</v>
      </c>
      <c r="H2642">
        <f t="shared" si="82"/>
        <v>786.2</v>
      </c>
      <c r="I2642">
        <f t="shared" si="83"/>
        <v>488.6</v>
      </c>
    </row>
    <row r="2643" spans="1:9" ht="30" x14ac:dyDescent="0.25">
      <c r="A2643" s="5" t="s">
        <v>52</v>
      </c>
      <c r="B2643" s="5" t="s">
        <v>537</v>
      </c>
      <c r="C2643" s="5" t="s">
        <v>3093</v>
      </c>
      <c r="D2643" s="3">
        <f>VLOOKUP(A2643,airports!A:H,7,FALSE)</f>
        <v>40.69249722</v>
      </c>
      <c r="E2643" s="3">
        <f>VLOOKUP(A2643,airports!A:H,8,FALSE)</f>
        <v>-74.168660560000006</v>
      </c>
      <c r="F2643" s="3">
        <f>VLOOKUP(B2643,airports!A:H,7,FALSE)</f>
        <v>39.717329169999999</v>
      </c>
      <c r="G2643" s="3">
        <f>VLOOKUP(B2643,airports!A:H,8,FALSE)</f>
        <v>-86.294384170000001</v>
      </c>
      <c r="H2643">
        <f t="shared" si="82"/>
        <v>1034.5999999999999</v>
      </c>
      <c r="I2643">
        <f t="shared" si="83"/>
        <v>642.9</v>
      </c>
    </row>
    <row r="2644" spans="1:9" ht="30" x14ac:dyDescent="0.25">
      <c r="A2644" s="5" t="s">
        <v>52</v>
      </c>
      <c r="B2644" s="5" t="s">
        <v>1803</v>
      </c>
      <c r="C2644" s="5" t="s">
        <v>3094</v>
      </c>
      <c r="D2644" s="3">
        <f>VLOOKUP(A2644,airports!A:H,7,FALSE)</f>
        <v>40.69249722</v>
      </c>
      <c r="E2644" s="3">
        <f>VLOOKUP(A2644,airports!A:H,8,FALSE)</f>
        <v>-74.168660560000006</v>
      </c>
      <c r="F2644" s="3">
        <f>VLOOKUP(B2644,airports!A:H,7,FALSE)</f>
        <v>42.491027780000003</v>
      </c>
      <c r="G2644" s="3">
        <f>VLOOKUP(B2644,airports!A:H,8,FALSE)</f>
        <v>-76.458444439999994</v>
      </c>
      <c r="H2644">
        <f t="shared" si="82"/>
        <v>276.10000000000002</v>
      </c>
      <c r="I2644">
        <f t="shared" si="83"/>
        <v>171.6</v>
      </c>
    </row>
    <row r="2645" spans="1:9" ht="30" x14ac:dyDescent="0.25">
      <c r="A2645" s="5" t="s">
        <v>52</v>
      </c>
      <c r="B2645" s="5" t="s">
        <v>541</v>
      </c>
      <c r="C2645" s="5" t="s">
        <v>3095</v>
      </c>
      <c r="D2645" s="3">
        <f>VLOOKUP(A2645,airports!A:H,7,FALSE)</f>
        <v>40.69249722</v>
      </c>
      <c r="E2645" s="3">
        <f>VLOOKUP(A2645,airports!A:H,8,FALSE)</f>
        <v>-74.168660560000006</v>
      </c>
      <c r="F2645" s="3">
        <f>VLOOKUP(B2645,airports!A:H,7,FALSE)</f>
        <v>43.607324169999998</v>
      </c>
      <c r="G2645" s="3">
        <f>VLOOKUP(B2645,airports!A:H,8,FALSE)</f>
        <v>-110.7377389</v>
      </c>
      <c r="H2645">
        <f t="shared" si="82"/>
        <v>3007.6</v>
      </c>
      <c r="I2645">
        <f t="shared" si="83"/>
        <v>1868.9</v>
      </c>
    </row>
    <row r="2646" spans="1:9" ht="30" x14ac:dyDescent="0.25">
      <c r="A2646" s="5" t="s">
        <v>52</v>
      </c>
      <c r="B2646" s="5" t="s">
        <v>68</v>
      </c>
      <c r="C2646" s="5" t="s">
        <v>3096</v>
      </c>
      <c r="D2646" s="3">
        <f>VLOOKUP(A2646,airports!A:H,7,FALSE)</f>
        <v>40.69249722</v>
      </c>
      <c r="E2646" s="3">
        <f>VLOOKUP(A2646,airports!A:H,8,FALSE)</f>
        <v>-74.168660560000006</v>
      </c>
      <c r="F2646" s="3">
        <f>VLOOKUP(B2646,airports!A:H,7,FALSE)</f>
        <v>30.49405556</v>
      </c>
      <c r="G2646" s="3">
        <f>VLOOKUP(B2646,airports!A:H,8,FALSE)</f>
        <v>-81.68786111</v>
      </c>
      <c r="H2646">
        <f t="shared" si="82"/>
        <v>1321</v>
      </c>
      <c r="I2646">
        <f t="shared" si="83"/>
        <v>820.9</v>
      </c>
    </row>
    <row r="2647" spans="1:9" ht="30" x14ac:dyDescent="0.25">
      <c r="A2647" s="5" t="s">
        <v>52</v>
      </c>
      <c r="B2647" s="5" t="s">
        <v>71</v>
      </c>
      <c r="C2647" s="5" t="s">
        <v>3097</v>
      </c>
      <c r="D2647" s="3">
        <f>VLOOKUP(A2647,airports!A:H,7,FALSE)</f>
        <v>40.69249722</v>
      </c>
      <c r="E2647" s="3">
        <f>VLOOKUP(A2647,airports!A:H,8,FALSE)</f>
        <v>-74.168660560000006</v>
      </c>
      <c r="F2647" s="3">
        <f>VLOOKUP(B2647,airports!A:H,7,FALSE)</f>
        <v>36.080361109999998</v>
      </c>
      <c r="G2647" s="3">
        <f>VLOOKUP(B2647,airports!A:H,8,FALSE)</f>
        <v>-115.1523333</v>
      </c>
      <c r="H2647">
        <f t="shared" si="82"/>
        <v>3576</v>
      </c>
      <c r="I2647">
        <f t="shared" si="83"/>
        <v>2222.1999999999998</v>
      </c>
    </row>
    <row r="2648" spans="1:9" ht="30" x14ac:dyDescent="0.25">
      <c r="A2648" s="5" t="s">
        <v>52</v>
      </c>
      <c r="B2648" s="5" t="s">
        <v>73</v>
      </c>
      <c r="C2648" s="5" t="s">
        <v>3098</v>
      </c>
      <c r="D2648" s="3">
        <f>VLOOKUP(A2648,airports!A:H,7,FALSE)</f>
        <v>40.69249722</v>
      </c>
      <c r="E2648" s="3">
        <f>VLOOKUP(A2648,airports!A:H,8,FALSE)</f>
        <v>-74.168660560000006</v>
      </c>
      <c r="F2648" s="3">
        <f>VLOOKUP(B2648,airports!A:H,7,FALSE)</f>
        <v>33.942536109999999</v>
      </c>
      <c r="G2648" s="3">
        <f>VLOOKUP(B2648,airports!A:H,8,FALSE)</f>
        <v>-118.4080744</v>
      </c>
      <c r="H2648">
        <f t="shared" si="82"/>
        <v>3941</v>
      </c>
      <c r="I2648">
        <f t="shared" si="83"/>
        <v>2449</v>
      </c>
    </row>
    <row r="2649" spans="1:9" ht="30" x14ac:dyDescent="0.25">
      <c r="A2649" s="5" t="s">
        <v>52</v>
      </c>
      <c r="B2649" s="5" t="s">
        <v>549</v>
      </c>
      <c r="C2649" s="5" t="s">
        <v>3099</v>
      </c>
      <c r="D2649" s="3">
        <f>VLOOKUP(A2649,airports!A:H,7,FALSE)</f>
        <v>40.69249722</v>
      </c>
      <c r="E2649" s="3">
        <f>VLOOKUP(A2649,airports!A:H,8,FALSE)</f>
        <v>-74.168660560000006</v>
      </c>
      <c r="F2649" s="3">
        <f>VLOOKUP(B2649,airports!A:H,7,FALSE)</f>
        <v>38.036972220000003</v>
      </c>
      <c r="G2649" s="3">
        <f>VLOOKUP(B2649,airports!A:H,8,FALSE)</f>
        <v>-84.60538889</v>
      </c>
      <c r="H2649">
        <f t="shared" si="82"/>
        <v>943.9</v>
      </c>
      <c r="I2649">
        <f t="shared" si="83"/>
        <v>586.5</v>
      </c>
    </row>
    <row r="2650" spans="1:9" ht="30" x14ac:dyDescent="0.25">
      <c r="A2650" s="5" t="s">
        <v>52</v>
      </c>
      <c r="B2650" s="5" t="s">
        <v>80</v>
      </c>
      <c r="C2650" s="5" t="s">
        <v>3100</v>
      </c>
      <c r="D2650" s="3">
        <f>VLOOKUP(A2650,airports!A:H,7,FALSE)</f>
        <v>40.69249722</v>
      </c>
      <c r="E2650" s="3">
        <f>VLOOKUP(A2650,airports!A:H,8,FALSE)</f>
        <v>-74.168660560000006</v>
      </c>
      <c r="F2650" s="3">
        <f>VLOOKUP(B2650,airports!A:H,7,FALSE)</f>
        <v>39.297605279999999</v>
      </c>
      <c r="G2650" s="3">
        <f>VLOOKUP(B2650,airports!A:H,8,FALSE)</f>
        <v>-94.713905560000001</v>
      </c>
      <c r="H2650">
        <f t="shared" si="82"/>
        <v>1753</v>
      </c>
      <c r="I2650">
        <f t="shared" si="83"/>
        <v>1089.3</v>
      </c>
    </row>
    <row r="2651" spans="1:9" ht="30" x14ac:dyDescent="0.25">
      <c r="A2651" s="5" t="s">
        <v>52</v>
      </c>
      <c r="B2651" s="5" t="s">
        <v>82</v>
      </c>
      <c r="C2651" s="5" t="s">
        <v>3101</v>
      </c>
      <c r="D2651" s="3">
        <f>VLOOKUP(A2651,airports!A:H,7,FALSE)</f>
        <v>40.69249722</v>
      </c>
      <c r="E2651" s="3">
        <f>VLOOKUP(A2651,airports!A:H,8,FALSE)</f>
        <v>-74.168660560000006</v>
      </c>
      <c r="F2651" s="3">
        <f>VLOOKUP(B2651,airports!A:H,7,FALSE)</f>
        <v>28.42888889</v>
      </c>
      <c r="G2651" s="3">
        <f>VLOOKUP(B2651,airports!A:H,8,FALSE)</f>
        <v>-81.316027779999999</v>
      </c>
      <c r="H2651">
        <f t="shared" si="82"/>
        <v>1511.2</v>
      </c>
      <c r="I2651">
        <f t="shared" si="83"/>
        <v>939.1</v>
      </c>
    </row>
    <row r="2652" spans="1:9" ht="30" x14ac:dyDescent="0.25">
      <c r="A2652" s="5" t="s">
        <v>52</v>
      </c>
      <c r="B2652" s="5" t="s">
        <v>178</v>
      </c>
      <c r="C2652" s="5" t="s">
        <v>3102</v>
      </c>
      <c r="D2652" s="3">
        <f>VLOOKUP(A2652,airports!A:H,7,FALSE)</f>
        <v>40.69249722</v>
      </c>
      <c r="E2652" s="3">
        <f>VLOOKUP(A2652,airports!A:H,8,FALSE)</f>
        <v>-74.168660560000006</v>
      </c>
      <c r="F2652" s="3">
        <f>VLOOKUP(B2652,airports!A:H,7,FALSE)</f>
        <v>40.19349528</v>
      </c>
      <c r="G2652" s="3">
        <f>VLOOKUP(B2652,airports!A:H,8,FALSE)</f>
        <v>-76.763403609999997</v>
      </c>
      <c r="H2652">
        <f t="shared" si="82"/>
        <v>226.5</v>
      </c>
      <c r="I2652">
        <f t="shared" si="83"/>
        <v>140.69999999999999</v>
      </c>
    </row>
    <row r="2653" spans="1:9" ht="30" x14ac:dyDescent="0.25">
      <c r="A2653" s="5" t="s">
        <v>52</v>
      </c>
      <c r="B2653" s="5" t="s">
        <v>180</v>
      </c>
      <c r="C2653" s="5" t="s">
        <v>3103</v>
      </c>
      <c r="D2653" s="3">
        <f>VLOOKUP(A2653,airports!A:H,7,FALSE)</f>
        <v>40.69249722</v>
      </c>
      <c r="E2653" s="3">
        <f>VLOOKUP(A2653,airports!A:H,8,FALSE)</f>
        <v>-74.168660560000006</v>
      </c>
      <c r="F2653" s="3">
        <f>VLOOKUP(B2653,airports!A:H,7,FALSE)</f>
        <v>41.785982500000003</v>
      </c>
      <c r="G2653" s="3">
        <f>VLOOKUP(B2653,airports!A:H,8,FALSE)</f>
        <v>-87.752424439999999</v>
      </c>
      <c r="H2653">
        <f t="shared" si="82"/>
        <v>1141.0999999999999</v>
      </c>
      <c r="I2653">
        <f t="shared" si="83"/>
        <v>709.1</v>
      </c>
    </row>
    <row r="2654" spans="1:9" ht="30" x14ac:dyDescent="0.25">
      <c r="A2654" s="5" t="s">
        <v>52</v>
      </c>
      <c r="B2654" s="5" t="s">
        <v>563</v>
      </c>
      <c r="C2654" s="5" t="s">
        <v>3104</v>
      </c>
      <c r="D2654" s="3">
        <f>VLOOKUP(A2654,airports!A:H,7,FALSE)</f>
        <v>40.69249722</v>
      </c>
      <c r="E2654" s="3">
        <f>VLOOKUP(A2654,airports!A:H,8,FALSE)</f>
        <v>-74.168660560000006</v>
      </c>
      <c r="F2654" s="3">
        <f>VLOOKUP(B2654,airports!A:H,7,FALSE)</f>
        <v>35.042416670000001</v>
      </c>
      <c r="G2654" s="3">
        <f>VLOOKUP(B2654,airports!A:H,8,FALSE)</f>
        <v>-89.97666667</v>
      </c>
      <c r="H2654">
        <f t="shared" si="82"/>
        <v>1520.3</v>
      </c>
      <c r="I2654">
        <f t="shared" si="83"/>
        <v>944.7</v>
      </c>
    </row>
    <row r="2655" spans="1:9" ht="30" x14ac:dyDescent="0.25">
      <c r="A2655" s="5" t="s">
        <v>52</v>
      </c>
      <c r="B2655" s="5" t="s">
        <v>567</v>
      </c>
      <c r="C2655" s="5" t="s">
        <v>3105</v>
      </c>
      <c r="D2655" s="3">
        <f>VLOOKUP(A2655,airports!A:H,7,FALSE)</f>
        <v>40.69249722</v>
      </c>
      <c r="E2655" s="3">
        <f>VLOOKUP(A2655,airports!A:H,8,FALSE)</f>
        <v>-74.168660560000006</v>
      </c>
      <c r="F2655" s="3">
        <f>VLOOKUP(B2655,airports!A:H,7,FALSE)</f>
        <v>42.934516389999999</v>
      </c>
      <c r="G2655" s="3">
        <f>VLOOKUP(B2655,airports!A:H,8,FALSE)</f>
        <v>-71.437055830000006</v>
      </c>
      <c r="H2655">
        <f t="shared" si="82"/>
        <v>336.7</v>
      </c>
      <c r="I2655">
        <f t="shared" si="83"/>
        <v>209.2</v>
      </c>
    </row>
    <row r="2656" spans="1:9" ht="30" x14ac:dyDescent="0.25">
      <c r="A2656" s="5" t="s">
        <v>52</v>
      </c>
      <c r="B2656" s="5" t="s">
        <v>84</v>
      </c>
      <c r="C2656" s="5" t="s">
        <v>3106</v>
      </c>
      <c r="D2656" s="3">
        <f>VLOOKUP(A2656,airports!A:H,7,FALSE)</f>
        <v>40.69249722</v>
      </c>
      <c r="E2656" s="3">
        <f>VLOOKUP(A2656,airports!A:H,8,FALSE)</f>
        <v>-74.168660560000006</v>
      </c>
      <c r="F2656" s="3">
        <f>VLOOKUP(B2656,airports!A:H,7,FALSE)</f>
        <v>25.79325</v>
      </c>
      <c r="G2656" s="3">
        <f>VLOOKUP(B2656,airports!A:H,8,FALSE)</f>
        <v>-80.290555560000001</v>
      </c>
      <c r="H2656">
        <f t="shared" si="82"/>
        <v>1750.6</v>
      </c>
      <c r="I2656">
        <f t="shared" si="83"/>
        <v>1087.8</v>
      </c>
    </row>
    <row r="2657" spans="1:9" ht="30" x14ac:dyDescent="0.25">
      <c r="A2657" s="5" t="s">
        <v>52</v>
      </c>
      <c r="B2657" s="5" t="s">
        <v>85</v>
      </c>
      <c r="C2657" s="5" t="s">
        <v>3107</v>
      </c>
      <c r="D2657" s="3">
        <f>VLOOKUP(A2657,airports!A:H,7,FALSE)</f>
        <v>40.69249722</v>
      </c>
      <c r="E2657" s="3">
        <f>VLOOKUP(A2657,airports!A:H,8,FALSE)</f>
        <v>-74.168660560000006</v>
      </c>
      <c r="F2657" s="3">
        <f>VLOOKUP(B2657,airports!A:H,7,FALSE)</f>
        <v>42.94722222</v>
      </c>
      <c r="G2657" s="3">
        <f>VLOOKUP(B2657,airports!A:H,8,FALSE)</f>
        <v>-87.896583329999999</v>
      </c>
      <c r="H2657">
        <f t="shared" si="82"/>
        <v>1163.5</v>
      </c>
      <c r="I2657">
        <f t="shared" si="83"/>
        <v>723</v>
      </c>
    </row>
    <row r="2658" spans="1:9" ht="30" x14ac:dyDescent="0.25">
      <c r="A2658" s="5" t="s">
        <v>52</v>
      </c>
      <c r="B2658" s="5" t="s">
        <v>579</v>
      </c>
      <c r="C2658" s="5" t="s">
        <v>3108</v>
      </c>
      <c r="D2658" s="3">
        <f>VLOOKUP(A2658,airports!A:H,7,FALSE)</f>
        <v>40.69249722</v>
      </c>
      <c r="E2658" s="3">
        <f>VLOOKUP(A2658,airports!A:H,8,FALSE)</f>
        <v>-74.168660560000006</v>
      </c>
      <c r="F2658" s="3">
        <f>VLOOKUP(B2658,airports!A:H,7,FALSE)</f>
        <v>43.13985778</v>
      </c>
      <c r="G2658" s="3">
        <f>VLOOKUP(B2658,airports!A:H,8,FALSE)</f>
        <v>-89.337513610000002</v>
      </c>
      <c r="H2658">
        <f t="shared" si="82"/>
        <v>1282.4000000000001</v>
      </c>
      <c r="I2658">
        <f t="shared" si="83"/>
        <v>796.9</v>
      </c>
    </row>
    <row r="2659" spans="1:9" ht="30" x14ac:dyDescent="0.25">
      <c r="A2659" s="5" t="s">
        <v>52</v>
      </c>
      <c r="B2659" s="5" t="s">
        <v>87</v>
      </c>
      <c r="C2659" s="5" t="s">
        <v>3109</v>
      </c>
      <c r="D2659" s="3">
        <f>VLOOKUP(A2659,airports!A:H,7,FALSE)</f>
        <v>40.69249722</v>
      </c>
      <c r="E2659" s="3">
        <f>VLOOKUP(A2659,airports!A:H,8,FALSE)</f>
        <v>-74.168660560000006</v>
      </c>
      <c r="F2659" s="3">
        <f>VLOOKUP(B2659,airports!A:H,7,FALSE)</f>
        <v>44.880546940000002</v>
      </c>
      <c r="G2659" s="3">
        <f>VLOOKUP(B2659,airports!A:H,8,FALSE)</f>
        <v>-93.216922499999995</v>
      </c>
      <c r="H2659">
        <f t="shared" si="82"/>
        <v>1618.3</v>
      </c>
      <c r="I2659">
        <f t="shared" si="83"/>
        <v>1005.6</v>
      </c>
    </row>
    <row r="2660" spans="1:9" ht="30" x14ac:dyDescent="0.25">
      <c r="A2660" s="5" t="s">
        <v>52</v>
      </c>
      <c r="B2660" s="5" t="s">
        <v>89</v>
      </c>
      <c r="C2660" s="5" t="s">
        <v>3110</v>
      </c>
      <c r="D2660" s="3">
        <f>VLOOKUP(A2660,airports!A:H,7,FALSE)</f>
        <v>40.69249722</v>
      </c>
      <c r="E2660" s="3">
        <f>VLOOKUP(A2660,airports!A:H,8,FALSE)</f>
        <v>-74.168660560000006</v>
      </c>
      <c r="F2660" s="3">
        <f>VLOOKUP(B2660,airports!A:H,7,FALSE)</f>
        <v>29.993388889999999</v>
      </c>
      <c r="G2660" s="3">
        <f>VLOOKUP(B2660,airports!A:H,8,FALSE)</f>
        <v>-90.258027780000006</v>
      </c>
      <c r="H2660">
        <f t="shared" si="82"/>
        <v>1877.4</v>
      </c>
      <c r="I2660">
        <f t="shared" si="83"/>
        <v>1166.7</v>
      </c>
    </row>
    <row r="2661" spans="1:9" ht="30" x14ac:dyDescent="0.25">
      <c r="A2661" s="5" t="s">
        <v>52</v>
      </c>
      <c r="B2661" s="5" t="s">
        <v>91</v>
      </c>
      <c r="C2661" s="5" t="s">
        <v>3111</v>
      </c>
      <c r="D2661" s="3">
        <f>VLOOKUP(A2661,airports!A:H,7,FALSE)</f>
        <v>40.69249722</v>
      </c>
      <c r="E2661" s="3">
        <f>VLOOKUP(A2661,airports!A:H,8,FALSE)</f>
        <v>-74.168660560000006</v>
      </c>
      <c r="F2661" s="3">
        <f>VLOOKUP(B2661,airports!A:H,7,FALSE)</f>
        <v>38.508867219999999</v>
      </c>
      <c r="G2661" s="3">
        <f>VLOOKUP(B2661,airports!A:H,8,FALSE)</f>
        <v>-107.8938333</v>
      </c>
      <c r="H2661">
        <f t="shared" si="82"/>
        <v>2881.9</v>
      </c>
      <c r="I2661">
        <f t="shared" si="83"/>
        <v>1790.8</v>
      </c>
    </row>
    <row r="2662" spans="1:9" ht="30" x14ac:dyDescent="0.25">
      <c r="A2662" s="5" t="s">
        <v>52</v>
      </c>
      <c r="B2662" s="5" t="s">
        <v>92</v>
      </c>
      <c r="C2662" s="5" t="s">
        <v>3112</v>
      </c>
      <c r="D2662" s="3">
        <f>VLOOKUP(A2662,airports!A:H,7,FALSE)</f>
        <v>40.69249722</v>
      </c>
      <c r="E2662" s="3">
        <f>VLOOKUP(A2662,airports!A:H,8,FALSE)</f>
        <v>-74.168660560000006</v>
      </c>
      <c r="F2662" s="3">
        <f>VLOOKUP(B2662,airports!A:H,7,FALSE)</f>
        <v>41.393025829999999</v>
      </c>
      <c r="G2662" s="3">
        <f>VLOOKUP(B2662,airports!A:H,8,FALSE)</f>
        <v>-70.614332500000003</v>
      </c>
      <c r="H2662">
        <f t="shared" si="82"/>
        <v>308.10000000000002</v>
      </c>
      <c r="I2662">
        <f t="shared" si="83"/>
        <v>191.4</v>
      </c>
    </row>
    <row r="2663" spans="1:9" ht="30" x14ac:dyDescent="0.25">
      <c r="A2663" s="5" t="s">
        <v>52</v>
      </c>
      <c r="B2663" s="5" t="s">
        <v>182</v>
      </c>
      <c r="C2663" s="5" t="s">
        <v>3113</v>
      </c>
      <c r="D2663" s="3">
        <f>VLOOKUP(A2663,airports!A:H,7,FALSE)</f>
        <v>40.69249722</v>
      </c>
      <c r="E2663" s="3">
        <f>VLOOKUP(A2663,airports!A:H,8,FALSE)</f>
        <v>-74.168660560000006</v>
      </c>
      <c r="F2663" s="3">
        <f>VLOOKUP(B2663,airports!A:H,7,FALSE)</f>
        <v>33.679749999999999</v>
      </c>
      <c r="G2663" s="3">
        <f>VLOOKUP(B2663,airports!A:H,8,FALSE)</f>
        <v>-78.928333330000001</v>
      </c>
      <c r="H2663">
        <f t="shared" si="82"/>
        <v>886.1</v>
      </c>
      <c r="I2663">
        <f t="shared" si="83"/>
        <v>550.6</v>
      </c>
    </row>
    <row r="2664" spans="1:9" ht="30" x14ac:dyDescent="0.25">
      <c r="A2664" s="5" t="s">
        <v>52</v>
      </c>
      <c r="B2664" s="5" t="s">
        <v>215</v>
      </c>
      <c r="C2664" s="5" t="s">
        <v>3114</v>
      </c>
      <c r="D2664" s="3">
        <f>VLOOKUP(A2664,airports!A:H,7,FALSE)</f>
        <v>40.69249722</v>
      </c>
      <c r="E2664" s="3">
        <f>VLOOKUP(A2664,airports!A:H,8,FALSE)</f>
        <v>-74.168660560000006</v>
      </c>
      <c r="F2664" s="3">
        <f>VLOOKUP(B2664,airports!A:H,7,FALSE)</f>
        <v>37.721290830000001</v>
      </c>
      <c r="G2664" s="3">
        <f>VLOOKUP(B2664,airports!A:H,8,FALSE)</f>
        <v>-122.2207167</v>
      </c>
      <c r="H2664">
        <f t="shared" si="82"/>
        <v>4101.7</v>
      </c>
      <c r="I2664">
        <f t="shared" si="83"/>
        <v>2548.9</v>
      </c>
    </row>
    <row r="2665" spans="1:9" ht="30" x14ac:dyDescent="0.25">
      <c r="A2665" s="5" t="s">
        <v>52</v>
      </c>
      <c r="B2665" s="5" t="s">
        <v>371</v>
      </c>
      <c r="C2665" s="5" t="s">
        <v>3115</v>
      </c>
      <c r="D2665" s="3">
        <f>VLOOKUP(A2665,airports!A:H,7,FALSE)</f>
        <v>40.69249722</v>
      </c>
      <c r="E2665" s="3">
        <f>VLOOKUP(A2665,airports!A:H,8,FALSE)</f>
        <v>-74.168660560000006</v>
      </c>
      <c r="F2665" s="3">
        <f>VLOOKUP(B2665,airports!A:H,7,FALSE)</f>
        <v>20.898649720000002</v>
      </c>
      <c r="G2665" s="3">
        <f>VLOOKUP(B2665,airports!A:H,8,FALSE)</f>
        <v>-156.4304578</v>
      </c>
      <c r="H2665">
        <f t="shared" si="82"/>
        <v>7878.8</v>
      </c>
      <c r="I2665">
        <f t="shared" si="83"/>
        <v>4895.8999999999996</v>
      </c>
    </row>
    <row r="2666" spans="1:9" ht="30" x14ac:dyDescent="0.25">
      <c r="A2666" s="5" t="s">
        <v>52</v>
      </c>
      <c r="B2666" s="5" t="s">
        <v>590</v>
      </c>
      <c r="C2666" s="5" t="s">
        <v>3116</v>
      </c>
      <c r="D2666" s="3">
        <f>VLOOKUP(A2666,airports!A:H,7,FALSE)</f>
        <v>40.69249722</v>
      </c>
      <c r="E2666" s="3">
        <f>VLOOKUP(A2666,airports!A:H,8,FALSE)</f>
        <v>-74.168660560000006</v>
      </c>
      <c r="F2666" s="3">
        <f>VLOOKUP(B2666,airports!A:H,7,FALSE)</f>
        <v>35.393088329999998</v>
      </c>
      <c r="G2666" s="3">
        <f>VLOOKUP(B2666,airports!A:H,8,FALSE)</f>
        <v>-97.600733890000001</v>
      </c>
      <c r="H2666">
        <f t="shared" si="82"/>
        <v>2127.6</v>
      </c>
      <c r="I2666">
        <f t="shared" si="83"/>
        <v>1322.1</v>
      </c>
    </row>
    <row r="2667" spans="1:9" ht="30" x14ac:dyDescent="0.25">
      <c r="A2667" s="5" t="s">
        <v>52</v>
      </c>
      <c r="B2667" s="5" t="s">
        <v>592</v>
      </c>
      <c r="C2667" s="5" t="s">
        <v>3117</v>
      </c>
      <c r="D2667" s="3">
        <f>VLOOKUP(A2667,airports!A:H,7,FALSE)</f>
        <v>40.69249722</v>
      </c>
      <c r="E2667" s="3">
        <f>VLOOKUP(A2667,airports!A:H,8,FALSE)</f>
        <v>-74.168660560000006</v>
      </c>
      <c r="F2667" s="3">
        <f>VLOOKUP(B2667,airports!A:H,7,FALSE)</f>
        <v>41.30251861</v>
      </c>
      <c r="G2667" s="3">
        <f>VLOOKUP(B2667,airports!A:H,8,FALSE)</f>
        <v>-95.89417306</v>
      </c>
      <c r="H2667">
        <f t="shared" si="82"/>
        <v>1819.8</v>
      </c>
      <c r="I2667">
        <f t="shared" si="83"/>
        <v>1130.8</v>
      </c>
    </row>
    <row r="2668" spans="1:9" ht="30" x14ac:dyDescent="0.25">
      <c r="A2668" s="5" t="s">
        <v>52</v>
      </c>
      <c r="B2668" s="5" t="s">
        <v>95</v>
      </c>
      <c r="C2668" s="5" t="s">
        <v>3118</v>
      </c>
      <c r="D2668" s="3">
        <f>VLOOKUP(A2668,airports!A:H,7,FALSE)</f>
        <v>40.69249722</v>
      </c>
      <c r="E2668" s="3">
        <f>VLOOKUP(A2668,airports!A:H,8,FALSE)</f>
        <v>-74.168660560000006</v>
      </c>
      <c r="F2668" s="3">
        <f>VLOOKUP(B2668,airports!A:H,7,FALSE)</f>
        <v>41.979595000000003</v>
      </c>
      <c r="G2668" s="3">
        <f>VLOOKUP(B2668,airports!A:H,8,FALSE)</f>
        <v>-87.904464169999997</v>
      </c>
      <c r="H2668">
        <f t="shared" si="82"/>
        <v>1154.4000000000001</v>
      </c>
      <c r="I2668">
        <f t="shared" si="83"/>
        <v>717.4</v>
      </c>
    </row>
    <row r="2669" spans="1:9" ht="30" x14ac:dyDescent="0.25">
      <c r="A2669" s="5" t="s">
        <v>52</v>
      </c>
      <c r="B2669" s="5" t="s">
        <v>596</v>
      </c>
      <c r="C2669" s="5" t="s">
        <v>3119</v>
      </c>
      <c r="D2669" s="3">
        <f>VLOOKUP(A2669,airports!A:H,7,FALSE)</f>
        <v>40.69249722</v>
      </c>
      <c r="E2669" s="3">
        <f>VLOOKUP(A2669,airports!A:H,8,FALSE)</f>
        <v>-74.168660560000006</v>
      </c>
      <c r="F2669" s="3">
        <f>VLOOKUP(B2669,airports!A:H,7,FALSE)</f>
        <v>36.89461111</v>
      </c>
      <c r="G2669" s="3">
        <f>VLOOKUP(B2669,airports!A:H,8,FALSE)</f>
        <v>-76.201222220000005</v>
      </c>
      <c r="H2669">
        <f t="shared" si="82"/>
        <v>457.5</v>
      </c>
      <c r="I2669">
        <f t="shared" si="83"/>
        <v>284.3</v>
      </c>
    </row>
    <row r="2670" spans="1:9" ht="30" x14ac:dyDescent="0.25">
      <c r="A2670" s="5" t="s">
        <v>52</v>
      </c>
      <c r="B2670" s="5" t="s">
        <v>99</v>
      </c>
      <c r="C2670" s="5" t="s">
        <v>3120</v>
      </c>
      <c r="D2670" s="3">
        <f>VLOOKUP(A2670,airports!A:H,7,FALSE)</f>
        <v>40.69249722</v>
      </c>
      <c r="E2670" s="3">
        <f>VLOOKUP(A2670,airports!A:H,8,FALSE)</f>
        <v>-74.168660560000006</v>
      </c>
      <c r="F2670" s="3">
        <f>VLOOKUP(B2670,airports!A:H,7,FALSE)</f>
        <v>26.683161940000002</v>
      </c>
      <c r="G2670" s="3">
        <f>VLOOKUP(B2670,airports!A:H,8,FALSE)</f>
        <v>-80.095594169999998</v>
      </c>
      <c r="H2670">
        <f t="shared" si="82"/>
        <v>1650.4</v>
      </c>
      <c r="I2670">
        <f t="shared" si="83"/>
        <v>1025.5999999999999</v>
      </c>
    </row>
    <row r="2671" spans="1:9" ht="30" x14ac:dyDescent="0.25">
      <c r="A2671" s="5" t="s">
        <v>52</v>
      </c>
      <c r="B2671" s="5" t="s">
        <v>100</v>
      </c>
      <c r="C2671" s="5" t="s">
        <v>3121</v>
      </c>
      <c r="D2671" s="3">
        <f>VLOOKUP(A2671,airports!A:H,7,FALSE)</f>
        <v>40.69249722</v>
      </c>
      <c r="E2671" s="3">
        <f>VLOOKUP(A2671,airports!A:H,8,FALSE)</f>
        <v>-74.168660560000006</v>
      </c>
      <c r="F2671" s="3">
        <f>VLOOKUP(B2671,airports!A:H,7,FALSE)</f>
        <v>45.588722220000001</v>
      </c>
      <c r="G2671" s="3">
        <f>VLOOKUP(B2671,airports!A:H,8,FALSE)</f>
        <v>-122.5975</v>
      </c>
      <c r="H2671">
        <f t="shared" si="82"/>
        <v>3906.5</v>
      </c>
      <c r="I2671">
        <f t="shared" si="83"/>
        <v>2427.5</v>
      </c>
    </row>
    <row r="2672" spans="1:9" ht="30" x14ac:dyDescent="0.25">
      <c r="A2672" s="5" t="s">
        <v>52</v>
      </c>
      <c r="B2672" s="5" t="s">
        <v>102</v>
      </c>
      <c r="C2672" s="5" t="s">
        <v>3122</v>
      </c>
      <c r="D2672" s="3">
        <f>VLOOKUP(A2672,airports!A:H,7,FALSE)</f>
        <v>40.69249722</v>
      </c>
      <c r="E2672" s="3">
        <f>VLOOKUP(A2672,airports!A:H,8,FALSE)</f>
        <v>-74.168660560000006</v>
      </c>
      <c r="F2672" s="3">
        <f>VLOOKUP(B2672,airports!A:H,7,FALSE)</f>
        <v>39.871952780000001</v>
      </c>
      <c r="G2672" s="3">
        <f>VLOOKUP(B2672,airports!A:H,8,FALSE)</f>
        <v>-75.241140830000006</v>
      </c>
      <c r="H2672">
        <f t="shared" si="82"/>
        <v>128.80000000000001</v>
      </c>
      <c r="I2672">
        <f t="shared" si="83"/>
        <v>80.099999999999994</v>
      </c>
    </row>
    <row r="2673" spans="1:9" ht="30" x14ac:dyDescent="0.25">
      <c r="A2673" s="5" t="s">
        <v>52</v>
      </c>
      <c r="B2673" s="5" t="s">
        <v>104</v>
      </c>
      <c r="C2673" s="5" t="s">
        <v>3123</v>
      </c>
      <c r="D2673" s="3">
        <f>VLOOKUP(A2673,airports!A:H,7,FALSE)</f>
        <v>40.69249722</v>
      </c>
      <c r="E2673" s="3">
        <f>VLOOKUP(A2673,airports!A:H,8,FALSE)</f>
        <v>-74.168660560000006</v>
      </c>
      <c r="F2673" s="3">
        <f>VLOOKUP(B2673,airports!A:H,7,FALSE)</f>
        <v>33.434166670000003</v>
      </c>
      <c r="G2673" s="3">
        <f>VLOOKUP(B2673,airports!A:H,8,FALSE)</f>
        <v>-112.00805560000001</v>
      </c>
      <c r="H2673">
        <f t="shared" si="82"/>
        <v>3425</v>
      </c>
      <c r="I2673">
        <f t="shared" si="83"/>
        <v>2128.4</v>
      </c>
    </row>
    <row r="2674" spans="1:9" ht="30" x14ac:dyDescent="0.25">
      <c r="A2674" s="5" t="s">
        <v>52</v>
      </c>
      <c r="B2674" s="5" t="s">
        <v>106</v>
      </c>
      <c r="C2674" s="5" t="s">
        <v>3124</v>
      </c>
      <c r="D2674" s="3">
        <f>VLOOKUP(A2674,airports!A:H,7,FALSE)</f>
        <v>40.69249722</v>
      </c>
      <c r="E2674" s="3">
        <f>VLOOKUP(A2674,airports!A:H,8,FALSE)</f>
        <v>-74.168660560000006</v>
      </c>
      <c r="F2674" s="3">
        <f>VLOOKUP(B2674,airports!A:H,7,FALSE)</f>
        <v>40.491465830000003</v>
      </c>
      <c r="G2674" s="3">
        <f>VLOOKUP(B2674,airports!A:H,8,FALSE)</f>
        <v>-80.232870829999996</v>
      </c>
      <c r="H2674">
        <f t="shared" si="82"/>
        <v>512.4</v>
      </c>
      <c r="I2674">
        <f t="shared" si="83"/>
        <v>318.39999999999998</v>
      </c>
    </row>
    <row r="2675" spans="1:9" ht="30" x14ac:dyDescent="0.25">
      <c r="A2675" s="5" t="s">
        <v>52</v>
      </c>
      <c r="B2675" s="5" t="s">
        <v>607</v>
      </c>
      <c r="C2675" s="5" t="s">
        <v>3125</v>
      </c>
      <c r="D2675" s="3">
        <f>VLOOKUP(A2675,airports!A:H,7,FALSE)</f>
        <v>40.69249722</v>
      </c>
      <c r="E2675" s="3">
        <f>VLOOKUP(A2675,airports!A:H,8,FALSE)</f>
        <v>-74.168660560000006</v>
      </c>
      <c r="F2675" s="3">
        <f>VLOOKUP(B2675,airports!A:H,7,FALSE)</f>
        <v>30.47330556</v>
      </c>
      <c r="G2675" s="3">
        <f>VLOOKUP(B2675,airports!A:H,8,FALSE)</f>
        <v>-87.187444439999993</v>
      </c>
      <c r="H2675">
        <f t="shared" si="82"/>
        <v>1632.8</v>
      </c>
      <c r="I2675">
        <f t="shared" si="83"/>
        <v>1014.6</v>
      </c>
    </row>
    <row r="2676" spans="1:9" ht="30" x14ac:dyDescent="0.25">
      <c r="A2676" s="5" t="s">
        <v>52</v>
      </c>
      <c r="B2676" s="5" t="s">
        <v>3126</v>
      </c>
      <c r="C2676" s="5" t="s">
        <v>3127</v>
      </c>
      <c r="D2676" s="3">
        <f>VLOOKUP(A2676,airports!A:H,7,FALSE)</f>
        <v>40.69249722</v>
      </c>
      <c r="E2676" s="3">
        <f>VLOOKUP(A2676,airports!A:H,8,FALSE)</f>
        <v>-74.168660560000006</v>
      </c>
      <c r="F2676" s="3">
        <f>VLOOKUP(B2676,airports!A:H,7,FALSE)</f>
        <v>46.688999000000003</v>
      </c>
      <c r="G2676" s="3">
        <f>VLOOKUP(B2676,airports!A:H,8,FALSE)</f>
        <v>-68.044799999999995</v>
      </c>
      <c r="H2676">
        <f t="shared" si="82"/>
        <v>828.3</v>
      </c>
      <c r="I2676">
        <f t="shared" si="83"/>
        <v>514.70000000000005</v>
      </c>
    </row>
    <row r="2677" spans="1:9" ht="30" x14ac:dyDescent="0.25">
      <c r="A2677" s="5" t="s">
        <v>52</v>
      </c>
      <c r="B2677" s="5" t="s">
        <v>111</v>
      </c>
      <c r="C2677" s="5" t="s">
        <v>3128</v>
      </c>
      <c r="D2677" s="3">
        <f>VLOOKUP(A2677,airports!A:H,7,FALSE)</f>
        <v>40.69249722</v>
      </c>
      <c r="E2677" s="3">
        <f>VLOOKUP(A2677,airports!A:H,8,FALSE)</f>
        <v>-74.168660560000006</v>
      </c>
      <c r="F2677" s="3">
        <f>VLOOKUP(B2677,airports!A:H,7,FALSE)</f>
        <v>33.829215560000002</v>
      </c>
      <c r="G2677" s="3">
        <f>VLOOKUP(B2677,airports!A:H,8,FALSE)</f>
        <v>-116.5062531</v>
      </c>
      <c r="H2677">
        <f t="shared" si="82"/>
        <v>3786</v>
      </c>
      <c r="I2677">
        <f t="shared" si="83"/>
        <v>2352.6999999999998</v>
      </c>
    </row>
    <row r="2678" spans="1:9" ht="30" x14ac:dyDescent="0.25">
      <c r="A2678" s="5" t="s">
        <v>52</v>
      </c>
      <c r="B2678" s="5" t="s">
        <v>114</v>
      </c>
      <c r="C2678" s="5" t="s">
        <v>3129</v>
      </c>
      <c r="D2678" s="3">
        <f>VLOOKUP(A2678,airports!A:H,7,FALSE)</f>
        <v>40.69249722</v>
      </c>
      <c r="E2678" s="3">
        <f>VLOOKUP(A2678,airports!A:H,8,FALSE)</f>
        <v>-74.168660560000006</v>
      </c>
      <c r="F2678" s="3">
        <f>VLOOKUP(B2678,airports!A:H,7,FALSE)</f>
        <v>41.723999169999999</v>
      </c>
      <c r="G2678" s="3">
        <f>VLOOKUP(B2678,airports!A:H,8,FALSE)</f>
        <v>-71.428221109999996</v>
      </c>
      <c r="H2678">
        <f t="shared" si="82"/>
        <v>256.3</v>
      </c>
      <c r="I2678">
        <f t="shared" si="83"/>
        <v>159.30000000000001</v>
      </c>
    </row>
    <row r="2679" spans="1:9" ht="30" x14ac:dyDescent="0.25">
      <c r="A2679" s="5" t="s">
        <v>52</v>
      </c>
      <c r="B2679" s="5" t="s">
        <v>117</v>
      </c>
      <c r="C2679" s="5" t="s">
        <v>3130</v>
      </c>
      <c r="D2679" s="3">
        <f>VLOOKUP(A2679,airports!A:H,7,FALSE)</f>
        <v>40.69249722</v>
      </c>
      <c r="E2679" s="3">
        <f>VLOOKUP(A2679,airports!A:H,8,FALSE)</f>
        <v>-74.168660560000006</v>
      </c>
      <c r="F2679" s="3">
        <f>VLOOKUP(B2679,airports!A:H,7,FALSE)</f>
        <v>43.646166669999999</v>
      </c>
      <c r="G2679" s="3">
        <f>VLOOKUP(B2679,airports!A:H,8,FALSE)</f>
        <v>-70.308750000000003</v>
      </c>
      <c r="H2679">
        <f t="shared" si="82"/>
        <v>457.1</v>
      </c>
      <c r="I2679">
        <f t="shared" si="83"/>
        <v>284.10000000000002</v>
      </c>
    </row>
    <row r="2680" spans="1:9" ht="30" x14ac:dyDescent="0.25">
      <c r="A2680" s="5" t="s">
        <v>52</v>
      </c>
      <c r="B2680" s="5" t="s">
        <v>612</v>
      </c>
      <c r="C2680" s="5" t="s">
        <v>3131</v>
      </c>
      <c r="D2680" s="3">
        <f>VLOOKUP(A2680,airports!A:H,7,FALSE)</f>
        <v>40.69249722</v>
      </c>
      <c r="E2680" s="3">
        <f>VLOOKUP(A2680,airports!A:H,8,FALSE)</f>
        <v>-74.168660560000006</v>
      </c>
      <c r="F2680" s="3">
        <f>VLOOKUP(B2680,airports!A:H,7,FALSE)</f>
        <v>44.045321389999998</v>
      </c>
      <c r="G2680" s="3">
        <f>VLOOKUP(B2680,airports!A:H,8,FALSE)</f>
        <v>-103.0573708</v>
      </c>
      <c r="H2680">
        <f t="shared" si="82"/>
        <v>2389.8000000000002</v>
      </c>
      <c r="I2680">
        <f t="shared" si="83"/>
        <v>1485.1</v>
      </c>
    </row>
    <row r="2681" spans="1:9" ht="30" x14ac:dyDescent="0.25">
      <c r="A2681" s="5" t="s">
        <v>52</v>
      </c>
      <c r="B2681" s="5" t="s">
        <v>119</v>
      </c>
      <c r="C2681" s="5" t="s">
        <v>3132</v>
      </c>
      <c r="D2681" s="3">
        <f>VLOOKUP(A2681,airports!A:H,7,FALSE)</f>
        <v>40.69249722</v>
      </c>
      <c r="E2681" s="3">
        <f>VLOOKUP(A2681,airports!A:H,8,FALSE)</f>
        <v>-74.168660560000006</v>
      </c>
      <c r="F2681" s="3">
        <f>VLOOKUP(B2681,airports!A:H,7,FALSE)</f>
        <v>35.87763889</v>
      </c>
      <c r="G2681" s="3">
        <f>VLOOKUP(B2681,airports!A:H,8,FALSE)</f>
        <v>-78.787472219999998</v>
      </c>
      <c r="H2681">
        <f t="shared" si="82"/>
        <v>670</v>
      </c>
      <c r="I2681">
        <f t="shared" si="83"/>
        <v>416.3</v>
      </c>
    </row>
    <row r="2682" spans="1:9" ht="30" x14ac:dyDescent="0.25">
      <c r="A2682" s="5" t="s">
        <v>52</v>
      </c>
      <c r="B2682" s="5" t="s">
        <v>120</v>
      </c>
      <c r="C2682" s="5" t="s">
        <v>3133</v>
      </c>
      <c r="D2682" s="3">
        <f>VLOOKUP(A2682,airports!A:H,7,FALSE)</f>
        <v>40.69249722</v>
      </c>
      <c r="E2682" s="3">
        <f>VLOOKUP(A2682,airports!A:H,8,FALSE)</f>
        <v>-74.168660560000006</v>
      </c>
      <c r="F2682" s="3">
        <f>VLOOKUP(B2682,airports!A:H,7,FALSE)</f>
        <v>37.505166670000001</v>
      </c>
      <c r="G2682" s="3">
        <f>VLOOKUP(B2682,airports!A:H,8,FALSE)</f>
        <v>-77.319666670000004</v>
      </c>
      <c r="H2682">
        <f t="shared" si="82"/>
        <v>446.6</v>
      </c>
      <c r="I2682">
        <f t="shared" si="83"/>
        <v>277.5</v>
      </c>
    </row>
    <row r="2683" spans="1:9" ht="30" x14ac:dyDescent="0.25">
      <c r="A2683" s="5" t="s">
        <v>52</v>
      </c>
      <c r="B2683" s="5" t="s">
        <v>121</v>
      </c>
      <c r="C2683" s="5" t="s">
        <v>3134</v>
      </c>
      <c r="D2683" s="3">
        <f>VLOOKUP(A2683,airports!A:H,7,FALSE)</f>
        <v>40.69249722</v>
      </c>
      <c r="E2683" s="3">
        <f>VLOOKUP(A2683,airports!A:H,8,FALSE)</f>
        <v>-74.168660560000006</v>
      </c>
      <c r="F2683" s="3">
        <f>VLOOKUP(B2683,airports!A:H,7,FALSE)</f>
        <v>39.498576110000002</v>
      </c>
      <c r="G2683" s="3">
        <f>VLOOKUP(B2683,airports!A:H,8,FALSE)</f>
        <v>-119.7680647</v>
      </c>
      <c r="H2683">
        <f t="shared" si="82"/>
        <v>3836.9</v>
      </c>
      <c r="I2683">
        <f t="shared" si="83"/>
        <v>2384.3000000000002</v>
      </c>
    </row>
    <row r="2684" spans="1:9" ht="30" x14ac:dyDescent="0.25">
      <c r="A2684" s="5" t="s">
        <v>52</v>
      </c>
      <c r="B2684" s="5" t="s">
        <v>122</v>
      </c>
      <c r="C2684" s="5" t="s">
        <v>3135</v>
      </c>
      <c r="D2684" s="3">
        <f>VLOOKUP(A2684,airports!A:H,7,FALSE)</f>
        <v>40.69249722</v>
      </c>
      <c r="E2684" s="3">
        <f>VLOOKUP(A2684,airports!A:H,8,FALSE)</f>
        <v>-74.168660560000006</v>
      </c>
      <c r="F2684" s="3">
        <f>VLOOKUP(B2684,airports!A:H,7,FALSE)</f>
        <v>43.118866109999999</v>
      </c>
      <c r="G2684" s="3">
        <f>VLOOKUP(B2684,airports!A:H,8,FALSE)</f>
        <v>-77.672383890000006</v>
      </c>
      <c r="H2684">
        <f t="shared" si="82"/>
        <v>396</v>
      </c>
      <c r="I2684">
        <f t="shared" si="83"/>
        <v>246.1</v>
      </c>
    </row>
    <row r="2685" spans="1:9" ht="30" x14ac:dyDescent="0.25">
      <c r="A2685" s="5" t="s">
        <v>52</v>
      </c>
      <c r="B2685" s="5" t="s">
        <v>123</v>
      </c>
      <c r="C2685" s="5" t="s">
        <v>3136</v>
      </c>
      <c r="D2685" s="3">
        <f>VLOOKUP(A2685,airports!A:H,7,FALSE)</f>
        <v>40.69249722</v>
      </c>
      <c r="E2685" s="3">
        <f>VLOOKUP(A2685,airports!A:H,8,FALSE)</f>
        <v>-74.168660560000006</v>
      </c>
      <c r="F2685" s="3">
        <f>VLOOKUP(B2685,airports!A:H,7,FALSE)</f>
        <v>26.53616667</v>
      </c>
      <c r="G2685" s="3">
        <f>VLOOKUP(B2685,airports!A:H,8,FALSE)</f>
        <v>-81.755166669999994</v>
      </c>
      <c r="H2685">
        <f t="shared" si="82"/>
        <v>1722</v>
      </c>
      <c r="I2685">
        <f t="shared" si="83"/>
        <v>1070.0999999999999</v>
      </c>
    </row>
    <row r="2686" spans="1:9" ht="30" x14ac:dyDescent="0.25">
      <c r="A2686" s="5" t="s">
        <v>52</v>
      </c>
      <c r="B2686" s="5" t="s">
        <v>124</v>
      </c>
      <c r="C2686" s="5" t="s">
        <v>3137</v>
      </c>
      <c r="D2686" s="3">
        <f>VLOOKUP(A2686,airports!A:H,7,FALSE)</f>
        <v>40.69249722</v>
      </c>
      <c r="E2686" s="3">
        <f>VLOOKUP(A2686,airports!A:H,8,FALSE)</f>
        <v>-74.168660560000006</v>
      </c>
      <c r="F2686" s="3">
        <f>VLOOKUP(B2686,airports!A:H,7,FALSE)</f>
        <v>32.733556110000002</v>
      </c>
      <c r="G2686" s="3">
        <f>VLOOKUP(B2686,airports!A:H,8,FALSE)</f>
        <v>-117.1896567</v>
      </c>
      <c r="H2686">
        <f t="shared" si="82"/>
        <v>3895</v>
      </c>
      <c r="I2686">
        <f t="shared" si="83"/>
        <v>2420.4</v>
      </c>
    </row>
    <row r="2687" spans="1:9" ht="30" x14ac:dyDescent="0.25">
      <c r="A2687" s="5" t="s">
        <v>52</v>
      </c>
      <c r="B2687" s="5" t="s">
        <v>125</v>
      </c>
      <c r="C2687" s="5" t="s">
        <v>3138</v>
      </c>
      <c r="D2687" s="3">
        <f>VLOOKUP(A2687,airports!A:H,7,FALSE)</f>
        <v>40.69249722</v>
      </c>
      <c r="E2687" s="3">
        <f>VLOOKUP(A2687,airports!A:H,8,FALSE)</f>
        <v>-74.168660560000006</v>
      </c>
      <c r="F2687" s="3">
        <f>VLOOKUP(B2687,airports!A:H,7,FALSE)</f>
        <v>29.533694440000001</v>
      </c>
      <c r="G2687" s="3">
        <f>VLOOKUP(B2687,airports!A:H,8,FALSE)</f>
        <v>-98.469777780000001</v>
      </c>
      <c r="H2687">
        <f t="shared" si="82"/>
        <v>2522.4</v>
      </c>
      <c r="I2687">
        <f t="shared" si="83"/>
        <v>1567.4</v>
      </c>
    </row>
    <row r="2688" spans="1:9" ht="30" x14ac:dyDescent="0.25">
      <c r="A2688" s="5" t="s">
        <v>52</v>
      </c>
      <c r="B2688" s="5" t="s">
        <v>126</v>
      </c>
      <c r="C2688" s="5" t="s">
        <v>3139</v>
      </c>
      <c r="D2688" s="3">
        <f>VLOOKUP(A2688,airports!A:H,7,FALSE)</f>
        <v>40.69249722</v>
      </c>
      <c r="E2688" s="3">
        <f>VLOOKUP(A2688,airports!A:H,8,FALSE)</f>
        <v>-74.168660560000006</v>
      </c>
      <c r="F2688" s="3">
        <f>VLOOKUP(B2688,airports!A:H,7,FALSE)</f>
        <v>32.12758333</v>
      </c>
      <c r="G2688" s="3">
        <f>VLOOKUP(B2688,airports!A:H,8,FALSE)</f>
        <v>-81.202138890000001</v>
      </c>
      <c r="H2688">
        <f t="shared" si="82"/>
        <v>1140.5999999999999</v>
      </c>
      <c r="I2688">
        <f t="shared" si="83"/>
        <v>708.8</v>
      </c>
    </row>
    <row r="2689" spans="1:9" ht="30" x14ac:dyDescent="0.25">
      <c r="A2689" s="5" t="s">
        <v>52</v>
      </c>
      <c r="B2689" s="5" t="s">
        <v>626</v>
      </c>
      <c r="C2689" s="5" t="s">
        <v>3140</v>
      </c>
      <c r="D2689" s="3">
        <f>VLOOKUP(A2689,airports!A:H,7,FALSE)</f>
        <v>40.69249722</v>
      </c>
      <c r="E2689" s="3">
        <f>VLOOKUP(A2689,airports!A:H,8,FALSE)</f>
        <v>-74.168660560000006</v>
      </c>
      <c r="F2689" s="3">
        <f>VLOOKUP(B2689,airports!A:H,7,FALSE)</f>
        <v>41.708953610000002</v>
      </c>
      <c r="G2689" s="3">
        <f>VLOOKUP(B2689,airports!A:H,8,FALSE)</f>
        <v>-86.318474170000002</v>
      </c>
      <c r="H2689">
        <f t="shared" si="82"/>
        <v>1021.9</v>
      </c>
      <c r="I2689">
        <f t="shared" si="83"/>
        <v>635</v>
      </c>
    </row>
    <row r="2690" spans="1:9" ht="30" x14ac:dyDescent="0.25">
      <c r="A2690" s="5" t="s">
        <v>52</v>
      </c>
      <c r="B2690" s="5" t="s">
        <v>628</v>
      </c>
      <c r="C2690" s="5" t="s">
        <v>3141</v>
      </c>
      <c r="D2690" s="3">
        <f>VLOOKUP(A2690,airports!A:H,7,FALSE)</f>
        <v>40.69249722</v>
      </c>
      <c r="E2690" s="3">
        <f>VLOOKUP(A2690,airports!A:H,8,FALSE)</f>
        <v>-74.168660560000006</v>
      </c>
      <c r="F2690" s="3">
        <f>VLOOKUP(B2690,airports!A:H,7,FALSE)</f>
        <v>40.851205999999998</v>
      </c>
      <c r="G2690" s="3">
        <f>VLOOKUP(B2690,airports!A:H,8,FALSE)</f>
        <v>-77.846301999999994</v>
      </c>
      <c r="H2690">
        <f t="shared" si="82"/>
        <v>310.2</v>
      </c>
      <c r="I2690">
        <f t="shared" si="83"/>
        <v>192.7</v>
      </c>
    </row>
    <row r="2691" spans="1:9" ht="30" x14ac:dyDescent="0.25">
      <c r="A2691" s="5" t="s">
        <v>52</v>
      </c>
      <c r="B2691" s="5" t="s">
        <v>630</v>
      </c>
      <c r="C2691" s="5" t="s">
        <v>3142</v>
      </c>
      <c r="D2691" s="3">
        <f>VLOOKUP(A2691,airports!A:H,7,FALSE)</f>
        <v>40.69249722</v>
      </c>
      <c r="E2691" s="3">
        <f>VLOOKUP(A2691,airports!A:H,8,FALSE)</f>
        <v>-74.168660560000006</v>
      </c>
      <c r="F2691" s="3">
        <f>VLOOKUP(B2691,airports!A:H,7,FALSE)</f>
        <v>38.174388890000003</v>
      </c>
      <c r="G2691" s="3">
        <f>VLOOKUP(B2691,airports!A:H,8,FALSE)</f>
        <v>-85.736000000000004</v>
      </c>
      <c r="H2691">
        <f t="shared" si="82"/>
        <v>1031.3</v>
      </c>
      <c r="I2691">
        <f t="shared" si="83"/>
        <v>640.79999999999995</v>
      </c>
    </row>
    <row r="2692" spans="1:9" ht="30" x14ac:dyDescent="0.25">
      <c r="A2692" s="5" t="s">
        <v>52</v>
      </c>
      <c r="B2692" s="5" t="s">
        <v>128</v>
      </c>
      <c r="C2692" s="5" t="s">
        <v>3143</v>
      </c>
      <c r="D2692" s="3">
        <f>VLOOKUP(A2692,airports!A:H,7,FALSE)</f>
        <v>40.69249722</v>
      </c>
      <c r="E2692" s="3">
        <f>VLOOKUP(A2692,airports!A:H,8,FALSE)</f>
        <v>-74.168660560000006</v>
      </c>
      <c r="F2692" s="3">
        <f>VLOOKUP(B2692,airports!A:H,7,FALSE)</f>
        <v>47.448981940000003</v>
      </c>
      <c r="G2692" s="3">
        <f>VLOOKUP(B2692,airports!A:H,8,FALSE)</f>
        <v>-122.3093131</v>
      </c>
      <c r="H2692">
        <f t="shared" ref="H2692:H2755" si="84">ROUND(ACOS(COS(RADIANS(90-D2692)) * COS(RADIANS(90-F2692)) + SIN(RADIANS(90-D2692)) * SIN(RADIANS(90-F2692)) * COS(RADIANS(E2692-G2692))) * 6371,1)</f>
        <v>3854.8</v>
      </c>
      <c r="I2692">
        <f t="shared" ref="I2692:I2755" si="85">ROUND(ACOS(COS(RADIANS(90-D2692)) * COS(RADIANS(90-F2692)) + SIN(RADIANS(90-D2692)) * SIN(RADIANS(90-F2692)) * COS(RADIANS(E2692-G2692))) * 3959,1)</f>
        <v>2395.4</v>
      </c>
    </row>
    <row r="2693" spans="1:9" ht="30" x14ac:dyDescent="0.25">
      <c r="A2693" s="5" t="s">
        <v>52</v>
      </c>
      <c r="B2693" s="5" t="s">
        <v>130</v>
      </c>
      <c r="C2693" s="5" t="s">
        <v>3144</v>
      </c>
      <c r="D2693" s="3">
        <f>VLOOKUP(A2693,airports!A:H,7,FALSE)</f>
        <v>40.69249722</v>
      </c>
      <c r="E2693" s="3">
        <f>VLOOKUP(A2693,airports!A:H,8,FALSE)</f>
        <v>-74.168660560000006</v>
      </c>
      <c r="F2693" s="3">
        <f>VLOOKUP(B2693,airports!A:H,7,FALSE)</f>
        <v>37.619001939999997</v>
      </c>
      <c r="G2693" s="3">
        <f>VLOOKUP(B2693,airports!A:H,8,FALSE)</f>
        <v>-122.37484329999999</v>
      </c>
      <c r="H2693">
        <f t="shared" si="84"/>
        <v>4118.3999999999996</v>
      </c>
      <c r="I2693">
        <f t="shared" si="85"/>
        <v>2559.1999999999998</v>
      </c>
    </row>
    <row r="2694" spans="1:9" ht="30" x14ac:dyDescent="0.25">
      <c r="A2694" s="5" t="s">
        <v>52</v>
      </c>
      <c r="B2694" s="5" t="s">
        <v>131</v>
      </c>
      <c r="C2694" s="5" t="s">
        <v>3145</v>
      </c>
      <c r="D2694" s="3">
        <f>VLOOKUP(A2694,airports!A:H,7,FALSE)</f>
        <v>40.69249722</v>
      </c>
      <c r="E2694" s="3">
        <f>VLOOKUP(A2694,airports!A:H,8,FALSE)</f>
        <v>-74.168660560000006</v>
      </c>
      <c r="F2694" s="3">
        <f>VLOOKUP(B2694,airports!A:H,7,FALSE)</f>
        <v>37.361861939999997</v>
      </c>
      <c r="G2694" s="3">
        <f>VLOOKUP(B2694,airports!A:H,8,FALSE)</f>
        <v>-121.9290089</v>
      </c>
      <c r="H2694">
        <f t="shared" si="84"/>
        <v>4091.4</v>
      </c>
      <c r="I2694">
        <f t="shared" si="85"/>
        <v>2542.4</v>
      </c>
    </row>
    <row r="2695" spans="1:9" ht="30" x14ac:dyDescent="0.25">
      <c r="A2695" s="5" t="s">
        <v>52</v>
      </c>
      <c r="B2695" s="5" t="s">
        <v>134</v>
      </c>
      <c r="C2695" s="5" t="s">
        <v>3146</v>
      </c>
      <c r="D2695" s="3">
        <f>VLOOKUP(A2695,airports!A:H,7,FALSE)</f>
        <v>40.69249722</v>
      </c>
      <c r="E2695" s="3">
        <f>VLOOKUP(A2695,airports!A:H,8,FALSE)</f>
        <v>-74.168660560000006</v>
      </c>
      <c r="F2695" s="3">
        <f>VLOOKUP(B2695,airports!A:H,7,FALSE)</f>
        <v>18.43941667</v>
      </c>
      <c r="G2695" s="3">
        <f>VLOOKUP(B2695,airports!A:H,8,FALSE)</f>
        <v>-66.001833329999997</v>
      </c>
      <c r="H2695">
        <f t="shared" si="84"/>
        <v>2594.4</v>
      </c>
      <c r="I2695">
        <f t="shared" si="85"/>
        <v>1612.2</v>
      </c>
    </row>
    <row r="2696" spans="1:9" ht="30" x14ac:dyDescent="0.25">
      <c r="A2696" s="5" t="s">
        <v>52</v>
      </c>
      <c r="B2696" s="5" t="s">
        <v>135</v>
      </c>
      <c r="C2696" s="5" t="s">
        <v>3147</v>
      </c>
      <c r="D2696" s="3">
        <f>VLOOKUP(A2696,airports!A:H,7,FALSE)</f>
        <v>40.69249722</v>
      </c>
      <c r="E2696" s="3">
        <f>VLOOKUP(A2696,airports!A:H,8,FALSE)</f>
        <v>-74.168660560000006</v>
      </c>
      <c r="F2696" s="3">
        <f>VLOOKUP(B2696,airports!A:H,7,FALSE)</f>
        <v>40.788387780000001</v>
      </c>
      <c r="G2696" s="3">
        <f>VLOOKUP(B2696,airports!A:H,8,FALSE)</f>
        <v>-111.97777309999999</v>
      </c>
      <c r="H2696">
        <f t="shared" si="84"/>
        <v>3160.2</v>
      </c>
      <c r="I2696">
        <f t="shared" si="85"/>
        <v>1963.8</v>
      </c>
    </row>
    <row r="2697" spans="1:9" ht="30" x14ac:dyDescent="0.25">
      <c r="A2697" s="5" t="s">
        <v>52</v>
      </c>
      <c r="B2697" s="5" t="s">
        <v>137</v>
      </c>
      <c r="C2697" s="5" t="s">
        <v>3148</v>
      </c>
      <c r="D2697" s="3">
        <f>VLOOKUP(A2697,airports!A:H,7,FALSE)</f>
        <v>40.69249722</v>
      </c>
      <c r="E2697" s="3">
        <f>VLOOKUP(A2697,airports!A:H,8,FALSE)</f>
        <v>-74.168660560000006</v>
      </c>
      <c r="F2697" s="3">
        <f>VLOOKUP(B2697,airports!A:H,7,FALSE)</f>
        <v>38.695421670000002</v>
      </c>
      <c r="G2697" s="3">
        <f>VLOOKUP(B2697,airports!A:H,8,FALSE)</f>
        <v>-121.59076690000001</v>
      </c>
      <c r="H2697">
        <f t="shared" si="84"/>
        <v>4013.9</v>
      </c>
      <c r="I2697">
        <f t="shared" si="85"/>
        <v>2494.3000000000002</v>
      </c>
    </row>
    <row r="2698" spans="1:9" ht="30" x14ac:dyDescent="0.25">
      <c r="A2698" s="5" t="s">
        <v>52</v>
      </c>
      <c r="B2698" s="5" t="s">
        <v>227</v>
      </c>
      <c r="C2698" s="5" t="s">
        <v>3149</v>
      </c>
      <c r="D2698" s="3">
        <f>VLOOKUP(A2698,airports!A:H,7,FALSE)</f>
        <v>40.69249722</v>
      </c>
      <c r="E2698" s="3">
        <f>VLOOKUP(A2698,airports!A:H,8,FALSE)</f>
        <v>-74.168660560000006</v>
      </c>
      <c r="F2698" s="3">
        <f>VLOOKUP(B2698,airports!A:H,7,FALSE)</f>
        <v>33.675658609999999</v>
      </c>
      <c r="G2698" s="3">
        <f>VLOOKUP(B2698,airports!A:H,8,FALSE)</f>
        <v>-117.8682225</v>
      </c>
      <c r="H2698">
        <f t="shared" si="84"/>
        <v>3907.8</v>
      </c>
      <c r="I2698">
        <f t="shared" si="85"/>
        <v>2428.3000000000002</v>
      </c>
    </row>
    <row r="2699" spans="1:9" ht="30" x14ac:dyDescent="0.25">
      <c r="A2699" s="5" t="s">
        <v>52</v>
      </c>
      <c r="B2699" s="5" t="s">
        <v>138</v>
      </c>
      <c r="C2699" s="5" t="s">
        <v>3150</v>
      </c>
      <c r="D2699" s="3">
        <f>VLOOKUP(A2699,airports!A:H,7,FALSE)</f>
        <v>40.69249722</v>
      </c>
      <c r="E2699" s="3">
        <f>VLOOKUP(A2699,airports!A:H,8,FALSE)</f>
        <v>-74.168660560000006</v>
      </c>
      <c r="F2699" s="3">
        <f>VLOOKUP(B2699,airports!A:H,7,FALSE)</f>
        <v>27.39533333</v>
      </c>
      <c r="G2699" s="3">
        <f>VLOOKUP(B2699,airports!A:H,8,FALSE)</f>
        <v>-82.554111109999994</v>
      </c>
      <c r="H2699">
        <f t="shared" si="84"/>
        <v>1666.3</v>
      </c>
      <c r="I2699">
        <f t="shared" si="85"/>
        <v>1035.4000000000001</v>
      </c>
    </row>
    <row r="2700" spans="1:9" ht="30" x14ac:dyDescent="0.25">
      <c r="A2700" s="5" t="s">
        <v>52</v>
      </c>
      <c r="B2700" s="5" t="s">
        <v>644</v>
      </c>
      <c r="C2700" s="5" t="s">
        <v>3151</v>
      </c>
      <c r="D2700" s="3">
        <f>VLOOKUP(A2700,airports!A:H,7,FALSE)</f>
        <v>40.69249722</v>
      </c>
      <c r="E2700" s="3">
        <f>VLOOKUP(A2700,airports!A:H,8,FALSE)</f>
        <v>-74.168660560000006</v>
      </c>
      <c r="F2700" s="3">
        <f>VLOOKUP(B2700,airports!A:H,7,FALSE)</f>
        <v>38.747686940000001</v>
      </c>
      <c r="G2700" s="3">
        <f>VLOOKUP(B2700,airports!A:H,8,FALSE)</f>
        <v>-90.359989720000002</v>
      </c>
      <c r="H2700">
        <f t="shared" si="84"/>
        <v>1399.5</v>
      </c>
      <c r="I2700">
        <f t="shared" si="85"/>
        <v>869.7</v>
      </c>
    </row>
    <row r="2701" spans="1:9" ht="30" x14ac:dyDescent="0.25">
      <c r="A2701" s="5" t="s">
        <v>52</v>
      </c>
      <c r="B2701" s="5" t="s">
        <v>140</v>
      </c>
      <c r="C2701" s="5" t="s">
        <v>3152</v>
      </c>
      <c r="D2701" s="3">
        <f>VLOOKUP(A2701,airports!A:H,7,FALSE)</f>
        <v>40.69249722</v>
      </c>
      <c r="E2701" s="3">
        <f>VLOOKUP(A2701,airports!A:H,8,FALSE)</f>
        <v>-74.168660560000006</v>
      </c>
      <c r="F2701" s="3">
        <f>VLOOKUP(B2701,airports!A:H,7,FALSE)</f>
        <v>18.337305560000001</v>
      </c>
      <c r="G2701" s="3">
        <f>VLOOKUP(B2701,airports!A:H,8,FALSE)</f>
        <v>-64.973361109999999</v>
      </c>
      <c r="H2701">
        <f t="shared" si="84"/>
        <v>2636.4</v>
      </c>
      <c r="I2701">
        <f t="shared" si="85"/>
        <v>1638.3</v>
      </c>
    </row>
    <row r="2702" spans="1:9" ht="30" x14ac:dyDescent="0.25">
      <c r="A2702" s="5" t="s">
        <v>52</v>
      </c>
      <c r="B2702" s="5" t="s">
        <v>144</v>
      </c>
      <c r="C2702" s="5" t="s">
        <v>3153</v>
      </c>
      <c r="D2702" s="3">
        <f>VLOOKUP(A2702,airports!A:H,7,FALSE)</f>
        <v>40.69249722</v>
      </c>
      <c r="E2702" s="3">
        <f>VLOOKUP(A2702,airports!A:H,8,FALSE)</f>
        <v>-74.168660560000006</v>
      </c>
      <c r="F2702" s="3">
        <f>VLOOKUP(B2702,airports!A:H,7,FALSE)</f>
        <v>43.111186940000003</v>
      </c>
      <c r="G2702" s="3">
        <f>VLOOKUP(B2702,airports!A:H,8,FALSE)</f>
        <v>-76.106310559999997</v>
      </c>
      <c r="H2702">
        <f t="shared" si="84"/>
        <v>313.10000000000002</v>
      </c>
      <c r="I2702">
        <f t="shared" si="85"/>
        <v>194.6</v>
      </c>
    </row>
    <row r="2703" spans="1:9" ht="30" x14ac:dyDescent="0.25">
      <c r="A2703" s="5" t="s">
        <v>52</v>
      </c>
      <c r="B2703" s="5" t="s">
        <v>145</v>
      </c>
      <c r="C2703" s="5" t="s">
        <v>3154</v>
      </c>
      <c r="D2703" s="3">
        <f>VLOOKUP(A2703,airports!A:H,7,FALSE)</f>
        <v>40.69249722</v>
      </c>
      <c r="E2703" s="3">
        <f>VLOOKUP(A2703,airports!A:H,8,FALSE)</f>
        <v>-74.168660560000006</v>
      </c>
      <c r="F2703" s="3">
        <f>VLOOKUP(B2703,airports!A:H,7,FALSE)</f>
        <v>27.97547222</v>
      </c>
      <c r="G2703" s="3">
        <f>VLOOKUP(B2703,airports!A:H,8,FALSE)</f>
        <v>-82.533249999999995</v>
      </c>
      <c r="H2703">
        <f t="shared" si="84"/>
        <v>1607.3</v>
      </c>
      <c r="I2703">
        <f t="shared" si="85"/>
        <v>998.8</v>
      </c>
    </row>
    <row r="2704" spans="1:9" ht="30" x14ac:dyDescent="0.25">
      <c r="A2704" s="5" t="s">
        <v>52</v>
      </c>
      <c r="B2704" s="5" t="s">
        <v>662</v>
      </c>
      <c r="C2704" s="5" t="s">
        <v>3155</v>
      </c>
      <c r="D2704" s="3">
        <f>VLOOKUP(A2704,airports!A:H,7,FALSE)</f>
        <v>40.69249722</v>
      </c>
      <c r="E2704" s="3">
        <f>VLOOKUP(A2704,airports!A:H,8,FALSE)</f>
        <v>-74.168660560000006</v>
      </c>
      <c r="F2704" s="3">
        <f>VLOOKUP(B2704,airports!A:H,7,FALSE)</f>
        <v>44.741444719999997</v>
      </c>
      <c r="G2704" s="3">
        <f>VLOOKUP(B2704,airports!A:H,8,FALSE)</f>
        <v>-85.582234999999997</v>
      </c>
      <c r="H2704">
        <f t="shared" si="84"/>
        <v>1034.2</v>
      </c>
      <c r="I2704">
        <f t="shared" si="85"/>
        <v>642.70000000000005</v>
      </c>
    </row>
    <row r="2705" spans="1:9" ht="30" x14ac:dyDescent="0.25">
      <c r="A2705" s="5" t="s">
        <v>52</v>
      </c>
      <c r="B2705" s="5" t="s">
        <v>664</v>
      </c>
      <c r="C2705" s="5" t="s">
        <v>3156</v>
      </c>
      <c r="D2705" s="3">
        <f>VLOOKUP(A2705,airports!A:H,7,FALSE)</f>
        <v>40.69249722</v>
      </c>
      <c r="E2705" s="3">
        <f>VLOOKUP(A2705,airports!A:H,8,FALSE)</f>
        <v>-74.168660560000006</v>
      </c>
      <c r="F2705" s="3">
        <f>VLOOKUP(B2705,airports!A:H,7,FALSE)</f>
        <v>35.812487220000001</v>
      </c>
      <c r="G2705" s="3">
        <f>VLOOKUP(B2705,airports!A:H,8,FALSE)</f>
        <v>-83.992855829999996</v>
      </c>
      <c r="H2705">
        <f t="shared" si="84"/>
        <v>1014.1</v>
      </c>
      <c r="I2705">
        <f t="shared" si="85"/>
        <v>630.20000000000005</v>
      </c>
    </row>
    <row r="2706" spans="1:9" ht="30" x14ac:dyDescent="0.25">
      <c r="A2706" s="5" t="s">
        <v>52</v>
      </c>
      <c r="B2706" s="5" t="s">
        <v>668</v>
      </c>
      <c r="C2706" s="5" t="s">
        <v>3157</v>
      </c>
      <c r="D2706" s="3">
        <f>VLOOKUP(A2706,airports!A:H,7,FALSE)</f>
        <v>40.69249722</v>
      </c>
      <c r="E2706" s="3">
        <f>VLOOKUP(A2706,airports!A:H,8,FALSE)</f>
        <v>-74.168660560000006</v>
      </c>
      <c r="F2706" s="3">
        <f>VLOOKUP(B2706,airports!A:H,7,FALSE)</f>
        <v>30.483250000000002</v>
      </c>
      <c r="G2706" s="3">
        <f>VLOOKUP(B2706,airports!A:H,8,FALSE)</f>
        <v>-86.525400000000005</v>
      </c>
      <c r="H2706">
        <f t="shared" si="84"/>
        <v>1589.7</v>
      </c>
      <c r="I2706">
        <f t="shared" si="85"/>
        <v>987.9</v>
      </c>
    </row>
    <row r="2707" spans="1:9" ht="30" x14ac:dyDescent="0.25">
      <c r="A2707" s="5" t="s">
        <v>52</v>
      </c>
      <c r="B2707" s="5" t="s">
        <v>670</v>
      </c>
      <c r="C2707" s="5" t="s">
        <v>3158</v>
      </c>
      <c r="D2707" s="3">
        <f>VLOOKUP(A2707,airports!A:H,7,FALSE)</f>
        <v>40.69249722</v>
      </c>
      <c r="E2707" s="3">
        <f>VLOOKUP(A2707,airports!A:H,8,FALSE)</f>
        <v>-74.168660560000006</v>
      </c>
      <c r="F2707" s="3">
        <f>VLOOKUP(B2707,airports!A:H,7,FALSE)</f>
        <v>36.281869440000001</v>
      </c>
      <c r="G2707" s="3">
        <f>VLOOKUP(B2707,airports!A:H,8,FALSE)</f>
        <v>-94.306811109999998</v>
      </c>
      <c r="H2707">
        <f t="shared" si="84"/>
        <v>1815.5</v>
      </c>
      <c r="I2707">
        <f t="shared" si="85"/>
        <v>1128.2</v>
      </c>
    </row>
    <row r="2708" spans="1:9" ht="30" x14ac:dyDescent="0.25">
      <c r="A2708" s="5" t="s">
        <v>54</v>
      </c>
      <c r="B2708" s="5" t="s">
        <v>10</v>
      </c>
      <c r="C2708" s="5" t="s">
        <v>3159</v>
      </c>
      <c r="D2708" s="3">
        <f>VLOOKUP(A2708,airports!A:H,7,FALSE)</f>
        <v>24.55611111</v>
      </c>
      <c r="E2708" s="3">
        <f>VLOOKUP(A2708,airports!A:H,8,FALSE)</f>
        <v>-81.759555559999995</v>
      </c>
      <c r="F2708" s="3">
        <f>VLOOKUP(B2708,airports!A:H,7,FALSE)</f>
        <v>33.640444440000003</v>
      </c>
      <c r="G2708" s="3">
        <f>VLOOKUP(B2708,airports!A:H,8,FALSE)</f>
        <v>-84.42694444</v>
      </c>
      <c r="H2708">
        <f t="shared" si="84"/>
        <v>1042.7</v>
      </c>
      <c r="I2708">
        <f t="shared" si="85"/>
        <v>648</v>
      </c>
    </row>
    <row r="2709" spans="1:9" ht="30" x14ac:dyDescent="0.25">
      <c r="A2709" s="5" t="s">
        <v>54</v>
      </c>
      <c r="B2709" s="5" t="s">
        <v>419</v>
      </c>
      <c r="C2709" s="5" t="s">
        <v>3160</v>
      </c>
      <c r="D2709" s="3">
        <f>VLOOKUP(A2709,airports!A:H,7,FALSE)</f>
        <v>24.55611111</v>
      </c>
      <c r="E2709" s="3">
        <f>VLOOKUP(A2709,airports!A:H,8,FALSE)</f>
        <v>-81.759555559999995</v>
      </c>
      <c r="F2709" s="3">
        <f>VLOOKUP(B2709,airports!A:H,7,FALSE)</f>
        <v>35.436194440000001</v>
      </c>
      <c r="G2709" s="3">
        <f>VLOOKUP(B2709,airports!A:H,8,FALSE)</f>
        <v>-82.54180556</v>
      </c>
      <c r="H2709">
        <f t="shared" si="84"/>
        <v>1212.0999999999999</v>
      </c>
      <c r="I2709">
        <f t="shared" si="85"/>
        <v>753.2</v>
      </c>
    </row>
    <row r="2710" spans="1:9" ht="30" x14ac:dyDescent="0.25">
      <c r="A2710" s="5" t="s">
        <v>54</v>
      </c>
      <c r="B2710" s="5" t="s">
        <v>19</v>
      </c>
      <c r="C2710" s="5" t="s">
        <v>3161</v>
      </c>
      <c r="D2710" s="3">
        <f>VLOOKUP(A2710,airports!A:H,7,FALSE)</f>
        <v>24.55611111</v>
      </c>
      <c r="E2710" s="3">
        <f>VLOOKUP(A2710,airports!A:H,8,FALSE)</f>
        <v>-81.759555559999995</v>
      </c>
      <c r="F2710" s="3">
        <f>VLOOKUP(B2710,airports!A:H,7,FALSE)</f>
        <v>36.12447667</v>
      </c>
      <c r="G2710" s="3">
        <f>VLOOKUP(B2710,airports!A:H,8,FALSE)</f>
        <v>-86.678182219999997</v>
      </c>
      <c r="H2710">
        <f t="shared" si="84"/>
        <v>1369.6</v>
      </c>
      <c r="I2710">
        <f t="shared" si="85"/>
        <v>851.1</v>
      </c>
    </row>
    <row r="2711" spans="1:9" ht="30" x14ac:dyDescent="0.25">
      <c r="A2711" s="5" t="s">
        <v>54</v>
      </c>
      <c r="B2711" s="5" t="s">
        <v>24</v>
      </c>
      <c r="C2711" s="5" t="s">
        <v>3162</v>
      </c>
      <c r="D2711" s="3">
        <f>VLOOKUP(A2711,airports!A:H,7,FALSE)</f>
        <v>24.55611111</v>
      </c>
      <c r="E2711" s="3">
        <f>VLOOKUP(A2711,airports!A:H,8,FALSE)</f>
        <v>-81.759555559999995</v>
      </c>
      <c r="F2711" s="3">
        <f>VLOOKUP(B2711,airports!A:H,7,FALSE)</f>
        <v>42.364347500000001</v>
      </c>
      <c r="G2711" s="3">
        <f>VLOOKUP(B2711,airports!A:H,8,FALSE)</f>
        <v>-71.005179170000005</v>
      </c>
      <c r="H2711">
        <f t="shared" si="84"/>
        <v>2212.9</v>
      </c>
      <c r="I2711">
        <f t="shared" si="85"/>
        <v>1375.1</v>
      </c>
    </row>
    <row r="2712" spans="1:9" ht="30" x14ac:dyDescent="0.25">
      <c r="A2712" s="5" t="s">
        <v>54</v>
      </c>
      <c r="B2712" s="5" t="s">
        <v>40</v>
      </c>
      <c r="C2712" s="5" t="s">
        <v>3163</v>
      </c>
      <c r="D2712" s="3">
        <f>VLOOKUP(A2712,airports!A:H,7,FALSE)</f>
        <v>24.55611111</v>
      </c>
      <c r="E2712" s="3">
        <f>VLOOKUP(A2712,airports!A:H,8,FALSE)</f>
        <v>-81.759555559999995</v>
      </c>
      <c r="F2712" s="3">
        <f>VLOOKUP(B2712,airports!A:H,7,FALSE)</f>
        <v>35.214011110000001</v>
      </c>
      <c r="G2712" s="3">
        <f>VLOOKUP(B2712,airports!A:H,8,FALSE)</f>
        <v>-80.94312583</v>
      </c>
      <c r="H2712">
        <f t="shared" si="84"/>
        <v>1187.7</v>
      </c>
      <c r="I2712">
        <f t="shared" si="85"/>
        <v>738</v>
      </c>
    </row>
    <row r="2713" spans="1:9" ht="30" x14ac:dyDescent="0.25">
      <c r="A2713" s="5" t="s">
        <v>54</v>
      </c>
      <c r="B2713" s="5" t="s">
        <v>462</v>
      </c>
      <c r="C2713" s="5" t="s">
        <v>3164</v>
      </c>
      <c r="D2713" s="3">
        <f>VLOOKUP(A2713,airports!A:H,7,FALSE)</f>
        <v>24.55611111</v>
      </c>
      <c r="E2713" s="3">
        <f>VLOOKUP(A2713,airports!A:H,8,FALSE)</f>
        <v>-81.759555559999995</v>
      </c>
      <c r="F2713" s="3">
        <f>VLOOKUP(B2713,airports!A:H,7,FALSE)</f>
        <v>39.046142779999997</v>
      </c>
      <c r="G2713" s="3">
        <f>VLOOKUP(B2713,airports!A:H,8,FALSE)</f>
        <v>-84.662172499999997</v>
      </c>
      <c r="H2713">
        <f t="shared" si="84"/>
        <v>1634.1</v>
      </c>
      <c r="I2713">
        <f t="shared" si="85"/>
        <v>1015.5</v>
      </c>
    </row>
    <row r="2714" spans="1:9" ht="30" x14ac:dyDescent="0.25">
      <c r="A2714" s="5" t="s">
        <v>54</v>
      </c>
      <c r="B2714" s="5" t="s">
        <v>45</v>
      </c>
      <c r="C2714" s="5" t="s">
        <v>3165</v>
      </c>
      <c r="D2714" s="3">
        <f>VLOOKUP(A2714,airports!A:H,7,FALSE)</f>
        <v>24.55611111</v>
      </c>
      <c r="E2714" s="3">
        <f>VLOOKUP(A2714,airports!A:H,8,FALSE)</f>
        <v>-81.759555559999995</v>
      </c>
      <c r="F2714" s="3">
        <f>VLOOKUP(B2714,airports!A:H,7,FALSE)</f>
        <v>38.852083329999999</v>
      </c>
      <c r="G2714" s="3">
        <f>VLOOKUP(B2714,airports!A:H,8,FALSE)</f>
        <v>-77.037722220000006</v>
      </c>
      <c r="H2714">
        <f t="shared" si="84"/>
        <v>1650.5</v>
      </c>
      <c r="I2714">
        <f t="shared" si="85"/>
        <v>1025.7</v>
      </c>
    </row>
    <row r="2715" spans="1:9" ht="30" x14ac:dyDescent="0.25">
      <c r="A2715" s="5" t="s">
        <v>54</v>
      </c>
      <c r="B2715" s="5" t="s">
        <v>49</v>
      </c>
      <c r="C2715" s="5" t="s">
        <v>3166</v>
      </c>
      <c r="D2715" s="3">
        <f>VLOOKUP(A2715,airports!A:H,7,FALSE)</f>
        <v>24.55611111</v>
      </c>
      <c r="E2715" s="3">
        <f>VLOOKUP(A2715,airports!A:H,8,FALSE)</f>
        <v>-81.759555559999995</v>
      </c>
      <c r="F2715" s="3">
        <f>VLOOKUP(B2715,airports!A:H,7,FALSE)</f>
        <v>32.895950560000003</v>
      </c>
      <c r="G2715" s="3">
        <f>VLOOKUP(B2715,airports!A:H,8,FALSE)</f>
        <v>-97.037199999999999</v>
      </c>
      <c r="H2715">
        <f t="shared" si="84"/>
        <v>1751.8</v>
      </c>
      <c r="I2715">
        <f t="shared" si="85"/>
        <v>1088.5999999999999</v>
      </c>
    </row>
    <row r="2716" spans="1:9" ht="30" x14ac:dyDescent="0.25">
      <c r="A2716" s="5" t="s">
        <v>54</v>
      </c>
      <c r="B2716" s="5" t="s">
        <v>52</v>
      </c>
      <c r="C2716" s="5" t="s">
        <v>3167</v>
      </c>
      <c r="D2716" s="3">
        <f>VLOOKUP(A2716,airports!A:H,7,FALSE)</f>
        <v>24.55611111</v>
      </c>
      <c r="E2716" s="3">
        <f>VLOOKUP(A2716,airports!A:H,8,FALSE)</f>
        <v>-81.759555559999995</v>
      </c>
      <c r="F2716" s="3">
        <f>VLOOKUP(B2716,airports!A:H,7,FALSE)</f>
        <v>40.69249722</v>
      </c>
      <c r="G2716" s="3">
        <f>VLOOKUP(B2716,airports!A:H,8,FALSE)</f>
        <v>-74.168660560000006</v>
      </c>
      <c r="H2716">
        <f t="shared" si="84"/>
        <v>1928</v>
      </c>
      <c r="I2716">
        <f t="shared" si="85"/>
        <v>1198.0999999999999</v>
      </c>
    </row>
    <row r="2717" spans="1:9" ht="30" x14ac:dyDescent="0.25">
      <c r="A2717" s="5" t="s">
        <v>54</v>
      </c>
      <c r="B2717" s="5" t="s">
        <v>176</v>
      </c>
      <c r="C2717" s="5" t="s">
        <v>3168</v>
      </c>
      <c r="D2717" s="3">
        <f>VLOOKUP(A2717,airports!A:H,7,FALSE)</f>
        <v>24.55611111</v>
      </c>
      <c r="E2717" s="3">
        <f>VLOOKUP(A2717,airports!A:H,8,FALSE)</f>
        <v>-81.759555559999995</v>
      </c>
      <c r="F2717" s="3">
        <f>VLOOKUP(B2717,airports!A:H,7,FALSE)</f>
        <v>38.944531939999997</v>
      </c>
      <c r="G2717" s="3">
        <f>VLOOKUP(B2717,airports!A:H,8,FALSE)</f>
        <v>-77.455809720000005</v>
      </c>
      <c r="H2717">
        <f t="shared" si="84"/>
        <v>1650.3</v>
      </c>
      <c r="I2717">
        <f t="shared" si="85"/>
        <v>1025.5</v>
      </c>
    </row>
    <row r="2718" spans="1:9" ht="30" x14ac:dyDescent="0.25">
      <c r="A2718" s="5" t="s">
        <v>54</v>
      </c>
      <c r="B2718" s="5" t="s">
        <v>67</v>
      </c>
      <c r="C2718" s="5" t="s">
        <v>3169</v>
      </c>
      <c r="D2718" s="3">
        <f>VLOOKUP(A2718,airports!A:H,7,FALSE)</f>
        <v>24.55611111</v>
      </c>
      <c r="E2718" s="3">
        <f>VLOOKUP(A2718,airports!A:H,8,FALSE)</f>
        <v>-81.759555559999995</v>
      </c>
      <c r="F2718" s="3">
        <f>VLOOKUP(B2718,airports!A:H,7,FALSE)</f>
        <v>29.980472219999999</v>
      </c>
      <c r="G2718" s="3">
        <f>VLOOKUP(B2718,airports!A:H,8,FALSE)</f>
        <v>-95.339722219999999</v>
      </c>
      <c r="H2718">
        <f t="shared" si="84"/>
        <v>1470.1</v>
      </c>
      <c r="I2718">
        <f t="shared" si="85"/>
        <v>913.5</v>
      </c>
    </row>
    <row r="2719" spans="1:9" ht="30" x14ac:dyDescent="0.25">
      <c r="A2719" s="5" t="s">
        <v>54</v>
      </c>
      <c r="B2719" s="5" t="s">
        <v>537</v>
      </c>
      <c r="C2719" s="5" t="s">
        <v>3170</v>
      </c>
      <c r="D2719" s="3">
        <f>VLOOKUP(A2719,airports!A:H,7,FALSE)</f>
        <v>24.55611111</v>
      </c>
      <c r="E2719" s="3">
        <f>VLOOKUP(A2719,airports!A:H,8,FALSE)</f>
        <v>-81.759555559999995</v>
      </c>
      <c r="F2719" s="3">
        <f>VLOOKUP(B2719,airports!A:H,7,FALSE)</f>
        <v>39.717329169999999</v>
      </c>
      <c r="G2719" s="3">
        <f>VLOOKUP(B2719,airports!A:H,8,FALSE)</f>
        <v>-86.294384170000001</v>
      </c>
      <c r="H2719">
        <f t="shared" si="84"/>
        <v>1738.4</v>
      </c>
      <c r="I2719">
        <f t="shared" si="85"/>
        <v>1080.3</v>
      </c>
    </row>
    <row r="2720" spans="1:9" ht="30" x14ac:dyDescent="0.25">
      <c r="A2720" s="5" t="s">
        <v>54</v>
      </c>
      <c r="B2720" s="5" t="s">
        <v>69</v>
      </c>
      <c r="C2720" s="5" t="s">
        <v>3171</v>
      </c>
      <c r="D2720" s="3">
        <f>VLOOKUP(A2720,airports!A:H,7,FALSE)</f>
        <v>24.55611111</v>
      </c>
      <c r="E2720" s="3">
        <f>VLOOKUP(A2720,airports!A:H,8,FALSE)</f>
        <v>-81.759555559999995</v>
      </c>
      <c r="F2720" s="3">
        <f>VLOOKUP(B2720,airports!A:H,7,FALSE)</f>
        <v>40.639751109999999</v>
      </c>
      <c r="G2720" s="3">
        <f>VLOOKUP(B2720,airports!A:H,8,FALSE)</f>
        <v>-73.778925560000005</v>
      </c>
      <c r="H2720">
        <f t="shared" si="84"/>
        <v>1936.2</v>
      </c>
      <c r="I2720">
        <f t="shared" si="85"/>
        <v>1203.2</v>
      </c>
    </row>
    <row r="2721" spans="1:9" ht="30" x14ac:dyDescent="0.25">
      <c r="A2721" s="5" t="s">
        <v>54</v>
      </c>
      <c r="B2721" s="5" t="s">
        <v>74</v>
      </c>
      <c r="C2721" s="5" t="s">
        <v>3172</v>
      </c>
      <c r="D2721" s="3">
        <f>VLOOKUP(A2721,airports!A:H,7,FALSE)</f>
        <v>24.55611111</v>
      </c>
      <c r="E2721" s="3">
        <f>VLOOKUP(A2721,airports!A:H,8,FALSE)</f>
        <v>-81.759555559999995</v>
      </c>
      <c r="F2721" s="3">
        <f>VLOOKUP(B2721,airports!A:H,7,FALSE)</f>
        <v>40.777243060000004</v>
      </c>
      <c r="G2721" s="3">
        <f>VLOOKUP(B2721,airports!A:H,8,FALSE)</f>
        <v>-73.872609170000004</v>
      </c>
      <c r="H2721">
        <f t="shared" si="84"/>
        <v>1946.8</v>
      </c>
      <c r="I2721">
        <f t="shared" si="85"/>
        <v>1209.8</v>
      </c>
    </row>
    <row r="2722" spans="1:9" ht="30" x14ac:dyDescent="0.25">
      <c r="A2722" s="5" t="s">
        <v>54</v>
      </c>
      <c r="B2722" s="5" t="s">
        <v>82</v>
      </c>
      <c r="C2722" s="5" t="s">
        <v>3173</v>
      </c>
      <c r="D2722" s="3">
        <f>VLOOKUP(A2722,airports!A:H,7,FALSE)</f>
        <v>24.55611111</v>
      </c>
      <c r="E2722" s="3">
        <f>VLOOKUP(A2722,airports!A:H,8,FALSE)</f>
        <v>-81.759555559999995</v>
      </c>
      <c r="F2722" s="3">
        <f>VLOOKUP(B2722,airports!A:H,7,FALSE)</f>
        <v>28.42888889</v>
      </c>
      <c r="G2722" s="3">
        <f>VLOOKUP(B2722,airports!A:H,8,FALSE)</f>
        <v>-81.316027779999999</v>
      </c>
      <c r="H2722">
        <f t="shared" si="84"/>
        <v>432.9</v>
      </c>
      <c r="I2722">
        <f t="shared" si="85"/>
        <v>269</v>
      </c>
    </row>
    <row r="2723" spans="1:9" ht="30" x14ac:dyDescent="0.25">
      <c r="A2723" s="5" t="s">
        <v>54</v>
      </c>
      <c r="B2723" s="5" t="s">
        <v>84</v>
      </c>
      <c r="C2723" s="5" t="s">
        <v>3174</v>
      </c>
      <c r="D2723" s="3">
        <f>VLOOKUP(A2723,airports!A:H,7,FALSE)</f>
        <v>24.55611111</v>
      </c>
      <c r="E2723" s="3">
        <f>VLOOKUP(A2723,airports!A:H,8,FALSE)</f>
        <v>-81.759555559999995</v>
      </c>
      <c r="F2723" s="3">
        <f>VLOOKUP(B2723,airports!A:H,7,FALSE)</f>
        <v>25.79325</v>
      </c>
      <c r="G2723" s="3">
        <f>VLOOKUP(B2723,airports!A:H,8,FALSE)</f>
        <v>-80.290555560000001</v>
      </c>
      <c r="H2723">
        <f t="shared" si="84"/>
        <v>201.9</v>
      </c>
      <c r="I2723">
        <f t="shared" si="85"/>
        <v>125.5</v>
      </c>
    </row>
    <row r="2724" spans="1:9" ht="30" x14ac:dyDescent="0.25">
      <c r="A2724" s="5" t="s">
        <v>54</v>
      </c>
      <c r="B2724" s="5" t="s">
        <v>95</v>
      </c>
      <c r="C2724" s="5" t="s">
        <v>3175</v>
      </c>
      <c r="D2724" s="3">
        <f>VLOOKUP(A2724,airports!A:H,7,FALSE)</f>
        <v>24.55611111</v>
      </c>
      <c r="E2724" s="3">
        <f>VLOOKUP(A2724,airports!A:H,8,FALSE)</f>
        <v>-81.759555559999995</v>
      </c>
      <c r="F2724" s="3">
        <f>VLOOKUP(B2724,airports!A:H,7,FALSE)</f>
        <v>41.979595000000003</v>
      </c>
      <c r="G2724" s="3">
        <f>VLOOKUP(B2724,airports!A:H,8,FALSE)</f>
        <v>-87.904464169999997</v>
      </c>
      <c r="H2724">
        <f t="shared" si="84"/>
        <v>2018.4</v>
      </c>
      <c r="I2724">
        <f t="shared" si="85"/>
        <v>1254.3</v>
      </c>
    </row>
    <row r="2725" spans="1:9" ht="30" x14ac:dyDescent="0.25">
      <c r="A2725" s="5" t="s">
        <v>54</v>
      </c>
      <c r="B2725" s="5" t="s">
        <v>102</v>
      </c>
      <c r="C2725" s="5" t="s">
        <v>3176</v>
      </c>
      <c r="D2725" s="3">
        <f>VLOOKUP(A2725,airports!A:H,7,FALSE)</f>
        <v>24.55611111</v>
      </c>
      <c r="E2725" s="3">
        <f>VLOOKUP(A2725,airports!A:H,8,FALSE)</f>
        <v>-81.759555559999995</v>
      </c>
      <c r="F2725" s="3">
        <f>VLOOKUP(B2725,airports!A:H,7,FALSE)</f>
        <v>39.871952780000001</v>
      </c>
      <c r="G2725" s="3">
        <f>VLOOKUP(B2725,airports!A:H,8,FALSE)</f>
        <v>-75.241140830000006</v>
      </c>
      <c r="H2725">
        <f t="shared" si="84"/>
        <v>1808.7</v>
      </c>
      <c r="I2725">
        <f t="shared" si="85"/>
        <v>1123.9000000000001</v>
      </c>
    </row>
    <row r="2726" spans="1:9" x14ac:dyDescent="0.25">
      <c r="A2726" s="5" t="s">
        <v>54</v>
      </c>
      <c r="B2726" s="5" t="s">
        <v>188</v>
      </c>
      <c r="C2726" s="5" t="s">
        <v>3177</v>
      </c>
      <c r="D2726" s="3">
        <f>VLOOKUP(A2726,airports!A:H,7,FALSE)</f>
        <v>24.55611111</v>
      </c>
      <c r="E2726" s="3">
        <f>VLOOKUP(A2726,airports!A:H,8,FALSE)</f>
        <v>-81.759555559999995</v>
      </c>
      <c r="F2726" s="3">
        <f>VLOOKUP(B2726,airports!A:H,7,FALSE)</f>
        <v>27.910763330000002</v>
      </c>
      <c r="G2726" s="3">
        <f>VLOOKUP(B2726,airports!A:H,8,FALSE)</f>
        <v>-82.687439440000006</v>
      </c>
      <c r="H2726">
        <f t="shared" si="84"/>
        <v>384.3</v>
      </c>
      <c r="I2726">
        <f t="shared" si="85"/>
        <v>238.8</v>
      </c>
    </row>
    <row r="2727" spans="1:9" x14ac:dyDescent="0.25">
      <c r="A2727" s="5" t="s">
        <v>54</v>
      </c>
      <c r="B2727" s="5" t="s">
        <v>106</v>
      </c>
      <c r="C2727" s="5" t="s">
        <v>3178</v>
      </c>
      <c r="D2727" s="3">
        <f>VLOOKUP(A2727,airports!A:H,7,FALSE)</f>
        <v>24.55611111</v>
      </c>
      <c r="E2727" s="3">
        <f>VLOOKUP(A2727,airports!A:H,8,FALSE)</f>
        <v>-81.759555559999995</v>
      </c>
      <c r="F2727" s="3">
        <f>VLOOKUP(B2727,airports!A:H,7,FALSE)</f>
        <v>40.491465830000003</v>
      </c>
      <c r="G2727" s="3">
        <f>VLOOKUP(B2727,airports!A:H,8,FALSE)</f>
        <v>-80.232870829999996</v>
      </c>
      <c r="H2727">
        <f t="shared" si="84"/>
        <v>1777.6</v>
      </c>
      <c r="I2727">
        <f t="shared" si="85"/>
        <v>1104.5999999999999</v>
      </c>
    </row>
    <row r="2728" spans="1:9" ht="30" x14ac:dyDescent="0.25">
      <c r="A2728" s="5" t="s">
        <v>54</v>
      </c>
      <c r="B2728" s="5" t="s">
        <v>123</v>
      </c>
      <c r="C2728" s="5" t="s">
        <v>3179</v>
      </c>
      <c r="D2728" s="3">
        <f>VLOOKUP(A2728,airports!A:H,7,FALSE)</f>
        <v>24.55611111</v>
      </c>
      <c r="E2728" s="3">
        <f>VLOOKUP(A2728,airports!A:H,8,FALSE)</f>
        <v>-81.759555559999995</v>
      </c>
      <c r="F2728" s="3">
        <f>VLOOKUP(B2728,airports!A:H,7,FALSE)</f>
        <v>26.53616667</v>
      </c>
      <c r="G2728" s="3">
        <f>VLOOKUP(B2728,airports!A:H,8,FALSE)</f>
        <v>-81.755166669999994</v>
      </c>
      <c r="H2728">
        <f t="shared" si="84"/>
        <v>220.2</v>
      </c>
      <c r="I2728">
        <f t="shared" si="85"/>
        <v>136.80000000000001</v>
      </c>
    </row>
    <row r="2729" spans="1:9" ht="30" x14ac:dyDescent="0.25">
      <c r="A2729" s="5" t="s">
        <v>54</v>
      </c>
      <c r="B2729" s="5" t="s">
        <v>191</v>
      </c>
      <c r="C2729" s="5" t="s">
        <v>3180</v>
      </c>
      <c r="D2729" s="3">
        <f>VLOOKUP(A2729,airports!A:H,7,FALSE)</f>
        <v>24.55611111</v>
      </c>
      <c r="E2729" s="3">
        <f>VLOOKUP(A2729,airports!A:H,8,FALSE)</f>
        <v>-81.759555559999995</v>
      </c>
      <c r="F2729" s="3">
        <f>VLOOKUP(B2729,airports!A:H,7,FALSE)</f>
        <v>28.7776</v>
      </c>
      <c r="G2729" s="3">
        <f>VLOOKUP(B2729,airports!A:H,8,FALSE)</f>
        <v>-81.237499999999997</v>
      </c>
      <c r="H2729">
        <f t="shared" si="84"/>
        <v>472.3</v>
      </c>
      <c r="I2729">
        <f t="shared" si="85"/>
        <v>293.5</v>
      </c>
    </row>
    <row r="2730" spans="1:9" ht="30" x14ac:dyDescent="0.25">
      <c r="A2730" s="5" t="s">
        <v>54</v>
      </c>
      <c r="B2730" s="5" t="s">
        <v>145</v>
      </c>
      <c r="C2730" s="5" t="s">
        <v>3181</v>
      </c>
      <c r="D2730" s="3">
        <f>VLOOKUP(A2730,airports!A:H,7,FALSE)</f>
        <v>24.55611111</v>
      </c>
      <c r="E2730" s="3">
        <f>VLOOKUP(A2730,airports!A:H,8,FALSE)</f>
        <v>-81.759555559999995</v>
      </c>
      <c r="F2730" s="3">
        <f>VLOOKUP(B2730,airports!A:H,7,FALSE)</f>
        <v>27.97547222</v>
      </c>
      <c r="G2730" s="3">
        <f>VLOOKUP(B2730,airports!A:H,8,FALSE)</f>
        <v>-82.533249999999995</v>
      </c>
      <c r="H2730">
        <f t="shared" si="84"/>
        <v>388</v>
      </c>
      <c r="I2730">
        <f t="shared" si="85"/>
        <v>241.1</v>
      </c>
    </row>
    <row r="2731" spans="1:9" ht="30" x14ac:dyDescent="0.25">
      <c r="A2731" s="5" t="s">
        <v>358</v>
      </c>
      <c r="B2731" s="5" t="s">
        <v>265</v>
      </c>
      <c r="C2731" s="5" t="s">
        <v>3182</v>
      </c>
      <c r="D2731" s="3">
        <f>VLOOKUP(A2731,airports!A:H,7,FALSE)</f>
        <v>64.813677499999997</v>
      </c>
      <c r="E2731" s="3">
        <f>VLOOKUP(A2731,airports!A:H,8,FALSE)</f>
        <v>-147.8596694</v>
      </c>
      <c r="F2731" s="3">
        <f>VLOOKUP(B2731,airports!A:H,7,FALSE)</f>
        <v>61.174320280000003</v>
      </c>
      <c r="G2731" s="3">
        <f>VLOOKUP(B2731,airports!A:H,8,FALSE)</f>
        <v>-149.99618559999999</v>
      </c>
      <c r="H2731">
        <f t="shared" si="84"/>
        <v>418.7</v>
      </c>
      <c r="I2731">
        <f t="shared" si="85"/>
        <v>260.2</v>
      </c>
    </row>
    <row r="2732" spans="1:9" x14ac:dyDescent="0.25">
      <c r="A2732" s="5" t="s">
        <v>358</v>
      </c>
      <c r="B2732" s="5" t="s">
        <v>47</v>
      </c>
      <c r="C2732" s="5" t="s">
        <v>3183</v>
      </c>
      <c r="D2732" s="3">
        <f>VLOOKUP(A2732,airports!A:H,7,FALSE)</f>
        <v>64.813677499999997</v>
      </c>
      <c r="E2732" s="3">
        <f>VLOOKUP(A2732,airports!A:H,8,FALSE)</f>
        <v>-147.8596694</v>
      </c>
      <c r="F2732" s="3">
        <f>VLOOKUP(B2732,airports!A:H,7,FALSE)</f>
        <v>39.858408060000002</v>
      </c>
      <c r="G2732" s="3">
        <f>VLOOKUP(B2732,airports!A:H,8,FALSE)</f>
        <v>-104.6670019</v>
      </c>
      <c r="H2732">
        <f t="shared" si="84"/>
        <v>3903.2</v>
      </c>
      <c r="I2732">
        <f t="shared" si="85"/>
        <v>2425.5</v>
      </c>
    </row>
    <row r="2733" spans="1:9" ht="30" x14ac:dyDescent="0.25">
      <c r="A2733" s="5" t="s">
        <v>358</v>
      </c>
      <c r="B2733" s="5" t="s">
        <v>49</v>
      </c>
      <c r="C2733" s="5" t="s">
        <v>3184</v>
      </c>
      <c r="D2733" s="3">
        <f>VLOOKUP(A2733,airports!A:H,7,FALSE)</f>
        <v>64.813677499999997</v>
      </c>
      <c r="E2733" s="3">
        <f>VLOOKUP(A2733,airports!A:H,8,FALSE)</f>
        <v>-147.8596694</v>
      </c>
      <c r="F2733" s="3">
        <f>VLOOKUP(B2733,airports!A:H,7,FALSE)</f>
        <v>32.895950560000003</v>
      </c>
      <c r="G2733" s="3">
        <f>VLOOKUP(B2733,airports!A:H,8,FALSE)</f>
        <v>-97.037199999999999</v>
      </c>
      <c r="H2733">
        <f t="shared" si="84"/>
        <v>4912</v>
      </c>
      <c r="I2733">
        <f t="shared" si="85"/>
        <v>3052.4</v>
      </c>
    </row>
    <row r="2734" spans="1:9" ht="30" x14ac:dyDescent="0.25">
      <c r="A2734" s="5" t="s">
        <v>358</v>
      </c>
      <c r="B2734" s="5" t="s">
        <v>87</v>
      </c>
      <c r="C2734" s="5" t="s">
        <v>3185</v>
      </c>
      <c r="D2734" s="3">
        <f>VLOOKUP(A2734,airports!A:H,7,FALSE)</f>
        <v>64.813677499999997</v>
      </c>
      <c r="E2734" s="3">
        <f>VLOOKUP(A2734,airports!A:H,8,FALSE)</f>
        <v>-147.8596694</v>
      </c>
      <c r="F2734" s="3">
        <f>VLOOKUP(B2734,airports!A:H,7,FALSE)</f>
        <v>44.880546940000002</v>
      </c>
      <c r="G2734" s="3">
        <f>VLOOKUP(B2734,airports!A:H,8,FALSE)</f>
        <v>-93.216922499999995</v>
      </c>
      <c r="H2734">
        <f t="shared" si="84"/>
        <v>3959.2</v>
      </c>
      <c r="I2734">
        <f t="shared" si="85"/>
        <v>2460.3000000000002</v>
      </c>
    </row>
    <row r="2735" spans="1:9" ht="30" x14ac:dyDescent="0.25">
      <c r="A2735" s="5" t="s">
        <v>358</v>
      </c>
      <c r="B2735" s="5" t="s">
        <v>95</v>
      </c>
      <c r="C2735" s="5" t="s">
        <v>3186</v>
      </c>
      <c r="D2735" s="3">
        <f>VLOOKUP(A2735,airports!A:H,7,FALSE)</f>
        <v>64.813677499999997</v>
      </c>
      <c r="E2735" s="3">
        <f>VLOOKUP(A2735,airports!A:H,8,FALSE)</f>
        <v>-147.8596694</v>
      </c>
      <c r="F2735" s="3">
        <f>VLOOKUP(B2735,airports!A:H,7,FALSE)</f>
        <v>41.979595000000003</v>
      </c>
      <c r="G2735" s="3">
        <f>VLOOKUP(B2735,airports!A:H,8,FALSE)</f>
        <v>-87.904464169999997</v>
      </c>
      <c r="H2735">
        <f t="shared" si="84"/>
        <v>4471.3</v>
      </c>
      <c r="I2735">
        <f t="shared" si="85"/>
        <v>2778.5</v>
      </c>
    </row>
    <row r="2736" spans="1:9" x14ac:dyDescent="0.25">
      <c r="A2736" s="5" t="s">
        <v>358</v>
      </c>
      <c r="B2736" s="5" t="s">
        <v>380</v>
      </c>
      <c r="C2736" s="5" t="s">
        <v>3187</v>
      </c>
      <c r="D2736" s="3">
        <f>VLOOKUP(A2736,airports!A:H,7,FALSE)</f>
        <v>64.813677499999997</v>
      </c>
      <c r="E2736" s="3">
        <f>VLOOKUP(A2736,airports!A:H,8,FALSE)</f>
        <v>-147.8596694</v>
      </c>
      <c r="F2736" s="3">
        <f>VLOOKUP(B2736,airports!A:H,7,FALSE)</f>
        <v>70.194755830000005</v>
      </c>
      <c r="G2736" s="3">
        <f>VLOOKUP(B2736,airports!A:H,8,FALSE)</f>
        <v>-148.46516080000001</v>
      </c>
      <c r="H2736">
        <f t="shared" si="84"/>
        <v>598.9</v>
      </c>
      <c r="I2736">
        <f t="shared" si="85"/>
        <v>372.2</v>
      </c>
    </row>
    <row r="2737" spans="1:9" x14ac:dyDescent="0.25">
      <c r="A2737" s="5" t="s">
        <v>358</v>
      </c>
      <c r="B2737" s="5" t="s">
        <v>128</v>
      </c>
      <c r="C2737" s="5" t="s">
        <v>3188</v>
      </c>
      <c r="D2737" s="3">
        <f>VLOOKUP(A2737,airports!A:H,7,FALSE)</f>
        <v>64.813677499999997</v>
      </c>
      <c r="E2737" s="3">
        <f>VLOOKUP(A2737,airports!A:H,8,FALSE)</f>
        <v>-147.8596694</v>
      </c>
      <c r="F2737" s="3">
        <f>VLOOKUP(B2737,airports!A:H,7,FALSE)</f>
        <v>47.448981940000003</v>
      </c>
      <c r="G2737" s="3">
        <f>VLOOKUP(B2737,airports!A:H,8,FALSE)</f>
        <v>-122.3093131</v>
      </c>
      <c r="H2737">
        <f t="shared" si="84"/>
        <v>2461.6</v>
      </c>
      <c r="I2737">
        <f t="shared" si="85"/>
        <v>1529.7</v>
      </c>
    </row>
    <row r="2738" spans="1:9" x14ac:dyDescent="0.25">
      <c r="A2738" s="5" t="s">
        <v>358</v>
      </c>
      <c r="B2738" s="5" t="s">
        <v>130</v>
      </c>
      <c r="C2738" s="5" t="s">
        <v>3189</v>
      </c>
      <c r="D2738" s="3">
        <f>VLOOKUP(A2738,airports!A:H,7,FALSE)</f>
        <v>64.813677499999997</v>
      </c>
      <c r="E2738" s="3">
        <f>VLOOKUP(A2738,airports!A:H,8,FALSE)</f>
        <v>-147.8596694</v>
      </c>
      <c r="F2738" s="3">
        <f>VLOOKUP(B2738,airports!A:H,7,FALSE)</f>
        <v>37.619001939999997</v>
      </c>
      <c r="G2738" s="3">
        <f>VLOOKUP(B2738,airports!A:H,8,FALSE)</f>
        <v>-122.37484329999999</v>
      </c>
      <c r="H2738">
        <f t="shared" si="84"/>
        <v>3453.3</v>
      </c>
      <c r="I2738">
        <f t="shared" si="85"/>
        <v>2145.9</v>
      </c>
    </row>
    <row r="2739" spans="1:9" x14ac:dyDescent="0.25">
      <c r="A2739" s="5" t="s">
        <v>358</v>
      </c>
      <c r="B2739" s="5" t="s">
        <v>135</v>
      </c>
      <c r="C2739" s="5" t="s">
        <v>3190</v>
      </c>
      <c r="D2739" s="3">
        <f>VLOOKUP(A2739,airports!A:H,7,FALSE)</f>
        <v>64.813677499999997</v>
      </c>
      <c r="E2739" s="3">
        <f>VLOOKUP(A2739,airports!A:H,8,FALSE)</f>
        <v>-147.8596694</v>
      </c>
      <c r="F2739" s="3">
        <f>VLOOKUP(B2739,airports!A:H,7,FALSE)</f>
        <v>40.788387780000001</v>
      </c>
      <c r="G2739" s="3">
        <f>VLOOKUP(B2739,airports!A:H,8,FALSE)</f>
        <v>-111.97777309999999</v>
      </c>
      <c r="H2739">
        <f t="shared" si="84"/>
        <v>3507.8</v>
      </c>
      <c r="I2739">
        <f t="shared" si="85"/>
        <v>2179.8000000000002</v>
      </c>
    </row>
    <row r="2740" spans="1:9" x14ac:dyDescent="0.25">
      <c r="A2740" s="5" t="s">
        <v>491</v>
      </c>
      <c r="B2740" s="5" t="s">
        <v>10</v>
      </c>
      <c r="C2740" s="5" t="s">
        <v>3191</v>
      </c>
      <c r="D2740" s="3">
        <f>VLOOKUP(A2740,airports!A:H,7,FALSE)</f>
        <v>46.919348890000002</v>
      </c>
      <c r="E2740" s="3">
        <f>VLOOKUP(A2740,airports!A:H,8,FALSE)</f>
        <v>-96.814988889999995</v>
      </c>
      <c r="F2740" s="3">
        <f>VLOOKUP(B2740,airports!A:H,7,FALSE)</f>
        <v>33.640444440000003</v>
      </c>
      <c r="G2740" s="3">
        <f>VLOOKUP(B2740,airports!A:H,8,FALSE)</f>
        <v>-84.42694444</v>
      </c>
      <c r="H2740">
        <f t="shared" si="84"/>
        <v>1807.5</v>
      </c>
      <c r="I2740">
        <f t="shared" si="85"/>
        <v>1123.2</v>
      </c>
    </row>
    <row r="2741" spans="1:9" ht="30" x14ac:dyDescent="0.25">
      <c r="A2741" s="5" t="s">
        <v>491</v>
      </c>
      <c r="B2741" s="5" t="s">
        <v>329</v>
      </c>
      <c r="C2741" s="5" t="s">
        <v>3192</v>
      </c>
      <c r="D2741" s="3">
        <f>VLOOKUP(A2741,airports!A:H,7,FALSE)</f>
        <v>46.919348890000002</v>
      </c>
      <c r="E2741" s="3">
        <f>VLOOKUP(A2741,airports!A:H,8,FALSE)</f>
        <v>-96.814988889999995</v>
      </c>
      <c r="F2741" s="3">
        <f>VLOOKUP(B2741,airports!A:H,7,FALSE)</f>
        <v>33.308999999999997</v>
      </c>
      <c r="G2741" s="3">
        <f>VLOOKUP(B2741,airports!A:H,8,FALSE)</f>
        <v>-111.6559</v>
      </c>
      <c r="H2741">
        <f t="shared" si="84"/>
        <v>1963.6</v>
      </c>
      <c r="I2741">
        <f t="shared" si="85"/>
        <v>1220.2</v>
      </c>
    </row>
    <row r="2742" spans="1:9" ht="30" x14ac:dyDescent="0.25">
      <c r="A2742" s="5" t="s">
        <v>491</v>
      </c>
      <c r="B2742" s="5" t="s">
        <v>19</v>
      </c>
      <c r="C2742" s="5" t="s">
        <v>3193</v>
      </c>
      <c r="D2742" s="3">
        <f>VLOOKUP(A2742,airports!A:H,7,FALSE)</f>
        <v>46.919348890000002</v>
      </c>
      <c r="E2742" s="3">
        <f>VLOOKUP(A2742,airports!A:H,8,FALSE)</f>
        <v>-96.814988889999995</v>
      </c>
      <c r="F2742" s="3">
        <f>VLOOKUP(B2742,airports!A:H,7,FALSE)</f>
        <v>36.12447667</v>
      </c>
      <c r="G2742" s="3">
        <f>VLOOKUP(B2742,airports!A:H,8,FALSE)</f>
        <v>-86.678182219999997</v>
      </c>
      <c r="H2742">
        <f t="shared" si="84"/>
        <v>1464.6</v>
      </c>
      <c r="I2742">
        <f t="shared" si="85"/>
        <v>910.1</v>
      </c>
    </row>
    <row r="2743" spans="1:9" ht="30" x14ac:dyDescent="0.25">
      <c r="A2743" s="5" t="s">
        <v>491</v>
      </c>
      <c r="B2743" s="5" t="s">
        <v>47</v>
      </c>
      <c r="C2743" s="5" t="s">
        <v>3194</v>
      </c>
      <c r="D2743" s="3">
        <f>VLOOKUP(A2743,airports!A:H,7,FALSE)</f>
        <v>46.919348890000002</v>
      </c>
      <c r="E2743" s="3">
        <f>VLOOKUP(A2743,airports!A:H,8,FALSE)</f>
        <v>-96.814988889999995</v>
      </c>
      <c r="F2743" s="3">
        <f>VLOOKUP(B2743,airports!A:H,7,FALSE)</f>
        <v>39.858408060000002</v>
      </c>
      <c r="G2743" s="3">
        <f>VLOOKUP(B2743,airports!A:H,8,FALSE)</f>
        <v>-104.6670019</v>
      </c>
      <c r="H2743">
        <f t="shared" si="84"/>
        <v>1008.4</v>
      </c>
      <c r="I2743">
        <f t="shared" si="85"/>
        <v>626.6</v>
      </c>
    </row>
    <row r="2744" spans="1:9" ht="30" x14ac:dyDescent="0.25">
      <c r="A2744" s="5" t="s">
        <v>491</v>
      </c>
      <c r="B2744" s="5" t="s">
        <v>49</v>
      </c>
      <c r="C2744" s="5" t="s">
        <v>3195</v>
      </c>
      <c r="D2744" s="3">
        <f>VLOOKUP(A2744,airports!A:H,7,FALSE)</f>
        <v>46.919348890000002</v>
      </c>
      <c r="E2744" s="3">
        <f>VLOOKUP(A2744,airports!A:H,8,FALSE)</f>
        <v>-96.814988889999995</v>
      </c>
      <c r="F2744" s="3">
        <f>VLOOKUP(B2744,airports!A:H,7,FALSE)</f>
        <v>32.895950560000003</v>
      </c>
      <c r="G2744" s="3">
        <f>VLOOKUP(B2744,airports!A:H,8,FALSE)</f>
        <v>-97.037199999999999</v>
      </c>
      <c r="H2744">
        <f t="shared" si="84"/>
        <v>1559.4</v>
      </c>
      <c r="I2744">
        <f t="shared" si="85"/>
        <v>969.1</v>
      </c>
    </row>
    <row r="2745" spans="1:9" ht="30" x14ac:dyDescent="0.25">
      <c r="A2745" s="5" t="s">
        <v>491</v>
      </c>
      <c r="B2745" s="5" t="s">
        <v>856</v>
      </c>
      <c r="C2745" s="5" t="s">
        <v>3196</v>
      </c>
      <c r="D2745" s="3">
        <f>VLOOKUP(A2745,airports!A:H,7,FALSE)</f>
        <v>46.919348890000002</v>
      </c>
      <c r="E2745" s="3">
        <f>VLOOKUP(A2745,airports!A:H,8,FALSE)</f>
        <v>-96.814988889999995</v>
      </c>
      <c r="F2745" s="3">
        <f>VLOOKUP(B2745,airports!A:H,7,FALSE)</f>
        <v>47.949255000000001</v>
      </c>
      <c r="G2745" s="3">
        <f>VLOOKUP(B2745,airports!A:H,8,FALSE)</f>
        <v>-97.176111109999994</v>
      </c>
      <c r="H2745">
        <f t="shared" si="84"/>
        <v>117.7</v>
      </c>
      <c r="I2745">
        <f t="shared" si="85"/>
        <v>73.099999999999994</v>
      </c>
    </row>
    <row r="2746" spans="1:9" x14ac:dyDescent="0.25">
      <c r="A2746" s="5" t="s">
        <v>491</v>
      </c>
      <c r="B2746" s="5" t="s">
        <v>3197</v>
      </c>
      <c r="C2746" s="5" t="s">
        <v>3198</v>
      </c>
      <c r="D2746" s="3">
        <f>VLOOKUP(A2746,airports!A:H,7,FALSE)</f>
        <v>46.919348890000002</v>
      </c>
      <c r="E2746" s="3">
        <f>VLOOKUP(A2746,airports!A:H,8,FALSE)</f>
        <v>-96.814988889999995</v>
      </c>
      <c r="F2746" s="3">
        <f>VLOOKUP(B2746,airports!A:H,7,FALSE)</f>
        <v>48.566187220000003</v>
      </c>
      <c r="G2746" s="3">
        <f>VLOOKUP(B2746,airports!A:H,8,FALSE)</f>
        <v>-93.403066670000001</v>
      </c>
      <c r="H2746">
        <f t="shared" si="84"/>
        <v>314</v>
      </c>
      <c r="I2746">
        <f t="shared" si="85"/>
        <v>195.1</v>
      </c>
    </row>
    <row r="2747" spans="1:9" ht="30" x14ac:dyDescent="0.25">
      <c r="A2747" s="5" t="s">
        <v>491</v>
      </c>
      <c r="B2747" s="5" t="s">
        <v>2409</v>
      </c>
      <c r="C2747" s="5" t="s">
        <v>3199</v>
      </c>
      <c r="D2747" s="3">
        <f>VLOOKUP(A2747,airports!A:H,7,FALSE)</f>
        <v>46.919348890000002</v>
      </c>
      <c r="E2747" s="3">
        <f>VLOOKUP(A2747,airports!A:H,8,FALSE)</f>
        <v>-96.814988889999995</v>
      </c>
      <c r="F2747" s="3">
        <f>VLOOKUP(B2747,airports!A:H,7,FALSE)</f>
        <v>46.92971944</v>
      </c>
      <c r="G2747" s="3">
        <f>VLOOKUP(B2747,airports!A:H,8,FALSE)</f>
        <v>-98.678195279999997</v>
      </c>
      <c r="H2747">
        <f t="shared" si="84"/>
        <v>141.5</v>
      </c>
      <c r="I2747">
        <f t="shared" si="85"/>
        <v>87.9</v>
      </c>
    </row>
    <row r="2748" spans="1:9" x14ac:dyDescent="0.25">
      <c r="A2748" s="5" t="s">
        <v>491</v>
      </c>
      <c r="B2748" s="5" t="s">
        <v>71</v>
      </c>
      <c r="C2748" s="5" t="s">
        <v>3200</v>
      </c>
      <c r="D2748" s="3">
        <f>VLOOKUP(A2748,airports!A:H,7,FALSE)</f>
        <v>46.919348890000002</v>
      </c>
      <c r="E2748" s="3">
        <f>VLOOKUP(A2748,airports!A:H,8,FALSE)</f>
        <v>-96.814988889999995</v>
      </c>
      <c r="F2748" s="3">
        <f>VLOOKUP(B2748,airports!A:H,7,FALSE)</f>
        <v>36.080361109999998</v>
      </c>
      <c r="G2748" s="3">
        <f>VLOOKUP(B2748,airports!A:H,8,FALSE)</f>
        <v>-115.1523333</v>
      </c>
      <c r="H2748">
        <f t="shared" si="84"/>
        <v>1937.2</v>
      </c>
      <c r="I2748">
        <f t="shared" si="85"/>
        <v>1203.8</v>
      </c>
    </row>
    <row r="2749" spans="1:9" ht="30" x14ac:dyDescent="0.25">
      <c r="A2749" s="5" t="s">
        <v>491</v>
      </c>
      <c r="B2749" s="5" t="s">
        <v>73</v>
      </c>
      <c r="C2749" s="5" t="s">
        <v>3201</v>
      </c>
      <c r="D2749" s="3">
        <f>VLOOKUP(A2749,airports!A:H,7,FALSE)</f>
        <v>46.919348890000002</v>
      </c>
      <c r="E2749" s="3">
        <f>VLOOKUP(A2749,airports!A:H,8,FALSE)</f>
        <v>-96.814988889999995</v>
      </c>
      <c r="F2749" s="3">
        <f>VLOOKUP(B2749,airports!A:H,7,FALSE)</f>
        <v>33.942536109999999</v>
      </c>
      <c r="G2749" s="3">
        <f>VLOOKUP(B2749,airports!A:H,8,FALSE)</f>
        <v>-118.4080744</v>
      </c>
      <c r="H2749">
        <f t="shared" si="84"/>
        <v>2315.1999999999998</v>
      </c>
      <c r="I2749">
        <f t="shared" si="85"/>
        <v>1438.7</v>
      </c>
    </row>
    <row r="2750" spans="1:9" ht="30" x14ac:dyDescent="0.25">
      <c r="A2750" s="5" t="s">
        <v>491</v>
      </c>
      <c r="B2750" s="5" t="s">
        <v>82</v>
      </c>
      <c r="C2750" s="5" t="s">
        <v>3202</v>
      </c>
      <c r="D2750" s="3">
        <f>VLOOKUP(A2750,airports!A:H,7,FALSE)</f>
        <v>46.919348890000002</v>
      </c>
      <c r="E2750" s="3">
        <f>VLOOKUP(A2750,airports!A:H,8,FALSE)</f>
        <v>-96.814988889999995</v>
      </c>
      <c r="F2750" s="3">
        <f>VLOOKUP(B2750,airports!A:H,7,FALSE)</f>
        <v>28.42888889</v>
      </c>
      <c r="G2750" s="3">
        <f>VLOOKUP(B2750,airports!A:H,8,FALSE)</f>
        <v>-81.316027779999999</v>
      </c>
      <c r="H2750">
        <f t="shared" si="84"/>
        <v>2457.3000000000002</v>
      </c>
      <c r="I2750">
        <f t="shared" si="85"/>
        <v>1527</v>
      </c>
    </row>
    <row r="2751" spans="1:9" ht="30" x14ac:dyDescent="0.25">
      <c r="A2751" s="5" t="s">
        <v>491</v>
      </c>
      <c r="B2751" s="5" t="s">
        <v>87</v>
      </c>
      <c r="C2751" s="5" t="s">
        <v>3203</v>
      </c>
      <c r="D2751" s="3">
        <f>VLOOKUP(A2751,airports!A:H,7,FALSE)</f>
        <v>46.919348890000002</v>
      </c>
      <c r="E2751" s="3">
        <f>VLOOKUP(A2751,airports!A:H,8,FALSE)</f>
        <v>-96.814988889999995</v>
      </c>
      <c r="F2751" s="3">
        <f>VLOOKUP(B2751,airports!A:H,7,FALSE)</f>
        <v>44.880546940000002</v>
      </c>
      <c r="G2751" s="3">
        <f>VLOOKUP(B2751,airports!A:H,8,FALSE)</f>
        <v>-93.216922499999995</v>
      </c>
      <c r="H2751">
        <f t="shared" si="84"/>
        <v>359</v>
      </c>
      <c r="I2751">
        <f t="shared" si="85"/>
        <v>223.1</v>
      </c>
    </row>
    <row r="2752" spans="1:9" ht="30" x14ac:dyDescent="0.25">
      <c r="A2752" s="5" t="s">
        <v>491</v>
      </c>
      <c r="B2752" s="5" t="s">
        <v>95</v>
      </c>
      <c r="C2752" s="5" t="s">
        <v>3204</v>
      </c>
      <c r="D2752" s="3">
        <f>VLOOKUP(A2752,airports!A:H,7,FALSE)</f>
        <v>46.919348890000002</v>
      </c>
      <c r="E2752" s="3">
        <f>VLOOKUP(A2752,airports!A:H,8,FALSE)</f>
        <v>-96.814988889999995</v>
      </c>
      <c r="F2752" s="3">
        <f>VLOOKUP(B2752,airports!A:H,7,FALSE)</f>
        <v>41.979595000000003</v>
      </c>
      <c r="G2752" s="3">
        <f>VLOOKUP(B2752,airports!A:H,8,FALSE)</f>
        <v>-87.904464169999997</v>
      </c>
      <c r="H2752">
        <f t="shared" si="84"/>
        <v>894.6</v>
      </c>
      <c r="I2752">
        <f t="shared" si="85"/>
        <v>555.9</v>
      </c>
    </row>
    <row r="2753" spans="1:9" ht="30" x14ac:dyDescent="0.25">
      <c r="A2753" s="5" t="s">
        <v>491</v>
      </c>
      <c r="B2753" s="5" t="s">
        <v>104</v>
      </c>
      <c r="C2753" s="5" t="s">
        <v>3205</v>
      </c>
      <c r="D2753" s="3">
        <f>VLOOKUP(A2753,airports!A:H,7,FALSE)</f>
        <v>46.919348890000002</v>
      </c>
      <c r="E2753" s="3">
        <f>VLOOKUP(A2753,airports!A:H,8,FALSE)</f>
        <v>-96.814988889999995</v>
      </c>
      <c r="F2753" s="3">
        <f>VLOOKUP(B2753,airports!A:H,7,FALSE)</f>
        <v>33.434166670000003</v>
      </c>
      <c r="G2753" s="3">
        <f>VLOOKUP(B2753,airports!A:H,8,FALSE)</f>
        <v>-112.00805560000001</v>
      </c>
      <c r="H2753">
        <f t="shared" si="84"/>
        <v>1971.4</v>
      </c>
      <c r="I2753">
        <f t="shared" si="85"/>
        <v>1225</v>
      </c>
    </row>
    <row r="2754" spans="1:9" x14ac:dyDescent="0.25">
      <c r="A2754" s="5" t="s">
        <v>491</v>
      </c>
      <c r="B2754" s="5" t="s">
        <v>188</v>
      </c>
      <c r="C2754" s="5" t="s">
        <v>3206</v>
      </c>
      <c r="D2754" s="3">
        <f>VLOOKUP(A2754,airports!A:H,7,FALSE)</f>
        <v>46.919348890000002</v>
      </c>
      <c r="E2754" s="3">
        <f>VLOOKUP(A2754,airports!A:H,8,FALSE)</f>
        <v>-96.814988889999995</v>
      </c>
      <c r="F2754" s="3">
        <f>VLOOKUP(B2754,airports!A:H,7,FALSE)</f>
        <v>27.910763330000002</v>
      </c>
      <c r="G2754" s="3">
        <f>VLOOKUP(B2754,airports!A:H,8,FALSE)</f>
        <v>-82.687439440000006</v>
      </c>
      <c r="H2754">
        <f t="shared" si="84"/>
        <v>2445.8000000000002</v>
      </c>
      <c r="I2754">
        <f t="shared" si="85"/>
        <v>1519.8</v>
      </c>
    </row>
    <row r="2755" spans="1:9" x14ac:dyDescent="0.25">
      <c r="A2755" s="5" t="s">
        <v>491</v>
      </c>
      <c r="B2755" s="5" t="s">
        <v>191</v>
      </c>
      <c r="C2755" s="5" t="s">
        <v>3207</v>
      </c>
      <c r="D2755" s="3">
        <f>VLOOKUP(A2755,airports!A:H,7,FALSE)</f>
        <v>46.919348890000002</v>
      </c>
      <c r="E2755" s="3">
        <f>VLOOKUP(A2755,airports!A:H,8,FALSE)</f>
        <v>-96.814988889999995</v>
      </c>
      <c r="F2755" s="3">
        <f>VLOOKUP(B2755,airports!A:H,7,FALSE)</f>
        <v>28.7776</v>
      </c>
      <c r="G2755" s="3">
        <f>VLOOKUP(B2755,airports!A:H,8,FALSE)</f>
        <v>-81.237499999999997</v>
      </c>
      <c r="H2755">
        <f t="shared" si="84"/>
        <v>2427.3000000000002</v>
      </c>
      <c r="I2755">
        <f t="shared" si="85"/>
        <v>1508.3</v>
      </c>
    </row>
    <row r="2756" spans="1:9" ht="30" x14ac:dyDescent="0.25">
      <c r="A2756" s="5" t="s">
        <v>2365</v>
      </c>
      <c r="B2756" s="5" t="s">
        <v>47</v>
      </c>
      <c r="C2756" s="5" t="s">
        <v>3208</v>
      </c>
      <c r="D2756" s="3">
        <f>VLOOKUP(A2756,airports!A:H,7,FALSE)</f>
        <v>36.776194439999998</v>
      </c>
      <c r="E2756" s="3">
        <f>VLOOKUP(A2756,airports!A:H,8,FALSE)</f>
        <v>-119.7181389</v>
      </c>
      <c r="F2756" s="3">
        <f>VLOOKUP(B2756,airports!A:H,7,FALSE)</f>
        <v>39.858408060000002</v>
      </c>
      <c r="G2756" s="3">
        <f>VLOOKUP(B2756,airports!A:H,8,FALSE)</f>
        <v>-104.6670019</v>
      </c>
      <c r="H2756">
        <f t="shared" ref="H2756:H2819" si="86">ROUND(ACOS(COS(RADIANS(90-D2756)) * COS(RADIANS(90-F2756)) + SIN(RADIANS(90-D2756)) * SIN(RADIANS(90-F2756)) * COS(RADIANS(E2756-G2756))) * 6371,1)</f>
        <v>1355.2</v>
      </c>
      <c r="I2756">
        <f t="shared" ref="I2756:I2819" si="87">ROUND(ACOS(COS(RADIANS(90-D2756)) * COS(RADIANS(90-F2756)) + SIN(RADIANS(90-D2756)) * SIN(RADIANS(90-F2756)) * COS(RADIANS(E2756-G2756))) * 3959,1)</f>
        <v>842.2</v>
      </c>
    </row>
    <row r="2757" spans="1:9" ht="30" x14ac:dyDescent="0.25">
      <c r="A2757" s="5" t="s">
        <v>2365</v>
      </c>
      <c r="B2757" s="5" t="s">
        <v>49</v>
      </c>
      <c r="C2757" s="5" t="s">
        <v>3209</v>
      </c>
      <c r="D2757" s="3">
        <f>VLOOKUP(A2757,airports!A:H,7,FALSE)</f>
        <v>36.776194439999998</v>
      </c>
      <c r="E2757" s="3">
        <f>VLOOKUP(A2757,airports!A:H,8,FALSE)</f>
        <v>-119.7181389</v>
      </c>
      <c r="F2757" s="3">
        <f>VLOOKUP(B2757,airports!A:H,7,FALSE)</f>
        <v>32.895950560000003</v>
      </c>
      <c r="G2757" s="3">
        <f>VLOOKUP(B2757,airports!A:H,8,FALSE)</f>
        <v>-97.037199999999999</v>
      </c>
      <c r="H2757">
        <f t="shared" si="86"/>
        <v>2109.1999999999998</v>
      </c>
      <c r="I2757">
        <f t="shared" si="87"/>
        <v>1310.7</v>
      </c>
    </row>
    <row r="2758" spans="1:9" x14ac:dyDescent="0.25">
      <c r="A2758" s="5" t="s">
        <v>2365</v>
      </c>
      <c r="B2758" s="5" t="s">
        <v>71</v>
      </c>
      <c r="C2758" s="5" t="s">
        <v>3210</v>
      </c>
      <c r="D2758" s="3">
        <f>VLOOKUP(A2758,airports!A:H,7,FALSE)</f>
        <v>36.776194439999998</v>
      </c>
      <c r="E2758" s="3">
        <f>VLOOKUP(A2758,airports!A:H,8,FALSE)</f>
        <v>-119.7181389</v>
      </c>
      <c r="F2758" s="3">
        <f>VLOOKUP(B2758,airports!A:H,7,FALSE)</f>
        <v>36.080361109999998</v>
      </c>
      <c r="G2758" s="3">
        <f>VLOOKUP(B2758,airports!A:H,8,FALSE)</f>
        <v>-115.1523333</v>
      </c>
      <c r="H2758">
        <f t="shared" si="86"/>
        <v>415.7</v>
      </c>
      <c r="I2758">
        <f t="shared" si="87"/>
        <v>258.3</v>
      </c>
    </row>
    <row r="2759" spans="1:9" x14ac:dyDescent="0.25">
      <c r="A2759" s="5" t="s">
        <v>2365</v>
      </c>
      <c r="B2759" s="5" t="s">
        <v>73</v>
      </c>
      <c r="C2759" s="5" t="s">
        <v>3211</v>
      </c>
      <c r="D2759" s="3">
        <f>VLOOKUP(A2759,airports!A:H,7,FALSE)</f>
        <v>36.776194439999998</v>
      </c>
      <c r="E2759" s="3">
        <f>VLOOKUP(A2759,airports!A:H,8,FALSE)</f>
        <v>-119.7181389</v>
      </c>
      <c r="F2759" s="3">
        <f>VLOOKUP(B2759,airports!A:H,7,FALSE)</f>
        <v>33.942536109999999</v>
      </c>
      <c r="G2759" s="3">
        <f>VLOOKUP(B2759,airports!A:H,8,FALSE)</f>
        <v>-118.4080744</v>
      </c>
      <c r="H2759">
        <f t="shared" si="86"/>
        <v>336.7</v>
      </c>
      <c r="I2759">
        <f t="shared" si="87"/>
        <v>209.2</v>
      </c>
    </row>
    <row r="2760" spans="1:9" ht="30" x14ac:dyDescent="0.25">
      <c r="A2760" s="5" t="s">
        <v>2365</v>
      </c>
      <c r="B2760" s="5" t="s">
        <v>95</v>
      </c>
      <c r="C2760" s="5" t="s">
        <v>3212</v>
      </c>
      <c r="D2760" s="3">
        <f>VLOOKUP(A2760,airports!A:H,7,FALSE)</f>
        <v>36.776194439999998</v>
      </c>
      <c r="E2760" s="3">
        <f>VLOOKUP(A2760,airports!A:H,8,FALSE)</f>
        <v>-119.7181389</v>
      </c>
      <c r="F2760" s="3">
        <f>VLOOKUP(B2760,airports!A:H,7,FALSE)</f>
        <v>41.979595000000003</v>
      </c>
      <c r="G2760" s="3">
        <f>VLOOKUP(B2760,airports!A:H,8,FALSE)</f>
        <v>-87.904464169999997</v>
      </c>
      <c r="H2760">
        <f t="shared" si="86"/>
        <v>2778.1</v>
      </c>
      <c r="I2760">
        <f t="shared" si="87"/>
        <v>1726.3</v>
      </c>
    </row>
    <row r="2761" spans="1:9" ht="30" x14ac:dyDescent="0.25">
      <c r="A2761" s="5" t="s">
        <v>2365</v>
      </c>
      <c r="B2761" s="5" t="s">
        <v>100</v>
      </c>
      <c r="C2761" s="5" t="s">
        <v>3213</v>
      </c>
      <c r="D2761" s="3">
        <f>VLOOKUP(A2761,airports!A:H,7,FALSE)</f>
        <v>36.776194439999998</v>
      </c>
      <c r="E2761" s="3">
        <f>VLOOKUP(A2761,airports!A:H,8,FALSE)</f>
        <v>-119.7181389</v>
      </c>
      <c r="F2761" s="3">
        <f>VLOOKUP(B2761,airports!A:H,7,FALSE)</f>
        <v>45.588722220000001</v>
      </c>
      <c r="G2761" s="3">
        <f>VLOOKUP(B2761,airports!A:H,8,FALSE)</f>
        <v>-122.5975</v>
      </c>
      <c r="H2761">
        <f t="shared" si="86"/>
        <v>1008.9</v>
      </c>
      <c r="I2761">
        <f t="shared" si="87"/>
        <v>626.9</v>
      </c>
    </row>
    <row r="2762" spans="1:9" ht="30" x14ac:dyDescent="0.25">
      <c r="A2762" s="5" t="s">
        <v>2365</v>
      </c>
      <c r="B2762" s="5" t="s">
        <v>104</v>
      </c>
      <c r="C2762" s="5" t="s">
        <v>3214</v>
      </c>
      <c r="D2762" s="3">
        <f>VLOOKUP(A2762,airports!A:H,7,FALSE)</f>
        <v>36.776194439999998</v>
      </c>
      <c r="E2762" s="3">
        <f>VLOOKUP(A2762,airports!A:H,8,FALSE)</f>
        <v>-119.7181389</v>
      </c>
      <c r="F2762" s="3">
        <f>VLOOKUP(B2762,airports!A:H,7,FALSE)</f>
        <v>33.434166670000003</v>
      </c>
      <c r="G2762" s="3">
        <f>VLOOKUP(B2762,airports!A:H,8,FALSE)</f>
        <v>-112.00805560000001</v>
      </c>
      <c r="H2762">
        <f t="shared" si="86"/>
        <v>793.4</v>
      </c>
      <c r="I2762">
        <f t="shared" si="87"/>
        <v>493</v>
      </c>
    </row>
    <row r="2763" spans="1:9" ht="30" x14ac:dyDescent="0.25">
      <c r="A2763" s="5" t="s">
        <v>2365</v>
      </c>
      <c r="B2763" s="5" t="s">
        <v>124</v>
      </c>
      <c r="C2763" s="5" t="s">
        <v>3215</v>
      </c>
      <c r="D2763" s="3">
        <f>VLOOKUP(A2763,airports!A:H,7,FALSE)</f>
        <v>36.776194439999998</v>
      </c>
      <c r="E2763" s="3">
        <f>VLOOKUP(A2763,airports!A:H,8,FALSE)</f>
        <v>-119.7181389</v>
      </c>
      <c r="F2763" s="3">
        <f>VLOOKUP(B2763,airports!A:H,7,FALSE)</f>
        <v>32.733556110000002</v>
      </c>
      <c r="G2763" s="3">
        <f>VLOOKUP(B2763,airports!A:H,8,FALSE)</f>
        <v>-117.1896567</v>
      </c>
      <c r="H2763">
        <f t="shared" si="86"/>
        <v>505.3</v>
      </c>
      <c r="I2763">
        <f t="shared" si="87"/>
        <v>314</v>
      </c>
    </row>
    <row r="2764" spans="1:9" x14ac:dyDescent="0.25">
      <c r="A2764" s="5" t="s">
        <v>2365</v>
      </c>
      <c r="B2764" s="5" t="s">
        <v>128</v>
      </c>
      <c r="C2764" s="5" t="s">
        <v>3216</v>
      </c>
      <c r="D2764" s="3">
        <f>VLOOKUP(A2764,airports!A:H,7,FALSE)</f>
        <v>36.776194439999998</v>
      </c>
      <c r="E2764" s="3">
        <f>VLOOKUP(A2764,airports!A:H,8,FALSE)</f>
        <v>-119.7181389</v>
      </c>
      <c r="F2764" s="3">
        <f>VLOOKUP(B2764,airports!A:H,7,FALSE)</f>
        <v>47.448981940000003</v>
      </c>
      <c r="G2764" s="3">
        <f>VLOOKUP(B2764,airports!A:H,8,FALSE)</f>
        <v>-122.3093131</v>
      </c>
      <c r="H2764">
        <f t="shared" si="86"/>
        <v>1205.7</v>
      </c>
      <c r="I2764">
        <f t="shared" si="87"/>
        <v>749.2</v>
      </c>
    </row>
    <row r="2765" spans="1:9" ht="30" x14ac:dyDescent="0.25">
      <c r="A2765" s="5" t="s">
        <v>2365</v>
      </c>
      <c r="B2765" s="5" t="s">
        <v>130</v>
      </c>
      <c r="C2765" s="5" t="s">
        <v>3217</v>
      </c>
      <c r="D2765" s="3">
        <f>VLOOKUP(A2765,airports!A:H,7,FALSE)</f>
        <v>36.776194439999998</v>
      </c>
      <c r="E2765" s="3">
        <f>VLOOKUP(A2765,airports!A:H,8,FALSE)</f>
        <v>-119.7181389</v>
      </c>
      <c r="F2765" s="3">
        <f>VLOOKUP(B2765,airports!A:H,7,FALSE)</f>
        <v>37.619001939999997</v>
      </c>
      <c r="G2765" s="3">
        <f>VLOOKUP(B2765,airports!A:H,8,FALSE)</f>
        <v>-122.37484329999999</v>
      </c>
      <c r="H2765">
        <f t="shared" si="86"/>
        <v>253.3</v>
      </c>
      <c r="I2765">
        <f t="shared" si="87"/>
        <v>157.4</v>
      </c>
    </row>
    <row r="2766" spans="1:9" x14ac:dyDescent="0.25">
      <c r="A2766" s="5" t="s">
        <v>2365</v>
      </c>
      <c r="B2766" s="5" t="s">
        <v>135</v>
      </c>
      <c r="C2766" s="5" t="s">
        <v>3218</v>
      </c>
      <c r="D2766" s="3">
        <f>VLOOKUP(A2766,airports!A:H,7,FALSE)</f>
        <v>36.776194439999998</v>
      </c>
      <c r="E2766" s="3">
        <f>VLOOKUP(A2766,airports!A:H,8,FALSE)</f>
        <v>-119.7181389</v>
      </c>
      <c r="F2766" s="3">
        <f>VLOOKUP(B2766,airports!A:H,7,FALSE)</f>
        <v>40.788387780000001</v>
      </c>
      <c r="G2766" s="3">
        <f>VLOOKUP(B2766,airports!A:H,8,FALSE)</f>
        <v>-111.97777309999999</v>
      </c>
      <c r="H2766">
        <f t="shared" si="86"/>
        <v>805.2</v>
      </c>
      <c r="I2766">
        <f t="shared" si="87"/>
        <v>500.4</v>
      </c>
    </row>
    <row r="2767" spans="1:9" x14ac:dyDescent="0.25">
      <c r="A2767" s="5" t="s">
        <v>493</v>
      </c>
      <c r="B2767" s="5" t="s">
        <v>10</v>
      </c>
      <c r="C2767" s="5" t="s">
        <v>3219</v>
      </c>
      <c r="D2767" s="3">
        <f>VLOOKUP(A2767,airports!A:H,7,FALSE)</f>
        <v>34.991472219999999</v>
      </c>
      <c r="E2767" s="3">
        <f>VLOOKUP(A2767,airports!A:H,8,FALSE)</f>
        <v>-78.88</v>
      </c>
      <c r="F2767" s="3">
        <f>VLOOKUP(B2767,airports!A:H,7,FALSE)</f>
        <v>33.640444440000003</v>
      </c>
      <c r="G2767" s="3">
        <f>VLOOKUP(B2767,airports!A:H,8,FALSE)</f>
        <v>-84.42694444</v>
      </c>
      <c r="H2767">
        <f t="shared" si="86"/>
        <v>531</v>
      </c>
      <c r="I2767">
        <f t="shared" si="87"/>
        <v>330</v>
      </c>
    </row>
    <row r="2768" spans="1:9" x14ac:dyDescent="0.25">
      <c r="A2768" s="5" t="s">
        <v>493</v>
      </c>
      <c r="B2768" s="5" t="s">
        <v>40</v>
      </c>
      <c r="C2768" s="5" t="s">
        <v>3220</v>
      </c>
      <c r="D2768" s="3">
        <f>VLOOKUP(A2768,airports!A:H,7,FALSE)</f>
        <v>34.991472219999999</v>
      </c>
      <c r="E2768" s="3">
        <f>VLOOKUP(A2768,airports!A:H,8,FALSE)</f>
        <v>-78.88</v>
      </c>
      <c r="F2768" s="3">
        <f>VLOOKUP(B2768,airports!A:H,7,FALSE)</f>
        <v>35.214011110000001</v>
      </c>
      <c r="G2768" s="3">
        <f>VLOOKUP(B2768,airports!A:H,8,FALSE)</f>
        <v>-80.94312583</v>
      </c>
      <c r="H2768">
        <f t="shared" si="86"/>
        <v>189.3</v>
      </c>
      <c r="I2768">
        <f t="shared" si="87"/>
        <v>117.6</v>
      </c>
    </row>
    <row r="2769" spans="1:9" ht="30" x14ac:dyDescent="0.25">
      <c r="A2769" s="5" t="s">
        <v>493</v>
      </c>
      <c r="B2769" s="5" t="s">
        <v>49</v>
      </c>
      <c r="C2769" s="5" t="s">
        <v>3221</v>
      </c>
      <c r="D2769" s="3">
        <f>VLOOKUP(A2769,airports!A:H,7,FALSE)</f>
        <v>34.991472219999999</v>
      </c>
      <c r="E2769" s="3">
        <f>VLOOKUP(A2769,airports!A:H,8,FALSE)</f>
        <v>-78.88</v>
      </c>
      <c r="F2769" s="3">
        <f>VLOOKUP(B2769,airports!A:H,7,FALSE)</f>
        <v>32.895950560000003</v>
      </c>
      <c r="G2769" s="3">
        <f>VLOOKUP(B2769,airports!A:H,8,FALSE)</f>
        <v>-97.037199999999999</v>
      </c>
      <c r="H2769">
        <f t="shared" si="86"/>
        <v>1688.7</v>
      </c>
      <c r="I2769">
        <f t="shared" si="87"/>
        <v>1049.3</v>
      </c>
    </row>
    <row r="2770" spans="1:9" x14ac:dyDescent="0.25">
      <c r="A2770" s="5" t="s">
        <v>493</v>
      </c>
      <c r="B2770" s="5" t="s">
        <v>176</v>
      </c>
      <c r="C2770" s="5" t="s">
        <v>3222</v>
      </c>
      <c r="D2770" s="3">
        <f>VLOOKUP(A2770,airports!A:H,7,FALSE)</f>
        <v>34.991472219999999</v>
      </c>
      <c r="E2770" s="3">
        <f>VLOOKUP(A2770,airports!A:H,8,FALSE)</f>
        <v>-78.88</v>
      </c>
      <c r="F2770" s="3">
        <f>VLOOKUP(B2770,airports!A:H,7,FALSE)</f>
        <v>38.944531939999997</v>
      </c>
      <c r="G2770" s="3">
        <f>VLOOKUP(B2770,airports!A:H,8,FALSE)</f>
        <v>-77.455809720000005</v>
      </c>
      <c r="H2770">
        <f t="shared" si="86"/>
        <v>457.4</v>
      </c>
      <c r="I2770">
        <f t="shared" si="87"/>
        <v>284.2</v>
      </c>
    </row>
    <row r="2771" spans="1:9" x14ac:dyDescent="0.25">
      <c r="A2771" s="5" t="s">
        <v>56</v>
      </c>
      <c r="B2771" s="5" t="s">
        <v>10</v>
      </c>
      <c r="C2771" s="5" t="s">
        <v>3223</v>
      </c>
      <c r="D2771" s="3">
        <f>VLOOKUP(A2771,airports!A:H,7,FALSE)</f>
        <v>48.311404719999999</v>
      </c>
      <c r="E2771" s="3">
        <f>VLOOKUP(A2771,airports!A:H,8,FALSE)</f>
        <v>-114.2550694</v>
      </c>
      <c r="F2771" s="3">
        <f>VLOOKUP(B2771,airports!A:H,7,FALSE)</f>
        <v>33.640444440000003</v>
      </c>
      <c r="G2771" s="3">
        <f>VLOOKUP(B2771,airports!A:H,8,FALSE)</f>
        <v>-84.42694444</v>
      </c>
      <c r="H2771">
        <f t="shared" si="86"/>
        <v>2959.4</v>
      </c>
      <c r="I2771">
        <f t="shared" si="87"/>
        <v>1839</v>
      </c>
    </row>
    <row r="2772" spans="1:9" ht="30" x14ac:dyDescent="0.25">
      <c r="A2772" s="5" t="s">
        <v>56</v>
      </c>
      <c r="B2772" s="5" t="s">
        <v>329</v>
      </c>
      <c r="C2772" s="5" t="s">
        <v>3224</v>
      </c>
      <c r="D2772" s="3">
        <f>VLOOKUP(A2772,airports!A:H,7,FALSE)</f>
        <v>48.311404719999999</v>
      </c>
      <c r="E2772" s="3">
        <f>VLOOKUP(A2772,airports!A:H,8,FALSE)</f>
        <v>-114.2550694</v>
      </c>
      <c r="F2772" s="3">
        <f>VLOOKUP(B2772,airports!A:H,7,FALSE)</f>
        <v>33.308999999999997</v>
      </c>
      <c r="G2772" s="3">
        <f>VLOOKUP(B2772,airports!A:H,8,FALSE)</f>
        <v>-111.6559</v>
      </c>
      <c r="H2772">
        <f t="shared" si="86"/>
        <v>1682.2</v>
      </c>
      <c r="I2772">
        <f t="shared" si="87"/>
        <v>1045.3</v>
      </c>
    </row>
    <row r="2773" spans="1:9" x14ac:dyDescent="0.25">
      <c r="A2773" s="5" t="s">
        <v>56</v>
      </c>
      <c r="B2773" s="5" t="s">
        <v>40</v>
      </c>
      <c r="C2773" s="5" t="s">
        <v>3225</v>
      </c>
      <c r="D2773" s="3">
        <f>VLOOKUP(A2773,airports!A:H,7,FALSE)</f>
        <v>48.311404719999999</v>
      </c>
      <c r="E2773" s="3">
        <f>VLOOKUP(A2773,airports!A:H,8,FALSE)</f>
        <v>-114.2550694</v>
      </c>
      <c r="F2773" s="3">
        <f>VLOOKUP(B2773,airports!A:H,7,FALSE)</f>
        <v>35.214011110000001</v>
      </c>
      <c r="G2773" s="3">
        <f>VLOOKUP(B2773,airports!A:H,8,FALSE)</f>
        <v>-80.94312583</v>
      </c>
      <c r="H2773">
        <f t="shared" si="86"/>
        <v>3089.5</v>
      </c>
      <c r="I2773">
        <f t="shared" si="87"/>
        <v>1919.9</v>
      </c>
    </row>
    <row r="2774" spans="1:9" ht="30" x14ac:dyDescent="0.25">
      <c r="A2774" s="5" t="s">
        <v>56</v>
      </c>
      <c r="B2774" s="5" t="s">
        <v>47</v>
      </c>
      <c r="C2774" s="5" t="s">
        <v>3226</v>
      </c>
      <c r="D2774" s="3">
        <f>VLOOKUP(A2774,airports!A:H,7,FALSE)</f>
        <v>48.311404719999999</v>
      </c>
      <c r="E2774" s="3">
        <f>VLOOKUP(A2774,airports!A:H,8,FALSE)</f>
        <v>-114.2550694</v>
      </c>
      <c r="F2774" s="3">
        <f>VLOOKUP(B2774,airports!A:H,7,FALSE)</f>
        <v>39.858408060000002</v>
      </c>
      <c r="G2774" s="3">
        <f>VLOOKUP(B2774,airports!A:H,8,FALSE)</f>
        <v>-104.6670019</v>
      </c>
      <c r="H2774">
        <f t="shared" si="86"/>
        <v>1210.5</v>
      </c>
      <c r="I2774">
        <f t="shared" si="87"/>
        <v>752.2</v>
      </c>
    </row>
    <row r="2775" spans="1:9" ht="30" x14ac:dyDescent="0.25">
      <c r="A2775" s="5" t="s">
        <v>56</v>
      </c>
      <c r="B2775" s="5" t="s">
        <v>49</v>
      </c>
      <c r="C2775" s="5" t="s">
        <v>3227</v>
      </c>
      <c r="D2775" s="3">
        <f>VLOOKUP(A2775,airports!A:H,7,FALSE)</f>
        <v>48.311404719999999</v>
      </c>
      <c r="E2775" s="3">
        <f>VLOOKUP(A2775,airports!A:H,8,FALSE)</f>
        <v>-114.2550694</v>
      </c>
      <c r="F2775" s="3">
        <f>VLOOKUP(B2775,airports!A:H,7,FALSE)</f>
        <v>32.895950560000003</v>
      </c>
      <c r="G2775" s="3">
        <f>VLOOKUP(B2775,airports!A:H,8,FALSE)</f>
        <v>-97.037199999999999</v>
      </c>
      <c r="H2775">
        <f t="shared" si="86"/>
        <v>2236.8000000000002</v>
      </c>
      <c r="I2775">
        <f t="shared" si="87"/>
        <v>1390</v>
      </c>
    </row>
    <row r="2776" spans="1:9" ht="30" x14ac:dyDescent="0.25">
      <c r="A2776" s="5" t="s">
        <v>56</v>
      </c>
      <c r="B2776" s="5" t="s">
        <v>2386</v>
      </c>
      <c r="C2776" s="5" t="s">
        <v>3228</v>
      </c>
      <c r="D2776" s="3">
        <f>VLOOKUP(A2776,airports!A:H,7,FALSE)</f>
        <v>48.311404719999999</v>
      </c>
      <c r="E2776" s="3">
        <f>VLOOKUP(A2776,airports!A:H,8,FALSE)</f>
        <v>-114.2550694</v>
      </c>
      <c r="F2776" s="3">
        <f>VLOOKUP(B2776,airports!A:H,7,FALSE)</f>
        <v>46.606818060000002</v>
      </c>
      <c r="G2776" s="3">
        <f>VLOOKUP(B2776,airports!A:H,8,FALSE)</f>
        <v>-111.98275030000001</v>
      </c>
      <c r="H2776">
        <f t="shared" si="86"/>
        <v>255.1</v>
      </c>
      <c r="I2776">
        <f t="shared" si="87"/>
        <v>158.5</v>
      </c>
    </row>
    <row r="2777" spans="1:9" x14ac:dyDescent="0.25">
      <c r="A2777" s="5" t="s">
        <v>56</v>
      </c>
      <c r="B2777" s="5" t="s">
        <v>67</v>
      </c>
      <c r="C2777" s="5" t="s">
        <v>3229</v>
      </c>
      <c r="D2777" s="3">
        <f>VLOOKUP(A2777,airports!A:H,7,FALSE)</f>
        <v>48.311404719999999</v>
      </c>
      <c r="E2777" s="3">
        <f>VLOOKUP(A2777,airports!A:H,8,FALSE)</f>
        <v>-114.2550694</v>
      </c>
      <c r="F2777" s="3">
        <f>VLOOKUP(B2777,airports!A:H,7,FALSE)</f>
        <v>29.980472219999999</v>
      </c>
      <c r="G2777" s="3">
        <f>VLOOKUP(B2777,airports!A:H,8,FALSE)</f>
        <v>-95.339722219999999</v>
      </c>
      <c r="H2777">
        <f t="shared" si="86"/>
        <v>2595.6999999999998</v>
      </c>
      <c r="I2777">
        <f t="shared" si="87"/>
        <v>1613</v>
      </c>
    </row>
    <row r="2778" spans="1:9" x14ac:dyDescent="0.25">
      <c r="A2778" s="5" t="s">
        <v>56</v>
      </c>
      <c r="B2778" s="5" t="s">
        <v>69</v>
      </c>
      <c r="C2778" s="5" t="s">
        <v>3230</v>
      </c>
      <c r="D2778" s="3">
        <f>VLOOKUP(A2778,airports!A:H,7,FALSE)</f>
        <v>48.311404719999999</v>
      </c>
      <c r="E2778" s="3">
        <f>VLOOKUP(A2778,airports!A:H,8,FALSE)</f>
        <v>-114.2550694</v>
      </c>
      <c r="F2778" s="3">
        <f>VLOOKUP(B2778,airports!A:H,7,FALSE)</f>
        <v>40.639751109999999</v>
      </c>
      <c r="G2778" s="3">
        <f>VLOOKUP(B2778,airports!A:H,8,FALSE)</f>
        <v>-73.778925560000005</v>
      </c>
      <c r="H2778">
        <f t="shared" si="86"/>
        <v>3281.4</v>
      </c>
      <c r="I2778">
        <f t="shared" si="87"/>
        <v>2039.1</v>
      </c>
    </row>
    <row r="2779" spans="1:9" x14ac:dyDescent="0.25">
      <c r="A2779" s="5" t="s">
        <v>56</v>
      </c>
      <c r="B2779" s="5" t="s">
        <v>71</v>
      </c>
      <c r="C2779" s="5" t="s">
        <v>3231</v>
      </c>
      <c r="D2779" s="3">
        <f>VLOOKUP(A2779,airports!A:H,7,FALSE)</f>
        <v>48.311404719999999</v>
      </c>
      <c r="E2779" s="3">
        <f>VLOOKUP(A2779,airports!A:H,8,FALSE)</f>
        <v>-114.2550694</v>
      </c>
      <c r="F2779" s="3">
        <f>VLOOKUP(B2779,airports!A:H,7,FALSE)</f>
        <v>36.080361109999998</v>
      </c>
      <c r="G2779" s="3">
        <f>VLOOKUP(B2779,airports!A:H,8,FALSE)</f>
        <v>-115.1523333</v>
      </c>
      <c r="H2779">
        <f t="shared" si="86"/>
        <v>1362</v>
      </c>
      <c r="I2779">
        <f t="shared" si="87"/>
        <v>846.4</v>
      </c>
    </row>
    <row r="2780" spans="1:9" ht="30" x14ac:dyDescent="0.25">
      <c r="A2780" s="5" t="s">
        <v>56</v>
      </c>
      <c r="B2780" s="5" t="s">
        <v>73</v>
      </c>
      <c r="C2780" s="5" t="s">
        <v>3232</v>
      </c>
      <c r="D2780" s="3">
        <f>VLOOKUP(A2780,airports!A:H,7,FALSE)</f>
        <v>48.311404719999999</v>
      </c>
      <c r="E2780" s="3">
        <f>VLOOKUP(A2780,airports!A:H,8,FALSE)</f>
        <v>-114.2550694</v>
      </c>
      <c r="F2780" s="3">
        <f>VLOOKUP(B2780,airports!A:H,7,FALSE)</f>
        <v>33.942536109999999</v>
      </c>
      <c r="G2780" s="3">
        <f>VLOOKUP(B2780,airports!A:H,8,FALSE)</f>
        <v>-118.4080744</v>
      </c>
      <c r="H2780">
        <f t="shared" si="86"/>
        <v>1634.5</v>
      </c>
      <c r="I2780">
        <f t="shared" si="87"/>
        <v>1015.7</v>
      </c>
    </row>
    <row r="2781" spans="1:9" ht="30" x14ac:dyDescent="0.25">
      <c r="A2781" s="5" t="s">
        <v>56</v>
      </c>
      <c r="B2781" s="5" t="s">
        <v>74</v>
      </c>
      <c r="C2781" s="5" t="s">
        <v>3233</v>
      </c>
      <c r="D2781" s="3">
        <f>VLOOKUP(A2781,airports!A:H,7,FALSE)</f>
        <v>48.311404719999999</v>
      </c>
      <c r="E2781" s="3">
        <f>VLOOKUP(A2781,airports!A:H,8,FALSE)</f>
        <v>-114.2550694</v>
      </c>
      <c r="F2781" s="3">
        <f>VLOOKUP(B2781,airports!A:H,7,FALSE)</f>
        <v>40.777243060000004</v>
      </c>
      <c r="G2781" s="3">
        <f>VLOOKUP(B2781,airports!A:H,8,FALSE)</f>
        <v>-73.872609170000004</v>
      </c>
      <c r="H2781">
        <f t="shared" si="86"/>
        <v>3267.1</v>
      </c>
      <c r="I2781">
        <f t="shared" si="87"/>
        <v>2030.2</v>
      </c>
    </row>
    <row r="2782" spans="1:9" ht="30" x14ac:dyDescent="0.25">
      <c r="A2782" s="5" t="s">
        <v>56</v>
      </c>
      <c r="B2782" s="5" t="s">
        <v>87</v>
      </c>
      <c r="C2782" s="5" t="s">
        <v>3234</v>
      </c>
      <c r="D2782" s="3">
        <f>VLOOKUP(A2782,airports!A:H,7,FALSE)</f>
        <v>48.311404719999999</v>
      </c>
      <c r="E2782" s="3">
        <f>VLOOKUP(A2782,airports!A:H,8,FALSE)</f>
        <v>-114.2550694</v>
      </c>
      <c r="F2782" s="3">
        <f>VLOOKUP(B2782,airports!A:H,7,FALSE)</f>
        <v>44.880546940000002</v>
      </c>
      <c r="G2782" s="3">
        <f>VLOOKUP(B2782,airports!A:H,8,FALSE)</f>
        <v>-93.216922499999995</v>
      </c>
      <c r="H2782">
        <f t="shared" si="86"/>
        <v>1646.4</v>
      </c>
      <c r="I2782">
        <f t="shared" si="87"/>
        <v>1023.1</v>
      </c>
    </row>
    <row r="2783" spans="1:9" ht="30" x14ac:dyDescent="0.25">
      <c r="A2783" s="5" t="s">
        <v>56</v>
      </c>
      <c r="B2783" s="5" t="s">
        <v>215</v>
      </c>
      <c r="C2783" s="5" t="s">
        <v>3235</v>
      </c>
      <c r="D2783" s="3">
        <f>VLOOKUP(A2783,airports!A:H,7,FALSE)</f>
        <v>48.311404719999999</v>
      </c>
      <c r="E2783" s="3">
        <f>VLOOKUP(A2783,airports!A:H,8,FALSE)</f>
        <v>-114.2550694</v>
      </c>
      <c r="F2783" s="3">
        <f>VLOOKUP(B2783,airports!A:H,7,FALSE)</f>
        <v>37.721290830000001</v>
      </c>
      <c r="G2783" s="3">
        <f>VLOOKUP(B2783,airports!A:H,8,FALSE)</f>
        <v>-122.2207167</v>
      </c>
      <c r="H2783">
        <f t="shared" si="86"/>
        <v>1342.2</v>
      </c>
      <c r="I2783">
        <f t="shared" si="87"/>
        <v>834</v>
      </c>
    </row>
    <row r="2784" spans="1:9" ht="30" x14ac:dyDescent="0.25">
      <c r="A2784" s="5" t="s">
        <v>56</v>
      </c>
      <c r="B2784" s="5" t="s">
        <v>95</v>
      </c>
      <c r="C2784" s="5" t="s">
        <v>3236</v>
      </c>
      <c r="D2784" s="3">
        <f>VLOOKUP(A2784,airports!A:H,7,FALSE)</f>
        <v>48.311404719999999</v>
      </c>
      <c r="E2784" s="3">
        <f>VLOOKUP(A2784,airports!A:H,8,FALSE)</f>
        <v>-114.2550694</v>
      </c>
      <c r="F2784" s="3">
        <f>VLOOKUP(B2784,airports!A:H,7,FALSE)</f>
        <v>41.979595000000003</v>
      </c>
      <c r="G2784" s="3">
        <f>VLOOKUP(B2784,airports!A:H,8,FALSE)</f>
        <v>-87.904464169999997</v>
      </c>
      <c r="H2784">
        <f t="shared" si="86"/>
        <v>2170.5</v>
      </c>
      <c r="I2784">
        <f t="shared" si="87"/>
        <v>1348.7</v>
      </c>
    </row>
    <row r="2785" spans="1:9" ht="30" x14ac:dyDescent="0.25">
      <c r="A2785" s="5" t="s">
        <v>56</v>
      </c>
      <c r="B2785" s="5" t="s">
        <v>100</v>
      </c>
      <c r="C2785" s="5" t="s">
        <v>3237</v>
      </c>
      <c r="D2785" s="3">
        <f>VLOOKUP(A2785,airports!A:H,7,FALSE)</f>
        <v>48.311404719999999</v>
      </c>
      <c r="E2785" s="3">
        <f>VLOOKUP(A2785,airports!A:H,8,FALSE)</f>
        <v>-114.2550694</v>
      </c>
      <c r="F2785" s="3">
        <f>VLOOKUP(B2785,airports!A:H,7,FALSE)</f>
        <v>45.588722220000001</v>
      </c>
      <c r="G2785" s="3">
        <f>VLOOKUP(B2785,airports!A:H,8,FALSE)</f>
        <v>-122.5975</v>
      </c>
      <c r="H2785">
        <f t="shared" si="86"/>
        <v>701.4</v>
      </c>
      <c r="I2785">
        <f t="shared" si="87"/>
        <v>435.8</v>
      </c>
    </row>
    <row r="2786" spans="1:9" ht="30" x14ac:dyDescent="0.25">
      <c r="A2786" s="5" t="s">
        <v>56</v>
      </c>
      <c r="B2786" s="5" t="s">
        <v>124</v>
      </c>
      <c r="C2786" s="5" t="s">
        <v>3238</v>
      </c>
      <c r="D2786" s="3">
        <f>VLOOKUP(A2786,airports!A:H,7,FALSE)</f>
        <v>48.311404719999999</v>
      </c>
      <c r="E2786" s="3">
        <f>VLOOKUP(A2786,airports!A:H,8,FALSE)</f>
        <v>-114.2550694</v>
      </c>
      <c r="F2786" s="3">
        <f>VLOOKUP(B2786,airports!A:H,7,FALSE)</f>
        <v>32.733556110000002</v>
      </c>
      <c r="G2786" s="3">
        <f>VLOOKUP(B2786,airports!A:H,8,FALSE)</f>
        <v>-117.1896567</v>
      </c>
      <c r="H2786">
        <f t="shared" si="86"/>
        <v>1749.5</v>
      </c>
      <c r="I2786">
        <f t="shared" si="87"/>
        <v>1087.2</v>
      </c>
    </row>
    <row r="2787" spans="1:9" ht="30" x14ac:dyDescent="0.25">
      <c r="A2787" s="5" t="s">
        <v>56</v>
      </c>
      <c r="B2787" s="5" t="s">
        <v>128</v>
      </c>
      <c r="C2787" s="5" t="s">
        <v>3239</v>
      </c>
      <c r="D2787" s="3">
        <f>VLOOKUP(A2787,airports!A:H,7,FALSE)</f>
        <v>48.311404719999999</v>
      </c>
      <c r="E2787" s="3">
        <f>VLOOKUP(A2787,airports!A:H,8,FALSE)</f>
        <v>-114.2550694</v>
      </c>
      <c r="F2787" s="3">
        <f>VLOOKUP(B2787,airports!A:H,7,FALSE)</f>
        <v>47.448981940000003</v>
      </c>
      <c r="G2787" s="3">
        <f>VLOOKUP(B2787,airports!A:H,8,FALSE)</f>
        <v>-122.3093131</v>
      </c>
      <c r="H2787">
        <f t="shared" si="86"/>
        <v>608</v>
      </c>
      <c r="I2787">
        <f t="shared" si="87"/>
        <v>377.8</v>
      </c>
    </row>
    <row r="2788" spans="1:9" ht="30" x14ac:dyDescent="0.25">
      <c r="A2788" s="5" t="s">
        <v>56</v>
      </c>
      <c r="B2788" s="5" t="s">
        <v>130</v>
      </c>
      <c r="C2788" s="5" t="s">
        <v>3240</v>
      </c>
      <c r="D2788" s="3">
        <f>VLOOKUP(A2788,airports!A:H,7,FALSE)</f>
        <v>48.311404719999999</v>
      </c>
      <c r="E2788" s="3">
        <f>VLOOKUP(A2788,airports!A:H,8,FALSE)</f>
        <v>-114.2550694</v>
      </c>
      <c r="F2788" s="3">
        <f>VLOOKUP(B2788,airports!A:H,7,FALSE)</f>
        <v>37.619001939999997</v>
      </c>
      <c r="G2788" s="3">
        <f>VLOOKUP(B2788,airports!A:H,8,FALSE)</f>
        <v>-122.37484329999999</v>
      </c>
      <c r="H2788">
        <f t="shared" si="86"/>
        <v>1358.4</v>
      </c>
      <c r="I2788">
        <f t="shared" si="87"/>
        <v>844.1</v>
      </c>
    </row>
    <row r="2789" spans="1:9" x14ac:dyDescent="0.25">
      <c r="A2789" s="5" t="s">
        <v>56</v>
      </c>
      <c r="B2789" s="5" t="s">
        <v>135</v>
      </c>
      <c r="C2789" s="5" t="s">
        <v>3241</v>
      </c>
      <c r="D2789" s="3">
        <f>VLOOKUP(A2789,airports!A:H,7,FALSE)</f>
        <v>48.311404719999999</v>
      </c>
      <c r="E2789" s="3">
        <f>VLOOKUP(A2789,airports!A:H,8,FALSE)</f>
        <v>-114.2550694</v>
      </c>
      <c r="F2789" s="3">
        <f>VLOOKUP(B2789,airports!A:H,7,FALSE)</f>
        <v>40.788387780000001</v>
      </c>
      <c r="G2789" s="3">
        <f>VLOOKUP(B2789,airports!A:H,8,FALSE)</f>
        <v>-111.97777309999999</v>
      </c>
      <c r="H2789">
        <f t="shared" si="86"/>
        <v>855.7</v>
      </c>
      <c r="I2789">
        <f t="shared" si="87"/>
        <v>531.70000000000005</v>
      </c>
    </row>
    <row r="2790" spans="1:9" ht="30" x14ac:dyDescent="0.25">
      <c r="A2790" s="5" t="s">
        <v>56</v>
      </c>
      <c r="B2790" s="5" t="s">
        <v>227</v>
      </c>
      <c r="C2790" s="5" t="s">
        <v>3242</v>
      </c>
      <c r="D2790" s="3">
        <f>VLOOKUP(A2790,airports!A:H,7,FALSE)</f>
        <v>48.311404719999999</v>
      </c>
      <c r="E2790" s="3">
        <f>VLOOKUP(A2790,airports!A:H,8,FALSE)</f>
        <v>-114.2550694</v>
      </c>
      <c r="F2790" s="3">
        <f>VLOOKUP(B2790,airports!A:H,7,FALSE)</f>
        <v>33.675658609999999</v>
      </c>
      <c r="G2790" s="3">
        <f>VLOOKUP(B2790,airports!A:H,8,FALSE)</f>
        <v>-117.8682225</v>
      </c>
      <c r="H2790">
        <f t="shared" si="86"/>
        <v>1654.9</v>
      </c>
      <c r="I2790">
        <f t="shared" si="87"/>
        <v>1028.4000000000001</v>
      </c>
    </row>
    <row r="2791" spans="1:9" ht="30" x14ac:dyDescent="0.25">
      <c r="A2791" s="5" t="s">
        <v>2368</v>
      </c>
      <c r="B2791" s="5" t="s">
        <v>47</v>
      </c>
      <c r="C2791" s="5" t="s">
        <v>3243</v>
      </c>
      <c r="D2791" s="3">
        <f>VLOOKUP(A2791,airports!A:H,7,FALSE)</f>
        <v>35.138454719999999</v>
      </c>
      <c r="E2791" s="3">
        <f>VLOOKUP(A2791,airports!A:H,8,FALSE)</f>
        <v>-111.67121830000001</v>
      </c>
      <c r="F2791" s="3">
        <f>VLOOKUP(B2791,airports!A:H,7,FALSE)</f>
        <v>39.858408060000002</v>
      </c>
      <c r="G2791" s="3">
        <f>VLOOKUP(B2791,airports!A:H,8,FALSE)</f>
        <v>-104.6670019</v>
      </c>
      <c r="H2791">
        <f t="shared" si="86"/>
        <v>810.2</v>
      </c>
      <c r="I2791">
        <f t="shared" si="87"/>
        <v>503.5</v>
      </c>
    </row>
    <row r="2792" spans="1:9" ht="30" x14ac:dyDescent="0.25">
      <c r="A2792" s="5" t="s">
        <v>2368</v>
      </c>
      <c r="B2792" s="5" t="s">
        <v>49</v>
      </c>
      <c r="C2792" s="5" t="s">
        <v>3244</v>
      </c>
      <c r="D2792" s="3">
        <f>VLOOKUP(A2792,airports!A:H,7,FALSE)</f>
        <v>35.138454719999999</v>
      </c>
      <c r="E2792" s="3">
        <f>VLOOKUP(A2792,airports!A:H,8,FALSE)</f>
        <v>-111.67121830000001</v>
      </c>
      <c r="F2792" s="3">
        <f>VLOOKUP(B2792,airports!A:H,7,FALSE)</f>
        <v>32.895950560000003</v>
      </c>
      <c r="G2792" s="3">
        <f>VLOOKUP(B2792,airports!A:H,8,FALSE)</f>
        <v>-97.037199999999999</v>
      </c>
      <c r="H2792">
        <f t="shared" si="86"/>
        <v>1370.3</v>
      </c>
      <c r="I2792">
        <f t="shared" si="87"/>
        <v>851.5</v>
      </c>
    </row>
    <row r="2793" spans="1:9" x14ac:dyDescent="0.25">
      <c r="A2793" s="5" t="s">
        <v>2368</v>
      </c>
      <c r="B2793" s="5" t="s">
        <v>73</v>
      </c>
      <c r="C2793" s="5" t="s">
        <v>3245</v>
      </c>
      <c r="D2793" s="3">
        <f>VLOOKUP(A2793,airports!A:H,7,FALSE)</f>
        <v>35.138454719999999</v>
      </c>
      <c r="E2793" s="3">
        <f>VLOOKUP(A2793,airports!A:H,8,FALSE)</f>
        <v>-111.67121830000001</v>
      </c>
      <c r="F2793" s="3">
        <f>VLOOKUP(B2793,airports!A:H,7,FALSE)</f>
        <v>33.942536109999999</v>
      </c>
      <c r="G2793" s="3">
        <f>VLOOKUP(B2793,airports!A:H,8,FALSE)</f>
        <v>-118.4080744</v>
      </c>
      <c r="H2793">
        <f t="shared" si="86"/>
        <v>631.1</v>
      </c>
      <c r="I2793">
        <f t="shared" si="87"/>
        <v>392.2</v>
      </c>
    </row>
    <row r="2794" spans="1:9" ht="30" x14ac:dyDescent="0.25">
      <c r="A2794" s="5" t="s">
        <v>2368</v>
      </c>
      <c r="B2794" s="5" t="s">
        <v>104</v>
      </c>
      <c r="C2794" s="5" t="s">
        <v>3246</v>
      </c>
      <c r="D2794" s="3">
        <f>VLOOKUP(A2794,airports!A:H,7,FALSE)</f>
        <v>35.138454719999999</v>
      </c>
      <c r="E2794" s="3">
        <f>VLOOKUP(A2794,airports!A:H,8,FALSE)</f>
        <v>-111.67121830000001</v>
      </c>
      <c r="F2794" s="3">
        <f>VLOOKUP(B2794,airports!A:H,7,FALSE)</f>
        <v>33.434166670000003</v>
      </c>
      <c r="G2794" s="3">
        <f>VLOOKUP(B2794,airports!A:H,8,FALSE)</f>
        <v>-112.00805560000001</v>
      </c>
      <c r="H2794">
        <f t="shared" si="86"/>
        <v>192</v>
      </c>
      <c r="I2794">
        <f t="shared" si="87"/>
        <v>119.3</v>
      </c>
    </row>
    <row r="2795" spans="1:9" x14ac:dyDescent="0.25">
      <c r="A2795" s="5" t="s">
        <v>57</v>
      </c>
      <c r="B2795" s="5" t="s">
        <v>170</v>
      </c>
      <c r="C2795" s="5" t="s">
        <v>3247</v>
      </c>
      <c r="D2795" s="3">
        <f>VLOOKUP(A2795,airports!A:H,7,FALSE)</f>
        <v>26.072583330000001</v>
      </c>
      <c r="E2795" s="3">
        <f>VLOOKUP(A2795,airports!A:H,8,FALSE)</f>
        <v>-80.152749999999997</v>
      </c>
      <c r="F2795" s="3">
        <f>VLOOKUP(B2795,airports!A:H,7,FALSE)</f>
        <v>40.652362779999997</v>
      </c>
      <c r="G2795" s="3">
        <f>VLOOKUP(B2795,airports!A:H,8,FALSE)</f>
        <v>-75.44040167</v>
      </c>
      <c r="H2795">
        <f t="shared" si="86"/>
        <v>1678.5</v>
      </c>
      <c r="I2795">
        <f t="shared" si="87"/>
        <v>1043</v>
      </c>
    </row>
    <row r="2796" spans="1:9" x14ac:dyDescent="0.25">
      <c r="A2796" s="5" t="s">
        <v>57</v>
      </c>
      <c r="B2796" s="5" t="s">
        <v>252</v>
      </c>
      <c r="C2796" s="5" t="s">
        <v>3248</v>
      </c>
      <c r="D2796" s="3">
        <f>VLOOKUP(A2796,airports!A:H,7,FALSE)</f>
        <v>26.072583330000001</v>
      </c>
      <c r="E2796" s="3">
        <f>VLOOKUP(A2796,airports!A:H,8,FALSE)</f>
        <v>-80.152749999999997</v>
      </c>
      <c r="F2796" s="3">
        <f>VLOOKUP(B2796,airports!A:H,7,FALSE)</f>
        <v>39.457583329999999</v>
      </c>
      <c r="G2796" s="3">
        <f>VLOOKUP(B2796,airports!A:H,8,FALSE)</f>
        <v>-74.577166669999997</v>
      </c>
      <c r="H2796">
        <f t="shared" si="86"/>
        <v>1576.1</v>
      </c>
      <c r="I2796">
        <f t="shared" si="87"/>
        <v>979.4</v>
      </c>
    </row>
    <row r="2797" spans="1:9" x14ac:dyDescent="0.25">
      <c r="A2797" s="5" t="s">
        <v>57</v>
      </c>
      <c r="B2797" s="5" t="s">
        <v>7</v>
      </c>
      <c r="C2797" s="5" t="s">
        <v>3249</v>
      </c>
      <c r="D2797" s="3">
        <f>VLOOKUP(A2797,airports!A:H,7,FALSE)</f>
        <v>26.072583330000001</v>
      </c>
      <c r="E2797" s="3">
        <f>VLOOKUP(A2797,airports!A:H,8,FALSE)</f>
        <v>-80.152749999999997</v>
      </c>
      <c r="F2797" s="3">
        <f>VLOOKUP(B2797,airports!A:H,7,FALSE)</f>
        <v>42.748119440000004</v>
      </c>
      <c r="G2797" s="3">
        <f>VLOOKUP(B2797,airports!A:H,8,FALSE)</f>
        <v>-73.802978609999997</v>
      </c>
      <c r="H2797">
        <f t="shared" si="86"/>
        <v>1942.1</v>
      </c>
      <c r="I2797">
        <f t="shared" si="87"/>
        <v>1206.8</v>
      </c>
    </row>
    <row r="2798" spans="1:9" x14ac:dyDescent="0.25">
      <c r="A2798" s="5" t="s">
        <v>57</v>
      </c>
      <c r="B2798" s="5" t="s">
        <v>10</v>
      </c>
      <c r="C2798" s="5" t="s">
        <v>3250</v>
      </c>
      <c r="D2798" s="3">
        <f>VLOOKUP(A2798,airports!A:H,7,FALSE)</f>
        <v>26.072583330000001</v>
      </c>
      <c r="E2798" s="3">
        <f>VLOOKUP(A2798,airports!A:H,8,FALSE)</f>
        <v>-80.152749999999997</v>
      </c>
      <c r="F2798" s="3">
        <f>VLOOKUP(B2798,airports!A:H,7,FALSE)</f>
        <v>33.640444440000003</v>
      </c>
      <c r="G2798" s="3">
        <f>VLOOKUP(B2798,airports!A:H,8,FALSE)</f>
        <v>-84.42694444</v>
      </c>
      <c r="H2798">
        <f t="shared" si="86"/>
        <v>936.8</v>
      </c>
      <c r="I2798">
        <f t="shared" si="87"/>
        <v>582.1</v>
      </c>
    </row>
    <row r="2799" spans="1:9" ht="30" x14ac:dyDescent="0.25">
      <c r="A2799" s="5" t="s">
        <v>57</v>
      </c>
      <c r="B2799" s="5" t="s">
        <v>416</v>
      </c>
      <c r="C2799" s="5" t="s">
        <v>3251</v>
      </c>
      <c r="D2799" s="3">
        <f>VLOOKUP(A2799,airports!A:H,7,FALSE)</f>
        <v>26.072583330000001</v>
      </c>
      <c r="E2799" s="3">
        <f>VLOOKUP(A2799,airports!A:H,8,FALSE)</f>
        <v>-80.152749999999997</v>
      </c>
      <c r="F2799" s="3">
        <f>VLOOKUP(B2799,airports!A:H,7,FALSE)</f>
        <v>44.257408060000003</v>
      </c>
      <c r="G2799" s="3">
        <f>VLOOKUP(B2799,airports!A:H,8,FALSE)</f>
        <v>-88.519475560000004</v>
      </c>
      <c r="H2799">
        <f t="shared" si="86"/>
        <v>2157.5</v>
      </c>
      <c r="I2799">
        <f t="shared" si="87"/>
        <v>1340.7</v>
      </c>
    </row>
    <row r="2800" spans="1:9" x14ac:dyDescent="0.25">
      <c r="A2800" s="5" t="s">
        <v>57</v>
      </c>
      <c r="B2800" s="5" t="s">
        <v>13</v>
      </c>
      <c r="C2800" s="5" t="s">
        <v>3252</v>
      </c>
      <c r="D2800" s="3">
        <f>VLOOKUP(A2800,airports!A:H,7,FALSE)</f>
        <v>26.072583330000001</v>
      </c>
      <c r="E2800" s="3">
        <f>VLOOKUP(A2800,airports!A:H,8,FALSE)</f>
        <v>-80.152749999999997</v>
      </c>
      <c r="F2800" s="3">
        <f>VLOOKUP(B2800,airports!A:H,7,FALSE)</f>
        <v>30.194532779999999</v>
      </c>
      <c r="G2800" s="3">
        <f>VLOOKUP(B2800,airports!A:H,8,FALSE)</f>
        <v>-97.669871939999993</v>
      </c>
      <c r="H2800">
        <f t="shared" si="86"/>
        <v>1775.7</v>
      </c>
      <c r="I2800">
        <f t="shared" si="87"/>
        <v>1103.4000000000001</v>
      </c>
    </row>
    <row r="2801" spans="1:9" x14ac:dyDescent="0.25">
      <c r="A2801" s="5" t="s">
        <v>57</v>
      </c>
      <c r="B2801" s="5" t="s">
        <v>419</v>
      </c>
      <c r="C2801" s="5" t="s">
        <v>3253</v>
      </c>
      <c r="D2801" s="3">
        <f>VLOOKUP(A2801,airports!A:H,7,FALSE)</f>
        <v>26.072583330000001</v>
      </c>
      <c r="E2801" s="3">
        <f>VLOOKUP(A2801,airports!A:H,8,FALSE)</f>
        <v>-80.152749999999997</v>
      </c>
      <c r="F2801" s="3">
        <f>VLOOKUP(B2801,airports!A:H,7,FALSE)</f>
        <v>35.436194440000001</v>
      </c>
      <c r="G2801" s="3">
        <f>VLOOKUP(B2801,airports!A:H,8,FALSE)</f>
        <v>-82.54180556</v>
      </c>
      <c r="H2801">
        <f t="shared" si="86"/>
        <v>1065.8</v>
      </c>
      <c r="I2801">
        <f t="shared" si="87"/>
        <v>662.3</v>
      </c>
    </row>
    <row r="2802" spans="1:9" x14ac:dyDescent="0.25">
      <c r="A2802" s="5" t="s">
        <v>57</v>
      </c>
      <c r="B2802" s="5" t="s">
        <v>16</v>
      </c>
      <c r="C2802" s="5" t="s">
        <v>3254</v>
      </c>
      <c r="D2802" s="3">
        <f>VLOOKUP(A2802,airports!A:H,7,FALSE)</f>
        <v>26.072583330000001</v>
      </c>
      <c r="E2802" s="3">
        <f>VLOOKUP(A2802,airports!A:H,8,FALSE)</f>
        <v>-80.152749999999997</v>
      </c>
      <c r="F2802" s="3">
        <f>VLOOKUP(B2802,airports!A:H,7,FALSE)</f>
        <v>41.938874169999998</v>
      </c>
      <c r="G2802" s="3">
        <f>VLOOKUP(B2802,airports!A:H,8,FALSE)</f>
        <v>-72.683228330000006</v>
      </c>
      <c r="H2802">
        <f t="shared" si="86"/>
        <v>1891.9</v>
      </c>
      <c r="I2802">
        <f t="shared" si="87"/>
        <v>1175.5999999999999</v>
      </c>
    </row>
    <row r="2803" spans="1:9" x14ac:dyDescent="0.25">
      <c r="A2803" s="5" t="s">
        <v>57</v>
      </c>
      <c r="B2803" s="5" t="s">
        <v>233</v>
      </c>
      <c r="C2803" s="5" t="s">
        <v>3255</v>
      </c>
      <c r="D2803" s="3">
        <f>VLOOKUP(A2803,airports!A:H,7,FALSE)</f>
        <v>26.072583330000001</v>
      </c>
      <c r="E2803" s="3">
        <f>VLOOKUP(A2803,airports!A:H,8,FALSE)</f>
        <v>-80.152749999999997</v>
      </c>
      <c r="F2803" s="3">
        <f>VLOOKUP(B2803,airports!A:H,7,FALSE)</f>
        <v>44.807444439999998</v>
      </c>
      <c r="G2803" s="3">
        <f>VLOOKUP(B2803,airports!A:H,8,FALSE)</f>
        <v>-68.828138890000005</v>
      </c>
      <c r="H2803">
        <f t="shared" si="86"/>
        <v>2316.8000000000002</v>
      </c>
      <c r="I2803">
        <f t="shared" si="87"/>
        <v>1439.7</v>
      </c>
    </row>
    <row r="2804" spans="1:9" ht="30" x14ac:dyDescent="0.25">
      <c r="A2804" s="5" t="s">
        <v>57</v>
      </c>
      <c r="B2804" s="5" t="s">
        <v>425</v>
      </c>
      <c r="C2804" s="5" t="s">
        <v>3256</v>
      </c>
      <c r="D2804" s="3">
        <f>VLOOKUP(A2804,airports!A:H,7,FALSE)</f>
        <v>26.072583330000001</v>
      </c>
      <c r="E2804" s="3">
        <f>VLOOKUP(A2804,airports!A:H,8,FALSE)</f>
        <v>-80.152749999999997</v>
      </c>
      <c r="F2804" s="3">
        <f>VLOOKUP(B2804,airports!A:H,7,FALSE)</f>
        <v>33.562943060000002</v>
      </c>
      <c r="G2804" s="3">
        <f>VLOOKUP(B2804,airports!A:H,8,FALSE)</f>
        <v>-86.753549719999995</v>
      </c>
      <c r="H2804">
        <f t="shared" si="86"/>
        <v>1047.8</v>
      </c>
      <c r="I2804">
        <f t="shared" si="87"/>
        <v>651.1</v>
      </c>
    </row>
    <row r="2805" spans="1:9" x14ac:dyDescent="0.25">
      <c r="A2805" s="5" t="s">
        <v>57</v>
      </c>
      <c r="B2805" s="5" t="s">
        <v>841</v>
      </c>
      <c r="C2805" s="5" t="s">
        <v>3257</v>
      </c>
      <c r="D2805" s="3">
        <f>VLOOKUP(A2805,airports!A:H,7,FALSE)</f>
        <v>26.072583330000001</v>
      </c>
      <c r="E2805" s="3">
        <f>VLOOKUP(A2805,airports!A:H,8,FALSE)</f>
        <v>-80.152749999999997</v>
      </c>
      <c r="F2805" s="3">
        <f>VLOOKUP(B2805,airports!A:H,7,FALSE)</f>
        <v>38.547699999999999</v>
      </c>
      <c r="G2805" s="3">
        <f>VLOOKUP(B2805,airports!A:H,8,FALSE)</f>
        <v>-89.815700000000007</v>
      </c>
      <c r="H2805">
        <f t="shared" si="86"/>
        <v>1655.6</v>
      </c>
      <c r="I2805">
        <f t="shared" si="87"/>
        <v>1028.8</v>
      </c>
    </row>
    <row r="2806" spans="1:9" x14ac:dyDescent="0.25">
      <c r="A2806" s="5" t="s">
        <v>57</v>
      </c>
      <c r="B2806" s="5" t="s">
        <v>19</v>
      </c>
      <c r="C2806" s="5" t="s">
        <v>3258</v>
      </c>
      <c r="D2806" s="3">
        <f>VLOOKUP(A2806,airports!A:H,7,FALSE)</f>
        <v>26.072583330000001</v>
      </c>
      <c r="E2806" s="3">
        <f>VLOOKUP(A2806,airports!A:H,8,FALSE)</f>
        <v>-80.152749999999997</v>
      </c>
      <c r="F2806" s="3">
        <f>VLOOKUP(B2806,airports!A:H,7,FALSE)</f>
        <v>36.12447667</v>
      </c>
      <c r="G2806" s="3">
        <f>VLOOKUP(B2806,airports!A:H,8,FALSE)</f>
        <v>-86.678182219999997</v>
      </c>
      <c r="H2806">
        <f t="shared" si="86"/>
        <v>1277.9000000000001</v>
      </c>
      <c r="I2806">
        <f t="shared" si="87"/>
        <v>794.1</v>
      </c>
    </row>
    <row r="2807" spans="1:9" x14ac:dyDescent="0.25">
      <c r="A2807" s="5" t="s">
        <v>57</v>
      </c>
      <c r="B2807" s="5" t="s">
        <v>24</v>
      </c>
      <c r="C2807" s="5" t="s">
        <v>3259</v>
      </c>
      <c r="D2807" s="3">
        <f>VLOOKUP(A2807,airports!A:H,7,FALSE)</f>
        <v>26.072583330000001</v>
      </c>
      <c r="E2807" s="3">
        <f>VLOOKUP(A2807,airports!A:H,8,FALSE)</f>
        <v>-80.152749999999997</v>
      </c>
      <c r="F2807" s="3">
        <f>VLOOKUP(B2807,airports!A:H,7,FALSE)</f>
        <v>42.364347500000001</v>
      </c>
      <c r="G2807" s="3">
        <f>VLOOKUP(B2807,airports!A:H,8,FALSE)</f>
        <v>-71.005179170000005</v>
      </c>
      <c r="H2807">
        <f t="shared" si="86"/>
        <v>1994.3</v>
      </c>
      <c r="I2807">
        <f t="shared" si="87"/>
        <v>1239.3</v>
      </c>
    </row>
    <row r="2808" spans="1:9" ht="30" x14ac:dyDescent="0.25">
      <c r="A2808" s="5" t="s">
        <v>57</v>
      </c>
      <c r="B2808" s="5" t="s">
        <v>25</v>
      </c>
      <c r="C2808" s="5" t="s">
        <v>3260</v>
      </c>
      <c r="D2808" s="3">
        <f>VLOOKUP(A2808,airports!A:H,7,FALSE)</f>
        <v>26.072583330000001</v>
      </c>
      <c r="E2808" s="3">
        <f>VLOOKUP(A2808,airports!A:H,8,FALSE)</f>
        <v>-80.152749999999997</v>
      </c>
      <c r="F2808" s="3">
        <f>VLOOKUP(B2808,airports!A:H,7,FALSE)</f>
        <v>18.494861109999999</v>
      </c>
      <c r="G2808" s="3">
        <f>VLOOKUP(B2808,airports!A:H,8,FALSE)</f>
        <v>-67.12944444</v>
      </c>
      <c r="H2808">
        <f t="shared" si="86"/>
        <v>1581.3</v>
      </c>
      <c r="I2808">
        <f t="shared" si="87"/>
        <v>982.6</v>
      </c>
    </row>
    <row r="2809" spans="1:9" x14ac:dyDescent="0.25">
      <c r="A2809" s="5" t="s">
        <v>57</v>
      </c>
      <c r="B2809" s="5" t="s">
        <v>29</v>
      </c>
      <c r="C2809" s="5" t="s">
        <v>3261</v>
      </c>
      <c r="D2809" s="3">
        <f>VLOOKUP(A2809,airports!A:H,7,FALSE)</f>
        <v>26.072583330000001</v>
      </c>
      <c r="E2809" s="3">
        <f>VLOOKUP(A2809,airports!A:H,8,FALSE)</f>
        <v>-80.152749999999997</v>
      </c>
      <c r="F2809" s="3">
        <f>VLOOKUP(B2809,airports!A:H,7,FALSE)</f>
        <v>42.940524719999999</v>
      </c>
      <c r="G2809" s="3">
        <f>VLOOKUP(B2809,airports!A:H,8,FALSE)</f>
        <v>-78.732166669999998</v>
      </c>
      <c r="H2809">
        <f t="shared" si="86"/>
        <v>1880.1</v>
      </c>
      <c r="I2809">
        <f t="shared" si="87"/>
        <v>1168.3</v>
      </c>
    </row>
    <row r="2810" spans="1:9" x14ac:dyDescent="0.25">
      <c r="A2810" s="5" t="s">
        <v>57</v>
      </c>
      <c r="B2810" s="5" t="s">
        <v>32</v>
      </c>
      <c r="C2810" s="5" t="s">
        <v>3262</v>
      </c>
      <c r="D2810" s="3">
        <f>VLOOKUP(A2810,airports!A:H,7,FALSE)</f>
        <v>26.072583330000001</v>
      </c>
      <c r="E2810" s="3">
        <f>VLOOKUP(A2810,airports!A:H,8,FALSE)</f>
        <v>-80.152749999999997</v>
      </c>
      <c r="F2810" s="3">
        <f>VLOOKUP(B2810,airports!A:H,7,FALSE)</f>
        <v>39.175401669999999</v>
      </c>
      <c r="G2810" s="3">
        <f>VLOOKUP(B2810,airports!A:H,8,FALSE)</f>
        <v>-76.668198329999996</v>
      </c>
      <c r="H2810">
        <f t="shared" si="86"/>
        <v>1492.7</v>
      </c>
      <c r="I2810">
        <f t="shared" si="87"/>
        <v>927.6</v>
      </c>
    </row>
    <row r="2811" spans="1:9" x14ac:dyDescent="0.25">
      <c r="A2811" s="5" t="s">
        <v>57</v>
      </c>
      <c r="B2811" s="5" t="s">
        <v>34</v>
      </c>
      <c r="C2811" s="5" t="s">
        <v>3263</v>
      </c>
      <c r="D2811" s="3">
        <f>VLOOKUP(A2811,airports!A:H,7,FALSE)</f>
        <v>26.072583330000001</v>
      </c>
      <c r="E2811" s="3">
        <f>VLOOKUP(A2811,airports!A:H,8,FALSE)</f>
        <v>-80.152749999999997</v>
      </c>
      <c r="F2811" s="3">
        <f>VLOOKUP(B2811,airports!A:H,7,FALSE)</f>
        <v>45.776901389999999</v>
      </c>
      <c r="G2811" s="3">
        <f>VLOOKUP(B2811,airports!A:H,8,FALSE)</f>
        <v>-111.1530072</v>
      </c>
      <c r="H2811">
        <f t="shared" si="86"/>
        <v>3510.9</v>
      </c>
      <c r="I2811">
        <f t="shared" si="87"/>
        <v>2181.6999999999998</v>
      </c>
    </row>
    <row r="2812" spans="1:9" x14ac:dyDescent="0.25">
      <c r="A2812" s="5" t="s">
        <v>57</v>
      </c>
      <c r="B2812" s="5" t="s">
        <v>443</v>
      </c>
      <c r="C2812" s="5" t="s">
        <v>3264</v>
      </c>
      <c r="D2812" s="3">
        <f>VLOOKUP(A2812,airports!A:H,7,FALSE)</f>
        <v>26.072583330000001</v>
      </c>
      <c r="E2812" s="3">
        <f>VLOOKUP(A2812,airports!A:H,8,FALSE)</f>
        <v>-80.152749999999997</v>
      </c>
      <c r="F2812" s="3">
        <f>VLOOKUP(B2812,airports!A:H,7,FALSE)</f>
        <v>40.91631194</v>
      </c>
      <c r="G2812" s="3">
        <f>VLOOKUP(B2812,airports!A:H,8,FALSE)</f>
        <v>-81.442465560000002</v>
      </c>
      <c r="H2812">
        <f t="shared" si="86"/>
        <v>1654.8</v>
      </c>
      <c r="I2812">
        <f t="shared" si="87"/>
        <v>1028.3</v>
      </c>
    </row>
    <row r="2813" spans="1:9" x14ac:dyDescent="0.25">
      <c r="A2813" s="5" t="s">
        <v>57</v>
      </c>
      <c r="B2813" s="5" t="s">
        <v>36</v>
      </c>
      <c r="C2813" s="5" t="s">
        <v>3265</v>
      </c>
      <c r="D2813" s="3">
        <f>VLOOKUP(A2813,airports!A:H,7,FALSE)</f>
        <v>26.072583330000001</v>
      </c>
      <c r="E2813" s="3">
        <f>VLOOKUP(A2813,airports!A:H,8,FALSE)</f>
        <v>-80.152749999999997</v>
      </c>
      <c r="F2813" s="3">
        <f>VLOOKUP(B2813,airports!A:H,7,FALSE)</f>
        <v>32.898646390000003</v>
      </c>
      <c r="G2813" s="3">
        <f>VLOOKUP(B2813,airports!A:H,8,FALSE)</f>
        <v>-80.040505830000001</v>
      </c>
      <c r="H2813">
        <f t="shared" si="86"/>
        <v>759.1</v>
      </c>
      <c r="I2813">
        <f t="shared" si="87"/>
        <v>471.7</v>
      </c>
    </row>
    <row r="2814" spans="1:9" x14ac:dyDescent="0.25">
      <c r="A2814" s="5" t="s">
        <v>57</v>
      </c>
      <c r="B2814" s="5" t="s">
        <v>38</v>
      </c>
      <c r="C2814" s="5" t="s">
        <v>3266</v>
      </c>
      <c r="D2814" s="3">
        <f>VLOOKUP(A2814,airports!A:H,7,FALSE)</f>
        <v>26.072583330000001</v>
      </c>
      <c r="E2814" s="3">
        <f>VLOOKUP(A2814,airports!A:H,8,FALSE)</f>
        <v>-80.152749999999997</v>
      </c>
      <c r="F2814" s="3">
        <f>VLOOKUP(B2814,airports!A:H,7,FALSE)</f>
        <v>41.410894169999999</v>
      </c>
      <c r="G2814" s="3">
        <f>VLOOKUP(B2814,airports!A:H,8,FALSE)</f>
        <v>-81.849396670000004</v>
      </c>
      <c r="H2814">
        <f t="shared" si="86"/>
        <v>1712.6</v>
      </c>
      <c r="I2814">
        <f t="shared" si="87"/>
        <v>1064.3</v>
      </c>
    </row>
    <row r="2815" spans="1:9" x14ac:dyDescent="0.25">
      <c r="A2815" s="5" t="s">
        <v>57</v>
      </c>
      <c r="B2815" s="5" t="s">
        <v>40</v>
      </c>
      <c r="C2815" s="5" t="s">
        <v>3267</v>
      </c>
      <c r="D2815" s="3">
        <f>VLOOKUP(A2815,airports!A:H,7,FALSE)</f>
        <v>26.072583330000001</v>
      </c>
      <c r="E2815" s="3">
        <f>VLOOKUP(A2815,airports!A:H,8,FALSE)</f>
        <v>-80.152749999999997</v>
      </c>
      <c r="F2815" s="3">
        <f>VLOOKUP(B2815,airports!A:H,7,FALSE)</f>
        <v>35.214011110000001</v>
      </c>
      <c r="G2815" s="3">
        <f>VLOOKUP(B2815,airports!A:H,8,FALSE)</f>
        <v>-80.94312583</v>
      </c>
      <c r="H2815">
        <f t="shared" si="86"/>
        <v>1019.3</v>
      </c>
      <c r="I2815">
        <f t="shared" si="87"/>
        <v>633.4</v>
      </c>
    </row>
    <row r="2816" spans="1:9" ht="30" x14ac:dyDescent="0.25">
      <c r="A2816" s="5" t="s">
        <v>57</v>
      </c>
      <c r="B2816" s="5" t="s">
        <v>454</v>
      </c>
      <c r="C2816" s="5" t="s">
        <v>3268</v>
      </c>
      <c r="D2816" s="3">
        <f>VLOOKUP(A2816,airports!A:H,7,FALSE)</f>
        <v>26.072583330000001</v>
      </c>
      <c r="E2816" s="3">
        <f>VLOOKUP(A2816,airports!A:H,8,FALSE)</f>
        <v>-80.152749999999997</v>
      </c>
      <c r="F2816" s="3">
        <f>VLOOKUP(B2816,airports!A:H,7,FALSE)</f>
        <v>39.997985280000002</v>
      </c>
      <c r="G2816" s="3">
        <f>VLOOKUP(B2816,airports!A:H,8,FALSE)</f>
        <v>-82.891882780000003</v>
      </c>
      <c r="H2816">
        <f t="shared" si="86"/>
        <v>1569.1</v>
      </c>
      <c r="I2816">
        <f t="shared" si="87"/>
        <v>975.1</v>
      </c>
    </row>
    <row r="2817" spans="1:9" x14ac:dyDescent="0.25">
      <c r="A2817" s="5" t="s">
        <v>57</v>
      </c>
      <c r="B2817" s="5" t="s">
        <v>462</v>
      </c>
      <c r="C2817" s="5" t="s">
        <v>3269</v>
      </c>
      <c r="D2817" s="3">
        <f>VLOOKUP(A2817,airports!A:H,7,FALSE)</f>
        <v>26.072583330000001</v>
      </c>
      <c r="E2817" s="3">
        <f>VLOOKUP(A2817,airports!A:H,8,FALSE)</f>
        <v>-80.152749999999997</v>
      </c>
      <c r="F2817" s="3">
        <f>VLOOKUP(B2817,airports!A:H,7,FALSE)</f>
        <v>39.046142779999997</v>
      </c>
      <c r="G2817" s="3">
        <f>VLOOKUP(B2817,airports!A:H,8,FALSE)</f>
        <v>-84.662172499999997</v>
      </c>
      <c r="H2817">
        <f t="shared" si="86"/>
        <v>1502.6</v>
      </c>
      <c r="I2817">
        <f t="shared" si="87"/>
        <v>933.8</v>
      </c>
    </row>
    <row r="2818" spans="1:9" x14ac:dyDescent="0.25">
      <c r="A2818" s="5" t="s">
        <v>57</v>
      </c>
      <c r="B2818" s="5" t="s">
        <v>201</v>
      </c>
      <c r="C2818" s="5" t="s">
        <v>3270</v>
      </c>
      <c r="D2818" s="3">
        <f>VLOOKUP(A2818,airports!A:H,7,FALSE)</f>
        <v>26.072583330000001</v>
      </c>
      <c r="E2818" s="3">
        <f>VLOOKUP(A2818,airports!A:H,8,FALSE)</f>
        <v>-80.152749999999997</v>
      </c>
      <c r="F2818" s="3">
        <f>VLOOKUP(B2818,airports!A:H,7,FALSE)</f>
        <v>32.847113890000003</v>
      </c>
      <c r="G2818" s="3">
        <f>VLOOKUP(B2818,airports!A:H,8,FALSE)</f>
        <v>-96.851772220000001</v>
      </c>
      <c r="H2818">
        <f t="shared" si="86"/>
        <v>1780.7</v>
      </c>
      <c r="I2818">
        <f t="shared" si="87"/>
        <v>1106.5</v>
      </c>
    </row>
    <row r="2819" spans="1:9" x14ac:dyDescent="0.25">
      <c r="A2819" s="5" t="s">
        <v>57</v>
      </c>
      <c r="B2819" s="5" t="s">
        <v>45</v>
      </c>
      <c r="C2819" s="5" t="s">
        <v>3271</v>
      </c>
      <c r="D2819" s="3">
        <f>VLOOKUP(A2819,airports!A:H,7,FALSE)</f>
        <v>26.072583330000001</v>
      </c>
      <c r="E2819" s="3">
        <f>VLOOKUP(A2819,airports!A:H,8,FALSE)</f>
        <v>-80.152749999999997</v>
      </c>
      <c r="F2819" s="3">
        <f>VLOOKUP(B2819,airports!A:H,7,FALSE)</f>
        <v>38.852083329999999</v>
      </c>
      <c r="G2819" s="3">
        <f>VLOOKUP(B2819,airports!A:H,8,FALSE)</f>
        <v>-77.037722220000006</v>
      </c>
      <c r="H2819">
        <f t="shared" si="86"/>
        <v>1450.5</v>
      </c>
      <c r="I2819">
        <f t="shared" si="87"/>
        <v>901.3</v>
      </c>
    </row>
    <row r="2820" spans="1:9" x14ac:dyDescent="0.25">
      <c r="A2820" s="5" t="s">
        <v>57</v>
      </c>
      <c r="B2820" s="5" t="s">
        <v>47</v>
      </c>
      <c r="C2820" s="5" t="s">
        <v>3272</v>
      </c>
      <c r="D2820" s="3">
        <f>VLOOKUP(A2820,airports!A:H,7,FALSE)</f>
        <v>26.072583330000001</v>
      </c>
      <c r="E2820" s="3">
        <f>VLOOKUP(A2820,airports!A:H,8,FALSE)</f>
        <v>-80.152749999999997</v>
      </c>
      <c r="F2820" s="3">
        <f>VLOOKUP(B2820,airports!A:H,7,FALSE)</f>
        <v>39.858408060000002</v>
      </c>
      <c r="G2820" s="3">
        <f>VLOOKUP(B2820,airports!A:H,8,FALSE)</f>
        <v>-104.6670019</v>
      </c>
      <c r="H2820">
        <f t="shared" ref="H2820:H2883" si="88">ROUND(ACOS(COS(RADIANS(90-D2820)) * COS(RADIANS(90-F2820)) + SIN(RADIANS(90-D2820)) * SIN(RADIANS(90-F2820)) * COS(RADIANS(E2820-G2820))) * 6371,1)</f>
        <v>2738.4</v>
      </c>
      <c r="I2820">
        <f t="shared" ref="I2820:I2883" si="89">ROUND(ACOS(COS(RADIANS(90-D2820)) * COS(RADIANS(90-F2820)) + SIN(RADIANS(90-D2820)) * SIN(RADIANS(90-F2820)) * COS(RADIANS(E2820-G2820))) * 3959,1)</f>
        <v>1701.7</v>
      </c>
    </row>
    <row r="2821" spans="1:9" ht="30" x14ac:dyDescent="0.25">
      <c r="A2821" s="5" t="s">
        <v>57</v>
      </c>
      <c r="B2821" s="5" t="s">
        <v>49</v>
      </c>
      <c r="C2821" s="5" t="s">
        <v>3273</v>
      </c>
      <c r="D2821" s="3">
        <f>VLOOKUP(A2821,airports!A:H,7,FALSE)</f>
        <v>26.072583330000001</v>
      </c>
      <c r="E2821" s="3">
        <f>VLOOKUP(A2821,airports!A:H,8,FALSE)</f>
        <v>-80.152749999999997</v>
      </c>
      <c r="F2821" s="3">
        <f>VLOOKUP(B2821,airports!A:H,7,FALSE)</f>
        <v>32.895950560000003</v>
      </c>
      <c r="G2821" s="3">
        <f>VLOOKUP(B2821,airports!A:H,8,FALSE)</f>
        <v>-97.037199999999999</v>
      </c>
      <c r="H2821">
        <f t="shared" si="88"/>
        <v>1798.8</v>
      </c>
      <c r="I2821">
        <f t="shared" si="89"/>
        <v>1117.8</v>
      </c>
    </row>
    <row r="2822" spans="1:9" ht="30" x14ac:dyDescent="0.25">
      <c r="A2822" s="5" t="s">
        <v>57</v>
      </c>
      <c r="B2822" s="5" t="s">
        <v>474</v>
      </c>
      <c r="C2822" s="5" t="s">
        <v>3274</v>
      </c>
      <c r="D2822" s="3">
        <f>VLOOKUP(A2822,airports!A:H,7,FALSE)</f>
        <v>26.072583330000001</v>
      </c>
      <c r="E2822" s="3">
        <f>VLOOKUP(A2822,airports!A:H,8,FALSE)</f>
        <v>-80.152749999999997</v>
      </c>
      <c r="F2822" s="3">
        <f>VLOOKUP(B2822,airports!A:H,7,FALSE)</f>
        <v>41.53493306</v>
      </c>
      <c r="G2822" s="3">
        <f>VLOOKUP(B2822,airports!A:H,8,FALSE)</f>
        <v>-93.660682219999998</v>
      </c>
      <c r="H2822">
        <f t="shared" si="88"/>
        <v>2118.8000000000002</v>
      </c>
      <c r="I2822">
        <f t="shared" si="89"/>
        <v>1316.6</v>
      </c>
    </row>
    <row r="2823" spans="1:9" ht="30" x14ac:dyDescent="0.25">
      <c r="A2823" s="5" t="s">
        <v>57</v>
      </c>
      <c r="B2823" s="5" t="s">
        <v>50</v>
      </c>
      <c r="C2823" s="5" t="s">
        <v>3275</v>
      </c>
      <c r="D2823" s="3">
        <f>VLOOKUP(A2823,airports!A:H,7,FALSE)</f>
        <v>26.072583330000001</v>
      </c>
      <c r="E2823" s="3">
        <f>VLOOKUP(A2823,airports!A:H,8,FALSE)</f>
        <v>-80.152749999999997</v>
      </c>
      <c r="F2823" s="3">
        <f>VLOOKUP(B2823,airports!A:H,7,FALSE)</f>
        <v>42.212058890000002</v>
      </c>
      <c r="G2823" s="3">
        <f>VLOOKUP(B2823,airports!A:H,8,FALSE)</f>
        <v>-83.348835829999999</v>
      </c>
      <c r="H2823">
        <f t="shared" si="88"/>
        <v>1818.2</v>
      </c>
      <c r="I2823">
        <f t="shared" si="89"/>
        <v>1129.8</v>
      </c>
    </row>
    <row r="2824" spans="1:9" ht="30" x14ac:dyDescent="0.25">
      <c r="A2824" s="5" t="s">
        <v>57</v>
      </c>
      <c r="B2824" s="5" t="s">
        <v>52</v>
      </c>
      <c r="C2824" s="5" t="s">
        <v>3276</v>
      </c>
      <c r="D2824" s="3">
        <f>VLOOKUP(A2824,airports!A:H,7,FALSE)</f>
        <v>26.072583330000001</v>
      </c>
      <c r="E2824" s="3">
        <f>VLOOKUP(A2824,airports!A:H,8,FALSE)</f>
        <v>-80.152749999999997</v>
      </c>
      <c r="F2824" s="3">
        <f>VLOOKUP(B2824,airports!A:H,7,FALSE)</f>
        <v>40.69249722</v>
      </c>
      <c r="G2824" s="3">
        <f>VLOOKUP(B2824,airports!A:H,8,FALSE)</f>
        <v>-74.168660560000006</v>
      </c>
      <c r="H2824">
        <f t="shared" si="88"/>
        <v>1716.8</v>
      </c>
      <c r="I2824">
        <f t="shared" si="89"/>
        <v>1066.9000000000001</v>
      </c>
    </row>
    <row r="2825" spans="1:9" x14ac:dyDescent="0.25">
      <c r="A2825" s="5" t="s">
        <v>57</v>
      </c>
      <c r="B2825" s="5" t="s">
        <v>497</v>
      </c>
      <c r="C2825" s="5" t="s">
        <v>3277</v>
      </c>
      <c r="D2825" s="3">
        <f>VLOOKUP(A2825,airports!A:H,7,FALSE)</f>
        <v>26.072583330000001</v>
      </c>
      <c r="E2825" s="3">
        <f>VLOOKUP(A2825,airports!A:H,8,FALSE)</f>
        <v>-80.152749999999997</v>
      </c>
      <c r="F2825" s="3">
        <f>VLOOKUP(B2825,airports!A:H,7,FALSE)</f>
        <v>42.965503329999997</v>
      </c>
      <c r="G2825" s="3">
        <f>VLOOKUP(B2825,airports!A:H,8,FALSE)</f>
        <v>-83.743456390000006</v>
      </c>
      <c r="H2825">
        <f t="shared" si="88"/>
        <v>1906.5</v>
      </c>
      <c r="I2825">
        <f t="shared" si="89"/>
        <v>1184.7</v>
      </c>
    </row>
    <row r="2826" spans="1:9" x14ac:dyDescent="0.25">
      <c r="A2826" s="5" t="s">
        <v>57</v>
      </c>
      <c r="B2826" s="5" t="s">
        <v>499</v>
      </c>
      <c r="C2826" s="5" t="s">
        <v>3278</v>
      </c>
      <c r="D2826" s="3">
        <f>VLOOKUP(A2826,airports!A:H,7,FALSE)</f>
        <v>26.072583330000001</v>
      </c>
      <c r="E2826" s="3">
        <f>VLOOKUP(A2826,airports!A:H,8,FALSE)</f>
        <v>-80.152749999999997</v>
      </c>
      <c r="F2826" s="3">
        <f>VLOOKUP(B2826,airports!A:H,7,FALSE)</f>
        <v>43.58135111</v>
      </c>
      <c r="G2826" s="3">
        <f>VLOOKUP(B2826,airports!A:H,8,FALSE)</f>
        <v>-96.741700280000003</v>
      </c>
      <c r="H2826">
        <f t="shared" si="88"/>
        <v>2456.4</v>
      </c>
      <c r="I2826">
        <f t="shared" si="89"/>
        <v>1526.4</v>
      </c>
    </row>
    <row r="2827" spans="1:9" x14ac:dyDescent="0.25">
      <c r="A2827" s="5" t="s">
        <v>57</v>
      </c>
      <c r="B2827" s="5" t="s">
        <v>511</v>
      </c>
      <c r="C2827" s="5" t="s">
        <v>3279</v>
      </c>
      <c r="D2827" s="3">
        <f>VLOOKUP(A2827,airports!A:H,7,FALSE)</f>
        <v>26.072583330000001</v>
      </c>
      <c r="E2827" s="3">
        <f>VLOOKUP(A2827,airports!A:H,8,FALSE)</f>
        <v>-80.152749999999997</v>
      </c>
      <c r="F2827" s="3">
        <f>VLOOKUP(B2827,airports!A:H,7,FALSE)</f>
        <v>44.485073329999999</v>
      </c>
      <c r="G2827" s="3">
        <f>VLOOKUP(B2827,airports!A:H,8,FALSE)</f>
        <v>-88.129589999999993</v>
      </c>
      <c r="H2827">
        <f t="shared" si="88"/>
        <v>2169</v>
      </c>
      <c r="I2827">
        <f t="shared" si="89"/>
        <v>1347.8</v>
      </c>
    </row>
    <row r="2828" spans="1:9" x14ac:dyDescent="0.25">
      <c r="A2828" s="5" t="s">
        <v>57</v>
      </c>
      <c r="B2828" s="5" t="s">
        <v>515</v>
      </c>
      <c r="C2828" s="5" t="s">
        <v>3280</v>
      </c>
      <c r="D2828" s="3">
        <f>VLOOKUP(A2828,airports!A:H,7,FALSE)</f>
        <v>26.072583330000001</v>
      </c>
      <c r="E2828" s="3">
        <f>VLOOKUP(A2828,airports!A:H,8,FALSE)</f>
        <v>-80.152749999999997</v>
      </c>
      <c r="F2828" s="3">
        <f>VLOOKUP(B2828,airports!A:H,7,FALSE)</f>
        <v>42.880819719999998</v>
      </c>
      <c r="G2828" s="3">
        <f>VLOOKUP(B2828,airports!A:H,8,FALSE)</f>
        <v>-85.522767779999995</v>
      </c>
      <c r="H2828">
        <f t="shared" si="88"/>
        <v>1931.6</v>
      </c>
      <c r="I2828">
        <f t="shared" si="89"/>
        <v>1200.3</v>
      </c>
    </row>
    <row r="2829" spans="1:9" x14ac:dyDescent="0.25">
      <c r="A2829" s="5" t="s">
        <v>57</v>
      </c>
      <c r="B2829" s="5" t="s">
        <v>517</v>
      </c>
      <c r="C2829" s="5" t="s">
        <v>3281</v>
      </c>
      <c r="D2829" s="3">
        <f>VLOOKUP(A2829,airports!A:H,7,FALSE)</f>
        <v>26.072583330000001</v>
      </c>
      <c r="E2829" s="3">
        <f>VLOOKUP(A2829,airports!A:H,8,FALSE)</f>
        <v>-80.152749999999997</v>
      </c>
      <c r="F2829" s="3">
        <f>VLOOKUP(B2829,airports!A:H,7,FALSE)</f>
        <v>36.09774694</v>
      </c>
      <c r="G2829" s="3">
        <f>VLOOKUP(B2829,airports!A:H,8,FALSE)</f>
        <v>-79.9372975</v>
      </c>
      <c r="H2829">
        <f t="shared" si="88"/>
        <v>1114.9000000000001</v>
      </c>
      <c r="I2829">
        <f t="shared" si="89"/>
        <v>692.8</v>
      </c>
    </row>
    <row r="2830" spans="1:9" x14ac:dyDescent="0.25">
      <c r="A2830" s="5" t="s">
        <v>57</v>
      </c>
      <c r="B2830" s="5" t="s">
        <v>519</v>
      </c>
      <c r="C2830" s="5" t="s">
        <v>3282</v>
      </c>
      <c r="D2830" s="3">
        <f>VLOOKUP(A2830,airports!A:H,7,FALSE)</f>
        <v>26.072583330000001</v>
      </c>
      <c r="E2830" s="3">
        <f>VLOOKUP(A2830,airports!A:H,8,FALSE)</f>
        <v>-80.152749999999997</v>
      </c>
      <c r="F2830" s="3">
        <f>VLOOKUP(B2830,airports!A:H,7,FALSE)</f>
        <v>34.89566722</v>
      </c>
      <c r="G2830" s="3">
        <f>VLOOKUP(B2830,airports!A:H,8,FALSE)</f>
        <v>-82.218858330000003</v>
      </c>
      <c r="H2830">
        <f t="shared" si="88"/>
        <v>1000.8</v>
      </c>
      <c r="I2830">
        <f t="shared" si="89"/>
        <v>621.9</v>
      </c>
    </row>
    <row r="2831" spans="1:9" ht="30" x14ac:dyDescent="0.25">
      <c r="A2831" s="5" t="s">
        <v>57</v>
      </c>
      <c r="B2831" s="5" t="s">
        <v>64</v>
      </c>
      <c r="C2831" s="5" t="s">
        <v>3283</v>
      </c>
      <c r="D2831" s="3">
        <f>VLOOKUP(A2831,airports!A:H,7,FALSE)</f>
        <v>26.072583330000001</v>
      </c>
      <c r="E2831" s="3">
        <f>VLOOKUP(A2831,airports!A:H,8,FALSE)</f>
        <v>-80.152749999999997</v>
      </c>
      <c r="F2831" s="3">
        <f>VLOOKUP(B2831,airports!A:H,7,FALSE)</f>
        <v>40.481180279999997</v>
      </c>
      <c r="G2831" s="3">
        <f>VLOOKUP(B2831,airports!A:H,8,FALSE)</f>
        <v>-107.2176597</v>
      </c>
      <c r="H2831">
        <f t="shared" si="88"/>
        <v>2963.8</v>
      </c>
      <c r="I2831">
        <f t="shared" si="89"/>
        <v>1841.8</v>
      </c>
    </row>
    <row r="2832" spans="1:9" ht="30" x14ac:dyDescent="0.25">
      <c r="A2832" s="5" t="s">
        <v>57</v>
      </c>
      <c r="B2832" s="5" t="s">
        <v>205</v>
      </c>
      <c r="C2832" s="5" t="s">
        <v>3284</v>
      </c>
      <c r="D2832" s="3">
        <f>VLOOKUP(A2832,airports!A:H,7,FALSE)</f>
        <v>26.072583330000001</v>
      </c>
      <c r="E2832" s="3">
        <f>VLOOKUP(A2832,airports!A:H,8,FALSE)</f>
        <v>-80.152749999999997</v>
      </c>
      <c r="F2832" s="3">
        <f>VLOOKUP(B2832,airports!A:H,7,FALSE)</f>
        <v>29.64541861</v>
      </c>
      <c r="G2832" s="3">
        <f>VLOOKUP(B2832,airports!A:H,8,FALSE)</f>
        <v>-95.278888890000005</v>
      </c>
      <c r="H2832">
        <f t="shared" si="88"/>
        <v>1537.8</v>
      </c>
      <c r="I2832">
        <f t="shared" si="89"/>
        <v>955.6</v>
      </c>
    </row>
    <row r="2833" spans="1:9" x14ac:dyDescent="0.25">
      <c r="A2833" s="5" t="s">
        <v>57</v>
      </c>
      <c r="B2833" s="5" t="s">
        <v>65</v>
      </c>
      <c r="C2833" s="5" t="s">
        <v>3285</v>
      </c>
      <c r="D2833" s="3">
        <f>VLOOKUP(A2833,airports!A:H,7,FALSE)</f>
        <v>26.072583330000001</v>
      </c>
      <c r="E2833" s="3">
        <f>VLOOKUP(A2833,airports!A:H,8,FALSE)</f>
        <v>-80.152749999999997</v>
      </c>
      <c r="F2833" s="3">
        <f>VLOOKUP(B2833,airports!A:H,7,FALSE)</f>
        <v>41.066957780000003</v>
      </c>
      <c r="G2833" s="3">
        <f>VLOOKUP(B2833,airports!A:H,8,FALSE)</f>
        <v>-73.707574440000002</v>
      </c>
      <c r="H2833">
        <f t="shared" si="88"/>
        <v>1769.6</v>
      </c>
      <c r="I2833">
        <f t="shared" si="89"/>
        <v>1099.7</v>
      </c>
    </row>
    <row r="2834" spans="1:9" x14ac:dyDescent="0.25">
      <c r="A2834" s="5" t="s">
        <v>57</v>
      </c>
      <c r="B2834" s="5" t="s">
        <v>176</v>
      </c>
      <c r="C2834" s="5" t="s">
        <v>3286</v>
      </c>
      <c r="D2834" s="3">
        <f>VLOOKUP(A2834,airports!A:H,7,FALSE)</f>
        <v>26.072583330000001</v>
      </c>
      <c r="E2834" s="3">
        <f>VLOOKUP(A2834,airports!A:H,8,FALSE)</f>
        <v>-80.152749999999997</v>
      </c>
      <c r="F2834" s="3">
        <f>VLOOKUP(B2834,airports!A:H,7,FALSE)</f>
        <v>38.944531939999997</v>
      </c>
      <c r="G2834" s="3">
        <f>VLOOKUP(B2834,airports!A:H,8,FALSE)</f>
        <v>-77.455809720000005</v>
      </c>
      <c r="H2834">
        <f t="shared" si="88"/>
        <v>1453.3</v>
      </c>
      <c r="I2834">
        <f t="shared" si="89"/>
        <v>903.1</v>
      </c>
    </row>
    <row r="2835" spans="1:9" x14ac:dyDescent="0.25">
      <c r="A2835" s="5" t="s">
        <v>57</v>
      </c>
      <c r="B2835" s="5" t="s">
        <v>2988</v>
      </c>
      <c r="C2835" s="5" t="s">
        <v>3287</v>
      </c>
      <c r="D2835" s="3">
        <f>VLOOKUP(A2835,airports!A:H,7,FALSE)</f>
        <v>26.072583330000001</v>
      </c>
      <c r="E2835" s="3">
        <f>VLOOKUP(A2835,airports!A:H,8,FALSE)</f>
        <v>-80.152749999999997</v>
      </c>
      <c r="F2835" s="3">
        <f>VLOOKUP(B2835,airports!A:H,7,FALSE)</f>
        <v>43.107300000000002</v>
      </c>
      <c r="G2835" s="3">
        <f>VLOOKUP(B2835,airports!A:H,8,FALSE)</f>
        <v>-78.946197999999995</v>
      </c>
      <c r="H2835">
        <f t="shared" si="88"/>
        <v>1897.3</v>
      </c>
      <c r="I2835">
        <f t="shared" si="89"/>
        <v>1179</v>
      </c>
    </row>
    <row r="2836" spans="1:9" x14ac:dyDescent="0.25">
      <c r="A2836" s="5" t="s">
        <v>57</v>
      </c>
      <c r="B2836" s="5" t="s">
        <v>67</v>
      </c>
      <c r="C2836" s="5" t="s">
        <v>3288</v>
      </c>
      <c r="D2836" s="3">
        <f>VLOOKUP(A2836,airports!A:H,7,FALSE)</f>
        <v>26.072583330000001</v>
      </c>
      <c r="E2836" s="3">
        <f>VLOOKUP(A2836,airports!A:H,8,FALSE)</f>
        <v>-80.152749999999997</v>
      </c>
      <c r="F2836" s="3">
        <f>VLOOKUP(B2836,airports!A:H,7,FALSE)</f>
        <v>29.980472219999999</v>
      </c>
      <c r="G2836" s="3">
        <f>VLOOKUP(B2836,airports!A:H,8,FALSE)</f>
        <v>-95.339722219999999</v>
      </c>
      <c r="H2836">
        <f t="shared" si="88"/>
        <v>1551.3</v>
      </c>
      <c r="I2836">
        <f t="shared" si="89"/>
        <v>964</v>
      </c>
    </row>
    <row r="2837" spans="1:9" x14ac:dyDescent="0.25">
      <c r="A2837" s="5" t="s">
        <v>57</v>
      </c>
      <c r="B2837" s="5" t="s">
        <v>537</v>
      </c>
      <c r="C2837" s="5" t="s">
        <v>3289</v>
      </c>
      <c r="D2837" s="3">
        <f>VLOOKUP(A2837,airports!A:H,7,FALSE)</f>
        <v>26.072583330000001</v>
      </c>
      <c r="E2837" s="3">
        <f>VLOOKUP(A2837,airports!A:H,8,FALSE)</f>
        <v>-80.152749999999997</v>
      </c>
      <c r="F2837" s="3">
        <f>VLOOKUP(B2837,airports!A:H,7,FALSE)</f>
        <v>39.717329169999999</v>
      </c>
      <c r="G2837" s="3">
        <f>VLOOKUP(B2837,airports!A:H,8,FALSE)</f>
        <v>-86.294384170000001</v>
      </c>
      <c r="H2837">
        <f t="shared" si="88"/>
        <v>1620.9</v>
      </c>
      <c r="I2837">
        <f t="shared" si="89"/>
        <v>1007.2</v>
      </c>
    </row>
    <row r="2838" spans="1:9" x14ac:dyDescent="0.25">
      <c r="A2838" s="5" t="s">
        <v>57</v>
      </c>
      <c r="B2838" s="5" t="s">
        <v>539</v>
      </c>
      <c r="C2838" s="5" t="s">
        <v>3290</v>
      </c>
      <c r="D2838" s="3">
        <f>VLOOKUP(A2838,airports!A:H,7,FALSE)</f>
        <v>26.072583330000001</v>
      </c>
      <c r="E2838" s="3">
        <f>VLOOKUP(A2838,airports!A:H,8,FALSE)</f>
        <v>-80.152749999999997</v>
      </c>
      <c r="F2838" s="3">
        <f>VLOOKUP(B2838,airports!A:H,7,FALSE)</f>
        <v>40.795242500000001</v>
      </c>
      <c r="G2838" s="3">
        <f>VLOOKUP(B2838,airports!A:H,8,FALSE)</f>
        <v>-73.100211939999994</v>
      </c>
      <c r="H2838">
        <f t="shared" si="88"/>
        <v>1761.5</v>
      </c>
      <c r="I2838">
        <f t="shared" si="89"/>
        <v>1094.5999999999999</v>
      </c>
    </row>
    <row r="2839" spans="1:9" x14ac:dyDescent="0.25">
      <c r="A2839" s="5" t="s">
        <v>57</v>
      </c>
      <c r="B2839" s="5" t="s">
        <v>68</v>
      </c>
      <c r="C2839" s="5" t="s">
        <v>3291</v>
      </c>
      <c r="D2839" s="3">
        <f>VLOOKUP(A2839,airports!A:H,7,FALSE)</f>
        <v>26.072583330000001</v>
      </c>
      <c r="E2839" s="3">
        <f>VLOOKUP(A2839,airports!A:H,8,FALSE)</f>
        <v>-80.152749999999997</v>
      </c>
      <c r="F2839" s="3">
        <f>VLOOKUP(B2839,airports!A:H,7,FALSE)</f>
        <v>30.49405556</v>
      </c>
      <c r="G2839" s="3">
        <f>VLOOKUP(B2839,airports!A:H,8,FALSE)</f>
        <v>-81.68786111</v>
      </c>
      <c r="H2839">
        <f t="shared" si="88"/>
        <v>514.1</v>
      </c>
      <c r="I2839">
        <f t="shared" si="89"/>
        <v>319.5</v>
      </c>
    </row>
    <row r="2840" spans="1:9" x14ac:dyDescent="0.25">
      <c r="A2840" s="5" t="s">
        <v>57</v>
      </c>
      <c r="B2840" s="5" t="s">
        <v>69</v>
      </c>
      <c r="C2840" s="5" t="s">
        <v>3292</v>
      </c>
      <c r="D2840" s="3">
        <f>VLOOKUP(A2840,airports!A:H,7,FALSE)</f>
        <v>26.072583330000001</v>
      </c>
      <c r="E2840" s="3">
        <f>VLOOKUP(A2840,airports!A:H,8,FALSE)</f>
        <v>-80.152749999999997</v>
      </c>
      <c r="F2840" s="3">
        <f>VLOOKUP(B2840,airports!A:H,7,FALSE)</f>
        <v>40.639751109999999</v>
      </c>
      <c r="G2840" s="3">
        <f>VLOOKUP(B2840,airports!A:H,8,FALSE)</f>
        <v>-73.778925560000005</v>
      </c>
      <c r="H2840">
        <f t="shared" si="88"/>
        <v>1723.3</v>
      </c>
      <c r="I2840">
        <f t="shared" si="89"/>
        <v>1070.9000000000001</v>
      </c>
    </row>
    <row r="2841" spans="1:9" x14ac:dyDescent="0.25">
      <c r="A2841" s="5" t="s">
        <v>57</v>
      </c>
      <c r="B2841" s="5" t="s">
        <v>71</v>
      </c>
      <c r="C2841" s="5" t="s">
        <v>3293</v>
      </c>
      <c r="D2841" s="3">
        <f>VLOOKUP(A2841,airports!A:H,7,FALSE)</f>
        <v>26.072583330000001</v>
      </c>
      <c r="E2841" s="3">
        <f>VLOOKUP(A2841,airports!A:H,8,FALSE)</f>
        <v>-80.152749999999997</v>
      </c>
      <c r="F2841" s="3">
        <f>VLOOKUP(B2841,airports!A:H,7,FALSE)</f>
        <v>36.080361109999998</v>
      </c>
      <c r="G2841" s="3">
        <f>VLOOKUP(B2841,airports!A:H,8,FALSE)</f>
        <v>-115.1523333</v>
      </c>
      <c r="H2841">
        <f t="shared" si="88"/>
        <v>3492.1</v>
      </c>
      <c r="I2841">
        <f t="shared" si="89"/>
        <v>2170</v>
      </c>
    </row>
    <row r="2842" spans="1:9" x14ac:dyDescent="0.25">
      <c r="A2842" s="5" t="s">
        <v>57</v>
      </c>
      <c r="B2842" s="5" t="s">
        <v>73</v>
      </c>
      <c r="C2842" s="5" t="s">
        <v>3294</v>
      </c>
      <c r="D2842" s="3">
        <f>VLOOKUP(A2842,airports!A:H,7,FALSE)</f>
        <v>26.072583330000001</v>
      </c>
      <c r="E2842" s="3">
        <f>VLOOKUP(A2842,airports!A:H,8,FALSE)</f>
        <v>-80.152749999999997</v>
      </c>
      <c r="F2842" s="3">
        <f>VLOOKUP(B2842,airports!A:H,7,FALSE)</f>
        <v>33.942536109999999</v>
      </c>
      <c r="G2842" s="3">
        <f>VLOOKUP(B2842,airports!A:H,8,FALSE)</f>
        <v>-118.4080744</v>
      </c>
      <c r="H2842">
        <f t="shared" si="88"/>
        <v>3763.2</v>
      </c>
      <c r="I2842">
        <f t="shared" si="89"/>
        <v>2338.5</v>
      </c>
    </row>
    <row r="2843" spans="1:9" x14ac:dyDescent="0.25">
      <c r="A2843" s="5" t="s">
        <v>57</v>
      </c>
      <c r="B2843" s="5" t="s">
        <v>3295</v>
      </c>
      <c r="C2843" s="5" t="s">
        <v>3296</v>
      </c>
      <c r="D2843" s="3">
        <f>VLOOKUP(A2843,airports!A:H,7,FALSE)</f>
        <v>26.072583330000001</v>
      </c>
      <c r="E2843" s="3">
        <f>VLOOKUP(A2843,airports!A:H,8,FALSE)</f>
        <v>-80.152749999999997</v>
      </c>
      <c r="F2843" s="3">
        <f>VLOOKUP(B2843,airports!A:H,7,FALSE)</f>
        <v>40.275902000000002</v>
      </c>
      <c r="G2843" s="3">
        <f>VLOOKUP(B2843,airports!A:H,8,FALSE)</f>
        <v>-79.404799999999994</v>
      </c>
      <c r="H2843">
        <f t="shared" si="88"/>
        <v>1580.9</v>
      </c>
      <c r="I2843">
        <f t="shared" si="89"/>
        <v>982.4</v>
      </c>
    </row>
    <row r="2844" spans="1:9" x14ac:dyDescent="0.25">
      <c r="A2844" s="5" t="s">
        <v>57</v>
      </c>
      <c r="B2844" s="5" t="s">
        <v>740</v>
      </c>
      <c r="C2844" s="5" t="s">
        <v>3297</v>
      </c>
      <c r="D2844" s="3">
        <f>VLOOKUP(A2844,airports!A:H,7,FALSE)</f>
        <v>26.072583330000001</v>
      </c>
      <c r="E2844" s="3">
        <f>VLOOKUP(A2844,airports!A:H,8,FALSE)</f>
        <v>-80.152749999999997</v>
      </c>
      <c r="F2844" s="3">
        <f>VLOOKUP(B2844,airports!A:H,7,FALSE)</f>
        <v>39.813800999999998</v>
      </c>
      <c r="G2844" s="3">
        <f>VLOOKUP(B2844,airports!A:H,8,FALSE)</f>
        <v>-82.927802999999997</v>
      </c>
      <c r="H2844">
        <f t="shared" si="88"/>
        <v>1549.5</v>
      </c>
      <c r="I2844">
        <f t="shared" si="89"/>
        <v>962.9</v>
      </c>
    </row>
    <row r="2845" spans="1:9" x14ac:dyDescent="0.25">
      <c r="A2845" s="5" t="s">
        <v>57</v>
      </c>
      <c r="B2845" s="5" t="s">
        <v>549</v>
      </c>
      <c r="C2845" s="5" t="s">
        <v>3298</v>
      </c>
      <c r="D2845" s="3">
        <f>VLOOKUP(A2845,airports!A:H,7,FALSE)</f>
        <v>26.072583330000001</v>
      </c>
      <c r="E2845" s="3">
        <f>VLOOKUP(A2845,airports!A:H,8,FALSE)</f>
        <v>-80.152749999999997</v>
      </c>
      <c r="F2845" s="3">
        <f>VLOOKUP(B2845,airports!A:H,7,FALSE)</f>
        <v>38.036972220000003</v>
      </c>
      <c r="G2845" s="3">
        <f>VLOOKUP(B2845,airports!A:H,8,FALSE)</f>
        <v>-84.60538889</v>
      </c>
      <c r="H2845">
        <f t="shared" si="88"/>
        <v>1394.5</v>
      </c>
      <c r="I2845">
        <f t="shared" si="89"/>
        <v>866.5</v>
      </c>
    </row>
    <row r="2846" spans="1:9" x14ac:dyDescent="0.25">
      <c r="A2846" s="5" t="s">
        <v>57</v>
      </c>
      <c r="B2846" s="5" t="s">
        <v>74</v>
      </c>
      <c r="C2846" s="5" t="s">
        <v>3299</v>
      </c>
      <c r="D2846" s="3">
        <f>VLOOKUP(A2846,airports!A:H,7,FALSE)</f>
        <v>26.072583330000001</v>
      </c>
      <c r="E2846" s="3">
        <f>VLOOKUP(A2846,airports!A:H,8,FALSE)</f>
        <v>-80.152749999999997</v>
      </c>
      <c r="F2846" s="3">
        <f>VLOOKUP(B2846,airports!A:H,7,FALSE)</f>
        <v>40.777243060000004</v>
      </c>
      <c r="G2846" s="3">
        <f>VLOOKUP(B2846,airports!A:H,8,FALSE)</f>
        <v>-73.872609170000004</v>
      </c>
      <c r="H2846">
        <f t="shared" si="88"/>
        <v>1734.6</v>
      </c>
      <c r="I2846">
        <f t="shared" si="89"/>
        <v>1077.9000000000001</v>
      </c>
    </row>
    <row r="2847" spans="1:9" x14ac:dyDescent="0.25">
      <c r="A2847" s="5" t="s">
        <v>57</v>
      </c>
      <c r="B2847" s="5" t="s">
        <v>742</v>
      </c>
      <c r="C2847" s="5" t="s">
        <v>3300</v>
      </c>
      <c r="D2847" s="3">
        <f>VLOOKUP(A2847,airports!A:H,7,FALSE)</f>
        <v>26.072583330000001</v>
      </c>
      <c r="E2847" s="3">
        <f>VLOOKUP(A2847,airports!A:H,8,FALSE)</f>
        <v>-80.152749999999997</v>
      </c>
      <c r="F2847" s="3">
        <f>VLOOKUP(B2847,airports!A:H,7,FALSE)</f>
        <v>33.81772222</v>
      </c>
      <c r="G2847" s="3">
        <f>VLOOKUP(B2847,airports!A:H,8,FALSE)</f>
        <v>-118.1516111</v>
      </c>
      <c r="H2847">
        <f t="shared" si="88"/>
        <v>3738.9</v>
      </c>
      <c r="I2847">
        <f t="shared" si="89"/>
        <v>2323.4</v>
      </c>
    </row>
    <row r="2848" spans="1:9" x14ac:dyDescent="0.25">
      <c r="A2848" s="5" t="s">
        <v>57</v>
      </c>
      <c r="B2848" s="5" t="s">
        <v>80</v>
      </c>
      <c r="C2848" s="5" t="s">
        <v>3301</v>
      </c>
      <c r="D2848" s="3">
        <f>VLOOKUP(A2848,airports!A:H,7,FALSE)</f>
        <v>26.072583330000001</v>
      </c>
      <c r="E2848" s="3">
        <f>VLOOKUP(A2848,airports!A:H,8,FALSE)</f>
        <v>-80.152749999999997</v>
      </c>
      <c r="F2848" s="3">
        <f>VLOOKUP(B2848,airports!A:H,7,FALSE)</f>
        <v>39.297605279999999</v>
      </c>
      <c r="G2848" s="3">
        <f>VLOOKUP(B2848,airports!A:H,8,FALSE)</f>
        <v>-94.713905560000001</v>
      </c>
      <c r="H2848">
        <f t="shared" si="88"/>
        <v>1999.5</v>
      </c>
      <c r="I2848">
        <f t="shared" si="89"/>
        <v>1242.5</v>
      </c>
    </row>
    <row r="2849" spans="1:9" ht="30" x14ac:dyDescent="0.25">
      <c r="A2849" s="5" t="s">
        <v>57</v>
      </c>
      <c r="B2849" s="5" t="s">
        <v>82</v>
      </c>
      <c r="C2849" s="5" t="s">
        <v>3302</v>
      </c>
      <c r="D2849" s="3">
        <f>VLOOKUP(A2849,airports!A:H,7,FALSE)</f>
        <v>26.072583330000001</v>
      </c>
      <c r="E2849" s="3">
        <f>VLOOKUP(A2849,airports!A:H,8,FALSE)</f>
        <v>-80.152749999999997</v>
      </c>
      <c r="F2849" s="3">
        <f>VLOOKUP(B2849,airports!A:H,7,FALSE)</f>
        <v>28.42888889</v>
      </c>
      <c r="G2849" s="3">
        <f>VLOOKUP(B2849,airports!A:H,8,FALSE)</f>
        <v>-81.316027779999999</v>
      </c>
      <c r="H2849">
        <f t="shared" si="88"/>
        <v>286.10000000000002</v>
      </c>
      <c r="I2849">
        <f t="shared" si="89"/>
        <v>177.8</v>
      </c>
    </row>
    <row r="2850" spans="1:9" ht="30" x14ac:dyDescent="0.25">
      <c r="A2850" s="5" t="s">
        <v>57</v>
      </c>
      <c r="B2850" s="5" t="s">
        <v>178</v>
      </c>
      <c r="C2850" s="5" t="s">
        <v>3303</v>
      </c>
      <c r="D2850" s="3">
        <f>VLOOKUP(A2850,airports!A:H,7,FALSE)</f>
        <v>26.072583330000001</v>
      </c>
      <c r="E2850" s="3">
        <f>VLOOKUP(A2850,airports!A:H,8,FALSE)</f>
        <v>-80.152749999999997</v>
      </c>
      <c r="F2850" s="3">
        <f>VLOOKUP(B2850,airports!A:H,7,FALSE)</f>
        <v>40.19349528</v>
      </c>
      <c r="G2850" s="3">
        <f>VLOOKUP(B2850,airports!A:H,8,FALSE)</f>
        <v>-76.763403609999997</v>
      </c>
      <c r="H2850">
        <f t="shared" si="88"/>
        <v>1601.2</v>
      </c>
      <c r="I2850">
        <f t="shared" si="89"/>
        <v>995</v>
      </c>
    </row>
    <row r="2851" spans="1:9" ht="30" x14ac:dyDescent="0.25">
      <c r="A2851" s="5" t="s">
        <v>57</v>
      </c>
      <c r="B2851" s="5" t="s">
        <v>180</v>
      </c>
      <c r="C2851" s="5" t="s">
        <v>3304</v>
      </c>
      <c r="D2851" s="3">
        <f>VLOOKUP(A2851,airports!A:H,7,FALSE)</f>
        <v>26.072583330000001</v>
      </c>
      <c r="E2851" s="3">
        <f>VLOOKUP(A2851,airports!A:H,8,FALSE)</f>
        <v>-80.152749999999997</v>
      </c>
      <c r="F2851" s="3">
        <f>VLOOKUP(B2851,airports!A:H,7,FALSE)</f>
        <v>41.785982500000003</v>
      </c>
      <c r="G2851" s="3">
        <f>VLOOKUP(B2851,airports!A:H,8,FALSE)</f>
        <v>-87.752424439999999</v>
      </c>
      <c r="H2851">
        <f t="shared" si="88"/>
        <v>1880.7</v>
      </c>
      <c r="I2851">
        <f t="shared" si="89"/>
        <v>1168.7</v>
      </c>
    </row>
    <row r="2852" spans="1:9" ht="30" x14ac:dyDescent="0.25">
      <c r="A2852" s="5" t="s">
        <v>57</v>
      </c>
      <c r="B2852" s="5" t="s">
        <v>563</v>
      </c>
      <c r="C2852" s="5" t="s">
        <v>3305</v>
      </c>
      <c r="D2852" s="3">
        <f>VLOOKUP(A2852,airports!A:H,7,FALSE)</f>
        <v>26.072583330000001</v>
      </c>
      <c r="E2852" s="3">
        <f>VLOOKUP(A2852,airports!A:H,8,FALSE)</f>
        <v>-80.152749999999997</v>
      </c>
      <c r="F2852" s="3">
        <f>VLOOKUP(B2852,airports!A:H,7,FALSE)</f>
        <v>35.042416670000001</v>
      </c>
      <c r="G2852" s="3">
        <f>VLOOKUP(B2852,airports!A:H,8,FALSE)</f>
        <v>-89.97666667</v>
      </c>
      <c r="H2852">
        <f t="shared" si="88"/>
        <v>1369.4</v>
      </c>
      <c r="I2852">
        <f t="shared" si="89"/>
        <v>851</v>
      </c>
    </row>
    <row r="2853" spans="1:9" ht="30" x14ac:dyDescent="0.25">
      <c r="A2853" s="5" t="s">
        <v>57</v>
      </c>
      <c r="B2853" s="5" t="s">
        <v>567</v>
      </c>
      <c r="C2853" s="5" t="s">
        <v>3306</v>
      </c>
      <c r="D2853" s="3">
        <f>VLOOKUP(A2853,airports!A:H,7,FALSE)</f>
        <v>26.072583330000001</v>
      </c>
      <c r="E2853" s="3">
        <f>VLOOKUP(A2853,airports!A:H,8,FALSE)</f>
        <v>-80.152749999999997</v>
      </c>
      <c r="F2853" s="3">
        <f>VLOOKUP(B2853,airports!A:H,7,FALSE)</f>
        <v>42.934516389999999</v>
      </c>
      <c r="G2853" s="3">
        <f>VLOOKUP(B2853,airports!A:H,8,FALSE)</f>
        <v>-71.437055830000006</v>
      </c>
      <c r="H2853">
        <f t="shared" si="88"/>
        <v>2035.1</v>
      </c>
      <c r="I2853">
        <f t="shared" si="89"/>
        <v>1264.5999999999999</v>
      </c>
    </row>
    <row r="2854" spans="1:9" x14ac:dyDescent="0.25">
      <c r="A2854" s="5" t="s">
        <v>57</v>
      </c>
      <c r="B2854" s="5" t="s">
        <v>85</v>
      </c>
      <c r="C2854" s="5" t="s">
        <v>3307</v>
      </c>
      <c r="D2854" s="3">
        <f>VLOOKUP(A2854,airports!A:H,7,FALSE)</f>
        <v>26.072583330000001</v>
      </c>
      <c r="E2854" s="3">
        <f>VLOOKUP(A2854,airports!A:H,8,FALSE)</f>
        <v>-80.152749999999997</v>
      </c>
      <c r="F2854" s="3">
        <f>VLOOKUP(B2854,airports!A:H,7,FALSE)</f>
        <v>42.94722222</v>
      </c>
      <c r="G2854" s="3">
        <f>VLOOKUP(B2854,airports!A:H,8,FALSE)</f>
        <v>-87.896583329999999</v>
      </c>
      <c r="H2854">
        <f t="shared" si="88"/>
        <v>2003.8</v>
      </c>
      <c r="I2854">
        <f t="shared" si="89"/>
        <v>1245.2</v>
      </c>
    </row>
    <row r="2855" spans="1:9" x14ac:dyDescent="0.25">
      <c r="A2855" s="5" t="s">
        <v>57</v>
      </c>
      <c r="B2855" s="5" t="s">
        <v>87</v>
      </c>
      <c r="C2855" s="5" t="s">
        <v>3308</v>
      </c>
      <c r="D2855" s="3">
        <f>VLOOKUP(A2855,airports!A:H,7,FALSE)</f>
        <v>26.072583330000001</v>
      </c>
      <c r="E2855" s="3">
        <f>VLOOKUP(A2855,airports!A:H,8,FALSE)</f>
        <v>-80.152749999999997</v>
      </c>
      <c r="F2855" s="3">
        <f>VLOOKUP(B2855,airports!A:H,7,FALSE)</f>
        <v>44.880546940000002</v>
      </c>
      <c r="G2855" s="3">
        <f>VLOOKUP(B2855,airports!A:H,8,FALSE)</f>
        <v>-93.216922499999995</v>
      </c>
      <c r="H2855">
        <f t="shared" si="88"/>
        <v>2395.6999999999998</v>
      </c>
      <c r="I2855">
        <f t="shared" si="89"/>
        <v>1488.7</v>
      </c>
    </row>
    <row r="2856" spans="1:9" x14ac:dyDescent="0.25">
      <c r="A2856" s="5" t="s">
        <v>57</v>
      </c>
      <c r="B2856" s="5" t="s">
        <v>89</v>
      </c>
      <c r="C2856" s="5" t="s">
        <v>3309</v>
      </c>
      <c r="D2856" s="3">
        <f>VLOOKUP(A2856,airports!A:H,7,FALSE)</f>
        <v>26.072583330000001</v>
      </c>
      <c r="E2856" s="3">
        <f>VLOOKUP(A2856,airports!A:H,8,FALSE)</f>
        <v>-80.152749999999997</v>
      </c>
      <c r="F2856" s="3">
        <f>VLOOKUP(B2856,airports!A:H,7,FALSE)</f>
        <v>29.993388889999999</v>
      </c>
      <c r="G2856" s="3">
        <f>VLOOKUP(B2856,airports!A:H,8,FALSE)</f>
        <v>-90.258027780000006</v>
      </c>
      <c r="H2856">
        <f t="shared" si="88"/>
        <v>1082.8</v>
      </c>
      <c r="I2856">
        <f t="shared" si="89"/>
        <v>672.9</v>
      </c>
    </row>
    <row r="2857" spans="1:9" x14ac:dyDescent="0.25">
      <c r="A2857" s="5" t="s">
        <v>57</v>
      </c>
      <c r="B2857" s="5" t="s">
        <v>182</v>
      </c>
      <c r="C2857" s="5" t="s">
        <v>3310</v>
      </c>
      <c r="D2857" s="3">
        <f>VLOOKUP(A2857,airports!A:H,7,FALSE)</f>
        <v>26.072583330000001</v>
      </c>
      <c r="E2857" s="3">
        <f>VLOOKUP(A2857,airports!A:H,8,FALSE)</f>
        <v>-80.152749999999997</v>
      </c>
      <c r="F2857" s="3">
        <f>VLOOKUP(B2857,airports!A:H,7,FALSE)</f>
        <v>33.679749999999999</v>
      </c>
      <c r="G2857" s="3">
        <f>VLOOKUP(B2857,airports!A:H,8,FALSE)</f>
        <v>-78.928333330000001</v>
      </c>
      <c r="H2857">
        <f t="shared" si="88"/>
        <v>854.1</v>
      </c>
      <c r="I2857">
        <f t="shared" si="89"/>
        <v>530.70000000000005</v>
      </c>
    </row>
    <row r="2858" spans="1:9" x14ac:dyDescent="0.25">
      <c r="A2858" s="5" t="s">
        <v>57</v>
      </c>
      <c r="B2858" s="5" t="s">
        <v>215</v>
      </c>
      <c r="C2858" s="5" t="s">
        <v>3311</v>
      </c>
      <c r="D2858" s="3">
        <f>VLOOKUP(A2858,airports!A:H,7,FALSE)</f>
        <v>26.072583330000001</v>
      </c>
      <c r="E2858" s="3">
        <f>VLOOKUP(A2858,airports!A:H,8,FALSE)</f>
        <v>-80.152749999999997</v>
      </c>
      <c r="F2858" s="3">
        <f>VLOOKUP(B2858,airports!A:H,7,FALSE)</f>
        <v>37.721290830000001</v>
      </c>
      <c r="G2858" s="3">
        <f>VLOOKUP(B2858,airports!A:H,8,FALSE)</f>
        <v>-122.2207167</v>
      </c>
      <c r="H2858">
        <f t="shared" si="88"/>
        <v>4138.3999999999996</v>
      </c>
      <c r="I2858">
        <f t="shared" si="89"/>
        <v>2571.6999999999998</v>
      </c>
    </row>
    <row r="2859" spans="1:9" x14ac:dyDescent="0.25">
      <c r="A2859" s="5" t="s">
        <v>57</v>
      </c>
      <c r="B2859" s="5" t="s">
        <v>590</v>
      </c>
      <c r="C2859" s="5" t="s">
        <v>3312</v>
      </c>
      <c r="D2859" s="3">
        <f>VLOOKUP(A2859,airports!A:H,7,FALSE)</f>
        <v>26.072583330000001</v>
      </c>
      <c r="E2859" s="3">
        <f>VLOOKUP(A2859,airports!A:H,8,FALSE)</f>
        <v>-80.152749999999997</v>
      </c>
      <c r="F2859" s="3">
        <f>VLOOKUP(B2859,airports!A:H,7,FALSE)</f>
        <v>35.393088329999998</v>
      </c>
      <c r="G2859" s="3">
        <f>VLOOKUP(B2859,airports!A:H,8,FALSE)</f>
        <v>-97.600733890000001</v>
      </c>
      <c r="H2859">
        <f t="shared" si="88"/>
        <v>1958.8</v>
      </c>
      <c r="I2859">
        <f t="shared" si="89"/>
        <v>1217.2</v>
      </c>
    </row>
    <row r="2860" spans="1:9" x14ac:dyDescent="0.25">
      <c r="A2860" s="5" t="s">
        <v>57</v>
      </c>
      <c r="B2860" s="5" t="s">
        <v>95</v>
      </c>
      <c r="C2860" s="5" t="s">
        <v>3313</v>
      </c>
      <c r="D2860" s="3">
        <f>VLOOKUP(A2860,airports!A:H,7,FALSE)</f>
        <v>26.072583330000001</v>
      </c>
      <c r="E2860" s="3">
        <f>VLOOKUP(A2860,airports!A:H,8,FALSE)</f>
        <v>-80.152749999999997</v>
      </c>
      <c r="F2860" s="3">
        <f>VLOOKUP(B2860,airports!A:H,7,FALSE)</f>
        <v>41.979595000000003</v>
      </c>
      <c r="G2860" s="3">
        <f>VLOOKUP(B2860,airports!A:H,8,FALSE)</f>
        <v>-87.904464169999997</v>
      </c>
      <c r="H2860">
        <f t="shared" si="88"/>
        <v>1905.5</v>
      </c>
      <c r="I2860">
        <f t="shared" si="89"/>
        <v>1184.0999999999999</v>
      </c>
    </row>
    <row r="2861" spans="1:9" x14ac:dyDescent="0.25">
      <c r="A2861" s="5" t="s">
        <v>57</v>
      </c>
      <c r="B2861" s="5" t="s">
        <v>596</v>
      </c>
      <c r="C2861" s="5" t="s">
        <v>3314</v>
      </c>
      <c r="D2861" s="3">
        <f>VLOOKUP(A2861,airports!A:H,7,FALSE)</f>
        <v>26.072583330000001</v>
      </c>
      <c r="E2861" s="3">
        <f>VLOOKUP(A2861,airports!A:H,8,FALSE)</f>
        <v>-80.152749999999997</v>
      </c>
      <c r="F2861" s="3">
        <f>VLOOKUP(B2861,airports!A:H,7,FALSE)</f>
        <v>36.89461111</v>
      </c>
      <c r="G2861" s="3">
        <f>VLOOKUP(B2861,airports!A:H,8,FALSE)</f>
        <v>-76.201222220000005</v>
      </c>
      <c r="H2861">
        <f t="shared" si="88"/>
        <v>1260</v>
      </c>
      <c r="I2861">
        <f t="shared" si="89"/>
        <v>783</v>
      </c>
    </row>
    <row r="2862" spans="1:9" x14ac:dyDescent="0.25">
      <c r="A2862" s="5" t="s">
        <v>57</v>
      </c>
      <c r="B2862" s="5" t="s">
        <v>97</v>
      </c>
      <c r="C2862" s="5" t="s">
        <v>3315</v>
      </c>
      <c r="D2862" s="3">
        <f>VLOOKUP(A2862,airports!A:H,7,FALSE)</f>
        <v>26.072583330000001</v>
      </c>
      <c r="E2862" s="3">
        <f>VLOOKUP(A2862,airports!A:H,8,FALSE)</f>
        <v>-80.152749999999997</v>
      </c>
      <c r="F2862" s="3">
        <f>VLOOKUP(B2862,airports!A:H,7,FALSE)</f>
        <v>42.267339440000001</v>
      </c>
      <c r="G2862" s="3">
        <f>VLOOKUP(B2862,airports!A:H,8,FALSE)</f>
        <v>-71.875709439999994</v>
      </c>
      <c r="H2862">
        <f t="shared" si="88"/>
        <v>1952.7</v>
      </c>
      <c r="I2862">
        <f t="shared" si="89"/>
        <v>1213.4000000000001</v>
      </c>
    </row>
    <row r="2863" spans="1:9" x14ac:dyDescent="0.25">
      <c r="A2863" s="5" t="s">
        <v>57</v>
      </c>
      <c r="B2863" s="5" t="s">
        <v>3316</v>
      </c>
      <c r="C2863" s="5" t="s">
        <v>3317</v>
      </c>
      <c r="D2863" s="3">
        <f>VLOOKUP(A2863,airports!A:H,7,FALSE)</f>
        <v>26.072583330000001</v>
      </c>
      <c r="E2863" s="3">
        <f>VLOOKUP(A2863,airports!A:H,8,FALSE)</f>
        <v>-80.152749999999997</v>
      </c>
      <c r="F2863" s="3">
        <f>VLOOKUP(B2863,airports!A:H,7,FALSE)</f>
        <v>44.650901794433501</v>
      </c>
      <c r="G2863" s="3">
        <f>VLOOKUP(B2863,airports!A:H,8,FALSE)</f>
        <v>-73.468101501464801</v>
      </c>
      <c r="H2863">
        <f t="shared" si="88"/>
        <v>2151</v>
      </c>
      <c r="I2863">
        <f t="shared" si="89"/>
        <v>1336.6</v>
      </c>
    </row>
    <row r="2864" spans="1:9" x14ac:dyDescent="0.25">
      <c r="A2864" s="5" t="s">
        <v>57</v>
      </c>
      <c r="B2864" s="5" t="s">
        <v>100</v>
      </c>
      <c r="C2864" s="5" t="s">
        <v>3318</v>
      </c>
      <c r="D2864" s="3">
        <f>VLOOKUP(A2864,airports!A:H,7,FALSE)</f>
        <v>26.072583330000001</v>
      </c>
      <c r="E2864" s="3">
        <f>VLOOKUP(A2864,airports!A:H,8,FALSE)</f>
        <v>-80.152749999999997</v>
      </c>
      <c r="F2864" s="3">
        <f>VLOOKUP(B2864,airports!A:H,7,FALSE)</f>
        <v>45.588722220000001</v>
      </c>
      <c r="G2864" s="3">
        <f>VLOOKUP(B2864,airports!A:H,8,FALSE)</f>
        <v>-122.5975</v>
      </c>
      <c r="H2864">
        <f t="shared" si="88"/>
        <v>4329.8999999999996</v>
      </c>
      <c r="I2864">
        <f t="shared" si="89"/>
        <v>2690.6</v>
      </c>
    </row>
    <row r="2865" spans="1:9" x14ac:dyDescent="0.25">
      <c r="A2865" s="5" t="s">
        <v>57</v>
      </c>
      <c r="B2865" s="5" t="s">
        <v>102</v>
      </c>
      <c r="C2865" s="5" t="s">
        <v>3319</v>
      </c>
      <c r="D2865" s="3">
        <f>VLOOKUP(A2865,airports!A:H,7,FALSE)</f>
        <v>26.072583330000001</v>
      </c>
      <c r="E2865" s="3">
        <f>VLOOKUP(A2865,airports!A:H,8,FALSE)</f>
        <v>-80.152749999999997</v>
      </c>
      <c r="F2865" s="3">
        <f>VLOOKUP(B2865,airports!A:H,7,FALSE)</f>
        <v>39.871952780000001</v>
      </c>
      <c r="G2865" s="3">
        <f>VLOOKUP(B2865,airports!A:H,8,FALSE)</f>
        <v>-75.241140830000006</v>
      </c>
      <c r="H2865">
        <f t="shared" si="88"/>
        <v>1600.6</v>
      </c>
      <c r="I2865">
        <f t="shared" si="89"/>
        <v>994.6</v>
      </c>
    </row>
    <row r="2866" spans="1:9" x14ac:dyDescent="0.25">
      <c r="A2866" s="5" t="s">
        <v>57</v>
      </c>
      <c r="B2866" s="5" t="s">
        <v>104</v>
      </c>
      <c r="C2866" s="5" t="s">
        <v>3320</v>
      </c>
      <c r="D2866" s="3">
        <f>VLOOKUP(A2866,airports!A:H,7,FALSE)</f>
        <v>26.072583330000001</v>
      </c>
      <c r="E2866" s="3">
        <f>VLOOKUP(A2866,airports!A:H,8,FALSE)</f>
        <v>-80.152749999999997</v>
      </c>
      <c r="F2866" s="3">
        <f>VLOOKUP(B2866,airports!A:H,7,FALSE)</f>
        <v>33.434166670000003</v>
      </c>
      <c r="G2866" s="3">
        <f>VLOOKUP(B2866,airports!A:H,8,FALSE)</f>
        <v>-112.00805560000001</v>
      </c>
      <c r="H2866">
        <f t="shared" si="88"/>
        <v>3168.5</v>
      </c>
      <c r="I2866">
        <f t="shared" si="89"/>
        <v>1969</v>
      </c>
    </row>
    <row r="2867" spans="1:9" x14ac:dyDescent="0.25">
      <c r="A2867" s="5" t="s">
        <v>57</v>
      </c>
      <c r="B2867" s="5" t="s">
        <v>604</v>
      </c>
      <c r="C2867" s="5" t="s">
        <v>3321</v>
      </c>
      <c r="D2867" s="3">
        <f>VLOOKUP(A2867,airports!A:H,7,FALSE)</f>
        <v>26.072583330000001</v>
      </c>
      <c r="E2867" s="3">
        <f>VLOOKUP(A2867,airports!A:H,8,FALSE)</f>
        <v>-80.152749999999997</v>
      </c>
      <c r="F2867" s="3">
        <f>VLOOKUP(B2867,airports!A:H,7,FALSE)</f>
        <v>40.664243329999998</v>
      </c>
      <c r="G2867" s="3">
        <f>VLOOKUP(B2867,airports!A:H,8,FALSE)</f>
        <v>-89.693305559999999</v>
      </c>
      <c r="H2867">
        <f t="shared" si="88"/>
        <v>1845.9</v>
      </c>
      <c r="I2867">
        <f t="shared" si="89"/>
        <v>1147</v>
      </c>
    </row>
    <row r="2868" spans="1:9" x14ac:dyDescent="0.25">
      <c r="A2868" s="5" t="s">
        <v>57</v>
      </c>
      <c r="B2868" s="5" t="s">
        <v>106</v>
      </c>
      <c r="C2868" s="5" t="s">
        <v>3322</v>
      </c>
      <c r="D2868" s="3">
        <f>VLOOKUP(A2868,airports!A:H,7,FALSE)</f>
        <v>26.072583330000001</v>
      </c>
      <c r="E2868" s="3">
        <f>VLOOKUP(A2868,airports!A:H,8,FALSE)</f>
        <v>-80.152749999999997</v>
      </c>
      <c r="F2868" s="3">
        <f>VLOOKUP(B2868,airports!A:H,7,FALSE)</f>
        <v>40.491465830000003</v>
      </c>
      <c r="G2868" s="3">
        <f>VLOOKUP(B2868,airports!A:H,8,FALSE)</f>
        <v>-80.232870829999996</v>
      </c>
      <c r="H2868">
        <f t="shared" si="88"/>
        <v>1603.3</v>
      </c>
      <c r="I2868">
        <f t="shared" si="89"/>
        <v>996.3</v>
      </c>
    </row>
    <row r="2869" spans="1:9" x14ac:dyDescent="0.25">
      <c r="A2869" s="5" t="s">
        <v>57</v>
      </c>
      <c r="B2869" s="5" t="s">
        <v>111</v>
      </c>
      <c r="C2869" s="5" t="s">
        <v>3323</v>
      </c>
      <c r="D2869" s="3">
        <f>VLOOKUP(A2869,airports!A:H,7,FALSE)</f>
        <v>26.072583330000001</v>
      </c>
      <c r="E2869" s="3">
        <f>VLOOKUP(A2869,airports!A:H,8,FALSE)</f>
        <v>-80.152749999999997</v>
      </c>
      <c r="F2869" s="3">
        <f>VLOOKUP(B2869,airports!A:H,7,FALSE)</f>
        <v>33.829215560000002</v>
      </c>
      <c r="G2869" s="3">
        <f>VLOOKUP(B2869,airports!A:H,8,FALSE)</f>
        <v>-116.5062531</v>
      </c>
      <c r="H2869">
        <f t="shared" si="88"/>
        <v>3587.2</v>
      </c>
      <c r="I2869">
        <f t="shared" si="89"/>
        <v>2229.1</v>
      </c>
    </row>
    <row r="2870" spans="1:9" x14ac:dyDescent="0.25">
      <c r="A2870" s="5" t="s">
        <v>57</v>
      </c>
      <c r="B2870" s="5" t="s">
        <v>114</v>
      </c>
      <c r="C2870" s="5" t="s">
        <v>3324</v>
      </c>
      <c r="D2870" s="3">
        <f>VLOOKUP(A2870,airports!A:H,7,FALSE)</f>
        <v>26.072583330000001</v>
      </c>
      <c r="E2870" s="3">
        <f>VLOOKUP(A2870,airports!A:H,8,FALSE)</f>
        <v>-80.152749999999997</v>
      </c>
      <c r="F2870" s="3">
        <f>VLOOKUP(B2870,airports!A:H,7,FALSE)</f>
        <v>41.723999169999999</v>
      </c>
      <c r="G2870" s="3">
        <f>VLOOKUP(B2870,airports!A:H,8,FALSE)</f>
        <v>-71.428221109999996</v>
      </c>
      <c r="H2870">
        <f t="shared" si="88"/>
        <v>1915</v>
      </c>
      <c r="I2870">
        <f t="shared" si="89"/>
        <v>1190</v>
      </c>
    </row>
    <row r="2871" spans="1:9" ht="30" x14ac:dyDescent="0.25">
      <c r="A2871" s="5" t="s">
        <v>57</v>
      </c>
      <c r="B2871" s="5" t="s">
        <v>117</v>
      </c>
      <c r="C2871" s="5" t="s">
        <v>3325</v>
      </c>
      <c r="D2871" s="3">
        <f>VLOOKUP(A2871,airports!A:H,7,FALSE)</f>
        <v>26.072583330000001</v>
      </c>
      <c r="E2871" s="3">
        <f>VLOOKUP(A2871,airports!A:H,8,FALSE)</f>
        <v>-80.152749999999997</v>
      </c>
      <c r="F2871" s="3">
        <f>VLOOKUP(B2871,airports!A:H,7,FALSE)</f>
        <v>43.646166669999999</v>
      </c>
      <c r="G2871" s="3">
        <f>VLOOKUP(B2871,airports!A:H,8,FALSE)</f>
        <v>-70.308750000000003</v>
      </c>
      <c r="H2871">
        <f t="shared" si="88"/>
        <v>2146.8000000000002</v>
      </c>
      <c r="I2871">
        <f t="shared" si="89"/>
        <v>1334.1</v>
      </c>
    </row>
    <row r="2872" spans="1:9" x14ac:dyDescent="0.25">
      <c r="A2872" s="5" t="s">
        <v>57</v>
      </c>
      <c r="B2872" s="5" t="s">
        <v>119</v>
      </c>
      <c r="C2872" s="5" t="s">
        <v>3326</v>
      </c>
      <c r="D2872" s="3">
        <f>VLOOKUP(A2872,airports!A:H,7,FALSE)</f>
        <v>26.072583330000001</v>
      </c>
      <c r="E2872" s="3">
        <f>VLOOKUP(A2872,airports!A:H,8,FALSE)</f>
        <v>-80.152749999999997</v>
      </c>
      <c r="F2872" s="3">
        <f>VLOOKUP(B2872,airports!A:H,7,FALSE)</f>
        <v>35.87763889</v>
      </c>
      <c r="G2872" s="3">
        <f>VLOOKUP(B2872,airports!A:H,8,FALSE)</f>
        <v>-78.787472219999998</v>
      </c>
      <c r="H2872">
        <f t="shared" si="88"/>
        <v>1098</v>
      </c>
      <c r="I2872">
        <f t="shared" si="89"/>
        <v>682.3</v>
      </c>
    </row>
    <row r="2873" spans="1:9" x14ac:dyDescent="0.25">
      <c r="A2873" s="5" t="s">
        <v>57</v>
      </c>
      <c r="B2873" s="5" t="s">
        <v>120</v>
      </c>
      <c r="C2873" s="5" t="s">
        <v>3327</v>
      </c>
      <c r="D2873" s="3">
        <f>VLOOKUP(A2873,airports!A:H,7,FALSE)</f>
        <v>26.072583330000001</v>
      </c>
      <c r="E2873" s="3">
        <f>VLOOKUP(A2873,airports!A:H,8,FALSE)</f>
        <v>-80.152749999999997</v>
      </c>
      <c r="F2873" s="3">
        <f>VLOOKUP(B2873,airports!A:H,7,FALSE)</f>
        <v>37.505166670000001</v>
      </c>
      <c r="G2873" s="3">
        <f>VLOOKUP(B2873,airports!A:H,8,FALSE)</f>
        <v>-77.319666670000004</v>
      </c>
      <c r="H2873">
        <f t="shared" si="88"/>
        <v>1298.9000000000001</v>
      </c>
      <c r="I2873">
        <f t="shared" si="89"/>
        <v>807.2</v>
      </c>
    </row>
    <row r="2874" spans="1:9" x14ac:dyDescent="0.25">
      <c r="A2874" s="5" t="s">
        <v>57</v>
      </c>
      <c r="B2874" s="5" t="s">
        <v>122</v>
      </c>
      <c r="C2874" s="5" t="s">
        <v>3328</v>
      </c>
      <c r="D2874" s="3">
        <f>VLOOKUP(A2874,airports!A:H,7,FALSE)</f>
        <v>26.072583330000001</v>
      </c>
      <c r="E2874" s="3">
        <f>VLOOKUP(A2874,airports!A:H,8,FALSE)</f>
        <v>-80.152749999999997</v>
      </c>
      <c r="F2874" s="3">
        <f>VLOOKUP(B2874,airports!A:H,7,FALSE)</f>
        <v>43.118866109999999</v>
      </c>
      <c r="G2874" s="3">
        <f>VLOOKUP(B2874,airports!A:H,8,FALSE)</f>
        <v>-77.672383890000006</v>
      </c>
      <c r="H2874">
        <f t="shared" si="88"/>
        <v>1908.8</v>
      </c>
      <c r="I2874">
        <f t="shared" si="89"/>
        <v>1186.0999999999999</v>
      </c>
    </row>
    <row r="2875" spans="1:9" x14ac:dyDescent="0.25">
      <c r="A2875" s="5" t="s">
        <v>57</v>
      </c>
      <c r="B2875" s="5" t="s">
        <v>124</v>
      </c>
      <c r="C2875" s="5" t="s">
        <v>3329</v>
      </c>
      <c r="D2875" s="3">
        <f>VLOOKUP(A2875,airports!A:H,7,FALSE)</f>
        <v>26.072583330000001</v>
      </c>
      <c r="E2875" s="3">
        <f>VLOOKUP(A2875,airports!A:H,8,FALSE)</f>
        <v>-80.152749999999997</v>
      </c>
      <c r="F2875" s="3">
        <f>VLOOKUP(B2875,airports!A:H,7,FALSE)</f>
        <v>32.733556110000002</v>
      </c>
      <c r="G2875" s="3">
        <f>VLOOKUP(B2875,airports!A:H,8,FALSE)</f>
        <v>-117.1896567</v>
      </c>
      <c r="H2875">
        <f t="shared" si="88"/>
        <v>3644.4</v>
      </c>
      <c r="I2875">
        <f t="shared" si="89"/>
        <v>2264.6</v>
      </c>
    </row>
    <row r="2876" spans="1:9" x14ac:dyDescent="0.25">
      <c r="A2876" s="5" t="s">
        <v>57</v>
      </c>
      <c r="B2876" s="5" t="s">
        <v>125</v>
      </c>
      <c r="C2876" s="5" t="s">
        <v>3330</v>
      </c>
      <c r="D2876" s="3">
        <f>VLOOKUP(A2876,airports!A:H,7,FALSE)</f>
        <v>26.072583330000001</v>
      </c>
      <c r="E2876" s="3">
        <f>VLOOKUP(A2876,airports!A:H,8,FALSE)</f>
        <v>-80.152749999999997</v>
      </c>
      <c r="F2876" s="3">
        <f>VLOOKUP(B2876,airports!A:H,7,FALSE)</f>
        <v>29.533694440000001</v>
      </c>
      <c r="G2876" s="3">
        <f>VLOOKUP(B2876,airports!A:H,8,FALSE)</f>
        <v>-98.469777780000001</v>
      </c>
      <c r="H2876">
        <f t="shared" si="88"/>
        <v>1840.1</v>
      </c>
      <c r="I2876">
        <f t="shared" si="89"/>
        <v>1143.5</v>
      </c>
    </row>
    <row r="2877" spans="1:9" x14ac:dyDescent="0.25">
      <c r="A2877" s="5" t="s">
        <v>57</v>
      </c>
      <c r="B2877" s="5" t="s">
        <v>630</v>
      </c>
      <c r="C2877" s="5" t="s">
        <v>3331</v>
      </c>
      <c r="D2877" s="3">
        <f>VLOOKUP(A2877,airports!A:H,7,FALSE)</f>
        <v>26.072583330000001</v>
      </c>
      <c r="E2877" s="3">
        <f>VLOOKUP(A2877,airports!A:H,8,FALSE)</f>
        <v>-80.152749999999997</v>
      </c>
      <c r="F2877" s="3">
        <f>VLOOKUP(B2877,airports!A:H,7,FALSE)</f>
        <v>38.174388890000003</v>
      </c>
      <c r="G2877" s="3">
        <f>VLOOKUP(B2877,airports!A:H,8,FALSE)</f>
        <v>-85.736000000000004</v>
      </c>
      <c r="H2877">
        <f t="shared" si="88"/>
        <v>1443.9</v>
      </c>
      <c r="I2877">
        <f t="shared" si="89"/>
        <v>897.3</v>
      </c>
    </row>
    <row r="2878" spans="1:9" x14ac:dyDescent="0.25">
      <c r="A2878" s="5" t="s">
        <v>57</v>
      </c>
      <c r="B2878" s="5" t="s">
        <v>128</v>
      </c>
      <c r="C2878" s="5" t="s">
        <v>3332</v>
      </c>
      <c r="D2878" s="3">
        <f>VLOOKUP(A2878,airports!A:H,7,FALSE)</f>
        <v>26.072583330000001</v>
      </c>
      <c r="E2878" s="3">
        <f>VLOOKUP(A2878,airports!A:H,8,FALSE)</f>
        <v>-80.152749999999997</v>
      </c>
      <c r="F2878" s="3">
        <f>VLOOKUP(B2878,airports!A:H,7,FALSE)</f>
        <v>47.448981940000003</v>
      </c>
      <c r="G2878" s="3">
        <f>VLOOKUP(B2878,airports!A:H,8,FALSE)</f>
        <v>-122.3093131</v>
      </c>
      <c r="H2878">
        <f t="shared" si="88"/>
        <v>4367.6000000000004</v>
      </c>
      <c r="I2878">
        <f t="shared" si="89"/>
        <v>2714.1</v>
      </c>
    </row>
    <row r="2879" spans="1:9" x14ac:dyDescent="0.25">
      <c r="A2879" s="5" t="s">
        <v>57</v>
      </c>
      <c r="B2879" s="5" t="s">
        <v>130</v>
      </c>
      <c r="C2879" s="5" t="s">
        <v>3333</v>
      </c>
      <c r="D2879" s="3">
        <f>VLOOKUP(A2879,airports!A:H,7,FALSE)</f>
        <v>26.072583330000001</v>
      </c>
      <c r="E2879" s="3">
        <f>VLOOKUP(A2879,airports!A:H,8,FALSE)</f>
        <v>-80.152749999999997</v>
      </c>
      <c r="F2879" s="3">
        <f>VLOOKUP(B2879,airports!A:H,7,FALSE)</f>
        <v>37.619001939999997</v>
      </c>
      <c r="G2879" s="3">
        <f>VLOOKUP(B2879,airports!A:H,8,FALSE)</f>
        <v>-122.37484329999999</v>
      </c>
      <c r="H2879">
        <f t="shared" si="88"/>
        <v>4150.8</v>
      </c>
      <c r="I2879">
        <f t="shared" si="89"/>
        <v>2579.4</v>
      </c>
    </row>
    <row r="2880" spans="1:9" x14ac:dyDescent="0.25">
      <c r="A2880" s="5" t="s">
        <v>57</v>
      </c>
      <c r="B2880" s="5" t="s">
        <v>131</v>
      </c>
      <c r="C2880" s="5" t="s">
        <v>3334</v>
      </c>
      <c r="D2880" s="3">
        <f>VLOOKUP(A2880,airports!A:H,7,FALSE)</f>
        <v>26.072583330000001</v>
      </c>
      <c r="E2880" s="3">
        <f>VLOOKUP(A2880,airports!A:H,8,FALSE)</f>
        <v>-80.152749999999997</v>
      </c>
      <c r="F2880" s="3">
        <f>VLOOKUP(B2880,airports!A:H,7,FALSE)</f>
        <v>37.361861939999997</v>
      </c>
      <c r="G2880" s="3">
        <f>VLOOKUP(B2880,airports!A:H,8,FALSE)</f>
        <v>-121.9290089</v>
      </c>
      <c r="H2880">
        <f t="shared" si="88"/>
        <v>4108.8999999999996</v>
      </c>
      <c r="I2880">
        <f t="shared" si="89"/>
        <v>2553.3000000000002</v>
      </c>
    </row>
    <row r="2881" spans="1:9" x14ac:dyDescent="0.25">
      <c r="A2881" s="5" t="s">
        <v>57</v>
      </c>
      <c r="B2881" s="5" t="s">
        <v>134</v>
      </c>
      <c r="C2881" s="5" t="s">
        <v>3335</v>
      </c>
      <c r="D2881" s="3">
        <f>VLOOKUP(A2881,airports!A:H,7,FALSE)</f>
        <v>26.072583330000001</v>
      </c>
      <c r="E2881" s="3">
        <f>VLOOKUP(A2881,airports!A:H,8,FALSE)</f>
        <v>-80.152749999999997</v>
      </c>
      <c r="F2881" s="3">
        <f>VLOOKUP(B2881,airports!A:H,7,FALSE)</f>
        <v>18.43941667</v>
      </c>
      <c r="G2881" s="3">
        <f>VLOOKUP(B2881,airports!A:H,8,FALSE)</f>
        <v>-66.001833329999997</v>
      </c>
      <c r="H2881">
        <f t="shared" si="88"/>
        <v>1683.7</v>
      </c>
      <c r="I2881">
        <f t="shared" si="89"/>
        <v>1046.3</v>
      </c>
    </row>
    <row r="2882" spans="1:9" x14ac:dyDescent="0.25">
      <c r="A2882" s="5" t="s">
        <v>57</v>
      </c>
      <c r="B2882" s="5" t="s">
        <v>135</v>
      </c>
      <c r="C2882" s="5" t="s">
        <v>3336</v>
      </c>
      <c r="D2882" s="3">
        <f>VLOOKUP(A2882,airports!A:H,7,FALSE)</f>
        <v>26.072583330000001</v>
      </c>
      <c r="E2882" s="3">
        <f>VLOOKUP(A2882,airports!A:H,8,FALSE)</f>
        <v>-80.152749999999997</v>
      </c>
      <c r="F2882" s="3">
        <f>VLOOKUP(B2882,airports!A:H,7,FALSE)</f>
        <v>40.788387780000001</v>
      </c>
      <c r="G2882" s="3">
        <f>VLOOKUP(B2882,airports!A:H,8,FALSE)</f>
        <v>-111.97777309999999</v>
      </c>
      <c r="H2882">
        <f t="shared" si="88"/>
        <v>3349.4</v>
      </c>
      <c r="I2882">
        <f t="shared" si="89"/>
        <v>2081.4</v>
      </c>
    </row>
    <row r="2883" spans="1:9" x14ac:dyDescent="0.25">
      <c r="A2883" s="5" t="s">
        <v>57</v>
      </c>
      <c r="B2883" s="5" t="s">
        <v>644</v>
      </c>
      <c r="C2883" s="5" t="s">
        <v>3337</v>
      </c>
      <c r="D2883" s="3">
        <f>VLOOKUP(A2883,airports!A:H,7,FALSE)</f>
        <v>26.072583330000001</v>
      </c>
      <c r="E2883" s="3">
        <f>VLOOKUP(A2883,airports!A:H,8,FALSE)</f>
        <v>-80.152749999999997</v>
      </c>
      <c r="F2883" s="3">
        <f>VLOOKUP(B2883,airports!A:H,7,FALSE)</f>
        <v>38.747686940000001</v>
      </c>
      <c r="G2883" s="3">
        <f>VLOOKUP(B2883,airports!A:H,8,FALSE)</f>
        <v>-90.359989720000002</v>
      </c>
      <c r="H2883">
        <f t="shared" si="88"/>
        <v>1701.6</v>
      </c>
      <c r="I2883">
        <f t="shared" si="89"/>
        <v>1057.4000000000001</v>
      </c>
    </row>
    <row r="2884" spans="1:9" x14ac:dyDescent="0.25">
      <c r="A2884" s="5" t="s">
        <v>57</v>
      </c>
      <c r="B2884" s="5" t="s">
        <v>140</v>
      </c>
      <c r="C2884" s="5" t="s">
        <v>3338</v>
      </c>
      <c r="D2884" s="3">
        <f>VLOOKUP(A2884,airports!A:H,7,FALSE)</f>
        <v>26.072583330000001</v>
      </c>
      <c r="E2884" s="3">
        <f>VLOOKUP(A2884,airports!A:H,8,FALSE)</f>
        <v>-80.152749999999997</v>
      </c>
      <c r="F2884" s="3">
        <f>VLOOKUP(B2884,airports!A:H,7,FALSE)</f>
        <v>18.337305560000001</v>
      </c>
      <c r="G2884" s="3">
        <f>VLOOKUP(B2884,airports!A:H,8,FALSE)</f>
        <v>-64.973361109999999</v>
      </c>
      <c r="H2884">
        <f t="shared" ref="H2884:H2947" si="90">ROUND(ACOS(COS(RADIANS(90-D2884)) * COS(RADIANS(90-F2884)) + SIN(RADIANS(90-D2884)) * SIN(RADIANS(90-F2884)) * COS(RADIANS(E2884-G2884))) * 6371,1)</f>
        <v>1781.6</v>
      </c>
      <c r="I2884">
        <f t="shared" ref="I2884:I2947" si="91">ROUND(ACOS(COS(RADIANS(90-D2884)) * COS(RADIANS(90-F2884)) + SIN(RADIANS(90-D2884)) * SIN(RADIANS(90-F2884)) * COS(RADIANS(E2884-G2884))) * 3959,1)</f>
        <v>1107.0999999999999</v>
      </c>
    </row>
    <row r="2885" spans="1:9" x14ac:dyDescent="0.25">
      <c r="A2885" s="5" t="s">
        <v>57</v>
      </c>
      <c r="B2885" s="5" t="s">
        <v>647</v>
      </c>
      <c r="C2885" s="5" t="s">
        <v>3339</v>
      </c>
      <c r="D2885" s="3">
        <f>VLOOKUP(A2885,airports!A:H,7,FALSE)</f>
        <v>26.072583330000001</v>
      </c>
      <c r="E2885" s="3">
        <f>VLOOKUP(A2885,airports!A:H,8,FALSE)</f>
        <v>-80.152749999999997</v>
      </c>
      <c r="F2885" s="3">
        <f>VLOOKUP(B2885,airports!A:H,7,FALSE)</f>
        <v>17.701888889999999</v>
      </c>
      <c r="G2885" s="3">
        <f>VLOOKUP(B2885,airports!A:H,8,FALSE)</f>
        <v>-64.798555559999997</v>
      </c>
      <c r="H2885">
        <f t="shared" si="90"/>
        <v>1835.1</v>
      </c>
      <c r="I2885">
        <f t="shared" si="91"/>
        <v>1140.3</v>
      </c>
    </row>
    <row r="2886" spans="1:9" x14ac:dyDescent="0.25">
      <c r="A2886" s="5" t="s">
        <v>57</v>
      </c>
      <c r="B2886" s="5" t="s">
        <v>142</v>
      </c>
      <c r="C2886" s="5" t="s">
        <v>3340</v>
      </c>
      <c r="D2886" s="3">
        <f>VLOOKUP(A2886,airports!A:H,7,FALSE)</f>
        <v>26.072583330000001</v>
      </c>
      <c r="E2886" s="3">
        <f>VLOOKUP(A2886,airports!A:H,8,FALSE)</f>
        <v>-80.152749999999997</v>
      </c>
      <c r="F2886" s="3">
        <f>VLOOKUP(B2886,airports!A:H,7,FALSE)</f>
        <v>41.504093609999998</v>
      </c>
      <c r="G2886" s="3">
        <f>VLOOKUP(B2886,airports!A:H,8,FALSE)</f>
        <v>-74.104838330000007</v>
      </c>
      <c r="H2886">
        <f t="shared" si="90"/>
        <v>1803.4</v>
      </c>
      <c r="I2886">
        <f t="shared" si="91"/>
        <v>1120.5999999999999</v>
      </c>
    </row>
    <row r="2887" spans="1:9" x14ac:dyDescent="0.25">
      <c r="A2887" s="5" t="s">
        <v>57</v>
      </c>
      <c r="B2887" s="5" t="s">
        <v>144</v>
      </c>
      <c r="C2887" s="5" t="s">
        <v>3341</v>
      </c>
      <c r="D2887" s="3">
        <f>VLOOKUP(A2887,airports!A:H,7,FALSE)</f>
        <v>26.072583330000001</v>
      </c>
      <c r="E2887" s="3">
        <f>VLOOKUP(A2887,airports!A:H,8,FALSE)</f>
        <v>-80.152749999999997</v>
      </c>
      <c r="F2887" s="3">
        <f>VLOOKUP(B2887,airports!A:H,7,FALSE)</f>
        <v>43.111186940000003</v>
      </c>
      <c r="G2887" s="3">
        <f>VLOOKUP(B2887,airports!A:H,8,FALSE)</f>
        <v>-76.106310559999997</v>
      </c>
      <c r="H2887">
        <f t="shared" si="90"/>
        <v>1929.8</v>
      </c>
      <c r="I2887">
        <f t="shared" si="91"/>
        <v>1199.2</v>
      </c>
    </row>
    <row r="2888" spans="1:9" x14ac:dyDescent="0.25">
      <c r="A2888" s="5" t="s">
        <v>57</v>
      </c>
      <c r="B2888" s="5" t="s">
        <v>145</v>
      </c>
      <c r="C2888" s="5" t="s">
        <v>3342</v>
      </c>
      <c r="D2888" s="3">
        <f>VLOOKUP(A2888,airports!A:H,7,FALSE)</f>
        <v>26.072583330000001</v>
      </c>
      <c r="E2888" s="3">
        <f>VLOOKUP(A2888,airports!A:H,8,FALSE)</f>
        <v>-80.152749999999997</v>
      </c>
      <c r="F2888" s="3">
        <f>VLOOKUP(B2888,airports!A:H,7,FALSE)</f>
        <v>27.97547222</v>
      </c>
      <c r="G2888" s="3">
        <f>VLOOKUP(B2888,airports!A:H,8,FALSE)</f>
        <v>-82.533249999999995</v>
      </c>
      <c r="H2888">
        <f t="shared" si="90"/>
        <v>316.8</v>
      </c>
      <c r="I2888">
        <f t="shared" si="91"/>
        <v>196.9</v>
      </c>
    </row>
    <row r="2889" spans="1:9" x14ac:dyDescent="0.25">
      <c r="A2889" s="5" t="s">
        <v>57</v>
      </c>
      <c r="B2889" s="5" t="s">
        <v>656</v>
      </c>
      <c r="C2889" s="5" t="s">
        <v>3343</v>
      </c>
      <c r="D2889" s="3">
        <f>VLOOKUP(A2889,airports!A:H,7,FALSE)</f>
        <v>26.072583330000001</v>
      </c>
      <c r="E2889" s="3">
        <f>VLOOKUP(A2889,airports!A:H,8,FALSE)</f>
        <v>-80.152749999999997</v>
      </c>
      <c r="F2889" s="3">
        <f>VLOOKUP(B2889,airports!A:H,7,FALSE)</f>
        <v>40.276691110000002</v>
      </c>
      <c r="G2889" s="3">
        <f>VLOOKUP(B2889,airports!A:H,8,FALSE)</f>
        <v>-74.813468330000006</v>
      </c>
      <c r="H2889">
        <f t="shared" si="90"/>
        <v>1654.9</v>
      </c>
      <c r="I2889">
        <f t="shared" si="91"/>
        <v>1028.3</v>
      </c>
    </row>
    <row r="2890" spans="1:9" x14ac:dyDescent="0.25">
      <c r="A2890" s="5" t="s">
        <v>57</v>
      </c>
      <c r="B2890" s="5" t="s">
        <v>664</v>
      </c>
      <c r="C2890" s="5" t="s">
        <v>3344</v>
      </c>
      <c r="D2890" s="3">
        <f>VLOOKUP(A2890,airports!A:H,7,FALSE)</f>
        <v>26.072583330000001</v>
      </c>
      <c r="E2890" s="3">
        <f>VLOOKUP(A2890,airports!A:H,8,FALSE)</f>
        <v>-80.152749999999997</v>
      </c>
      <c r="F2890" s="3">
        <f>VLOOKUP(B2890,airports!A:H,7,FALSE)</f>
        <v>35.812487220000001</v>
      </c>
      <c r="G2890" s="3">
        <f>VLOOKUP(B2890,airports!A:H,8,FALSE)</f>
        <v>-83.992855829999996</v>
      </c>
      <c r="H2890">
        <f t="shared" si="90"/>
        <v>1143</v>
      </c>
      <c r="I2890">
        <f t="shared" si="91"/>
        <v>710.3</v>
      </c>
    </row>
    <row r="2891" spans="1:9" x14ac:dyDescent="0.25">
      <c r="A2891" s="5" t="s">
        <v>57</v>
      </c>
      <c r="B2891" s="5" t="s">
        <v>4</v>
      </c>
      <c r="C2891" s="5" t="s">
        <v>3345</v>
      </c>
      <c r="D2891" s="3">
        <f>VLOOKUP(A2891,airports!A:H,7,FALSE)</f>
        <v>26.072583330000001</v>
      </c>
      <c r="E2891" s="3">
        <f>VLOOKUP(A2891,airports!A:H,8,FALSE)</f>
        <v>-80.152749999999997</v>
      </c>
      <c r="F2891" s="3">
        <f>VLOOKUP(B2891,airports!A:H,7,FALSE)</f>
        <v>35.387797999999997</v>
      </c>
      <c r="G2891" s="3">
        <f>VLOOKUP(B2891,airports!A:H,8,FALSE)</f>
        <v>-80.709098999999995</v>
      </c>
      <c r="H2891">
        <f t="shared" si="90"/>
        <v>1037.2</v>
      </c>
      <c r="I2891">
        <f t="shared" si="91"/>
        <v>644.5</v>
      </c>
    </row>
    <row r="2892" spans="1:9" x14ac:dyDescent="0.25">
      <c r="A2892" s="5" t="s">
        <v>57</v>
      </c>
      <c r="B2892" s="5" t="s">
        <v>670</v>
      </c>
      <c r="C2892" s="5" t="s">
        <v>3346</v>
      </c>
      <c r="D2892" s="3">
        <f>VLOOKUP(A2892,airports!A:H,7,FALSE)</f>
        <v>26.072583330000001</v>
      </c>
      <c r="E2892" s="3">
        <f>VLOOKUP(A2892,airports!A:H,8,FALSE)</f>
        <v>-80.152749999999997</v>
      </c>
      <c r="F2892" s="3">
        <f>VLOOKUP(B2892,airports!A:H,7,FALSE)</f>
        <v>36.281869440000001</v>
      </c>
      <c r="G2892" s="3">
        <f>VLOOKUP(B2892,airports!A:H,8,FALSE)</f>
        <v>-94.306811109999998</v>
      </c>
      <c r="H2892">
        <f t="shared" si="90"/>
        <v>1757.7</v>
      </c>
      <c r="I2892">
        <f t="shared" si="91"/>
        <v>1092.2</v>
      </c>
    </row>
    <row r="2893" spans="1:9" x14ac:dyDescent="0.25">
      <c r="A2893" s="5" t="s">
        <v>1778</v>
      </c>
      <c r="B2893" s="5" t="s">
        <v>40</v>
      </c>
      <c r="C2893" s="5" t="s">
        <v>3347</v>
      </c>
      <c r="D2893" s="3">
        <f>VLOOKUP(A2893,airports!A:H,7,FALSE)</f>
        <v>34.185361110000002</v>
      </c>
      <c r="E2893" s="3">
        <f>VLOOKUP(A2893,airports!A:H,8,FALSE)</f>
        <v>-79.723888889999998</v>
      </c>
      <c r="F2893" s="3">
        <f>VLOOKUP(B2893,airports!A:H,7,FALSE)</f>
        <v>35.214011110000001</v>
      </c>
      <c r="G2893" s="3">
        <f>VLOOKUP(B2893,airports!A:H,8,FALSE)</f>
        <v>-80.94312583</v>
      </c>
      <c r="H2893">
        <f t="shared" si="90"/>
        <v>159.69999999999999</v>
      </c>
      <c r="I2893">
        <f t="shared" si="91"/>
        <v>99.2</v>
      </c>
    </row>
    <row r="2894" spans="1:9" x14ac:dyDescent="0.25">
      <c r="A2894" s="5" t="s">
        <v>497</v>
      </c>
      <c r="B2894" s="5" t="s">
        <v>10</v>
      </c>
      <c r="C2894" s="5" t="s">
        <v>3348</v>
      </c>
      <c r="D2894" s="3">
        <f>VLOOKUP(A2894,airports!A:H,7,FALSE)</f>
        <v>42.965503329999997</v>
      </c>
      <c r="E2894" s="3">
        <f>VLOOKUP(A2894,airports!A:H,8,FALSE)</f>
        <v>-83.743456390000006</v>
      </c>
      <c r="F2894" s="3">
        <f>VLOOKUP(B2894,airports!A:H,7,FALSE)</f>
        <v>33.640444440000003</v>
      </c>
      <c r="G2894" s="3">
        <f>VLOOKUP(B2894,airports!A:H,8,FALSE)</f>
        <v>-84.42694444</v>
      </c>
      <c r="H2894">
        <f t="shared" si="90"/>
        <v>1038.5999999999999</v>
      </c>
      <c r="I2894">
        <f t="shared" si="91"/>
        <v>645.4</v>
      </c>
    </row>
    <row r="2895" spans="1:9" ht="30" x14ac:dyDescent="0.25">
      <c r="A2895" s="5" t="s">
        <v>497</v>
      </c>
      <c r="B2895" s="5" t="s">
        <v>329</v>
      </c>
      <c r="C2895" s="5" t="s">
        <v>3349</v>
      </c>
      <c r="D2895" s="3">
        <f>VLOOKUP(A2895,airports!A:H,7,FALSE)</f>
        <v>42.965503329999997</v>
      </c>
      <c r="E2895" s="3">
        <f>VLOOKUP(A2895,airports!A:H,8,FALSE)</f>
        <v>-83.743456390000006</v>
      </c>
      <c r="F2895" s="3">
        <f>VLOOKUP(B2895,airports!A:H,7,FALSE)</f>
        <v>33.308999999999997</v>
      </c>
      <c r="G2895" s="3">
        <f>VLOOKUP(B2895,airports!A:H,8,FALSE)</f>
        <v>-111.6559</v>
      </c>
      <c r="H2895">
        <f t="shared" si="90"/>
        <v>2650.8</v>
      </c>
      <c r="I2895">
        <f t="shared" si="91"/>
        <v>1647.2</v>
      </c>
    </row>
    <row r="2896" spans="1:9" ht="30" x14ac:dyDescent="0.25">
      <c r="A2896" s="5" t="s">
        <v>497</v>
      </c>
      <c r="B2896" s="5" t="s">
        <v>19</v>
      </c>
      <c r="C2896" s="5" t="s">
        <v>3350</v>
      </c>
      <c r="D2896" s="3">
        <f>VLOOKUP(A2896,airports!A:H,7,FALSE)</f>
        <v>42.965503329999997</v>
      </c>
      <c r="E2896" s="3">
        <f>VLOOKUP(A2896,airports!A:H,8,FALSE)</f>
        <v>-83.743456390000006</v>
      </c>
      <c r="F2896" s="3">
        <f>VLOOKUP(B2896,airports!A:H,7,FALSE)</f>
        <v>36.12447667</v>
      </c>
      <c r="G2896" s="3">
        <f>VLOOKUP(B2896,airports!A:H,8,FALSE)</f>
        <v>-86.678182219999997</v>
      </c>
      <c r="H2896">
        <f t="shared" si="90"/>
        <v>801.1</v>
      </c>
      <c r="I2896">
        <f t="shared" si="91"/>
        <v>497.8</v>
      </c>
    </row>
    <row r="2897" spans="1:9" ht="30" x14ac:dyDescent="0.25">
      <c r="A2897" s="5" t="s">
        <v>497</v>
      </c>
      <c r="B2897" s="5" t="s">
        <v>24</v>
      </c>
      <c r="C2897" s="5" t="s">
        <v>3351</v>
      </c>
      <c r="D2897" s="3">
        <f>VLOOKUP(A2897,airports!A:H,7,FALSE)</f>
        <v>42.965503329999997</v>
      </c>
      <c r="E2897" s="3">
        <f>VLOOKUP(A2897,airports!A:H,8,FALSE)</f>
        <v>-83.743456390000006</v>
      </c>
      <c r="F2897" s="3">
        <f>VLOOKUP(B2897,airports!A:H,7,FALSE)</f>
        <v>42.364347500000001</v>
      </c>
      <c r="G2897" s="3">
        <f>VLOOKUP(B2897,airports!A:H,8,FALSE)</f>
        <v>-71.005179170000005</v>
      </c>
      <c r="H2897">
        <f t="shared" si="90"/>
        <v>1042.7</v>
      </c>
      <c r="I2897">
        <f t="shared" si="91"/>
        <v>647.9</v>
      </c>
    </row>
    <row r="2898" spans="1:9" x14ac:dyDescent="0.25">
      <c r="A2898" s="5" t="s">
        <v>497</v>
      </c>
      <c r="B2898" s="5" t="s">
        <v>40</v>
      </c>
      <c r="C2898" s="5" t="s">
        <v>3352</v>
      </c>
      <c r="D2898" s="3">
        <f>VLOOKUP(A2898,airports!A:H,7,FALSE)</f>
        <v>42.965503329999997</v>
      </c>
      <c r="E2898" s="3">
        <f>VLOOKUP(A2898,airports!A:H,8,FALSE)</f>
        <v>-83.743456390000006</v>
      </c>
      <c r="F2898" s="3">
        <f>VLOOKUP(B2898,airports!A:H,7,FALSE)</f>
        <v>35.214011110000001</v>
      </c>
      <c r="G2898" s="3">
        <f>VLOOKUP(B2898,airports!A:H,8,FALSE)</f>
        <v>-80.94312583</v>
      </c>
      <c r="H2898">
        <f t="shared" si="90"/>
        <v>895</v>
      </c>
      <c r="I2898">
        <f t="shared" si="91"/>
        <v>556.20000000000005</v>
      </c>
    </row>
    <row r="2899" spans="1:9" x14ac:dyDescent="0.25">
      <c r="A2899" s="5" t="s">
        <v>497</v>
      </c>
      <c r="B2899" s="5" t="s">
        <v>57</v>
      </c>
      <c r="C2899" s="5" t="s">
        <v>3353</v>
      </c>
      <c r="D2899" s="3">
        <f>VLOOKUP(A2899,airports!A:H,7,FALSE)</f>
        <v>42.965503329999997</v>
      </c>
      <c r="E2899" s="3">
        <f>VLOOKUP(A2899,airports!A:H,8,FALSE)</f>
        <v>-83.743456390000006</v>
      </c>
      <c r="F2899" s="3">
        <f>VLOOKUP(B2899,airports!A:H,7,FALSE)</f>
        <v>26.072583330000001</v>
      </c>
      <c r="G2899" s="3">
        <f>VLOOKUP(B2899,airports!A:H,8,FALSE)</f>
        <v>-80.152749999999997</v>
      </c>
      <c r="H2899">
        <f t="shared" si="90"/>
        <v>1906.5</v>
      </c>
      <c r="I2899">
        <f t="shared" si="91"/>
        <v>1184.7</v>
      </c>
    </row>
    <row r="2900" spans="1:9" x14ac:dyDescent="0.25">
      <c r="A2900" s="5" t="s">
        <v>497</v>
      </c>
      <c r="B2900" s="5" t="s">
        <v>68</v>
      </c>
      <c r="C2900" s="5" t="s">
        <v>3354</v>
      </c>
      <c r="D2900" s="3">
        <f>VLOOKUP(A2900,airports!A:H,7,FALSE)</f>
        <v>42.965503329999997</v>
      </c>
      <c r="E2900" s="3">
        <f>VLOOKUP(A2900,airports!A:H,8,FALSE)</f>
        <v>-83.743456390000006</v>
      </c>
      <c r="F2900" s="3">
        <f>VLOOKUP(B2900,airports!A:H,7,FALSE)</f>
        <v>30.49405556</v>
      </c>
      <c r="G2900" s="3">
        <f>VLOOKUP(B2900,airports!A:H,8,FALSE)</f>
        <v>-81.68786111</v>
      </c>
      <c r="H2900">
        <f t="shared" si="90"/>
        <v>1398.7</v>
      </c>
      <c r="I2900">
        <f t="shared" si="91"/>
        <v>869.2</v>
      </c>
    </row>
    <row r="2901" spans="1:9" x14ac:dyDescent="0.25">
      <c r="A2901" s="5" t="s">
        <v>497</v>
      </c>
      <c r="B2901" s="5" t="s">
        <v>71</v>
      </c>
      <c r="C2901" s="5" t="s">
        <v>3355</v>
      </c>
      <c r="D2901" s="3">
        <f>VLOOKUP(A2901,airports!A:H,7,FALSE)</f>
        <v>42.965503329999997</v>
      </c>
      <c r="E2901" s="3">
        <f>VLOOKUP(A2901,airports!A:H,8,FALSE)</f>
        <v>-83.743456390000006</v>
      </c>
      <c r="F2901" s="3">
        <f>VLOOKUP(B2901,airports!A:H,7,FALSE)</f>
        <v>36.080361109999998</v>
      </c>
      <c r="G2901" s="3">
        <f>VLOOKUP(B2901,airports!A:H,8,FALSE)</f>
        <v>-115.1523333</v>
      </c>
      <c r="H2901">
        <f t="shared" si="90"/>
        <v>2782.6</v>
      </c>
      <c r="I2901">
        <f t="shared" si="91"/>
        <v>1729.1</v>
      </c>
    </row>
    <row r="2902" spans="1:9" ht="30" x14ac:dyDescent="0.25">
      <c r="A2902" s="5" t="s">
        <v>497</v>
      </c>
      <c r="B2902" s="5" t="s">
        <v>82</v>
      </c>
      <c r="C2902" s="5" t="s">
        <v>3356</v>
      </c>
      <c r="D2902" s="3">
        <f>VLOOKUP(A2902,airports!A:H,7,FALSE)</f>
        <v>42.965503329999997</v>
      </c>
      <c r="E2902" s="3">
        <f>VLOOKUP(A2902,airports!A:H,8,FALSE)</f>
        <v>-83.743456390000006</v>
      </c>
      <c r="F2902" s="3">
        <f>VLOOKUP(B2902,airports!A:H,7,FALSE)</f>
        <v>28.42888889</v>
      </c>
      <c r="G2902" s="3">
        <f>VLOOKUP(B2902,airports!A:H,8,FALSE)</f>
        <v>-81.316027779999999</v>
      </c>
      <c r="H2902">
        <f t="shared" si="90"/>
        <v>1631</v>
      </c>
      <c r="I2902">
        <f t="shared" si="91"/>
        <v>1013.5</v>
      </c>
    </row>
    <row r="2903" spans="1:9" ht="30" x14ac:dyDescent="0.25">
      <c r="A2903" s="5" t="s">
        <v>497</v>
      </c>
      <c r="B2903" s="5" t="s">
        <v>180</v>
      </c>
      <c r="C2903" s="5" t="s">
        <v>3357</v>
      </c>
      <c r="D2903" s="3">
        <f>VLOOKUP(A2903,airports!A:H,7,FALSE)</f>
        <v>42.965503329999997</v>
      </c>
      <c r="E2903" s="3">
        <f>VLOOKUP(A2903,airports!A:H,8,FALSE)</f>
        <v>-83.743456390000006</v>
      </c>
      <c r="F2903" s="3">
        <f>VLOOKUP(B2903,airports!A:H,7,FALSE)</f>
        <v>41.785982500000003</v>
      </c>
      <c r="G2903" s="3">
        <f>VLOOKUP(B2903,airports!A:H,8,FALSE)</f>
        <v>-87.752424439999999</v>
      </c>
      <c r="H2903">
        <f t="shared" si="90"/>
        <v>354.4</v>
      </c>
      <c r="I2903">
        <f t="shared" si="91"/>
        <v>220.2</v>
      </c>
    </row>
    <row r="2904" spans="1:9" ht="30" x14ac:dyDescent="0.25">
      <c r="A2904" s="5" t="s">
        <v>497</v>
      </c>
      <c r="B2904" s="5" t="s">
        <v>87</v>
      </c>
      <c r="C2904" s="5" t="s">
        <v>3358</v>
      </c>
      <c r="D2904" s="3">
        <f>VLOOKUP(A2904,airports!A:H,7,FALSE)</f>
        <v>42.965503329999997</v>
      </c>
      <c r="E2904" s="3">
        <f>VLOOKUP(A2904,airports!A:H,8,FALSE)</f>
        <v>-83.743456390000006</v>
      </c>
      <c r="F2904" s="3">
        <f>VLOOKUP(B2904,airports!A:H,7,FALSE)</f>
        <v>44.880546940000002</v>
      </c>
      <c r="G2904" s="3">
        <f>VLOOKUP(B2904,airports!A:H,8,FALSE)</f>
        <v>-93.216922499999995</v>
      </c>
      <c r="H2904">
        <f t="shared" si="90"/>
        <v>787.5</v>
      </c>
      <c r="I2904">
        <f t="shared" si="91"/>
        <v>489.4</v>
      </c>
    </row>
    <row r="2905" spans="1:9" ht="30" x14ac:dyDescent="0.25">
      <c r="A2905" s="5" t="s">
        <v>497</v>
      </c>
      <c r="B2905" s="5" t="s">
        <v>182</v>
      </c>
      <c r="C2905" s="5" t="s">
        <v>3359</v>
      </c>
      <c r="D2905" s="3">
        <f>VLOOKUP(A2905,airports!A:H,7,FALSE)</f>
        <v>42.965503329999997</v>
      </c>
      <c r="E2905" s="3">
        <f>VLOOKUP(A2905,airports!A:H,8,FALSE)</f>
        <v>-83.743456390000006</v>
      </c>
      <c r="F2905" s="3">
        <f>VLOOKUP(B2905,airports!A:H,7,FALSE)</f>
        <v>33.679749999999999</v>
      </c>
      <c r="G2905" s="3">
        <f>VLOOKUP(B2905,airports!A:H,8,FALSE)</f>
        <v>-78.928333330000001</v>
      </c>
      <c r="H2905">
        <f t="shared" si="90"/>
        <v>1114.2</v>
      </c>
      <c r="I2905">
        <f t="shared" si="91"/>
        <v>692.4</v>
      </c>
    </row>
    <row r="2906" spans="1:9" ht="30" x14ac:dyDescent="0.25">
      <c r="A2906" s="5" t="s">
        <v>497</v>
      </c>
      <c r="B2906" s="5" t="s">
        <v>95</v>
      </c>
      <c r="C2906" s="5" t="s">
        <v>3360</v>
      </c>
      <c r="D2906" s="3">
        <f>VLOOKUP(A2906,airports!A:H,7,FALSE)</f>
        <v>42.965503329999997</v>
      </c>
      <c r="E2906" s="3">
        <f>VLOOKUP(A2906,airports!A:H,8,FALSE)</f>
        <v>-83.743456390000006</v>
      </c>
      <c r="F2906" s="3">
        <f>VLOOKUP(B2906,airports!A:H,7,FALSE)</f>
        <v>41.979595000000003</v>
      </c>
      <c r="G2906" s="3">
        <f>VLOOKUP(B2906,airports!A:H,8,FALSE)</f>
        <v>-87.904464169999997</v>
      </c>
      <c r="H2906">
        <f t="shared" si="90"/>
        <v>358.4</v>
      </c>
      <c r="I2906">
        <f t="shared" si="91"/>
        <v>222.7</v>
      </c>
    </row>
    <row r="2907" spans="1:9" ht="30" x14ac:dyDescent="0.25">
      <c r="A2907" s="5" t="s">
        <v>497</v>
      </c>
      <c r="B2907" s="5" t="s">
        <v>185</v>
      </c>
      <c r="C2907" s="5" t="s">
        <v>3361</v>
      </c>
      <c r="D2907" s="3">
        <f>VLOOKUP(A2907,airports!A:H,7,FALSE)</f>
        <v>42.965503329999997</v>
      </c>
      <c r="E2907" s="3">
        <f>VLOOKUP(A2907,airports!A:H,8,FALSE)</f>
        <v>-83.743456390000006</v>
      </c>
      <c r="F2907" s="3">
        <f>VLOOKUP(B2907,airports!A:H,7,FALSE)</f>
        <v>26.919699999999999</v>
      </c>
      <c r="G2907" s="3">
        <f>VLOOKUP(B2907,airports!A:H,8,FALSE)</f>
        <v>-81.995999999999995</v>
      </c>
      <c r="H2907">
        <f t="shared" si="90"/>
        <v>1791.2</v>
      </c>
      <c r="I2907">
        <f t="shared" si="91"/>
        <v>1113.0999999999999</v>
      </c>
    </row>
    <row r="2908" spans="1:9" x14ac:dyDescent="0.25">
      <c r="A2908" s="5" t="s">
        <v>497</v>
      </c>
      <c r="B2908" s="5" t="s">
        <v>188</v>
      </c>
      <c r="C2908" s="5" t="s">
        <v>3362</v>
      </c>
      <c r="D2908" s="3">
        <f>VLOOKUP(A2908,airports!A:H,7,FALSE)</f>
        <v>42.965503329999997</v>
      </c>
      <c r="E2908" s="3">
        <f>VLOOKUP(A2908,airports!A:H,8,FALSE)</f>
        <v>-83.743456390000006</v>
      </c>
      <c r="F2908" s="3">
        <f>VLOOKUP(B2908,airports!A:H,7,FALSE)</f>
        <v>27.910763330000002</v>
      </c>
      <c r="G2908" s="3">
        <f>VLOOKUP(B2908,airports!A:H,8,FALSE)</f>
        <v>-82.687439440000006</v>
      </c>
      <c r="H2908">
        <f t="shared" si="90"/>
        <v>1676.7</v>
      </c>
      <c r="I2908">
        <f t="shared" si="91"/>
        <v>1041.9000000000001</v>
      </c>
    </row>
    <row r="2909" spans="1:9" ht="30" x14ac:dyDescent="0.25">
      <c r="A2909" s="5" t="s">
        <v>497</v>
      </c>
      <c r="B2909" s="5" t="s">
        <v>123</v>
      </c>
      <c r="C2909" s="5" t="s">
        <v>3363</v>
      </c>
      <c r="D2909" s="3">
        <f>VLOOKUP(A2909,airports!A:H,7,FALSE)</f>
        <v>42.965503329999997</v>
      </c>
      <c r="E2909" s="3">
        <f>VLOOKUP(A2909,airports!A:H,8,FALSE)</f>
        <v>-83.743456390000006</v>
      </c>
      <c r="F2909" s="3">
        <f>VLOOKUP(B2909,airports!A:H,7,FALSE)</f>
        <v>26.53616667</v>
      </c>
      <c r="G2909" s="3">
        <f>VLOOKUP(B2909,airports!A:H,8,FALSE)</f>
        <v>-81.755166669999994</v>
      </c>
      <c r="H2909">
        <f t="shared" si="90"/>
        <v>1835.7</v>
      </c>
      <c r="I2909">
        <f t="shared" si="91"/>
        <v>1140.7</v>
      </c>
    </row>
    <row r="2910" spans="1:9" ht="30" x14ac:dyDescent="0.25">
      <c r="A2910" s="5" t="s">
        <v>497</v>
      </c>
      <c r="B2910" s="5" t="s">
        <v>126</v>
      </c>
      <c r="C2910" s="5" t="s">
        <v>3364</v>
      </c>
      <c r="D2910" s="3">
        <f>VLOOKUP(A2910,airports!A:H,7,FALSE)</f>
        <v>42.965503329999997</v>
      </c>
      <c r="E2910" s="3">
        <f>VLOOKUP(A2910,airports!A:H,8,FALSE)</f>
        <v>-83.743456390000006</v>
      </c>
      <c r="F2910" s="3">
        <f>VLOOKUP(B2910,airports!A:H,7,FALSE)</f>
        <v>32.12758333</v>
      </c>
      <c r="G2910" s="3">
        <f>VLOOKUP(B2910,airports!A:H,8,FALSE)</f>
        <v>-81.202138890000001</v>
      </c>
      <c r="H2910">
        <f t="shared" si="90"/>
        <v>1225.5999999999999</v>
      </c>
      <c r="I2910">
        <f t="shared" si="91"/>
        <v>761.6</v>
      </c>
    </row>
    <row r="2911" spans="1:9" x14ac:dyDescent="0.25">
      <c r="A2911" s="5" t="s">
        <v>497</v>
      </c>
      <c r="B2911" s="5" t="s">
        <v>191</v>
      </c>
      <c r="C2911" s="5" t="s">
        <v>3365</v>
      </c>
      <c r="D2911" s="3">
        <f>VLOOKUP(A2911,airports!A:H,7,FALSE)</f>
        <v>42.965503329999997</v>
      </c>
      <c r="E2911" s="3">
        <f>VLOOKUP(A2911,airports!A:H,8,FALSE)</f>
        <v>-83.743456390000006</v>
      </c>
      <c r="F2911" s="3">
        <f>VLOOKUP(B2911,airports!A:H,7,FALSE)</f>
        <v>28.7776</v>
      </c>
      <c r="G2911" s="3">
        <f>VLOOKUP(B2911,airports!A:H,8,FALSE)</f>
        <v>-81.237499999999997</v>
      </c>
      <c r="H2911">
        <f t="shared" si="90"/>
        <v>1593.5</v>
      </c>
      <c r="I2911">
        <f t="shared" si="91"/>
        <v>990.2</v>
      </c>
    </row>
    <row r="2912" spans="1:9" ht="30" x14ac:dyDescent="0.25">
      <c r="A2912" s="5" t="s">
        <v>497</v>
      </c>
      <c r="B2912" s="5" t="s">
        <v>138</v>
      </c>
      <c r="C2912" s="5" t="s">
        <v>3366</v>
      </c>
      <c r="D2912" s="3">
        <f>VLOOKUP(A2912,airports!A:H,7,FALSE)</f>
        <v>42.965503329999997</v>
      </c>
      <c r="E2912" s="3">
        <f>VLOOKUP(A2912,airports!A:H,8,FALSE)</f>
        <v>-83.743456390000006</v>
      </c>
      <c r="F2912" s="3">
        <f>VLOOKUP(B2912,airports!A:H,7,FALSE)</f>
        <v>27.39533333</v>
      </c>
      <c r="G2912" s="3">
        <f>VLOOKUP(B2912,airports!A:H,8,FALSE)</f>
        <v>-82.554111109999994</v>
      </c>
      <c r="H2912">
        <f t="shared" si="90"/>
        <v>1734.6</v>
      </c>
      <c r="I2912">
        <f t="shared" si="91"/>
        <v>1077.9000000000001</v>
      </c>
    </row>
    <row r="2913" spans="1:9" ht="30" x14ac:dyDescent="0.25">
      <c r="A2913" s="5" t="s">
        <v>497</v>
      </c>
      <c r="B2913" s="5" t="s">
        <v>145</v>
      </c>
      <c r="C2913" s="5" t="s">
        <v>3367</v>
      </c>
      <c r="D2913" s="3">
        <f>VLOOKUP(A2913,airports!A:H,7,FALSE)</f>
        <v>42.965503329999997</v>
      </c>
      <c r="E2913" s="3">
        <f>VLOOKUP(A2913,airports!A:H,8,FALSE)</f>
        <v>-83.743456390000006</v>
      </c>
      <c r="F2913" s="3">
        <f>VLOOKUP(B2913,airports!A:H,7,FALSE)</f>
        <v>27.97547222</v>
      </c>
      <c r="G2913" s="3">
        <f>VLOOKUP(B2913,airports!A:H,8,FALSE)</f>
        <v>-82.533249999999995</v>
      </c>
      <c r="H2913">
        <f t="shared" si="90"/>
        <v>1670.4</v>
      </c>
      <c r="I2913">
        <f t="shared" si="91"/>
        <v>1038</v>
      </c>
    </row>
    <row r="2914" spans="1:9" ht="30" x14ac:dyDescent="0.25">
      <c r="A2914" s="5" t="s">
        <v>2371</v>
      </c>
      <c r="B2914" s="5" t="s">
        <v>47</v>
      </c>
      <c r="C2914" s="5" t="s">
        <v>3368</v>
      </c>
      <c r="D2914" s="3">
        <f>VLOOKUP(A2914,airports!A:H,7,FALSE)</f>
        <v>42.551498410000001</v>
      </c>
      <c r="E2914" s="3">
        <f>VLOOKUP(A2914,airports!A:H,8,FALSE)</f>
        <v>-94.192596440000003</v>
      </c>
      <c r="F2914" s="3">
        <f>VLOOKUP(B2914,airports!A:H,7,FALSE)</f>
        <v>39.858408060000002</v>
      </c>
      <c r="G2914" s="3">
        <f>VLOOKUP(B2914,airports!A:H,8,FALSE)</f>
        <v>-104.6670019</v>
      </c>
      <c r="H2914">
        <f t="shared" si="90"/>
        <v>925.3</v>
      </c>
      <c r="I2914">
        <f t="shared" si="91"/>
        <v>575</v>
      </c>
    </row>
    <row r="2915" spans="1:9" ht="30" x14ac:dyDescent="0.25">
      <c r="A2915" s="5" t="s">
        <v>2371</v>
      </c>
      <c r="B2915" s="5" t="s">
        <v>3369</v>
      </c>
      <c r="C2915" s="5" t="s">
        <v>3370</v>
      </c>
      <c r="D2915" s="3">
        <f>VLOOKUP(A2915,airports!A:H,7,FALSE)</f>
        <v>42.551498410000001</v>
      </c>
      <c r="E2915" s="3">
        <f>VLOOKUP(A2915,airports!A:H,8,FALSE)</f>
        <v>-94.192596440000003</v>
      </c>
      <c r="F2915" s="3">
        <f>VLOOKUP(B2915,airports!A:H,7,FALSE)</f>
        <v>43.157798999999997</v>
      </c>
      <c r="G2915" s="3">
        <f>VLOOKUP(B2915,airports!A:H,8,FALSE)</f>
        <v>-93.331299000000001</v>
      </c>
      <c r="H2915">
        <f t="shared" si="90"/>
        <v>97.3</v>
      </c>
      <c r="I2915">
        <f t="shared" si="91"/>
        <v>60.5</v>
      </c>
    </row>
    <row r="2916" spans="1:9" ht="30" x14ac:dyDescent="0.25">
      <c r="A2916" s="5" t="s">
        <v>2371</v>
      </c>
      <c r="B2916" s="5" t="s">
        <v>95</v>
      </c>
      <c r="C2916" s="5" t="s">
        <v>3371</v>
      </c>
      <c r="D2916" s="3">
        <f>VLOOKUP(A2916,airports!A:H,7,FALSE)</f>
        <v>42.551498410000001</v>
      </c>
      <c r="E2916" s="3">
        <f>VLOOKUP(A2916,airports!A:H,8,FALSE)</f>
        <v>-94.192596440000003</v>
      </c>
      <c r="F2916" s="3">
        <f>VLOOKUP(B2916,airports!A:H,7,FALSE)</f>
        <v>41.979595000000003</v>
      </c>
      <c r="G2916" s="3">
        <f>VLOOKUP(B2916,airports!A:H,8,FALSE)</f>
        <v>-87.904464169999997</v>
      </c>
      <c r="H2916">
        <f t="shared" si="90"/>
        <v>521.20000000000005</v>
      </c>
      <c r="I2916">
        <f t="shared" si="91"/>
        <v>323.89999999999998</v>
      </c>
    </row>
    <row r="2917" spans="1:9" x14ac:dyDescent="0.25">
      <c r="A2917" s="5" t="s">
        <v>499</v>
      </c>
      <c r="B2917" s="5" t="s">
        <v>10</v>
      </c>
      <c r="C2917" s="5" t="s">
        <v>3372</v>
      </c>
      <c r="D2917" s="3">
        <f>VLOOKUP(A2917,airports!A:H,7,FALSE)</f>
        <v>43.58135111</v>
      </c>
      <c r="E2917" s="3">
        <f>VLOOKUP(A2917,airports!A:H,8,FALSE)</f>
        <v>-96.741700280000003</v>
      </c>
      <c r="F2917" s="3">
        <f>VLOOKUP(B2917,airports!A:H,7,FALSE)</f>
        <v>33.640444440000003</v>
      </c>
      <c r="G2917" s="3">
        <f>VLOOKUP(B2917,airports!A:H,8,FALSE)</f>
        <v>-84.42694444</v>
      </c>
      <c r="H2917">
        <f t="shared" si="90"/>
        <v>1535.1</v>
      </c>
      <c r="I2917">
        <f t="shared" si="91"/>
        <v>954</v>
      </c>
    </row>
    <row r="2918" spans="1:9" ht="30" x14ac:dyDescent="0.25">
      <c r="A2918" s="5" t="s">
        <v>499</v>
      </c>
      <c r="B2918" s="5" t="s">
        <v>13</v>
      </c>
      <c r="C2918" s="5" t="s">
        <v>3373</v>
      </c>
      <c r="D2918" s="3">
        <f>VLOOKUP(A2918,airports!A:H,7,FALSE)</f>
        <v>43.58135111</v>
      </c>
      <c r="E2918" s="3">
        <f>VLOOKUP(A2918,airports!A:H,8,FALSE)</f>
        <v>-96.741700280000003</v>
      </c>
      <c r="F2918" s="3">
        <f>VLOOKUP(B2918,airports!A:H,7,FALSE)</f>
        <v>30.194532779999999</v>
      </c>
      <c r="G2918" s="3">
        <f>VLOOKUP(B2918,airports!A:H,8,FALSE)</f>
        <v>-97.669871939999993</v>
      </c>
      <c r="H2918">
        <f t="shared" si="90"/>
        <v>1490.8</v>
      </c>
      <c r="I2918">
        <f t="shared" si="91"/>
        <v>926.4</v>
      </c>
    </row>
    <row r="2919" spans="1:9" ht="30" x14ac:dyDescent="0.25">
      <c r="A2919" s="5" t="s">
        <v>499</v>
      </c>
      <c r="B2919" s="5" t="s">
        <v>329</v>
      </c>
      <c r="C2919" s="5" t="s">
        <v>3374</v>
      </c>
      <c r="D2919" s="3">
        <f>VLOOKUP(A2919,airports!A:H,7,FALSE)</f>
        <v>43.58135111</v>
      </c>
      <c r="E2919" s="3">
        <f>VLOOKUP(A2919,airports!A:H,8,FALSE)</f>
        <v>-96.741700280000003</v>
      </c>
      <c r="F2919" s="3">
        <f>VLOOKUP(B2919,airports!A:H,7,FALSE)</f>
        <v>33.308999999999997</v>
      </c>
      <c r="G2919" s="3">
        <f>VLOOKUP(B2919,airports!A:H,8,FALSE)</f>
        <v>-111.6559</v>
      </c>
      <c r="H2919">
        <f t="shared" si="90"/>
        <v>1724.8</v>
      </c>
      <c r="I2919">
        <f t="shared" si="91"/>
        <v>1071.8</v>
      </c>
    </row>
    <row r="2920" spans="1:9" ht="30" x14ac:dyDescent="0.25">
      <c r="A2920" s="5" t="s">
        <v>499</v>
      </c>
      <c r="B2920" s="5" t="s">
        <v>19</v>
      </c>
      <c r="C2920" s="5" t="s">
        <v>3375</v>
      </c>
      <c r="D2920" s="3">
        <f>VLOOKUP(A2920,airports!A:H,7,FALSE)</f>
        <v>43.58135111</v>
      </c>
      <c r="E2920" s="3">
        <f>VLOOKUP(A2920,airports!A:H,8,FALSE)</f>
        <v>-96.741700280000003</v>
      </c>
      <c r="F2920" s="3">
        <f>VLOOKUP(B2920,airports!A:H,7,FALSE)</f>
        <v>36.12447667</v>
      </c>
      <c r="G2920" s="3">
        <f>VLOOKUP(B2920,airports!A:H,8,FALSE)</f>
        <v>-86.678182219999997</v>
      </c>
      <c r="H2920">
        <f t="shared" si="90"/>
        <v>1192.3</v>
      </c>
      <c r="I2920">
        <f t="shared" si="91"/>
        <v>740.9</v>
      </c>
    </row>
    <row r="2921" spans="1:9" x14ac:dyDescent="0.25">
      <c r="A2921" s="5" t="s">
        <v>499</v>
      </c>
      <c r="B2921" s="5" t="s">
        <v>40</v>
      </c>
      <c r="C2921" s="5" t="s">
        <v>3376</v>
      </c>
      <c r="D2921" s="3">
        <f>VLOOKUP(A2921,airports!A:H,7,FALSE)</f>
        <v>43.58135111</v>
      </c>
      <c r="E2921" s="3">
        <f>VLOOKUP(A2921,airports!A:H,8,FALSE)</f>
        <v>-96.741700280000003</v>
      </c>
      <c r="F2921" s="3">
        <f>VLOOKUP(B2921,airports!A:H,7,FALSE)</f>
        <v>35.214011110000001</v>
      </c>
      <c r="G2921" s="3">
        <f>VLOOKUP(B2921,airports!A:H,8,FALSE)</f>
        <v>-80.94312583</v>
      </c>
      <c r="H2921">
        <f t="shared" si="90"/>
        <v>1641.3</v>
      </c>
      <c r="I2921">
        <f t="shared" si="91"/>
        <v>1019.9</v>
      </c>
    </row>
    <row r="2922" spans="1:9" ht="30" x14ac:dyDescent="0.25">
      <c r="A2922" s="5" t="s">
        <v>499</v>
      </c>
      <c r="B2922" s="5" t="s">
        <v>47</v>
      </c>
      <c r="C2922" s="5" t="s">
        <v>3377</v>
      </c>
      <c r="D2922" s="3">
        <f>VLOOKUP(A2922,airports!A:H,7,FALSE)</f>
        <v>43.58135111</v>
      </c>
      <c r="E2922" s="3">
        <f>VLOOKUP(A2922,airports!A:H,8,FALSE)</f>
        <v>-96.741700280000003</v>
      </c>
      <c r="F2922" s="3">
        <f>VLOOKUP(B2922,airports!A:H,7,FALSE)</f>
        <v>39.858408060000002</v>
      </c>
      <c r="G2922" s="3">
        <f>VLOOKUP(B2922,airports!A:H,8,FALSE)</f>
        <v>-104.6670019</v>
      </c>
      <c r="H2922">
        <f t="shared" si="90"/>
        <v>776.7</v>
      </c>
      <c r="I2922">
        <f t="shared" si="91"/>
        <v>482.6</v>
      </c>
    </row>
    <row r="2923" spans="1:9" ht="30" x14ac:dyDescent="0.25">
      <c r="A2923" s="5" t="s">
        <v>499</v>
      </c>
      <c r="B2923" s="5" t="s">
        <v>49</v>
      </c>
      <c r="C2923" s="5" t="s">
        <v>3378</v>
      </c>
      <c r="D2923" s="3">
        <f>VLOOKUP(A2923,airports!A:H,7,FALSE)</f>
        <v>43.58135111</v>
      </c>
      <c r="E2923" s="3">
        <f>VLOOKUP(A2923,airports!A:H,8,FALSE)</f>
        <v>-96.741700280000003</v>
      </c>
      <c r="F2923" s="3">
        <f>VLOOKUP(B2923,airports!A:H,7,FALSE)</f>
        <v>32.895950560000003</v>
      </c>
      <c r="G2923" s="3">
        <f>VLOOKUP(B2923,airports!A:H,8,FALSE)</f>
        <v>-97.037199999999999</v>
      </c>
      <c r="H2923">
        <f t="shared" si="90"/>
        <v>1188.4000000000001</v>
      </c>
      <c r="I2923">
        <f t="shared" si="91"/>
        <v>738.5</v>
      </c>
    </row>
    <row r="2924" spans="1:9" x14ac:dyDescent="0.25">
      <c r="A2924" s="5" t="s">
        <v>499</v>
      </c>
      <c r="B2924" s="5" t="s">
        <v>57</v>
      </c>
      <c r="C2924" s="5" t="s">
        <v>3379</v>
      </c>
      <c r="D2924" s="3">
        <f>VLOOKUP(A2924,airports!A:H,7,FALSE)</f>
        <v>43.58135111</v>
      </c>
      <c r="E2924" s="3">
        <f>VLOOKUP(A2924,airports!A:H,8,FALSE)</f>
        <v>-96.741700280000003</v>
      </c>
      <c r="F2924" s="3">
        <f>VLOOKUP(B2924,airports!A:H,7,FALSE)</f>
        <v>26.072583330000001</v>
      </c>
      <c r="G2924" s="3">
        <f>VLOOKUP(B2924,airports!A:H,8,FALSE)</f>
        <v>-80.152749999999997</v>
      </c>
      <c r="H2924">
        <f t="shared" si="90"/>
        <v>2456.4</v>
      </c>
      <c r="I2924">
        <f t="shared" si="91"/>
        <v>1526.4</v>
      </c>
    </row>
    <row r="2925" spans="1:9" x14ac:dyDescent="0.25">
      <c r="A2925" s="5" t="s">
        <v>499</v>
      </c>
      <c r="B2925" s="5" t="s">
        <v>71</v>
      </c>
      <c r="C2925" s="5" t="s">
        <v>3380</v>
      </c>
      <c r="D2925" s="3">
        <f>VLOOKUP(A2925,airports!A:H,7,FALSE)</f>
        <v>43.58135111</v>
      </c>
      <c r="E2925" s="3">
        <f>VLOOKUP(A2925,airports!A:H,8,FALSE)</f>
        <v>-96.741700280000003</v>
      </c>
      <c r="F2925" s="3">
        <f>VLOOKUP(B2925,airports!A:H,7,FALSE)</f>
        <v>36.080361109999998</v>
      </c>
      <c r="G2925" s="3">
        <f>VLOOKUP(B2925,airports!A:H,8,FALSE)</f>
        <v>-115.1523333</v>
      </c>
      <c r="H2925">
        <f t="shared" si="90"/>
        <v>1774.1</v>
      </c>
      <c r="I2925">
        <f t="shared" si="91"/>
        <v>1102.5</v>
      </c>
    </row>
    <row r="2926" spans="1:9" x14ac:dyDescent="0.25">
      <c r="A2926" s="5" t="s">
        <v>499</v>
      </c>
      <c r="B2926" s="5" t="s">
        <v>73</v>
      </c>
      <c r="C2926" s="5" t="s">
        <v>3381</v>
      </c>
      <c r="D2926" s="3">
        <f>VLOOKUP(A2926,airports!A:H,7,FALSE)</f>
        <v>43.58135111</v>
      </c>
      <c r="E2926" s="3">
        <f>VLOOKUP(A2926,airports!A:H,8,FALSE)</f>
        <v>-96.741700280000003</v>
      </c>
      <c r="F2926" s="3">
        <f>VLOOKUP(B2926,airports!A:H,7,FALSE)</f>
        <v>33.942536109999999</v>
      </c>
      <c r="G2926" s="3">
        <f>VLOOKUP(B2926,airports!A:H,8,FALSE)</f>
        <v>-118.4080744</v>
      </c>
      <c r="H2926">
        <f t="shared" si="90"/>
        <v>2153.3000000000002</v>
      </c>
      <c r="I2926">
        <f t="shared" si="91"/>
        <v>1338.1</v>
      </c>
    </row>
    <row r="2927" spans="1:9" ht="30" x14ac:dyDescent="0.25">
      <c r="A2927" s="5" t="s">
        <v>499</v>
      </c>
      <c r="B2927" s="5" t="s">
        <v>82</v>
      </c>
      <c r="C2927" s="5" t="s">
        <v>3382</v>
      </c>
      <c r="D2927" s="3">
        <f>VLOOKUP(A2927,airports!A:H,7,FALSE)</f>
        <v>43.58135111</v>
      </c>
      <c r="E2927" s="3">
        <f>VLOOKUP(A2927,airports!A:H,8,FALSE)</f>
        <v>-96.741700280000003</v>
      </c>
      <c r="F2927" s="3">
        <f>VLOOKUP(B2927,airports!A:H,7,FALSE)</f>
        <v>28.42888889</v>
      </c>
      <c r="G2927" s="3">
        <f>VLOOKUP(B2927,airports!A:H,8,FALSE)</f>
        <v>-81.316027779999999</v>
      </c>
      <c r="H2927">
        <f t="shared" si="90"/>
        <v>2175.1</v>
      </c>
      <c r="I2927">
        <f t="shared" si="91"/>
        <v>1351.6</v>
      </c>
    </row>
    <row r="2928" spans="1:9" ht="30" x14ac:dyDescent="0.25">
      <c r="A2928" s="5" t="s">
        <v>499</v>
      </c>
      <c r="B2928" s="5" t="s">
        <v>87</v>
      </c>
      <c r="C2928" s="5" t="s">
        <v>3383</v>
      </c>
      <c r="D2928" s="3">
        <f>VLOOKUP(A2928,airports!A:H,7,FALSE)</f>
        <v>43.58135111</v>
      </c>
      <c r="E2928" s="3">
        <f>VLOOKUP(A2928,airports!A:H,8,FALSE)</f>
        <v>-96.741700280000003</v>
      </c>
      <c r="F2928" s="3">
        <f>VLOOKUP(B2928,airports!A:H,7,FALSE)</f>
        <v>44.880546940000002</v>
      </c>
      <c r="G2928" s="3">
        <f>VLOOKUP(B2928,airports!A:H,8,FALSE)</f>
        <v>-93.216922499999995</v>
      </c>
      <c r="H2928">
        <f t="shared" si="90"/>
        <v>315.8</v>
      </c>
      <c r="I2928">
        <f t="shared" si="91"/>
        <v>196.2</v>
      </c>
    </row>
    <row r="2929" spans="1:9" ht="30" x14ac:dyDescent="0.25">
      <c r="A2929" s="5" t="s">
        <v>499</v>
      </c>
      <c r="B2929" s="5" t="s">
        <v>95</v>
      </c>
      <c r="C2929" s="5" t="s">
        <v>3384</v>
      </c>
      <c r="D2929" s="3">
        <f>VLOOKUP(A2929,airports!A:H,7,FALSE)</f>
        <v>43.58135111</v>
      </c>
      <c r="E2929" s="3">
        <f>VLOOKUP(A2929,airports!A:H,8,FALSE)</f>
        <v>-96.741700280000003</v>
      </c>
      <c r="F2929" s="3">
        <f>VLOOKUP(B2929,airports!A:H,7,FALSE)</f>
        <v>41.979595000000003</v>
      </c>
      <c r="G2929" s="3">
        <f>VLOOKUP(B2929,airports!A:H,8,FALSE)</f>
        <v>-87.904464169999997</v>
      </c>
      <c r="H2929">
        <f t="shared" si="90"/>
        <v>742.5</v>
      </c>
      <c r="I2929">
        <f t="shared" si="91"/>
        <v>461.4</v>
      </c>
    </row>
    <row r="2930" spans="1:9" ht="30" x14ac:dyDescent="0.25">
      <c r="A2930" s="5" t="s">
        <v>499</v>
      </c>
      <c r="B2930" s="5" t="s">
        <v>185</v>
      </c>
      <c r="C2930" s="5" t="s">
        <v>3385</v>
      </c>
      <c r="D2930" s="3">
        <f>VLOOKUP(A2930,airports!A:H,7,FALSE)</f>
        <v>43.58135111</v>
      </c>
      <c r="E2930" s="3">
        <f>VLOOKUP(A2930,airports!A:H,8,FALSE)</f>
        <v>-96.741700280000003</v>
      </c>
      <c r="F2930" s="3">
        <f>VLOOKUP(B2930,airports!A:H,7,FALSE)</f>
        <v>26.919699999999999</v>
      </c>
      <c r="G2930" s="3">
        <f>VLOOKUP(B2930,airports!A:H,8,FALSE)</f>
        <v>-81.995999999999995</v>
      </c>
      <c r="H2930">
        <f t="shared" si="90"/>
        <v>2278.1999999999998</v>
      </c>
      <c r="I2930">
        <f t="shared" si="91"/>
        <v>1415.7</v>
      </c>
    </row>
    <row r="2931" spans="1:9" ht="30" x14ac:dyDescent="0.25">
      <c r="A2931" s="5" t="s">
        <v>499</v>
      </c>
      <c r="B2931" s="5" t="s">
        <v>104</v>
      </c>
      <c r="C2931" s="5" t="s">
        <v>3386</v>
      </c>
      <c r="D2931" s="3">
        <f>VLOOKUP(A2931,airports!A:H,7,FALSE)</f>
        <v>43.58135111</v>
      </c>
      <c r="E2931" s="3">
        <f>VLOOKUP(A2931,airports!A:H,8,FALSE)</f>
        <v>-96.741700280000003</v>
      </c>
      <c r="F2931" s="3">
        <f>VLOOKUP(B2931,airports!A:H,7,FALSE)</f>
        <v>33.434166670000003</v>
      </c>
      <c r="G2931" s="3">
        <f>VLOOKUP(B2931,airports!A:H,8,FALSE)</f>
        <v>-112.00805560000001</v>
      </c>
      <c r="H2931">
        <f t="shared" si="90"/>
        <v>1737.9</v>
      </c>
      <c r="I2931">
        <f t="shared" si="91"/>
        <v>1079.9000000000001</v>
      </c>
    </row>
    <row r="2932" spans="1:9" x14ac:dyDescent="0.25">
      <c r="A2932" s="5" t="s">
        <v>499</v>
      </c>
      <c r="B2932" s="5" t="s">
        <v>188</v>
      </c>
      <c r="C2932" s="5" t="s">
        <v>3387</v>
      </c>
      <c r="D2932" s="3">
        <f>VLOOKUP(A2932,airports!A:H,7,FALSE)</f>
        <v>43.58135111</v>
      </c>
      <c r="E2932" s="3">
        <f>VLOOKUP(A2932,airports!A:H,8,FALSE)</f>
        <v>-96.741700280000003</v>
      </c>
      <c r="F2932" s="3">
        <f>VLOOKUP(B2932,airports!A:H,7,FALSE)</f>
        <v>27.910763330000002</v>
      </c>
      <c r="G2932" s="3">
        <f>VLOOKUP(B2932,airports!A:H,8,FALSE)</f>
        <v>-82.687439440000006</v>
      </c>
      <c r="H2932">
        <f t="shared" si="90"/>
        <v>2148.6</v>
      </c>
      <c r="I2932">
        <f t="shared" si="91"/>
        <v>1335.2</v>
      </c>
    </row>
    <row r="2933" spans="1:9" ht="30" x14ac:dyDescent="0.25">
      <c r="A2933" s="5" t="s">
        <v>499</v>
      </c>
      <c r="B2933" s="5" t="s">
        <v>124</v>
      </c>
      <c r="C2933" s="5" t="s">
        <v>3388</v>
      </c>
      <c r="D2933" s="3">
        <f>VLOOKUP(A2933,airports!A:H,7,FALSE)</f>
        <v>43.58135111</v>
      </c>
      <c r="E2933" s="3">
        <f>VLOOKUP(A2933,airports!A:H,8,FALSE)</f>
        <v>-96.741700280000003</v>
      </c>
      <c r="F2933" s="3">
        <f>VLOOKUP(B2933,airports!A:H,7,FALSE)</f>
        <v>32.733556110000002</v>
      </c>
      <c r="G2933" s="3">
        <f>VLOOKUP(B2933,airports!A:H,8,FALSE)</f>
        <v>-117.1896567</v>
      </c>
      <c r="H2933">
        <f t="shared" si="90"/>
        <v>2147.3000000000002</v>
      </c>
      <c r="I2933">
        <f t="shared" si="91"/>
        <v>1334.4</v>
      </c>
    </row>
    <row r="2934" spans="1:9" x14ac:dyDescent="0.25">
      <c r="A2934" s="5" t="s">
        <v>499</v>
      </c>
      <c r="B2934" s="5" t="s">
        <v>191</v>
      </c>
      <c r="C2934" s="5" t="s">
        <v>3389</v>
      </c>
      <c r="D2934" s="3">
        <f>VLOOKUP(A2934,airports!A:H,7,FALSE)</f>
        <v>43.58135111</v>
      </c>
      <c r="E2934" s="3">
        <f>VLOOKUP(A2934,airports!A:H,8,FALSE)</f>
        <v>-96.741700280000003</v>
      </c>
      <c r="F2934" s="3">
        <f>VLOOKUP(B2934,airports!A:H,7,FALSE)</f>
        <v>28.7776</v>
      </c>
      <c r="G2934" s="3">
        <f>VLOOKUP(B2934,airports!A:H,8,FALSE)</f>
        <v>-81.237499999999997</v>
      </c>
      <c r="H2934">
        <f t="shared" si="90"/>
        <v>2148</v>
      </c>
      <c r="I2934">
        <f t="shared" si="91"/>
        <v>1334.8</v>
      </c>
    </row>
    <row r="2935" spans="1:9" ht="30" x14ac:dyDescent="0.25">
      <c r="A2935" s="5" t="s">
        <v>499</v>
      </c>
      <c r="B2935" s="5" t="s">
        <v>227</v>
      </c>
      <c r="C2935" s="5" t="s">
        <v>3390</v>
      </c>
      <c r="D2935" s="3">
        <f>VLOOKUP(A2935,airports!A:H,7,FALSE)</f>
        <v>43.58135111</v>
      </c>
      <c r="E2935" s="3">
        <f>VLOOKUP(A2935,airports!A:H,8,FALSE)</f>
        <v>-96.741700280000003</v>
      </c>
      <c r="F2935" s="3">
        <f>VLOOKUP(B2935,airports!A:H,7,FALSE)</f>
        <v>33.675658609999999</v>
      </c>
      <c r="G2935" s="3">
        <f>VLOOKUP(B2935,airports!A:H,8,FALSE)</f>
        <v>-117.8682225</v>
      </c>
      <c r="H2935">
        <f t="shared" si="90"/>
        <v>2131.1</v>
      </c>
      <c r="I2935">
        <f t="shared" si="91"/>
        <v>1324.3</v>
      </c>
    </row>
    <row r="2936" spans="1:9" ht="30" x14ac:dyDescent="0.25">
      <c r="A2936" s="5" t="s">
        <v>501</v>
      </c>
      <c r="B2936" s="5" t="s">
        <v>10</v>
      </c>
      <c r="C2936" s="5" t="s">
        <v>3391</v>
      </c>
      <c r="D2936" s="3">
        <f>VLOOKUP(A2936,airports!A:H,7,FALSE)</f>
        <v>35.336590280000003</v>
      </c>
      <c r="E2936" s="3">
        <f>VLOOKUP(A2936,airports!A:H,8,FALSE)</f>
        <v>-94.367441110000001</v>
      </c>
      <c r="F2936" s="3">
        <f>VLOOKUP(B2936,airports!A:H,7,FALSE)</f>
        <v>33.640444440000003</v>
      </c>
      <c r="G2936" s="3">
        <f>VLOOKUP(B2936,airports!A:H,8,FALSE)</f>
        <v>-84.42694444</v>
      </c>
      <c r="H2936">
        <f t="shared" si="90"/>
        <v>929.9</v>
      </c>
      <c r="I2936">
        <f t="shared" si="91"/>
        <v>577.9</v>
      </c>
    </row>
    <row r="2937" spans="1:9" ht="30" x14ac:dyDescent="0.25">
      <c r="A2937" s="5" t="s">
        <v>501</v>
      </c>
      <c r="B2937" s="5" t="s">
        <v>49</v>
      </c>
      <c r="C2937" s="5" t="s">
        <v>3392</v>
      </c>
      <c r="D2937" s="3">
        <f>VLOOKUP(A2937,airports!A:H,7,FALSE)</f>
        <v>35.336590280000003</v>
      </c>
      <c r="E2937" s="3">
        <f>VLOOKUP(A2937,airports!A:H,8,FALSE)</f>
        <v>-94.367441110000001</v>
      </c>
      <c r="F2937" s="3">
        <f>VLOOKUP(B2937,airports!A:H,7,FALSE)</f>
        <v>32.895950560000003</v>
      </c>
      <c r="G2937" s="3">
        <f>VLOOKUP(B2937,airports!A:H,8,FALSE)</f>
        <v>-97.037199999999999</v>
      </c>
      <c r="H2937">
        <f t="shared" si="90"/>
        <v>366.1</v>
      </c>
      <c r="I2937">
        <f t="shared" si="91"/>
        <v>227.5</v>
      </c>
    </row>
    <row r="2938" spans="1:9" ht="30" x14ac:dyDescent="0.25">
      <c r="A2938" s="5" t="s">
        <v>503</v>
      </c>
      <c r="B2938" s="5" t="s">
        <v>10</v>
      </c>
      <c r="C2938" s="5" t="s">
        <v>3393</v>
      </c>
      <c r="D2938" s="3">
        <f>VLOOKUP(A2938,airports!A:H,7,FALSE)</f>
        <v>40.978465829999998</v>
      </c>
      <c r="E2938" s="3">
        <f>VLOOKUP(A2938,airports!A:H,8,FALSE)</f>
        <v>-85.195146390000005</v>
      </c>
      <c r="F2938" s="3">
        <f>VLOOKUP(B2938,airports!A:H,7,FALSE)</f>
        <v>33.640444440000003</v>
      </c>
      <c r="G2938" s="3">
        <f>VLOOKUP(B2938,airports!A:H,8,FALSE)</f>
        <v>-84.42694444</v>
      </c>
      <c r="H2938">
        <f t="shared" si="90"/>
        <v>818.8</v>
      </c>
      <c r="I2938">
        <f t="shared" si="91"/>
        <v>508.8</v>
      </c>
    </row>
    <row r="2939" spans="1:9" ht="30" x14ac:dyDescent="0.25">
      <c r="A2939" s="5" t="s">
        <v>503</v>
      </c>
      <c r="B2939" s="5" t="s">
        <v>329</v>
      </c>
      <c r="C2939" s="5" t="s">
        <v>3394</v>
      </c>
      <c r="D2939" s="3">
        <f>VLOOKUP(A2939,airports!A:H,7,FALSE)</f>
        <v>40.978465829999998</v>
      </c>
      <c r="E2939" s="3">
        <f>VLOOKUP(A2939,airports!A:H,8,FALSE)</f>
        <v>-85.195146390000005</v>
      </c>
      <c r="F2939" s="3">
        <f>VLOOKUP(B2939,airports!A:H,7,FALSE)</f>
        <v>33.308999999999997</v>
      </c>
      <c r="G2939" s="3">
        <f>VLOOKUP(B2939,airports!A:H,8,FALSE)</f>
        <v>-111.6559</v>
      </c>
      <c r="H2939">
        <f t="shared" si="90"/>
        <v>2483.9</v>
      </c>
      <c r="I2939">
        <f t="shared" si="91"/>
        <v>1543.5</v>
      </c>
    </row>
    <row r="2940" spans="1:9" ht="30" x14ac:dyDescent="0.25">
      <c r="A2940" s="5" t="s">
        <v>503</v>
      </c>
      <c r="B2940" s="5" t="s">
        <v>19</v>
      </c>
      <c r="C2940" s="5" t="s">
        <v>3395</v>
      </c>
      <c r="D2940" s="3">
        <f>VLOOKUP(A2940,airports!A:H,7,FALSE)</f>
        <v>40.978465829999998</v>
      </c>
      <c r="E2940" s="3">
        <f>VLOOKUP(A2940,airports!A:H,8,FALSE)</f>
        <v>-85.195146390000005</v>
      </c>
      <c r="F2940" s="3">
        <f>VLOOKUP(B2940,airports!A:H,7,FALSE)</f>
        <v>36.12447667</v>
      </c>
      <c r="G2940" s="3">
        <f>VLOOKUP(B2940,airports!A:H,8,FALSE)</f>
        <v>-86.678182219999997</v>
      </c>
      <c r="H2940">
        <f t="shared" si="90"/>
        <v>554.9</v>
      </c>
      <c r="I2940">
        <f t="shared" si="91"/>
        <v>344.8</v>
      </c>
    </row>
    <row r="2941" spans="1:9" ht="30" x14ac:dyDescent="0.25">
      <c r="A2941" s="5" t="s">
        <v>503</v>
      </c>
      <c r="B2941" s="5" t="s">
        <v>40</v>
      </c>
      <c r="C2941" s="5" t="s">
        <v>3396</v>
      </c>
      <c r="D2941" s="3">
        <f>VLOOKUP(A2941,airports!A:H,7,FALSE)</f>
        <v>40.978465829999998</v>
      </c>
      <c r="E2941" s="3">
        <f>VLOOKUP(A2941,airports!A:H,8,FALSE)</f>
        <v>-85.195146390000005</v>
      </c>
      <c r="F2941" s="3">
        <f>VLOOKUP(B2941,airports!A:H,7,FALSE)</f>
        <v>35.214011110000001</v>
      </c>
      <c r="G2941" s="3">
        <f>VLOOKUP(B2941,airports!A:H,8,FALSE)</f>
        <v>-80.94312583</v>
      </c>
      <c r="H2941">
        <f t="shared" si="90"/>
        <v>740.9</v>
      </c>
      <c r="I2941">
        <f t="shared" si="91"/>
        <v>460.4</v>
      </c>
    </row>
    <row r="2942" spans="1:9" ht="30" x14ac:dyDescent="0.25">
      <c r="A2942" s="5" t="s">
        <v>503</v>
      </c>
      <c r="B2942" s="5" t="s">
        <v>49</v>
      </c>
      <c r="C2942" s="5" t="s">
        <v>3397</v>
      </c>
      <c r="D2942" s="3">
        <f>VLOOKUP(A2942,airports!A:H,7,FALSE)</f>
        <v>40.978465829999998</v>
      </c>
      <c r="E2942" s="3">
        <f>VLOOKUP(A2942,airports!A:H,8,FALSE)</f>
        <v>-85.195146390000005</v>
      </c>
      <c r="F2942" s="3">
        <f>VLOOKUP(B2942,airports!A:H,7,FALSE)</f>
        <v>32.895950560000003</v>
      </c>
      <c r="G2942" s="3">
        <f>VLOOKUP(B2942,airports!A:H,8,FALSE)</f>
        <v>-97.037199999999999</v>
      </c>
      <c r="H2942">
        <f t="shared" si="90"/>
        <v>1381.7</v>
      </c>
      <c r="I2942">
        <f t="shared" si="91"/>
        <v>858.6</v>
      </c>
    </row>
    <row r="2943" spans="1:9" ht="30" x14ac:dyDescent="0.25">
      <c r="A2943" s="5" t="s">
        <v>503</v>
      </c>
      <c r="B2943" s="5" t="s">
        <v>50</v>
      </c>
      <c r="C2943" s="5" t="s">
        <v>3398</v>
      </c>
      <c r="D2943" s="3">
        <f>VLOOKUP(A2943,airports!A:H,7,FALSE)</f>
        <v>40.978465829999998</v>
      </c>
      <c r="E2943" s="3">
        <f>VLOOKUP(A2943,airports!A:H,8,FALSE)</f>
        <v>-85.195146390000005</v>
      </c>
      <c r="F2943" s="3">
        <f>VLOOKUP(B2943,airports!A:H,7,FALSE)</f>
        <v>42.212058890000002</v>
      </c>
      <c r="G2943" s="3">
        <f>VLOOKUP(B2943,airports!A:H,8,FALSE)</f>
        <v>-83.348835829999999</v>
      </c>
      <c r="H2943">
        <f t="shared" si="90"/>
        <v>205.9</v>
      </c>
      <c r="I2943">
        <f t="shared" si="91"/>
        <v>127.9</v>
      </c>
    </row>
    <row r="2944" spans="1:9" ht="30" x14ac:dyDescent="0.25">
      <c r="A2944" s="5" t="s">
        <v>503</v>
      </c>
      <c r="B2944" s="5" t="s">
        <v>52</v>
      </c>
      <c r="C2944" s="5" t="s">
        <v>3399</v>
      </c>
      <c r="D2944" s="3">
        <f>VLOOKUP(A2944,airports!A:H,7,FALSE)</f>
        <v>40.978465829999998</v>
      </c>
      <c r="E2944" s="3">
        <f>VLOOKUP(A2944,airports!A:H,8,FALSE)</f>
        <v>-85.195146390000005</v>
      </c>
      <c r="F2944" s="3">
        <f>VLOOKUP(B2944,airports!A:H,7,FALSE)</f>
        <v>40.69249722</v>
      </c>
      <c r="G2944" s="3">
        <f>VLOOKUP(B2944,airports!A:H,8,FALSE)</f>
        <v>-74.168660560000006</v>
      </c>
      <c r="H2944">
        <f t="shared" si="90"/>
        <v>927.6</v>
      </c>
      <c r="I2944">
        <f t="shared" si="91"/>
        <v>576.4</v>
      </c>
    </row>
    <row r="2945" spans="1:9" ht="30" x14ac:dyDescent="0.25">
      <c r="A2945" s="5" t="s">
        <v>503</v>
      </c>
      <c r="B2945" s="5" t="s">
        <v>71</v>
      </c>
      <c r="C2945" s="5" t="s">
        <v>3400</v>
      </c>
      <c r="D2945" s="3">
        <f>VLOOKUP(A2945,airports!A:H,7,FALSE)</f>
        <v>40.978465829999998</v>
      </c>
      <c r="E2945" s="3">
        <f>VLOOKUP(A2945,airports!A:H,8,FALSE)</f>
        <v>-85.195146390000005</v>
      </c>
      <c r="F2945" s="3">
        <f>VLOOKUP(B2945,airports!A:H,7,FALSE)</f>
        <v>36.080361109999998</v>
      </c>
      <c r="G2945" s="3">
        <f>VLOOKUP(B2945,airports!A:H,8,FALSE)</f>
        <v>-115.1523333</v>
      </c>
      <c r="H2945">
        <f t="shared" si="90"/>
        <v>2648.5</v>
      </c>
      <c r="I2945">
        <f t="shared" si="91"/>
        <v>1645.8</v>
      </c>
    </row>
    <row r="2946" spans="1:9" ht="30" x14ac:dyDescent="0.25">
      <c r="A2946" s="5" t="s">
        <v>503</v>
      </c>
      <c r="B2946" s="5" t="s">
        <v>87</v>
      </c>
      <c r="C2946" s="5" t="s">
        <v>3401</v>
      </c>
      <c r="D2946" s="3">
        <f>VLOOKUP(A2946,airports!A:H,7,FALSE)</f>
        <v>40.978465829999998</v>
      </c>
      <c r="E2946" s="3">
        <f>VLOOKUP(A2946,airports!A:H,8,FALSE)</f>
        <v>-85.195146390000005</v>
      </c>
      <c r="F2946" s="3">
        <f>VLOOKUP(B2946,airports!A:H,7,FALSE)</f>
        <v>44.880546940000002</v>
      </c>
      <c r="G2946" s="3">
        <f>VLOOKUP(B2946,airports!A:H,8,FALSE)</f>
        <v>-93.216922499999995</v>
      </c>
      <c r="H2946">
        <f t="shared" si="90"/>
        <v>783.5</v>
      </c>
      <c r="I2946">
        <f t="shared" si="91"/>
        <v>486.9</v>
      </c>
    </row>
    <row r="2947" spans="1:9" ht="30" x14ac:dyDescent="0.25">
      <c r="A2947" s="5" t="s">
        <v>503</v>
      </c>
      <c r="B2947" s="5" t="s">
        <v>182</v>
      </c>
      <c r="C2947" s="5" t="s">
        <v>3402</v>
      </c>
      <c r="D2947" s="3">
        <f>VLOOKUP(A2947,airports!A:H,7,FALSE)</f>
        <v>40.978465829999998</v>
      </c>
      <c r="E2947" s="3">
        <f>VLOOKUP(A2947,airports!A:H,8,FALSE)</f>
        <v>-85.195146390000005</v>
      </c>
      <c r="F2947" s="3">
        <f>VLOOKUP(B2947,airports!A:H,7,FALSE)</f>
        <v>33.679749999999999</v>
      </c>
      <c r="G2947" s="3">
        <f>VLOOKUP(B2947,airports!A:H,8,FALSE)</f>
        <v>-78.928333330000001</v>
      </c>
      <c r="H2947">
        <f t="shared" si="90"/>
        <v>982.1</v>
      </c>
      <c r="I2947">
        <f t="shared" si="91"/>
        <v>610.29999999999995</v>
      </c>
    </row>
    <row r="2948" spans="1:9" ht="30" x14ac:dyDescent="0.25">
      <c r="A2948" s="5" t="s">
        <v>503</v>
      </c>
      <c r="B2948" s="5" t="s">
        <v>95</v>
      </c>
      <c r="C2948" s="5" t="s">
        <v>3403</v>
      </c>
      <c r="D2948" s="3">
        <f>VLOOKUP(A2948,airports!A:H,7,FALSE)</f>
        <v>40.978465829999998</v>
      </c>
      <c r="E2948" s="3">
        <f>VLOOKUP(A2948,airports!A:H,8,FALSE)</f>
        <v>-85.195146390000005</v>
      </c>
      <c r="F2948" s="3">
        <f>VLOOKUP(B2948,airports!A:H,7,FALSE)</f>
        <v>41.979595000000003</v>
      </c>
      <c r="G2948" s="3">
        <f>VLOOKUP(B2948,airports!A:H,8,FALSE)</f>
        <v>-87.904464169999997</v>
      </c>
      <c r="H2948">
        <f t="shared" ref="H2948:H3011" si="92">ROUND(ACOS(COS(RADIANS(90-D2948)) * COS(RADIANS(90-F2948)) + SIN(RADIANS(90-D2948)) * SIN(RADIANS(90-F2948)) * COS(RADIANS(E2948-G2948))) * 6371,1)</f>
        <v>251.6</v>
      </c>
      <c r="I2948">
        <f t="shared" ref="I2948:I3011" si="93">ROUND(ACOS(COS(RADIANS(90-D2948)) * COS(RADIANS(90-F2948)) + SIN(RADIANS(90-D2948)) * SIN(RADIANS(90-F2948)) * COS(RADIANS(E2948-G2948))) * 3959,1)</f>
        <v>156.4</v>
      </c>
    </row>
    <row r="2949" spans="1:9" ht="30" x14ac:dyDescent="0.25">
      <c r="A2949" s="5" t="s">
        <v>503</v>
      </c>
      <c r="B2949" s="5" t="s">
        <v>185</v>
      </c>
      <c r="C2949" s="5" t="s">
        <v>3404</v>
      </c>
      <c r="D2949" s="3">
        <f>VLOOKUP(A2949,airports!A:H,7,FALSE)</f>
        <v>40.978465829999998</v>
      </c>
      <c r="E2949" s="3">
        <f>VLOOKUP(A2949,airports!A:H,8,FALSE)</f>
        <v>-85.195146390000005</v>
      </c>
      <c r="F2949" s="3">
        <f>VLOOKUP(B2949,airports!A:H,7,FALSE)</f>
        <v>26.919699999999999</v>
      </c>
      <c r="G2949" s="3">
        <f>VLOOKUP(B2949,airports!A:H,8,FALSE)</f>
        <v>-81.995999999999995</v>
      </c>
      <c r="H2949">
        <f t="shared" si="92"/>
        <v>1590.5</v>
      </c>
      <c r="I2949">
        <f t="shared" si="93"/>
        <v>988.4</v>
      </c>
    </row>
    <row r="2950" spans="1:9" ht="30" x14ac:dyDescent="0.25">
      <c r="A2950" s="5" t="s">
        <v>503</v>
      </c>
      <c r="B2950" s="5" t="s">
        <v>102</v>
      </c>
      <c r="C2950" s="5" t="s">
        <v>3405</v>
      </c>
      <c r="D2950" s="3">
        <f>VLOOKUP(A2950,airports!A:H,7,FALSE)</f>
        <v>40.978465829999998</v>
      </c>
      <c r="E2950" s="3">
        <f>VLOOKUP(A2950,airports!A:H,8,FALSE)</f>
        <v>-85.195146390000005</v>
      </c>
      <c r="F2950" s="3">
        <f>VLOOKUP(B2950,airports!A:H,7,FALSE)</f>
        <v>39.871952780000001</v>
      </c>
      <c r="G2950" s="3">
        <f>VLOOKUP(B2950,airports!A:H,8,FALSE)</f>
        <v>-75.241140830000006</v>
      </c>
      <c r="H2950">
        <f t="shared" si="92"/>
        <v>851</v>
      </c>
      <c r="I2950">
        <f t="shared" si="93"/>
        <v>528.79999999999995</v>
      </c>
    </row>
    <row r="2951" spans="1:9" ht="30" x14ac:dyDescent="0.25">
      <c r="A2951" s="5" t="s">
        <v>503</v>
      </c>
      <c r="B2951" s="5" t="s">
        <v>188</v>
      </c>
      <c r="C2951" s="5" t="s">
        <v>3406</v>
      </c>
      <c r="D2951" s="3">
        <f>VLOOKUP(A2951,airports!A:H,7,FALSE)</f>
        <v>40.978465829999998</v>
      </c>
      <c r="E2951" s="3">
        <f>VLOOKUP(A2951,airports!A:H,8,FALSE)</f>
        <v>-85.195146390000005</v>
      </c>
      <c r="F2951" s="3">
        <f>VLOOKUP(B2951,airports!A:H,7,FALSE)</f>
        <v>27.910763330000002</v>
      </c>
      <c r="G2951" s="3">
        <f>VLOOKUP(B2951,airports!A:H,8,FALSE)</f>
        <v>-82.687439440000006</v>
      </c>
      <c r="H2951">
        <f t="shared" si="92"/>
        <v>1471</v>
      </c>
      <c r="I2951">
        <f t="shared" si="93"/>
        <v>914.1</v>
      </c>
    </row>
    <row r="2952" spans="1:9" ht="30" x14ac:dyDescent="0.25">
      <c r="A2952" s="5" t="s">
        <v>503</v>
      </c>
      <c r="B2952" s="5" t="s">
        <v>191</v>
      </c>
      <c r="C2952" s="5" t="s">
        <v>3407</v>
      </c>
      <c r="D2952" s="3">
        <f>VLOOKUP(A2952,airports!A:H,7,FALSE)</f>
        <v>40.978465829999998</v>
      </c>
      <c r="E2952" s="3">
        <f>VLOOKUP(A2952,airports!A:H,8,FALSE)</f>
        <v>-85.195146390000005</v>
      </c>
      <c r="F2952" s="3">
        <f>VLOOKUP(B2952,airports!A:H,7,FALSE)</f>
        <v>28.7776</v>
      </c>
      <c r="G2952" s="3">
        <f>VLOOKUP(B2952,airports!A:H,8,FALSE)</f>
        <v>-81.237499999999997</v>
      </c>
      <c r="H2952">
        <f t="shared" si="92"/>
        <v>1403.4</v>
      </c>
      <c r="I2952">
        <f t="shared" si="93"/>
        <v>872.1</v>
      </c>
    </row>
    <row r="2953" spans="1:9" ht="30" x14ac:dyDescent="0.25">
      <c r="A2953" s="5" t="s">
        <v>503</v>
      </c>
      <c r="B2953" s="5" t="s">
        <v>138</v>
      </c>
      <c r="C2953" s="5" t="s">
        <v>3408</v>
      </c>
      <c r="D2953" s="3">
        <f>VLOOKUP(A2953,airports!A:H,7,FALSE)</f>
        <v>40.978465829999998</v>
      </c>
      <c r="E2953" s="3">
        <f>VLOOKUP(A2953,airports!A:H,8,FALSE)</f>
        <v>-85.195146390000005</v>
      </c>
      <c r="F2953" s="3">
        <f>VLOOKUP(B2953,airports!A:H,7,FALSE)</f>
        <v>27.39533333</v>
      </c>
      <c r="G2953" s="3">
        <f>VLOOKUP(B2953,airports!A:H,8,FALSE)</f>
        <v>-82.554111109999994</v>
      </c>
      <c r="H2953">
        <f t="shared" si="92"/>
        <v>1529.6</v>
      </c>
      <c r="I2953">
        <f t="shared" si="93"/>
        <v>950.5</v>
      </c>
    </row>
    <row r="2954" spans="1:9" ht="30" x14ac:dyDescent="0.25">
      <c r="A2954" s="5" t="s">
        <v>2374</v>
      </c>
      <c r="B2954" s="5" t="s">
        <v>47</v>
      </c>
      <c r="C2954" s="5" t="s">
        <v>3409</v>
      </c>
      <c r="D2954" s="3">
        <f>VLOOKUP(A2954,airports!A:H,7,FALSE)</f>
        <v>44.348898060000003</v>
      </c>
      <c r="E2954" s="3">
        <f>VLOOKUP(A2954,airports!A:H,8,FALSE)</f>
        <v>-105.5393614</v>
      </c>
      <c r="F2954" s="3">
        <f>VLOOKUP(B2954,airports!A:H,7,FALSE)</f>
        <v>39.858408060000002</v>
      </c>
      <c r="G2954" s="3">
        <f>VLOOKUP(B2954,airports!A:H,8,FALSE)</f>
        <v>-104.6670019</v>
      </c>
      <c r="H2954">
        <f t="shared" si="92"/>
        <v>504.5</v>
      </c>
      <c r="I2954">
        <f t="shared" si="93"/>
        <v>313.5</v>
      </c>
    </row>
    <row r="2955" spans="1:9" ht="30" x14ac:dyDescent="0.25">
      <c r="A2955" s="5" t="s">
        <v>2374</v>
      </c>
      <c r="B2955" s="5" t="s">
        <v>2500</v>
      </c>
      <c r="C2955" s="5" t="s">
        <v>3410</v>
      </c>
      <c r="D2955" s="3">
        <f>VLOOKUP(A2955,airports!A:H,7,FALSE)</f>
        <v>44.348898060000003</v>
      </c>
      <c r="E2955" s="3">
        <f>VLOOKUP(A2955,airports!A:H,8,FALSE)</f>
        <v>-105.5393614</v>
      </c>
      <c r="F2955" s="3">
        <f>VLOOKUP(B2955,airports!A:H,7,FALSE)</f>
        <v>44.769199371337798</v>
      </c>
      <c r="G2955" s="3">
        <f>VLOOKUP(B2955,airports!A:H,8,FALSE)</f>
        <v>-106.980003356933</v>
      </c>
      <c r="H2955">
        <f t="shared" si="92"/>
        <v>123.3</v>
      </c>
      <c r="I2955">
        <f t="shared" si="93"/>
        <v>76.599999999999994</v>
      </c>
    </row>
    <row r="2956" spans="1:9" ht="30" x14ac:dyDescent="0.25">
      <c r="A2956" s="5" t="s">
        <v>2604</v>
      </c>
      <c r="B2956" s="5" t="s">
        <v>49</v>
      </c>
      <c r="C2956" s="5" t="s">
        <v>3411</v>
      </c>
      <c r="D2956" s="3">
        <f>VLOOKUP(A2956,airports!A:H,7,FALSE)</f>
        <v>37.927515560000003</v>
      </c>
      <c r="E2956" s="3">
        <f>VLOOKUP(A2956,airports!A:H,8,FALSE)</f>
        <v>-100.7244147</v>
      </c>
      <c r="F2956" s="3">
        <f>VLOOKUP(B2956,airports!A:H,7,FALSE)</f>
        <v>32.895950560000003</v>
      </c>
      <c r="G2956" s="3">
        <f>VLOOKUP(B2956,airports!A:H,8,FALSE)</f>
        <v>-97.037199999999999</v>
      </c>
      <c r="H2956">
        <f t="shared" si="92"/>
        <v>651.5</v>
      </c>
      <c r="I2956">
        <f t="shared" si="93"/>
        <v>404.9</v>
      </c>
    </row>
    <row r="2957" spans="1:9" ht="30" x14ac:dyDescent="0.25">
      <c r="A2957" s="5" t="s">
        <v>505</v>
      </c>
      <c r="B2957" s="5" t="s">
        <v>10</v>
      </c>
      <c r="C2957" s="5" t="s">
        <v>3412</v>
      </c>
      <c r="D2957" s="3">
        <f>VLOOKUP(A2957,airports!A:H,7,FALSE)</f>
        <v>47.619855559999998</v>
      </c>
      <c r="E2957" s="3">
        <f>VLOOKUP(A2957,airports!A:H,8,FALSE)</f>
        <v>-117.53384250000001</v>
      </c>
      <c r="F2957" s="3">
        <f>VLOOKUP(B2957,airports!A:H,7,FALSE)</f>
        <v>33.640444440000003</v>
      </c>
      <c r="G2957" s="3">
        <f>VLOOKUP(B2957,airports!A:H,8,FALSE)</f>
        <v>-84.42694444</v>
      </c>
      <c r="H2957">
        <f t="shared" si="92"/>
        <v>3162.9</v>
      </c>
      <c r="I2957">
        <f t="shared" si="93"/>
        <v>1965.4</v>
      </c>
    </row>
    <row r="2958" spans="1:9" ht="30" x14ac:dyDescent="0.25">
      <c r="A2958" s="5" t="s">
        <v>505</v>
      </c>
      <c r="B2958" s="5" t="s">
        <v>329</v>
      </c>
      <c r="C2958" s="5" t="s">
        <v>3413</v>
      </c>
      <c r="D2958" s="3">
        <f>VLOOKUP(A2958,airports!A:H,7,FALSE)</f>
        <v>47.619855559999998</v>
      </c>
      <c r="E2958" s="3">
        <f>VLOOKUP(A2958,airports!A:H,8,FALSE)</f>
        <v>-117.53384250000001</v>
      </c>
      <c r="F2958" s="3">
        <f>VLOOKUP(B2958,airports!A:H,7,FALSE)</f>
        <v>33.308999999999997</v>
      </c>
      <c r="G2958" s="3">
        <f>VLOOKUP(B2958,airports!A:H,8,FALSE)</f>
        <v>-111.6559</v>
      </c>
      <c r="H2958">
        <f t="shared" si="92"/>
        <v>1665.9</v>
      </c>
      <c r="I2958">
        <f t="shared" si="93"/>
        <v>1035.2</v>
      </c>
    </row>
    <row r="2959" spans="1:9" ht="30" x14ac:dyDescent="0.25">
      <c r="A2959" s="5" t="s">
        <v>505</v>
      </c>
      <c r="B2959" s="5" t="s">
        <v>22</v>
      </c>
      <c r="C2959" s="5" t="s">
        <v>3414</v>
      </c>
      <c r="D2959" s="3">
        <f>VLOOKUP(A2959,airports!A:H,7,FALSE)</f>
        <v>47.619855559999998</v>
      </c>
      <c r="E2959" s="3">
        <f>VLOOKUP(A2959,airports!A:H,8,FALSE)</f>
        <v>-117.53384250000001</v>
      </c>
      <c r="F2959" s="3">
        <f>VLOOKUP(B2959,airports!A:H,7,FALSE)</f>
        <v>43.564444440000003</v>
      </c>
      <c r="G2959" s="3">
        <f>VLOOKUP(B2959,airports!A:H,8,FALSE)</f>
        <v>-116.2227778</v>
      </c>
      <c r="H2959">
        <f t="shared" si="92"/>
        <v>462.3</v>
      </c>
      <c r="I2959">
        <f t="shared" si="93"/>
        <v>287.3</v>
      </c>
    </row>
    <row r="2960" spans="1:9" ht="30" x14ac:dyDescent="0.25">
      <c r="A2960" s="5" t="s">
        <v>505</v>
      </c>
      <c r="B2960" s="5" t="s">
        <v>47</v>
      </c>
      <c r="C2960" s="5" t="s">
        <v>3415</v>
      </c>
      <c r="D2960" s="3">
        <f>VLOOKUP(A2960,airports!A:H,7,FALSE)</f>
        <v>47.619855559999998</v>
      </c>
      <c r="E2960" s="3">
        <f>VLOOKUP(A2960,airports!A:H,8,FALSE)</f>
        <v>-117.53384250000001</v>
      </c>
      <c r="F2960" s="3">
        <f>VLOOKUP(B2960,airports!A:H,7,FALSE)</f>
        <v>39.858408060000002</v>
      </c>
      <c r="G2960" s="3">
        <f>VLOOKUP(B2960,airports!A:H,8,FALSE)</f>
        <v>-104.6670019</v>
      </c>
      <c r="H2960">
        <f t="shared" si="92"/>
        <v>1343.5</v>
      </c>
      <c r="I2960">
        <f t="shared" si="93"/>
        <v>834.9</v>
      </c>
    </row>
    <row r="2961" spans="1:9" ht="30" x14ac:dyDescent="0.25">
      <c r="A2961" s="5" t="s">
        <v>505</v>
      </c>
      <c r="B2961" s="5" t="s">
        <v>49</v>
      </c>
      <c r="C2961" s="5" t="s">
        <v>3416</v>
      </c>
      <c r="D2961" s="3">
        <f>VLOOKUP(A2961,airports!A:H,7,FALSE)</f>
        <v>47.619855559999998</v>
      </c>
      <c r="E2961" s="3">
        <f>VLOOKUP(A2961,airports!A:H,8,FALSE)</f>
        <v>-117.53384250000001</v>
      </c>
      <c r="F2961" s="3">
        <f>VLOOKUP(B2961,airports!A:H,7,FALSE)</f>
        <v>32.895950560000003</v>
      </c>
      <c r="G2961" s="3">
        <f>VLOOKUP(B2961,airports!A:H,8,FALSE)</f>
        <v>-97.037199999999999</v>
      </c>
      <c r="H2961">
        <f t="shared" si="92"/>
        <v>2374.6999999999998</v>
      </c>
      <c r="I2961">
        <f t="shared" si="93"/>
        <v>1475.7</v>
      </c>
    </row>
    <row r="2962" spans="1:9" ht="30" x14ac:dyDescent="0.25">
      <c r="A2962" s="5" t="s">
        <v>505</v>
      </c>
      <c r="B2962" s="5" t="s">
        <v>71</v>
      </c>
      <c r="C2962" s="5" t="s">
        <v>3417</v>
      </c>
      <c r="D2962" s="3">
        <f>VLOOKUP(A2962,airports!A:H,7,FALSE)</f>
        <v>47.619855559999998</v>
      </c>
      <c r="E2962" s="3">
        <f>VLOOKUP(A2962,airports!A:H,8,FALSE)</f>
        <v>-117.53384250000001</v>
      </c>
      <c r="F2962" s="3">
        <f>VLOOKUP(B2962,airports!A:H,7,FALSE)</f>
        <v>36.080361109999998</v>
      </c>
      <c r="G2962" s="3">
        <f>VLOOKUP(B2962,airports!A:H,8,FALSE)</f>
        <v>-115.1523333</v>
      </c>
      <c r="H2962">
        <f t="shared" si="92"/>
        <v>1298</v>
      </c>
      <c r="I2962">
        <f t="shared" si="93"/>
        <v>806.6</v>
      </c>
    </row>
    <row r="2963" spans="1:9" ht="30" x14ac:dyDescent="0.25">
      <c r="A2963" s="5" t="s">
        <v>505</v>
      </c>
      <c r="B2963" s="5" t="s">
        <v>73</v>
      </c>
      <c r="C2963" s="5" t="s">
        <v>3418</v>
      </c>
      <c r="D2963" s="3">
        <f>VLOOKUP(A2963,airports!A:H,7,FALSE)</f>
        <v>47.619855559999998</v>
      </c>
      <c r="E2963" s="3">
        <f>VLOOKUP(A2963,airports!A:H,8,FALSE)</f>
        <v>-117.53384250000001</v>
      </c>
      <c r="F2963" s="3">
        <f>VLOOKUP(B2963,airports!A:H,7,FALSE)</f>
        <v>33.942536109999999</v>
      </c>
      <c r="G2963" s="3">
        <f>VLOOKUP(B2963,airports!A:H,8,FALSE)</f>
        <v>-118.4080744</v>
      </c>
      <c r="H2963">
        <f t="shared" si="92"/>
        <v>1522.6</v>
      </c>
      <c r="I2963">
        <f t="shared" si="93"/>
        <v>946.2</v>
      </c>
    </row>
    <row r="2964" spans="1:9" ht="30" x14ac:dyDescent="0.25">
      <c r="A2964" s="5" t="s">
        <v>505</v>
      </c>
      <c r="B2964" s="5" t="s">
        <v>1208</v>
      </c>
      <c r="C2964" s="5" t="s">
        <v>3419</v>
      </c>
      <c r="D2964" s="3">
        <f>VLOOKUP(A2964,airports!A:H,7,FALSE)</f>
        <v>47.619855559999998</v>
      </c>
      <c r="E2964" s="3">
        <f>VLOOKUP(A2964,airports!A:H,8,FALSE)</f>
        <v>-117.53384250000001</v>
      </c>
      <c r="F2964" s="3">
        <f>VLOOKUP(B2964,airports!A:H,7,FALSE)</f>
        <v>46.374498060000001</v>
      </c>
      <c r="G2964" s="3">
        <f>VLOOKUP(B2964,airports!A:H,8,FALSE)</f>
        <v>-117.01539440000001</v>
      </c>
      <c r="H2964">
        <f t="shared" si="92"/>
        <v>144</v>
      </c>
      <c r="I2964">
        <f t="shared" si="93"/>
        <v>89.5</v>
      </c>
    </row>
    <row r="2965" spans="1:9" ht="30" x14ac:dyDescent="0.25">
      <c r="A2965" s="5" t="s">
        <v>505</v>
      </c>
      <c r="B2965" s="5" t="s">
        <v>180</v>
      </c>
      <c r="C2965" s="5" t="s">
        <v>3420</v>
      </c>
      <c r="D2965" s="3">
        <f>VLOOKUP(A2965,airports!A:H,7,FALSE)</f>
        <v>47.619855559999998</v>
      </c>
      <c r="E2965" s="3">
        <f>VLOOKUP(A2965,airports!A:H,8,FALSE)</f>
        <v>-117.53384250000001</v>
      </c>
      <c r="F2965" s="3">
        <f>VLOOKUP(B2965,airports!A:H,7,FALSE)</f>
        <v>41.785982500000003</v>
      </c>
      <c r="G2965" s="3">
        <f>VLOOKUP(B2965,airports!A:H,8,FALSE)</f>
        <v>-87.752424439999999</v>
      </c>
      <c r="H2965">
        <f t="shared" si="92"/>
        <v>2424.8000000000002</v>
      </c>
      <c r="I2965">
        <f t="shared" si="93"/>
        <v>1506.8</v>
      </c>
    </row>
    <row r="2966" spans="1:9" ht="30" x14ac:dyDescent="0.25">
      <c r="A2966" s="5" t="s">
        <v>505</v>
      </c>
      <c r="B2966" s="5" t="s">
        <v>87</v>
      </c>
      <c r="C2966" s="5" t="s">
        <v>3421</v>
      </c>
      <c r="D2966" s="3">
        <f>VLOOKUP(A2966,airports!A:H,7,FALSE)</f>
        <v>47.619855559999998</v>
      </c>
      <c r="E2966" s="3">
        <f>VLOOKUP(A2966,airports!A:H,8,FALSE)</f>
        <v>-117.53384250000001</v>
      </c>
      <c r="F2966" s="3">
        <f>VLOOKUP(B2966,airports!A:H,7,FALSE)</f>
        <v>44.880546940000002</v>
      </c>
      <c r="G2966" s="3">
        <f>VLOOKUP(B2966,airports!A:H,8,FALSE)</f>
        <v>-93.216922499999995</v>
      </c>
      <c r="H2966">
        <f t="shared" si="92"/>
        <v>1886.4</v>
      </c>
      <c r="I2966">
        <f t="shared" si="93"/>
        <v>1172.2</v>
      </c>
    </row>
    <row r="2967" spans="1:9" ht="30" x14ac:dyDescent="0.25">
      <c r="A2967" s="5" t="s">
        <v>505</v>
      </c>
      <c r="B2967" s="5" t="s">
        <v>215</v>
      </c>
      <c r="C2967" s="5" t="s">
        <v>3422</v>
      </c>
      <c r="D2967" s="3">
        <f>VLOOKUP(A2967,airports!A:H,7,FALSE)</f>
        <v>47.619855559999998</v>
      </c>
      <c r="E2967" s="3">
        <f>VLOOKUP(A2967,airports!A:H,8,FALSE)</f>
        <v>-117.53384250000001</v>
      </c>
      <c r="F2967" s="3">
        <f>VLOOKUP(B2967,airports!A:H,7,FALSE)</f>
        <v>37.721290830000001</v>
      </c>
      <c r="G2967" s="3">
        <f>VLOOKUP(B2967,airports!A:H,8,FALSE)</f>
        <v>-122.2207167</v>
      </c>
      <c r="H2967">
        <f t="shared" si="92"/>
        <v>1164.9000000000001</v>
      </c>
      <c r="I2967">
        <f t="shared" si="93"/>
        <v>723.9</v>
      </c>
    </row>
    <row r="2968" spans="1:9" ht="30" x14ac:dyDescent="0.25">
      <c r="A2968" s="5" t="s">
        <v>505</v>
      </c>
      <c r="B2968" s="5" t="s">
        <v>95</v>
      </c>
      <c r="C2968" s="5" t="s">
        <v>3423</v>
      </c>
      <c r="D2968" s="3">
        <f>VLOOKUP(A2968,airports!A:H,7,FALSE)</f>
        <v>47.619855559999998</v>
      </c>
      <c r="E2968" s="3">
        <f>VLOOKUP(A2968,airports!A:H,8,FALSE)</f>
        <v>-117.53384250000001</v>
      </c>
      <c r="F2968" s="3">
        <f>VLOOKUP(B2968,airports!A:H,7,FALSE)</f>
        <v>41.979595000000003</v>
      </c>
      <c r="G2968" s="3">
        <f>VLOOKUP(B2968,airports!A:H,8,FALSE)</f>
        <v>-87.904464169999997</v>
      </c>
      <c r="H2968">
        <f t="shared" si="92"/>
        <v>2404.1999999999998</v>
      </c>
      <c r="I2968">
        <f t="shared" si="93"/>
        <v>1494</v>
      </c>
    </row>
    <row r="2969" spans="1:9" ht="30" x14ac:dyDescent="0.25">
      <c r="A2969" s="5" t="s">
        <v>505</v>
      </c>
      <c r="B2969" s="5" t="s">
        <v>1214</v>
      </c>
      <c r="C2969" s="5" t="s">
        <v>3424</v>
      </c>
      <c r="D2969" s="3">
        <f>VLOOKUP(A2969,airports!A:H,7,FALSE)</f>
        <v>47.619855559999998</v>
      </c>
      <c r="E2969" s="3">
        <f>VLOOKUP(A2969,airports!A:H,8,FALSE)</f>
        <v>-117.53384250000001</v>
      </c>
      <c r="F2969" s="3">
        <f>VLOOKUP(B2969,airports!A:H,7,FALSE)</f>
        <v>47.906300000000002</v>
      </c>
      <c r="G2969" s="3">
        <f>VLOOKUP(B2969,airports!A:H,8,FALSE)</f>
        <v>-122.281998</v>
      </c>
      <c r="H2969">
        <f t="shared" si="92"/>
        <v>356.3</v>
      </c>
      <c r="I2969">
        <f t="shared" si="93"/>
        <v>221.4</v>
      </c>
    </row>
    <row r="2970" spans="1:9" ht="30" x14ac:dyDescent="0.25">
      <c r="A2970" s="5" t="s">
        <v>505</v>
      </c>
      <c r="B2970" s="5" t="s">
        <v>100</v>
      </c>
      <c r="C2970" s="5" t="s">
        <v>3425</v>
      </c>
      <c r="D2970" s="3">
        <f>VLOOKUP(A2970,airports!A:H,7,FALSE)</f>
        <v>47.619855559999998</v>
      </c>
      <c r="E2970" s="3">
        <f>VLOOKUP(A2970,airports!A:H,8,FALSE)</f>
        <v>-117.53384250000001</v>
      </c>
      <c r="F2970" s="3">
        <f>VLOOKUP(B2970,airports!A:H,7,FALSE)</f>
        <v>45.588722220000001</v>
      </c>
      <c r="G2970" s="3">
        <f>VLOOKUP(B2970,airports!A:H,8,FALSE)</f>
        <v>-122.5975</v>
      </c>
      <c r="H2970">
        <f t="shared" si="92"/>
        <v>447.8</v>
      </c>
      <c r="I2970">
        <f t="shared" si="93"/>
        <v>278.3</v>
      </c>
    </row>
    <row r="2971" spans="1:9" ht="30" x14ac:dyDescent="0.25">
      <c r="A2971" s="5" t="s">
        <v>505</v>
      </c>
      <c r="B2971" s="5" t="s">
        <v>104</v>
      </c>
      <c r="C2971" s="5" t="s">
        <v>3426</v>
      </c>
      <c r="D2971" s="3">
        <f>VLOOKUP(A2971,airports!A:H,7,FALSE)</f>
        <v>47.619855559999998</v>
      </c>
      <c r="E2971" s="3">
        <f>VLOOKUP(A2971,airports!A:H,8,FALSE)</f>
        <v>-117.53384250000001</v>
      </c>
      <c r="F2971" s="3">
        <f>VLOOKUP(B2971,airports!A:H,7,FALSE)</f>
        <v>33.434166670000003</v>
      </c>
      <c r="G2971" s="3">
        <f>VLOOKUP(B2971,airports!A:H,8,FALSE)</f>
        <v>-112.00805560000001</v>
      </c>
      <c r="H2971">
        <f t="shared" si="92"/>
        <v>1644</v>
      </c>
      <c r="I2971">
        <f t="shared" si="93"/>
        <v>1021.6</v>
      </c>
    </row>
    <row r="2972" spans="1:9" ht="30" x14ac:dyDescent="0.25">
      <c r="A2972" s="5" t="s">
        <v>505</v>
      </c>
      <c r="B2972" s="5" t="s">
        <v>124</v>
      </c>
      <c r="C2972" s="5" t="s">
        <v>3427</v>
      </c>
      <c r="D2972" s="3">
        <f>VLOOKUP(A2972,airports!A:H,7,FALSE)</f>
        <v>47.619855559999998</v>
      </c>
      <c r="E2972" s="3">
        <f>VLOOKUP(A2972,airports!A:H,8,FALSE)</f>
        <v>-117.53384250000001</v>
      </c>
      <c r="F2972" s="3">
        <f>VLOOKUP(B2972,airports!A:H,7,FALSE)</f>
        <v>32.733556110000002</v>
      </c>
      <c r="G2972" s="3">
        <f>VLOOKUP(B2972,airports!A:H,8,FALSE)</f>
        <v>-117.1896567</v>
      </c>
      <c r="H2972">
        <f t="shared" si="92"/>
        <v>1655.5</v>
      </c>
      <c r="I2972">
        <f t="shared" si="93"/>
        <v>1028.8</v>
      </c>
    </row>
    <row r="2973" spans="1:9" ht="30" x14ac:dyDescent="0.25">
      <c r="A2973" s="5" t="s">
        <v>505</v>
      </c>
      <c r="B2973" s="5" t="s">
        <v>128</v>
      </c>
      <c r="C2973" s="5" t="s">
        <v>3428</v>
      </c>
      <c r="D2973" s="3">
        <f>VLOOKUP(A2973,airports!A:H,7,FALSE)</f>
        <v>47.619855559999998</v>
      </c>
      <c r="E2973" s="3">
        <f>VLOOKUP(A2973,airports!A:H,8,FALSE)</f>
        <v>-117.53384250000001</v>
      </c>
      <c r="F2973" s="3">
        <f>VLOOKUP(B2973,airports!A:H,7,FALSE)</f>
        <v>47.448981940000003</v>
      </c>
      <c r="G2973" s="3">
        <f>VLOOKUP(B2973,airports!A:H,8,FALSE)</f>
        <v>-122.3093131</v>
      </c>
      <c r="H2973">
        <f t="shared" si="92"/>
        <v>359</v>
      </c>
      <c r="I2973">
        <f t="shared" si="93"/>
        <v>223.1</v>
      </c>
    </row>
    <row r="2974" spans="1:9" ht="30" x14ac:dyDescent="0.25">
      <c r="A2974" s="5" t="s">
        <v>505</v>
      </c>
      <c r="B2974" s="5" t="s">
        <v>130</v>
      </c>
      <c r="C2974" s="5" t="s">
        <v>3429</v>
      </c>
      <c r="D2974" s="3">
        <f>VLOOKUP(A2974,airports!A:H,7,FALSE)</f>
        <v>47.619855559999998</v>
      </c>
      <c r="E2974" s="3">
        <f>VLOOKUP(A2974,airports!A:H,8,FALSE)</f>
        <v>-117.53384250000001</v>
      </c>
      <c r="F2974" s="3">
        <f>VLOOKUP(B2974,airports!A:H,7,FALSE)</f>
        <v>37.619001939999997</v>
      </c>
      <c r="G2974" s="3">
        <f>VLOOKUP(B2974,airports!A:H,8,FALSE)</f>
        <v>-122.37484329999999</v>
      </c>
      <c r="H2974">
        <f t="shared" si="92"/>
        <v>1179.9000000000001</v>
      </c>
      <c r="I2974">
        <f t="shared" si="93"/>
        <v>733.2</v>
      </c>
    </row>
    <row r="2975" spans="1:9" x14ac:dyDescent="0.25">
      <c r="A2975" s="5" t="s">
        <v>505</v>
      </c>
      <c r="B2975" s="5" t="s">
        <v>131</v>
      </c>
      <c r="C2975" s="5" t="s">
        <v>3430</v>
      </c>
      <c r="D2975" s="3">
        <f>VLOOKUP(A2975,airports!A:H,7,FALSE)</f>
        <v>47.619855559999998</v>
      </c>
      <c r="E2975" s="3">
        <f>VLOOKUP(A2975,airports!A:H,8,FALSE)</f>
        <v>-117.53384250000001</v>
      </c>
      <c r="F2975" s="3">
        <f>VLOOKUP(B2975,airports!A:H,7,FALSE)</f>
        <v>37.361861939999997</v>
      </c>
      <c r="G2975" s="3">
        <f>VLOOKUP(B2975,airports!A:H,8,FALSE)</f>
        <v>-121.9290089</v>
      </c>
      <c r="H2975">
        <f t="shared" si="92"/>
        <v>1195.7</v>
      </c>
      <c r="I2975">
        <f t="shared" si="93"/>
        <v>743</v>
      </c>
    </row>
    <row r="2976" spans="1:9" x14ac:dyDescent="0.25">
      <c r="A2976" s="5" t="s">
        <v>505</v>
      </c>
      <c r="B2976" s="5" t="s">
        <v>135</v>
      </c>
      <c r="C2976" s="5" t="s">
        <v>3431</v>
      </c>
      <c r="D2976" s="3">
        <f>VLOOKUP(A2976,airports!A:H,7,FALSE)</f>
        <v>47.619855559999998</v>
      </c>
      <c r="E2976" s="3">
        <f>VLOOKUP(A2976,airports!A:H,8,FALSE)</f>
        <v>-117.53384250000001</v>
      </c>
      <c r="F2976" s="3">
        <f>VLOOKUP(B2976,airports!A:H,7,FALSE)</f>
        <v>40.788387780000001</v>
      </c>
      <c r="G2976" s="3">
        <f>VLOOKUP(B2976,airports!A:H,8,FALSE)</f>
        <v>-111.97777309999999</v>
      </c>
      <c r="H2976">
        <f t="shared" si="92"/>
        <v>878.8</v>
      </c>
      <c r="I2976">
        <f t="shared" si="93"/>
        <v>546.1</v>
      </c>
    </row>
    <row r="2977" spans="1:9" ht="30" x14ac:dyDescent="0.25">
      <c r="A2977" s="5" t="s">
        <v>505</v>
      </c>
      <c r="B2977" s="5" t="s">
        <v>137</v>
      </c>
      <c r="C2977" s="5" t="s">
        <v>3432</v>
      </c>
      <c r="D2977" s="3">
        <f>VLOOKUP(A2977,airports!A:H,7,FALSE)</f>
        <v>47.619855559999998</v>
      </c>
      <c r="E2977" s="3">
        <f>VLOOKUP(A2977,airports!A:H,8,FALSE)</f>
        <v>-117.53384250000001</v>
      </c>
      <c r="F2977" s="3">
        <f>VLOOKUP(B2977,airports!A:H,7,FALSE)</f>
        <v>38.695421670000002</v>
      </c>
      <c r="G2977" s="3">
        <f>VLOOKUP(B2977,airports!A:H,8,FALSE)</f>
        <v>-121.59076690000001</v>
      </c>
      <c r="H2977">
        <f t="shared" si="92"/>
        <v>1045.0999999999999</v>
      </c>
      <c r="I2977">
        <f t="shared" si="93"/>
        <v>649.4</v>
      </c>
    </row>
    <row r="2978" spans="1:9" ht="30" x14ac:dyDescent="0.25">
      <c r="A2978" s="5" t="s">
        <v>505</v>
      </c>
      <c r="B2978" s="5" t="s">
        <v>227</v>
      </c>
      <c r="C2978" s="5" t="s">
        <v>3433</v>
      </c>
      <c r="D2978" s="3">
        <f>VLOOKUP(A2978,airports!A:H,7,FALSE)</f>
        <v>47.619855559999998</v>
      </c>
      <c r="E2978" s="3">
        <f>VLOOKUP(A2978,airports!A:H,8,FALSE)</f>
        <v>-117.53384250000001</v>
      </c>
      <c r="F2978" s="3">
        <f>VLOOKUP(B2978,airports!A:H,7,FALSE)</f>
        <v>33.675658609999999</v>
      </c>
      <c r="G2978" s="3">
        <f>VLOOKUP(B2978,airports!A:H,8,FALSE)</f>
        <v>-117.8682225</v>
      </c>
      <c r="H2978">
        <f t="shared" si="92"/>
        <v>1550.8</v>
      </c>
      <c r="I2978">
        <f t="shared" si="93"/>
        <v>963.7</v>
      </c>
    </row>
    <row r="2979" spans="1:9" ht="30" x14ac:dyDescent="0.25">
      <c r="A2979" s="5" t="s">
        <v>856</v>
      </c>
      <c r="B2979" s="5" t="s">
        <v>329</v>
      </c>
      <c r="C2979" s="5" t="s">
        <v>3434</v>
      </c>
      <c r="D2979" s="3">
        <f>VLOOKUP(A2979,airports!A:H,7,FALSE)</f>
        <v>47.949255000000001</v>
      </c>
      <c r="E2979" s="3">
        <f>VLOOKUP(A2979,airports!A:H,8,FALSE)</f>
        <v>-97.176111109999994</v>
      </c>
      <c r="F2979" s="3">
        <f>VLOOKUP(B2979,airports!A:H,7,FALSE)</f>
        <v>33.308999999999997</v>
      </c>
      <c r="G2979" s="3">
        <f>VLOOKUP(B2979,airports!A:H,8,FALSE)</f>
        <v>-111.6559</v>
      </c>
      <c r="H2979">
        <f t="shared" si="92"/>
        <v>2028.2</v>
      </c>
      <c r="I2979">
        <f t="shared" si="93"/>
        <v>1260.4000000000001</v>
      </c>
    </row>
    <row r="2980" spans="1:9" x14ac:dyDescent="0.25">
      <c r="A2980" s="5" t="s">
        <v>856</v>
      </c>
      <c r="B2980" s="5" t="s">
        <v>838</v>
      </c>
      <c r="C2980" s="5" t="s">
        <v>3435</v>
      </c>
      <c r="D2980" s="3">
        <f>VLOOKUP(A2980,airports!A:H,7,FALSE)</f>
        <v>47.949255000000001</v>
      </c>
      <c r="E2980" s="3">
        <f>VLOOKUP(A2980,airports!A:H,8,FALSE)</f>
        <v>-97.176111109999994</v>
      </c>
      <c r="F2980" s="3">
        <f>VLOOKUP(B2980,airports!A:H,7,FALSE)</f>
        <v>46.77411111</v>
      </c>
      <c r="G2980" s="3">
        <f>VLOOKUP(B2980,airports!A:H,8,FALSE)</f>
        <v>-100.74672219999999</v>
      </c>
      <c r="H2980">
        <f t="shared" si="92"/>
        <v>299</v>
      </c>
      <c r="I2980">
        <f t="shared" si="93"/>
        <v>185.8</v>
      </c>
    </row>
    <row r="2981" spans="1:9" ht="30" x14ac:dyDescent="0.25">
      <c r="A2981" s="5" t="s">
        <v>856</v>
      </c>
      <c r="B2981" s="5" t="s">
        <v>19</v>
      </c>
      <c r="C2981" s="5" t="s">
        <v>3436</v>
      </c>
      <c r="D2981" s="3">
        <f>VLOOKUP(A2981,airports!A:H,7,FALSE)</f>
        <v>47.949255000000001</v>
      </c>
      <c r="E2981" s="3">
        <f>VLOOKUP(A2981,airports!A:H,8,FALSE)</f>
        <v>-97.176111109999994</v>
      </c>
      <c r="F2981" s="3">
        <f>VLOOKUP(B2981,airports!A:H,7,FALSE)</f>
        <v>36.12447667</v>
      </c>
      <c r="G2981" s="3">
        <f>VLOOKUP(B2981,airports!A:H,8,FALSE)</f>
        <v>-86.678182219999997</v>
      </c>
      <c r="H2981">
        <f t="shared" si="92"/>
        <v>1571.7</v>
      </c>
      <c r="I2981">
        <f t="shared" si="93"/>
        <v>976.7</v>
      </c>
    </row>
    <row r="2982" spans="1:9" x14ac:dyDescent="0.25">
      <c r="A2982" s="5" t="s">
        <v>856</v>
      </c>
      <c r="B2982" s="5" t="s">
        <v>2401</v>
      </c>
      <c r="C2982" s="5" t="s">
        <v>3437</v>
      </c>
      <c r="D2982" s="3">
        <f>VLOOKUP(A2982,airports!A:H,7,FALSE)</f>
        <v>47.949255000000001</v>
      </c>
      <c r="E2982" s="3">
        <f>VLOOKUP(A2982,airports!A:H,8,FALSE)</f>
        <v>-97.176111109999994</v>
      </c>
      <c r="F2982" s="3">
        <f>VLOOKUP(B2982,airports!A:H,7,FALSE)</f>
        <v>48.177938609999998</v>
      </c>
      <c r="G2982" s="3">
        <f>VLOOKUP(B2982,airports!A:H,8,FALSE)</f>
        <v>-103.6423467</v>
      </c>
      <c r="H2982">
        <f t="shared" si="92"/>
        <v>481</v>
      </c>
      <c r="I2982">
        <f t="shared" si="93"/>
        <v>298.89999999999998</v>
      </c>
    </row>
    <row r="2983" spans="1:9" x14ac:dyDescent="0.25">
      <c r="A2983" s="5" t="s">
        <v>856</v>
      </c>
      <c r="B2983" s="5" t="s">
        <v>71</v>
      </c>
      <c r="C2983" s="5" t="s">
        <v>3438</v>
      </c>
      <c r="D2983" s="3">
        <f>VLOOKUP(A2983,airports!A:H,7,FALSE)</f>
        <v>47.949255000000001</v>
      </c>
      <c r="E2983" s="3">
        <f>VLOOKUP(A2983,airports!A:H,8,FALSE)</f>
        <v>-97.176111109999994</v>
      </c>
      <c r="F2983" s="3">
        <f>VLOOKUP(B2983,airports!A:H,7,FALSE)</f>
        <v>36.080361109999998</v>
      </c>
      <c r="G2983" s="3">
        <f>VLOOKUP(B2983,airports!A:H,8,FALSE)</f>
        <v>-115.1523333</v>
      </c>
      <c r="H2983">
        <f t="shared" si="92"/>
        <v>1977.9</v>
      </c>
      <c r="I2983">
        <f t="shared" si="93"/>
        <v>1229.0999999999999</v>
      </c>
    </row>
    <row r="2984" spans="1:9" ht="30" x14ac:dyDescent="0.25">
      <c r="A2984" s="5" t="s">
        <v>856</v>
      </c>
      <c r="B2984" s="5" t="s">
        <v>87</v>
      </c>
      <c r="C2984" s="5" t="s">
        <v>3439</v>
      </c>
      <c r="D2984" s="3">
        <f>VLOOKUP(A2984,airports!A:H,7,FALSE)</f>
        <v>47.949255000000001</v>
      </c>
      <c r="E2984" s="3">
        <f>VLOOKUP(A2984,airports!A:H,8,FALSE)</f>
        <v>-97.176111109999994</v>
      </c>
      <c r="F2984" s="3">
        <f>VLOOKUP(B2984,airports!A:H,7,FALSE)</f>
        <v>44.880546940000002</v>
      </c>
      <c r="G2984" s="3">
        <f>VLOOKUP(B2984,airports!A:H,8,FALSE)</f>
        <v>-93.216922499999995</v>
      </c>
      <c r="H2984">
        <f t="shared" si="92"/>
        <v>456.6</v>
      </c>
      <c r="I2984">
        <f t="shared" si="93"/>
        <v>283.7</v>
      </c>
    </row>
    <row r="2985" spans="1:9" x14ac:dyDescent="0.25">
      <c r="A2985" s="5" t="s">
        <v>856</v>
      </c>
      <c r="B2985" s="5" t="s">
        <v>191</v>
      </c>
      <c r="C2985" s="5" t="s">
        <v>3440</v>
      </c>
      <c r="D2985" s="3">
        <f>VLOOKUP(A2985,airports!A:H,7,FALSE)</f>
        <v>47.949255000000001</v>
      </c>
      <c r="E2985" s="3">
        <f>VLOOKUP(A2985,airports!A:H,8,FALSE)</f>
        <v>-97.176111109999994</v>
      </c>
      <c r="F2985" s="3">
        <f>VLOOKUP(B2985,airports!A:H,7,FALSE)</f>
        <v>28.7776</v>
      </c>
      <c r="G2985" s="3">
        <f>VLOOKUP(B2985,airports!A:H,8,FALSE)</f>
        <v>-81.237499999999997</v>
      </c>
      <c r="H2985">
        <f t="shared" si="92"/>
        <v>2533.5</v>
      </c>
      <c r="I2985">
        <f t="shared" si="93"/>
        <v>1574.3</v>
      </c>
    </row>
    <row r="2986" spans="1:9" ht="30" x14ac:dyDescent="0.25">
      <c r="A2986" s="5" t="s">
        <v>2607</v>
      </c>
      <c r="B2986" s="5" t="s">
        <v>49</v>
      </c>
      <c r="C2986" s="5" t="s">
        <v>3441</v>
      </c>
      <c r="D2986" s="3">
        <f>VLOOKUP(A2986,airports!A:H,7,FALSE)</f>
        <v>32.384861110000003</v>
      </c>
      <c r="E2986" s="3">
        <f>VLOOKUP(A2986,airports!A:H,8,FALSE)</f>
        <v>-94.711709999999997</v>
      </c>
      <c r="F2986" s="3">
        <f>VLOOKUP(B2986,airports!A:H,7,FALSE)</f>
        <v>32.895950560000003</v>
      </c>
      <c r="G2986" s="3">
        <f>VLOOKUP(B2986,airports!A:H,8,FALSE)</f>
        <v>-97.037199999999999</v>
      </c>
      <c r="H2986">
        <f t="shared" si="92"/>
        <v>225</v>
      </c>
      <c r="I2986">
        <f t="shared" si="93"/>
        <v>139.80000000000001</v>
      </c>
    </row>
    <row r="2987" spans="1:9" x14ac:dyDescent="0.25">
      <c r="A2987" s="5" t="s">
        <v>858</v>
      </c>
      <c r="B2987" s="5" t="s">
        <v>393</v>
      </c>
      <c r="C2987" s="5" t="s">
        <v>3442</v>
      </c>
      <c r="D2987" s="3">
        <f>VLOOKUP(A2987,airports!A:H,7,FALSE)</f>
        <v>39.122412500000003</v>
      </c>
      <c r="E2987" s="3">
        <f>VLOOKUP(A2987,airports!A:H,8,FALSE)</f>
        <v>-108.52673470000001</v>
      </c>
      <c r="F2987" s="3">
        <f>VLOOKUP(B2987,airports!A:H,7,FALSE)</f>
        <v>39.22316</v>
      </c>
      <c r="G2987" s="3">
        <f>VLOOKUP(B2987,airports!A:H,8,FALSE)</f>
        <v>-106.86884499999999</v>
      </c>
      <c r="H2987">
        <f t="shared" si="92"/>
        <v>143.4</v>
      </c>
      <c r="I2987">
        <f t="shared" si="93"/>
        <v>89.1</v>
      </c>
    </row>
    <row r="2988" spans="1:9" x14ac:dyDescent="0.25">
      <c r="A2988" s="5" t="s">
        <v>858</v>
      </c>
      <c r="B2988" s="5" t="s">
        <v>10</v>
      </c>
      <c r="C2988" s="5" t="s">
        <v>3443</v>
      </c>
      <c r="D2988" s="3">
        <f>VLOOKUP(A2988,airports!A:H,7,FALSE)</f>
        <v>39.122412500000003</v>
      </c>
      <c r="E2988" s="3">
        <f>VLOOKUP(A2988,airports!A:H,8,FALSE)</f>
        <v>-108.52673470000001</v>
      </c>
      <c r="F2988" s="3">
        <f>VLOOKUP(B2988,airports!A:H,7,FALSE)</f>
        <v>33.640444440000003</v>
      </c>
      <c r="G2988" s="3">
        <f>VLOOKUP(B2988,airports!A:H,8,FALSE)</f>
        <v>-84.42694444</v>
      </c>
      <c r="H2988">
        <f t="shared" si="92"/>
        <v>2234.4</v>
      </c>
      <c r="I2988">
        <f t="shared" si="93"/>
        <v>1388.5</v>
      </c>
    </row>
    <row r="2989" spans="1:9" x14ac:dyDescent="0.25">
      <c r="A2989" s="5" t="s">
        <v>858</v>
      </c>
      <c r="B2989" s="5" t="s">
        <v>329</v>
      </c>
      <c r="C2989" s="5" t="s">
        <v>3444</v>
      </c>
      <c r="D2989" s="3">
        <f>VLOOKUP(A2989,airports!A:H,7,FALSE)</f>
        <v>39.122412500000003</v>
      </c>
      <c r="E2989" s="3">
        <f>VLOOKUP(A2989,airports!A:H,8,FALSE)</f>
        <v>-108.52673470000001</v>
      </c>
      <c r="F2989" s="3">
        <f>VLOOKUP(B2989,airports!A:H,7,FALSE)</f>
        <v>33.308999999999997</v>
      </c>
      <c r="G2989" s="3">
        <f>VLOOKUP(B2989,airports!A:H,8,FALSE)</f>
        <v>-111.6559</v>
      </c>
      <c r="H2989">
        <f t="shared" si="92"/>
        <v>704.6</v>
      </c>
      <c r="I2989">
        <f t="shared" si="93"/>
        <v>437.9</v>
      </c>
    </row>
    <row r="2990" spans="1:9" ht="30" x14ac:dyDescent="0.25">
      <c r="A2990" s="5" t="s">
        <v>858</v>
      </c>
      <c r="B2990" s="5" t="s">
        <v>47</v>
      </c>
      <c r="C2990" s="5" t="s">
        <v>3445</v>
      </c>
      <c r="D2990" s="3">
        <f>VLOOKUP(A2990,airports!A:H,7,FALSE)</f>
        <v>39.122412500000003</v>
      </c>
      <c r="E2990" s="3">
        <f>VLOOKUP(A2990,airports!A:H,8,FALSE)</f>
        <v>-108.52673470000001</v>
      </c>
      <c r="F2990" s="3">
        <f>VLOOKUP(B2990,airports!A:H,7,FALSE)</f>
        <v>39.858408060000002</v>
      </c>
      <c r="G2990" s="3">
        <f>VLOOKUP(B2990,airports!A:H,8,FALSE)</f>
        <v>-104.6670019</v>
      </c>
      <c r="H2990">
        <f t="shared" si="92"/>
        <v>341.1</v>
      </c>
      <c r="I2990">
        <f t="shared" si="93"/>
        <v>212</v>
      </c>
    </row>
    <row r="2991" spans="1:9" ht="30" x14ac:dyDescent="0.25">
      <c r="A2991" s="5" t="s">
        <v>858</v>
      </c>
      <c r="B2991" s="5" t="s">
        <v>49</v>
      </c>
      <c r="C2991" s="5" t="s">
        <v>3446</v>
      </c>
      <c r="D2991" s="3">
        <f>VLOOKUP(A2991,airports!A:H,7,FALSE)</f>
        <v>39.122412500000003</v>
      </c>
      <c r="E2991" s="3">
        <f>VLOOKUP(A2991,airports!A:H,8,FALSE)</f>
        <v>-108.52673470000001</v>
      </c>
      <c r="F2991" s="3">
        <f>VLOOKUP(B2991,airports!A:H,7,FALSE)</f>
        <v>32.895950560000003</v>
      </c>
      <c r="G2991" s="3">
        <f>VLOOKUP(B2991,airports!A:H,8,FALSE)</f>
        <v>-97.037199999999999</v>
      </c>
      <c r="H2991">
        <f t="shared" si="92"/>
        <v>1242.4000000000001</v>
      </c>
      <c r="I2991">
        <f t="shared" si="93"/>
        <v>772</v>
      </c>
    </row>
    <row r="2992" spans="1:9" x14ac:dyDescent="0.25">
      <c r="A2992" s="5" t="s">
        <v>858</v>
      </c>
      <c r="B2992" s="5" t="s">
        <v>67</v>
      </c>
      <c r="C2992" s="5" t="s">
        <v>3447</v>
      </c>
      <c r="D2992" s="3">
        <f>VLOOKUP(A2992,airports!A:H,7,FALSE)</f>
        <v>39.122412500000003</v>
      </c>
      <c r="E2992" s="3">
        <f>VLOOKUP(A2992,airports!A:H,8,FALSE)</f>
        <v>-108.52673470000001</v>
      </c>
      <c r="F2992" s="3">
        <f>VLOOKUP(B2992,airports!A:H,7,FALSE)</f>
        <v>29.980472219999999</v>
      </c>
      <c r="G2992" s="3">
        <f>VLOOKUP(B2992,airports!A:H,8,FALSE)</f>
        <v>-95.339722219999999</v>
      </c>
      <c r="H2992">
        <f t="shared" si="92"/>
        <v>1575.5</v>
      </c>
      <c r="I2992">
        <f t="shared" si="93"/>
        <v>979</v>
      </c>
    </row>
    <row r="2993" spans="1:9" x14ac:dyDescent="0.25">
      <c r="A2993" s="5" t="s">
        <v>858</v>
      </c>
      <c r="B2993" s="5" t="s">
        <v>71</v>
      </c>
      <c r="C2993" s="5" t="s">
        <v>3448</v>
      </c>
      <c r="D2993" s="3">
        <f>VLOOKUP(A2993,airports!A:H,7,FALSE)</f>
        <v>39.122412500000003</v>
      </c>
      <c r="E2993" s="3">
        <f>VLOOKUP(A2993,airports!A:H,8,FALSE)</f>
        <v>-108.52673470000001</v>
      </c>
      <c r="F2993" s="3">
        <f>VLOOKUP(B2993,airports!A:H,7,FALSE)</f>
        <v>36.080361109999998</v>
      </c>
      <c r="G2993" s="3">
        <f>VLOOKUP(B2993,airports!A:H,8,FALSE)</f>
        <v>-115.1523333</v>
      </c>
      <c r="H2993">
        <f t="shared" si="92"/>
        <v>674.4</v>
      </c>
      <c r="I2993">
        <f t="shared" si="93"/>
        <v>419.1</v>
      </c>
    </row>
    <row r="2994" spans="1:9" x14ac:dyDescent="0.25">
      <c r="A2994" s="5" t="s">
        <v>858</v>
      </c>
      <c r="B2994" s="5" t="s">
        <v>73</v>
      </c>
      <c r="C2994" s="5" t="s">
        <v>3449</v>
      </c>
      <c r="D2994" s="3">
        <f>VLOOKUP(A2994,airports!A:H,7,FALSE)</f>
        <v>39.122412500000003</v>
      </c>
      <c r="E2994" s="3">
        <f>VLOOKUP(A2994,airports!A:H,8,FALSE)</f>
        <v>-108.52673470000001</v>
      </c>
      <c r="F2994" s="3">
        <f>VLOOKUP(B2994,airports!A:H,7,FALSE)</f>
        <v>33.942536109999999</v>
      </c>
      <c r="G2994" s="3">
        <f>VLOOKUP(B2994,airports!A:H,8,FALSE)</f>
        <v>-118.4080744</v>
      </c>
      <c r="H2994">
        <f t="shared" si="92"/>
        <v>1053.0999999999999</v>
      </c>
      <c r="I2994">
        <f t="shared" si="93"/>
        <v>654.4</v>
      </c>
    </row>
    <row r="2995" spans="1:9" ht="30" x14ac:dyDescent="0.25">
      <c r="A2995" s="5" t="s">
        <v>858</v>
      </c>
      <c r="B2995" s="5" t="s">
        <v>87</v>
      </c>
      <c r="C2995" s="5" t="s">
        <v>3450</v>
      </c>
      <c r="D2995" s="3">
        <f>VLOOKUP(A2995,airports!A:H,7,FALSE)</f>
        <v>39.122412500000003</v>
      </c>
      <c r="E2995" s="3">
        <f>VLOOKUP(A2995,airports!A:H,8,FALSE)</f>
        <v>-108.52673470000001</v>
      </c>
      <c r="F2995" s="3">
        <f>VLOOKUP(B2995,airports!A:H,7,FALSE)</f>
        <v>44.880546940000002</v>
      </c>
      <c r="G2995" s="3">
        <f>VLOOKUP(B2995,airports!A:H,8,FALSE)</f>
        <v>-93.216922499999995</v>
      </c>
      <c r="H2995">
        <f t="shared" si="92"/>
        <v>1414.7</v>
      </c>
      <c r="I2995">
        <f t="shared" si="93"/>
        <v>879.1</v>
      </c>
    </row>
    <row r="2996" spans="1:9" x14ac:dyDescent="0.25">
      <c r="A2996" s="5" t="s">
        <v>858</v>
      </c>
      <c r="B2996" s="5" t="s">
        <v>91</v>
      </c>
      <c r="C2996" s="5" t="s">
        <v>3451</v>
      </c>
      <c r="D2996" s="3">
        <f>VLOOKUP(A2996,airports!A:H,7,FALSE)</f>
        <v>39.122412500000003</v>
      </c>
      <c r="E2996" s="3">
        <f>VLOOKUP(A2996,airports!A:H,8,FALSE)</f>
        <v>-108.52673470000001</v>
      </c>
      <c r="F2996" s="3">
        <f>VLOOKUP(B2996,airports!A:H,7,FALSE)</f>
        <v>38.508867219999999</v>
      </c>
      <c r="G2996" s="3">
        <f>VLOOKUP(B2996,airports!A:H,8,FALSE)</f>
        <v>-107.8938333</v>
      </c>
      <c r="H2996">
        <f t="shared" si="92"/>
        <v>87.5</v>
      </c>
      <c r="I2996">
        <f t="shared" si="93"/>
        <v>54.4</v>
      </c>
    </row>
    <row r="2997" spans="1:9" ht="30" x14ac:dyDescent="0.25">
      <c r="A2997" s="5" t="s">
        <v>858</v>
      </c>
      <c r="B2997" s="5" t="s">
        <v>95</v>
      </c>
      <c r="C2997" s="5" t="s">
        <v>3452</v>
      </c>
      <c r="D2997" s="3">
        <f>VLOOKUP(A2997,airports!A:H,7,FALSE)</f>
        <v>39.122412500000003</v>
      </c>
      <c r="E2997" s="3">
        <f>VLOOKUP(A2997,airports!A:H,8,FALSE)</f>
        <v>-108.52673470000001</v>
      </c>
      <c r="F2997" s="3">
        <f>VLOOKUP(B2997,airports!A:H,7,FALSE)</f>
        <v>41.979595000000003</v>
      </c>
      <c r="G2997" s="3">
        <f>VLOOKUP(B2997,airports!A:H,8,FALSE)</f>
        <v>-87.904464169999997</v>
      </c>
      <c r="H2997">
        <f t="shared" si="92"/>
        <v>1766.6</v>
      </c>
      <c r="I2997">
        <f t="shared" si="93"/>
        <v>1097.8</v>
      </c>
    </row>
    <row r="2998" spans="1:9" x14ac:dyDescent="0.25">
      <c r="A2998" s="5" t="s">
        <v>858</v>
      </c>
      <c r="B2998" s="5" t="s">
        <v>104</v>
      </c>
      <c r="C2998" s="5" t="s">
        <v>3453</v>
      </c>
      <c r="D2998" s="3">
        <f>VLOOKUP(A2998,airports!A:H,7,FALSE)</f>
        <v>39.122412500000003</v>
      </c>
      <c r="E2998" s="3">
        <f>VLOOKUP(A2998,airports!A:H,8,FALSE)</f>
        <v>-108.52673470000001</v>
      </c>
      <c r="F2998" s="3">
        <f>VLOOKUP(B2998,airports!A:H,7,FALSE)</f>
        <v>33.434166670000003</v>
      </c>
      <c r="G2998" s="3">
        <f>VLOOKUP(B2998,airports!A:H,8,FALSE)</f>
        <v>-112.00805560000001</v>
      </c>
      <c r="H2998">
        <f t="shared" si="92"/>
        <v>705.1</v>
      </c>
      <c r="I2998">
        <f t="shared" si="93"/>
        <v>438.2</v>
      </c>
    </row>
    <row r="2999" spans="1:9" x14ac:dyDescent="0.25">
      <c r="A2999" s="5" t="s">
        <v>858</v>
      </c>
      <c r="B2999" s="5" t="s">
        <v>130</v>
      </c>
      <c r="C2999" s="5" t="s">
        <v>3454</v>
      </c>
      <c r="D2999" s="3">
        <f>VLOOKUP(A2999,airports!A:H,7,FALSE)</f>
        <v>39.122412500000003</v>
      </c>
      <c r="E2999" s="3">
        <f>VLOOKUP(A2999,airports!A:H,8,FALSE)</f>
        <v>-108.52673470000001</v>
      </c>
      <c r="F2999" s="3">
        <f>VLOOKUP(B2999,airports!A:H,7,FALSE)</f>
        <v>37.619001939999997</v>
      </c>
      <c r="G2999" s="3">
        <f>VLOOKUP(B2999,airports!A:H,8,FALSE)</f>
        <v>-122.37484329999999</v>
      </c>
      <c r="H2999">
        <f t="shared" si="92"/>
        <v>1217.5</v>
      </c>
      <c r="I2999">
        <f t="shared" si="93"/>
        <v>756.6</v>
      </c>
    </row>
    <row r="3000" spans="1:9" x14ac:dyDescent="0.25">
      <c r="A3000" s="5" t="s">
        <v>858</v>
      </c>
      <c r="B3000" s="5" t="s">
        <v>135</v>
      </c>
      <c r="C3000" s="5" t="s">
        <v>3455</v>
      </c>
      <c r="D3000" s="3">
        <f>VLOOKUP(A3000,airports!A:H,7,FALSE)</f>
        <v>39.122412500000003</v>
      </c>
      <c r="E3000" s="3">
        <f>VLOOKUP(A3000,airports!A:H,8,FALSE)</f>
        <v>-108.52673470000001</v>
      </c>
      <c r="F3000" s="3">
        <f>VLOOKUP(B3000,airports!A:H,7,FALSE)</f>
        <v>40.788387780000001</v>
      </c>
      <c r="G3000" s="3">
        <f>VLOOKUP(B3000,airports!A:H,8,FALSE)</f>
        <v>-111.97777309999999</v>
      </c>
      <c r="H3000">
        <f t="shared" si="92"/>
        <v>347.6</v>
      </c>
      <c r="I3000">
        <f t="shared" si="93"/>
        <v>216</v>
      </c>
    </row>
    <row r="3001" spans="1:9" ht="30" x14ac:dyDescent="0.25">
      <c r="A3001" s="5" t="s">
        <v>858</v>
      </c>
      <c r="B3001" s="5" t="s">
        <v>227</v>
      </c>
      <c r="C3001" s="5" t="s">
        <v>3456</v>
      </c>
      <c r="D3001" s="3">
        <f>VLOOKUP(A3001,airports!A:H,7,FALSE)</f>
        <v>39.122412500000003</v>
      </c>
      <c r="E3001" s="3">
        <f>VLOOKUP(A3001,airports!A:H,8,FALSE)</f>
        <v>-108.52673470000001</v>
      </c>
      <c r="F3001" s="3">
        <f>VLOOKUP(B3001,airports!A:H,7,FALSE)</f>
        <v>33.675658609999999</v>
      </c>
      <c r="G3001" s="3">
        <f>VLOOKUP(B3001,airports!A:H,8,FALSE)</f>
        <v>-117.8682225</v>
      </c>
      <c r="H3001">
        <f t="shared" si="92"/>
        <v>1031.5</v>
      </c>
      <c r="I3001">
        <f t="shared" si="93"/>
        <v>641</v>
      </c>
    </row>
    <row r="3002" spans="1:9" ht="30" x14ac:dyDescent="0.25">
      <c r="A3002" s="5" t="s">
        <v>507</v>
      </c>
      <c r="B3002" s="5" t="s">
        <v>10</v>
      </c>
      <c r="C3002" s="5" t="s">
        <v>3457</v>
      </c>
      <c r="D3002" s="3">
        <f>VLOOKUP(A3002,airports!A:H,7,FALSE)</f>
        <v>29.690055560000001</v>
      </c>
      <c r="E3002" s="3">
        <f>VLOOKUP(A3002,airports!A:H,8,FALSE)</f>
        <v>-82.271777779999994</v>
      </c>
      <c r="F3002" s="3">
        <f>VLOOKUP(B3002,airports!A:H,7,FALSE)</f>
        <v>33.640444440000003</v>
      </c>
      <c r="G3002" s="3">
        <f>VLOOKUP(B3002,airports!A:H,8,FALSE)</f>
        <v>-84.42694444</v>
      </c>
      <c r="H3002">
        <f t="shared" si="92"/>
        <v>484.3</v>
      </c>
      <c r="I3002">
        <f t="shared" si="93"/>
        <v>300.89999999999998</v>
      </c>
    </row>
    <row r="3003" spans="1:9" ht="30" x14ac:dyDescent="0.25">
      <c r="A3003" s="5" t="s">
        <v>507</v>
      </c>
      <c r="B3003" s="5" t="s">
        <v>40</v>
      </c>
      <c r="C3003" s="5" t="s">
        <v>3458</v>
      </c>
      <c r="D3003" s="3">
        <f>VLOOKUP(A3003,airports!A:H,7,FALSE)</f>
        <v>29.690055560000001</v>
      </c>
      <c r="E3003" s="3">
        <f>VLOOKUP(A3003,airports!A:H,8,FALSE)</f>
        <v>-82.271777779999994</v>
      </c>
      <c r="F3003" s="3">
        <f>VLOOKUP(B3003,airports!A:H,7,FALSE)</f>
        <v>35.214011110000001</v>
      </c>
      <c r="G3003" s="3">
        <f>VLOOKUP(B3003,airports!A:H,8,FALSE)</f>
        <v>-80.94312583</v>
      </c>
      <c r="H3003">
        <f t="shared" si="92"/>
        <v>626.70000000000005</v>
      </c>
      <c r="I3003">
        <f t="shared" si="93"/>
        <v>389.5</v>
      </c>
    </row>
    <row r="3004" spans="1:9" ht="30" x14ac:dyDescent="0.25">
      <c r="A3004" s="5" t="s">
        <v>507</v>
      </c>
      <c r="B3004" s="5" t="s">
        <v>49</v>
      </c>
      <c r="C3004" s="5" t="s">
        <v>3459</v>
      </c>
      <c r="D3004" s="3">
        <f>VLOOKUP(A3004,airports!A:H,7,FALSE)</f>
        <v>29.690055560000001</v>
      </c>
      <c r="E3004" s="3">
        <f>VLOOKUP(A3004,airports!A:H,8,FALSE)</f>
        <v>-82.271777779999994</v>
      </c>
      <c r="F3004" s="3">
        <f>VLOOKUP(B3004,airports!A:H,7,FALSE)</f>
        <v>32.895950560000003</v>
      </c>
      <c r="G3004" s="3">
        <f>VLOOKUP(B3004,airports!A:H,8,FALSE)</f>
        <v>-97.037199999999999</v>
      </c>
      <c r="H3004">
        <f t="shared" si="92"/>
        <v>1446.2</v>
      </c>
      <c r="I3004">
        <f t="shared" si="93"/>
        <v>898.7</v>
      </c>
    </row>
    <row r="3005" spans="1:9" ht="30" x14ac:dyDescent="0.25">
      <c r="A3005" s="5" t="s">
        <v>507</v>
      </c>
      <c r="B3005" s="5" t="s">
        <v>84</v>
      </c>
      <c r="C3005" s="5" t="s">
        <v>3460</v>
      </c>
      <c r="D3005" s="3">
        <f>VLOOKUP(A3005,airports!A:H,7,FALSE)</f>
        <v>29.690055560000001</v>
      </c>
      <c r="E3005" s="3">
        <f>VLOOKUP(A3005,airports!A:H,8,FALSE)</f>
        <v>-82.271777779999994</v>
      </c>
      <c r="F3005" s="3">
        <f>VLOOKUP(B3005,airports!A:H,7,FALSE)</f>
        <v>25.79325</v>
      </c>
      <c r="G3005" s="3">
        <f>VLOOKUP(B3005,airports!A:H,8,FALSE)</f>
        <v>-80.290555560000001</v>
      </c>
      <c r="H3005">
        <f t="shared" si="92"/>
        <v>475.1</v>
      </c>
      <c r="I3005">
        <f t="shared" si="93"/>
        <v>295.2</v>
      </c>
    </row>
    <row r="3006" spans="1:9" x14ac:dyDescent="0.25">
      <c r="A3006" s="5" t="s">
        <v>509</v>
      </c>
      <c r="B3006" s="5" t="s">
        <v>10</v>
      </c>
      <c r="C3006" s="5" t="s">
        <v>3461</v>
      </c>
      <c r="D3006" s="3">
        <f>VLOOKUP(A3006,airports!A:H,7,FALSE)</f>
        <v>30.407280279999998</v>
      </c>
      <c r="E3006" s="3">
        <f>VLOOKUP(A3006,airports!A:H,8,FALSE)</f>
        <v>-89.070092779999996</v>
      </c>
      <c r="F3006" s="3">
        <f>VLOOKUP(B3006,airports!A:H,7,FALSE)</f>
        <v>33.640444440000003</v>
      </c>
      <c r="G3006" s="3">
        <f>VLOOKUP(B3006,airports!A:H,8,FALSE)</f>
        <v>-84.42694444</v>
      </c>
      <c r="H3006">
        <f t="shared" si="92"/>
        <v>566.29999999999995</v>
      </c>
      <c r="I3006">
        <f t="shared" si="93"/>
        <v>351.9</v>
      </c>
    </row>
    <row r="3007" spans="1:9" ht="30" x14ac:dyDescent="0.25">
      <c r="A3007" s="5" t="s">
        <v>509</v>
      </c>
      <c r="B3007" s="5" t="s">
        <v>19</v>
      </c>
      <c r="C3007" s="5" t="s">
        <v>3462</v>
      </c>
      <c r="D3007" s="3">
        <f>VLOOKUP(A3007,airports!A:H,7,FALSE)</f>
        <v>30.407280279999998</v>
      </c>
      <c r="E3007" s="3">
        <f>VLOOKUP(A3007,airports!A:H,8,FALSE)</f>
        <v>-89.070092779999996</v>
      </c>
      <c r="F3007" s="3">
        <f>VLOOKUP(B3007,airports!A:H,7,FALSE)</f>
        <v>36.12447667</v>
      </c>
      <c r="G3007" s="3">
        <f>VLOOKUP(B3007,airports!A:H,8,FALSE)</f>
        <v>-86.678182219999997</v>
      </c>
      <c r="H3007">
        <f t="shared" si="92"/>
        <v>673.4</v>
      </c>
      <c r="I3007">
        <f t="shared" si="93"/>
        <v>418.5</v>
      </c>
    </row>
    <row r="3008" spans="1:9" x14ac:dyDescent="0.25">
      <c r="A3008" s="5" t="s">
        <v>509</v>
      </c>
      <c r="B3008" s="5" t="s">
        <v>40</v>
      </c>
      <c r="C3008" s="5" t="s">
        <v>3463</v>
      </c>
      <c r="D3008" s="3">
        <f>VLOOKUP(A3008,airports!A:H,7,FALSE)</f>
        <v>30.407280279999998</v>
      </c>
      <c r="E3008" s="3">
        <f>VLOOKUP(A3008,airports!A:H,8,FALSE)</f>
        <v>-89.070092779999996</v>
      </c>
      <c r="F3008" s="3">
        <f>VLOOKUP(B3008,airports!A:H,7,FALSE)</f>
        <v>35.214011110000001</v>
      </c>
      <c r="G3008" s="3">
        <f>VLOOKUP(B3008,airports!A:H,8,FALSE)</f>
        <v>-80.94312583</v>
      </c>
      <c r="H3008">
        <f t="shared" si="92"/>
        <v>928.2</v>
      </c>
      <c r="I3008">
        <f t="shared" si="93"/>
        <v>576.79999999999995</v>
      </c>
    </row>
    <row r="3009" spans="1:9" ht="30" x14ac:dyDescent="0.25">
      <c r="A3009" s="5" t="s">
        <v>509</v>
      </c>
      <c r="B3009" s="5" t="s">
        <v>49</v>
      </c>
      <c r="C3009" s="5" t="s">
        <v>3464</v>
      </c>
      <c r="D3009" s="3">
        <f>VLOOKUP(A3009,airports!A:H,7,FALSE)</f>
        <v>30.407280279999998</v>
      </c>
      <c r="E3009" s="3">
        <f>VLOOKUP(A3009,airports!A:H,8,FALSE)</f>
        <v>-89.070092779999996</v>
      </c>
      <c r="F3009" s="3">
        <f>VLOOKUP(B3009,airports!A:H,7,FALSE)</f>
        <v>32.895950560000003</v>
      </c>
      <c r="G3009" s="3">
        <f>VLOOKUP(B3009,airports!A:H,8,FALSE)</f>
        <v>-97.037199999999999</v>
      </c>
      <c r="H3009">
        <f t="shared" si="92"/>
        <v>803</v>
      </c>
      <c r="I3009">
        <f t="shared" si="93"/>
        <v>499</v>
      </c>
    </row>
    <row r="3010" spans="1:9" x14ac:dyDescent="0.25">
      <c r="A3010" s="5" t="s">
        <v>509</v>
      </c>
      <c r="B3010" s="5" t="s">
        <v>67</v>
      </c>
      <c r="C3010" s="5" t="s">
        <v>3465</v>
      </c>
      <c r="D3010" s="3">
        <f>VLOOKUP(A3010,airports!A:H,7,FALSE)</f>
        <v>30.407280279999998</v>
      </c>
      <c r="E3010" s="3">
        <f>VLOOKUP(A3010,airports!A:H,8,FALSE)</f>
        <v>-89.070092779999996</v>
      </c>
      <c r="F3010" s="3">
        <f>VLOOKUP(B3010,airports!A:H,7,FALSE)</f>
        <v>29.980472219999999</v>
      </c>
      <c r="G3010" s="3">
        <f>VLOOKUP(B3010,airports!A:H,8,FALSE)</f>
        <v>-95.339722219999999</v>
      </c>
      <c r="H3010">
        <f t="shared" si="92"/>
        <v>604.4</v>
      </c>
      <c r="I3010">
        <f t="shared" si="93"/>
        <v>375.6</v>
      </c>
    </row>
    <row r="3011" spans="1:9" x14ac:dyDescent="0.25">
      <c r="A3011" s="5" t="s">
        <v>509</v>
      </c>
      <c r="B3011" s="5" t="s">
        <v>191</v>
      </c>
      <c r="C3011" s="5" t="s">
        <v>3466</v>
      </c>
      <c r="D3011" s="3">
        <f>VLOOKUP(A3011,airports!A:H,7,FALSE)</f>
        <v>30.407280279999998</v>
      </c>
      <c r="E3011" s="3">
        <f>VLOOKUP(A3011,airports!A:H,8,FALSE)</f>
        <v>-89.070092779999996</v>
      </c>
      <c r="F3011" s="3">
        <f>VLOOKUP(B3011,airports!A:H,7,FALSE)</f>
        <v>28.7776</v>
      </c>
      <c r="G3011" s="3">
        <f>VLOOKUP(B3011,airports!A:H,8,FALSE)</f>
        <v>-81.237499999999997</v>
      </c>
      <c r="H3011">
        <f t="shared" si="92"/>
        <v>778.5</v>
      </c>
      <c r="I3011">
        <f t="shared" si="93"/>
        <v>483.8</v>
      </c>
    </row>
    <row r="3012" spans="1:9" ht="30" x14ac:dyDescent="0.25">
      <c r="A3012" s="5" t="s">
        <v>511</v>
      </c>
      <c r="B3012" s="5" t="s">
        <v>10</v>
      </c>
      <c r="C3012" s="5" t="s">
        <v>3467</v>
      </c>
      <c r="D3012" s="3">
        <f>VLOOKUP(A3012,airports!A:H,7,FALSE)</f>
        <v>44.485073329999999</v>
      </c>
      <c r="E3012" s="3">
        <f>VLOOKUP(A3012,airports!A:H,8,FALSE)</f>
        <v>-88.129589999999993</v>
      </c>
      <c r="F3012" s="3">
        <f>VLOOKUP(B3012,airports!A:H,7,FALSE)</f>
        <v>33.640444440000003</v>
      </c>
      <c r="G3012" s="3">
        <f>VLOOKUP(B3012,airports!A:H,8,FALSE)</f>
        <v>-84.42694444</v>
      </c>
      <c r="H3012">
        <f t="shared" ref="H3012:H3075" si="94">ROUND(ACOS(COS(RADIANS(90-D3012)) * COS(RADIANS(90-F3012)) + SIN(RADIANS(90-D3012)) * SIN(RADIANS(90-F3012)) * COS(RADIANS(E3012-G3012))) * 6371,1)</f>
        <v>1247.2</v>
      </c>
      <c r="I3012">
        <f t="shared" ref="I3012:I3075" si="95">ROUND(ACOS(COS(RADIANS(90-D3012)) * COS(RADIANS(90-F3012)) + SIN(RADIANS(90-D3012)) * SIN(RADIANS(90-F3012)) * COS(RADIANS(E3012-G3012))) * 3959,1)</f>
        <v>775</v>
      </c>
    </row>
    <row r="3013" spans="1:9" ht="30" x14ac:dyDescent="0.25">
      <c r="A3013" s="5" t="s">
        <v>511</v>
      </c>
      <c r="B3013" s="5" t="s">
        <v>1943</v>
      </c>
      <c r="C3013" s="5" t="s">
        <v>3468</v>
      </c>
      <c r="D3013" s="3">
        <f>VLOOKUP(A3013,airports!A:H,7,FALSE)</f>
        <v>44.485073329999999</v>
      </c>
      <c r="E3013" s="3">
        <f>VLOOKUP(A3013,airports!A:H,8,FALSE)</f>
        <v>-88.129589999999993</v>
      </c>
      <c r="F3013" s="3">
        <f>VLOOKUP(B3013,airports!A:H,7,FALSE)</f>
        <v>47.168417220000002</v>
      </c>
      <c r="G3013" s="3">
        <f>VLOOKUP(B3013,airports!A:H,8,FALSE)</f>
        <v>-88.48906083</v>
      </c>
      <c r="H3013">
        <f t="shared" si="94"/>
        <v>299.7</v>
      </c>
      <c r="I3013">
        <f t="shared" si="95"/>
        <v>186.2</v>
      </c>
    </row>
    <row r="3014" spans="1:9" ht="30" x14ac:dyDescent="0.25">
      <c r="A3014" s="5" t="s">
        <v>511</v>
      </c>
      <c r="B3014" s="5" t="s">
        <v>47</v>
      </c>
      <c r="C3014" s="5" t="s">
        <v>3469</v>
      </c>
      <c r="D3014" s="3">
        <f>VLOOKUP(A3014,airports!A:H,7,FALSE)</f>
        <v>44.485073329999999</v>
      </c>
      <c r="E3014" s="3">
        <f>VLOOKUP(A3014,airports!A:H,8,FALSE)</f>
        <v>-88.129589999999993</v>
      </c>
      <c r="F3014" s="3">
        <f>VLOOKUP(B3014,airports!A:H,7,FALSE)</f>
        <v>39.858408060000002</v>
      </c>
      <c r="G3014" s="3">
        <f>VLOOKUP(B3014,airports!A:H,8,FALSE)</f>
        <v>-104.6670019</v>
      </c>
      <c r="H3014">
        <f t="shared" si="94"/>
        <v>1453.5</v>
      </c>
      <c r="I3014">
        <f t="shared" si="95"/>
        <v>903.2</v>
      </c>
    </row>
    <row r="3015" spans="1:9" ht="30" x14ac:dyDescent="0.25">
      <c r="A3015" s="5" t="s">
        <v>511</v>
      </c>
      <c r="B3015" s="5" t="s">
        <v>50</v>
      </c>
      <c r="C3015" s="5" t="s">
        <v>3470</v>
      </c>
      <c r="D3015" s="3">
        <f>VLOOKUP(A3015,airports!A:H,7,FALSE)</f>
        <v>44.485073329999999</v>
      </c>
      <c r="E3015" s="3">
        <f>VLOOKUP(A3015,airports!A:H,8,FALSE)</f>
        <v>-88.129589999999993</v>
      </c>
      <c r="F3015" s="3">
        <f>VLOOKUP(B3015,airports!A:H,7,FALSE)</f>
        <v>42.212058890000002</v>
      </c>
      <c r="G3015" s="3">
        <f>VLOOKUP(B3015,airports!A:H,8,FALSE)</f>
        <v>-83.348835829999999</v>
      </c>
      <c r="H3015">
        <f t="shared" si="94"/>
        <v>461.7</v>
      </c>
      <c r="I3015">
        <f t="shared" si="95"/>
        <v>286.89999999999998</v>
      </c>
    </row>
    <row r="3016" spans="1:9" x14ac:dyDescent="0.25">
      <c r="A3016" s="5" t="s">
        <v>511</v>
      </c>
      <c r="B3016" s="5" t="s">
        <v>57</v>
      </c>
      <c r="C3016" s="5" t="s">
        <v>3471</v>
      </c>
      <c r="D3016" s="3">
        <f>VLOOKUP(A3016,airports!A:H,7,FALSE)</f>
        <v>44.485073329999999</v>
      </c>
      <c r="E3016" s="3">
        <f>VLOOKUP(A3016,airports!A:H,8,FALSE)</f>
        <v>-88.129589999999993</v>
      </c>
      <c r="F3016" s="3">
        <f>VLOOKUP(B3016,airports!A:H,7,FALSE)</f>
        <v>26.072583330000001</v>
      </c>
      <c r="G3016" s="3">
        <f>VLOOKUP(B3016,airports!A:H,8,FALSE)</f>
        <v>-80.152749999999997</v>
      </c>
      <c r="H3016">
        <f t="shared" si="94"/>
        <v>2169</v>
      </c>
      <c r="I3016">
        <f t="shared" si="95"/>
        <v>1347.8</v>
      </c>
    </row>
    <row r="3017" spans="1:9" ht="30" x14ac:dyDescent="0.25">
      <c r="A3017" s="5" t="s">
        <v>511</v>
      </c>
      <c r="B3017" s="5" t="s">
        <v>176</v>
      </c>
      <c r="C3017" s="5" t="s">
        <v>3472</v>
      </c>
      <c r="D3017" s="3">
        <f>VLOOKUP(A3017,airports!A:H,7,FALSE)</f>
        <v>44.485073329999999</v>
      </c>
      <c r="E3017" s="3">
        <f>VLOOKUP(A3017,airports!A:H,8,FALSE)</f>
        <v>-88.129589999999993</v>
      </c>
      <c r="F3017" s="3">
        <f>VLOOKUP(B3017,airports!A:H,7,FALSE)</f>
        <v>38.944531939999997</v>
      </c>
      <c r="G3017" s="3">
        <f>VLOOKUP(B3017,airports!A:H,8,FALSE)</f>
        <v>-77.455809720000005</v>
      </c>
      <c r="H3017">
        <f t="shared" si="94"/>
        <v>1077.7</v>
      </c>
      <c r="I3017">
        <f t="shared" si="95"/>
        <v>669.7</v>
      </c>
    </row>
    <row r="3018" spans="1:9" ht="30" x14ac:dyDescent="0.25">
      <c r="A3018" s="5" t="s">
        <v>511</v>
      </c>
      <c r="B3018" s="5" t="s">
        <v>82</v>
      </c>
      <c r="C3018" s="5" t="s">
        <v>3473</v>
      </c>
      <c r="D3018" s="3">
        <f>VLOOKUP(A3018,airports!A:H,7,FALSE)</f>
        <v>44.485073329999999</v>
      </c>
      <c r="E3018" s="3">
        <f>VLOOKUP(A3018,airports!A:H,8,FALSE)</f>
        <v>-88.129589999999993</v>
      </c>
      <c r="F3018" s="3">
        <f>VLOOKUP(B3018,airports!A:H,7,FALSE)</f>
        <v>28.42888889</v>
      </c>
      <c r="G3018" s="3">
        <f>VLOOKUP(B3018,airports!A:H,8,FALSE)</f>
        <v>-81.316027779999999</v>
      </c>
      <c r="H3018">
        <f t="shared" si="94"/>
        <v>1884.7</v>
      </c>
      <c r="I3018">
        <f t="shared" si="95"/>
        <v>1171.2</v>
      </c>
    </row>
    <row r="3019" spans="1:9" ht="30" x14ac:dyDescent="0.25">
      <c r="A3019" s="5" t="s">
        <v>511</v>
      </c>
      <c r="B3019" s="5" t="s">
        <v>2886</v>
      </c>
      <c r="C3019" s="5" t="s">
        <v>3474</v>
      </c>
      <c r="D3019" s="3">
        <f>VLOOKUP(A3019,airports!A:H,7,FALSE)</f>
        <v>44.485073329999999</v>
      </c>
      <c r="E3019" s="3">
        <f>VLOOKUP(A3019,airports!A:H,8,FALSE)</f>
        <v>-88.129589999999993</v>
      </c>
      <c r="F3019" s="3">
        <f>VLOOKUP(B3019,airports!A:H,7,FALSE)</f>
        <v>46.353639000000001</v>
      </c>
      <c r="G3019" s="3">
        <f>VLOOKUP(B3019,airports!A:H,8,FALSE)</f>
        <v>-87.395360999999994</v>
      </c>
      <c r="H3019">
        <f t="shared" si="94"/>
        <v>215.5</v>
      </c>
      <c r="I3019">
        <f t="shared" si="95"/>
        <v>133.9</v>
      </c>
    </row>
    <row r="3020" spans="1:9" ht="30" x14ac:dyDescent="0.25">
      <c r="A3020" s="5" t="s">
        <v>511</v>
      </c>
      <c r="B3020" s="5" t="s">
        <v>87</v>
      </c>
      <c r="C3020" s="5" t="s">
        <v>3475</v>
      </c>
      <c r="D3020" s="3">
        <f>VLOOKUP(A3020,airports!A:H,7,FALSE)</f>
        <v>44.485073329999999</v>
      </c>
      <c r="E3020" s="3">
        <f>VLOOKUP(A3020,airports!A:H,8,FALSE)</f>
        <v>-88.129589999999993</v>
      </c>
      <c r="F3020" s="3">
        <f>VLOOKUP(B3020,airports!A:H,7,FALSE)</f>
        <v>44.880546940000002</v>
      </c>
      <c r="G3020" s="3">
        <f>VLOOKUP(B3020,airports!A:H,8,FALSE)</f>
        <v>-93.216922499999995</v>
      </c>
      <c r="H3020">
        <f t="shared" si="94"/>
        <v>404.5</v>
      </c>
      <c r="I3020">
        <f t="shared" si="95"/>
        <v>251.4</v>
      </c>
    </row>
    <row r="3021" spans="1:9" ht="30" x14ac:dyDescent="0.25">
      <c r="A3021" s="5" t="s">
        <v>511</v>
      </c>
      <c r="B3021" s="5" t="s">
        <v>95</v>
      </c>
      <c r="C3021" s="5" t="s">
        <v>3476</v>
      </c>
      <c r="D3021" s="3">
        <f>VLOOKUP(A3021,airports!A:H,7,FALSE)</f>
        <v>44.485073329999999</v>
      </c>
      <c r="E3021" s="3">
        <f>VLOOKUP(A3021,airports!A:H,8,FALSE)</f>
        <v>-88.129589999999993</v>
      </c>
      <c r="F3021" s="3">
        <f>VLOOKUP(B3021,airports!A:H,7,FALSE)</f>
        <v>41.979595000000003</v>
      </c>
      <c r="G3021" s="3">
        <f>VLOOKUP(B3021,airports!A:H,8,FALSE)</f>
        <v>-87.904464169999997</v>
      </c>
      <c r="H3021">
        <f t="shared" si="94"/>
        <v>279.2</v>
      </c>
      <c r="I3021">
        <f t="shared" si="95"/>
        <v>173.5</v>
      </c>
    </row>
    <row r="3022" spans="1:9" ht="30" x14ac:dyDescent="0.25">
      <c r="A3022" s="5" t="s">
        <v>511</v>
      </c>
      <c r="B3022" s="5" t="s">
        <v>130</v>
      </c>
      <c r="C3022" s="5" t="s">
        <v>3477</v>
      </c>
      <c r="D3022" s="3">
        <f>VLOOKUP(A3022,airports!A:H,7,FALSE)</f>
        <v>44.485073329999999</v>
      </c>
      <c r="E3022" s="3">
        <f>VLOOKUP(A3022,airports!A:H,8,FALSE)</f>
        <v>-88.129589999999993</v>
      </c>
      <c r="F3022" s="3">
        <f>VLOOKUP(B3022,airports!A:H,7,FALSE)</f>
        <v>37.619001939999997</v>
      </c>
      <c r="G3022" s="3">
        <f>VLOOKUP(B3022,airports!A:H,8,FALSE)</f>
        <v>-122.37484329999999</v>
      </c>
      <c r="H3022">
        <f t="shared" si="94"/>
        <v>2947.7</v>
      </c>
      <c r="I3022">
        <f t="shared" si="95"/>
        <v>1831.7</v>
      </c>
    </row>
    <row r="3023" spans="1:9" ht="30" x14ac:dyDescent="0.25">
      <c r="A3023" s="5" t="s">
        <v>511</v>
      </c>
      <c r="B3023" s="5" t="s">
        <v>145</v>
      </c>
      <c r="C3023" s="5" t="s">
        <v>3478</v>
      </c>
      <c r="D3023" s="3">
        <f>VLOOKUP(A3023,airports!A:H,7,FALSE)</f>
        <v>44.485073329999999</v>
      </c>
      <c r="E3023" s="3">
        <f>VLOOKUP(A3023,airports!A:H,8,FALSE)</f>
        <v>-88.129589999999993</v>
      </c>
      <c r="F3023" s="3">
        <f>VLOOKUP(B3023,airports!A:H,7,FALSE)</f>
        <v>27.97547222</v>
      </c>
      <c r="G3023" s="3">
        <f>VLOOKUP(B3023,airports!A:H,8,FALSE)</f>
        <v>-82.533249999999995</v>
      </c>
      <c r="H3023">
        <f t="shared" si="94"/>
        <v>1902</v>
      </c>
      <c r="I3023">
        <f t="shared" si="95"/>
        <v>1181.9000000000001</v>
      </c>
    </row>
    <row r="3024" spans="1:9" x14ac:dyDescent="0.25">
      <c r="A3024" s="5" t="s">
        <v>860</v>
      </c>
      <c r="B3024" s="5" t="s">
        <v>329</v>
      </c>
      <c r="C3024" s="5" t="s">
        <v>3479</v>
      </c>
      <c r="D3024" s="3">
        <f>VLOOKUP(A3024,airports!A:H,7,FALSE)</f>
        <v>40.967472219999998</v>
      </c>
      <c r="E3024" s="3">
        <f>VLOOKUP(A3024,airports!A:H,8,FALSE)</f>
        <v>-98.308611110000001</v>
      </c>
      <c r="F3024" s="3">
        <f>VLOOKUP(B3024,airports!A:H,7,FALSE)</f>
        <v>33.308999999999997</v>
      </c>
      <c r="G3024" s="3">
        <f>VLOOKUP(B3024,airports!A:H,8,FALSE)</f>
        <v>-111.6559</v>
      </c>
      <c r="H3024">
        <f t="shared" si="94"/>
        <v>1455</v>
      </c>
      <c r="I3024">
        <f t="shared" si="95"/>
        <v>904.1</v>
      </c>
    </row>
    <row r="3025" spans="1:9" ht="30" x14ac:dyDescent="0.25">
      <c r="A3025" s="5" t="s">
        <v>860</v>
      </c>
      <c r="B3025" s="5" t="s">
        <v>49</v>
      </c>
      <c r="C3025" s="5" t="s">
        <v>3480</v>
      </c>
      <c r="D3025" s="3">
        <f>VLOOKUP(A3025,airports!A:H,7,FALSE)</f>
        <v>40.967472219999998</v>
      </c>
      <c r="E3025" s="3">
        <f>VLOOKUP(A3025,airports!A:H,8,FALSE)</f>
        <v>-98.308611110000001</v>
      </c>
      <c r="F3025" s="3">
        <f>VLOOKUP(B3025,airports!A:H,7,FALSE)</f>
        <v>32.895950560000003</v>
      </c>
      <c r="G3025" s="3">
        <f>VLOOKUP(B3025,airports!A:H,8,FALSE)</f>
        <v>-97.037199999999999</v>
      </c>
      <c r="H3025">
        <f t="shared" si="94"/>
        <v>904.6</v>
      </c>
      <c r="I3025">
        <f t="shared" si="95"/>
        <v>562.1</v>
      </c>
    </row>
    <row r="3026" spans="1:9" x14ac:dyDescent="0.25">
      <c r="A3026" s="5" t="s">
        <v>860</v>
      </c>
      <c r="B3026" s="5" t="s">
        <v>71</v>
      </c>
      <c r="C3026" s="5" t="s">
        <v>3481</v>
      </c>
      <c r="D3026" s="3">
        <f>VLOOKUP(A3026,airports!A:H,7,FALSE)</f>
        <v>40.967472219999998</v>
      </c>
      <c r="E3026" s="3">
        <f>VLOOKUP(A3026,airports!A:H,8,FALSE)</f>
        <v>-98.308611110000001</v>
      </c>
      <c r="F3026" s="3">
        <f>VLOOKUP(B3026,airports!A:H,7,FALSE)</f>
        <v>36.080361109999998</v>
      </c>
      <c r="G3026" s="3">
        <f>VLOOKUP(B3026,airports!A:H,8,FALSE)</f>
        <v>-115.1523333</v>
      </c>
      <c r="H3026">
        <f t="shared" si="94"/>
        <v>1559.7</v>
      </c>
      <c r="I3026">
        <f t="shared" si="95"/>
        <v>969.2</v>
      </c>
    </row>
    <row r="3027" spans="1:9" ht="30" x14ac:dyDescent="0.25">
      <c r="A3027" s="5" t="s">
        <v>513</v>
      </c>
      <c r="B3027" s="5" t="s">
        <v>10</v>
      </c>
      <c r="C3027" s="5" t="s">
        <v>3482</v>
      </c>
      <c r="D3027" s="3">
        <f>VLOOKUP(A3027,airports!A:H,7,FALSE)</f>
        <v>31.064897779999999</v>
      </c>
      <c r="E3027" s="3">
        <f>VLOOKUP(A3027,airports!A:H,8,FALSE)</f>
        <v>-97.827797779999997</v>
      </c>
      <c r="F3027" s="3">
        <f>VLOOKUP(B3027,airports!A:H,7,FALSE)</f>
        <v>33.640444440000003</v>
      </c>
      <c r="G3027" s="3">
        <f>VLOOKUP(B3027,airports!A:H,8,FALSE)</f>
        <v>-84.42694444</v>
      </c>
      <c r="H3027">
        <f t="shared" si="94"/>
        <v>1289.9000000000001</v>
      </c>
      <c r="I3027">
        <f t="shared" si="95"/>
        <v>801.6</v>
      </c>
    </row>
    <row r="3028" spans="1:9" ht="30" x14ac:dyDescent="0.25">
      <c r="A3028" s="5" t="s">
        <v>513</v>
      </c>
      <c r="B3028" s="5" t="s">
        <v>49</v>
      </c>
      <c r="C3028" s="5" t="s">
        <v>3483</v>
      </c>
      <c r="D3028" s="3">
        <f>VLOOKUP(A3028,airports!A:H,7,FALSE)</f>
        <v>31.064897779999999</v>
      </c>
      <c r="E3028" s="3">
        <f>VLOOKUP(A3028,airports!A:H,8,FALSE)</f>
        <v>-97.827797779999997</v>
      </c>
      <c r="F3028" s="3">
        <f>VLOOKUP(B3028,airports!A:H,7,FALSE)</f>
        <v>32.895950560000003</v>
      </c>
      <c r="G3028" s="3">
        <f>VLOOKUP(B3028,airports!A:H,8,FALSE)</f>
        <v>-97.037199999999999</v>
      </c>
      <c r="H3028">
        <f t="shared" si="94"/>
        <v>216.8</v>
      </c>
      <c r="I3028">
        <f t="shared" si="95"/>
        <v>134.69999999999999</v>
      </c>
    </row>
    <row r="3029" spans="1:9" ht="30" x14ac:dyDescent="0.25">
      <c r="A3029" s="5" t="s">
        <v>513</v>
      </c>
      <c r="B3029" s="5" t="s">
        <v>67</v>
      </c>
      <c r="C3029" s="5" t="s">
        <v>3484</v>
      </c>
      <c r="D3029" s="3">
        <f>VLOOKUP(A3029,airports!A:H,7,FALSE)</f>
        <v>31.064897779999999</v>
      </c>
      <c r="E3029" s="3">
        <f>VLOOKUP(A3029,airports!A:H,8,FALSE)</f>
        <v>-97.827797779999997</v>
      </c>
      <c r="F3029" s="3">
        <f>VLOOKUP(B3029,airports!A:H,7,FALSE)</f>
        <v>29.980472219999999</v>
      </c>
      <c r="G3029" s="3">
        <f>VLOOKUP(B3029,airports!A:H,8,FALSE)</f>
        <v>-95.339722219999999</v>
      </c>
      <c r="H3029">
        <f t="shared" si="94"/>
        <v>267.10000000000002</v>
      </c>
      <c r="I3029">
        <f t="shared" si="95"/>
        <v>166</v>
      </c>
    </row>
    <row r="3030" spans="1:9" ht="30" x14ac:dyDescent="0.25">
      <c r="A3030" s="5" t="s">
        <v>515</v>
      </c>
      <c r="B3030" s="5" t="s">
        <v>10</v>
      </c>
      <c r="C3030" s="5" t="s">
        <v>3485</v>
      </c>
      <c r="D3030" s="3">
        <f>VLOOKUP(A3030,airports!A:H,7,FALSE)</f>
        <v>42.880819719999998</v>
      </c>
      <c r="E3030" s="3">
        <f>VLOOKUP(A3030,airports!A:H,8,FALSE)</f>
        <v>-85.522767779999995</v>
      </c>
      <c r="F3030" s="3">
        <f>VLOOKUP(B3030,airports!A:H,7,FALSE)</f>
        <v>33.640444440000003</v>
      </c>
      <c r="G3030" s="3">
        <f>VLOOKUP(B3030,airports!A:H,8,FALSE)</f>
        <v>-84.42694444</v>
      </c>
      <c r="H3030">
        <f t="shared" si="94"/>
        <v>1031.9000000000001</v>
      </c>
      <c r="I3030">
        <f t="shared" si="95"/>
        <v>641.20000000000005</v>
      </c>
    </row>
    <row r="3031" spans="1:9" ht="30" x14ac:dyDescent="0.25">
      <c r="A3031" s="5" t="s">
        <v>515</v>
      </c>
      <c r="B3031" s="5" t="s">
        <v>13</v>
      </c>
      <c r="C3031" s="5" t="s">
        <v>3486</v>
      </c>
      <c r="D3031" s="3">
        <f>VLOOKUP(A3031,airports!A:H,7,FALSE)</f>
        <v>42.880819719999998</v>
      </c>
      <c r="E3031" s="3">
        <f>VLOOKUP(A3031,airports!A:H,8,FALSE)</f>
        <v>-85.522767779999995</v>
      </c>
      <c r="F3031" s="3">
        <f>VLOOKUP(B3031,airports!A:H,7,FALSE)</f>
        <v>30.194532779999999</v>
      </c>
      <c r="G3031" s="3">
        <f>VLOOKUP(B3031,airports!A:H,8,FALSE)</f>
        <v>-97.669871939999993</v>
      </c>
      <c r="H3031">
        <f t="shared" si="94"/>
        <v>1775.8</v>
      </c>
      <c r="I3031">
        <f t="shared" si="95"/>
        <v>1103.5</v>
      </c>
    </row>
    <row r="3032" spans="1:9" ht="30" x14ac:dyDescent="0.25">
      <c r="A3032" s="5" t="s">
        <v>515</v>
      </c>
      <c r="B3032" s="5" t="s">
        <v>329</v>
      </c>
      <c r="C3032" s="5" t="s">
        <v>3487</v>
      </c>
      <c r="D3032" s="3">
        <f>VLOOKUP(A3032,airports!A:H,7,FALSE)</f>
        <v>42.880819719999998</v>
      </c>
      <c r="E3032" s="3">
        <f>VLOOKUP(A3032,airports!A:H,8,FALSE)</f>
        <v>-85.522767779999995</v>
      </c>
      <c r="F3032" s="3">
        <f>VLOOKUP(B3032,airports!A:H,7,FALSE)</f>
        <v>33.308999999999997</v>
      </c>
      <c r="G3032" s="3">
        <f>VLOOKUP(B3032,airports!A:H,8,FALSE)</f>
        <v>-111.6559</v>
      </c>
      <c r="H3032">
        <f t="shared" si="94"/>
        <v>2508.6</v>
      </c>
      <c r="I3032">
        <f t="shared" si="95"/>
        <v>1558.9</v>
      </c>
    </row>
    <row r="3033" spans="1:9" ht="30" x14ac:dyDescent="0.25">
      <c r="A3033" s="5" t="s">
        <v>515</v>
      </c>
      <c r="B3033" s="5" t="s">
        <v>19</v>
      </c>
      <c r="C3033" s="5" t="s">
        <v>3488</v>
      </c>
      <c r="D3033" s="3">
        <f>VLOOKUP(A3033,airports!A:H,7,FALSE)</f>
        <v>42.880819719999998</v>
      </c>
      <c r="E3033" s="3">
        <f>VLOOKUP(A3033,airports!A:H,8,FALSE)</f>
        <v>-85.522767779999995</v>
      </c>
      <c r="F3033" s="3">
        <f>VLOOKUP(B3033,airports!A:H,7,FALSE)</f>
        <v>36.12447667</v>
      </c>
      <c r="G3033" s="3">
        <f>VLOOKUP(B3033,airports!A:H,8,FALSE)</f>
        <v>-86.678182219999997</v>
      </c>
      <c r="H3033">
        <f t="shared" si="94"/>
        <v>757.8</v>
      </c>
      <c r="I3033">
        <f t="shared" si="95"/>
        <v>470.9</v>
      </c>
    </row>
    <row r="3034" spans="1:9" ht="30" x14ac:dyDescent="0.25">
      <c r="A3034" s="5" t="s">
        <v>515</v>
      </c>
      <c r="B3034" s="5" t="s">
        <v>24</v>
      </c>
      <c r="C3034" s="5" t="s">
        <v>3489</v>
      </c>
      <c r="D3034" s="3">
        <f>VLOOKUP(A3034,airports!A:H,7,FALSE)</f>
        <v>42.880819719999998</v>
      </c>
      <c r="E3034" s="3">
        <f>VLOOKUP(A3034,airports!A:H,8,FALSE)</f>
        <v>-85.522767779999995</v>
      </c>
      <c r="F3034" s="3">
        <f>VLOOKUP(B3034,airports!A:H,7,FALSE)</f>
        <v>42.364347500000001</v>
      </c>
      <c r="G3034" s="3">
        <f>VLOOKUP(B3034,airports!A:H,8,FALSE)</f>
        <v>-71.005179170000005</v>
      </c>
      <c r="H3034">
        <f t="shared" si="94"/>
        <v>1187.8</v>
      </c>
      <c r="I3034">
        <f t="shared" si="95"/>
        <v>738.1</v>
      </c>
    </row>
    <row r="3035" spans="1:9" ht="30" x14ac:dyDescent="0.25">
      <c r="A3035" s="5" t="s">
        <v>515</v>
      </c>
      <c r="B3035" s="5" t="s">
        <v>32</v>
      </c>
      <c r="C3035" s="5" t="s">
        <v>3490</v>
      </c>
      <c r="D3035" s="3">
        <f>VLOOKUP(A3035,airports!A:H,7,FALSE)</f>
        <v>42.880819719999998</v>
      </c>
      <c r="E3035" s="3">
        <f>VLOOKUP(A3035,airports!A:H,8,FALSE)</f>
        <v>-85.522767779999995</v>
      </c>
      <c r="F3035" s="3">
        <f>VLOOKUP(B3035,airports!A:H,7,FALSE)</f>
        <v>39.175401669999999</v>
      </c>
      <c r="G3035" s="3">
        <f>VLOOKUP(B3035,airports!A:H,8,FALSE)</f>
        <v>-76.668198329999996</v>
      </c>
      <c r="H3035">
        <f t="shared" si="94"/>
        <v>848.7</v>
      </c>
      <c r="I3035">
        <f t="shared" si="95"/>
        <v>527.4</v>
      </c>
    </row>
    <row r="3036" spans="1:9" x14ac:dyDescent="0.25">
      <c r="A3036" s="5" t="s">
        <v>515</v>
      </c>
      <c r="B3036" s="5" t="s">
        <v>40</v>
      </c>
      <c r="C3036" s="5" t="s">
        <v>3491</v>
      </c>
      <c r="D3036" s="3">
        <f>VLOOKUP(A3036,airports!A:H,7,FALSE)</f>
        <v>42.880819719999998</v>
      </c>
      <c r="E3036" s="3">
        <f>VLOOKUP(A3036,airports!A:H,8,FALSE)</f>
        <v>-85.522767779999995</v>
      </c>
      <c r="F3036" s="3">
        <f>VLOOKUP(B3036,airports!A:H,7,FALSE)</f>
        <v>35.214011110000001</v>
      </c>
      <c r="G3036" s="3">
        <f>VLOOKUP(B3036,airports!A:H,8,FALSE)</f>
        <v>-80.94312583</v>
      </c>
      <c r="H3036">
        <f t="shared" si="94"/>
        <v>939.4</v>
      </c>
      <c r="I3036">
        <f t="shared" si="95"/>
        <v>583.70000000000005</v>
      </c>
    </row>
    <row r="3037" spans="1:9" ht="30" x14ac:dyDescent="0.25">
      <c r="A3037" s="5" t="s">
        <v>515</v>
      </c>
      <c r="B3037" s="5" t="s">
        <v>45</v>
      </c>
      <c r="C3037" s="5" t="s">
        <v>3492</v>
      </c>
      <c r="D3037" s="3">
        <f>VLOOKUP(A3037,airports!A:H,7,FALSE)</f>
        <v>42.880819719999998</v>
      </c>
      <c r="E3037" s="3">
        <f>VLOOKUP(A3037,airports!A:H,8,FALSE)</f>
        <v>-85.522767779999995</v>
      </c>
      <c r="F3037" s="3">
        <f>VLOOKUP(B3037,airports!A:H,7,FALSE)</f>
        <v>38.852083329999999</v>
      </c>
      <c r="G3037" s="3">
        <f>VLOOKUP(B3037,airports!A:H,8,FALSE)</f>
        <v>-77.037722220000006</v>
      </c>
      <c r="H3037">
        <f t="shared" si="94"/>
        <v>841.8</v>
      </c>
      <c r="I3037">
        <f t="shared" si="95"/>
        <v>523.1</v>
      </c>
    </row>
    <row r="3038" spans="1:9" ht="30" x14ac:dyDescent="0.25">
      <c r="A3038" s="5" t="s">
        <v>515</v>
      </c>
      <c r="B3038" s="5" t="s">
        <v>47</v>
      </c>
      <c r="C3038" s="5" t="s">
        <v>3493</v>
      </c>
      <c r="D3038" s="3">
        <f>VLOOKUP(A3038,airports!A:H,7,FALSE)</f>
        <v>42.880819719999998</v>
      </c>
      <c r="E3038" s="3">
        <f>VLOOKUP(A3038,airports!A:H,8,FALSE)</f>
        <v>-85.522767779999995</v>
      </c>
      <c r="F3038" s="3">
        <f>VLOOKUP(B3038,airports!A:H,7,FALSE)</f>
        <v>39.858408060000002</v>
      </c>
      <c r="G3038" s="3">
        <f>VLOOKUP(B3038,airports!A:H,8,FALSE)</f>
        <v>-104.6670019</v>
      </c>
      <c r="H3038">
        <f t="shared" si="94"/>
        <v>1628.7</v>
      </c>
      <c r="I3038">
        <f t="shared" si="95"/>
        <v>1012.1</v>
      </c>
    </row>
    <row r="3039" spans="1:9" ht="30" x14ac:dyDescent="0.25">
      <c r="A3039" s="5" t="s">
        <v>515</v>
      </c>
      <c r="B3039" s="5" t="s">
        <v>49</v>
      </c>
      <c r="C3039" s="5" t="s">
        <v>3494</v>
      </c>
      <c r="D3039" s="3">
        <f>VLOOKUP(A3039,airports!A:H,7,FALSE)</f>
        <v>42.880819719999998</v>
      </c>
      <c r="E3039" s="3">
        <f>VLOOKUP(A3039,airports!A:H,8,FALSE)</f>
        <v>-85.522767779999995</v>
      </c>
      <c r="F3039" s="3">
        <f>VLOOKUP(B3039,airports!A:H,7,FALSE)</f>
        <v>32.895950560000003</v>
      </c>
      <c r="G3039" s="3">
        <f>VLOOKUP(B3039,airports!A:H,8,FALSE)</f>
        <v>-97.037199999999999</v>
      </c>
      <c r="H3039">
        <f t="shared" si="94"/>
        <v>1498.4</v>
      </c>
      <c r="I3039">
        <f t="shared" si="95"/>
        <v>931.1</v>
      </c>
    </row>
    <row r="3040" spans="1:9" ht="30" x14ac:dyDescent="0.25">
      <c r="A3040" s="5" t="s">
        <v>515</v>
      </c>
      <c r="B3040" s="5" t="s">
        <v>50</v>
      </c>
      <c r="C3040" s="5" t="s">
        <v>3495</v>
      </c>
      <c r="D3040" s="3">
        <f>VLOOKUP(A3040,airports!A:H,7,FALSE)</f>
        <v>42.880819719999998</v>
      </c>
      <c r="E3040" s="3">
        <f>VLOOKUP(A3040,airports!A:H,8,FALSE)</f>
        <v>-85.522767779999995</v>
      </c>
      <c r="F3040" s="3">
        <f>VLOOKUP(B3040,airports!A:H,7,FALSE)</f>
        <v>42.212058890000002</v>
      </c>
      <c r="G3040" s="3">
        <f>VLOOKUP(B3040,airports!A:H,8,FALSE)</f>
        <v>-83.348835829999999</v>
      </c>
      <c r="H3040">
        <f t="shared" si="94"/>
        <v>193</v>
      </c>
      <c r="I3040">
        <f t="shared" si="95"/>
        <v>119.9</v>
      </c>
    </row>
    <row r="3041" spans="1:9" ht="30" x14ac:dyDescent="0.25">
      <c r="A3041" s="5" t="s">
        <v>515</v>
      </c>
      <c r="B3041" s="5" t="s">
        <v>52</v>
      </c>
      <c r="C3041" s="5" t="s">
        <v>3496</v>
      </c>
      <c r="D3041" s="3">
        <f>VLOOKUP(A3041,airports!A:H,7,FALSE)</f>
        <v>42.880819719999998</v>
      </c>
      <c r="E3041" s="3">
        <f>VLOOKUP(A3041,airports!A:H,8,FALSE)</f>
        <v>-85.522767779999995</v>
      </c>
      <c r="F3041" s="3">
        <f>VLOOKUP(B3041,airports!A:H,7,FALSE)</f>
        <v>40.69249722</v>
      </c>
      <c r="G3041" s="3">
        <f>VLOOKUP(B3041,airports!A:H,8,FALSE)</f>
        <v>-74.168660560000006</v>
      </c>
      <c r="H3041">
        <f t="shared" si="94"/>
        <v>971.5</v>
      </c>
      <c r="I3041">
        <f t="shared" si="95"/>
        <v>603.70000000000005</v>
      </c>
    </row>
    <row r="3042" spans="1:9" x14ac:dyDescent="0.25">
      <c r="A3042" s="5" t="s">
        <v>515</v>
      </c>
      <c r="B3042" s="5" t="s">
        <v>57</v>
      </c>
      <c r="C3042" s="5" t="s">
        <v>3497</v>
      </c>
      <c r="D3042" s="3">
        <f>VLOOKUP(A3042,airports!A:H,7,FALSE)</f>
        <v>42.880819719999998</v>
      </c>
      <c r="E3042" s="3">
        <f>VLOOKUP(A3042,airports!A:H,8,FALSE)</f>
        <v>-85.522767779999995</v>
      </c>
      <c r="F3042" s="3">
        <f>VLOOKUP(B3042,airports!A:H,7,FALSE)</f>
        <v>26.072583330000001</v>
      </c>
      <c r="G3042" s="3">
        <f>VLOOKUP(B3042,airports!A:H,8,FALSE)</f>
        <v>-80.152749999999997</v>
      </c>
      <c r="H3042">
        <f t="shared" si="94"/>
        <v>1931.6</v>
      </c>
      <c r="I3042">
        <f t="shared" si="95"/>
        <v>1200.3</v>
      </c>
    </row>
    <row r="3043" spans="1:9" ht="30" x14ac:dyDescent="0.25">
      <c r="A3043" s="5" t="s">
        <v>515</v>
      </c>
      <c r="B3043" s="5" t="s">
        <v>176</v>
      </c>
      <c r="C3043" s="5" t="s">
        <v>3498</v>
      </c>
      <c r="D3043" s="3">
        <f>VLOOKUP(A3043,airports!A:H,7,FALSE)</f>
        <v>42.880819719999998</v>
      </c>
      <c r="E3043" s="3">
        <f>VLOOKUP(A3043,airports!A:H,8,FALSE)</f>
        <v>-85.522767779999995</v>
      </c>
      <c r="F3043" s="3">
        <f>VLOOKUP(B3043,airports!A:H,7,FALSE)</f>
        <v>38.944531939999997</v>
      </c>
      <c r="G3043" s="3">
        <f>VLOOKUP(B3043,airports!A:H,8,FALSE)</f>
        <v>-77.455809720000005</v>
      </c>
      <c r="H3043">
        <f t="shared" si="94"/>
        <v>806.3</v>
      </c>
      <c r="I3043">
        <f t="shared" si="95"/>
        <v>501.1</v>
      </c>
    </row>
    <row r="3044" spans="1:9" ht="30" x14ac:dyDescent="0.25">
      <c r="A3044" s="5" t="s">
        <v>515</v>
      </c>
      <c r="B3044" s="5" t="s">
        <v>67</v>
      </c>
      <c r="C3044" s="5" t="s">
        <v>3499</v>
      </c>
      <c r="D3044" s="3">
        <f>VLOOKUP(A3044,airports!A:H,7,FALSE)</f>
        <v>42.880819719999998</v>
      </c>
      <c r="E3044" s="3">
        <f>VLOOKUP(A3044,airports!A:H,8,FALSE)</f>
        <v>-85.522767779999995</v>
      </c>
      <c r="F3044" s="3">
        <f>VLOOKUP(B3044,airports!A:H,7,FALSE)</f>
        <v>29.980472219999999</v>
      </c>
      <c r="G3044" s="3">
        <f>VLOOKUP(B3044,airports!A:H,8,FALSE)</f>
        <v>-95.339722219999999</v>
      </c>
      <c r="H3044">
        <f t="shared" si="94"/>
        <v>1679.2</v>
      </c>
      <c r="I3044">
        <f t="shared" si="95"/>
        <v>1043.5</v>
      </c>
    </row>
    <row r="3045" spans="1:9" ht="30" x14ac:dyDescent="0.25">
      <c r="A3045" s="5" t="s">
        <v>515</v>
      </c>
      <c r="B3045" s="5" t="s">
        <v>68</v>
      </c>
      <c r="C3045" s="5" t="s">
        <v>3500</v>
      </c>
      <c r="D3045" s="3">
        <f>VLOOKUP(A3045,airports!A:H,7,FALSE)</f>
        <v>42.880819719999998</v>
      </c>
      <c r="E3045" s="3">
        <f>VLOOKUP(A3045,airports!A:H,8,FALSE)</f>
        <v>-85.522767779999995</v>
      </c>
      <c r="F3045" s="3">
        <f>VLOOKUP(B3045,airports!A:H,7,FALSE)</f>
        <v>30.49405556</v>
      </c>
      <c r="G3045" s="3">
        <f>VLOOKUP(B3045,airports!A:H,8,FALSE)</f>
        <v>-81.68786111</v>
      </c>
      <c r="H3045">
        <f t="shared" si="94"/>
        <v>1418.7</v>
      </c>
      <c r="I3045">
        <f t="shared" si="95"/>
        <v>881.6</v>
      </c>
    </row>
    <row r="3046" spans="1:9" ht="30" x14ac:dyDescent="0.25">
      <c r="A3046" s="5" t="s">
        <v>515</v>
      </c>
      <c r="B3046" s="5" t="s">
        <v>71</v>
      </c>
      <c r="C3046" s="5" t="s">
        <v>3501</v>
      </c>
      <c r="D3046" s="3">
        <f>VLOOKUP(A3046,airports!A:H,7,FALSE)</f>
        <v>42.880819719999998</v>
      </c>
      <c r="E3046" s="3">
        <f>VLOOKUP(A3046,airports!A:H,8,FALSE)</f>
        <v>-85.522767779999995</v>
      </c>
      <c r="F3046" s="3">
        <f>VLOOKUP(B3046,airports!A:H,7,FALSE)</f>
        <v>36.080361109999998</v>
      </c>
      <c r="G3046" s="3">
        <f>VLOOKUP(B3046,airports!A:H,8,FALSE)</f>
        <v>-115.1523333</v>
      </c>
      <c r="H3046">
        <f t="shared" si="94"/>
        <v>2637.5</v>
      </c>
      <c r="I3046">
        <f t="shared" si="95"/>
        <v>1639</v>
      </c>
    </row>
    <row r="3047" spans="1:9" ht="30" x14ac:dyDescent="0.25">
      <c r="A3047" s="5" t="s">
        <v>515</v>
      </c>
      <c r="B3047" s="5" t="s">
        <v>73</v>
      </c>
      <c r="C3047" s="5" t="s">
        <v>3502</v>
      </c>
      <c r="D3047" s="3">
        <f>VLOOKUP(A3047,airports!A:H,7,FALSE)</f>
        <v>42.880819719999998</v>
      </c>
      <c r="E3047" s="3">
        <f>VLOOKUP(A3047,airports!A:H,8,FALSE)</f>
        <v>-85.522767779999995</v>
      </c>
      <c r="F3047" s="3">
        <f>VLOOKUP(B3047,airports!A:H,7,FALSE)</f>
        <v>33.942536109999999</v>
      </c>
      <c r="G3047" s="3">
        <f>VLOOKUP(B3047,airports!A:H,8,FALSE)</f>
        <v>-118.4080744</v>
      </c>
      <c r="H3047">
        <f t="shared" si="94"/>
        <v>3010.1</v>
      </c>
      <c r="I3047">
        <f t="shared" si="95"/>
        <v>1870.5</v>
      </c>
    </row>
    <row r="3048" spans="1:9" ht="30" x14ac:dyDescent="0.25">
      <c r="A3048" s="5" t="s">
        <v>515</v>
      </c>
      <c r="B3048" s="5" t="s">
        <v>74</v>
      </c>
      <c r="C3048" s="5" t="s">
        <v>3503</v>
      </c>
      <c r="D3048" s="3">
        <f>VLOOKUP(A3048,airports!A:H,7,FALSE)</f>
        <v>42.880819719999998</v>
      </c>
      <c r="E3048" s="3">
        <f>VLOOKUP(A3048,airports!A:H,8,FALSE)</f>
        <v>-85.522767779999995</v>
      </c>
      <c r="F3048" s="3">
        <f>VLOOKUP(B3048,airports!A:H,7,FALSE)</f>
        <v>40.777243060000004</v>
      </c>
      <c r="G3048" s="3">
        <f>VLOOKUP(B3048,airports!A:H,8,FALSE)</f>
        <v>-73.872609170000004</v>
      </c>
      <c r="H3048">
        <f t="shared" si="94"/>
        <v>992.3</v>
      </c>
      <c r="I3048">
        <f t="shared" si="95"/>
        <v>616.6</v>
      </c>
    </row>
    <row r="3049" spans="1:9" ht="30" x14ac:dyDescent="0.25">
      <c r="A3049" s="5" t="s">
        <v>515</v>
      </c>
      <c r="B3049" s="5" t="s">
        <v>82</v>
      </c>
      <c r="C3049" s="5" t="s">
        <v>3504</v>
      </c>
      <c r="D3049" s="3">
        <f>VLOOKUP(A3049,airports!A:H,7,FALSE)</f>
        <v>42.880819719999998</v>
      </c>
      <c r="E3049" s="3">
        <f>VLOOKUP(A3049,airports!A:H,8,FALSE)</f>
        <v>-85.522767779999995</v>
      </c>
      <c r="F3049" s="3">
        <f>VLOOKUP(B3049,airports!A:H,7,FALSE)</f>
        <v>28.42888889</v>
      </c>
      <c r="G3049" s="3">
        <f>VLOOKUP(B3049,airports!A:H,8,FALSE)</f>
        <v>-81.316027779999999</v>
      </c>
      <c r="H3049">
        <f t="shared" si="94"/>
        <v>1650.7</v>
      </c>
      <c r="I3049">
        <f t="shared" si="95"/>
        <v>1025.8</v>
      </c>
    </row>
    <row r="3050" spans="1:9" ht="30" x14ac:dyDescent="0.25">
      <c r="A3050" s="5" t="s">
        <v>515</v>
      </c>
      <c r="B3050" s="5" t="s">
        <v>180</v>
      </c>
      <c r="C3050" s="5" t="s">
        <v>3505</v>
      </c>
      <c r="D3050" s="3">
        <f>VLOOKUP(A3050,airports!A:H,7,FALSE)</f>
        <v>42.880819719999998</v>
      </c>
      <c r="E3050" s="3">
        <f>VLOOKUP(A3050,airports!A:H,8,FALSE)</f>
        <v>-85.522767779999995</v>
      </c>
      <c r="F3050" s="3">
        <f>VLOOKUP(B3050,airports!A:H,7,FALSE)</f>
        <v>41.785982500000003</v>
      </c>
      <c r="G3050" s="3">
        <f>VLOOKUP(B3050,airports!A:H,8,FALSE)</f>
        <v>-87.752424439999999</v>
      </c>
      <c r="H3050">
        <f t="shared" si="94"/>
        <v>220</v>
      </c>
      <c r="I3050">
        <f t="shared" si="95"/>
        <v>136.69999999999999</v>
      </c>
    </row>
    <row r="3051" spans="1:9" ht="30" x14ac:dyDescent="0.25">
      <c r="A3051" s="5" t="s">
        <v>515</v>
      </c>
      <c r="B3051" s="5" t="s">
        <v>84</v>
      </c>
      <c r="C3051" s="5" t="s">
        <v>3506</v>
      </c>
      <c r="D3051" s="3">
        <f>VLOOKUP(A3051,airports!A:H,7,FALSE)</f>
        <v>42.880819719999998</v>
      </c>
      <c r="E3051" s="3">
        <f>VLOOKUP(A3051,airports!A:H,8,FALSE)</f>
        <v>-85.522767779999995</v>
      </c>
      <c r="F3051" s="3">
        <f>VLOOKUP(B3051,airports!A:H,7,FALSE)</f>
        <v>25.79325</v>
      </c>
      <c r="G3051" s="3">
        <f>VLOOKUP(B3051,airports!A:H,8,FALSE)</f>
        <v>-80.290555560000001</v>
      </c>
      <c r="H3051">
        <f t="shared" si="94"/>
        <v>1958.8</v>
      </c>
      <c r="I3051">
        <f t="shared" si="95"/>
        <v>1217.2</v>
      </c>
    </row>
    <row r="3052" spans="1:9" ht="30" x14ac:dyDescent="0.25">
      <c r="A3052" s="5" t="s">
        <v>515</v>
      </c>
      <c r="B3052" s="5" t="s">
        <v>87</v>
      </c>
      <c r="C3052" s="5" t="s">
        <v>3507</v>
      </c>
      <c r="D3052" s="3">
        <f>VLOOKUP(A3052,airports!A:H,7,FALSE)</f>
        <v>42.880819719999998</v>
      </c>
      <c r="E3052" s="3">
        <f>VLOOKUP(A3052,airports!A:H,8,FALSE)</f>
        <v>-85.522767779999995</v>
      </c>
      <c r="F3052" s="3">
        <f>VLOOKUP(B3052,airports!A:H,7,FALSE)</f>
        <v>44.880546940000002</v>
      </c>
      <c r="G3052" s="3">
        <f>VLOOKUP(B3052,airports!A:H,8,FALSE)</f>
        <v>-93.216922499999995</v>
      </c>
      <c r="H3052">
        <f t="shared" si="94"/>
        <v>655.20000000000005</v>
      </c>
      <c r="I3052">
        <f t="shared" si="95"/>
        <v>407.2</v>
      </c>
    </row>
    <row r="3053" spans="1:9" ht="30" x14ac:dyDescent="0.25">
      <c r="A3053" s="5" t="s">
        <v>515</v>
      </c>
      <c r="B3053" s="5" t="s">
        <v>89</v>
      </c>
      <c r="C3053" s="5" t="s">
        <v>3508</v>
      </c>
      <c r="D3053" s="3">
        <f>VLOOKUP(A3053,airports!A:H,7,FALSE)</f>
        <v>42.880819719999998</v>
      </c>
      <c r="E3053" s="3">
        <f>VLOOKUP(A3053,airports!A:H,8,FALSE)</f>
        <v>-85.522767779999995</v>
      </c>
      <c r="F3053" s="3">
        <f>VLOOKUP(B3053,airports!A:H,7,FALSE)</f>
        <v>29.993388889999999</v>
      </c>
      <c r="G3053" s="3">
        <f>VLOOKUP(B3053,airports!A:H,8,FALSE)</f>
        <v>-90.258027780000006</v>
      </c>
      <c r="H3053">
        <f t="shared" si="94"/>
        <v>1493.6</v>
      </c>
      <c r="I3053">
        <f t="shared" si="95"/>
        <v>928.2</v>
      </c>
    </row>
    <row r="3054" spans="1:9" ht="30" x14ac:dyDescent="0.25">
      <c r="A3054" s="5" t="s">
        <v>515</v>
      </c>
      <c r="B3054" s="5" t="s">
        <v>95</v>
      </c>
      <c r="C3054" s="5" t="s">
        <v>3509</v>
      </c>
      <c r="D3054" s="3">
        <f>VLOOKUP(A3054,airports!A:H,7,FALSE)</f>
        <v>42.880819719999998</v>
      </c>
      <c r="E3054" s="3">
        <f>VLOOKUP(A3054,airports!A:H,8,FALSE)</f>
        <v>-85.522767779999995</v>
      </c>
      <c r="F3054" s="3">
        <f>VLOOKUP(B3054,airports!A:H,7,FALSE)</f>
        <v>41.979595000000003</v>
      </c>
      <c r="G3054" s="3">
        <f>VLOOKUP(B3054,airports!A:H,8,FALSE)</f>
        <v>-87.904464169999997</v>
      </c>
      <c r="H3054">
        <f t="shared" si="94"/>
        <v>219.7</v>
      </c>
      <c r="I3054">
        <f t="shared" si="95"/>
        <v>136.5</v>
      </c>
    </row>
    <row r="3055" spans="1:9" ht="30" x14ac:dyDescent="0.25">
      <c r="A3055" s="5" t="s">
        <v>515</v>
      </c>
      <c r="B3055" s="5" t="s">
        <v>100</v>
      </c>
      <c r="C3055" s="5" t="s">
        <v>3510</v>
      </c>
      <c r="D3055" s="3">
        <f>VLOOKUP(A3055,airports!A:H,7,FALSE)</f>
        <v>42.880819719999998</v>
      </c>
      <c r="E3055" s="3">
        <f>VLOOKUP(A3055,airports!A:H,8,FALSE)</f>
        <v>-85.522767779999995</v>
      </c>
      <c r="F3055" s="3">
        <f>VLOOKUP(B3055,airports!A:H,7,FALSE)</f>
        <v>45.588722220000001</v>
      </c>
      <c r="G3055" s="3">
        <f>VLOOKUP(B3055,airports!A:H,8,FALSE)</f>
        <v>-122.5975</v>
      </c>
      <c r="H3055">
        <f t="shared" si="94"/>
        <v>2942.6</v>
      </c>
      <c r="I3055">
        <f t="shared" si="95"/>
        <v>1828.5</v>
      </c>
    </row>
    <row r="3056" spans="1:9" ht="30" x14ac:dyDescent="0.25">
      <c r="A3056" s="5" t="s">
        <v>515</v>
      </c>
      <c r="B3056" s="5" t="s">
        <v>185</v>
      </c>
      <c r="C3056" s="5" t="s">
        <v>3511</v>
      </c>
      <c r="D3056" s="3">
        <f>VLOOKUP(A3056,airports!A:H,7,FALSE)</f>
        <v>42.880819719999998</v>
      </c>
      <c r="E3056" s="3">
        <f>VLOOKUP(A3056,airports!A:H,8,FALSE)</f>
        <v>-85.522767779999995</v>
      </c>
      <c r="F3056" s="3">
        <f>VLOOKUP(B3056,airports!A:H,7,FALSE)</f>
        <v>26.919699999999999</v>
      </c>
      <c r="G3056" s="3">
        <f>VLOOKUP(B3056,airports!A:H,8,FALSE)</f>
        <v>-81.995999999999995</v>
      </c>
      <c r="H3056">
        <f t="shared" si="94"/>
        <v>1803.2</v>
      </c>
      <c r="I3056">
        <f t="shared" si="95"/>
        <v>1120.5999999999999</v>
      </c>
    </row>
    <row r="3057" spans="1:9" ht="30" x14ac:dyDescent="0.25">
      <c r="A3057" s="5" t="s">
        <v>515</v>
      </c>
      <c r="B3057" s="5" t="s">
        <v>102</v>
      </c>
      <c r="C3057" s="5" t="s">
        <v>3512</v>
      </c>
      <c r="D3057" s="3">
        <f>VLOOKUP(A3057,airports!A:H,7,FALSE)</f>
        <v>42.880819719999998</v>
      </c>
      <c r="E3057" s="3">
        <f>VLOOKUP(A3057,airports!A:H,8,FALSE)</f>
        <v>-85.522767779999995</v>
      </c>
      <c r="F3057" s="3">
        <f>VLOOKUP(B3057,airports!A:H,7,FALSE)</f>
        <v>39.871952780000001</v>
      </c>
      <c r="G3057" s="3">
        <f>VLOOKUP(B3057,airports!A:H,8,FALSE)</f>
        <v>-75.241140830000006</v>
      </c>
      <c r="H3057">
        <f t="shared" si="94"/>
        <v>920</v>
      </c>
      <c r="I3057">
        <f t="shared" si="95"/>
        <v>571.70000000000005</v>
      </c>
    </row>
    <row r="3058" spans="1:9" ht="30" x14ac:dyDescent="0.25">
      <c r="A3058" s="5" t="s">
        <v>515</v>
      </c>
      <c r="B3058" s="5" t="s">
        <v>104</v>
      </c>
      <c r="C3058" s="5" t="s">
        <v>3513</v>
      </c>
      <c r="D3058" s="3">
        <f>VLOOKUP(A3058,airports!A:H,7,FALSE)</f>
        <v>42.880819719999998</v>
      </c>
      <c r="E3058" s="3">
        <f>VLOOKUP(A3058,airports!A:H,8,FALSE)</f>
        <v>-85.522767779999995</v>
      </c>
      <c r="F3058" s="3">
        <f>VLOOKUP(B3058,airports!A:H,7,FALSE)</f>
        <v>33.434166670000003</v>
      </c>
      <c r="G3058" s="3">
        <f>VLOOKUP(B3058,airports!A:H,8,FALSE)</f>
        <v>-112.00805560000001</v>
      </c>
      <c r="H3058">
        <f t="shared" si="94"/>
        <v>2528.6999999999998</v>
      </c>
      <c r="I3058">
        <f t="shared" si="95"/>
        <v>1571.4</v>
      </c>
    </row>
    <row r="3059" spans="1:9" x14ac:dyDescent="0.25">
      <c r="A3059" s="5" t="s">
        <v>515</v>
      </c>
      <c r="B3059" s="5" t="s">
        <v>188</v>
      </c>
      <c r="C3059" s="5" t="s">
        <v>3514</v>
      </c>
      <c r="D3059" s="3">
        <f>VLOOKUP(A3059,airports!A:H,7,FALSE)</f>
        <v>42.880819719999998</v>
      </c>
      <c r="E3059" s="3">
        <f>VLOOKUP(A3059,airports!A:H,8,FALSE)</f>
        <v>-85.522767779999995</v>
      </c>
      <c r="F3059" s="3">
        <f>VLOOKUP(B3059,airports!A:H,7,FALSE)</f>
        <v>27.910763330000002</v>
      </c>
      <c r="G3059" s="3">
        <f>VLOOKUP(B3059,airports!A:H,8,FALSE)</f>
        <v>-82.687439440000006</v>
      </c>
      <c r="H3059">
        <f t="shared" si="94"/>
        <v>1684</v>
      </c>
      <c r="I3059">
        <f t="shared" si="95"/>
        <v>1046.5</v>
      </c>
    </row>
    <row r="3060" spans="1:9" ht="30" x14ac:dyDescent="0.25">
      <c r="A3060" s="5" t="s">
        <v>515</v>
      </c>
      <c r="B3060" s="5" t="s">
        <v>612</v>
      </c>
      <c r="C3060" s="5" t="s">
        <v>3515</v>
      </c>
      <c r="D3060" s="3">
        <f>VLOOKUP(A3060,airports!A:H,7,FALSE)</f>
        <v>42.880819719999998</v>
      </c>
      <c r="E3060" s="3">
        <f>VLOOKUP(A3060,airports!A:H,8,FALSE)</f>
        <v>-85.522767779999995</v>
      </c>
      <c r="F3060" s="3">
        <f>VLOOKUP(B3060,airports!A:H,7,FALSE)</f>
        <v>44.045321389999998</v>
      </c>
      <c r="G3060" s="3">
        <f>VLOOKUP(B3060,airports!A:H,8,FALSE)</f>
        <v>-103.0573708</v>
      </c>
      <c r="H3060">
        <f t="shared" si="94"/>
        <v>1418.4</v>
      </c>
      <c r="I3060">
        <f t="shared" si="95"/>
        <v>881.4</v>
      </c>
    </row>
    <row r="3061" spans="1:9" ht="30" x14ac:dyDescent="0.25">
      <c r="A3061" s="5" t="s">
        <v>515</v>
      </c>
      <c r="B3061" s="5" t="s">
        <v>123</v>
      </c>
      <c r="C3061" s="5" t="s">
        <v>3516</v>
      </c>
      <c r="D3061" s="3">
        <f>VLOOKUP(A3061,airports!A:H,7,FALSE)</f>
        <v>42.880819719999998</v>
      </c>
      <c r="E3061" s="3">
        <f>VLOOKUP(A3061,airports!A:H,8,FALSE)</f>
        <v>-85.522767779999995</v>
      </c>
      <c r="F3061" s="3">
        <f>VLOOKUP(B3061,airports!A:H,7,FALSE)</f>
        <v>26.53616667</v>
      </c>
      <c r="G3061" s="3">
        <f>VLOOKUP(B3061,airports!A:H,8,FALSE)</f>
        <v>-81.755166669999994</v>
      </c>
      <c r="H3061">
        <f t="shared" si="94"/>
        <v>1849.2</v>
      </c>
      <c r="I3061">
        <f t="shared" si="95"/>
        <v>1149.0999999999999</v>
      </c>
    </row>
    <row r="3062" spans="1:9" ht="30" x14ac:dyDescent="0.25">
      <c r="A3062" s="5" t="s">
        <v>515</v>
      </c>
      <c r="B3062" s="5" t="s">
        <v>126</v>
      </c>
      <c r="C3062" s="5" t="s">
        <v>3517</v>
      </c>
      <c r="D3062" s="3">
        <f>VLOOKUP(A3062,airports!A:H,7,FALSE)</f>
        <v>42.880819719999998</v>
      </c>
      <c r="E3062" s="3">
        <f>VLOOKUP(A3062,airports!A:H,8,FALSE)</f>
        <v>-85.522767779999995</v>
      </c>
      <c r="F3062" s="3">
        <f>VLOOKUP(B3062,airports!A:H,7,FALSE)</f>
        <v>32.12758333</v>
      </c>
      <c r="G3062" s="3">
        <f>VLOOKUP(B3062,airports!A:H,8,FALSE)</f>
        <v>-81.202138890000001</v>
      </c>
      <c r="H3062">
        <f t="shared" si="94"/>
        <v>1254.5</v>
      </c>
      <c r="I3062">
        <f t="shared" si="95"/>
        <v>779.6</v>
      </c>
    </row>
    <row r="3063" spans="1:9" ht="30" x14ac:dyDescent="0.25">
      <c r="A3063" s="5" t="s">
        <v>515</v>
      </c>
      <c r="B3063" s="5" t="s">
        <v>191</v>
      </c>
      <c r="C3063" s="5" t="s">
        <v>3518</v>
      </c>
      <c r="D3063" s="3">
        <f>VLOOKUP(A3063,airports!A:H,7,FALSE)</f>
        <v>42.880819719999998</v>
      </c>
      <c r="E3063" s="3">
        <f>VLOOKUP(A3063,airports!A:H,8,FALSE)</f>
        <v>-85.522767779999995</v>
      </c>
      <c r="F3063" s="3">
        <f>VLOOKUP(B3063,airports!A:H,7,FALSE)</f>
        <v>28.7776</v>
      </c>
      <c r="G3063" s="3">
        <f>VLOOKUP(B3063,airports!A:H,8,FALSE)</f>
        <v>-81.237499999999997</v>
      </c>
      <c r="H3063">
        <f t="shared" si="94"/>
        <v>1614.5</v>
      </c>
      <c r="I3063">
        <f t="shared" si="95"/>
        <v>1003.3</v>
      </c>
    </row>
    <row r="3064" spans="1:9" ht="30" x14ac:dyDescent="0.25">
      <c r="A3064" s="5" t="s">
        <v>515</v>
      </c>
      <c r="B3064" s="5" t="s">
        <v>138</v>
      </c>
      <c r="C3064" s="5" t="s">
        <v>3519</v>
      </c>
      <c r="D3064" s="3">
        <f>VLOOKUP(A3064,airports!A:H,7,FALSE)</f>
        <v>42.880819719999998</v>
      </c>
      <c r="E3064" s="3">
        <f>VLOOKUP(A3064,airports!A:H,8,FALSE)</f>
        <v>-85.522767779999995</v>
      </c>
      <c r="F3064" s="3">
        <f>VLOOKUP(B3064,airports!A:H,7,FALSE)</f>
        <v>27.39533333</v>
      </c>
      <c r="G3064" s="3">
        <f>VLOOKUP(B3064,airports!A:H,8,FALSE)</f>
        <v>-82.554111109999994</v>
      </c>
      <c r="H3064">
        <f t="shared" si="94"/>
        <v>1742.6</v>
      </c>
      <c r="I3064">
        <f t="shared" si="95"/>
        <v>1082.9000000000001</v>
      </c>
    </row>
    <row r="3065" spans="1:9" x14ac:dyDescent="0.25">
      <c r="A3065" s="5" t="s">
        <v>515</v>
      </c>
      <c r="B3065" s="5" t="s">
        <v>644</v>
      </c>
      <c r="C3065" s="5" t="s">
        <v>3520</v>
      </c>
      <c r="D3065" s="3">
        <f>VLOOKUP(A3065,airports!A:H,7,FALSE)</f>
        <v>42.880819719999998</v>
      </c>
      <c r="E3065" s="3">
        <f>VLOOKUP(A3065,airports!A:H,8,FALSE)</f>
        <v>-85.522767779999995</v>
      </c>
      <c r="F3065" s="3">
        <f>VLOOKUP(B3065,airports!A:H,7,FALSE)</f>
        <v>38.747686940000001</v>
      </c>
      <c r="G3065" s="3">
        <f>VLOOKUP(B3065,airports!A:H,8,FALSE)</f>
        <v>-90.359989720000002</v>
      </c>
      <c r="H3065">
        <f t="shared" si="94"/>
        <v>613.70000000000005</v>
      </c>
      <c r="I3065">
        <f t="shared" si="95"/>
        <v>381.4</v>
      </c>
    </row>
    <row r="3066" spans="1:9" ht="30" x14ac:dyDescent="0.25">
      <c r="A3066" s="5" t="s">
        <v>515</v>
      </c>
      <c r="B3066" s="5" t="s">
        <v>145</v>
      </c>
      <c r="C3066" s="5" t="s">
        <v>3521</v>
      </c>
      <c r="D3066" s="3">
        <f>VLOOKUP(A3066,airports!A:H,7,FALSE)</f>
        <v>42.880819719999998</v>
      </c>
      <c r="E3066" s="3">
        <f>VLOOKUP(A3066,airports!A:H,8,FALSE)</f>
        <v>-85.522767779999995</v>
      </c>
      <c r="F3066" s="3">
        <f>VLOOKUP(B3066,airports!A:H,7,FALSE)</f>
        <v>27.97547222</v>
      </c>
      <c r="G3066" s="3">
        <f>VLOOKUP(B3066,airports!A:H,8,FALSE)</f>
        <v>-82.533249999999995</v>
      </c>
      <c r="H3066">
        <f t="shared" si="94"/>
        <v>1679.1</v>
      </c>
      <c r="I3066">
        <f t="shared" si="95"/>
        <v>1043.4000000000001</v>
      </c>
    </row>
    <row r="3067" spans="1:9" ht="30" x14ac:dyDescent="0.25">
      <c r="A3067" s="5" t="s">
        <v>515</v>
      </c>
      <c r="B3067" s="5" t="s">
        <v>668</v>
      </c>
      <c r="C3067" s="5" t="s">
        <v>3522</v>
      </c>
      <c r="D3067" s="3">
        <f>VLOOKUP(A3067,airports!A:H,7,FALSE)</f>
        <v>42.880819719999998</v>
      </c>
      <c r="E3067" s="3">
        <f>VLOOKUP(A3067,airports!A:H,8,FALSE)</f>
        <v>-85.522767779999995</v>
      </c>
      <c r="F3067" s="3">
        <f>VLOOKUP(B3067,airports!A:H,7,FALSE)</f>
        <v>30.483250000000002</v>
      </c>
      <c r="G3067" s="3">
        <f>VLOOKUP(B3067,airports!A:H,8,FALSE)</f>
        <v>-86.525400000000005</v>
      </c>
      <c r="H3067">
        <f t="shared" si="94"/>
        <v>1381.4</v>
      </c>
      <c r="I3067">
        <f t="shared" si="95"/>
        <v>858.4</v>
      </c>
    </row>
    <row r="3068" spans="1:9" ht="30" x14ac:dyDescent="0.25">
      <c r="A3068" s="5" t="s">
        <v>517</v>
      </c>
      <c r="B3068" s="5" t="s">
        <v>10</v>
      </c>
      <c r="C3068" s="5" t="s">
        <v>3523</v>
      </c>
      <c r="D3068" s="3">
        <f>VLOOKUP(A3068,airports!A:H,7,FALSE)</f>
        <v>36.09774694</v>
      </c>
      <c r="E3068" s="3">
        <f>VLOOKUP(A3068,airports!A:H,8,FALSE)</f>
        <v>-79.9372975</v>
      </c>
      <c r="F3068" s="3">
        <f>VLOOKUP(B3068,airports!A:H,7,FALSE)</f>
        <v>33.640444440000003</v>
      </c>
      <c r="G3068" s="3">
        <f>VLOOKUP(B3068,airports!A:H,8,FALSE)</f>
        <v>-84.42694444</v>
      </c>
      <c r="H3068">
        <f t="shared" si="94"/>
        <v>492.3</v>
      </c>
      <c r="I3068">
        <f t="shared" si="95"/>
        <v>305.89999999999998</v>
      </c>
    </row>
    <row r="3069" spans="1:9" ht="30" x14ac:dyDescent="0.25">
      <c r="A3069" s="5" t="s">
        <v>517</v>
      </c>
      <c r="B3069" s="5" t="s">
        <v>19</v>
      </c>
      <c r="C3069" s="5" t="s">
        <v>3524</v>
      </c>
      <c r="D3069" s="3">
        <f>VLOOKUP(A3069,airports!A:H,7,FALSE)</f>
        <v>36.09774694</v>
      </c>
      <c r="E3069" s="3">
        <f>VLOOKUP(A3069,airports!A:H,8,FALSE)</f>
        <v>-79.9372975</v>
      </c>
      <c r="F3069" s="3">
        <f>VLOOKUP(B3069,airports!A:H,7,FALSE)</f>
        <v>36.12447667</v>
      </c>
      <c r="G3069" s="3">
        <f>VLOOKUP(B3069,airports!A:H,8,FALSE)</f>
        <v>-86.678182219999997</v>
      </c>
      <c r="H3069">
        <f t="shared" si="94"/>
        <v>605.4</v>
      </c>
      <c r="I3069">
        <f t="shared" si="95"/>
        <v>376.2</v>
      </c>
    </row>
    <row r="3070" spans="1:9" ht="30" x14ac:dyDescent="0.25">
      <c r="A3070" s="5" t="s">
        <v>517</v>
      </c>
      <c r="B3070" s="5" t="s">
        <v>40</v>
      </c>
      <c r="C3070" s="5" t="s">
        <v>3525</v>
      </c>
      <c r="D3070" s="3">
        <f>VLOOKUP(A3070,airports!A:H,7,FALSE)</f>
        <v>36.09774694</v>
      </c>
      <c r="E3070" s="3">
        <f>VLOOKUP(A3070,airports!A:H,8,FALSE)</f>
        <v>-79.9372975</v>
      </c>
      <c r="F3070" s="3">
        <f>VLOOKUP(B3070,airports!A:H,7,FALSE)</f>
        <v>35.214011110000001</v>
      </c>
      <c r="G3070" s="3">
        <f>VLOOKUP(B3070,airports!A:H,8,FALSE)</f>
        <v>-80.94312583</v>
      </c>
      <c r="H3070">
        <f t="shared" si="94"/>
        <v>133.80000000000001</v>
      </c>
      <c r="I3070">
        <f t="shared" si="95"/>
        <v>83.2</v>
      </c>
    </row>
    <row r="3071" spans="1:9" ht="30" x14ac:dyDescent="0.25">
      <c r="A3071" s="5" t="s">
        <v>517</v>
      </c>
      <c r="B3071" s="5" t="s">
        <v>45</v>
      </c>
      <c r="C3071" s="5" t="s">
        <v>3526</v>
      </c>
      <c r="D3071" s="3">
        <f>VLOOKUP(A3071,airports!A:H,7,FALSE)</f>
        <v>36.09774694</v>
      </c>
      <c r="E3071" s="3">
        <f>VLOOKUP(A3071,airports!A:H,8,FALSE)</f>
        <v>-79.9372975</v>
      </c>
      <c r="F3071" s="3">
        <f>VLOOKUP(B3071,airports!A:H,7,FALSE)</f>
        <v>38.852083329999999</v>
      </c>
      <c r="G3071" s="3">
        <f>VLOOKUP(B3071,airports!A:H,8,FALSE)</f>
        <v>-77.037722220000006</v>
      </c>
      <c r="H3071">
        <f t="shared" si="94"/>
        <v>399</v>
      </c>
      <c r="I3071">
        <f t="shared" si="95"/>
        <v>248</v>
      </c>
    </row>
    <row r="3072" spans="1:9" ht="30" x14ac:dyDescent="0.25">
      <c r="A3072" s="5" t="s">
        <v>517</v>
      </c>
      <c r="B3072" s="5" t="s">
        <v>47</v>
      </c>
      <c r="C3072" s="5" t="s">
        <v>3527</v>
      </c>
      <c r="D3072" s="3">
        <f>VLOOKUP(A3072,airports!A:H,7,FALSE)</f>
        <v>36.09774694</v>
      </c>
      <c r="E3072" s="3">
        <f>VLOOKUP(A3072,airports!A:H,8,FALSE)</f>
        <v>-79.9372975</v>
      </c>
      <c r="F3072" s="3">
        <f>VLOOKUP(B3072,airports!A:H,7,FALSE)</f>
        <v>39.858408060000002</v>
      </c>
      <c r="G3072" s="3">
        <f>VLOOKUP(B3072,airports!A:H,8,FALSE)</f>
        <v>-104.6670019</v>
      </c>
      <c r="H3072">
        <f t="shared" si="94"/>
        <v>2200.1</v>
      </c>
      <c r="I3072">
        <f t="shared" si="95"/>
        <v>1367.2</v>
      </c>
    </row>
    <row r="3073" spans="1:9" ht="30" x14ac:dyDescent="0.25">
      <c r="A3073" s="5" t="s">
        <v>517</v>
      </c>
      <c r="B3073" s="5" t="s">
        <v>49</v>
      </c>
      <c r="C3073" s="5" t="s">
        <v>3528</v>
      </c>
      <c r="D3073" s="3">
        <f>VLOOKUP(A3073,airports!A:H,7,FALSE)</f>
        <v>36.09774694</v>
      </c>
      <c r="E3073" s="3">
        <f>VLOOKUP(A3073,airports!A:H,8,FALSE)</f>
        <v>-79.9372975</v>
      </c>
      <c r="F3073" s="3">
        <f>VLOOKUP(B3073,airports!A:H,7,FALSE)</f>
        <v>32.895950560000003</v>
      </c>
      <c r="G3073" s="3">
        <f>VLOOKUP(B3073,airports!A:H,8,FALSE)</f>
        <v>-97.037199999999999</v>
      </c>
      <c r="H3073">
        <f t="shared" si="94"/>
        <v>1604.7</v>
      </c>
      <c r="I3073">
        <f t="shared" si="95"/>
        <v>997.2</v>
      </c>
    </row>
    <row r="3074" spans="1:9" ht="30" x14ac:dyDescent="0.25">
      <c r="A3074" s="5" t="s">
        <v>517</v>
      </c>
      <c r="B3074" s="5" t="s">
        <v>50</v>
      </c>
      <c r="C3074" s="5" t="s">
        <v>3529</v>
      </c>
      <c r="D3074" s="3">
        <f>VLOOKUP(A3074,airports!A:H,7,FALSE)</f>
        <v>36.09774694</v>
      </c>
      <c r="E3074" s="3">
        <f>VLOOKUP(A3074,airports!A:H,8,FALSE)</f>
        <v>-79.9372975</v>
      </c>
      <c r="F3074" s="3">
        <f>VLOOKUP(B3074,airports!A:H,7,FALSE)</f>
        <v>42.212058890000002</v>
      </c>
      <c r="G3074" s="3">
        <f>VLOOKUP(B3074,airports!A:H,8,FALSE)</f>
        <v>-83.348835829999999</v>
      </c>
      <c r="H3074">
        <f t="shared" si="94"/>
        <v>740.6</v>
      </c>
      <c r="I3074">
        <f t="shared" si="95"/>
        <v>460.2</v>
      </c>
    </row>
    <row r="3075" spans="1:9" ht="30" x14ac:dyDescent="0.25">
      <c r="A3075" s="5" t="s">
        <v>517</v>
      </c>
      <c r="B3075" s="5" t="s">
        <v>52</v>
      </c>
      <c r="C3075" s="5" t="s">
        <v>3530</v>
      </c>
      <c r="D3075" s="3">
        <f>VLOOKUP(A3075,airports!A:H,7,FALSE)</f>
        <v>36.09774694</v>
      </c>
      <c r="E3075" s="3">
        <f>VLOOKUP(A3075,airports!A:H,8,FALSE)</f>
        <v>-79.9372975</v>
      </c>
      <c r="F3075" s="3">
        <f>VLOOKUP(B3075,airports!A:H,7,FALSE)</f>
        <v>40.69249722</v>
      </c>
      <c r="G3075" s="3">
        <f>VLOOKUP(B3075,airports!A:H,8,FALSE)</f>
        <v>-74.168660560000006</v>
      </c>
      <c r="H3075">
        <f t="shared" si="94"/>
        <v>716.4</v>
      </c>
      <c r="I3075">
        <f t="shared" si="95"/>
        <v>445.2</v>
      </c>
    </row>
    <row r="3076" spans="1:9" x14ac:dyDescent="0.25">
      <c r="A3076" s="5" t="s">
        <v>517</v>
      </c>
      <c r="B3076" s="5" t="s">
        <v>57</v>
      </c>
      <c r="C3076" s="5" t="s">
        <v>3531</v>
      </c>
      <c r="D3076" s="3">
        <f>VLOOKUP(A3076,airports!A:H,7,FALSE)</f>
        <v>36.09774694</v>
      </c>
      <c r="E3076" s="3">
        <f>VLOOKUP(A3076,airports!A:H,8,FALSE)</f>
        <v>-79.9372975</v>
      </c>
      <c r="F3076" s="3">
        <f>VLOOKUP(B3076,airports!A:H,7,FALSE)</f>
        <v>26.072583330000001</v>
      </c>
      <c r="G3076" s="3">
        <f>VLOOKUP(B3076,airports!A:H,8,FALSE)</f>
        <v>-80.152749999999997</v>
      </c>
      <c r="H3076">
        <f t="shared" ref="H3076:H3139" si="96">ROUND(ACOS(COS(RADIANS(90-D3076)) * COS(RADIANS(90-F3076)) + SIN(RADIANS(90-D3076)) * SIN(RADIANS(90-F3076)) * COS(RADIANS(E3076-G3076))) * 6371,1)</f>
        <v>1114.9000000000001</v>
      </c>
      <c r="I3076">
        <f t="shared" ref="I3076:I3139" si="97">ROUND(ACOS(COS(RADIANS(90-D3076)) * COS(RADIANS(90-F3076)) + SIN(RADIANS(90-D3076)) * SIN(RADIANS(90-F3076)) * COS(RADIANS(E3076-G3076))) * 3959,1)</f>
        <v>692.8</v>
      </c>
    </row>
    <row r="3077" spans="1:9" ht="30" x14ac:dyDescent="0.25">
      <c r="A3077" s="5" t="s">
        <v>517</v>
      </c>
      <c r="B3077" s="5" t="s">
        <v>176</v>
      </c>
      <c r="C3077" s="5" t="s">
        <v>3532</v>
      </c>
      <c r="D3077" s="3">
        <f>VLOOKUP(A3077,airports!A:H,7,FALSE)</f>
        <v>36.09774694</v>
      </c>
      <c r="E3077" s="3">
        <f>VLOOKUP(A3077,airports!A:H,8,FALSE)</f>
        <v>-79.9372975</v>
      </c>
      <c r="F3077" s="3">
        <f>VLOOKUP(B3077,airports!A:H,7,FALSE)</f>
        <v>38.944531939999997</v>
      </c>
      <c r="G3077" s="3">
        <f>VLOOKUP(B3077,airports!A:H,8,FALSE)</f>
        <v>-77.455809720000005</v>
      </c>
      <c r="H3077">
        <f t="shared" si="96"/>
        <v>384.8</v>
      </c>
      <c r="I3077">
        <f t="shared" si="97"/>
        <v>239.1</v>
      </c>
    </row>
    <row r="3078" spans="1:9" ht="30" x14ac:dyDescent="0.25">
      <c r="A3078" s="5" t="s">
        <v>517</v>
      </c>
      <c r="B3078" s="5" t="s">
        <v>67</v>
      </c>
      <c r="C3078" s="5" t="s">
        <v>3533</v>
      </c>
      <c r="D3078" s="3">
        <f>VLOOKUP(A3078,airports!A:H,7,FALSE)</f>
        <v>36.09774694</v>
      </c>
      <c r="E3078" s="3">
        <f>VLOOKUP(A3078,airports!A:H,8,FALSE)</f>
        <v>-79.9372975</v>
      </c>
      <c r="F3078" s="3">
        <f>VLOOKUP(B3078,airports!A:H,7,FALSE)</f>
        <v>29.980472219999999</v>
      </c>
      <c r="G3078" s="3">
        <f>VLOOKUP(B3078,airports!A:H,8,FALSE)</f>
        <v>-95.339722219999999</v>
      </c>
      <c r="H3078">
        <f t="shared" si="96"/>
        <v>1586.1</v>
      </c>
      <c r="I3078">
        <f t="shared" si="97"/>
        <v>985.6</v>
      </c>
    </row>
    <row r="3079" spans="1:9" ht="30" x14ac:dyDescent="0.25">
      <c r="A3079" s="5" t="s">
        <v>517</v>
      </c>
      <c r="B3079" s="5" t="s">
        <v>74</v>
      </c>
      <c r="C3079" s="5" t="s">
        <v>3534</v>
      </c>
      <c r="D3079" s="3">
        <f>VLOOKUP(A3079,airports!A:H,7,FALSE)</f>
        <v>36.09774694</v>
      </c>
      <c r="E3079" s="3">
        <f>VLOOKUP(A3079,airports!A:H,8,FALSE)</f>
        <v>-79.9372975</v>
      </c>
      <c r="F3079" s="3">
        <f>VLOOKUP(B3079,airports!A:H,7,FALSE)</f>
        <v>40.777243060000004</v>
      </c>
      <c r="G3079" s="3">
        <f>VLOOKUP(B3079,airports!A:H,8,FALSE)</f>
        <v>-73.872609170000004</v>
      </c>
      <c r="H3079">
        <f t="shared" si="96"/>
        <v>741.1</v>
      </c>
      <c r="I3079">
        <f t="shared" si="97"/>
        <v>460.5</v>
      </c>
    </row>
    <row r="3080" spans="1:9" ht="30" x14ac:dyDescent="0.25">
      <c r="A3080" s="5" t="s">
        <v>517</v>
      </c>
      <c r="B3080" s="5" t="s">
        <v>82</v>
      </c>
      <c r="C3080" s="5" t="s">
        <v>3535</v>
      </c>
      <c r="D3080" s="3">
        <f>VLOOKUP(A3080,airports!A:H,7,FALSE)</f>
        <v>36.09774694</v>
      </c>
      <c r="E3080" s="3">
        <f>VLOOKUP(A3080,airports!A:H,8,FALSE)</f>
        <v>-79.9372975</v>
      </c>
      <c r="F3080" s="3">
        <f>VLOOKUP(B3080,airports!A:H,7,FALSE)</f>
        <v>28.42888889</v>
      </c>
      <c r="G3080" s="3">
        <f>VLOOKUP(B3080,airports!A:H,8,FALSE)</f>
        <v>-81.316027779999999</v>
      </c>
      <c r="H3080">
        <f t="shared" si="96"/>
        <v>862.5</v>
      </c>
      <c r="I3080">
        <f t="shared" si="97"/>
        <v>536</v>
      </c>
    </row>
    <row r="3081" spans="1:9" ht="30" x14ac:dyDescent="0.25">
      <c r="A3081" s="5" t="s">
        <v>517</v>
      </c>
      <c r="B3081" s="5" t="s">
        <v>84</v>
      </c>
      <c r="C3081" s="5" t="s">
        <v>3536</v>
      </c>
      <c r="D3081" s="3">
        <f>VLOOKUP(A3081,airports!A:H,7,FALSE)</f>
        <v>36.09774694</v>
      </c>
      <c r="E3081" s="3">
        <f>VLOOKUP(A3081,airports!A:H,8,FALSE)</f>
        <v>-79.9372975</v>
      </c>
      <c r="F3081" s="3">
        <f>VLOOKUP(B3081,airports!A:H,7,FALSE)</f>
        <v>25.79325</v>
      </c>
      <c r="G3081" s="3">
        <f>VLOOKUP(B3081,airports!A:H,8,FALSE)</f>
        <v>-80.290555560000001</v>
      </c>
      <c r="H3081">
        <f t="shared" si="96"/>
        <v>1146.3</v>
      </c>
      <c r="I3081">
        <f t="shared" si="97"/>
        <v>712.3</v>
      </c>
    </row>
    <row r="3082" spans="1:9" ht="30" x14ac:dyDescent="0.25">
      <c r="A3082" s="5" t="s">
        <v>517</v>
      </c>
      <c r="B3082" s="5" t="s">
        <v>95</v>
      </c>
      <c r="C3082" s="5" t="s">
        <v>3537</v>
      </c>
      <c r="D3082" s="3">
        <f>VLOOKUP(A3082,airports!A:H,7,FALSE)</f>
        <v>36.09774694</v>
      </c>
      <c r="E3082" s="3">
        <f>VLOOKUP(A3082,airports!A:H,8,FALSE)</f>
        <v>-79.9372975</v>
      </c>
      <c r="F3082" s="3">
        <f>VLOOKUP(B3082,airports!A:H,7,FALSE)</f>
        <v>41.979595000000003</v>
      </c>
      <c r="G3082" s="3">
        <f>VLOOKUP(B3082,airports!A:H,8,FALSE)</f>
        <v>-87.904464169999997</v>
      </c>
      <c r="H3082">
        <f t="shared" si="96"/>
        <v>948.5</v>
      </c>
      <c r="I3082">
        <f t="shared" si="97"/>
        <v>589.4</v>
      </c>
    </row>
    <row r="3083" spans="1:9" ht="30" x14ac:dyDescent="0.25">
      <c r="A3083" s="5" t="s">
        <v>517</v>
      </c>
      <c r="B3083" s="5" t="s">
        <v>102</v>
      </c>
      <c r="C3083" s="5" t="s">
        <v>3538</v>
      </c>
      <c r="D3083" s="3">
        <f>VLOOKUP(A3083,airports!A:H,7,FALSE)</f>
        <v>36.09774694</v>
      </c>
      <c r="E3083" s="3">
        <f>VLOOKUP(A3083,airports!A:H,8,FALSE)</f>
        <v>-79.9372975</v>
      </c>
      <c r="F3083" s="3">
        <f>VLOOKUP(B3083,airports!A:H,7,FALSE)</f>
        <v>39.871952780000001</v>
      </c>
      <c r="G3083" s="3">
        <f>VLOOKUP(B3083,airports!A:H,8,FALSE)</f>
        <v>-75.241140830000006</v>
      </c>
      <c r="H3083">
        <f t="shared" si="96"/>
        <v>587.6</v>
      </c>
      <c r="I3083">
        <f t="shared" si="97"/>
        <v>365.2</v>
      </c>
    </row>
    <row r="3084" spans="1:9" x14ac:dyDescent="0.25">
      <c r="A3084" s="5" t="s">
        <v>517</v>
      </c>
      <c r="B3084" s="5" t="s">
        <v>188</v>
      </c>
      <c r="C3084" s="5" t="s">
        <v>3539</v>
      </c>
      <c r="D3084" s="3">
        <f>VLOOKUP(A3084,airports!A:H,7,FALSE)</f>
        <v>36.09774694</v>
      </c>
      <c r="E3084" s="3">
        <f>VLOOKUP(A3084,airports!A:H,8,FALSE)</f>
        <v>-79.9372975</v>
      </c>
      <c r="F3084" s="3">
        <f>VLOOKUP(B3084,airports!A:H,7,FALSE)</f>
        <v>27.910763330000002</v>
      </c>
      <c r="G3084" s="3">
        <f>VLOOKUP(B3084,airports!A:H,8,FALSE)</f>
        <v>-82.687439440000006</v>
      </c>
      <c r="H3084">
        <f t="shared" si="96"/>
        <v>946.4</v>
      </c>
      <c r="I3084">
        <f t="shared" si="97"/>
        <v>588.1</v>
      </c>
    </row>
    <row r="3085" spans="1:9" ht="30" x14ac:dyDescent="0.25">
      <c r="A3085" s="5" t="s">
        <v>517</v>
      </c>
      <c r="B3085" s="5" t="s">
        <v>191</v>
      </c>
      <c r="C3085" s="5" t="s">
        <v>3540</v>
      </c>
      <c r="D3085" s="3">
        <f>VLOOKUP(A3085,airports!A:H,7,FALSE)</f>
        <v>36.09774694</v>
      </c>
      <c r="E3085" s="3">
        <f>VLOOKUP(A3085,airports!A:H,8,FALSE)</f>
        <v>-79.9372975</v>
      </c>
      <c r="F3085" s="3">
        <f>VLOOKUP(B3085,airports!A:H,7,FALSE)</f>
        <v>28.7776</v>
      </c>
      <c r="G3085" s="3">
        <f>VLOOKUP(B3085,airports!A:H,8,FALSE)</f>
        <v>-81.237499999999997</v>
      </c>
      <c r="H3085">
        <f t="shared" si="96"/>
        <v>823</v>
      </c>
      <c r="I3085">
        <f t="shared" si="97"/>
        <v>511.4</v>
      </c>
    </row>
    <row r="3086" spans="1:9" ht="30" x14ac:dyDescent="0.25">
      <c r="A3086" s="5" t="s">
        <v>517</v>
      </c>
      <c r="B3086" s="5" t="s">
        <v>145</v>
      </c>
      <c r="C3086" s="5" t="s">
        <v>3541</v>
      </c>
      <c r="D3086" s="3">
        <f>VLOOKUP(A3086,airports!A:H,7,FALSE)</f>
        <v>36.09774694</v>
      </c>
      <c r="E3086" s="3">
        <f>VLOOKUP(A3086,airports!A:H,8,FALSE)</f>
        <v>-79.9372975</v>
      </c>
      <c r="F3086" s="3">
        <f>VLOOKUP(B3086,airports!A:H,7,FALSE)</f>
        <v>27.97547222</v>
      </c>
      <c r="G3086" s="3">
        <f>VLOOKUP(B3086,airports!A:H,8,FALSE)</f>
        <v>-82.533249999999995</v>
      </c>
      <c r="H3086">
        <f t="shared" si="96"/>
        <v>935.6</v>
      </c>
      <c r="I3086">
        <f t="shared" si="97"/>
        <v>581.4</v>
      </c>
    </row>
    <row r="3087" spans="1:9" x14ac:dyDescent="0.25">
      <c r="A3087" s="5" t="s">
        <v>519</v>
      </c>
      <c r="B3087" s="5" t="s">
        <v>10</v>
      </c>
      <c r="C3087" s="5" t="s">
        <v>3542</v>
      </c>
      <c r="D3087" s="3">
        <f>VLOOKUP(A3087,airports!A:H,7,FALSE)</f>
        <v>34.89566722</v>
      </c>
      <c r="E3087" s="3">
        <f>VLOOKUP(A3087,airports!A:H,8,FALSE)</f>
        <v>-82.218858330000003</v>
      </c>
      <c r="F3087" s="3">
        <f>VLOOKUP(B3087,airports!A:H,7,FALSE)</f>
        <v>33.640444440000003</v>
      </c>
      <c r="G3087" s="3">
        <f>VLOOKUP(B3087,airports!A:H,8,FALSE)</f>
        <v>-84.42694444</v>
      </c>
      <c r="H3087">
        <f t="shared" si="96"/>
        <v>246.3</v>
      </c>
      <c r="I3087">
        <f t="shared" si="97"/>
        <v>153</v>
      </c>
    </row>
    <row r="3088" spans="1:9" ht="30" x14ac:dyDescent="0.25">
      <c r="A3088" s="5" t="s">
        <v>519</v>
      </c>
      <c r="B3088" s="5" t="s">
        <v>24</v>
      </c>
      <c r="C3088" s="5" t="s">
        <v>3543</v>
      </c>
      <c r="D3088" s="3">
        <f>VLOOKUP(A3088,airports!A:H,7,FALSE)</f>
        <v>34.89566722</v>
      </c>
      <c r="E3088" s="3">
        <f>VLOOKUP(A3088,airports!A:H,8,FALSE)</f>
        <v>-82.218858330000003</v>
      </c>
      <c r="F3088" s="3">
        <f>VLOOKUP(B3088,airports!A:H,7,FALSE)</f>
        <v>42.364347500000001</v>
      </c>
      <c r="G3088" s="3">
        <f>VLOOKUP(B3088,airports!A:H,8,FALSE)</f>
        <v>-71.005179170000005</v>
      </c>
      <c r="H3088">
        <f t="shared" si="96"/>
        <v>1278</v>
      </c>
      <c r="I3088">
        <f t="shared" si="97"/>
        <v>794.2</v>
      </c>
    </row>
    <row r="3089" spans="1:9" ht="30" x14ac:dyDescent="0.25">
      <c r="A3089" s="5" t="s">
        <v>519</v>
      </c>
      <c r="B3089" s="5" t="s">
        <v>32</v>
      </c>
      <c r="C3089" s="5" t="s">
        <v>3544</v>
      </c>
      <c r="D3089" s="3">
        <f>VLOOKUP(A3089,airports!A:H,7,FALSE)</f>
        <v>34.89566722</v>
      </c>
      <c r="E3089" s="3">
        <f>VLOOKUP(A3089,airports!A:H,8,FALSE)</f>
        <v>-82.218858330000003</v>
      </c>
      <c r="F3089" s="3">
        <f>VLOOKUP(B3089,airports!A:H,7,FALSE)</f>
        <v>39.175401669999999</v>
      </c>
      <c r="G3089" s="3">
        <f>VLOOKUP(B3089,airports!A:H,8,FALSE)</f>
        <v>-76.668198329999996</v>
      </c>
      <c r="H3089">
        <f t="shared" si="96"/>
        <v>684.7</v>
      </c>
      <c r="I3089">
        <f t="shared" si="97"/>
        <v>425.5</v>
      </c>
    </row>
    <row r="3090" spans="1:9" x14ac:dyDescent="0.25">
      <c r="A3090" s="5" t="s">
        <v>519</v>
      </c>
      <c r="B3090" s="5" t="s">
        <v>40</v>
      </c>
      <c r="C3090" s="5" t="s">
        <v>3545</v>
      </c>
      <c r="D3090" s="3">
        <f>VLOOKUP(A3090,airports!A:H,7,FALSE)</f>
        <v>34.89566722</v>
      </c>
      <c r="E3090" s="3">
        <f>VLOOKUP(A3090,airports!A:H,8,FALSE)</f>
        <v>-82.218858330000003</v>
      </c>
      <c r="F3090" s="3">
        <f>VLOOKUP(B3090,airports!A:H,7,FALSE)</f>
        <v>35.214011110000001</v>
      </c>
      <c r="G3090" s="3">
        <f>VLOOKUP(B3090,airports!A:H,8,FALSE)</f>
        <v>-80.94312583</v>
      </c>
      <c r="H3090">
        <f t="shared" si="96"/>
        <v>121.4</v>
      </c>
      <c r="I3090">
        <f t="shared" si="97"/>
        <v>75.400000000000006</v>
      </c>
    </row>
    <row r="3091" spans="1:9" ht="30" x14ac:dyDescent="0.25">
      <c r="A3091" s="5" t="s">
        <v>519</v>
      </c>
      <c r="B3091" s="5" t="s">
        <v>201</v>
      </c>
      <c r="C3091" s="5" t="s">
        <v>3546</v>
      </c>
      <c r="D3091" s="3">
        <f>VLOOKUP(A3091,airports!A:H,7,FALSE)</f>
        <v>34.89566722</v>
      </c>
      <c r="E3091" s="3">
        <f>VLOOKUP(A3091,airports!A:H,8,FALSE)</f>
        <v>-82.218858330000003</v>
      </c>
      <c r="F3091" s="3">
        <f>VLOOKUP(B3091,airports!A:H,7,FALSE)</f>
        <v>32.847113890000003</v>
      </c>
      <c r="G3091" s="3">
        <f>VLOOKUP(B3091,airports!A:H,8,FALSE)</f>
        <v>-96.851772220000001</v>
      </c>
      <c r="H3091">
        <f t="shared" si="96"/>
        <v>1368.7</v>
      </c>
      <c r="I3091">
        <f t="shared" si="97"/>
        <v>850.6</v>
      </c>
    </row>
    <row r="3092" spans="1:9" ht="30" x14ac:dyDescent="0.25">
      <c r="A3092" s="5" t="s">
        <v>519</v>
      </c>
      <c r="B3092" s="5" t="s">
        <v>45</v>
      </c>
      <c r="C3092" s="5" t="s">
        <v>3547</v>
      </c>
      <c r="D3092" s="3">
        <f>VLOOKUP(A3092,airports!A:H,7,FALSE)</f>
        <v>34.89566722</v>
      </c>
      <c r="E3092" s="3">
        <f>VLOOKUP(A3092,airports!A:H,8,FALSE)</f>
        <v>-82.218858330000003</v>
      </c>
      <c r="F3092" s="3">
        <f>VLOOKUP(B3092,airports!A:H,7,FALSE)</f>
        <v>38.852083329999999</v>
      </c>
      <c r="G3092" s="3">
        <f>VLOOKUP(B3092,airports!A:H,8,FALSE)</f>
        <v>-77.037722220000006</v>
      </c>
      <c r="H3092">
        <f t="shared" si="96"/>
        <v>636.9</v>
      </c>
      <c r="I3092">
        <f t="shared" si="97"/>
        <v>395.8</v>
      </c>
    </row>
    <row r="3093" spans="1:9" ht="30" x14ac:dyDescent="0.25">
      <c r="A3093" s="5" t="s">
        <v>519</v>
      </c>
      <c r="B3093" s="5" t="s">
        <v>47</v>
      </c>
      <c r="C3093" s="5" t="s">
        <v>3548</v>
      </c>
      <c r="D3093" s="3">
        <f>VLOOKUP(A3093,airports!A:H,7,FALSE)</f>
        <v>34.89566722</v>
      </c>
      <c r="E3093" s="3">
        <f>VLOOKUP(A3093,airports!A:H,8,FALSE)</f>
        <v>-82.218858330000003</v>
      </c>
      <c r="F3093" s="3">
        <f>VLOOKUP(B3093,airports!A:H,7,FALSE)</f>
        <v>39.858408060000002</v>
      </c>
      <c r="G3093" s="3">
        <f>VLOOKUP(B3093,airports!A:H,8,FALSE)</f>
        <v>-104.6670019</v>
      </c>
      <c r="H3093">
        <f t="shared" si="96"/>
        <v>2052.6999999999998</v>
      </c>
      <c r="I3093">
        <f t="shared" si="97"/>
        <v>1275.5999999999999</v>
      </c>
    </row>
    <row r="3094" spans="1:9" ht="30" x14ac:dyDescent="0.25">
      <c r="A3094" s="5" t="s">
        <v>519</v>
      </c>
      <c r="B3094" s="5" t="s">
        <v>49</v>
      </c>
      <c r="C3094" s="5" t="s">
        <v>3549</v>
      </c>
      <c r="D3094" s="3">
        <f>VLOOKUP(A3094,airports!A:H,7,FALSE)</f>
        <v>34.89566722</v>
      </c>
      <c r="E3094" s="3">
        <f>VLOOKUP(A3094,airports!A:H,8,FALSE)</f>
        <v>-82.218858330000003</v>
      </c>
      <c r="F3094" s="3">
        <f>VLOOKUP(B3094,airports!A:H,7,FALSE)</f>
        <v>32.895950560000003</v>
      </c>
      <c r="G3094" s="3">
        <f>VLOOKUP(B3094,airports!A:H,8,FALSE)</f>
        <v>-97.037199999999999</v>
      </c>
      <c r="H3094">
        <f t="shared" si="96"/>
        <v>1384.3</v>
      </c>
      <c r="I3094">
        <f t="shared" si="97"/>
        <v>860.2</v>
      </c>
    </row>
    <row r="3095" spans="1:9" ht="30" x14ac:dyDescent="0.25">
      <c r="A3095" s="5" t="s">
        <v>519</v>
      </c>
      <c r="B3095" s="5" t="s">
        <v>50</v>
      </c>
      <c r="C3095" s="5" t="s">
        <v>3550</v>
      </c>
      <c r="D3095" s="3">
        <f>VLOOKUP(A3095,airports!A:H,7,FALSE)</f>
        <v>34.89566722</v>
      </c>
      <c r="E3095" s="3">
        <f>VLOOKUP(A3095,airports!A:H,8,FALSE)</f>
        <v>-82.218858330000003</v>
      </c>
      <c r="F3095" s="3">
        <f>VLOOKUP(B3095,airports!A:H,7,FALSE)</f>
        <v>42.212058890000002</v>
      </c>
      <c r="G3095" s="3">
        <f>VLOOKUP(B3095,airports!A:H,8,FALSE)</f>
        <v>-83.348835829999999</v>
      </c>
      <c r="H3095">
        <f t="shared" si="96"/>
        <v>819.4</v>
      </c>
      <c r="I3095">
        <f t="shared" si="97"/>
        <v>509.2</v>
      </c>
    </row>
    <row r="3096" spans="1:9" ht="30" x14ac:dyDescent="0.25">
      <c r="A3096" s="5" t="s">
        <v>519</v>
      </c>
      <c r="B3096" s="5" t="s">
        <v>52</v>
      </c>
      <c r="C3096" s="5" t="s">
        <v>3551</v>
      </c>
      <c r="D3096" s="3">
        <f>VLOOKUP(A3096,airports!A:H,7,FALSE)</f>
        <v>34.89566722</v>
      </c>
      <c r="E3096" s="3">
        <f>VLOOKUP(A3096,airports!A:H,8,FALSE)</f>
        <v>-82.218858330000003</v>
      </c>
      <c r="F3096" s="3">
        <f>VLOOKUP(B3096,airports!A:H,7,FALSE)</f>
        <v>40.69249722</v>
      </c>
      <c r="G3096" s="3">
        <f>VLOOKUP(B3096,airports!A:H,8,FALSE)</f>
        <v>-74.168660560000006</v>
      </c>
      <c r="H3096">
        <f t="shared" si="96"/>
        <v>956.2</v>
      </c>
      <c r="I3096">
        <f t="shared" si="97"/>
        <v>594.20000000000005</v>
      </c>
    </row>
    <row r="3097" spans="1:9" x14ac:dyDescent="0.25">
      <c r="A3097" s="5" t="s">
        <v>519</v>
      </c>
      <c r="B3097" s="5" t="s">
        <v>57</v>
      </c>
      <c r="C3097" s="5" t="s">
        <v>3552</v>
      </c>
      <c r="D3097" s="3">
        <f>VLOOKUP(A3097,airports!A:H,7,FALSE)</f>
        <v>34.89566722</v>
      </c>
      <c r="E3097" s="3">
        <f>VLOOKUP(A3097,airports!A:H,8,FALSE)</f>
        <v>-82.218858330000003</v>
      </c>
      <c r="F3097" s="3">
        <f>VLOOKUP(B3097,airports!A:H,7,FALSE)</f>
        <v>26.072583330000001</v>
      </c>
      <c r="G3097" s="3">
        <f>VLOOKUP(B3097,airports!A:H,8,FALSE)</f>
        <v>-80.152749999999997</v>
      </c>
      <c r="H3097">
        <f t="shared" si="96"/>
        <v>1000.8</v>
      </c>
      <c r="I3097">
        <f t="shared" si="97"/>
        <v>621.9</v>
      </c>
    </row>
    <row r="3098" spans="1:9" ht="30" x14ac:dyDescent="0.25">
      <c r="A3098" s="5" t="s">
        <v>519</v>
      </c>
      <c r="B3098" s="5" t="s">
        <v>503</v>
      </c>
      <c r="C3098" s="5" t="s">
        <v>3553</v>
      </c>
      <c r="D3098" s="3">
        <f>VLOOKUP(A3098,airports!A:H,7,FALSE)</f>
        <v>34.89566722</v>
      </c>
      <c r="E3098" s="3">
        <f>VLOOKUP(A3098,airports!A:H,8,FALSE)</f>
        <v>-82.218858330000003</v>
      </c>
      <c r="F3098" s="3">
        <f>VLOOKUP(B3098,airports!A:H,7,FALSE)</f>
        <v>40.978465829999998</v>
      </c>
      <c r="G3098" s="3">
        <f>VLOOKUP(B3098,airports!A:H,8,FALSE)</f>
        <v>-85.195146390000005</v>
      </c>
      <c r="H3098">
        <f t="shared" si="96"/>
        <v>724.9</v>
      </c>
      <c r="I3098">
        <f t="shared" si="97"/>
        <v>450.4</v>
      </c>
    </row>
    <row r="3099" spans="1:9" ht="30" x14ac:dyDescent="0.25">
      <c r="A3099" s="5" t="s">
        <v>519</v>
      </c>
      <c r="B3099" s="5" t="s">
        <v>205</v>
      </c>
      <c r="C3099" s="5" t="s">
        <v>3554</v>
      </c>
      <c r="D3099" s="3">
        <f>VLOOKUP(A3099,airports!A:H,7,FALSE)</f>
        <v>34.89566722</v>
      </c>
      <c r="E3099" s="3">
        <f>VLOOKUP(A3099,airports!A:H,8,FALSE)</f>
        <v>-82.218858330000003</v>
      </c>
      <c r="F3099" s="3">
        <f>VLOOKUP(B3099,airports!A:H,7,FALSE)</f>
        <v>29.64541861</v>
      </c>
      <c r="G3099" s="3">
        <f>VLOOKUP(B3099,airports!A:H,8,FALSE)</f>
        <v>-95.278888890000005</v>
      </c>
      <c r="H3099">
        <f t="shared" si="96"/>
        <v>1358.1</v>
      </c>
      <c r="I3099">
        <f t="shared" si="97"/>
        <v>843.9</v>
      </c>
    </row>
    <row r="3100" spans="1:9" x14ac:dyDescent="0.25">
      <c r="A3100" s="5" t="s">
        <v>519</v>
      </c>
      <c r="B3100" s="5" t="s">
        <v>176</v>
      </c>
      <c r="C3100" s="5" t="s">
        <v>3555</v>
      </c>
      <c r="D3100" s="3">
        <f>VLOOKUP(A3100,airports!A:H,7,FALSE)</f>
        <v>34.89566722</v>
      </c>
      <c r="E3100" s="3">
        <f>VLOOKUP(A3100,airports!A:H,8,FALSE)</f>
        <v>-82.218858330000003</v>
      </c>
      <c r="F3100" s="3">
        <f>VLOOKUP(B3100,airports!A:H,7,FALSE)</f>
        <v>38.944531939999997</v>
      </c>
      <c r="G3100" s="3">
        <f>VLOOKUP(B3100,airports!A:H,8,FALSE)</f>
        <v>-77.455809720000005</v>
      </c>
      <c r="H3100">
        <f t="shared" si="96"/>
        <v>617.9</v>
      </c>
      <c r="I3100">
        <f t="shared" si="97"/>
        <v>383.9</v>
      </c>
    </row>
    <row r="3101" spans="1:9" x14ac:dyDescent="0.25">
      <c r="A3101" s="5" t="s">
        <v>519</v>
      </c>
      <c r="B3101" s="5" t="s">
        <v>67</v>
      </c>
      <c r="C3101" s="5" t="s">
        <v>3556</v>
      </c>
      <c r="D3101" s="3">
        <f>VLOOKUP(A3101,airports!A:H,7,FALSE)</f>
        <v>34.89566722</v>
      </c>
      <c r="E3101" s="3">
        <f>VLOOKUP(A3101,airports!A:H,8,FALSE)</f>
        <v>-82.218858330000003</v>
      </c>
      <c r="F3101" s="3">
        <f>VLOOKUP(B3101,airports!A:H,7,FALSE)</f>
        <v>29.980472219999999</v>
      </c>
      <c r="G3101" s="3">
        <f>VLOOKUP(B3101,airports!A:H,8,FALSE)</f>
        <v>-95.339722219999999</v>
      </c>
      <c r="H3101">
        <f t="shared" si="96"/>
        <v>1345.7</v>
      </c>
      <c r="I3101">
        <f t="shared" si="97"/>
        <v>836.2</v>
      </c>
    </row>
    <row r="3102" spans="1:9" x14ac:dyDescent="0.25">
      <c r="A3102" s="5" t="s">
        <v>519</v>
      </c>
      <c r="B3102" s="5" t="s">
        <v>71</v>
      </c>
      <c r="C3102" s="5" t="s">
        <v>3557</v>
      </c>
      <c r="D3102" s="3">
        <f>VLOOKUP(A3102,airports!A:H,7,FALSE)</f>
        <v>34.89566722</v>
      </c>
      <c r="E3102" s="3">
        <f>VLOOKUP(A3102,airports!A:H,8,FALSE)</f>
        <v>-82.218858330000003</v>
      </c>
      <c r="F3102" s="3">
        <f>VLOOKUP(B3102,airports!A:H,7,FALSE)</f>
        <v>36.080361109999998</v>
      </c>
      <c r="G3102" s="3">
        <f>VLOOKUP(B3102,airports!A:H,8,FALSE)</f>
        <v>-115.1523333</v>
      </c>
      <c r="H3102">
        <f t="shared" si="96"/>
        <v>2970.4</v>
      </c>
      <c r="I3102">
        <f t="shared" si="97"/>
        <v>1845.9</v>
      </c>
    </row>
    <row r="3103" spans="1:9" ht="30" x14ac:dyDescent="0.25">
      <c r="A3103" s="5" t="s">
        <v>519</v>
      </c>
      <c r="B3103" s="5" t="s">
        <v>74</v>
      </c>
      <c r="C3103" s="5" t="s">
        <v>3558</v>
      </c>
      <c r="D3103" s="3">
        <f>VLOOKUP(A3103,airports!A:H,7,FALSE)</f>
        <v>34.89566722</v>
      </c>
      <c r="E3103" s="3">
        <f>VLOOKUP(A3103,airports!A:H,8,FALSE)</f>
        <v>-82.218858330000003</v>
      </c>
      <c r="F3103" s="3">
        <f>VLOOKUP(B3103,airports!A:H,7,FALSE)</f>
        <v>40.777243060000004</v>
      </c>
      <c r="G3103" s="3">
        <f>VLOOKUP(B3103,airports!A:H,8,FALSE)</f>
        <v>-73.872609170000004</v>
      </c>
      <c r="H3103">
        <f t="shared" si="96"/>
        <v>981.5</v>
      </c>
      <c r="I3103">
        <f t="shared" si="97"/>
        <v>609.9</v>
      </c>
    </row>
    <row r="3104" spans="1:9" ht="30" x14ac:dyDescent="0.25">
      <c r="A3104" s="5" t="s">
        <v>519</v>
      </c>
      <c r="B3104" s="5" t="s">
        <v>82</v>
      </c>
      <c r="C3104" s="5" t="s">
        <v>3559</v>
      </c>
      <c r="D3104" s="3">
        <f>VLOOKUP(A3104,airports!A:H,7,FALSE)</f>
        <v>34.89566722</v>
      </c>
      <c r="E3104" s="3">
        <f>VLOOKUP(A3104,airports!A:H,8,FALSE)</f>
        <v>-82.218858330000003</v>
      </c>
      <c r="F3104" s="3">
        <f>VLOOKUP(B3104,airports!A:H,7,FALSE)</f>
        <v>28.42888889</v>
      </c>
      <c r="G3104" s="3">
        <f>VLOOKUP(B3104,airports!A:H,8,FALSE)</f>
        <v>-81.316027779999999</v>
      </c>
      <c r="H3104">
        <f t="shared" si="96"/>
        <v>724.1</v>
      </c>
      <c r="I3104">
        <f t="shared" si="97"/>
        <v>450</v>
      </c>
    </row>
    <row r="3105" spans="1:9" ht="30" x14ac:dyDescent="0.25">
      <c r="A3105" s="5" t="s">
        <v>519</v>
      </c>
      <c r="B3105" s="5" t="s">
        <v>84</v>
      </c>
      <c r="C3105" s="5" t="s">
        <v>3560</v>
      </c>
      <c r="D3105" s="3">
        <f>VLOOKUP(A3105,airports!A:H,7,FALSE)</f>
        <v>34.89566722</v>
      </c>
      <c r="E3105" s="3">
        <f>VLOOKUP(A3105,airports!A:H,8,FALSE)</f>
        <v>-82.218858330000003</v>
      </c>
      <c r="F3105" s="3">
        <f>VLOOKUP(B3105,airports!A:H,7,FALSE)</f>
        <v>25.79325</v>
      </c>
      <c r="G3105" s="3">
        <f>VLOOKUP(B3105,airports!A:H,8,FALSE)</f>
        <v>-80.290555560000001</v>
      </c>
      <c r="H3105">
        <f t="shared" si="96"/>
        <v>1028.8</v>
      </c>
      <c r="I3105">
        <f t="shared" si="97"/>
        <v>639.29999999999995</v>
      </c>
    </row>
    <row r="3106" spans="1:9" ht="30" x14ac:dyDescent="0.25">
      <c r="A3106" s="5" t="s">
        <v>519</v>
      </c>
      <c r="B3106" s="5" t="s">
        <v>89</v>
      </c>
      <c r="C3106" s="5" t="s">
        <v>3561</v>
      </c>
      <c r="D3106" s="3">
        <f>VLOOKUP(A3106,airports!A:H,7,FALSE)</f>
        <v>34.89566722</v>
      </c>
      <c r="E3106" s="3">
        <f>VLOOKUP(A3106,airports!A:H,8,FALSE)</f>
        <v>-82.218858330000003</v>
      </c>
      <c r="F3106" s="3">
        <f>VLOOKUP(B3106,airports!A:H,7,FALSE)</f>
        <v>29.993388889999999</v>
      </c>
      <c r="G3106" s="3">
        <f>VLOOKUP(B3106,airports!A:H,8,FALSE)</f>
        <v>-90.258027780000006</v>
      </c>
      <c r="H3106">
        <f t="shared" si="96"/>
        <v>930.2</v>
      </c>
      <c r="I3106">
        <f t="shared" si="97"/>
        <v>578</v>
      </c>
    </row>
    <row r="3107" spans="1:9" ht="30" x14ac:dyDescent="0.25">
      <c r="A3107" s="5" t="s">
        <v>519</v>
      </c>
      <c r="B3107" s="5" t="s">
        <v>95</v>
      </c>
      <c r="C3107" s="5" t="s">
        <v>3562</v>
      </c>
      <c r="D3107" s="3">
        <f>VLOOKUP(A3107,airports!A:H,7,FALSE)</f>
        <v>34.89566722</v>
      </c>
      <c r="E3107" s="3">
        <f>VLOOKUP(A3107,airports!A:H,8,FALSE)</f>
        <v>-82.218858330000003</v>
      </c>
      <c r="F3107" s="3">
        <f>VLOOKUP(B3107,airports!A:H,7,FALSE)</f>
        <v>41.979595000000003</v>
      </c>
      <c r="G3107" s="3">
        <f>VLOOKUP(B3107,airports!A:H,8,FALSE)</f>
        <v>-87.904464169999997</v>
      </c>
      <c r="H3107">
        <f t="shared" si="96"/>
        <v>929.9</v>
      </c>
      <c r="I3107">
        <f t="shared" si="97"/>
        <v>577.79999999999995</v>
      </c>
    </row>
    <row r="3108" spans="1:9" ht="30" x14ac:dyDescent="0.25">
      <c r="A3108" s="5" t="s">
        <v>519</v>
      </c>
      <c r="B3108" s="5" t="s">
        <v>185</v>
      </c>
      <c r="C3108" s="5" t="s">
        <v>3563</v>
      </c>
      <c r="D3108" s="3">
        <f>VLOOKUP(A3108,airports!A:H,7,FALSE)</f>
        <v>34.89566722</v>
      </c>
      <c r="E3108" s="3">
        <f>VLOOKUP(A3108,airports!A:H,8,FALSE)</f>
        <v>-82.218858330000003</v>
      </c>
      <c r="F3108" s="3">
        <f>VLOOKUP(B3108,airports!A:H,7,FALSE)</f>
        <v>26.919699999999999</v>
      </c>
      <c r="G3108" s="3">
        <f>VLOOKUP(B3108,airports!A:H,8,FALSE)</f>
        <v>-81.995999999999995</v>
      </c>
      <c r="H3108">
        <f t="shared" si="96"/>
        <v>887.1</v>
      </c>
      <c r="I3108">
        <f t="shared" si="97"/>
        <v>551.29999999999995</v>
      </c>
    </row>
    <row r="3109" spans="1:9" ht="30" x14ac:dyDescent="0.25">
      <c r="A3109" s="5" t="s">
        <v>519</v>
      </c>
      <c r="B3109" s="5" t="s">
        <v>102</v>
      </c>
      <c r="C3109" s="5" t="s">
        <v>3564</v>
      </c>
      <c r="D3109" s="3">
        <f>VLOOKUP(A3109,airports!A:H,7,FALSE)</f>
        <v>34.89566722</v>
      </c>
      <c r="E3109" s="3">
        <f>VLOOKUP(A3109,airports!A:H,8,FALSE)</f>
        <v>-82.218858330000003</v>
      </c>
      <c r="F3109" s="3">
        <f>VLOOKUP(B3109,airports!A:H,7,FALSE)</f>
        <v>39.871952780000001</v>
      </c>
      <c r="G3109" s="3">
        <f>VLOOKUP(B3109,airports!A:H,8,FALSE)</f>
        <v>-75.241140830000006</v>
      </c>
      <c r="H3109">
        <f t="shared" si="96"/>
        <v>827.9</v>
      </c>
      <c r="I3109">
        <f t="shared" si="97"/>
        <v>514.5</v>
      </c>
    </row>
    <row r="3110" spans="1:9" x14ac:dyDescent="0.25">
      <c r="A3110" s="5" t="s">
        <v>519</v>
      </c>
      <c r="B3110" s="5" t="s">
        <v>188</v>
      </c>
      <c r="C3110" s="5" t="s">
        <v>3565</v>
      </c>
      <c r="D3110" s="3">
        <f>VLOOKUP(A3110,airports!A:H,7,FALSE)</f>
        <v>34.89566722</v>
      </c>
      <c r="E3110" s="3">
        <f>VLOOKUP(A3110,airports!A:H,8,FALSE)</f>
        <v>-82.218858330000003</v>
      </c>
      <c r="F3110" s="3">
        <f>VLOOKUP(B3110,airports!A:H,7,FALSE)</f>
        <v>27.910763330000002</v>
      </c>
      <c r="G3110" s="3">
        <f>VLOOKUP(B3110,airports!A:H,8,FALSE)</f>
        <v>-82.687439440000006</v>
      </c>
      <c r="H3110">
        <f t="shared" si="96"/>
        <v>778</v>
      </c>
      <c r="I3110">
        <f t="shared" si="97"/>
        <v>483.4</v>
      </c>
    </row>
    <row r="3111" spans="1:9" x14ac:dyDescent="0.25">
      <c r="A3111" s="5" t="s">
        <v>519</v>
      </c>
      <c r="B3111" s="5" t="s">
        <v>191</v>
      </c>
      <c r="C3111" s="5" t="s">
        <v>3566</v>
      </c>
      <c r="D3111" s="3">
        <f>VLOOKUP(A3111,airports!A:H,7,FALSE)</f>
        <v>34.89566722</v>
      </c>
      <c r="E3111" s="3">
        <f>VLOOKUP(A3111,airports!A:H,8,FALSE)</f>
        <v>-82.218858330000003</v>
      </c>
      <c r="F3111" s="3">
        <f>VLOOKUP(B3111,airports!A:H,7,FALSE)</f>
        <v>28.7776</v>
      </c>
      <c r="G3111" s="3">
        <f>VLOOKUP(B3111,airports!A:H,8,FALSE)</f>
        <v>-81.237499999999997</v>
      </c>
      <c r="H3111">
        <f t="shared" si="96"/>
        <v>686.6</v>
      </c>
      <c r="I3111">
        <f t="shared" si="97"/>
        <v>426.6</v>
      </c>
    </row>
    <row r="3112" spans="1:9" ht="30" x14ac:dyDescent="0.25">
      <c r="A3112" s="5" t="s">
        <v>519</v>
      </c>
      <c r="B3112" s="5" t="s">
        <v>130</v>
      </c>
      <c r="C3112" s="5" t="s">
        <v>3567</v>
      </c>
      <c r="D3112" s="3">
        <f>VLOOKUP(A3112,airports!A:H,7,FALSE)</f>
        <v>34.89566722</v>
      </c>
      <c r="E3112" s="3">
        <f>VLOOKUP(A3112,airports!A:H,8,FALSE)</f>
        <v>-82.218858330000003</v>
      </c>
      <c r="F3112" s="3">
        <f>VLOOKUP(B3112,airports!A:H,7,FALSE)</f>
        <v>37.619001939999997</v>
      </c>
      <c r="G3112" s="3">
        <f>VLOOKUP(B3112,airports!A:H,8,FALSE)</f>
        <v>-122.37484329999999</v>
      </c>
      <c r="H3112">
        <f t="shared" si="96"/>
        <v>3585.9</v>
      </c>
      <c r="I3112">
        <f t="shared" si="97"/>
        <v>2228.3000000000002</v>
      </c>
    </row>
    <row r="3113" spans="1:9" x14ac:dyDescent="0.25">
      <c r="A3113" s="5" t="s">
        <v>519</v>
      </c>
      <c r="B3113" s="5" t="s">
        <v>131</v>
      </c>
      <c r="C3113" s="5" t="s">
        <v>3568</v>
      </c>
      <c r="D3113" s="3">
        <f>VLOOKUP(A3113,airports!A:H,7,FALSE)</f>
        <v>34.89566722</v>
      </c>
      <c r="E3113" s="3">
        <f>VLOOKUP(A3113,airports!A:H,8,FALSE)</f>
        <v>-82.218858330000003</v>
      </c>
      <c r="F3113" s="3">
        <f>VLOOKUP(B3113,airports!A:H,7,FALSE)</f>
        <v>37.361861939999997</v>
      </c>
      <c r="G3113" s="3">
        <f>VLOOKUP(B3113,airports!A:H,8,FALSE)</f>
        <v>-121.9290089</v>
      </c>
      <c r="H3113">
        <f t="shared" si="96"/>
        <v>3550.8</v>
      </c>
      <c r="I3113">
        <f t="shared" si="97"/>
        <v>2206.5</v>
      </c>
    </row>
    <row r="3114" spans="1:9" x14ac:dyDescent="0.25">
      <c r="A3114" s="5" t="s">
        <v>519</v>
      </c>
      <c r="B3114" s="5" t="s">
        <v>144</v>
      </c>
      <c r="C3114" s="5" t="s">
        <v>3569</v>
      </c>
      <c r="D3114" s="3">
        <f>VLOOKUP(A3114,airports!A:H,7,FALSE)</f>
        <v>34.89566722</v>
      </c>
      <c r="E3114" s="3">
        <f>VLOOKUP(A3114,airports!A:H,8,FALSE)</f>
        <v>-82.218858330000003</v>
      </c>
      <c r="F3114" s="3">
        <f>VLOOKUP(B3114,airports!A:H,7,FALSE)</f>
        <v>43.111186940000003</v>
      </c>
      <c r="G3114" s="3">
        <f>VLOOKUP(B3114,airports!A:H,8,FALSE)</f>
        <v>-76.106310559999997</v>
      </c>
      <c r="H3114">
        <f t="shared" si="96"/>
        <v>1054.5</v>
      </c>
      <c r="I3114">
        <f t="shared" si="97"/>
        <v>655.29999999999995</v>
      </c>
    </row>
    <row r="3115" spans="1:9" ht="30" x14ac:dyDescent="0.25">
      <c r="A3115" s="5" t="s">
        <v>519</v>
      </c>
      <c r="B3115" s="5" t="s">
        <v>145</v>
      </c>
      <c r="C3115" s="5" t="s">
        <v>3570</v>
      </c>
      <c r="D3115" s="3">
        <f>VLOOKUP(A3115,airports!A:H,7,FALSE)</f>
        <v>34.89566722</v>
      </c>
      <c r="E3115" s="3">
        <f>VLOOKUP(A3115,airports!A:H,8,FALSE)</f>
        <v>-82.218858330000003</v>
      </c>
      <c r="F3115" s="3">
        <f>VLOOKUP(B3115,airports!A:H,7,FALSE)</f>
        <v>27.97547222</v>
      </c>
      <c r="G3115" s="3">
        <f>VLOOKUP(B3115,airports!A:H,8,FALSE)</f>
        <v>-82.533249999999995</v>
      </c>
      <c r="H3115">
        <f t="shared" si="96"/>
        <v>770.1</v>
      </c>
      <c r="I3115">
        <f t="shared" si="97"/>
        <v>478.5</v>
      </c>
    </row>
    <row r="3116" spans="1:9" ht="30" x14ac:dyDescent="0.25">
      <c r="A3116" s="5" t="s">
        <v>3571</v>
      </c>
      <c r="B3116" s="5" t="s">
        <v>364</v>
      </c>
      <c r="C3116" s="5" t="s">
        <v>3572</v>
      </c>
      <c r="D3116" s="3">
        <f>VLOOKUP(A3116,airports!A:H,7,FALSE)</f>
        <v>58.424381390000001</v>
      </c>
      <c r="E3116" s="3">
        <f>VLOOKUP(A3116,airports!A:H,8,FALSE)</f>
        <v>-135.7073814</v>
      </c>
      <c r="F3116" s="3">
        <f>VLOOKUP(B3116,airports!A:H,7,FALSE)</f>
        <v>58.354961940000003</v>
      </c>
      <c r="G3116" s="3">
        <f>VLOOKUP(B3116,airports!A:H,8,FALSE)</f>
        <v>-134.57627640000001</v>
      </c>
      <c r="H3116">
        <f t="shared" si="96"/>
        <v>66.400000000000006</v>
      </c>
      <c r="I3116">
        <f t="shared" si="97"/>
        <v>41.2</v>
      </c>
    </row>
    <row r="3117" spans="1:9" ht="30" x14ac:dyDescent="0.25">
      <c r="A3117" s="5" t="s">
        <v>863</v>
      </c>
      <c r="B3117" s="5" t="s">
        <v>329</v>
      </c>
      <c r="C3117" s="5" t="s">
        <v>3573</v>
      </c>
      <c r="D3117" s="3">
        <f>VLOOKUP(A3117,airports!A:H,7,FALSE)</f>
        <v>47.482001940000004</v>
      </c>
      <c r="E3117" s="3">
        <f>VLOOKUP(A3117,airports!A:H,8,FALSE)</f>
        <v>-111.37068530000001</v>
      </c>
      <c r="F3117" s="3">
        <f>VLOOKUP(B3117,airports!A:H,7,FALSE)</f>
        <v>33.308999999999997</v>
      </c>
      <c r="G3117" s="3">
        <f>VLOOKUP(B3117,airports!A:H,8,FALSE)</f>
        <v>-111.6559</v>
      </c>
      <c r="H3117">
        <f t="shared" si="96"/>
        <v>1576.1</v>
      </c>
      <c r="I3117">
        <f t="shared" si="97"/>
        <v>979.4</v>
      </c>
    </row>
    <row r="3118" spans="1:9" ht="30" x14ac:dyDescent="0.25">
      <c r="A3118" s="5" t="s">
        <v>863</v>
      </c>
      <c r="B3118" s="5" t="s">
        <v>34</v>
      </c>
      <c r="C3118" s="5" t="s">
        <v>3574</v>
      </c>
      <c r="D3118" s="3">
        <f>VLOOKUP(A3118,airports!A:H,7,FALSE)</f>
        <v>47.482001940000004</v>
      </c>
      <c r="E3118" s="3">
        <f>VLOOKUP(A3118,airports!A:H,8,FALSE)</f>
        <v>-111.37068530000001</v>
      </c>
      <c r="F3118" s="3">
        <f>VLOOKUP(B3118,airports!A:H,7,FALSE)</f>
        <v>45.776901389999999</v>
      </c>
      <c r="G3118" s="3">
        <f>VLOOKUP(B3118,airports!A:H,8,FALSE)</f>
        <v>-111.1530072</v>
      </c>
      <c r="H3118">
        <f t="shared" si="96"/>
        <v>190.3</v>
      </c>
      <c r="I3118">
        <f t="shared" si="97"/>
        <v>118.3</v>
      </c>
    </row>
    <row r="3119" spans="1:9" ht="30" x14ac:dyDescent="0.25">
      <c r="A3119" s="5" t="s">
        <v>863</v>
      </c>
      <c r="B3119" s="5" t="s">
        <v>47</v>
      </c>
      <c r="C3119" s="5" t="s">
        <v>3575</v>
      </c>
      <c r="D3119" s="3">
        <f>VLOOKUP(A3119,airports!A:H,7,FALSE)</f>
        <v>47.482001940000004</v>
      </c>
      <c r="E3119" s="3">
        <f>VLOOKUP(A3119,airports!A:H,8,FALSE)</f>
        <v>-111.37068530000001</v>
      </c>
      <c r="F3119" s="3">
        <f>VLOOKUP(B3119,airports!A:H,7,FALSE)</f>
        <v>39.858408060000002</v>
      </c>
      <c r="G3119" s="3">
        <f>VLOOKUP(B3119,airports!A:H,8,FALSE)</f>
        <v>-104.6670019</v>
      </c>
      <c r="H3119">
        <f t="shared" si="96"/>
        <v>1003.8</v>
      </c>
      <c r="I3119">
        <f t="shared" si="97"/>
        <v>623.79999999999995</v>
      </c>
    </row>
    <row r="3120" spans="1:9" ht="30" x14ac:dyDescent="0.25">
      <c r="A3120" s="5" t="s">
        <v>863</v>
      </c>
      <c r="B3120" s="5" t="s">
        <v>2386</v>
      </c>
      <c r="C3120" s="5" t="s">
        <v>3576</v>
      </c>
      <c r="D3120" s="3">
        <f>VLOOKUP(A3120,airports!A:H,7,FALSE)</f>
        <v>47.482001940000004</v>
      </c>
      <c r="E3120" s="3">
        <f>VLOOKUP(A3120,airports!A:H,8,FALSE)</f>
        <v>-111.37068530000001</v>
      </c>
      <c r="F3120" s="3">
        <f>VLOOKUP(B3120,airports!A:H,7,FALSE)</f>
        <v>46.606818060000002</v>
      </c>
      <c r="G3120" s="3">
        <f>VLOOKUP(B3120,airports!A:H,8,FALSE)</f>
        <v>-111.98275030000001</v>
      </c>
      <c r="H3120">
        <f t="shared" si="96"/>
        <v>107.8</v>
      </c>
      <c r="I3120">
        <f t="shared" si="97"/>
        <v>67</v>
      </c>
    </row>
    <row r="3121" spans="1:9" x14ac:dyDescent="0.25">
      <c r="A3121" s="5" t="s">
        <v>863</v>
      </c>
      <c r="B3121" s="5" t="s">
        <v>867</v>
      </c>
      <c r="C3121" s="5" t="s">
        <v>3577</v>
      </c>
      <c r="D3121" s="3">
        <f>VLOOKUP(A3121,airports!A:H,7,FALSE)</f>
        <v>47.482001940000004</v>
      </c>
      <c r="E3121" s="3">
        <f>VLOOKUP(A3121,airports!A:H,8,FALSE)</f>
        <v>-111.37068530000001</v>
      </c>
      <c r="F3121" s="3">
        <f>VLOOKUP(B3121,airports!A:H,7,FALSE)</f>
        <v>43.514555559999998</v>
      </c>
      <c r="G3121" s="3">
        <f>VLOOKUP(B3121,airports!A:H,8,FALSE)</f>
        <v>-112.0701667</v>
      </c>
      <c r="H3121">
        <f t="shared" si="96"/>
        <v>444.5</v>
      </c>
      <c r="I3121">
        <f t="shared" si="97"/>
        <v>276.2</v>
      </c>
    </row>
    <row r="3122" spans="1:9" x14ac:dyDescent="0.25">
      <c r="A3122" s="5" t="s">
        <v>863</v>
      </c>
      <c r="B3122" s="5" t="s">
        <v>71</v>
      </c>
      <c r="C3122" s="5" t="s">
        <v>3578</v>
      </c>
      <c r="D3122" s="3">
        <f>VLOOKUP(A3122,airports!A:H,7,FALSE)</f>
        <v>47.482001940000004</v>
      </c>
      <c r="E3122" s="3">
        <f>VLOOKUP(A3122,airports!A:H,8,FALSE)</f>
        <v>-111.37068530000001</v>
      </c>
      <c r="F3122" s="3">
        <f>VLOOKUP(B3122,airports!A:H,7,FALSE)</f>
        <v>36.080361109999998</v>
      </c>
      <c r="G3122" s="3">
        <f>VLOOKUP(B3122,airports!A:H,8,FALSE)</f>
        <v>-115.1523333</v>
      </c>
      <c r="H3122">
        <f t="shared" si="96"/>
        <v>1305.5999999999999</v>
      </c>
      <c r="I3122">
        <f t="shared" si="97"/>
        <v>811.3</v>
      </c>
    </row>
    <row r="3123" spans="1:9" ht="30" x14ac:dyDescent="0.25">
      <c r="A3123" s="5" t="s">
        <v>863</v>
      </c>
      <c r="B3123" s="5" t="s">
        <v>87</v>
      </c>
      <c r="C3123" s="5" t="s">
        <v>3579</v>
      </c>
      <c r="D3123" s="3">
        <f>VLOOKUP(A3123,airports!A:H,7,FALSE)</f>
        <v>47.482001940000004</v>
      </c>
      <c r="E3123" s="3">
        <f>VLOOKUP(A3123,airports!A:H,8,FALSE)</f>
        <v>-111.37068530000001</v>
      </c>
      <c r="F3123" s="3">
        <f>VLOOKUP(B3123,airports!A:H,7,FALSE)</f>
        <v>44.880546940000002</v>
      </c>
      <c r="G3123" s="3">
        <f>VLOOKUP(B3123,airports!A:H,8,FALSE)</f>
        <v>-93.216922499999995</v>
      </c>
      <c r="H3123">
        <f t="shared" si="96"/>
        <v>1423.8</v>
      </c>
      <c r="I3123">
        <f t="shared" si="97"/>
        <v>884.7</v>
      </c>
    </row>
    <row r="3124" spans="1:9" ht="30" x14ac:dyDescent="0.25">
      <c r="A3124" s="5" t="s">
        <v>863</v>
      </c>
      <c r="B3124" s="5" t="s">
        <v>95</v>
      </c>
      <c r="C3124" s="5" t="s">
        <v>3580</v>
      </c>
      <c r="D3124" s="3">
        <f>VLOOKUP(A3124,airports!A:H,7,FALSE)</f>
        <v>47.482001940000004</v>
      </c>
      <c r="E3124" s="3">
        <f>VLOOKUP(A3124,airports!A:H,8,FALSE)</f>
        <v>-111.37068530000001</v>
      </c>
      <c r="F3124" s="3">
        <f>VLOOKUP(B3124,airports!A:H,7,FALSE)</f>
        <v>41.979595000000003</v>
      </c>
      <c r="G3124" s="3">
        <f>VLOOKUP(B3124,airports!A:H,8,FALSE)</f>
        <v>-87.904464169999997</v>
      </c>
      <c r="H3124">
        <f t="shared" si="96"/>
        <v>1943.3</v>
      </c>
      <c r="I3124">
        <f t="shared" si="97"/>
        <v>1207.5999999999999</v>
      </c>
    </row>
    <row r="3125" spans="1:9" x14ac:dyDescent="0.25">
      <c r="A3125" s="5" t="s">
        <v>863</v>
      </c>
      <c r="B3125" s="5" t="s">
        <v>128</v>
      </c>
      <c r="C3125" s="5" t="s">
        <v>3581</v>
      </c>
      <c r="D3125" s="3">
        <f>VLOOKUP(A3125,airports!A:H,7,FALSE)</f>
        <v>47.482001940000004</v>
      </c>
      <c r="E3125" s="3">
        <f>VLOOKUP(A3125,airports!A:H,8,FALSE)</f>
        <v>-111.37068530000001</v>
      </c>
      <c r="F3125" s="3">
        <f>VLOOKUP(B3125,airports!A:H,7,FALSE)</f>
        <v>47.448981940000003</v>
      </c>
      <c r="G3125" s="3">
        <f>VLOOKUP(B3125,airports!A:H,8,FALSE)</f>
        <v>-122.3093131</v>
      </c>
      <c r="H3125">
        <f t="shared" si="96"/>
        <v>821.6</v>
      </c>
      <c r="I3125">
        <f t="shared" si="97"/>
        <v>510.6</v>
      </c>
    </row>
    <row r="3126" spans="1:9" x14ac:dyDescent="0.25">
      <c r="A3126" s="5" t="s">
        <v>863</v>
      </c>
      <c r="B3126" s="5" t="s">
        <v>135</v>
      </c>
      <c r="C3126" s="5" t="s">
        <v>3582</v>
      </c>
      <c r="D3126" s="3">
        <f>VLOOKUP(A3126,airports!A:H,7,FALSE)</f>
        <v>47.482001940000004</v>
      </c>
      <c r="E3126" s="3">
        <f>VLOOKUP(A3126,airports!A:H,8,FALSE)</f>
        <v>-111.37068530000001</v>
      </c>
      <c r="F3126" s="3">
        <f>VLOOKUP(B3126,airports!A:H,7,FALSE)</f>
        <v>40.788387780000001</v>
      </c>
      <c r="G3126" s="3">
        <f>VLOOKUP(B3126,airports!A:H,8,FALSE)</f>
        <v>-111.97777309999999</v>
      </c>
      <c r="H3126">
        <f t="shared" si="96"/>
        <v>745.9</v>
      </c>
      <c r="I3126">
        <f t="shared" si="97"/>
        <v>463.5</v>
      </c>
    </row>
    <row r="3127" spans="1:9" x14ac:dyDescent="0.25">
      <c r="A3127" s="5" t="s">
        <v>521</v>
      </c>
      <c r="B3127" s="5" t="s">
        <v>10</v>
      </c>
      <c r="C3127" s="5" t="s">
        <v>3583</v>
      </c>
      <c r="D3127" s="3">
        <f>VLOOKUP(A3127,airports!A:H,7,FALSE)</f>
        <v>33.450334439999999</v>
      </c>
      <c r="E3127" s="3">
        <f>VLOOKUP(A3127,airports!A:H,8,FALSE)</f>
        <v>-88.591368610000004</v>
      </c>
      <c r="F3127" s="3">
        <f>VLOOKUP(B3127,airports!A:H,7,FALSE)</f>
        <v>33.640444440000003</v>
      </c>
      <c r="G3127" s="3">
        <f>VLOOKUP(B3127,airports!A:H,8,FALSE)</f>
        <v>-84.42694444</v>
      </c>
      <c r="H3127">
        <f t="shared" si="96"/>
        <v>386.5</v>
      </c>
      <c r="I3127">
        <f t="shared" si="97"/>
        <v>240.2</v>
      </c>
    </row>
    <row r="3128" spans="1:9" ht="30" x14ac:dyDescent="0.25">
      <c r="A3128" s="5" t="s">
        <v>2383</v>
      </c>
      <c r="B3128" s="5" t="s">
        <v>47</v>
      </c>
      <c r="C3128" s="5" t="s">
        <v>3584</v>
      </c>
      <c r="D3128" s="3">
        <f>VLOOKUP(A3128,airports!A:H,7,FALSE)</f>
        <v>38.533963329999999</v>
      </c>
      <c r="E3128" s="3">
        <f>VLOOKUP(A3128,airports!A:H,8,FALSE)</f>
        <v>-106.93318170000001</v>
      </c>
      <c r="F3128" s="3">
        <f>VLOOKUP(B3128,airports!A:H,7,FALSE)</f>
        <v>39.858408060000002</v>
      </c>
      <c r="G3128" s="3">
        <f>VLOOKUP(B3128,airports!A:H,8,FALSE)</f>
        <v>-104.6670019</v>
      </c>
      <c r="H3128">
        <f t="shared" si="96"/>
        <v>244.6</v>
      </c>
      <c r="I3128">
        <f t="shared" si="97"/>
        <v>152</v>
      </c>
    </row>
    <row r="3129" spans="1:9" ht="30" x14ac:dyDescent="0.25">
      <c r="A3129" s="5" t="s">
        <v>2383</v>
      </c>
      <c r="B3129" s="5" t="s">
        <v>49</v>
      </c>
      <c r="C3129" s="5" t="s">
        <v>3585</v>
      </c>
      <c r="D3129" s="3">
        <f>VLOOKUP(A3129,airports!A:H,7,FALSE)</f>
        <v>38.533963329999999</v>
      </c>
      <c r="E3129" s="3">
        <f>VLOOKUP(A3129,airports!A:H,8,FALSE)</f>
        <v>-106.93318170000001</v>
      </c>
      <c r="F3129" s="3">
        <f>VLOOKUP(B3129,airports!A:H,7,FALSE)</f>
        <v>32.895950560000003</v>
      </c>
      <c r="G3129" s="3">
        <f>VLOOKUP(B3129,airports!A:H,8,FALSE)</f>
        <v>-97.037199999999999</v>
      </c>
      <c r="H3129">
        <f t="shared" si="96"/>
        <v>1090.4000000000001</v>
      </c>
      <c r="I3129">
        <f t="shared" si="97"/>
        <v>677.6</v>
      </c>
    </row>
    <row r="3130" spans="1:9" ht="30" x14ac:dyDescent="0.25">
      <c r="A3130" s="5" t="s">
        <v>2383</v>
      </c>
      <c r="B3130" s="5" t="s">
        <v>67</v>
      </c>
      <c r="C3130" s="5" t="s">
        <v>3586</v>
      </c>
      <c r="D3130" s="3">
        <f>VLOOKUP(A3130,airports!A:H,7,FALSE)</f>
        <v>38.533963329999999</v>
      </c>
      <c r="E3130" s="3">
        <f>VLOOKUP(A3130,airports!A:H,8,FALSE)</f>
        <v>-106.93318170000001</v>
      </c>
      <c r="F3130" s="3">
        <f>VLOOKUP(B3130,airports!A:H,7,FALSE)</f>
        <v>29.980472219999999</v>
      </c>
      <c r="G3130" s="3">
        <f>VLOOKUP(B3130,airports!A:H,8,FALSE)</f>
        <v>-95.339722219999999</v>
      </c>
      <c r="H3130">
        <f t="shared" si="96"/>
        <v>1426</v>
      </c>
      <c r="I3130">
        <f t="shared" si="97"/>
        <v>886.2</v>
      </c>
    </row>
    <row r="3131" spans="1:9" ht="30" x14ac:dyDescent="0.25">
      <c r="A3131" s="5" t="s">
        <v>3587</v>
      </c>
      <c r="B3131" s="5" t="s">
        <v>360</v>
      </c>
      <c r="C3131" s="5" t="s">
        <v>3588</v>
      </c>
      <c r="D3131" s="3">
        <f>VLOOKUP(A3131,airports!A:H,7,FALSE)</f>
        <v>13.483449999999999</v>
      </c>
      <c r="E3131" s="3">
        <f>VLOOKUP(A3131,airports!A:H,8,FALSE)</f>
        <v>144.79599999999999</v>
      </c>
      <c r="F3131" s="3">
        <f>VLOOKUP(B3131,airports!A:H,7,FALSE)</f>
        <v>21.31869111</v>
      </c>
      <c r="G3131" s="3">
        <f>VLOOKUP(B3131,airports!A:H,8,FALSE)</f>
        <v>-157.92240720000001</v>
      </c>
      <c r="H3131">
        <f t="shared" si="96"/>
        <v>6109.2</v>
      </c>
      <c r="I3131">
        <f t="shared" si="97"/>
        <v>3796.3</v>
      </c>
    </row>
    <row r="3132" spans="1:9" ht="30" x14ac:dyDescent="0.25">
      <c r="A3132" s="5" t="s">
        <v>3587</v>
      </c>
      <c r="B3132" s="5" t="s">
        <v>3589</v>
      </c>
      <c r="C3132" s="5" t="s">
        <v>3590</v>
      </c>
      <c r="D3132" s="3">
        <f>VLOOKUP(A3132,airports!A:H,7,FALSE)</f>
        <v>13.483449999999999</v>
      </c>
      <c r="E3132" s="3">
        <f>VLOOKUP(A3132,airports!A:H,8,FALSE)</f>
        <v>144.79599999999999</v>
      </c>
      <c r="F3132" s="3">
        <f>VLOOKUP(B3132,airports!A:H,7,FALSE)</f>
        <v>14.174300000000001</v>
      </c>
      <c r="G3132" s="3">
        <f>VLOOKUP(B3132,airports!A:H,8,FALSE)</f>
        <v>145.24299600000001</v>
      </c>
      <c r="H3132">
        <f t="shared" si="96"/>
        <v>90.7</v>
      </c>
      <c r="I3132">
        <f t="shared" si="97"/>
        <v>56.4</v>
      </c>
    </row>
    <row r="3133" spans="1:9" ht="30" x14ac:dyDescent="0.25">
      <c r="A3133" s="5" t="s">
        <v>3587</v>
      </c>
      <c r="B3133" s="5" t="s">
        <v>130</v>
      </c>
      <c r="C3133" s="5" t="s">
        <v>3591</v>
      </c>
      <c r="D3133" s="3">
        <f>VLOOKUP(A3133,airports!A:H,7,FALSE)</f>
        <v>13.483449999999999</v>
      </c>
      <c r="E3133" s="3">
        <f>VLOOKUP(A3133,airports!A:H,8,FALSE)</f>
        <v>144.79599999999999</v>
      </c>
      <c r="F3133" s="3">
        <f>VLOOKUP(B3133,airports!A:H,7,FALSE)</f>
        <v>37.619001939999997</v>
      </c>
      <c r="G3133" s="3">
        <f>VLOOKUP(B3133,airports!A:H,8,FALSE)</f>
        <v>-122.37484329999999</v>
      </c>
      <c r="H3133">
        <f t="shared" si="96"/>
        <v>9341.7999999999993</v>
      </c>
      <c r="I3133">
        <f t="shared" si="97"/>
        <v>5805.1</v>
      </c>
    </row>
    <row r="3134" spans="1:9" ht="30" x14ac:dyDescent="0.25">
      <c r="A3134" s="5" t="s">
        <v>3587</v>
      </c>
      <c r="B3134" s="5" t="s">
        <v>3592</v>
      </c>
      <c r="C3134" s="5" t="s">
        <v>3593</v>
      </c>
      <c r="D3134" s="3">
        <f>VLOOKUP(A3134,airports!A:H,7,FALSE)</f>
        <v>13.483449999999999</v>
      </c>
      <c r="E3134" s="3">
        <f>VLOOKUP(A3134,airports!A:H,8,FALSE)</f>
        <v>144.79599999999999</v>
      </c>
      <c r="F3134" s="3">
        <f>VLOOKUP(B3134,airports!A:H,7,FALSE)</f>
        <v>14.996111000000001</v>
      </c>
      <c r="G3134" s="3">
        <f>VLOOKUP(B3134,airports!A:H,8,FALSE)</f>
        <v>145.62138400000001</v>
      </c>
      <c r="H3134">
        <f t="shared" si="96"/>
        <v>190.3</v>
      </c>
      <c r="I3134">
        <f t="shared" si="97"/>
        <v>118.2</v>
      </c>
    </row>
    <row r="3135" spans="1:9" ht="30" x14ac:dyDescent="0.25">
      <c r="A3135" s="5" t="s">
        <v>64</v>
      </c>
      <c r="B3135" s="5" t="s">
        <v>10</v>
      </c>
      <c r="C3135" s="5" t="s">
        <v>3594</v>
      </c>
      <c r="D3135" s="3">
        <f>VLOOKUP(A3135,airports!A:H,7,FALSE)</f>
        <v>40.481180279999997</v>
      </c>
      <c r="E3135" s="3">
        <f>VLOOKUP(A3135,airports!A:H,8,FALSE)</f>
        <v>-107.2176597</v>
      </c>
      <c r="F3135" s="3">
        <f>VLOOKUP(B3135,airports!A:H,7,FALSE)</f>
        <v>33.640444440000003</v>
      </c>
      <c r="G3135" s="3">
        <f>VLOOKUP(B3135,airports!A:H,8,FALSE)</f>
        <v>-84.42694444</v>
      </c>
      <c r="H3135">
        <f t="shared" si="96"/>
        <v>2153</v>
      </c>
      <c r="I3135">
        <f t="shared" si="97"/>
        <v>1337.9</v>
      </c>
    </row>
    <row r="3136" spans="1:9" ht="30" x14ac:dyDescent="0.25">
      <c r="A3136" s="5" t="s">
        <v>64</v>
      </c>
      <c r="B3136" s="5" t="s">
        <v>24</v>
      </c>
      <c r="C3136" s="5" t="s">
        <v>3595</v>
      </c>
      <c r="D3136" s="3">
        <f>VLOOKUP(A3136,airports!A:H,7,FALSE)</f>
        <v>40.481180279999997</v>
      </c>
      <c r="E3136" s="3">
        <f>VLOOKUP(A3136,airports!A:H,8,FALSE)</f>
        <v>-107.2176597</v>
      </c>
      <c r="F3136" s="3">
        <f>VLOOKUP(B3136,airports!A:H,7,FALSE)</f>
        <v>42.364347500000001</v>
      </c>
      <c r="G3136" s="3">
        <f>VLOOKUP(B3136,airports!A:H,8,FALSE)</f>
        <v>-71.005179170000005</v>
      </c>
      <c r="H3136">
        <f t="shared" si="96"/>
        <v>3003.8</v>
      </c>
      <c r="I3136">
        <f t="shared" si="97"/>
        <v>1866.6</v>
      </c>
    </row>
    <row r="3137" spans="1:9" ht="30" x14ac:dyDescent="0.25">
      <c r="A3137" s="5" t="s">
        <v>64</v>
      </c>
      <c r="B3137" s="5" t="s">
        <v>201</v>
      </c>
      <c r="C3137" s="5" t="s">
        <v>3596</v>
      </c>
      <c r="D3137" s="3">
        <f>VLOOKUP(A3137,airports!A:H,7,FALSE)</f>
        <v>40.481180279999997</v>
      </c>
      <c r="E3137" s="3">
        <f>VLOOKUP(A3137,airports!A:H,8,FALSE)</f>
        <v>-107.2176597</v>
      </c>
      <c r="F3137" s="3">
        <f>VLOOKUP(B3137,airports!A:H,7,FALSE)</f>
        <v>32.847113890000003</v>
      </c>
      <c r="G3137" s="3">
        <f>VLOOKUP(B3137,airports!A:H,8,FALSE)</f>
        <v>-96.851772220000001</v>
      </c>
      <c r="H3137">
        <f t="shared" si="96"/>
        <v>1253.5</v>
      </c>
      <c r="I3137">
        <f t="shared" si="97"/>
        <v>778.9</v>
      </c>
    </row>
    <row r="3138" spans="1:9" ht="30" x14ac:dyDescent="0.25">
      <c r="A3138" s="5" t="s">
        <v>64</v>
      </c>
      <c r="B3138" s="5" t="s">
        <v>47</v>
      </c>
      <c r="C3138" s="5" t="s">
        <v>3597</v>
      </c>
      <c r="D3138" s="3">
        <f>VLOOKUP(A3138,airports!A:H,7,FALSE)</f>
        <v>40.481180279999997</v>
      </c>
      <c r="E3138" s="3">
        <f>VLOOKUP(A3138,airports!A:H,8,FALSE)</f>
        <v>-107.2176597</v>
      </c>
      <c r="F3138" s="3">
        <f>VLOOKUP(B3138,airports!A:H,7,FALSE)</f>
        <v>39.858408060000002</v>
      </c>
      <c r="G3138" s="3">
        <f>VLOOKUP(B3138,airports!A:H,8,FALSE)</f>
        <v>-104.6670019</v>
      </c>
      <c r="H3138">
        <f t="shared" si="96"/>
        <v>227.5</v>
      </c>
      <c r="I3138">
        <f t="shared" si="97"/>
        <v>141.4</v>
      </c>
    </row>
    <row r="3139" spans="1:9" ht="30" x14ac:dyDescent="0.25">
      <c r="A3139" s="5" t="s">
        <v>64</v>
      </c>
      <c r="B3139" s="5" t="s">
        <v>49</v>
      </c>
      <c r="C3139" s="5" t="s">
        <v>3598</v>
      </c>
      <c r="D3139" s="3">
        <f>VLOOKUP(A3139,airports!A:H,7,FALSE)</f>
        <v>40.481180279999997</v>
      </c>
      <c r="E3139" s="3">
        <f>VLOOKUP(A3139,airports!A:H,8,FALSE)</f>
        <v>-107.2176597</v>
      </c>
      <c r="F3139" s="3">
        <f>VLOOKUP(B3139,airports!A:H,7,FALSE)</f>
        <v>32.895950560000003</v>
      </c>
      <c r="G3139" s="3">
        <f>VLOOKUP(B3139,airports!A:H,8,FALSE)</f>
        <v>-97.037199999999999</v>
      </c>
      <c r="H3139">
        <f t="shared" si="96"/>
        <v>1237.5</v>
      </c>
      <c r="I3139">
        <f t="shared" si="97"/>
        <v>769</v>
      </c>
    </row>
    <row r="3140" spans="1:9" ht="30" x14ac:dyDescent="0.25">
      <c r="A3140" s="5" t="s">
        <v>64</v>
      </c>
      <c r="B3140" s="5" t="s">
        <v>52</v>
      </c>
      <c r="C3140" s="5" t="s">
        <v>3599</v>
      </c>
      <c r="D3140" s="3">
        <f>VLOOKUP(A3140,airports!A:H,7,FALSE)</f>
        <v>40.481180279999997</v>
      </c>
      <c r="E3140" s="3">
        <f>VLOOKUP(A3140,airports!A:H,8,FALSE)</f>
        <v>-107.2176597</v>
      </c>
      <c r="F3140" s="3">
        <f>VLOOKUP(B3140,airports!A:H,7,FALSE)</f>
        <v>40.69249722</v>
      </c>
      <c r="G3140" s="3">
        <f>VLOOKUP(B3140,airports!A:H,8,FALSE)</f>
        <v>-74.168660560000006</v>
      </c>
      <c r="H3140">
        <f t="shared" ref="H3140:H3203" si="98">ROUND(ACOS(COS(RADIANS(90-D3140)) * COS(RADIANS(90-F3140)) + SIN(RADIANS(90-D3140)) * SIN(RADIANS(90-F3140)) * COS(RADIANS(E3140-G3140))) * 6371,1)</f>
        <v>2774.2</v>
      </c>
      <c r="I3140">
        <f t="shared" ref="I3140:I3203" si="99">ROUND(ACOS(COS(RADIANS(90-D3140)) * COS(RADIANS(90-F3140)) + SIN(RADIANS(90-D3140)) * SIN(RADIANS(90-F3140)) * COS(RADIANS(E3140-G3140))) * 3959,1)</f>
        <v>1723.9</v>
      </c>
    </row>
    <row r="3141" spans="1:9" ht="30" x14ac:dyDescent="0.25">
      <c r="A3141" s="5" t="s">
        <v>64</v>
      </c>
      <c r="B3141" s="5" t="s">
        <v>57</v>
      </c>
      <c r="C3141" s="5" t="s">
        <v>3600</v>
      </c>
      <c r="D3141" s="3">
        <f>VLOOKUP(A3141,airports!A:H,7,FALSE)</f>
        <v>40.481180279999997</v>
      </c>
      <c r="E3141" s="3">
        <f>VLOOKUP(A3141,airports!A:H,8,FALSE)</f>
        <v>-107.2176597</v>
      </c>
      <c r="F3141" s="3">
        <f>VLOOKUP(B3141,airports!A:H,7,FALSE)</f>
        <v>26.072583330000001</v>
      </c>
      <c r="G3141" s="3">
        <f>VLOOKUP(B3141,airports!A:H,8,FALSE)</f>
        <v>-80.152749999999997</v>
      </c>
      <c r="H3141">
        <f t="shared" si="98"/>
        <v>2963.8</v>
      </c>
      <c r="I3141">
        <f t="shared" si="99"/>
        <v>1841.8</v>
      </c>
    </row>
    <row r="3142" spans="1:9" ht="30" x14ac:dyDescent="0.25">
      <c r="A3142" s="5" t="s">
        <v>64</v>
      </c>
      <c r="B3142" s="5" t="s">
        <v>205</v>
      </c>
      <c r="C3142" s="5" t="s">
        <v>3601</v>
      </c>
      <c r="D3142" s="3">
        <f>VLOOKUP(A3142,airports!A:H,7,FALSE)</f>
        <v>40.481180279999997</v>
      </c>
      <c r="E3142" s="3">
        <f>VLOOKUP(A3142,airports!A:H,8,FALSE)</f>
        <v>-107.2176597</v>
      </c>
      <c r="F3142" s="3">
        <f>VLOOKUP(B3142,airports!A:H,7,FALSE)</f>
        <v>29.64541861</v>
      </c>
      <c r="G3142" s="3">
        <f>VLOOKUP(B3142,airports!A:H,8,FALSE)</f>
        <v>-95.278888890000005</v>
      </c>
      <c r="H3142">
        <f t="shared" si="98"/>
        <v>1619.4</v>
      </c>
      <c r="I3142">
        <f t="shared" si="99"/>
        <v>1006.3</v>
      </c>
    </row>
    <row r="3143" spans="1:9" ht="30" x14ac:dyDescent="0.25">
      <c r="A3143" s="5" t="s">
        <v>64</v>
      </c>
      <c r="B3143" s="5" t="s">
        <v>176</v>
      </c>
      <c r="C3143" s="5" t="s">
        <v>3602</v>
      </c>
      <c r="D3143" s="3">
        <f>VLOOKUP(A3143,airports!A:H,7,FALSE)</f>
        <v>40.481180279999997</v>
      </c>
      <c r="E3143" s="3">
        <f>VLOOKUP(A3143,airports!A:H,8,FALSE)</f>
        <v>-107.2176597</v>
      </c>
      <c r="F3143" s="3">
        <f>VLOOKUP(B3143,airports!A:H,7,FALSE)</f>
        <v>38.944531939999997</v>
      </c>
      <c r="G3143" s="3">
        <f>VLOOKUP(B3143,airports!A:H,8,FALSE)</f>
        <v>-77.455809720000005</v>
      </c>
      <c r="H3143">
        <f t="shared" si="98"/>
        <v>2539.4</v>
      </c>
      <c r="I3143">
        <f t="shared" si="99"/>
        <v>1578</v>
      </c>
    </row>
    <row r="3144" spans="1:9" ht="30" x14ac:dyDescent="0.25">
      <c r="A3144" s="5" t="s">
        <v>64</v>
      </c>
      <c r="B3144" s="5" t="s">
        <v>67</v>
      </c>
      <c r="C3144" s="5" t="s">
        <v>3603</v>
      </c>
      <c r="D3144" s="3">
        <f>VLOOKUP(A3144,airports!A:H,7,FALSE)</f>
        <v>40.481180279999997</v>
      </c>
      <c r="E3144" s="3">
        <f>VLOOKUP(A3144,airports!A:H,8,FALSE)</f>
        <v>-107.2176597</v>
      </c>
      <c r="F3144" s="3">
        <f>VLOOKUP(B3144,airports!A:H,7,FALSE)</f>
        <v>29.980472219999999</v>
      </c>
      <c r="G3144" s="3">
        <f>VLOOKUP(B3144,airports!A:H,8,FALSE)</f>
        <v>-95.339722219999999</v>
      </c>
      <c r="H3144">
        <f t="shared" si="98"/>
        <v>1586.7</v>
      </c>
      <c r="I3144">
        <f t="shared" si="99"/>
        <v>986</v>
      </c>
    </row>
    <row r="3145" spans="1:9" ht="30" x14ac:dyDescent="0.25">
      <c r="A3145" s="5" t="s">
        <v>64</v>
      </c>
      <c r="B3145" s="5" t="s">
        <v>69</v>
      </c>
      <c r="C3145" s="5" t="s">
        <v>3604</v>
      </c>
      <c r="D3145" s="3">
        <f>VLOOKUP(A3145,airports!A:H,7,FALSE)</f>
        <v>40.481180279999997</v>
      </c>
      <c r="E3145" s="3">
        <f>VLOOKUP(A3145,airports!A:H,8,FALSE)</f>
        <v>-107.2176597</v>
      </c>
      <c r="F3145" s="3">
        <f>VLOOKUP(B3145,airports!A:H,7,FALSE)</f>
        <v>40.639751109999999</v>
      </c>
      <c r="G3145" s="3">
        <f>VLOOKUP(B3145,airports!A:H,8,FALSE)</f>
        <v>-73.778925560000005</v>
      </c>
      <c r="H3145">
        <f t="shared" si="98"/>
        <v>2807.6</v>
      </c>
      <c r="I3145">
        <f t="shared" si="99"/>
        <v>1744.7</v>
      </c>
    </row>
    <row r="3146" spans="1:9" ht="30" x14ac:dyDescent="0.25">
      <c r="A3146" s="5" t="s">
        <v>64</v>
      </c>
      <c r="B3146" s="5" t="s">
        <v>73</v>
      </c>
      <c r="C3146" s="5" t="s">
        <v>3605</v>
      </c>
      <c r="D3146" s="3">
        <f>VLOOKUP(A3146,airports!A:H,7,FALSE)</f>
        <v>40.481180279999997</v>
      </c>
      <c r="E3146" s="3">
        <f>VLOOKUP(A3146,airports!A:H,8,FALSE)</f>
        <v>-107.2176597</v>
      </c>
      <c r="F3146" s="3">
        <f>VLOOKUP(B3146,airports!A:H,7,FALSE)</f>
        <v>33.942536109999999</v>
      </c>
      <c r="G3146" s="3">
        <f>VLOOKUP(B3146,airports!A:H,8,FALSE)</f>
        <v>-118.4080744</v>
      </c>
      <c r="H3146">
        <f t="shared" si="98"/>
        <v>1227.4000000000001</v>
      </c>
      <c r="I3146">
        <f t="shared" si="99"/>
        <v>762.7</v>
      </c>
    </row>
    <row r="3147" spans="1:9" ht="30" x14ac:dyDescent="0.25">
      <c r="A3147" s="5" t="s">
        <v>64</v>
      </c>
      <c r="B3147" s="5" t="s">
        <v>742</v>
      </c>
      <c r="C3147" s="5" t="s">
        <v>3606</v>
      </c>
      <c r="D3147" s="3">
        <f>VLOOKUP(A3147,airports!A:H,7,FALSE)</f>
        <v>40.481180279999997</v>
      </c>
      <c r="E3147" s="3">
        <f>VLOOKUP(A3147,airports!A:H,8,FALSE)</f>
        <v>-107.2176597</v>
      </c>
      <c r="F3147" s="3">
        <f>VLOOKUP(B3147,airports!A:H,7,FALSE)</f>
        <v>33.81772222</v>
      </c>
      <c r="G3147" s="3">
        <f>VLOOKUP(B3147,airports!A:H,8,FALSE)</f>
        <v>-118.1516111</v>
      </c>
      <c r="H3147">
        <f t="shared" si="98"/>
        <v>1218.3</v>
      </c>
      <c r="I3147">
        <f t="shared" si="99"/>
        <v>757</v>
      </c>
    </row>
    <row r="3148" spans="1:9" ht="30" x14ac:dyDescent="0.25">
      <c r="A3148" s="5" t="s">
        <v>64</v>
      </c>
      <c r="B3148" s="5" t="s">
        <v>87</v>
      </c>
      <c r="C3148" s="5" t="s">
        <v>3607</v>
      </c>
      <c r="D3148" s="3">
        <f>VLOOKUP(A3148,airports!A:H,7,FALSE)</f>
        <v>40.481180279999997</v>
      </c>
      <c r="E3148" s="3">
        <f>VLOOKUP(A3148,airports!A:H,8,FALSE)</f>
        <v>-107.2176597</v>
      </c>
      <c r="F3148" s="3">
        <f>VLOOKUP(B3148,airports!A:H,7,FALSE)</f>
        <v>44.880546940000002</v>
      </c>
      <c r="G3148" s="3">
        <f>VLOOKUP(B3148,airports!A:H,8,FALSE)</f>
        <v>-93.216922499999995</v>
      </c>
      <c r="H3148">
        <f t="shared" si="98"/>
        <v>1242.5</v>
      </c>
      <c r="I3148">
        <f t="shared" si="99"/>
        <v>772.1</v>
      </c>
    </row>
    <row r="3149" spans="1:9" ht="30" x14ac:dyDescent="0.25">
      <c r="A3149" s="5" t="s">
        <v>64</v>
      </c>
      <c r="B3149" s="5" t="s">
        <v>95</v>
      </c>
      <c r="C3149" s="5" t="s">
        <v>3608</v>
      </c>
      <c r="D3149" s="3">
        <f>VLOOKUP(A3149,airports!A:H,7,FALSE)</f>
        <v>40.481180279999997</v>
      </c>
      <c r="E3149" s="3">
        <f>VLOOKUP(A3149,airports!A:H,8,FALSE)</f>
        <v>-107.2176597</v>
      </c>
      <c r="F3149" s="3">
        <f>VLOOKUP(B3149,airports!A:H,7,FALSE)</f>
        <v>41.979595000000003</v>
      </c>
      <c r="G3149" s="3">
        <f>VLOOKUP(B3149,airports!A:H,8,FALSE)</f>
        <v>-87.904464169999997</v>
      </c>
      <c r="H3149">
        <f t="shared" si="98"/>
        <v>1620.2</v>
      </c>
      <c r="I3149">
        <f t="shared" si="99"/>
        <v>1006.8</v>
      </c>
    </row>
    <row r="3150" spans="1:9" ht="30" x14ac:dyDescent="0.25">
      <c r="A3150" s="5" t="s">
        <v>64</v>
      </c>
      <c r="B3150" s="5" t="s">
        <v>124</v>
      </c>
      <c r="C3150" s="5" t="s">
        <v>3609</v>
      </c>
      <c r="D3150" s="3">
        <f>VLOOKUP(A3150,airports!A:H,7,FALSE)</f>
        <v>40.481180279999997</v>
      </c>
      <c r="E3150" s="3">
        <f>VLOOKUP(A3150,airports!A:H,8,FALSE)</f>
        <v>-107.2176597</v>
      </c>
      <c r="F3150" s="3">
        <f>VLOOKUP(B3150,airports!A:H,7,FALSE)</f>
        <v>32.733556110000002</v>
      </c>
      <c r="G3150" s="3">
        <f>VLOOKUP(B3150,airports!A:H,8,FALSE)</f>
        <v>-117.1896567</v>
      </c>
      <c r="H3150">
        <f t="shared" si="98"/>
        <v>1237.2</v>
      </c>
      <c r="I3150">
        <f t="shared" si="99"/>
        <v>768.8</v>
      </c>
    </row>
    <row r="3151" spans="1:9" ht="30" x14ac:dyDescent="0.25">
      <c r="A3151" s="5" t="s">
        <v>64</v>
      </c>
      <c r="B3151" s="5" t="s">
        <v>128</v>
      </c>
      <c r="C3151" s="5" t="s">
        <v>3610</v>
      </c>
      <c r="D3151" s="3">
        <f>VLOOKUP(A3151,airports!A:H,7,FALSE)</f>
        <v>40.481180279999997</v>
      </c>
      <c r="E3151" s="3">
        <f>VLOOKUP(A3151,airports!A:H,8,FALSE)</f>
        <v>-107.2176597</v>
      </c>
      <c r="F3151" s="3">
        <f>VLOOKUP(B3151,airports!A:H,7,FALSE)</f>
        <v>47.448981940000003</v>
      </c>
      <c r="G3151" s="3">
        <f>VLOOKUP(B3151,airports!A:H,8,FALSE)</f>
        <v>-122.3093131</v>
      </c>
      <c r="H3151">
        <f t="shared" si="98"/>
        <v>1431.2</v>
      </c>
      <c r="I3151">
        <f t="shared" si="99"/>
        <v>889.4</v>
      </c>
    </row>
    <row r="3152" spans="1:9" ht="30" x14ac:dyDescent="0.25">
      <c r="A3152" s="5" t="s">
        <v>64</v>
      </c>
      <c r="B3152" s="5" t="s">
        <v>130</v>
      </c>
      <c r="C3152" s="5" t="s">
        <v>3611</v>
      </c>
      <c r="D3152" s="3">
        <f>VLOOKUP(A3152,airports!A:H,7,FALSE)</f>
        <v>40.481180279999997</v>
      </c>
      <c r="E3152" s="3">
        <f>VLOOKUP(A3152,airports!A:H,8,FALSE)</f>
        <v>-107.2176597</v>
      </c>
      <c r="F3152" s="3">
        <f>VLOOKUP(B3152,airports!A:H,7,FALSE)</f>
        <v>37.619001939999997</v>
      </c>
      <c r="G3152" s="3">
        <f>VLOOKUP(B3152,airports!A:H,8,FALSE)</f>
        <v>-122.37484329999999</v>
      </c>
      <c r="H3152">
        <f t="shared" si="98"/>
        <v>1345.1</v>
      </c>
      <c r="I3152">
        <f t="shared" si="99"/>
        <v>835.9</v>
      </c>
    </row>
    <row r="3153" spans="1:9" ht="30" x14ac:dyDescent="0.25">
      <c r="A3153" s="5" t="s">
        <v>3612</v>
      </c>
      <c r="B3153" s="5" t="s">
        <v>182</v>
      </c>
      <c r="C3153" s="5" t="s">
        <v>3613</v>
      </c>
      <c r="D3153" s="3">
        <f>VLOOKUP(A3153,airports!A:H,7,FALSE)</f>
        <v>39.707901</v>
      </c>
      <c r="E3153" s="3">
        <f>VLOOKUP(A3153,airports!A:H,8,FALSE)</f>
        <v>-77.729499820000001</v>
      </c>
      <c r="F3153" s="3">
        <f>VLOOKUP(B3153,airports!A:H,7,FALSE)</f>
        <v>33.679749999999999</v>
      </c>
      <c r="G3153" s="3">
        <f>VLOOKUP(B3153,airports!A:H,8,FALSE)</f>
        <v>-78.928333330000001</v>
      </c>
      <c r="H3153">
        <f t="shared" si="98"/>
        <v>678.7</v>
      </c>
      <c r="I3153">
        <f t="shared" si="99"/>
        <v>421.8</v>
      </c>
    </row>
    <row r="3154" spans="1:9" x14ac:dyDescent="0.25">
      <c r="A3154" s="5" t="s">
        <v>3612</v>
      </c>
      <c r="B3154" s="5" t="s">
        <v>188</v>
      </c>
      <c r="C3154" s="5" t="s">
        <v>3614</v>
      </c>
      <c r="D3154" s="3">
        <f>VLOOKUP(A3154,airports!A:H,7,FALSE)</f>
        <v>39.707901</v>
      </c>
      <c r="E3154" s="3">
        <f>VLOOKUP(A3154,airports!A:H,8,FALSE)</f>
        <v>-77.729499820000001</v>
      </c>
      <c r="F3154" s="3">
        <f>VLOOKUP(B3154,airports!A:H,7,FALSE)</f>
        <v>27.910763330000002</v>
      </c>
      <c r="G3154" s="3">
        <f>VLOOKUP(B3154,airports!A:H,8,FALSE)</f>
        <v>-82.687439440000006</v>
      </c>
      <c r="H3154">
        <f t="shared" si="98"/>
        <v>1388.8</v>
      </c>
      <c r="I3154">
        <f t="shared" si="99"/>
        <v>863</v>
      </c>
    </row>
    <row r="3155" spans="1:9" ht="30" x14ac:dyDescent="0.25">
      <c r="A3155" s="5" t="s">
        <v>3612</v>
      </c>
      <c r="B3155" s="5" t="s">
        <v>191</v>
      </c>
      <c r="C3155" s="5" t="s">
        <v>3615</v>
      </c>
      <c r="D3155" s="3">
        <f>VLOOKUP(A3155,airports!A:H,7,FALSE)</f>
        <v>39.707901</v>
      </c>
      <c r="E3155" s="3">
        <f>VLOOKUP(A3155,airports!A:H,8,FALSE)</f>
        <v>-77.729499820000001</v>
      </c>
      <c r="F3155" s="3">
        <f>VLOOKUP(B3155,airports!A:H,7,FALSE)</f>
        <v>28.7776</v>
      </c>
      <c r="G3155" s="3">
        <f>VLOOKUP(B3155,airports!A:H,8,FALSE)</f>
        <v>-81.237499999999997</v>
      </c>
      <c r="H3155">
        <f t="shared" si="98"/>
        <v>1257.0999999999999</v>
      </c>
      <c r="I3155">
        <f t="shared" si="99"/>
        <v>781.2</v>
      </c>
    </row>
    <row r="3156" spans="1:9" ht="30" x14ac:dyDescent="0.25">
      <c r="A3156" s="5" t="s">
        <v>524</v>
      </c>
      <c r="B3156" s="5" t="s">
        <v>10</v>
      </c>
      <c r="C3156" s="5" t="s">
        <v>3616</v>
      </c>
      <c r="D3156" s="3">
        <f>VLOOKUP(A3156,airports!A:H,7,FALSE)</f>
        <v>32.224399566700001</v>
      </c>
      <c r="E3156" s="3">
        <f>VLOOKUP(A3156,airports!A:H,8,FALSE)</f>
        <v>-80.697502136200001</v>
      </c>
      <c r="F3156" s="3">
        <f>VLOOKUP(B3156,airports!A:H,7,FALSE)</f>
        <v>33.640444440000003</v>
      </c>
      <c r="G3156" s="3">
        <f>VLOOKUP(B3156,airports!A:H,8,FALSE)</f>
        <v>-84.42694444</v>
      </c>
      <c r="H3156">
        <f t="shared" si="98"/>
        <v>382</v>
      </c>
      <c r="I3156">
        <f t="shared" si="99"/>
        <v>237.4</v>
      </c>
    </row>
    <row r="3157" spans="1:9" ht="30" x14ac:dyDescent="0.25">
      <c r="A3157" s="5" t="s">
        <v>524</v>
      </c>
      <c r="B3157" s="5" t="s">
        <v>24</v>
      </c>
      <c r="C3157" s="5" t="s">
        <v>3617</v>
      </c>
      <c r="D3157" s="3">
        <f>VLOOKUP(A3157,airports!A:H,7,FALSE)</f>
        <v>32.224399566700001</v>
      </c>
      <c r="E3157" s="3">
        <f>VLOOKUP(A3157,airports!A:H,8,FALSE)</f>
        <v>-80.697502136200001</v>
      </c>
      <c r="F3157" s="3">
        <f>VLOOKUP(B3157,airports!A:H,7,FALSE)</f>
        <v>42.364347500000001</v>
      </c>
      <c r="G3157" s="3">
        <f>VLOOKUP(B3157,airports!A:H,8,FALSE)</f>
        <v>-71.005179170000005</v>
      </c>
      <c r="H3157">
        <f t="shared" si="98"/>
        <v>1414.4</v>
      </c>
      <c r="I3157">
        <f t="shared" si="99"/>
        <v>878.9</v>
      </c>
    </row>
    <row r="3158" spans="1:9" ht="30" x14ac:dyDescent="0.25">
      <c r="A3158" s="5" t="s">
        <v>524</v>
      </c>
      <c r="B3158" s="5" t="s">
        <v>38</v>
      </c>
      <c r="C3158" s="5" t="s">
        <v>3618</v>
      </c>
      <c r="D3158" s="3">
        <f>VLOOKUP(A3158,airports!A:H,7,FALSE)</f>
        <v>32.224399566700001</v>
      </c>
      <c r="E3158" s="3">
        <f>VLOOKUP(A3158,airports!A:H,8,FALSE)</f>
        <v>-80.697502136200001</v>
      </c>
      <c r="F3158" s="3">
        <f>VLOOKUP(B3158,airports!A:H,7,FALSE)</f>
        <v>41.410894169999999</v>
      </c>
      <c r="G3158" s="3">
        <f>VLOOKUP(B3158,airports!A:H,8,FALSE)</f>
        <v>-81.849396670000004</v>
      </c>
      <c r="H3158">
        <f t="shared" si="98"/>
        <v>1026.5999999999999</v>
      </c>
      <c r="I3158">
        <f t="shared" si="99"/>
        <v>637.9</v>
      </c>
    </row>
    <row r="3159" spans="1:9" ht="30" x14ac:dyDescent="0.25">
      <c r="A3159" s="5" t="s">
        <v>524</v>
      </c>
      <c r="B3159" s="5" t="s">
        <v>40</v>
      </c>
      <c r="C3159" s="5" t="s">
        <v>3619</v>
      </c>
      <c r="D3159" s="3">
        <f>VLOOKUP(A3159,airports!A:H,7,FALSE)</f>
        <v>32.224399566700001</v>
      </c>
      <c r="E3159" s="3">
        <f>VLOOKUP(A3159,airports!A:H,8,FALSE)</f>
        <v>-80.697502136200001</v>
      </c>
      <c r="F3159" s="3">
        <f>VLOOKUP(B3159,airports!A:H,7,FALSE)</f>
        <v>35.214011110000001</v>
      </c>
      <c r="G3159" s="3">
        <f>VLOOKUP(B3159,airports!A:H,8,FALSE)</f>
        <v>-80.94312583</v>
      </c>
      <c r="H3159">
        <f t="shared" si="98"/>
        <v>333.2</v>
      </c>
      <c r="I3159">
        <f t="shared" si="99"/>
        <v>207.1</v>
      </c>
    </row>
    <row r="3160" spans="1:9" ht="30" x14ac:dyDescent="0.25">
      <c r="A3160" s="5" t="s">
        <v>524</v>
      </c>
      <c r="B3160" s="5" t="s">
        <v>454</v>
      </c>
      <c r="C3160" s="5" t="s">
        <v>3620</v>
      </c>
      <c r="D3160" s="3">
        <f>VLOOKUP(A3160,airports!A:H,7,FALSE)</f>
        <v>32.224399566700001</v>
      </c>
      <c r="E3160" s="3">
        <f>VLOOKUP(A3160,airports!A:H,8,FALSE)</f>
        <v>-80.697502136200001</v>
      </c>
      <c r="F3160" s="3">
        <f>VLOOKUP(B3160,airports!A:H,7,FALSE)</f>
        <v>39.997985280000002</v>
      </c>
      <c r="G3160" s="3">
        <f>VLOOKUP(B3160,airports!A:H,8,FALSE)</f>
        <v>-82.891882780000003</v>
      </c>
      <c r="H3160">
        <f t="shared" si="98"/>
        <v>886.5</v>
      </c>
      <c r="I3160">
        <f t="shared" si="99"/>
        <v>550.9</v>
      </c>
    </row>
    <row r="3161" spans="1:9" ht="30" x14ac:dyDescent="0.25">
      <c r="A3161" s="5" t="s">
        <v>524</v>
      </c>
      <c r="B3161" s="5" t="s">
        <v>462</v>
      </c>
      <c r="C3161" s="5" t="s">
        <v>3621</v>
      </c>
      <c r="D3161" s="3">
        <f>VLOOKUP(A3161,airports!A:H,7,FALSE)</f>
        <v>32.224399566700001</v>
      </c>
      <c r="E3161" s="3">
        <f>VLOOKUP(A3161,airports!A:H,8,FALSE)</f>
        <v>-80.697502136200001</v>
      </c>
      <c r="F3161" s="3">
        <f>VLOOKUP(B3161,airports!A:H,7,FALSE)</f>
        <v>39.046142779999997</v>
      </c>
      <c r="G3161" s="3">
        <f>VLOOKUP(B3161,airports!A:H,8,FALSE)</f>
        <v>-84.662172499999997</v>
      </c>
      <c r="H3161">
        <f t="shared" si="98"/>
        <v>838.7</v>
      </c>
      <c r="I3161">
        <f t="shared" si="99"/>
        <v>521.20000000000005</v>
      </c>
    </row>
    <row r="3162" spans="1:9" ht="30" x14ac:dyDescent="0.25">
      <c r="A3162" s="5" t="s">
        <v>524</v>
      </c>
      <c r="B3162" s="5" t="s">
        <v>45</v>
      </c>
      <c r="C3162" s="5" t="s">
        <v>3622</v>
      </c>
      <c r="D3162" s="3">
        <f>VLOOKUP(A3162,airports!A:H,7,FALSE)</f>
        <v>32.224399566700001</v>
      </c>
      <c r="E3162" s="3">
        <f>VLOOKUP(A3162,airports!A:H,8,FALSE)</f>
        <v>-80.697502136200001</v>
      </c>
      <c r="F3162" s="3">
        <f>VLOOKUP(B3162,airports!A:H,7,FALSE)</f>
        <v>38.852083329999999</v>
      </c>
      <c r="G3162" s="3">
        <f>VLOOKUP(B3162,airports!A:H,8,FALSE)</f>
        <v>-77.037722220000006</v>
      </c>
      <c r="H3162">
        <f t="shared" si="98"/>
        <v>807.7</v>
      </c>
      <c r="I3162">
        <f t="shared" si="99"/>
        <v>501.9</v>
      </c>
    </row>
    <row r="3163" spans="1:9" ht="30" x14ac:dyDescent="0.25">
      <c r="A3163" s="5" t="s">
        <v>524</v>
      </c>
      <c r="B3163" s="5" t="s">
        <v>49</v>
      </c>
      <c r="C3163" s="5" t="s">
        <v>3623</v>
      </c>
      <c r="D3163" s="3">
        <f>VLOOKUP(A3163,airports!A:H,7,FALSE)</f>
        <v>32.224399566700001</v>
      </c>
      <c r="E3163" s="3">
        <f>VLOOKUP(A3163,airports!A:H,8,FALSE)</f>
        <v>-80.697502136200001</v>
      </c>
      <c r="F3163" s="3">
        <f>VLOOKUP(B3163,airports!A:H,7,FALSE)</f>
        <v>32.895950560000003</v>
      </c>
      <c r="G3163" s="3">
        <f>VLOOKUP(B3163,airports!A:H,8,FALSE)</f>
        <v>-97.037199999999999</v>
      </c>
      <c r="H3163">
        <f t="shared" si="98"/>
        <v>1531.6</v>
      </c>
      <c r="I3163">
        <f t="shared" si="99"/>
        <v>951.8</v>
      </c>
    </row>
    <row r="3164" spans="1:9" ht="30" x14ac:dyDescent="0.25">
      <c r="A3164" s="5" t="s">
        <v>524</v>
      </c>
      <c r="B3164" s="5" t="s">
        <v>52</v>
      </c>
      <c r="C3164" s="5" t="s">
        <v>3624</v>
      </c>
      <c r="D3164" s="3">
        <f>VLOOKUP(A3164,airports!A:H,7,FALSE)</f>
        <v>32.224399566700001</v>
      </c>
      <c r="E3164" s="3">
        <f>VLOOKUP(A3164,airports!A:H,8,FALSE)</f>
        <v>-80.697502136200001</v>
      </c>
      <c r="F3164" s="3">
        <f>VLOOKUP(B3164,airports!A:H,7,FALSE)</f>
        <v>40.69249722</v>
      </c>
      <c r="G3164" s="3">
        <f>VLOOKUP(B3164,airports!A:H,8,FALSE)</f>
        <v>-74.168660560000006</v>
      </c>
      <c r="H3164">
        <f t="shared" si="98"/>
        <v>1107.2</v>
      </c>
      <c r="I3164">
        <f t="shared" si="99"/>
        <v>688</v>
      </c>
    </row>
    <row r="3165" spans="1:9" ht="30" x14ac:dyDescent="0.25">
      <c r="A3165" s="5" t="s">
        <v>524</v>
      </c>
      <c r="B3165" s="5" t="s">
        <v>176</v>
      </c>
      <c r="C3165" s="5" t="s">
        <v>3625</v>
      </c>
      <c r="D3165" s="3">
        <f>VLOOKUP(A3165,airports!A:H,7,FALSE)</f>
        <v>32.224399566700001</v>
      </c>
      <c r="E3165" s="3">
        <f>VLOOKUP(A3165,airports!A:H,8,FALSE)</f>
        <v>-80.697502136200001</v>
      </c>
      <c r="F3165" s="3">
        <f>VLOOKUP(B3165,airports!A:H,7,FALSE)</f>
        <v>38.944531939999997</v>
      </c>
      <c r="G3165" s="3">
        <f>VLOOKUP(B3165,airports!A:H,8,FALSE)</f>
        <v>-77.455809720000005</v>
      </c>
      <c r="H3165">
        <f t="shared" si="98"/>
        <v>802.5</v>
      </c>
      <c r="I3165">
        <f t="shared" si="99"/>
        <v>498.7</v>
      </c>
    </row>
    <row r="3166" spans="1:9" ht="30" x14ac:dyDescent="0.25">
      <c r="A3166" s="5" t="s">
        <v>524</v>
      </c>
      <c r="B3166" s="5" t="s">
        <v>537</v>
      </c>
      <c r="C3166" s="5" t="s">
        <v>3626</v>
      </c>
      <c r="D3166" s="3">
        <f>VLOOKUP(A3166,airports!A:H,7,FALSE)</f>
        <v>32.224399566700001</v>
      </c>
      <c r="E3166" s="3">
        <f>VLOOKUP(A3166,airports!A:H,8,FALSE)</f>
        <v>-80.697502136200001</v>
      </c>
      <c r="F3166" s="3">
        <f>VLOOKUP(B3166,airports!A:H,7,FALSE)</f>
        <v>39.717329169999999</v>
      </c>
      <c r="G3166" s="3">
        <f>VLOOKUP(B3166,airports!A:H,8,FALSE)</f>
        <v>-86.294384170000001</v>
      </c>
      <c r="H3166">
        <f t="shared" si="98"/>
        <v>973.1</v>
      </c>
      <c r="I3166">
        <f t="shared" si="99"/>
        <v>604.70000000000005</v>
      </c>
    </row>
    <row r="3167" spans="1:9" ht="30" x14ac:dyDescent="0.25">
      <c r="A3167" s="5" t="s">
        <v>524</v>
      </c>
      <c r="B3167" s="5" t="s">
        <v>74</v>
      </c>
      <c r="C3167" s="5" t="s">
        <v>3627</v>
      </c>
      <c r="D3167" s="3">
        <f>VLOOKUP(A3167,airports!A:H,7,FALSE)</f>
        <v>32.224399566700001</v>
      </c>
      <c r="E3167" s="3">
        <f>VLOOKUP(A3167,airports!A:H,8,FALSE)</f>
        <v>-80.697502136200001</v>
      </c>
      <c r="F3167" s="3">
        <f>VLOOKUP(B3167,airports!A:H,7,FALSE)</f>
        <v>40.777243060000004</v>
      </c>
      <c r="G3167" s="3">
        <f>VLOOKUP(B3167,airports!A:H,8,FALSE)</f>
        <v>-73.872609170000004</v>
      </c>
      <c r="H3167">
        <f t="shared" si="98"/>
        <v>1129</v>
      </c>
      <c r="I3167">
        <f t="shared" si="99"/>
        <v>701.6</v>
      </c>
    </row>
    <row r="3168" spans="1:9" ht="30" x14ac:dyDescent="0.25">
      <c r="A3168" s="5" t="s">
        <v>524</v>
      </c>
      <c r="B3168" s="5" t="s">
        <v>95</v>
      </c>
      <c r="C3168" s="5" t="s">
        <v>3628</v>
      </c>
      <c r="D3168" s="3">
        <f>VLOOKUP(A3168,airports!A:H,7,FALSE)</f>
        <v>32.224399566700001</v>
      </c>
      <c r="E3168" s="3">
        <f>VLOOKUP(A3168,airports!A:H,8,FALSE)</f>
        <v>-80.697502136200001</v>
      </c>
      <c r="F3168" s="3">
        <f>VLOOKUP(B3168,airports!A:H,7,FALSE)</f>
        <v>41.979595000000003</v>
      </c>
      <c r="G3168" s="3">
        <f>VLOOKUP(B3168,airports!A:H,8,FALSE)</f>
        <v>-87.904464169999997</v>
      </c>
      <c r="H3168">
        <f t="shared" si="98"/>
        <v>1257.9000000000001</v>
      </c>
      <c r="I3168">
        <f t="shared" si="99"/>
        <v>781.7</v>
      </c>
    </row>
    <row r="3169" spans="1:9" ht="30" x14ac:dyDescent="0.25">
      <c r="A3169" s="5" t="s">
        <v>524</v>
      </c>
      <c r="B3169" s="5" t="s">
        <v>102</v>
      </c>
      <c r="C3169" s="5" t="s">
        <v>3629</v>
      </c>
      <c r="D3169" s="3">
        <f>VLOOKUP(A3169,airports!A:H,7,FALSE)</f>
        <v>32.224399566700001</v>
      </c>
      <c r="E3169" s="3">
        <f>VLOOKUP(A3169,airports!A:H,8,FALSE)</f>
        <v>-80.697502136200001</v>
      </c>
      <c r="F3169" s="3">
        <f>VLOOKUP(B3169,airports!A:H,7,FALSE)</f>
        <v>39.871952780000001</v>
      </c>
      <c r="G3169" s="3">
        <f>VLOOKUP(B3169,airports!A:H,8,FALSE)</f>
        <v>-75.241140830000006</v>
      </c>
      <c r="H3169">
        <f t="shared" si="98"/>
        <v>981.2</v>
      </c>
      <c r="I3169">
        <f t="shared" si="99"/>
        <v>609.70000000000005</v>
      </c>
    </row>
    <row r="3170" spans="1:9" x14ac:dyDescent="0.25">
      <c r="A3170" s="5" t="s">
        <v>524</v>
      </c>
      <c r="B3170" s="5" t="s">
        <v>106</v>
      </c>
      <c r="C3170" s="5" t="s">
        <v>3630</v>
      </c>
      <c r="D3170" s="3">
        <f>VLOOKUP(A3170,airports!A:H,7,FALSE)</f>
        <v>32.224399566700001</v>
      </c>
      <c r="E3170" s="3">
        <f>VLOOKUP(A3170,airports!A:H,8,FALSE)</f>
        <v>-80.697502136200001</v>
      </c>
      <c r="F3170" s="3">
        <f>VLOOKUP(B3170,airports!A:H,7,FALSE)</f>
        <v>40.491465830000003</v>
      </c>
      <c r="G3170" s="3">
        <f>VLOOKUP(B3170,airports!A:H,8,FALSE)</f>
        <v>-80.232870829999996</v>
      </c>
      <c r="H3170">
        <f t="shared" si="98"/>
        <v>920.2</v>
      </c>
      <c r="I3170">
        <f t="shared" si="99"/>
        <v>571.79999999999995</v>
      </c>
    </row>
    <row r="3171" spans="1:9" ht="30" x14ac:dyDescent="0.25">
      <c r="A3171" s="5" t="s">
        <v>524</v>
      </c>
      <c r="B3171" s="5" t="s">
        <v>126</v>
      </c>
      <c r="C3171" s="5" t="s">
        <v>3631</v>
      </c>
      <c r="D3171" s="3">
        <f>VLOOKUP(A3171,airports!A:H,7,FALSE)</f>
        <v>32.224399566700001</v>
      </c>
      <c r="E3171" s="3">
        <f>VLOOKUP(A3171,airports!A:H,8,FALSE)</f>
        <v>-80.697502136200001</v>
      </c>
      <c r="F3171" s="3">
        <f>VLOOKUP(B3171,airports!A:H,7,FALSE)</f>
        <v>32.12758333</v>
      </c>
      <c r="G3171" s="3">
        <f>VLOOKUP(B3171,airports!A:H,8,FALSE)</f>
        <v>-81.202138890000001</v>
      </c>
      <c r="H3171">
        <f t="shared" si="98"/>
        <v>48.7</v>
      </c>
      <c r="I3171">
        <f t="shared" si="99"/>
        <v>30.3</v>
      </c>
    </row>
    <row r="3172" spans="1:9" ht="30" x14ac:dyDescent="0.25">
      <c r="A3172" s="5" t="s">
        <v>524</v>
      </c>
      <c r="B3172" s="5" t="s">
        <v>644</v>
      </c>
      <c r="C3172" s="5" t="s">
        <v>3632</v>
      </c>
      <c r="D3172" s="3">
        <f>VLOOKUP(A3172,airports!A:H,7,FALSE)</f>
        <v>32.224399566700001</v>
      </c>
      <c r="E3172" s="3">
        <f>VLOOKUP(A3172,airports!A:H,8,FALSE)</f>
        <v>-80.697502136200001</v>
      </c>
      <c r="F3172" s="3">
        <f>VLOOKUP(B3172,airports!A:H,7,FALSE)</f>
        <v>38.747686940000001</v>
      </c>
      <c r="G3172" s="3">
        <f>VLOOKUP(B3172,airports!A:H,8,FALSE)</f>
        <v>-90.359989720000002</v>
      </c>
      <c r="H3172">
        <f t="shared" si="98"/>
        <v>1135.3</v>
      </c>
      <c r="I3172">
        <f t="shared" si="99"/>
        <v>705.5</v>
      </c>
    </row>
    <row r="3173" spans="1:9" ht="30" x14ac:dyDescent="0.25">
      <c r="A3173" s="5" t="s">
        <v>3633</v>
      </c>
      <c r="B3173" s="5" t="s">
        <v>87</v>
      </c>
      <c r="C3173" s="5" t="s">
        <v>3634</v>
      </c>
      <c r="D3173" s="3">
        <f>VLOOKUP(A3173,airports!A:H,7,FALSE)</f>
        <v>47.386599169999997</v>
      </c>
      <c r="E3173" s="3">
        <f>VLOOKUP(A3173,airports!A:H,8,FALSE)</f>
        <v>-92.838993329999994</v>
      </c>
      <c r="F3173" s="3">
        <f>VLOOKUP(B3173,airports!A:H,7,FALSE)</f>
        <v>44.880546940000002</v>
      </c>
      <c r="G3173" s="3">
        <f>VLOOKUP(B3173,airports!A:H,8,FALSE)</f>
        <v>-93.216922499999995</v>
      </c>
      <c r="H3173">
        <f t="shared" si="98"/>
        <v>280.2</v>
      </c>
      <c r="I3173">
        <f t="shared" si="99"/>
        <v>174.1</v>
      </c>
    </row>
    <row r="3174" spans="1:9" ht="30" x14ac:dyDescent="0.25">
      <c r="A3174" s="5" t="s">
        <v>2386</v>
      </c>
      <c r="B3174" s="5" t="s">
        <v>47</v>
      </c>
      <c r="C3174" s="5" t="s">
        <v>3635</v>
      </c>
      <c r="D3174" s="3">
        <f>VLOOKUP(A3174,airports!A:H,7,FALSE)</f>
        <v>46.606818060000002</v>
      </c>
      <c r="E3174" s="3">
        <f>VLOOKUP(A3174,airports!A:H,8,FALSE)</f>
        <v>-111.98275030000001</v>
      </c>
      <c r="F3174" s="3">
        <f>VLOOKUP(B3174,airports!A:H,7,FALSE)</f>
        <v>39.858408060000002</v>
      </c>
      <c r="G3174" s="3">
        <f>VLOOKUP(B3174,airports!A:H,8,FALSE)</f>
        <v>-104.6670019</v>
      </c>
      <c r="H3174">
        <f t="shared" si="98"/>
        <v>955.3</v>
      </c>
      <c r="I3174">
        <f t="shared" si="99"/>
        <v>593.6</v>
      </c>
    </row>
    <row r="3175" spans="1:9" ht="30" x14ac:dyDescent="0.25">
      <c r="A3175" s="5" t="s">
        <v>2386</v>
      </c>
      <c r="B3175" s="5" t="s">
        <v>863</v>
      </c>
      <c r="C3175" s="5" t="s">
        <v>3636</v>
      </c>
      <c r="D3175" s="3">
        <f>VLOOKUP(A3175,airports!A:H,7,FALSE)</f>
        <v>46.606818060000002</v>
      </c>
      <c r="E3175" s="3">
        <f>VLOOKUP(A3175,airports!A:H,8,FALSE)</f>
        <v>-111.98275030000001</v>
      </c>
      <c r="F3175" s="3">
        <f>VLOOKUP(B3175,airports!A:H,7,FALSE)</f>
        <v>47.482001940000004</v>
      </c>
      <c r="G3175" s="3">
        <f>VLOOKUP(B3175,airports!A:H,8,FALSE)</f>
        <v>-111.37068530000001</v>
      </c>
      <c r="H3175">
        <f t="shared" si="98"/>
        <v>107.8</v>
      </c>
      <c r="I3175">
        <f t="shared" si="99"/>
        <v>67</v>
      </c>
    </row>
    <row r="3176" spans="1:9" x14ac:dyDescent="0.25">
      <c r="A3176" s="5" t="s">
        <v>2386</v>
      </c>
      <c r="B3176" s="5" t="s">
        <v>554</v>
      </c>
      <c r="C3176" s="5" t="s">
        <v>3637</v>
      </c>
      <c r="D3176" s="3">
        <f>VLOOKUP(A3176,airports!A:H,7,FALSE)</f>
        <v>46.606818060000002</v>
      </c>
      <c r="E3176" s="3">
        <f>VLOOKUP(A3176,airports!A:H,8,FALSE)</f>
        <v>-111.98275030000001</v>
      </c>
      <c r="F3176" s="3">
        <f>VLOOKUP(B3176,airports!A:H,7,FALSE)</f>
        <v>34.729396110000003</v>
      </c>
      <c r="G3176" s="3">
        <f>VLOOKUP(B3176,airports!A:H,8,FALSE)</f>
        <v>-92.22424556</v>
      </c>
      <c r="H3176">
        <f t="shared" si="98"/>
        <v>2116</v>
      </c>
      <c r="I3176">
        <f t="shared" si="99"/>
        <v>1314.9</v>
      </c>
    </row>
    <row r="3177" spans="1:9" ht="30" x14ac:dyDescent="0.25">
      <c r="A3177" s="5" t="s">
        <v>2386</v>
      </c>
      <c r="B3177" s="5" t="s">
        <v>87</v>
      </c>
      <c r="C3177" s="5" t="s">
        <v>3638</v>
      </c>
      <c r="D3177" s="3">
        <f>VLOOKUP(A3177,airports!A:H,7,FALSE)</f>
        <v>46.606818060000002</v>
      </c>
      <c r="E3177" s="3">
        <f>VLOOKUP(A3177,airports!A:H,8,FALSE)</f>
        <v>-111.98275030000001</v>
      </c>
      <c r="F3177" s="3">
        <f>VLOOKUP(B3177,airports!A:H,7,FALSE)</f>
        <v>44.880546940000002</v>
      </c>
      <c r="G3177" s="3">
        <f>VLOOKUP(B3177,airports!A:H,8,FALSE)</f>
        <v>-93.216922499999995</v>
      </c>
      <c r="H3177">
        <f t="shared" si="98"/>
        <v>1465.3</v>
      </c>
      <c r="I3177">
        <f t="shared" si="99"/>
        <v>910.5</v>
      </c>
    </row>
    <row r="3178" spans="1:9" ht="30" x14ac:dyDescent="0.25">
      <c r="A3178" s="5" t="s">
        <v>2386</v>
      </c>
      <c r="B3178" s="5" t="s">
        <v>128</v>
      </c>
      <c r="C3178" s="5" t="s">
        <v>3639</v>
      </c>
      <c r="D3178" s="3">
        <f>VLOOKUP(A3178,airports!A:H,7,FALSE)</f>
        <v>46.606818060000002</v>
      </c>
      <c r="E3178" s="3">
        <f>VLOOKUP(A3178,airports!A:H,8,FALSE)</f>
        <v>-111.98275030000001</v>
      </c>
      <c r="F3178" s="3">
        <f>VLOOKUP(B3178,airports!A:H,7,FALSE)</f>
        <v>47.448981940000003</v>
      </c>
      <c r="G3178" s="3">
        <f>VLOOKUP(B3178,airports!A:H,8,FALSE)</f>
        <v>-122.3093131</v>
      </c>
      <c r="H3178">
        <f t="shared" si="98"/>
        <v>787.7</v>
      </c>
      <c r="I3178">
        <f t="shared" si="99"/>
        <v>489.5</v>
      </c>
    </row>
    <row r="3179" spans="1:9" x14ac:dyDescent="0.25">
      <c r="A3179" s="5" t="s">
        <v>2386</v>
      </c>
      <c r="B3179" s="5" t="s">
        <v>135</v>
      </c>
      <c r="C3179" s="5" t="s">
        <v>3640</v>
      </c>
      <c r="D3179" s="3">
        <f>VLOOKUP(A3179,airports!A:H,7,FALSE)</f>
        <v>46.606818060000002</v>
      </c>
      <c r="E3179" s="3">
        <f>VLOOKUP(A3179,airports!A:H,8,FALSE)</f>
        <v>-111.98275030000001</v>
      </c>
      <c r="F3179" s="3">
        <f>VLOOKUP(B3179,airports!A:H,7,FALSE)</f>
        <v>40.788387780000001</v>
      </c>
      <c r="G3179" s="3">
        <f>VLOOKUP(B3179,airports!A:H,8,FALSE)</f>
        <v>-111.97777309999999</v>
      </c>
      <c r="H3179">
        <f t="shared" si="98"/>
        <v>647</v>
      </c>
      <c r="I3179">
        <f t="shared" si="99"/>
        <v>402</v>
      </c>
    </row>
    <row r="3180" spans="1:9" ht="30" x14ac:dyDescent="0.25">
      <c r="A3180" s="5" t="s">
        <v>360</v>
      </c>
      <c r="B3180" s="5" t="s">
        <v>265</v>
      </c>
      <c r="C3180" s="5" t="s">
        <v>3641</v>
      </c>
      <c r="D3180" s="3">
        <f>VLOOKUP(A3180,airports!A:H,7,FALSE)</f>
        <v>21.31869111</v>
      </c>
      <c r="E3180" s="3">
        <f>VLOOKUP(A3180,airports!A:H,8,FALSE)</f>
        <v>-157.92240720000001</v>
      </c>
      <c r="F3180" s="3">
        <f>VLOOKUP(B3180,airports!A:H,7,FALSE)</f>
        <v>61.174320280000003</v>
      </c>
      <c r="G3180" s="3">
        <f>VLOOKUP(B3180,airports!A:H,8,FALSE)</f>
        <v>-149.99618559999999</v>
      </c>
      <c r="H3180">
        <f t="shared" si="98"/>
        <v>4474.2</v>
      </c>
      <c r="I3180">
        <f t="shared" si="99"/>
        <v>2780.3</v>
      </c>
    </row>
    <row r="3181" spans="1:9" ht="30" x14ac:dyDescent="0.25">
      <c r="A3181" s="5" t="s">
        <v>360</v>
      </c>
      <c r="B3181" s="5" t="s">
        <v>10</v>
      </c>
      <c r="C3181" s="5" t="s">
        <v>3642</v>
      </c>
      <c r="D3181" s="3">
        <f>VLOOKUP(A3181,airports!A:H,7,FALSE)</f>
        <v>21.31869111</v>
      </c>
      <c r="E3181" s="3">
        <f>VLOOKUP(A3181,airports!A:H,8,FALSE)</f>
        <v>-157.92240720000001</v>
      </c>
      <c r="F3181" s="3">
        <f>VLOOKUP(B3181,airports!A:H,7,FALSE)</f>
        <v>33.640444440000003</v>
      </c>
      <c r="G3181" s="3">
        <f>VLOOKUP(B3181,airports!A:H,8,FALSE)</f>
        <v>-84.42694444</v>
      </c>
      <c r="H3181">
        <f t="shared" si="98"/>
        <v>7233.9</v>
      </c>
      <c r="I3181">
        <f t="shared" si="99"/>
        <v>4495.2</v>
      </c>
    </row>
    <row r="3182" spans="1:9" ht="30" x14ac:dyDescent="0.25">
      <c r="A3182" s="5" t="s">
        <v>360</v>
      </c>
      <c r="B3182" s="5" t="s">
        <v>13</v>
      </c>
      <c r="C3182" s="5" t="s">
        <v>3643</v>
      </c>
      <c r="D3182" s="3">
        <f>VLOOKUP(A3182,airports!A:H,7,FALSE)</f>
        <v>21.31869111</v>
      </c>
      <c r="E3182" s="3">
        <f>VLOOKUP(A3182,airports!A:H,8,FALSE)</f>
        <v>-157.92240720000001</v>
      </c>
      <c r="F3182" s="3">
        <f>VLOOKUP(B3182,airports!A:H,7,FALSE)</f>
        <v>30.194532779999999</v>
      </c>
      <c r="G3182" s="3">
        <f>VLOOKUP(B3182,airports!A:H,8,FALSE)</f>
        <v>-97.669871939999993</v>
      </c>
      <c r="H3182">
        <f t="shared" si="98"/>
        <v>6047.2</v>
      </c>
      <c r="I3182">
        <f t="shared" si="99"/>
        <v>3757.8</v>
      </c>
    </row>
    <row r="3183" spans="1:9" ht="30" x14ac:dyDescent="0.25">
      <c r="A3183" s="5" t="s">
        <v>360</v>
      </c>
      <c r="B3183" s="5" t="s">
        <v>24</v>
      </c>
      <c r="C3183" s="5" t="s">
        <v>3644</v>
      </c>
      <c r="D3183" s="3">
        <f>VLOOKUP(A3183,airports!A:H,7,FALSE)</f>
        <v>21.31869111</v>
      </c>
      <c r="E3183" s="3">
        <f>VLOOKUP(A3183,airports!A:H,8,FALSE)</f>
        <v>-157.92240720000001</v>
      </c>
      <c r="F3183" s="3">
        <f>VLOOKUP(B3183,airports!A:H,7,FALSE)</f>
        <v>42.364347500000001</v>
      </c>
      <c r="G3183" s="3">
        <f>VLOOKUP(B3183,airports!A:H,8,FALSE)</f>
        <v>-71.005179170000005</v>
      </c>
      <c r="H3183">
        <f t="shared" si="98"/>
        <v>8186.2</v>
      </c>
      <c r="I3183">
        <f t="shared" si="99"/>
        <v>5087</v>
      </c>
    </row>
    <row r="3184" spans="1:9" x14ac:dyDescent="0.25">
      <c r="A3184" s="5" t="s">
        <v>360</v>
      </c>
      <c r="B3184" s="5" t="s">
        <v>40</v>
      </c>
      <c r="C3184" s="5" t="s">
        <v>3645</v>
      </c>
      <c r="D3184" s="3">
        <f>VLOOKUP(A3184,airports!A:H,7,FALSE)</f>
        <v>21.31869111</v>
      </c>
      <c r="E3184" s="3">
        <f>VLOOKUP(A3184,airports!A:H,8,FALSE)</f>
        <v>-157.92240720000001</v>
      </c>
      <c r="F3184" s="3">
        <f>VLOOKUP(B3184,airports!A:H,7,FALSE)</f>
        <v>35.214011110000001</v>
      </c>
      <c r="G3184" s="3">
        <f>VLOOKUP(B3184,airports!A:H,8,FALSE)</f>
        <v>-80.94312583</v>
      </c>
      <c r="H3184">
        <f t="shared" si="98"/>
        <v>7516.5</v>
      </c>
      <c r="I3184">
        <f t="shared" si="99"/>
        <v>4670.8</v>
      </c>
    </row>
    <row r="3185" spans="1:9" ht="30" x14ac:dyDescent="0.25">
      <c r="A3185" s="5" t="s">
        <v>360</v>
      </c>
      <c r="B3185" s="5" t="s">
        <v>47</v>
      </c>
      <c r="C3185" s="5" t="s">
        <v>3646</v>
      </c>
      <c r="D3185" s="3">
        <f>VLOOKUP(A3185,airports!A:H,7,FALSE)</f>
        <v>21.31869111</v>
      </c>
      <c r="E3185" s="3">
        <f>VLOOKUP(A3185,airports!A:H,8,FALSE)</f>
        <v>-157.92240720000001</v>
      </c>
      <c r="F3185" s="3">
        <f>VLOOKUP(B3185,airports!A:H,7,FALSE)</f>
        <v>39.858408060000002</v>
      </c>
      <c r="G3185" s="3">
        <f>VLOOKUP(B3185,airports!A:H,8,FALSE)</f>
        <v>-104.6670019</v>
      </c>
      <c r="H3185">
        <f t="shared" si="98"/>
        <v>5408.3</v>
      </c>
      <c r="I3185">
        <f t="shared" si="99"/>
        <v>3360.8</v>
      </c>
    </row>
    <row r="3186" spans="1:9" ht="30" x14ac:dyDescent="0.25">
      <c r="A3186" s="5" t="s">
        <v>360</v>
      </c>
      <c r="B3186" s="5" t="s">
        <v>49</v>
      </c>
      <c r="C3186" s="5" t="s">
        <v>3647</v>
      </c>
      <c r="D3186" s="3">
        <f>VLOOKUP(A3186,airports!A:H,7,FALSE)</f>
        <v>21.31869111</v>
      </c>
      <c r="E3186" s="3">
        <f>VLOOKUP(A3186,airports!A:H,8,FALSE)</f>
        <v>-157.92240720000001</v>
      </c>
      <c r="F3186" s="3">
        <f>VLOOKUP(B3186,airports!A:H,7,FALSE)</f>
        <v>32.895950560000003</v>
      </c>
      <c r="G3186" s="3">
        <f>VLOOKUP(B3186,airports!A:H,8,FALSE)</f>
        <v>-97.037199999999999</v>
      </c>
      <c r="H3186">
        <f t="shared" si="98"/>
        <v>6080.9</v>
      </c>
      <c r="I3186">
        <f t="shared" si="99"/>
        <v>3778.7</v>
      </c>
    </row>
    <row r="3187" spans="1:9" ht="30" x14ac:dyDescent="0.25">
      <c r="A3187" s="5" t="s">
        <v>360</v>
      </c>
      <c r="B3187" s="5" t="s">
        <v>50</v>
      </c>
      <c r="C3187" s="5" t="s">
        <v>3648</v>
      </c>
      <c r="D3187" s="3">
        <f>VLOOKUP(A3187,airports!A:H,7,FALSE)</f>
        <v>21.31869111</v>
      </c>
      <c r="E3187" s="3">
        <f>VLOOKUP(A3187,airports!A:H,8,FALSE)</f>
        <v>-157.92240720000001</v>
      </c>
      <c r="F3187" s="3">
        <f>VLOOKUP(B3187,airports!A:H,7,FALSE)</f>
        <v>42.212058890000002</v>
      </c>
      <c r="G3187" s="3">
        <f>VLOOKUP(B3187,airports!A:H,8,FALSE)</f>
        <v>-83.348835829999999</v>
      </c>
      <c r="H3187">
        <f t="shared" si="98"/>
        <v>7191.2</v>
      </c>
      <c r="I3187">
        <f t="shared" si="99"/>
        <v>4468.7</v>
      </c>
    </row>
    <row r="3188" spans="1:9" ht="30" x14ac:dyDescent="0.25">
      <c r="A3188" s="5" t="s">
        <v>360</v>
      </c>
      <c r="B3188" s="5" t="s">
        <v>52</v>
      </c>
      <c r="C3188" s="5" t="s">
        <v>3649</v>
      </c>
      <c r="D3188" s="3">
        <f>VLOOKUP(A3188,airports!A:H,7,FALSE)</f>
        <v>21.31869111</v>
      </c>
      <c r="E3188" s="3">
        <f>VLOOKUP(A3188,airports!A:H,8,FALSE)</f>
        <v>-157.92240720000001</v>
      </c>
      <c r="F3188" s="3">
        <f>VLOOKUP(B3188,airports!A:H,7,FALSE)</f>
        <v>40.69249722</v>
      </c>
      <c r="G3188" s="3">
        <f>VLOOKUP(B3188,airports!A:H,8,FALSE)</f>
        <v>-74.168660560000006</v>
      </c>
      <c r="H3188">
        <f t="shared" si="98"/>
        <v>7973.4</v>
      </c>
      <c r="I3188">
        <f t="shared" si="99"/>
        <v>4954.7</v>
      </c>
    </row>
    <row r="3189" spans="1:9" ht="30" x14ac:dyDescent="0.25">
      <c r="A3189" s="5" t="s">
        <v>360</v>
      </c>
      <c r="B3189" s="5" t="s">
        <v>3587</v>
      </c>
      <c r="C3189" s="5" t="s">
        <v>3650</v>
      </c>
      <c r="D3189" s="3">
        <f>VLOOKUP(A3189,airports!A:H,7,FALSE)</f>
        <v>21.31869111</v>
      </c>
      <c r="E3189" s="3">
        <f>VLOOKUP(A3189,airports!A:H,8,FALSE)</f>
        <v>-157.92240720000001</v>
      </c>
      <c r="F3189" s="3">
        <f>VLOOKUP(B3189,airports!A:H,7,FALSE)</f>
        <v>13.483449999999999</v>
      </c>
      <c r="G3189" s="3">
        <f>VLOOKUP(B3189,airports!A:H,8,FALSE)</f>
        <v>144.79599999999999</v>
      </c>
      <c r="H3189">
        <f t="shared" si="98"/>
        <v>6109.2</v>
      </c>
      <c r="I3189">
        <f t="shared" si="99"/>
        <v>3796.3</v>
      </c>
    </row>
    <row r="3190" spans="1:9" ht="30" x14ac:dyDescent="0.25">
      <c r="A3190" s="5" t="s">
        <v>360</v>
      </c>
      <c r="B3190" s="5" t="s">
        <v>176</v>
      </c>
      <c r="C3190" s="5" t="s">
        <v>3651</v>
      </c>
      <c r="D3190" s="3">
        <f>VLOOKUP(A3190,airports!A:H,7,FALSE)</f>
        <v>21.31869111</v>
      </c>
      <c r="E3190" s="3">
        <f>VLOOKUP(A3190,airports!A:H,8,FALSE)</f>
        <v>-157.92240720000001</v>
      </c>
      <c r="F3190" s="3">
        <f>VLOOKUP(B3190,airports!A:H,7,FALSE)</f>
        <v>38.944531939999997</v>
      </c>
      <c r="G3190" s="3">
        <f>VLOOKUP(B3190,airports!A:H,8,FALSE)</f>
        <v>-77.455809720000005</v>
      </c>
      <c r="H3190">
        <f t="shared" si="98"/>
        <v>7739.5</v>
      </c>
      <c r="I3190">
        <f t="shared" si="99"/>
        <v>4809.3999999999996</v>
      </c>
    </row>
    <row r="3191" spans="1:9" ht="30" x14ac:dyDescent="0.25">
      <c r="A3191" s="5" t="s">
        <v>360</v>
      </c>
      <c r="B3191" s="5" t="s">
        <v>67</v>
      </c>
      <c r="C3191" s="5" t="s">
        <v>3652</v>
      </c>
      <c r="D3191" s="3">
        <f>VLOOKUP(A3191,airports!A:H,7,FALSE)</f>
        <v>21.31869111</v>
      </c>
      <c r="E3191" s="3">
        <f>VLOOKUP(A3191,airports!A:H,8,FALSE)</f>
        <v>-157.92240720000001</v>
      </c>
      <c r="F3191" s="3">
        <f>VLOOKUP(B3191,airports!A:H,7,FALSE)</f>
        <v>29.980472219999999</v>
      </c>
      <c r="G3191" s="3">
        <f>VLOOKUP(B3191,airports!A:H,8,FALSE)</f>
        <v>-95.339722219999999</v>
      </c>
      <c r="H3191">
        <f t="shared" si="98"/>
        <v>6272.6</v>
      </c>
      <c r="I3191">
        <f t="shared" si="99"/>
        <v>3897.9</v>
      </c>
    </row>
    <row r="3192" spans="1:9" x14ac:dyDescent="0.25">
      <c r="A3192" s="5" t="s">
        <v>360</v>
      </c>
      <c r="B3192" s="5" t="s">
        <v>3653</v>
      </c>
      <c r="C3192" s="5" t="s">
        <v>3654</v>
      </c>
      <c r="D3192" s="3">
        <f>VLOOKUP(A3192,airports!A:H,7,FALSE)</f>
        <v>21.31869111</v>
      </c>
      <c r="E3192" s="3">
        <f>VLOOKUP(A3192,airports!A:H,8,FALSE)</f>
        <v>-157.92240720000001</v>
      </c>
      <c r="F3192" s="3">
        <f>VLOOKUP(B3192,airports!A:H,7,FALSE)</f>
        <v>19.720263060000001</v>
      </c>
      <c r="G3192" s="3">
        <f>VLOOKUP(B3192,airports!A:H,8,FALSE)</f>
        <v>-155.04847029999999</v>
      </c>
      <c r="H3192">
        <f t="shared" si="98"/>
        <v>348.1</v>
      </c>
      <c r="I3192">
        <f t="shared" si="99"/>
        <v>216.3</v>
      </c>
    </row>
    <row r="3193" spans="1:9" x14ac:dyDescent="0.25">
      <c r="A3193" s="5" t="s">
        <v>360</v>
      </c>
      <c r="B3193" s="5" t="s">
        <v>69</v>
      </c>
      <c r="C3193" s="5" t="s">
        <v>3655</v>
      </c>
      <c r="D3193" s="3">
        <f>VLOOKUP(A3193,airports!A:H,7,FALSE)</f>
        <v>21.31869111</v>
      </c>
      <c r="E3193" s="3">
        <f>VLOOKUP(A3193,airports!A:H,8,FALSE)</f>
        <v>-157.92240720000001</v>
      </c>
      <c r="F3193" s="3">
        <f>VLOOKUP(B3193,airports!A:H,7,FALSE)</f>
        <v>40.639751109999999</v>
      </c>
      <c r="G3193" s="3">
        <f>VLOOKUP(B3193,airports!A:H,8,FALSE)</f>
        <v>-73.778925560000005</v>
      </c>
      <c r="H3193">
        <f t="shared" si="98"/>
        <v>8006.7</v>
      </c>
      <c r="I3193">
        <f t="shared" si="99"/>
        <v>4975.5</v>
      </c>
    </row>
    <row r="3194" spans="1:9" ht="30" x14ac:dyDescent="0.25">
      <c r="A3194" s="5" t="s">
        <v>360</v>
      </c>
      <c r="B3194" s="5" t="s">
        <v>3656</v>
      </c>
      <c r="C3194" s="5" t="s">
        <v>3657</v>
      </c>
      <c r="D3194" s="3">
        <f>VLOOKUP(A3194,airports!A:H,7,FALSE)</f>
        <v>21.31869111</v>
      </c>
      <c r="E3194" s="3">
        <f>VLOOKUP(A3194,airports!A:H,8,FALSE)</f>
        <v>-157.92240720000001</v>
      </c>
      <c r="F3194" s="3">
        <f>VLOOKUP(B3194,airports!A:H,7,FALSE)</f>
        <v>20.962900000000001</v>
      </c>
      <c r="G3194" s="3">
        <f>VLOOKUP(B3194,airports!A:H,8,FALSE)</f>
        <v>-156.67300399999999</v>
      </c>
      <c r="H3194">
        <f t="shared" si="98"/>
        <v>135.5</v>
      </c>
      <c r="I3194">
        <f t="shared" si="99"/>
        <v>84.2</v>
      </c>
    </row>
    <row r="3195" spans="1:9" ht="30" x14ac:dyDescent="0.25">
      <c r="A3195" s="5" t="s">
        <v>360</v>
      </c>
      <c r="B3195" s="5" t="s">
        <v>366</v>
      </c>
      <c r="C3195" s="5" t="s">
        <v>3658</v>
      </c>
      <c r="D3195" s="3">
        <f>VLOOKUP(A3195,airports!A:H,7,FALSE)</f>
        <v>21.31869111</v>
      </c>
      <c r="E3195" s="3">
        <f>VLOOKUP(A3195,airports!A:H,8,FALSE)</f>
        <v>-157.92240720000001</v>
      </c>
      <c r="F3195" s="3">
        <f>VLOOKUP(B3195,airports!A:H,7,FALSE)</f>
        <v>19.738765829999998</v>
      </c>
      <c r="G3195" s="3">
        <f>VLOOKUP(B3195,airports!A:H,8,FALSE)</f>
        <v>-156.04563139999999</v>
      </c>
      <c r="H3195">
        <f t="shared" si="98"/>
        <v>262.8</v>
      </c>
      <c r="I3195">
        <f t="shared" si="99"/>
        <v>163.30000000000001</v>
      </c>
    </row>
    <row r="3196" spans="1:9" ht="30" x14ac:dyDescent="0.25">
      <c r="A3196" s="5" t="s">
        <v>360</v>
      </c>
      <c r="B3196" s="5" t="s">
        <v>71</v>
      </c>
      <c r="C3196" s="5" t="s">
        <v>3659</v>
      </c>
      <c r="D3196" s="3">
        <f>VLOOKUP(A3196,airports!A:H,7,FALSE)</f>
        <v>21.31869111</v>
      </c>
      <c r="E3196" s="3">
        <f>VLOOKUP(A3196,airports!A:H,8,FALSE)</f>
        <v>-157.92240720000001</v>
      </c>
      <c r="F3196" s="3">
        <f>VLOOKUP(B3196,airports!A:H,7,FALSE)</f>
        <v>36.080361109999998</v>
      </c>
      <c r="G3196" s="3">
        <f>VLOOKUP(B3196,airports!A:H,8,FALSE)</f>
        <v>-115.1523333</v>
      </c>
      <c r="H3196">
        <f t="shared" si="98"/>
        <v>4440.3999999999996</v>
      </c>
      <c r="I3196">
        <f t="shared" si="99"/>
        <v>2759.3</v>
      </c>
    </row>
    <row r="3197" spans="1:9" ht="30" x14ac:dyDescent="0.25">
      <c r="A3197" s="5" t="s">
        <v>360</v>
      </c>
      <c r="B3197" s="5" t="s">
        <v>73</v>
      </c>
      <c r="C3197" s="5" t="s">
        <v>3660</v>
      </c>
      <c r="D3197" s="3">
        <f>VLOOKUP(A3197,airports!A:H,7,FALSE)</f>
        <v>21.31869111</v>
      </c>
      <c r="E3197" s="3">
        <f>VLOOKUP(A3197,airports!A:H,8,FALSE)</f>
        <v>-157.92240720000001</v>
      </c>
      <c r="F3197" s="3">
        <f>VLOOKUP(B3197,airports!A:H,7,FALSE)</f>
        <v>33.942536109999999</v>
      </c>
      <c r="G3197" s="3">
        <f>VLOOKUP(B3197,airports!A:H,8,FALSE)</f>
        <v>-118.4080744</v>
      </c>
      <c r="H3197">
        <f t="shared" si="98"/>
        <v>4108.2</v>
      </c>
      <c r="I3197">
        <f t="shared" si="99"/>
        <v>2552.8000000000002</v>
      </c>
    </row>
    <row r="3198" spans="1:9" ht="30" x14ac:dyDescent="0.25">
      <c r="A3198" s="5" t="s">
        <v>360</v>
      </c>
      <c r="B3198" s="5" t="s">
        <v>742</v>
      </c>
      <c r="C3198" s="5" t="s">
        <v>3661</v>
      </c>
      <c r="D3198" s="3">
        <f>VLOOKUP(A3198,airports!A:H,7,FALSE)</f>
        <v>21.31869111</v>
      </c>
      <c r="E3198" s="3">
        <f>VLOOKUP(A3198,airports!A:H,8,FALSE)</f>
        <v>-157.92240720000001</v>
      </c>
      <c r="F3198" s="3">
        <f>VLOOKUP(B3198,airports!A:H,7,FALSE)</f>
        <v>33.81772222</v>
      </c>
      <c r="G3198" s="3">
        <f>VLOOKUP(B3198,airports!A:H,8,FALSE)</f>
        <v>-118.1516111</v>
      </c>
      <c r="H3198">
        <f t="shared" si="98"/>
        <v>4129.3</v>
      </c>
      <c r="I3198">
        <f t="shared" si="99"/>
        <v>2566</v>
      </c>
    </row>
    <row r="3199" spans="1:9" x14ac:dyDescent="0.25">
      <c r="A3199" s="5" t="s">
        <v>360</v>
      </c>
      <c r="B3199" s="5" t="s">
        <v>2421</v>
      </c>
      <c r="C3199" s="5" t="s">
        <v>3662</v>
      </c>
      <c r="D3199" s="3">
        <f>VLOOKUP(A3199,airports!A:H,7,FALSE)</f>
        <v>21.31869111</v>
      </c>
      <c r="E3199" s="3">
        <f>VLOOKUP(A3199,airports!A:H,8,FALSE)</f>
        <v>-157.92240720000001</v>
      </c>
      <c r="F3199" s="3">
        <f>VLOOKUP(B3199,airports!A:H,7,FALSE)</f>
        <v>21.975983060000001</v>
      </c>
      <c r="G3199" s="3">
        <f>VLOOKUP(B3199,airports!A:H,8,FALSE)</f>
        <v>-159.33895810000001</v>
      </c>
      <c r="H3199">
        <f t="shared" si="98"/>
        <v>163.6</v>
      </c>
      <c r="I3199">
        <f t="shared" si="99"/>
        <v>101.7</v>
      </c>
    </row>
    <row r="3200" spans="1:9" ht="30" x14ac:dyDescent="0.25">
      <c r="A3200" s="5" t="s">
        <v>360</v>
      </c>
      <c r="B3200" s="5" t="s">
        <v>3663</v>
      </c>
      <c r="C3200" s="5" t="s">
        <v>3664</v>
      </c>
      <c r="D3200" s="3">
        <f>VLOOKUP(A3200,airports!A:H,7,FALSE)</f>
        <v>21.31869111</v>
      </c>
      <c r="E3200" s="3">
        <f>VLOOKUP(A3200,airports!A:H,8,FALSE)</f>
        <v>-157.92240720000001</v>
      </c>
      <c r="F3200" s="3">
        <f>VLOOKUP(B3200,airports!A:H,7,FALSE)</f>
        <v>20.785675000000001</v>
      </c>
      <c r="G3200" s="3">
        <f>VLOOKUP(B3200,airports!A:H,8,FALSE)</f>
        <v>-156.951324</v>
      </c>
      <c r="H3200">
        <f t="shared" si="98"/>
        <v>116.9</v>
      </c>
      <c r="I3200">
        <f t="shared" si="99"/>
        <v>72.599999999999994</v>
      </c>
    </row>
    <row r="3201" spans="1:9" ht="30" x14ac:dyDescent="0.25">
      <c r="A3201" s="5" t="s">
        <v>360</v>
      </c>
      <c r="B3201" s="5" t="s">
        <v>82</v>
      </c>
      <c r="C3201" s="5" t="s">
        <v>3665</v>
      </c>
      <c r="D3201" s="3">
        <f>VLOOKUP(A3201,airports!A:H,7,FALSE)</f>
        <v>21.31869111</v>
      </c>
      <c r="E3201" s="3">
        <f>VLOOKUP(A3201,airports!A:H,8,FALSE)</f>
        <v>-157.92240720000001</v>
      </c>
      <c r="F3201" s="3">
        <f>VLOOKUP(B3201,airports!A:H,7,FALSE)</f>
        <v>28.42888889</v>
      </c>
      <c r="G3201" s="3">
        <f>VLOOKUP(B3201,airports!A:H,8,FALSE)</f>
        <v>-81.316027779999999</v>
      </c>
      <c r="H3201">
        <f t="shared" si="98"/>
        <v>7641.9</v>
      </c>
      <c r="I3201">
        <f t="shared" si="99"/>
        <v>4748.7</v>
      </c>
    </row>
    <row r="3202" spans="1:9" ht="30" x14ac:dyDescent="0.25">
      <c r="A3202" s="5" t="s">
        <v>360</v>
      </c>
      <c r="B3202" s="5" t="s">
        <v>3666</v>
      </c>
      <c r="C3202" s="5" t="s">
        <v>3667</v>
      </c>
      <c r="D3202" s="3">
        <f>VLOOKUP(A3202,airports!A:H,7,FALSE)</f>
        <v>21.31869111</v>
      </c>
      <c r="E3202" s="3">
        <f>VLOOKUP(A3202,airports!A:H,8,FALSE)</f>
        <v>-157.92240720000001</v>
      </c>
      <c r="F3202" s="3">
        <f>VLOOKUP(B3202,airports!A:H,7,FALSE)</f>
        <v>21.152901</v>
      </c>
      <c r="G3202" s="3">
        <f>VLOOKUP(B3202,airports!A:H,8,FALSE)</f>
        <v>-157.09599299999999</v>
      </c>
      <c r="H3202">
        <f t="shared" si="98"/>
        <v>87.6</v>
      </c>
      <c r="I3202">
        <f t="shared" si="99"/>
        <v>54.4</v>
      </c>
    </row>
    <row r="3203" spans="1:9" ht="30" x14ac:dyDescent="0.25">
      <c r="A3203" s="5" t="s">
        <v>360</v>
      </c>
      <c r="B3203" s="5" t="s">
        <v>87</v>
      </c>
      <c r="C3203" s="5" t="s">
        <v>3668</v>
      </c>
      <c r="D3203" s="3">
        <f>VLOOKUP(A3203,airports!A:H,7,FALSE)</f>
        <v>21.31869111</v>
      </c>
      <c r="E3203" s="3">
        <f>VLOOKUP(A3203,airports!A:H,8,FALSE)</f>
        <v>-157.92240720000001</v>
      </c>
      <c r="F3203" s="3">
        <f>VLOOKUP(B3203,airports!A:H,7,FALSE)</f>
        <v>44.880546940000002</v>
      </c>
      <c r="G3203" s="3">
        <f>VLOOKUP(B3203,airports!A:H,8,FALSE)</f>
        <v>-93.216922499999995</v>
      </c>
      <c r="H3203">
        <f t="shared" si="98"/>
        <v>6384.1</v>
      </c>
      <c r="I3203">
        <f t="shared" si="99"/>
        <v>3967.1</v>
      </c>
    </row>
    <row r="3204" spans="1:9" ht="30" x14ac:dyDescent="0.25">
      <c r="A3204" s="5" t="s">
        <v>360</v>
      </c>
      <c r="B3204" s="5" t="s">
        <v>215</v>
      </c>
      <c r="C3204" s="5" t="s">
        <v>3669</v>
      </c>
      <c r="D3204" s="3">
        <f>VLOOKUP(A3204,airports!A:H,7,FALSE)</f>
        <v>21.31869111</v>
      </c>
      <c r="E3204" s="3">
        <f>VLOOKUP(A3204,airports!A:H,8,FALSE)</f>
        <v>-157.92240720000001</v>
      </c>
      <c r="F3204" s="3">
        <f>VLOOKUP(B3204,airports!A:H,7,FALSE)</f>
        <v>37.721290830000001</v>
      </c>
      <c r="G3204" s="3">
        <f>VLOOKUP(B3204,airports!A:H,8,FALSE)</f>
        <v>-122.2207167</v>
      </c>
      <c r="H3204">
        <f t="shared" ref="H3204:H3267" si="100">ROUND(ACOS(COS(RADIANS(90-D3204)) * COS(RADIANS(90-F3204)) + SIN(RADIANS(90-D3204)) * SIN(RADIANS(90-F3204)) * COS(RADIANS(E3204-G3204))) * 6371,1)</f>
        <v>3873.3</v>
      </c>
      <c r="I3204">
        <f t="shared" ref="I3204:I3267" si="101">ROUND(ACOS(COS(RADIANS(90-D3204)) * COS(RADIANS(90-F3204)) + SIN(RADIANS(90-D3204)) * SIN(RADIANS(90-F3204)) * COS(RADIANS(E3204-G3204))) * 3959,1)</f>
        <v>2406.9</v>
      </c>
    </row>
    <row r="3205" spans="1:9" ht="30" x14ac:dyDescent="0.25">
      <c r="A3205" s="5" t="s">
        <v>360</v>
      </c>
      <c r="B3205" s="5" t="s">
        <v>371</v>
      </c>
      <c r="C3205" s="5" t="s">
        <v>3670</v>
      </c>
      <c r="D3205" s="3">
        <f>VLOOKUP(A3205,airports!A:H,7,FALSE)</f>
        <v>21.31869111</v>
      </c>
      <c r="E3205" s="3">
        <f>VLOOKUP(A3205,airports!A:H,8,FALSE)</f>
        <v>-157.92240720000001</v>
      </c>
      <c r="F3205" s="3">
        <f>VLOOKUP(B3205,airports!A:H,7,FALSE)</f>
        <v>20.898649720000002</v>
      </c>
      <c r="G3205" s="3">
        <f>VLOOKUP(B3205,airports!A:H,8,FALSE)</f>
        <v>-156.4304578</v>
      </c>
      <c r="H3205">
        <f t="shared" si="100"/>
        <v>161.69999999999999</v>
      </c>
      <c r="I3205">
        <f t="shared" si="101"/>
        <v>100.5</v>
      </c>
    </row>
    <row r="3206" spans="1:9" ht="30" x14ac:dyDescent="0.25">
      <c r="A3206" s="5" t="s">
        <v>360</v>
      </c>
      <c r="B3206" s="5" t="s">
        <v>94</v>
      </c>
      <c r="C3206" s="5" t="s">
        <v>3671</v>
      </c>
      <c r="D3206" s="3">
        <f>VLOOKUP(A3206,airports!A:H,7,FALSE)</f>
        <v>21.31869111</v>
      </c>
      <c r="E3206" s="3">
        <f>VLOOKUP(A3206,airports!A:H,8,FALSE)</f>
        <v>-157.92240720000001</v>
      </c>
      <c r="F3206" s="3">
        <f>VLOOKUP(B3206,airports!A:H,7,FALSE)</f>
        <v>34.055999999999997</v>
      </c>
      <c r="G3206" s="3">
        <f>VLOOKUP(B3206,airports!A:H,8,FALSE)</f>
        <v>-117.6011944</v>
      </c>
      <c r="H3206">
        <f t="shared" si="100"/>
        <v>4183.6000000000004</v>
      </c>
      <c r="I3206">
        <f t="shared" si="101"/>
        <v>2599.6999999999998</v>
      </c>
    </row>
    <row r="3207" spans="1:9" ht="30" x14ac:dyDescent="0.25">
      <c r="A3207" s="5" t="s">
        <v>360</v>
      </c>
      <c r="B3207" s="5" t="s">
        <v>95</v>
      </c>
      <c r="C3207" s="5" t="s">
        <v>3672</v>
      </c>
      <c r="D3207" s="3">
        <f>VLOOKUP(A3207,airports!A:H,7,FALSE)</f>
        <v>21.31869111</v>
      </c>
      <c r="E3207" s="3">
        <f>VLOOKUP(A3207,airports!A:H,8,FALSE)</f>
        <v>-157.92240720000001</v>
      </c>
      <c r="F3207" s="3">
        <f>VLOOKUP(B3207,airports!A:H,7,FALSE)</f>
        <v>41.979595000000003</v>
      </c>
      <c r="G3207" s="3">
        <f>VLOOKUP(B3207,airports!A:H,8,FALSE)</f>
        <v>-87.904464169999997</v>
      </c>
      <c r="H3207">
        <f t="shared" si="100"/>
        <v>6819.2</v>
      </c>
      <c r="I3207">
        <f t="shared" si="101"/>
        <v>4237.5</v>
      </c>
    </row>
    <row r="3208" spans="1:9" ht="30" x14ac:dyDescent="0.25">
      <c r="A3208" s="5" t="s">
        <v>360</v>
      </c>
      <c r="B3208" s="5" t="s">
        <v>100</v>
      </c>
      <c r="C3208" s="5" t="s">
        <v>3673</v>
      </c>
      <c r="D3208" s="3">
        <f>VLOOKUP(A3208,airports!A:H,7,FALSE)</f>
        <v>21.31869111</v>
      </c>
      <c r="E3208" s="3">
        <f>VLOOKUP(A3208,airports!A:H,8,FALSE)</f>
        <v>-157.92240720000001</v>
      </c>
      <c r="F3208" s="3">
        <f>VLOOKUP(B3208,airports!A:H,7,FALSE)</f>
        <v>45.588722220000001</v>
      </c>
      <c r="G3208" s="3">
        <f>VLOOKUP(B3208,airports!A:H,8,FALSE)</f>
        <v>-122.5975</v>
      </c>
      <c r="H3208">
        <f t="shared" si="100"/>
        <v>4188.2</v>
      </c>
      <c r="I3208">
        <f t="shared" si="101"/>
        <v>2602.6</v>
      </c>
    </row>
    <row r="3209" spans="1:9" ht="30" x14ac:dyDescent="0.25">
      <c r="A3209" s="5" t="s">
        <v>360</v>
      </c>
      <c r="B3209" s="5" t="s">
        <v>104</v>
      </c>
      <c r="C3209" s="5" t="s">
        <v>3674</v>
      </c>
      <c r="D3209" s="3">
        <f>VLOOKUP(A3209,airports!A:H,7,FALSE)</f>
        <v>21.31869111</v>
      </c>
      <c r="E3209" s="3">
        <f>VLOOKUP(A3209,airports!A:H,8,FALSE)</f>
        <v>-157.92240720000001</v>
      </c>
      <c r="F3209" s="3">
        <f>VLOOKUP(B3209,airports!A:H,7,FALSE)</f>
        <v>33.434166670000003</v>
      </c>
      <c r="G3209" s="3">
        <f>VLOOKUP(B3209,airports!A:H,8,FALSE)</f>
        <v>-112.00805560000001</v>
      </c>
      <c r="H3209">
        <f t="shared" si="100"/>
        <v>4688.8</v>
      </c>
      <c r="I3209">
        <f t="shared" si="101"/>
        <v>2913.7</v>
      </c>
    </row>
    <row r="3210" spans="1:9" ht="30" x14ac:dyDescent="0.25">
      <c r="A3210" s="5" t="s">
        <v>360</v>
      </c>
      <c r="B3210" s="5" t="s">
        <v>3675</v>
      </c>
      <c r="C3210" s="5" t="s">
        <v>3676</v>
      </c>
      <c r="D3210" s="3">
        <f>VLOOKUP(A3210,airports!A:H,7,FALSE)</f>
        <v>21.31869111</v>
      </c>
      <c r="E3210" s="3">
        <f>VLOOKUP(A3210,airports!A:H,8,FALSE)</f>
        <v>-157.92240720000001</v>
      </c>
      <c r="F3210" s="3">
        <f>VLOOKUP(B3210,airports!A:H,7,FALSE)</f>
        <v>14.33102278</v>
      </c>
      <c r="G3210" s="3">
        <f>VLOOKUP(B3210,airports!A:H,8,FALSE)</f>
        <v>-170.7105258</v>
      </c>
      <c r="H3210">
        <f t="shared" si="100"/>
        <v>1559.7</v>
      </c>
      <c r="I3210">
        <f t="shared" si="101"/>
        <v>969.2</v>
      </c>
    </row>
    <row r="3211" spans="1:9" ht="30" x14ac:dyDescent="0.25">
      <c r="A3211" s="5" t="s">
        <v>360</v>
      </c>
      <c r="B3211" s="5" t="s">
        <v>124</v>
      </c>
      <c r="C3211" s="5" t="s">
        <v>3677</v>
      </c>
      <c r="D3211" s="3">
        <f>VLOOKUP(A3211,airports!A:H,7,FALSE)</f>
        <v>21.31869111</v>
      </c>
      <c r="E3211" s="3">
        <f>VLOOKUP(A3211,airports!A:H,8,FALSE)</f>
        <v>-157.92240720000001</v>
      </c>
      <c r="F3211" s="3">
        <f>VLOOKUP(B3211,airports!A:H,7,FALSE)</f>
        <v>32.733556110000002</v>
      </c>
      <c r="G3211" s="3">
        <f>VLOOKUP(B3211,airports!A:H,8,FALSE)</f>
        <v>-117.1896567</v>
      </c>
      <c r="H3211">
        <f t="shared" si="100"/>
        <v>4200.7</v>
      </c>
      <c r="I3211">
        <f t="shared" si="101"/>
        <v>2610.3000000000002</v>
      </c>
    </row>
    <row r="3212" spans="1:9" ht="30" x14ac:dyDescent="0.25">
      <c r="A3212" s="5" t="s">
        <v>360</v>
      </c>
      <c r="B3212" s="5" t="s">
        <v>128</v>
      </c>
      <c r="C3212" s="5" t="s">
        <v>3678</v>
      </c>
      <c r="D3212" s="3">
        <f>VLOOKUP(A3212,airports!A:H,7,FALSE)</f>
        <v>21.31869111</v>
      </c>
      <c r="E3212" s="3">
        <f>VLOOKUP(A3212,airports!A:H,8,FALSE)</f>
        <v>-157.92240720000001</v>
      </c>
      <c r="F3212" s="3">
        <f>VLOOKUP(B3212,airports!A:H,7,FALSE)</f>
        <v>47.448981940000003</v>
      </c>
      <c r="G3212" s="3">
        <f>VLOOKUP(B3212,airports!A:H,8,FALSE)</f>
        <v>-122.3093131</v>
      </c>
      <c r="H3212">
        <f t="shared" si="100"/>
        <v>4307.8999999999996</v>
      </c>
      <c r="I3212">
        <f t="shared" si="101"/>
        <v>2677</v>
      </c>
    </row>
    <row r="3213" spans="1:9" ht="30" x14ac:dyDescent="0.25">
      <c r="A3213" s="5" t="s">
        <v>360</v>
      </c>
      <c r="B3213" s="5" t="s">
        <v>130</v>
      </c>
      <c r="C3213" s="5" t="s">
        <v>3679</v>
      </c>
      <c r="D3213" s="3">
        <f>VLOOKUP(A3213,airports!A:H,7,FALSE)</f>
        <v>21.31869111</v>
      </c>
      <c r="E3213" s="3">
        <f>VLOOKUP(A3213,airports!A:H,8,FALSE)</f>
        <v>-157.92240720000001</v>
      </c>
      <c r="F3213" s="3">
        <f>VLOOKUP(B3213,airports!A:H,7,FALSE)</f>
        <v>37.619001939999997</v>
      </c>
      <c r="G3213" s="3">
        <f>VLOOKUP(B3213,airports!A:H,8,FALSE)</f>
        <v>-122.37484329999999</v>
      </c>
      <c r="H3213">
        <f t="shared" si="100"/>
        <v>3856.9</v>
      </c>
      <c r="I3213">
        <f t="shared" si="101"/>
        <v>2396.6999999999998</v>
      </c>
    </row>
    <row r="3214" spans="1:9" x14ac:dyDescent="0.25">
      <c r="A3214" s="5" t="s">
        <v>360</v>
      </c>
      <c r="B3214" s="5" t="s">
        <v>131</v>
      </c>
      <c r="C3214" s="5" t="s">
        <v>3680</v>
      </c>
      <c r="D3214" s="3">
        <f>VLOOKUP(A3214,airports!A:H,7,FALSE)</f>
        <v>21.31869111</v>
      </c>
      <c r="E3214" s="3">
        <f>VLOOKUP(A3214,airports!A:H,8,FALSE)</f>
        <v>-157.92240720000001</v>
      </c>
      <c r="F3214" s="3">
        <f>VLOOKUP(B3214,airports!A:H,7,FALSE)</f>
        <v>37.361861939999997</v>
      </c>
      <c r="G3214" s="3">
        <f>VLOOKUP(B3214,airports!A:H,8,FALSE)</f>
        <v>-121.9290089</v>
      </c>
      <c r="H3214">
        <f t="shared" si="100"/>
        <v>3885.8</v>
      </c>
      <c r="I3214">
        <f t="shared" si="101"/>
        <v>2414.6999999999998</v>
      </c>
    </row>
    <row r="3215" spans="1:9" x14ac:dyDescent="0.25">
      <c r="A3215" s="5" t="s">
        <v>360</v>
      </c>
      <c r="B3215" s="5" t="s">
        <v>135</v>
      </c>
      <c r="C3215" s="5" t="s">
        <v>3681</v>
      </c>
      <c r="D3215" s="3">
        <f>VLOOKUP(A3215,airports!A:H,7,FALSE)</f>
        <v>21.31869111</v>
      </c>
      <c r="E3215" s="3">
        <f>VLOOKUP(A3215,airports!A:H,8,FALSE)</f>
        <v>-157.92240720000001</v>
      </c>
      <c r="F3215" s="3">
        <f>VLOOKUP(B3215,airports!A:H,7,FALSE)</f>
        <v>40.788387780000001</v>
      </c>
      <c r="G3215" s="3">
        <f>VLOOKUP(B3215,airports!A:H,8,FALSE)</f>
        <v>-111.97777309999999</v>
      </c>
      <c r="H3215">
        <f t="shared" si="100"/>
        <v>4813.1000000000004</v>
      </c>
      <c r="I3215">
        <f t="shared" si="101"/>
        <v>2990.9</v>
      </c>
    </row>
    <row r="3216" spans="1:9" ht="30" x14ac:dyDescent="0.25">
      <c r="A3216" s="5" t="s">
        <v>360</v>
      </c>
      <c r="B3216" s="5" t="s">
        <v>137</v>
      </c>
      <c r="C3216" s="5" t="s">
        <v>3682</v>
      </c>
      <c r="D3216" s="3">
        <f>VLOOKUP(A3216,airports!A:H,7,FALSE)</f>
        <v>21.31869111</v>
      </c>
      <c r="E3216" s="3">
        <f>VLOOKUP(A3216,airports!A:H,8,FALSE)</f>
        <v>-157.92240720000001</v>
      </c>
      <c r="F3216" s="3">
        <f>VLOOKUP(B3216,airports!A:H,7,FALSE)</f>
        <v>38.695421670000002</v>
      </c>
      <c r="G3216" s="3">
        <f>VLOOKUP(B3216,airports!A:H,8,FALSE)</f>
        <v>-121.59076690000001</v>
      </c>
      <c r="H3216">
        <f t="shared" si="100"/>
        <v>3959.4</v>
      </c>
      <c r="I3216">
        <f t="shared" si="101"/>
        <v>2460.4</v>
      </c>
    </row>
    <row r="3217" spans="1:9" ht="30" x14ac:dyDescent="0.25">
      <c r="A3217" s="5" t="s">
        <v>360</v>
      </c>
      <c r="B3217" s="5" t="s">
        <v>227</v>
      </c>
      <c r="C3217" s="5" t="s">
        <v>3683</v>
      </c>
      <c r="D3217" s="3">
        <f>VLOOKUP(A3217,airports!A:H,7,FALSE)</f>
        <v>21.31869111</v>
      </c>
      <c r="E3217" s="3">
        <f>VLOOKUP(A3217,airports!A:H,8,FALSE)</f>
        <v>-157.92240720000001</v>
      </c>
      <c r="F3217" s="3">
        <f>VLOOKUP(B3217,airports!A:H,7,FALSE)</f>
        <v>33.675658609999999</v>
      </c>
      <c r="G3217" s="3">
        <f>VLOOKUP(B3217,airports!A:H,8,FALSE)</f>
        <v>-117.8682225</v>
      </c>
      <c r="H3217">
        <f t="shared" si="100"/>
        <v>4152.7</v>
      </c>
      <c r="I3217">
        <f t="shared" si="101"/>
        <v>2580.5</v>
      </c>
    </row>
    <row r="3218" spans="1:9" ht="30" x14ac:dyDescent="0.25">
      <c r="A3218" s="5" t="s">
        <v>2389</v>
      </c>
      <c r="B3218" s="5" t="s">
        <v>47</v>
      </c>
      <c r="C3218" s="5" t="s">
        <v>3684</v>
      </c>
      <c r="D3218" s="3">
        <f>VLOOKUP(A3218,airports!A:H,7,FALSE)</f>
        <v>32.687527780000003</v>
      </c>
      <c r="E3218" s="3">
        <f>VLOOKUP(A3218,airports!A:H,8,FALSE)</f>
        <v>-103.2170278</v>
      </c>
      <c r="F3218" s="3">
        <f>VLOOKUP(B3218,airports!A:H,7,FALSE)</f>
        <v>39.858408060000002</v>
      </c>
      <c r="G3218" s="3">
        <f>VLOOKUP(B3218,airports!A:H,8,FALSE)</f>
        <v>-104.6670019</v>
      </c>
      <c r="H3218">
        <f t="shared" si="100"/>
        <v>807.9</v>
      </c>
      <c r="I3218">
        <f t="shared" si="101"/>
        <v>502</v>
      </c>
    </row>
    <row r="3219" spans="1:9" ht="30" x14ac:dyDescent="0.25">
      <c r="A3219" s="5" t="s">
        <v>2389</v>
      </c>
      <c r="B3219" s="5" t="s">
        <v>67</v>
      </c>
      <c r="C3219" s="5" t="s">
        <v>3685</v>
      </c>
      <c r="D3219" s="3">
        <f>VLOOKUP(A3219,airports!A:H,7,FALSE)</f>
        <v>32.687527780000003</v>
      </c>
      <c r="E3219" s="3">
        <f>VLOOKUP(A3219,airports!A:H,8,FALSE)</f>
        <v>-103.2170278</v>
      </c>
      <c r="F3219" s="3">
        <f>VLOOKUP(B3219,airports!A:H,7,FALSE)</f>
        <v>29.980472219999999</v>
      </c>
      <c r="G3219" s="3">
        <f>VLOOKUP(B3219,airports!A:H,8,FALSE)</f>
        <v>-95.339722219999999</v>
      </c>
      <c r="H3219">
        <f t="shared" si="100"/>
        <v>806.2</v>
      </c>
      <c r="I3219">
        <f t="shared" si="101"/>
        <v>501</v>
      </c>
    </row>
    <row r="3220" spans="1:9" ht="30" x14ac:dyDescent="0.25">
      <c r="A3220" s="5" t="s">
        <v>205</v>
      </c>
      <c r="B3220" s="5" t="s">
        <v>2</v>
      </c>
      <c r="C3220" s="5" t="s">
        <v>3686</v>
      </c>
      <c r="D3220" s="3">
        <f>VLOOKUP(A3220,airports!A:H,7,FALSE)</f>
        <v>29.64541861</v>
      </c>
      <c r="E3220" s="3">
        <f>VLOOKUP(A3220,airports!A:H,8,FALSE)</f>
        <v>-95.278888890000005</v>
      </c>
      <c r="F3220" s="3">
        <f>VLOOKUP(B3220,airports!A:H,7,FALSE)</f>
        <v>35.040222219999997</v>
      </c>
      <c r="G3220" s="3">
        <f>VLOOKUP(B3220,airports!A:H,8,FALSE)</f>
        <v>-106.60919440000001</v>
      </c>
      <c r="H3220">
        <f t="shared" si="100"/>
        <v>1220.5999999999999</v>
      </c>
      <c r="I3220">
        <f t="shared" si="101"/>
        <v>758.5</v>
      </c>
    </row>
    <row r="3221" spans="1:9" ht="30" x14ac:dyDescent="0.25">
      <c r="A3221" s="5" t="s">
        <v>205</v>
      </c>
      <c r="B3221" s="5" t="s">
        <v>327</v>
      </c>
      <c r="C3221" s="5" t="s">
        <v>3687</v>
      </c>
      <c r="D3221" s="3">
        <f>VLOOKUP(A3221,airports!A:H,7,FALSE)</f>
        <v>29.64541861</v>
      </c>
      <c r="E3221" s="3">
        <f>VLOOKUP(A3221,airports!A:H,8,FALSE)</f>
        <v>-95.278888890000005</v>
      </c>
      <c r="F3221" s="3">
        <f>VLOOKUP(B3221,airports!A:H,7,FALSE)</f>
        <v>35.219372499999999</v>
      </c>
      <c r="G3221" s="3">
        <f>VLOOKUP(B3221,airports!A:H,8,FALSE)</f>
        <v>-101.7059272</v>
      </c>
      <c r="H3221">
        <f t="shared" si="100"/>
        <v>864.4</v>
      </c>
      <c r="I3221">
        <f t="shared" si="101"/>
        <v>537.20000000000005</v>
      </c>
    </row>
    <row r="3222" spans="1:9" ht="30" x14ac:dyDescent="0.25">
      <c r="A3222" s="5" t="s">
        <v>205</v>
      </c>
      <c r="B3222" s="5" t="s">
        <v>10</v>
      </c>
      <c r="C3222" s="5" t="s">
        <v>3688</v>
      </c>
      <c r="D3222" s="3">
        <f>VLOOKUP(A3222,airports!A:H,7,FALSE)</f>
        <v>29.64541861</v>
      </c>
      <c r="E3222" s="3">
        <f>VLOOKUP(A3222,airports!A:H,8,FALSE)</f>
        <v>-95.278888890000005</v>
      </c>
      <c r="F3222" s="3">
        <f>VLOOKUP(B3222,airports!A:H,7,FALSE)</f>
        <v>33.640444440000003</v>
      </c>
      <c r="G3222" s="3">
        <f>VLOOKUP(B3222,airports!A:H,8,FALSE)</f>
        <v>-84.42694444</v>
      </c>
      <c r="H3222">
        <f t="shared" si="100"/>
        <v>1118.4000000000001</v>
      </c>
      <c r="I3222">
        <f t="shared" si="101"/>
        <v>695</v>
      </c>
    </row>
    <row r="3223" spans="1:9" ht="30" x14ac:dyDescent="0.25">
      <c r="A3223" s="5" t="s">
        <v>205</v>
      </c>
      <c r="B3223" s="5" t="s">
        <v>13</v>
      </c>
      <c r="C3223" s="5" t="s">
        <v>3689</v>
      </c>
      <c r="D3223" s="3">
        <f>VLOOKUP(A3223,airports!A:H,7,FALSE)</f>
        <v>29.64541861</v>
      </c>
      <c r="E3223" s="3">
        <f>VLOOKUP(A3223,airports!A:H,8,FALSE)</f>
        <v>-95.278888890000005</v>
      </c>
      <c r="F3223" s="3">
        <f>VLOOKUP(B3223,airports!A:H,7,FALSE)</f>
        <v>30.194532779999999</v>
      </c>
      <c r="G3223" s="3">
        <f>VLOOKUP(B3223,airports!A:H,8,FALSE)</f>
        <v>-97.669871939999993</v>
      </c>
      <c r="H3223">
        <f t="shared" si="100"/>
        <v>238.4</v>
      </c>
      <c r="I3223">
        <f t="shared" si="101"/>
        <v>148.1</v>
      </c>
    </row>
    <row r="3224" spans="1:9" ht="30" x14ac:dyDescent="0.25">
      <c r="A3224" s="5" t="s">
        <v>205</v>
      </c>
      <c r="B3224" s="5" t="s">
        <v>419</v>
      </c>
      <c r="C3224" s="5" t="s">
        <v>3690</v>
      </c>
      <c r="D3224" s="3">
        <f>VLOOKUP(A3224,airports!A:H,7,FALSE)</f>
        <v>29.64541861</v>
      </c>
      <c r="E3224" s="3">
        <f>VLOOKUP(A3224,airports!A:H,8,FALSE)</f>
        <v>-95.278888890000005</v>
      </c>
      <c r="F3224" s="3">
        <f>VLOOKUP(B3224,airports!A:H,7,FALSE)</f>
        <v>35.436194440000001</v>
      </c>
      <c r="G3224" s="3">
        <f>VLOOKUP(B3224,airports!A:H,8,FALSE)</f>
        <v>-82.54180556</v>
      </c>
      <c r="H3224">
        <f t="shared" si="100"/>
        <v>1354.9</v>
      </c>
      <c r="I3224">
        <f t="shared" si="101"/>
        <v>841.9</v>
      </c>
    </row>
    <row r="3225" spans="1:9" ht="30" x14ac:dyDescent="0.25">
      <c r="A3225" s="5" t="s">
        <v>205</v>
      </c>
      <c r="B3225" s="5" t="s">
        <v>329</v>
      </c>
      <c r="C3225" s="5" t="s">
        <v>3691</v>
      </c>
      <c r="D3225" s="3">
        <f>VLOOKUP(A3225,airports!A:H,7,FALSE)</f>
        <v>29.64541861</v>
      </c>
      <c r="E3225" s="3">
        <f>VLOOKUP(A3225,airports!A:H,8,FALSE)</f>
        <v>-95.278888890000005</v>
      </c>
      <c r="F3225" s="3">
        <f>VLOOKUP(B3225,airports!A:H,7,FALSE)</f>
        <v>33.308999999999997</v>
      </c>
      <c r="G3225" s="3">
        <f>VLOOKUP(B3225,airports!A:H,8,FALSE)</f>
        <v>-111.6559</v>
      </c>
      <c r="H3225">
        <f t="shared" si="100"/>
        <v>1603.7</v>
      </c>
      <c r="I3225">
        <f t="shared" si="101"/>
        <v>996.5</v>
      </c>
    </row>
    <row r="3226" spans="1:9" ht="30" x14ac:dyDescent="0.25">
      <c r="A3226" s="5" t="s">
        <v>205</v>
      </c>
      <c r="B3226" s="5" t="s">
        <v>425</v>
      </c>
      <c r="C3226" s="5" t="s">
        <v>3692</v>
      </c>
      <c r="D3226" s="3">
        <f>VLOOKUP(A3226,airports!A:H,7,FALSE)</f>
        <v>29.64541861</v>
      </c>
      <c r="E3226" s="3">
        <f>VLOOKUP(A3226,airports!A:H,8,FALSE)</f>
        <v>-95.278888890000005</v>
      </c>
      <c r="F3226" s="3">
        <f>VLOOKUP(B3226,airports!A:H,7,FALSE)</f>
        <v>33.562943060000002</v>
      </c>
      <c r="G3226" s="3">
        <f>VLOOKUP(B3226,airports!A:H,8,FALSE)</f>
        <v>-86.753549719999995</v>
      </c>
      <c r="H3226">
        <f t="shared" si="100"/>
        <v>916.9</v>
      </c>
      <c r="I3226">
        <f t="shared" si="101"/>
        <v>569.79999999999995</v>
      </c>
    </row>
    <row r="3227" spans="1:9" ht="30" x14ac:dyDescent="0.25">
      <c r="A3227" s="5" t="s">
        <v>205</v>
      </c>
      <c r="B3227" s="5" t="s">
        <v>19</v>
      </c>
      <c r="C3227" s="5" t="s">
        <v>3693</v>
      </c>
      <c r="D3227" s="3">
        <f>VLOOKUP(A3227,airports!A:H,7,FALSE)</f>
        <v>29.64541861</v>
      </c>
      <c r="E3227" s="3">
        <f>VLOOKUP(A3227,airports!A:H,8,FALSE)</f>
        <v>-95.278888890000005</v>
      </c>
      <c r="F3227" s="3">
        <f>VLOOKUP(B3227,airports!A:H,7,FALSE)</f>
        <v>36.12447667</v>
      </c>
      <c r="G3227" s="3">
        <f>VLOOKUP(B3227,airports!A:H,8,FALSE)</f>
        <v>-86.678182219999997</v>
      </c>
      <c r="H3227">
        <f t="shared" si="100"/>
        <v>1078</v>
      </c>
      <c r="I3227">
        <f t="shared" si="101"/>
        <v>669.9</v>
      </c>
    </row>
    <row r="3228" spans="1:9" ht="30" x14ac:dyDescent="0.25">
      <c r="A3228" s="5" t="s">
        <v>205</v>
      </c>
      <c r="B3228" s="5" t="s">
        <v>24</v>
      </c>
      <c r="C3228" s="5" t="s">
        <v>3694</v>
      </c>
      <c r="D3228" s="3">
        <f>VLOOKUP(A3228,airports!A:H,7,FALSE)</f>
        <v>29.64541861</v>
      </c>
      <c r="E3228" s="3">
        <f>VLOOKUP(A3228,airports!A:H,8,FALSE)</f>
        <v>-95.278888890000005</v>
      </c>
      <c r="F3228" s="3">
        <f>VLOOKUP(B3228,airports!A:H,7,FALSE)</f>
        <v>42.364347500000001</v>
      </c>
      <c r="G3228" s="3">
        <f>VLOOKUP(B3228,airports!A:H,8,FALSE)</f>
        <v>-71.005179170000005</v>
      </c>
      <c r="H3228">
        <f t="shared" si="100"/>
        <v>2586.9</v>
      </c>
      <c r="I3228">
        <f t="shared" si="101"/>
        <v>1607.5</v>
      </c>
    </row>
    <row r="3229" spans="1:9" ht="30" x14ac:dyDescent="0.25">
      <c r="A3229" s="5" t="s">
        <v>205</v>
      </c>
      <c r="B3229" s="5" t="s">
        <v>30</v>
      </c>
      <c r="C3229" s="5" t="s">
        <v>3695</v>
      </c>
      <c r="D3229" s="3">
        <f>VLOOKUP(A3229,airports!A:H,7,FALSE)</f>
        <v>29.64541861</v>
      </c>
      <c r="E3229" s="3">
        <f>VLOOKUP(A3229,airports!A:H,8,FALSE)</f>
        <v>-95.278888890000005</v>
      </c>
      <c r="F3229" s="3">
        <f>VLOOKUP(B3229,airports!A:H,7,FALSE)</f>
        <v>34.200619170000003</v>
      </c>
      <c r="G3229" s="3">
        <f>VLOOKUP(B3229,airports!A:H,8,FALSE)</f>
        <v>-118.35849690000001</v>
      </c>
      <c r="H3229">
        <f t="shared" si="100"/>
        <v>2231</v>
      </c>
      <c r="I3229">
        <f t="shared" si="101"/>
        <v>1386.4</v>
      </c>
    </row>
    <row r="3230" spans="1:9" ht="30" x14ac:dyDescent="0.25">
      <c r="A3230" s="5" t="s">
        <v>205</v>
      </c>
      <c r="B3230" s="5" t="s">
        <v>32</v>
      </c>
      <c r="C3230" s="5" t="s">
        <v>3696</v>
      </c>
      <c r="D3230" s="3">
        <f>VLOOKUP(A3230,airports!A:H,7,FALSE)</f>
        <v>29.64541861</v>
      </c>
      <c r="E3230" s="3">
        <f>VLOOKUP(A3230,airports!A:H,8,FALSE)</f>
        <v>-95.278888890000005</v>
      </c>
      <c r="F3230" s="3">
        <f>VLOOKUP(B3230,airports!A:H,7,FALSE)</f>
        <v>39.175401669999999</v>
      </c>
      <c r="G3230" s="3">
        <f>VLOOKUP(B3230,airports!A:H,8,FALSE)</f>
        <v>-76.668198329999996</v>
      </c>
      <c r="H3230">
        <f t="shared" si="100"/>
        <v>2003.3</v>
      </c>
      <c r="I3230">
        <f t="shared" si="101"/>
        <v>1244.9000000000001</v>
      </c>
    </row>
    <row r="3231" spans="1:9" ht="30" x14ac:dyDescent="0.25">
      <c r="A3231" s="5" t="s">
        <v>205</v>
      </c>
      <c r="B3231" s="5" t="s">
        <v>36</v>
      </c>
      <c r="C3231" s="5" t="s">
        <v>3697</v>
      </c>
      <c r="D3231" s="3">
        <f>VLOOKUP(A3231,airports!A:H,7,FALSE)</f>
        <v>29.64541861</v>
      </c>
      <c r="E3231" s="3">
        <f>VLOOKUP(A3231,airports!A:H,8,FALSE)</f>
        <v>-95.278888890000005</v>
      </c>
      <c r="F3231" s="3">
        <f>VLOOKUP(B3231,airports!A:H,7,FALSE)</f>
        <v>32.898646390000003</v>
      </c>
      <c r="G3231" s="3">
        <f>VLOOKUP(B3231,airports!A:H,8,FALSE)</f>
        <v>-80.040505830000001</v>
      </c>
      <c r="H3231">
        <f t="shared" si="100"/>
        <v>1491.2</v>
      </c>
      <c r="I3231">
        <f t="shared" si="101"/>
        <v>926.7</v>
      </c>
    </row>
    <row r="3232" spans="1:9" ht="30" x14ac:dyDescent="0.25">
      <c r="A3232" s="5" t="s">
        <v>205</v>
      </c>
      <c r="B3232" s="5" t="s">
        <v>38</v>
      </c>
      <c r="C3232" s="5" t="s">
        <v>3698</v>
      </c>
      <c r="D3232" s="3">
        <f>VLOOKUP(A3232,airports!A:H,7,FALSE)</f>
        <v>29.64541861</v>
      </c>
      <c r="E3232" s="3">
        <f>VLOOKUP(A3232,airports!A:H,8,FALSE)</f>
        <v>-95.278888890000005</v>
      </c>
      <c r="F3232" s="3">
        <f>VLOOKUP(B3232,airports!A:H,7,FALSE)</f>
        <v>41.410894169999999</v>
      </c>
      <c r="G3232" s="3">
        <f>VLOOKUP(B3232,airports!A:H,8,FALSE)</f>
        <v>-81.849396670000004</v>
      </c>
      <c r="H3232">
        <f t="shared" si="100"/>
        <v>1781.3</v>
      </c>
      <c r="I3232">
        <f t="shared" si="101"/>
        <v>1106.9000000000001</v>
      </c>
    </row>
    <row r="3233" spans="1:9" ht="30" x14ac:dyDescent="0.25">
      <c r="A3233" s="5" t="s">
        <v>205</v>
      </c>
      <c r="B3233" s="5" t="s">
        <v>40</v>
      </c>
      <c r="C3233" s="5" t="s">
        <v>3699</v>
      </c>
      <c r="D3233" s="3">
        <f>VLOOKUP(A3233,airports!A:H,7,FALSE)</f>
        <v>29.64541861</v>
      </c>
      <c r="E3233" s="3">
        <f>VLOOKUP(A3233,airports!A:H,8,FALSE)</f>
        <v>-95.278888890000005</v>
      </c>
      <c r="F3233" s="3">
        <f>VLOOKUP(B3233,airports!A:H,7,FALSE)</f>
        <v>35.214011110000001</v>
      </c>
      <c r="G3233" s="3">
        <f>VLOOKUP(B3233,airports!A:H,8,FALSE)</f>
        <v>-80.94312583</v>
      </c>
      <c r="H3233">
        <f t="shared" si="100"/>
        <v>1479.1</v>
      </c>
      <c r="I3233">
        <f t="shared" si="101"/>
        <v>919.1</v>
      </c>
    </row>
    <row r="3234" spans="1:9" ht="30" x14ac:dyDescent="0.25">
      <c r="A3234" s="5" t="s">
        <v>205</v>
      </c>
      <c r="B3234" s="5" t="s">
        <v>454</v>
      </c>
      <c r="C3234" s="5" t="s">
        <v>3700</v>
      </c>
      <c r="D3234" s="3">
        <f>VLOOKUP(A3234,airports!A:H,7,FALSE)</f>
        <v>29.64541861</v>
      </c>
      <c r="E3234" s="3">
        <f>VLOOKUP(A3234,airports!A:H,8,FALSE)</f>
        <v>-95.278888890000005</v>
      </c>
      <c r="F3234" s="3">
        <f>VLOOKUP(B3234,airports!A:H,7,FALSE)</f>
        <v>39.997985280000002</v>
      </c>
      <c r="G3234" s="3">
        <f>VLOOKUP(B3234,airports!A:H,8,FALSE)</f>
        <v>-82.891882780000003</v>
      </c>
      <c r="H3234">
        <f t="shared" si="100"/>
        <v>1610.4</v>
      </c>
      <c r="I3234">
        <f t="shared" si="101"/>
        <v>1000.7</v>
      </c>
    </row>
    <row r="3235" spans="1:9" ht="30" x14ac:dyDescent="0.25">
      <c r="A3235" s="5" t="s">
        <v>205</v>
      </c>
      <c r="B3235" s="5" t="s">
        <v>456</v>
      </c>
      <c r="C3235" s="5" t="s">
        <v>3701</v>
      </c>
      <c r="D3235" s="3">
        <f>VLOOKUP(A3235,airports!A:H,7,FALSE)</f>
        <v>29.64541861</v>
      </c>
      <c r="E3235" s="3">
        <f>VLOOKUP(A3235,airports!A:H,8,FALSE)</f>
        <v>-95.278888890000005</v>
      </c>
      <c r="F3235" s="3">
        <f>VLOOKUP(B3235,airports!A:H,7,FALSE)</f>
        <v>38.805805560000003</v>
      </c>
      <c r="G3235" s="3">
        <f>VLOOKUP(B3235,airports!A:H,8,FALSE)</f>
        <v>-104.70025</v>
      </c>
      <c r="H3235">
        <f t="shared" si="100"/>
        <v>1335.5</v>
      </c>
      <c r="I3235">
        <f t="shared" si="101"/>
        <v>829.9</v>
      </c>
    </row>
    <row r="3236" spans="1:9" ht="30" x14ac:dyDescent="0.25">
      <c r="A3236" s="5" t="s">
        <v>205</v>
      </c>
      <c r="B3236" s="5" t="s">
        <v>1987</v>
      </c>
      <c r="C3236" s="5" t="s">
        <v>3702</v>
      </c>
      <c r="D3236" s="3">
        <f>VLOOKUP(A3236,airports!A:H,7,FALSE)</f>
        <v>29.64541861</v>
      </c>
      <c r="E3236" s="3">
        <f>VLOOKUP(A3236,airports!A:H,8,FALSE)</f>
        <v>-95.278888890000005</v>
      </c>
      <c r="F3236" s="3">
        <f>VLOOKUP(B3236,airports!A:H,7,FALSE)</f>
        <v>27.770360830000001</v>
      </c>
      <c r="G3236" s="3">
        <f>VLOOKUP(B3236,airports!A:H,8,FALSE)</f>
        <v>-97.501215279999997</v>
      </c>
      <c r="H3236">
        <f t="shared" si="100"/>
        <v>300.7</v>
      </c>
      <c r="I3236">
        <f t="shared" si="101"/>
        <v>186.9</v>
      </c>
    </row>
    <row r="3237" spans="1:9" ht="30" x14ac:dyDescent="0.25">
      <c r="A3237" s="5" t="s">
        <v>205</v>
      </c>
      <c r="B3237" s="5" t="s">
        <v>462</v>
      </c>
      <c r="C3237" s="5" t="s">
        <v>3703</v>
      </c>
      <c r="D3237" s="3">
        <f>VLOOKUP(A3237,airports!A:H,7,FALSE)</f>
        <v>29.64541861</v>
      </c>
      <c r="E3237" s="3">
        <f>VLOOKUP(A3237,airports!A:H,8,FALSE)</f>
        <v>-95.278888890000005</v>
      </c>
      <c r="F3237" s="3">
        <f>VLOOKUP(B3237,airports!A:H,7,FALSE)</f>
        <v>39.046142779999997</v>
      </c>
      <c r="G3237" s="3">
        <f>VLOOKUP(B3237,airports!A:H,8,FALSE)</f>
        <v>-84.662172499999997</v>
      </c>
      <c r="H3237">
        <f t="shared" si="100"/>
        <v>1427.1</v>
      </c>
      <c r="I3237">
        <f t="shared" si="101"/>
        <v>886.8</v>
      </c>
    </row>
    <row r="3238" spans="1:9" ht="30" x14ac:dyDescent="0.25">
      <c r="A3238" s="5" t="s">
        <v>205</v>
      </c>
      <c r="B3238" s="5" t="s">
        <v>201</v>
      </c>
      <c r="C3238" s="5" t="s">
        <v>3704</v>
      </c>
      <c r="D3238" s="3">
        <f>VLOOKUP(A3238,airports!A:H,7,FALSE)</f>
        <v>29.64541861</v>
      </c>
      <c r="E3238" s="3">
        <f>VLOOKUP(A3238,airports!A:H,8,FALSE)</f>
        <v>-95.278888890000005</v>
      </c>
      <c r="F3238" s="3">
        <f>VLOOKUP(B3238,airports!A:H,7,FALSE)</f>
        <v>32.847113890000003</v>
      </c>
      <c r="G3238" s="3">
        <f>VLOOKUP(B3238,airports!A:H,8,FALSE)</f>
        <v>-96.851772220000001</v>
      </c>
      <c r="H3238">
        <f t="shared" si="100"/>
        <v>386.1</v>
      </c>
      <c r="I3238">
        <f t="shared" si="101"/>
        <v>239.9</v>
      </c>
    </row>
    <row r="3239" spans="1:9" ht="30" x14ac:dyDescent="0.25">
      <c r="A3239" s="5" t="s">
        <v>205</v>
      </c>
      <c r="B3239" s="5" t="s">
        <v>45</v>
      </c>
      <c r="C3239" s="5" t="s">
        <v>3705</v>
      </c>
      <c r="D3239" s="3">
        <f>VLOOKUP(A3239,airports!A:H,7,FALSE)</f>
        <v>29.64541861</v>
      </c>
      <c r="E3239" s="3">
        <f>VLOOKUP(A3239,airports!A:H,8,FALSE)</f>
        <v>-95.278888890000005</v>
      </c>
      <c r="F3239" s="3">
        <f>VLOOKUP(B3239,airports!A:H,7,FALSE)</f>
        <v>38.852083329999999</v>
      </c>
      <c r="G3239" s="3">
        <f>VLOOKUP(B3239,airports!A:H,8,FALSE)</f>
        <v>-77.037722220000006</v>
      </c>
      <c r="H3239">
        <f t="shared" si="100"/>
        <v>1958.8</v>
      </c>
      <c r="I3239">
        <f t="shared" si="101"/>
        <v>1217.2</v>
      </c>
    </row>
    <row r="3240" spans="1:9" ht="30" x14ac:dyDescent="0.25">
      <c r="A3240" s="5" t="s">
        <v>205</v>
      </c>
      <c r="B3240" s="5" t="s">
        <v>47</v>
      </c>
      <c r="C3240" s="5" t="s">
        <v>3706</v>
      </c>
      <c r="D3240" s="3">
        <f>VLOOKUP(A3240,airports!A:H,7,FALSE)</f>
        <v>29.64541861</v>
      </c>
      <c r="E3240" s="3">
        <f>VLOOKUP(A3240,airports!A:H,8,FALSE)</f>
        <v>-95.278888890000005</v>
      </c>
      <c r="F3240" s="3">
        <f>VLOOKUP(B3240,airports!A:H,7,FALSE)</f>
        <v>39.858408060000002</v>
      </c>
      <c r="G3240" s="3">
        <f>VLOOKUP(B3240,airports!A:H,8,FALSE)</f>
        <v>-104.6670019</v>
      </c>
      <c r="H3240">
        <f t="shared" si="100"/>
        <v>1421.3</v>
      </c>
      <c r="I3240">
        <f t="shared" si="101"/>
        <v>883.2</v>
      </c>
    </row>
    <row r="3241" spans="1:9" ht="30" x14ac:dyDescent="0.25">
      <c r="A3241" s="5" t="s">
        <v>205</v>
      </c>
      <c r="B3241" s="5" t="s">
        <v>49</v>
      </c>
      <c r="C3241" s="5" t="s">
        <v>3707</v>
      </c>
      <c r="D3241" s="3">
        <f>VLOOKUP(A3241,airports!A:H,7,FALSE)</f>
        <v>29.64541861</v>
      </c>
      <c r="E3241" s="3">
        <f>VLOOKUP(A3241,airports!A:H,8,FALSE)</f>
        <v>-95.278888890000005</v>
      </c>
      <c r="F3241" s="3">
        <f>VLOOKUP(B3241,airports!A:H,7,FALSE)</f>
        <v>32.895950560000003</v>
      </c>
      <c r="G3241" s="3">
        <f>VLOOKUP(B3241,airports!A:H,8,FALSE)</f>
        <v>-97.037199999999999</v>
      </c>
      <c r="H3241">
        <f t="shared" si="100"/>
        <v>398.2</v>
      </c>
      <c r="I3241">
        <f t="shared" si="101"/>
        <v>247.4</v>
      </c>
    </row>
    <row r="3242" spans="1:9" ht="30" x14ac:dyDescent="0.25">
      <c r="A3242" s="5" t="s">
        <v>205</v>
      </c>
      <c r="B3242" s="5" t="s">
        <v>474</v>
      </c>
      <c r="C3242" s="5" t="s">
        <v>3708</v>
      </c>
      <c r="D3242" s="3">
        <f>VLOOKUP(A3242,airports!A:H,7,FALSE)</f>
        <v>29.64541861</v>
      </c>
      <c r="E3242" s="3">
        <f>VLOOKUP(A3242,airports!A:H,8,FALSE)</f>
        <v>-95.278888890000005</v>
      </c>
      <c r="F3242" s="3">
        <f>VLOOKUP(B3242,airports!A:H,7,FALSE)</f>
        <v>41.53493306</v>
      </c>
      <c r="G3242" s="3">
        <f>VLOOKUP(B3242,airports!A:H,8,FALSE)</f>
        <v>-93.660682219999998</v>
      </c>
      <c r="H3242">
        <f t="shared" si="100"/>
        <v>1330.1</v>
      </c>
      <c r="I3242">
        <f t="shared" si="101"/>
        <v>826.5</v>
      </c>
    </row>
    <row r="3243" spans="1:9" ht="30" x14ac:dyDescent="0.25">
      <c r="A3243" s="5" t="s">
        <v>205</v>
      </c>
      <c r="B3243" s="5" t="s">
        <v>50</v>
      </c>
      <c r="C3243" s="5" t="s">
        <v>3709</v>
      </c>
      <c r="D3243" s="3">
        <f>VLOOKUP(A3243,airports!A:H,7,FALSE)</f>
        <v>29.64541861</v>
      </c>
      <c r="E3243" s="3">
        <f>VLOOKUP(A3243,airports!A:H,8,FALSE)</f>
        <v>-95.278888890000005</v>
      </c>
      <c r="F3243" s="3">
        <f>VLOOKUP(B3243,airports!A:H,7,FALSE)</f>
        <v>42.212058890000002</v>
      </c>
      <c r="G3243" s="3">
        <f>VLOOKUP(B3243,airports!A:H,8,FALSE)</f>
        <v>-83.348835829999999</v>
      </c>
      <c r="H3243">
        <f t="shared" si="100"/>
        <v>1758.7</v>
      </c>
      <c r="I3243">
        <f t="shared" si="101"/>
        <v>1092.9000000000001</v>
      </c>
    </row>
    <row r="3244" spans="1:9" ht="30" x14ac:dyDescent="0.25">
      <c r="A3244" s="5" t="s">
        <v>205</v>
      </c>
      <c r="B3244" s="5" t="s">
        <v>477</v>
      </c>
      <c r="C3244" s="5" t="s">
        <v>3710</v>
      </c>
      <c r="D3244" s="3">
        <f>VLOOKUP(A3244,airports!A:H,7,FALSE)</f>
        <v>29.64541861</v>
      </c>
      <c r="E3244" s="3">
        <f>VLOOKUP(A3244,airports!A:H,8,FALSE)</f>
        <v>-95.278888890000005</v>
      </c>
      <c r="F3244" s="3">
        <f>VLOOKUP(B3244,airports!A:H,7,FALSE)</f>
        <v>30.357106000000002</v>
      </c>
      <c r="G3244" s="3">
        <f>VLOOKUP(B3244,airports!A:H,8,FALSE)</f>
        <v>-85.795413999999994</v>
      </c>
      <c r="H3244">
        <f t="shared" si="100"/>
        <v>916.4</v>
      </c>
      <c r="I3244">
        <f t="shared" si="101"/>
        <v>569.4</v>
      </c>
    </row>
    <row r="3245" spans="1:9" ht="30" x14ac:dyDescent="0.25">
      <c r="A3245" s="5" t="s">
        <v>205</v>
      </c>
      <c r="B3245" s="5" t="s">
        <v>483</v>
      </c>
      <c r="C3245" s="5" t="s">
        <v>3711</v>
      </c>
      <c r="D3245" s="3">
        <f>VLOOKUP(A3245,airports!A:H,7,FALSE)</f>
        <v>29.64541861</v>
      </c>
      <c r="E3245" s="3">
        <f>VLOOKUP(A3245,airports!A:H,8,FALSE)</f>
        <v>-95.278888890000005</v>
      </c>
      <c r="F3245" s="3">
        <f>VLOOKUP(B3245,airports!A:H,7,FALSE)</f>
        <v>31.806666669999998</v>
      </c>
      <c r="G3245" s="3">
        <f>VLOOKUP(B3245,airports!A:H,8,FALSE)</f>
        <v>-106.3778056</v>
      </c>
      <c r="H3245">
        <f t="shared" si="100"/>
        <v>1087.2</v>
      </c>
      <c r="I3245">
        <f t="shared" si="101"/>
        <v>675.6</v>
      </c>
    </row>
    <row r="3246" spans="1:9" ht="30" x14ac:dyDescent="0.25">
      <c r="A3246" s="5" t="s">
        <v>205</v>
      </c>
      <c r="B3246" s="5" t="s">
        <v>57</v>
      </c>
      <c r="C3246" s="5" t="s">
        <v>3712</v>
      </c>
      <c r="D3246" s="3">
        <f>VLOOKUP(A3246,airports!A:H,7,FALSE)</f>
        <v>29.64541861</v>
      </c>
      <c r="E3246" s="3">
        <f>VLOOKUP(A3246,airports!A:H,8,FALSE)</f>
        <v>-95.278888890000005</v>
      </c>
      <c r="F3246" s="3">
        <f>VLOOKUP(B3246,airports!A:H,7,FALSE)</f>
        <v>26.072583330000001</v>
      </c>
      <c r="G3246" s="3">
        <f>VLOOKUP(B3246,airports!A:H,8,FALSE)</f>
        <v>-80.152749999999997</v>
      </c>
      <c r="H3246">
        <f t="shared" si="100"/>
        <v>1537.8</v>
      </c>
      <c r="I3246">
        <f t="shared" si="101"/>
        <v>955.6</v>
      </c>
    </row>
    <row r="3247" spans="1:9" ht="30" x14ac:dyDescent="0.25">
      <c r="A3247" s="5" t="s">
        <v>205</v>
      </c>
      <c r="B3247" s="5" t="s">
        <v>519</v>
      </c>
      <c r="C3247" s="5" t="s">
        <v>3713</v>
      </c>
      <c r="D3247" s="3">
        <f>VLOOKUP(A3247,airports!A:H,7,FALSE)</f>
        <v>29.64541861</v>
      </c>
      <c r="E3247" s="3">
        <f>VLOOKUP(A3247,airports!A:H,8,FALSE)</f>
        <v>-95.278888890000005</v>
      </c>
      <c r="F3247" s="3">
        <f>VLOOKUP(B3247,airports!A:H,7,FALSE)</f>
        <v>34.89566722</v>
      </c>
      <c r="G3247" s="3">
        <f>VLOOKUP(B3247,airports!A:H,8,FALSE)</f>
        <v>-82.218858330000003</v>
      </c>
      <c r="H3247">
        <f t="shared" si="100"/>
        <v>1358.1</v>
      </c>
      <c r="I3247">
        <f t="shared" si="101"/>
        <v>843.9</v>
      </c>
    </row>
    <row r="3248" spans="1:9" ht="30" x14ac:dyDescent="0.25">
      <c r="A3248" s="5" t="s">
        <v>205</v>
      </c>
      <c r="B3248" s="5" t="s">
        <v>64</v>
      </c>
      <c r="C3248" s="5" t="s">
        <v>3714</v>
      </c>
      <c r="D3248" s="3">
        <f>VLOOKUP(A3248,airports!A:H,7,FALSE)</f>
        <v>29.64541861</v>
      </c>
      <c r="E3248" s="3">
        <f>VLOOKUP(A3248,airports!A:H,8,FALSE)</f>
        <v>-95.278888890000005</v>
      </c>
      <c r="F3248" s="3">
        <f>VLOOKUP(B3248,airports!A:H,7,FALSE)</f>
        <v>40.481180279999997</v>
      </c>
      <c r="G3248" s="3">
        <f>VLOOKUP(B3248,airports!A:H,8,FALSE)</f>
        <v>-107.2176597</v>
      </c>
      <c r="H3248">
        <f t="shared" si="100"/>
        <v>1619.4</v>
      </c>
      <c r="I3248">
        <f t="shared" si="101"/>
        <v>1006.3</v>
      </c>
    </row>
    <row r="3249" spans="1:9" ht="30" x14ac:dyDescent="0.25">
      <c r="A3249" s="5" t="s">
        <v>205</v>
      </c>
      <c r="B3249" s="5" t="s">
        <v>729</v>
      </c>
      <c r="C3249" s="5" t="s">
        <v>3715</v>
      </c>
      <c r="D3249" s="3">
        <f>VLOOKUP(A3249,airports!A:H,7,FALSE)</f>
        <v>29.64541861</v>
      </c>
      <c r="E3249" s="3">
        <f>VLOOKUP(A3249,airports!A:H,8,FALSE)</f>
        <v>-95.278888890000005</v>
      </c>
      <c r="F3249" s="3">
        <f>VLOOKUP(B3249,airports!A:H,7,FALSE)</f>
        <v>26.228506110000001</v>
      </c>
      <c r="G3249" s="3">
        <f>VLOOKUP(B3249,airports!A:H,8,FALSE)</f>
        <v>-97.654393889999994</v>
      </c>
      <c r="H3249">
        <f t="shared" si="100"/>
        <v>445.9</v>
      </c>
      <c r="I3249">
        <f t="shared" si="101"/>
        <v>277.10000000000002</v>
      </c>
    </row>
    <row r="3250" spans="1:9" ht="30" x14ac:dyDescent="0.25">
      <c r="A3250" s="5" t="s">
        <v>205</v>
      </c>
      <c r="B3250" s="5" t="s">
        <v>533</v>
      </c>
      <c r="C3250" s="5" t="s">
        <v>3716</v>
      </c>
      <c r="D3250" s="3">
        <f>VLOOKUP(A3250,airports!A:H,7,FALSE)</f>
        <v>29.64541861</v>
      </c>
      <c r="E3250" s="3">
        <f>VLOOKUP(A3250,airports!A:H,8,FALSE)</f>
        <v>-95.278888890000005</v>
      </c>
      <c r="F3250" s="3">
        <f>VLOOKUP(B3250,airports!A:H,7,FALSE)</f>
        <v>37.649958890000001</v>
      </c>
      <c r="G3250" s="3">
        <f>VLOOKUP(B3250,airports!A:H,8,FALSE)</f>
        <v>-97.433045829999998</v>
      </c>
      <c r="H3250">
        <f t="shared" si="100"/>
        <v>912</v>
      </c>
      <c r="I3250">
        <f t="shared" si="101"/>
        <v>566.79999999999995</v>
      </c>
    </row>
    <row r="3251" spans="1:9" ht="30" x14ac:dyDescent="0.25">
      <c r="A3251" s="5" t="s">
        <v>205</v>
      </c>
      <c r="B3251" s="5" t="s">
        <v>537</v>
      </c>
      <c r="C3251" s="5" t="s">
        <v>3717</v>
      </c>
      <c r="D3251" s="3">
        <f>VLOOKUP(A3251,airports!A:H,7,FALSE)</f>
        <v>29.64541861</v>
      </c>
      <c r="E3251" s="3">
        <f>VLOOKUP(A3251,airports!A:H,8,FALSE)</f>
        <v>-95.278888890000005</v>
      </c>
      <c r="F3251" s="3">
        <f>VLOOKUP(B3251,airports!A:H,7,FALSE)</f>
        <v>39.717329169999999</v>
      </c>
      <c r="G3251" s="3">
        <f>VLOOKUP(B3251,airports!A:H,8,FALSE)</f>
        <v>-86.294384170000001</v>
      </c>
      <c r="H3251">
        <f t="shared" si="100"/>
        <v>1387.3</v>
      </c>
      <c r="I3251">
        <f t="shared" si="101"/>
        <v>862.1</v>
      </c>
    </row>
    <row r="3252" spans="1:9" ht="30" x14ac:dyDescent="0.25">
      <c r="A3252" s="5" t="s">
        <v>205</v>
      </c>
      <c r="B3252" s="5" t="s">
        <v>543</v>
      </c>
      <c r="C3252" s="5" t="s">
        <v>3718</v>
      </c>
      <c r="D3252" s="3">
        <f>VLOOKUP(A3252,airports!A:H,7,FALSE)</f>
        <v>29.64541861</v>
      </c>
      <c r="E3252" s="3">
        <f>VLOOKUP(A3252,airports!A:H,8,FALSE)</f>
        <v>-95.278888890000005</v>
      </c>
      <c r="F3252" s="3">
        <f>VLOOKUP(B3252,airports!A:H,7,FALSE)</f>
        <v>32.311166669999999</v>
      </c>
      <c r="G3252" s="3">
        <f>VLOOKUP(B3252,airports!A:H,8,FALSE)</f>
        <v>-90.075888890000002</v>
      </c>
      <c r="H3252">
        <f t="shared" si="100"/>
        <v>577.70000000000005</v>
      </c>
      <c r="I3252">
        <f t="shared" si="101"/>
        <v>359</v>
      </c>
    </row>
    <row r="3253" spans="1:9" ht="30" x14ac:dyDescent="0.25">
      <c r="A3253" s="5" t="s">
        <v>205</v>
      </c>
      <c r="B3253" s="5" t="s">
        <v>68</v>
      </c>
      <c r="C3253" s="5" t="s">
        <v>3719</v>
      </c>
      <c r="D3253" s="3">
        <f>VLOOKUP(A3253,airports!A:H,7,FALSE)</f>
        <v>29.64541861</v>
      </c>
      <c r="E3253" s="3">
        <f>VLOOKUP(A3253,airports!A:H,8,FALSE)</f>
        <v>-95.278888890000005</v>
      </c>
      <c r="F3253" s="3">
        <f>VLOOKUP(B3253,airports!A:H,7,FALSE)</f>
        <v>30.49405556</v>
      </c>
      <c r="G3253" s="3">
        <f>VLOOKUP(B3253,airports!A:H,8,FALSE)</f>
        <v>-81.68786111</v>
      </c>
      <c r="H3253">
        <f t="shared" si="100"/>
        <v>1310.5</v>
      </c>
      <c r="I3253">
        <f t="shared" si="101"/>
        <v>814.3</v>
      </c>
    </row>
    <row r="3254" spans="1:9" ht="30" x14ac:dyDescent="0.25">
      <c r="A3254" s="5" t="s">
        <v>205</v>
      </c>
      <c r="B3254" s="5" t="s">
        <v>69</v>
      </c>
      <c r="C3254" s="5" t="s">
        <v>3720</v>
      </c>
      <c r="D3254" s="3">
        <f>VLOOKUP(A3254,airports!A:H,7,FALSE)</f>
        <v>29.64541861</v>
      </c>
      <c r="E3254" s="3">
        <f>VLOOKUP(A3254,airports!A:H,8,FALSE)</f>
        <v>-95.278888890000005</v>
      </c>
      <c r="F3254" s="3">
        <f>VLOOKUP(B3254,airports!A:H,7,FALSE)</f>
        <v>40.639751109999999</v>
      </c>
      <c r="G3254" s="3">
        <f>VLOOKUP(B3254,airports!A:H,8,FALSE)</f>
        <v>-73.778925560000005</v>
      </c>
      <c r="H3254">
        <f t="shared" si="100"/>
        <v>2296.1</v>
      </c>
      <c r="I3254">
        <f t="shared" si="101"/>
        <v>1426.8</v>
      </c>
    </row>
    <row r="3255" spans="1:9" ht="30" x14ac:dyDescent="0.25">
      <c r="A3255" s="5" t="s">
        <v>205</v>
      </c>
      <c r="B3255" s="5" t="s">
        <v>71</v>
      </c>
      <c r="C3255" s="5" t="s">
        <v>3721</v>
      </c>
      <c r="D3255" s="3">
        <f>VLOOKUP(A3255,airports!A:H,7,FALSE)</f>
        <v>29.64541861</v>
      </c>
      <c r="E3255" s="3">
        <f>VLOOKUP(A3255,airports!A:H,8,FALSE)</f>
        <v>-95.278888890000005</v>
      </c>
      <c r="F3255" s="3">
        <f>VLOOKUP(B3255,airports!A:H,7,FALSE)</f>
        <v>36.080361109999998</v>
      </c>
      <c r="G3255" s="3">
        <f>VLOOKUP(B3255,airports!A:H,8,FALSE)</f>
        <v>-115.1523333</v>
      </c>
      <c r="H3255">
        <f t="shared" si="100"/>
        <v>1984.7</v>
      </c>
      <c r="I3255">
        <f t="shared" si="101"/>
        <v>1233.3</v>
      </c>
    </row>
    <row r="3256" spans="1:9" ht="30" x14ac:dyDescent="0.25">
      <c r="A3256" s="5" t="s">
        <v>205</v>
      </c>
      <c r="B3256" s="5" t="s">
        <v>73</v>
      </c>
      <c r="C3256" s="5" t="s">
        <v>3722</v>
      </c>
      <c r="D3256" s="3">
        <f>VLOOKUP(A3256,airports!A:H,7,FALSE)</f>
        <v>29.64541861</v>
      </c>
      <c r="E3256" s="3">
        <f>VLOOKUP(A3256,airports!A:H,8,FALSE)</f>
        <v>-95.278888890000005</v>
      </c>
      <c r="F3256" s="3">
        <f>VLOOKUP(B3256,airports!A:H,7,FALSE)</f>
        <v>33.942536109999999</v>
      </c>
      <c r="G3256" s="3">
        <f>VLOOKUP(B3256,airports!A:H,8,FALSE)</f>
        <v>-118.4080744</v>
      </c>
      <c r="H3256">
        <f t="shared" si="100"/>
        <v>2232.4</v>
      </c>
      <c r="I3256">
        <f t="shared" si="101"/>
        <v>1387.2</v>
      </c>
    </row>
    <row r="3257" spans="1:9" ht="30" x14ac:dyDescent="0.25">
      <c r="A3257" s="5" t="s">
        <v>205</v>
      </c>
      <c r="B3257" s="5" t="s">
        <v>738</v>
      </c>
      <c r="C3257" s="5" t="s">
        <v>3723</v>
      </c>
      <c r="D3257" s="3">
        <f>VLOOKUP(A3257,airports!A:H,7,FALSE)</f>
        <v>29.64541861</v>
      </c>
      <c r="E3257" s="3">
        <f>VLOOKUP(A3257,airports!A:H,8,FALSE)</f>
        <v>-95.278888890000005</v>
      </c>
      <c r="F3257" s="3">
        <f>VLOOKUP(B3257,airports!A:H,7,FALSE)</f>
        <v>33.663638890000001</v>
      </c>
      <c r="G3257" s="3">
        <f>VLOOKUP(B3257,airports!A:H,8,FALSE)</f>
        <v>-101.8227778</v>
      </c>
      <c r="H3257">
        <f t="shared" si="100"/>
        <v>763.4</v>
      </c>
      <c r="I3257">
        <f t="shared" si="101"/>
        <v>474.4</v>
      </c>
    </row>
    <row r="3258" spans="1:9" ht="30" x14ac:dyDescent="0.25">
      <c r="A3258" s="5" t="s">
        <v>205</v>
      </c>
      <c r="B3258" s="5" t="s">
        <v>549</v>
      </c>
      <c r="C3258" s="5" t="s">
        <v>3724</v>
      </c>
      <c r="D3258" s="3">
        <f>VLOOKUP(A3258,airports!A:H,7,FALSE)</f>
        <v>29.64541861</v>
      </c>
      <c r="E3258" s="3">
        <f>VLOOKUP(A3258,airports!A:H,8,FALSE)</f>
        <v>-95.278888890000005</v>
      </c>
      <c r="F3258" s="3">
        <f>VLOOKUP(B3258,airports!A:H,7,FALSE)</f>
        <v>38.036972220000003</v>
      </c>
      <c r="G3258" s="3">
        <f>VLOOKUP(B3258,airports!A:H,8,FALSE)</f>
        <v>-84.60538889</v>
      </c>
      <c r="H3258">
        <f t="shared" si="100"/>
        <v>1355.5</v>
      </c>
      <c r="I3258">
        <f t="shared" si="101"/>
        <v>842.3</v>
      </c>
    </row>
    <row r="3259" spans="1:9" ht="30" x14ac:dyDescent="0.25">
      <c r="A3259" s="5" t="s">
        <v>205</v>
      </c>
      <c r="B3259" s="5" t="s">
        <v>74</v>
      </c>
      <c r="C3259" s="5" t="s">
        <v>3725</v>
      </c>
      <c r="D3259" s="3">
        <f>VLOOKUP(A3259,airports!A:H,7,FALSE)</f>
        <v>29.64541861</v>
      </c>
      <c r="E3259" s="3">
        <f>VLOOKUP(A3259,airports!A:H,8,FALSE)</f>
        <v>-95.278888890000005</v>
      </c>
      <c r="F3259" s="3">
        <f>VLOOKUP(B3259,airports!A:H,7,FALSE)</f>
        <v>40.777243060000004</v>
      </c>
      <c r="G3259" s="3">
        <f>VLOOKUP(B3259,airports!A:H,8,FALSE)</f>
        <v>-73.872609170000004</v>
      </c>
      <c r="H3259">
        <f t="shared" si="100"/>
        <v>2295.6</v>
      </c>
      <c r="I3259">
        <f t="shared" si="101"/>
        <v>1426.5</v>
      </c>
    </row>
    <row r="3260" spans="1:9" ht="30" x14ac:dyDescent="0.25">
      <c r="A3260" s="5" t="s">
        <v>205</v>
      </c>
      <c r="B3260" s="5" t="s">
        <v>742</v>
      </c>
      <c r="C3260" s="5" t="s">
        <v>3726</v>
      </c>
      <c r="D3260" s="3">
        <f>VLOOKUP(A3260,airports!A:H,7,FALSE)</f>
        <v>29.64541861</v>
      </c>
      <c r="E3260" s="3">
        <f>VLOOKUP(A3260,airports!A:H,8,FALSE)</f>
        <v>-95.278888890000005</v>
      </c>
      <c r="F3260" s="3">
        <f>VLOOKUP(B3260,airports!A:H,7,FALSE)</f>
        <v>33.81772222</v>
      </c>
      <c r="G3260" s="3">
        <f>VLOOKUP(B3260,airports!A:H,8,FALSE)</f>
        <v>-118.1516111</v>
      </c>
      <c r="H3260">
        <f t="shared" si="100"/>
        <v>2207.4</v>
      </c>
      <c r="I3260">
        <f t="shared" si="101"/>
        <v>1371.7</v>
      </c>
    </row>
    <row r="3261" spans="1:9" x14ac:dyDescent="0.25">
      <c r="A3261" s="5" t="s">
        <v>205</v>
      </c>
      <c r="B3261" s="5" t="s">
        <v>554</v>
      </c>
      <c r="C3261" s="5" t="s">
        <v>3727</v>
      </c>
      <c r="D3261" s="3">
        <f>VLOOKUP(A3261,airports!A:H,7,FALSE)</f>
        <v>29.64541861</v>
      </c>
      <c r="E3261" s="3">
        <f>VLOOKUP(A3261,airports!A:H,8,FALSE)</f>
        <v>-95.278888890000005</v>
      </c>
      <c r="F3261" s="3">
        <f>VLOOKUP(B3261,airports!A:H,7,FALSE)</f>
        <v>34.729396110000003</v>
      </c>
      <c r="G3261" s="3">
        <f>VLOOKUP(B3261,airports!A:H,8,FALSE)</f>
        <v>-92.22424556</v>
      </c>
      <c r="H3261">
        <f t="shared" si="100"/>
        <v>634.1</v>
      </c>
      <c r="I3261">
        <f t="shared" si="101"/>
        <v>394</v>
      </c>
    </row>
    <row r="3262" spans="1:9" ht="30" x14ac:dyDescent="0.25">
      <c r="A3262" s="5" t="s">
        <v>205</v>
      </c>
      <c r="B3262" s="5" t="s">
        <v>744</v>
      </c>
      <c r="C3262" s="5" t="s">
        <v>3728</v>
      </c>
      <c r="D3262" s="3">
        <f>VLOOKUP(A3262,airports!A:H,7,FALSE)</f>
        <v>29.64541861</v>
      </c>
      <c r="E3262" s="3">
        <f>VLOOKUP(A3262,airports!A:H,8,FALSE)</f>
        <v>-95.278888890000005</v>
      </c>
      <c r="F3262" s="3">
        <f>VLOOKUP(B3262,airports!A:H,7,FALSE)</f>
        <v>31.942527779999999</v>
      </c>
      <c r="G3262" s="3">
        <f>VLOOKUP(B3262,airports!A:H,8,FALSE)</f>
        <v>-102.20191389999999</v>
      </c>
      <c r="H3262">
        <f t="shared" si="100"/>
        <v>708.7</v>
      </c>
      <c r="I3262">
        <f t="shared" si="101"/>
        <v>440.4</v>
      </c>
    </row>
    <row r="3263" spans="1:9" ht="30" x14ac:dyDescent="0.25">
      <c r="A3263" s="5" t="s">
        <v>205</v>
      </c>
      <c r="B3263" s="5" t="s">
        <v>80</v>
      </c>
      <c r="C3263" s="5" t="s">
        <v>3729</v>
      </c>
      <c r="D3263" s="3">
        <f>VLOOKUP(A3263,airports!A:H,7,FALSE)</f>
        <v>29.64541861</v>
      </c>
      <c r="E3263" s="3">
        <f>VLOOKUP(A3263,airports!A:H,8,FALSE)</f>
        <v>-95.278888890000005</v>
      </c>
      <c r="F3263" s="3">
        <f>VLOOKUP(B3263,airports!A:H,7,FALSE)</f>
        <v>39.297605279999999</v>
      </c>
      <c r="G3263" s="3">
        <f>VLOOKUP(B3263,airports!A:H,8,FALSE)</f>
        <v>-94.713905560000001</v>
      </c>
      <c r="H3263">
        <f t="shared" si="100"/>
        <v>1074.5</v>
      </c>
      <c r="I3263">
        <f t="shared" si="101"/>
        <v>667.7</v>
      </c>
    </row>
    <row r="3264" spans="1:9" ht="30" x14ac:dyDescent="0.25">
      <c r="A3264" s="5" t="s">
        <v>205</v>
      </c>
      <c r="B3264" s="5" t="s">
        <v>82</v>
      </c>
      <c r="C3264" s="5" t="s">
        <v>3730</v>
      </c>
      <c r="D3264" s="3">
        <f>VLOOKUP(A3264,airports!A:H,7,FALSE)</f>
        <v>29.64541861</v>
      </c>
      <c r="E3264" s="3">
        <f>VLOOKUP(A3264,airports!A:H,8,FALSE)</f>
        <v>-95.278888890000005</v>
      </c>
      <c r="F3264" s="3">
        <f>VLOOKUP(B3264,airports!A:H,7,FALSE)</f>
        <v>28.42888889</v>
      </c>
      <c r="G3264" s="3">
        <f>VLOOKUP(B3264,airports!A:H,8,FALSE)</f>
        <v>-81.316027779999999</v>
      </c>
      <c r="H3264">
        <f t="shared" si="100"/>
        <v>1363.3</v>
      </c>
      <c r="I3264">
        <f t="shared" si="101"/>
        <v>847.2</v>
      </c>
    </row>
    <row r="3265" spans="1:9" ht="30" x14ac:dyDescent="0.25">
      <c r="A3265" s="5" t="s">
        <v>205</v>
      </c>
      <c r="B3265" s="5" t="s">
        <v>180</v>
      </c>
      <c r="C3265" s="5" t="s">
        <v>3731</v>
      </c>
      <c r="D3265" s="3">
        <f>VLOOKUP(A3265,airports!A:H,7,FALSE)</f>
        <v>29.64541861</v>
      </c>
      <c r="E3265" s="3">
        <f>VLOOKUP(A3265,airports!A:H,8,FALSE)</f>
        <v>-95.278888890000005</v>
      </c>
      <c r="F3265" s="3">
        <f>VLOOKUP(B3265,airports!A:H,7,FALSE)</f>
        <v>41.785982500000003</v>
      </c>
      <c r="G3265" s="3">
        <f>VLOOKUP(B3265,airports!A:H,8,FALSE)</f>
        <v>-87.752424439999999</v>
      </c>
      <c r="H3265">
        <f t="shared" si="100"/>
        <v>1509.8</v>
      </c>
      <c r="I3265">
        <f t="shared" si="101"/>
        <v>938.2</v>
      </c>
    </row>
    <row r="3266" spans="1:9" ht="30" x14ac:dyDescent="0.25">
      <c r="A3266" s="5" t="s">
        <v>205</v>
      </c>
      <c r="B3266" s="5" t="s">
        <v>563</v>
      </c>
      <c r="C3266" s="5" t="s">
        <v>3732</v>
      </c>
      <c r="D3266" s="3">
        <f>VLOOKUP(A3266,airports!A:H,7,FALSE)</f>
        <v>29.64541861</v>
      </c>
      <c r="E3266" s="3">
        <f>VLOOKUP(A3266,airports!A:H,8,FALSE)</f>
        <v>-95.278888890000005</v>
      </c>
      <c r="F3266" s="3">
        <f>VLOOKUP(B3266,airports!A:H,7,FALSE)</f>
        <v>35.042416670000001</v>
      </c>
      <c r="G3266" s="3">
        <f>VLOOKUP(B3266,airports!A:H,8,FALSE)</f>
        <v>-89.97666667</v>
      </c>
      <c r="H3266">
        <f t="shared" si="100"/>
        <v>779.6</v>
      </c>
      <c r="I3266">
        <f t="shared" si="101"/>
        <v>484.5</v>
      </c>
    </row>
    <row r="3267" spans="1:9" ht="30" x14ac:dyDescent="0.25">
      <c r="A3267" s="5" t="s">
        <v>205</v>
      </c>
      <c r="B3267" s="5" t="s">
        <v>84</v>
      </c>
      <c r="C3267" s="5" t="s">
        <v>3733</v>
      </c>
      <c r="D3267" s="3">
        <f>VLOOKUP(A3267,airports!A:H,7,FALSE)</f>
        <v>29.64541861</v>
      </c>
      <c r="E3267" s="3">
        <f>VLOOKUP(A3267,airports!A:H,8,FALSE)</f>
        <v>-95.278888890000005</v>
      </c>
      <c r="F3267" s="3">
        <f>VLOOKUP(B3267,airports!A:H,7,FALSE)</f>
        <v>25.79325</v>
      </c>
      <c r="G3267" s="3">
        <f>VLOOKUP(B3267,airports!A:H,8,FALSE)</f>
        <v>-80.290555560000001</v>
      </c>
      <c r="H3267">
        <f t="shared" si="100"/>
        <v>1534.9</v>
      </c>
      <c r="I3267">
        <f t="shared" si="101"/>
        <v>953.8</v>
      </c>
    </row>
    <row r="3268" spans="1:9" ht="30" x14ac:dyDescent="0.25">
      <c r="A3268" s="5" t="s">
        <v>205</v>
      </c>
      <c r="B3268" s="5" t="s">
        <v>85</v>
      </c>
      <c r="C3268" s="5" t="s">
        <v>3734</v>
      </c>
      <c r="D3268" s="3">
        <f>VLOOKUP(A3268,airports!A:H,7,FALSE)</f>
        <v>29.64541861</v>
      </c>
      <c r="E3268" s="3">
        <f>VLOOKUP(A3268,airports!A:H,8,FALSE)</f>
        <v>-95.278888890000005</v>
      </c>
      <c r="F3268" s="3">
        <f>VLOOKUP(B3268,airports!A:H,7,FALSE)</f>
        <v>42.94722222</v>
      </c>
      <c r="G3268" s="3">
        <f>VLOOKUP(B3268,airports!A:H,8,FALSE)</f>
        <v>-87.896583329999999</v>
      </c>
      <c r="H3268">
        <f t="shared" ref="H3268:H3331" si="102">ROUND(ACOS(COS(RADIANS(90-D3268)) * COS(RADIANS(90-F3268)) + SIN(RADIANS(90-D3268)) * SIN(RADIANS(90-F3268)) * COS(RADIANS(E3268-G3268))) * 6371,1)</f>
        <v>1618.7</v>
      </c>
      <c r="I3268">
        <f t="shared" ref="I3268:I3331" si="103">ROUND(ACOS(COS(RADIANS(90-D3268)) * COS(RADIANS(90-F3268)) + SIN(RADIANS(90-D3268)) * SIN(RADIANS(90-F3268)) * COS(RADIANS(E3268-G3268))) * 3959,1)</f>
        <v>1005.8</v>
      </c>
    </row>
    <row r="3269" spans="1:9" ht="30" x14ac:dyDescent="0.25">
      <c r="A3269" s="5" t="s">
        <v>205</v>
      </c>
      <c r="B3269" s="5" t="s">
        <v>87</v>
      </c>
      <c r="C3269" s="5" t="s">
        <v>3735</v>
      </c>
      <c r="D3269" s="3">
        <f>VLOOKUP(A3269,airports!A:H,7,FALSE)</f>
        <v>29.64541861</v>
      </c>
      <c r="E3269" s="3">
        <f>VLOOKUP(A3269,airports!A:H,8,FALSE)</f>
        <v>-95.278888890000005</v>
      </c>
      <c r="F3269" s="3">
        <f>VLOOKUP(B3269,airports!A:H,7,FALSE)</f>
        <v>44.880546940000002</v>
      </c>
      <c r="G3269" s="3">
        <f>VLOOKUP(B3269,airports!A:H,8,FALSE)</f>
        <v>-93.216922499999995</v>
      </c>
      <c r="H3269">
        <f t="shared" si="102"/>
        <v>1703.7</v>
      </c>
      <c r="I3269">
        <f t="shared" si="103"/>
        <v>1058.7</v>
      </c>
    </row>
    <row r="3270" spans="1:9" ht="30" x14ac:dyDescent="0.25">
      <c r="A3270" s="5" t="s">
        <v>205</v>
      </c>
      <c r="B3270" s="5" t="s">
        <v>89</v>
      </c>
      <c r="C3270" s="5" t="s">
        <v>3736</v>
      </c>
      <c r="D3270" s="3">
        <f>VLOOKUP(A3270,airports!A:H,7,FALSE)</f>
        <v>29.64541861</v>
      </c>
      <c r="E3270" s="3">
        <f>VLOOKUP(A3270,airports!A:H,8,FALSE)</f>
        <v>-95.278888890000005</v>
      </c>
      <c r="F3270" s="3">
        <f>VLOOKUP(B3270,airports!A:H,7,FALSE)</f>
        <v>29.993388889999999</v>
      </c>
      <c r="G3270" s="3">
        <f>VLOOKUP(B3270,airports!A:H,8,FALSE)</f>
        <v>-90.258027780000006</v>
      </c>
      <c r="H3270">
        <f t="shared" si="102"/>
        <v>485.9</v>
      </c>
      <c r="I3270">
        <f t="shared" si="103"/>
        <v>301.89999999999998</v>
      </c>
    </row>
    <row r="3271" spans="1:9" ht="30" x14ac:dyDescent="0.25">
      <c r="A3271" s="5" t="s">
        <v>205</v>
      </c>
      <c r="B3271" s="5" t="s">
        <v>91</v>
      </c>
      <c r="C3271" s="5" t="s">
        <v>3737</v>
      </c>
      <c r="D3271" s="3">
        <f>VLOOKUP(A3271,airports!A:H,7,FALSE)</f>
        <v>29.64541861</v>
      </c>
      <c r="E3271" s="3">
        <f>VLOOKUP(A3271,airports!A:H,8,FALSE)</f>
        <v>-95.278888890000005</v>
      </c>
      <c r="F3271" s="3">
        <f>VLOOKUP(B3271,airports!A:H,7,FALSE)</f>
        <v>38.508867219999999</v>
      </c>
      <c r="G3271" s="3">
        <f>VLOOKUP(B3271,airports!A:H,8,FALSE)</f>
        <v>-107.8938333</v>
      </c>
      <c r="H3271">
        <f t="shared" si="102"/>
        <v>1520.9</v>
      </c>
      <c r="I3271">
        <f t="shared" si="103"/>
        <v>945.1</v>
      </c>
    </row>
    <row r="3272" spans="1:9" ht="30" x14ac:dyDescent="0.25">
      <c r="A3272" s="5" t="s">
        <v>205</v>
      </c>
      <c r="B3272" s="5" t="s">
        <v>215</v>
      </c>
      <c r="C3272" s="5" t="s">
        <v>3738</v>
      </c>
      <c r="D3272" s="3">
        <f>VLOOKUP(A3272,airports!A:H,7,FALSE)</f>
        <v>29.64541861</v>
      </c>
      <c r="E3272" s="3">
        <f>VLOOKUP(A3272,airports!A:H,8,FALSE)</f>
        <v>-95.278888890000005</v>
      </c>
      <c r="F3272" s="3">
        <f>VLOOKUP(B3272,airports!A:H,7,FALSE)</f>
        <v>37.721290830000001</v>
      </c>
      <c r="G3272" s="3">
        <f>VLOOKUP(B3272,airports!A:H,8,FALSE)</f>
        <v>-122.2207167</v>
      </c>
      <c r="H3272">
        <f t="shared" si="102"/>
        <v>2638.4</v>
      </c>
      <c r="I3272">
        <f t="shared" si="103"/>
        <v>1639.5</v>
      </c>
    </row>
    <row r="3273" spans="1:9" ht="30" x14ac:dyDescent="0.25">
      <c r="A3273" s="5" t="s">
        <v>205</v>
      </c>
      <c r="B3273" s="5" t="s">
        <v>590</v>
      </c>
      <c r="C3273" s="5" t="s">
        <v>3739</v>
      </c>
      <c r="D3273" s="3">
        <f>VLOOKUP(A3273,airports!A:H,7,FALSE)</f>
        <v>29.64541861</v>
      </c>
      <c r="E3273" s="3">
        <f>VLOOKUP(A3273,airports!A:H,8,FALSE)</f>
        <v>-95.278888890000005</v>
      </c>
      <c r="F3273" s="3">
        <f>VLOOKUP(B3273,airports!A:H,7,FALSE)</f>
        <v>35.393088329999998</v>
      </c>
      <c r="G3273" s="3">
        <f>VLOOKUP(B3273,airports!A:H,8,FALSE)</f>
        <v>-97.600733890000001</v>
      </c>
      <c r="H3273">
        <f t="shared" si="102"/>
        <v>675.1</v>
      </c>
      <c r="I3273">
        <f t="shared" si="103"/>
        <v>419.5</v>
      </c>
    </row>
    <row r="3274" spans="1:9" ht="30" x14ac:dyDescent="0.25">
      <c r="A3274" s="5" t="s">
        <v>205</v>
      </c>
      <c r="B3274" s="5" t="s">
        <v>592</v>
      </c>
      <c r="C3274" s="5" t="s">
        <v>3740</v>
      </c>
      <c r="D3274" s="3">
        <f>VLOOKUP(A3274,airports!A:H,7,FALSE)</f>
        <v>29.64541861</v>
      </c>
      <c r="E3274" s="3">
        <f>VLOOKUP(A3274,airports!A:H,8,FALSE)</f>
        <v>-95.278888890000005</v>
      </c>
      <c r="F3274" s="3">
        <f>VLOOKUP(B3274,airports!A:H,7,FALSE)</f>
        <v>41.30251861</v>
      </c>
      <c r="G3274" s="3">
        <f>VLOOKUP(B3274,airports!A:H,8,FALSE)</f>
        <v>-95.89417306</v>
      </c>
      <c r="H3274">
        <f t="shared" si="102"/>
        <v>1297.4000000000001</v>
      </c>
      <c r="I3274">
        <f t="shared" si="103"/>
        <v>806.2</v>
      </c>
    </row>
    <row r="3275" spans="1:9" ht="30" x14ac:dyDescent="0.25">
      <c r="A3275" s="5" t="s">
        <v>205</v>
      </c>
      <c r="B3275" s="5" t="s">
        <v>94</v>
      </c>
      <c r="C3275" s="5" t="s">
        <v>3741</v>
      </c>
      <c r="D3275" s="3">
        <f>VLOOKUP(A3275,airports!A:H,7,FALSE)</f>
        <v>29.64541861</v>
      </c>
      <c r="E3275" s="3">
        <f>VLOOKUP(A3275,airports!A:H,8,FALSE)</f>
        <v>-95.278888890000005</v>
      </c>
      <c r="F3275" s="3">
        <f>VLOOKUP(B3275,airports!A:H,7,FALSE)</f>
        <v>34.055999999999997</v>
      </c>
      <c r="G3275" s="3">
        <f>VLOOKUP(B3275,airports!A:H,8,FALSE)</f>
        <v>-117.6011944</v>
      </c>
      <c r="H3275">
        <f t="shared" si="102"/>
        <v>2159.9</v>
      </c>
      <c r="I3275">
        <f t="shared" si="103"/>
        <v>1342.2</v>
      </c>
    </row>
    <row r="3276" spans="1:9" ht="30" x14ac:dyDescent="0.25">
      <c r="A3276" s="5" t="s">
        <v>205</v>
      </c>
      <c r="B3276" s="5" t="s">
        <v>99</v>
      </c>
      <c r="C3276" s="5" t="s">
        <v>3742</v>
      </c>
      <c r="D3276" s="3">
        <f>VLOOKUP(A3276,airports!A:H,7,FALSE)</f>
        <v>29.64541861</v>
      </c>
      <c r="E3276" s="3">
        <f>VLOOKUP(A3276,airports!A:H,8,FALSE)</f>
        <v>-95.278888890000005</v>
      </c>
      <c r="F3276" s="3">
        <f>VLOOKUP(B3276,airports!A:H,7,FALSE)</f>
        <v>26.683161940000002</v>
      </c>
      <c r="G3276" s="3">
        <f>VLOOKUP(B3276,airports!A:H,8,FALSE)</f>
        <v>-80.095594169999998</v>
      </c>
      <c r="H3276">
        <f t="shared" si="102"/>
        <v>1523.2</v>
      </c>
      <c r="I3276">
        <f t="shared" si="103"/>
        <v>946.5</v>
      </c>
    </row>
    <row r="3277" spans="1:9" ht="30" x14ac:dyDescent="0.25">
      <c r="A3277" s="5" t="s">
        <v>205</v>
      </c>
      <c r="B3277" s="5" t="s">
        <v>100</v>
      </c>
      <c r="C3277" s="5" t="s">
        <v>3743</v>
      </c>
      <c r="D3277" s="3">
        <f>VLOOKUP(A3277,airports!A:H,7,FALSE)</f>
        <v>29.64541861</v>
      </c>
      <c r="E3277" s="3">
        <f>VLOOKUP(A3277,airports!A:H,8,FALSE)</f>
        <v>-95.278888890000005</v>
      </c>
      <c r="F3277" s="3">
        <f>VLOOKUP(B3277,airports!A:H,7,FALSE)</f>
        <v>45.588722220000001</v>
      </c>
      <c r="G3277" s="3">
        <f>VLOOKUP(B3277,airports!A:H,8,FALSE)</f>
        <v>-122.5975</v>
      </c>
      <c r="H3277">
        <f t="shared" si="102"/>
        <v>2964.2</v>
      </c>
      <c r="I3277">
        <f t="shared" si="103"/>
        <v>1842</v>
      </c>
    </row>
    <row r="3278" spans="1:9" ht="30" x14ac:dyDescent="0.25">
      <c r="A3278" s="5" t="s">
        <v>205</v>
      </c>
      <c r="B3278" s="5" t="s">
        <v>185</v>
      </c>
      <c r="C3278" s="5" t="s">
        <v>3744</v>
      </c>
      <c r="D3278" s="3">
        <f>VLOOKUP(A3278,airports!A:H,7,FALSE)</f>
        <v>29.64541861</v>
      </c>
      <c r="E3278" s="3">
        <f>VLOOKUP(A3278,airports!A:H,8,FALSE)</f>
        <v>-95.278888890000005</v>
      </c>
      <c r="F3278" s="3">
        <f>VLOOKUP(B3278,airports!A:H,7,FALSE)</f>
        <v>26.919699999999999</v>
      </c>
      <c r="G3278" s="3">
        <f>VLOOKUP(B3278,airports!A:H,8,FALSE)</f>
        <v>-81.995999999999995</v>
      </c>
      <c r="H3278">
        <f t="shared" si="102"/>
        <v>1334.7</v>
      </c>
      <c r="I3278">
        <f t="shared" si="103"/>
        <v>829.4</v>
      </c>
    </row>
    <row r="3279" spans="1:9" ht="30" x14ac:dyDescent="0.25">
      <c r="A3279" s="5" t="s">
        <v>205</v>
      </c>
      <c r="B3279" s="5" t="s">
        <v>102</v>
      </c>
      <c r="C3279" s="5" t="s">
        <v>3745</v>
      </c>
      <c r="D3279" s="3">
        <f>VLOOKUP(A3279,airports!A:H,7,FALSE)</f>
        <v>29.64541861</v>
      </c>
      <c r="E3279" s="3">
        <f>VLOOKUP(A3279,airports!A:H,8,FALSE)</f>
        <v>-95.278888890000005</v>
      </c>
      <c r="F3279" s="3">
        <f>VLOOKUP(B3279,airports!A:H,7,FALSE)</f>
        <v>39.871952780000001</v>
      </c>
      <c r="G3279" s="3">
        <f>VLOOKUP(B3279,airports!A:H,8,FALSE)</f>
        <v>-75.241140830000006</v>
      </c>
      <c r="H3279">
        <f t="shared" si="102"/>
        <v>2147.3000000000002</v>
      </c>
      <c r="I3279">
        <f t="shared" si="103"/>
        <v>1334.4</v>
      </c>
    </row>
    <row r="3280" spans="1:9" ht="30" x14ac:dyDescent="0.25">
      <c r="A3280" s="5" t="s">
        <v>205</v>
      </c>
      <c r="B3280" s="5" t="s">
        <v>104</v>
      </c>
      <c r="C3280" s="5" t="s">
        <v>3746</v>
      </c>
      <c r="D3280" s="3">
        <f>VLOOKUP(A3280,airports!A:H,7,FALSE)</f>
        <v>29.64541861</v>
      </c>
      <c r="E3280" s="3">
        <f>VLOOKUP(A3280,airports!A:H,8,FALSE)</f>
        <v>-95.278888890000005</v>
      </c>
      <c r="F3280" s="3">
        <f>VLOOKUP(B3280,airports!A:H,7,FALSE)</f>
        <v>33.434166670000003</v>
      </c>
      <c r="G3280" s="3">
        <f>VLOOKUP(B3280,airports!A:H,8,FALSE)</f>
        <v>-112.00805560000001</v>
      </c>
      <c r="H3280">
        <f t="shared" si="102"/>
        <v>1638.3</v>
      </c>
      <c r="I3280">
        <f t="shared" si="103"/>
        <v>1018.1</v>
      </c>
    </row>
    <row r="3281" spans="1:9" ht="30" x14ac:dyDescent="0.25">
      <c r="A3281" s="5" t="s">
        <v>205</v>
      </c>
      <c r="B3281" s="5" t="s">
        <v>106</v>
      </c>
      <c r="C3281" s="5" t="s">
        <v>3747</v>
      </c>
      <c r="D3281" s="3">
        <f>VLOOKUP(A3281,airports!A:H,7,FALSE)</f>
        <v>29.64541861</v>
      </c>
      <c r="E3281" s="3">
        <f>VLOOKUP(A3281,airports!A:H,8,FALSE)</f>
        <v>-95.278888890000005</v>
      </c>
      <c r="F3281" s="3">
        <f>VLOOKUP(B3281,airports!A:H,7,FALSE)</f>
        <v>40.491465830000003</v>
      </c>
      <c r="G3281" s="3">
        <f>VLOOKUP(B3281,airports!A:H,8,FALSE)</f>
        <v>-80.232870829999996</v>
      </c>
      <c r="H3281">
        <f t="shared" si="102"/>
        <v>1819.9</v>
      </c>
      <c r="I3281">
        <f t="shared" si="103"/>
        <v>1130.9000000000001</v>
      </c>
    </row>
    <row r="3282" spans="1:9" ht="30" x14ac:dyDescent="0.25">
      <c r="A3282" s="5" t="s">
        <v>205</v>
      </c>
      <c r="B3282" s="5" t="s">
        <v>607</v>
      </c>
      <c r="C3282" s="5" t="s">
        <v>3748</v>
      </c>
      <c r="D3282" s="3">
        <f>VLOOKUP(A3282,airports!A:H,7,FALSE)</f>
        <v>29.64541861</v>
      </c>
      <c r="E3282" s="3">
        <f>VLOOKUP(A3282,airports!A:H,8,FALSE)</f>
        <v>-95.278888890000005</v>
      </c>
      <c r="F3282" s="3">
        <f>VLOOKUP(B3282,airports!A:H,7,FALSE)</f>
        <v>30.47330556</v>
      </c>
      <c r="G3282" s="3">
        <f>VLOOKUP(B3282,airports!A:H,8,FALSE)</f>
        <v>-87.187444439999993</v>
      </c>
      <c r="H3282">
        <f t="shared" si="102"/>
        <v>784</v>
      </c>
      <c r="I3282">
        <f t="shared" si="103"/>
        <v>487.2</v>
      </c>
    </row>
    <row r="3283" spans="1:9" ht="30" x14ac:dyDescent="0.25">
      <c r="A3283" s="5" t="s">
        <v>205</v>
      </c>
      <c r="B3283" s="5" t="s">
        <v>772</v>
      </c>
      <c r="C3283" s="5" t="s">
        <v>3749</v>
      </c>
      <c r="D3283" s="3">
        <f>VLOOKUP(A3283,airports!A:H,7,FALSE)</f>
        <v>29.64541861</v>
      </c>
      <c r="E3283" s="3">
        <f>VLOOKUP(A3283,airports!A:H,8,FALSE)</f>
        <v>-95.278888890000005</v>
      </c>
      <c r="F3283" s="3">
        <f>VLOOKUP(B3283,airports!A:H,7,FALSE)</f>
        <v>40.219200000000001</v>
      </c>
      <c r="G3283" s="3">
        <f>VLOOKUP(B3283,airports!A:H,8,FALSE)</f>
        <v>-111.723</v>
      </c>
      <c r="H3283">
        <f t="shared" si="102"/>
        <v>1899.7</v>
      </c>
      <c r="I3283">
        <f t="shared" si="103"/>
        <v>1180.5</v>
      </c>
    </row>
    <row r="3284" spans="1:9" ht="30" x14ac:dyDescent="0.25">
      <c r="A3284" s="5" t="s">
        <v>205</v>
      </c>
      <c r="B3284" s="5" t="s">
        <v>119</v>
      </c>
      <c r="C3284" s="5" t="s">
        <v>3750</v>
      </c>
      <c r="D3284" s="3">
        <f>VLOOKUP(A3284,airports!A:H,7,FALSE)</f>
        <v>29.64541861</v>
      </c>
      <c r="E3284" s="3">
        <f>VLOOKUP(A3284,airports!A:H,8,FALSE)</f>
        <v>-95.278888890000005</v>
      </c>
      <c r="F3284" s="3">
        <f>VLOOKUP(B3284,airports!A:H,7,FALSE)</f>
        <v>35.87763889</v>
      </c>
      <c r="G3284" s="3">
        <f>VLOOKUP(B3284,airports!A:H,8,FALSE)</f>
        <v>-78.787472219999998</v>
      </c>
      <c r="H3284">
        <f t="shared" si="102"/>
        <v>1687.6</v>
      </c>
      <c r="I3284">
        <f t="shared" si="103"/>
        <v>1048.7</v>
      </c>
    </row>
    <row r="3285" spans="1:9" ht="30" x14ac:dyDescent="0.25">
      <c r="A3285" s="5" t="s">
        <v>205</v>
      </c>
      <c r="B3285" s="5" t="s">
        <v>121</v>
      </c>
      <c r="C3285" s="5" t="s">
        <v>3751</v>
      </c>
      <c r="D3285" s="3">
        <f>VLOOKUP(A3285,airports!A:H,7,FALSE)</f>
        <v>29.64541861</v>
      </c>
      <c r="E3285" s="3">
        <f>VLOOKUP(A3285,airports!A:H,8,FALSE)</f>
        <v>-95.278888890000005</v>
      </c>
      <c r="F3285" s="3">
        <f>VLOOKUP(B3285,airports!A:H,7,FALSE)</f>
        <v>39.498576110000002</v>
      </c>
      <c r="G3285" s="3">
        <f>VLOOKUP(B3285,airports!A:H,8,FALSE)</f>
        <v>-119.7680647</v>
      </c>
      <c r="H3285">
        <f t="shared" si="102"/>
        <v>2484.5</v>
      </c>
      <c r="I3285">
        <f t="shared" si="103"/>
        <v>1543.9</v>
      </c>
    </row>
    <row r="3286" spans="1:9" ht="30" x14ac:dyDescent="0.25">
      <c r="A3286" s="5" t="s">
        <v>205</v>
      </c>
      <c r="B3286" s="5" t="s">
        <v>123</v>
      </c>
      <c r="C3286" s="5" t="s">
        <v>3752</v>
      </c>
      <c r="D3286" s="3">
        <f>VLOOKUP(A3286,airports!A:H,7,FALSE)</f>
        <v>29.64541861</v>
      </c>
      <c r="E3286" s="3">
        <f>VLOOKUP(A3286,airports!A:H,8,FALSE)</f>
        <v>-95.278888890000005</v>
      </c>
      <c r="F3286" s="3">
        <f>VLOOKUP(B3286,airports!A:H,7,FALSE)</f>
        <v>26.53616667</v>
      </c>
      <c r="G3286" s="3">
        <f>VLOOKUP(B3286,airports!A:H,8,FALSE)</f>
        <v>-81.755166669999994</v>
      </c>
      <c r="H3286">
        <f t="shared" si="102"/>
        <v>1370</v>
      </c>
      <c r="I3286">
        <f t="shared" si="103"/>
        <v>851.3</v>
      </c>
    </row>
    <row r="3287" spans="1:9" ht="30" x14ac:dyDescent="0.25">
      <c r="A3287" s="5" t="s">
        <v>205</v>
      </c>
      <c r="B3287" s="5" t="s">
        <v>124</v>
      </c>
      <c r="C3287" s="5" t="s">
        <v>3753</v>
      </c>
      <c r="D3287" s="3">
        <f>VLOOKUP(A3287,airports!A:H,7,FALSE)</f>
        <v>29.64541861</v>
      </c>
      <c r="E3287" s="3">
        <f>VLOOKUP(A3287,airports!A:H,8,FALSE)</f>
        <v>-95.278888890000005</v>
      </c>
      <c r="F3287" s="3">
        <f>VLOOKUP(B3287,airports!A:H,7,FALSE)</f>
        <v>32.733556110000002</v>
      </c>
      <c r="G3287" s="3">
        <f>VLOOKUP(B3287,airports!A:H,8,FALSE)</f>
        <v>-117.1896567</v>
      </c>
      <c r="H3287">
        <f t="shared" si="102"/>
        <v>2108.4</v>
      </c>
      <c r="I3287">
        <f t="shared" si="103"/>
        <v>1310.2</v>
      </c>
    </row>
    <row r="3288" spans="1:9" ht="30" x14ac:dyDescent="0.25">
      <c r="A3288" s="5" t="s">
        <v>205</v>
      </c>
      <c r="B3288" s="5" t="s">
        <v>125</v>
      </c>
      <c r="C3288" s="5" t="s">
        <v>3754</v>
      </c>
      <c r="D3288" s="3">
        <f>VLOOKUP(A3288,airports!A:H,7,FALSE)</f>
        <v>29.64541861</v>
      </c>
      <c r="E3288" s="3">
        <f>VLOOKUP(A3288,airports!A:H,8,FALSE)</f>
        <v>-95.278888890000005</v>
      </c>
      <c r="F3288" s="3">
        <f>VLOOKUP(B3288,airports!A:H,7,FALSE)</f>
        <v>29.533694440000001</v>
      </c>
      <c r="G3288" s="3">
        <f>VLOOKUP(B3288,airports!A:H,8,FALSE)</f>
        <v>-98.469777780000001</v>
      </c>
      <c r="H3288">
        <f t="shared" si="102"/>
        <v>308.8</v>
      </c>
      <c r="I3288">
        <f t="shared" si="103"/>
        <v>191.9</v>
      </c>
    </row>
    <row r="3289" spans="1:9" ht="30" x14ac:dyDescent="0.25">
      <c r="A3289" s="5" t="s">
        <v>205</v>
      </c>
      <c r="B3289" s="5" t="s">
        <v>126</v>
      </c>
      <c r="C3289" s="5" t="s">
        <v>3755</v>
      </c>
      <c r="D3289" s="3">
        <f>VLOOKUP(A3289,airports!A:H,7,FALSE)</f>
        <v>29.64541861</v>
      </c>
      <c r="E3289" s="3">
        <f>VLOOKUP(A3289,airports!A:H,8,FALSE)</f>
        <v>-95.278888890000005</v>
      </c>
      <c r="F3289" s="3">
        <f>VLOOKUP(B3289,airports!A:H,7,FALSE)</f>
        <v>32.12758333</v>
      </c>
      <c r="G3289" s="3">
        <f>VLOOKUP(B3289,airports!A:H,8,FALSE)</f>
        <v>-81.202138890000001</v>
      </c>
      <c r="H3289">
        <f t="shared" si="102"/>
        <v>1370.3</v>
      </c>
      <c r="I3289">
        <f t="shared" si="103"/>
        <v>851.5</v>
      </c>
    </row>
    <row r="3290" spans="1:9" ht="30" x14ac:dyDescent="0.25">
      <c r="A3290" s="5" t="s">
        <v>205</v>
      </c>
      <c r="B3290" s="5" t="s">
        <v>630</v>
      </c>
      <c r="C3290" s="5" t="s">
        <v>3756</v>
      </c>
      <c r="D3290" s="3">
        <f>VLOOKUP(A3290,airports!A:H,7,FALSE)</f>
        <v>29.64541861</v>
      </c>
      <c r="E3290" s="3">
        <f>VLOOKUP(A3290,airports!A:H,8,FALSE)</f>
        <v>-95.278888890000005</v>
      </c>
      <c r="F3290" s="3">
        <f>VLOOKUP(B3290,airports!A:H,7,FALSE)</f>
        <v>38.174388890000003</v>
      </c>
      <c r="G3290" s="3">
        <f>VLOOKUP(B3290,airports!A:H,8,FALSE)</f>
        <v>-85.736000000000004</v>
      </c>
      <c r="H3290">
        <f t="shared" si="102"/>
        <v>1292.7</v>
      </c>
      <c r="I3290">
        <f t="shared" si="103"/>
        <v>803.3</v>
      </c>
    </row>
    <row r="3291" spans="1:9" ht="30" x14ac:dyDescent="0.25">
      <c r="A3291" s="5" t="s">
        <v>205</v>
      </c>
      <c r="B3291" s="5" t="s">
        <v>128</v>
      </c>
      <c r="C3291" s="5" t="s">
        <v>3757</v>
      </c>
      <c r="D3291" s="3">
        <f>VLOOKUP(A3291,airports!A:H,7,FALSE)</f>
        <v>29.64541861</v>
      </c>
      <c r="E3291" s="3">
        <f>VLOOKUP(A3291,airports!A:H,8,FALSE)</f>
        <v>-95.278888890000005</v>
      </c>
      <c r="F3291" s="3">
        <f>VLOOKUP(B3291,airports!A:H,7,FALSE)</f>
        <v>47.448981940000003</v>
      </c>
      <c r="G3291" s="3">
        <f>VLOOKUP(B3291,airports!A:H,8,FALSE)</f>
        <v>-122.3093131</v>
      </c>
      <c r="H3291">
        <f t="shared" si="102"/>
        <v>3045.4</v>
      </c>
      <c r="I3291">
        <f t="shared" si="103"/>
        <v>1892.5</v>
      </c>
    </row>
    <row r="3292" spans="1:9" ht="30" x14ac:dyDescent="0.25">
      <c r="A3292" s="5" t="s">
        <v>205</v>
      </c>
      <c r="B3292" s="5" t="s">
        <v>634</v>
      </c>
      <c r="C3292" s="5" t="s">
        <v>3758</v>
      </c>
      <c r="D3292" s="3">
        <f>VLOOKUP(A3292,airports!A:H,7,FALSE)</f>
        <v>29.64541861</v>
      </c>
      <c r="E3292" s="3">
        <f>VLOOKUP(A3292,airports!A:H,8,FALSE)</f>
        <v>-95.278888890000005</v>
      </c>
      <c r="F3292" s="3">
        <f>VLOOKUP(B3292,airports!A:H,7,FALSE)</f>
        <v>37.244326110000003</v>
      </c>
      <c r="G3292" s="3">
        <f>VLOOKUP(B3292,airports!A:H,8,FALSE)</f>
        <v>-93.386858059999994</v>
      </c>
      <c r="H3292">
        <f t="shared" si="102"/>
        <v>862.9</v>
      </c>
      <c r="I3292">
        <f t="shared" si="103"/>
        <v>536.20000000000005</v>
      </c>
    </row>
    <row r="3293" spans="1:9" ht="30" x14ac:dyDescent="0.25">
      <c r="A3293" s="5" t="s">
        <v>205</v>
      </c>
      <c r="B3293" s="5" t="s">
        <v>131</v>
      </c>
      <c r="C3293" s="5" t="s">
        <v>3759</v>
      </c>
      <c r="D3293" s="3">
        <f>VLOOKUP(A3293,airports!A:H,7,FALSE)</f>
        <v>29.64541861</v>
      </c>
      <c r="E3293" s="3">
        <f>VLOOKUP(A3293,airports!A:H,8,FALSE)</f>
        <v>-95.278888890000005</v>
      </c>
      <c r="F3293" s="3">
        <f>VLOOKUP(B3293,airports!A:H,7,FALSE)</f>
        <v>37.361861939999997</v>
      </c>
      <c r="G3293" s="3">
        <f>VLOOKUP(B3293,airports!A:H,8,FALSE)</f>
        <v>-121.9290089</v>
      </c>
      <c r="H3293">
        <f t="shared" si="102"/>
        <v>2605.1</v>
      </c>
      <c r="I3293">
        <f t="shared" si="103"/>
        <v>1618.8</v>
      </c>
    </row>
    <row r="3294" spans="1:9" ht="30" x14ac:dyDescent="0.25">
      <c r="A3294" s="5" t="s">
        <v>205</v>
      </c>
      <c r="B3294" s="5" t="s">
        <v>134</v>
      </c>
      <c r="C3294" s="5" t="s">
        <v>3760</v>
      </c>
      <c r="D3294" s="3">
        <f>VLOOKUP(A3294,airports!A:H,7,FALSE)</f>
        <v>29.64541861</v>
      </c>
      <c r="E3294" s="3">
        <f>VLOOKUP(A3294,airports!A:H,8,FALSE)</f>
        <v>-95.278888890000005</v>
      </c>
      <c r="F3294" s="3">
        <f>VLOOKUP(B3294,airports!A:H,7,FALSE)</f>
        <v>18.43941667</v>
      </c>
      <c r="G3294" s="3">
        <f>VLOOKUP(B3294,airports!A:H,8,FALSE)</f>
        <v>-66.001833329999997</v>
      </c>
      <c r="H3294">
        <f t="shared" si="102"/>
        <v>3211.5</v>
      </c>
      <c r="I3294">
        <f t="shared" si="103"/>
        <v>1995.6</v>
      </c>
    </row>
    <row r="3295" spans="1:9" ht="30" x14ac:dyDescent="0.25">
      <c r="A3295" s="5" t="s">
        <v>205</v>
      </c>
      <c r="B3295" s="5" t="s">
        <v>135</v>
      </c>
      <c r="C3295" s="5" t="s">
        <v>3761</v>
      </c>
      <c r="D3295" s="3">
        <f>VLOOKUP(A3295,airports!A:H,7,FALSE)</f>
        <v>29.64541861</v>
      </c>
      <c r="E3295" s="3">
        <f>VLOOKUP(A3295,airports!A:H,8,FALSE)</f>
        <v>-95.278888890000005</v>
      </c>
      <c r="F3295" s="3">
        <f>VLOOKUP(B3295,airports!A:H,7,FALSE)</f>
        <v>40.788387780000001</v>
      </c>
      <c r="G3295" s="3">
        <f>VLOOKUP(B3295,airports!A:H,8,FALSE)</f>
        <v>-111.97777309999999</v>
      </c>
      <c r="H3295">
        <f t="shared" si="102"/>
        <v>1952.7</v>
      </c>
      <c r="I3295">
        <f t="shared" si="103"/>
        <v>1213.4000000000001</v>
      </c>
    </row>
    <row r="3296" spans="1:9" ht="30" x14ac:dyDescent="0.25">
      <c r="A3296" s="5" t="s">
        <v>205</v>
      </c>
      <c r="B3296" s="5" t="s">
        <v>137</v>
      </c>
      <c r="C3296" s="5" t="s">
        <v>3762</v>
      </c>
      <c r="D3296" s="3">
        <f>VLOOKUP(A3296,airports!A:H,7,FALSE)</f>
        <v>29.64541861</v>
      </c>
      <c r="E3296" s="3">
        <f>VLOOKUP(A3296,airports!A:H,8,FALSE)</f>
        <v>-95.278888890000005</v>
      </c>
      <c r="F3296" s="3">
        <f>VLOOKUP(B3296,airports!A:H,7,FALSE)</f>
        <v>38.695421670000002</v>
      </c>
      <c r="G3296" s="3">
        <f>VLOOKUP(B3296,airports!A:H,8,FALSE)</f>
        <v>-121.59076690000001</v>
      </c>
      <c r="H3296">
        <f t="shared" si="102"/>
        <v>2609.6999999999998</v>
      </c>
      <c r="I3296">
        <f t="shared" si="103"/>
        <v>1621.7</v>
      </c>
    </row>
    <row r="3297" spans="1:9" ht="30" x14ac:dyDescent="0.25">
      <c r="A3297" s="5" t="s">
        <v>205</v>
      </c>
      <c r="B3297" s="5" t="s">
        <v>227</v>
      </c>
      <c r="C3297" s="5" t="s">
        <v>3763</v>
      </c>
      <c r="D3297" s="3">
        <f>VLOOKUP(A3297,airports!A:H,7,FALSE)</f>
        <v>29.64541861</v>
      </c>
      <c r="E3297" s="3">
        <f>VLOOKUP(A3297,airports!A:H,8,FALSE)</f>
        <v>-95.278888890000005</v>
      </c>
      <c r="F3297" s="3">
        <f>VLOOKUP(B3297,airports!A:H,7,FALSE)</f>
        <v>33.675658609999999</v>
      </c>
      <c r="G3297" s="3">
        <f>VLOOKUP(B3297,airports!A:H,8,FALSE)</f>
        <v>-117.8682225</v>
      </c>
      <c r="H3297">
        <f t="shared" si="102"/>
        <v>2179.8000000000002</v>
      </c>
      <c r="I3297">
        <f t="shared" si="103"/>
        <v>1354.5</v>
      </c>
    </row>
    <row r="3298" spans="1:9" ht="30" x14ac:dyDescent="0.25">
      <c r="A3298" s="5" t="s">
        <v>205</v>
      </c>
      <c r="B3298" s="5" t="s">
        <v>138</v>
      </c>
      <c r="C3298" s="5" t="s">
        <v>3764</v>
      </c>
      <c r="D3298" s="3">
        <f>VLOOKUP(A3298,airports!A:H,7,FALSE)</f>
        <v>29.64541861</v>
      </c>
      <c r="E3298" s="3">
        <f>VLOOKUP(A3298,airports!A:H,8,FALSE)</f>
        <v>-95.278888890000005</v>
      </c>
      <c r="F3298" s="3">
        <f>VLOOKUP(B3298,airports!A:H,7,FALSE)</f>
        <v>27.39533333</v>
      </c>
      <c r="G3298" s="3">
        <f>VLOOKUP(B3298,airports!A:H,8,FALSE)</f>
        <v>-82.554111109999994</v>
      </c>
      <c r="H3298">
        <f t="shared" si="102"/>
        <v>1267.4000000000001</v>
      </c>
      <c r="I3298">
        <f t="shared" si="103"/>
        <v>787.6</v>
      </c>
    </row>
    <row r="3299" spans="1:9" ht="30" x14ac:dyDescent="0.25">
      <c r="A3299" s="5" t="s">
        <v>205</v>
      </c>
      <c r="B3299" s="5" t="s">
        <v>644</v>
      </c>
      <c r="C3299" s="5" t="s">
        <v>3765</v>
      </c>
      <c r="D3299" s="3">
        <f>VLOOKUP(A3299,airports!A:H,7,FALSE)</f>
        <v>29.64541861</v>
      </c>
      <c r="E3299" s="3">
        <f>VLOOKUP(A3299,airports!A:H,8,FALSE)</f>
        <v>-95.278888890000005</v>
      </c>
      <c r="F3299" s="3">
        <f>VLOOKUP(B3299,airports!A:H,7,FALSE)</f>
        <v>38.747686940000001</v>
      </c>
      <c r="G3299" s="3">
        <f>VLOOKUP(B3299,airports!A:H,8,FALSE)</f>
        <v>-90.359989720000002</v>
      </c>
      <c r="H3299">
        <f t="shared" si="102"/>
        <v>1108.0999999999999</v>
      </c>
      <c r="I3299">
        <f t="shared" si="103"/>
        <v>688.6</v>
      </c>
    </row>
    <row r="3300" spans="1:9" ht="30" x14ac:dyDescent="0.25">
      <c r="A3300" s="5" t="s">
        <v>205</v>
      </c>
      <c r="B3300" s="5" t="s">
        <v>145</v>
      </c>
      <c r="C3300" s="5" t="s">
        <v>3766</v>
      </c>
      <c r="D3300" s="3">
        <f>VLOOKUP(A3300,airports!A:H,7,FALSE)</f>
        <v>29.64541861</v>
      </c>
      <c r="E3300" s="3">
        <f>VLOOKUP(A3300,airports!A:H,8,FALSE)</f>
        <v>-95.278888890000005</v>
      </c>
      <c r="F3300" s="3">
        <f>VLOOKUP(B3300,airports!A:H,7,FALSE)</f>
        <v>27.97547222</v>
      </c>
      <c r="G3300" s="3">
        <f>VLOOKUP(B3300,airports!A:H,8,FALSE)</f>
        <v>-82.533249999999995</v>
      </c>
      <c r="H3300">
        <f t="shared" si="102"/>
        <v>1255</v>
      </c>
      <c r="I3300">
        <f t="shared" si="103"/>
        <v>779.8</v>
      </c>
    </row>
    <row r="3301" spans="1:9" ht="30" x14ac:dyDescent="0.25">
      <c r="A3301" s="5" t="s">
        <v>205</v>
      </c>
      <c r="B3301" s="5" t="s">
        <v>658</v>
      </c>
      <c r="C3301" s="5" t="s">
        <v>3767</v>
      </c>
      <c r="D3301" s="3">
        <f>VLOOKUP(A3301,airports!A:H,7,FALSE)</f>
        <v>29.64541861</v>
      </c>
      <c r="E3301" s="3">
        <f>VLOOKUP(A3301,airports!A:H,8,FALSE)</f>
        <v>-95.278888890000005</v>
      </c>
      <c r="F3301" s="3">
        <f>VLOOKUP(B3301,airports!A:H,7,FALSE)</f>
        <v>36.198372220000003</v>
      </c>
      <c r="G3301" s="3">
        <f>VLOOKUP(B3301,airports!A:H,8,FALSE)</f>
        <v>-95.888241669999999</v>
      </c>
      <c r="H3301">
        <f t="shared" si="102"/>
        <v>730.9</v>
      </c>
      <c r="I3301">
        <f t="shared" si="103"/>
        <v>454.2</v>
      </c>
    </row>
    <row r="3302" spans="1:9" ht="30" x14ac:dyDescent="0.25">
      <c r="A3302" s="5" t="s">
        <v>205</v>
      </c>
      <c r="B3302" s="5" t="s">
        <v>660</v>
      </c>
      <c r="C3302" s="5" t="s">
        <v>3768</v>
      </c>
      <c r="D3302" s="3">
        <f>VLOOKUP(A3302,airports!A:H,7,FALSE)</f>
        <v>29.64541861</v>
      </c>
      <c r="E3302" s="3">
        <f>VLOOKUP(A3302,airports!A:H,8,FALSE)</f>
        <v>-95.278888890000005</v>
      </c>
      <c r="F3302" s="3">
        <f>VLOOKUP(B3302,airports!A:H,7,FALSE)</f>
        <v>32.116083330000002</v>
      </c>
      <c r="G3302" s="3">
        <f>VLOOKUP(B3302,airports!A:H,8,FALSE)</f>
        <v>-110.9410278</v>
      </c>
      <c r="H3302">
        <f t="shared" si="102"/>
        <v>1518.3</v>
      </c>
      <c r="I3302">
        <f t="shared" si="103"/>
        <v>943.5</v>
      </c>
    </row>
    <row r="3303" spans="1:9" ht="30" x14ac:dyDescent="0.25">
      <c r="A3303" s="5" t="s">
        <v>205</v>
      </c>
      <c r="B3303" s="5" t="s">
        <v>664</v>
      </c>
      <c r="C3303" s="5" t="s">
        <v>3769</v>
      </c>
      <c r="D3303" s="3">
        <f>VLOOKUP(A3303,airports!A:H,7,FALSE)</f>
        <v>29.64541861</v>
      </c>
      <c r="E3303" s="3">
        <f>VLOOKUP(A3303,airports!A:H,8,FALSE)</f>
        <v>-95.278888890000005</v>
      </c>
      <c r="F3303" s="3">
        <f>VLOOKUP(B3303,airports!A:H,7,FALSE)</f>
        <v>35.812487220000001</v>
      </c>
      <c r="G3303" s="3">
        <f>VLOOKUP(B3303,airports!A:H,8,FALSE)</f>
        <v>-83.992855829999996</v>
      </c>
      <c r="H3303">
        <f t="shared" si="102"/>
        <v>1257.5</v>
      </c>
      <c r="I3303">
        <f t="shared" si="103"/>
        <v>781.4</v>
      </c>
    </row>
    <row r="3304" spans="1:9" ht="30" x14ac:dyDescent="0.25">
      <c r="A3304" s="5" t="s">
        <v>205</v>
      </c>
      <c r="B3304" s="5" t="s">
        <v>668</v>
      </c>
      <c r="C3304" s="5" t="s">
        <v>3770</v>
      </c>
      <c r="D3304" s="3">
        <f>VLOOKUP(A3304,airports!A:H,7,FALSE)</f>
        <v>29.64541861</v>
      </c>
      <c r="E3304" s="3">
        <f>VLOOKUP(A3304,airports!A:H,8,FALSE)</f>
        <v>-95.278888890000005</v>
      </c>
      <c r="F3304" s="3">
        <f>VLOOKUP(B3304,airports!A:H,7,FALSE)</f>
        <v>30.483250000000002</v>
      </c>
      <c r="G3304" s="3">
        <f>VLOOKUP(B3304,airports!A:H,8,FALSE)</f>
        <v>-86.525400000000005</v>
      </c>
      <c r="H3304">
        <f t="shared" si="102"/>
        <v>847.3</v>
      </c>
      <c r="I3304">
        <f t="shared" si="103"/>
        <v>526.5</v>
      </c>
    </row>
    <row r="3305" spans="1:9" ht="30" x14ac:dyDescent="0.25">
      <c r="A3305" s="5" t="s">
        <v>205</v>
      </c>
      <c r="B3305" s="5" t="s">
        <v>670</v>
      </c>
      <c r="C3305" s="5" t="s">
        <v>3771</v>
      </c>
      <c r="D3305" s="3">
        <f>VLOOKUP(A3305,airports!A:H,7,FALSE)</f>
        <v>29.64541861</v>
      </c>
      <c r="E3305" s="3">
        <f>VLOOKUP(A3305,airports!A:H,8,FALSE)</f>
        <v>-95.278888890000005</v>
      </c>
      <c r="F3305" s="3">
        <f>VLOOKUP(B3305,airports!A:H,7,FALSE)</f>
        <v>36.281869440000001</v>
      </c>
      <c r="G3305" s="3">
        <f>VLOOKUP(B3305,airports!A:H,8,FALSE)</f>
        <v>-94.306811109999998</v>
      </c>
      <c r="H3305">
        <f t="shared" si="102"/>
        <v>743.5</v>
      </c>
      <c r="I3305">
        <f t="shared" si="103"/>
        <v>462</v>
      </c>
    </row>
    <row r="3306" spans="1:9" ht="30" x14ac:dyDescent="0.25">
      <c r="A3306" s="5" t="s">
        <v>65</v>
      </c>
      <c r="B3306" s="5" t="s">
        <v>5</v>
      </c>
      <c r="C3306" s="5" t="s">
        <v>3772</v>
      </c>
      <c r="D3306" s="3">
        <f>VLOOKUP(A3306,airports!A:H,7,FALSE)</f>
        <v>41.066957780000003</v>
      </c>
      <c r="E3306" s="3">
        <f>VLOOKUP(A3306,airports!A:H,8,FALSE)</f>
        <v>-73.707574440000002</v>
      </c>
      <c r="F3306" s="3">
        <f>VLOOKUP(B3306,airports!A:H,7,FALSE)</f>
        <v>41.253051939999999</v>
      </c>
      <c r="G3306" s="3">
        <f>VLOOKUP(B3306,airports!A:H,8,FALSE)</f>
        <v>-70.060181389999997</v>
      </c>
      <c r="H3306">
        <f t="shared" si="102"/>
        <v>306</v>
      </c>
      <c r="I3306">
        <f t="shared" si="103"/>
        <v>190.2</v>
      </c>
    </row>
    <row r="3307" spans="1:9" ht="30" x14ac:dyDescent="0.25">
      <c r="A3307" s="5" t="s">
        <v>65</v>
      </c>
      <c r="B3307" s="5" t="s">
        <v>10</v>
      </c>
      <c r="C3307" s="5" t="s">
        <v>3773</v>
      </c>
      <c r="D3307" s="3">
        <f>VLOOKUP(A3307,airports!A:H,7,FALSE)</f>
        <v>41.066957780000003</v>
      </c>
      <c r="E3307" s="3">
        <f>VLOOKUP(A3307,airports!A:H,8,FALSE)</f>
        <v>-73.707574440000002</v>
      </c>
      <c r="F3307" s="3">
        <f>VLOOKUP(B3307,airports!A:H,7,FALSE)</f>
        <v>33.640444440000003</v>
      </c>
      <c r="G3307" s="3">
        <f>VLOOKUP(B3307,airports!A:H,8,FALSE)</f>
        <v>-84.42694444</v>
      </c>
      <c r="H3307">
        <f t="shared" si="102"/>
        <v>1255.0999999999999</v>
      </c>
      <c r="I3307">
        <f t="shared" si="103"/>
        <v>779.9</v>
      </c>
    </row>
    <row r="3308" spans="1:9" ht="30" x14ac:dyDescent="0.25">
      <c r="A3308" s="5" t="s">
        <v>65</v>
      </c>
      <c r="B3308" s="5" t="s">
        <v>40</v>
      </c>
      <c r="C3308" s="5" t="s">
        <v>3774</v>
      </c>
      <c r="D3308" s="3">
        <f>VLOOKUP(A3308,airports!A:H,7,FALSE)</f>
        <v>41.066957780000003</v>
      </c>
      <c r="E3308" s="3">
        <f>VLOOKUP(A3308,airports!A:H,8,FALSE)</f>
        <v>-73.707574440000002</v>
      </c>
      <c r="F3308" s="3">
        <f>VLOOKUP(B3308,airports!A:H,7,FALSE)</f>
        <v>35.214011110000001</v>
      </c>
      <c r="G3308" s="3">
        <f>VLOOKUP(B3308,airports!A:H,8,FALSE)</f>
        <v>-80.94312583</v>
      </c>
      <c r="H3308">
        <f t="shared" si="102"/>
        <v>907.1</v>
      </c>
      <c r="I3308">
        <f t="shared" si="103"/>
        <v>563.70000000000005</v>
      </c>
    </row>
    <row r="3309" spans="1:9" ht="30" x14ac:dyDescent="0.25">
      <c r="A3309" s="5" t="s">
        <v>65</v>
      </c>
      <c r="B3309" s="5" t="s">
        <v>45</v>
      </c>
      <c r="C3309" s="5" t="s">
        <v>3775</v>
      </c>
      <c r="D3309" s="3">
        <f>VLOOKUP(A3309,airports!A:H,7,FALSE)</f>
        <v>41.066957780000003</v>
      </c>
      <c r="E3309" s="3">
        <f>VLOOKUP(A3309,airports!A:H,8,FALSE)</f>
        <v>-73.707574440000002</v>
      </c>
      <c r="F3309" s="3">
        <f>VLOOKUP(B3309,airports!A:H,7,FALSE)</f>
        <v>38.852083329999999</v>
      </c>
      <c r="G3309" s="3">
        <f>VLOOKUP(B3309,airports!A:H,8,FALSE)</f>
        <v>-77.037722220000006</v>
      </c>
      <c r="H3309">
        <f t="shared" si="102"/>
        <v>375.7</v>
      </c>
      <c r="I3309">
        <f t="shared" si="103"/>
        <v>233.5</v>
      </c>
    </row>
    <row r="3310" spans="1:9" ht="30" x14ac:dyDescent="0.25">
      <c r="A3310" s="5" t="s">
        <v>65</v>
      </c>
      <c r="B3310" s="5" t="s">
        <v>50</v>
      </c>
      <c r="C3310" s="5" t="s">
        <v>3776</v>
      </c>
      <c r="D3310" s="3">
        <f>VLOOKUP(A3310,airports!A:H,7,FALSE)</f>
        <v>41.066957780000003</v>
      </c>
      <c r="E3310" s="3">
        <f>VLOOKUP(A3310,airports!A:H,8,FALSE)</f>
        <v>-73.707574440000002</v>
      </c>
      <c r="F3310" s="3">
        <f>VLOOKUP(B3310,airports!A:H,7,FALSE)</f>
        <v>42.212058890000002</v>
      </c>
      <c r="G3310" s="3">
        <f>VLOOKUP(B3310,airports!A:H,8,FALSE)</f>
        <v>-83.348835829999999</v>
      </c>
      <c r="H3310">
        <f t="shared" si="102"/>
        <v>810.8</v>
      </c>
      <c r="I3310">
        <f t="shared" si="103"/>
        <v>503.8</v>
      </c>
    </row>
    <row r="3311" spans="1:9" x14ac:dyDescent="0.25">
      <c r="A3311" s="5" t="s">
        <v>65</v>
      </c>
      <c r="B3311" s="5" t="s">
        <v>57</v>
      </c>
      <c r="C3311" s="5" t="s">
        <v>3777</v>
      </c>
      <c r="D3311" s="3">
        <f>VLOOKUP(A3311,airports!A:H,7,FALSE)</f>
        <v>41.066957780000003</v>
      </c>
      <c r="E3311" s="3">
        <f>VLOOKUP(A3311,airports!A:H,8,FALSE)</f>
        <v>-73.707574440000002</v>
      </c>
      <c r="F3311" s="3">
        <f>VLOOKUP(B3311,airports!A:H,7,FALSE)</f>
        <v>26.072583330000001</v>
      </c>
      <c r="G3311" s="3">
        <f>VLOOKUP(B3311,airports!A:H,8,FALSE)</f>
        <v>-80.152749999999997</v>
      </c>
      <c r="H3311">
        <f t="shared" si="102"/>
        <v>1769.6</v>
      </c>
      <c r="I3311">
        <f t="shared" si="103"/>
        <v>1099.7</v>
      </c>
    </row>
    <row r="3312" spans="1:9" ht="30" x14ac:dyDescent="0.25">
      <c r="A3312" s="5" t="s">
        <v>65</v>
      </c>
      <c r="B3312" s="5" t="s">
        <v>82</v>
      </c>
      <c r="C3312" s="5" t="s">
        <v>3778</v>
      </c>
      <c r="D3312" s="3">
        <f>VLOOKUP(A3312,airports!A:H,7,FALSE)</f>
        <v>41.066957780000003</v>
      </c>
      <c r="E3312" s="3">
        <f>VLOOKUP(A3312,airports!A:H,8,FALSE)</f>
        <v>-73.707574440000002</v>
      </c>
      <c r="F3312" s="3">
        <f>VLOOKUP(B3312,airports!A:H,7,FALSE)</f>
        <v>28.42888889</v>
      </c>
      <c r="G3312" s="3">
        <f>VLOOKUP(B3312,airports!A:H,8,FALSE)</f>
        <v>-81.316027779999999</v>
      </c>
      <c r="H3312">
        <f t="shared" si="102"/>
        <v>1566.2</v>
      </c>
      <c r="I3312">
        <f t="shared" si="103"/>
        <v>973.3</v>
      </c>
    </row>
    <row r="3313" spans="1:9" ht="30" x14ac:dyDescent="0.25">
      <c r="A3313" s="5" t="s">
        <v>65</v>
      </c>
      <c r="B3313" s="5" t="s">
        <v>95</v>
      </c>
      <c r="C3313" s="5" t="s">
        <v>3779</v>
      </c>
      <c r="D3313" s="3">
        <f>VLOOKUP(A3313,airports!A:H,7,FALSE)</f>
        <v>41.066957780000003</v>
      </c>
      <c r="E3313" s="3">
        <f>VLOOKUP(A3313,airports!A:H,8,FALSE)</f>
        <v>-73.707574440000002</v>
      </c>
      <c r="F3313" s="3">
        <f>VLOOKUP(B3313,airports!A:H,7,FALSE)</f>
        <v>41.979595000000003</v>
      </c>
      <c r="G3313" s="3">
        <f>VLOOKUP(B3313,airports!A:H,8,FALSE)</f>
        <v>-87.904464169999997</v>
      </c>
      <c r="H3313">
        <f t="shared" si="102"/>
        <v>1184.9000000000001</v>
      </c>
      <c r="I3313">
        <f t="shared" si="103"/>
        <v>736.3</v>
      </c>
    </row>
    <row r="3314" spans="1:9" ht="30" x14ac:dyDescent="0.25">
      <c r="A3314" s="5" t="s">
        <v>65</v>
      </c>
      <c r="B3314" s="5" t="s">
        <v>99</v>
      </c>
      <c r="C3314" s="5" t="s">
        <v>3780</v>
      </c>
      <c r="D3314" s="3">
        <f>VLOOKUP(A3314,airports!A:H,7,FALSE)</f>
        <v>41.066957780000003</v>
      </c>
      <c r="E3314" s="3">
        <f>VLOOKUP(A3314,airports!A:H,8,FALSE)</f>
        <v>-73.707574440000002</v>
      </c>
      <c r="F3314" s="3">
        <f>VLOOKUP(B3314,airports!A:H,7,FALSE)</f>
        <v>26.683161940000002</v>
      </c>
      <c r="G3314" s="3">
        <f>VLOOKUP(B3314,airports!A:H,8,FALSE)</f>
        <v>-80.095594169999998</v>
      </c>
      <c r="H3314">
        <f t="shared" si="102"/>
        <v>1703.4</v>
      </c>
      <c r="I3314">
        <f t="shared" si="103"/>
        <v>1058.5</v>
      </c>
    </row>
    <row r="3315" spans="1:9" ht="30" x14ac:dyDescent="0.25">
      <c r="A3315" s="5" t="s">
        <v>65</v>
      </c>
      <c r="B3315" s="5" t="s">
        <v>123</v>
      </c>
      <c r="C3315" s="5" t="s">
        <v>3781</v>
      </c>
      <c r="D3315" s="3">
        <f>VLOOKUP(A3315,airports!A:H,7,FALSE)</f>
        <v>41.066957780000003</v>
      </c>
      <c r="E3315" s="3">
        <f>VLOOKUP(A3315,airports!A:H,8,FALSE)</f>
        <v>-73.707574440000002</v>
      </c>
      <c r="F3315" s="3">
        <f>VLOOKUP(B3315,airports!A:H,7,FALSE)</f>
        <v>26.53616667</v>
      </c>
      <c r="G3315" s="3">
        <f>VLOOKUP(B3315,airports!A:H,8,FALSE)</f>
        <v>-81.755166669999994</v>
      </c>
      <c r="H3315">
        <f t="shared" si="102"/>
        <v>1776.6</v>
      </c>
      <c r="I3315">
        <f t="shared" si="103"/>
        <v>1104</v>
      </c>
    </row>
    <row r="3316" spans="1:9" ht="30" x14ac:dyDescent="0.25">
      <c r="A3316" s="5" t="s">
        <v>65</v>
      </c>
      <c r="B3316" s="5" t="s">
        <v>145</v>
      </c>
      <c r="C3316" s="5" t="s">
        <v>3782</v>
      </c>
      <c r="D3316" s="3">
        <f>VLOOKUP(A3316,airports!A:H,7,FALSE)</f>
        <v>41.066957780000003</v>
      </c>
      <c r="E3316" s="3">
        <f>VLOOKUP(A3316,airports!A:H,8,FALSE)</f>
        <v>-73.707574440000002</v>
      </c>
      <c r="F3316" s="3">
        <f>VLOOKUP(B3316,airports!A:H,7,FALSE)</f>
        <v>27.97547222</v>
      </c>
      <c r="G3316" s="3">
        <f>VLOOKUP(B3316,airports!A:H,8,FALSE)</f>
        <v>-82.533249999999995</v>
      </c>
      <c r="H3316">
        <f t="shared" si="102"/>
        <v>1663</v>
      </c>
      <c r="I3316">
        <f t="shared" si="103"/>
        <v>1033.4000000000001</v>
      </c>
    </row>
    <row r="3317" spans="1:9" ht="30" x14ac:dyDescent="0.25">
      <c r="A3317" s="5" t="s">
        <v>729</v>
      </c>
      <c r="B3317" s="5" t="s">
        <v>13</v>
      </c>
      <c r="C3317" s="5" t="s">
        <v>3783</v>
      </c>
      <c r="D3317" s="3">
        <f>VLOOKUP(A3317,airports!A:H,7,FALSE)</f>
        <v>26.228506110000001</v>
      </c>
      <c r="E3317" s="3">
        <f>VLOOKUP(A3317,airports!A:H,8,FALSE)</f>
        <v>-97.654393889999994</v>
      </c>
      <c r="F3317" s="3">
        <f>VLOOKUP(B3317,airports!A:H,7,FALSE)</f>
        <v>30.194532779999999</v>
      </c>
      <c r="G3317" s="3">
        <f>VLOOKUP(B3317,airports!A:H,8,FALSE)</f>
        <v>-97.669871939999993</v>
      </c>
      <c r="H3317">
        <f t="shared" si="102"/>
        <v>441</v>
      </c>
      <c r="I3317">
        <f t="shared" si="103"/>
        <v>274</v>
      </c>
    </row>
    <row r="3318" spans="1:9" ht="30" x14ac:dyDescent="0.25">
      <c r="A3318" s="5" t="s">
        <v>729</v>
      </c>
      <c r="B3318" s="5" t="s">
        <v>201</v>
      </c>
      <c r="C3318" s="5" t="s">
        <v>3784</v>
      </c>
      <c r="D3318" s="3">
        <f>VLOOKUP(A3318,airports!A:H,7,FALSE)</f>
        <v>26.228506110000001</v>
      </c>
      <c r="E3318" s="3">
        <f>VLOOKUP(A3318,airports!A:H,8,FALSE)</f>
        <v>-97.654393889999994</v>
      </c>
      <c r="F3318" s="3">
        <f>VLOOKUP(B3318,airports!A:H,7,FALSE)</f>
        <v>32.847113890000003</v>
      </c>
      <c r="G3318" s="3">
        <f>VLOOKUP(B3318,airports!A:H,8,FALSE)</f>
        <v>-96.851772220000001</v>
      </c>
      <c r="H3318">
        <f t="shared" si="102"/>
        <v>740</v>
      </c>
      <c r="I3318">
        <f t="shared" si="103"/>
        <v>459.9</v>
      </c>
    </row>
    <row r="3319" spans="1:9" ht="30" x14ac:dyDescent="0.25">
      <c r="A3319" s="5" t="s">
        <v>729</v>
      </c>
      <c r="B3319" s="5" t="s">
        <v>47</v>
      </c>
      <c r="C3319" s="5" t="s">
        <v>3785</v>
      </c>
      <c r="D3319" s="3">
        <f>VLOOKUP(A3319,airports!A:H,7,FALSE)</f>
        <v>26.228506110000001</v>
      </c>
      <c r="E3319" s="3">
        <f>VLOOKUP(A3319,airports!A:H,8,FALSE)</f>
        <v>-97.654393889999994</v>
      </c>
      <c r="F3319" s="3">
        <f>VLOOKUP(B3319,airports!A:H,7,FALSE)</f>
        <v>39.858408060000002</v>
      </c>
      <c r="G3319" s="3">
        <f>VLOOKUP(B3319,airports!A:H,8,FALSE)</f>
        <v>-104.6670019</v>
      </c>
      <c r="H3319">
        <f t="shared" si="102"/>
        <v>1649.1</v>
      </c>
      <c r="I3319">
        <f t="shared" si="103"/>
        <v>1024.8</v>
      </c>
    </row>
    <row r="3320" spans="1:9" ht="30" x14ac:dyDescent="0.25">
      <c r="A3320" s="5" t="s">
        <v>729</v>
      </c>
      <c r="B3320" s="5" t="s">
        <v>49</v>
      </c>
      <c r="C3320" s="5" t="s">
        <v>3786</v>
      </c>
      <c r="D3320" s="3">
        <f>VLOOKUP(A3320,airports!A:H,7,FALSE)</f>
        <v>26.228506110000001</v>
      </c>
      <c r="E3320" s="3">
        <f>VLOOKUP(A3320,airports!A:H,8,FALSE)</f>
        <v>-97.654393889999994</v>
      </c>
      <c r="F3320" s="3">
        <f>VLOOKUP(B3320,airports!A:H,7,FALSE)</f>
        <v>32.895950560000003</v>
      </c>
      <c r="G3320" s="3">
        <f>VLOOKUP(B3320,airports!A:H,8,FALSE)</f>
        <v>-97.037199999999999</v>
      </c>
      <c r="H3320">
        <f t="shared" si="102"/>
        <v>743.8</v>
      </c>
      <c r="I3320">
        <f t="shared" si="103"/>
        <v>462.2</v>
      </c>
    </row>
    <row r="3321" spans="1:9" ht="30" x14ac:dyDescent="0.25">
      <c r="A3321" s="5" t="s">
        <v>729</v>
      </c>
      <c r="B3321" s="5" t="s">
        <v>205</v>
      </c>
      <c r="C3321" s="5" t="s">
        <v>3787</v>
      </c>
      <c r="D3321" s="3">
        <f>VLOOKUP(A3321,airports!A:H,7,FALSE)</f>
        <v>26.228506110000001</v>
      </c>
      <c r="E3321" s="3">
        <f>VLOOKUP(A3321,airports!A:H,8,FALSE)</f>
        <v>-97.654393889999994</v>
      </c>
      <c r="F3321" s="3">
        <f>VLOOKUP(B3321,airports!A:H,7,FALSE)</f>
        <v>29.64541861</v>
      </c>
      <c r="G3321" s="3">
        <f>VLOOKUP(B3321,airports!A:H,8,FALSE)</f>
        <v>-95.278888890000005</v>
      </c>
      <c r="H3321">
        <f t="shared" si="102"/>
        <v>445.9</v>
      </c>
      <c r="I3321">
        <f t="shared" si="103"/>
        <v>277.10000000000002</v>
      </c>
    </row>
    <row r="3322" spans="1:9" x14ac:dyDescent="0.25">
      <c r="A3322" s="5" t="s">
        <v>729</v>
      </c>
      <c r="B3322" s="5" t="s">
        <v>67</v>
      </c>
      <c r="C3322" s="5" t="s">
        <v>3788</v>
      </c>
      <c r="D3322" s="3">
        <f>VLOOKUP(A3322,airports!A:H,7,FALSE)</f>
        <v>26.228506110000001</v>
      </c>
      <c r="E3322" s="3">
        <f>VLOOKUP(A3322,airports!A:H,8,FALSE)</f>
        <v>-97.654393889999994</v>
      </c>
      <c r="F3322" s="3">
        <f>VLOOKUP(B3322,airports!A:H,7,FALSE)</f>
        <v>29.980472219999999</v>
      </c>
      <c r="G3322" s="3">
        <f>VLOOKUP(B3322,airports!A:H,8,FALSE)</f>
        <v>-95.339722219999999</v>
      </c>
      <c r="H3322">
        <f t="shared" si="102"/>
        <v>474.9</v>
      </c>
      <c r="I3322">
        <f t="shared" si="103"/>
        <v>295.10000000000002</v>
      </c>
    </row>
    <row r="3323" spans="1:9" x14ac:dyDescent="0.25">
      <c r="A3323" s="5" t="s">
        <v>729</v>
      </c>
      <c r="B3323" s="5" t="s">
        <v>71</v>
      </c>
      <c r="C3323" s="5" t="s">
        <v>3789</v>
      </c>
      <c r="D3323" s="3">
        <f>VLOOKUP(A3323,airports!A:H,7,FALSE)</f>
        <v>26.228506110000001</v>
      </c>
      <c r="E3323" s="3">
        <f>VLOOKUP(A3323,airports!A:H,8,FALSE)</f>
        <v>-97.654393889999994</v>
      </c>
      <c r="F3323" s="3">
        <f>VLOOKUP(B3323,airports!A:H,7,FALSE)</f>
        <v>36.080361109999998</v>
      </c>
      <c r="G3323" s="3">
        <f>VLOOKUP(B3323,airports!A:H,8,FALSE)</f>
        <v>-115.1523333</v>
      </c>
      <c r="H3323">
        <f t="shared" si="102"/>
        <v>1988.1</v>
      </c>
      <c r="I3323">
        <f t="shared" si="103"/>
        <v>1235.4000000000001</v>
      </c>
    </row>
    <row r="3324" spans="1:9" ht="30" x14ac:dyDescent="0.25">
      <c r="A3324" s="5" t="s">
        <v>729</v>
      </c>
      <c r="B3324" s="5" t="s">
        <v>82</v>
      </c>
      <c r="C3324" s="5" t="s">
        <v>3790</v>
      </c>
      <c r="D3324" s="3">
        <f>VLOOKUP(A3324,airports!A:H,7,FALSE)</f>
        <v>26.228506110000001</v>
      </c>
      <c r="E3324" s="3">
        <f>VLOOKUP(A3324,airports!A:H,8,FALSE)</f>
        <v>-97.654393889999994</v>
      </c>
      <c r="F3324" s="3">
        <f>VLOOKUP(B3324,airports!A:H,7,FALSE)</f>
        <v>28.42888889</v>
      </c>
      <c r="G3324" s="3">
        <f>VLOOKUP(B3324,airports!A:H,8,FALSE)</f>
        <v>-81.316027779999999</v>
      </c>
      <c r="H3324">
        <f t="shared" si="102"/>
        <v>1631.1</v>
      </c>
      <c r="I3324">
        <f t="shared" si="103"/>
        <v>1013.6</v>
      </c>
    </row>
    <row r="3325" spans="1:9" ht="30" x14ac:dyDescent="0.25">
      <c r="A3325" s="5" t="s">
        <v>729</v>
      </c>
      <c r="B3325" s="5" t="s">
        <v>87</v>
      </c>
      <c r="C3325" s="5" t="s">
        <v>3791</v>
      </c>
      <c r="D3325" s="3">
        <f>VLOOKUP(A3325,airports!A:H,7,FALSE)</f>
        <v>26.228506110000001</v>
      </c>
      <c r="E3325" s="3">
        <f>VLOOKUP(A3325,airports!A:H,8,FALSE)</f>
        <v>-97.654393889999994</v>
      </c>
      <c r="F3325" s="3">
        <f>VLOOKUP(B3325,airports!A:H,7,FALSE)</f>
        <v>44.880546940000002</v>
      </c>
      <c r="G3325" s="3">
        <f>VLOOKUP(B3325,airports!A:H,8,FALSE)</f>
        <v>-93.216922499999995</v>
      </c>
      <c r="H3325">
        <f t="shared" si="102"/>
        <v>2111.6</v>
      </c>
      <c r="I3325">
        <f t="shared" si="103"/>
        <v>1312.2</v>
      </c>
    </row>
    <row r="3326" spans="1:9" ht="30" x14ac:dyDescent="0.25">
      <c r="A3326" s="5" t="s">
        <v>729</v>
      </c>
      <c r="B3326" s="5" t="s">
        <v>95</v>
      </c>
      <c r="C3326" s="5" t="s">
        <v>3792</v>
      </c>
      <c r="D3326" s="3">
        <f>VLOOKUP(A3326,airports!A:H,7,FALSE)</f>
        <v>26.228506110000001</v>
      </c>
      <c r="E3326" s="3">
        <f>VLOOKUP(A3326,airports!A:H,8,FALSE)</f>
        <v>-97.654393889999994</v>
      </c>
      <c r="F3326" s="3">
        <f>VLOOKUP(B3326,airports!A:H,7,FALSE)</f>
        <v>41.979595000000003</v>
      </c>
      <c r="G3326" s="3">
        <f>VLOOKUP(B3326,airports!A:H,8,FALSE)</f>
        <v>-87.904464169999997</v>
      </c>
      <c r="H3326">
        <f t="shared" si="102"/>
        <v>1964.9</v>
      </c>
      <c r="I3326">
        <f t="shared" si="103"/>
        <v>1221</v>
      </c>
    </row>
    <row r="3327" spans="1:9" ht="30" x14ac:dyDescent="0.25">
      <c r="A3327" s="5" t="s">
        <v>529</v>
      </c>
      <c r="B3327" s="5" t="s">
        <v>10</v>
      </c>
      <c r="C3327" s="5" t="s">
        <v>3793</v>
      </c>
      <c r="D3327" s="3">
        <f>VLOOKUP(A3327,airports!A:H,7,FALSE)</f>
        <v>34.640447500000001</v>
      </c>
      <c r="E3327" s="3">
        <f>VLOOKUP(A3327,airports!A:H,8,FALSE)</f>
        <v>-86.773109439999999</v>
      </c>
      <c r="F3327" s="3">
        <f>VLOOKUP(B3327,airports!A:H,7,FALSE)</f>
        <v>33.640444440000003</v>
      </c>
      <c r="G3327" s="3">
        <f>VLOOKUP(B3327,airports!A:H,8,FALSE)</f>
        <v>-84.42694444</v>
      </c>
      <c r="H3327">
        <f t="shared" si="102"/>
        <v>242.9</v>
      </c>
      <c r="I3327">
        <f t="shared" si="103"/>
        <v>150.9</v>
      </c>
    </row>
    <row r="3328" spans="1:9" x14ac:dyDescent="0.25">
      <c r="A3328" s="5" t="s">
        <v>529</v>
      </c>
      <c r="B3328" s="5" t="s">
        <v>40</v>
      </c>
      <c r="C3328" s="5" t="s">
        <v>3794</v>
      </c>
      <c r="D3328" s="3">
        <f>VLOOKUP(A3328,airports!A:H,7,FALSE)</f>
        <v>34.640447500000001</v>
      </c>
      <c r="E3328" s="3">
        <f>VLOOKUP(A3328,airports!A:H,8,FALSE)</f>
        <v>-86.773109439999999</v>
      </c>
      <c r="F3328" s="3">
        <f>VLOOKUP(B3328,airports!A:H,7,FALSE)</f>
        <v>35.214011110000001</v>
      </c>
      <c r="G3328" s="3">
        <f>VLOOKUP(B3328,airports!A:H,8,FALSE)</f>
        <v>-80.94312583</v>
      </c>
      <c r="H3328">
        <f t="shared" si="102"/>
        <v>535.20000000000005</v>
      </c>
      <c r="I3328">
        <f t="shared" si="103"/>
        <v>332.6</v>
      </c>
    </row>
    <row r="3329" spans="1:9" ht="30" x14ac:dyDescent="0.25">
      <c r="A3329" s="5" t="s">
        <v>529</v>
      </c>
      <c r="B3329" s="5" t="s">
        <v>45</v>
      </c>
      <c r="C3329" s="5" t="s">
        <v>3795</v>
      </c>
      <c r="D3329" s="3">
        <f>VLOOKUP(A3329,airports!A:H,7,FALSE)</f>
        <v>34.640447500000001</v>
      </c>
      <c r="E3329" s="3">
        <f>VLOOKUP(A3329,airports!A:H,8,FALSE)</f>
        <v>-86.773109439999999</v>
      </c>
      <c r="F3329" s="3">
        <f>VLOOKUP(B3329,airports!A:H,7,FALSE)</f>
        <v>38.852083329999999</v>
      </c>
      <c r="G3329" s="3">
        <f>VLOOKUP(B3329,airports!A:H,8,FALSE)</f>
        <v>-77.037722220000006</v>
      </c>
      <c r="H3329">
        <f t="shared" si="102"/>
        <v>985</v>
      </c>
      <c r="I3329">
        <f t="shared" si="103"/>
        <v>612.1</v>
      </c>
    </row>
    <row r="3330" spans="1:9" ht="30" x14ac:dyDescent="0.25">
      <c r="A3330" s="5" t="s">
        <v>529</v>
      </c>
      <c r="B3330" s="5" t="s">
        <v>47</v>
      </c>
      <c r="C3330" s="5" t="s">
        <v>3796</v>
      </c>
      <c r="D3330" s="3">
        <f>VLOOKUP(A3330,airports!A:H,7,FALSE)</f>
        <v>34.640447500000001</v>
      </c>
      <c r="E3330" s="3">
        <f>VLOOKUP(A3330,airports!A:H,8,FALSE)</f>
        <v>-86.773109439999999</v>
      </c>
      <c r="F3330" s="3">
        <f>VLOOKUP(B3330,airports!A:H,7,FALSE)</f>
        <v>39.858408060000002</v>
      </c>
      <c r="G3330" s="3">
        <f>VLOOKUP(B3330,airports!A:H,8,FALSE)</f>
        <v>-104.6670019</v>
      </c>
      <c r="H3330">
        <f t="shared" si="102"/>
        <v>1683.1</v>
      </c>
      <c r="I3330">
        <f t="shared" si="103"/>
        <v>1045.9000000000001</v>
      </c>
    </row>
    <row r="3331" spans="1:9" ht="30" x14ac:dyDescent="0.25">
      <c r="A3331" s="5" t="s">
        <v>529</v>
      </c>
      <c r="B3331" s="5" t="s">
        <v>49</v>
      </c>
      <c r="C3331" s="5" t="s">
        <v>3797</v>
      </c>
      <c r="D3331" s="3">
        <f>VLOOKUP(A3331,airports!A:H,7,FALSE)</f>
        <v>34.640447500000001</v>
      </c>
      <c r="E3331" s="3">
        <f>VLOOKUP(A3331,airports!A:H,8,FALSE)</f>
        <v>-86.773109439999999</v>
      </c>
      <c r="F3331" s="3">
        <f>VLOOKUP(B3331,airports!A:H,7,FALSE)</f>
        <v>32.895950560000003</v>
      </c>
      <c r="G3331" s="3">
        <f>VLOOKUP(B3331,airports!A:H,8,FALSE)</f>
        <v>-97.037199999999999</v>
      </c>
      <c r="H3331">
        <f t="shared" si="102"/>
        <v>967.9</v>
      </c>
      <c r="I3331">
        <f t="shared" si="103"/>
        <v>601.5</v>
      </c>
    </row>
    <row r="3332" spans="1:9" ht="30" x14ac:dyDescent="0.25">
      <c r="A3332" s="5" t="s">
        <v>529</v>
      </c>
      <c r="B3332" s="5" t="s">
        <v>50</v>
      </c>
      <c r="C3332" s="5" t="s">
        <v>3798</v>
      </c>
      <c r="D3332" s="3">
        <f>VLOOKUP(A3332,airports!A:H,7,FALSE)</f>
        <v>34.640447500000001</v>
      </c>
      <c r="E3332" s="3">
        <f>VLOOKUP(A3332,airports!A:H,8,FALSE)</f>
        <v>-86.773109439999999</v>
      </c>
      <c r="F3332" s="3">
        <f>VLOOKUP(B3332,airports!A:H,7,FALSE)</f>
        <v>42.212058890000002</v>
      </c>
      <c r="G3332" s="3">
        <f>VLOOKUP(B3332,airports!A:H,8,FALSE)</f>
        <v>-83.348835829999999</v>
      </c>
      <c r="H3332">
        <f t="shared" ref="H3332:H3395" si="104">ROUND(ACOS(COS(RADIANS(90-D3332)) * COS(RADIANS(90-F3332)) + SIN(RADIANS(90-D3332)) * SIN(RADIANS(90-F3332)) * COS(RADIANS(E3332-G3332))) * 6371,1)</f>
        <v>893</v>
      </c>
      <c r="I3332">
        <f t="shared" ref="I3332:I3395" si="105">ROUND(ACOS(COS(RADIANS(90-D3332)) * COS(RADIANS(90-F3332)) + SIN(RADIANS(90-D3332)) * SIN(RADIANS(90-F3332)) * COS(RADIANS(E3332-G3332))) * 3959,1)</f>
        <v>554.9</v>
      </c>
    </row>
    <row r="3333" spans="1:9" ht="30" x14ac:dyDescent="0.25">
      <c r="A3333" s="5" t="s">
        <v>529</v>
      </c>
      <c r="B3333" s="5" t="s">
        <v>176</v>
      </c>
      <c r="C3333" s="5" t="s">
        <v>3799</v>
      </c>
      <c r="D3333" s="3">
        <f>VLOOKUP(A3333,airports!A:H,7,FALSE)</f>
        <v>34.640447500000001</v>
      </c>
      <c r="E3333" s="3">
        <f>VLOOKUP(A3333,airports!A:H,8,FALSE)</f>
        <v>-86.773109439999999</v>
      </c>
      <c r="F3333" s="3">
        <f>VLOOKUP(B3333,airports!A:H,7,FALSE)</f>
        <v>38.944531939999997</v>
      </c>
      <c r="G3333" s="3">
        <f>VLOOKUP(B3333,airports!A:H,8,FALSE)</f>
        <v>-77.455809720000005</v>
      </c>
      <c r="H3333">
        <f t="shared" si="104"/>
        <v>957.1</v>
      </c>
      <c r="I3333">
        <f t="shared" si="105"/>
        <v>594.70000000000005</v>
      </c>
    </row>
    <row r="3334" spans="1:9" ht="30" x14ac:dyDescent="0.25">
      <c r="A3334" s="5" t="s">
        <v>529</v>
      </c>
      <c r="B3334" s="5" t="s">
        <v>67</v>
      </c>
      <c r="C3334" s="5" t="s">
        <v>3800</v>
      </c>
      <c r="D3334" s="3">
        <f>VLOOKUP(A3334,airports!A:H,7,FALSE)</f>
        <v>34.640447500000001</v>
      </c>
      <c r="E3334" s="3">
        <f>VLOOKUP(A3334,airports!A:H,8,FALSE)</f>
        <v>-86.773109439999999</v>
      </c>
      <c r="F3334" s="3">
        <f>VLOOKUP(B3334,airports!A:H,7,FALSE)</f>
        <v>29.980472219999999</v>
      </c>
      <c r="G3334" s="3">
        <f>VLOOKUP(B3334,airports!A:H,8,FALSE)</f>
        <v>-95.339722219999999</v>
      </c>
      <c r="H3334">
        <f t="shared" si="104"/>
        <v>956.8</v>
      </c>
      <c r="I3334">
        <f t="shared" si="105"/>
        <v>594.6</v>
      </c>
    </row>
    <row r="3335" spans="1:9" ht="30" x14ac:dyDescent="0.25">
      <c r="A3335" s="5" t="s">
        <v>529</v>
      </c>
      <c r="B3335" s="5" t="s">
        <v>537</v>
      </c>
      <c r="C3335" s="5" t="s">
        <v>3801</v>
      </c>
      <c r="D3335" s="3">
        <f>VLOOKUP(A3335,airports!A:H,7,FALSE)</f>
        <v>34.640447500000001</v>
      </c>
      <c r="E3335" s="3">
        <f>VLOOKUP(A3335,airports!A:H,8,FALSE)</f>
        <v>-86.773109439999999</v>
      </c>
      <c r="F3335" s="3">
        <f>VLOOKUP(B3335,airports!A:H,7,FALSE)</f>
        <v>39.717329169999999</v>
      </c>
      <c r="G3335" s="3">
        <f>VLOOKUP(B3335,airports!A:H,8,FALSE)</f>
        <v>-86.294384170000001</v>
      </c>
      <c r="H3335">
        <f t="shared" si="104"/>
        <v>566.1</v>
      </c>
      <c r="I3335">
        <f t="shared" si="105"/>
        <v>351.8</v>
      </c>
    </row>
    <row r="3336" spans="1:9" ht="30" x14ac:dyDescent="0.25">
      <c r="A3336" s="5" t="s">
        <v>529</v>
      </c>
      <c r="B3336" s="5" t="s">
        <v>82</v>
      </c>
      <c r="C3336" s="5" t="s">
        <v>3802</v>
      </c>
      <c r="D3336" s="3">
        <f>VLOOKUP(A3336,airports!A:H,7,FALSE)</f>
        <v>34.640447500000001</v>
      </c>
      <c r="E3336" s="3">
        <f>VLOOKUP(A3336,airports!A:H,8,FALSE)</f>
        <v>-86.773109439999999</v>
      </c>
      <c r="F3336" s="3">
        <f>VLOOKUP(B3336,airports!A:H,7,FALSE)</f>
        <v>28.42888889</v>
      </c>
      <c r="G3336" s="3">
        <f>VLOOKUP(B3336,airports!A:H,8,FALSE)</f>
        <v>-81.316027779999999</v>
      </c>
      <c r="H3336">
        <f t="shared" si="104"/>
        <v>862.5</v>
      </c>
      <c r="I3336">
        <f t="shared" si="105"/>
        <v>536</v>
      </c>
    </row>
    <row r="3337" spans="1:9" ht="30" x14ac:dyDescent="0.25">
      <c r="A3337" s="5" t="s">
        <v>529</v>
      </c>
      <c r="B3337" s="5" t="s">
        <v>84</v>
      </c>
      <c r="C3337" s="5" t="s">
        <v>3803</v>
      </c>
      <c r="D3337" s="3">
        <f>VLOOKUP(A3337,airports!A:H,7,FALSE)</f>
        <v>34.640447500000001</v>
      </c>
      <c r="E3337" s="3">
        <f>VLOOKUP(A3337,airports!A:H,8,FALSE)</f>
        <v>-86.773109439999999</v>
      </c>
      <c r="F3337" s="3">
        <f>VLOOKUP(B3337,airports!A:H,7,FALSE)</f>
        <v>25.79325</v>
      </c>
      <c r="G3337" s="3">
        <f>VLOOKUP(B3337,airports!A:H,8,FALSE)</f>
        <v>-80.290555560000001</v>
      </c>
      <c r="H3337">
        <f t="shared" si="104"/>
        <v>1163.7</v>
      </c>
      <c r="I3337">
        <f t="shared" si="105"/>
        <v>723.1</v>
      </c>
    </row>
    <row r="3338" spans="1:9" ht="30" x14ac:dyDescent="0.25">
      <c r="A3338" s="5" t="s">
        <v>529</v>
      </c>
      <c r="B3338" s="5" t="s">
        <v>95</v>
      </c>
      <c r="C3338" s="5" t="s">
        <v>3804</v>
      </c>
      <c r="D3338" s="3">
        <f>VLOOKUP(A3338,airports!A:H,7,FALSE)</f>
        <v>34.640447500000001</v>
      </c>
      <c r="E3338" s="3">
        <f>VLOOKUP(A3338,airports!A:H,8,FALSE)</f>
        <v>-86.773109439999999</v>
      </c>
      <c r="F3338" s="3">
        <f>VLOOKUP(B3338,airports!A:H,7,FALSE)</f>
        <v>41.979595000000003</v>
      </c>
      <c r="G3338" s="3">
        <f>VLOOKUP(B3338,airports!A:H,8,FALSE)</f>
        <v>-87.904464169999997</v>
      </c>
      <c r="H3338">
        <f t="shared" si="104"/>
        <v>822</v>
      </c>
      <c r="I3338">
        <f t="shared" si="105"/>
        <v>510.8</v>
      </c>
    </row>
    <row r="3339" spans="1:9" ht="30" x14ac:dyDescent="0.25">
      <c r="A3339" s="5" t="s">
        <v>529</v>
      </c>
      <c r="B3339" s="5" t="s">
        <v>636</v>
      </c>
      <c r="C3339" s="5" t="s">
        <v>3805</v>
      </c>
      <c r="D3339" s="3">
        <f>VLOOKUP(A3339,airports!A:H,7,FALSE)</f>
        <v>34.640447500000001</v>
      </c>
      <c r="E3339" s="3">
        <f>VLOOKUP(A3339,airports!A:H,8,FALSE)</f>
        <v>-86.773109439999999</v>
      </c>
      <c r="F3339" s="3">
        <f>VLOOKUP(B3339,airports!A:H,7,FALSE)</f>
        <v>32.446627499999998</v>
      </c>
      <c r="G3339" s="3">
        <f>VLOOKUP(B3339,airports!A:H,8,FALSE)</f>
        <v>-93.825598330000005</v>
      </c>
      <c r="H3339">
        <f t="shared" si="104"/>
        <v>697.4</v>
      </c>
      <c r="I3339">
        <f t="shared" si="105"/>
        <v>433.4</v>
      </c>
    </row>
    <row r="3340" spans="1:9" x14ac:dyDescent="0.25">
      <c r="A3340" s="5" t="s">
        <v>1793</v>
      </c>
      <c r="B3340" s="5" t="s">
        <v>40</v>
      </c>
      <c r="C3340" s="5" t="s">
        <v>3806</v>
      </c>
      <c r="D3340" s="3">
        <f>VLOOKUP(A3340,airports!A:H,7,FALSE)</f>
        <v>38.366666670000001</v>
      </c>
      <c r="E3340" s="3">
        <f>VLOOKUP(A3340,airports!A:H,8,FALSE)</f>
        <v>-82.558027780000003</v>
      </c>
      <c r="F3340" s="3">
        <f>VLOOKUP(B3340,airports!A:H,7,FALSE)</f>
        <v>35.214011110000001</v>
      </c>
      <c r="G3340" s="3">
        <f>VLOOKUP(B3340,airports!A:H,8,FALSE)</f>
        <v>-80.94312583</v>
      </c>
      <c r="H3340">
        <f t="shared" si="104"/>
        <v>378.9</v>
      </c>
      <c r="I3340">
        <f t="shared" si="105"/>
        <v>235.4</v>
      </c>
    </row>
    <row r="3341" spans="1:9" ht="30" x14ac:dyDescent="0.25">
      <c r="A3341" s="5" t="s">
        <v>1793</v>
      </c>
      <c r="B3341" s="5" t="s">
        <v>182</v>
      </c>
      <c r="C3341" s="5" t="s">
        <v>3807</v>
      </c>
      <c r="D3341" s="3">
        <f>VLOOKUP(A3341,airports!A:H,7,FALSE)</f>
        <v>38.366666670000001</v>
      </c>
      <c r="E3341" s="3">
        <f>VLOOKUP(A3341,airports!A:H,8,FALSE)</f>
        <v>-82.558027780000003</v>
      </c>
      <c r="F3341" s="3">
        <f>VLOOKUP(B3341,airports!A:H,7,FALSE)</f>
        <v>33.679749999999999</v>
      </c>
      <c r="G3341" s="3">
        <f>VLOOKUP(B3341,airports!A:H,8,FALSE)</f>
        <v>-78.928333330000001</v>
      </c>
      <c r="H3341">
        <f t="shared" si="104"/>
        <v>614.79999999999995</v>
      </c>
      <c r="I3341">
        <f t="shared" si="105"/>
        <v>382.1</v>
      </c>
    </row>
    <row r="3342" spans="1:9" ht="30" x14ac:dyDescent="0.25">
      <c r="A3342" s="5" t="s">
        <v>1793</v>
      </c>
      <c r="B3342" s="5" t="s">
        <v>185</v>
      </c>
      <c r="C3342" s="5" t="s">
        <v>3808</v>
      </c>
      <c r="D3342" s="3">
        <f>VLOOKUP(A3342,airports!A:H,7,FALSE)</f>
        <v>38.366666670000001</v>
      </c>
      <c r="E3342" s="3">
        <f>VLOOKUP(A3342,airports!A:H,8,FALSE)</f>
        <v>-82.558027780000003</v>
      </c>
      <c r="F3342" s="3">
        <f>VLOOKUP(B3342,airports!A:H,7,FALSE)</f>
        <v>26.919699999999999</v>
      </c>
      <c r="G3342" s="3">
        <f>VLOOKUP(B3342,airports!A:H,8,FALSE)</f>
        <v>-81.995999999999995</v>
      </c>
      <c r="H3342">
        <f t="shared" si="104"/>
        <v>1273.9000000000001</v>
      </c>
      <c r="I3342">
        <f t="shared" si="105"/>
        <v>791.6</v>
      </c>
    </row>
    <row r="3343" spans="1:9" x14ac:dyDescent="0.25">
      <c r="A3343" s="5" t="s">
        <v>1793</v>
      </c>
      <c r="B3343" s="5" t="s">
        <v>188</v>
      </c>
      <c r="C3343" s="5" t="s">
        <v>3809</v>
      </c>
      <c r="D3343" s="3">
        <f>VLOOKUP(A3343,airports!A:H,7,FALSE)</f>
        <v>38.366666670000001</v>
      </c>
      <c r="E3343" s="3">
        <f>VLOOKUP(A3343,airports!A:H,8,FALSE)</f>
        <v>-82.558027780000003</v>
      </c>
      <c r="F3343" s="3">
        <f>VLOOKUP(B3343,airports!A:H,7,FALSE)</f>
        <v>27.910763330000002</v>
      </c>
      <c r="G3343" s="3">
        <f>VLOOKUP(B3343,airports!A:H,8,FALSE)</f>
        <v>-82.687439440000006</v>
      </c>
      <c r="H3343">
        <f t="shared" si="104"/>
        <v>1162.7</v>
      </c>
      <c r="I3343">
        <f t="shared" si="105"/>
        <v>722.5</v>
      </c>
    </row>
    <row r="3344" spans="1:9" x14ac:dyDescent="0.25">
      <c r="A3344" s="5" t="s">
        <v>1793</v>
      </c>
      <c r="B3344" s="5" t="s">
        <v>191</v>
      </c>
      <c r="C3344" s="5" t="s">
        <v>3810</v>
      </c>
      <c r="D3344" s="3">
        <f>VLOOKUP(A3344,airports!A:H,7,FALSE)</f>
        <v>38.366666670000001</v>
      </c>
      <c r="E3344" s="3">
        <f>VLOOKUP(A3344,airports!A:H,8,FALSE)</f>
        <v>-82.558027780000003</v>
      </c>
      <c r="F3344" s="3">
        <f>VLOOKUP(B3344,airports!A:H,7,FALSE)</f>
        <v>28.7776</v>
      </c>
      <c r="G3344" s="3">
        <f>VLOOKUP(B3344,airports!A:H,8,FALSE)</f>
        <v>-81.237499999999997</v>
      </c>
      <c r="H3344">
        <f t="shared" si="104"/>
        <v>1073.2</v>
      </c>
      <c r="I3344">
        <f t="shared" si="105"/>
        <v>666.9</v>
      </c>
    </row>
    <row r="3345" spans="1:9" ht="30" x14ac:dyDescent="0.25">
      <c r="A3345" s="5" t="s">
        <v>1793</v>
      </c>
      <c r="B3345" s="5" t="s">
        <v>668</v>
      </c>
      <c r="C3345" s="5" t="s">
        <v>3811</v>
      </c>
      <c r="D3345" s="3">
        <f>VLOOKUP(A3345,airports!A:H,7,FALSE)</f>
        <v>38.366666670000001</v>
      </c>
      <c r="E3345" s="3">
        <f>VLOOKUP(A3345,airports!A:H,8,FALSE)</f>
        <v>-82.558027780000003</v>
      </c>
      <c r="F3345" s="3">
        <f>VLOOKUP(B3345,airports!A:H,7,FALSE)</f>
        <v>30.483250000000002</v>
      </c>
      <c r="G3345" s="3">
        <f>VLOOKUP(B3345,airports!A:H,8,FALSE)</f>
        <v>-86.525400000000005</v>
      </c>
      <c r="H3345">
        <f t="shared" si="104"/>
        <v>948.9</v>
      </c>
      <c r="I3345">
        <f t="shared" si="105"/>
        <v>589.6</v>
      </c>
    </row>
    <row r="3346" spans="1:9" ht="30" x14ac:dyDescent="0.25">
      <c r="A3346" s="5" t="s">
        <v>1795</v>
      </c>
      <c r="B3346" s="5" t="s">
        <v>40</v>
      </c>
      <c r="C3346" s="5" t="s">
        <v>3812</v>
      </c>
      <c r="D3346" s="3">
        <f>VLOOKUP(A3346,airports!A:H,7,FALSE)</f>
        <v>41.263698580000003</v>
      </c>
      <c r="E3346" s="3">
        <f>VLOOKUP(A3346,airports!A:H,8,FALSE)</f>
        <v>-72.886802669999994</v>
      </c>
      <c r="F3346" s="3">
        <f>VLOOKUP(B3346,airports!A:H,7,FALSE)</f>
        <v>35.214011110000001</v>
      </c>
      <c r="G3346" s="3">
        <f>VLOOKUP(B3346,airports!A:H,8,FALSE)</f>
        <v>-80.94312583</v>
      </c>
      <c r="H3346">
        <f t="shared" si="104"/>
        <v>972.6</v>
      </c>
      <c r="I3346">
        <f t="shared" si="105"/>
        <v>604.4</v>
      </c>
    </row>
    <row r="3347" spans="1:9" ht="30" x14ac:dyDescent="0.25">
      <c r="A3347" s="5" t="s">
        <v>1795</v>
      </c>
      <c r="B3347" s="5" t="s">
        <v>102</v>
      </c>
      <c r="C3347" s="5" t="s">
        <v>3813</v>
      </c>
      <c r="D3347" s="3">
        <f>VLOOKUP(A3347,airports!A:H,7,FALSE)</f>
        <v>41.263698580000003</v>
      </c>
      <c r="E3347" s="3">
        <f>VLOOKUP(A3347,airports!A:H,8,FALSE)</f>
        <v>-72.886802669999994</v>
      </c>
      <c r="F3347" s="3">
        <f>VLOOKUP(B3347,airports!A:H,7,FALSE)</f>
        <v>39.871952780000001</v>
      </c>
      <c r="G3347" s="3">
        <f>VLOOKUP(B3347,airports!A:H,8,FALSE)</f>
        <v>-75.241140830000006</v>
      </c>
      <c r="H3347">
        <f t="shared" si="104"/>
        <v>252</v>
      </c>
      <c r="I3347">
        <f t="shared" si="105"/>
        <v>156.6</v>
      </c>
    </row>
    <row r="3348" spans="1:9" x14ac:dyDescent="0.25">
      <c r="A3348" s="5" t="s">
        <v>66</v>
      </c>
      <c r="B3348" s="5" t="s">
        <v>69</v>
      </c>
      <c r="C3348" s="5" t="s">
        <v>3814</v>
      </c>
      <c r="D3348" s="3">
        <f>VLOOKUP(A3348,airports!A:H,7,FALSE)</f>
        <v>41.669336389999998</v>
      </c>
      <c r="E3348" s="3">
        <f>VLOOKUP(A3348,airports!A:H,8,FALSE)</f>
        <v>-70.280355830000005</v>
      </c>
      <c r="F3348" s="3">
        <f>VLOOKUP(B3348,airports!A:H,7,FALSE)</f>
        <v>40.639751109999999</v>
      </c>
      <c r="G3348" s="3">
        <f>VLOOKUP(B3348,airports!A:H,8,FALSE)</f>
        <v>-73.778925560000005</v>
      </c>
      <c r="H3348">
        <f t="shared" si="104"/>
        <v>314.5</v>
      </c>
      <c r="I3348">
        <f t="shared" si="105"/>
        <v>195.4</v>
      </c>
    </row>
    <row r="3349" spans="1:9" ht="30" x14ac:dyDescent="0.25">
      <c r="A3349" s="5" t="s">
        <v>2394</v>
      </c>
      <c r="B3349" s="5" t="s">
        <v>2289</v>
      </c>
      <c r="C3349" s="5" t="s">
        <v>3815</v>
      </c>
      <c r="D3349" s="3">
        <f>VLOOKUP(A3349,airports!A:H,7,FALSE)</f>
        <v>38.844941669999997</v>
      </c>
      <c r="E3349" s="3">
        <f>VLOOKUP(A3349,airports!A:H,8,FALSE)</f>
        <v>-99.274033610000004</v>
      </c>
      <c r="F3349" s="3">
        <f>VLOOKUP(B3349,airports!A:H,7,FALSE)</f>
        <v>37.763401031494098</v>
      </c>
      <c r="G3349" s="3">
        <f>VLOOKUP(B3349,airports!A:H,8,FALSE)</f>
        <v>-99.965599060058594</v>
      </c>
      <c r="H3349">
        <f t="shared" si="104"/>
        <v>134.6</v>
      </c>
      <c r="I3349">
        <f t="shared" si="105"/>
        <v>83.6</v>
      </c>
    </row>
    <row r="3350" spans="1:9" ht="30" x14ac:dyDescent="0.25">
      <c r="A3350" s="5" t="s">
        <v>2394</v>
      </c>
      <c r="B3350" s="5" t="s">
        <v>47</v>
      </c>
      <c r="C3350" s="5" t="s">
        <v>3816</v>
      </c>
      <c r="D3350" s="3">
        <f>VLOOKUP(A3350,airports!A:H,7,FALSE)</f>
        <v>38.844941669999997</v>
      </c>
      <c r="E3350" s="3">
        <f>VLOOKUP(A3350,airports!A:H,8,FALSE)</f>
        <v>-99.274033610000004</v>
      </c>
      <c r="F3350" s="3">
        <f>VLOOKUP(B3350,airports!A:H,7,FALSE)</f>
        <v>39.858408060000002</v>
      </c>
      <c r="G3350" s="3">
        <f>VLOOKUP(B3350,airports!A:H,8,FALSE)</f>
        <v>-104.6670019</v>
      </c>
      <c r="H3350">
        <f t="shared" si="104"/>
        <v>477.1</v>
      </c>
      <c r="I3350">
        <f t="shared" si="105"/>
        <v>296.5</v>
      </c>
    </row>
    <row r="3351" spans="1:9" x14ac:dyDescent="0.25">
      <c r="A3351" s="5" t="s">
        <v>2394</v>
      </c>
      <c r="B3351" s="5" t="s">
        <v>2505</v>
      </c>
      <c r="C3351" s="5" t="s">
        <v>3817</v>
      </c>
      <c r="D3351" s="3">
        <f>VLOOKUP(A3351,airports!A:H,7,FALSE)</f>
        <v>38.844941669999997</v>
      </c>
      <c r="E3351" s="3">
        <f>VLOOKUP(A3351,airports!A:H,8,FALSE)</f>
        <v>-99.274033610000004</v>
      </c>
      <c r="F3351" s="3">
        <f>VLOOKUP(B3351,airports!A:H,7,FALSE)</f>
        <v>38.791000366210902</v>
      </c>
      <c r="G3351" s="3">
        <f>VLOOKUP(B3351,airports!A:H,8,FALSE)</f>
        <v>-97.652198791503906</v>
      </c>
      <c r="H3351">
        <f t="shared" si="104"/>
        <v>140.6</v>
      </c>
      <c r="I3351">
        <f t="shared" si="105"/>
        <v>87.4</v>
      </c>
    </row>
    <row r="3352" spans="1:9" x14ac:dyDescent="0.25">
      <c r="A3352" s="5" t="s">
        <v>176</v>
      </c>
      <c r="B3352" s="5" t="s">
        <v>170</v>
      </c>
      <c r="C3352" s="5" t="s">
        <v>3818</v>
      </c>
      <c r="D3352" s="3">
        <f>VLOOKUP(A3352,airports!A:H,7,FALSE)</f>
        <v>38.944531939999997</v>
      </c>
      <c r="E3352" s="3">
        <f>VLOOKUP(A3352,airports!A:H,8,FALSE)</f>
        <v>-77.455809720000005</v>
      </c>
      <c r="F3352" s="3">
        <f>VLOOKUP(B3352,airports!A:H,7,FALSE)</f>
        <v>40.652362779999997</v>
      </c>
      <c r="G3352" s="3">
        <f>VLOOKUP(B3352,airports!A:H,8,FALSE)</f>
        <v>-75.44040167</v>
      </c>
      <c r="H3352">
        <f t="shared" si="104"/>
        <v>256.3</v>
      </c>
      <c r="I3352">
        <f t="shared" si="105"/>
        <v>159.30000000000001</v>
      </c>
    </row>
    <row r="3353" spans="1:9" ht="30" x14ac:dyDescent="0.25">
      <c r="A3353" s="5" t="s">
        <v>176</v>
      </c>
      <c r="B3353" s="5" t="s">
        <v>5</v>
      </c>
      <c r="C3353" s="5" t="s">
        <v>3819</v>
      </c>
      <c r="D3353" s="3">
        <f>VLOOKUP(A3353,airports!A:H,7,FALSE)</f>
        <v>38.944531939999997</v>
      </c>
      <c r="E3353" s="3">
        <f>VLOOKUP(A3353,airports!A:H,8,FALSE)</f>
        <v>-77.455809720000005</v>
      </c>
      <c r="F3353" s="3">
        <f>VLOOKUP(B3353,airports!A:H,7,FALSE)</f>
        <v>41.253051939999999</v>
      </c>
      <c r="G3353" s="3">
        <f>VLOOKUP(B3353,airports!A:H,8,FALSE)</f>
        <v>-70.060181389999997</v>
      </c>
      <c r="H3353">
        <f t="shared" si="104"/>
        <v>679.1</v>
      </c>
      <c r="I3353">
        <f t="shared" si="105"/>
        <v>422</v>
      </c>
    </row>
    <row r="3354" spans="1:9" x14ac:dyDescent="0.25">
      <c r="A3354" s="5" t="s">
        <v>176</v>
      </c>
      <c r="B3354" s="5" t="s">
        <v>7</v>
      </c>
      <c r="C3354" s="5" t="s">
        <v>3820</v>
      </c>
      <c r="D3354" s="3">
        <f>VLOOKUP(A3354,airports!A:H,7,FALSE)</f>
        <v>38.944531939999997</v>
      </c>
      <c r="E3354" s="3">
        <f>VLOOKUP(A3354,airports!A:H,8,FALSE)</f>
        <v>-77.455809720000005</v>
      </c>
      <c r="F3354" s="3">
        <f>VLOOKUP(B3354,airports!A:H,7,FALSE)</f>
        <v>42.748119440000004</v>
      </c>
      <c r="G3354" s="3">
        <f>VLOOKUP(B3354,airports!A:H,8,FALSE)</f>
        <v>-73.802978609999997</v>
      </c>
      <c r="H3354">
        <f t="shared" si="104"/>
        <v>522.6</v>
      </c>
      <c r="I3354">
        <f t="shared" si="105"/>
        <v>324.8</v>
      </c>
    </row>
    <row r="3355" spans="1:9" x14ac:dyDescent="0.25">
      <c r="A3355" s="5" t="s">
        <v>176</v>
      </c>
      <c r="B3355" s="5" t="s">
        <v>10</v>
      </c>
      <c r="C3355" s="5" t="s">
        <v>3821</v>
      </c>
      <c r="D3355" s="3">
        <f>VLOOKUP(A3355,airports!A:H,7,FALSE)</f>
        <v>38.944531939999997</v>
      </c>
      <c r="E3355" s="3">
        <f>VLOOKUP(A3355,airports!A:H,8,FALSE)</f>
        <v>-77.455809720000005</v>
      </c>
      <c r="F3355" s="3">
        <f>VLOOKUP(B3355,airports!A:H,7,FALSE)</f>
        <v>33.640444440000003</v>
      </c>
      <c r="G3355" s="3">
        <f>VLOOKUP(B3355,airports!A:H,8,FALSE)</f>
        <v>-84.42694444</v>
      </c>
      <c r="H3355">
        <f t="shared" si="104"/>
        <v>858.7</v>
      </c>
      <c r="I3355">
        <f t="shared" si="105"/>
        <v>533.6</v>
      </c>
    </row>
    <row r="3356" spans="1:9" ht="30" x14ac:dyDescent="0.25">
      <c r="A3356" s="5" t="s">
        <v>176</v>
      </c>
      <c r="B3356" s="5" t="s">
        <v>13</v>
      </c>
      <c r="C3356" s="5" t="s">
        <v>3822</v>
      </c>
      <c r="D3356" s="3">
        <f>VLOOKUP(A3356,airports!A:H,7,FALSE)</f>
        <v>38.944531939999997</v>
      </c>
      <c r="E3356" s="3">
        <f>VLOOKUP(A3356,airports!A:H,8,FALSE)</f>
        <v>-77.455809720000005</v>
      </c>
      <c r="F3356" s="3">
        <f>VLOOKUP(B3356,airports!A:H,7,FALSE)</f>
        <v>30.194532779999999</v>
      </c>
      <c r="G3356" s="3">
        <f>VLOOKUP(B3356,airports!A:H,8,FALSE)</f>
        <v>-97.669871939999993</v>
      </c>
      <c r="H3356">
        <f t="shared" si="104"/>
        <v>2084.4</v>
      </c>
      <c r="I3356">
        <f t="shared" si="105"/>
        <v>1295.2</v>
      </c>
    </row>
    <row r="3357" spans="1:9" x14ac:dyDescent="0.25">
      <c r="A3357" s="5" t="s">
        <v>176</v>
      </c>
      <c r="B3357" s="5" t="s">
        <v>419</v>
      </c>
      <c r="C3357" s="5" t="s">
        <v>3823</v>
      </c>
      <c r="D3357" s="3">
        <f>VLOOKUP(A3357,airports!A:H,7,FALSE)</f>
        <v>38.944531939999997</v>
      </c>
      <c r="E3357" s="3">
        <f>VLOOKUP(A3357,airports!A:H,8,FALSE)</f>
        <v>-77.455809720000005</v>
      </c>
      <c r="F3357" s="3">
        <f>VLOOKUP(B3357,airports!A:H,7,FALSE)</f>
        <v>35.436194440000001</v>
      </c>
      <c r="G3357" s="3">
        <f>VLOOKUP(B3357,airports!A:H,8,FALSE)</f>
        <v>-82.54180556</v>
      </c>
      <c r="H3357">
        <f t="shared" si="104"/>
        <v>595.79999999999995</v>
      </c>
      <c r="I3357">
        <f t="shared" si="105"/>
        <v>370.2</v>
      </c>
    </row>
    <row r="3358" spans="1:9" ht="30" x14ac:dyDescent="0.25">
      <c r="A3358" s="5" t="s">
        <v>176</v>
      </c>
      <c r="B3358" s="5" t="s">
        <v>421</v>
      </c>
      <c r="C3358" s="5" t="s">
        <v>3824</v>
      </c>
      <c r="D3358" s="3">
        <f>VLOOKUP(A3358,airports!A:H,7,FALSE)</f>
        <v>38.944531939999997</v>
      </c>
      <c r="E3358" s="3">
        <f>VLOOKUP(A3358,airports!A:H,8,FALSE)</f>
        <v>-77.455809720000005</v>
      </c>
      <c r="F3358" s="3">
        <f>VLOOKUP(B3358,airports!A:H,7,FALSE)</f>
        <v>41.338149440000002</v>
      </c>
      <c r="G3358" s="3">
        <f>VLOOKUP(B3358,airports!A:H,8,FALSE)</f>
        <v>-75.724267499999996</v>
      </c>
      <c r="H3358">
        <f t="shared" si="104"/>
        <v>304.10000000000002</v>
      </c>
      <c r="I3358">
        <f t="shared" si="105"/>
        <v>189</v>
      </c>
    </row>
    <row r="3359" spans="1:9" x14ac:dyDescent="0.25">
      <c r="A3359" s="5" t="s">
        <v>176</v>
      </c>
      <c r="B3359" s="5" t="s">
        <v>16</v>
      </c>
      <c r="C3359" s="5" t="s">
        <v>3825</v>
      </c>
      <c r="D3359" s="3">
        <f>VLOOKUP(A3359,airports!A:H,7,FALSE)</f>
        <v>38.944531939999997</v>
      </c>
      <c r="E3359" s="3">
        <f>VLOOKUP(A3359,airports!A:H,8,FALSE)</f>
        <v>-77.455809720000005</v>
      </c>
      <c r="F3359" s="3">
        <f>VLOOKUP(B3359,airports!A:H,7,FALSE)</f>
        <v>41.938874169999998</v>
      </c>
      <c r="G3359" s="3">
        <f>VLOOKUP(B3359,airports!A:H,8,FALSE)</f>
        <v>-72.683228330000006</v>
      </c>
      <c r="H3359">
        <f t="shared" si="104"/>
        <v>523.29999999999995</v>
      </c>
      <c r="I3359">
        <f t="shared" si="105"/>
        <v>325.2</v>
      </c>
    </row>
    <row r="3360" spans="1:9" ht="30" x14ac:dyDescent="0.25">
      <c r="A3360" s="5" t="s">
        <v>176</v>
      </c>
      <c r="B3360" s="5" t="s">
        <v>233</v>
      </c>
      <c r="C3360" s="5" t="s">
        <v>3826</v>
      </c>
      <c r="D3360" s="3">
        <f>VLOOKUP(A3360,airports!A:H,7,FALSE)</f>
        <v>38.944531939999997</v>
      </c>
      <c r="E3360" s="3">
        <f>VLOOKUP(A3360,airports!A:H,8,FALSE)</f>
        <v>-77.455809720000005</v>
      </c>
      <c r="F3360" s="3">
        <f>VLOOKUP(B3360,airports!A:H,7,FALSE)</f>
        <v>44.807444439999998</v>
      </c>
      <c r="G3360" s="3">
        <f>VLOOKUP(B3360,airports!A:H,8,FALSE)</f>
        <v>-68.828138890000005</v>
      </c>
      <c r="H3360">
        <f t="shared" si="104"/>
        <v>966.1</v>
      </c>
      <c r="I3360">
        <f t="shared" si="105"/>
        <v>600.29999999999995</v>
      </c>
    </row>
    <row r="3361" spans="1:9" ht="30" x14ac:dyDescent="0.25">
      <c r="A3361" s="5" t="s">
        <v>176</v>
      </c>
      <c r="B3361" s="5" t="s">
        <v>19</v>
      </c>
      <c r="C3361" s="5" t="s">
        <v>3827</v>
      </c>
      <c r="D3361" s="3">
        <f>VLOOKUP(A3361,airports!A:H,7,FALSE)</f>
        <v>38.944531939999997</v>
      </c>
      <c r="E3361" s="3">
        <f>VLOOKUP(A3361,airports!A:H,8,FALSE)</f>
        <v>-77.455809720000005</v>
      </c>
      <c r="F3361" s="3">
        <f>VLOOKUP(B3361,airports!A:H,7,FALSE)</f>
        <v>36.12447667</v>
      </c>
      <c r="G3361" s="3">
        <f>VLOOKUP(B3361,airports!A:H,8,FALSE)</f>
        <v>-86.678182219999997</v>
      </c>
      <c r="H3361">
        <f t="shared" si="104"/>
        <v>871</v>
      </c>
      <c r="I3361">
        <f t="shared" si="105"/>
        <v>541.29999999999995</v>
      </c>
    </row>
    <row r="3362" spans="1:9" ht="30" x14ac:dyDescent="0.25">
      <c r="A3362" s="5" t="s">
        <v>176</v>
      </c>
      <c r="B3362" s="5" t="s">
        <v>24</v>
      </c>
      <c r="C3362" s="5" t="s">
        <v>3828</v>
      </c>
      <c r="D3362" s="3">
        <f>VLOOKUP(A3362,airports!A:H,7,FALSE)</f>
        <v>38.944531939999997</v>
      </c>
      <c r="E3362" s="3">
        <f>VLOOKUP(A3362,airports!A:H,8,FALSE)</f>
        <v>-77.455809720000005</v>
      </c>
      <c r="F3362" s="3">
        <f>VLOOKUP(B3362,airports!A:H,7,FALSE)</f>
        <v>42.364347500000001</v>
      </c>
      <c r="G3362" s="3">
        <f>VLOOKUP(B3362,airports!A:H,8,FALSE)</f>
        <v>-71.005179170000005</v>
      </c>
      <c r="H3362">
        <f t="shared" si="104"/>
        <v>663.6</v>
      </c>
      <c r="I3362">
        <f t="shared" si="105"/>
        <v>412.3</v>
      </c>
    </row>
    <row r="3363" spans="1:9" x14ac:dyDescent="0.25">
      <c r="A3363" s="5" t="s">
        <v>176</v>
      </c>
      <c r="B3363" s="5" t="s">
        <v>27</v>
      </c>
      <c r="C3363" s="5" t="s">
        <v>3829</v>
      </c>
      <c r="D3363" s="3">
        <f>VLOOKUP(A3363,airports!A:H,7,FALSE)</f>
        <v>38.944531939999997</v>
      </c>
      <c r="E3363" s="3">
        <f>VLOOKUP(A3363,airports!A:H,8,FALSE)</f>
        <v>-77.455809720000005</v>
      </c>
      <c r="F3363" s="3">
        <f>VLOOKUP(B3363,airports!A:H,7,FALSE)</f>
        <v>44.473003609999999</v>
      </c>
      <c r="G3363" s="3">
        <f>VLOOKUP(B3363,airports!A:H,8,FALSE)</f>
        <v>-73.150312499999998</v>
      </c>
      <c r="H3363">
        <f t="shared" si="104"/>
        <v>710.8</v>
      </c>
      <c r="I3363">
        <f t="shared" si="105"/>
        <v>441.7</v>
      </c>
    </row>
    <row r="3364" spans="1:9" x14ac:dyDescent="0.25">
      <c r="A3364" s="5" t="s">
        <v>176</v>
      </c>
      <c r="B3364" s="5" t="s">
        <v>29</v>
      </c>
      <c r="C3364" s="5" t="s">
        <v>3830</v>
      </c>
      <c r="D3364" s="3">
        <f>VLOOKUP(A3364,airports!A:H,7,FALSE)</f>
        <v>38.944531939999997</v>
      </c>
      <c r="E3364" s="3">
        <f>VLOOKUP(A3364,airports!A:H,8,FALSE)</f>
        <v>-77.455809720000005</v>
      </c>
      <c r="F3364" s="3">
        <f>VLOOKUP(B3364,airports!A:H,7,FALSE)</f>
        <v>42.940524719999999</v>
      </c>
      <c r="G3364" s="3">
        <f>VLOOKUP(B3364,airports!A:H,8,FALSE)</f>
        <v>-78.732166669999998</v>
      </c>
      <c r="H3364">
        <f t="shared" si="104"/>
        <v>457.1</v>
      </c>
      <c r="I3364">
        <f t="shared" si="105"/>
        <v>284</v>
      </c>
    </row>
    <row r="3365" spans="1:9" ht="30" x14ac:dyDescent="0.25">
      <c r="A3365" s="5" t="s">
        <v>176</v>
      </c>
      <c r="B3365" s="5" t="s">
        <v>34</v>
      </c>
      <c r="C3365" s="5" t="s">
        <v>3831</v>
      </c>
      <c r="D3365" s="3">
        <f>VLOOKUP(A3365,airports!A:H,7,FALSE)</f>
        <v>38.944531939999997</v>
      </c>
      <c r="E3365" s="3">
        <f>VLOOKUP(A3365,airports!A:H,8,FALSE)</f>
        <v>-77.455809720000005</v>
      </c>
      <c r="F3365" s="3">
        <f>VLOOKUP(B3365,airports!A:H,7,FALSE)</f>
        <v>45.776901389999999</v>
      </c>
      <c r="G3365" s="3">
        <f>VLOOKUP(B3365,airports!A:H,8,FALSE)</f>
        <v>-111.1530072</v>
      </c>
      <c r="H3365">
        <f t="shared" si="104"/>
        <v>2847.7</v>
      </c>
      <c r="I3365">
        <f t="shared" si="105"/>
        <v>1769.6</v>
      </c>
    </row>
    <row r="3366" spans="1:9" x14ac:dyDescent="0.25">
      <c r="A3366" s="5" t="s">
        <v>176</v>
      </c>
      <c r="B3366" s="5" t="s">
        <v>441</v>
      </c>
      <c r="C3366" s="5" t="s">
        <v>3832</v>
      </c>
      <c r="D3366" s="3">
        <f>VLOOKUP(A3366,airports!A:H,7,FALSE)</f>
        <v>38.944531939999997</v>
      </c>
      <c r="E3366" s="3">
        <f>VLOOKUP(A3366,airports!A:H,8,FALSE)</f>
        <v>-77.455809720000005</v>
      </c>
      <c r="F3366" s="3">
        <f>VLOOKUP(B3366,airports!A:H,7,FALSE)</f>
        <v>33.938839999999999</v>
      </c>
      <c r="G3366" s="3">
        <f>VLOOKUP(B3366,airports!A:H,8,FALSE)</f>
        <v>-81.119539439999997</v>
      </c>
      <c r="H3366">
        <f t="shared" si="104"/>
        <v>645.79999999999995</v>
      </c>
      <c r="I3366">
        <f t="shared" si="105"/>
        <v>401.3</v>
      </c>
    </row>
    <row r="3367" spans="1:9" ht="30" x14ac:dyDescent="0.25">
      <c r="A3367" s="5" t="s">
        <v>176</v>
      </c>
      <c r="B3367" s="5" t="s">
        <v>443</v>
      </c>
      <c r="C3367" s="5" t="s">
        <v>3833</v>
      </c>
      <c r="D3367" s="3">
        <f>VLOOKUP(A3367,airports!A:H,7,FALSE)</f>
        <v>38.944531939999997</v>
      </c>
      <c r="E3367" s="3">
        <f>VLOOKUP(A3367,airports!A:H,8,FALSE)</f>
        <v>-77.455809720000005</v>
      </c>
      <c r="F3367" s="3">
        <f>VLOOKUP(B3367,airports!A:H,7,FALSE)</f>
        <v>40.91631194</v>
      </c>
      <c r="G3367" s="3">
        <f>VLOOKUP(B3367,airports!A:H,8,FALSE)</f>
        <v>-81.442465560000002</v>
      </c>
      <c r="H3367">
        <f t="shared" si="104"/>
        <v>404.4</v>
      </c>
      <c r="I3367">
        <f t="shared" si="105"/>
        <v>251.3</v>
      </c>
    </row>
    <row r="3368" spans="1:9" x14ac:dyDescent="0.25">
      <c r="A3368" s="5" t="s">
        <v>176</v>
      </c>
      <c r="B3368" s="5" t="s">
        <v>1561</v>
      </c>
      <c r="C3368" s="5" t="s">
        <v>3834</v>
      </c>
      <c r="D3368" s="3">
        <f>VLOOKUP(A3368,airports!A:H,7,FALSE)</f>
        <v>38.944531939999997</v>
      </c>
      <c r="E3368" s="3">
        <f>VLOOKUP(A3368,airports!A:H,8,FALSE)</f>
        <v>-77.455809720000005</v>
      </c>
      <c r="F3368" s="3">
        <f>VLOOKUP(B3368,airports!A:H,7,FALSE)</f>
        <v>37.225299999999997</v>
      </c>
      <c r="G3368" s="3">
        <f>VLOOKUP(B3368,airports!A:H,8,FALSE)</f>
        <v>-89.570801000000003</v>
      </c>
      <c r="H3368">
        <f t="shared" si="104"/>
        <v>1076.5999999999999</v>
      </c>
      <c r="I3368">
        <f t="shared" si="105"/>
        <v>669</v>
      </c>
    </row>
    <row r="3369" spans="1:9" ht="30" x14ac:dyDescent="0.25">
      <c r="A3369" s="5" t="s">
        <v>176</v>
      </c>
      <c r="B3369" s="5" t="s">
        <v>445</v>
      </c>
      <c r="C3369" s="5" t="s">
        <v>3835</v>
      </c>
      <c r="D3369" s="3">
        <f>VLOOKUP(A3369,airports!A:H,7,FALSE)</f>
        <v>38.944531939999997</v>
      </c>
      <c r="E3369" s="3">
        <f>VLOOKUP(A3369,airports!A:H,8,FALSE)</f>
        <v>-77.455809720000005</v>
      </c>
      <c r="F3369" s="3">
        <f>VLOOKUP(B3369,airports!A:H,7,FALSE)</f>
        <v>35.035268330000001</v>
      </c>
      <c r="G3369" s="3">
        <f>VLOOKUP(B3369,airports!A:H,8,FALSE)</f>
        <v>-85.203787779999999</v>
      </c>
      <c r="H3369">
        <f t="shared" si="104"/>
        <v>813.5</v>
      </c>
      <c r="I3369">
        <f t="shared" si="105"/>
        <v>505.5</v>
      </c>
    </row>
    <row r="3370" spans="1:9" ht="30" x14ac:dyDescent="0.25">
      <c r="A3370" s="5" t="s">
        <v>176</v>
      </c>
      <c r="B3370" s="5" t="s">
        <v>447</v>
      </c>
      <c r="C3370" s="5" t="s">
        <v>3836</v>
      </c>
      <c r="D3370" s="3">
        <f>VLOOKUP(A3370,airports!A:H,7,FALSE)</f>
        <v>38.944531939999997</v>
      </c>
      <c r="E3370" s="3">
        <f>VLOOKUP(A3370,airports!A:H,8,FALSE)</f>
        <v>-77.455809720000005</v>
      </c>
      <c r="F3370" s="3">
        <f>VLOOKUP(B3370,airports!A:H,7,FALSE)</f>
        <v>38.138638890000003</v>
      </c>
      <c r="G3370" s="3">
        <f>VLOOKUP(B3370,airports!A:H,8,FALSE)</f>
        <v>-78.452861110000001</v>
      </c>
      <c r="H3370">
        <f t="shared" si="104"/>
        <v>124.7</v>
      </c>
      <c r="I3370">
        <f t="shared" si="105"/>
        <v>77.5</v>
      </c>
    </row>
    <row r="3371" spans="1:9" x14ac:dyDescent="0.25">
      <c r="A3371" s="5" t="s">
        <v>176</v>
      </c>
      <c r="B3371" s="5" t="s">
        <v>36</v>
      </c>
      <c r="C3371" s="5" t="s">
        <v>3837</v>
      </c>
      <c r="D3371" s="3">
        <f>VLOOKUP(A3371,airports!A:H,7,FALSE)</f>
        <v>38.944531939999997</v>
      </c>
      <c r="E3371" s="3">
        <f>VLOOKUP(A3371,airports!A:H,8,FALSE)</f>
        <v>-77.455809720000005</v>
      </c>
      <c r="F3371" s="3">
        <f>VLOOKUP(B3371,airports!A:H,7,FALSE)</f>
        <v>32.898646390000003</v>
      </c>
      <c r="G3371" s="3">
        <f>VLOOKUP(B3371,airports!A:H,8,FALSE)</f>
        <v>-80.040505830000001</v>
      </c>
      <c r="H3371">
        <f t="shared" si="104"/>
        <v>711.3</v>
      </c>
      <c r="I3371">
        <f t="shared" si="105"/>
        <v>442</v>
      </c>
    </row>
    <row r="3372" spans="1:9" x14ac:dyDescent="0.25">
      <c r="A3372" s="5" t="s">
        <v>176</v>
      </c>
      <c r="B3372" s="5" t="s">
        <v>1655</v>
      </c>
      <c r="C3372" s="5" t="s">
        <v>3838</v>
      </c>
      <c r="D3372" s="3">
        <f>VLOOKUP(A3372,airports!A:H,7,FALSE)</f>
        <v>38.944531939999997</v>
      </c>
      <c r="E3372" s="3">
        <f>VLOOKUP(A3372,airports!A:H,8,FALSE)</f>
        <v>-77.455809720000005</v>
      </c>
      <c r="F3372" s="3">
        <f>VLOOKUP(B3372,airports!A:H,7,FALSE)</f>
        <v>39.296599999999998</v>
      </c>
      <c r="G3372" s="3">
        <f>VLOOKUP(B3372,airports!A:H,8,FALSE)</f>
        <v>-80.228104000000002</v>
      </c>
      <c r="H3372">
        <f t="shared" si="104"/>
        <v>242.3</v>
      </c>
      <c r="I3372">
        <f t="shared" si="105"/>
        <v>150.6</v>
      </c>
    </row>
    <row r="3373" spans="1:9" x14ac:dyDescent="0.25">
      <c r="A3373" s="5" t="s">
        <v>176</v>
      </c>
      <c r="B3373" s="5" t="s">
        <v>38</v>
      </c>
      <c r="C3373" s="5" t="s">
        <v>3839</v>
      </c>
      <c r="D3373" s="3">
        <f>VLOOKUP(A3373,airports!A:H,7,FALSE)</f>
        <v>38.944531939999997</v>
      </c>
      <c r="E3373" s="3">
        <f>VLOOKUP(A3373,airports!A:H,8,FALSE)</f>
        <v>-77.455809720000005</v>
      </c>
      <c r="F3373" s="3">
        <f>VLOOKUP(B3373,airports!A:H,7,FALSE)</f>
        <v>41.410894169999999</v>
      </c>
      <c r="G3373" s="3">
        <f>VLOOKUP(B3373,airports!A:H,8,FALSE)</f>
        <v>-81.849396670000004</v>
      </c>
      <c r="H3373">
        <f t="shared" si="104"/>
        <v>463.1</v>
      </c>
      <c r="I3373">
        <f t="shared" si="105"/>
        <v>287.8</v>
      </c>
    </row>
    <row r="3374" spans="1:9" x14ac:dyDescent="0.25">
      <c r="A3374" s="5" t="s">
        <v>176</v>
      </c>
      <c r="B3374" s="5" t="s">
        <v>40</v>
      </c>
      <c r="C3374" s="5" t="s">
        <v>3840</v>
      </c>
      <c r="D3374" s="3">
        <f>VLOOKUP(A3374,airports!A:H,7,FALSE)</f>
        <v>38.944531939999997</v>
      </c>
      <c r="E3374" s="3">
        <f>VLOOKUP(A3374,airports!A:H,8,FALSE)</f>
        <v>-77.455809720000005</v>
      </c>
      <c r="F3374" s="3">
        <f>VLOOKUP(B3374,airports!A:H,7,FALSE)</f>
        <v>35.214011110000001</v>
      </c>
      <c r="G3374" s="3">
        <f>VLOOKUP(B3374,airports!A:H,8,FALSE)</f>
        <v>-80.94312583</v>
      </c>
      <c r="H3374">
        <f t="shared" si="104"/>
        <v>517.4</v>
      </c>
      <c r="I3374">
        <f t="shared" si="105"/>
        <v>321.5</v>
      </c>
    </row>
    <row r="3375" spans="1:9" ht="30" x14ac:dyDescent="0.25">
      <c r="A3375" s="5" t="s">
        <v>176</v>
      </c>
      <c r="B3375" s="5" t="s">
        <v>454</v>
      </c>
      <c r="C3375" s="5" t="s">
        <v>3841</v>
      </c>
      <c r="D3375" s="3">
        <f>VLOOKUP(A3375,airports!A:H,7,FALSE)</f>
        <v>38.944531939999997</v>
      </c>
      <c r="E3375" s="3">
        <f>VLOOKUP(A3375,airports!A:H,8,FALSE)</f>
        <v>-77.455809720000005</v>
      </c>
      <c r="F3375" s="3">
        <f>VLOOKUP(B3375,airports!A:H,7,FALSE)</f>
        <v>39.997985280000002</v>
      </c>
      <c r="G3375" s="3">
        <f>VLOOKUP(B3375,airports!A:H,8,FALSE)</f>
        <v>-82.891882780000003</v>
      </c>
      <c r="H3375">
        <f t="shared" si="104"/>
        <v>481</v>
      </c>
      <c r="I3375">
        <f t="shared" si="105"/>
        <v>298.89999999999998</v>
      </c>
    </row>
    <row r="3376" spans="1:9" ht="30" x14ac:dyDescent="0.25">
      <c r="A3376" s="5" t="s">
        <v>176</v>
      </c>
      <c r="B3376" s="5" t="s">
        <v>456</v>
      </c>
      <c r="C3376" s="5" t="s">
        <v>3842</v>
      </c>
      <c r="D3376" s="3">
        <f>VLOOKUP(A3376,airports!A:H,7,FALSE)</f>
        <v>38.944531939999997</v>
      </c>
      <c r="E3376" s="3">
        <f>VLOOKUP(A3376,airports!A:H,8,FALSE)</f>
        <v>-77.455809720000005</v>
      </c>
      <c r="F3376" s="3">
        <f>VLOOKUP(B3376,airports!A:H,7,FALSE)</f>
        <v>38.805805560000003</v>
      </c>
      <c r="G3376" s="3">
        <f>VLOOKUP(B3376,airports!A:H,8,FALSE)</f>
        <v>-104.70025</v>
      </c>
      <c r="H3376">
        <f t="shared" si="104"/>
        <v>2349.6999999999998</v>
      </c>
      <c r="I3376">
        <f t="shared" si="105"/>
        <v>1460.1</v>
      </c>
    </row>
    <row r="3377" spans="1:9" ht="30" x14ac:dyDescent="0.25">
      <c r="A3377" s="5" t="s">
        <v>176</v>
      </c>
      <c r="B3377" s="5" t="s">
        <v>458</v>
      </c>
      <c r="C3377" s="5" t="s">
        <v>3843</v>
      </c>
      <c r="D3377" s="3">
        <f>VLOOKUP(A3377,airports!A:H,7,FALSE)</f>
        <v>38.944531939999997</v>
      </c>
      <c r="E3377" s="3">
        <f>VLOOKUP(A3377,airports!A:H,8,FALSE)</f>
        <v>-77.455809720000005</v>
      </c>
      <c r="F3377" s="3">
        <f>VLOOKUP(B3377,airports!A:H,7,FALSE)</f>
        <v>38.37315083</v>
      </c>
      <c r="G3377" s="3">
        <f>VLOOKUP(B3377,airports!A:H,8,FALSE)</f>
        <v>-81.593189719999998</v>
      </c>
      <c r="H3377">
        <f t="shared" si="104"/>
        <v>364.8</v>
      </c>
      <c r="I3377">
        <f t="shared" si="105"/>
        <v>226.7</v>
      </c>
    </row>
    <row r="3378" spans="1:9" ht="30" x14ac:dyDescent="0.25">
      <c r="A3378" s="5" t="s">
        <v>176</v>
      </c>
      <c r="B3378" s="5" t="s">
        <v>462</v>
      </c>
      <c r="C3378" s="5" t="s">
        <v>3844</v>
      </c>
      <c r="D3378" s="3">
        <f>VLOOKUP(A3378,airports!A:H,7,FALSE)</f>
        <v>38.944531939999997</v>
      </c>
      <c r="E3378" s="3">
        <f>VLOOKUP(A3378,airports!A:H,8,FALSE)</f>
        <v>-77.455809720000005</v>
      </c>
      <c r="F3378" s="3">
        <f>VLOOKUP(B3378,airports!A:H,7,FALSE)</f>
        <v>39.046142779999997</v>
      </c>
      <c r="G3378" s="3">
        <f>VLOOKUP(B3378,airports!A:H,8,FALSE)</f>
        <v>-84.662172499999997</v>
      </c>
      <c r="H3378">
        <f t="shared" si="104"/>
        <v>622.70000000000005</v>
      </c>
      <c r="I3378">
        <f t="shared" si="105"/>
        <v>387</v>
      </c>
    </row>
    <row r="3379" spans="1:9" ht="30" x14ac:dyDescent="0.25">
      <c r="A3379" s="5" t="s">
        <v>176</v>
      </c>
      <c r="B3379" s="5" t="s">
        <v>467</v>
      </c>
      <c r="C3379" s="5" t="s">
        <v>3845</v>
      </c>
      <c r="D3379" s="3">
        <f>VLOOKUP(A3379,airports!A:H,7,FALSE)</f>
        <v>38.944531939999997</v>
      </c>
      <c r="E3379" s="3">
        <f>VLOOKUP(A3379,airports!A:H,8,FALSE)</f>
        <v>-77.455809720000005</v>
      </c>
      <c r="F3379" s="3">
        <f>VLOOKUP(B3379,airports!A:H,7,FALSE)</f>
        <v>39.902375829999997</v>
      </c>
      <c r="G3379" s="3">
        <f>VLOOKUP(B3379,airports!A:H,8,FALSE)</f>
        <v>-84.219374999999999</v>
      </c>
      <c r="H3379">
        <f t="shared" si="104"/>
        <v>590.5</v>
      </c>
      <c r="I3379">
        <f t="shared" si="105"/>
        <v>366.9</v>
      </c>
    </row>
    <row r="3380" spans="1:9" ht="30" x14ac:dyDescent="0.25">
      <c r="A3380" s="5" t="s">
        <v>176</v>
      </c>
      <c r="B3380" s="5" t="s">
        <v>47</v>
      </c>
      <c r="C3380" s="5" t="s">
        <v>3846</v>
      </c>
      <c r="D3380" s="3">
        <f>VLOOKUP(A3380,airports!A:H,7,FALSE)</f>
        <v>38.944531939999997</v>
      </c>
      <c r="E3380" s="3">
        <f>VLOOKUP(A3380,airports!A:H,8,FALSE)</f>
        <v>-77.455809720000005</v>
      </c>
      <c r="F3380" s="3">
        <f>VLOOKUP(B3380,airports!A:H,7,FALSE)</f>
        <v>39.858408060000002</v>
      </c>
      <c r="G3380" s="3">
        <f>VLOOKUP(B3380,airports!A:H,8,FALSE)</f>
        <v>-104.6670019</v>
      </c>
      <c r="H3380">
        <f t="shared" si="104"/>
        <v>2331.1999999999998</v>
      </c>
      <c r="I3380">
        <f t="shared" si="105"/>
        <v>1448.6</v>
      </c>
    </row>
    <row r="3381" spans="1:9" ht="30" x14ac:dyDescent="0.25">
      <c r="A3381" s="5" t="s">
        <v>176</v>
      </c>
      <c r="B3381" s="5" t="s">
        <v>49</v>
      </c>
      <c r="C3381" s="5" t="s">
        <v>3847</v>
      </c>
      <c r="D3381" s="3">
        <f>VLOOKUP(A3381,airports!A:H,7,FALSE)</f>
        <v>38.944531939999997</v>
      </c>
      <c r="E3381" s="3">
        <f>VLOOKUP(A3381,airports!A:H,8,FALSE)</f>
        <v>-77.455809720000005</v>
      </c>
      <c r="F3381" s="3">
        <f>VLOOKUP(B3381,airports!A:H,7,FALSE)</f>
        <v>32.895950560000003</v>
      </c>
      <c r="G3381" s="3">
        <f>VLOOKUP(B3381,airports!A:H,8,FALSE)</f>
        <v>-97.037199999999999</v>
      </c>
      <c r="H3381">
        <f t="shared" si="104"/>
        <v>1882.5</v>
      </c>
      <c r="I3381">
        <f t="shared" si="105"/>
        <v>1169.8</v>
      </c>
    </row>
    <row r="3382" spans="1:9" ht="30" x14ac:dyDescent="0.25">
      <c r="A3382" s="5" t="s">
        <v>176</v>
      </c>
      <c r="B3382" s="5" t="s">
        <v>50</v>
      </c>
      <c r="C3382" s="5" t="s">
        <v>3848</v>
      </c>
      <c r="D3382" s="3">
        <f>VLOOKUP(A3382,airports!A:H,7,FALSE)</f>
        <v>38.944531939999997</v>
      </c>
      <c r="E3382" s="3">
        <f>VLOOKUP(A3382,airports!A:H,8,FALSE)</f>
        <v>-77.455809720000005</v>
      </c>
      <c r="F3382" s="3">
        <f>VLOOKUP(B3382,airports!A:H,7,FALSE)</f>
        <v>42.212058890000002</v>
      </c>
      <c r="G3382" s="3">
        <f>VLOOKUP(B3382,airports!A:H,8,FALSE)</f>
        <v>-83.348835829999999</v>
      </c>
      <c r="H3382">
        <f t="shared" si="104"/>
        <v>616</v>
      </c>
      <c r="I3382">
        <f t="shared" si="105"/>
        <v>382.8</v>
      </c>
    </row>
    <row r="3383" spans="1:9" x14ac:dyDescent="0.25">
      <c r="A3383" s="5" t="s">
        <v>176</v>
      </c>
      <c r="B3383" s="5" t="s">
        <v>477</v>
      </c>
      <c r="C3383" s="5" t="s">
        <v>3849</v>
      </c>
      <c r="D3383" s="3">
        <f>VLOOKUP(A3383,airports!A:H,7,FALSE)</f>
        <v>38.944531939999997</v>
      </c>
      <c r="E3383" s="3">
        <f>VLOOKUP(A3383,airports!A:H,8,FALSE)</f>
        <v>-77.455809720000005</v>
      </c>
      <c r="F3383" s="3">
        <f>VLOOKUP(B3383,airports!A:H,7,FALSE)</f>
        <v>30.357106000000002</v>
      </c>
      <c r="G3383" s="3">
        <f>VLOOKUP(B3383,airports!A:H,8,FALSE)</f>
        <v>-85.795413999999994</v>
      </c>
      <c r="H3383">
        <f t="shared" si="104"/>
        <v>1221</v>
      </c>
      <c r="I3383">
        <f t="shared" si="105"/>
        <v>758.7</v>
      </c>
    </row>
    <row r="3384" spans="1:9" x14ac:dyDescent="0.25">
      <c r="A3384" s="5" t="s">
        <v>176</v>
      </c>
      <c r="B3384" s="5" t="s">
        <v>479</v>
      </c>
      <c r="C3384" s="5" t="s">
        <v>3850</v>
      </c>
      <c r="D3384" s="3">
        <f>VLOOKUP(A3384,airports!A:H,7,FALSE)</f>
        <v>38.944531939999997</v>
      </c>
      <c r="E3384" s="3">
        <f>VLOOKUP(A3384,airports!A:H,8,FALSE)</f>
        <v>-77.455809720000005</v>
      </c>
      <c r="F3384" s="3">
        <f>VLOOKUP(B3384,airports!A:H,7,FALSE)</f>
        <v>39.64256778</v>
      </c>
      <c r="G3384" s="3">
        <f>VLOOKUP(B3384,airports!A:H,8,FALSE)</f>
        <v>-106.91769530000001</v>
      </c>
      <c r="H3384">
        <f t="shared" si="104"/>
        <v>2525.1</v>
      </c>
      <c r="I3384">
        <f t="shared" si="105"/>
        <v>1569.1</v>
      </c>
    </row>
    <row r="3385" spans="1:9" ht="30" x14ac:dyDescent="0.25">
      <c r="A3385" s="5" t="s">
        <v>176</v>
      </c>
      <c r="B3385" s="5" t="s">
        <v>481</v>
      </c>
      <c r="C3385" s="5" t="s">
        <v>3851</v>
      </c>
      <c r="D3385" s="3">
        <f>VLOOKUP(A3385,airports!A:H,7,FALSE)</f>
        <v>38.944531939999997</v>
      </c>
      <c r="E3385" s="3">
        <f>VLOOKUP(A3385,airports!A:H,8,FALSE)</f>
        <v>-77.455809720000005</v>
      </c>
      <c r="F3385" s="3">
        <f>VLOOKUP(B3385,airports!A:H,7,FALSE)</f>
        <v>42.159913609999997</v>
      </c>
      <c r="G3385" s="3">
        <f>VLOOKUP(B3385,airports!A:H,8,FALSE)</f>
        <v>-76.891443330000001</v>
      </c>
      <c r="H3385">
        <f t="shared" si="104"/>
        <v>360.7</v>
      </c>
      <c r="I3385">
        <f t="shared" si="105"/>
        <v>224.1</v>
      </c>
    </row>
    <row r="3386" spans="1:9" x14ac:dyDescent="0.25">
      <c r="A3386" s="5" t="s">
        <v>176</v>
      </c>
      <c r="B3386" s="5" t="s">
        <v>1769</v>
      </c>
      <c r="C3386" s="5" t="s">
        <v>3852</v>
      </c>
      <c r="D3386" s="3">
        <f>VLOOKUP(A3386,airports!A:H,7,FALSE)</f>
        <v>38.944531939999997</v>
      </c>
      <c r="E3386" s="3">
        <f>VLOOKUP(A3386,airports!A:H,8,FALSE)</f>
        <v>-77.455809720000005</v>
      </c>
      <c r="F3386" s="3">
        <f>VLOOKUP(B3386,airports!A:H,7,FALSE)</f>
        <v>42.082021390000001</v>
      </c>
      <c r="G3386" s="3">
        <f>VLOOKUP(B3386,airports!A:H,8,FALSE)</f>
        <v>-80.176215560000003</v>
      </c>
      <c r="H3386">
        <f t="shared" si="104"/>
        <v>417.8</v>
      </c>
      <c r="I3386">
        <f t="shared" si="105"/>
        <v>259.60000000000002</v>
      </c>
    </row>
    <row r="3387" spans="1:9" ht="30" x14ac:dyDescent="0.25">
      <c r="A3387" s="5" t="s">
        <v>176</v>
      </c>
      <c r="B3387" s="5" t="s">
        <v>52</v>
      </c>
      <c r="C3387" s="5" t="s">
        <v>3853</v>
      </c>
      <c r="D3387" s="3">
        <f>VLOOKUP(A3387,airports!A:H,7,FALSE)</f>
        <v>38.944531939999997</v>
      </c>
      <c r="E3387" s="3">
        <f>VLOOKUP(A3387,airports!A:H,8,FALSE)</f>
        <v>-77.455809720000005</v>
      </c>
      <c r="F3387" s="3">
        <f>VLOOKUP(B3387,airports!A:H,7,FALSE)</f>
        <v>40.69249722</v>
      </c>
      <c r="G3387" s="3">
        <f>VLOOKUP(B3387,airports!A:H,8,FALSE)</f>
        <v>-74.168660560000006</v>
      </c>
      <c r="H3387">
        <f t="shared" si="104"/>
        <v>341.4</v>
      </c>
      <c r="I3387">
        <f t="shared" si="105"/>
        <v>212.2</v>
      </c>
    </row>
    <row r="3388" spans="1:9" ht="30" x14ac:dyDescent="0.25">
      <c r="A3388" s="5" t="s">
        <v>176</v>
      </c>
      <c r="B3388" s="5" t="s">
        <v>54</v>
      </c>
      <c r="C3388" s="5" t="s">
        <v>3854</v>
      </c>
      <c r="D3388" s="3">
        <f>VLOOKUP(A3388,airports!A:H,7,FALSE)</f>
        <v>38.944531939999997</v>
      </c>
      <c r="E3388" s="3">
        <f>VLOOKUP(A3388,airports!A:H,8,FALSE)</f>
        <v>-77.455809720000005</v>
      </c>
      <c r="F3388" s="3">
        <f>VLOOKUP(B3388,airports!A:H,7,FALSE)</f>
        <v>24.55611111</v>
      </c>
      <c r="G3388" s="3">
        <f>VLOOKUP(B3388,airports!A:H,8,FALSE)</f>
        <v>-81.759555559999995</v>
      </c>
      <c r="H3388">
        <f t="shared" si="104"/>
        <v>1650.3</v>
      </c>
      <c r="I3388">
        <f t="shared" si="105"/>
        <v>1025.5</v>
      </c>
    </row>
    <row r="3389" spans="1:9" x14ac:dyDescent="0.25">
      <c r="A3389" s="5" t="s">
        <v>176</v>
      </c>
      <c r="B3389" s="5" t="s">
        <v>493</v>
      </c>
      <c r="C3389" s="5" t="s">
        <v>3855</v>
      </c>
      <c r="D3389" s="3">
        <f>VLOOKUP(A3389,airports!A:H,7,FALSE)</f>
        <v>38.944531939999997</v>
      </c>
      <c r="E3389" s="3">
        <f>VLOOKUP(A3389,airports!A:H,8,FALSE)</f>
        <v>-77.455809720000005</v>
      </c>
      <c r="F3389" s="3">
        <f>VLOOKUP(B3389,airports!A:H,7,FALSE)</f>
        <v>34.991472219999999</v>
      </c>
      <c r="G3389" s="3">
        <f>VLOOKUP(B3389,airports!A:H,8,FALSE)</f>
        <v>-78.88</v>
      </c>
      <c r="H3389">
        <f t="shared" si="104"/>
        <v>457.4</v>
      </c>
      <c r="I3389">
        <f t="shared" si="105"/>
        <v>284.2</v>
      </c>
    </row>
    <row r="3390" spans="1:9" x14ac:dyDescent="0.25">
      <c r="A3390" s="5" t="s">
        <v>176</v>
      </c>
      <c r="B3390" s="5" t="s">
        <v>57</v>
      </c>
      <c r="C3390" s="5" t="s">
        <v>3856</v>
      </c>
      <c r="D3390" s="3">
        <f>VLOOKUP(A3390,airports!A:H,7,FALSE)</f>
        <v>38.944531939999997</v>
      </c>
      <c r="E3390" s="3">
        <f>VLOOKUP(A3390,airports!A:H,8,FALSE)</f>
        <v>-77.455809720000005</v>
      </c>
      <c r="F3390" s="3">
        <f>VLOOKUP(B3390,airports!A:H,7,FALSE)</f>
        <v>26.072583330000001</v>
      </c>
      <c r="G3390" s="3">
        <f>VLOOKUP(B3390,airports!A:H,8,FALSE)</f>
        <v>-80.152749999999997</v>
      </c>
      <c r="H3390">
        <f t="shared" si="104"/>
        <v>1453.3</v>
      </c>
      <c r="I3390">
        <f t="shared" si="105"/>
        <v>903.1</v>
      </c>
    </row>
    <row r="3391" spans="1:9" ht="30" x14ac:dyDescent="0.25">
      <c r="A3391" s="5" t="s">
        <v>176</v>
      </c>
      <c r="B3391" s="5" t="s">
        <v>511</v>
      </c>
      <c r="C3391" s="5" t="s">
        <v>3857</v>
      </c>
      <c r="D3391" s="3">
        <f>VLOOKUP(A3391,airports!A:H,7,FALSE)</f>
        <v>38.944531939999997</v>
      </c>
      <c r="E3391" s="3">
        <f>VLOOKUP(A3391,airports!A:H,8,FALSE)</f>
        <v>-77.455809720000005</v>
      </c>
      <c r="F3391" s="3">
        <f>VLOOKUP(B3391,airports!A:H,7,FALSE)</f>
        <v>44.485073329999999</v>
      </c>
      <c r="G3391" s="3">
        <f>VLOOKUP(B3391,airports!A:H,8,FALSE)</f>
        <v>-88.129589999999993</v>
      </c>
      <c r="H3391">
        <f t="shared" si="104"/>
        <v>1077.7</v>
      </c>
      <c r="I3391">
        <f t="shared" si="105"/>
        <v>669.7</v>
      </c>
    </row>
    <row r="3392" spans="1:9" ht="30" x14ac:dyDescent="0.25">
      <c r="A3392" s="5" t="s">
        <v>176</v>
      </c>
      <c r="B3392" s="5" t="s">
        <v>515</v>
      </c>
      <c r="C3392" s="5" t="s">
        <v>3858</v>
      </c>
      <c r="D3392" s="3">
        <f>VLOOKUP(A3392,airports!A:H,7,FALSE)</f>
        <v>38.944531939999997</v>
      </c>
      <c r="E3392" s="3">
        <f>VLOOKUP(A3392,airports!A:H,8,FALSE)</f>
        <v>-77.455809720000005</v>
      </c>
      <c r="F3392" s="3">
        <f>VLOOKUP(B3392,airports!A:H,7,FALSE)</f>
        <v>42.880819719999998</v>
      </c>
      <c r="G3392" s="3">
        <f>VLOOKUP(B3392,airports!A:H,8,FALSE)</f>
        <v>-85.522767779999995</v>
      </c>
      <c r="H3392">
        <f t="shared" si="104"/>
        <v>806.3</v>
      </c>
      <c r="I3392">
        <f t="shared" si="105"/>
        <v>501.1</v>
      </c>
    </row>
    <row r="3393" spans="1:9" ht="30" x14ac:dyDescent="0.25">
      <c r="A3393" s="5" t="s">
        <v>176</v>
      </c>
      <c r="B3393" s="5" t="s">
        <v>517</v>
      </c>
      <c r="C3393" s="5" t="s">
        <v>3859</v>
      </c>
      <c r="D3393" s="3">
        <f>VLOOKUP(A3393,airports!A:H,7,FALSE)</f>
        <v>38.944531939999997</v>
      </c>
      <c r="E3393" s="3">
        <f>VLOOKUP(A3393,airports!A:H,8,FALSE)</f>
        <v>-77.455809720000005</v>
      </c>
      <c r="F3393" s="3">
        <f>VLOOKUP(B3393,airports!A:H,7,FALSE)</f>
        <v>36.09774694</v>
      </c>
      <c r="G3393" s="3">
        <f>VLOOKUP(B3393,airports!A:H,8,FALSE)</f>
        <v>-79.9372975</v>
      </c>
      <c r="H3393">
        <f t="shared" si="104"/>
        <v>384.8</v>
      </c>
      <c r="I3393">
        <f t="shared" si="105"/>
        <v>239.1</v>
      </c>
    </row>
    <row r="3394" spans="1:9" x14ac:dyDescent="0.25">
      <c r="A3394" s="5" t="s">
        <v>176</v>
      </c>
      <c r="B3394" s="5" t="s">
        <v>519</v>
      </c>
      <c r="C3394" s="5" t="s">
        <v>3860</v>
      </c>
      <c r="D3394" s="3">
        <f>VLOOKUP(A3394,airports!A:H,7,FALSE)</f>
        <v>38.944531939999997</v>
      </c>
      <c r="E3394" s="3">
        <f>VLOOKUP(A3394,airports!A:H,8,FALSE)</f>
        <v>-77.455809720000005</v>
      </c>
      <c r="F3394" s="3">
        <f>VLOOKUP(B3394,airports!A:H,7,FALSE)</f>
        <v>34.89566722</v>
      </c>
      <c r="G3394" s="3">
        <f>VLOOKUP(B3394,airports!A:H,8,FALSE)</f>
        <v>-82.218858330000003</v>
      </c>
      <c r="H3394">
        <f t="shared" si="104"/>
        <v>617.9</v>
      </c>
      <c r="I3394">
        <f t="shared" si="105"/>
        <v>383.9</v>
      </c>
    </row>
    <row r="3395" spans="1:9" ht="30" x14ac:dyDescent="0.25">
      <c r="A3395" s="5" t="s">
        <v>176</v>
      </c>
      <c r="B3395" s="5" t="s">
        <v>64</v>
      </c>
      <c r="C3395" s="5" t="s">
        <v>3861</v>
      </c>
      <c r="D3395" s="3">
        <f>VLOOKUP(A3395,airports!A:H,7,FALSE)</f>
        <v>38.944531939999997</v>
      </c>
      <c r="E3395" s="3">
        <f>VLOOKUP(A3395,airports!A:H,8,FALSE)</f>
        <v>-77.455809720000005</v>
      </c>
      <c r="F3395" s="3">
        <f>VLOOKUP(B3395,airports!A:H,7,FALSE)</f>
        <v>40.481180279999997</v>
      </c>
      <c r="G3395" s="3">
        <f>VLOOKUP(B3395,airports!A:H,8,FALSE)</f>
        <v>-107.2176597</v>
      </c>
      <c r="H3395">
        <f t="shared" si="104"/>
        <v>2539.4</v>
      </c>
      <c r="I3395">
        <f t="shared" si="105"/>
        <v>1578</v>
      </c>
    </row>
    <row r="3396" spans="1:9" ht="30" x14ac:dyDescent="0.25">
      <c r="A3396" s="5" t="s">
        <v>176</v>
      </c>
      <c r="B3396" s="5" t="s">
        <v>524</v>
      </c>
      <c r="C3396" s="5" t="s">
        <v>3862</v>
      </c>
      <c r="D3396" s="3">
        <f>VLOOKUP(A3396,airports!A:H,7,FALSE)</f>
        <v>38.944531939999997</v>
      </c>
      <c r="E3396" s="3">
        <f>VLOOKUP(A3396,airports!A:H,8,FALSE)</f>
        <v>-77.455809720000005</v>
      </c>
      <c r="F3396" s="3">
        <f>VLOOKUP(B3396,airports!A:H,7,FALSE)</f>
        <v>32.224399566700001</v>
      </c>
      <c r="G3396" s="3">
        <f>VLOOKUP(B3396,airports!A:H,8,FALSE)</f>
        <v>-80.697502136200001</v>
      </c>
      <c r="H3396">
        <f t="shared" ref="H3396:H3459" si="106">ROUND(ACOS(COS(RADIANS(90-D3396)) * COS(RADIANS(90-F3396)) + SIN(RADIANS(90-D3396)) * SIN(RADIANS(90-F3396)) * COS(RADIANS(E3396-G3396))) * 6371,1)</f>
        <v>802.5</v>
      </c>
      <c r="I3396">
        <f t="shared" ref="I3396:I3459" si="107">ROUND(ACOS(COS(RADIANS(90-D3396)) * COS(RADIANS(90-F3396)) + SIN(RADIANS(90-D3396)) * SIN(RADIANS(90-F3396)) * COS(RADIANS(E3396-G3396))) * 3959,1)</f>
        <v>498.7</v>
      </c>
    </row>
    <row r="3397" spans="1:9" ht="30" x14ac:dyDescent="0.25">
      <c r="A3397" s="5" t="s">
        <v>176</v>
      </c>
      <c r="B3397" s="5" t="s">
        <v>360</v>
      </c>
      <c r="C3397" s="5" t="s">
        <v>3863</v>
      </c>
      <c r="D3397" s="3">
        <f>VLOOKUP(A3397,airports!A:H,7,FALSE)</f>
        <v>38.944531939999997</v>
      </c>
      <c r="E3397" s="3">
        <f>VLOOKUP(A3397,airports!A:H,8,FALSE)</f>
        <v>-77.455809720000005</v>
      </c>
      <c r="F3397" s="3">
        <f>VLOOKUP(B3397,airports!A:H,7,FALSE)</f>
        <v>21.31869111</v>
      </c>
      <c r="G3397" s="3">
        <f>VLOOKUP(B3397,airports!A:H,8,FALSE)</f>
        <v>-157.92240720000001</v>
      </c>
      <c r="H3397">
        <f t="shared" si="106"/>
        <v>7739.5</v>
      </c>
      <c r="I3397">
        <f t="shared" si="107"/>
        <v>4809.3999999999996</v>
      </c>
    </row>
    <row r="3398" spans="1:9" ht="30" x14ac:dyDescent="0.25">
      <c r="A3398" s="5" t="s">
        <v>176</v>
      </c>
      <c r="B3398" s="5" t="s">
        <v>529</v>
      </c>
      <c r="C3398" s="5" t="s">
        <v>3864</v>
      </c>
      <c r="D3398" s="3">
        <f>VLOOKUP(A3398,airports!A:H,7,FALSE)</f>
        <v>38.944531939999997</v>
      </c>
      <c r="E3398" s="3">
        <f>VLOOKUP(A3398,airports!A:H,8,FALSE)</f>
        <v>-77.455809720000005</v>
      </c>
      <c r="F3398" s="3">
        <f>VLOOKUP(B3398,airports!A:H,7,FALSE)</f>
        <v>34.640447500000001</v>
      </c>
      <c r="G3398" s="3">
        <f>VLOOKUP(B3398,airports!A:H,8,FALSE)</f>
        <v>-86.773109439999999</v>
      </c>
      <c r="H3398">
        <f t="shared" si="106"/>
        <v>957.1</v>
      </c>
      <c r="I3398">
        <f t="shared" si="107"/>
        <v>594.70000000000005</v>
      </c>
    </row>
    <row r="3399" spans="1:9" x14ac:dyDescent="0.25">
      <c r="A3399" s="5" t="s">
        <v>176</v>
      </c>
      <c r="B3399" s="5" t="s">
        <v>67</v>
      </c>
      <c r="C3399" s="5" t="s">
        <v>3865</v>
      </c>
      <c r="D3399" s="3">
        <f>VLOOKUP(A3399,airports!A:H,7,FALSE)</f>
        <v>38.944531939999997</v>
      </c>
      <c r="E3399" s="3">
        <f>VLOOKUP(A3399,airports!A:H,8,FALSE)</f>
        <v>-77.455809720000005</v>
      </c>
      <c r="F3399" s="3">
        <f>VLOOKUP(B3399,airports!A:H,7,FALSE)</f>
        <v>29.980472219999999</v>
      </c>
      <c r="G3399" s="3">
        <f>VLOOKUP(B3399,airports!A:H,8,FALSE)</f>
        <v>-95.339722219999999</v>
      </c>
      <c r="H3399">
        <f t="shared" si="106"/>
        <v>1913.5</v>
      </c>
      <c r="I3399">
        <f t="shared" si="107"/>
        <v>1189.0999999999999</v>
      </c>
    </row>
    <row r="3400" spans="1:9" x14ac:dyDescent="0.25">
      <c r="A3400" s="5" t="s">
        <v>176</v>
      </c>
      <c r="B3400" s="5" t="s">
        <v>535</v>
      </c>
      <c r="C3400" s="5" t="s">
        <v>3866</v>
      </c>
      <c r="D3400" s="3">
        <f>VLOOKUP(A3400,airports!A:H,7,FALSE)</f>
        <v>38.944531939999997</v>
      </c>
      <c r="E3400" s="3">
        <f>VLOOKUP(A3400,airports!A:H,8,FALSE)</f>
        <v>-77.455809720000005</v>
      </c>
      <c r="F3400" s="3">
        <f>VLOOKUP(B3400,airports!A:H,7,FALSE)</f>
        <v>34.270611109999997</v>
      </c>
      <c r="G3400" s="3">
        <f>VLOOKUP(B3400,airports!A:H,8,FALSE)</f>
        <v>-77.902555559999996</v>
      </c>
      <c r="H3400">
        <f t="shared" si="106"/>
        <v>521.20000000000005</v>
      </c>
      <c r="I3400">
        <f t="shared" si="107"/>
        <v>323.89999999999998</v>
      </c>
    </row>
    <row r="3401" spans="1:9" x14ac:dyDescent="0.25">
      <c r="A3401" s="5" t="s">
        <v>176</v>
      </c>
      <c r="B3401" s="5" t="s">
        <v>537</v>
      </c>
      <c r="C3401" s="5" t="s">
        <v>3867</v>
      </c>
      <c r="D3401" s="3">
        <f>VLOOKUP(A3401,airports!A:H,7,FALSE)</f>
        <v>38.944531939999997</v>
      </c>
      <c r="E3401" s="3">
        <f>VLOOKUP(A3401,airports!A:H,8,FALSE)</f>
        <v>-77.455809720000005</v>
      </c>
      <c r="F3401" s="3">
        <f>VLOOKUP(B3401,airports!A:H,7,FALSE)</f>
        <v>39.717329169999999</v>
      </c>
      <c r="G3401" s="3">
        <f>VLOOKUP(B3401,airports!A:H,8,FALSE)</f>
        <v>-86.294384170000001</v>
      </c>
      <c r="H3401">
        <f t="shared" si="106"/>
        <v>764.7</v>
      </c>
      <c r="I3401">
        <f t="shared" si="107"/>
        <v>475.2</v>
      </c>
    </row>
    <row r="3402" spans="1:9" x14ac:dyDescent="0.25">
      <c r="A3402" s="5" t="s">
        <v>176</v>
      </c>
      <c r="B3402" s="5" t="s">
        <v>1803</v>
      </c>
      <c r="C3402" s="5" t="s">
        <v>3868</v>
      </c>
      <c r="D3402" s="3">
        <f>VLOOKUP(A3402,airports!A:H,7,FALSE)</f>
        <v>38.944531939999997</v>
      </c>
      <c r="E3402" s="3">
        <f>VLOOKUP(A3402,airports!A:H,8,FALSE)</f>
        <v>-77.455809720000005</v>
      </c>
      <c r="F3402" s="3">
        <f>VLOOKUP(B3402,airports!A:H,7,FALSE)</f>
        <v>42.491027780000003</v>
      </c>
      <c r="G3402" s="3">
        <f>VLOOKUP(B3402,airports!A:H,8,FALSE)</f>
        <v>-76.458444439999994</v>
      </c>
      <c r="H3402">
        <f t="shared" si="106"/>
        <v>403.2</v>
      </c>
      <c r="I3402">
        <f t="shared" si="107"/>
        <v>250.6</v>
      </c>
    </row>
    <row r="3403" spans="1:9" x14ac:dyDescent="0.25">
      <c r="A3403" s="5" t="s">
        <v>176</v>
      </c>
      <c r="B3403" s="5" t="s">
        <v>68</v>
      </c>
      <c r="C3403" s="5" t="s">
        <v>3869</v>
      </c>
      <c r="D3403" s="3">
        <f>VLOOKUP(A3403,airports!A:H,7,FALSE)</f>
        <v>38.944531939999997</v>
      </c>
      <c r="E3403" s="3">
        <f>VLOOKUP(A3403,airports!A:H,8,FALSE)</f>
        <v>-77.455809720000005</v>
      </c>
      <c r="F3403" s="3">
        <f>VLOOKUP(B3403,airports!A:H,7,FALSE)</f>
        <v>30.49405556</v>
      </c>
      <c r="G3403" s="3">
        <f>VLOOKUP(B3403,airports!A:H,8,FALSE)</f>
        <v>-81.68786111</v>
      </c>
      <c r="H3403">
        <f t="shared" si="106"/>
        <v>1015.8</v>
      </c>
      <c r="I3403">
        <f t="shared" si="107"/>
        <v>631.20000000000005</v>
      </c>
    </row>
    <row r="3404" spans="1:9" x14ac:dyDescent="0.25">
      <c r="A3404" s="5" t="s">
        <v>176</v>
      </c>
      <c r="B3404" s="5" t="s">
        <v>69</v>
      </c>
      <c r="C3404" s="5" t="s">
        <v>3870</v>
      </c>
      <c r="D3404" s="3">
        <f>VLOOKUP(A3404,airports!A:H,7,FALSE)</f>
        <v>38.944531939999997</v>
      </c>
      <c r="E3404" s="3">
        <f>VLOOKUP(A3404,airports!A:H,8,FALSE)</f>
        <v>-77.455809720000005</v>
      </c>
      <c r="F3404" s="3">
        <f>VLOOKUP(B3404,airports!A:H,7,FALSE)</f>
        <v>40.639751109999999</v>
      </c>
      <c r="G3404" s="3">
        <f>VLOOKUP(B3404,airports!A:H,8,FALSE)</f>
        <v>-73.778925560000005</v>
      </c>
      <c r="H3404">
        <f t="shared" si="106"/>
        <v>366.3</v>
      </c>
      <c r="I3404">
        <f t="shared" si="107"/>
        <v>227.6</v>
      </c>
    </row>
    <row r="3405" spans="1:9" x14ac:dyDescent="0.25">
      <c r="A3405" s="5" t="s">
        <v>176</v>
      </c>
      <c r="B3405" s="5" t="s">
        <v>1658</v>
      </c>
      <c r="C3405" s="5" t="s">
        <v>3871</v>
      </c>
      <c r="D3405" s="3">
        <f>VLOOKUP(A3405,airports!A:H,7,FALSE)</f>
        <v>38.944531939999997</v>
      </c>
      <c r="E3405" s="3">
        <f>VLOOKUP(A3405,airports!A:H,8,FALSE)</f>
        <v>-77.455809720000005</v>
      </c>
      <c r="F3405" s="3">
        <f>VLOOKUP(B3405,airports!A:H,7,FALSE)</f>
        <v>40.3161010742187</v>
      </c>
      <c r="G3405" s="3">
        <f>VLOOKUP(B3405,airports!A:H,8,FALSE)</f>
        <v>-78.833900451660099</v>
      </c>
      <c r="H3405">
        <f t="shared" si="106"/>
        <v>192.8</v>
      </c>
      <c r="I3405">
        <f t="shared" si="107"/>
        <v>119.8</v>
      </c>
    </row>
    <row r="3406" spans="1:9" x14ac:dyDescent="0.25">
      <c r="A3406" s="5" t="s">
        <v>176</v>
      </c>
      <c r="B3406" s="5" t="s">
        <v>71</v>
      </c>
      <c r="C3406" s="5" t="s">
        <v>3872</v>
      </c>
      <c r="D3406" s="3">
        <f>VLOOKUP(A3406,airports!A:H,7,FALSE)</f>
        <v>38.944531939999997</v>
      </c>
      <c r="E3406" s="3">
        <f>VLOOKUP(A3406,airports!A:H,8,FALSE)</f>
        <v>-77.455809720000005</v>
      </c>
      <c r="F3406" s="3">
        <f>VLOOKUP(B3406,airports!A:H,7,FALSE)</f>
        <v>36.080361109999998</v>
      </c>
      <c r="G3406" s="3">
        <f>VLOOKUP(B3406,airports!A:H,8,FALSE)</f>
        <v>-115.1523333</v>
      </c>
      <c r="H3406">
        <f t="shared" si="106"/>
        <v>3316.5</v>
      </c>
      <c r="I3406">
        <f t="shared" si="107"/>
        <v>2060.9</v>
      </c>
    </row>
    <row r="3407" spans="1:9" x14ac:dyDescent="0.25">
      <c r="A3407" s="5" t="s">
        <v>176</v>
      </c>
      <c r="B3407" s="5" t="s">
        <v>73</v>
      </c>
      <c r="C3407" s="5" t="s">
        <v>3873</v>
      </c>
      <c r="D3407" s="3">
        <f>VLOOKUP(A3407,airports!A:H,7,FALSE)</f>
        <v>38.944531939999997</v>
      </c>
      <c r="E3407" s="3">
        <f>VLOOKUP(A3407,airports!A:H,8,FALSE)</f>
        <v>-77.455809720000005</v>
      </c>
      <c r="F3407" s="3">
        <f>VLOOKUP(B3407,airports!A:H,7,FALSE)</f>
        <v>33.942536109999999</v>
      </c>
      <c r="G3407" s="3">
        <f>VLOOKUP(B3407,airports!A:H,8,FALSE)</f>
        <v>-118.4080744</v>
      </c>
      <c r="H3407">
        <f t="shared" si="106"/>
        <v>3674</v>
      </c>
      <c r="I3407">
        <f t="shared" si="107"/>
        <v>2283.1</v>
      </c>
    </row>
    <row r="3408" spans="1:9" x14ac:dyDescent="0.25">
      <c r="A3408" s="5" t="s">
        <v>176</v>
      </c>
      <c r="B3408" s="5" t="s">
        <v>549</v>
      </c>
      <c r="C3408" s="5" t="s">
        <v>3874</v>
      </c>
      <c r="D3408" s="3">
        <f>VLOOKUP(A3408,airports!A:H,7,FALSE)</f>
        <v>38.944531939999997</v>
      </c>
      <c r="E3408" s="3">
        <f>VLOOKUP(A3408,airports!A:H,8,FALSE)</f>
        <v>-77.455809720000005</v>
      </c>
      <c r="F3408" s="3">
        <f>VLOOKUP(B3408,airports!A:H,7,FALSE)</f>
        <v>38.036972220000003</v>
      </c>
      <c r="G3408" s="3">
        <f>VLOOKUP(B3408,airports!A:H,8,FALSE)</f>
        <v>-84.60538889</v>
      </c>
      <c r="H3408">
        <f t="shared" si="106"/>
        <v>630.20000000000005</v>
      </c>
      <c r="I3408">
        <f t="shared" si="107"/>
        <v>391.6</v>
      </c>
    </row>
    <row r="3409" spans="1:9" x14ac:dyDescent="0.25">
      <c r="A3409" s="5" t="s">
        <v>176</v>
      </c>
      <c r="B3409" s="5" t="s">
        <v>74</v>
      </c>
      <c r="C3409" s="5" t="s">
        <v>3875</v>
      </c>
      <c r="D3409" s="3">
        <f>VLOOKUP(A3409,airports!A:H,7,FALSE)</f>
        <v>38.944531939999997</v>
      </c>
      <c r="E3409" s="3">
        <f>VLOOKUP(A3409,airports!A:H,8,FALSE)</f>
        <v>-77.455809720000005</v>
      </c>
      <c r="F3409" s="3">
        <f>VLOOKUP(B3409,airports!A:H,7,FALSE)</f>
        <v>40.777243060000004</v>
      </c>
      <c r="G3409" s="3">
        <f>VLOOKUP(B3409,airports!A:H,8,FALSE)</f>
        <v>-73.872609170000004</v>
      </c>
      <c r="H3409">
        <f t="shared" si="106"/>
        <v>367.5</v>
      </c>
      <c r="I3409">
        <f t="shared" si="107"/>
        <v>228.3</v>
      </c>
    </row>
    <row r="3410" spans="1:9" ht="30" x14ac:dyDescent="0.25">
      <c r="A3410" s="5" t="s">
        <v>176</v>
      </c>
      <c r="B3410" s="5" t="s">
        <v>3876</v>
      </c>
      <c r="C3410" s="5" t="s">
        <v>3877</v>
      </c>
      <c r="D3410" s="3">
        <f>VLOOKUP(A3410,airports!A:H,7,FALSE)</f>
        <v>38.944531939999997</v>
      </c>
      <c r="E3410" s="3">
        <f>VLOOKUP(A3410,airports!A:H,8,FALSE)</f>
        <v>-77.455809720000005</v>
      </c>
      <c r="F3410" s="3">
        <f>VLOOKUP(B3410,airports!A:H,7,FALSE)</f>
        <v>37.858305559999998</v>
      </c>
      <c r="G3410" s="3">
        <f>VLOOKUP(B3410,airports!A:H,8,FALSE)</f>
        <v>-80.399472220000007</v>
      </c>
      <c r="H3410">
        <f t="shared" si="106"/>
        <v>283.5</v>
      </c>
      <c r="I3410">
        <f t="shared" si="107"/>
        <v>176.2</v>
      </c>
    </row>
    <row r="3411" spans="1:9" x14ac:dyDescent="0.25">
      <c r="A3411" s="5" t="s">
        <v>176</v>
      </c>
      <c r="B3411" s="5" t="s">
        <v>80</v>
      </c>
      <c r="C3411" s="5" t="s">
        <v>3878</v>
      </c>
      <c r="D3411" s="3">
        <f>VLOOKUP(A3411,airports!A:H,7,FALSE)</f>
        <v>38.944531939999997</v>
      </c>
      <c r="E3411" s="3">
        <f>VLOOKUP(A3411,airports!A:H,8,FALSE)</f>
        <v>-77.455809720000005</v>
      </c>
      <c r="F3411" s="3">
        <f>VLOOKUP(B3411,airports!A:H,7,FALSE)</f>
        <v>39.297605279999999</v>
      </c>
      <c r="G3411" s="3">
        <f>VLOOKUP(B3411,airports!A:H,8,FALSE)</f>
        <v>-94.713905560000001</v>
      </c>
      <c r="H3411">
        <f t="shared" si="106"/>
        <v>1487.1</v>
      </c>
      <c r="I3411">
        <f t="shared" si="107"/>
        <v>924.1</v>
      </c>
    </row>
    <row r="3412" spans="1:9" ht="30" x14ac:dyDescent="0.25">
      <c r="A3412" s="5" t="s">
        <v>176</v>
      </c>
      <c r="B3412" s="5" t="s">
        <v>82</v>
      </c>
      <c r="C3412" s="5" t="s">
        <v>3879</v>
      </c>
      <c r="D3412" s="3">
        <f>VLOOKUP(A3412,airports!A:H,7,FALSE)</f>
        <v>38.944531939999997</v>
      </c>
      <c r="E3412" s="3">
        <f>VLOOKUP(A3412,airports!A:H,8,FALSE)</f>
        <v>-77.455809720000005</v>
      </c>
      <c r="F3412" s="3">
        <f>VLOOKUP(B3412,airports!A:H,7,FALSE)</f>
        <v>28.42888889</v>
      </c>
      <c r="G3412" s="3">
        <f>VLOOKUP(B3412,airports!A:H,8,FALSE)</f>
        <v>-81.316027779999999</v>
      </c>
      <c r="H3412">
        <f t="shared" si="106"/>
        <v>1222.3</v>
      </c>
      <c r="I3412">
        <f t="shared" si="107"/>
        <v>759.5</v>
      </c>
    </row>
    <row r="3413" spans="1:9" ht="30" x14ac:dyDescent="0.25">
      <c r="A3413" s="5" t="s">
        <v>176</v>
      </c>
      <c r="B3413" s="5" t="s">
        <v>178</v>
      </c>
      <c r="C3413" s="5" t="s">
        <v>3880</v>
      </c>
      <c r="D3413" s="3">
        <f>VLOOKUP(A3413,airports!A:H,7,FALSE)</f>
        <v>38.944531939999997</v>
      </c>
      <c r="E3413" s="3">
        <f>VLOOKUP(A3413,airports!A:H,8,FALSE)</f>
        <v>-77.455809720000005</v>
      </c>
      <c r="F3413" s="3">
        <f>VLOOKUP(B3413,airports!A:H,7,FALSE)</f>
        <v>40.19349528</v>
      </c>
      <c r="G3413" s="3">
        <f>VLOOKUP(B3413,airports!A:H,8,FALSE)</f>
        <v>-76.763403609999997</v>
      </c>
      <c r="H3413">
        <f t="shared" si="106"/>
        <v>151</v>
      </c>
      <c r="I3413">
        <f t="shared" si="107"/>
        <v>93.8</v>
      </c>
    </row>
    <row r="3414" spans="1:9" ht="30" x14ac:dyDescent="0.25">
      <c r="A3414" s="5" t="s">
        <v>176</v>
      </c>
      <c r="B3414" s="5" t="s">
        <v>180</v>
      </c>
      <c r="C3414" s="5" t="s">
        <v>3881</v>
      </c>
      <c r="D3414" s="3">
        <f>VLOOKUP(A3414,airports!A:H,7,FALSE)</f>
        <v>38.944531939999997</v>
      </c>
      <c r="E3414" s="3">
        <f>VLOOKUP(A3414,airports!A:H,8,FALSE)</f>
        <v>-77.455809720000005</v>
      </c>
      <c r="F3414" s="3">
        <f>VLOOKUP(B3414,airports!A:H,7,FALSE)</f>
        <v>41.785982500000003</v>
      </c>
      <c r="G3414" s="3">
        <f>VLOOKUP(B3414,airports!A:H,8,FALSE)</f>
        <v>-87.752424439999999</v>
      </c>
      <c r="H3414">
        <f t="shared" si="106"/>
        <v>927.1</v>
      </c>
      <c r="I3414">
        <f t="shared" si="107"/>
        <v>576.1</v>
      </c>
    </row>
    <row r="3415" spans="1:9" ht="30" x14ac:dyDescent="0.25">
      <c r="A3415" s="5" t="s">
        <v>176</v>
      </c>
      <c r="B3415" s="5" t="s">
        <v>567</v>
      </c>
      <c r="C3415" s="5" t="s">
        <v>3882</v>
      </c>
      <c r="D3415" s="3">
        <f>VLOOKUP(A3415,airports!A:H,7,FALSE)</f>
        <v>38.944531939999997</v>
      </c>
      <c r="E3415" s="3">
        <f>VLOOKUP(A3415,airports!A:H,8,FALSE)</f>
        <v>-77.455809720000005</v>
      </c>
      <c r="F3415" s="3">
        <f>VLOOKUP(B3415,airports!A:H,7,FALSE)</f>
        <v>42.934516389999999</v>
      </c>
      <c r="G3415" s="3">
        <f>VLOOKUP(B3415,airports!A:H,8,FALSE)</f>
        <v>-71.437055830000006</v>
      </c>
      <c r="H3415">
        <f t="shared" si="106"/>
        <v>672.3</v>
      </c>
      <c r="I3415">
        <f t="shared" si="107"/>
        <v>417.8</v>
      </c>
    </row>
    <row r="3416" spans="1:9" ht="30" x14ac:dyDescent="0.25">
      <c r="A3416" s="5" t="s">
        <v>176</v>
      </c>
      <c r="B3416" s="5" t="s">
        <v>84</v>
      </c>
      <c r="C3416" s="5" t="s">
        <v>3883</v>
      </c>
      <c r="D3416" s="3">
        <f>VLOOKUP(A3416,airports!A:H,7,FALSE)</f>
        <v>38.944531939999997</v>
      </c>
      <c r="E3416" s="3">
        <f>VLOOKUP(A3416,airports!A:H,8,FALSE)</f>
        <v>-77.455809720000005</v>
      </c>
      <c r="F3416" s="3">
        <f>VLOOKUP(B3416,airports!A:H,7,FALSE)</f>
        <v>25.79325</v>
      </c>
      <c r="G3416" s="3">
        <f>VLOOKUP(B3416,airports!A:H,8,FALSE)</f>
        <v>-80.290555560000001</v>
      </c>
      <c r="H3416">
        <f t="shared" si="106"/>
        <v>1486.2</v>
      </c>
      <c r="I3416">
        <f t="shared" si="107"/>
        <v>923.5</v>
      </c>
    </row>
    <row r="3417" spans="1:9" ht="30" x14ac:dyDescent="0.25">
      <c r="A3417" s="5" t="s">
        <v>176</v>
      </c>
      <c r="B3417" s="5" t="s">
        <v>85</v>
      </c>
      <c r="C3417" s="5" t="s">
        <v>3884</v>
      </c>
      <c r="D3417" s="3">
        <f>VLOOKUP(A3417,airports!A:H,7,FALSE)</f>
        <v>38.944531939999997</v>
      </c>
      <c r="E3417" s="3">
        <f>VLOOKUP(A3417,airports!A:H,8,FALSE)</f>
        <v>-77.455809720000005</v>
      </c>
      <c r="F3417" s="3">
        <f>VLOOKUP(B3417,airports!A:H,7,FALSE)</f>
        <v>42.94722222</v>
      </c>
      <c r="G3417" s="3">
        <f>VLOOKUP(B3417,airports!A:H,8,FALSE)</f>
        <v>-87.896583329999999</v>
      </c>
      <c r="H3417">
        <f t="shared" si="106"/>
        <v>982.4</v>
      </c>
      <c r="I3417">
        <f t="shared" si="107"/>
        <v>610.5</v>
      </c>
    </row>
    <row r="3418" spans="1:9" ht="30" x14ac:dyDescent="0.25">
      <c r="A3418" s="5" t="s">
        <v>176</v>
      </c>
      <c r="B3418" s="5" t="s">
        <v>579</v>
      </c>
      <c r="C3418" s="5" t="s">
        <v>3885</v>
      </c>
      <c r="D3418" s="3">
        <f>VLOOKUP(A3418,airports!A:H,7,FALSE)</f>
        <v>38.944531939999997</v>
      </c>
      <c r="E3418" s="3">
        <f>VLOOKUP(A3418,airports!A:H,8,FALSE)</f>
        <v>-77.455809720000005</v>
      </c>
      <c r="F3418" s="3">
        <f>VLOOKUP(B3418,airports!A:H,7,FALSE)</f>
        <v>43.13985778</v>
      </c>
      <c r="G3418" s="3">
        <f>VLOOKUP(B3418,airports!A:H,8,FALSE)</f>
        <v>-89.337513610000002</v>
      </c>
      <c r="H3418">
        <f t="shared" si="106"/>
        <v>1098.9000000000001</v>
      </c>
      <c r="I3418">
        <f t="shared" si="107"/>
        <v>682.9</v>
      </c>
    </row>
    <row r="3419" spans="1:9" ht="30" x14ac:dyDescent="0.25">
      <c r="A3419" s="5" t="s">
        <v>176</v>
      </c>
      <c r="B3419" s="5" t="s">
        <v>87</v>
      </c>
      <c r="C3419" s="5" t="s">
        <v>3886</v>
      </c>
      <c r="D3419" s="3">
        <f>VLOOKUP(A3419,airports!A:H,7,FALSE)</f>
        <v>38.944531939999997</v>
      </c>
      <c r="E3419" s="3">
        <f>VLOOKUP(A3419,airports!A:H,8,FALSE)</f>
        <v>-77.455809720000005</v>
      </c>
      <c r="F3419" s="3">
        <f>VLOOKUP(B3419,airports!A:H,7,FALSE)</f>
        <v>44.880546940000002</v>
      </c>
      <c r="G3419" s="3">
        <f>VLOOKUP(B3419,airports!A:H,8,FALSE)</f>
        <v>-93.216922499999995</v>
      </c>
      <c r="H3419">
        <f t="shared" si="106"/>
        <v>1458.3</v>
      </c>
      <c r="I3419">
        <f t="shared" si="107"/>
        <v>906.2</v>
      </c>
    </row>
    <row r="3420" spans="1:9" ht="30" x14ac:dyDescent="0.25">
      <c r="A3420" s="5" t="s">
        <v>176</v>
      </c>
      <c r="B3420" s="5" t="s">
        <v>89</v>
      </c>
      <c r="C3420" s="5" t="s">
        <v>3887</v>
      </c>
      <c r="D3420" s="3">
        <f>VLOOKUP(A3420,airports!A:H,7,FALSE)</f>
        <v>38.944531939999997</v>
      </c>
      <c r="E3420" s="3">
        <f>VLOOKUP(A3420,airports!A:H,8,FALSE)</f>
        <v>-77.455809720000005</v>
      </c>
      <c r="F3420" s="3">
        <f>VLOOKUP(B3420,airports!A:H,7,FALSE)</f>
        <v>29.993388889999999</v>
      </c>
      <c r="G3420" s="3">
        <f>VLOOKUP(B3420,airports!A:H,8,FALSE)</f>
        <v>-90.258027780000006</v>
      </c>
      <c r="H3420">
        <f t="shared" si="106"/>
        <v>1536</v>
      </c>
      <c r="I3420">
        <f t="shared" si="107"/>
        <v>954.5</v>
      </c>
    </row>
    <row r="3421" spans="1:9" ht="30" x14ac:dyDescent="0.25">
      <c r="A3421" s="5" t="s">
        <v>176</v>
      </c>
      <c r="B3421" s="5" t="s">
        <v>182</v>
      </c>
      <c r="C3421" s="5" t="s">
        <v>3888</v>
      </c>
      <c r="D3421" s="3">
        <f>VLOOKUP(A3421,airports!A:H,7,FALSE)</f>
        <v>38.944531939999997</v>
      </c>
      <c r="E3421" s="3">
        <f>VLOOKUP(A3421,airports!A:H,8,FALSE)</f>
        <v>-77.455809720000005</v>
      </c>
      <c r="F3421" s="3">
        <f>VLOOKUP(B3421,airports!A:H,7,FALSE)</f>
        <v>33.679749999999999</v>
      </c>
      <c r="G3421" s="3">
        <f>VLOOKUP(B3421,airports!A:H,8,FALSE)</f>
        <v>-78.928333330000001</v>
      </c>
      <c r="H3421">
        <f t="shared" si="106"/>
        <v>600.1</v>
      </c>
      <c r="I3421">
        <f t="shared" si="107"/>
        <v>372.9</v>
      </c>
    </row>
    <row r="3422" spans="1:9" ht="30" x14ac:dyDescent="0.25">
      <c r="A3422" s="5" t="s">
        <v>176</v>
      </c>
      <c r="B3422" s="5" t="s">
        <v>3889</v>
      </c>
      <c r="C3422" s="5" t="s">
        <v>3890</v>
      </c>
      <c r="D3422" s="3">
        <f>VLOOKUP(A3422,airports!A:H,7,FALSE)</f>
        <v>38.944531939999997</v>
      </c>
      <c r="E3422" s="3">
        <f>VLOOKUP(A3422,airports!A:H,8,FALSE)</f>
        <v>-77.455809720000005</v>
      </c>
      <c r="F3422" s="3">
        <f>VLOOKUP(B3422,airports!A:H,7,FALSE)</f>
        <v>44.681899999999999</v>
      </c>
      <c r="G3422" s="3">
        <f>VLOOKUP(B3422,airports!A:H,8,FALSE)</f>
        <v>-75.465500000000006</v>
      </c>
      <c r="H3422">
        <f t="shared" si="106"/>
        <v>658.9</v>
      </c>
      <c r="I3422">
        <f t="shared" si="107"/>
        <v>409.4</v>
      </c>
    </row>
    <row r="3423" spans="1:9" ht="30" x14ac:dyDescent="0.25">
      <c r="A3423" s="5" t="s">
        <v>176</v>
      </c>
      <c r="B3423" s="5" t="s">
        <v>590</v>
      </c>
      <c r="C3423" s="5" t="s">
        <v>3891</v>
      </c>
      <c r="D3423" s="3">
        <f>VLOOKUP(A3423,airports!A:H,7,FALSE)</f>
        <v>38.944531939999997</v>
      </c>
      <c r="E3423" s="3">
        <f>VLOOKUP(A3423,airports!A:H,8,FALSE)</f>
        <v>-77.455809720000005</v>
      </c>
      <c r="F3423" s="3">
        <f>VLOOKUP(B3423,airports!A:H,7,FALSE)</f>
        <v>35.393088329999998</v>
      </c>
      <c r="G3423" s="3">
        <f>VLOOKUP(B3423,airports!A:H,8,FALSE)</f>
        <v>-97.600733890000001</v>
      </c>
      <c r="H3423">
        <f t="shared" si="106"/>
        <v>1824.1</v>
      </c>
      <c r="I3423">
        <f t="shared" si="107"/>
        <v>1133.5</v>
      </c>
    </row>
    <row r="3424" spans="1:9" ht="30" x14ac:dyDescent="0.25">
      <c r="A3424" s="5" t="s">
        <v>176</v>
      </c>
      <c r="B3424" s="5" t="s">
        <v>95</v>
      </c>
      <c r="C3424" s="5" t="s">
        <v>3892</v>
      </c>
      <c r="D3424" s="3">
        <f>VLOOKUP(A3424,airports!A:H,7,FALSE)</f>
        <v>38.944531939999997</v>
      </c>
      <c r="E3424" s="3">
        <f>VLOOKUP(A3424,airports!A:H,8,FALSE)</f>
        <v>-77.455809720000005</v>
      </c>
      <c r="F3424" s="3">
        <f>VLOOKUP(B3424,airports!A:H,7,FALSE)</f>
        <v>41.979595000000003</v>
      </c>
      <c r="G3424" s="3">
        <f>VLOOKUP(B3424,airports!A:H,8,FALSE)</f>
        <v>-87.904464169999997</v>
      </c>
      <c r="H3424">
        <f t="shared" si="106"/>
        <v>945.4</v>
      </c>
      <c r="I3424">
        <f t="shared" si="107"/>
        <v>587.5</v>
      </c>
    </row>
    <row r="3425" spans="1:9" ht="30" x14ac:dyDescent="0.25">
      <c r="A3425" s="5" t="s">
        <v>176</v>
      </c>
      <c r="B3425" s="5" t="s">
        <v>596</v>
      </c>
      <c r="C3425" s="5" t="s">
        <v>3893</v>
      </c>
      <c r="D3425" s="3">
        <f>VLOOKUP(A3425,airports!A:H,7,FALSE)</f>
        <v>38.944531939999997</v>
      </c>
      <c r="E3425" s="3">
        <f>VLOOKUP(A3425,airports!A:H,8,FALSE)</f>
        <v>-77.455809720000005</v>
      </c>
      <c r="F3425" s="3">
        <f>VLOOKUP(B3425,airports!A:H,7,FALSE)</f>
        <v>36.89461111</v>
      </c>
      <c r="G3425" s="3">
        <f>VLOOKUP(B3425,airports!A:H,8,FALSE)</f>
        <v>-76.201222220000005</v>
      </c>
      <c r="H3425">
        <f t="shared" si="106"/>
        <v>253.1</v>
      </c>
      <c r="I3425">
        <f t="shared" si="107"/>
        <v>157.30000000000001</v>
      </c>
    </row>
    <row r="3426" spans="1:9" ht="30" x14ac:dyDescent="0.25">
      <c r="A3426" s="5" t="s">
        <v>176</v>
      </c>
      <c r="B3426" s="5" t="s">
        <v>3316</v>
      </c>
      <c r="C3426" s="5" t="s">
        <v>3894</v>
      </c>
      <c r="D3426" s="3">
        <f>VLOOKUP(A3426,airports!A:H,7,FALSE)</f>
        <v>38.944531939999997</v>
      </c>
      <c r="E3426" s="3">
        <f>VLOOKUP(A3426,airports!A:H,8,FALSE)</f>
        <v>-77.455809720000005</v>
      </c>
      <c r="F3426" s="3">
        <f>VLOOKUP(B3426,airports!A:H,7,FALSE)</f>
        <v>44.650901794433501</v>
      </c>
      <c r="G3426" s="3">
        <f>VLOOKUP(B3426,airports!A:H,8,FALSE)</f>
        <v>-73.468101501464801</v>
      </c>
      <c r="H3426">
        <f t="shared" si="106"/>
        <v>715.2</v>
      </c>
      <c r="I3426">
        <f t="shared" si="107"/>
        <v>444.5</v>
      </c>
    </row>
    <row r="3427" spans="1:9" x14ac:dyDescent="0.25">
      <c r="A3427" s="5" t="s">
        <v>176</v>
      </c>
      <c r="B3427" s="5" t="s">
        <v>99</v>
      </c>
      <c r="C3427" s="5" t="s">
        <v>3895</v>
      </c>
      <c r="D3427" s="3">
        <f>VLOOKUP(A3427,airports!A:H,7,FALSE)</f>
        <v>38.944531939999997</v>
      </c>
      <c r="E3427" s="3">
        <f>VLOOKUP(A3427,airports!A:H,8,FALSE)</f>
        <v>-77.455809720000005</v>
      </c>
      <c r="F3427" s="3">
        <f>VLOOKUP(B3427,airports!A:H,7,FALSE)</f>
        <v>26.683161940000002</v>
      </c>
      <c r="G3427" s="3">
        <f>VLOOKUP(B3427,airports!A:H,8,FALSE)</f>
        <v>-80.095594169999998</v>
      </c>
      <c r="H3427">
        <f t="shared" si="106"/>
        <v>1385.4</v>
      </c>
      <c r="I3427">
        <f t="shared" si="107"/>
        <v>860.9</v>
      </c>
    </row>
    <row r="3428" spans="1:9" ht="30" x14ac:dyDescent="0.25">
      <c r="A3428" s="5" t="s">
        <v>176</v>
      </c>
      <c r="B3428" s="5" t="s">
        <v>100</v>
      </c>
      <c r="C3428" s="5" t="s">
        <v>3896</v>
      </c>
      <c r="D3428" s="3">
        <f>VLOOKUP(A3428,airports!A:H,7,FALSE)</f>
        <v>38.944531939999997</v>
      </c>
      <c r="E3428" s="3">
        <f>VLOOKUP(A3428,airports!A:H,8,FALSE)</f>
        <v>-77.455809720000005</v>
      </c>
      <c r="F3428" s="3">
        <f>VLOOKUP(B3428,airports!A:H,7,FALSE)</f>
        <v>45.588722220000001</v>
      </c>
      <c r="G3428" s="3">
        <f>VLOOKUP(B3428,airports!A:H,8,FALSE)</f>
        <v>-122.5975</v>
      </c>
      <c r="H3428">
        <f t="shared" si="106"/>
        <v>3736.2</v>
      </c>
      <c r="I3428">
        <f t="shared" si="107"/>
        <v>2321.6999999999998</v>
      </c>
    </row>
    <row r="3429" spans="1:9" x14ac:dyDescent="0.25">
      <c r="A3429" s="5" t="s">
        <v>176</v>
      </c>
      <c r="B3429" s="5" t="s">
        <v>102</v>
      </c>
      <c r="C3429" s="5" t="s">
        <v>3897</v>
      </c>
      <c r="D3429" s="3">
        <f>VLOOKUP(A3429,airports!A:H,7,FALSE)</f>
        <v>38.944531939999997</v>
      </c>
      <c r="E3429" s="3">
        <f>VLOOKUP(A3429,airports!A:H,8,FALSE)</f>
        <v>-77.455809720000005</v>
      </c>
      <c r="F3429" s="3">
        <f>VLOOKUP(B3429,airports!A:H,7,FALSE)</f>
        <v>39.871952780000001</v>
      </c>
      <c r="G3429" s="3">
        <f>VLOOKUP(B3429,airports!A:H,8,FALSE)</f>
        <v>-75.241140830000006</v>
      </c>
      <c r="H3429">
        <f t="shared" si="106"/>
        <v>216.4</v>
      </c>
      <c r="I3429">
        <f t="shared" si="107"/>
        <v>134.5</v>
      </c>
    </row>
    <row r="3430" spans="1:9" ht="30" x14ac:dyDescent="0.25">
      <c r="A3430" s="5" t="s">
        <v>176</v>
      </c>
      <c r="B3430" s="5" t="s">
        <v>104</v>
      </c>
      <c r="C3430" s="5" t="s">
        <v>3898</v>
      </c>
      <c r="D3430" s="3">
        <f>VLOOKUP(A3430,airports!A:H,7,FALSE)</f>
        <v>38.944531939999997</v>
      </c>
      <c r="E3430" s="3">
        <f>VLOOKUP(A3430,airports!A:H,8,FALSE)</f>
        <v>-77.455809720000005</v>
      </c>
      <c r="F3430" s="3">
        <f>VLOOKUP(B3430,airports!A:H,7,FALSE)</f>
        <v>33.434166670000003</v>
      </c>
      <c r="G3430" s="3">
        <f>VLOOKUP(B3430,airports!A:H,8,FALSE)</f>
        <v>-112.00805560000001</v>
      </c>
      <c r="H3430">
        <f t="shared" si="106"/>
        <v>3141.2</v>
      </c>
      <c r="I3430">
        <f t="shared" si="107"/>
        <v>1952</v>
      </c>
    </row>
    <row r="3431" spans="1:9" x14ac:dyDescent="0.25">
      <c r="A3431" s="5" t="s">
        <v>176</v>
      </c>
      <c r="B3431" s="5" t="s">
        <v>106</v>
      </c>
      <c r="C3431" s="5" t="s">
        <v>3899</v>
      </c>
      <c r="D3431" s="3">
        <f>VLOOKUP(A3431,airports!A:H,7,FALSE)</f>
        <v>38.944531939999997</v>
      </c>
      <c r="E3431" s="3">
        <f>VLOOKUP(A3431,airports!A:H,8,FALSE)</f>
        <v>-77.455809720000005</v>
      </c>
      <c r="F3431" s="3">
        <f>VLOOKUP(B3431,airports!A:H,7,FALSE)</f>
        <v>40.491465830000003</v>
      </c>
      <c r="G3431" s="3">
        <f>VLOOKUP(B3431,airports!A:H,8,FALSE)</f>
        <v>-80.232870829999996</v>
      </c>
      <c r="H3431">
        <f t="shared" si="106"/>
        <v>293.2</v>
      </c>
      <c r="I3431">
        <f t="shared" si="107"/>
        <v>182.2</v>
      </c>
    </row>
    <row r="3432" spans="1:9" ht="30" x14ac:dyDescent="0.25">
      <c r="A3432" s="5" t="s">
        <v>176</v>
      </c>
      <c r="B3432" s="5" t="s">
        <v>607</v>
      </c>
      <c r="C3432" s="5" t="s">
        <v>3900</v>
      </c>
      <c r="D3432" s="3">
        <f>VLOOKUP(A3432,airports!A:H,7,FALSE)</f>
        <v>38.944531939999997</v>
      </c>
      <c r="E3432" s="3">
        <f>VLOOKUP(A3432,airports!A:H,8,FALSE)</f>
        <v>-77.455809720000005</v>
      </c>
      <c r="F3432" s="3">
        <f>VLOOKUP(B3432,airports!A:H,7,FALSE)</f>
        <v>30.47330556</v>
      </c>
      <c r="G3432" s="3">
        <f>VLOOKUP(B3432,airports!A:H,8,FALSE)</f>
        <v>-87.187444439999993</v>
      </c>
      <c r="H3432">
        <f t="shared" si="106"/>
        <v>1294</v>
      </c>
      <c r="I3432">
        <f t="shared" si="107"/>
        <v>804.1</v>
      </c>
    </row>
    <row r="3433" spans="1:9" x14ac:dyDescent="0.25">
      <c r="A3433" s="5" t="s">
        <v>176</v>
      </c>
      <c r="B3433" s="5" t="s">
        <v>3126</v>
      </c>
      <c r="C3433" s="5" t="s">
        <v>3901</v>
      </c>
      <c r="D3433" s="3">
        <f>VLOOKUP(A3433,airports!A:H,7,FALSE)</f>
        <v>38.944531939999997</v>
      </c>
      <c r="E3433" s="3">
        <f>VLOOKUP(A3433,airports!A:H,8,FALSE)</f>
        <v>-77.455809720000005</v>
      </c>
      <c r="F3433" s="3">
        <f>VLOOKUP(B3433,airports!A:H,7,FALSE)</f>
        <v>46.688999000000003</v>
      </c>
      <c r="G3433" s="3">
        <f>VLOOKUP(B3433,airports!A:H,8,FALSE)</f>
        <v>-68.044799999999995</v>
      </c>
      <c r="H3433">
        <f t="shared" si="106"/>
        <v>1151.9000000000001</v>
      </c>
      <c r="I3433">
        <f t="shared" si="107"/>
        <v>715.8</v>
      </c>
    </row>
    <row r="3434" spans="1:9" ht="30" x14ac:dyDescent="0.25">
      <c r="A3434" s="5" t="s">
        <v>176</v>
      </c>
      <c r="B3434" s="5" t="s">
        <v>114</v>
      </c>
      <c r="C3434" s="5" t="s">
        <v>3902</v>
      </c>
      <c r="D3434" s="3">
        <f>VLOOKUP(A3434,airports!A:H,7,FALSE)</f>
        <v>38.944531939999997</v>
      </c>
      <c r="E3434" s="3">
        <f>VLOOKUP(A3434,airports!A:H,8,FALSE)</f>
        <v>-77.455809720000005</v>
      </c>
      <c r="F3434" s="3">
        <f>VLOOKUP(B3434,airports!A:H,7,FALSE)</f>
        <v>41.723999169999999</v>
      </c>
      <c r="G3434" s="3">
        <f>VLOOKUP(B3434,airports!A:H,8,FALSE)</f>
        <v>-71.428221109999996</v>
      </c>
      <c r="H3434">
        <f t="shared" si="106"/>
        <v>596.9</v>
      </c>
      <c r="I3434">
        <f t="shared" si="107"/>
        <v>370.9</v>
      </c>
    </row>
    <row r="3435" spans="1:9" ht="30" x14ac:dyDescent="0.25">
      <c r="A3435" s="5" t="s">
        <v>176</v>
      </c>
      <c r="B3435" s="5" t="s">
        <v>117</v>
      </c>
      <c r="C3435" s="5" t="s">
        <v>3903</v>
      </c>
      <c r="D3435" s="3">
        <f>VLOOKUP(A3435,airports!A:H,7,FALSE)</f>
        <v>38.944531939999997</v>
      </c>
      <c r="E3435" s="3">
        <f>VLOOKUP(A3435,airports!A:H,8,FALSE)</f>
        <v>-77.455809720000005</v>
      </c>
      <c r="F3435" s="3">
        <f>VLOOKUP(B3435,airports!A:H,7,FALSE)</f>
        <v>43.646166669999999</v>
      </c>
      <c r="G3435" s="3">
        <f>VLOOKUP(B3435,airports!A:H,8,FALSE)</f>
        <v>-70.308750000000003</v>
      </c>
      <c r="H3435">
        <f t="shared" si="106"/>
        <v>793.1</v>
      </c>
      <c r="I3435">
        <f t="shared" si="107"/>
        <v>492.8</v>
      </c>
    </row>
    <row r="3436" spans="1:9" ht="30" x14ac:dyDescent="0.25">
      <c r="A3436" s="5" t="s">
        <v>176</v>
      </c>
      <c r="B3436" s="5" t="s">
        <v>119</v>
      </c>
      <c r="C3436" s="5" t="s">
        <v>3904</v>
      </c>
      <c r="D3436" s="3">
        <f>VLOOKUP(A3436,airports!A:H,7,FALSE)</f>
        <v>38.944531939999997</v>
      </c>
      <c r="E3436" s="3">
        <f>VLOOKUP(A3436,airports!A:H,8,FALSE)</f>
        <v>-77.455809720000005</v>
      </c>
      <c r="F3436" s="3">
        <f>VLOOKUP(B3436,airports!A:H,7,FALSE)</f>
        <v>35.87763889</v>
      </c>
      <c r="G3436" s="3">
        <f>VLOOKUP(B3436,airports!A:H,8,FALSE)</f>
        <v>-78.787472219999998</v>
      </c>
      <c r="H3436">
        <f t="shared" si="106"/>
        <v>360.7</v>
      </c>
      <c r="I3436">
        <f t="shared" si="107"/>
        <v>224.2</v>
      </c>
    </row>
    <row r="3437" spans="1:9" x14ac:dyDescent="0.25">
      <c r="A3437" s="5" t="s">
        <v>176</v>
      </c>
      <c r="B3437" s="5" t="s">
        <v>120</v>
      </c>
      <c r="C3437" s="5" t="s">
        <v>3905</v>
      </c>
      <c r="D3437" s="3">
        <f>VLOOKUP(A3437,airports!A:H,7,FALSE)</f>
        <v>38.944531939999997</v>
      </c>
      <c r="E3437" s="3">
        <f>VLOOKUP(A3437,airports!A:H,8,FALSE)</f>
        <v>-77.455809720000005</v>
      </c>
      <c r="F3437" s="3">
        <f>VLOOKUP(B3437,airports!A:H,7,FALSE)</f>
        <v>37.505166670000001</v>
      </c>
      <c r="G3437" s="3">
        <f>VLOOKUP(B3437,airports!A:H,8,FALSE)</f>
        <v>-77.319666670000004</v>
      </c>
      <c r="H3437">
        <f t="shared" si="106"/>
        <v>160.5</v>
      </c>
      <c r="I3437">
        <f t="shared" si="107"/>
        <v>99.7</v>
      </c>
    </row>
    <row r="3438" spans="1:9" ht="30" x14ac:dyDescent="0.25">
      <c r="A3438" s="5" t="s">
        <v>176</v>
      </c>
      <c r="B3438" s="5" t="s">
        <v>617</v>
      </c>
      <c r="C3438" s="5" t="s">
        <v>3906</v>
      </c>
      <c r="D3438" s="3">
        <f>VLOOKUP(A3438,airports!A:H,7,FALSE)</f>
        <v>38.944531939999997</v>
      </c>
      <c r="E3438" s="3">
        <f>VLOOKUP(A3438,airports!A:H,8,FALSE)</f>
        <v>-77.455809720000005</v>
      </c>
      <c r="F3438" s="3">
        <f>VLOOKUP(B3438,airports!A:H,7,FALSE)</f>
        <v>37.32546833</v>
      </c>
      <c r="G3438" s="3">
        <f>VLOOKUP(B3438,airports!A:H,8,FALSE)</f>
        <v>-79.97542833</v>
      </c>
      <c r="H3438">
        <f t="shared" si="106"/>
        <v>284.5</v>
      </c>
      <c r="I3438">
        <f t="shared" si="107"/>
        <v>176.8</v>
      </c>
    </row>
    <row r="3439" spans="1:9" ht="30" x14ac:dyDescent="0.25">
      <c r="A3439" s="5" t="s">
        <v>176</v>
      </c>
      <c r="B3439" s="5" t="s">
        <v>122</v>
      </c>
      <c r="C3439" s="5" t="s">
        <v>3907</v>
      </c>
      <c r="D3439" s="3">
        <f>VLOOKUP(A3439,airports!A:H,7,FALSE)</f>
        <v>38.944531939999997</v>
      </c>
      <c r="E3439" s="3">
        <f>VLOOKUP(A3439,airports!A:H,8,FALSE)</f>
        <v>-77.455809720000005</v>
      </c>
      <c r="F3439" s="3">
        <f>VLOOKUP(B3439,airports!A:H,7,FALSE)</f>
        <v>43.118866109999999</v>
      </c>
      <c r="G3439" s="3">
        <f>VLOOKUP(B3439,airports!A:H,8,FALSE)</f>
        <v>-77.672383890000006</v>
      </c>
      <c r="H3439">
        <f t="shared" si="106"/>
        <v>464.5</v>
      </c>
      <c r="I3439">
        <f t="shared" si="107"/>
        <v>288.7</v>
      </c>
    </row>
    <row r="3440" spans="1:9" ht="30" x14ac:dyDescent="0.25">
      <c r="A3440" s="5" t="s">
        <v>176</v>
      </c>
      <c r="B3440" s="5" t="s">
        <v>123</v>
      </c>
      <c r="C3440" s="5" t="s">
        <v>3908</v>
      </c>
      <c r="D3440" s="3">
        <f>VLOOKUP(A3440,airports!A:H,7,FALSE)</f>
        <v>38.944531939999997</v>
      </c>
      <c r="E3440" s="3">
        <f>VLOOKUP(A3440,airports!A:H,8,FALSE)</f>
        <v>-77.455809720000005</v>
      </c>
      <c r="F3440" s="3">
        <f>VLOOKUP(B3440,airports!A:H,7,FALSE)</f>
        <v>26.53616667</v>
      </c>
      <c r="G3440" s="3">
        <f>VLOOKUP(B3440,airports!A:H,8,FALSE)</f>
        <v>-81.755166669999994</v>
      </c>
      <c r="H3440">
        <f t="shared" si="106"/>
        <v>1436.6</v>
      </c>
      <c r="I3440">
        <f t="shared" si="107"/>
        <v>892.7</v>
      </c>
    </row>
    <row r="3441" spans="1:9" ht="30" x14ac:dyDescent="0.25">
      <c r="A3441" s="5" t="s">
        <v>176</v>
      </c>
      <c r="B3441" s="5" t="s">
        <v>124</v>
      </c>
      <c r="C3441" s="5" t="s">
        <v>3909</v>
      </c>
      <c r="D3441" s="3">
        <f>VLOOKUP(A3441,airports!A:H,7,FALSE)</f>
        <v>38.944531939999997</v>
      </c>
      <c r="E3441" s="3">
        <f>VLOOKUP(A3441,airports!A:H,8,FALSE)</f>
        <v>-77.455809720000005</v>
      </c>
      <c r="F3441" s="3">
        <f>VLOOKUP(B3441,airports!A:H,7,FALSE)</f>
        <v>32.733556110000002</v>
      </c>
      <c r="G3441" s="3">
        <f>VLOOKUP(B3441,airports!A:H,8,FALSE)</f>
        <v>-117.1896567</v>
      </c>
      <c r="H3441">
        <f t="shared" si="106"/>
        <v>3618.3</v>
      </c>
      <c r="I3441">
        <f t="shared" si="107"/>
        <v>2248.4</v>
      </c>
    </row>
    <row r="3442" spans="1:9" x14ac:dyDescent="0.25">
      <c r="A3442" s="5" t="s">
        <v>176</v>
      </c>
      <c r="B3442" s="5" t="s">
        <v>125</v>
      </c>
      <c r="C3442" s="5" t="s">
        <v>3910</v>
      </c>
      <c r="D3442" s="3">
        <f>VLOOKUP(A3442,airports!A:H,7,FALSE)</f>
        <v>38.944531939999997</v>
      </c>
      <c r="E3442" s="3">
        <f>VLOOKUP(A3442,airports!A:H,8,FALSE)</f>
        <v>-77.455809720000005</v>
      </c>
      <c r="F3442" s="3">
        <f>VLOOKUP(B3442,airports!A:H,7,FALSE)</f>
        <v>29.533694440000001</v>
      </c>
      <c r="G3442" s="3">
        <f>VLOOKUP(B3442,airports!A:H,8,FALSE)</f>
        <v>-98.469777780000001</v>
      </c>
      <c r="H3442">
        <f t="shared" si="106"/>
        <v>2189.3000000000002</v>
      </c>
      <c r="I3442">
        <f t="shared" si="107"/>
        <v>1360.5</v>
      </c>
    </row>
    <row r="3443" spans="1:9" ht="30" x14ac:dyDescent="0.25">
      <c r="A3443" s="5" t="s">
        <v>176</v>
      </c>
      <c r="B3443" s="5" t="s">
        <v>126</v>
      </c>
      <c r="C3443" s="5" t="s">
        <v>3911</v>
      </c>
      <c r="D3443" s="3">
        <f>VLOOKUP(A3443,airports!A:H,7,FALSE)</f>
        <v>38.944531939999997</v>
      </c>
      <c r="E3443" s="3">
        <f>VLOOKUP(A3443,airports!A:H,8,FALSE)</f>
        <v>-77.455809720000005</v>
      </c>
      <c r="F3443" s="3">
        <f>VLOOKUP(B3443,airports!A:H,7,FALSE)</f>
        <v>32.12758333</v>
      </c>
      <c r="G3443" s="3">
        <f>VLOOKUP(B3443,airports!A:H,8,FALSE)</f>
        <v>-81.202138890000001</v>
      </c>
      <c r="H3443">
        <f t="shared" si="106"/>
        <v>830.1</v>
      </c>
      <c r="I3443">
        <f t="shared" si="107"/>
        <v>515.9</v>
      </c>
    </row>
    <row r="3444" spans="1:9" x14ac:dyDescent="0.25">
      <c r="A3444" s="5" t="s">
        <v>176</v>
      </c>
      <c r="B3444" s="5" t="s">
        <v>628</v>
      </c>
      <c r="C3444" s="5" t="s">
        <v>3912</v>
      </c>
      <c r="D3444" s="3">
        <f>VLOOKUP(A3444,airports!A:H,7,FALSE)</f>
        <v>38.944531939999997</v>
      </c>
      <c r="E3444" s="3">
        <f>VLOOKUP(A3444,airports!A:H,8,FALSE)</f>
        <v>-77.455809720000005</v>
      </c>
      <c r="F3444" s="3">
        <f>VLOOKUP(B3444,airports!A:H,7,FALSE)</f>
        <v>40.851205999999998</v>
      </c>
      <c r="G3444" s="3">
        <f>VLOOKUP(B3444,airports!A:H,8,FALSE)</f>
        <v>-77.846301999999994</v>
      </c>
      <c r="H3444">
        <f t="shared" si="106"/>
        <v>214.6</v>
      </c>
      <c r="I3444">
        <f t="shared" si="107"/>
        <v>133.4</v>
      </c>
    </row>
    <row r="3445" spans="1:9" x14ac:dyDescent="0.25">
      <c r="A3445" s="5" t="s">
        <v>176</v>
      </c>
      <c r="B3445" s="5" t="s">
        <v>630</v>
      </c>
      <c r="C3445" s="5" t="s">
        <v>3913</v>
      </c>
      <c r="D3445" s="3">
        <f>VLOOKUP(A3445,airports!A:H,7,FALSE)</f>
        <v>38.944531939999997</v>
      </c>
      <c r="E3445" s="3">
        <f>VLOOKUP(A3445,airports!A:H,8,FALSE)</f>
        <v>-77.455809720000005</v>
      </c>
      <c r="F3445" s="3">
        <f>VLOOKUP(B3445,airports!A:H,7,FALSE)</f>
        <v>38.174388890000003</v>
      </c>
      <c r="G3445" s="3">
        <f>VLOOKUP(B3445,airports!A:H,8,FALSE)</f>
        <v>-85.736000000000004</v>
      </c>
      <c r="H3445">
        <f t="shared" si="106"/>
        <v>724.8</v>
      </c>
      <c r="I3445">
        <f t="shared" si="107"/>
        <v>450.4</v>
      </c>
    </row>
    <row r="3446" spans="1:9" x14ac:dyDescent="0.25">
      <c r="A3446" s="5" t="s">
        <v>176</v>
      </c>
      <c r="B3446" s="5" t="s">
        <v>128</v>
      </c>
      <c r="C3446" s="5" t="s">
        <v>3914</v>
      </c>
      <c r="D3446" s="3">
        <f>VLOOKUP(A3446,airports!A:H,7,FALSE)</f>
        <v>38.944531939999997</v>
      </c>
      <c r="E3446" s="3">
        <f>VLOOKUP(A3446,airports!A:H,8,FALSE)</f>
        <v>-77.455809720000005</v>
      </c>
      <c r="F3446" s="3">
        <f>VLOOKUP(B3446,airports!A:H,7,FALSE)</f>
        <v>47.448981940000003</v>
      </c>
      <c r="G3446" s="3">
        <f>VLOOKUP(B3446,airports!A:H,8,FALSE)</f>
        <v>-122.3093131</v>
      </c>
      <c r="H3446">
        <f t="shared" si="106"/>
        <v>3701.6</v>
      </c>
      <c r="I3446">
        <f t="shared" si="107"/>
        <v>2300.1999999999998</v>
      </c>
    </row>
    <row r="3447" spans="1:9" x14ac:dyDescent="0.25">
      <c r="A3447" s="5" t="s">
        <v>176</v>
      </c>
      <c r="B3447" s="5" t="s">
        <v>130</v>
      </c>
      <c r="C3447" s="5" t="s">
        <v>3915</v>
      </c>
      <c r="D3447" s="3">
        <f>VLOOKUP(A3447,airports!A:H,7,FALSE)</f>
        <v>38.944531939999997</v>
      </c>
      <c r="E3447" s="3">
        <f>VLOOKUP(A3447,airports!A:H,8,FALSE)</f>
        <v>-77.455809720000005</v>
      </c>
      <c r="F3447" s="3">
        <f>VLOOKUP(B3447,airports!A:H,7,FALSE)</f>
        <v>37.619001939999997</v>
      </c>
      <c r="G3447" s="3">
        <f>VLOOKUP(B3447,airports!A:H,8,FALSE)</f>
        <v>-122.37484329999999</v>
      </c>
      <c r="H3447">
        <f t="shared" si="106"/>
        <v>3883.4</v>
      </c>
      <c r="I3447">
        <f t="shared" si="107"/>
        <v>2413.1999999999998</v>
      </c>
    </row>
    <row r="3448" spans="1:9" ht="30" x14ac:dyDescent="0.25">
      <c r="A3448" s="5" t="s">
        <v>176</v>
      </c>
      <c r="B3448" s="5" t="s">
        <v>3916</v>
      </c>
      <c r="C3448" s="5" t="s">
        <v>3917</v>
      </c>
      <c r="D3448" s="3">
        <f>VLOOKUP(A3448,airports!A:H,7,FALSE)</f>
        <v>38.944531939999997</v>
      </c>
      <c r="E3448" s="3">
        <f>VLOOKUP(A3448,airports!A:H,8,FALSE)</f>
        <v>-77.455809720000005</v>
      </c>
      <c r="F3448" s="3">
        <f>VLOOKUP(B3448,airports!A:H,7,FALSE)</f>
        <v>38.26384333</v>
      </c>
      <c r="G3448" s="3">
        <f>VLOOKUP(B3448,airports!A:H,8,FALSE)</f>
        <v>-78.896438059999994</v>
      </c>
      <c r="H3448">
        <f t="shared" si="106"/>
        <v>146.30000000000001</v>
      </c>
      <c r="I3448">
        <f t="shared" si="107"/>
        <v>90.9</v>
      </c>
    </row>
    <row r="3449" spans="1:9" x14ac:dyDescent="0.25">
      <c r="A3449" s="5" t="s">
        <v>176</v>
      </c>
      <c r="B3449" s="5" t="s">
        <v>134</v>
      </c>
      <c r="C3449" s="5" t="s">
        <v>3918</v>
      </c>
      <c r="D3449" s="3">
        <f>VLOOKUP(A3449,airports!A:H,7,FALSE)</f>
        <v>38.944531939999997</v>
      </c>
      <c r="E3449" s="3">
        <f>VLOOKUP(A3449,airports!A:H,8,FALSE)</f>
        <v>-77.455809720000005</v>
      </c>
      <c r="F3449" s="3">
        <f>VLOOKUP(B3449,airports!A:H,7,FALSE)</f>
        <v>18.43941667</v>
      </c>
      <c r="G3449" s="3">
        <f>VLOOKUP(B3449,airports!A:H,8,FALSE)</f>
        <v>-66.001833329999997</v>
      </c>
      <c r="H3449">
        <f t="shared" si="106"/>
        <v>2533.9</v>
      </c>
      <c r="I3449">
        <f t="shared" si="107"/>
        <v>1574.6</v>
      </c>
    </row>
    <row r="3450" spans="1:9" x14ac:dyDescent="0.25">
      <c r="A3450" s="5" t="s">
        <v>176</v>
      </c>
      <c r="B3450" s="5" t="s">
        <v>135</v>
      </c>
      <c r="C3450" s="5" t="s">
        <v>3919</v>
      </c>
      <c r="D3450" s="3">
        <f>VLOOKUP(A3450,airports!A:H,7,FALSE)</f>
        <v>38.944531939999997</v>
      </c>
      <c r="E3450" s="3">
        <f>VLOOKUP(A3450,airports!A:H,8,FALSE)</f>
        <v>-77.455809720000005</v>
      </c>
      <c r="F3450" s="3">
        <f>VLOOKUP(B3450,airports!A:H,7,FALSE)</f>
        <v>40.788387780000001</v>
      </c>
      <c r="G3450" s="3">
        <f>VLOOKUP(B3450,airports!A:H,8,FALSE)</f>
        <v>-111.97777309999999</v>
      </c>
      <c r="H3450">
        <f t="shared" si="106"/>
        <v>2934.4</v>
      </c>
      <c r="I3450">
        <f t="shared" si="107"/>
        <v>1823.5</v>
      </c>
    </row>
    <row r="3451" spans="1:9" ht="30" x14ac:dyDescent="0.25">
      <c r="A3451" s="5" t="s">
        <v>176</v>
      </c>
      <c r="B3451" s="5" t="s">
        <v>137</v>
      </c>
      <c r="C3451" s="5" t="s">
        <v>3920</v>
      </c>
      <c r="D3451" s="3">
        <f>VLOOKUP(A3451,airports!A:H,7,FALSE)</f>
        <v>38.944531939999997</v>
      </c>
      <c r="E3451" s="3">
        <f>VLOOKUP(A3451,airports!A:H,8,FALSE)</f>
        <v>-77.455809720000005</v>
      </c>
      <c r="F3451" s="3">
        <f>VLOOKUP(B3451,airports!A:H,7,FALSE)</f>
        <v>38.695421670000002</v>
      </c>
      <c r="G3451" s="3">
        <f>VLOOKUP(B3451,airports!A:H,8,FALSE)</f>
        <v>-121.59076690000001</v>
      </c>
      <c r="H3451">
        <f t="shared" si="106"/>
        <v>3785.3</v>
      </c>
      <c r="I3451">
        <f t="shared" si="107"/>
        <v>2352.1999999999998</v>
      </c>
    </row>
    <row r="3452" spans="1:9" ht="30" x14ac:dyDescent="0.25">
      <c r="A3452" s="5" t="s">
        <v>176</v>
      </c>
      <c r="B3452" s="5" t="s">
        <v>138</v>
      </c>
      <c r="C3452" s="5" t="s">
        <v>3921</v>
      </c>
      <c r="D3452" s="3">
        <f>VLOOKUP(A3452,airports!A:H,7,FALSE)</f>
        <v>38.944531939999997</v>
      </c>
      <c r="E3452" s="3">
        <f>VLOOKUP(A3452,airports!A:H,8,FALSE)</f>
        <v>-77.455809720000005</v>
      </c>
      <c r="F3452" s="3">
        <f>VLOOKUP(B3452,airports!A:H,7,FALSE)</f>
        <v>27.39533333</v>
      </c>
      <c r="G3452" s="3">
        <f>VLOOKUP(B3452,airports!A:H,8,FALSE)</f>
        <v>-82.554111109999994</v>
      </c>
      <c r="H3452">
        <f t="shared" si="106"/>
        <v>1368.4</v>
      </c>
      <c r="I3452">
        <f t="shared" si="107"/>
        <v>850.4</v>
      </c>
    </row>
    <row r="3453" spans="1:9" x14ac:dyDescent="0.25">
      <c r="A3453" s="5" t="s">
        <v>176</v>
      </c>
      <c r="B3453" s="5" t="s">
        <v>644</v>
      </c>
      <c r="C3453" s="5" t="s">
        <v>3922</v>
      </c>
      <c r="D3453" s="3">
        <f>VLOOKUP(A3453,airports!A:H,7,FALSE)</f>
        <v>38.944531939999997</v>
      </c>
      <c r="E3453" s="3">
        <f>VLOOKUP(A3453,airports!A:H,8,FALSE)</f>
        <v>-77.455809720000005</v>
      </c>
      <c r="F3453" s="3">
        <f>VLOOKUP(B3453,airports!A:H,7,FALSE)</f>
        <v>38.747686940000001</v>
      </c>
      <c r="G3453" s="3">
        <f>VLOOKUP(B3453,airports!A:H,8,FALSE)</f>
        <v>-90.359989720000002</v>
      </c>
      <c r="H3453">
        <f t="shared" si="106"/>
        <v>1116.8</v>
      </c>
      <c r="I3453">
        <f t="shared" si="107"/>
        <v>694</v>
      </c>
    </row>
    <row r="3454" spans="1:9" x14ac:dyDescent="0.25">
      <c r="A3454" s="5" t="s">
        <v>176</v>
      </c>
      <c r="B3454" s="5" t="s">
        <v>140</v>
      </c>
      <c r="C3454" s="5" t="s">
        <v>3923</v>
      </c>
      <c r="D3454" s="3">
        <f>VLOOKUP(A3454,airports!A:H,7,FALSE)</f>
        <v>38.944531939999997</v>
      </c>
      <c r="E3454" s="3">
        <f>VLOOKUP(A3454,airports!A:H,8,FALSE)</f>
        <v>-77.455809720000005</v>
      </c>
      <c r="F3454" s="3">
        <f>VLOOKUP(B3454,airports!A:H,7,FALSE)</f>
        <v>18.337305560000001</v>
      </c>
      <c r="G3454" s="3">
        <f>VLOOKUP(B3454,airports!A:H,8,FALSE)</f>
        <v>-64.973361109999999</v>
      </c>
      <c r="H3454">
        <f t="shared" si="106"/>
        <v>2588.9</v>
      </c>
      <c r="I3454">
        <f t="shared" si="107"/>
        <v>1608.8</v>
      </c>
    </row>
    <row r="3455" spans="1:9" x14ac:dyDescent="0.25">
      <c r="A3455" s="5" t="s">
        <v>176</v>
      </c>
      <c r="B3455" s="5" t="s">
        <v>144</v>
      </c>
      <c r="C3455" s="5" t="s">
        <v>3924</v>
      </c>
      <c r="D3455" s="3">
        <f>VLOOKUP(A3455,airports!A:H,7,FALSE)</f>
        <v>38.944531939999997</v>
      </c>
      <c r="E3455" s="3">
        <f>VLOOKUP(A3455,airports!A:H,8,FALSE)</f>
        <v>-77.455809720000005</v>
      </c>
      <c r="F3455" s="3">
        <f>VLOOKUP(B3455,airports!A:H,7,FALSE)</f>
        <v>43.111186940000003</v>
      </c>
      <c r="G3455" s="3">
        <f>VLOOKUP(B3455,airports!A:H,8,FALSE)</f>
        <v>-76.106310559999997</v>
      </c>
      <c r="H3455">
        <f t="shared" si="106"/>
        <v>476.9</v>
      </c>
      <c r="I3455">
        <f t="shared" si="107"/>
        <v>296.39999999999998</v>
      </c>
    </row>
    <row r="3456" spans="1:9" x14ac:dyDescent="0.25">
      <c r="A3456" s="5" t="s">
        <v>176</v>
      </c>
      <c r="B3456" s="5" t="s">
        <v>145</v>
      </c>
      <c r="C3456" s="5" t="s">
        <v>3925</v>
      </c>
      <c r="D3456" s="3">
        <f>VLOOKUP(A3456,airports!A:H,7,FALSE)</f>
        <v>38.944531939999997</v>
      </c>
      <c r="E3456" s="3">
        <f>VLOOKUP(A3456,airports!A:H,8,FALSE)</f>
        <v>-77.455809720000005</v>
      </c>
      <c r="F3456" s="3">
        <f>VLOOKUP(B3456,airports!A:H,7,FALSE)</f>
        <v>27.97547222</v>
      </c>
      <c r="G3456" s="3">
        <f>VLOOKUP(B3456,airports!A:H,8,FALSE)</f>
        <v>-82.533249999999995</v>
      </c>
      <c r="H3456">
        <f t="shared" si="106"/>
        <v>1306.9000000000001</v>
      </c>
      <c r="I3456">
        <f t="shared" si="107"/>
        <v>812.1</v>
      </c>
    </row>
    <row r="3457" spans="1:9" x14ac:dyDescent="0.25">
      <c r="A3457" s="5" t="s">
        <v>176</v>
      </c>
      <c r="B3457" s="5" t="s">
        <v>656</v>
      </c>
      <c r="C3457" s="5" t="s">
        <v>3926</v>
      </c>
      <c r="D3457" s="3">
        <f>VLOOKUP(A3457,airports!A:H,7,FALSE)</f>
        <v>38.944531939999997</v>
      </c>
      <c r="E3457" s="3">
        <f>VLOOKUP(A3457,airports!A:H,8,FALSE)</f>
        <v>-77.455809720000005</v>
      </c>
      <c r="F3457" s="3">
        <f>VLOOKUP(B3457,airports!A:H,7,FALSE)</f>
        <v>40.276691110000002</v>
      </c>
      <c r="G3457" s="3">
        <f>VLOOKUP(B3457,airports!A:H,8,FALSE)</f>
        <v>-74.813468330000006</v>
      </c>
      <c r="H3457">
        <f t="shared" si="106"/>
        <v>270.5</v>
      </c>
      <c r="I3457">
        <f t="shared" si="107"/>
        <v>168.1</v>
      </c>
    </row>
    <row r="3458" spans="1:9" x14ac:dyDescent="0.25">
      <c r="A3458" s="5" t="s">
        <v>176</v>
      </c>
      <c r="B3458" s="5" t="s">
        <v>658</v>
      </c>
      <c r="C3458" s="5" t="s">
        <v>3927</v>
      </c>
      <c r="D3458" s="3">
        <f>VLOOKUP(A3458,airports!A:H,7,FALSE)</f>
        <v>38.944531939999997</v>
      </c>
      <c r="E3458" s="3">
        <f>VLOOKUP(A3458,airports!A:H,8,FALSE)</f>
        <v>-77.455809720000005</v>
      </c>
      <c r="F3458" s="3">
        <f>VLOOKUP(B3458,airports!A:H,7,FALSE)</f>
        <v>36.198372220000003</v>
      </c>
      <c r="G3458" s="3">
        <f>VLOOKUP(B3458,airports!A:H,8,FALSE)</f>
        <v>-95.888241669999999</v>
      </c>
      <c r="H3458">
        <f t="shared" si="106"/>
        <v>1649.9</v>
      </c>
      <c r="I3458">
        <f t="shared" si="107"/>
        <v>1025.3</v>
      </c>
    </row>
    <row r="3459" spans="1:9" x14ac:dyDescent="0.25">
      <c r="A3459" s="5" t="s">
        <v>176</v>
      </c>
      <c r="B3459" s="5" t="s">
        <v>662</v>
      </c>
      <c r="C3459" s="5" t="s">
        <v>3928</v>
      </c>
      <c r="D3459" s="3">
        <f>VLOOKUP(A3459,airports!A:H,7,FALSE)</f>
        <v>38.944531939999997</v>
      </c>
      <c r="E3459" s="3">
        <f>VLOOKUP(A3459,airports!A:H,8,FALSE)</f>
        <v>-77.455809720000005</v>
      </c>
      <c r="F3459" s="3">
        <f>VLOOKUP(B3459,airports!A:H,7,FALSE)</f>
        <v>44.741444719999997</v>
      </c>
      <c r="G3459" s="3">
        <f>VLOOKUP(B3459,airports!A:H,8,FALSE)</f>
        <v>-85.582234999999997</v>
      </c>
      <c r="H3459">
        <f t="shared" si="106"/>
        <v>931.1</v>
      </c>
      <c r="I3459">
        <f t="shared" si="107"/>
        <v>578.6</v>
      </c>
    </row>
    <row r="3460" spans="1:9" x14ac:dyDescent="0.25">
      <c r="A3460" s="5" t="s">
        <v>176</v>
      </c>
      <c r="B3460" s="5" t="s">
        <v>664</v>
      </c>
      <c r="C3460" s="5" t="s">
        <v>3929</v>
      </c>
      <c r="D3460" s="3">
        <f>VLOOKUP(A3460,airports!A:H,7,FALSE)</f>
        <v>38.944531939999997</v>
      </c>
      <c r="E3460" s="3">
        <f>VLOOKUP(A3460,airports!A:H,8,FALSE)</f>
        <v>-77.455809720000005</v>
      </c>
      <c r="F3460" s="3">
        <f>VLOOKUP(B3460,airports!A:H,7,FALSE)</f>
        <v>35.812487220000001</v>
      </c>
      <c r="G3460" s="3">
        <f>VLOOKUP(B3460,airports!A:H,8,FALSE)</f>
        <v>-83.992855829999996</v>
      </c>
      <c r="H3460">
        <f t="shared" ref="H3460:H3523" si="108">ROUND(ACOS(COS(RADIANS(90-D3460)) * COS(RADIANS(90-F3460)) + SIN(RADIANS(90-D3460)) * SIN(RADIANS(90-F3460)) * COS(RADIANS(E3460-G3460))) * 6371,1)</f>
        <v>674.2</v>
      </c>
      <c r="I3460">
        <f t="shared" ref="I3460:I3523" si="109">ROUND(ACOS(COS(RADIANS(90-D3460)) * COS(RADIANS(90-F3460)) + SIN(RADIANS(90-D3460)) * SIN(RADIANS(90-F3460)) * COS(RADIANS(E3460-G3460))) * 3959,1)</f>
        <v>419</v>
      </c>
    </row>
    <row r="3461" spans="1:9" x14ac:dyDescent="0.25">
      <c r="A3461" s="5" t="s">
        <v>2988</v>
      </c>
      <c r="B3461" s="5" t="s">
        <v>57</v>
      </c>
      <c r="C3461" s="5" t="s">
        <v>3930</v>
      </c>
      <c r="D3461" s="3">
        <f>VLOOKUP(A3461,airports!A:H,7,FALSE)</f>
        <v>43.107300000000002</v>
      </c>
      <c r="E3461" s="3">
        <f>VLOOKUP(A3461,airports!A:H,8,FALSE)</f>
        <v>-78.946197999999995</v>
      </c>
      <c r="F3461" s="3">
        <f>VLOOKUP(B3461,airports!A:H,7,FALSE)</f>
        <v>26.072583330000001</v>
      </c>
      <c r="G3461" s="3">
        <f>VLOOKUP(B3461,airports!A:H,8,FALSE)</f>
        <v>-80.152749999999997</v>
      </c>
      <c r="H3461">
        <f t="shared" si="108"/>
        <v>1897.3</v>
      </c>
      <c r="I3461">
        <f t="shared" si="109"/>
        <v>1179</v>
      </c>
    </row>
    <row r="3462" spans="1:9" ht="30" x14ac:dyDescent="0.25">
      <c r="A3462" s="5" t="s">
        <v>2988</v>
      </c>
      <c r="B3462" s="5" t="s">
        <v>182</v>
      </c>
      <c r="C3462" s="5" t="s">
        <v>3931</v>
      </c>
      <c r="D3462" s="3">
        <f>VLOOKUP(A3462,airports!A:H,7,FALSE)</f>
        <v>43.107300000000002</v>
      </c>
      <c r="E3462" s="3">
        <f>VLOOKUP(A3462,airports!A:H,8,FALSE)</f>
        <v>-78.946197999999995</v>
      </c>
      <c r="F3462" s="3">
        <f>VLOOKUP(B3462,airports!A:H,7,FALSE)</f>
        <v>33.679749999999999</v>
      </c>
      <c r="G3462" s="3">
        <f>VLOOKUP(B3462,airports!A:H,8,FALSE)</f>
        <v>-78.928333330000001</v>
      </c>
      <c r="H3462">
        <f t="shared" si="108"/>
        <v>1048.3</v>
      </c>
      <c r="I3462">
        <f t="shared" si="109"/>
        <v>651.4</v>
      </c>
    </row>
    <row r="3463" spans="1:9" ht="30" x14ac:dyDescent="0.25">
      <c r="A3463" s="5" t="s">
        <v>2988</v>
      </c>
      <c r="B3463" s="5" t="s">
        <v>185</v>
      </c>
      <c r="C3463" s="5" t="s">
        <v>3932</v>
      </c>
      <c r="D3463" s="3">
        <f>VLOOKUP(A3463,airports!A:H,7,FALSE)</f>
        <v>43.107300000000002</v>
      </c>
      <c r="E3463" s="3">
        <f>VLOOKUP(A3463,airports!A:H,8,FALSE)</f>
        <v>-78.946197999999995</v>
      </c>
      <c r="F3463" s="3">
        <f>VLOOKUP(B3463,airports!A:H,7,FALSE)</f>
        <v>26.919699999999999</v>
      </c>
      <c r="G3463" s="3">
        <f>VLOOKUP(B3463,airports!A:H,8,FALSE)</f>
        <v>-81.995999999999995</v>
      </c>
      <c r="H3463">
        <f t="shared" si="108"/>
        <v>1820.9</v>
      </c>
      <c r="I3463">
        <f t="shared" si="109"/>
        <v>1131.5</v>
      </c>
    </row>
    <row r="3464" spans="1:9" x14ac:dyDescent="0.25">
      <c r="A3464" s="5" t="s">
        <v>2988</v>
      </c>
      <c r="B3464" s="5" t="s">
        <v>188</v>
      </c>
      <c r="C3464" s="5" t="s">
        <v>3933</v>
      </c>
      <c r="D3464" s="3">
        <f>VLOOKUP(A3464,airports!A:H,7,FALSE)</f>
        <v>43.107300000000002</v>
      </c>
      <c r="E3464" s="3">
        <f>VLOOKUP(A3464,airports!A:H,8,FALSE)</f>
        <v>-78.946197999999995</v>
      </c>
      <c r="F3464" s="3">
        <f>VLOOKUP(B3464,airports!A:H,7,FALSE)</f>
        <v>27.910763330000002</v>
      </c>
      <c r="G3464" s="3">
        <f>VLOOKUP(B3464,airports!A:H,8,FALSE)</f>
        <v>-82.687439440000006</v>
      </c>
      <c r="H3464">
        <f t="shared" si="108"/>
        <v>1722.9</v>
      </c>
      <c r="I3464">
        <f t="shared" si="109"/>
        <v>1070.5999999999999</v>
      </c>
    </row>
    <row r="3465" spans="1:9" ht="30" x14ac:dyDescent="0.25">
      <c r="A3465" s="5" t="s">
        <v>2988</v>
      </c>
      <c r="B3465" s="5" t="s">
        <v>126</v>
      </c>
      <c r="C3465" s="5" t="s">
        <v>3934</v>
      </c>
      <c r="D3465" s="3">
        <f>VLOOKUP(A3465,airports!A:H,7,FALSE)</f>
        <v>43.107300000000002</v>
      </c>
      <c r="E3465" s="3">
        <f>VLOOKUP(A3465,airports!A:H,8,FALSE)</f>
        <v>-78.946197999999995</v>
      </c>
      <c r="F3465" s="3">
        <f>VLOOKUP(B3465,airports!A:H,7,FALSE)</f>
        <v>32.12758333</v>
      </c>
      <c r="G3465" s="3">
        <f>VLOOKUP(B3465,airports!A:H,8,FALSE)</f>
        <v>-81.202138890000001</v>
      </c>
      <c r="H3465">
        <f t="shared" si="108"/>
        <v>1236.8</v>
      </c>
      <c r="I3465">
        <f t="shared" si="109"/>
        <v>768.6</v>
      </c>
    </row>
    <row r="3466" spans="1:9" x14ac:dyDescent="0.25">
      <c r="A3466" s="5" t="s">
        <v>2988</v>
      </c>
      <c r="B3466" s="5" t="s">
        <v>191</v>
      </c>
      <c r="C3466" s="5" t="s">
        <v>3935</v>
      </c>
      <c r="D3466" s="3">
        <f>VLOOKUP(A3466,airports!A:H,7,FALSE)</f>
        <v>43.107300000000002</v>
      </c>
      <c r="E3466" s="3">
        <f>VLOOKUP(A3466,airports!A:H,8,FALSE)</f>
        <v>-78.946197999999995</v>
      </c>
      <c r="F3466" s="3">
        <f>VLOOKUP(B3466,airports!A:H,7,FALSE)</f>
        <v>28.7776</v>
      </c>
      <c r="G3466" s="3">
        <f>VLOOKUP(B3466,airports!A:H,8,FALSE)</f>
        <v>-81.237499999999997</v>
      </c>
      <c r="H3466">
        <f t="shared" si="108"/>
        <v>1606.5</v>
      </c>
      <c r="I3466">
        <f t="shared" si="109"/>
        <v>998.3</v>
      </c>
    </row>
    <row r="3467" spans="1:9" x14ac:dyDescent="0.25">
      <c r="A3467" s="5" t="s">
        <v>67</v>
      </c>
      <c r="B3467" s="5" t="s">
        <v>194</v>
      </c>
      <c r="C3467" s="5" t="s">
        <v>3936</v>
      </c>
      <c r="D3467" s="3">
        <f>VLOOKUP(A3467,airports!A:H,7,FALSE)</f>
        <v>29.980472219999999</v>
      </c>
      <c r="E3467" s="3">
        <f>VLOOKUP(A3467,airports!A:H,8,FALSE)</f>
        <v>-95.339722219999999</v>
      </c>
      <c r="F3467" s="3">
        <f>VLOOKUP(B3467,airports!A:H,7,FALSE)</f>
        <v>32.411320000000003</v>
      </c>
      <c r="G3467" s="3">
        <f>VLOOKUP(B3467,airports!A:H,8,FALSE)</f>
        <v>-99.681897219999996</v>
      </c>
      <c r="H3467">
        <f t="shared" si="108"/>
        <v>493.5</v>
      </c>
      <c r="I3467">
        <f t="shared" si="109"/>
        <v>306.7</v>
      </c>
    </row>
    <row r="3468" spans="1:9" ht="30" x14ac:dyDescent="0.25">
      <c r="A3468" s="5" t="s">
        <v>67</v>
      </c>
      <c r="B3468" s="5" t="s">
        <v>2</v>
      </c>
      <c r="C3468" s="5" t="s">
        <v>3937</v>
      </c>
      <c r="D3468" s="3">
        <f>VLOOKUP(A3468,airports!A:H,7,FALSE)</f>
        <v>29.980472219999999</v>
      </c>
      <c r="E3468" s="3">
        <f>VLOOKUP(A3468,airports!A:H,8,FALSE)</f>
        <v>-95.339722219999999</v>
      </c>
      <c r="F3468" s="3">
        <f>VLOOKUP(B3468,airports!A:H,7,FALSE)</f>
        <v>35.040222219999997</v>
      </c>
      <c r="G3468" s="3">
        <f>VLOOKUP(B3468,airports!A:H,8,FALSE)</f>
        <v>-106.60919440000001</v>
      </c>
      <c r="H3468">
        <f t="shared" si="108"/>
        <v>1196.0999999999999</v>
      </c>
      <c r="I3468">
        <f t="shared" si="109"/>
        <v>743.2</v>
      </c>
    </row>
    <row r="3469" spans="1:9" x14ac:dyDescent="0.25">
      <c r="A3469" s="5" t="s">
        <v>67</v>
      </c>
      <c r="B3469" s="5" t="s">
        <v>252</v>
      </c>
      <c r="C3469" s="5" t="s">
        <v>3938</v>
      </c>
      <c r="D3469" s="3">
        <f>VLOOKUP(A3469,airports!A:H,7,FALSE)</f>
        <v>29.980472219999999</v>
      </c>
      <c r="E3469" s="3">
        <f>VLOOKUP(A3469,airports!A:H,8,FALSE)</f>
        <v>-95.339722219999999</v>
      </c>
      <c r="F3469" s="3">
        <f>VLOOKUP(B3469,airports!A:H,7,FALSE)</f>
        <v>39.457583329999999</v>
      </c>
      <c r="G3469" s="3">
        <f>VLOOKUP(B3469,airports!A:H,8,FALSE)</f>
        <v>-74.577166669999997</v>
      </c>
      <c r="H3469">
        <f t="shared" si="108"/>
        <v>2163</v>
      </c>
      <c r="I3469">
        <f t="shared" si="109"/>
        <v>1344.1</v>
      </c>
    </row>
    <row r="3470" spans="1:9" x14ac:dyDescent="0.25">
      <c r="A3470" s="5" t="s">
        <v>67</v>
      </c>
      <c r="B3470" s="5" t="s">
        <v>271</v>
      </c>
      <c r="C3470" s="5" t="s">
        <v>3939</v>
      </c>
      <c r="D3470" s="3">
        <f>VLOOKUP(A3470,airports!A:H,7,FALSE)</f>
        <v>29.980472219999999</v>
      </c>
      <c r="E3470" s="3">
        <f>VLOOKUP(A3470,airports!A:H,8,FALSE)</f>
        <v>-95.339722219999999</v>
      </c>
      <c r="F3470" s="3">
        <f>VLOOKUP(B3470,airports!A:H,7,FALSE)</f>
        <v>31.327371670000002</v>
      </c>
      <c r="G3470" s="3">
        <f>VLOOKUP(B3470,airports!A:H,8,FALSE)</f>
        <v>-92.548556110000007</v>
      </c>
      <c r="H3470">
        <f t="shared" si="108"/>
        <v>306.10000000000002</v>
      </c>
      <c r="I3470">
        <f t="shared" si="109"/>
        <v>190.2</v>
      </c>
    </row>
    <row r="3471" spans="1:9" ht="30" x14ac:dyDescent="0.25">
      <c r="A3471" s="5" t="s">
        <v>67</v>
      </c>
      <c r="B3471" s="5" t="s">
        <v>276</v>
      </c>
      <c r="C3471" s="5" t="s">
        <v>3940</v>
      </c>
      <c r="D3471" s="3">
        <f>VLOOKUP(A3471,airports!A:H,7,FALSE)</f>
        <v>29.980472219999999</v>
      </c>
      <c r="E3471" s="3">
        <f>VLOOKUP(A3471,airports!A:H,8,FALSE)</f>
        <v>-95.339722219999999</v>
      </c>
      <c r="F3471" s="3">
        <f>VLOOKUP(B3471,airports!A:H,7,FALSE)</f>
        <v>33.369954999999997</v>
      </c>
      <c r="G3471" s="3">
        <f>VLOOKUP(B3471,airports!A:H,8,FALSE)</f>
        <v>-81.964496109999999</v>
      </c>
      <c r="H3471">
        <f t="shared" si="108"/>
        <v>1319.5</v>
      </c>
      <c r="I3471">
        <f t="shared" si="109"/>
        <v>819.9</v>
      </c>
    </row>
    <row r="3472" spans="1:9" ht="30" x14ac:dyDescent="0.25">
      <c r="A3472" s="5" t="s">
        <v>67</v>
      </c>
      <c r="B3472" s="5" t="s">
        <v>327</v>
      </c>
      <c r="C3472" s="5" t="s">
        <v>3941</v>
      </c>
      <c r="D3472" s="3">
        <f>VLOOKUP(A3472,airports!A:H,7,FALSE)</f>
        <v>29.980472219999999</v>
      </c>
      <c r="E3472" s="3">
        <f>VLOOKUP(A3472,airports!A:H,8,FALSE)</f>
        <v>-95.339722219999999</v>
      </c>
      <c r="F3472" s="3">
        <f>VLOOKUP(B3472,airports!A:H,7,FALSE)</f>
        <v>35.219372499999999</v>
      </c>
      <c r="G3472" s="3">
        <f>VLOOKUP(B3472,airports!A:H,8,FALSE)</f>
        <v>-101.7059272</v>
      </c>
      <c r="H3472">
        <f t="shared" si="108"/>
        <v>833.3</v>
      </c>
      <c r="I3472">
        <f t="shared" si="109"/>
        <v>517.79999999999995</v>
      </c>
    </row>
    <row r="3473" spans="1:9" ht="30" x14ac:dyDescent="0.25">
      <c r="A3473" s="5" t="s">
        <v>67</v>
      </c>
      <c r="B3473" s="5" t="s">
        <v>265</v>
      </c>
      <c r="C3473" s="5" t="s">
        <v>3942</v>
      </c>
      <c r="D3473" s="3">
        <f>VLOOKUP(A3473,airports!A:H,7,FALSE)</f>
        <v>29.980472219999999</v>
      </c>
      <c r="E3473" s="3">
        <f>VLOOKUP(A3473,airports!A:H,8,FALSE)</f>
        <v>-95.339722219999999</v>
      </c>
      <c r="F3473" s="3">
        <f>VLOOKUP(B3473,airports!A:H,7,FALSE)</f>
        <v>61.174320280000003</v>
      </c>
      <c r="G3473" s="3">
        <f>VLOOKUP(B3473,airports!A:H,8,FALSE)</f>
        <v>-149.99618559999999</v>
      </c>
      <c r="H3473">
        <f t="shared" si="108"/>
        <v>5248.9</v>
      </c>
      <c r="I3473">
        <f t="shared" si="109"/>
        <v>3261.7</v>
      </c>
    </row>
    <row r="3474" spans="1:9" x14ac:dyDescent="0.25">
      <c r="A3474" s="5" t="s">
        <v>67</v>
      </c>
      <c r="B3474" s="5" t="s">
        <v>393</v>
      </c>
      <c r="C3474" s="5" t="s">
        <v>3943</v>
      </c>
      <c r="D3474" s="3">
        <f>VLOOKUP(A3474,airports!A:H,7,FALSE)</f>
        <v>29.980472219999999</v>
      </c>
      <c r="E3474" s="3">
        <f>VLOOKUP(A3474,airports!A:H,8,FALSE)</f>
        <v>-95.339722219999999</v>
      </c>
      <c r="F3474" s="3">
        <f>VLOOKUP(B3474,airports!A:H,7,FALSE)</f>
        <v>39.22316</v>
      </c>
      <c r="G3474" s="3">
        <f>VLOOKUP(B3474,airports!A:H,8,FALSE)</f>
        <v>-106.86884499999999</v>
      </c>
      <c r="H3474">
        <f t="shared" si="108"/>
        <v>1470.6</v>
      </c>
      <c r="I3474">
        <f t="shared" si="109"/>
        <v>913.8</v>
      </c>
    </row>
    <row r="3475" spans="1:9" x14ac:dyDescent="0.25">
      <c r="A3475" s="5" t="s">
        <v>67</v>
      </c>
      <c r="B3475" s="5" t="s">
        <v>10</v>
      </c>
      <c r="C3475" s="5" t="s">
        <v>3944</v>
      </c>
      <c r="D3475" s="3">
        <f>VLOOKUP(A3475,airports!A:H,7,FALSE)</f>
        <v>29.980472219999999</v>
      </c>
      <c r="E3475" s="3">
        <f>VLOOKUP(A3475,airports!A:H,8,FALSE)</f>
        <v>-95.339722219999999</v>
      </c>
      <c r="F3475" s="3">
        <f>VLOOKUP(B3475,airports!A:H,7,FALSE)</f>
        <v>33.640444440000003</v>
      </c>
      <c r="G3475" s="3">
        <f>VLOOKUP(B3475,airports!A:H,8,FALSE)</f>
        <v>-84.42694444</v>
      </c>
      <c r="H3475">
        <f t="shared" si="108"/>
        <v>1107.8</v>
      </c>
      <c r="I3475">
        <f t="shared" si="109"/>
        <v>688.4</v>
      </c>
    </row>
    <row r="3476" spans="1:9" ht="30" x14ac:dyDescent="0.25">
      <c r="A3476" s="5" t="s">
        <v>67</v>
      </c>
      <c r="B3476" s="5" t="s">
        <v>13</v>
      </c>
      <c r="C3476" s="5" t="s">
        <v>3945</v>
      </c>
      <c r="D3476" s="3">
        <f>VLOOKUP(A3476,airports!A:H,7,FALSE)</f>
        <v>29.980472219999999</v>
      </c>
      <c r="E3476" s="3">
        <f>VLOOKUP(A3476,airports!A:H,8,FALSE)</f>
        <v>-95.339722219999999</v>
      </c>
      <c r="F3476" s="3">
        <f>VLOOKUP(B3476,airports!A:H,7,FALSE)</f>
        <v>30.194532779999999</v>
      </c>
      <c r="G3476" s="3">
        <f>VLOOKUP(B3476,airports!A:H,8,FALSE)</f>
        <v>-97.669871939999993</v>
      </c>
      <c r="H3476">
        <f t="shared" si="108"/>
        <v>225.4</v>
      </c>
      <c r="I3476">
        <f t="shared" si="109"/>
        <v>140.1</v>
      </c>
    </row>
    <row r="3477" spans="1:9" x14ac:dyDescent="0.25">
      <c r="A3477" s="5" t="s">
        <v>67</v>
      </c>
      <c r="B3477" s="5" t="s">
        <v>16</v>
      </c>
      <c r="C3477" s="5" t="s">
        <v>3946</v>
      </c>
      <c r="D3477" s="3">
        <f>VLOOKUP(A3477,airports!A:H,7,FALSE)</f>
        <v>29.980472219999999</v>
      </c>
      <c r="E3477" s="3">
        <f>VLOOKUP(A3477,airports!A:H,8,FALSE)</f>
        <v>-95.339722219999999</v>
      </c>
      <c r="F3477" s="3">
        <f>VLOOKUP(B3477,airports!A:H,7,FALSE)</f>
        <v>41.938874169999998</v>
      </c>
      <c r="G3477" s="3">
        <f>VLOOKUP(B3477,airports!A:H,8,FALSE)</f>
        <v>-72.683228330000006</v>
      </c>
      <c r="H3477">
        <f t="shared" si="108"/>
        <v>2422.5</v>
      </c>
      <c r="I3477">
        <f t="shared" si="109"/>
        <v>1505.4</v>
      </c>
    </row>
    <row r="3478" spans="1:9" ht="30" x14ac:dyDescent="0.25">
      <c r="A3478" s="5" t="s">
        <v>67</v>
      </c>
      <c r="B3478" s="5" t="s">
        <v>425</v>
      </c>
      <c r="C3478" s="5" t="s">
        <v>3947</v>
      </c>
      <c r="D3478" s="3">
        <f>VLOOKUP(A3478,airports!A:H,7,FALSE)</f>
        <v>29.980472219999999</v>
      </c>
      <c r="E3478" s="3">
        <f>VLOOKUP(A3478,airports!A:H,8,FALSE)</f>
        <v>-95.339722219999999</v>
      </c>
      <c r="F3478" s="3">
        <f>VLOOKUP(B3478,airports!A:H,7,FALSE)</f>
        <v>33.562943060000002</v>
      </c>
      <c r="G3478" s="3">
        <f>VLOOKUP(B3478,airports!A:H,8,FALSE)</f>
        <v>-86.753549719999995</v>
      </c>
      <c r="H3478">
        <f t="shared" si="108"/>
        <v>903.7</v>
      </c>
      <c r="I3478">
        <f t="shared" si="109"/>
        <v>561.6</v>
      </c>
    </row>
    <row r="3479" spans="1:9" ht="30" x14ac:dyDescent="0.25">
      <c r="A3479" s="5" t="s">
        <v>67</v>
      </c>
      <c r="B3479" s="5" t="s">
        <v>19</v>
      </c>
      <c r="C3479" s="5" t="s">
        <v>3948</v>
      </c>
      <c r="D3479" s="3">
        <f>VLOOKUP(A3479,airports!A:H,7,FALSE)</f>
        <v>29.980472219999999</v>
      </c>
      <c r="E3479" s="3">
        <f>VLOOKUP(A3479,airports!A:H,8,FALSE)</f>
        <v>-95.339722219999999</v>
      </c>
      <c r="F3479" s="3">
        <f>VLOOKUP(B3479,airports!A:H,7,FALSE)</f>
        <v>36.12447667</v>
      </c>
      <c r="G3479" s="3">
        <f>VLOOKUP(B3479,airports!A:H,8,FALSE)</f>
        <v>-86.678182219999997</v>
      </c>
      <c r="H3479">
        <f t="shared" si="108"/>
        <v>1056.7</v>
      </c>
      <c r="I3479">
        <f t="shared" si="109"/>
        <v>656.6</v>
      </c>
    </row>
    <row r="3480" spans="1:9" x14ac:dyDescent="0.25">
      <c r="A3480" s="5" t="s">
        <v>67</v>
      </c>
      <c r="B3480" s="5" t="s">
        <v>22</v>
      </c>
      <c r="C3480" s="5" t="s">
        <v>3949</v>
      </c>
      <c r="D3480" s="3">
        <f>VLOOKUP(A3480,airports!A:H,7,FALSE)</f>
        <v>29.980472219999999</v>
      </c>
      <c r="E3480" s="3">
        <f>VLOOKUP(A3480,airports!A:H,8,FALSE)</f>
        <v>-95.339722219999999</v>
      </c>
      <c r="F3480" s="3">
        <f>VLOOKUP(B3480,airports!A:H,7,FALSE)</f>
        <v>43.564444440000003</v>
      </c>
      <c r="G3480" s="3">
        <f>VLOOKUP(B3480,airports!A:H,8,FALSE)</f>
        <v>-116.2227778</v>
      </c>
      <c r="H3480">
        <f t="shared" si="108"/>
        <v>2384.1</v>
      </c>
      <c r="I3480">
        <f t="shared" si="109"/>
        <v>1481.5</v>
      </c>
    </row>
    <row r="3481" spans="1:9" ht="30" x14ac:dyDescent="0.25">
      <c r="A3481" s="5" t="s">
        <v>67</v>
      </c>
      <c r="B3481" s="5" t="s">
        <v>24</v>
      </c>
      <c r="C3481" s="5" t="s">
        <v>3950</v>
      </c>
      <c r="D3481" s="3">
        <f>VLOOKUP(A3481,airports!A:H,7,FALSE)</f>
        <v>29.980472219999999</v>
      </c>
      <c r="E3481" s="3">
        <f>VLOOKUP(A3481,airports!A:H,8,FALSE)</f>
        <v>-95.339722219999999</v>
      </c>
      <c r="F3481" s="3">
        <f>VLOOKUP(B3481,airports!A:H,7,FALSE)</f>
        <v>42.364347500000001</v>
      </c>
      <c r="G3481" s="3">
        <f>VLOOKUP(B3481,airports!A:H,8,FALSE)</f>
        <v>-71.005179170000005</v>
      </c>
      <c r="H3481">
        <f t="shared" si="108"/>
        <v>2567.8000000000002</v>
      </c>
      <c r="I3481">
        <f t="shared" si="109"/>
        <v>1595.7</v>
      </c>
    </row>
    <row r="3482" spans="1:9" ht="30" x14ac:dyDescent="0.25">
      <c r="A3482" s="5" t="s">
        <v>67</v>
      </c>
      <c r="B3482" s="5" t="s">
        <v>1327</v>
      </c>
      <c r="C3482" s="5" t="s">
        <v>3951</v>
      </c>
      <c r="D3482" s="3">
        <f>VLOOKUP(A3482,airports!A:H,7,FALSE)</f>
        <v>29.980472219999999</v>
      </c>
      <c r="E3482" s="3">
        <f>VLOOKUP(A3482,airports!A:H,8,FALSE)</f>
        <v>-95.339722219999999</v>
      </c>
      <c r="F3482" s="3">
        <f>VLOOKUP(B3482,airports!A:H,7,FALSE)</f>
        <v>25.906833330000001</v>
      </c>
      <c r="G3482" s="3">
        <f>VLOOKUP(B3482,airports!A:H,8,FALSE)</f>
        <v>-97.42586111</v>
      </c>
      <c r="H3482">
        <f t="shared" si="108"/>
        <v>497.1</v>
      </c>
      <c r="I3482">
        <f t="shared" si="109"/>
        <v>308.89999999999998</v>
      </c>
    </row>
    <row r="3483" spans="1:9" x14ac:dyDescent="0.25">
      <c r="A3483" s="5" t="s">
        <v>67</v>
      </c>
      <c r="B3483" s="5" t="s">
        <v>434</v>
      </c>
      <c r="C3483" s="5" t="s">
        <v>3952</v>
      </c>
      <c r="D3483" s="3">
        <f>VLOOKUP(A3483,airports!A:H,7,FALSE)</f>
        <v>29.980472219999999</v>
      </c>
      <c r="E3483" s="3">
        <f>VLOOKUP(A3483,airports!A:H,8,FALSE)</f>
        <v>-95.339722219999999</v>
      </c>
      <c r="F3483" s="3">
        <f>VLOOKUP(B3483,airports!A:H,7,FALSE)</f>
        <v>30.53316083</v>
      </c>
      <c r="G3483" s="3">
        <f>VLOOKUP(B3483,airports!A:H,8,FALSE)</f>
        <v>-91.14963444</v>
      </c>
      <c r="H3483">
        <f t="shared" si="108"/>
        <v>407.1</v>
      </c>
      <c r="I3483">
        <f t="shared" si="109"/>
        <v>253</v>
      </c>
    </row>
    <row r="3484" spans="1:9" ht="30" x14ac:dyDescent="0.25">
      <c r="A3484" s="5" t="s">
        <v>67</v>
      </c>
      <c r="B3484" s="5" t="s">
        <v>32</v>
      </c>
      <c r="C3484" s="5" t="s">
        <v>3953</v>
      </c>
      <c r="D3484" s="3">
        <f>VLOOKUP(A3484,airports!A:H,7,FALSE)</f>
        <v>29.980472219999999</v>
      </c>
      <c r="E3484" s="3">
        <f>VLOOKUP(A3484,airports!A:H,8,FALSE)</f>
        <v>-95.339722219999999</v>
      </c>
      <c r="F3484" s="3">
        <f>VLOOKUP(B3484,airports!A:H,7,FALSE)</f>
        <v>39.175401669999999</v>
      </c>
      <c r="G3484" s="3">
        <f>VLOOKUP(B3484,airports!A:H,8,FALSE)</f>
        <v>-76.668198329999996</v>
      </c>
      <c r="H3484">
        <f t="shared" si="108"/>
        <v>1985.9</v>
      </c>
      <c r="I3484">
        <f t="shared" si="109"/>
        <v>1234.0999999999999</v>
      </c>
    </row>
    <row r="3485" spans="1:9" ht="30" x14ac:dyDescent="0.25">
      <c r="A3485" s="5" t="s">
        <v>67</v>
      </c>
      <c r="B3485" s="5" t="s">
        <v>34</v>
      </c>
      <c r="C3485" s="5" t="s">
        <v>3954</v>
      </c>
      <c r="D3485" s="3">
        <f>VLOOKUP(A3485,airports!A:H,7,FALSE)</f>
        <v>29.980472219999999</v>
      </c>
      <c r="E3485" s="3">
        <f>VLOOKUP(A3485,airports!A:H,8,FALSE)</f>
        <v>-95.339722219999999</v>
      </c>
      <c r="F3485" s="3">
        <f>VLOOKUP(B3485,airports!A:H,7,FALSE)</f>
        <v>45.776901389999999</v>
      </c>
      <c r="G3485" s="3">
        <f>VLOOKUP(B3485,airports!A:H,8,FALSE)</f>
        <v>-111.1530072</v>
      </c>
      <c r="H3485">
        <f t="shared" si="108"/>
        <v>2229.9</v>
      </c>
      <c r="I3485">
        <f t="shared" si="109"/>
        <v>1385.7</v>
      </c>
    </row>
    <row r="3486" spans="1:9" x14ac:dyDescent="0.25">
      <c r="A3486" s="5" t="s">
        <v>67</v>
      </c>
      <c r="B3486" s="5" t="s">
        <v>441</v>
      </c>
      <c r="C3486" s="5" t="s">
        <v>3955</v>
      </c>
      <c r="D3486" s="3">
        <f>VLOOKUP(A3486,airports!A:H,7,FALSE)</f>
        <v>29.980472219999999</v>
      </c>
      <c r="E3486" s="3">
        <f>VLOOKUP(A3486,airports!A:H,8,FALSE)</f>
        <v>-95.339722219999999</v>
      </c>
      <c r="F3486" s="3">
        <f>VLOOKUP(B3486,airports!A:H,7,FALSE)</f>
        <v>33.938839999999999</v>
      </c>
      <c r="G3486" s="3">
        <f>VLOOKUP(B3486,airports!A:H,8,FALSE)</f>
        <v>-81.119539439999997</v>
      </c>
      <c r="H3486">
        <f t="shared" si="108"/>
        <v>1410.4</v>
      </c>
      <c r="I3486">
        <f t="shared" si="109"/>
        <v>876.5</v>
      </c>
    </row>
    <row r="3487" spans="1:9" ht="30" x14ac:dyDescent="0.25">
      <c r="A3487" s="5" t="s">
        <v>67</v>
      </c>
      <c r="B3487" s="5" t="s">
        <v>443</v>
      </c>
      <c r="C3487" s="5" t="s">
        <v>3956</v>
      </c>
      <c r="D3487" s="3">
        <f>VLOOKUP(A3487,airports!A:H,7,FALSE)</f>
        <v>29.980472219999999</v>
      </c>
      <c r="E3487" s="3">
        <f>VLOOKUP(A3487,airports!A:H,8,FALSE)</f>
        <v>-95.339722219999999</v>
      </c>
      <c r="F3487" s="3">
        <f>VLOOKUP(B3487,airports!A:H,7,FALSE)</f>
        <v>40.91631194</v>
      </c>
      <c r="G3487" s="3">
        <f>VLOOKUP(B3487,airports!A:H,8,FALSE)</f>
        <v>-81.442465560000002</v>
      </c>
      <c r="H3487">
        <f t="shared" si="108"/>
        <v>1746</v>
      </c>
      <c r="I3487">
        <f t="shared" si="109"/>
        <v>1085</v>
      </c>
    </row>
    <row r="3488" spans="1:9" ht="30" x14ac:dyDescent="0.25">
      <c r="A3488" s="5" t="s">
        <v>67</v>
      </c>
      <c r="B3488" s="5" t="s">
        <v>445</v>
      </c>
      <c r="C3488" s="5" t="s">
        <v>3957</v>
      </c>
      <c r="D3488" s="3">
        <f>VLOOKUP(A3488,airports!A:H,7,FALSE)</f>
        <v>29.980472219999999</v>
      </c>
      <c r="E3488" s="3">
        <f>VLOOKUP(A3488,airports!A:H,8,FALSE)</f>
        <v>-95.339722219999999</v>
      </c>
      <c r="F3488" s="3">
        <f>VLOOKUP(B3488,airports!A:H,7,FALSE)</f>
        <v>35.035268330000001</v>
      </c>
      <c r="G3488" s="3">
        <f>VLOOKUP(B3488,airports!A:H,8,FALSE)</f>
        <v>-85.203787779999999</v>
      </c>
      <c r="H3488">
        <f t="shared" si="108"/>
        <v>1103.3</v>
      </c>
      <c r="I3488">
        <f t="shared" si="109"/>
        <v>685.6</v>
      </c>
    </row>
    <row r="3489" spans="1:9" x14ac:dyDescent="0.25">
      <c r="A3489" s="5" t="s">
        <v>67</v>
      </c>
      <c r="B3489" s="5" t="s">
        <v>36</v>
      </c>
      <c r="C3489" s="5" t="s">
        <v>3958</v>
      </c>
      <c r="D3489" s="3">
        <f>VLOOKUP(A3489,airports!A:H,7,FALSE)</f>
        <v>29.980472219999999</v>
      </c>
      <c r="E3489" s="3">
        <f>VLOOKUP(A3489,airports!A:H,8,FALSE)</f>
        <v>-95.339722219999999</v>
      </c>
      <c r="F3489" s="3">
        <f>VLOOKUP(B3489,airports!A:H,7,FALSE)</f>
        <v>32.898646390000003</v>
      </c>
      <c r="G3489" s="3">
        <f>VLOOKUP(B3489,airports!A:H,8,FALSE)</f>
        <v>-80.040505830000001</v>
      </c>
      <c r="H3489">
        <f t="shared" si="108"/>
        <v>1485.8</v>
      </c>
      <c r="I3489">
        <f t="shared" si="109"/>
        <v>923.3</v>
      </c>
    </row>
    <row r="3490" spans="1:9" x14ac:dyDescent="0.25">
      <c r="A3490" s="5" t="s">
        <v>67</v>
      </c>
      <c r="B3490" s="5" t="s">
        <v>38</v>
      </c>
      <c r="C3490" s="5" t="s">
        <v>3959</v>
      </c>
      <c r="D3490" s="3">
        <f>VLOOKUP(A3490,airports!A:H,7,FALSE)</f>
        <v>29.980472219999999</v>
      </c>
      <c r="E3490" s="3">
        <f>VLOOKUP(A3490,airports!A:H,8,FALSE)</f>
        <v>-95.339722219999999</v>
      </c>
      <c r="F3490" s="3">
        <f>VLOOKUP(B3490,airports!A:H,7,FALSE)</f>
        <v>41.410894169999999</v>
      </c>
      <c r="G3490" s="3">
        <f>VLOOKUP(B3490,airports!A:H,8,FALSE)</f>
        <v>-81.849396670000004</v>
      </c>
      <c r="H3490">
        <f t="shared" si="108"/>
        <v>1756.3</v>
      </c>
      <c r="I3490">
        <f t="shared" si="109"/>
        <v>1091.4000000000001</v>
      </c>
    </row>
    <row r="3491" spans="1:9" x14ac:dyDescent="0.25">
      <c r="A3491" s="5" t="s">
        <v>67</v>
      </c>
      <c r="B3491" s="5" t="s">
        <v>997</v>
      </c>
      <c r="C3491" s="5" t="s">
        <v>3960</v>
      </c>
      <c r="D3491" s="3">
        <f>VLOOKUP(A3491,airports!A:H,7,FALSE)</f>
        <v>29.980472219999999</v>
      </c>
      <c r="E3491" s="3">
        <f>VLOOKUP(A3491,airports!A:H,8,FALSE)</f>
        <v>-95.339722219999999</v>
      </c>
      <c r="F3491" s="3">
        <f>VLOOKUP(B3491,airports!A:H,7,FALSE)</f>
        <v>30.58858944</v>
      </c>
      <c r="G3491" s="3">
        <f>VLOOKUP(B3491,airports!A:H,8,FALSE)</f>
        <v>-96.363824170000001</v>
      </c>
      <c r="H3491">
        <f t="shared" si="108"/>
        <v>119.3</v>
      </c>
      <c r="I3491">
        <f t="shared" si="109"/>
        <v>74.2</v>
      </c>
    </row>
    <row r="3492" spans="1:9" x14ac:dyDescent="0.25">
      <c r="A3492" s="5" t="s">
        <v>67</v>
      </c>
      <c r="B3492" s="5" t="s">
        <v>40</v>
      </c>
      <c r="C3492" s="5" t="s">
        <v>3961</v>
      </c>
      <c r="D3492" s="3">
        <f>VLOOKUP(A3492,airports!A:H,7,FALSE)</f>
        <v>29.980472219999999</v>
      </c>
      <c r="E3492" s="3">
        <f>VLOOKUP(A3492,airports!A:H,8,FALSE)</f>
        <v>-95.339722219999999</v>
      </c>
      <c r="F3492" s="3">
        <f>VLOOKUP(B3492,airports!A:H,7,FALSE)</f>
        <v>35.214011110000001</v>
      </c>
      <c r="G3492" s="3">
        <f>VLOOKUP(B3492,airports!A:H,8,FALSE)</f>
        <v>-80.94312583</v>
      </c>
      <c r="H3492">
        <f t="shared" si="108"/>
        <v>1467</v>
      </c>
      <c r="I3492">
        <f t="shared" si="109"/>
        <v>911.6</v>
      </c>
    </row>
    <row r="3493" spans="1:9" ht="30" x14ac:dyDescent="0.25">
      <c r="A3493" s="5" t="s">
        <v>67</v>
      </c>
      <c r="B3493" s="5" t="s">
        <v>454</v>
      </c>
      <c r="C3493" s="5" t="s">
        <v>3962</v>
      </c>
      <c r="D3493" s="3">
        <f>VLOOKUP(A3493,airports!A:H,7,FALSE)</f>
        <v>29.980472219999999</v>
      </c>
      <c r="E3493" s="3">
        <f>VLOOKUP(A3493,airports!A:H,8,FALSE)</f>
        <v>-95.339722219999999</v>
      </c>
      <c r="F3493" s="3">
        <f>VLOOKUP(B3493,airports!A:H,7,FALSE)</f>
        <v>39.997985280000002</v>
      </c>
      <c r="G3493" s="3">
        <f>VLOOKUP(B3493,airports!A:H,8,FALSE)</f>
        <v>-82.891882780000003</v>
      </c>
      <c r="H3493">
        <f t="shared" si="108"/>
        <v>1586.5</v>
      </c>
      <c r="I3493">
        <f t="shared" si="109"/>
        <v>985.8</v>
      </c>
    </row>
    <row r="3494" spans="1:9" ht="30" x14ac:dyDescent="0.25">
      <c r="A3494" s="5" t="s">
        <v>67</v>
      </c>
      <c r="B3494" s="5" t="s">
        <v>456</v>
      </c>
      <c r="C3494" s="5" t="s">
        <v>3963</v>
      </c>
      <c r="D3494" s="3">
        <f>VLOOKUP(A3494,airports!A:H,7,FALSE)</f>
        <v>29.980472219999999</v>
      </c>
      <c r="E3494" s="3">
        <f>VLOOKUP(A3494,airports!A:H,8,FALSE)</f>
        <v>-95.339722219999999</v>
      </c>
      <c r="F3494" s="3">
        <f>VLOOKUP(B3494,airports!A:H,7,FALSE)</f>
        <v>38.805805560000003</v>
      </c>
      <c r="G3494" s="3">
        <f>VLOOKUP(B3494,airports!A:H,8,FALSE)</f>
        <v>-104.70025</v>
      </c>
      <c r="H3494">
        <f t="shared" si="108"/>
        <v>1302.5999999999999</v>
      </c>
      <c r="I3494">
        <f t="shared" si="109"/>
        <v>809.4</v>
      </c>
    </row>
    <row r="3495" spans="1:9" x14ac:dyDescent="0.25">
      <c r="A3495" s="5" t="s">
        <v>67</v>
      </c>
      <c r="B3495" s="5" t="s">
        <v>1987</v>
      </c>
      <c r="C3495" s="5" t="s">
        <v>3964</v>
      </c>
      <c r="D3495" s="3">
        <f>VLOOKUP(A3495,airports!A:H,7,FALSE)</f>
        <v>29.980472219999999</v>
      </c>
      <c r="E3495" s="3">
        <f>VLOOKUP(A3495,airports!A:H,8,FALSE)</f>
        <v>-95.339722219999999</v>
      </c>
      <c r="F3495" s="3">
        <f>VLOOKUP(B3495,airports!A:H,7,FALSE)</f>
        <v>27.770360830000001</v>
      </c>
      <c r="G3495" s="3">
        <f>VLOOKUP(B3495,airports!A:H,8,FALSE)</f>
        <v>-97.501215279999997</v>
      </c>
      <c r="H3495">
        <f t="shared" si="108"/>
        <v>323.5</v>
      </c>
      <c r="I3495">
        <f t="shared" si="109"/>
        <v>201.1</v>
      </c>
    </row>
    <row r="3496" spans="1:9" ht="30" x14ac:dyDescent="0.25">
      <c r="A3496" s="5" t="s">
        <v>67</v>
      </c>
      <c r="B3496" s="5" t="s">
        <v>458</v>
      </c>
      <c r="C3496" s="5" t="s">
        <v>3965</v>
      </c>
      <c r="D3496" s="3">
        <f>VLOOKUP(A3496,airports!A:H,7,FALSE)</f>
        <v>29.980472219999999</v>
      </c>
      <c r="E3496" s="3">
        <f>VLOOKUP(A3496,airports!A:H,8,FALSE)</f>
        <v>-95.339722219999999</v>
      </c>
      <c r="F3496" s="3">
        <f>VLOOKUP(B3496,airports!A:H,7,FALSE)</f>
        <v>38.37315083</v>
      </c>
      <c r="G3496" s="3">
        <f>VLOOKUP(B3496,airports!A:H,8,FALSE)</f>
        <v>-81.593189719999998</v>
      </c>
      <c r="H3496">
        <f t="shared" si="108"/>
        <v>1568.7</v>
      </c>
      <c r="I3496">
        <f t="shared" si="109"/>
        <v>974.8</v>
      </c>
    </row>
    <row r="3497" spans="1:9" ht="30" x14ac:dyDescent="0.25">
      <c r="A3497" s="5" t="s">
        <v>67</v>
      </c>
      <c r="B3497" s="5" t="s">
        <v>462</v>
      </c>
      <c r="C3497" s="5" t="s">
        <v>3966</v>
      </c>
      <c r="D3497" s="3">
        <f>VLOOKUP(A3497,airports!A:H,7,FALSE)</f>
        <v>29.980472219999999</v>
      </c>
      <c r="E3497" s="3">
        <f>VLOOKUP(A3497,airports!A:H,8,FALSE)</f>
        <v>-95.339722219999999</v>
      </c>
      <c r="F3497" s="3">
        <f>VLOOKUP(B3497,airports!A:H,7,FALSE)</f>
        <v>39.046142779999997</v>
      </c>
      <c r="G3497" s="3">
        <f>VLOOKUP(B3497,airports!A:H,8,FALSE)</f>
        <v>-84.662172499999997</v>
      </c>
      <c r="H3497">
        <f t="shared" si="108"/>
        <v>1402.7</v>
      </c>
      <c r="I3497">
        <f t="shared" si="109"/>
        <v>871.6</v>
      </c>
    </row>
    <row r="3498" spans="1:9" x14ac:dyDescent="0.25">
      <c r="A3498" s="5" t="s">
        <v>67</v>
      </c>
      <c r="B3498" s="5" t="s">
        <v>201</v>
      </c>
      <c r="C3498" s="5" t="s">
        <v>3967</v>
      </c>
      <c r="D3498" s="3">
        <f>VLOOKUP(A3498,airports!A:H,7,FALSE)</f>
        <v>29.980472219999999</v>
      </c>
      <c r="E3498" s="3">
        <f>VLOOKUP(A3498,airports!A:H,8,FALSE)</f>
        <v>-95.339722219999999</v>
      </c>
      <c r="F3498" s="3">
        <f>VLOOKUP(B3498,airports!A:H,7,FALSE)</f>
        <v>32.847113890000003</v>
      </c>
      <c r="G3498" s="3">
        <f>VLOOKUP(B3498,airports!A:H,8,FALSE)</f>
        <v>-96.851772220000001</v>
      </c>
      <c r="H3498">
        <f t="shared" si="108"/>
        <v>349.5</v>
      </c>
      <c r="I3498">
        <f t="shared" si="109"/>
        <v>217.2</v>
      </c>
    </row>
    <row r="3499" spans="1:9" ht="30" x14ac:dyDescent="0.25">
      <c r="A3499" s="5" t="s">
        <v>67</v>
      </c>
      <c r="B3499" s="5" t="s">
        <v>467</v>
      </c>
      <c r="C3499" s="5" t="s">
        <v>3968</v>
      </c>
      <c r="D3499" s="3">
        <f>VLOOKUP(A3499,airports!A:H,7,FALSE)</f>
        <v>29.980472219999999</v>
      </c>
      <c r="E3499" s="3">
        <f>VLOOKUP(A3499,airports!A:H,8,FALSE)</f>
        <v>-95.339722219999999</v>
      </c>
      <c r="F3499" s="3">
        <f>VLOOKUP(B3499,airports!A:H,7,FALSE)</f>
        <v>39.902375829999997</v>
      </c>
      <c r="G3499" s="3">
        <f>VLOOKUP(B3499,airports!A:H,8,FALSE)</f>
        <v>-84.219374999999999</v>
      </c>
      <c r="H3499">
        <f t="shared" si="108"/>
        <v>1495.7</v>
      </c>
      <c r="I3499">
        <f t="shared" si="109"/>
        <v>929.5</v>
      </c>
    </row>
    <row r="3500" spans="1:9" ht="30" x14ac:dyDescent="0.25">
      <c r="A3500" s="5" t="s">
        <v>67</v>
      </c>
      <c r="B3500" s="5" t="s">
        <v>45</v>
      </c>
      <c r="C3500" s="5" t="s">
        <v>3969</v>
      </c>
      <c r="D3500" s="3">
        <f>VLOOKUP(A3500,airports!A:H,7,FALSE)</f>
        <v>29.980472219999999</v>
      </c>
      <c r="E3500" s="3">
        <f>VLOOKUP(A3500,airports!A:H,8,FALSE)</f>
        <v>-95.339722219999999</v>
      </c>
      <c r="F3500" s="3">
        <f>VLOOKUP(B3500,airports!A:H,7,FALSE)</f>
        <v>38.852083329999999</v>
      </c>
      <c r="G3500" s="3">
        <f>VLOOKUP(B3500,airports!A:H,8,FALSE)</f>
        <v>-77.037722220000006</v>
      </c>
      <c r="H3500">
        <f t="shared" si="108"/>
        <v>1941.7</v>
      </c>
      <c r="I3500">
        <f t="shared" si="109"/>
        <v>1206.5999999999999</v>
      </c>
    </row>
    <row r="3501" spans="1:9" ht="30" x14ac:dyDescent="0.25">
      <c r="A3501" s="5" t="s">
        <v>67</v>
      </c>
      <c r="B3501" s="5" t="s">
        <v>47</v>
      </c>
      <c r="C3501" s="5" t="s">
        <v>3970</v>
      </c>
      <c r="D3501" s="3">
        <f>VLOOKUP(A3501,airports!A:H,7,FALSE)</f>
        <v>29.980472219999999</v>
      </c>
      <c r="E3501" s="3">
        <f>VLOOKUP(A3501,airports!A:H,8,FALSE)</f>
        <v>-95.339722219999999</v>
      </c>
      <c r="F3501" s="3">
        <f>VLOOKUP(B3501,airports!A:H,7,FALSE)</f>
        <v>39.858408060000002</v>
      </c>
      <c r="G3501" s="3">
        <f>VLOOKUP(B3501,airports!A:H,8,FALSE)</f>
        <v>-104.6670019</v>
      </c>
      <c r="H3501">
        <f t="shared" si="108"/>
        <v>1387.3</v>
      </c>
      <c r="I3501">
        <f t="shared" si="109"/>
        <v>862.1</v>
      </c>
    </row>
    <row r="3502" spans="1:9" ht="30" x14ac:dyDescent="0.25">
      <c r="A3502" s="5" t="s">
        <v>67</v>
      </c>
      <c r="B3502" s="5" t="s">
        <v>49</v>
      </c>
      <c r="C3502" s="5" t="s">
        <v>3971</v>
      </c>
      <c r="D3502" s="3">
        <f>VLOOKUP(A3502,airports!A:H,7,FALSE)</f>
        <v>29.980472219999999</v>
      </c>
      <c r="E3502" s="3">
        <f>VLOOKUP(A3502,airports!A:H,8,FALSE)</f>
        <v>-95.339722219999999</v>
      </c>
      <c r="F3502" s="3">
        <f>VLOOKUP(B3502,airports!A:H,7,FALSE)</f>
        <v>32.895950560000003</v>
      </c>
      <c r="G3502" s="3">
        <f>VLOOKUP(B3502,airports!A:H,8,FALSE)</f>
        <v>-97.037199999999999</v>
      </c>
      <c r="H3502">
        <f t="shared" si="108"/>
        <v>362</v>
      </c>
      <c r="I3502">
        <f t="shared" si="109"/>
        <v>224.9</v>
      </c>
    </row>
    <row r="3503" spans="1:9" ht="30" x14ac:dyDescent="0.25">
      <c r="A3503" s="5" t="s">
        <v>67</v>
      </c>
      <c r="B3503" s="5" t="s">
        <v>2350</v>
      </c>
      <c r="C3503" s="5" t="s">
        <v>3972</v>
      </c>
      <c r="D3503" s="3">
        <f>VLOOKUP(A3503,airports!A:H,7,FALSE)</f>
        <v>29.980472219999999</v>
      </c>
      <c r="E3503" s="3">
        <f>VLOOKUP(A3503,airports!A:H,8,FALSE)</f>
        <v>-95.339722219999999</v>
      </c>
      <c r="F3503" s="3">
        <f>VLOOKUP(B3503,airports!A:H,7,FALSE)</f>
        <v>37.151516669999999</v>
      </c>
      <c r="G3503" s="3">
        <f>VLOOKUP(B3503,airports!A:H,8,FALSE)</f>
        <v>-107.75376919999999</v>
      </c>
      <c r="H3503">
        <f t="shared" si="108"/>
        <v>1397.6</v>
      </c>
      <c r="I3503">
        <f t="shared" si="109"/>
        <v>868.5</v>
      </c>
    </row>
    <row r="3504" spans="1:9" ht="30" x14ac:dyDescent="0.25">
      <c r="A3504" s="5" t="s">
        <v>67</v>
      </c>
      <c r="B3504" s="5" t="s">
        <v>474</v>
      </c>
      <c r="C3504" s="5" t="s">
        <v>3973</v>
      </c>
      <c r="D3504" s="3">
        <f>VLOOKUP(A3504,airports!A:H,7,FALSE)</f>
        <v>29.980472219999999</v>
      </c>
      <c r="E3504" s="3">
        <f>VLOOKUP(A3504,airports!A:H,8,FALSE)</f>
        <v>-95.339722219999999</v>
      </c>
      <c r="F3504" s="3">
        <f>VLOOKUP(B3504,airports!A:H,7,FALSE)</f>
        <v>41.53493306</v>
      </c>
      <c r="G3504" s="3">
        <f>VLOOKUP(B3504,airports!A:H,8,FALSE)</f>
        <v>-93.660682219999998</v>
      </c>
      <c r="H3504">
        <f t="shared" si="108"/>
        <v>1293.5999999999999</v>
      </c>
      <c r="I3504">
        <f t="shared" si="109"/>
        <v>803.9</v>
      </c>
    </row>
    <row r="3505" spans="1:9" ht="30" x14ac:dyDescent="0.25">
      <c r="A3505" s="5" t="s">
        <v>67</v>
      </c>
      <c r="B3505" s="5" t="s">
        <v>50</v>
      </c>
      <c r="C3505" s="5" t="s">
        <v>3974</v>
      </c>
      <c r="D3505" s="3">
        <f>VLOOKUP(A3505,airports!A:H,7,FALSE)</f>
        <v>29.980472219999999</v>
      </c>
      <c r="E3505" s="3">
        <f>VLOOKUP(A3505,airports!A:H,8,FALSE)</f>
        <v>-95.339722219999999</v>
      </c>
      <c r="F3505" s="3">
        <f>VLOOKUP(B3505,airports!A:H,7,FALSE)</f>
        <v>42.212058890000002</v>
      </c>
      <c r="G3505" s="3">
        <f>VLOOKUP(B3505,airports!A:H,8,FALSE)</f>
        <v>-83.348835829999999</v>
      </c>
      <c r="H3505">
        <f t="shared" si="108"/>
        <v>1731.4</v>
      </c>
      <c r="I3505">
        <f t="shared" si="109"/>
        <v>1075.9000000000001</v>
      </c>
    </row>
    <row r="3506" spans="1:9" x14ac:dyDescent="0.25">
      <c r="A3506" s="5" t="s">
        <v>67</v>
      </c>
      <c r="B3506" s="5" t="s">
        <v>477</v>
      </c>
      <c r="C3506" s="5" t="s">
        <v>3975</v>
      </c>
      <c r="D3506" s="3">
        <f>VLOOKUP(A3506,airports!A:H,7,FALSE)</f>
        <v>29.980472219999999</v>
      </c>
      <c r="E3506" s="3">
        <f>VLOOKUP(A3506,airports!A:H,8,FALSE)</f>
        <v>-95.339722219999999</v>
      </c>
      <c r="F3506" s="3">
        <f>VLOOKUP(B3506,airports!A:H,7,FALSE)</f>
        <v>30.357106000000002</v>
      </c>
      <c r="G3506" s="3">
        <f>VLOOKUP(B3506,airports!A:H,8,FALSE)</f>
        <v>-85.795413999999994</v>
      </c>
      <c r="H3506">
        <f t="shared" si="108"/>
        <v>918.2</v>
      </c>
      <c r="I3506">
        <f t="shared" si="109"/>
        <v>570.6</v>
      </c>
    </row>
    <row r="3507" spans="1:9" x14ac:dyDescent="0.25">
      <c r="A3507" s="5" t="s">
        <v>67</v>
      </c>
      <c r="B3507" s="5" t="s">
        <v>479</v>
      </c>
      <c r="C3507" s="5" t="s">
        <v>3976</v>
      </c>
      <c r="D3507" s="3">
        <f>VLOOKUP(A3507,airports!A:H,7,FALSE)</f>
        <v>29.980472219999999</v>
      </c>
      <c r="E3507" s="3">
        <f>VLOOKUP(A3507,airports!A:H,8,FALSE)</f>
        <v>-95.339722219999999</v>
      </c>
      <c r="F3507" s="3">
        <f>VLOOKUP(B3507,airports!A:H,7,FALSE)</f>
        <v>39.64256778</v>
      </c>
      <c r="G3507" s="3">
        <f>VLOOKUP(B3507,airports!A:H,8,FALSE)</f>
        <v>-106.91769530000001</v>
      </c>
      <c r="H3507">
        <f t="shared" si="108"/>
        <v>1504.6</v>
      </c>
      <c r="I3507">
        <f t="shared" si="109"/>
        <v>935</v>
      </c>
    </row>
    <row r="3508" spans="1:9" x14ac:dyDescent="0.25">
      <c r="A3508" s="5" t="s">
        <v>67</v>
      </c>
      <c r="B3508" s="5" t="s">
        <v>483</v>
      </c>
      <c r="C3508" s="5" t="s">
        <v>3977</v>
      </c>
      <c r="D3508" s="3">
        <f>VLOOKUP(A3508,airports!A:H,7,FALSE)</f>
        <v>29.980472219999999</v>
      </c>
      <c r="E3508" s="3">
        <f>VLOOKUP(A3508,airports!A:H,8,FALSE)</f>
        <v>-95.339722219999999</v>
      </c>
      <c r="F3508" s="3">
        <f>VLOOKUP(B3508,airports!A:H,7,FALSE)</f>
        <v>31.806666669999998</v>
      </c>
      <c r="G3508" s="3">
        <f>VLOOKUP(B3508,airports!A:H,8,FALSE)</f>
        <v>-106.3778056</v>
      </c>
      <c r="H3508">
        <f t="shared" si="108"/>
        <v>1072.0999999999999</v>
      </c>
      <c r="I3508">
        <f t="shared" si="109"/>
        <v>666.2</v>
      </c>
    </row>
    <row r="3509" spans="1:9" ht="30" x14ac:dyDescent="0.25">
      <c r="A3509" s="5" t="s">
        <v>67</v>
      </c>
      <c r="B3509" s="5" t="s">
        <v>52</v>
      </c>
      <c r="C3509" s="5" t="s">
        <v>3978</v>
      </c>
      <c r="D3509" s="3">
        <f>VLOOKUP(A3509,airports!A:H,7,FALSE)</f>
        <v>29.980472219999999</v>
      </c>
      <c r="E3509" s="3">
        <f>VLOOKUP(A3509,airports!A:H,8,FALSE)</f>
        <v>-95.339722219999999</v>
      </c>
      <c r="F3509" s="3">
        <f>VLOOKUP(B3509,airports!A:H,7,FALSE)</f>
        <v>40.69249722</v>
      </c>
      <c r="G3509" s="3">
        <f>VLOOKUP(B3509,airports!A:H,8,FALSE)</f>
        <v>-74.168660560000006</v>
      </c>
      <c r="H3509">
        <f t="shared" si="108"/>
        <v>2250.6999999999998</v>
      </c>
      <c r="I3509">
        <f t="shared" si="109"/>
        <v>1398.6</v>
      </c>
    </row>
    <row r="3510" spans="1:9" ht="30" x14ac:dyDescent="0.25">
      <c r="A3510" s="5" t="s">
        <v>67</v>
      </c>
      <c r="B3510" s="5" t="s">
        <v>54</v>
      </c>
      <c r="C3510" s="5" t="s">
        <v>3979</v>
      </c>
      <c r="D3510" s="3">
        <f>VLOOKUP(A3510,airports!A:H,7,FALSE)</f>
        <v>29.980472219999999</v>
      </c>
      <c r="E3510" s="3">
        <f>VLOOKUP(A3510,airports!A:H,8,FALSE)</f>
        <v>-95.339722219999999</v>
      </c>
      <c r="F3510" s="3">
        <f>VLOOKUP(B3510,airports!A:H,7,FALSE)</f>
        <v>24.55611111</v>
      </c>
      <c r="G3510" s="3">
        <f>VLOOKUP(B3510,airports!A:H,8,FALSE)</f>
        <v>-81.759555559999995</v>
      </c>
      <c r="H3510">
        <f t="shared" si="108"/>
        <v>1470.1</v>
      </c>
      <c r="I3510">
        <f t="shared" si="109"/>
        <v>913.5</v>
      </c>
    </row>
    <row r="3511" spans="1:9" x14ac:dyDescent="0.25">
      <c r="A3511" s="5" t="s">
        <v>67</v>
      </c>
      <c r="B3511" s="5" t="s">
        <v>56</v>
      </c>
      <c r="C3511" s="5" t="s">
        <v>3980</v>
      </c>
      <c r="D3511" s="3">
        <f>VLOOKUP(A3511,airports!A:H,7,FALSE)</f>
        <v>29.980472219999999</v>
      </c>
      <c r="E3511" s="3">
        <f>VLOOKUP(A3511,airports!A:H,8,FALSE)</f>
        <v>-95.339722219999999</v>
      </c>
      <c r="F3511" s="3">
        <f>VLOOKUP(B3511,airports!A:H,7,FALSE)</f>
        <v>48.311404719999999</v>
      </c>
      <c r="G3511" s="3">
        <f>VLOOKUP(B3511,airports!A:H,8,FALSE)</f>
        <v>-114.2550694</v>
      </c>
      <c r="H3511">
        <f t="shared" si="108"/>
        <v>2595.6999999999998</v>
      </c>
      <c r="I3511">
        <f t="shared" si="109"/>
        <v>1613</v>
      </c>
    </row>
    <row r="3512" spans="1:9" x14ac:dyDescent="0.25">
      <c r="A3512" s="5" t="s">
        <v>67</v>
      </c>
      <c r="B3512" s="5" t="s">
        <v>57</v>
      </c>
      <c r="C3512" s="5" t="s">
        <v>3981</v>
      </c>
      <c r="D3512" s="3">
        <f>VLOOKUP(A3512,airports!A:H,7,FALSE)</f>
        <v>29.980472219999999</v>
      </c>
      <c r="E3512" s="3">
        <f>VLOOKUP(A3512,airports!A:H,8,FALSE)</f>
        <v>-95.339722219999999</v>
      </c>
      <c r="F3512" s="3">
        <f>VLOOKUP(B3512,airports!A:H,7,FALSE)</f>
        <v>26.072583330000001</v>
      </c>
      <c r="G3512" s="3">
        <f>VLOOKUP(B3512,airports!A:H,8,FALSE)</f>
        <v>-80.152749999999997</v>
      </c>
      <c r="H3512">
        <f t="shared" si="108"/>
        <v>1551.3</v>
      </c>
      <c r="I3512">
        <f t="shared" si="109"/>
        <v>964</v>
      </c>
    </row>
    <row r="3513" spans="1:9" x14ac:dyDescent="0.25">
      <c r="A3513" s="5" t="s">
        <v>67</v>
      </c>
      <c r="B3513" s="5" t="s">
        <v>509</v>
      </c>
      <c r="C3513" s="5" t="s">
        <v>3982</v>
      </c>
      <c r="D3513" s="3">
        <f>VLOOKUP(A3513,airports!A:H,7,FALSE)</f>
        <v>29.980472219999999</v>
      </c>
      <c r="E3513" s="3">
        <f>VLOOKUP(A3513,airports!A:H,8,FALSE)</f>
        <v>-95.339722219999999</v>
      </c>
      <c r="F3513" s="3">
        <f>VLOOKUP(B3513,airports!A:H,7,FALSE)</f>
        <v>30.407280279999998</v>
      </c>
      <c r="G3513" s="3">
        <f>VLOOKUP(B3513,airports!A:H,8,FALSE)</f>
        <v>-89.070092779999996</v>
      </c>
      <c r="H3513">
        <f t="shared" si="108"/>
        <v>604.4</v>
      </c>
      <c r="I3513">
        <f t="shared" si="109"/>
        <v>375.6</v>
      </c>
    </row>
    <row r="3514" spans="1:9" ht="30" x14ac:dyDescent="0.25">
      <c r="A3514" s="5" t="s">
        <v>67</v>
      </c>
      <c r="B3514" s="5" t="s">
        <v>513</v>
      </c>
      <c r="C3514" s="5" t="s">
        <v>3983</v>
      </c>
      <c r="D3514" s="3">
        <f>VLOOKUP(A3514,airports!A:H,7,FALSE)</f>
        <v>29.980472219999999</v>
      </c>
      <c r="E3514" s="3">
        <f>VLOOKUP(A3514,airports!A:H,8,FALSE)</f>
        <v>-95.339722219999999</v>
      </c>
      <c r="F3514" s="3">
        <f>VLOOKUP(B3514,airports!A:H,7,FALSE)</f>
        <v>31.064897779999999</v>
      </c>
      <c r="G3514" s="3">
        <f>VLOOKUP(B3514,airports!A:H,8,FALSE)</f>
        <v>-97.827797779999997</v>
      </c>
      <c r="H3514">
        <f t="shared" si="108"/>
        <v>267.10000000000002</v>
      </c>
      <c r="I3514">
        <f t="shared" si="109"/>
        <v>166</v>
      </c>
    </row>
    <row r="3515" spans="1:9" ht="30" x14ac:dyDescent="0.25">
      <c r="A3515" s="5" t="s">
        <v>67</v>
      </c>
      <c r="B3515" s="5" t="s">
        <v>515</v>
      </c>
      <c r="C3515" s="5" t="s">
        <v>3984</v>
      </c>
      <c r="D3515" s="3">
        <f>VLOOKUP(A3515,airports!A:H,7,FALSE)</f>
        <v>29.980472219999999</v>
      </c>
      <c r="E3515" s="3">
        <f>VLOOKUP(A3515,airports!A:H,8,FALSE)</f>
        <v>-95.339722219999999</v>
      </c>
      <c r="F3515" s="3">
        <f>VLOOKUP(B3515,airports!A:H,7,FALSE)</f>
        <v>42.880819719999998</v>
      </c>
      <c r="G3515" s="3">
        <f>VLOOKUP(B3515,airports!A:H,8,FALSE)</f>
        <v>-85.522767779999995</v>
      </c>
      <c r="H3515">
        <f t="shared" si="108"/>
        <v>1679.2</v>
      </c>
      <c r="I3515">
        <f t="shared" si="109"/>
        <v>1043.5</v>
      </c>
    </row>
    <row r="3516" spans="1:9" ht="30" x14ac:dyDescent="0.25">
      <c r="A3516" s="5" t="s">
        <v>67</v>
      </c>
      <c r="B3516" s="5" t="s">
        <v>517</v>
      </c>
      <c r="C3516" s="5" t="s">
        <v>3985</v>
      </c>
      <c r="D3516" s="3">
        <f>VLOOKUP(A3516,airports!A:H,7,FALSE)</f>
        <v>29.980472219999999</v>
      </c>
      <c r="E3516" s="3">
        <f>VLOOKUP(A3516,airports!A:H,8,FALSE)</f>
        <v>-95.339722219999999</v>
      </c>
      <c r="F3516" s="3">
        <f>VLOOKUP(B3516,airports!A:H,7,FALSE)</f>
        <v>36.09774694</v>
      </c>
      <c r="G3516" s="3">
        <f>VLOOKUP(B3516,airports!A:H,8,FALSE)</f>
        <v>-79.9372975</v>
      </c>
      <c r="H3516">
        <f t="shared" si="108"/>
        <v>1586.1</v>
      </c>
      <c r="I3516">
        <f t="shared" si="109"/>
        <v>985.6</v>
      </c>
    </row>
    <row r="3517" spans="1:9" x14ac:dyDescent="0.25">
      <c r="A3517" s="5" t="s">
        <v>67</v>
      </c>
      <c r="B3517" s="5" t="s">
        <v>519</v>
      </c>
      <c r="C3517" s="5" t="s">
        <v>3986</v>
      </c>
      <c r="D3517" s="3">
        <f>VLOOKUP(A3517,airports!A:H,7,FALSE)</f>
        <v>29.980472219999999</v>
      </c>
      <c r="E3517" s="3">
        <f>VLOOKUP(A3517,airports!A:H,8,FALSE)</f>
        <v>-95.339722219999999</v>
      </c>
      <c r="F3517" s="3">
        <f>VLOOKUP(B3517,airports!A:H,7,FALSE)</f>
        <v>34.89566722</v>
      </c>
      <c r="G3517" s="3">
        <f>VLOOKUP(B3517,airports!A:H,8,FALSE)</f>
        <v>-82.218858330000003</v>
      </c>
      <c r="H3517">
        <f t="shared" si="108"/>
        <v>1345.7</v>
      </c>
      <c r="I3517">
        <f t="shared" si="109"/>
        <v>836.2</v>
      </c>
    </row>
    <row r="3518" spans="1:9" ht="30" x14ac:dyDescent="0.25">
      <c r="A3518" s="5" t="s">
        <v>67</v>
      </c>
      <c r="B3518" s="5" t="s">
        <v>2383</v>
      </c>
      <c r="C3518" s="5" t="s">
        <v>3987</v>
      </c>
      <c r="D3518" s="3">
        <f>VLOOKUP(A3518,airports!A:H,7,FALSE)</f>
        <v>29.980472219999999</v>
      </c>
      <c r="E3518" s="3">
        <f>VLOOKUP(A3518,airports!A:H,8,FALSE)</f>
        <v>-95.339722219999999</v>
      </c>
      <c r="F3518" s="3">
        <f>VLOOKUP(B3518,airports!A:H,7,FALSE)</f>
        <v>38.533963329999999</v>
      </c>
      <c r="G3518" s="3">
        <f>VLOOKUP(B3518,airports!A:H,8,FALSE)</f>
        <v>-106.93318170000001</v>
      </c>
      <c r="H3518">
        <f t="shared" si="108"/>
        <v>1426</v>
      </c>
      <c r="I3518">
        <f t="shared" si="109"/>
        <v>886.2</v>
      </c>
    </row>
    <row r="3519" spans="1:9" ht="30" x14ac:dyDescent="0.25">
      <c r="A3519" s="5" t="s">
        <v>67</v>
      </c>
      <c r="B3519" s="5" t="s">
        <v>64</v>
      </c>
      <c r="C3519" s="5" t="s">
        <v>3988</v>
      </c>
      <c r="D3519" s="3">
        <f>VLOOKUP(A3519,airports!A:H,7,FALSE)</f>
        <v>29.980472219999999</v>
      </c>
      <c r="E3519" s="3">
        <f>VLOOKUP(A3519,airports!A:H,8,FALSE)</f>
        <v>-95.339722219999999</v>
      </c>
      <c r="F3519" s="3">
        <f>VLOOKUP(B3519,airports!A:H,7,FALSE)</f>
        <v>40.481180279999997</v>
      </c>
      <c r="G3519" s="3">
        <f>VLOOKUP(B3519,airports!A:H,8,FALSE)</f>
        <v>-107.2176597</v>
      </c>
      <c r="H3519">
        <f t="shared" si="108"/>
        <v>1586.7</v>
      </c>
      <c r="I3519">
        <f t="shared" si="109"/>
        <v>986</v>
      </c>
    </row>
    <row r="3520" spans="1:9" ht="30" x14ac:dyDescent="0.25">
      <c r="A3520" s="5" t="s">
        <v>67</v>
      </c>
      <c r="B3520" s="5" t="s">
        <v>360</v>
      </c>
      <c r="C3520" s="5" t="s">
        <v>3989</v>
      </c>
      <c r="D3520" s="3">
        <f>VLOOKUP(A3520,airports!A:H,7,FALSE)</f>
        <v>29.980472219999999</v>
      </c>
      <c r="E3520" s="3">
        <f>VLOOKUP(A3520,airports!A:H,8,FALSE)</f>
        <v>-95.339722219999999</v>
      </c>
      <c r="F3520" s="3">
        <f>VLOOKUP(B3520,airports!A:H,7,FALSE)</f>
        <v>21.31869111</v>
      </c>
      <c r="G3520" s="3">
        <f>VLOOKUP(B3520,airports!A:H,8,FALSE)</f>
        <v>-157.92240720000001</v>
      </c>
      <c r="H3520">
        <f t="shared" si="108"/>
        <v>6272.6</v>
      </c>
      <c r="I3520">
        <f t="shared" si="109"/>
        <v>3897.9</v>
      </c>
    </row>
    <row r="3521" spans="1:9" ht="30" x14ac:dyDescent="0.25">
      <c r="A3521" s="5" t="s">
        <v>67</v>
      </c>
      <c r="B3521" s="5" t="s">
        <v>2389</v>
      </c>
      <c r="C3521" s="5" t="s">
        <v>3990</v>
      </c>
      <c r="D3521" s="3">
        <f>VLOOKUP(A3521,airports!A:H,7,FALSE)</f>
        <v>29.980472219999999</v>
      </c>
      <c r="E3521" s="3">
        <f>VLOOKUP(A3521,airports!A:H,8,FALSE)</f>
        <v>-95.339722219999999</v>
      </c>
      <c r="F3521" s="3">
        <f>VLOOKUP(B3521,airports!A:H,7,FALSE)</f>
        <v>32.687527780000003</v>
      </c>
      <c r="G3521" s="3">
        <f>VLOOKUP(B3521,airports!A:H,8,FALSE)</f>
        <v>-103.2170278</v>
      </c>
      <c r="H3521">
        <f t="shared" si="108"/>
        <v>806.2</v>
      </c>
      <c r="I3521">
        <f t="shared" si="109"/>
        <v>501</v>
      </c>
    </row>
    <row r="3522" spans="1:9" x14ac:dyDescent="0.25">
      <c r="A3522" s="5" t="s">
        <v>67</v>
      </c>
      <c r="B3522" s="5" t="s">
        <v>729</v>
      </c>
      <c r="C3522" s="5" t="s">
        <v>3991</v>
      </c>
      <c r="D3522" s="3">
        <f>VLOOKUP(A3522,airports!A:H,7,FALSE)</f>
        <v>29.980472219999999</v>
      </c>
      <c r="E3522" s="3">
        <f>VLOOKUP(A3522,airports!A:H,8,FALSE)</f>
        <v>-95.339722219999999</v>
      </c>
      <c r="F3522" s="3">
        <f>VLOOKUP(B3522,airports!A:H,7,FALSE)</f>
        <v>26.228506110000001</v>
      </c>
      <c r="G3522" s="3">
        <f>VLOOKUP(B3522,airports!A:H,8,FALSE)</f>
        <v>-97.654393889999994</v>
      </c>
      <c r="H3522">
        <f t="shared" si="108"/>
        <v>474.9</v>
      </c>
      <c r="I3522">
        <f t="shared" si="109"/>
        <v>295.10000000000002</v>
      </c>
    </row>
    <row r="3523" spans="1:9" ht="30" x14ac:dyDescent="0.25">
      <c r="A3523" s="5" t="s">
        <v>67</v>
      </c>
      <c r="B3523" s="5" t="s">
        <v>529</v>
      </c>
      <c r="C3523" s="5" t="s">
        <v>3992</v>
      </c>
      <c r="D3523" s="3">
        <f>VLOOKUP(A3523,airports!A:H,7,FALSE)</f>
        <v>29.980472219999999</v>
      </c>
      <c r="E3523" s="3">
        <f>VLOOKUP(A3523,airports!A:H,8,FALSE)</f>
        <v>-95.339722219999999</v>
      </c>
      <c r="F3523" s="3">
        <f>VLOOKUP(B3523,airports!A:H,7,FALSE)</f>
        <v>34.640447500000001</v>
      </c>
      <c r="G3523" s="3">
        <f>VLOOKUP(B3523,airports!A:H,8,FALSE)</f>
        <v>-86.773109439999999</v>
      </c>
      <c r="H3523">
        <f t="shared" si="108"/>
        <v>956.8</v>
      </c>
      <c r="I3523">
        <f t="shared" si="109"/>
        <v>594.6</v>
      </c>
    </row>
    <row r="3524" spans="1:9" x14ac:dyDescent="0.25">
      <c r="A3524" s="5" t="s">
        <v>67</v>
      </c>
      <c r="B3524" s="5" t="s">
        <v>176</v>
      </c>
      <c r="C3524" s="5" t="s">
        <v>3993</v>
      </c>
      <c r="D3524" s="3">
        <f>VLOOKUP(A3524,airports!A:H,7,FALSE)</f>
        <v>29.980472219999999</v>
      </c>
      <c r="E3524" s="3">
        <f>VLOOKUP(A3524,airports!A:H,8,FALSE)</f>
        <v>-95.339722219999999</v>
      </c>
      <c r="F3524" s="3">
        <f>VLOOKUP(B3524,airports!A:H,7,FALSE)</f>
        <v>38.944531939999997</v>
      </c>
      <c r="G3524" s="3">
        <f>VLOOKUP(B3524,airports!A:H,8,FALSE)</f>
        <v>-77.455809720000005</v>
      </c>
      <c r="H3524">
        <f t="shared" ref="H3524:H3587" si="110">ROUND(ACOS(COS(RADIANS(90-D3524)) * COS(RADIANS(90-F3524)) + SIN(RADIANS(90-D3524)) * SIN(RADIANS(90-F3524)) * COS(RADIANS(E3524-G3524))) * 6371,1)</f>
        <v>1913.5</v>
      </c>
      <c r="I3524">
        <f t="shared" ref="I3524:I3587" si="111">ROUND(ACOS(COS(RADIANS(90-D3524)) * COS(RADIANS(90-F3524)) + SIN(RADIANS(90-D3524)) * SIN(RADIANS(90-F3524)) * COS(RADIANS(E3524-G3524))) * 3959,1)</f>
        <v>1189.0999999999999</v>
      </c>
    </row>
    <row r="3525" spans="1:9" x14ac:dyDescent="0.25">
      <c r="A3525" s="5" t="s">
        <v>67</v>
      </c>
      <c r="B3525" s="5" t="s">
        <v>533</v>
      </c>
      <c r="C3525" s="5" t="s">
        <v>3994</v>
      </c>
      <c r="D3525" s="3">
        <f>VLOOKUP(A3525,airports!A:H,7,FALSE)</f>
        <v>29.980472219999999</v>
      </c>
      <c r="E3525" s="3">
        <f>VLOOKUP(A3525,airports!A:H,8,FALSE)</f>
        <v>-95.339722219999999</v>
      </c>
      <c r="F3525" s="3">
        <f>VLOOKUP(B3525,airports!A:H,7,FALSE)</f>
        <v>37.649958890000001</v>
      </c>
      <c r="G3525" s="3">
        <f>VLOOKUP(B3525,airports!A:H,8,FALSE)</f>
        <v>-97.433045829999998</v>
      </c>
      <c r="H3525">
        <f t="shared" si="110"/>
        <v>874.4</v>
      </c>
      <c r="I3525">
        <f t="shared" si="111"/>
        <v>543.4</v>
      </c>
    </row>
    <row r="3526" spans="1:9" x14ac:dyDescent="0.25">
      <c r="A3526" s="5" t="s">
        <v>67</v>
      </c>
      <c r="B3526" s="5" t="s">
        <v>537</v>
      </c>
      <c r="C3526" s="5" t="s">
        <v>3995</v>
      </c>
      <c r="D3526" s="3">
        <f>VLOOKUP(A3526,airports!A:H,7,FALSE)</f>
        <v>29.980472219999999</v>
      </c>
      <c r="E3526" s="3">
        <f>VLOOKUP(A3526,airports!A:H,8,FALSE)</f>
        <v>-95.339722219999999</v>
      </c>
      <c r="F3526" s="3">
        <f>VLOOKUP(B3526,airports!A:H,7,FALSE)</f>
        <v>39.717329169999999</v>
      </c>
      <c r="G3526" s="3">
        <f>VLOOKUP(B3526,airports!A:H,8,FALSE)</f>
        <v>-86.294384170000001</v>
      </c>
      <c r="H3526">
        <f t="shared" si="110"/>
        <v>1359.8</v>
      </c>
      <c r="I3526">
        <f t="shared" si="111"/>
        <v>845</v>
      </c>
    </row>
    <row r="3527" spans="1:9" x14ac:dyDescent="0.25">
      <c r="A3527" s="5" t="s">
        <v>67</v>
      </c>
      <c r="B3527" s="5" t="s">
        <v>541</v>
      </c>
      <c r="C3527" s="5" t="s">
        <v>3996</v>
      </c>
      <c r="D3527" s="3">
        <f>VLOOKUP(A3527,airports!A:H,7,FALSE)</f>
        <v>29.980472219999999</v>
      </c>
      <c r="E3527" s="3">
        <f>VLOOKUP(A3527,airports!A:H,8,FALSE)</f>
        <v>-95.339722219999999</v>
      </c>
      <c r="F3527" s="3">
        <f>VLOOKUP(B3527,airports!A:H,7,FALSE)</f>
        <v>43.607324169999998</v>
      </c>
      <c r="G3527" s="3">
        <f>VLOOKUP(B3527,airports!A:H,8,FALSE)</f>
        <v>-110.7377389</v>
      </c>
      <c r="H3527">
        <f t="shared" si="110"/>
        <v>2036.7</v>
      </c>
      <c r="I3527">
        <f t="shared" si="111"/>
        <v>1265.5999999999999</v>
      </c>
    </row>
    <row r="3528" spans="1:9" x14ac:dyDescent="0.25">
      <c r="A3528" s="5" t="s">
        <v>67</v>
      </c>
      <c r="B3528" s="5" t="s">
        <v>543</v>
      </c>
      <c r="C3528" s="5" t="s">
        <v>3997</v>
      </c>
      <c r="D3528" s="3">
        <f>VLOOKUP(A3528,airports!A:H,7,FALSE)</f>
        <v>29.980472219999999</v>
      </c>
      <c r="E3528" s="3">
        <f>VLOOKUP(A3528,airports!A:H,8,FALSE)</f>
        <v>-95.339722219999999</v>
      </c>
      <c r="F3528" s="3">
        <f>VLOOKUP(B3528,airports!A:H,7,FALSE)</f>
        <v>32.311166669999999</v>
      </c>
      <c r="G3528" s="3">
        <f>VLOOKUP(B3528,airports!A:H,8,FALSE)</f>
        <v>-90.075888890000002</v>
      </c>
      <c r="H3528">
        <f t="shared" si="110"/>
        <v>563.9</v>
      </c>
      <c r="I3528">
        <f t="shared" si="111"/>
        <v>350.4</v>
      </c>
    </row>
    <row r="3529" spans="1:9" x14ac:dyDescent="0.25">
      <c r="A3529" s="5" t="s">
        <v>67</v>
      </c>
      <c r="B3529" s="5" t="s">
        <v>68</v>
      </c>
      <c r="C3529" s="5" t="s">
        <v>3998</v>
      </c>
      <c r="D3529" s="3">
        <f>VLOOKUP(A3529,airports!A:H,7,FALSE)</f>
        <v>29.980472219999999</v>
      </c>
      <c r="E3529" s="3">
        <f>VLOOKUP(A3529,airports!A:H,8,FALSE)</f>
        <v>-95.339722219999999</v>
      </c>
      <c r="F3529" s="3">
        <f>VLOOKUP(B3529,airports!A:H,7,FALSE)</f>
        <v>30.49405556</v>
      </c>
      <c r="G3529" s="3">
        <f>VLOOKUP(B3529,airports!A:H,8,FALSE)</f>
        <v>-81.68786111</v>
      </c>
      <c r="H3529">
        <f t="shared" si="110"/>
        <v>1311.9</v>
      </c>
      <c r="I3529">
        <f t="shared" si="111"/>
        <v>815.2</v>
      </c>
    </row>
    <row r="3530" spans="1:9" x14ac:dyDescent="0.25">
      <c r="A3530" s="5" t="s">
        <v>67</v>
      </c>
      <c r="B3530" s="5" t="s">
        <v>69</v>
      </c>
      <c r="C3530" s="5" t="s">
        <v>3999</v>
      </c>
      <c r="D3530" s="3">
        <f>VLOOKUP(A3530,airports!A:H,7,FALSE)</f>
        <v>29.980472219999999</v>
      </c>
      <c r="E3530" s="3">
        <f>VLOOKUP(A3530,airports!A:H,8,FALSE)</f>
        <v>-95.339722219999999</v>
      </c>
      <c r="F3530" s="3">
        <f>VLOOKUP(B3530,airports!A:H,7,FALSE)</f>
        <v>40.639751109999999</v>
      </c>
      <c r="G3530" s="3">
        <f>VLOOKUP(B3530,airports!A:H,8,FALSE)</f>
        <v>-73.778925560000005</v>
      </c>
      <c r="H3530">
        <f t="shared" si="110"/>
        <v>2278</v>
      </c>
      <c r="I3530">
        <f t="shared" si="111"/>
        <v>1415.6</v>
      </c>
    </row>
    <row r="3531" spans="1:9" x14ac:dyDescent="0.25">
      <c r="A3531" s="5" t="s">
        <v>67</v>
      </c>
      <c r="B3531" s="5" t="s">
        <v>2407</v>
      </c>
      <c r="C3531" s="5" t="s">
        <v>4000</v>
      </c>
      <c r="D3531" s="3">
        <f>VLOOKUP(A3531,airports!A:H,7,FALSE)</f>
        <v>29.980472219999999</v>
      </c>
      <c r="E3531" s="3">
        <f>VLOOKUP(A3531,airports!A:H,8,FALSE)</f>
        <v>-95.339722219999999</v>
      </c>
      <c r="F3531" s="3">
        <f>VLOOKUP(B3531,airports!A:H,7,FALSE)</f>
        <v>37.151813609999998</v>
      </c>
      <c r="G3531" s="3">
        <f>VLOOKUP(B3531,airports!A:H,8,FALSE)</f>
        <v>-94.498268330000002</v>
      </c>
      <c r="H3531">
        <f t="shared" si="110"/>
        <v>801.2</v>
      </c>
      <c r="I3531">
        <f t="shared" si="111"/>
        <v>497.9</v>
      </c>
    </row>
    <row r="3532" spans="1:9" x14ac:dyDescent="0.25">
      <c r="A3532" s="5" t="s">
        <v>67</v>
      </c>
      <c r="B3532" s="5" t="s">
        <v>71</v>
      </c>
      <c r="C3532" s="5" t="s">
        <v>4001</v>
      </c>
      <c r="D3532" s="3">
        <f>VLOOKUP(A3532,airports!A:H,7,FALSE)</f>
        <v>29.980472219999999</v>
      </c>
      <c r="E3532" s="3">
        <f>VLOOKUP(A3532,airports!A:H,8,FALSE)</f>
        <v>-95.339722219999999</v>
      </c>
      <c r="F3532" s="3">
        <f>VLOOKUP(B3532,airports!A:H,7,FALSE)</f>
        <v>36.080361109999998</v>
      </c>
      <c r="G3532" s="3">
        <f>VLOOKUP(B3532,airports!A:H,8,FALSE)</f>
        <v>-115.1523333</v>
      </c>
      <c r="H3532">
        <f t="shared" si="110"/>
        <v>1963.2</v>
      </c>
      <c r="I3532">
        <f t="shared" si="111"/>
        <v>1219.9000000000001</v>
      </c>
    </row>
    <row r="3533" spans="1:9" x14ac:dyDescent="0.25">
      <c r="A3533" s="5" t="s">
        <v>67</v>
      </c>
      <c r="B3533" s="5" t="s">
        <v>73</v>
      </c>
      <c r="C3533" s="5" t="s">
        <v>4002</v>
      </c>
      <c r="D3533" s="3">
        <f>VLOOKUP(A3533,airports!A:H,7,FALSE)</f>
        <v>29.980472219999999</v>
      </c>
      <c r="E3533" s="3">
        <f>VLOOKUP(A3533,airports!A:H,8,FALSE)</f>
        <v>-95.339722219999999</v>
      </c>
      <c r="F3533" s="3">
        <f>VLOOKUP(B3533,airports!A:H,7,FALSE)</f>
        <v>33.942536109999999</v>
      </c>
      <c r="G3533" s="3">
        <f>VLOOKUP(B3533,airports!A:H,8,FALSE)</f>
        <v>-118.4080744</v>
      </c>
      <c r="H3533">
        <f t="shared" si="110"/>
        <v>2215.4</v>
      </c>
      <c r="I3533">
        <f t="shared" si="111"/>
        <v>1376.6</v>
      </c>
    </row>
    <row r="3534" spans="1:9" x14ac:dyDescent="0.25">
      <c r="A3534" s="5" t="s">
        <v>67</v>
      </c>
      <c r="B3534" s="5" t="s">
        <v>738</v>
      </c>
      <c r="C3534" s="5" t="s">
        <v>4003</v>
      </c>
      <c r="D3534" s="3">
        <f>VLOOKUP(A3534,airports!A:H,7,FALSE)</f>
        <v>29.980472219999999</v>
      </c>
      <c r="E3534" s="3">
        <f>VLOOKUP(A3534,airports!A:H,8,FALSE)</f>
        <v>-95.339722219999999</v>
      </c>
      <c r="F3534" s="3">
        <f>VLOOKUP(B3534,airports!A:H,7,FALSE)</f>
        <v>33.663638890000001</v>
      </c>
      <c r="G3534" s="3">
        <f>VLOOKUP(B3534,airports!A:H,8,FALSE)</f>
        <v>-101.8227778</v>
      </c>
      <c r="H3534">
        <f t="shared" si="110"/>
        <v>736.6</v>
      </c>
      <c r="I3534">
        <f t="shared" si="111"/>
        <v>457.7</v>
      </c>
    </row>
    <row r="3535" spans="1:9" x14ac:dyDescent="0.25">
      <c r="A3535" s="5" t="s">
        <v>67</v>
      </c>
      <c r="B3535" s="5" t="s">
        <v>2641</v>
      </c>
      <c r="C3535" s="5" t="s">
        <v>4004</v>
      </c>
      <c r="D3535" s="3">
        <f>VLOOKUP(A3535,airports!A:H,7,FALSE)</f>
        <v>29.980472219999999</v>
      </c>
      <c r="E3535" s="3">
        <f>VLOOKUP(A3535,airports!A:H,8,FALSE)</f>
        <v>-95.339722219999999</v>
      </c>
      <c r="F3535" s="3">
        <f>VLOOKUP(B3535,airports!A:H,7,FALSE)</f>
        <v>30.1260975</v>
      </c>
      <c r="G3535" s="3">
        <f>VLOOKUP(B3535,airports!A:H,8,FALSE)</f>
        <v>-93.223403610000005</v>
      </c>
      <c r="H3535">
        <f t="shared" si="110"/>
        <v>204.3</v>
      </c>
      <c r="I3535">
        <f t="shared" si="111"/>
        <v>127</v>
      </c>
    </row>
    <row r="3536" spans="1:9" x14ac:dyDescent="0.25">
      <c r="A3536" s="5" t="s">
        <v>67</v>
      </c>
      <c r="B3536" s="5" t="s">
        <v>549</v>
      </c>
      <c r="C3536" s="5" t="s">
        <v>4005</v>
      </c>
      <c r="D3536" s="3">
        <f>VLOOKUP(A3536,airports!A:H,7,FALSE)</f>
        <v>29.980472219999999</v>
      </c>
      <c r="E3536" s="3">
        <f>VLOOKUP(A3536,airports!A:H,8,FALSE)</f>
        <v>-95.339722219999999</v>
      </c>
      <c r="F3536" s="3">
        <f>VLOOKUP(B3536,airports!A:H,7,FALSE)</f>
        <v>38.036972220000003</v>
      </c>
      <c r="G3536" s="3">
        <f>VLOOKUP(B3536,airports!A:H,8,FALSE)</f>
        <v>-84.60538889</v>
      </c>
      <c r="H3536">
        <f t="shared" si="110"/>
        <v>1333</v>
      </c>
      <c r="I3536">
        <f t="shared" si="111"/>
        <v>828.3</v>
      </c>
    </row>
    <row r="3537" spans="1:9" x14ac:dyDescent="0.25">
      <c r="A3537" s="5" t="s">
        <v>67</v>
      </c>
      <c r="B3537" s="5" t="s">
        <v>551</v>
      </c>
      <c r="C3537" s="5" t="s">
        <v>4006</v>
      </c>
      <c r="D3537" s="3">
        <f>VLOOKUP(A3537,airports!A:H,7,FALSE)</f>
        <v>29.980472219999999</v>
      </c>
      <c r="E3537" s="3">
        <f>VLOOKUP(A3537,airports!A:H,8,FALSE)</f>
        <v>-95.339722219999999</v>
      </c>
      <c r="F3537" s="3">
        <f>VLOOKUP(B3537,airports!A:H,7,FALSE)</f>
        <v>30.20527972</v>
      </c>
      <c r="G3537" s="3">
        <f>VLOOKUP(B3537,airports!A:H,8,FALSE)</f>
        <v>-91.987655000000004</v>
      </c>
      <c r="H3537">
        <f t="shared" si="110"/>
        <v>323.39999999999998</v>
      </c>
      <c r="I3537">
        <f t="shared" si="111"/>
        <v>201</v>
      </c>
    </row>
    <row r="3538" spans="1:9" x14ac:dyDescent="0.25">
      <c r="A3538" s="5" t="s">
        <v>67</v>
      </c>
      <c r="B3538" s="5" t="s">
        <v>74</v>
      </c>
      <c r="C3538" s="5" t="s">
        <v>4007</v>
      </c>
      <c r="D3538" s="3">
        <f>VLOOKUP(A3538,airports!A:H,7,FALSE)</f>
        <v>29.980472219999999</v>
      </c>
      <c r="E3538" s="3">
        <f>VLOOKUP(A3538,airports!A:H,8,FALSE)</f>
        <v>-95.339722219999999</v>
      </c>
      <c r="F3538" s="3">
        <f>VLOOKUP(B3538,airports!A:H,7,FALSE)</f>
        <v>40.777243060000004</v>
      </c>
      <c r="G3538" s="3">
        <f>VLOOKUP(B3538,airports!A:H,8,FALSE)</f>
        <v>-73.872609170000004</v>
      </c>
      <c r="H3538">
        <f t="shared" si="110"/>
        <v>2277.3000000000002</v>
      </c>
      <c r="I3538">
        <f t="shared" si="111"/>
        <v>1415.1</v>
      </c>
    </row>
    <row r="3539" spans="1:9" x14ac:dyDescent="0.25">
      <c r="A3539" s="5" t="s">
        <v>67</v>
      </c>
      <c r="B3539" s="5" t="s">
        <v>554</v>
      </c>
      <c r="C3539" s="5" t="s">
        <v>4008</v>
      </c>
      <c r="D3539" s="3">
        <f>VLOOKUP(A3539,airports!A:H,7,FALSE)</f>
        <v>29.980472219999999</v>
      </c>
      <c r="E3539" s="3">
        <f>VLOOKUP(A3539,airports!A:H,8,FALSE)</f>
        <v>-95.339722219999999</v>
      </c>
      <c r="F3539" s="3">
        <f>VLOOKUP(B3539,airports!A:H,7,FALSE)</f>
        <v>34.729396110000003</v>
      </c>
      <c r="G3539" s="3">
        <f>VLOOKUP(B3539,airports!A:H,8,FALSE)</f>
        <v>-92.22424556</v>
      </c>
      <c r="H3539">
        <f t="shared" si="110"/>
        <v>603.6</v>
      </c>
      <c r="I3539">
        <f t="shared" si="111"/>
        <v>375.1</v>
      </c>
    </row>
    <row r="3540" spans="1:9" x14ac:dyDescent="0.25">
      <c r="A3540" s="5" t="s">
        <v>67</v>
      </c>
      <c r="B3540" s="5" t="s">
        <v>2649</v>
      </c>
      <c r="C3540" s="5" t="s">
        <v>4009</v>
      </c>
      <c r="D3540" s="3">
        <f>VLOOKUP(A3540,airports!A:H,7,FALSE)</f>
        <v>29.980472219999999</v>
      </c>
      <c r="E3540" s="3">
        <f>VLOOKUP(A3540,airports!A:H,8,FALSE)</f>
        <v>-95.339722219999999</v>
      </c>
      <c r="F3540" s="3">
        <f>VLOOKUP(B3540,airports!A:H,7,FALSE)</f>
        <v>27.543738609999998</v>
      </c>
      <c r="G3540" s="3">
        <f>VLOOKUP(B3540,airports!A:H,8,FALSE)</f>
        <v>-99.461543610000007</v>
      </c>
      <c r="H3540">
        <f t="shared" si="110"/>
        <v>484.5</v>
      </c>
      <c r="I3540">
        <f t="shared" si="111"/>
        <v>301.10000000000002</v>
      </c>
    </row>
    <row r="3541" spans="1:9" ht="30" x14ac:dyDescent="0.25">
      <c r="A3541" s="5" t="s">
        <v>67</v>
      </c>
      <c r="B3541" s="5" t="s">
        <v>744</v>
      </c>
      <c r="C3541" s="5" t="s">
        <v>4010</v>
      </c>
      <c r="D3541" s="3">
        <f>VLOOKUP(A3541,airports!A:H,7,FALSE)</f>
        <v>29.980472219999999</v>
      </c>
      <c r="E3541" s="3">
        <f>VLOOKUP(A3541,airports!A:H,8,FALSE)</f>
        <v>-95.339722219999999</v>
      </c>
      <c r="F3541" s="3">
        <f>VLOOKUP(B3541,airports!A:H,7,FALSE)</f>
        <v>31.942527779999999</v>
      </c>
      <c r="G3541" s="3">
        <f>VLOOKUP(B3541,airports!A:H,8,FALSE)</f>
        <v>-102.20191389999999</v>
      </c>
      <c r="H3541">
        <f t="shared" si="110"/>
        <v>689.6</v>
      </c>
      <c r="I3541">
        <f t="shared" si="111"/>
        <v>428.5</v>
      </c>
    </row>
    <row r="3542" spans="1:9" x14ac:dyDescent="0.25">
      <c r="A3542" s="5" t="s">
        <v>67</v>
      </c>
      <c r="B3542" s="5" t="s">
        <v>80</v>
      </c>
      <c r="C3542" s="5" t="s">
        <v>4011</v>
      </c>
      <c r="D3542" s="3">
        <f>VLOOKUP(A3542,airports!A:H,7,FALSE)</f>
        <v>29.980472219999999</v>
      </c>
      <c r="E3542" s="3">
        <f>VLOOKUP(A3542,airports!A:H,8,FALSE)</f>
        <v>-95.339722219999999</v>
      </c>
      <c r="F3542" s="3">
        <f>VLOOKUP(B3542,airports!A:H,7,FALSE)</f>
        <v>39.297605279999999</v>
      </c>
      <c r="G3542" s="3">
        <f>VLOOKUP(B3542,airports!A:H,8,FALSE)</f>
        <v>-94.713905560000001</v>
      </c>
      <c r="H3542">
        <f t="shared" si="110"/>
        <v>1037.5999999999999</v>
      </c>
      <c r="I3542">
        <f t="shared" si="111"/>
        <v>644.79999999999995</v>
      </c>
    </row>
    <row r="3543" spans="1:9" ht="30" x14ac:dyDescent="0.25">
      <c r="A3543" s="5" t="s">
        <v>67</v>
      </c>
      <c r="B3543" s="5" t="s">
        <v>82</v>
      </c>
      <c r="C3543" s="5" t="s">
        <v>4012</v>
      </c>
      <c r="D3543" s="3">
        <f>VLOOKUP(A3543,airports!A:H,7,FALSE)</f>
        <v>29.980472219999999</v>
      </c>
      <c r="E3543" s="3">
        <f>VLOOKUP(A3543,airports!A:H,8,FALSE)</f>
        <v>-95.339722219999999</v>
      </c>
      <c r="F3543" s="3">
        <f>VLOOKUP(B3543,airports!A:H,7,FALSE)</f>
        <v>28.42888889</v>
      </c>
      <c r="G3543" s="3">
        <f>VLOOKUP(B3543,airports!A:H,8,FALSE)</f>
        <v>-81.316027779999999</v>
      </c>
      <c r="H3543">
        <f t="shared" si="110"/>
        <v>1371.1</v>
      </c>
      <c r="I3543">
        <f t="shared" si="111"/>
        <v>852</v>
      </c>
    </row>
    <row r="3544" spans="1:9" ht="30" x14ac:dyDescent="0.25">
      <c r="A3544" s="5" t="s">
        <v>67</v>
      </c>
      <c r="B3544" s="5" t="s">
        <v>180</v>
      </c>
      <c r="C3544" s="5" t="s">
        <v>4013</v>
      </c>
      <c r="D3544" s="3">
        <f>VLOOKUP(A3544,airports!A:H,7,FALSE)</f>
        <v>29.980472219999999</v>
      </c>
      <c r="E3544" s="3">
        <f>VLOOKUP(A3544,airports!A:H,8,FALSE)</f>
        <v>-95.339722219999999</v>
      </c>
      <c r="F3544" s="3">
        <f>VLOOKUP(B3544,airports!A:H,7,FALSE)</f>
        <v>41.785982500000003</v>
      </c>
      <c r="G3544" s="3">
        <f>VLOOKUP(B3544,airports!A:H,8,FALSE)</f>
        <v>-87.752424439999999</v>
      </c>
      <c r="H3544">
        <f t="shared" si="110"/>
        <v>1478.5</v>
      </c>
      <c r="I3544">
        <f t="shared" si="111"/>
        <v>918.8</v>
      </c>
    </row>
    <row r="3545" spans="1:9" x14ac:dyDescent="0.25">
      <c r="A3545" s="5" t="s">
        <v>67</v>
      </c>
      <c r="B3545" s="5" t="s">
        <v>2656</v>
      </c>
      <c r="C3545" s="5" t="s">
        <v>4014</v>
      </c>
      <c r="D3545" s="3">
        <f>VLOOKUP(A3545,airports!A:H,7,FALSE)</f>
        <v>29.980472219999999</v>
      </c>
      <c r="E3545" s="3">
        <f>VLOOKUP(A3545,airports!A:H,8,FALSE)</f>
        <v>-95.339722219999999</v>
      </c>
      <c r="F3545" s="3">
        <f>VLOOKUP(B3545,airports!A:H,7,FALSE)</f>
        <v>32.333133330000003</v>
      </c>
      <c r="G3545" s="3">
        <f>VLOOKUP(B3545,airports!A:H,8,FALSE)</f>
        <v>-88.751205560000002</v>
      </c>
      <c r="H3545">
        <f t="shared" si="110"/>
        <v>679.2</v>
      </c>
      <c r="I3545">
        <f t="shared" si="111"/>
        <v>422</v>
      </c>
    </row>
    <row r="3546" spans="1:9" ht="30" x14ac:dyDescent="0.25">
      <c r="A3546" s="5" t="s">
        <v>67</v>
      </c>
      <c r="B3546" s="5" t="s">
        <v>563</v>
      </c>
      <c r="C3546" s="5" t="s">
        <v>4015</v>
      </c>
      <c r="D3546" s="3">
        <f>VLOOKUP(A3546,airports!A:H,7,FALSE)</f>
        <v>29.980472219999999</v>
      </c>
      <c r="E3546" s="3">
        <f>VLOOKUP(A3546,airports!A:H,8,FALSE)</f>
        <v>-95.339722219999999</v>
      </c>
      <c r="F3546" s="3">
        <f>VLOOKUP(B3546,airports!A:H,7,FALSE)</f>
        <v>35.042416670000001</v>
      </c>
      <c r="G3546" s="3">
        <f>VLOOKUP(B3546,airports!A:H,8,FALSE)</f>
        <v>-89.97666667</v>
      </c>
      <c r="H3546">
        <f t="shared" si="110"/>
        <v>754.5</v>
      </c>
      <c r="I3546">
        <f t="shared" si="111"/>
        <v>468.9</v>
      </c>
    </row>
    <row r="3547" spans="1:9" ht="30" x14ac:dyDescent="0.25">
      <c r="A3547" s="5" t="s">
        <v>67</v>
      </c>
      <c r="B3547" s="5" t="s">
        <v>750</v>
      </c>
      <c r="C3547" s="5" t="s">
        <v>4016</v>
      </c>
      <c r="D3547" s="3">
        <f>VLOOKUP(A3547,airports!A:H,7,FALSE)</f>
        <v>29.980472219999999</v>
      </c>
      <c r="E3547" s="3">
        <f>VLOOKUP(A3547,airports!A:H,8,FALSE)</f>
        <v>-95.339722219999999</v>
      </c>
      <c r="F3547" s="3">
        <f>VLOOKUP(B3547,airports!A:H,7,FALSE)</f>
        <v>26.17583333</v>
      </c>
      <c r="G3547" s="3">
        <f>VLOOKUP(B3547,airports!A:H,8,FALSE)</f>
        <v>-98.238611109999994</v>
      </c>
      <c r="H3547">
        <f t="shared" si="110"/>
        <v>509.7</v>
      </c>
      <c r="I3547">
        <f t="shared" si="111"/>
        <v>316.7</v>
      </c>
    </row>
    <row r="3548" spans="1:9" ht="30" x14ac:dyDescent="0.25">
      <c r="A3548" s="5" t="s">
        <v>67</v>
      </c>
      <c r="B3548" s="5" t="s">
        <v>84</v>
      </c>
      <c r="C3548" s="5" t="s">
        <v>4017</v>
      </c>
      <c r="D3548" s="3">
        <f>VLOOKUP(A3548,airports!A:H,7,FALSE)</f>
        <v>29.980472219999999</v>
      </c>
      <c r="E3548" s="3">
        <f>VLOOKUP(A3548,airports!A:H,8,FALSE)</f>
        <v>-95.339722219999999</v>
      </c>
      <c r="F3548" s="3">
        <f>VLOOKUP(B3548,airports!A:H,7,FALSE)</f>
        <v>25.79325</v>
      </c>
      <c r="G3548" s="3">
        <f>VLOOKUP(B3548,airports!A:H,8,FALSE)</f>
        <v>-80.290555560000001</v>
      </c>
      <c r="H3548">
        <f t="shared" si="110"/>
        <v>1549.1</v>
      </c>
      <c r="I3548">
        <f t="shared" si="111"/>
        <v>962.7</v>
      </c>
    </row>
    <row r="3549" spans="1:9" ht="30" x14ac:dyDescent="0.25">
      <c r="A3549" s="5" t="s">
        <v>67</v>
      </c>
      <c r="B3549" s="5" t="s">
        <v>85</v>
      </c>
      <c r="C3549" s="5" t="s">
        <v>4018</v>
      </c>
      <c r="D3549" s="3">
        <f>VLOOKUP(A3549,airports!A:H,7,FALSE)</f>
        <v>29.980472219999999</v>
      </c>
      <c r="E3549" s="3">
        <f>VLOOKUP(A3549,airports!A:H,8,FALSE)</f>
        <v>-95.339722219999999</v>
      </c>
      <c r="F3549" s="3">
        <f>VLOOKUP(B3549,airports!A:H,7,FALSE)</f>
        <v>42.94722222</v>
      </c>
      <c r="G3549" s="3">
        <f>VLOOKUP(B3549,airports!A:H,8,FALSE)</f>
        <v>-87.896583329999999</v>
      </c>
      <c r="H3549">
        <f t="shared" si="110"/>
        <v>1586.4</v>
      </c>
      <c r="I3549">
        <f t="shared" si="111"/>
        <v>985.8</v>
      </c>
    </row>
    <row r="3550" spans="1:9" ht="30" x14ac:dyDescent="0.25">
      <c r="A3550" s="5" t="s">
        <v>67</v>
      </c>
      <c r="B3550" s="5" t="s">
        <v>575</v>
      </c>
      <c r="C3550" s="5" t="s">
        <v>4019</v>
      </c>
      <c r="D3550" s="3">
        <f>VLOOKUP(A3550,airports!A:H,7,FALSE)</f>
        <v>29.980472219999999</v>
      </c>
      <c r="E3550" s="3">
        <f>VLOOKUP(A3550,airports!A:H,8,FALSE)</f>
        <v>-95.339722219999999</v>
      </c>
      <c r="F3550" s="3">
        <f>VLOOKUP(B3550,airports!A:H,7,FALSE)</f>
        <v>32.510865559999999</v>
      </c>
      <c r="G3550" s="3">
        <f>VLOOKUP(B3550,airports!A:H,8,FALSE)</f>
        <v>-92.037687779999999</v>
      </c>
      <c r="H3550">
        <f t="shared" si="110"/>
        <v>421.5</v>
      </c>
      <c r="I3550">
        <f t="shared" si="111"/>
        <v>261.89999999999998</v>
      </c>
    </row>
    <row r="3551" spans="1:9" ht="30" x14ac:dyDescent="0.25">
      <c r="A3551" s="5" t="s">
        <v>67</v>
      </c>
      <c r="B3551" s="5" t="s">
        <v>577</v>
      </c>
      <c r="C3551" s="5" t="s">
        <v>4020</v>
      </c>
      <c r="D3551" s="3">
        <f>VLOOKUP(A3551,airports!A:H,7,FALSE)</f>
        <v>29.980472219999999</v>
      </c>
      <c r="E3551" s="3">
        <f>VLOOKUP(A3551,airports!A:H,8,FALSE)</f>
        <v>-95.339722219999999</v>
      </c>
      <c r="F3551" s="3">
        <f>VLOOKUP(B3551,airports!A:H,7,FALSE)</f>
        <v>30.691416669999999</v>
      </c>
      <c r="G3551" s="3">
        <f>VLOOKUP(B3551,airports!A:H,8,FALSE)</f>
        <v>-88.242833329999996</v>
      </c>
      <c r="H3551">
        <f t="shared" si="110"/>
        <v>685.5</v>
      </c>
      <c r="I3551">
        <f t="shared" si="111"/>
        <v>426</v>
      </c>
    </row>
    <row r="3552" spans="1:9" ht="30" x14ac:dyDescent="0.25">
      <c r="A3552" s="5" t="s">
        <v>67</v>
      </c>
      <c r="B3552" s="5" t="s">
        <v>579</v>
      </c>
      <c r="C3552" s="5" t="s">
        <v>4021</v>
      </c>
      <c r="D3552" s="3">
        <f>VLOOKUP(A3552,airports!A:H,7,FALSE)</f>
        <v>29.980472219999999</v>
      </c>
      <c r="E3552" s="3">
        <f>VLOOKUP(A3552,airports!A:H,8,FALSE)</f>
        <v>-95.339722219999999</v>
      </c>
      <c r="F3552" s="3">
        <f>VLOOKUP(B3552,airports!A:H,7,FALSE)</f>
        <v>43.13985778</v>
      </c>
      <c r="G3552" s="3">
        <f>VLOOKUP(B3552,airports!A:H,8,FALSE)</f>
        <v>-89.337513610000002</v>
      </c>
      <c r="H3552">
        <f t="shared" si="110"/>
        <v>1557.3</v>
      </c>
      <c r="I3552">
        <f t="shared" si="111"/>
        <v>967.7</v>
      </c>
    </row>
    <row r="3553" spans="1:9" ht="30" x14ac:dyDescent="0.25">
      <c r="A3553" s="5" t="s">
        <v>67</v>
      </c>
      <c r="B3553" s="5" t="s">
        <v>87</v>
      </c>
      <c r="C3553" s="5" t="s">
        <v>4022</v>
      </c>
      <c r="D3553" s="3">
        <f>VLOOKUP(A3553,airports!A:H,7,FALSE)</f>
        <v>29.980472219999999</v>
      </c>
      <c r="E3553" s="3">
        <f>VLOOKUP(A3553,airports!A:H,8,FALSE)</f>
        <v>-95.339722219999999</v>
      </c>
      <c r="F3553" s="3">
        <f>VLOOKUP(B3553,airports!A:H,7,FALSE)</f>
        <v>44.880546940000002</v>
      </c>
      <c r="G3553" s="3">
        <f>VLOOKUP(B3553,airports!A:H,8,FALSE)</f>
        <v>-93.216922499999995</v>
      </c>
      <c r="H3553">
        <f t="shared" si="110"/>
        <v>1667.2</v>
      </c>
      <c r="I3553">
        <f t="shared" si="111"/>
        <v>1036</v>
      </c>
    </row>
    <row r="3554" spans="1:9" ht="30" x14ac:dyDescent="0.25">
      <c r="A3554" s="5" t="s">
        <v>67</v>
      </c>
      <c r="B3554" s="5" t="s">
        <v>89</v>
      </c>
      <c r="C3554" s="5" t="s">
        <v>4023</v>
      </c>
      <c r="D3554" s="3">
        <f>VLOOKUP(A3554,airports!A:H,7,FALSE)</f>
        <v>29.980472219999999</v>
      </c>
      <c r="E3554" s="3">
        <f>VLOOKUP(A3554,airports!A:H,8,FALSE)</f>
        <v>-95.339722219999999</v>
      </c>
      <c r="F3554" s="3">
        <f>VLOOKUP(B3554,airports!A:H,7,FALSE)</f>
        <v>29.993388889999999</v>
      </c>
      <c r="G3554" s="3">
        <f>VLOOKUP(B3554,airports!A:H,8,FALSE)</f>
        <v>-90.258027780000006</v>
      </c>
      <c r="H3554">
        <f t="shared" si="110"/>
        <v>489.4</v>
      </c>
      <c r="I3554">
        <f t="shared" si="111"/>
        <v>304.10000000000002</v>
      </c>
    </row>
    <row r="3555" spans="1:9" x14ac:dyDescent="0.25">
      <c r="A3555" s="5" t="s">
        <v>67</v>
      </c>
      <c r="B3555" s="5" t="s">
        <v>91</v>
      </c>
      <c r="C3555" s="5" t="s">
        <v>4024</v>
      </c>
      <c r="D3555" s="3">
        <f>VLOOKUP(A3555,airports!A:H,7,FALSE)</f>
        <v>29.980472219999999</v>
      </c>
      <c r="E3555" s="3">
        <f>VLOOKUP(A3555,airports!A:H,8,FALSE)</f>
        <v>-95.339722219999999</v>
      </c>
      <c r="F3555" s="3">
        <f>VLOOKUP(B3555,airports!A:H,7,FALSE)</f>
        <v>38.508867219999999</v>
      </c>
      <c r="G3555" s="3">
        <f>VLOOKUP(B3555,airports!A:H,8,FALSE)</f>
        <v>-107.8938333</v>
      </c>
      <c r="H3555">
        <f t="shared" si="110"/>
        <v>1491.1</v>
      </c>
      <c r="I3555">
        <f t="shared" si="111"/>
        <v>926.6</v>
      </c>
    </row>
    <row r="3556" spans="1:9" ht="30" x14ac:dyDescent="0.25">
      <c r="A3556" s="5" t="s">
        <v>67</v>
      </c>
      <c r="B3556" s="5" t="s">
        <v>182</v>
      </c>
      <c r="C3556" s="5" t="s">
        <v>4025</v>
      </c>
      <c r="D3556" s="3">
        <f>VLOOKUP(A3556,airports!A:H,7,FALSE)</f>
        <v>29.980472219999999</v>
      </c>
      <c r="E3556" s="3">
        <f>VLOOKUP(A3556,airports!A:H,8,FALSE)</f>
        <v>-95.339722219999999</v>
      </c>
      <c r="F3556" s="3">
        <f>VLOOKUP(B3556,airports!A:H,7,FALSE)</f>
        <v>33.679749999999999</v>
      </c>
      <c r="G3556" s="3">
        <f>VLOOKUP(B3556,airports!A:H,8,FALSE)</f>
        <v>-78.928333330000001</v>
      </c>
      <c r="H3556">
        <f t="shared" si="110"/>
        <v>1602.1</v>
      </c>
      <c r="I3556">
        <f t="shared" si="111"/>
        <v>995.5</v>
      </c>
    </row>
    <row r="3557" spans="1:9" ht="30" x14ac:dyDescent="0.25">
      <c r="A3557" s="5" t="s">
        <v>67</v>
      </c>
      <c r="B3557" s="5" t="s">
        <v>215</v>
      </c>
      <c r="C3557" s="5" t="s">
        <v>4026</v>
      </c>
      <c r="D3557" s="3">
        <f>VLOOKUP(A3557,airports!A:H,7,FALSE)</f>
        <v>29.980472219999999</v>
      </c>
      <c r="E3557" s="3">
        <f>VLOOKUP(A3557,airports!A:H,8,FALSE)</f>
        <v>-95.339722219999999</v>
      </c>
      <c r="F3557" s="3">
        <f>VLOOKUP(B3557,airports!A:H,7,FALSE)</f>
        <v>37.721290830000001</v>
      </c>
      <c r="G3557" s="3">
        <f>VLOOKUP(B3557,airports!A:H,8,FALSE)</f>
        <v>-122.2207167</v>
      </c>
      <c r="H3557">
        <f t="shared" si="110"/>
        <v>2616.4</v>
      </c>
      <c r="I3557">
        <f t="shared" si="111"/>
        <v>1625.8</v>
      </c>
    </row>
    <row r="3558" spans="1:9" ht="30" x14ac:dyDescent="0.25">
      <c r="A3558" s="5" t="s">
        <v>67</v>
      </c>
      <c r="B3558" s="5" t="s">
        <v>590</v>
      </c>
      <c r="C3558" s="5" t="s">
        <v>4027</v>
      </c>
      <c r="D3558" s="3">
        <f>VLOOKUP(A3558,airports!A:H,7,FALSE)</f>
        <v>29.980472219999999</v>
      </c>
      <c r="E3558" s="3">
        <f>VLOOKUP(A3558,airports!A:H,8,FALSE)</f>
        <v>-95.339722219999999</v>
      </c>
      <c r="F3558" s="3">
        <f>VLOOKUP(B3558,airports!A:H,7,FALSE)</f>
        <v>35.393088329999998</v>
      </c>
      <c r="G3558" s="3">
        <f>VLOOKUP(B3558,airports!A:H,8,FALSE)</f>
        <v>-97.600733890000001</v>
      </c>
      <c r="H3558">
        <f t="shared" si="110"/>
        <v>637.9</v>
      </c>
      <c r="I3558">
        <f t="shared" si="111"/>
        <v>396.4</v>
      </c>
    </row>
    <row r="3559" spans="1:9" ht="30" x14ac:dyDescent="0.25">
      <c r="A3559" s="5" t="s">
        <v>67</v>
      </c>
      <c r="B3559" s="5" t="s">
        <v>592</v>
      </c>
      <c r="C3559" s="5" t="s">
        <v>4028</v>
      </c>
      <c r="D3559" s="3">
        <f>VLOOKUP(A3559,airports!A:H,7,FALSE)</f>
        <v>29.980472219999999</v>
      </c>
      <c r="E3559" s="3">
        <f>VLOOKUP(A3559,airports!A:H,8,FALSE)</f>
        <v>-95.339722219999999</v>
      </c>
      <c r="F3559" s="3">
        <f>VLOOKUP(B3559,airports!A:H,7,FALSE)</f>
        <v>41.30251861</v>
      </c>
      <c r="G3559" s="3">
        <f>VLOOKUP(B3559,airports!A:H,8,FALSE)</f>
        <v>-95.89417306</v>
      </c>
      <c r="H3559">
        <f t="shared" si="110"/>
        <v>1259.9000000000001</v>
      </c>
      <c r="I3559">
        <f t="shared" si="111"/>
        <v>782.9</v>
      </c>
    </row>
    <row r="3560" spans="1:9" ht="30" x14ac:dyDescent="0.25">
      <c r="A3560" s="5" t="s">
        <v>67</v>
      </c>
      <c r="B3560" s="5" t="s">
        <v>94</v>
      </c>
      <c r="C3560" s="5" t="s">
        <v>4029</v>
      </c>
      <c r="D3560" s="3">
        <f>VLOOKUP(A3560,airports!A:H,7,FALSE)</f>
        <v>29.980472219999999</v>
      </c>
      <c r="E3560" s="3">
        <f>VLOOKUP(A3560,airports!A:H,8,FALSE)</f>
        <v>-95.339722219999999</v>
      </c>
      <c r="F3560" s="3">
        <f>VLOOKUP(B3560,airports!A:H,7,FALSE)</f>
        <v>34.055999999999997</v>
      </c>
      <c r="G3560" s="3">
        <f>VLOOKUP(B3560,airports!A:H,8,FALSE)</f>
        <v>-117.6011944</v>
      </c>
      <c r="H3560">
        <f t="shared" si="110"/>
        <v>2142.6</v>
      </c>
      <c r="I3560">
        <f t="shared" si="111"/>
        <v>1331.4</v>
      </c>
    </row>
    <row r="3561" spans="1:9" ht="30" x14ac:dyDescent="0.25">
      <c r="A3561" s="5" t="s">
        <v>67</v>
      </c>
      <c r="B3561" s="5" t="s">
        <v>95</v>
      </c>
      <c r="C3561" s="5" t="s">
        <v>4030</v>
      </c>
      <c r="D3561" s="3">
        <f>VLOOKUP(A3561,airports!A:H,7,FALSE)</f>
        <v>29.980472219999999</v>
      </c>
      <c r="E3561" s="3">
        <f>VLOOKUP(A3561,airports!A:H,8,FALSE)</f>
        <v>-95.339722219999999</v>
      </c>
      <c r="F3561" s="3">
        <f>VLOOKUP(B3561,airports!A:H,7,FALSE)</f>
        <v>41.979595000000003</v>
      </c>
      <c r="G3561" s="3">
        <f>VLOOKUP(B3561,airports!A:H,8,FALSE)</f>
        <v>-87.904464169999997</v>
      </c>
      <c r="H3561">
        <f t="shared" si="110"/>
        <v>1491.1</v>
      </c>
      <c r="I3561">
        <f t="shared" si="111"/>
        <v>926.6</v>
      </c>
    </row>
    <row r="3562" spans="1:9" ht="30" x14ac:dyDescent="0.25">
      <c r="A3562" s="5" t="s">
        <v>67</v>
      </c>
      <c r="B3562" s="5" t="s">
        <v>596</v>
      </c>
      <c r="C3562" s="5" t="s">
        <v>4031</v>
      </c>
      <c r="D3562" s="3">
        <f>VLOOKUP(A3562,airports!A:H,7,FALSE)</f>
        <v>29.980472219999999</v>
      </c>
      <c r="E3562" s="3">
        <f>VLOOKUP(A3562,airports!A:H,8,FALSE)</f>
        <v>-95.339722219999999</v>
      </c>
      <c r="F3562" s="3">
        <f>VLOOKUP(B3562,airports!A:H,7,FALSE)</f>
        <v>36.89461111</v>
      </c>
      <c r="G3562" s="3">
        <f>VLOOKUP(B3562,airports!A:H,8,FALSE)</f>
        <v>-76.201222220000005</v>
      </c>
      <c r="H3562">
        <f t="shared" si="110"/>
        <v>1930.5</v>
      </c>
      <c r="I3562">
        <f t="shared" si="111"/>
        <v>1199.7</v>
      </c>
    </row>
    <row r="3563" spans="1:9" x14ac:dyDescent="0.25">
      <c r="A3563" s="5" t="s">
        <v>67</v>
      </c>
      <c r="B3563" s="5" t="s">
        <v>99</v>
      </c>
      <c r="C3563" s="5" t="s">
        <v>4032</v>
      </c>
      <c r="D3563" s="3">
        <f>VLOOKUP(A3563,airports!A:H,7,FALSE)</f>
        <v>29.980472219999999</v>
      </c>
      <c r="E3563" s="3">
        <f>VLOOKUP(A3563,airports!A:H,8,FALSE)</f>
        <v>-95.339722219999999</v>
      </c>
      <c r="F3563" s="3">
        <f>VLOOKUP(B3563,airports!A:H,7,FALSE)</f>
        <v>26.683161940000002</v>
      </c>
      <c r="G3563" s="3">
        <f>VLOOKUP(B3563,airports!A:H,8,FALSE)</f>
        <v>-80.095594169999998</v>
      </c>
      <c r="H3563">
        <f t="shared" si="110"/>
        <v>1535.1</v>
      </c>
      <c r="I3563">
        <f t="shared" si="111"/>
        <v>953.9</v>
      </c>
    </row>
    <row r="3564" spans="1:9" ht="30" x14ac:dyDescent="0.25">
      <c r="A3564" s="5" t="s">
        <v>67</v>
      </c>
      <c r="B3564" s="5" t="s">
        <v>100</v>
      </c>
      <c r="C3564" s="5" t="s">
        <v>4033</v>
      </c>
      <c r="D3564" s="3">
        <f>VLOOKUP(A3564,airports!A:H,7,FALSE)</f>
        <v>29.980472219999999</v>
      </c>
      <c r="E3564" s="3">
        <f>VLOOKUP(A3564,airports!A:H,8,FALSE)</f>
        <v>-95.339722219999999</v>
      </c>
      <c r="F3564" s="3">
        <f>VLOOKUP(B3564,airports!A:H,7,FALSE)</f>
        <v>45.588722220000001</v>
      </c>
      <c r="G3564" s="3">
        <f>VLOOKUP(B3564,airports!A:H,8,FALSE)</f>
        <v>-122.5975</v>
      </c>
      <c r="H3564">
        <f t="shared" si="110"/>
        <v>2934.1</v>
      </c>
      <c r="I3564">
        <f t="shared" si="111"/>
        <v>1823.3</v>
      </c>
    </row>
    <row r="3565" spans="1:9" x14ac:dyDescent="0.25">
      <c r="A3565" s="5" t="s">
        <v>67</v>
      </c>
      <c r="B3565" s="5" t="s">
        <v>102</v>
      </c>
      <c r="C3565" s="5" t="s">
        <v>4034</v>
      </c>
      <c r="D3565" s="3">
        <f>VLOOKUP(A3565,airports!A:H,7,FALSE)</f>
        <v>29.980472219999999</v>
      </c>
      <c r="E3565" s="3">
        <f>VLOOKUP(A3565,airports!A:H,8,FALSE)</f>
        <v>-95.339722219999999</v>
      </c>
      <c r="F3565" s="3">
        <f>VLOOKUP(B3565,airports!A:H,7,FALSE)</f>
        <v>39.871952780000001</v>
      </c>
      <c r="G3565" s="3">
        <f>VLOOKUP(B3565,airports!A:H,8,FALSE)</f>
        <v>-75.241140830000006</v>
      </c>
      <c r="H3565">
        <f t="shared" si="110"/>
        <v>2129.6</v>
      </c>
      <c r="I3565">
        <f t="shared" si="111"/>
        <v>1323.4</v>
      </c>
    </row>
    <row r="3566" spans="1:9" ht="30" x14ac:dyDescent="0.25">
      <c r="A3566" s="5" t="s">
        <v>67</v>
      </c>
      <c r="B3566" s="5" t="s">
        <v>104</v>
      </c>
      <c r="C3566" s="5" t="s">
        <v>4035</v>
      </c>
      <c r="D3566" s="3">
        <f>VLOOKUP(A3566,airports!A:H,7,FALSE)</f>
        <v>29.980472219999999</v>
      </c>
      <c r="E3566" s="3">
        <f>VLOOKUP(A3566,airports!A:H,8,FALSE)</f>
        <v>-95.339722219999999</v>
      </c>
      <c r="F3566" s="3">
        <f>VLOOKUP(B3566,airports!A:H,7,FALSE)</f>
        <v>33.434166670000003</v>
      </c>
      <c r="G3566" s="3">
        <f>VLOOKUP(B3566,airports!A:H,8,FALSE)</f>
        <v>-112.00805560000001</v>
      </c>
      <c r="H3566">
        <f t="shared" si="110"/>
        <v>1620.9</v>
      </c>
      <c r="I3566">
        <f t="shared" si="111"/>
        <v>1007.2</v>
      </c>
    </row>
    <row r="3567" spans="1:9" x14ac:dyDescent="0.25">
      <c r="A3567" s="5" t="s">
        <v>67</v>
      </c>
      <c r="B3567" s="5" t="s">
        <v>2688</v>
      </c>
      <c r="C3567" s="5" t="s">
        <v>4036</v>
      </c>
      <c r="D3567" s="3">
        <f>VLOOKUP(A3567,airports!A:H,7,FALSE)</f>
        <v>29.980472219999999</v>
      </c>
      <c r="E3567" s="3">
        <f>VLOOKUP(A3567,airports!A:H,8,FALSE)</f>
        <v>-95.339722219999999</v>
      </c>
      <c r="F3567" s="3">
        <f>VLOOKUP(B3567,airports!A:H,7,FALSE)</f>
        <v>31.46714944</v>
      </c>
      <c r="G3567" s="3">
        <f>VLOOKUP(B3567,airports!A:H,8,FALSE)</f>
        <v>-89.337057779999995</v>
      </c>
      <c r="H3567">
        <f t="shared" si="110"/>
        <v>597</v>
      </c>
      <c r="I3567">
        <f t="shared" si="111"/>
        <v>371</v>
      </c>
    </row>
    <row r="3568" spans="1:9" x14ac:dyDescent="0.25">
      <c r="A3568" s="5" t="s">
        <v>67</v>
      </c>
      <c r="B3568" s="5" t="s">
        <v>106</v>
      </c>
      <c r="C3568" s="5" t="s">
        <v>4037</v>
      </c>
      <c r="D3568" s="3">
        <f>VLOOKUP(A3568,airports!A:H,7,FALSE)</f>
        <v>29.980472219999999</v>
      </c>
      <c r="E3568" s="3">
        <f>VLOOKUP(A3568,airports!A:H,8,FALSE)</f>
        <v>-95.339722219999999</v>
      </c>
      <c r="F3568" s="3">
        <f>VLOOKUP(B3568,airports!A:H,7,FALSE)</f>
        <v>40.491465830000003</v>
      </c>
      <c r="G3568" s="3">
        <f>VLOOKUP(B3568,airports!A:H,8,FALSE)</f>
        <v>-80.232870829999996</v>
      </c>
      <c r="H3568">
        <f t="shared" si="110"/>
        <v>1797.7</v>
      </c>
      <c r="I3568">
        <f t="shared" si="111"/>
        <v>1117.0999999999999</v>
      </c>
    </row>
    <row r="3569" spans="1:9" ht="30" x14ac:dyDescent="0.25">
      <c r="A3569" s="5" t="s">
        <v>67</v>
      </c>
      <c r="B3569" s="5" t="s">
        <v>607</v>
      </c>
      <c r="C3569" s="5" t="s">
        <v>4038</v>
      </c>
      <c r="D3569" s="3">
        <f>VLOOKUP(A3569,airports!A:H,7,FALSE)</f>
        <v>29.980472219999999</v>
      </c>
      <c r="E3569" s="3">
        <f>VLOOKUP(A3569,airports!A:H,8,FALSE)</f>
        <v>-95.339722219999999</v>
      </c>
      <c r="F3569" s="3">
        <f>VLOOKUP(B3569,airports!A:H,7,FALSE)</f>
        <v>30.47330556</v>
      </c>
      <c r="G3569" s="3">
        <f>VLOOKUP(B3569,airports!A:H,8,FALSE)</f>
        <v>-87.187444439999993</v>
      </c>
      <c r="H3569">
        <f t="shared" si="110"/>
        <v>785</v>
      </c>
      <c r="I3569">
        <f t="shared" si="111"/>
        <v>487.8</v>
      </c>
    </row>
    <row r="3570" spans="1:9" x14ac:dyDescent="0.25">
      <c r="A3570" s="5" t="s">
        <v>67</v>
      </c>
      <c r="B3570" s="5" t="s">
        <v>111</v>
      </c>
      <c r="C3570" s="5" t="s">
        <v>4039</v>
      </c>
      <c r="D3570" s="3">
        <f>VLOOKUP(A3570,airports!A:H,7,FALSE)</f>
        <v>29.980472219999999</v>
      </c>
      <c r="E3570" s="3">
        <f>VLOOKUP(A3570,airports!A:H,8,FALSE)</f>
        <v>-95.339722219999999</v>
      </c>
      <c r="F3570" s="3">
        <f>VLOOKUP(B3570,airports!A:H,7,FALSE)</f>
        <v>33.829215560000002</v>
      </c>
      <c r="G3570" s="3">
        <f>VLOOKUP(B3570,airports!A:H,8,FALSE)</f>
        <v>-116.5062531</v>
      </c>
      <c r="H3570">
        <f t="shared" si="110"/>
        <v>2039.4</v>
      </c>
      <c r="I3570">
        <f t="shared" si="111"/>
        <v>1267.3</v>
      </c>
    </row>
    <row r="3571" spans="1:9" ht="30" x14ac:dyDescent="0.25">
      <c r="A3571" s="5" t="s">
        <v>67</v>
      </c>
      <c r="B3571" s="5" t="s">
        <v>612</v>
      </c>
      <c r="C3571" s="5" t="s">
        <v>4040</v>
      </c>
      <c r="D3571" s="3">
        <f>VLOOKUP(A3571,airports!A:H,7,FALSE)</f>
        <v>29.980472219999999</v>
      </c>
      <c r="E3571" s="3">
        <f>VLOOKUP(A3571,airports!A:H,8,FALSE)</f>
        <v>-95.339722219999999</v>
      </c>
      <c r="F3571" s="3">
        <f>VLOOKUP(B3571,airports!A:H,7,FALSE)</f>
        <v>44.045321389999998</v>
      </c>
      <c r="G3571" s="3">
        <f>VLOOKUP(B3571,airports!A:H,8,FALSE)</f>
        <v>-103.0573708</v>
      </c>
      <c r="H3571">
        <f t="shared" si="110"/>
        <v>1705.5</v>
      </c>
      <c r="I3571">
        <f t="shared" si="111"/>
        <v>1059.8</v>
      </c>
    </row>
    <row r="3572" spans="1:9" ht="30" x14ac:dyDescent="0.25">
      <c r="A3572" s="5" t="s">
        <v>67</v>
      </c>
      <c r="B3572" s="5" t="s">
        <v>119</v>
      </c>
      <c r="C3572" s="5" t="s">
        <v>4041</v>
      </c>
      <c r="D3572" s="3">
        <f>VLOOKUP(A3572,airports!A:H,7,FALSE)</f>
        <v>29.980472219999999</v>
      </c>
      <c r="E3572" s="3">
        <f>VLOOKUP(A3572,airports!A:H,8,FALSE)</f>
        <v>-95.339722219999999</v>
      </c>
      <c r="F3572" s="3">
        <f>VLOOKUP(B3572,airports!A:H,7,FALSE)</f>
        <v>35.87763889</v>
      </c>
      <c r="G3572" s="3">
        <f>VLOOKUP(B3572,airports!A:H,8,FALSE)</f>
        <v>-78.787472219999998</v>
      </c>
      <c r="H3572">
        <f t="shared" si="110"/>
        <v>1675.4</v>
      </c>
      <c r="I3572">
        <f t="shared" si="111"/>
        <v>1041.0999999999999</v>
      </c>
    </row>
    <row r="3573" spans="1:9" x14ac:dyDescent="0.25">
      <c r="A3573" s="5" t="s">
        <v>67</v>
      </c>
      <c r="B3573" s="5" t="s">
        <v>120</v>
      </c>
      <c r="C3573" s="5" t="s">
        <v>4042</v>
      </c>
      <c r="D3573" s="3">
        <f>VLOOKUP(A3573,airports!A:H,7,FALSE)</f>
        <v>29.980472219999999</v>
      </c>
      <c r="E3573" s="3">
        <f>VLOOKUP(A3573,airports!A:H,8,FALSE)</f>
        <v>-95.339722219999999</v>
      </c>
      <c r="F3573" s="3">
        <f>VLOOKUP(B3573,airports!A:H,7,FALSE)</f>
        <v>37.505166670000001</v>
      </c>
      <c r="G3573" s="3">
        <f>VLOOKUP(B3573,airports!A:H,8,FALSE)</f>
        <v>-77.319666670000004</v>
      </c>
      <c r="H3573">
        <f t="shared" si="110"/>
        <v>1860.1</v>
      </c>
      <c r="I3573">
        <f t="shared" si="111"/>
        <v>1155.9000000000001</v>
      </c>
    </row>
    <row r="3574" spans="1:9" ht="30" x14ac:dyDescent="0.25">
      <c r="A3574" s="5" t="s">
        <v>67</v>
      </c>
      <c r="B3574" s="5" t="s">
        <v>121</v>
      </c>
      <c r="C3574" s="5" t="s">
        <v>4043</v>
      </c>
      <c r="D3574" s="3">
        <f>VLOOKUP(A3574,airports!A:H,7,FALSE)</f>
        <v>29.980472219999999</v>
      </c>
      <c r="E3574" s="3">
        <f>VLOOKUP(A3574,airports!A:H,8,FALSE)</f>
        <v>-95.339722219999999</v>
      </c>
      <c r="F3574" s="3">
        <f>VLOOKUP(B3574,airports!A:H,7,FALSE)</f>
        <v>39.498576110000002</v>
      </c>
      <c r="G3574" s="3">
        <f>VLOOKUP(B3574,airports!A:H,8,FALSE)</f>
        <v>-119.7680647</v>
      </c>
      <c r="H3574">
        <f t="shared" si="110"/>
        <v>2459.6</v>
      </c>
      <c r="I3574">
        <f t="shared" si="111"/>
        <v>1528.4</v>
      </c>
    </row>
    <row r="3575" spans="1:9" ht="30" x14ac:dyDescent="0.25">
      <c r="A3575" s="5" t="s">
        <v>67</v>
      </c>
      <c r="B3575" s="5" t="s">
        <v>123</v>
      </c>
      <c r="C3575" s="5" t="s">
        <v>4044</v>
      </c>
      <c r="D3575" s="3">
        <f>VLOOKUP(A3575,airports!A:H,7,FALSE)</f>
        <v>29.980472219999999</v>
      </c>
      <c r="E3575" s="3">
        <f>VLOOKUP(A3575,airports!A:H,8,FALSE)</f>
        <v>-95.339722219999999</v>
      </c>
      <c r="F3575" s="3">
        <f>VLOOKUP(B3575,airports!A:H,7,FALSE)</f>
        <v>26.53616667</v>
      </c>
      <c r="G3575" s="3">
        <f>VLOOKUP(B3575,airports!A:H,8,FALSE)</f>
        <v>-81.755166669999994</v>
      </c>
      <c r="H3575">
        <f t="shared" si="110"/>
        <v>1383.5</v>
      </c>
      <c r="I3575">
        <f t="shared" si="111"/>
        <v>859.7</v>
      </c>
    </row>
    <row r="3576" spans="1:9" ht="30" x14ac:dyDescent="0.25">
      <c r="A3576" s="5" t="s">
        <v>67</v>
      </c>
      <c r="B3576" s="5" t="s">
        <v>124</v>
      </c>
      <c r="C3576" s="5" t="s">
        <v>4045</v>
      </c>
      <c r="D3576" s="3">
        <f>VLOOKUP(A3576,airports!A:H,7,FALSE)</f>
        <v>29.980472219999999</v>
      </c>
      <c r="E3576" s="3">
        <f>VLOOKUP(A3576,airports!A:H,8,FALSE)</f>
        <v>-95.339722219999999</v>
      </c>
      <c r="F3576" s="3">
        <f>VLOOKUP(B3576,airports!A:H,7,FALSE)</f>
        <v>32.733556110000002</v>
      </c>
      <c r="G3576" s="3">
        <f>VLOOKUP(B3576,airports!A:H,8,FALSE)</f>
        <v>-117.1896567</v>
      </c>
      <c r="H3576">
        <f t="shared" si="110"/>
        <v>2093.4</v>
      </c>
      <c r="I3576">
        <f t="shared" si="111"/>
        <v>1300.8</v>
      </c>
    </row>
    <row r="3577" spans="1:9" x14ac:dyDescent="0.25">
      <c r="A3577" s="5" t="s">
        <v>67</v>
      </c>
      <c r="B3577" s="5" t="s">
        <v>125</v>
      </c>
      <c r="C3577" s="5" t="s">
        <v>4046</v>
      </c>
      <c r="D3577" s="3">
        <f>VLOOKUP(A3577,airports!A:H,7,FALSE)</f>
        <v>29.980472219999999</v>
      </c>
      <c r="E3577" s="3">
        <f>VLOOKUP(A3577,airports!A:H,8,FALSE)</f>
        <v>-95.339722219999999</v>
      </c>
      <c r="F3577" s="3">
        <f>VLOOKUP(B3577,airports!A:H,7,FALSE)</f>
        <v>29.533694440000001</v>
      </c>
      <c r="G3577" s="3">
        <f>VLOOKUP(B3577,airports!A:H,8,FALSE)</f>
        <v>-98.469777780000001</v>
      </c>
      <c r="H3577">
        <f t="shared" si="110"/>
        <v>306.2</v>
      </c>
      <c r="I3577">
        <f t="shared" si="111"/>
        <v>190.3</v>
      </c>
    </row>
    <row r="3578" spans="1:9" ht="30" x14ac:dyDescent="0.25">
      <c r="A3578" s="5" t="s">
        <v>67</v>
      </c>
      <c r="B3578" s="5" t="s">
        <v>126</v>
      </c>
      <c r="C3578" s="5" t="s">
        <v>4047</v>
      </c>
      <c r="D3578" s="3">
        <f>VLOOKUP(A3578,airports!A:H,7,FALSE)</f>
        <v>29.980472219999999</v>
      </c>
      <c r="E3578" s="3">
        <f>VLOOKUP(A3578,airports!A:H,8,FALSE)</f>
        <v>-95.339722219999999</v>
      </c>
      <c r="F3578" s="3">
        <f>VLOOKUP(B3578,airports!A:H,7,FALSE)</f>
        <v>32.12758333</v>
      </c>
      <c r="G3578" s="3">
        <f>VLOOKUP(B3578,airports!A:H,8,FALSE)</f>
        <v>-81.202138890000001</v>
      </c>
      <c r="H3578">
        <f t="shared" si="110"/>
        <v>1366.7</v>
      </c>
      <c r="I3578">
        <f t="shared" si="111"/>
        <v>849.3</v>
      </c>
    </row>
    <row r="3579" spans="1:9" x14ac:dyDescent="0.25">
      <c r="A3579" s="5" t="s">
        <v>67</v>
      </c>
      <c r="B3579" s="5" t="s">
        <v>630</v>
      </c>
      <c r="C3579" s="5" t="s">
        <v>4048</v>
      </c>
      <c r="D3579" s="3">
        <f>VLOOKUP(A3579,airports!A:H,7,FALSE)</f>
        <v>29.980472219999999</v>
      </c>
      <c r="E3579" s="3">
        <f>VLOOKUP(A3579,airports!A:H,8,FALSE)</f>
        <v>-95.339722219999999</v>
      </c>
      <c r="F3579" s="3">
        <f>VLOOKUP(B3579,airports!A:H,7,FALSE)</f>
        <v>38.174388890000003</v>
      </c>
      <c r="G3579" s="3">
        <f>VLOOKUP(B3579,airports!A:H,8,FALSE)</f>
        <v>-85.736000000000004</v>
      </c>
      <c r="H3579">
        <f t="shared" si="110"/>
        <v>1268.4000000000001</v>
      </c>
      <c r="I3579">
        <f t="shared" si="111"/>
        <v>788.2</v>
      </c>
    </row>
    <row r="3580" spans="1:9" x14ac:dyDescent="0.25">
      <c r="A3580" s="5" t="s">
        <v>67</v>
      </c>
      <c r="B3580" s="5" t="s">
        <v>128</v>
      </c>
      <c r="C3580" s="5" t="s">
        <v>4049</v>
      </c>
      <c r="D3580" s="3">
        <f>VLOOKUP(A3580,airports!A:H,7,FALSE)</f>
        <v>29.980472219999999</v>
      </c>
      <c r="E3580" s="3">
        <f>VLOOKUP(A3580,airports!A:H,8,FALSE)</f>
        <v>-95.339722219999999</v>
      </c>
      <c r="F3580" s="3">
        <f>VLOOKUP(B3580,airports!A:H,7,FALSE)</f>
        <v>47.448981940000003</v>
      </c>
      <c r="G3580" s="3">
        <f>VLOOKUP(B3580,airports!A:H,8,FALSE)</f>
        <v>-122.3093131</v>
      </c>
      <c r="H3580">
        <f t="shared" si="110"/>
        <v>3013.9</v>
      </c>
      <c r="I3580">
        <f t="shared" si="111"/>
        <v>1872.8</v>
      </c>
    </row>
    <row r="3581" spans="1:9" x14ac:dyDescent="0.25">
      <c r="A3581" s="5" t="s">
        <v>67</v>
      </c>
      <c r="B3581" s="5" t="s">
        <v>130</v>
      </c>
      <c r="C3581" s="5" t="s">
        <v>4050</v>
      </c>
      <c r="D3581" s="3">
        <f>VLOOKUP(A3581,airports!A:H,7,FALSE)</f>
        <v>29.980472219999999</v>
      </c>
      <c r="E3581" s="3">
        <f>VLOOKUP(A3581,airports!A:H,8,FALSE)</f>
        <v>-95.339722219999999</v>
      </c>
      <c r="F3581" s="3">
        <f>VLOOKUP(B3581,airports!A:H,7,FALSE)</f>
        <v>37.619001939999997</v>
      </c>
      <c r="G3581" s="3">
        <f>VLOOKUP(B3581,airports!A:H,8,FALSE)</f>
        <v>-122.37484329999999</v>
      </c>
      <c r="H3581">
        <f t="shared" si="110"/>
        <v>2627.5</v>
      </c>
      <c r="I3581">
        <f t="shared" si="111"/>
        <v>1632.8</v>
      </c>
    </row>
    <row r="3582" spans="1:9" x14ac:dyDescent="0.25">
      <c r="A3582" s="5" t="s">
        <v>67</v>
      </c>
      <c r="B3582" s="5" t="s">
        <v>634</v>
      </c>
      <c r="C3582" s="5" t="s">
        <v>4051</v>
      </c>
      <c r="D3582" s="3">
        <f>VLOOKUP(A3582,airports!A:H,7,FALSE)</f>
        <v>29.980472219999999</v>
      </c>
      <c r="E3582" s="3">
        <f>VLOOKUP(A3582,airports!A:H,8,FALSE)</f>
        <v>-95.339722219999999</v>
      </c>
      <c r="F3582" s="3">
        <f>VLOOKUP(B3582,airports!A:H,7,FALSE)</f>
        <v>37.244326110000003</v>
      </c>
      <c r="G3582" s="3">
        <f>VLOOKUP(B3582,airports!A:H,8,FALSE)</f>
        <v>-93.386858059999994</v>
      </c>
      <c r="H3582">
        <f t="shared" si="110"/>
        <v>827.6</v>
      </c>
      <c r="I3582">
        <f t="shared" si="111"/>
        <v>514.29999999999995</v>
      </c>
    </row>
    <row r="3583" spans="1:9" ht="30" x14ac:dyDescent="0.25">
      <c r="A3583" s="5" t="s">
        <v>67</v>
      </c>
      <c r="B3583" s="5" t="s">
        <v>636</v>
      </c>
      <c r="C3583" s="5" t="s">
        <v>4052</v>
      </c>
      <c r="D3583" s="3">
        <f>VLOOKUP(A3583,airports!A:H,7,FALSE)</f>
        <v>29.980472219999999</v>
      </c>
      <c r="E3583" s="3">
        <f>VLOOKUP(A3583,airports!A:H,8,FALSE)</f>
        <v>-95.339722219999999</v>
      </c>
      <c r="F3583" s="3">
        <f>VLOOKUP(B3583,airports!A:H,7,FALSE)</f>
        <v>32.446627499999998</v>
      </c>
      <c r="G3583" s="3">
        <f>VLOOKUP(B3583,airports!A:H,8,FALSE)</f>
        <v>-93.825598330000005</v>
      </c>
      <c r="H3583">
        <f t="shared" si="110"/>
        <v>309.7</v>
      </c>
      <c r="I3583">
        <f t="shared" si="111"/>
        <v>192.5</v>
      </c>
    </row>
    <row r="3584" spans="1:9" x14ac:dyDescent="0.25">
      <c r="A3584" s="5" t="s">
        <v>67</v>
      </c>
      <c r="B3584" s="5" t="s">
        <v>131</v>
      </c>
      <c r="C3584" s="5" t="s">
        <v>4053</v>
      </c>
      <c r="D3584" s="3">
        <f>VLOOKUP(A3584,airports!A:H,7,FALSE)</f>
        <v>29.980472219999999</v>
      </c>
      <c r="E3584" s="3">
        <f>VLOOKUP(A3584,airports!A:H,8,FALSE)</f>
        <v>-95.339722219999999</v>
      </c>
      <c r="F3584" s="3">
        <f>VLOOKUP(B3584,airports!A:H,7,FALSE)</f>
        <v>37.361861939999997</v>
      </c>
      <c r="G3584" s="3">
        <f>VLOOKUP(B3584,airports!A:H,8,FALSE)</f>
        <v>-121.9290089</v>
      </c>
      <c r="H3584">
        <f t="shared" si="110"/>
        <v>2583.5</v>
      </c>
      <c r="I3584">
        <f t="shared" si="111"/>
        <v>1605.4</v>
      </c>
    </row>
    <row r="3585" spans="1:9" x14ac:dyDescent="0.25">
      <c r="A3585" s="5" t="s">
        <v>67</v>
      </c>
      <c r="B3585" s="5" t="s">
        <v>2715</v>
      </c>
      <c r="C3585" s="5" t="s">
        <v>4054</v>
      </c>
      <c r="D3585" s="3">
        <f>VLOOKUP(A3585,airports!A:H,7,FALSE)</f>
        <v>29.980472219999999</v>
      </c>
      <c r="E3585" s="3">
        <f>VLOOKUP(A3585,airports!A:H,8,FALSE)</f>
        <v>-95.339722219999999</v>
      </c>
      <c r="F3585" s="3">
        <f>VLOOKUP(B3585,airports!A:H,7,FALSE)</f>
        <v>31.357749999999999</v>
      </c>
      <c r="G3585" s="3">
        <f>VLOOKUP(B3585,airports!A:H,8,FALSE)</f>
        <v>-100.4963056</v>
      </c>
      <c r="H3585">
        <f t="shared" si="110"/>
        <v>516.4</v>
      </c>
      <c r="I3585">
        <f t="shared" si="111"/>
        <v>320.89999999999998</v>
      </c>
    </row>
    <row r="3586" spans="1:9" x14ac:dyDescent="0.25">
      <c r="A3586" s="5" t="s">
        <v>67</v>
      </c>
      <c r="B3586" s="5" t="s">
        <v>134</v>
      </c>
      <c r="C3586" s="5" t="s">
        <v>4055</v>
      </c>
      <c r="D3586" s="3">
        <f>VLOOKUP(A3586,airports!A:H,7,FALSE)</f>
        <v>29.980472219999999</v>
      </c>
      <c r="E3586" s="3">
        <f>VLOOKUP(A3586,airports!A:H,8,FALSE)</f>
        <v>-95.339722219999999</v>
      </c>
      <c r="F3586" s="3">
        <f>VLOOKUP(B3586,airports!A:H,7,FALSE)</f>
        <v>18.43941667</v>
      </c>
      <c r="G3586" s="3">
        <f>VLOOKUP(B3586,airports!A:H,8,FALSE)</f>
        <v>-66.001833329999997</v>
      </c>
      <c r="H3586">
        <f t="shared" si="110"/>
        <v>3227.6</v>
      </c>
      <c r="I3586">
        <f t="shared" si="111"/>
        <v>2005.7</v>
      </c>
    </row>
    <row r="3587" spans="1:9" x14ac:dyDescent="0.25">
      <c r="A3587" s="5" t="s">
        <v>67</v>
      </c>
      <c r="B3587" s="5" t="s">
        <v>135</v>
      </c>
      <c r="C3587" s="5" t="s">
        <v>4056</v>
      </c>
      <c r="D3587" s="3">
        <f>VLOOKUP(A3587,airports!A:H,7,FALSE)</f>
        <v>29.980472219999999</v>
      </c>
      <c r="E3587" s="3">
        <f>VLOOKUP(A3587,airports!A:H,8,FALSE)</f>
        <v>-95.339722219999999</v>
      </c>
      <c r="F3587" s="3">
        <f>VLOOKUP(B3587,airports!A:H,7,FALSE)</f>
        <v>40.788387780000001</v>
      </c>
      <c r="G3587" s="3">
        <f>VLOOKUP(B3587,airports!A:H,8,FALSE)</f>
        <v>-111.97777309999999</v>
      </c>
      <c r="H3587">
        <f t="shared" si="110"/>
        <v>1922.7</v>
      </c>
      <c r="I3587">
        <f t="shared" si="111"/>
        <v>1194.8</v>
      </c>
    </row>
    <row r="3588" spans="1:9" ht="30" x14ac:dyDescent="0.25">
      <c r="A3588" s="5" t="s">
        <v>67</v>
      </c>
      <c r="B3588" s="5" t="s">
        <v>137</v>
      </c>
      <c r="C3588" s="5" t="s">
        <v>4057</v>
      </c>
      <c r="D3588" s="3">
        <f>VLOOKUP(A3588,airports!A:H,7,FALSE)</f>
        <v>29.980472219999999</v>
      </c>
      <c r="E3588" s="3">
        <f>VLOOKUP(A3588,airports!A:H,8,FALSE)</f>
        <v>-95.339722219999999</v>
      </c>
      <c r="F3588" s="3">
        <f>VLOOKUP(B3588,airports!A:H,7,FALSE)</f>
        <v>38.695421670000002</v>
      </c>
      <c r="G3588" s="3">
        <f>VLOOKUP(B3588,airports!A:H,8,FALSE)</f>
        <v>-121.59076690000001</v>
      </c>
      <c r="H3588">
        <f t="shared" ref="H3588:H3651" si="112">ROUND(ACOS(COS(RADIANS(90-D3588)) * COS(RADIANS(90-F3588)) + SIN(RADIANS(90-D3588)) * SIN(RADIANS(90-F3588)) * COS(RADIANS(E3588-G3588))) * 6371,1)</f>
        <v>2586.3000000000002</v>
      </c>
      <c r="I3588">
        <f t="shared" ref="I3588:I3651" si="113">ROUND(ACOS(COS(RADIANS(90-D3588)) * COS(RADIANS(90-F3588)) + SIN(RADIANS(90-D3588)) * SIN(RADIANS(90-F3588)) * COS(RADIANS(E3588-G3588))) * 3959,1)</f>
        <v>1607.1</v>
      </c>
    </row>
    <row r="3589" spans="1:9" ht="30" x14ac:dyDescent="0.25">
      <c r="A3589" s="5" t="s">
        <v>67</v>
      </c>
      <c r="B3589" s="5" t="s">
        <v>227</v>
      </c>
      <c r="C3589" s="5" t="s">
        <v>4058</v>
      </c>
      <c r="D3589" s="3">
        <f>VLOOKUP(A3589,airports!A:H,7,FALSE)</f>
        <v>29.980472219999999</v>
      </c>
      <c r="E3589" s="3">
        <f>VLOOKUP(A3589,airports!A:H,8,FALSE)</f>
        <v>-95.339722219999999</v>
      </c>
      <c r="F3589" s="3">
        <f>VLOOKUP(B3589,airports!A:H,7,FALSE)</f>
        <v>33.675658609999999</v>
      </c>
      <c r="G3589" s="3">
        <f>VLOOKUP(B3589,airports!A:H,8,FALSE)</f>
        <v>-117.8682225</v>
      </c>
      <c r="H3589">
        <f t="shared" si="112"/>
        <v>2163.1</v>
      </c>
      <c r="I3589">
        <f t="shared" si="113"/>
        <v>1344.2</v>
      </c>
    </row>
    <row r="3590" spans="1:9" ht="30" x14ac:dyDescent="0.25">
      <c r="A3590" s="5" t="s">
        <v>67</v>
      </c>
      <c r="B3590" s="5" t="s">
        <v>138</v>
      </c>
      <c r="C3590" s="5" t="s">
        <v>4059</v>
      </c>
      <c r="D3590" s="3">
        <f>VLOOKUP(A3590,airports!A:H,7,FALSE)</f>
        <v>29.980472219999999</v>
      </c>
      <c r="E3590" s="3">
        <f>VLOOKUP(A3590,airports!A:H,8,FALSE)</f>
        <v>-95.339722219999999</v>
      </c>
      <c r="F3590" s="3">
        <f>VLOOKUP(B3590,airports!A:H,7,FALSE)</f>
        <v>27.39533333</v>
      </c>
      <c r="G3590" s="3">
        <f>VLOOKUP(B3590,airports!A:H,8,FALSE)</f>
        <v>-82.554111109999994</v>
      </c>
      <c r="H3590">
        <f t="shared" si="112"/>
        <v>1279.0999999999999</v>
      </c>
      <c r="I3590">
        <f t="shared" si="113"/>
        <v>794.8</v>
      </c>
    </row>
    <row r="3591" spans="1:9" x14ac:dyDescent="0.25">
      <c r="A3591" s="5" t="s">
        <v>67</v>
      </c>
      <c r="B3591" s="5" t="s">
        <v>644</v>
      </c>
      <c r="C3591" s="5" t="s">
        <v>4060</v>
      </c>
      <c r="D3591" s="3">
        <f>VLOOKUP(A3591,airports!A:H,7,FALSE)</f>
        <v>29.980472219999999</v>
      </c>
      <c r="E3591" s="3">
        <f>VLOOKUP(A3591,airports!A:H,8,FALSE)</f>
        <v>-95.339722219999999</v>
      </c>
      <c r="F3591" s="3">
        <f>VLOOKUP(B3591,airports!A:H,7,FALSE)</f>
        <v>38.747686940000001</v>
      </c>
      <c r="G3591" s="3">
        <f>VLOOKUP(B3591,airports!A:H,8,FALSE)</f>
        <v>-90.359989720000002</v>
      </c>
      <c r="H3591">
        <f t="shared" si="112"/>
        <v>1076.2</v>
      </c>
      <c r="I3591">
        <f t="shared" si="113"/>
        <v>668.8</v>
      </c>
    </row>
    <row r="3592" spans="1:9" x14ac:dyDescent="0.25">
      <c r="A3592" s="5" t="s">
        <v>67</v>
      </c>
      <c r="B3592" s="5" t="s">
        <v>140</v>
      </c>
      <c r="C3592" s="5" t="s">
        <v>4061</v>
      </c>
      <c r="D3592" s="3">
        <f>VLOOKUP(A3592,airports!A:H,7,FALSE)</f>
        <v>29.980472219999999</v>
      </c>
      <c r="E3592" s="3">
        <f>VLOOKUP(A3592,airports!A:H,8,FALSE)</f>
        <v>-95.339722219999999</v>
      </c>
      <c r="F3592" s="3">
        <f>VLOOKUP(B3592,airports!A:H,7,FALSE)</f>
        <v>18.337305560000001</v>
      </c>
      <c r="G3592" s="3">
        <f>VLOOKUP(B3592,airports!A:H,8,FALSE)</f>
        <v>-64.973361109999999</v>
      </c>
      <c r="H3592">
        <f t="shared" si="112"/>
        <v>3328.2</v>
      </c>
      <c r="I3592">
        <f t="shared" si="113"/>
        <v>2068.1999999999998</v>
      </c>
    </row>
    <row r="3593" spans="1:9" x14ac:dyDescent="0.25">
      <c r="A3593" s="5" t="s">
        <v>67</v>
      </c>
      <c r="B3593" s="5" t="s">
        <v>651</v>
      </c>
      <c r="C3593" s="5" t="s">
        <v>4062</v>
      </c>
      <c r="D3593" s="3">
        <f>VLOOKUP(A3593,airports!A:H,7,FALSE)</f>
        <v>29.980472219999999</v>
      </c>
      <c r="E3593" s="3">
        <f>VLOOKUP(A3593,airports!A:H,8,FALSE)</f>
        <v>-95.339722219999999</v>
      </c>
      <c r="F3593" s="3">
        <f>VLOOKUP(B3593,airports!A:H,7,FALSE)</f>
        <v>30.39652778</v>
      </c>
      <c r="G3593" s="3">
        <f>VLOOKUP(B3593,airports!A:H,8,FALSE)</f>
        <v>-84.350333329999998</v>
      </c>
      <c r="H3593">
        <f t="shared" si="112"/>
        <v>1056.8</v>
      </c>
      <c r="I3593">
        <f t="shared" si="113"/>
        <v>656.7</v>
      </c>
    </row>
    <row r="3594" spans="1:9" x14ac:dyDescent="0.25">
      <c r="A3594" s="5" t="s">
        <v>67</v>
      </c>
      <c r="B3594" s="5" t="s">
        <v>145</v>
      </c>
      <c r="C3594" s="5" t="s">
        <v>4063</v>
      </c>
      <c r="D3594" s="3">
        <f>VLOOKUP(A3594,airports!A:H,7,FALSE)</f>
        <v>29.980472219999999</v>
      </c>
      <c r="E3594" s="3">
        <f>VLOOKUP(A3594,airports!A:H,8,FALSE)</f>
        <v>-95.339722219999999</v>
      </c>
      <c r="F3594" s="3">
        <f>VLOOKUP(B3594,airports!A:H,7,FALSE)</f>
        <v>27.97547222</v>
      </c>
      <c r="G3594" s="3">
        <f>VLOOKUP(B3594,airports!A:H,8,FALSE)</f>
        <v>-82.533249999999995</v>
      </c>
      <c r="H3594">
        <f t="shared" si="112"/>
        <v>1264.8</v>
      </c>
      <c r="I3594">
        <f t="shared" si="113"/>
        <v>786</v>
      </c>
    </row>
    <row r="3595" spans="1:9" x14ac:dyDescent="0.25">
      <c r="A3595" s="5" t="s">
        <v>67</v>
      </c>
      <c r="B3595" s="5" t="s">
        <v>658</v>
      </c>
      <c r="C3595" s="5" t="s">
        <v>4064</v>
      </c>
      <c r="D3595" s="3">
        <f>VLOOKUP(A3595,airports!A:H,7,FALSE)</f>
        <v>29.980472219999999</v>
      </c>
      <c r="E3595" s="3">
        <f>VLOOKUP(A3595,airports!A:H,8,FALSE)</f>
        <v>-95.339722219999999</v>
      </c>
      <c r="F3595" s="3">
        <f>VLOOKUP(B3595,airports!A:H,7,FALSE)</f>
        <v>36.198372220000003</v>
      </c>
      <c r="G3595" s="3">
        <f>VLOOKUP(B3595,airports!A:H,8,FALSE)</f>
        <v>-95.888241669999999</v>
      </c>
      <c r="H3595">
        <f t="shared" si="112"/>
        <v>693.3</v>
      </c>
      <c r="I3595">
        <f t="shared" si="113"/>
        <v>430.8</v>
      </c>
    </row>
    <row r="3596" spans="1:9" x14ac:dyDescent="0.25">
      <c r="A3596" s="5" t="s">
        <v>67</v>
      </c>
      <c r="B3596" s="5" t="s">
        <v>660</v>
      </c>
      <c r="C3596" s="5" t="s">
        <v>4065</v>
      </c>
      <c r="D3596" s="3">
        <f>VLOOKUP(A3596,airports!A:H,7,FALSE)</f>
        <v>29.980472219999999</v>
      </c>
      <c r="E3596" s="3">
        <f>VLOOKUP(A3596,airports!A:H,8,FALSE)</f>
        <v>-95.339722219999999</v>
      </c>
      <c r="F3596" s="3">
        <f>VLOOKUP(B3596,airports!A:H,7,FALSE)</f>
        <v>32.116083330000002</v>
      </c>
      <c r="G3596" s="3">
        <f>VLOOKUP(B3596,airports!A:H,8,FALSE)</f>
        <v>-110.9410278</v>
      </c>
      <c r="H3596">
        <f t="shared" si="112"/>
        <v>1503.7</v>
      </c>
      <c r="I3596">
        <f t="shared" si="113"/>
        <v>934.4</v>
      </c>
    </row>
    <row r="3597" spans="1:9" x14ac:dyDescent="0.25">
      <c r="A3597" s="5" t="s">
        <v>67</v>
      </c>
      <c r="B3597" s="5" t="s">
        <v>2738</v>
      </c>
      <c r="C3597" s="5" t="s">
        <v>4066</v>
      </c>
      <c r="D3597" s="3">
        <f>VLOOKUP(A3597,airports!A:H,7,FALSE)</f>
        <v>29.980472219999999</v>
      </c>
      <c r="E3597" s="3">
        <f>VLOOKUP(A3597,airports!A:H,8,FALSE)</f>
        <v>-95.339722219999999</v>
      </c>
      <c r="F3597" s="3">
        <f>VLOOKUP(B3597,airports!A:H,7,FALSE)</f>
        <v>33.453708059999997</v>
      </c>
      <c r="G3597" s="3">
        <f>VLOOKUP(B3597,airports!A:H,8,FALSE)</f>
        <v>-93.991020000000006</v>
      </c>
      <c r="H3597">
        <f t="shared" si="112"/>
        <v>406.7</v>
      </c>
      <c r="I3597">
        <f t="shared" si="113"/>
        <v>252.7</v>
      </c>
    </row>
    <row r="3598" spans="1:9" x14ac:dyDescent="0.25">
      <c r="A3598" s="5" t="s">
        <v>67</v>
      </c>
      <c r="B3598" s="5" t="s">
        <v>664</v>
      </c>
      <c r="C3598" s="5" t="s">
        <v>4067</v>
      </c>
      <c r="D3598" s="3">
        <f>VLOOKUP(A3598,airports!A:H,7,FALSE)</f>
        <v>29.980472219999999</v>
      </c>
      <c r="E3598" s="3">
        <f>VLOOKUP(A3598,airports!A:H,8,FALSE)</f>
        <v>-95.339722219999999</v>
      </c>
      <c r="F3598" s="3">
        <f>VLOOKUP(B3598,airports!A:H,7,FALSE)</f>
        <v>35.812487220000001</v>
      </c>
      <c r="G3598" s="3">
        <f>VLOOKUP(B3598,airports!A:H,8,FALSE)</f>
        <v>-83.992855829999996</v>
      </c>
      <c r="H3598">
        <f t="shared" si="112"/>
        <v>1240.8</v>
      </c>
      <c r="I3598">
        <f t="shared" si="113"/>
        <v>771</v>
      </c>
    </row>
    <row r="3599" spans="1:9" x14ac:dyDescent="0.25">
      <c r="A3599" s="5" t="s">
        <v>67</v>
      </c>
      <c r="B3599" s="5" t="s">
        <v>4068</v>
      </c>
      <c r="C3599" s="5" t="s">
        <v>4069</v>
      </c>
      <c r="D3599" s="3">
        <f>VLOOKUP(A3599,airports!A:H,7,FALSE)</f>
        <v>29.980472219999999</v>
      </c>
      <c r="E3599" s="3">
        <f>VLOOKUP(A3599,airports!A:H,8,FALSE)</f>
        <v>-95.339722219999999</v>
      </c>
      <c r="F3599" s="3">
        <f>VLOOKUP(B3599,airports!A:H,7,FALSE)</f>
        <v>28.8526000976562</v>
      </c>
      <c r="G3599" s="3">
        <f>VLOOKUP(B3599,airports!A:H,8,FALSE)</f>
        <v>-96.918502807617102</v>
      </c>
      <c r="H3599">
        <f t="shared" si="112"/>
        <v>197.8</v>
      </c>
      <c r="I3599">
        <f t="shared" si="113"/>
        <v>122.9</v>
      </c>
    </row>
    <row r="3600" spans="1:9" x14ac:dyDescent="0.25">
      <c r="A3600" s="5" t="s">
        <v>67</v>
      </c>
      <c r="B3600" s="5" t="s">
        <v>668</v>
      </c>
      <c r="C3600" s="5" t="s">
        <v>4070</v>
      </c>
      <c r="D3600" s="3">
        <f>VLOOKUP(A3600,airports!A:H,7,FALSE)</f>
        <v>29.980472219999999</v>
      </c>
      <c r="E3600" s="3">
        <f>VLOOKUP(A3600,airports!A:H,8,FALSE)</f>
        <v>-95.339722219999999</v>
      </c>
      <c r="F3600" s="3">
        <f>VLOOKUP(B3600,airports!A:H,7,FALSE)</f>
        <v>30.483250000000002</v>
      </c>
      <c r="G3600" s="3">
        <f>VLOOKUP(B3600,airports!A:H,8,FALSE)</f>
        <v>-86.525400000000005</v>
      </c>
      <c r="H3600">
        <f t="shared" si="112"/>
        <v>848.4</v>
      </c>
      <c r="I3600">
        <f t="shared" si="113"/>
        <v>527.20000000000005</v>
      </c>
    </row>
    <row r="3601" spans="1:9" ht="30" x14ac:dyDescent="0.25">
      <c r="A3601" s="5" t="s">
        <v>67</v>
      </c>
      <c r="B3601" s="5" t="s">
        <v>670</v>
      </c>
      <c r="C3601" s="5" t="s">
        <v>4071</v>
      </c>
      <c r="D3601" s="3">
        <f>VLOOKUP(A3601,airports!A:H,7,FALSE)</f>
        <v>29.980472219999999</v>
      </c>
      <c r="E3601" s="3">
        <f>VLOOKUP(A3601,airports!A:H,8,FALSE)</f>
        <v>-95.339722219999999</v>
      </c>
      <c r="F3601" s="3">
        <f>VLOOKUP(B3601,airports!A:H,7,FALSE)</f>
        <v>36.281869440000001</v>
      </c>
      <c r="G3601" s="3">
        <f>VLOOKUP(B3601,airports!A:H,8,FALSE)</f>
        <v>-94.306811109999998</v>
      </c>
      <c r="H3601">
        <f t="shared" si="112"/>
        <v>707.2</v>
      </c>
      <c r="I3601">
        <f t="shared" si="113"/>
        <v>439.5</v>
      </c>
    </row>
    <row r="3602" spans="1:9" x14ac:dyDescent="0.25">
      <c r="A3602" s="5" t="s">
        <v>533</v>
      </c>
      <c r="B3602" s="5" t="s">
        <v>10</v>
      </c>
      <c r="C3602" s="5" t="s">
        <v>4072</v>
      </c>
      <c r="D3602" s="3">
        <f>VLOOKUP(A3602,airports!A:H,7,FALSE)</f>
        <v>37.649958890000001</v>
      </c>
      <c r="E3602" s="3">
        <f>VLOOKUP(A3602,airports!A:H,8,FALSE)</f>
        <v>-97.433045829999998</v>
      </c>
      <c r="F3602" s="3">
        <f>VLOOKUP(B3602,airports!A:H,7,FALSE)</f>
        <v>33.640444440000003</v>
      </c>
      <c r="G3602" s="3">
        <f>VLOOKUP(B3602,airports!A:H,8,FALSE)</f>
        <v>-84.42694444</v>
      </c>
      <c r="H3602">
        <f t="shared" si="112"/>
        <v>1255.5999999999999</v>
      </c>
      <c r="I3602">
        <f t="shared" si="113"/>
        <v>780.2</v>
      </c>
    </row>
    <row r="3603" spans="1:9" ht="30" x14ac:dyDescent="0.25">
      <c r="A3603" s="5" t="s">
        <v>533</v>
      </c>
      <c r="B3603" s="5" t="s">
        <v>416</v>
      </c>
      <c r="C3603" s="5" t="s">
        <v>4073</v>
      </c>
      <c r="D3603" s="3">
        <f>VLOOKUP(A3603,airports!A:H,7,FALSE)</f>
        <v>37.649958890000001</v>
      </c>
      <c r="E3603" s="3">
        <f>VLOOKUP(A3603,airports!A:H,8,FALSE)</f>
        <v>-97.433045829999998</v>
      </c>
      <c r="F3603" s="3">
        <f>VLOOKUP(B3603,airports!A:H,7,FALSE)</f>
        <v>44.257408060000003</v>
      </c>
      <c r="G3603" s="3">
        <f>VLOOKUP(B3603,airports!A:H,8,FALSE)</f>
        <v>-88.519475560000004</v>
      </c>
      <c r="H3603">
        <f t="shared" si="112"/>
        <v>1047.7</v>
      </c>
      <c r="I3603">
        <f t="shared" si="113"/>
        <v>651</v>
      </c>
    </row>
    <row r="3604" spans="1:9" x14ac:dyDescent="0.25">
      <c r="A3604" s="5" t="s">
        <v>533</v>
      </c>
      <c r="B3604" s="5" t="s">
        <v>329</v>
      </c>
      <c r="C3604" s="5" t="s">
        <v>4074</v>
      </c>
      <c r="D3604" s="3">
        <f>VLOOKUP(A3604,airports!A:H,7,FALSE)</f>
        <v>37.649958890000001</v>
      </c>
      <c r="E3604" s="3">
        <f>VLOOKUP(A3604,airports!A:H,8,FALSE)</f>
        <v>-97.433045829999998</v>
      </c>
      <c r="F3604" s="3">
        <f>VLOOKUP(B3604,airports!A:H,7,FALSE)</f>
        <v>33.308999999999997</v>
      </c>
      <c r="G3604" s="3">
        <f>VLOOKUP(B3604,airports!A:H,8,FALSE)</f>
        <v>-111.6559</v>
      </c>
      <c r="H3604">
        <f t="shared" si="112"/>
        <v>1373.6</v>
      </c>
      <c r="I3604">
        <f t="shared" si="113"/>
        <v>853.5</v>
      </c>
    </row>
    <row r="3605" spans="1:9" x14ac:dyDescent="0.25">
      <c r="A3605" s="5" t="s">
        <v>533</v>
      </c>
      <c r="B3605" s="5" t="s">
        <v>467</v>
      </c>
      <c r="C3605" s="5" t="s">
        <v>4075</v>
      </c>
      <c r="D3605" s="3">
        <f>VLOOKUP(A3605,airports!A:H,7,FALSE)</f>
        <v>37.649958890000001</v>
      </c>
      <c r="E3605" s="3">
        <f>VLOOKUP(A3605,airports!A:H,8,FALSE)</f>
        <v>-97.433045829999998</v>
      </c>
      <c r="F3605" s="3">
        <f>VLOOKUP(B3605,airports!A:H,7,FALSE)</f>
        <v>39.902375829999997</v>
      </c>
      <c r="G3605" s="3">
        <f>VLOOKUP(B3605,airports!A:H,8,FALSE)</f>
        <v>-84.219374999999999</v>
      </c>
      <c r="H3605">
        <f t="shared" si="112"/>
        <v>1171.3</v>
      </c>
      <c r="I3605">
        <f t="shared" si="113"/>
        <v>727.9</v>
      </c>
    </row>
    <row r="3606" spans="1:9" x14ac:dyDescent="0.25">
      <c r="A3606" s="5" t="s">
        <v>533</v>
      </c>
      <c r="B3606" s="5" t="s">
        <v>47</v>
      </c>
      <c r="C3606" s="5" t="s">
        <v>4076</v>
      </c>
      <c r="D3606" s="3">
        <f>VLOOKUP(A3606,airports!A:H,7,FALSE)</f>
        <v>37.649958890000001</v>
      </c>
      <c r="E3606" s="3">
        <f>VLOOKUP(A3606,airports!A:H,8,FALSE)</f>
        <v>-97.433045829999998</v>
      </c>
      <c r="F3606" s="3">
        <f>VLOOKUP(B3606,airports!A:H,7,FALSE)</f>
        <v>39.858408060000002</v>
      </c>
      <c r="G3606" s="3">
        <f>VLOOKUP(B3606,airports!A:H,8,FALSE)</f>
        <v>-104.6670019</v>
      </c>
      <c r="H3606">
        <f t="shared" si="112"/>
        <v>673.4</v>
      </c>
      <c r="I3606">
        <f t="shared" si="113"/>
        <v>418.4</v>
      </c>
    </row>
    <row r="3607" spans="1:9" ht="30" x14ac:dyDescent="0.25">
      <c r="A3607" s="5" t="s">
        <v>533</v>
      </c>
      <c r="B3607" s="5" t="s">
        <v>49</v>
      </c>
      <c r="C3607" s="5" t="s">
        <v>4077</v>
      </c>
      <c r="D3607" s="3">
        <f>VLOOKUP(A3607,airports!A:H,7,FALSE)</f>
        <v>37.649958890000001</v>
      </c>
      <c r="E3607" s="3">
        <f>VLOOKUP(A3607,airports!A:H,8,FALSE)</f>
        <v>-97.433045829999998</v>
      </c>
      <c r="F3607" s="3">
        <f>VLOOKUP(B3607,airports!A:H,7,FALSE)</f>
        <v>32.895950560000003</v>
      </c>
      <c r="G3607" s="3">
        <f>VLOOKUP(B3607,airports!A:H,8,FALSE)</f>
        <v>-97.037199999999999</v>
      </c>
      <c r="H3607">
        <f t="shared" si="112"/>
        <v>529.79999999999995</v>
      </c>
      <c r="I3607">
        <f t="shared" si="113"/>
        <v>329.2</v>
      </c>
    </row>
    <row r="3608" spans="1:9" ht="30" x14ac:dyDescent="0.25">
      <c r="A3608" s="5" t="s">
        <v>533</v>
      </c>
      <c r="B3608" s="5" t="s">
        <v>205</v>
      </c>
      <c r="C3608" s="5" t="s">
        <v>4078</v>
      </c>
      <c r="D3608" s="3">
        <f>VLOOKUP(A3608,airports!A:H,7,FALSE)</f>
        <v>37.649958890000001</v>
      </c>
      <c r="E3608" s="3">
        <f>VLOOKUP(A3608,airports!A:H,8,FALSE)</f>
        <v>-97.433045829999998</v>
      </c>
      <c r="F3608" s="3">
        <f>VLOOKUP(B3608,airports!A:H,7,FALSE)</f>
        <v>29.64541861</v>
      </c>
      <c r="G3608" s="3">
        <f>VLOOKUP(B3608,airports!A:H,8,FALSE)</f>
        <v>-95.278888890000005</v>
      </c>
      <c r="H3608">
        <f t="shared" si="112"/>
        <v>912</v>
      </c>
      <c r="I3608">
        <f t="shared" si="113"/>
        <v>566.79999999999995</v>
      </c>
    </row>
    <row r="3609" spans="1:9" x14ac:dyDescent="0.25">
      <c r="A3609" s="5" t="s">
        <v>533</v>
      </c>
      <c r="B3609" s="5" t="s">
        <v>2394</v>
      </c>
      <c r="C3609" s="5" t="s">
        <v>4079</v>
      </c>
      <c r="D3609" s="3">
        <f>VLOOKUP(A3609,airports!A:H,7,FALSE)</f>
        <v>37.649958890000001</v>
      </c>
      <c r="E3609" s="3">
        <f>VLOOKUP(A3609,airports!A:H,8,FALSE)</f>
        <v>-97.433045829999998</v>
      </c>
      <c r="F3609" s="3">
        <f>VLOOKUP(B3609,airports!A:H,7,FALSE)</f>
        <v>38.844941669999997</v>
      </c>
      <c r="G3609" s="3">
        <f>VLOOKUP(B3609,airports!A:H,8,FALSE)</f>
        <v>-99.274033610000004</v>
      </c>
      <c r="H3609">
        <f t="shared" si="112"/>
        <v>208.6</v>
      </c>
      <c r="I3609">
        <f t="shared" si="113"/>
        <v>129.6</v>
      </c>
    </row>
    <row r="3610" spans="1:9" x14ac:dyDescent="0.25">
      <c r="A3610" s="5" t="s">
        <v>533</v>
      </c>
      <c r="B3610" s="5" t="s">
        <v>67</v>
      </c>
      <c r="C3610" s="5" t="s">
        <v>4080</v>
      </c>
      <c r="D3610" s="3">
        <f>VLOOKUP(A3610,airports!A:H,7,FALSE)</f>
        <v>37.649958890000001</v>
      </c>
      <c r="E3610" s="3">
        <f>VLOOKUP(A3610,airports!A:H,8,FALSE)</f>
        <v>-97.433045829999998</v>
      </c>
      <c r="F3610" s="3">
        <f>VLOOKUP(B3610,airports!A:H,7,FALSE)</f>
        <v>29.980472219999999</v>
      </c>
      <c r="G3610" s="3">
        <f>VLOOKUP(B3610,airports!A:H,8,FALSE)</f>
        <v>-95.339722219999999</v>
      </c>
      <c r="H3610">
        <f t="shared" si="112"/>
        <v>874.4</v>
      </c>
      <c r="I3610">
        <f t="shared" si="113"/>
        <v>543.4</v>
      </c>
    </row>
    <row r="3611" spans="1:9" x14ac:dyDescent="0.25">
      <c r="A3611" s="5" t="s">
        <v>533</v>
      </c>
      <c r="B3611" s="5" t="s">
        <v>71</v>
      </c>
      <c r="C3611" s="5" t="s">
        <v>4081</v>
      </c>
      <c r="D3611" s="3">
        <f>VLOOKUP(A3611,airports!A:H,7,FALSE)</f>
        <v>37.649958890000001</v>
      </c>
      <c r="E3611" s="3">
        <f>VLOOKUP(A3611,airports!A:H,8,FALSE)</f>
        <v>-97.433045829999998</v>
      </c>
      <c r="F3611" s="3">
        <f>VLOOKUP(B3611,airports!A:H,7,FALSE)</f>
        <v>36.080361109999998</v>
      </c>
      <c r="G3611" s="3">
        <f>VLOOKUP(B3611,airports!A:H,8,FALSE)</f>
        <v>-115.1523333</v>
      </c>
      <c r="H3611">
        <f t="shared" si="112"/>
        <v>1583.6</v>
      </c>
      <c r="I3611">
        <f t="shared" si="113"/>
        <v>984</v>
      </c>
    </row>
    <row r="3612" spans="1:9" x14ac:dyDescent="0.25">
      <c r="A3612" s="5" t="s">
        <v>533</v>
      </c>
      <c r="B3612" s="5" t="s">
        <v>73</v>
      </c>
      <c r="C3612" s="5" t="s">
        <v>4082</v>
      </c>
      <c r="D3612" s="3">
        <f>VLOOKUP(A3612,airports!A:H,7,FALSE)</f>
        <v>37.649958890000001</v>
      </c>
      <c r="E3612" s="3">
        <f>VLOOKUP(A3612,airports!A:H,8,FALSE)</f>
        <v>-97.433045829999998</v>
      </c>
      <c r="F3612" s="3">
        <f>VLOOKUP(B3612,airports!A:H,7,FALSE)</f>
        <v>33.942536109999999</v>
      </c>
      <c r="G3612" s="3">
        <f>VLOOKUP(B3612,airports!A:H,8,FALSE)</f>
        <v>-118.4080744</v>
      </c>
      <c r="H3612">
        <f t="shared" si="112"/>
        <v>1931.8</v>
      </c>
      <c r="I3612">
        <f t="shared" si="113"/>
        <v>1200.4000000000001</v>
      </c>
    </row>
    <row r="3613" spans="1:9" ht="30" x14ac:dyDescent="0.25">
      <c r="A3613" s="5" t="s">
        <v>533</v>
      </c>
      <c r="B3613" s="5" t="s">
        <v>2661</v>
      </c>
      <c r="C3613" s="5" t="s">
        <v>4083</v>
      </c>
      <c r="D3613" s="3">
        <f>VLOOKUP(A3613,airports!A:H,7,FALSE)</f>
        <v>37.649958890000001</v>
      </c>
      <c r="E3613" s="3">
        <f>VLOOKUP(A3613,airports!A:H,8,FALSE)</f>
        <v>-97.433045829999998</v>
      </c>
      <c r="F3613" s="3">
        <f>VLOOKUP(B3613,airports!A:H,7,FALSE)</f>
        <v>39.14096722</v>
      </c>
      <c r="G3613" s="3">
        <f>VLOOKUP(B3613,airports!A:H,8,FALSE)</f>
        <v>-96.670832779999998</v>
      </c>
      <c r="H3613">
        <f t="shared" si="112"/>
        <v>178.6</v>
      </c>
      <c r="I3613">
        <f t="shared" si="113"/>
        <v>111</v>
      </c>
    </row>
    <row r="3614" spans="1:9" x14ac:dyDescent="0.25">
      <c r="A3614" s="5" t="s">
        <v>533</v>
      </c>
      <c r="B3614" s="5" t="s">
        <v>87</v>
      </c>
      <c r="C3614" s="5" t="s">
        <v>4084</v>
      </c>
      <c r="D3614" s="3">
        <f>VLOOKUP(A3614,airports!A:H,7,FALSE)</f>
        <v>37.649958890000001</v>
      </c>
      <c r="E3614" s="3">
        <f>VLOOKUP(A3614,airports!A:H,8,FALSE)</f>
        <v>-97.433045829999998</v>
      </c>
      <c r="F3614" s="3">
        <f>VLOOKUP(B3614,airports!A:H,7,FALSE)</f>
        <v>44.880546940000002</v>
      </c>
      <c r="G3614" s="3">
        <f>VLOOKUP(B3614,airports!A:H,8,FALSE)</f>
        <v>-93.216922499999995</v>
      </c>
      <c r="H3614">
        <f t="shared" si="112"/>
        <v>877.5</v>
      </c>
      <c r="I3614">
        <f t="shared" si="113"/>
        <v>545.29999999999995</v>
      </c>
    </row>
    <row r="3615" spans="1:9" x14ac:dyDescent="0.25">
      <c r="A3615" s="5" t="s">
        <v>533</v>
      </c>
      <c r="B3615" s="5" t="s">
        <v>590</v>
      </c>
      <c r="C3615" s="5" t="s">
        <v>4085</v>
      </c>
      <c r="D3615" s="3">
        <f>VLOOKUP(A3615,airports!A:H,7,FALSE)</f>
        <v>37.649958890000001</v>
      </c>
      <c r="E3615" s="3">
        <f>VLOOKUP(A3615,airports!A:H,8,FALSE)</f>
        <v>-97.433045829999998</v>
      </c>
      <c r="F3615" s="3">
        <f>VLOOKUP(B3615,airports!A:H,7,FALSE)</f>
        <v>35.393088329999998</v>
      </c>
      <c r="G3615" s="3">
        <f>VLOOKUP(B3615,airports!A:H,8,FALSE)</f>
        <v>-97.600733890000001</v>
      </c>
      <c r="H3615">
        <f t="shared" si="112"/>
        <v>251.4</v>
      </c>
      <c r="I3615">
        <f t="shared" si="113"/>
        <v>156.19999999999999</v>
      </c>
    </row>
    <row r="3616" spans="1:9" x14ac:dyDescent="0.25">
      <c r="A3616" s="5" t="s">
        <v>533</v>
      </c>
      <c r="B3616" s="5" t="s">
        <v>95</v>
      </c>
      <c r="C3616" s="5" t="s">
        <v>4086</v>
      </c>
      <c r="D3616" s="3">
        <f>VLOOKUP(A3616,airports!A:H,7,FALSE)</f>
        <v>37.649958890000001</v>
      </c>
      <c r="E3616" s="3">
        <f>VLOOKUP(A3616,airports!A:H,8,FALSE)</f>
        <v>-97.433045829999998</v>
      </c>
      <c r="F3616" s="3">
        <f>VLOOKUP(B3616,airports!A:H,7,FALSE)</f>
        <v>41.979595000000003</v>
      </c>
      <c r="G3616" s="3">
        <f>VLOOKUP(B3616,airports!A:H,8,FALSE)</f>
        <v>-87.904464169999997</v>
      </c>
      <c r="H3616">
        <f t="shared" si="112"/>
        <v>944.7</v>
      </c>
      <c r="I3616">
        <f t="shared" si="113"/>
        <v>587.1</v>
      </c>
    </row>
    <row r="3617" spans="1:9" x14ac:dyDescent="0.25">
      <c r="A3617" s="5" t="s">
        <v>533</v>
      </c>
      <c r="B3617" s="5" t="s">
        <v>104</v>
      </c>
      <c r="C3617" s="5" t="s">
        <v>4087</v>
      </c>
      <c r="D3617" s="3">
        <f>VLOOKUP(A3617,airports!A:H,7,FALSE)</f>
        <v>37.649958890000001</v>
      </c>
      <c r="E3617" s="3">
        <f>VLOOKUP(A3617,airports!A:H,8,FALSE)</f>
        <v>-97.433045829999998</v>
      </c>
      <c r="F3617" s="3">
        <f>VLOOKUP(B3617,airports!A:H,7,FALSE)</f>
        <v>33.434166670000003</v>
      </c>
      <c r="G3617" s="3">
        <f>VLOOKUP(B3617,airports!A:H,8,FALSE)</f>
        <v>-112.00805560000001</v>
      </c>
      <c r="H3617">
        <f t="shared" si="112"/>
        <v>1397.7</v>
      </c>
      <c r="I3617">
        <f t="shared" si="113"/>
        <v>868.6</v>
      </c>
    </row>
    <row r="3618" spans="1:9" x14ac:dyDescent="0.25">
      <c r="A3618" s="5" t="s">
        <v>533</v>
      </c>
      <c r="B3618" s="5" t="s">
        <v>188</v>
      </c>
      <c r="C3618" s="5" t="s">
        <v>4088</v>
      </c>
      <c r="D3618" s="3">
        <f>VLOOKUP(A3618,airports!A:H,7,FALSE)</f>
        <v>37.649958890000001</v>
      </c>
      <c r="E3618" s="3">
        <f>VLOOKUP(A3618,airports!A:H,8,FALSE)</f>
        <v>-97.433045829999998</v>
      </c>
      <c r="F3618" s="3">
        <f>VLOOKUP(B3618,airports!A:H,7,FALSE)</f>
        <v>27.910763330000002</v>
      </c>
      <c r="G3618" s="3">
        <f>VLOOKUP(B3618,airports!A:H,8,FALSE)</f>
        <v>-82.687439440000006</v>
      </c>
      <c r="H3618">
        <f t="shared" si="112"/>
        <v>1749.2</v>
      </c>
      <c r="I3618">
        <f t="shared" si="113"/>
        <v>1087</v>
      </c>
    </row>
    <row r="3619" spans="1:9" x14ac:dyDescent="0.25">
      <c r="A3619" s="5" t="s">
        <v>533</v>
      </c>
      <c r="B3619" s="5" t="s">
        <v>128</v>
      </c>
      <c r="C3619" s="5" t="s">
        <v>4089</v>
      </c>
      <c r="D3619" s="3">
        <f>VLOOKUP(A3619,airports!A:H,7,FALSE)</f>
        <v>37.649958890000001</v>
      </c>
      <c r="E3619" s="3">
        <f>VLOOKUP(A3619,airports!A:H,8,FALSE)</f>
        <v>-97.433045829999998</v>
      </c>
      <c r="F3619" s="3">
        <f>VLOOKUP(B3619,airports!A:H,7,FALSE)</f>
        <v>47.448981940000003</v>
      </c>
      <c r="G3619" s="3">
        <f>VLOOKUP(B3619,airports!A:H,8,FALSE)</f>
        <v>-122.3093131</v>
      </c>
      <c r="H3619">
        <f t="shared" si="112"/>
        <v>2296.5</v>
      </c>
      <c r="I3619">
        <f t="shared" si="113"/>
        <v>1427.1</v>
      </c>
    </row>
    <row r="3620" spans="1:9" x14ac:dyDescent="0.25">
      <c r="A3620" s="5" t="s">
        <v>533</v>
      </c>
      <c r="B3620" s="5" t="s">
        <v>191</v>
      </c>
      <c r="C3620" s="5" t="s">
        <v>4090</v>
      </c>
      <c r="D3620" s="3">
        <f>VLOOKUP(A3620,airports!A:H,7,FALSE)</f>
        <v>37.649958890000001</v>
      </c>
      <c r="E3620" s="3">
        <f>VLOOKUP(A3620,airports!A:H,8,FALSE)</f>
        <v>-97.433045829999998</v>
      </c>
      <c r="F3620" s="3">
        <f>VLOOKUP(B3620,airports!A:H,7,FALSE)</f>
        <v>28.7776</v>
      </c>
      <c r="G3620" s="3">
        <f>VLOOKUP(B3620,airports!A:H,8,FALSE)</f>
        <v>-81.237499999999997</v>
      </c>
      <c r="H3620">
        <f t="shared" si="112"/>
        <v>1796.8</v>
      </c>
      <c r="I3620">
        <f t="shared" si="113"/>
        <v>1116.5</v>
      </c>
    </row>
    <row r="3621" spans="1:9" x14ac:dyDescent="0.25">
      <c r="A3621" s="5" t="s">
        <v>533</v>
      </c>
      <c r="B3621" s="5" t="s">
        <v>644</v>
      </c>
      <c r="C3621" s="5" t="s">
        <v>4091</v>
      </c>
      <c r="D3621" s="3">
        <f>VLOOKUP(A3621,airports!A:H,7,FALSE)</f>
        <v>37.649958890000001</v>
      </c>
      <c r="E3621" s="3">
        <f>VLOOKUP(A3621,airports!A:H,8,FALSE)</f>
        <v>-97.433045829999998</v>
      </c>
      <c r="F3621" s="3">
        <f>VLOOKUP(B3621,airports!A:H,7,FALSE)</f>
        <v>38.747686940000001</v>
      </c>
      <c r="G3621" s="3">
        <f>VLOOKUP(B3621,airports!A:H,8,FALSE)</f>
        <v>-90.359989720000002</v>
      </c>
      <c r="H3621">
        <f t="shared" si="112"/>
        <v>629.79999999999995</v>
      </c>
      <c r="I3621">
        <f t="shared" si="113"/>
        <v>391.4</v>
      </c>
    </row>
    <row r="3622" spans="1:9" x14ac:dyDescent="0.25">
      <c r="A3622" s="5" t="s">
        <v>533</v>
      </c>
      <c r="B3622" s="5" t="s">
        <v>668</v>
      </c>
      <c r="C3622" s="5" t="s">
        <v>4092</v>
      </c>
      <c r="D3622" s="3">
        <f>VLOOKUP(A3622,airports!A:H,7,FALSE)</f>
        <v>37.649958890000001</v>
      </c>
      <c r="E3622" s="3">
        <f>VLOOKUP(A3622,airports!A:H,8,FALSE)</f>
        <v>-97.433045829999998</v>
      </c>
      <c r="F3622" s="3">
        <f>VLOOKUP(B3622,airports!A:H,7,FALSE)</f>
        <v>30.483250000000002</v>
      </c>
      <c r="G3622" s="3">
        <f>VLOOKUP(B3622,airports!A:H,8,FALSE)</f>
        <v>-86.525400000000005</v>
      </c>
      <c r="H3622">
        <f t="shared" si="112"/>
        <v>1280.8</v>
      </c>
      <c r="I3622">
        <f t="shared" si="113"/>
        <v>795.9</v>
      </c>
    </row>
    <row r="3623" spans="1:9" ht="30" x14ac:dyDescent="0.25">
      <c r="A3623" s="5" t="s">
        <v>867</v>
      </c>
      <c r="B3623" s="5" t="s">
        <v>329</v>
      </c>
      <c r="C3623" s="5" t="s">
        <v>4093</v>
      </c>
      <c r="D3623" s="3">
        <f>VLOOKUP(A3623,airports!A:H,7,FALSE)</f>
        <v>43.514555559999998</v>
      </c>
      <c r="E3623" s="3">
        <f>VLOOKUP(A3623,airports!A:H,8,FALSE)</f>
        <v>-112.0701667</v>
      </c>
      <c r="F3623" s="3">
        <f>VLOOKUP(B3623,airports!A:H,7,FALSE)</f>
        <v>33.308999999999997</v>
      </c>
      <c r="G3623" s="3">
        <f>VLOOKUP(B3623,airports!A:H,8,FALSE)</f>
        <v>-111.6559</v>
      </c>
      <c r="H3623">
        <f t="shared" si="112"/>
        <v>1135.4000000000001</v>
      </c>
      <c r="I3623">
        <f t="shared" si="113"/>
        <v>705.5</v>
      </c>
    </row>
    <row r="3624" spans="1:9" x14ac:dyDescent="0.25">
      <c r="A3624" s="5" t="s">
        <v>867</v>
      </c>
      <c r="B3624" s="5" t="s">
        <v>22</v>
      </c>
      <c r="C3624" s="5" t="s">
        <v>4094</v>
      </c>
      <c r="D3624" s="3">
        <f>VLOOKUP(A3624,airports!A:H,7,FALSE)</f>
        <v>43.514555559999998</v>
      </c>
      <c r="E3624" s="3">
        <f>VLOOKUP(A3624,airports!A:H,8,FALSE)</f>
        <v>-112.0701667</v>
      </c>
      <c r="F3624" s="3">
        <f>VLOOKUP(B3624,airports!A:H,7,FALSE)</f>
        <v>43.564444440000003</v>
      </c>
      <c r="G3624" s="3">
        <f>VLOOKUP(B3624,airports!A:H,8,FALSE)</f>
        <v>-116.2227778</v>
      </c>
      <c r="H3624">
        <f t="shared" si="112"/>
        <v>334.7</v>
      </c>
      <c r="I3624">
        <f t="shared" si="113"/>
        <v>208</v>
      </c>
    </row>
    <row r="3625" spans="1:9" ht="30" x14ac:dyDescent="0.25">
      <c r="A3625" s="5" t="s">
        <v>867</v>
      </c>
      <c r="B3625" s="5" t="s">
        <v>34</v>
      </c>
      <c r="C3625" s="5" t="s">
        <v>4095</v>
      </c>
      <c r="D3625" s="3">
        <f>VLOOKUP(A3625,airports!A:H,7,FALSE)</f>
        <v>43.514555559999998</v>
      </c>
      <c r="E3625" s="3">
        <f>VLOOKUP(A3625,airports!A:H,8,FALSE)</f>
        <v>-112.0701667</v>
      </c>
      <c r="F3625" s="3">
        <f>VLOOKUP(B3625,airports!A:H,7,FALSE)</f>
        <v>45.776901389999999</v>
      </c>
      <c r="G3625" s="3">
        <f>VLOOKUP(B3625,airports!A:H,8,FALSE)</f>
        <v>-111.1530072</v>
      </c>
      <c r="H3625">
        <f t="shared" si="112"/>
        <v>261.8</v>
      </c>
      <c r="I3625">
        <f t="shared" si="113"/>
        <v>162.69999999999999</v>
      </c>
    </row>
    <row r="3626" spans="1:9" ht="30" x14ac:dyDescent="0.25">
      <c r="A3626" s="5" t="s">
        <v>867</v>
      </c>
      <c r="B3626" s="5" t="s">
        <v>47</v>
      </c>
      <c r="C3626" s="5" t="s">
        <v>4096</v>
      </c>
      <c r="D3626" s="3">
        <f>VLOOKUP(A3626,airports!A:H,7,FALSE)</f>
        <v>43.514555559999998</v>
      </c>
      <c r="E3626" s="3">
        <f>VLOOKUP(A3626,airports!A:H,8,FALSE)</f>
        <v>-112.0701667</v>
      </c>
      <c r="F3626" s="3">
        <f>VLOOKUP(B3626,airports!A:H,7,FALSE)</f>
        <v>39.858408060000002</v>
      </c>
      <c r="G3626" s="3">
        <f>VLOOKUP(B3626,airports!A:H,8,FALSE)</f>
        <v>-104.6670019</v>
      </c>
      <c r="H3626">
        <f t="shared" si="112"/>
        <v>736.6</v>
      </c>
      <c r="I3626">
        <f t="shared" si="113"/>
        <v>457.7</v>
      </c>
    </row>
    <row r="3627" spans="1:9" ht="30" x14ac:dyDescent="0.25">
      <c r="A3627" s="5" t="s">
        <v>867</v>
      </c>
      <c r="B3627" s="5" t="s">
        <v>49</v>
      </c>
      <c r="C3627" s="5" t="s">
        <v>4097</v>
      </c>
      <c r="D3627" s="3">
        <f>VLOOKUP(A3627,airports!A:H,7,FALSE)</f>
        <v>43.514555559999998</v>
      </c>
      <c r="E3627" s="3">
        <f>VLOOKUP(A3627,airports!A:H,8,FALSE)</f>
        <v>-112.0701667</v>
      </c>
      <c r="F3627" s="3">
        <f>VLOOKUP(B3627,airports!A:H,7,FALSE)</f>
        <v>32.895950560000003</v>
      </c>
      <c r="G3627" s="3">
        <f>VLOOKUP(B3627,airports!A:H,8,FALSE)</f>
        <v>-97.037199999999999</v>
      </c>
      <c r="H3627">
        <f t="shared" si="112"/>
        <v>1761.1</v>
      </c>
      <c r="I3627">
        <f t="shared" si="113"/>
        <v>1094.4000000000001</v>
      </c>
    </row>
    <row r="3628" spans="1:9" x14ac:dyDescent="0.25">
      <c r="A3628" s="5" t="s">
        <v>867</v>
      </c>
      <c r="B3628" s="5" t="s">
        <v>71</v>
      </c>
      <c r="C3628" s="5" t="s">
        <v>4098</v>
      </c>
      <c r="D3628" s="3">
        <f>VLOOKUP(A3628,airports!A:H,7,FALSE)</f>
        <v>43.514555559999998</v>
      </c>
      <c r="E3628" s="3">
        <f>VLOOKUP(A3628,airports!A:H,8,FALSE)</f>
        <v>-112.0701667</v>
      </c>
      <c r="F3628" s="3">
        <f>VLOOKUP(B3628,airports!A:H,7,FALSE)</f>
        <v>36.080361109999998</v>
      </c>
      <c r="G3628" s="3">
        <f>VLOOKUP(B3628,airports!A:H,8,FALSE)</f>
        <v>-115.1523333</v>
      </c>
      <c r="H3628">
        <f t="shared" si="112"/>
        <v>867.4</v>
      </c>
      <c r="I3628">
        <f t="shared" si="113"/>
        <v>539</v>
      </c>
    </row>
    <row r="3629" spans="1:9" x14ac:dyDescent="0.25">
      <c r="A3629" s="5" t="s">
        <v>867</v>
      </c>
      <c r="B3629" s="5" t="s">
        <v>73</v>
      </c>
      <c r="C3629" s="5" t="s">
        <v>4099</v>
      </c>
      <c r="D3629" s="3">
        <f>VLOOKUP(A3629,airports!A:H,7,FALSE)</f>
        <v>43.514555559999998</v>
      </c>
      <c r="E3629" s="3">
        <f>VLOOKUP(A3629,airports!A:H,8,FALSE)</f>
        <v>-112.0701667</v>
      </c>
      <c r="F3629" s="3">
        <f>VLOOKUP(B3629,airports!A:H,7,FALSE)</f>
        <v>33.942536109999999</v>
      </c>
      <c r="G3629" s="3">
        <f>VLOOKUP(B3629,airports!A:H,8,FALSE)</f>
        <v>-118.4080744</v>
      </c>
      <c r="H3629">
        <f t="shared" si="112"/>
        <v>1197.0999999999999</v>
      </c>
      <c r="I3629">
        <f t="shared" si="113"/>
        <v>743.9</v>
      </c>
    </row>
    <row r="3630" spans="1:9" ht="30" x14ac:dyDescent="0.25">
      <c r="A3630" s="5" t="s">
        <v>867</v>
      </c>
      <c r="B3630" s="5" t="s">
        <v>87</v>
      </c>
      <c r="C3630" s="5" t="s">
        <v>4100</v>
      </c>
      <c r="D3630" s="3">
        <f>VLOOKUP(A3630,airports!A:H,7,FALSE)</f>
        <v>43.514555559999998</v>
      </c>
      <c r="E3630" s="3">
        <f>VLOOKUP(A3630,airports!A:H,8,FALSE)</f>
        <v>-112.0701667</v>
      </c>
      <c r="F3630" s="3">
        <f>VLOOKUP(B3630,airports!A:H,7,FALSE)</f>
        <v>44.880546940000002</v>
      </c>
      <c r="G3630" s="3">
        <f>VLOOKUP(B3630,airports!A:H,8,FALSE)</f>
        <v>-93.216922499999995</v>
      </c>
      <c r="H3630">
        <f t="shared" si="112"/>
        <v>1507.2</v>
      </c>
      <c r="I3630">
        <f t="shared" si="113"/>
        <v>936.6</v>
      </c>
    </row>
    <row r="3631" spans="1:9" ht="30" x14ac:dyDescent="0.25">
      <c r="A3631" s="5" t="s">
        <v>867</v>
      </c>
      <c r="B3631" s="5" t="s">
        <v>215</v>
      </c>
      <c r="C3631" s="5" t="s">
        <v>4101</v>
      </c>
      <c r="D3631" s="3">
        <f>VLOOKUP(A3631,airports!A:H,7,FALSE)</f>
        <v>43.514555559999998</v>
      </c>
      <c r="E3631" s="3">
        <f>VLOOKUP(A3631,airports!A:H,8,FALSE)</f>
        <v>-112.0701667</v>
      </c>
      <c r="F3631" s="3">
        <f>VLOOKUP(B3631,airports!A:H,7,FALSE)</f>
        <v>37.721290830000001</v>
      </c>
      <c r="G3631" s="3">
        <f>VLOOKUP(B3631,airports!A:H,8,FALSE)</f>
        <v>-122.2207167</v>
      </c>
      <c r="H3631">
        <f t="shared" si="112"/>
        <v>1070.5999999999999</v>
      </c>
      <c r="I3631">
        <f t="shared" si="113"/>
        <v>665.3</v>
      </c>
    </row>
    <row r="3632" spans="1:9" ht="30" x14ac:dyDescent="0.25">
      <c r="A3632" s="5" t="s">
        <v>867</v>
      </c>
      <c r="B3632" s="5" t="s">
        <v>100</v>
      </c>
      <c r="C3632" s="5" t="s">
        <v>4102</v>
      </c>
      <c r="D3632" s="3">
        <f>VLOOKUP(A3632,airports!A:H,7,FALSE)</f>
        <v>43.514555559999998</v>
      </c>
      <c r="E3632" s="3">
        <f>VLOOKUP(A3632,airports!A:H,8,FALSE)</f>
        <v>-112.0701667</v>
      </c>
      <c r="F3632" s="3">
        <f>VLOOKUP(B3632,airports!A:H,7,FALSE)</f>
        <v>45.588722220000001</v>
      </c>
      <c r="G3632" s="3">
        <f>VLOOKUP(B3632,airports!A:H,8,FALSE)</f>
        <v>-122.5975</v>
      </c>
      <c r="H3632">
        <f t="shared" si="112"/>
        <v>864.7</v>
      </c>
      <c r="I3632">
        <f t="shared" si="113"/>
        <v>537.4</v>
      </c>
    </row>
    <row r="3633" spans="1:9" ht="30" x14ac:dyDescent="0.25">
      <c r="A3633" s="5" t="s">
        <v>867</v>
      </c>
      <c r="B3633" s="5" t="s">
        <v>104</v>
      </c>
      <c r="C3633" s="5" t="s">
        <v>4103</v>
      </c>
      <c r="D3633" s="3">
        <f>VLOOKUP(A3633,airports!A:H,7,FALSE)</f>
        <v>43.514555559999998</v>
      </c>
      <c r="E3633" s="3">
        <f>VLOOKUP(A3633,airports!A:H,8,FALSE)</f>
        <v>-112.0701667</v>
      </c>
      <c r="F3633" s="3">
        <f>VLOOKUP(B3633,airports!A:H,7,FALSE)</f>
        <v>33.434166670000003</v>
      </c>
      <c r="G3633" s="3">
        <f>VLOOKUP(B3633,airports!A:H,8,FALSE)</f>
        <v>-112.00805560000001</v>
      </c>
      <c r="H3633">
        <f t="shared" si="112"/>
        <v>1120.9000000000001</v>
      </c>
      <c r="I3633">
        <f t="shared" si="113"/>
        <v>696.5</v>
      </c>
    </row>
    <row r="3634" spans="1:9" ht="30" x14ac:dyDescent="0.25">
      <c r="A3634" s="5" t="s">
        <v>867</v>
      </c>
      <c r="B3634" s="5" t="s">
        <v>124</v>
      </c>
      <c r="C3634" s="5" t="s">
        <v>4104</v>
      </c>
      <c r="D3634" s="3">
        <f>VLOOKUP(A3634,airports!A:H,7,FALSE)</f>
        <v>43.514555559999998</v>
      </c>
      <c r="E3634" s="3">
        <f>VLOOKUP(A3634,airports!A:H,8,FALSE)</f>
        <v>-112.0701667</v>
      </c>
      <c r="F3634" s="3">
        <f>VLOOKUP(B3634,airports!A:H,7,FALSE)</f>
        <v>32.733556110000002</v>
      </c>
      <c r="G3634" s="3">
        <f>VLOOKUP(B3634,airports!A:H,8,FALSE)</f>
        <v>-117.1896567</v>
      </c>
      <c r="H3634">
        <f t="shared" si="112"/>
        <v>1279</v>
      </c>
      <c r="I3634">
        <f t="shared" si="113"/>
        <v>794.8</v>
      </c>
    </row>
    <row r="3635" spans="1:9" x14ac:dyDescent="0.25">
      <c r="A3635" s="5" t="s">
        <v>867</v>
      </c>
      <c r="B3635" s="5" t="s">
        <v>128</v>
      </c>
      <c r="C3635" s="5" t="s">
        <v>4105</v>
      </c>
      <c r="D3635" s="3">
        <f>VLOOKUP(A3635,airports!A:H,7,FALSE)</f>
        <v>43.514555559999998</v>
      </c>
      <c r="E3635" s="3">
        <f>VLOOKUP(A3635,airports!A:H,8,FALSE)</f>
        <v>-112.0701667</v>
      </c>
      <c r="F3635" s="3">
        <f>VLOOKUP(B3635,airports!A:H,7,FALSE)</f>
        <v>47.448981940000003</v>
      </c>
      <c r="G3635" s="3">
        <f>VLOOKUP(B3635,airports!A:H,8,FALSE)</f>
        <v>-122.3093131</v>
      </c>
      <c r="H3635">
        <f t="shared" si="112"/>
        <v>909.3</v>
      </c>
      <c r="I3635">
        <f t="shared" si="113"/>
        <v>565</v>
      </c>
    </row>
    <row r="3636" spans="1:9" x14ac:dyDescent="0.25">
      <c r="A3636" s="5" t="s">
        <v>867</v>
      </c>
      <c r="B3636" s="5" t="s">
        <v>135</v>
      </c>
      <c r="C3636" s="5" t="s">
        <v>4106</v>
      </c>
      <c r="D3636" s="3">
        <f>VLOOKUP(A3636,airports!A:H,7,FALSE)</f>
        <v>43.514555559999998</v>
      </c>
      <c r="E3636" s="3">
        <f>VLOOKUP(A3636,airports!A:H,8,FALSE)</f>
        <v>-112.0701667</v>
      </c>
      <c r="F3636" s="3">
        <f>VLOOKUP(B3636,airports!A:H,7,FALSE)</f>
        <v>40.788387780000001</v>
      </c>
      <c r="G3636" s="3">
        <f>VLOOKUP(B3636,airports!A:H,8,FALSE)</f>
        <v>-111.97777309999999</v>
      </c>
      <c r="H3636">
        <f t="shared" si="112"/>
        <v>303.2</v>
      </c>
      <c r="I3636">
        <f t="shared" si="113"/>
        <v>188.4</v>
      </c>
    </row>
    <row r="3637" spans="1:9" ht="30" x14ac:dyDescent="0.25">
      <c r="A3637" s="5" t="s">
        <v>867</v>
      </c>
      <c r="B3637" s="5" t="s">
        <v>227</v>
      </c>
      <c r="C3637" s="5" t="s">
        <v>4107</v>
      </c>
      <c r="D3637" s="3">
        <f>VLOOKUP(A3637,airports!A:H,7,FALSE)</f>
        <v>43.514555559999998</v>
      </c>
      <c r="E3637" s="3">
        <f>VLOOKUP(A3637,airports!A:H,8,FALSE)</f>
        <v>-112.0701667</v>
      </c>
      <c r="F3637" s="3">
        <f>VLOOKUP(B3637,airports!A:H,7,FALSE)</f>
        <v>33.675658609999999</v>
      </c>
      <c r="G3637" s="3">
        <f>VLOOKUP(B3637,airports!A:H,8,FALSE)</f>
        <v>-117.8682225</v>
      </c>
      <c r="H3637">
        <f t="shared" si="112"/>
        <v>1203.7</v>
      </c>
      <c r="I3637">
        <f t="shared" si="113"/>
        <v>748</v>
      </c>
    </row>
    <row r="3638" spans="1:9" x14ac:dyDescent="0.25">
      <c r="A3638" s="5" t="s">
        <v>4108</v>
      </c>
      <c r="B3638" s="5" t="s">
        <v>104</v>
      </c>
      <c r="C3638" s="5" t="s">
        <v>4109</v>
      </c>
      <c r="D3638" s="3">
        <f>VLOOKUP(A3638,airports!A:H,7,FALSE)</f>
        <v>35.157398000000001</v>
      </c>
      <c r="E3638" s="3">
        <f>VLOOKUP(A3638,airports!A:H,8,FALSE)</f>
        <v>-114.55999799999999</v>
      </c>
      <c r="F3638" s="3">
        <f>VLOOKUP(B3638,airports!A:H,7,FALSE)</f>
        <v>33.434166670000003</v>
      </c>
      <c r="G3638" s="3">
        <f>VLOOKUP(B3638,airports!A:H,8,FALSE)</f>
        <v>-112.00805560000001</v>
      </c>
      <c r="H3638">
        <f t="shared" si="112"/>
        <v>302.8</v>
      </c>
      <c r="I3638">
        <f t="shared" si="113"/>
        <v>188.1</v>
      </c>
    </row>
    <row r="3639" spans="1:9" ht="30" x14ac:dyDescent="0.25">
      <c r="A3639" s="5" t="s">
        <v>4110</v>
      </c>
      <c r="B3639" s="5" t="s">
        <v>82</v>
      </c>
      <c r="C3639" s="5" t="s">
        <v>4111</v>
      </c>
      <c r="D3639" s="3">
        <f>VLOOKUP(A3639,airports!A:H,7,FALSE)</f>
        <v>39.678722219999997</v>
      </c>
      <c r="E3639" s="3">
        <f>VLOOKUP(A3639,airports!A:H,8,FALSE)</f>
        <v>-75.606527779999993</v>
      </c>
      <c r="F3639" s="3">
        <f>VLOOKUP(B3639,airports!A:H,7,FALSE)</f>
        <v>28.42888889</v>
      </c>
      <c r="G3639" s="3">
        <f>VLOOKUP(B3639,airports!A:H,8,FALSE)</f>
        <v>-81.316027779999999</v>
      </c>
      <c r="H3639">
        <f t="shared" si="112"/>
        <v>1356.2</v>
      </c>
      <c r="I3639">
        <f t="shared" si="113"/>
        <v>842.8</v>
      </c>
    </row>
    <row r="3640" spans="1:9" x14ac:dyDescent="0.25">
      <c r="A3640" s="5" t="s">
        <v>535</v>
      </c>
      <c r="B3640" s="5" t="s">
        <v>10</v>
      </c>
      <c r="C3640" s="5" t="s">
        <v>4112</v>
      </c>
      <c r="D3640" s="3">
        <f>VLOOKUP(A3640,airports!A:H,7,FALSE)</f>
        <v>34.270611109999997</v>
      </c>
      <c r="E3640" s="3">
        <f>VLOOKUP(A3640,airports!A:H,8,FALSE)</f>
        <v>-77.902555559999996</v>
      </c>
      <c r="F3640" s="3">
        <f>VLOOKUP(B3640,airports!A:H,7,FALSE)</f>
        <v>33.640444440000003</v>
      </c>
      <c r="G3640" s="3">
        <f>VLOOKUP(B3640,airports!A:H,8,FALSE)</f>
        <v>-84.42694444</v>
      </c>
      <c r="H3640">
        <f t="shared" si="112"/>
        <v>605.70000000000005</v>
      </c>
      <c r="I3640">
        <f t="shared" si="113"/>
        <v>376.4</v>
      </c>
    </row>
    <row r="3641" spans="1:9" ht="30" x14ac:dyDescent="0.25">
      <c r="A3641" s="5" t="s">
        <v>535</v>
      </c>
      <c r="B3641" s="5" t="s">
        <v>24</v>
      </c>
      <c r="C3641" s="5" t="s">
        <v>4113</v>
      </c>
      <c r="D3641" s="3">
        <f>VLOOKUP(A3641,airports!A:H,7,FALSE)</f>
        <v>34.270611109999997</v>
      </c>
      <c r="E3641" s="3">
        <f>VLOOKUP(A3641,airports!A:H,8,FALSE)</f>
        <v>-77.902555559999996</v>
      </c>
      <c r="F3641" s="3">
        <f>VLOOKUP(B3641,airports!A:H,7,FALSE)</f>
        <v>42.364347500000001</v>
      </c>
      <c r="G3641" s="3">
        <f>VLOOKUP(B3641,airports!A:H,8,FALSE)</f>
        <v>-71.005179170000005</v>
      </c>
      <c r="H3641">
        <f t="shared" si="112"/>
        <v>1081.7</v>
      </c>
      <c r="I3641">
        <f t="shared" si="113"/>
        <v>672.2</v>
      </c>
    </row>
    <row r="3642" spans="1:9" x14ac:dyDescent="0.25">
      <c r="A3642" s="5" t="s">
        <v>535</v>
      </c>
      <c r="B3642" s="5" t="s">
        <v>40</v>
      </c>
      <c r="C3642" s="5" t="s">
        <v>4114</v>
      </c>
      <c r="D3642" s="3">
        <f>VLOOKUP(A3642,airports!A:H,7,FALSE)</f>
        <v>34.270611109999997</v>
      </c>
      <c r="E3642" s="3">
        <f>VLOOKUP(A3642,airports!A:H,8,FALSE)</f>
        <v>-77.902555559999996</v>
      </c>
      <c r="F3642" s="3">
        <f>VLOOKUP(B3642,airports!A:H,7,FALSE)</f>
        <v>35.214011110000001</v>
      </c>
      <c r="G3642" s="3">
        <f>VLOOKUP(B3642,airports!A:H,8,FALSE)</f>
        <v>-80.94312583</v>
      </c>
      <c r="H3642">
        <f t="shared" si="112"/>
        <v>296.89999999999998</v>
      </c>
      <c r="I3642">
        <f t="shared" si="113"/>
        <v>184.5</v>
      </c>
    </row>
    <row r="3643" spans="1:9" ht="30" x14ac:dyDescent="0.25">
      <c r="A3643" s="5" t="s">
        <v>535</v>
      </c>
      <c r="B3643" s="5" t="s">
        <v>45</v>
      </c>
      <c r="C3643" s="5" t="s">
        <v>4115</v>
      </c>
      <c r="D3643" s="3">
        <f>VLOOKUP(A3643,airports!A:H,7,FALSE)</f>
        <v>34.270611109999997</v>
      </c>
      <c r="E3643" s="3">
        <f>VLOOKUP(A3643,airports!A:H,8,FALSE)</f>
        <v>-77.902555559999996</v>
      </c>
      <c r="F3643" s="3">
        <f>VLOOKUP(B3643,airports!A:H,7,FALSE)</f>
        <v>38.852083329999999</v>
      </c>
      <c r="G3643" s="3">
        <f>VLOOKUP(B3643,airports!A:H,8,FALSE)</f>
        <v>-77.037722220000006</v>
      </c>
      <c r="H3643">
        <f t="shared" si="112"/>
        <v>515.29999999999995</v>
      </c>
      <c r="I3643">
        <f t="shared" si="113"/>
        <v>320.2</v>
      </c>
    </row>
    <row r="3644" spans="1:9" ht="30" x14ac:dyDescent="0.25">
      <c r="A3644" s="5" t="s">
        <v>535</v>
      </c>
      <c r="B3644" s="5" t="s">
        <v>49</v>
      </c>
      <c r="C3644" s="5" t="s">
        <v>4116</v>
      </c>
      <c r="D3644" s="3">
        <f>VLOOKUP(A3644,airports!A:H,7,FALSE)</f>
        <v>34.270611109999997</v>
      </c>
      <c r="E3644" s="3">
        <f>VLOOKUP(A3644,airports!A:H,8,FALSE)</f>
        <v>-77.902555559999996</v>
      </c>
      <c r="F3644" s="3">
        <f>VLOOKUP(B3644,airports!A:H,7,FALSE)</f>
        <v>32.895950560000003</v>
      </c>
      <c r="G3644" s="3">
        <f>VLOOKUP(B3644,airports!A:H,8,FALSE)</f>
        <v>-97.037199999999999</v>
      </c>
      <c r="H3644">
        <f t="shared" si="112"/>
        <v>1776.5</v>
      </c>
      <c r="I3644">
        <f t="shared" si="113"/>
        <v>1103.9000000000001</v>
      </c>
    </row>
    <row r="3645" spans="1:9" ht="30" x14ac:dyDescent="0.25">
      <c r="A3645" s="5" t="s">
        <v>535</v>
      </c>
      <c r="B3645" s="5" t="s">
        <v>52</v>
      </c>
      <c r="C3645" s="5" t="s">
        <v>4117</v>
      </c>
      <c r="D3645" s="3">
        <f>VLOOKUP(A3645,airports!A:H,7,FALSE)</f>
        <v>34.270611109999997</v>
      </c>
      <c r="E3645" s="3">
        <f>VLOOKUP(A3645,airports!A:H,8,FALSE)</f>
        <v>-77.902555559999996</v>
      </c>
      <c r="F3645" s="3">
        <f>VLOOKUP(B3645,airports!A:H,7,FALSE)</f>
        <v>40.69249722</v>
      </c>
      <c r="G3645" s="3">
        <f>VLOOKUP(B3645,airports!A:H,8,FALSE)</f>
        <v>-74.168660560000006</v>
      </c>
      <c r="H3645">
        <f t="shared" si="112"/>
        <v>786.2</v>
      </c>
      <c r="I3645">
        <f t="shared" si="113"/>
        <v>488.6</v>
      </c>
    </row>
    <row r="3646" spans="1:9" x14ac:dyDescent="0.25">
      <c r="A3646" s="5" t="s">
        <v>535</v>
      </c>
      <c r="B3646" s="5" t="s">
        <v>176</v>
      </c>
      <c r="C3646" s="5" t="s">
        <v>4118</v>
      </c>
      <c r="D3646" s="3">
        <f>VLOOKUP(A3646,airports!A:H,7,FALSE)</f>
        <v>34.270611109999997</v>
      </c>
      <c r="E3646" s="3">
        <f>VLOOKUP(A3646,airports!A:H,8,FALSE)</f>
        <v>-77.902555559999996</v>
      </c>
      <c r="F3646" s="3">
        <f>VLOOKUP(B3646,airports!A:H,7,FALSE)</f>
        <v>38.944531939999997</v>
      </c>
      <c r="G3646" s="3">
        <f>VLOOKUP(B3646,airports!A:H,8,FALSE)</f>
        <v>-77.455809720000005</v>
      </c>
      <c r="H3646">
        <f t="shared" si="112"/>
        <v>521.20000000000005</v>
      </c>
      <c r="I3646">
        <f t="shared" si="113"/>
        <v>323.89999999999998</v>
      </c>
    </row>
    <row r="3647" spans="1:9" x14ac:dyDescent="0.25">
      <c r="A3647" s="5" t="s">
        <v>535</v>
      </c>
      <c r="B3647" s="5" t="s">
        <v>74</v>
      </c>
      <c r="C3647" s="5" t="s">
        <v>4119</v>
      </c>
      <c r="D3647" s="3">
        <f>VLOOKUP(A3647,airports!A:H,7,FALSE)</f>
        <v>34.270611109999997</v>
      </c>
      <c r="E3647" s="3">
        <f>VLOOKUP(A3647,airports!A:H,8,FALSE)</f>
        <v>-77.902555559999996</v>
      </c>
      <c r="F3647" s="3">
        <f>VLOOKUP(B3647,airports!A:H,7,FALSE)</f>
        <v>40.777243060000004</v>
      </c>
      <c r="G3647" s="3">
        <f>VLOOKUP(B3647,airports!A:H,8,FALSE)</f>
        <v>-73.872609170000004</v>
      </c>
      <c r="H3647">
        <f t="shared" si="112"/>
        <v>805.8</v>
      </c>
      <c r="I3647">
        <f t="shared" si="113"/>
        <v>500.8</v>
      </c>
    </row>
    <row r="3648" spans="1:9" ht="30" x14ac:dyDescent="0.25">
      <c r="A3648" s="5" t="s">
        <v>535</v>
      </c>
      <c r="B3648" s="5" t="s">
        <v>95</v>
      </c>
      <c r="C3648" s="5" t="s">
        <v>4120</v>
      </c>
      <c r="D3648" s="3">
        <f>VLOOKUP(A3648,airports!A:H,7,FALSE)</f>
        <v>34.270611109999997</v>
      </c>
      <c r="E3648" s="3">
        <f>VLOOKUP(A3648,airports!A:H,8,FALSE)</f>
        <v>-77.902555559999996</v>
      </c>
      <c r="F3648" s="3">
        <f>VLOOKUP(B3648,airports!A:H,7,FALSE)</f>
        <v>41.979595000000003</v>
      </c>
      <c r="G3648" s="3">
        <f>VLOOKUP(B3648,airports!A:H,8,FALSE)</f>
        <v>-87.904464169999997</v>
      </c>
      <c r="H3648">
        <f t="shared" si="112"/>
        <v>1223.2</v>
      </c>
      <c r="I3648">
        <f t="shared" si="113"/>
        <v>760.1</v>
      </c>
    </row>
    <row r="3649" spans="1:9" x14ac:dyDescent="0.25">
      <c r="A3649" s="5" t="s">
        <v>535</v>
      </c>
      <c r="B3649" s="5" t="s">
        <v>102</v>
      </c>
      <c r="C3649" s="5" t="s">
        <v>4121</v>
      </c>
      <c r="D3649" s="3">
        <f>VLOOKUP(A3649,airports!A:H,7,FALSE)</f>
        <v>34.270611109999997</v>
      </c>
      <c r="E3649" s="3">
        <f>VLOOKUP(A3649,airports!A:H,8,FALSE)</f>
        <v>-77.902555559999996</v>
      </c>
      <c r="F3649" s="3">
        <f>VLOOKUP(B3649,airports!A:H,7,FALSE)</f>
        <v>39.871952780000001</v>
      </c>
      <c r="G3649" s="3">
        <f>VLOOKUP(B3649,airports!A:H,8,FALSE)</f>
        <v>-75.241140830000006</v>
      </c>
      <c r="H3649">
        <f t="shared" si="112"/>
        <v>666</v>
      </c>
      <c r="I3649">
        <f t="shared" si="113"/>
        <v>413.9</v>
      </c>
    </row>
    <row r="3650" spans="1:9" ht="30" x14ac:dyDescent="0.25">
      <c r="A3650" s="5" t="s">
        <v>2859</v>
      </c>
      <c r="B3650" s="5" t="s">
        <v>50</v>
      </c>
      <c r="C3650" s="5" t="s">
        <v>4122</v>
      </c>
      <c r="D3650" s="3">
        <f>VLOOKUP(A3650,airports!A:H,7,FALSE)</f>
        <v>45.818354169999999</v>
      </c>
      <c r="E3650" s="3">
        <f>VLOOKUP(A3650,airports!A:H,8,FALSE)</f>
        <v>-88.114542499999999</v>
      </c>
      <c r="F3650" s="3">
        <f>VLOOKUP(B3650,airports!A:H,7,FALSE)</f>
        <v>42.212058890000002</v>
      </c>
      <c r="G3650" s="3">
        <f>VLOOKUP(B3650,airports!A:H,8,FALSE)</f>
        <v>-83.348835829999999</v>
      </c>
      <c r="H3650">
        <f t="shared" si="112"/>
        <v>553</v>
      </c>
      <c r="I3650">
        <f t="shared" si="113"/>
        <v>343.6</v>
      </c>
    </row>
    <row r="3651" spans="1:9" ht="30" x14ac:dyDescent="0.25">
      <c r="A3651" s="5" t="s">
        <v>2859</v>
      </c>
      <c r="B3651" s="5" t="s">
        <v>87</v>
      </c>
      <c r="C3651" s="5" t="s">
        <v>4123</v>
      </c>
      <c r="D3651" s="3">
        <f>VLOOKUP(A3651,airports!A:H,7,FALSE)</f>
        <v>45.818354169999999</v>
      </c>
      <c r="E3651" s="3">
        <f>VLOOKUP(A3651,airports!A:H,8,FALSE)</f>
        <v>-88.114542499999999</v>
      </c>
      <c r="F3651" s="3">
        <f>VLOOKUP(B3651,airports!A:H,7,FALSE)</f>
        <v>44.880546940000002</v>
      </c>
      <c r="G3651" s="3">
        <f>VLOOKUP(B3651,airports!A:H,8,FALSE)</f>
        <v>-93.216922499999995</v>
      </c>
      <c r="H3651">
        <f t="shared" si="112"/>
        <v>412.1</v>
      </c>
      <c r="I3651">
        <f t="shared" si="113"/>
        <v>256.10000000000002</v>
      </c>
    </row>
    <row r="3652" spans="1:9" x14ac:dyDescent="0.25">
      <c r="A3652" s="5" t="s">
        <v>537</v>
      </c>
      <c r="B3652" s="5" t="s">
        <v>10</v>
      </c>
      <c r="C3652" s="5" t="s">
        <v>4124</v>
      </c>
      <c r="D3652" s="3">
        <f>VLOOKUP(A3652,airports!A:H,7,FALSE)</f>
        <v>39.717329169999999</v>
      </c>
      <c r="E3652" s="3">
        <f>VLOOKUP(A3652,airports!A:H,8,FALSE)</f>
        <v>-86.294384170000001</v>
      </c>
      <c r="F3652" s="3">
        <f>VLOOKUP(B3652,airports!A:H,7,FALSE)</f>
        <v>33.640444440000003</v>
      </c>
      <c r="G3652" s="3">
        <f>VLOOKUP(B3652,airports!A:H,8,FALSE)</f>
        <v>-84.42694444</v>
      </c>
      <c r="H3652">
        <f t="shared" ref="H3652:H3715" si="114">ROUND(ACOS(COS(RADIANS(90-D3652)) * COS(RADIANS(90-F3652)) + SIN(RADIANS(90-D3652)) * SIN(RADIANS(90-F3652)) * COS(RADIANS(E3652-G3652))) * 6371,1)</f>
        <v>695.9</v>
      </c>
      <c r="I3652">
        <f t="shared" ref="I3652:I3715" si="115">ROUND(ACOS(COS(RADIANS(90-D3652)) * COS(RADIANS(90-F3652)) + SIN(RADIANS(90-D3652)) * SIN(RADIANS(90-F3652)) * COS(RADIANS(E3652-G3652))) * 3959,1)</f>
        <v>432.4</v>
      </c>
    </row>
    <row r="3653" spans="1:9" ht="30" x14ac:dyDescent="0.25">
      <c r="A3653" s="5" t="s">
        <v>537</v>
      </c>
      <c r="B3653" s="5" t="s">
        <v>13</v>
      </c>
      <c r="C3653" s="5" t="s">
        <v>4125</v>
      </c>
      <c r="D3653" s="3">
        <f>VLOOKUP(A3653,airports!A:H,7,FALSE)</f>
        <v>39.717329169999999</v>
      </c>
      <c r="E3653" s="3">
        <f>VLOOKUP(A3653,airports!A:H,8,FALSE)</f>
        <v>-86.294384170000001</v>
      </c>
      <c r="F3653" s="3">
        <f>VLOOKUP(B3653,airports!A:H,7,FALSE)</f>
        <v>30.194532779999999</v>
      </c>
      <c r="G3653" s="3">
        <f>VLOOKUP(B3653,airports!A:H,8,FALSE)</f>
        <v>-97.669871939999993</v>
      </c>
      <c r="H3653">
        <f t="shared" si="114"/>
        <v>1479.4</v>
      </c>
      <c r="I3653">
        <f t="shared" si="115"/>
        <v>919.3</v>
      </c>
    </row>
    <row r="3654" spans="1:9" ht="30" x14ac:dyDescent="0.25">
      <c r="A3654" s="5" t="s">
        <v>537</v>
      </c>
      <c r="B3654" s="5" t="s">
        <v>329</v>
      </c>
      <c r="C3654" s="5" t="s">
        <v>4126</v>
      </c>
      <c r="D3654" s="3">
        <f>VLOOKUP(A3654,airports!A:H,7,FALSE)</f>
        <v>39.717329169999999</v>
      </c>
      <c r="E3654" s="3">
        <f>VLOOKUP(A3654,airports!A:H,8,FALSE)</f>
        <v>-86.294384170000001</v>
      </c>
      <c r="F3654" s="3">
        <f>VLOOKUP(B3654,airports!A:H,7,FALSE)</f>
        <v>33.308999999999997</v>
      </c>
      <c r="G3654" s="3">
        <f>VLOOKUP(B3654,airports!A:H,8,FALSE)</f>
        <v>-111.6559</v>
      </c>
      <c r="H3654">
        <f t="shared" si="114"/>
        <v>2366.6</v>
      </c>
      <c r="I3654">
        <f t="shared" si="115"/>
        <v>1470.6</v>
      </c>
    </row>
    <row r="3655" spans="1:9" ht="30" x14ac:dyDescent="0.25">
      <c r="A3655" s="5" t="s">
        <v>537</v>
      </c>
      <c r="B3655" s="5" t="s">
        <v>425</v>
      </c>
      <c r="C3655" s="5" t="s">
        <v>4127</v>
      </c>
      <c r="D3655" s="3">
        <f>VLOOKUP(A3655,airports!A:H,7,FALSE)</f>
        <v>39.717329169999999</v>
      </c>
      <c r="E3655" s="3">
        <f>VLOOKUP(A3655,airports!A:H,8,FALSE)</f>
        <v>-86.294384170000001</v>
      </c>
      <c r="F3655" s="3">
        <f>VLOOKUP(B3655,airports!A:H,7,FALSE)</f>
        <v>33.562943060000002</v>
      </c>
      <c r="G3655" s="3">
        <f>VLOOKUP(B3655,airports!A:H,8,FALSE)</f>
        <v>-86.753549719999995</v>
      </c>
      <c r="H3655">
        <f t="shared" si="114"/>
        <v>685.6</v>
      </c>
      <c r="I3655">
        <f t="shared" si="115"/>
        <v>426</v>
      </c>
    </row>
    <row r="3656" spans="1:9" ht="30" x14ac:dyDescent="0.25">
      <c r="A3656" s="5" t="s">
        <v>537</v>
      </c>
      <c r="B3656" s="5" t="s">
        <v>24</v>
      </c>
      <c r="C3656" s="5" t="s">
        <v>4128</v>
      </c>
      <c r="D3656" s="3">
        <f>VLOOKUP(A3656,airports!A:H,7,FALSE)</f>
        <v>39.717329169999999</v>
      </c>
      <c r="E3656" s="3">
        <f>VLOOKUP(A3656,airports!A:H,8,FALSE)</f>
        <v>-86.294384170000001</v>
      </c>
      <c r="F3656" s="3">
        <f>VLOOKUP(B3656,airports!A:H,7,FALSE)</f>
        <v>42.364347500000001</v>
      </c>
      <c r="G3656" s="3">
        <f>VLOOKUP(B3656,airports!A:H,8,FALSE)</f>
        <v>-71.005179170000005</v>
      </c>
      <c r="H3656">
        <f t="shared" si="114"/>
        <v>1313.7</v>
      </c>
      <c r="I3656">
        <f t="shared" si="115"/>
        <v>816.3</v>
      </c>
    </row>
    <row r="3657" spans="1:9" ht="30" x14ac:dyDescent="0.25">
      <c r="A3657" s="5" t="s">
        <v>537</v>
      </c>
      <c r="B3657" s="5" t="s">
        <v>32</v>
      </c>
      <c r="C3657" s="5" t="s">
        <v>4129</v>
      </c>
      <c r="D3657" s="3">
        <f>VLOOKUP(A3657,airports!A:H,7,FALSE)</f>
        <v>39.717329169999999</v>
      </c>
      <c r="E3657" s="3">
        <f>VLOOKUP(A3657,airports!A:H,8,FALSE)</f>
        <v>-86.294384170000001</v>
      </c>
      <c r="F3657" s="3">
        <f>VLOOKUP(B3657,airports!A:H,7,FALSE)</f>
        <v>39.175401669999999</v>
      </c>
      <c r="G3657" s="3">
        <f>VLOOKUP(B3657,airports!A:H,8,FALSE)</f>
        <v>-76.668198329999996</v>
      </c>
      <c r="H3657">
        <f t="shared" si="114"/>
        <v>828.4</v>
      </c>
      <c r="I3657">
        <f t="shared" si="115"/>
        <v>514.79999999999995</v>
      </c>
    </row>
    <row r="3658" spans="1:9" ht="30" x14ac:dyDescent="0.25">
      <c r="A3658" s="5" t="s">
        <v>537</v>
      </c>
      <c r="B3658" s="5" t="s">
        <v>36</v>
      </c>
      <c r="C3658" s="5" t="s">
        <v>4130</v>
      </c>
      <c r="D3658" s="3">
        <f>VLOOKUP(A3658,airports!A:H,7,FALSE)</f>
        <v>39.717329169999999</v>
      </c>
      <c r="E3658" s="3">
        <f>VLOOKUP(A3658,airports!A:H,8,FALSE)</f>
        <v>-86.294384170000001</v>
      </c>
      <c r="F3658" s="3">
        <f>VLOOKUP(B3658,airports!A:H,7,FALSE)</f>
        <v>32.898646390000003</v>
      </c>
      <c r="G3658" s="3">
        <f>VLOOKUP(B3658,airports!A:H,8,FALSE)</f>
        <v>-80.040505830000001</v>
      </c>
      <c r="H3658">
        <f t="shared" si="114"/>
        <v>942.2</v>
      </c>
      <c r="I3658">
        <f t="shared" si="115"/>
        <v>585.5</v>
      </c>
    </row>
    <row r="3659" spans="1:9" x14ac:dyDescent="0.25">
      <c r="A3659" s="5" t="s">
        <v>537</v>
      </c>
      <c r="B3659" s="5" t="s">
        <v>40</v>
      </c>
      <c r="C3659" s="5" t="s">
        <v>4131</v>
      </c>
      <c r="D3659" s="3">
        <f>VLOOKUP(A3659,airports!A:H,7,FALSE)</f>
        <v>39.717329169999999</v>
      </c>
      <c r="E3659" s="3">
        <f>VLOOKUP(A3659,airports!A:H,8,FALSE)</f>
        <v>-86.294384170000001</v>
      </c>
      <c r="F3659" s="3">
        <f>VLOOKUP(B3659,airports!A:H,7,FALSE)</f>
        <v>35.214011110000001</v>
      </c>
      <c r="G3659" s="3">
        <f>VLOOKUP(B3659,airports!A:H,8,FALSE)</f>
        <v>-80.94312583</v>
      </c>
      <c r="H3659">
        <f t="shared" si="114"/>
        <v>688.1</v>
      </c>
      <c r="I3659">
        <f t="shared" si="115"/>
        <v>427.6</v>
      </c>
    </row>
    <row r="3660" spans="1:9" ht="30" x14ac:dyDescent="0.25">
      <c r="A3660" s="5" t="s">
        <v>537</v>
      </c>
      <c r="B3660" s="5" t="s">
        <v>201</v>
      </c>
      <c r="C3660" s="5" t="s">
        <v>4132</v>
      </c>
      <c r="D3660" s="3">
        <f>VLOOKUP(A3660,airports!A:H,7,FALSE)</f>
        <v>39.717329169999999</v>
      </c>
      <c r="E3660" s="3">
        <f>VLOOKUP(A3660,airports!A:H,8,FALSE)</f>
        <v>-86.294384170000001</v>
      </c>
      <c r="F3660" s="3">
        <f>VLOOKUP(B3660,airports!A:H,7,FALSE)</f>
        <v>32.847113890000003</v>
      </c>
      <c r="G3660" s="3">
        <f>VLOOKUP(B3660,airports!A:H,8,FALSE)</f>
        <v>-96.851772220000001</v>
      </c>
      <c r="H3660">
        <f t="shared" si="114"/>
        <v>1214.7</v>
      </c>
      <c r="I3660">
        <f t="shared" si="115"/>
        <v>754.8</v>
      </c>
    </row>
    <row r="3661" spans="1:9" ht="30" x14ac:dyDescent="0.25">
      <c r="A3661" s="5" t="s">
        <v>537</v>
      </c>
      <c r="B3661" s="5" t="s">
        <v>45</v>
      </c>
      <c r="C3661" s="5" t="s">
        <v>4133</v>
      </c>
      <c r="D3661" s="3">
        <f>VLOOKUP(A3661,airports!A:H,7,FALSE)</f>
        <v>39.717329169999999</v>
      </c>
      <c r="E3661" s="3">
        <f>VLOOKUP(A3661,airports!A:H,8,FALSE)</f>
        <v>-86.294384170000001</v>
      </c>
      <c r="F3661" s="3">
        <f>VLOOKUP(B3661,airports!A:H,7,FALSE)</f>
        <v>38.852083329999999</v>
      </c>
      <c r="G3661" s="3">
        <f>VLOOKUP(B3661,airports!A:H,8,FALSE)</f>
        <v>-77.037722220000006</v>
      </c>
      <c r="H3661">
        <f t="shared" si="114"/>
        <v>802.1</v>
      </c>
      <c r="I3661">
        <f t="shared" si="115"/>
        <v>498.4</v>
      </c>
    </row>
    <row r="3662" spans="1:9" ht="30" x14ac:dyDescent="0.25">
      <c r="A3662" s="5" t="s">
        <v>537</v>
      </c>
      <c r="B3662" s="5" t="s">
        <v>47</v>
      </c>
      <c r="C3662" s="5" t="s">
        <v>4134</v>
      </c>
      <c r="D3662" s="3">
        <f>VLOOKUP(A3662,airports!A:H,7,FALSE)</f>
        <v>39.717329169999999</v>
      </c>
      <c r="E3662" s="3">
        <f>VLOOKUP(A3662,airports!A:H,8,FALSE)</f>
        <v>-86.294384170000001</v>
      </c>
      <c r="F3662" s="3">
        <f>VLOOKUP(B3662,airports!A:H,7,FALSE)</f>
        <v>39.858408060000002</v>
      </c>
      <c r="G3662" s="3">
        <f>VLOOKUP(B3662,airports!A:H,8,FALSE)</f>
        <v>-104.6670019</v>
      </c>
      <c r="H3662">
        <f t="shared" si="114"/>
        <v>1567.1</v>
      </c>
      <c r="I3662">
        <f t="shared" si="115"/>
        <v>973.8</v>
      </c>
    </row>
    <row r="3663" spans="1:9" ht="30" x14ac:dyDescent="0.25">
      <c r="A3663" s="5" t="s">
        <v>537</v>
      </c>
      <c r="B3663" s="5" t="s">
        <v>49</v>
      </c>
      <c r="C3663" s="5" t="s">
        <v>4135</v>
      </c>
      <c r="D3663" s="3">
        <f>VLOOKUP(A3663,airports!A:H,7,FALSE)</f>
        <v>39.717329169999999</v>
      </c>
      <c r="E3663" s="3">
        <f>VLOOKUP(A3663,airports!A:H,8,FALSE)</f>
        <v>-86.294384170000001</v>
      </c>
      <c r="F3663" s="3">
        <f>VLOOKUP(B3663,airports!A:H,7,FALSE)</f>
        <v>32.895950560000003</v>
      </c>
      <c r="G3663" s="3">
        <f>VLOOKUP(B3663,airports!A:H,8,FALSE)</f>
        <v>-97.037199999999999</v>
      </c>
      <c r="H3663">
        <f t="shared" si="114"/>
        <v>1224</v>
      </c>
      <c r="I3663">
        <f t="shared" si="115"/>
        <v>760.6</v>
      </c>
    </row>
    <row r="3664" spans="1:9" ht="30" x14ac:dyDescent="0.25">
      <c r="A3664" s="5" t="s">
        <v>537</v>
      </c>
      <c r="B3664" s="5" t="s">
        <v>50</v>
      </c>
      <c r="C3664" s="5" t="s">
        <v>4136</v>
      </c>
      <c r="D3664" s="3">
        <f>VLOOKUP(A3664,airports!A:H,7,FALSE)</f>
        <v>39.717329169999999</v>
      </c>
      <c r="E3664" s="3">
        <f>VLOOKUP(A3664,airports!A:H,8,FALSE)</f>
        <v>-86.294384170000001</v>
      </c>
      <c r="F3664" s="3">
        <f>VLOOKUP(B3664,airports!A:H,7,FALSE)</f>
        <v>42.212058890000002</v>
      </c>
      <c r="G3664" s="3">
        <f>VLOOKUP(B3664,airports!A:H,8,FALSE)</f>
        <v>-83.348835829999999</v>
      </c>
      <c r="H3664">
        <f t="shared" si="114"/>
        <v>371.6</v>
      </c>
      <c r="I3664">
        <f t="shared" si="115"/>
        <v>230.9</v>
      </c>
    </row>
    <row r="3665" spans="1:9" x14ac:dyDescent="0.25">
      <c r="A3665" s="5" t="s">
        <v>537</v>
      </c>
      <c r="B3665" s="5" t="s">
        <v>477</v>
      </c>
      <c r="C3665" s="5" t="s">
        <v>4137</v>
      </c>
      <c r="D3665" s="3">
        <f>VLOOKUP(A3665,airports!A:H,7,FALSE)</f>
        <v>39.717329169999999</v>
      </c>
      <c r="E3665" s="3">
        <f>VLOOKUP(A3665,airports!A:H,8,FALSE)</f>
        <v>-86.294384170000001</v>
      </c>
      <c r="F3665" s="3">
        <f>VLOOKUP(B3665,airports!A:H,7,FALSE)</f>
        <v>30.357106000000002</v>
      </c>
      <c r="G3665" s="3">
        <f>VLOOKUP(B3665,airports!A:H,8,FALSE)</f>
        <v>-85.795413999999994</v>
      </c>
      <c r="H3665">
        <f t="shared" si="114"/>
        <v>1041.8</v>
      </c>
      <c r="I3665">
        <f t="shared" si="115"/>
        <v>647.4</v>
      </c>
    </row>
    <row r="3666" spans="1:9" ht="30" x14ac:dyDescent="0.25">
      <c r="A3666" s="5" t="s">
        <v>537</v>
      </c>
      <c r="B3666" s="5" t="s">
        <v>52</v>
      </c>
      <c r="C3666" s="5" t="s">
        <v>4138</v>
      </c>
      <c r="D3666" s="3">
        <f>VLOOKUP(A3666,airports!A:H,7,FALSE)</f>
        <v>39.717329169999999</v>
      </c>
      <c r="E3666" s="3">
        <f>VLOOKUP(A3666,airports!A:H,8,FALSE)</f>
        <v>-86.294384170000001</v>
      </c>
      <c r="F3666" s="3">
        <f>VLOOKUP(B3666,airports!A:H,7,FALSE)</f>
        <v>40.69249722</v>
      </c>
      <c r="G3666" s="3">
        <f>VLOOKUP(B3666,airports!A:H,8,FALSE)</f>
        <v>-74.168660560000006</v>
      </c>
      <c r="H3666">
        <f t="shared" si="114"/>
        <v>1034.5999999999999</v>
      </c>
      <c r="I3666">
        <f t="shared" si="115"/>
        <v>642.9</v>
      </c>
    </row>
    <row r="3667" spans="1:9" ht="30" x14ac:dyDescent="0.25">
      <c r="A3667" s="5" t="s">
        <v>537</v>
      </c>
      <c r="B3667" s="5" t="s">
        <v>54</v>
      </c>
      <c r="C3667" s="5" t="s">
        <v>4139</v>
      </c>
      <c r="D3667" s="3">
        <f>VLOOKUP(A3667,airports!A:H,7,FALSE)</f>
        <v>39.717329169999999</v>
      </c>
      <c r="E3667" s="3">
        <f>VLOOKUP(A3667,airports!A:H,8,FALSE)</f>
        <v>-86.294384170000001</v>
      </c>
      <c r="F3667" s="3">
        <f>VLOOKUP(B3667,airports!A:H,7,FALSE)</f>
        <v>24.55611111</v>
      </c>
      <c r="G3667" s="3">
        <f>VLOOKUP(B3667,airports!A:H,8,FALSE)</f>
        <v>-81.759555559999995</v>
      </c>
      <c r="H3667">
        <f t="shared" si="114"/>
        <v>1738.4</v>
      </c>
      <c r="I3667">
        <f t="shared" si="115"/>
        <v>1080.3</v>
      </c>
    </row>
    <row r="3668" spans="1:9" x14ac:dyDescent="0.25">
      <c r="A3668" s="5" t="s">
        <v>537</v>
      </c>
      <c r="B3668" s="5" t="s">
        <v>57</v>
      </c>
      <c r="C3668" s="5" t="s">
        <v>4140</v>
      </c>
      <c r="D3668" s="3">
        <f>VLOOKUP(A3668,airports!A:H,7,FALSE)</f>
        <v>39.717329169999999</v>
      </c>
      <c r="E3668" s="3">
        <f>VLOOKUP(A3668,airports!A:H,8,FALSE)</f>
        <v>-86.294384170000001</v>
      </c>
      <c r="F3668" s="3">
        <f>VLOOKUP(B3668,airports!A:H,7,FALSE)</f>
        <v>26.072583330000001</v>
      </c>
      <c r="G3668" s="3">
        <f>VLOOKUP(B3668,airports!A:H,8,FALSE)</f>
        <v>-80.152749999999997</v>
      </c>
      <c r="H3668">
        <f t="shared" si="114"/>
        <v>1620.9</v>
      </c>
      <c r="I3668">
        <f t="shared" si="115"/>
        <v>1007.2</v>
      </c>
    </row>
    <row r="3669" spans="1:9" ht="30" x14ac:dyDescent="0.25">
      <c r="A3669" s="5" t="s">
        <v>537</v>
      </c>
      <c r="B3669" s="5" t="s">
        <v>524</v>
      </c>
      <c r="C3669" s="5" t="s">
        <v>4141</v>
      </c>
      <c r="D3669" s="3">
        <f>VLOOKUP(A3669,airports!A:H,7,FALSE)</f>
        <v>39.717329169999999</v>
      </c>
      <c r="E3669" s="3">
        <f>VLOOKUP(A3669,airports!A:H,8,FALSE)</f>
        <v>-86.294384170000001</v>
      </c>
      <c r="F3669" s="3">
        <f>VLOOKUP(B3669,airports!A:H,7,FALSE)</f>
        <v>32.224399566700001</v>
      </c>
      <c r="G3669" s="3">
        <f>VLOOKUP(B3669,airports!A:H,8,FALSE)</f>
        <v>-80.697502136200001</v>
      </c>
      <c r="H3669">
        <f t="shared" si="114"/>
        <v>973.1</v>
      </c>
      <c r="I3669">
        <f t="shared" si="115"/>
        <v>604.70000000000005</v>
      </c>
    </row>
    <row r="3670" spans="1:9" ht="30" x14ac:dyDescent="0.25">
      <c r="A3670" s="5" t="s">
        <v>537</v>
      </c>
      <c r="B3670" s="5" t="s">
        <v>205</v>
      </c>
      <c r="C3670" s="5" t="s">
        <v>4142</v>
      </c>
      <c r="D3670" s="3">
        <f>VLOOKUP(A3670,airports!A:H,7,FALSE)</f>
        <v>39.717329169999999</v>
      </c>
      <c r="E3670" s="3">
        <f>VLOOKUP(A3670,airports!A:H,8,FALSE)</f>
        <v>-86.294384170000001</v>
      </c>
      <c r="F3670" s="3">
        <f>VLOOKUP(B3670,airports!A:H,7,FALSE)</f>
        <v>29.64541861</v>
      </c>
      <c r="G3670" s="3">
        <f>VLOOKUP(B3670,airports!A:H,8,FALSE)</f>
        <v>-95.278888890000005</v>
      </c>
      <c r="H3670">
        <f t="shared" si="114"/>
        <v>1387.3</v>
      </c>
      <c r="I3670">
        <f t="shared" si="115"/>
        <v>862.1</v>
      </c>
    </row>
    <row r="3671" spans="1:9" ht="30" x14ac:dyDescent="0.25">
      <c r="A3671" s="5" t="s">
        <v>537</v>
      </c>
      <c r="B3671" s="5" t="s">
        <v>529</v>
      </c>
      <c r="C3671" s="5" t="s">
        <v>4143</v>
      </c>
      <c r="D3671" s="3">
        <f>VLOOKUP(A3671,airports!A:H,7,FALSE)</f>
        <v>39.717329169999999</v>
      </c>
      <c r="E3671" s="3">
        <f>VLOOKUP(A3671,airports!A:H,8,FALSE)</f>
        <v>-86.294384170000001</v>
      </c>
      <c r="F3671" s="3">
        <f>VLOOKUP(B3671,airports!A:H,7,FALSE)</f>
        <v>34.640447500000001</v>
      </c>
      <c r="G3671" s="3">
        <f>VLOOKUP(B3671,airports!A:H,8,FALSE)</f>
        <v>-86.773109439999999</v>
      </c>
      <c r="H3671">
        <f t="shared" si="114"/>
        <v>566.1</v>
      </c>
      <c r="I3671">
        <f t="shared" si="115"/>
        <v>351.8</v>
      </c>
    </row>
    <row r="3672" spans="1:9" x14ac:dyDescent="0.25">
      <c r="A3672" s="5" t="s">
        <v>537</v>
      </c>
      <c r="B3672" s="5" t="s">
        <v>176</v>
      </c>
      <c r="C3672" s="5" t="s">
        <v>4144</v>
      </c>
      <c r="D3672" s="3">
        <f>VLOOKUP(A3672,airports!A:H,7,FALSE)</f>
        <v>39.717329169999999</v>
      </c>
      <c r="E3672" s="3">
        <f>VLOOKUP(A3672,airports!A:H,8,FALSE)</f>
        <v>-86.294384170000001</v>
      </c>
      <c r="F3672" s="3">
        <f>VLOOKUP(B3672,airports!A:H,7,FALSE)</f>
        <v>38.944531939999997</v>
      </c>
      <c r="G3672" s="3">
        <f>VLOOKUP(B3672,airports!A:H,8,FALSE)</f>
        <v>-77.455809720000005</v>
      </c>
      <c r="H3672">
        <f t="shared" si="114"/>
        <v>764.7</v>
      </c>
      <c r="I3672">
        <f t="shared" si="115"/>
        <v>475.2</v>
      </c>
    </row>
    <row r="3673" spans="1:9" x14ac:dyDescent="0.25">
      <c r="A3673" s="5" t="s">
        <v>537</v>
      </c>
      <c r="B3673" s="5" t="s">
        <v>67</v>
      </c>
      <c r="C3673" s="5" t="s">
        <v>4145</v>
      </c>
      <c r="D3673" s="3">
        <f>VLOOKUP(A3673,airports!A:H,7,FALSE)</f>
        <v>39.717329169999999</v>
      </c>
      <c r="E3673" s="3">
        <f>VLOOKUP(A3673,airports!A:H,8,FALSE)</f>
        <v>-86.294384170000001</v>
      </c>
      <c r="F3673" s="3">
        <f>VLOOKUP(B3673,airports!A:H,7,FALSE)</f>
        <v>29.980472219999999</v>
      </c>
      <c r="G3673" s="3">
        <f>VLOOKUP(B3673,airports!A:H,8,FALSE)</f>
        <v>-95.339722219999999</v>
      </c>
      <c r="H3673">
        <f t="shared" si="114"/>
        <v>1359.8</v>
      </c>
      <c r="I3673">
        <f t="shared" si="115"/>
        <v>845</v>
      </c>
    </row>
    <row r="3674" spans="1:9" x14ac:dyDescent="0.25">
      <c r="A3674" s="5" t="s">
        <v>537</v>
      </c>
      <c r="B3674" s="5" t="s">
        <v>68</v>
      </c>
      <c r="C3674" s="5" t="s">
        <v>4146</v>
      </c>
      <c r="D3674" s="3">
        <f>VLOOKUP(A3674,airports!A:H,7,FALSE)</f>
        <v>39.717329169999999</v>
      </c>
      <c r="E3674" s="3">
        <f>VLOOKUP(A3674,airports!A:H,8,FALSE)</f>
        <v>-86.294384170000001</v>
      </c>
      <c r="F3674" s="3">
        <f>VLOOKUP(B3674,airports!A:H,7,FALSE)</f>
        <v>30.49405556</v>
      </c>
      <c r="G3674" s="3">
        <f>VLOOKUP(B3674,airports!A:H,8,FALSE)</f>
        <v>-81.68786111</v>
      </c>
      <c r="H3674">
        <f t="shared" si="114"/>
        <v>1107.4000000000001</v>
      </c>
      <c r="I3674">
        <f t="shared" si="115"/>
        <v>688.2</v>
      </c>
    </row>
    <row r="3675" spans="1:9" x14ac:dyDescent="0.25">
      <c r="A3675" s="5" t="s">
        <v>537</v>
      </c>
      <c r="B3675" s="5" t="s">
        <v>69</v>
      </c>
      <c r="C3675" s="5" t="s">
        <v>4147</v>
      </c>
      <c r="D3675" s="3">
        <f>VLOOKUP(A3675,airports!A:H,7,FALSE)</f>
        <v>39.717329169999999</v>
      </c>
      <c r="E3675" s="3">
        <f>VLOOKUP(A3675,airports!A:H,8,FALSE)</f>
        <v>-86.294384170000001</v>
      </c>
      <c r="F3675" s="3">
        <f>VLOOKUP(B3675,airports!A:H,7,FALSE)</f>
        <v>40.639751109999999</v>
      </c>
      <c r="G3675" s="3">
        <f>VLOOKUP(B3675,airports!A:H,8,FALSE)</f>
        <v>-73.778925560000005</v>
      </c>
      <c r="H3675">
        <f t="shared" si="114"/>
        <v>1067.3</v>
      </c>
      <c r="I3675">
        <f t="shared" si="115"/>
        <v>663.2</v>
      </c>
    </row>
    <row r="3676" spans="1:9" x14ac:dyDescent="0.25">
      <c r="A3676" s="5" t="s">
        <v>537</v>
      </c>
      <c r="B3676" s="5" t="s">
        <v>71</v>
      </c>
      <c r="C3676" s="5" t="s">
        <v>4148</v>
      </c>
      <c r="D3676" s="3">
        <f>VLOOKUP(A3676,airports!A:H,7,FALSE)</f>
        <v>39.717329169999999</v>
      </c>
      <c r="E3676" s="3">
        <f>VLOOKUP(A3676,airports!A:H,8,FALSE)</f>
        <v>-86.294384170000001</v>
      </c>
      <c r="F3676" s="3">
        <f>VLOOKUP(B3676,airports!A:H,7,FALSE)</f>
        <v>36.080361109999998</v>
      </c>
      <c r="G3676" s="3">
        <f>VLOOKUP(B3676,airports!A:H,8,FALSE)</f>
        <v>-115.1523333</v>
      </c>
      <c r="H3676">
        <f t="shared" si="114"/>
        <v>2552.9</v>
      </c>
      <c r="I3676">
        <f t="shared" si="115"/>
        <v>1586.4</v>
      </c>
    </row>
    <row r="3677" spans="1:9" x14ac:dyDescent="0.25">
      <c r="A3677" s="5" t="s">
        <v>537</v>
      </c>
      <c r="B3677" s="5" t="s">
        <v>73</v>
      </c>
      <c r="C3677" s="5" t="s">
        <v>4149</v>
      </c>
      <c r="D3677" s="3">
        <f>VLOOKUP(A3677,airports!A:H,7,FALSE)</f>
        <v>39.717329169999999</v>
      </c>
      <c r="E3677" s="3">
        <f>VLOOKUP(A3677,airports!A:H,8,FALSE)</f>
        <v>-86.294384170000001</v>
      </c>
      <c r="F3677" s="3">
        <f>VLOOKUP(B3677,airports!A:H,7,FALSE)</f>
        <v>33.942536109999999</v>
      </c>
      <c r="G3677" s="3">
        <f>VLOOKUP(B3677,airports!A:H,8,FALSE)</f>
        <v>-118.4080744</v>
      </c>
      <c r="H3677">
        <f t="shared" si="114"/>
        <v>2912.9</v>
      </c>
      <c r="I3677">
        <f t="shared" si="115"/>
        <v>1810.1</v>
      </c>
    </row>
    <row r="3678" spans="1:9" ht="30" x14ac:dyDescent="0.25">
      <c r="A3678" s="5" t="s">
        <v>537</v>
      </c>
      <c r="B3678" s="5" t="s">
        <v>74</v>
      </c>
      <c r="C3678" s="5" t="s">
        <v>4150</v>
      </c>
      <c r="D3678" s="3">
        <f>VLOOKUP(A3678,airports!A:H,7,FALSE)</f>
        <v>39.717329169999999</v>
      </c>
      <c r="E3678" s="3">
        <f>VLOOKUP(A3678,airports!A:H,8,FALSE)</f>
        <v>-86.294384170000001</v>
      </c>
      <c r="F3678" s="3">
        <f>VLOOKUP(B3678,airports!A:H,7,FALSE)</f>
        <v>40.777243060000004</v>
      </c>
      <c r="G3678" s="3">
        <f>VLOOKUP(B3678,airports!A:H,8,FALSE)</f>
        <v>-73.872609170000004</v>
      </c>
      <c r="H3678">
        <f t="shared" si="114"/>
        <v>1059.9000000000001</v>
      </c>
      <c r="I3678">
        <f t="shared" si="115"/>
        <v>658.6</v>
      </c>
    </row>
    <row r="3679" spans="1:9" ht="30" x14ac:dyDescent="0.25">
      <c r="A3679" s="5" t="s">
        <v>537</v>
      </c>
      <c r="B3679" s="5" t="s">
        <v>80</v>
      </c>
      <c r="C3679" s="5" t="s">
        <v>4151</v>
      </c>
      <c r="D3679" s="3">
        <f>VLOOKUP(A3679,airports!A:H,7,FALSE)</f>
        <v>39.717329169999999</v>
      </c>
      <c r="E3679" s="3">
        <f>VLOOKUP(A3679,airports!A:H,8,FALSE)</f>
        <v>-86.294384170000001</v>
      </c>
      <c r="F3679" s="3">
        <f>VLOOKUP(B3679,airports!A:H,7,FALSE)</f>
        <v>39.297605279999999</v>
      </c>
      <c r="G3679" s="3">
        <f>VLOOKUP(B3679,airports!A:H,8,FALSE)</f>
        <v>-94.713905560000001</v>
      </c>
      <c r="H3679">
        <f t="shared" si="114"/>
        <v>723.6</v>
      </c>
      <c r="I3679">
        <f t="shared" si="115"/>
        <v>449.6</v>
      </c>
    </row>
    <row r="3680" spans="1:9" ht="30" x14ac:dyDescent="0.25">
      <c r="A3680" s="5" t="s">
        <v>537</v>
      </c>
      <c r="B3680" s="5" t="s">
        <v>82</v>
      </c>
      <c r="C3680" s="5" t="s">
        <v>4152</v>
      </c>
      <c r="D3680" s="3">
        <f>VLOOKUP(A3680,airports!A:H,7,FALSE)</f>
        <v>39.717329169999999</v>
      </c>
      <c r="E3680" s="3">
        <f>VLOOKUP(A3680,airports!A:H,8,FALSE)</f>
        <v>-86.294384170000001</v>
      </c>
      <c r="F3680" s="3">
        <f>VLOOKUP(B3680,airports!A:H,7,FALSE)</f>
        <v>28.42888889</v>
      </c>
      <c r="G3680" s="3">
        <f>VLOOKUP(B3680,airports!A:H,8,FALSE)</f>
        <v>-81.316027779999999</v>
      </c>
      <c r="H3680">
        <f t="shared" si="114"/>
        <v>1335.7</v>
      </c>
      <c r="I3680">
        <f t="shared" si="115"/>
        <v>830</v>
      </c>
    </row>
    <row r="3681" spans="1:9" ht="30" x14ac:dyDescent="0.25">
      <c r="A3681" s="5" t="s">
        <v>537</v>
      </c>
      <c r="B3681" s="5" t="s">
        <v>180</v>
      </c>
      <c r="C3681" s="5" t="s">
        <v>4153</v>
      </c>
      <c r="D3681" s="3">
        <f>VLOOKUP(A3681,airports!A:H,7,FALSE)</f>
        <v>39.717329169999999</v>
      </c>
      <c r="E3681" s="3">
        <f>VLOOKUP(A3681,airports!A:H,8,FALSE)</f>
        <v>-86.294384170000001</v>
      </c>
      <c r="F3681" s="3">
        <f>VLOOKUP(B3681,airports!A:H,7,FALSE)</f>
        <v>41.785982500000003</v>
      </c>
      <c r="G3681" s="3">
        <f>VLOOKUP(B3681,airports!A:H,8,FALSE)</f>
        <v>-87.752424439999999</v>
      </c>
      <c r="H3681">
        <f t="shared" si="114"/>
        <v>260.7</v>
      </c>
      <c r="I3681">
        <f t="shared" si="115"/>
        <v>162</v>
      </c>
    </row>
    <row r="3682" spans="1:9" ht="30" x14ac:dyDescent="0.25">
      <c r="A3682" s="5" t="s">
        <v>537</v>
      </c>
      <c r="B3682" s="5" t="s">
        <v>563</v>
      </c>
      <c r="C3682" s="5" t="s">
        <v>4154</v>
      </c>
      <c r="D3682" s="3">
        <f>VLOOKUP(A3682,airports!A:H,7,FALSE)</f>
        <v>39.717329169999999</v>
      </c>
      <c r="E3682" s="3">
        <f>VLOOKUP(A3682,airports!A:H,8,FALSE)</f>
        <v>-86.294384170000001</v>
      </c>
      <c r="F3682" s="3">
        <f>VLOOKUP(B3682,airports!A:H,7,FALSE)</f>
        <v>35.042416670000001</v>
      </c>
      <c r="G3682" s="3">
        <f>VLOOKUP(B3682,airports!A:H,8,FALSE)</f>
        <v>-89.97666667</v>
      </c>
      <c r="H3682">
        <f t="shared" si="114"/>
        <v>613.1</v>
      </c>
      <c r="I3682">
        <f t="shared" si="115"/>
        <v>381</v>
      </c>
    </row>
    <row r="3683" spans="1:9" ht="30" x14ac:dyDescent="0.25">
      <c r="A3683" s="5" t="s">
        <v>537</v>
      </c>
      <c r="B3683" s="5" t="s">
        <v>84</v>
      </c>
      <c r="C3683" s="5" t="s">
        <v>4155</v>
      </c>
      <c r="D3683" s="3">
        <f>VLOOKUP(A3683,airports!A:H,7,FALSE)</f>
        <v>39.717329169999999</v>
      </c>
      <c r="E3683" s="3">
        <f>VLOOKUP(A3683,airports!A:H,8,FALSE)</f>
        <v>-86.294384170000001</v>
      </c>
      <c r="F3683" s="3">
        <f>VLOOKUP(B3683,airports!A:H,7,FALSE)</f>
        <v>25.79325</v>
      </c>
      <c r="G3683" s="3">
        <f>VLOOKUP(B3683,airports!A:H,8,FALSE)</f>
        <v>-80.290555560000001</v>
      </c>
      <c r="H3683">
        <f t="shared" si="114"/>
        <v>1645.9</v>
      </c>
      <c r="I3683">
        <f t="shared" si="115"/>
        <v>1022.7</v>
      </c>
    </row>
    <row r="3684" spans="1:9" ht="30" x14ac:dyDescent="0.25">
      <c r="A3684" s="5" t="s">
        <v>537</v>
      </c>
      <c r="B3684" s="5" t="s">
        <v>87</v>
      </c>
      <c r="C3684" s="5" t="s">
        <v>4156</v>
      </c>
      <c r="D3684" s="3">
        <f>VLOOKUP(A3684,airports!A:H,7,FALSE)</f>
        <v>39.717329169999999</v>
      </c>
      <c r="E3684" s="3">
        <f>VLOOKUP(A3684,airports!A:H,8,FALSE)</f>
        <v>-86.294384170000001</v>
      </c>
      <c r="F3684" s="3">
        <f>VLOOKUP(B3684,airports!A:H,7,FALSE)</f>
        <v>44.880546940000002</v>
      </c>
      <c r="G3684" s="3">
        <f>VLOOKUP(B3684,airports!A:H,8,FALSE)</f>
        <v>-93.216922499999995</v>
      </c>
      <c r="H3684">
        <f t="shared" si="114"/>
        <v>808</v>
      </c>
      <c r="I3684">
        <f t="shared" si="115"/>
        <v>502.1</v>
      </c>
    </row>
    <row r="3685" spans="1:9" ht="30" x14ac:dyDescent="0.25">
      <c r="A3685" s="5" t="s">
        <v>537</v>
      </c>
      <c r="B3685" s="5" t="s">
        <v>89</v>
      </c>
      <c r="C3685" s="5" t="s">
        <v>4157</v>
      </c>
      <c r="D3685" s="3">
        <f>VLOOKUP(A3685,airports!A:H,7,FALSE)</f>
        <v>39.717329169999999</v>
      </c>
      <c r="E3685" s="3">
        <f>VLOOKUP(A3685,airports!A:H,8,FALSE)</f>
        <v>-86.294384170000001</v>
      </c>
      <c r="F3685" s="3">
        <f>VLOOKUP(B3685,airports!A:H,7,FALSE)</f>
        <v>29.993388889999999</v>
      </c>
      <c r="G3685" s="3">
        <f>VLOOKUP(B3685,airports!A:H,8,FALSE)</f>
        <v>-90.258027780000006</v>
      </c>
      <c r="H3685">
        <f t="shared" si="114"/>
        <v>1139.8</v>
      </c>
      <c r="I3685">
        <f t="shared" si="115"/>
        <v>708.3</v>
      </c>
    </row>
    <row r="3686" spans="1:9" ht="30" x14ac:dyDescent="0.25">
      <c r="A3686" s="5" t="s">
        <v>537</v>
      </c>
      <c r="B3686" s="5" t="s">
        <v>182</v>
      </c>
      <c r="C3686" s="5" t="s">
        <v>4158</v>
      </c>
      <c r="D3686" s="3">
        <f>VLOOKUP(A3686,airports!A:H,7,FALSE)</f>
        <v>39.717329169999999</v>
      </c>
      <c r="E3686" s="3">
        <f>VLOOKUP(A3686,airports!A:H,8,FALSE)</f>
        <v>-86.294384170000001</v>
      </c>
      <c r="F3686" s="3">
        <f>VLOOKUP(B3686,airports!A:H,7,FALSE)</f>
        <v>33.679749999999999</v>
      </c>
      <c r="G3686" s="3">
        <f>VLOOKUP(B3686,airports!A:H,8,FALSE)</f>
        <v>-78.928333330000001</v>
      </c>
      <c r="H3686">
        <f t="shared" si="114"/>
        <v>938.5</v>
      </c>
      <c r="I3686">
        <f t="shared" si="115"/>
        <v>583.20000000000005</v>
      </c>
    </row>
    <row r="3687" spans="1:9" ht="30" x14ac:dyDescent="0.25">
      <c r="A3687" s="5" t="s">
        <v>537</v>
      </c>
      <c r="B3687" s="5" t="s">
        <v>215</v>
      </c>
      <c r="C3687" s="5" t="s">
        <v>4159</v>
      </c>
      <c r="D3687" s="3">
        <f>VLOOKUP(A3687,airports!A:H,7,FALSE)</f>
        <v>39.717329169999999</v>
      </c>
      <c r="E3687" s="3">
        <f>VLOOKUP(A3687,airports!A:H,8,FALSE)</f>
        <v>-86.294384170000001</v>
      </c>
      <c r="F3687" s="3">
        <f>VLOOKUP(B3687,airports!A:H,7,FALSE)</f>
        <v>37.721290830000001</v>
      </c>
      <c r="G3687" s="3">
        <f>VLOOKUP(B3687,airports!A:H,8,FALSE)</f>
        <v>-122.2207167</v>
      </c>
      <c r="H3687">
        <f t="shared" si="114"/>
        <v>3103.9</v>
      </c>
      <c r="I3687">
        <f t="shared" si="115"/>
        <v>1928.8</v>
      </c>
    </row>
    <row r="3688" spans="1:9" ht="30" x14ac:dyDescent="0.25">
      <c r="A3688" s="5" t="s">
        <v>537</v>
      </c>
      <c r="B3688" s="5" t="s">
        <v>95</v>
      </c>
      <c r="C3688" s="5" t="s">
        <v>4160</v>
      </c>
      <c r="D3688" s="3">
        <f>VLOOKUP(A3688,airports!A:H,7,FALSE)</f>
        <v>39.717329169999999</v>
      </c>
      <c r="E3688" s="3">
        <f>VLOOKUP(A3688,airports!A:H,8,FALSE)</f>
        <v>-86.294384170000001</v>
      </c>
      <c r="F3688" s="3">
        <f>VLOOKUP(B3688,airports!A:H,7,FALSE)</f>
        <v>41.979595000000003</v>
      </c>
      <c r="G3688" s="3">
        <f>VLOOKUP(B3688,airports!A:H,8,FALSE)</f>
        <v>-87.904464169999997</v>
      </c>
      <c r="H3688">
        <f t="shared" si="114"/>
        <v>285.7</v>
      </c>
      <c r="I3688">
        <f t="shared" si="115"/>
        <v>177.5</v>
      </c>
    </row>
    <row r="3689" spans="1:9" x14ac:dyDescent="0.25">
      <c r="A3689" s="5" t="s">
        <v>537</v>
      </c>
      <c r="B3689" s="5" t="s">
        <v>99</v>
      </c>
      <c r="C3689" s="5" t="s">
        <v>4161</v>
      </c>
      <c r="D3689" s="3">
        <f>VLOOKUP(A3689,airports!A:H,7,FALSE)</f>
        <v>39.717329169999999</v>
      </c>
      <c r="E3689" s="3">
        <f>VLOOKUP(A3689,airports!A:H,8,FALSE)</f>
        <v>-86.294384170000001</v>
      </c>
      <c r="F3689" s="3">
        <f>VLOOKUP(B3689,airports!A:H,7,FALSE)</f>
        <v>26.683161940000002</v>
      </c>
      <c r="G3689" s="3">
        <f>VLOOKUP(B3689,airports!A:H,8,FALSE)</f>
        <v>-80.095594169999998</v>
      </c>
      <c r="H3689">
        <f t="shared" si="114"/>
        <v>1558.8</v>
      </c>
      <c r="I3689">
        <f t="shared" si="115"/>
        <v>968.6</v>
      </c>
    </row>
    <row r="3690" spans="1:9" ht="30" x14ac:dyDescent="0.25">
      <c r="A3690" s="5" t="s">
        <v>537</v>
      </c>
      <c r="B3690" s="5" t="s">
        <v>185</v>
      </c>
      <c r="C3690" s="5" t="s">
        <v>4162</v>
      </c>
      <c r="D3690" s="3">
        <f>VLOOKUP(A3690,airports!A:H,7,FALSE)</f>
        <v>39.717329169999999</v>
      </c>
      <c r="E3690" s="3">
        <f>VLOOKUP(A3690,airports!A:H,8,FALSE)</f>
        <v>-86.294384170000001</v>
      </c>
      <c r="F3690" s="3">
        <f>VLOOKUP(B3690,airports!A:H,7,FALSE)</f>
        <v>26.919699999999999</v>
      </c>
      <c r="G3690" s="3">
        <f>VLOOKUP(B3690,airports!A:H,8,FALSE)</f>
        <v>-81.995999999999995</v>
      </c>
      <c r="H3690">
        <f t="shared" si="114"/>
        <v>1477.5</v>
      </c>
      <c r="I3690">
        <f t="shared" si="115"/>
        <v>918.1</v>
      </c>
    </row>
    <row r="3691" spans="1:9" x14ac:dyDescent="0.25">
      <c r="A3691" s="5" t="s">
        <v>537</v>
      </c>
      <c r="B3691" s="5" t="s">
        <v>102</v>
      </c>
      <c r="C3691" s="5" t="s">
        <v>4163</v>
      </c>
      <c r="D3691" s="3">
        <f>VLOOKUP(A3691,airports!A:H,7,FALSE)</f>
        <v>39.717329169999999</v>
      </c>
      <c r="E3691" s="3">
        <f>VLOOKUP(A3691,airports!A:H,8,FALSE)</f>
        <v>-86.294384170000001</v>
      </c>
      <c r="F3691" s="3">
        <f>VLOOKUP(B3691,airports!A:H,7,FALSE)</f>
        <v>39.871952780000001</v>
      </c>
      <c r="G3691" s="3">
        <f>VLOOKUP(B3691,airports!A:H,8,FALSE)</f>
        <v>-75.241140830000006</v>
      </c>
      <c r="H3691">
        <f t="shared" si="114"/>
        <v>943.9</v>
      </c>
      <c r="I3691">
        <f t="shared" si="115"/>
        <v>586.5</v>
      </c>
    </row>
    <row r="3692" spans="1:9" ht="30" x14ac:dyDescent="0.25">
      <c r="A3692" s="5" t="s">
        <v>537</v>
      </c>
      <c r="B3692" s="5" t="s">
        <v>104</v>
      </c>
      <c r="C3692" s="5" t="s">
        <v>4164</v>
      </c>
      <c r="D3692" s="3">
        <f>VLOOKUP(A3692,airports!A:H,7,FALSE)</f>
        <v>39.717329169999999</v>
      </c>
      <c r="E3692" s="3">
        <f>VLOOKUP(A3692,airports!A:H,8,FALSE)</f>
        <v>-86.294384170000001</v>
      </c>
      <c r="F3692" s="3">
        <f>VLOOKUP(B3692,airports!A:H,7,FALSE)</f>
        <v>33.434166670000003</v>
      </c>
      <c r="G3692" s="3">
        <f>VLOOKUP(B3692,airports!A:H,8,FALSE)</f>
        <v>-112.00805560000001</v>
      </c>
      <c r="H3692">
        <f t="shared" si="114"/>
        <v>2390.5</v>
      </c>
      <c r="I3692">
        <f t="shared" si="115"/>
        <v>1485.5</v>
      </c>
    </row>
    <row r="3693" spans="1:9" x14ac:dyDescent="0.25">
      <c r="A3693" s="5" t="s">
        <v>537</v>
      </c>
      <c r="B3693" s="5" t="s">
        <v>188</v>
      </c>
      <c r="C3693" s="5" t="s">
        <v>4165</v>
      </c>
      <c r="D3693" s="3">
        <f>VLOOKUP(A3693,airports!A:H,7,FALSE)</f>
        <v>39.717329169999999</v>
      </c>
      <c r="E3693" s="3">
        <f>VLOOKUP(A3693,airports!A:H,8,FALSE)</f>
        <v>-86.294384170000001</v>
      </c>
      <c r="F3693" s="3">
        <f>VLOOKUP(B3693,airports!A:H,7,FALSE)</f>
        <v>27.910763330000002</v>
      </c>
      <c r="G3693" s="3">
        <f>VLOOKUP(B3693,airports!A:H,8,FALSE)</f>
        <v>-82.687439440000006</v>
      </c>
      <c r="H3693">
        <f t="shared" si="114"/>
        <v>1354.1</v>
      </c>
      <c r="I3693">
        <f t="shared" si="115"/>
        <v>841.5</v>
      </c>
    </row>
    <row r="3694" spans="1:9" ht="30" x14ac:dyDescent="0.25">
      <c r="A3694" s="5" t="s">
        <v>537</v>
      </c>
      <c r="B3694" s="5" t="s">
        <v>607</v>
      </c>
      <c r="C3694" s="5" t="s">
        <v>4166</v>
      </c>
      <c r="D3694" s="3">
        <f>VLOOKUP(A3694,airports!A:H,7,FALSE)</f>
        <v>39.717329169999999</v>
      </c>
      <c r="E3694" s="3">
        <f>VLOOKUP(A3694,airports!A:H,8,FALSE)</f>
        <v>-86.294384170000001</v>
      </c>
      <c r="F3694" s="3">
        <f>VLOOKUP(B3694,airports!A:H,7,FALSE)</f>
        <v>30.47330556</v>
      </c>
      <c r="G3694" s="3">
        <f>VLOOKUP(B3694,airports!A:H,8,FALSE)</f>
        <v>-87.187444439999993</v>
      </c>
      <c r="H3694">
        <f t="shared" si="114"/>
        <v>1031.0999999999999</v>
      </c>
      <c r="I3694">
        <f t="shared" si="115"/>
        <v>640.70000000000005</v>
      </c>
    </row>
    <row r="3695" spans="1:9" x14ac:dyDescent="0.25">
      <c r="A3695" s="5" t="s">
        <v>537</v>
      </c>
      <c r="B3695" s="5" t="s">
        <v>111</v>
      </c>
      <c r="C3695" s="5" t="s">
        <v>4167</v>
      </c>
      <c r="D3695" s="3">
        <f>VLOOKUP(A3695,airports!A:H,7,FALSE)</f>
        <v>39.717329169999999</v>
      </c>
      <c r="E3695" s="3">
        <f>VLOOKUP(A3695,airports!A:H,8,FALSE)</f>
        <v>-86.294384170000001</v>
      </c>
      <c r="F3695" s="3">
        <f>VLOOKUP(B3695,airports!A:H,7,FALSE)</f>
        <v>33.829215560000002</v>
      </c>
      <c r="G3695" s="3">
        <f>VLOOKUP(B3695,airports!A:H,8,FALSE)</f>
        <v>-116.5062531</v>
      </c>
      <c r="H3695">
        <f t="shared" si="114"/>
        <v>2755.3</v>
      </c>
      <c r="I3695">
        <f t="shared" si="115"/>
        <v>1712.2</v>
      </c>
    </row>
    <row r="3696" spans="1:9" ht="30" x14ac:dyDescent="0.25">
      <c r="A3696" s="5" t="s">
        <v>537</v>
      </c>
      <c r="B3696" s="5" t="s">
        <v>117</v>
      </c>
      <c r="C3696" s="5" t="s">
        <v>4168</v>
      </c>
      <c r="D3696" s="3">
        <f>VLOOKUP(A3696,airports!A:H,7,FALSE)</f>
        <v>39.717329169999999</v>
      </c>
      <c r="E3696" s="3">
        <f>VLOOKUP(A3696,airports!A:H,8,FALSE)</f>
        <v>-86.294384170000001</v>
      </c>
      <c r="F3696" s="3">
        <f>VLOOKUP(B3696,airports!A:H,7,FALSE)</f>
        <v>43.646166669999999</v>
      </c>
      <c r="G3696" s="3">
        <f>VLOOKUP(B3696,airports!A:H,8,FALSE)</f>
        <v>-70.308750000000003</v>
      </c>
      <c r="H3696">
        <f t="shared" si="114"/>
        <v>1394.9</v>
      </c>
      <c r="I3696">
        <f t="shared" si="115"/>
        <v>866.8</v>
      </c>
    </row>
    <row r="3697" spans="1:9" ht="30" x14ac:dyDescent="0.25">
      <c r="A3697" s="5" t="s">
        <v>537</v>
      </c>
      <c r="B3697" s="5" t="s">
        <v>612</v>
      </c>
      <c r="C3697" s="5" t="s">
        <v>4169</v>
      </c>
      <c r="D3697" s="3">
        <f>VLOOKUP(A3697,airports!A:H,7,FALSE)</f>
        <v>39.717329169999999</v>
      </c>
      <c r="E3697" s="3">
        <f>VLOOKUP(A3697,airports!A:H,8,FALSE)</f>
        <v>-86.294384170000001</v>
      </c>
      <c r="F3697" s="3">
        <f>VLOOKUP(B3697,airports!A:H,7,FALSE)</f>
        <v>44.045321389999998</v>
      </c>
      <c r="G3697" s="3">
        <f>VLOOKUP(B3697,airports!A:H,8,FALSE)</f>
        <v>-103.0573708</v>
      </c>
      <c r="H3697">
        <f t="shared" si="114"/>
        <v>1465.7</v>
      </c>
      <c r="I3697">
        <f t="shared" si="115"/>
        <v>910.8</v>
      </c>
    </row>
    <row r="3698" spans="1:9" ht="30" x14ac:dyDescent="0.25">
      <c r="A3698" s="5" t="s">
        <v>537</v>
      </c>
      <c r="B3698" s="5" t="s">
        <v>119</v>
      </c>
      <c r="C3698" s="5" t="s">
        <v>4170</v>
      </c>
      <c r="D3698" s="3">
        <f>VLOOKUP(A3698,airports!A:H,7,FALSE)</f>
        <v>39.717329169999999</v>
      </c>
      <c r="E3698" s="3">
        <f>VLOOKUP(A3698,airports!A:H,8,FALSE)</f>
        <v>-86.294384170000001</v>
      </c>
      <c r="F3698" s="3">
        <f>VLOOKUP(B3698,airports!A:H,7,FALSE)</f>
        <v>35.87763889</v>
      </c>
      <c r="G3698" s="3">
        <f>VLOOKUP(B3698,airports!A:H,8,FALSE)</f>
        <v>-78.787472219999998</v>
      </c>
      <c r="H3698">
        <f t="shared" si="114"/>
        <v>785.3</v>
      </c>
      <c r="I3698">
        <f t="shared" si="115"/>
        <v>488</v>
      </c>
    </row>
    <row r="3699" spans="1:9" ht="30" x14ac:dyDescent="0.25">
      <c r="A3699" s="5" t="s">
        <v>537</v>
      </c>
      <c r="B3699" s="5" t="s">
        <v>123</v>
      </c>
      <c r="C3699" s="5" t="s">
        <v>4171</v>
      </c>
      <c r="D3699" s="3">
        <f>VLOOKUP(A3699,airports!A:H,7,FALSE)</f>
        <v>39.717329169999999</v>
      </c>
      <c r="E3699" s="3">
        <f>VLOOKUP(A3699,airports!A:H,8,FALSE)</f>
        <v>-86.294384170000001</v>
      </c>
      <c r="F3699" s="3">
        <f>VLOOKUP(B3699,airports!A:H,7,FALSE)</f>
        <v>26.53616667</v>
      </c>
      <c r="G3699" s="3">
        <f>VLOOKUP(B3699,airports!A:H,8,FALSE)</f>
        <v>-81.755166669999994</v>
      </c>
      <c r="H3699">
        <f t="shared" si="114"/>
        <v>1524.8</v>
      </c>
      <c r="I3699">
        <f t="shared" si="115"/>
        <v>947.5</v>
      </c>
    </row>
    <row r="3700" spans="1:9" ht="30" x14ac:dyDescent="0.25">
      <c r="A3700" s="5" t="s">
        <v>537</v>
      </c>
      <c r="B3700" s="5" t="s">
        <v>124</v>
      </c>
      <c r="C3700" s="5" t="s">
        <v>4172</v>
      </c>
      <c r="D3700" s="3">
        <f>VLOOKUP(A3700,airports!A:H,7,FALSE)</f>
        <v>39.717329169999999</v>
      </c>
      <c r="E3700" s="3">
        <f>VLOOKUP(A3700,airports!A:H,8,FALSE)</f>
        <v>-86.294384170000001</v>
      </c>
      <c r="F3700" s="3">
        <f>VLOOKUP(B3700,airports!A:H,7,FALSE)</f>
        <v>32.733556110000002</v>
      </c>
      <c r="G3700" s="3">
        <f>VLOOKUP(B3700,airports!A:H,8,FALSE)</f>
        <v>-117.1896567</v>
      </c>
      <c r="H3700">
        <f t="shared" si="114"/>
        <v>2862.2</v>
      </c>
      <c r="I3700">
        <f t="shared" si="115"/>
        <v>1778.6</v>
      </c>
    </row>
    <row r="3701" spans="1:9" ht="30" x14ac:dyDescent="0.25">
      <c r="A3701" s="5" t="s">
        <v>537</v>
      </c>
      <c r="B3701" s="5" t="s">
        <v>126</v>
      </c>
      <c r="C3701" s="5" t="s">
        <v>4173</v>
      </c>
      <c r="D3701" s="3">
        <f>VLOOKUP(A3701,airports!A:H,7,FALSE)</f>
        <v>39.717329169999999</v>
      </c>
      <c r="E3701" s="3">
        <f>VLOOKUP(A3701,airports!A:H,8,FALSE)</f>
        <v>-86.294384170000001</v>
      </c>
      <c r="F3701" s="3">
        <f>VLOOKUP(B3701,airports!A:H,7,FALSE)</f>
        <v>32.12758333</v>
      </c>
      <c r="G3701" s="3">
        <f>VLOOKUP(B3701,airports!A:H,8,FALSE)</f>
        <v>-81.202138890000001</v>
      </c>
      <c r="H3701">
        <f t="shared" si="114"/>
        <v>960</v>
      </c>
      <c r="I3701">
        <f t="shared" si="115"/>
        <v>596.6</v>
      </c>
    </row>
    <row r="3702" spans="1:9" ht="30" x14ac:dyDescent="0.25">
      <c r="A3702" s="5" t="s">
        <v>537</v>
      </c>
      <c r="B3702" s="5" t="s">
        <v>626</v>
      </c>
      <c r="C3702" s="5" t="s">
        <v>4174</v>
      </c>
      <c r="D3702" s="3">
        <f>VLOOKUP(A3702,airports!A:H,7,FALSE)</f>
        <v>39.717329169999999</v>
      </c>
      <c r="E3702" s="3">
        <f>VLOOKUP(A3702,airports!A:H,8,FALSE)</f>
        <v>-86.294384170000001</v>
      </c>
      <c r="F3702" s="3">
        <f>VLOOKUP(B3702,airports!A:H,7,FALSE)</f>
        <v>41.708953610000002</v>
      </c>
      <c r="G3702" s="3">
        <f>VLOOKUP(B3702,airports!A:H,8,FALSE)</f>
        <v>-86.318474170000002</v>
      </c>
      <c r="H3702">
        <f t="shared" si="114"/>
        <v>221.5</v>
      </c>
      <c r="I3702">
        <f t="shared" si="115"/>
        <v>137.6</v>
      </c>
    </row>
    <row r="3703" spans="1:9" x14ac:dyDescent="0.25">
      <c r="A3703" s="5" t="s">
        <v>537</v>
      </c>
      <c r="B3703" s="5" t="s">
        <v>128</v>
      </c>
      <c r="C3703" s="5" t="s">
        <v>4175</v>
      </c>
      <c r="D3703" s="3">
        <f>VLOOKUP(A3703,airports!A:H,7,FALSE)</f>
        <v>39.717329169999999</v>
      </c>
      <c r="E3703" s="3">
        <f>VLOOKUP(A3703,airports!A:H,8,FALSE)</f>
        <v>-86.294384170000001</v>
      </c>
      <c r="F3703" s="3">
        <f>VLOOKUP(B3703,airports!A:H,7,FALSE)</f>
        <v>47.448981940000003</v>
      </c>
      <c r="G3703" s="3">
        <f>VLOOKUP(B3703,airports!A:H,8,FALSE)</f>
        <v>-122.3093131</v>
      </c>
      <c r="H3703">
        <f t="shared" si="114"/>
        <v>2995.5</v>
      </c>
      <c r="I3703">
        <f t="shared" si="115"/>
        <v>1861.5</v>
      </c>
    </row>
    <row r="3704" spans="1:9" x14ac:dyDescent="0.25">
      <c r="A3704" s="5" t="s">
        <v>537</v>
      </c>
      <c r="B3704" s="5" t="s">
        <v>191</v>
      </c>
      <c r="C3704" s="5" t="s">
        <v>4176</v>
      </c>
      <c r="D3704" s="3">
        <f>VLOOKUP(A3704,airports!A:H,7,FALSE)</f>
        <v>39.717329169999999</v>
      </c>
      <c r="E3704" s="3">
        <f>VLOOKUP(A3704,airports!A:H,8,FALSE)</f>
        <v>-86.294384170000001</v>
      </c>
      <c r="F3704" s="3">
        <f>VLOOKUP(B3704,airports!A:H,7,FALSE)</f>
        <v>28.7776</v>
      </c>
      <c r="G3704" s="3">
        <f>VLOOKUP(B3704,airports!A:H,8,FALSE)</f>
        <v>-81.237499999999997</v>
      </c>
      <c r="H3704">
        <f t="shared" si="114"/>
        <v>1301.5999999999999</v>
      </c>
      <c r="I3704">
        <f t="shared" si="115"/>
        <v>808.8</v>
      </c>
    </row>
    <row r="3705" spans="1:9" ht="30" x14ac:dyDescent="0.25">
      <c r="A3705" s="5" t="s">
        <v>537</v>
      </c>
      <c r="B3705" s="5" t="s">
        <v>130</v>
      </c>
      <c r="C3705" s="5" t="s">
        <v>4177</v>
      </c>
      <c r="D3705" s="3">
        <f>VLOOKUP(A3705,airports!A:H,7,FALSE)</f>
        <v>39.717329169999999</v>
      </c>
      <c r="E3705" s="3">
        <f>VLOOKUP(A3705,airports!A:H,8,FALSE)</f>
        <v>-86.294384170000001</v>
      </c>
      <c r="F3705" s="3">
        <f>VLOOKUP(B3705,airports!A:H,7,FALSE)</f>
        <v>37.619001939999997</v>
      </c>
      <c r="G3705" s="3">
        <f>VLOOKUP(B3705,airports!A:H,8,FALSE)</f>
        <v>-122.37484329999999</v>
      </c>
      <c r="H3705">
        <f t="shared" si="114"/>
        <v>3120</v>
      </c>
      <c r="I3705">
        <f t="shared" si="115"/>
        <v>1938.8</v>
      </c>
    </row>
    <row r="3706" spans="1:9" x14ac:dyDescent="0.25">
      <c r="A3706" s="5" t="s">
        <v>537</v>
      </c>
      <c r="B3706" s="5" t="s">
        <v>135</v>
      </c>
      <c r="C3706" s="5" t="s">
        <v>4178</v>
      </c>
      <c r="D3706" s="3">
        <f>VLOOKUP(A3706,airports!A:H,7,FALSE)</f>
        <v>39.717329169999999</v>
      </c>
      <c r="E3706" s="3">
        <f>VLOOKUP(A3706,airports!A:H,8,FALSE)</f>
        <v>-86.294384170000001</v>
      </c>
      <c r="F3706" s="3">
        <f>VLOOKUP(B3706,airports!A:H,7,FALSE)</f>
        <v>40.788387780000001</v>
      </c>
      <c r="G3706" s="3">
        <f>VLOOKUP(B3706,airports!A:H,8,FALSE)</f>
        <v>-111.97777309999999</v>
      </c>
      <c r="H3706">
        <f t="shared" si="114"/>
        <v>2175.1</v>
      </c>
      <c r="I3706">
        <f t="shared" si="115"/>
        <v>1351.6</v>
      </c>
    </row>
    <row r="3707" spans="1:9" ht="30" x14ac:dyDescent="0.25">
      <c r="A3707" s="5" t="s">
        <v>537</v>
      </c>
      <c r="B3707" s="5" t="s">
        <v>138</v>
      </c>
      <c r="C3707" s="5" t="s">
        <v>4179</v>
      </c>
      <c r="D3707" s="3">
        <f>VLOOKUP(A3707,airports!A:H,7,FALSE)</f>
        <v>39.717329169999999</v>
      </c>
      <c r="E3707" s="3">
        <f>VLOOKUP(A3707,airports!A:H,8,FALSE)</f>
        <v>-86.294384170000001</v>
      </c>
      <c r="F3707" s="3">
        <f>VLOOKUP(B3707,airports!A:H,7,FALSE)</f>
        <v>27.39533333</v>
      </c>
      <c r="G3707" s="3">
        <f>VLOOKUP(B3707,airports!A:H,8,FALSE)</f>
        <v>-82.554111109999994</v>
      </c>
      <c r="H3707">
        <f t="shared" si="114"/>
        <v>1412.9</v>
      </c>
      <c r="I3707">
        <f t="shared" si="115"/>
        <v>878</v>
      </c>
    </row>
    <row r="3708" spans="1:9" x14ac:dyDescent="0.25">
      <c r="A3708" s="5" t="s">
        <v>537</v>
      </c>
      <c r="B3708" s="5" t="s">
        <v>644</v>
      </c>
      <c r="C3708" s="5" t="s">
        <v>4180</v>
      </c>
      <c r="D3708" s="3">
        <f>VLOOKUP(A3708,airports!A:H,7,FALSE)</f>
        <v>39.717329169999999</v>
      </c>
      <c r="E3708" s="3">
        <f>VLOOKUP(A3708,airports!A:H,8,FALSE)</f>
        <v>-86.294384170000001</v>
      </c>
      <c r="F3708" s="3">
        <f>VLOOKUP(B3708,airports!A:H,7,FALSE)</f>
        <v>38.747686940000001</v>
      </c>
      <c r="G3708" s="3">
        <f>VLOOKUP(B3708,airports!A:H,8,FALSE)</f>
        <v>-90.359989720000002</v>
      </c>
      <c r="H3708">
        <f t="shared" si="114"/>
        <v>366.4</v>
      </c>
      <c r="I3708">
        <f t="shared" si="115"/>
        <v>227.7</v>
      </c>
    </row>
    <row r="3709" spans="1:9" ht="30" x14ac:dyDescent="0.25">
      <c r="A3709" s="5" t="s">
        <v>537</v>
      </c>
      <c r="B3709" s="5" t="s">
        <v>145</v>
      </c>
      <c r="C3709" s="5" t="s">
        <v>4181</v>
      </c>
      <c r="D3709" s="3">
        <f>VLOOKUP(A3709,airports!A:H,7,FALSE)</f>
        <v>39.717329169999999</v>
      </c>
      <c r="E3709" s="3">
        <f>VLOOKUP(A3709,airports!A:H,8,FALSE)</f>
        <v>-86.294384170000001</v>
      </c>
      <c r="F3709" s="3">
        <f>VLOOKUP(B3709,airports!A:H,7,FALSE)</f>
        <v>27.97547222</v>
      </c>
      <c r="G3709" s="3">
        <f>VLOOKUP(B3709,airports!A:H,8,FALSE)</f>
        <v>-82.533249999999995</v>
      </c>
      <c r="H3709">
        <f t="shared" si="114"/>
        <v>1350.7</v>
      </c>
      <c r="I3709">
        <f t="shared" si="115"/>
        <v>839.3</v>
      </c>
    </row>
    <row r="3710" spans="1:9" x14ac:dyDescent="0.25">
      <c r="A3710" s="5" t="s">
        <v>537</v>
      </c>
      <c r="B3710" s="5" t="s">
        <v>660</v>
      </c>
      <c r="C3710" s="5" t="s">
        <v>4182</v>
      </c>
      <c r="D3710" s="3">
        <f>VLOOKUP(A3710,airports!A:H,7,FALSE)</f>
        <v>39.717329169999999</v>
      </c>
      <c r="E3710" s="3">
        <f>VLOOKUP(A3710,airports!A:H,8,FALSE)</f>
        <v>-86.294384170000001</v>
      </c>
      <c r="F3710" s="3">
        <f>VLOOKUP(B3710,airports!A:H,7,FALSE)</f>
        <v>32.116083330000002</v>
      </c>
      <c r="G3710" s="3">
        <f>VLOOKUP(B3710,airports!A:H,8,FALSE)</f>
        <v>-110.9410278</v>
      </c>
      <c r="H3710">
        <f t="shared" si="114"/>
        <v>2365.5</v>
      </c>
      <c r="I3710">
        <f t="shared" si="115"/>
        <v>1469.9</v>
      </c>
    </row>
    <row r="3711" spans="1:9" x14ac:dyDescent="0.25">
      <c r="A3711" s="5" t="s">
        <v>537</v>
      </c>
      <c r="B3711" s="5" t="s">
        <v>664</v>
      </c>
      <c r="C3711" s="5" t="s">
        <v>4183</v>
      </c>
      <c r="D3711" s="3">
        <f>VLOOKUP(A3711,airports!A:H,7,FALSE)</f>
        <v>39.717329169999999</v>
      </c>
      <c r="E3711" s="3">
        <f>VLOOKUP(A3711,airports!A:H,8,FALSE)</f>
        <v>-86.294384170000001</v>
      </c>
      <c r="F3711" s="3">
        <f>VLOOKUP(B3711,airports!A:H,7,FALSE)</f>
        <v>35.812487220000001</v>
      </c>
      <c r="G3711" s="3">
        <f>VLOOKUP(B3711,airports!A:H,8,FALSE)</f>
        <v>-83.992855829999996</v>
      </c>
      <c r="H3711">
        <f t="shared" si="114"/>
        <v>479</v>
      </c>
      <c r="I3711">
        <f t="shared" si="115"/>
        <v>297.60000000000002</v>
      </c>
    </row>
    <row r="3712" spans="1:9" ht="30" x14ac:dyDescent="0.25">
      <c r="A3712" s="5" t="s">
        <v>537</v>
      </c>
      <c r="B3712" s="5" t="s">
        <v>668</v>
      </c>
      <c r="C3712" s="5" t="s">
        <v>4184</v>
      </c>
      <c r="D3712" s="3">
        <f>VLOOKUP(A3712,airports!A:H,7,FALSE)</f>
        <v>39.717329169999999</v>
      </c>
      <c r="E3712" s="3">
        <f>VLOOKUP(A3712,airports!A:H,8,FALSE)</f>
        <v>-86.294384170000001</v>
      </c>
      <c r="F3712" s="3">
        <f>VLOOKUP(B3712,airports!A:H,7,FALSE)</f>
        <v>30.483250000000002</v>
      </c>
      <c r="G3712" s="3">
        <f>VLOOKUP(B3712,airports!A:H,8,FALSE)</f>
        <v>-86.525400000000005</v>
      </c>
      <c r="H3712">
        <f t="shared" si="114"/>
        <v>1027</v>
      </c>
      <c r="I3712">
        <f t="shared" si="115"/>
        <v>638.20000000000005</v>
      </c>
    </row>
    <row r="3713" spans="1:9" ht="30" x14ac:dyDescent="0.25">
      <c r="A3713" s="5" t="s">
        <v>3197</v>
      </c>
      <c r="B3713" s="5" t="s">
        <v>87</v>
      </c>
      <c r="C3713" s="5" t="s">
        <v>4185</v>
      </c>
      <c r="D3713" s="3">
        <f>VLOOKUP(A3713,airports!A:H,7,FALSE)</f>
        <v>48.566187220000003</v>
      </c>
      <c r="E3713" s="3">
        <f>VLOOKUP(A3713,airports!A:H,8,FALSE)</f>
        <v>-93.403066670000001</v>
      </c>
      <c r="F3713" s="3">
        <f>VLOOKUP(B3713,airports!A:H,7,FALSE)</f>
        <v>44.880546940000002</v>
      </c>
      <c r="G3713" s="3">
        <f>VLOOKUP(B3713,airports!A:H,8,FALSE)</f>
        <v>-93.216922499999995</v>
      </c>
      <c r="H3713">
        <f t="shared" si="114"/>
        <v>410.1</v>
      </c>
      <c r="I3713">
        <f t="shared" si="115"/>
        <v>254.8</v>
      </c>
    </row>
    <row r="3714" spans="1:9" x14ac:dyDescent="0.25">
      <c r="A3714" s="5" t="s">
        <v>1801</v>
      </c>
      <c r="B3714" s="5" t="s">
        <v>40</v>
      </c>
      <c r="C3714" s="5" t="s">
        <v>4186</v>
      </c>
      <c r="D3714" s="3">
        <f>VLOOKUP(A3714,airports!A:H,7,FALSE)</f>
        <v>41.241798400878899</v>
      </c>
      <c r="E3714" s="3">
        <f>VLOOKUP(A3714,airports!A:H,8,FALSE)</f>
        <v>-76.921096801757798</v>
      </c>
      <c r="F3714" s="3">
        <f>VLOOKUP(B3714,airports!A:H,7,FALSE)</f>
        <v>35.214011110000001</v>
      </c>
      <c r="G3714" s="3">
        <f>VLOOKUP(B3714,airports!A:H,8,FALSE)</f>
        <v>-80.94312583</v>
      </c>
      <c r="H3714">
        <f t="shared" si="114"/>
        <v>756.5</v>
      </c>
      <c r="I3714">
        <f t="shared" si="115"/>
        <v>470.1</v>
      </c>
    </row>
    <row r="3715" spans="1:9" x14ac:dyDescent="0.25">
      <c r="A3715" s="5" t="s">
        <v>1801</v>
      </c>
      <c r="B3715" s="5" t="s">
        <v>102</v>
      </c>
      <c r="C3715" s="5" t="s">
        <v>4187</v>
      </c>
      <c r="D3715" s="3">
        <f>VLOOKUP(A3715,airports!A:H,7,FALSE)</f>
        <v>41.241798400878899</v>
      </c>
      <c r="E3715" s="3">
        <f>VLOOKUP(A3715,airports!A:H,8,FALSE)</f>
        <v>-76.921096801757798</v>
      </c>
      <c r="F3715" s="3">
        <f>VLOOKUP(B3715,airports!A:H,7,FALSE)</f>
        <v>39.871952780000001</v>
      </c>
      <c r="G3715" s="3">
        <f>VLOOKUP(B3715,airports!A:H,8,FALSE)</f>
        <v>-75.241140830000006</v>
      </c>
      <c r="H3715">
        <f t="shared" si="114"/>
        <v>208.2</v>
      </c>
      <c r="I3715">
        <f t="shared" si="115"/>
        <v>129.4</v>
      </c>
    </row>
    <row r="3716" spans="1:9" ht="30" x14ac:dyDescent="0.25">
      <c r="A3716" s="5" t="s">
        <v>2401</v>
      </c>
      <c r="B3716" s="5" t="s">
        <v>47</v>
      </c>
      <c r="C3716" s="5" t="s">
        <v>4188</v>
      </c>
      <c r="D3716" s="3">
        <f>VLOOKUP(A3716,airports!A:H,7,FALSE)</f>
        <v>48.177938609999998</v>
      </c>
      <c r="E3716" s="3">
        <f>VLOOKUP(A3716,airports!A:H,8,FALSE)</f>
        <v>-103.6423467</v>
      </c>
      <c r="F3716" s="3">
        <f>VLOOKUP(B3716,airports!A:H,7,FALSE)</f>
        <v>39.858408060000002</v>
      </c>
      <c r="G3716" s="3">
        <f>VLOOKUP(B3716,airports!A:H,8,FALSE)</f>
        <v>-104.6670019</v>
      </c>
      <c r="H3716">
        <f t="shared" ref="H3716:H3779" si="116">ROUND(ACOS(COS(RADIANS(90-D3716)) * COS(RADIANS(90-F3716)) + SIN(RADIANS(90-D3716)) * SIN(RADIANS(90-F3716)) * COS(RADIANS(E3716-G3716))) * 6371,1)</f>
        <v>928.7</v>
      </c>
      <c r="I3716">
        <f t="shared" ref="I3716:I3779" si="117">ROUND(ACOS(COS(RADIANS(90-D3716)) * COS(RADIANS(90-F3716)) + SIN(RADIANS(90-D3716)) * SIN(RADIANS(90-F3716)) * COS(RADIANS(E3716-G3716))) * 3959,1)</f>
        <v>577.1</v>
      </c>
    </row>
    <row r="3717" spans="1:9" ht="30" x14ac:dyDescent="0.25">
      <c r="A3717" s="5" t="s">
        <v>2401</v>
      </c>
      <c r="B3717" s="5" t="s">
        <v>87</v>
      </c>
      <c r="C3717" s="5" t="s">
        <v>4189</v>
      </c>
      <c r="D3717" s="3">
        <f>VLOOKUP(A3717,airports!A:H,7,FALSE)</f>
        <v>48.177938609999998</v>
      </c>
      <c r="E3717" s="3">
        <f>VLOOKUP(A3717,airports!A:H,8,FALSE)</f>
        <v>-103.6423467</v>
      </c>
      <c r="F3717" s="3">
        <f>VLOOKUP(B3717,airports!A:H,7,FALSE)</f>
        <v>44.880546940000002</v>
      </c>
      <c r="G3717" s="3">
        <f>VLOOKUP(B3717,airports!A:H,8,FALSE)</f>
        <v>-93.216922499999995</v>
      </c>
      <c r="H3717">
        <f t="shared" si="116"/>
        <v>876.8</v>
      </c>
      <c r="I3717">
        <f t="shared" si="117"/>
        <v>544.9</v>
      </c>
    </row>
    <row r="3718" spans="1:9" x14ac:dyDescent="0.25">
      <c r="A3718" s="5" t="s">
        <v>539</v>
      </c>
      <c r="B3718" s="5" t="s">
        <v>10</v>
      </c>
      <c r="C3718" s="5" t="s">
        <v>4190</v>
      </c>
      <c r="D3718" s="3">
        <f>VLOOKUP(A3718,airports!A:H,7,FALSE)</f>
        <v>40.795242500000001</v>
      </c>
      <c r="E3718" s="3">
        <f>VLOOKUP(A3718,airports!A:H,8,FALSE)</f>
        <v>-73.100211939999994</v>
      </c>
      <c r="F3718" s="3">
        <f>VLOOKUP(B3718,airports!A:H,7,FALSE)</f>
        <v>33.640444440000003</v>
      </c>
      <c r="G3718" s="3">
        <f>VLOOKUP(B3718,airports!A:H,8,FALSE)</f>
        <v>-84.42694444</v>
      </c>
      <c r="H3718">
        <f t="shared" si="116"/>
        <v>1278.3</v>
      </c>
      <c r="I3718">
        <f t="shared" si="117"/>
        <v>794.4</v>
      </c>
    </row>
    <row r="3719" spans="1:9" x14ac:dyDescent="0.25">
      <c r="A3719" s="5" t="s">
        <v>539</v>
      </c>
      <c r="B3719" s="5" t="s">
        <v>19</v>
      </c>
      <c r="C3719" s="5" t="s">
        <v>4191</v>
      </c>
      <c r="D3719" s="3">
        <f>VLOOKUP(A3719,airports!A:H,7,FALSE)</f>
        <v>40.795242500000001</v>
      </c>
      <c r="E3719" s="3">
        <f>VLOOKUP(A3719,airports!A:H,8,FALSE)</f>
        <v>-73.100211939999994</v>
      </c>
      <c r="F3719" s="3">
        <f>VLOOKUP(B3719,airports!A:H,7,FALSE)</f>
        <v>36.12447667</v>
      </c>
      <c r="G3719" s="3">
        <f>VLOOKUP(B3719,airports!A:H,8,FALSE)</f>
        <v>-86.678182219999997</v>
      </c>
      <c r="H3719">
        <f t="shared" si="116"/>
        <v>1289.4000000000001</v>
      </c>
      <c r="I3719">
        <f t="shared" si="117"/>
        <v>801.3</v>
      </c>
    </row>
    <row r="3720" spans="1:9" x14ac:dyDescent="0.25">
      <c r="A3720" s="5" t="s">
        <v>539</v>
      </c>
      <c r="B3720" s="5" t="s">
        <v>32</v>
      </c>
      <c r="C3720" s="5" t="s">
        <v>4192</v>
      </c>
      <c r="D3720" s="3">
        <f>VLOOKUP(A3720,airports!A:H,7,FALSE)</f>
        <v>40.795242500000001</v>
      </c>
      <c r="E3720" s="3">
        <f>VLOOKUP(A3720,airports!A:H,8,FALSE)</f>
        <v>-73.100211939999994</v>
      </c>
      <c r="F3720" s="3">
        <f>VLOOKUP(B3720,airports!A:H,7,FALSE)</f>
        <v>39.175401669999999</v>
      </c>
      <c r="G3720" s="3">
        <f>VLOOKUP(B3720,airports!A:H,8,FALSE)</f>
        <v>-76.668198329999996</v>
      </c>
      <c r="H3720">
        <f t="shared" si="116"/>
        <v>353.3</v>
      </c>
      <c r="I3720">
        <f t="shared" si="117"/>
        <v>219.5</v>
      </c>
    </row>
    <row r="3721" spans="1:9" ht="30" x14ac:dyDescent="0.25">
      <c r="A3721" s="5" t="s">
        <v>539</v>
      </c>
      <c r="B3721" s="5" t="s">
        <v>50</v>
      </c>
      <c r="C3721" s="5" t="s">
        <v>4193</v>
      </c>
      <c r="D3721" s="3">
        <f>VLOOKUP(A3721,airports!A:H,7,FALSE)</f>
        <v>40.795242500000001</v>
      </c>
      <c r="E3721" s="3">
        <f>VLOOKUP(A3721,airports!A:H,8,FALSE)</f>
        <v>-73.100211939999994</v>
      </c>
      <c r="F3721" s="3">
        <f>VLOOKUP(B3721,airports!A:H,7,FALSE)</f>
        <v>42.212058890000002</v>
      </c>
      <c r="G3721" s="3">
        <f>VLOOKUP(B3721,airports!A:H,8,FALSE)</f>
        <v>-83.348835829999999</v>
      </c>
      <c r="H3721">
        <f t="shared" si="116"/>
        <v>867.3</v>
      </c>
      <c r="I3721">
        <f t="shared" si="117"/>
        <v>539</v>
      </c>
    </row>
    <row r="3722" spans="1:9" x14ac:dyDescent="0.25">
      <c r="A3722" s="5" t="s">
        <v>539</v>
      </c>
      <c r="B3722" s="5" t="s">
        <v>57</v>
      </c>
      <c r="C3722" s="5" t="s">
        <v>4194</v>
      </c>
      <c r="D3722" s="3">
        <f>VLOOKUP(A3722,airports!A:H,7,FALSE)</f>
        <v>40.795242500000001</v>
      </c>
      <c r="E3722" s="3">
        <f>VLOOKUP(A3722,airports!A:H,8,FALSE)</f>
        <v>-73.100211939999994</v>
      </c>
      <c r="F3722" s="3">
        <f>VLOOKUP(B3722,airports!A:H,7,FALSE)</f>
        <v>26.072583330000001</v>
      </c>
      <c r="G3722" s="3">
        <f>VLOOKUP(B3722,airports!A:H,8,FALSE)</f>
        <v>-80.152749999999997</v>
      </c>
      <c r="H3722">
        <f t="shared" si="116"/>
        <v>1761.5</v>
      </c>
      <c r="I3722">
        <f t="shared" si="117"/>
        <v>1094.5999999999999</v>
      </c>
    </row>
    <row r="3723" spans="1:9" ht="30" x14ac:dyDescent="0.25">
      <c r="A3723" s="5" t="s">
        <v>539</v>
      </c>
      <c r="B3723" s="5" t="s">
        <v>82</v>
      </c>
      <c r="C3723" s="5" t="s">
        <v>4195</v>
      </c>
      <c r="D3723" s="3">
        <f>VLOOKUP(A3723,airports!A:H,7,FALSE)</f>
        <v>40.795242500000001</v>
      </c>
      <c r="E3723" s="3">
        <f>VLOOKUP(A3723,airports!A:H,8,FALSE)</f>
        <v>-73.100211939999994</v>
      </c>
      <c r="F3723" s="3">
        <f>VLOOKUP(B3723,airports!A:H,7,FALSE)</f>
        <v>28.42888889</v>
      </c>
      <c r="G3723" s="3">
        <f>VLOOKUP(B3723,airports!A:H,8,FALSE)</f>
        <v>-81.316027779999999</v>
      </c>
      <c r="H3723">
        <f t="shared" si="116"/>
        <v>1565.4</v>
      </c>
      <c r="I3723">
        <f t="shared" si="117"/>
        <v>972.8</v>
      </c>
    </row>
    <row r="3724" spans="1:9" x14ac:dyDescent="0.25">
      <c r="A3724" s="5" t="s">
        <v>539</v>
      </c>
      <c r="B3724" s="5" t="s">
        <v>84</v>
      </c>
      <c r="C3724" s="5" t="s">
        <v>4196</v>
      </c>
      <c r="D3724" s="3">
        <f>VLOOKUP(A3724,airports!A:H,7,FALSE)</f>
        <v>40.795242500000001</v>
      </c>
      <c r="E3724" s="3">
        <f>VLOOKUP(A3724,airports!A:H,8,FALSE)</f>
        <v>-73.100211939999994</v>
      </c>
      <c r="F3724" s="3">
        <f>VLOOKUP(B3724,airports!A:H,7,FALSE)</f>
        <v>25.79325</v>
      </c>
      <c r="G3724" s="3">
        <f>VLOOKUP(B3724,airports!A:H,8,FALSE)</f>
        <v>-80.290555560000001</v>
      </c>
      <c r="H3724">
        <f t="shared" si="116"/>
        <v>1795.3</v>
      </c>
      <c r="I3724">
        <f t="shared" si="117"/>
        <v>1115.5999999999999</v>
      </c>
    </row>
    <row r="3725" spans="1:9" x14ac:dyDescent="0.25">
      <c r="A3725" s="5" t="s">
        <v>539</v>
      </c>
      <c r="B3725" s="5" t="s">
        <v>87</v>
      </c>
      <c r="C3725" s="5" t="s">
        <v>4197</v>
      </c>
      <c r="D3725" s="3">
        <f>VLOOKUP(A3725,airports!A:H,7,FALSE)</f>
        <v>40.795242500000001</v>
      </c>
      <c r="E3725" s="3">
        <f>VLOOKUP(A3725,airports!A:H,8,FALSE)</f>
        <v>-73.100211939999994</v>
      </c>
      <c r="F3725" s="3">
        <f>VLOOKUP(B3725,airports!A:H,7,FALSE)</f>
        <v>44.880546940000002</v>
      </c>
      <c r="G3725" s="3">
        <f>VLOOKUP(B3725,airports!A:H,8,FALSE)</f>
        <v>-93.216922499999995</v>
      </c>
      <c r="H3725">
        <f t="shared" si="116"/>
        <v>1697</v>
      </c>
      <c r="I3725">
        <f t="shared" si="117"/>
        <v>1054.5</v>
      </c>
    </row>
    <row r="3726" spans="1:9" x14ac:dyDescent="0.25">
      <c r="A3726" s="5" t="s">
        <v>539</v>
      </c>
      <c r="B3726" s="5" t="s">
        <v>89</v>
      </c>
      <c r="C3726" s="5" t="s">
        <v>4198</v>
      </c>
      <c r="D3726" s="3">
        <f>VLOOKUP(A3726,airports!A:H,7,FALSE)</f>
        <v>40.795242500000001</v>
      </c>
      <c r="E3726" s="3">
        <f>VLOOKUP(A3726,airports!A:H,8,FALSE)</f>
        <v>-73.100211939999994</v>
      </c>
      <c r="F3726" s="3">
        <f>VLOOKUP(B3726,airports!A:H,7,FALSE)</f>
        <v>29.993388889999999</v>
      </c>
      <c r="G3726" s="3">
        <f>VLOOKUP(B3726,airports!A:H,8,FALSE)</f>
        <v>-90.258027780000006</v>
      </c>
      <c r="H3726">
        <f t="shared" si="116"/>
        <v>1958.9</v>
      </c>
      <c r="I3726">
        <f t="shared" si="117"/>
        <v>1217.3</v>
      </c>
    </row>
    <row r="3727" spans="1:9" x14ac:dyDescent="0.25">
      <c r="A3727" s="5" t="s">
        <v>539</v>
      </c>
      <c r="B3727" s="5" t="s">
        <v>182</v>
      </c>
      <c r="C3727" s="5" t="s">
        <v>4199</v>
      </c>
      <c r="D3727" s="3">
        <f>VLOOKUP(A3727,airports!A:H,7,FALSE)</f>
        <v>40.795242500000001</v>
      </c>
      <c r="E3727" s="3">
        <f>VLOOKUP(A3727,airports!A:H,8,FALSE)</f>
        <v>-73.100211939999994</v>
      </c>
      <c r="F3727" s="3">
        <f>VLOOKUP(B3727,airports!A:H,7,FALSE)</f>
        <v>33.679749999999999</v>
      </c>
      <c r="G3727" s="3">
        <f>VLOOKUP(B3727,airports!A:H,8,FALSE)</f>
        <v>-78.928333330000001</v>
      </c>
      <c r="H3727">
        <f t="shared" si="116"/>
        <v>944</v>
      </c>
      <c r="I3727">
        <f t="shared" si="117"/>
        <v>586.6</v>
      </c>
    </row>
    <row r="3728" spans="1:9" x14ac:dyDescent="0.25">
      <c r="A3728" s="5" t="s">
        <v>539</v>
      </c>
      <c r="B3728" s="5" t="s">
        <v>95</v>
      </c>
      <c r="C3728" s="5" t="s">
        <v>4200</v>
      </c>
      <c r="D3728" s="3">
        <f>VLOOKUP(A3728,airports!A:H,7,FALSE)</f>
        <v>40.795242500000001</v>
      </c>
      <c r="E3728" s="3">
        <f>VLOOKUP(A3728,airports!A:H,8,FALSE)</f>
        <v>-73.100211939999994</v>
      </c>
      <c r="F3728" s="3">
        <f>VLOOKUP(B3728,airports!A:H,7,FALSE)</f>
        <v>41.979595000000003</v>
      </c>
      <c r="G3728" s="3">
        <f>VLOOKUP(B3728,airports!A:H,8,FALSE)</f>
        <v>-87.904464169999997</v>
      </c>
      <c r="H3728">
        <f t="shared" si="116"/>
        <v>1240.5</v>
      </c>
      <c r="I3728">
        <f t="shared" si="117"/>
        <v>770.8</v>
      </c>
    </row>
    <row r="3729" spans="1:9" x14ac:dyDescent="0.25">
      <c r="A3729" s="5" t="s">
        <v>539</v>
      </c>
      <c r="B3729" s="5" t="s">
        <v>99</v>
      </c>
      <c r="C3729" s="5" t="s">
        <v>4201</v>
      </c>
      <c r="D3729" s="3">
        <f>VLOOKUP(A3729,airports!A:H,7,FALSE)</f>
        <v>40.795242500000001</v>
      </c>
      <c r="E3729" s="3">
        <f>VLOOKUP(A3729,airports!A:H,8,FALSE)</f>
        <v>-73.100211939999994</v>
      </c>
      <c r="F3729" s="3">
        <f>VLOOKUP(B3729,airports!A:H,7,FALSE)</f>
        <v>26.683161940000002</v>
      </c>
      <c r="G3729" s="3">
        <f>VLOOKUP(B3729,airports!A:H,8,FALSE)</f>
        <v>-80.095594169999998</v>
      </c>
      <c r="H3729">
        <f t="shared" si="116"/>
        <v>1695.8</v>
      </c>
      <c r="I3729">
        <f t="shared" si="117"/>
        <v>1053.8</v>
      </c>
    </row>
    <row r="3730" spans="1:9" x14ac:dyDescent="0.25">
      <c r="A3730" s="5" t="s">
        <v>539</v>
      </c>
      <c r="B3730" s="5" t="s">
        <v>102</v>
      </c>
      <c r="C3730" s="5" t="s">
        <v>4202</v>
      </c>
      <c r="D3730" s="3">
        <f>VLOOKUP(A3730,airports!A:H,7,FALSE)</f>
        <v>40.795242500000001</v>
      </c>
      <c r="E3730" s="3">
        <f>VLOOKUP(A3730,airports!A:H,8,FALSE)</f>
        <v>-73.100211939999994</v>
      </c>
      <c r="F3730" s="3">
        <f>VLOOKUP(B3730,airports!A:H,7,FALSE)</f>
        <v>39.871952780000001</v>
      </c>
      <c r="G3730" s="3">
        <f>VLOOKUP(B3730,airports!A:H,8,FALSE)</f>
        <v>-75.241140830000006</v>
      </c>
      <c r="H3730">
        <f t="shared" si="116"/>
        <v>208.5</v>
      </c>
      <c r="I3730">
        <f t="shared" si="117"/>
        <v>129.6</v>
      </c>
    </row>
    <row r="3731" spans="1:9" x14ac:dyDescent="0.25">
      <c r="A3731" s="5" t="s">
        <v>539</v>
      </c>
      <c r="B3731" s="5" t="s">
        <v>119</v>
      </c>
      <c r="C3731" s="5" t="s">
        <v>4203</v>
      </c>
      <c r="D3731" s="3">
        <f>VLOOKUP(A3731,airports!A:H,7,FALSE)</f>
        <v>40.795242500000001</v>
      </c>
      <c r="E3731" s="3">
        <f>VLOOKUP(A3731,airports!A:H,8,FALSE)</f>
        <v>-73.100211939999994</v>
      </c>
      <c r="F3731" s="3">
        <f>VLOOKUP(B3731,airports!A:H,7,FALSE)</f>
        <v>35.87763889</v>
      </c>
      <c r="G3731" s="3">
        <f>VLOOKUP(B3731,airports!A:H,8,FALSE)</f>
        <v>-78.787472219999998</v>
      </c>
      <c r="H3731">
        <f t="shared" si="116"/>
        <v>737.9</v>
      </c>
      <c r="I3731">
        <f t="shared" si="117"/>
        <v>458.6</v>
      </c>
    </row>
    <row r="3732" spans="1:9" ht="30" x14ac:dyDescent="0.25">
      <c r="A3732" s="5" t="s">
        <v>539</v>
      </c>
      <c r="B3732" s="5" t="s">
        <v>123</v>
      </c>
      <c r="C3732" s="5" t="s">
        <v>4204</v>
      </c>
      <c r="D3732" s="3">
        <f>VLOOKUP(A3732,airports!A:H,7,FALSE)</f>
        <v>40.795242500000001</v>
      </c>
      <c r="E3732" s="3">
        <f>VLOOKUP(A3732,airports!A:H,8,FALSE)</f>
        <v>-73.100211939999994</v>
      </c>
      <c r="F3732" s="3">
        <f>VLOOKUP(B3732,airports!A:H,7,FALSE)</f>
        <v>26.53616667</v>
      </c>
      <c r="G3732" s="3">
        <f>VLOOKUP(B3732,airports!A:H,8,FALSE)</f>
        <v>-81.755166669999994</v>
      </c>
      <c r="H3732">
        <f t="shared" si="116"/>
        <v>1774.1</v>
      </c>
      <c r="I3732">
        <f t="shared" si="117"/>
        <v>1102.4000000000001</v>
      </c>
    </row>
    <row r="3733" spans="1:9" x14ac:dyDescent="0.25">
      <c r="A3733" s="5" t="s">
        <v>539</v>
      </c>
      <c r="B3733" s="5" t="s">
        <v>134</v>
      </c>
      <c r="C3733" s="5" t="s">
        <v>4205</v>
      </c>
      <c r="D3733" s="3">
        <f>VLOOKUP(A3733,airports!A:H,7,FALSE)</f>
        <v>40.795242500000001</v>
      </c>
      <c r="E3733" s="3">
        <f>VLOOKUP(A3733,airports!A:H,8,FALSE)</f>
        <v>-73.100211939999994</v>
      </c>
      <c r="F3733" s="3">
        <f>VLOOKUP(B3733,airports!A:H,7,FALSE)</f>
        <v>18.43941667</v>
      </c>
      <c r="G3733" s="3">
        <f>VLOOKUP(B3733,airports!A:H,8,FALSE)</f>
        <v>-66.001833329999997</v>
      </c>
      <c r="H3733">
        <f t="shared" si="116"/>
        <v>2576.5</v>
      </c>
      <c r="I3733">
        <f t="shared" si="117"/>
        <v>1601.1</v>
      </c>
    </row>
    <row r="3734" spans="1:9" x14ac:dyDescent="0.25">
      <c r="A3734" s="5" t="s">
        <v>539</v>
      </c>
      <c r="B3734" s="5" t="s">
        <v>145</v>
      </c>
      <c r="C3734" s="5" t="s">
        <v>4206</v>
      </c>
      <c r="D3734" s="3">
        <f>VLOOKUP(A3734,airports!A:H,7,FALSE)</f>
        <v>40.795242500000001</v>
      </c>
      <c r="E3734" s="3">
        <f>VLOOKUP(A3734,airports!A:H,8,FALSE)</f>
        <v>-73.100211939999994</v>
      </c>
      <c r="F3734" s="3">
        <f>VLOOKUP(B3734,airports!A:H,7,FALSE)</f>
        <v>27.97547222</v>
      </c>
      <c r="G3734" s="3">
        <f>VLOOKUP(B3734,airports!A:H,8,FALSE)</f>
        <v>-82.533249999999995</v>
      </c>
      <c r="H3734">
        <f t="shared" si="116"/>
        <v>1665.3</v>
      </c>
      <c r="I3734">
        <f t="shared" si="117"/>
        <v>1034.8</v>
      </c>
    </row>
    <row r="3735" spans="1:9" x14ac:dyDescent="0.25">
      <c r="A3735" s="5" t="s">
        <v>1803</v>
      </c>
      <c r="B3735" s="5" t="s">
        <v>40</v>
      </c>
      <c r="C3735" s="5" t="s">
        <v>4207</v>
      </c>
      <c r="D3735" s="3">
        <f>VLOOKUP(A3735,airports!A:H,7,FALSE)</f>
        <v>42.491027780000003</v>
      </c>
      <c r="E3735" s="3">
        <f>VLOOKUP(A3735,airports!A:H,8,FALSE)</f>
        <v>-76.458444439999994</v>
      </c>
      <c r="F3735" s="3">
        <f>VLOOKUP(B3735,airports!A:H,7,FALSE)</f>
        <v>35.214011110000001</v>
      </c>
      <c r="G3735" s="3">
        <f>VLOOKUP(B3735,airports!A:H,8,FALSE)</f>
        <v>-80.94312583</v>
      </c>
      <c r="H3735">
        <f t="shared" si="116"/>
        <v>897.2</v>
      </c>
      <c r="I3735">
        <f t="shared" si="117"/>
        <v>557.5</v>
      </c>
    </row>
    <row r="3736" spans="1:9" ht="30" x14ac:dyDescent="0.25">
      <c r="A3736" s="5" t="s">
        <v>1803</v>
      </c>
      <c r="B3736" s="5" t="s">
        <v>50</v>
      </c>
      <c r="C3736" s="5" t="s">
        <v>4208</v>
      </c>
      <c r="D3736" s="3">
        <f>VLOOKUP(A3736,airports!A:H,7,FALSE)</f>
        <v>42.491027780000003</v>
      </c>
      <c r="E3736" s="3">
        <f>VLOOKUP(A3736,airports!A:H,8,FALSE)</f>
        <v>-76.458444439999994</v>
      </c>
      <c r="F3736" s="3">
        <f>VLOOKUP(B3736,airports!A:H,7,FALSE)</f>
        <v>42.212058890000002</v>
      </c>
      <c r="G3736" s="3">
        <f>VLOOKUP(B3736,airports!A:H,8,FALSE)</f>
        <v>-83.348835829999999</v>
      </c>
      <c r="H3736">
        <f t="shared" si="116"/>
        <v>566.9</v>
      </c>
      <c r="I3736">
        <f t="shared" si="117"/>
        <v>352.3</v>
      </c>
    </row>
    <row r="3737" spans="1:9" ht="30" x14ac:dyDescent="0.25">
      <c r="A3737" s="5" t="s">
        <v>1803</v>
      </c>
      <c r="B3737" s="5" t="s">
        <v>52</v>
      </c>
      <c r="C3737" s="5" t="s">
        <v>4209</v>
      </c>
      <c r="D3737" s="3">
        <f>VLOOKUP(A3737,airports!A:H,7,FALSE)</f>
        <v>42.491027780000003</v>
      </c>
      <c r="E3737" s="3">
        <f>VLOOKUP(A3737,airports!A:H,8,FALSE)</f>
        <v>-76.458444439999994</v>
      </c>
      <c r="F3737" s="3">
        <f>VLOOKUP(B3737,airports!A:H,7,FALSE)</f>
        <v>40.69249722</v>
      </c>
      <c r="G3737" s="3">
        <f>VLOOKUP(B3737,airports!A:H,8,FALSE)</f>
        <v>-74.168660560000006</v>
      </c>
      <c r="H3737">
        <f t="shared" si="116"/>
        <v>276.10000000000002</v>
      </c>
      <c r="I3737">
        <f t="shared" si="117"/>
        <v>171.6</v>
      </c>
    </row>
    <row r="3738" spans="1:9" x14ac:dyDescent="0.25">
      <c r="A3738" s="5" t="s">
        <v>1803</v>
      </c>
      <c r="B3738" s="5" t="s">
        <v>176</v>
      </c>
      <c r="C3738" s="5" t="s">
        <v>4210</v>
      </c>
      <c r="D3738" s="3">
        <f>VLOOKUP(A3738,airports!A:H,7,FALSE)</f>
        <v>42.491027780000003</v>
      </c>
      <c r="E3738" s="3">
        <f>VLOOKUP(A3738,airports!A:H,8,FALSE)</f>
        <v>-76.458444439999994</v>
      </c>
      <c r="F3738" s="3">
        <f>VLOOKUP(B3738,airports!A:H,7,FALSE)</f>
        <v>38.944531939999997</v>
      </c>
      <c r="G3738" s="3">
        <f>VLOOKUP(B3738,airports!A:H,8,FALSE)</f>
        <v>-77.455809720000005</v>
      </c>
      <c r="H3738">
        <f t="shared" si="116"/>
        <v>403.2</v>
      </c>
      <c r="I3738">
        <f t="shared" si="117"/>
        <v>250.6</v>
      </c>
    </row>
    <row r="3739" spans="1:9" x14ac:dyDescent="0.25">
      <c r="A3739" s="5" t="s">
        <v>1803</v>
      </c>
      <c r="B3739" s="5" t="s">
        <v>102</v>
      </c>
      <c r="C3739" s="5" t="s">
        <v>4211</v>
      </c>
      <c r="D3739" s="3">
        <f>VLOOKUP(A3739,airports!A:H,7,FALSE)</f>
        <v>42.491027780000003</v>
      </c>
      <c r="E3739" s="3">
        <f>VLOOKUP(A3739,airports!A:H,8,FALSE)</f>
        <v>-76.458444439999994</v>
      </c>
      <c r="F3739" s="3">
        <f>VLOOKUP(B3739,airports!A:H,7,FALSE)</f>
        <v>39.871952780000001</v>
      </c>
      <c r="G3739" s="3">
        <f>VLOOKUP(B3739,airports!A:H,8,FALSE)</f>
        <v>-75.241140830000006</v>
      </c>
      <c r="H3739">
        <f t="shared" si="116"/>
        <v>308.5</v>
      </c>
      <c r="I3739">
        <f t="shared" si="117"/>
        <v>191.7</v>
      </c>
    </row>
    <row r="3740" spans="1:9" x14ac:dyDescent="0.25">
      <c r="A3740" s="5" t="s">
        <v>3653</v>
      </c>
      <c r="B3740" s="5" t="s">
        <v>360</v>
      </c>
      <c r="C3740" s="5" t="s">
        <v>4212</v>
      </c>
      <c r="D3740" s="3">
        <f>VLOOKUP(A3740,airports!A:H,7,FALSE)</f>
        <v>19.720263060000001</v>
      </c>
      <c r="E3740" s="3">
        <f>VLOOKUP(A3740,airports!A:H,8,FALSE)</f>
        <v>-155.04847029999999</v>
      </c>
      <c r="F3740" s="3">
        <f>VLOOKUP(B3740,airports!A:H,7,FALSE)</f>
        <v>21.31869111</v>
      </c>
      <c r="G3740" s="3">
        <f>VLOOKUP(B3740,airports!A:H,8,FALSE)</f>
        <v>-157.92240720000001</v>
      </c>
      <c r="H3740">
        <f t="shared" si="116"/>
        <v>348.1</v>
      </c>
      <c r="I3740">
        <f t="shared" si="117"/>
        <v>216.3</v>
      </c>
    </row>
    <row r="3741" spans="1:9" x14ac:dyDescent="0.25">
      <c r="A3741" s="5" t="s">
        <v>3653</v>
      </c>
      <c r="B3741" s="5" t="s">
        <v>73</v>
      </c>
      <c r="C3741" s="5" t="s">
        <v>4213</v>
      </c>
      <c r="D3741" s="3">
        <f>VLOOKUP(A3741,airports!A:H,7,FALSE)</f>
        <v>19.720263060000001</v>
      </c>
      <c r="E3741" s="3">
        <f>VLOOKUP(A3741,airports!A:H,8,FALSE)</f>
        <v>-155.04847029999999</v>
      </c>
      <c r="F3741" s="3">
        <f>VLOOKUP(B3741,airports!A:H,7,FALSE)</f>
        <v>33.942536109999999</v>
      </c>
      <c r="G3741" s="3">
        <f>VLOOKUP(B3741,airports!A:H,8,FALSE)</f>
        <v>-118.4080744</v>
      </c>
      <c r="H3741">
        <f t="shared" si="116"/>
        <v>3937.3</v>
      </c>
      <c r="I3741">
        <f t="shared" si="117"/>
        <v>2446.6999999999998</v>
      </c>
    </row>
    <row r="3742" spans="1:9" ht="30" x14ac:dyDescent="0.25">
      <c r="A3742" s="5" t="s">
        <v>3653</v>
      </c>
      <c r="B3742" s="5" t="s">
        <v>371</v>
      </c>
      <c r="C3742" s="5" t="s">
        <v>4214</v>
      </c>
      <c r="D3742" s="3">
        <f>VLOOKUP(A3742,airports!A:H,7,FALSE)</f>
        <v>19.720263060000001</v>
      </c>
      <c r="E3742" s="3">
        <f>VLOOKUP(A3742,airports!A:H,8,FALSE)</f>
        <v>-155.04847029999999</v>
      </c>
      <c r="F3742" s="3">
        <f>VLOOKUP(B3742,airports!A:H,7,FALSE)</f>
        <v>20.898649720000002</v>
      </c>
      <c r="G3742" s="3">
        <f>VLOOKUP(B3742,airports!A:H,8,FALSE)</f>
        <v>-156.4304578</v>
      </c>
      <c r="H3742">
        <f t="shared" si="116"/>
        <v>194.8</v>
      </c>
      <c r="I3742">
        <f t="shared" si="117"/>
        <v>121</v>
      </c>
    </row>
    <row r="3743" spans="1:9" x14ac:dyDescent="0.25">
      <c r="A3743" s="5" t="s">
        <v>541</v>
      </c>
      <c r="B3743" s="5" t="s">
        <v>10</v>
      </c>
      <c r="C3743" s="5" t="s">
        <v>4215</v>
      </c>
      <c r="D3743" s="3">
        <f>VLOOKUP(A3743,airports!A:H,7,FALSE)</f>
        <v>43.607324169999998</v>
      </c>
      <c r="E3743" s="3">
        <f>VLOOKUP(A3743,airports!A:H,8,FALSE)</f>
        <v>-110.7377389</v>
      </c>
      <c r="F3743" s="3">
        <f>VLOOKUP(B3743,airports!A:H,7,FALSE)</f>
        <v>33.640444440000003</v>
      </c>
      <c r="G3743" s="3">
        <f>VLOOKUP(B3743,airports!A:H,8,FALSE)</f>
        <v>-84.42694444</v>
      </c>
      <c r="H3743">
        <f t="shared" si="116"/>
        <v>2525.5</v>
      </c>
      <c r="I3743">
        <f t="shared" si="117"/>
        <v>1569.3</v>
      </c>
    </row>
    <row r="3744" spans="1:9" ht="30" x14ac:dyDescent="0.25">
      <c r="A3744" s="5" t="s">
        <v>541</v>
      </c>
      <c r="B3744" s="5" t="s">
        <v>329</v>
      </c>
      <c r="C3744" s="5" t="s">
        <v>4216</v>
      </c>
      <c r="D3744" s="3">
        <f>VLOOKUP(A3744,airports!A:H,7,FALSE)</f>
        <v>43.607324169999998</v>
      </c>
      <c r="E3744" s="3">
        <f>VLOOKUP(A3744,airports!A:H,8,FALSE)</f>
        <v>-110.7377389</v>
      </c>
      <c r="F3744" s="3">
        <f>VLOOKUP(B3744,airports!A:H,7,FALSE)</f>
        <v>33.308999999999997</v>
      </c>
      <c r="G3744" s="3">
        <f>VLOOKUP(B3744,airports!A:H,8,FALSE)</f>
        <v>-111.6559</v>
      </c>
      <c r="H3744">
        <f t="shared" si="116"/>
        <v>1147.9000000000001</v>
      </c>
      <c r="I3744">
        <f t="shared" si="117"/>
        <v>713.3</v>
      </c>
    </row>
    <row r="3745" spans="1:9" ht="30" x14ac:dyDescent="0.25">
      <c r="A3745" s="5" t="s">
        <v>541</v>
      </c>
      <c r="B3745" s="5" t="s">
        <v>24</v>
      </c>
      <c r="C3745" s="5" t="s">
        <v>4217</v>
      </c>
      <c r="D3745" s="3">
        <f>VLOOKUP(A3745,airports!A:H,7,FALSE)</f>
        <v>43.607324169999998</v>
      </c>
      <c r="E3745" s="3">
        <f>VLOOKUP(A3745,airports!A:H,8,FALSE)</f>
        <v>-110.7377389</v>
      </c>
      <c r="F3745" s="3">
        <f>VLOOKUP(B3745,airports!A:H,7,FALSE)</f>
        <v>42.364347500000001</v>
      </c>
      <c r="G3745" s="3">
        <f>VLOOKUP(B3745,airports!A:H,8,FALSE)</f>
        <v>-71.005179170000005</v>
      </c>
      <c r="H3745">
        <f t="shared" si="116"/>
        <v>3203.9</v>
      </c>
      <c r="I3745">
        <f t="shared" si="117"/>
        <v>1990.9</v>
      </c>
    </row>
    <row r="3746" spans="1:9" x14ac:dyDescent="0.25">
      <c r="A3746" s="5" t="s">
        <v>541</v>
      </c>
      <c r="B3746" s="5" t="s">
        <v>40</v>
      </c>
      <c r="C3746" s="5" t="s">
        <v>4218</v>
      </c>
      <c r="D3746" s="3">
        <f>VLOOKUP(A3746,airports!A:H,7,FALSE)</f>
        <v>43.607324169999998</v>
      </c>
      <c r="E3746" s="3">
        <f>VLOOKUP(A3746,airports!A:H,8,FALSE)</f>
        <v>-110.7377389</v>
      </c>
      <c r="F3746" s="3">
        <f>VLOOKUP(B3746,airports!A:H,7,FALSE)</f>
        <v>35.214011110000001</v>
      </c>
      <c r="G3746" s="3">
        <f>VLOOKUP(B3746,airports!A:H,8,FALSE)</f>
        <v>-80.94312583</v>
      </c>
      <c r="H3746">
        <f t="shared" si="116"/>
        <v>2706.9</v>
      </c>
      <c r="I3746">
        <f t="shared" si="117"/>
        <v>1682.1</v>
      </c>
    </row>
    <row r="3747" spans="1:9" ht="30" x14ac:dyDescent="0.25">
      <c r="A3747" s="5" t="s">
        <v>541</v>
      </c>
      <c r="B3747" s="5" t="s">
        <v>47</v>
      </c>
      <c r="C3747" s="5" t="s">
        <v>4219</v>
      </c>
      <c r="D3747" s="3">
        <f>VLOOKUP(A3747,airports!A:H,7,FALSE)</f>
        <v>43.607324169999998</v>
      </c>
      <c r="E3747" s="3">
        <f>VLOOKUP(A3747,airports!A:H,8,FALSE)</f>
        <v>-110.7377389</v>
      </c>
      <c r="F3747" s="3">
        <f>VLOOKUP(B3747,airports!A:H,7,FALSE)</f>
        <v>39.858408060000002</v>
      </c>
      <c r="G3747" s="3">
        <f>VLOOKUP(B3747,airports!A:H,8,FALSE)</f>
        <v>-104.6670019</v>
      </c>
      <c r="H3747">
        <f t="shared" si="116"/>
        <v>653.5</v>
      </c>
      <c r="I3747">
        <f t="shared" si="117"/>
        <v>406.1</v>
      </c>
    </row>
    <row r="3748" spans="1:9" ht="30" x14ac:dyDescent="0.25">
      <c r="A3748" s="5" t="s">
        <v>541</v>
      </c>
      <c r="B3748" s="5" t="s">
        <v>49</v>
      </c>
      <c r="C3748" s="5" t="s">
        <v>4220</v>
      </c>
      <c r="D3748" s="3">
        <f>VLOOKUP(A3748,airports!A:H,7,FALSE)</f>
        <v>43.607324169999998</v>
      </c>
      <c r="E3748" s="3">
        <f>VLOOKUP(A3748,airports!A:H,8,FALSE)</f>
        <v>-110.7377389</v>
      </c>
      <c r="F3748" s="3">
        <f>VLOOKUP(B3748,airports!A:H,7,FALSE)</f>
        <v>32.895950560000003</v>
      </c>
      <c r="G3748" s="3">
        <f>VLOOKUP(B3748,airports!A:H,8,FALSE)</f>
        <v>-97.037199999999999</v>
      </c>
      <c r="H3748">
        <f t="shared" si="116"/>
        <v>1683.8</v>
      </c>
      <c r="I3748">
        <f t="shared" si="117"/>
        <v>1046.3</v>
      </c>
    </row>
    <row r="3749" spans="1:9" ht="30" x14ac:dyDescent="0.25">
      <c r="A3749" s="5" t="s">
        <v>541</v>
      </c>
      <c r="B3749" s="5" t="s">
        <v>50</v>
      </c>
      <c r="C3749" s="5" t="s">
        <v>4221</v>
      </c>
      <c r="D3749" s="3">
        <f>VLOOKUP(A3749,airports!A:H,7,FALSE)</f>
        <v>43.607324169999998</v>
      </c>
      <c r="E3749" s="3">
        <f>VLOOKUP(A3749,airports!A:H,8,FALSE)</f>
        <v>-110.7377389</v>
      </c>
      <c r="F3749" s="3">
        <f>VLOOKUP(B3749,airports!A:H,7,FALSE)</f>
        <v>42.212058890000002</v>
      </c>
      <c r="G3749" s="3">
        <f>VLOOKUP(B3749,airports!A:H,8,FALSE)</f>
        <v>-83.348835829999999</v>
      </c>
      <c r="H3749">
        <f t="shared" si="116"/>
        <v>2225.9</v>
      </c>
      <c r="I3749">
        <f t="shared" si="117"/>
        <v>1383.2</v>
      </c>
    </row>
    <row r="3750" spans="1:9" ht="30" x14ac:dyDescent="0.25">
      <c r="A3750" s="5" t="s">
        <v>541</v>
      </c>
      <c r="B3750" s="5" t="s">
        <v>52</v>
      </c>
      <c r="C3750" s="5" t="s">
        <v>4222</v>
      </c>
      <c r="D3750" s="3">
        <f>VLOOKUP(A3750,airports!A:H,7,FALSE)</f>
        <v>43.607324169999998</v>
      </c>
      <c r="E3750" s="3">
        <f>VLOOKUP(A3750,airports!A:H,8,FALSE)</f>
        <v>-110.7377389</v>
      </c>
      <c r="F3750" s="3">
        <f>VLOOKUP(B3750,airports!A:H,7,FALSE)</f>
        <v>40.69249722</v>
      </c>
      <c r="G3750" s="3">
        <f>VLOOKUP(B3750,airports!A:H,8,FALSE)</f>
        <v>-74.168660560000006</v>
      </c>
      <c r="H3750">
        <f t="shared" si="116"/>
        <v>3007.6</v>
      </c>
      <c r="I3750">
        <f t="shared" si="117"/>
        <v>1868.9</v>
      </c>
    </row>
    <row r="3751" spans="1:9" x14ac:dyDescent="0.25">
      <c r="A3751" s="5" t="s">
        <v>541</v>
      </c>
      <c r="B3751" s="5" t="s">
        <v>67</v>
      </c>
      <c r="C3751" s="5" t="s">
        <v>4223</v>
      </c>
      <c r="D3751" s="3">
        <f>VLOOKUP(A3751,airports!A:H,7,FALSE)</f>
        <v>43.607324169999998</v>
      </c>
      <c r="E3751" s="3">
        <f>VLOOKUP(A3751,airports!A:H,8,FALSE)</f>
        <v>-110.7377389</v>
      </c>
      <c r="F3751" s="3">
        <f>VLOOKUP(B3751,airports!A:H,7,FALSE)</f>
        <v>29.980472219999999</v>
      </c>
      <c r="G3751" s="3">
        <f>VLOOKUP(B3751,airports!A:H,8,FALSE)</f>
        <v>-95.339722219999999</v>
      </c>
      <c r="H3751">
        <f t="shared" si="116"/>
        <v>2036.7</v>
      </c>
      <c r="I3751">
        <f t="shared" si="117"/>
        <v>1265.5999999999999</v>
      </c>
    </row>
    <row r="3752" spans="1:9" x14ac:dyDescent="0.25">
      <c r="A3752" s="5" t="s">
        <v>541</v>
      </c>
      <c r="B3752" s="5" t="s">
        <v>69</v>
      </c>
      <c r="C3752" s="5" t="s">
        <v>4224</v>
      </c>
      <c r="D3752" s="3">
        <f>VLOOKUP(A3752,airports!A:H,7,FALSE)</f>
        <v>43.607324169999998</v>
      </c>
      <c r="E3752" s="3">
        <f>VLOOKUP(A3752,airports!A:H,8,FALSE)</f>
        <v>-110.7377389</v>
      </c>
      <c r="F3752" s="3">
        <f>VLOOKUP(B3752,airports!A:H,7,FALSE)</f>
        <v>40.639751109999999</v>
      </c>
      <c r="G3752" s="3">
        <f>VLOOKUP(B3752,airports!A:H,8,FALSE)</f>
        <v>-73.778925560000005</v>
      </c>
      <c r="H3752">
        <f t="shared" si="116"/>
        <v>3040.6</v>
      </c>
      <c r="I3752">
        <f t="shared" si="117"/>
        <v>1889.5</v>
      </c>
    </row>
    <row r="3753" spans="1:9" x14ac:dyDescent="0.25">
      <c r="A3753" s="5" t="s">
        <v>541</v>
      </c>
      <c r="B3753" s="5" t="s">
        <v>71</v>
      </c>
      <c r="C3753" s="5" t="s">
        <v>4225</v>
      </c>
      <c r="D3753" s="3">
        <f>VLOOKUP(A3753,airports!A:H,7,FALSE)</f>
        <v>43.607324169999998</v>
      </c>
      <c r="E3753" s="3">
        <f>VLOOKUP(A3753,airports!A:H,8,FALSE)</f>
        <v>-110.7377389</v>
      </c>
      <c r="F3753" s="3">
        <f>VLOOKUP(B3753,airports!A:H,7,FALSE)</f>
        <v>36.080361109999998</v>
      </c>
      <c r="G3753" s="3">
        <f>VLOOKUP(B3753,airports!A:H,8,FALSE)</f>
        <v>-115.1523333</v>
      </c>
      <c r="H3753">
        <f t="shared" si="116"/>
        <v>917.5</v>
      </c>
      <c r="I3753">
        <f t="shared" si="117"/>
        <v>570.20000000000005</v>
      </c>
    </row>
    <row r="3754" spans="1:9" x14ac:dyDescent="0.25">
      <c r="A3754" s="5" t="s">
        <v>541</v>
      </c>
      <c r="B3754" s="5" t="s">
        <v>73</v>
      </c>
      <c r="C3754" s="5" t="s">
        <v>4226</v>
      </c>
      <c r="D3754" s="3">
        <f>VLOOKUP(A3754,airports!A:H,7,FALSE)</f>
        <v>43.607324169999998</v>
      </c>
      <c r="E3754" s="3">
        <f>VLOOKUP(A3754,airports!A:H,8,FALSE)</f>
        <v>-110.7377389</v>
      </c>
      <c r="F3754" s="3">
        <f>VLOOKUP(B3754,airports!A:H,7,FALSE)</f>
        <v>33.942536109999999</v>
      </c>
      <c r="G3754" s="3">
        <f>VLOOKUP(B3754,airports!A:H,8,FALSE)</f>
        <v>-118.4080744</v>
      </c>
      <c r="H3754">
        <f t="shared" si="116"/>
        <v>1262.4000000000001</v>
      </c>
      <c r="I3754">
        <f t="shared" si="117"/>
        <v>784.5</v>
      </c>
    </row>
    <row r="3755" spans="1:9" x14ac:dyDescent="0.25">
      <c r="A3755" s="5" t="s">
        <v>541</v>
      </c>
      <c r="B3755" s="5" t="s">
        <v>74</v>
      </c>
      <c r="C3755" s="5" t="s">
        <v>4227</v>
      </c>
      <c r="D3755" s="3">
        <f>VLOOKUP(A3755,airports!A:H,7,FALSE)</f>
        <v>43.607324169999998</v>
      </c>
      <c r="E3755" s="3">
        <f>VLOOKUP(A3755,airports!A:H,8,FALSE)</f>
        <v>-110.7377389</v>
      </c>
      <c r="F3755" s="3">
        <f>VLOOKUP(B3755,airports!A:H,7,FALSE)</f>
        <v>40.777243060000004</v>
      </c>
      <c r="G3755" s="3">
        <f>VLOOKUP(B3755,airports!A:H,8,FALSE)</f>
        <v>-73.872609170000004</v>
      </c>
      <c r="H3755">
        <f t="shared" si="116"/>
        <v>3028.3</v>
      </c>
      <c r="I3755">
        <f t="shared" si="117"/>
        <v>1881.8</v>
      </c>
    </row>
    <row r="3756" spans="1:9" ht="30" x14ac:dyDescent="0.25">
      <c r="A3756" s="5" t="s">
        <v>541</v>
      </c>
      <c r="B3756" s="5" t="s">
        <v>87</v>
      </c>
      <c r="C3756" s="5" t="s">
        <v>4228</v>
      </c>
      <c r="D3756" s="3">
        <f>VLOOKUP(A3756,airports!A:H,7,FALSE)</f>
        <v>43.607324169999998</v>
      </c>
      <c r="E3756" s="3">
        <f>VLOOKUP(A3756,airports!A:H,8,FALSE)</f>
        <v>-110.7377389</v>
      </c>
      <c r="F3756" s="3">
        <f>VLOOKUP(B3756,airports!A:H,7,FALSE)</f>
        <v>44.880546940000002</v>
      </c>
      <c r="G3756" s="3">
        <f>VLOOKUP(B3756,airports!A:H,8,FALSE)</f>
        <v>-93.216922499999995</v>
      </c>
      <c r="H3756">
        <f t="shared" si="116"/>
        <v>1400.1</v>
      </c>
      <c r="I3756">
        <f t="shared" si="117"/>
        <v>870</v>
      </c>
    </row>
    <row r="3757" spans="1:9" ht="30" x14ac:dyDescent="0.25">
      <c r="A3757" s="5" t="s">
        <v>541</v>
      </c>
      <c r="B3757" s="5" t="s">
        <v>95</v>
      </c>
      <c r="C3757" s="5" t="s">
        <v>4229</v>
      </c>
      <c r="D3757" s="3">
        <f>VLOOKUP(A3757,airports!A:H,7,FALSE)</f>
        <v>43.607324169999998</v>
      </c>
      <c r="E3757" s="3">
        <f>VLOOKUP(A3757,airports!A:H,8,FALSE)</f>
        <v>-110.7377389</v>
      </c>
      <c r="F3757" s="3">
        <f>VLOOKUP(B3757,airports!A:H,7,FALSE)</f>
        <v>41.979595000000003</v>
      </c>
      <c r="G3757" s="3">
        <f>VLOOKUP(B3757,airports!A:H,8,FALSE)</f>
        <v>-87.904464169999997</v>
      </c>
      <c r="H3757">
        <f t="shared" si="116"/>
        <v>1865.9</v>
      </c>
      <c r="I3757">
        <f t="shared" si="117"/>
        <v>1159.5</v>
      </c>
    </row>
    <row r="3758" spans="1:9" ht="30" x14ac:dyDescent="0.25">
      <c r="A3758" s="5" t="s">
        <v>541</v>
      </c>
      <c r="B3758" s="5" t="s">
        <v>104</v>
      </c>
      <c r="C3758" s="5" t="s">
        <v>4230</v>
      </c>
      <c r="D3758" s="3">
        <f>VLOOKUP(A3758,airports!A:H,7,FALSE)</f>
        <v>43.607324169999998</v>
      </c>
      <c r="E3758" s="3">
        <f>VLOOKUP(A3758,airports!A:H,8,FALSE)</f>
        <v>-110.7377389</v>
      </c>
      <c r="F3758" s="3">
        <f>VLOOKUP(B3758,airports!A:H,7,FALSE)</f>
        <v>33.434166670000003</v>
      </c>
      <c r="G3758" s="3">
        <f>VLOOKUP(B3758,airports!A:H,8,FALSE)</f>
        <v>-112.00805560000001</v>
      </c>
      <c r="H3758">
        <f t="shared" si="116"/>
        <v>1136.5</v>
      </c>
      <c r="I3758">
        <f t="shared" si="117"/>
        <v>706.3</v>
      </c>
    </row>
    <row r="3759" spans="1:9" ht="30" x14ac:dyDescent="0.25">
      <c r="A3759" s="5" t="s">
        <v>541</v>
      </c>
      <c r="B3759" s="5" t="s">
        <v>121</v>
      </c>
      <c r="C3759" s="5" t="s">
        <v>4231</v>
      </c>
      <c r="D3759" s="3">
        <f>VLOOKUP(A3759,airports!A:H,7,FALSE)</f>
        <v>43.607324169999998</v>
      </c>
      <c r="E3759" s="3">
        <f>VLOOKUP(A3759,airports!A:H,8,FALSE)</f>
        <v>-110.7377389</v>
      </c>
      <c r="F3759" s="3">
        <f>VLOOKUP(B3759,airports!A:H,7,FALSE)</f>
        <v>39.498576110000002</v>
      </c>
      <c r="G3759" s="3">
        <f>VLOOKUP(B3759,airports!A:H,8,FALSE)</f>
        <v>-119.7680647</v>
      </c>
      <c r="H3759">
        <f t="shared" si="116"/>
        <v>878.7</v>
      </c>
      <c r="I3759">
        <f t="shared" si="117"/>
        <v>546</v>
      </c>
    </row>
    <row r="3760" spans="1:9" ht="30" x14ac:dyDescent="0.25">
      <c r="A3760" s="5" t="s">
        <v>541</v>
      </c>
      <c r="B3760" s="5" t="s">
        <v>124</v>
      </c>
      <c r="C3760" s="5" t="s">
        <v>4232</v>
      </c>
      <c r="D3760" s="3">
        <f>VLOOKUP(A3760,airports!A:H,7,FALSE)</f>
        <v>43.607324169999998</v>
      </c>
      <c r="E3760" s="3">
        <f>VLOOKUP(A3760,airports!A:H,8,FALSE)</f>
        <v>-110.7377389</v>
      </c>
      <c r="F3760" s="3">
        <f>VLOOKUP(B3760,airports!A:H,7,FALSE)</f>
        <v>32.733556110000002</v>
      </c>
      <c r="G3760" s="3">
        <f>VLOOKUP(B3760,airports!A:H,8,FALSE)</f>
        <v>-117.1896567</v>
      </c>
      <c r="H3760">
        <f t="shared" si="116"/>
        <v>1333.1</v>
      </c>
      <c r="I3760">
        <f t="shared" si="117"/>
        <v>828.4</v>
      </c>
    </row>
    <row r="3761" spans="1:9" x14ac:dyDescent="0.25">
      <c r="A3761" s="5" t="s">
        <v>541</v>
      </c>
      <c r="B3761" s="5" t="s">
        <v>128</v>
      </c>
      <c r="C3761" s="5" t="s">
        <v>4233</v>
      </c>
      <c r="D3761" s="3">
        <f>VLOOKUP(A3761,airports!A:H,7,FALSE)</f>
        <v>43.607324169999998</v>
      </c>
      <c r="E3761" s="3">
        <f>VLOOKUP(A3761,airports!A:H,8,FALSE)</f>
        <v>-110.7377389</v>
      </c>
      <c r="F3761" s="3">
        <f>VLOOKUP(B3761,airports!A:H,7,FALSE)</f>
        <v>47.448981940000003</v>
      </c>
      <c r="G3761" s="3">
        <f>VLOOKUP(B3761,airports!A:H,8,FALSE)</f>
        <v>-122.3093131</v>
      </c>
      <c r="H3761">
        <f t="shared" si="116"/>
        <v>996.2</v>
      </c>
      <c r="I3761">
        <f t="shared" si="117"/>
        <v>619</v>
      </c>
    </row>
    <row r="3762" spans="1:9" x14ac:dyDescent="0.25">
      <c r="A3762" s="5" t="s">
        <v>541</v>
      </c>
      <c r="B3762" s="5" t="s">
        <v>130</v>
      </c>
      <c r="C3762" s="5" t="s">
        <v>4234</v>
      </c>
      <c r="D3762" s="3">
        <f>VLOOKUP(A3762,airports!A:H,7,FALSE)</f>
        <v>43.607324169999998</v>
      </c>
      <c r="E3762" s="3">
        <f>VLOOKUP(A3762,airports!A:H,8,FALSE)</f>
        <v>-110.7377389</v>
      </c>
      <c r="F3762" s="3">
        <f>VLOOKUP(B3762,airports!A:H,7,FALSE)</f>
        <v>37.619001939999997</v>
      </c>
      <c r="G3762" s="3">
        <f>VLOOKUP(B3762,airports!A:H,8,FALSE)</f>
        <v>-122.37484329999999</v>
      </c>
      <c r="H3762">
        <f t="shared" si="116"/>
        <v>1184.9000000000001</v>
      </c>
      <c r="I3762">
        <f t="shared" si="117"/>
        <v>736.3</v>
      </c>
    </row>
    <row r="3763" spans="1:9" x14ac:dyDescent="0.25">
      <c r="A3763" s="5" t="s">
        <v>541</v>
      </c>
      <c r="B3763" s="5" t="s">
        <v>131</v>
      </c>
      <c r="C3763" s="5" t="s">
        <v>4235</v>
      </c>
      <c r="D3763" s="3">
        <f>VLOOKUP(A3763,airports!A:H,7,FALSE)</f>
        <v>43.607324169999998</v>
      </c>
      <c r="E3763" s="3">
        <f>VLOOKUP(A3763,airports!A:H,8,FALSE)</f>
        <v>-110.7377389</v>
      </c>
      <c r="F3763" s="3">
        <f>VLOOKUP(B3763,airports!A:H,7,FALSE)</f>
        <v>37.361861939999997</v>
      </c>
      <c r="G3763" s="3">
        <f>VLOOKUP(B3763,airports!A:H,8,FALSE)</f>
        <v>-121.9290089</v>
      </c>
      <c r="H3763">
        <f t="shared" si="116"/>
        <v>1172.2</v>
      </c>
      <c r="I3763">
        <f t="shared" si="117"/>
        <v>728.4</v>
      </c>
    </row>
    <row r="3764" spans="1:9" x14ac:dyDescent="0.25">
      <c r="A3764" s="5" t="s">
        <v>541</v>
      </c>
      <c r="B3764" s="5" t="s">
        <v>135</v>
      </c>
      <c r="C3764" s="5" t="s">
        <v>4236</v>
      </c>
      <c r="D3764" s="3">
        <f>VLOOKUP(A3764,airports!A:H,7,FALSE)</f>
        <v>43.607324169999998</v>
      </c>
      <c r="E3764" s="3">
        <f>VLOOKUP(A3764,airports!A:H,8,FALSE)</f>
        <v>-110.7377389</v>
      </c>
      <c r="F3764" s="3">
        <f>VLOOKUP(B3764,airports!A:H,7,FALSE)</f>
        <v>40.788387780000001</v>
      </c>
      <c r="G3764" s="3">
        <f>VLOOKUP(B3764,airports!A:H,8,FALSE)</f>
        <v>-111.97777309999999</v>
      </c>
      <c r="H3764">
        <f t="shared" si="116"/>
        <v>329.7</v>
      </c>
      <c r="I3764">
        <f t="shared" si="117"/>
        <v>204.9</v>
      </c>
    </row>
    <row r="3765" spans="1:9" x14ac:dyDescent="0.25">
      <c r="A3765" s="5" t="s">
        <v>543</v>
      </c>
      <c r="B3765" s="5" t="s">
        <v>10</v>
      </c>
      <c r="C3765" s="5" t="s">
        <v>4237</v>
      </c>
      <c r="D3765" s="3">
        <f>VLOOKUP(A3765,airports!A:H,7,FALSE)</f>
        <v>32.311166669999999</v>
      </c>
      <c r="E3765" s="3">
        <f>VLOOKUP(A3765,airports!A:H,8,FALSE)</f>
        <v>-90.075888890000002</v>
      </c>
      <c r="F3765" s="3">
        <f>VLOOKUP(B3765,airports!A:H,7,FALSE)</f>
        <v>33.640444440000003</v>
      </c>
      <c r="G3765" s="3">
        <f>VLOOKUP(B3765,airports!A:H,8,FALSE)</f>
        <v>-84.42694444</v>
      </c>
      <c r="H3765">
        <f t="shared" si="116"/>
        <v>547.20000000000005</v>
      </c>
      <c r="I3765">
        <f t="shared" si="117"/>
        <v>340</v>
      </c>
    </row>
    <row r="3766" spans="1:9" ht="30" x14ac:dyDescent="0.25">
      <c r="A3766" s="5" t="s">
        <v>543</v>
      </c>
      <c r="B3766" s="5" t="s">
        <v>32</v>
      </c>
      <c r="C3766" s="5" t="s">
        <v>4238</v>
      </c>
      <c r="D3766" s="3">
        <f>VLOOKUP(A3766,airports!A:H,7,FALSE)</f>
        <v>32.311166669999999</v>
      </c>
      <c r="E3766" s="3">
        <f>VLOOKUP(A3766,airports!A:H,8,FALSE)</f>
        <v>-90.075888890000002</v>
      </c>
      <c r="F3766" s="3">
        <f>VLOOKUP(B3766,airports!A:H,7,FALSE)</f>
        <v>39.175401669999999</v>
      </c>
      <c r="G3766" s="3">
        <f>VLOOKUP(B3766,airports!A:H,8,FALSE)</f>
        <v>-76.668198329999996</v>
      </c>
      <c r="H3766">
        <f t="shared" si="116"/>
        <v>1428.3</v>
      </c>
      <c r="I3766">
        <f t="shared" si="117"/>
        <v>887.6</v>
      </c>
    </row>
    <row r="3767" spans="1:9" x14ac:dyDescent="0.25">
      <c r="A3767" s="5" t="s">
        <v>543</v>
      </c>
      <c r="B3767" s="5" t="s">
        <v>40</v>
      </c>
      <c r="C3767" s="5" t="s">
        <v>4239</v>
      </c>
      <c r="D3767" s="3">
        <f>VLOOKUP(A3767,airports!A:H,7,FALSE)</f>
        <v>32.311166669999999</v>
      </c>
      <c r="E3767" s="3">
        <f>VLOOKUP(A3767,airports!A:H,8,FALSE)</f>
        <v>-90.075888890000002</v>
      </c>
      <c r="F3767" s="3">
        <f>VLOOKUP(B3767,airports!A:H,7,FALSE)</f>
        <v>35.214011110000001</v>
      </c>
      <c r="G3767" s="3">
        <f>VLOOKUP(B3767,airports!A:H,8,FALSE)</f>
        <v>-80.94312583</v>
      </c>
      <c r="H3767">
        <f t="shared" si="116"/>
        <v>903.4</v>
      </c>
      <c r="I3767">
        <f t="shared" si="117"/>
        <v>561.4</v>
      </c>
    </row>
    <row r="3768" spans="1:9" ht="30" x14ac:dyDescent="0.25">
      <c r="A3768" s="5" t="s">
        <v>543</v>
      </c>
      <c r="B3768" s="5" t="s">
        <v>45</v>
      </c>
      <c r="C3768" s="5" t="s">
        <v>4240</v>
      </c>
      <c r="D3768" s="3">
        <f>VLOOKUP(A3768,airports!A:H,7,FALSE)</f>
        <v>32.311166669999999</v>
      </c>
      <c r="E3768" s="3">
        <f>VLOOKUP(A3768,airports!A:H,8,FALSE)</f>
        <v>-90.075888890000002</v>
      </c>
      <c r="F3768" s="3">
        <f>VLOOKUP(B3768,airports!A:H,7,FALSE)</f>
        <v>38.852083329999999</v>
      </c>
      <c r="G3768" s="3">
        <f>VLOOKUP(B3768,airports!A:H,8,FALSE)</f>
        <v>-77.037722220000006</v>
      </c>
      <c r="H3768">
        <f t="shared" si="116"/>
        <v>1383.2</v>
      </c>
      <c r="I3768">
        <f t="shared" si="117"/>
        <v>859.6</v>
      </c>
    </row>
    <row r="3769" spans="1:9" ht="30" x14ac:dyDescent="0.25">
      <c r="A3769" s="5" t="s">
        <v>543</v>
      </c>
      <c r="B3769" s="5" t="s">
        <v>47</v>
      </c>
      <c r="C3769" s="5" t="s">
        <v>4241</v>
      </c>
      <c r="D3769" s="3">
        <f>VLOOKUP(A3769,airports!A:H,7,FALSE)</f>
        <v>32.311166669999999</v>
      </c>
      <c r="E3769" s="3">
        <f>VLOOKUP(A3769,airports!A:H,8,FALSE)</f>
        <v>-90.075888890000002</v>
      </c>
      <c r="F3769" s="3">
        <f>VLOOKUP(B3769,airports!A:H,7,FALSE)</f>
        <v>39.858408060000002</v>
      </c>
      <c r="G3769" s="3">
        <f>VLOOKUP(B3769,airports!A:H,8,FALSE)</f>
        <v>-104.6670019</v>
      </c>
      <c r="H3769">
        <f t="shared" si="116"/>
        <v>1553.6</v>
      </c>
      <c r="I3769">
        <f t="shared" si="117"/>
        <v>965.4</v>
      </c>
    </row>
    <row r="3770" spans="1:9" ht="30" x14ac:dyDescent="0.25">
      <c r="A3770" s="5" t="s">
        <v>543</v>
      </c>
      <c r="B3770" s="5" t="s">
        <v>49</v>
      </c>
      <c r="C3770" s="5" t="s">
        <v>4242</v>
      </c>
      <c r="D3770" s="3">
        <f>VLOOKUP(A3770,airports!A:H,7,FALSE)</f>
        <v>32.311166669999999</v>
      </c>
      <c r="E3770" s="3">
        <f>VLOOKUP(A3770,airports!A:H,8,FALSE)</f>
        <v>-90.075888890000002</v>
      </c>
      <c r="F3770" s="3">
        <f>VLOOKUP(B3770,airports!A:H,7,FALSE)</f>
        <v>32.895950560000003</v>
      </c>
      <c r="G3770" s="3">
        <f>VLOOKUP(B3770,airports!A:H,8,FALSE)</f>
        <v>-97.037199999999999</v>
      </c>
      <c r="H3770">
        <f t="shared" si="116"/>
        <v>655.20000000000005</v>
      </c>
      <c r="I3770">
        <f t="shared" si="117"/>
        <v>407.1</v>
      </c>
    </row>
    <row r="3771" spans="1:9" ht="30" x14ac:dyDescent="0.25">
      <c r="A3771" s="5" t="s">
        <v>543</v>
      </c>
      <c r="B3771" s="5" t="s">
        <v>205</v>
      </c>
      <c r="C3771" s="5" t="s">
        <v>4243</v>
      </c>
      <c r="D3771" s="3">
        <f>VLOOKUP(A3771,airports!A:H,7,FALSE)</f>
        <v>32.311166669999999</v>
      </c>
      <c r="E3771" s="3">
        <f>VLOOKUP(A3771,airports!A:H,8,FALSE)</f>
        <v>-90.075888890000002</v>
      </c>
      <c r="F3771" s="3">
        <f>VLOOKUP(B3771,airports!A:H,7,FALSE)</f>
        <v>29.64541861</v>
      </c>
      <c r="G3771" s="3">
        <f>VLOOKUP(B3771,airports!A:H,8,FALSE)</f>
        <v>-95.278888890000005</v>
      </c>
      <c r="H3771">
        <f t="shared" si="116"/>
        <v>577.70000000000005</v>
      </c>
      <c r="I3771">
        <f t="shared" si="117"/>
        <v>359</v>
      </c>
    </row>
    <row r="3772" spans="1:9" x14ac:dyDescent="0.25">
      <c r="A3772" s="5" t="s">
        <v>543</v>
      </c>
      <c r="B3772" s="5" t="s">
        <v>67</v>
      </c>
      <c r="C3772" s="5" t="s">
        <v>4244</v>
      </c>
      <c r="D3772" s="3">
        <f>VLOOKUP(A3772,airports!A:H,7,FALSE)</f>
        <v>32.311166669999999</v>
      </c>
      <c r="E3772" s="3">
        <f>VLOOKUP(A3772,airports!A:H,8,FALSE)</f>
        <v>-90.075888890000002</v>
      </c>
      <c r="F3772" s="3">
        <f>VLOOKUP(B3772,airports!A:H,7,FALSE)</f>
        <v>29.980472219999999</v>
      </c>
      <c r="G3772" s="3">
        <f>VLOOKUP(B3772,airports!A:H,8,FALSE)</f>
        <v>-95.339722219999999</v>
      </c>
      <c r="H3772">
        <f t="shared" si="116"/>
        <v>563.9</v>
      </c>
      <c r="I3772">
        <f t="shared" si="117"/>
        <v>350.4</v>
      </c>
    </row>
    <row r="3773" spans="1:9" ht="30" x14ac:dyDescent="0.25">
      <c r="A3773" s="5" t="s">
        <v>543</v>
      </c>
      <c r="B3773" s="5" t="s">
        <v>82</v>
      </c>
      <c r="C3773" s="5" t="s">
        <v>4245</v>
      </c>
      <c r="D3773" s="3">
        <f>VLOOKUP(A3773,airports!A:H,7,FALSE)</f>
        <v>32.311166669999999</v>
      </c>
      <c r="E3773" s="3">
        <f>VLOOKUP(A3773,airports!A:H,8,FALSE)</f>
        <v>-90.075888890000002</v>
      </c>
      <c r="F3773" s="3">
        <f>VLOOKUP(B3773,airports!A:H,7,FALSE)</f>
        <v>28.42888889</v>
      </c>
      <c r="G3773" s="3">
        <f>VLOOKUP(B3773,airports!A:H,8,FALSE)</f>
        <v>-81.316027779999999</v>
      </c>
      <c r="H3773">
        <f t="shared" si="116"/>
        <v>944.3</v>
      </c>
      <c r="I3773">
        <f t="shared" si="117"/>
        <v>586.79999999999995</v>
      </c>
    </row>
    <row r="3774" spans="1:9" ht="30" x14ac:dyDescent="0.25">
      <c r="A3774" s="5" t="s">
        <v>543</v>
      </c>
      <c r="B3774" s="5" t="s">
        <v>84</v>
      </c>
      <c r="C3774" s="5" t="s">
        <v>4246</v>
      </c>
      <c r="D3774" s="3">
        <f>VLOOKUP(A3774,airports!A:H,7,FALSE)</f>
        <v>32.311166669999999</v>
      </c>
      <c r="E3774" s="3">
        <f>VLOOKUP(A3774,airports!A:H,8,FALSE)</f>
        <v>-90.075888890000002</v>
      </c>
      <c r="F3774" s="3">
        <f>VLOOKUP(B3774,airports!A:H,7,FALSE)</f>
        <v>25.79325</v>
      </c>
      <c r="G3774" s="3">
        <f>VLOOKUP(B3774,airports!A:H,8,FALSE)</f>
        <v>-80.290555560000001</v>
      </c>
      <c r="H3774">
        <f t="shared" si="116"/>
        <v>1194.8</v>
      </c>
      <c r="I3774">
        <f t="shared" si="117"/>
        <v>742.5</v>
      </c>
    </row>
    <row r="3775" spans="1:9" ht="30" x14ac:dyDescent="0.25">
      <c r="A3775" s="5" t="s">
        <v>543</v>
      </c>
      <c r="B3775" s="5" t="s">
        <v>95</v>
      </c>
      <c r="C3775" s="5" t="s">
        <v>4247</v>
      </c>
      <c r="D3775" s="3">
        <f>VLOOKUP(A3775,airports!A:H,7,FALSE)</f>
        <v>32.311166669999999</v>
      </c>
      <c r="E3775" s="3">
        <f>VLOOKUP(A3775,airports!A:H,8,FALSE)</f>
        <v>-90.075888890000002</v>
      </c>
      <c r="F3775" s="3">
        <f>VLOOKUP(B3775,airports!A:H,7,FALSE)</f>
        <v>41.979595000000003</v>
      </c>
      <c r="G3775" s="3">
        <f>VLOOKUP(B3775,airports!A:H,8,FALSE)</f>
        <v>-87.904464169999997</v>
      </c>
      <c r="H3775">
        <f t="shared" si="116"/>
        <v>1092.0999999999999</v>
      </c>
      <c r="I3775">
        <f t="shared" si="117"/>
        <v>678.6</v>
      </c>
    </row>
    <row r="3776" spans="1:9" x14ac:dyDescent="0.25">
      <c r="A3776" s="5" t="s">
        <v>68</v>
      </c>
      <c r="B3776" s="5" t="s">
        <v>10</v>
      </c>
      <c r="C3776" s="5" t="s">
        <v>4248</v>
      </c>
      <c r="D3776" s="3">
        <f>VLOOKUP(A3776,airports!A:H,7,FALSE)</f>
        <v>30.49405556</v>
      </c>
      <c r="E3776" s="3">
        <f>VLOOKUP(A3776,airports!A:H,8,FALSE)</f>
        <v>-81.68786111</v>
      </c>
      <c r="F3776" s="3">
        <f>VLOOKUP(B3776,airports!A:H,7,FALSE)</f>
        <v>33.640444440000003</v>
      </c>
      <c r="G3776" s="3">
        <f>VLOOKUP(B3776,airports!A:H,8,FALSE)</f>
        <v>-84.42694444</v>
      </c>
      <c r="H3776">
        <f t="shared" si="116"/>
        <v>434.7</v>
      </c>
      <c r="I3776">
        <f t="shared" si="117"/>
        <v>270.10000000000002</v>
      </c>
    </row>
    <row r="3777" spans="1:9" ht="30" x14ac:dyDescent="0.25">
      <c r="A3777" s="5" t="s">
        <v>68</v>
      </c>
      <c r="B3777" s="5" t="s">
        <v>416</v>
      </c>
      <c r="C3777" s="5" t="s">
        <v>4249</v>
      </c>
      <c r="D3777" s="3">
        <f>VLOOKUP(A3777,airports!A:H,7,FALSE)</f>
        <v>30.49405556</v>
      </c>
      <c r="E3777" s="3">
        <f>VLOOKUP(A3777,airports!A:H,8,FALSE)</f>
        <v>-81.68786111</v>
      </c>
      <c r="F3777" s="3">
        <f>VLOOKUP(B3777,airports!A:H,7,FALSE)</f>
        <v>44.257408060000003</v>
      </c>
      <c r="G3777" s="3">
        <f>VLOOKUP(B3777,airports!A:H,8,FALSE)</f>
        <v>-88.519475560000004</v>
      </c>
      <c r="H3777">
        <f t="shared" si="116"/>
        <v>1643.7</v>
      </c>
      <c r="I3777">
        <f t="shared" si="117"/>
        <v>1021.4</v>
      </c>
    </row>
    <row r="3778" spans="1:9" ht="30" x14ac:dyDescent="0.25">
      <c r="A3778" s="5" t="s">
        <v>68</v>
      </c>
      <c r="B3778" s="5" t="s">
        <v>13</v>
      </c>
      <c r="C3778" s="5" t="s">
        <v>4250</v>
      </c>
      <c r="D3778" s="3">
        <f>VLOOKUP(A3778,airports!A:H,7,FALSE)</f>
        <v>30.49405556</v>
      </c>
      <c r="E3778" s="3">
        <f>VLOOKUP(A3778,airports!A:H,8,FALSE)</f>
        <v>-81.68786111</v>
      </c>
      <c r="F3778" s="3">
        <f>VLOOKUP(B3778,airports!A:H,7,FALSE)</f>
        <v>30.194532779999999</v>
      </c>
      <c r="G3778" s="3">
        <f>VLOOKUP(B3778,airports!A:H,8,FALSE)</f>
        <v>-97.669871939999993</v>
      </c>
      <c r="H3778">
        <f t="shared" si="116"/>
        <v>1532.7</v>
      </c>
      <c r="I3778">
        <f t="shared" si="117"/>
        <v>952.5</v>
      </c>
    </row>
    <row r="3779" spans="1:9" x14ac:dyDescent="0.25">
      <c r="A3779" s="5" t="s">
        <v>68</v>
      </c>
      <c r="B3779" s="5" t="s">
        <v>841</v>
      </c>
      <c r="C3779" s="5" t="s">
        <v>4251</v>
      </c>
      <c r="D3779" s="3">
        <f>VLOOKUP(A3779,airports!A:H,7,FALSE)</f>
        <v>30.49405556</v>
      </c>
      <c r="E3779" s="3">
        <f>VLOOKUP(A3779,airports!A:H,8,FALSE)</f>
        <v>-81.68786111</v>
      </c>
      <c r="F3779" s="3">
        <f>VLOOKUP(B3779,airports!A:H,7,FALSE)</f>
        <v>38.547699999999999</v>
      </c>
      <c r="G3779" s="3">
        <f>VLOOKUP(B3779,airports!A:H,8,FALSE)</f>
        <v>-89.815700000000007</v>
      </c>
      <c r="H3779">
        <f t="shared" si="116"/>
        <v>1163.5999999999999</v>
      </c>
      <c r="I3779">
        <f t="shared" si="117"/>
        <v>723.1</v>
      </c>
    </row>
    <row r="3780" spans="1:9" ht="30" x14ac:dyDescent="0.25">
      <c r="A3780" s="5" t="s">
        <v>68</v>
      </c>
      <c r="B3780" s="5" t="s">
        <v>19</v>
      </c>
      <c r="C3780" s="5" t="s">
        <v>4252</v>
      </c>
      <c r="D3780" s="3">
        <f>VLOOKUP(A3780,airports!A:H,7,FALSE)</f>
        <v>30.49405556</v>
      </c>
      <c r="E3780" s="3">
        <f>VLOOKUP(A3780,airports!A:H,8,FALSE)</f>
        <v>-81.68786111</v>
      </c>
      <c r="F3780" s="3">
        <f>VLOOKUP(B3780,airports!A:H,7,FALSE)</f>
        <v>36.12447667</v>
      </c>
      <c r="G3780" s="3">
        <f>VLOOKUP(B3780,airports!A:H,8,FALSE)</f>
        <v>-86.678182219999997</v>
      </c>
      <c r="H3780">
        <f t="shared" ref="H3780:H3843" si="118">ROUND(ACOS(COS(RADIANS(90-D3780)) * COS(RADIANS(90-F3780)) + SIN(RADIANS(90-D3780)) * SIN(RADIANS(90-F3780)) * COS(RADIANS(E3780-G3780))) * 6371,1)</f>
        <v>778.8</v>
      </c>
      <c r="I3780">
        <f t="shared" ref="I3780:I3843" si="119">ROUND(ACOS(COS(RADIANS(90-D3780)) * COS(RADIANS(90-F3780)) + SIN(RADIANS(90-D3780)) * SIN(RADIANS(90-F3780)) * COS(RADIANS(E3780-G3780))) * 3959,1)</f>
        <v>484</v>
      </c>
    </row>
    <row r="3781" spans="1:9" ht="30" x14ac:dyDescent="0.25">
      <c r="A3781" s="5" t="s">
        <v>68</v>
      </c>
      <c r="B3781" s="5" t="s">
        <v>24</v>
      </c>
      <c r="C3781" s="5" t="s">
        <v>4253</v>
      </c>
      <c r="D3781" s="3">
        <f>VLOOKUP(A3781,airports!A:H,7,FALSE)</f>
        <v>30.49405556</v>
      </c>
      <c r="E3781" s="3">
        <f>VLOOKUP(A3781,airports!A:H,8,FALSE)</f>
        <v>-81.68786111</v>
      </c>
      <c r="F3781" s="3">
        <f>VLOOKUP(B3781,airports!A:H,7,FALSE)</f>
        <v>42.364347500000001</v>
      </c>
      <c r="G3781" s="3">
        <f>VLOOKUP(B3781,airports!A:H,8,FALSE)</f>
        <v>-71.005179170000005</v>
      </c>
      <c r="H3781">
        <f t="shared" si="118"/>
        <v>1626.7</v>
      </c>
      <c r="I3781">
        <f t="shared" si="119"/>
        <v>1010.8</v>
      </c>
    </row>
    <row r="3782" spans="1:9" x14ac:dyDescent="0.25">
      <c r="A3782" s="5" t="s">
        <v>68</v>
      </c>
      <c r="B3782" s="5" t="s">
        <v>29</v>
      </c>
      <c r="C3782" s="5" t="s">
        <v>4254</v>
      </c>
      <c r="D3782" s="3">
        <f>VLOOKUP(A3782,airports!A:H,7,FALSE)</f>
        <v>30.49405556</v>
      </c>
      <c r="E3782" s="3">
        <f>VLOOKUP(A3782,airports!A:H,8,FALSE)</f>
        <v>-81.68786111</v>
      </c>
      <c r="F3782" s="3">
        <f>VLOOKUP(B3782,airports!A:H,7,FALSE)</f>
        <v>42.940524719999999</v>
      </c>
      <c r="G3782" s="3">
        <f>VLOOKUP(B3782,airports!A:H,8,FALSE)</f>
        <v>-78.732166669999998</v>
      </c>
      <c r="H3782">
        <f t="shared" si="118"/>
        <v>1408.6</v>
      </c>
      <c r="I3782">
        <f t="shared" si="119"/>
        <v>875.3</v>
      </c>
    </row>
    <row r="3783" spans="1:9" ht="30" x14ac:dyDescent="0.25">
      <c r="A3783" s="5" t="s">
        <v>68</v>
      </c>
      <c r="B3783" s="5" t="s">
        <v>32</v>
      </c>
      <c r="C3783" s="5" t="s">
        <v>4255</v>
      </c>
      <c r="D3783" s="3">
        <f>VLOOKUP(A3783,airports!A:H,7,FALSE)</f>
        <v>30.49405556</v>
      </c>
      <c r="E3783" s="3">
        <f>VLOOKUP(A3783,airports!A:H,8,FALSE)</f>
        <v>-81.68786111</v>
      </c>
      <c r="F3783" s="3">
        <f>VLOOKUP(B3783,airports!A:H,7,FALSE)</f>
        <v>39.175401669999999</v>
      </c>
      <c r="G3783" s="3">
        <f>VLOOKUP(B3783,airports!A:H,8,FALSE)</f>
        <v>-76.668198329999996</v>
      </c>
      <c r="H3783">
        <f t="shared" si="118"/>
        <v>1068</v>
      </c>
      <c r="I3783">
        <f t="shared" si="119"/>
        <v>663.7</v>
      </c>
    </row>
    <row r="3784" spans="1:9" x14ac:dyDescent="0.25">
      <c r="A3784" s="5" t="s">
        <v>68</v>
      </c>
      <c r="B3784" s="5" t="s">
        <v>38</v>
      </c>
      <c r="C3784" s="5" t="s">
        <v>4256</v>
      </c>
      <c r="D3784" s="3">
        <f>VLOOKUP(A3784,airports!A:H,7,FALSE)</f>
        <v>30.49405556</v>
      </c>
      <c r="E3784" s="3">
        <f>VLOOKUP(A3784,airports!A:H,8,FALSE)</f>
        <v>-81.68786111</v>
      </c>
      <c r="F3784" s="3">
        <f>VLOOKUP(B3784,airports!A:H,7,FALSE)</f>
        <v>41.410894169999999</v>
      </c>
      <c r="G3784" s="3">
        <f>VLOOKUP(B3784,airports!A:H,8,FALSE)</f>
        <v>-81.849396670000004</v>
      </c>
      <c r="H3784">
        <f t="shared" si="118"/>
        <v>1214</v>
      </c>
      <c r="I3784">
        <f t="shared" si="119"/>
        <v>754.4</v>
      </c>
    </row>
    <row r="3785" spans="1:9" x14ac:dyDescent="0.25">
      <c r="A3785" s="5" t="s">
        <v>68</v>
      </c>
      <c r="B3785" s="5" t="s">
        <v>40</v>
      </c>
      <c r="C3785" s="5" t="s">
        <v>4257</v>
      </c>
      <c r="D3785" s="3">
        <f>VLOOKUP(A3785,airports!A:H,7,FALSE)</f>
        <v>30.49405556</v>
      </c>
      <c r="E3785" s="3">
        <f>VLOOKUP(A3785,airports!A:H,8,FALSE)</f>
        <v>-81.68786111</v>
      </c>
      <c r="F3785" s="3">
        <f>VLOOKUP(B3785,airports!A:H,7,FALSE)</f>
        <v>35.214011110000001</v>
      </c>
      <c r="G3785" s="3">
        <f>VLOOKUP(B3785,airports!A:H,8,FALSE)</f>
        <v>-80.94312583</v>
      </c>
      <c r="H3785">
        <f t="shared" si="118"/>
        <v>529.4</v>
      </c>
      <c r="I3785">
        <f t="shared" si="119"/>
        <v>329</v>
      </c>
    </row>
    <row r="3786" spans="1:9" ht="30" x14ac:dyDescent="0.25">
      <c r="A3786" s="5" t="s">
        <v>68</v>
      </c>
      <c r="B3786" s="5" t="s">
        <v>462</v>
      </c>
      <c r="C3786" s="5" t="s">
        <v>4258</v>
      </c>
      <c r="D3786" s="3">
        <f>VLOOKUP(A3786,airports!A:H,7,FALSE)</f>
        <v>30.49405556</v>
      </c>
      <c r="E3786" s="3">
        <f>VLOOKUP(A3786,airports!A:H,8,FALSE)</f>
        <v>-81.68786111</v>
      </c>
      <c r="F3786" s="3">
        <f>VLOOKUP(B3786,airports!A:H,7,FALSE)</f>
        <v>39.046142779999997</v>
      </c>
      <c r="G3786" s="3">
        <f>VLOOKUP(B3786,airports!A:H,8,FALSE)</f>
        <v>-84.662172499999997</v>
      </c>
      <c r="H3786">
        <f t="shared" si="118"/>
        <v>988.8</v>
      </c>
      <c r="I3786">
        <f t="shared" si="119"/>
        <v>614.5</v>
      </c>
    </row>
    <row r="3787" spans="1:9" x14ac:dyDescent="0.25">
      <c r="A3787" s="5" t="s">
        <v>68</v>
      </c>
      <c r="B3787" s="5" t="s">
        <v>201</v>
      </c>
      <c r="C3787" s="5" t="s">
        <v>4259</v>
      </c>
      <c r="D3787" s="3">
        <f>VLOOKUP(A3787,airports!A:H,7,FALSE)</f>
        <v>30.49405556</v>
      </c>
      <c r="E3787" s="3">
        <f>VLOOKUP(A3787,airports!A:H,8,FALSE)</f>
        <v>-81.68786111</v>
      </c>
      <c r="F3787" s="3">
        <f>VLOOKUP(B3787,airports!A:H,7,FALSE)</f>
        <v>32.847113890000003</v>
      </c>
      <c r="G3787" s="3">
        <f>VLOOKUP(B3787,airports!A:H,8,FALSE)</f>
        <v>-96.851772220000001</v>
      </c>
      <c r="H3787">
        <f t="shared" si="118"/>
        <v>1457.4</v>
      </c>
      <c r="I3787">
        <f t="shared" si="119"/>
        <v>905.6</v>
      </c>
    </row>
    <row r="3788" spans="1:9" ht="30" x14ac:dyDescent="0.25">
      <c r="A3788" s="5" t="s">
        <v>68</v>
      </c>
      <c r="B3788" s="5" t="s">
        <v>45</v>
      </c>
      <c r="C3788" s="5" t="s">
        <v>4260</v>
      </c>
      <c r="D3788" s="3">
        <f>VLOOKUP(A3788,airports!A:H,7,FALSE)</f>
        <v>30.49405556</v>
      </c>
      <c r="E3788" s="3">
        <f>VLOOKUP(A3788,airports!A:H,8,FALSE)</f>
        <v>-81.68786111</v>
      </c>
      <c r="F3788" s="3">
        <f>VLOOKUP(B3788,airports!A:H,7,FALSE)</f>
        <v>38.852083329999999</v>
      </c>
      <c r="G3788" s="3">
        <f>VLOOKUP(B3788,airports!A:H,8,FALSE)</f>
        <v>-77.037722220000006</v>
      </c>
      <c r="H3788">
        <f t="shared" si="118"/>
        <v>1021.6</v>
      </c>
      <c r="I3788">
        <f t="shared" si="119"/>
        <v>634.9</v>
      </c>
    </row>
    <row r="3789" spans="1:9" ht="30" x14ac:dyDescent="0.25">
      <c r="A3789" s="5" t="s">
        <v>68</v>
      </c>
      <c r="B3789" s="5" t="s">
        <v>47</v>
      </c>
      <c r="C3789" s="5" t="s">
        <v>4261</v>
      </c>
      <c r="D3789" s="3">
        <f>VLOOKUP(A3789,airports!A:H,7,FALSE)</f>
        <v>30.49405556</v>
      </c>
      <c r="E3789" s="3">
        <f>VLOOKUP(A3789,airports!A:H,8,FALSE)</f>
        <v>-81.68786111</v>
      </c>
      <c r="F3789" s="3">
        <f>VLOOKUP(B3789,airports!A:H,7,FALSE)</f>
        <v>39.858408060000002</v>
      </c>
      <c r="G3789" s="3">
        <f>VLOOKUP(B3789,airports!A:H,8,FALSE)</f>
        <v>-104.6670019</v>
      </c>
      <c r="H3789">
        <f t="shared" si="118"/>
        <v>2324.3000000000002</v>
      </c>
      <c r="I3789">
        <f t="shared" si="119"/>
        <v>1444.4</v>
      </c>
    </row>
    <row r="3790" spans="1:9" ht="30" x14ac:dyDescent="0.25">
      <c r="A3790" s="5" t="s">
        <v>68</v>
      </c>
      <c r="B3790" s="5" t="s">
        <v>49</v>
      </c>
      <c r="C3790" s="5" t="s">
        <v>4262</v>
      </c>
      <c r="D3790" s="3">
        <f>VLOOKUP(A3790,airports!A:H,7,FALSE)</f>
        <v>30.49405556</v>
      </c>
      <c r="E3790" s="3">
        <f>VLOOKUP(A3790,airports!A:H,8,FALSE)</f>
        <v>-81.68786111</v>
      </c>
      <c r="F3790" s="3">
        <f>VLOOKUP(B3790,airports!A:H,7,FALSE)</f>
        <v>32.895950560000003</v>
      </c>
      <c r="G3790" s="3">
        <f>VLOOKUP(B3790,airports!A:H,8,FALSE)</f>
        <v>-97.037199999999999</v>
      </c>
      <c r="H3790">
        <f t="shared" si="118"/>
        <v>1475.2</v>
      </c>
      <c r="I3790">
        <f t="shared" si="119"/>
        <v>916.7</v>
      </c>
    </row>
    <row r="3791" spans="1:9" ht="30" x14ac:dyDescent="0.25">
      <c r="A3791" s="5" t="s">
        <v>68</v>
      </c>
      <c r="B3791" s="5" t="s">
        <v>50</v>
      </c>
      <c r="C3791" s="5" t="s">
        <v>4263</v>
      </c>
      <c r="D3791" s="3">
        <f>VLOOKUP(A3791,airports!A:H,7,FALSE)</f>
        <v>30.49405556</v>
      </c>
      <c r="E3791" s="3">
        <f>VLOOKUP(A3791,airports!A:H,8,FALSE)</f>
        <v>-81.68786111</v>
      </c>
      <c r="F3791" s="3">
        <f>VLOOKUP(B3791,airports!A:H,7,FALSE)</f>
        <v>42.212058890000002</v>
      </c>
      <c r="G3791" s="3">
        <f>VLOOKUP(B3791,airports!A:H,8,FALSE)</f>
        <v>-83.348835829999999</v>
      </c>
      <c r="H3791">
        <f t="shared" si="118"/>
        <v>1311.4</v>
      </c>
      <c r="I3791">
        <f t="shared" si="119"/>
        <v>814.9</v>
      </c>
    </row>
    <row r="3792" spans="1:9" ht="30" x14ac:dyDescent="0.25">
      <c r="A3792" s="5" t="s">
        <v>68</v>
      </c>
      <c r="B3792" s="5" t="s">
        <v>52</v>
      </c>
      <c r="C3792" s="5" t="s">
        <v>4264</v>
      </c>
      <c r="D3792" s="3">
        <f>VLOOKUP(A3792,airports!A:H,7,FALSE)</f>
        <v>30.49405556</v>
      </c>
      <c r="E3792" s="3">
        <f>VLOOKUP(A3792,airports!A:H,8,FALSE)</f>
        <v>-81.68786111</v>
      </c>
      <c r="F3792" s="3">
        <f>VLOOKUP(B3792,airports!A:H,7,FALSE)</f>
        <v>40.69249722</v>
      </c>
      <c r="G3792" s="3">
        <f>VLOOKUP(B3792,airports!A:H,8,FALSE)</f>
        <v>-74.168660560000006</v>
      </c>
      <c r="H3792">
        <f t="shared" si="118"/>
        <v>1321</v>
      </c>
      <c r="I3792">
        <f t="shared" si="119"/>
        <v>820.9</v>
      </c>
    </row>
    <row r="3793" spans="1:9" x14ac:dyDescent="0.25">
      <c r="A3793" s="5" t="s">
        <v>68</v>
      </c>
      <c r="B3793" s="5" t="s">
        <v>57</v>
      </c>
      <c r="C3793" s="5" t="s">
        <v>4265</v>
      </c>
      <c r="D3793" s="3">
        <f>VLOOKUP(A3793,airports!A:H,7,FALSE)</f>
        <v>30.49405556</v>
      </c>
      <c r="E3793" s="3">
        <f>VLOOKUP(A3793,airports!A:H,8,FALSE)</f>
        <v>-81.68786111</v>
      </c>
      <c r="F3793" s="3">
        <f>VLOOKUP(B3793,airports!A:H,7,FALSE)</f>
        <v>26.072583330000001</v>
      </c>
      <c r="G3793" s="3">
        <f>VLOOKUP(B3793,airports!A:H,8,FALSE)</f>
        <v>-80.152749999999997</v>
      </c>
      <c r="H3793">
        <f t="shared" si="118"/>
        <v>514.1</v>
      </c>
      <c r="I3793">
        <f t="shared" si="119"/>
        <v>319.5</v>
      </c>
    </row>
    <row r="3794" spans="1:9" x14ac:dyDescent="0.25">
      <c r="A3794" s="5" t="s">
        <v>68</v>
      </c>
      <c r="B3794" s="5" t="s">
        <v>497</v>
      </c>
      <c r="C3794" s="5" t="s">
        <v>4266</v>
      </c>
      <c r="D3794" s="3">
        <f>VLOOKUP(A3794,airports!A:H,7,FALSE)</f>
        <v>30.49405556</v>
      </c>
      <c r="E3794" s="3">
        <f>VLOOKUP(A3794,airports!A:H,8,FALSE)</f>
        <v>-81.68786111</v>
      </c>
      <c r="F3794" s="3">
        <f>VLOOKUP(B3794,airports!A:H,7,FALSE)</f>
        <v>42.965503329999997</v>
      </c>
      <c r="G3794" s="3">
        <f>VLOOKUP(B3794,airports!A:H,8,FALSE)</f>
        <v>-83.743456390000006</v>
      </c>
      <c r="H3794">
        <f t="shared" si="118"/>
        <v>1398.7</v>
      </c>
      <c r="I3794">
        <f t="shared" si="119"/>
        <v>869.2</v>
      </c>
    </row>
    <row r="3795" spans="1:9" ht="30" x14ac:dyDescent="0.25">
      <c r="A3795" s="5" t="s">
        <v>68</v>
      </c>
      <c r="B3795" s="5" t="s">
        <v>515</v>
      </c>
      <c r="C3795" s="5" t="s">
        <v>4267</v>
      </c>
      <c r="D3795" s="3">
        <f>VLOOKUP(A3795,airports!A:H,7,FALSE)</f>
        <v>30.49405556</v>
      </c>
      <c r="E3795" s="3">
        <f>VLOOKUP(A3795,airports!A:H,8,FALSE)</f>
        <v>-81.68786111</v>
      </c>
      <c r="F3795" s="3">
        <f>VLOOKUP(B3795,airports!A:H,7,FALSE)</f>
        <v>42.880819719999998</v>
      </c>
      <c r="G3795" s="3">
        <f>VLOOKUP(B3795,airports!A:H,8,FALSE)</f>
        <v>-85.522767779999995</v>
      </c>
      <c r="H3795">
        <f t="shared" si="118"/>
        <v>1418.7</v>
      </c>
      <c r="I3795">
        <f t="shared" si="119"/>
        <v>881.6</v>
      </c>
    </row>
    <row r="3796" spans="1:9" ht="30" x14ac:dyDescent="0.25">
      <c r="A3796" s="5" t="s">
        <v>68</v>
      </c>
      <c r="B3796" s="5" t="s">
        <v>205</v>
      </c>
      <c r="C3796" s="5" t="s">
        <v>4268</v>
      </c>
      <c r="D3796" s="3">
        <f>VLOOKUP(A3796,airports!A:H,7,FALSE)</f>
        <v>30.49405556</v>
      </c>
      <c r="E3796" s="3">
        <f>VLOOKUP(A3796,airports!A:H,8,FALSE)</f>
        <v>-81.68786111</v>
      </c>
      <c r="F3796" s="3">
        <f>VLOOKUP(B3796,airports!A:H,7,FALSE)</f>
        <v>29.64541861</v>
      </c>
      <c r="G3796" s="3">
        <f>VLOOKUP(B3796,airports!A:H,8,FALSE)</f>
        <v>-95.278888890000005</v>
      </c>
      <c r="H3796">
        <f t="shared" si="118"/>
        <v>1310.5</v>
      </c>
      <c r="I3796">
        <f t="shared" si="119"/>
        <v>814.3</v>
      </c>
    </row>
    <row r="3797" spans="1:9" x14ac:dyDescent="0.25">
      <c r="A3797" s="5" t="s">
        <v>68</v>
      </c>
      <c r="B3797" s="5" t="s">
        <v>176</v>
      </c>
      <c r="C3797" s="5" t="s">
        <v>4269</v>
      </c>
      <c r="D3797" s="3">
        <f>VLOOKUP(A3797,airports!A:H,7,FALSE)</f>
        <v>30.49405556</v>
      </c>
      <c r="E3797" s="3">
        <f>VLOOKUP(A3797,airports!A:H,8,FALSE)</f>
        <v>-81.68786111</v>
      </c>
      <c r="F3797" s="3">
        <f>VLOOKUP(B3797,airports!A:H,7,FALSE)</f>
        <v>38.944531939999997</v>
      </c>
      <c r="G3797" s="3">
        <f>VLOOKUP(B3797,airports!A:H,8,FALSE)</f>
        <v>-77.455809720000005</v>
      </c>
      <c r="H3797">
        <f t="shared" si="118"/>
        <v>1015.8</v>
      </c>
      <c r="I3797">
        <f t="shared" si="119"/>
        <v>631.20000000000005</v>
      </c>
    </row>
    <row r="3798" spans="1:9" x14ac:dyDescent="0.25">
      <c r="A3798" s="5" t="s">
        <v>68</v>
      </c>
      <c r="B3798" s="5" t="s">
        <v>67</v>
      </c>
      <c r="C3798" s="5" t="s">
        <v>4270</v>
      </c>
      <c r="D3798" s="3">
        <f>VLOOKUP(A3798,airports!A:H,7,FALSE)</f>
        <v>30.49405556</v>
      </c>
      <c r="E3798" s="3">
        <f>VLOOKUP(A3798,airports!A:H,8,FALSE)</f>
        <v>-81.68786111</v>
      </c>
      <c r="F3798" s="3">
        <f>VLOOKUP(B3798,airports!A:H,7,FALSE)</f>
        <v>29.980472219999999</v>
      </c>
      <c r="G3798" s="3">
        <f>VLOOKUP(B3798,airports!A:H,8,FALSE)</f>
        <v>-95.339722219999999</v>
      </c>
      <c r="H3798">
        <f t="shared" si="118"/>
        <v>1311.9</v>
      </c>
      <c r="I3798">
        <f t="shared" si="119"/>
        <v>815.2</v>
      </c>
    </row>
    <row r="3799" spans="1:9" x14ac:dyDescent="0.25">
      <c r="A3799" s="5" t="s">
        <v>68</v>
      </c>
      <c r="B3799" s="5" t="s">
        <v>537</v>
      </c>
      <c r="C3799" s="5" t="s">
        <v>4271</v>
      </c>
      <c r="D3799" s="3">
        <f>VLOOKUP(A3799,airports!A:H,7,FALSE)</f>
        <v>30.49405556</v>
      </c>
      <c r="E3799" s="3">
        <f>VLOOKUP(A3799,airports!A:H,8,FALSE)</f>
        <v>-81.68786111</v>
      </c>
      <c r="F3799" s="3">
        <f>VLOOKUP(B3799,airports!A:H,7,FALSE)</f>
        <v>39.717329169999999</v>
      </c>
      <c r="G3799" s="3">
        <f>VLOOKUP(B3799,airports!A:H,8,FALSE)</f>
        <v>-86.294384170000001</v>
      </c>
      <c r="H3799">
        <f t="shared" si="118"/>
        <v>1107.4000000000001</v>
      </c>
      <c r="I3799">
        <f t="shared" si="119"/>
        <v>688.2</v>
      </c>
    </row>
    <row r="3800" spans="1:9" x14ac:dyDescent="0.25">
      <c r="A3800" s="5" t="s">
        <v>68</v>
      </c>
      <c r="B3800" s="5" t="s">
        <v>69</v>
      </c>
      <c r="C3800" s="5" t="s">
        <v>4272</v>
      </c>
      <c r="D3800" s="3">
        <f>VLOOKUP(A3800,airports!A:H,7,FALSE)</f>
        <v>30.49405556</v>
      </c>
      <c r="E3800" s="3">
        <f>VLOOKUP(A3800,airports!A:H,8,FALSE)</f>
        <v>-81.68786111</v>
      </c>
      <c r="F3800" s="3">
        <f>VLOOKUP(B3800,airports!A:H,7,FALSE)</f>
        <v>40.639751109999999</v>
      </c>
      <c r="G3800" s="3">
        <f>VLOOKUP(B3800,airports!A:H,8,FALSE)</f>
        <v>-73.778925560000005</v>
      </c>
      <c r="H3800">
        <f t="shared" si="118"/>
        <v>1334.5</v>
      </c>
      <c r="I3800">
        <f t="shared" si="119"/>
        <v>829.2</v>
      </c>
    </row>
    <row r="3801" spans="1:9" x14ac:dyDescent="0.25">
      <c r="A3801" s="5" t="s">
        <v>68</v>
      </c>
      <c r="B3801" s="5" t="s">
        <v>71</v>
      </c>
      <c r="C3801" s="5" t="s">
        <v>4273</v>
      </c>
      <c r="D3801" s="3">
        <f>VLOOKUP(A3801,airports!A:H,7,FALSE)</f>
        <v>30.49405556</v>
      </c>
      <c r="E3801" s="3">
        <f>VLOOKUP(A3801,airports!A:H,8,FALSE)</f>
        <v>-81.68786111</v>
      </c>
      <c r="F3801" s="3">
        <f>VLOOKUP(B3801,airports!A:H,7,FALSE)</f>
        <v>36.080361109999998</v>
      </c>
      <c r="G3801" s="3">
        <f>VLOOKUP(B3801,airports!A:H,8,FALSE)</f>
        <v>-115.1523333</v>
      </c>
      <c r="H3801">
        <f t="shared" si="118"/>
        <v>3155.8</v>
      </c>
      <c r="I3801">
        <f t="shared" si="119"/>
        <v>1961.1</v>
      </c>
    </row>
    <row r="3802" spans="1:9" x14ac:dyDescent="0.25">
      <c r="A3802" s="5" t="s">
        <v>68</v>
      </c>
      <c r="B3802" s="5" t="s">
        <v>73</v>
      </c>
      <c r="C3802" s="5" t="s">
        <v>4274</v>
      </c>
      <c r="D3802" s="3">
        <f>VLOOKUP(A3802,airports!A:H,7,FALSE)</f>
        <v>30.49405556</v>
      </c>
      <c r="E3802" s="3">
        <f>VLOOKUP(A3802,airports!A:H,8,FALSE)</f>
        <v>-81.68786111</v>
      </c>
      <c r="F3802" s="3">
        <f>VLOOKUP(B3802,airports!A:H,7,FALSE)</f>
        <v>33.942536109999999</v>
      </c>
      <c r="G3802" s="3">
        <f>VLOOKUP(B3802,airports!A:H,8,FALSE)</f>
        <v>-118.4080744</v>
      </c>
      <c r="H3802">
        <f t="shared" si="118"/>
        <v>3457.3</v>
      </c>
      <c r="I3802">
        <f t="shared" si="119"/>
        <v>2148.4</v>
      </c>
    </row>
    <row r="3803" spans="1:9" x14ac:dyDescent="0.25">
      <c r="A3803" s="5" t="s">
        <v>68</v>
      </c>
      <c r="B3803" s="5" t="s">
        <v>740</v>
      </c>
      <c r="C3803" s="5" t="s">
        <v>4275</v>
      </c>
      <c r="D3803" s="3">
        <f>VLOOKUP(A3803,airports!A:H,7,FALSE)</f>
        <v>30.49405556</v>
      </c>
      <c r="E3803" s="3">
        <f>VLOOKUP(A3803,airports!A:H,8,FALSE)</f>
        <v>-81.68786111</v>
      </c>
      <c r="F3803" s="3">
        <f>VLOOKUP(B3803,airports!A:H,7,FALSE)</f>
        <v>39.813800999999998</v>
      </c>
      <c r="G3803" s="3">
        <f>VLOOKUP(B3803,airports!A:H,8,FALSE)</f>
        <v>-82.927802999999997</v>
      </c>
      <c r="H3803">
        <f t="shared" si="118"/>
        <v>1042.4000000000001</v>
      </c>
      <c r="I3803">
        <f t="shared" si="119"/>
        <v>647.70000000000005</v>
      </c>
    </row>
    <row r="3804" spans="1:9" x14ac:dyDescent="0.25">
      <c r="A3804" s="5" t="s">
        <v>68</v>
      </c>
      <c r="B3804" s="5" t="s">
        <v>74</v>
      </c>
      <c r="C3804" s="5" t="s">
        <v>4276</v>
      </c>
      <c r="D3804" s="3">
        <f>VLOOKUP(A3804,airports!A:H,7,FALSE)</f>
        <v>30.49405556</v>
      </c>
      <c r="E3804" s="3">
        <f>VLOOKUP(A3804,airports!A:H,8,FALSE)</f>
        <v>-81.68786111</v>
      </c>
      <c r="F3804" s="3">
        <f>VLOOKUP(B3804,airports!A:H,7,FALSE)</f>
        <v>40.777243060000004</v>
      </c>
      <c r="G3804" s="3">
        <f>VLOOKUP(B3804,airports!A:H,8,FALSE)</f>
        <v>-73.872609170000004</v>
      </c>
      <c r="H3804">
        <f t="shared" si="118"/>
        <v>1342.6</v>
      </c>
      <c r="I3804">
        <f t="shared" si="119"/>
        <v>834.3</v>
      </c>
    </row>
    <row r="3805" spans="1:9" x14ac:dyDescent="0.25">
      <c r="A3805" s="5" t="s">
        <v>68</v>
      </c>
      <c r="B3805" s="5" t="s">
        <v>80</v>
      </c>
      <c r="C3805" s="5" t="s">
        <v>4277</v>
      </c>
      <c r="D3805" s="3">
        <f>VLOOKUP(A3805,airports!A:H,7,FALSE)</f>
        <v>30.49405556</v>
      </c>
      <c r="E3805" s="3">
        <f>VLOOKUP(A3805,airports!A:H,8,FALSE)</f>
        <v>-81.68786111</v>
      </c>
      <c r="F3805" s="3">
        <f>VLOOKUP(B3805,airports!A:H,7,FALSE)</f>
        <v>39.297605279999999</v>
      </c>
      <c r="G3805" s="3">
        <f>VLOOKUP(B3805,airports!A:H,8,FALSE)</f>
        <v>-94.713905560000001</v>
      </c>
      <c r="H3805">
        <f t="shared" si="118"/>
        <v>1536.5</v>
      </c>
      <c r="I3805">
        <f t="shared" si="119"/>
        <v>954.8</v>
      </c>
    </row>
    <row r="3806" spans="1:9" ht="30" x14ac:dyDescent="0.25">
      <c r="A3806" s="5" t="s">
        <v>68</v>
      </c>
      <c r="B3806" s="5" t="s">
        <v>82</v>
      </c>
      <c r="C3806" s="5" t="s">
        <v>4278</v>
      </c>
      <c r="D3806" s="3">
        <f>VLOOKUP(A3806,airports!A:H,7,FALSE)</f>
        <v>30.49405556</v>
      </c>
      <c r="E3806" s="3">
        <f>VLOOKUP(A3806,airports!A:H,8,FALSE)</f>
        <v>-81.68786111</v>
      </c>
      <c r="F3806" s="3">
        <f>VLOOKUP(B3806,airports!A:H,7,FALSE)</f>
        <v>28.42888889</v>
      </c>
      <c r="G3806" s="3">
        <f>VLOOKUP(B3806,airports!A:H,8,FALSE)</f>
        <v>-81.316027779999999</v>
      </c>
      <c r="H3806">
        <f t="shared" si="118"/>
        <v>232.4</v>
      </c>
      <c r="I3806">
        <f t="shared" si="119"/>
        <v>144.4</v>
      </c>
    </row>
    <row r="3807" spans="1:9" ht="30" x14ac:dyDescent="0.25">
      <c r="A3807" s="5" t="s">
        <v>68</v>
      </c>
      <c r="B3807" s="5" t="s">
        <v>180</v>
      </c>
      <c r="C3807" s="5" t="s">
        <v>4279</v>
      </c>
      <c r="D3807" s="3">
        <f>VLOOKUP(A3807,airports!A:H,7,FALSE)</f>
        <v>30.49405556</v>
      </c>
      <c r="E3807" s="3">
        <f>VLOOKUP(A3807,airports!A:H,8,FALSE)</f>
        <v>-81.68786111</v>
      </c>
      <c r="F3807" s="3">
        <f>VLOOKUP(B3807,airports!A:H,7,FALSE)</f>
        <v>41.785982500000003</v>
      </c>
      <c r="G3807" s="3">
        <f>VLOOKUP(B3807,airports!A:H,8,FALSE)</f>
        <v>-87.752424439999999</v>
      </c>
      <c r="H3807">
        <f t="shared" si="118"/>
        <v>1367.7</v>
      </c>
      <c r="I3807">
        <f t="shared" si="119"/>
        <v>849.9</v>
      </c>
    </row>
    <row r="3808" spans="1:9" ht="30" x14ac:dyDescent="0.25">
      <c r="A3808" s="5" t="s">
        <v>68</v>
      </c>
      <c r="B3808" s="5" t="s">
        <v>84</v>
      </c>
      <c r="C3808" s="5" t="s">
        <v>4280</v>
      </c>
      <c r="D3808" s="3">
        <f>VLOOKUP(A3808,airports!A:H,7,FALSE)</f>
        <v>30.49405556</v>
      </c>
      <c r="E3808" s="3">
        <f>VLOOKUP(A3808,airports!A:H,8,FALSE)</f>
        <v>-81.68786111</v>
      </c>
      <c r="F3808" s="3">
        <f>VLOOKUP(B3808,airports!A:H,7,FALSE)</f>
        <v>25.79325</v>
      </c>
      <c r="G3808" s="3">
        <f>VLOOKUP(B3808,airports!A:H,8,FALSE)</f>
        <v>-80.290555560000001</v>
      </c>
      <c r="H3808">
        <f t="shared" si="118"/>
        <v>540.29999999999995</v>
      </c>
      <c r="I3808">
        <f t="shared" si="119"/>
        <v>335.8</v>
      </c>
    </row>
    <row r="3809" spans="1:9" ht="30" x14ac:dyDescent="0.25">
      <c r="A3809" s="5" t="s">
        <v>68</v>
      </c>
      <c r="B3809" s="5" t="s">
        <v>85</v>
      </c>
      <c r="C3809" s="5" t="s">
        <v>4281</v>
      </c>
      <c r="D3809" s="3">
        <f>VLOOKUP(A3809,airports!A:H,7,FALSE)</f>
        <v>30.49405556</v>
      </c>
      <c r="E3809" s="3">
        <f>VLOOKUP(A3809,airports!A:H,8,FALSE)</f>
        <v>-81.68786111</v>
      </c>
      <c r="F3809" s="3">
        <f>VLOOKUP(B3809,airports!A:H,7,FALSE)</f>
        <v>42.94722222</v>
      </c>
      <c r="G3809" s="3">
        <f>VLOOKUP(B3809,airports!A:H,8,FALSE)</f>
        <v>-87.896583329999999</v>
      </c>
      <c r="H3809">
        <f t="shared" si="118"/>
        <v>1490.1</v>
      </c>
      <c r="I3809">
        <f t="shared" si="119"/>
        <v>926</v>
      </c>
    </row>
    <row r="3810" spans="1:9" ht="30" x14ac:dyDescent="0.25">
      <c r="A3810" s="5" t="s">
        <v>68</v>
      </c>
      <c r="B3810" s="5" t="s">
        <v>87</v>
      </c>
      <c r="C3810" s="5" t="s">
        <v>4282</v>
      </c>
      <c r="D3810" s="3">
        <f>VLOOKUP(A3810,airports!A:H,7,FALSE)</f>
        <v>30.49405556</v>
      </c>
      <c r="E3810" s="3">
        <f>VLOOKUP(A3810,airports!A:H,8,FALSE)</f>
        <v>-81.68786111</v>
      </c>
      <c r="F3810" s="3">
        <f>VLOOKUP(B3810,airports!A:H,7,FALSE)</f>
        <v>44.880546940000002</v>
      </c>
      <c r="G3810" s="3">
        <f>VLOOKUP(B3810,airports!A:H,8,FALSE)</f>
        <v>-93.216922499999995</v>
      </c>
      <c r="H3810">
        <f t="shared" si="118"/>
        <v>1889.9</v>
      </c>
      <c r="I3810">
        <f t="shared" si="119"/>
        <v>1174.4000000000001</v>
      </c>
    </row>
    <row r="3811" spans="1:9" ht="30" x14ac:dyDescent="0.25">
      <c r="A3811" s="5" t="s">
        <v>68</v>
      </c>
      <c r="B3811" s="5" t="s">
        <v>95</v>
      </c>
      <c r="C3811" s="5" t="s">
        <v>4283</v>
      </c>
      <c r="D3811" s="3">
        <f>VLOOKUP(A3811,airports!A:H,7,FALSE)</f>
        <v>30.49405556</v>
      </c>
      <c r="E3811" s="3">
        <f>VLOOKUP(A3811,airports!A:H,8,FALSE)</f>
        <v>-81.68786111</v>
      </c>
      <c r="F3811" s="3">
        <f>VLOOKUP(B3811,airports!A:H,7,FALSE)</f>
        <v>41.979595000000003</v>
      </c>
      <c r="G3811" s="3">
        <f>VLOOKUP(B3811,airports!A:H,8,FALSE)</f>
        <v>-87.904464169999997</v>
      </c>
      <c r="H3811">
        <f t="shared" si="118"/>
        <v>1392.5</v>
      </c>
      <c r="I3811">
        <f t="shared" si="119"/>
        <v>865.3</v>
      </c>
    </row>
    <row r="3812" spans="1:9" ht="30" x14ac:dyDescent="0.25">
      <c r="A3812" s="5" t="s">
        <v>68</v>
      </c>
      <c r="B3812" s="5" t="s">
        <v>596</v>
      </c>
      <c r="C3812" s="5" t="s">
        <v>4284</v>
      </c>
      <c r="D3812" s="3">
        <f>VLOOKUP(A3812,airports!A:H,7,FALSE)</f>
        <v>30.49405556</v>
      </c>
      <c r="E3812" s="3">
        <f>VLOOKUP(A3812,airports!A:H,8,FALSE)</f>
        <v>-81.68786111</v>
      </c>
      <c r="F3812" s="3">
        <f>VLOOKUP(B3812,airports!A:H,7,FALSE)</f>
        <v>36.89461111</v>
      </c>
      <c r="G3812" s="3">
        <f>VLOOKUP(B3812,airports!A:H,8,FALSE)</f>
        <v>-76.201222220000005</v>
      </c>
      <c r="H3812">
        <f t="shared" si="118"/>
        <v>873.8</v>
      </c>
      <c r="I3812">
        <f t="shared" si="119"/>
        <v>543</v>
      </c>
    </row>
    <row r="3813" spans="1:9" x14ac:dyDescent="0.25">
      <c r="A3813" s="5" t="s">
        <v>68</v>
      </c>
      <c r="B3813" s="5" t="s">
        <v>102</v>
      </c>
      <c r="C3813" s="5" t="s">
        <v>4285</v>
      </c>
      <c r="D3813" s="3">
        <f>VLOOKUP(A3813,airports!A:H,7,FALSE)</f>
        <v>30.49405556</v>
      </c>
      <c r="E3813" s="3">
        <f>VLOOKUP(A3813,airports!A:H,8,FALSE)</f>
        <v>-81.68786111</v>
      </c>
      <c r="F3813" s="3">
        <f>VLOOKUP(B3813,airports!A:H,7,FALSE)</f>
        <v>39.871952780000001</v>
      </c>
      <c r="G3813" s="3">
        <f>VLOOKUP(B3813,airports!A:H,8,FALSE)</f>
        <v>-75.241140830000006</v>
      </c>
      <c r="H3813">
        <f t="shared" si="118"/>
        <v>1195.2</v>
      </c>
      <c r="I3813">
        <f t="shared" si="119"/>
        <v>742.7</v>
      </c>
    </row>
    <row r="3814" spans="1:9" x14ac:dyDescent="0.25">
      <c r="A3814" s="5" t="s">
        <v>68</v>
      </c>
      <c r="B3814" s="5" t="s">
        <v>106</v>
      </c>
      <c r="C3814" s="5" t="s">
        <v>4286</v>
      </c>
      <c r="D3814" s="3">
        <f>VLOOKUP(A3814,airports!A:H,7,FALSE)</f>
        <v>30.49405556</v>
      </c>
      <c r="E3814" s="3">
        <f>VLOOKUP(A3814,airports!A:H,8,FALSE)</f>
        <v>-81.68786111</v>
      </c>
      <c r="F3814" s="3">
        <f>VLOOKUP(B3814,airports!A:H,7,FALSE)</f>
        <v>40.491465830000003</v>
      </c>
      <c r="G3814" s="3">
        <f>VLOOKUP(B3814,airports!A:H,8,FALSE)</f>
        <v>-80.232870829999996</v>
      </c>
      <c r="H3814">
        <f t="shared" si="118"/>
        <v>1119.4000000000001</v>
      </c>
      <c r="I3814">
        <f t="shared" si="119"/>
        <v>695.6</v>
      </c>
    </row>
    <row r="3815" spans="1:9" ht="30" x14ac:dyDescent="0.25">
      <c r="A3815" s="5" t="s">
        <v>68</v>
      </c>
      <c r="B3815" s="5" t="s">
        <v>119</v>
      </c>
      <c r="C3815" s="5" t="s">
        <v>4287</v>
      </c>
      <c r="D3815" s="3">
        <f>VLOOKUP(A3815,airports!A:H,7,FALSE)</f>
        <v>30.49405556</v>
      </c>
      <c r="E3815" s="3">
        <f>VLOOKUP(A3815,airports!A:H,8,FALSE)</f>
        <v>-81.68786111</v>
      </c>
      <c r="F3815" s="3">
        <f>VLOOKUP(B3815,airports!A:H,7,FALSE)</f>
        <v>35.87763889</v>
      </c>
      <c r="G3815" s="3">
        <f>VLOOKUP(B3815,airports!A:H,8,FALSE)</f>
        <v>-78.787472219999998</v>
      </c>
      <c r="H3815">
        <f t="shared" si="118"/>
        <v>656.6</v>
      </c>
      <c r="I3815">
        <f t="shared" si="119"/>
        <v>408</v>
      </c>
    </row>
    <row r="3816" spans="1:9" ht="30" x14ac:dyDescent="0.25">
      <c r="A3816" s="5" t="s">
        <v>68</v>
      </c>
      <c r="B3816" s="5" t="s">
        <v>123</v>
      </c>
      <c r="C3816" s="5" t="s">
        <v>4288</v>
      </c>
      <c r="D3816" s="3">
        <f>VLOOKUP(A3816,airports!A:H,7,FALSE)</f>
        <v>30.49405556</v>
      </c>
      <c r="E3816" s="3">
        <f>VLOOKUP(A3816,airports!A:H,8,FALSE)</f>
        <v>-81.68786111</v>
      </c>
      <c r="F3816" s="3">
        <f>VLOOKUP(B3816,airports!A:H,7,FALSE)</f>
        <v>26.53616667</v>
      </c>
      <c r="G3816" s="3">
        <f>VLOOKUP(B3816,airports!A:H,8,FALSE)</f>
        <v>-81.755166669999994</v>
      </c>
      <c r="H3816">
        <f t="shared" si="118"/>
        <v>440.1</v>
      </c>
      <c r="I3816">
        <f t="shared" si="119"/>
        <v>273.5</v>
      </c>
    </row>
    <row r="3817" spans="1:9" x14ac:dyDescent="0.25">
      <c r="A3817" s="5" t="s">
        <v>68</v>
      </c>
      <c r="B3817" s="5" t="s">
        <v>125</v>
      </c>
      <c r="C3817" s="5" t="s">
        <v>4289</v>
      </c>
      <c r="D3817" s="3">
        <f>VLOOKUP(A3817,airports!A:H,7,FALSE)</f>
        <v>30.49405556</v>
      </c>
      <c r="E3817" s="3">
        <f>VLOOKUP(A3817,airports!A:H,8,FALSE)</f>
        <v>-81.68786111</v>
      </c>
      <c r="F3817" s="3">
        <f>VLOOKUP(B3817,airports!A:H,7,FALSE)</f>
        <v>29.533694440000001</v>
      </c>
      <c r="G3817" s="3">
        <f>VLOOKUP(B3817,airports!A:H,8,FALSE)</f>
        <v>-98.469777780000001</v>
      </c>
      <c r="H3817">
        <f t="shared" si="118"/>
        <v>1617.9</v>
      </c>
      <c r="I3817">
        <f t="shared" si="119"/>
        <v>1005.4</v>
      </c>
    </row>
    <row r="3818" spans="1:9" x14ac:dyDescent="0.25">
      <c r="A3818" s="5" t="s">
        <v>68</v>
      </c>
      <c r="B3818" s="5" t="s">
        <v>630</v>
      </c>
      <c r="C3818" s="5" t="s">
        <v>4290</v>
      </c>
      <c r="D3818" s="3">
        <f>VLOOKUP(A3818,airports!A:H,7,FALSE)</f>
        <v>30.49405556</v>
      </c>
      <c r="E3818" s="3">
        <f>VLOOKUP(A3818,airports!A:H,8,FALSE)</f>
        <v>-81.68786111</v>
      </c>
      <c r="F3818" s="3">
        <f>VLOOKUP(B3818,airports!A:H,7,FALSE)</f>
        <v>38.174388890000003</v>
      </c>
      <c r="G3818" s="3">
        <f>VLOOKUP(B3818,airports!A:H,8,FALSE)</f>
        <v>-85.736000000000004</v>
      </c>
      <c r="H3818">
        <f t="shared" si="118"/>
        <v>931.1</v>
      </c>
      <c r="I3818">
        <f t="shared" si="119"/>
        <v>578.6</v>
      </c>
    </row>
    <row r="3819" spans="1:9" x14ac:dyDescent="0.25">
      <c r="A3819" s="5" t="s">
        <v>68</v>
      </c>
      <c r="B3819" s="5" t="s">
        <v>134</v>
      </c>
      <c r="C3819" s="5" t="s">
        <v>4291</v>
      </c>
      <c r="D3819" s="3">
        <f>VLOOKUP(A3819,airports!A:H,7,FALSE)</f>
        <v>30.49405556</v>
      </c>
      <c r="E3819" s="3">
        <f>VLOOKUP(A3819,airports!A:H,8,FALSE)</f>
        <v>-81.68786111</v>
      </c>
      <c r="F3819" s="3">
        <f>VLOOKUP(B3819,airports!A:H,7,FALSE)</f>
        <v>18.43941667</v>
      </c>
      <c r="G3819" s="3">
        <f>VLOOKUP(B3819,airports!A:H,8,FALSE)</f>
        <v>-66.001833329999997</v>
      </c>
      <c r="H3819">
        <f t="shared" si="118"/>
        <v>2073.5</v>
      </c>
      <c r="I3819">
        <f t="shared" si="119"/>
        <v>1288.5</v>
      </c>
    </row>
    <row r="3820" spans="1:9" x14ac:dyDescent="0.25">
      <c r="A3820" s="5" t="s">
        <v>68</v>
      </c>
      <c r="B3820" s="5" t="s">
        <v>644</v>
      </c>
      <c r="C3820" s="5" t="s">
        <v>4292</v>
      </c>
      <c r="D3820" s="3">
        <f>VLOOKUP(A3820,airports!A:H,7,FALSE)</f>
        <v>30.49405556</v>
      </c>
      <c r="E3820" s="3">
        <f>VLOOKUP(A3820,airports!A:H,8,FALSE)</f>
        <v>-81.68786111</v>
      </c>
      <c r="F3820" s="3">
        <f>VLOOKUP(B3820,airports!A:H,7,FALSE)</f>
        <v>38.747686940000001</v>
      </c>
      <c r="G3820" s="3">
        <f>VLOOKUP(B3820,airports!A:H,8,FALSE)</f>
        <v>-90.359989720000002</v>
      </c>
      <c r="H3820">
        <f t="shared" si="118"/>
        <v>1212</v>
      </c>
      <c r="I3820">
        <f t="shared" si="119"/>
        <v>753.2</v>
      </c>
    </row>
    <row r="3821" spans="1:9" x14ac:dyDescent="0.25">
      <c r="A3821" s="5" t="s">
        <v>68</v>
      </c>
      <c r="B3821" s="5" t="s">
        <v>145</v>
      </c>
      <c r="C3821" s="5" t="s">
        <v>4293</v>
      </c>
      <c r="D3821" s="3">
        <f>VLOOKUP(A3821,airports!A:H,7,FALSE)</f>
        <v>30.49405556</v>
      </c>
      <c r="E3821" s="3">
        <f>VLOOKUP(A3821,airports!A:H,8,FALSE)</f>
        <v>-81.68786111</v>
      </c>
      <c r="F3821" s="3">
        <f>VLOOKUP(B3821,airports!A:H,7,FALSE)</f>
        <v>27.97547222</v>
      </c>
      <c r="G3821" s="3">
        <f>VLOOKUP(B3821,airports!A:H,8,FALSE)</f>
        <v>-82.533249999999995</v>
      </c>
      <c r="H3821">
        <f t="shared" si="118"/>
        <v>291.8</v>
      </c>
      <c r="I3821">
        <f t="shared" si="119"/>
        <v>181.3</v>
      </c>
    </row>
    <row r="3822" spans="1:9" x14ac:dyDescent="0.25">
      <c r="A3822" s="5" t="s">
        <v>68</v>
      </c>
      <c r="B3822" s="5" t="s">
        <v>656</v>
      </c>
      <c r="C3822" s="5" t="s">
        <v>4294</v>
      </c>
      <c r="D3822" s="3">
        <f>VLOOKUP(A3822,airports!A:H,7,FALSE)</f>
        <v>30.49405556</v>
      </c>
      <c r="E3822" s="3">
        <f>VLOOKUP(A3822,airports!A:H,8,FALSE)</f>
        <v>-81.68786111</v>
      </c>
      <c r="F3822" s="3">
        <f>VLOOKUP(B3822,airports!A:H,7,FALSE)</f>
        <v>40.276691110000002</v>
      </c>
      <c r="G3822" s="3">
        <f>VLOOKUP(B3822,airports!A:H,8,FALSE)</f>
        <v>-74.813468330000006</v>
      </c>
      <c r="H3822">
        <f t="shared" si="118"/>
        <v>1252.5999999999999</v>
      </c>
      <c r="I3822">
        <f t="shared" si="119"/>
        <v>778.4</v>
      </c>
    </row>
    <row r="3823" spans="1:9" ht="30" x14ac:dyDescent="0.25">
      <c r="A3823" s="5" t="s">
        <v>69</v>
      </c>
      <c r="B3823" s="5" t="s">
        <v>2</v>
      </c>
      <c r="C3823" s="5" t="s">
        <v>4295</v>
      </c>
      <c r="D3823" s="3">
        <f>VLOOKUP(A3823,airports!A:H,7,FALSE)</f>
        <v>40.639751109999999</v>
      </c>
      <c r="E3823" s="3">
        <f>VLOOKUP(A3823,airports!A:H,8,FALSE)</f>
        <v>-73.778925560000005</v>
      </c>
      <c r="F3823" s="3">
        <f>VLOOKUP(B3823,airports!A:H,7,FALSE)</f>
        <v>35.040222219999997</v>
      </c>
      <c r="G3823" s="3">
        <f>VLOOKUP(B3823,airports!A:H,8,FALSE)</f>
        <v>-106.60919440000001</v>
      </c>
      <c r="H3823">
        <f t="shared" si="118"/>
        <v>2931.5</v>
      </c>
      <c r="I3823">
        <f t="shared" si="119"/>
        <v>1821.6</v>
      </c>
    </row>
    <row r="3824" spans="1:9" x14ac:dyDescent="0.25">
      <c r="A3824" s="5" t="s">
        <v>69</v>
      </c>
      <c r="B3824" s="5" t="s">
        <v>5</v>
      </c>
      <c r="C3824" s="5" t="s">
        <v>4296</v>
      </c>
      <c r="D3824" s="3">
        <f>VLOOKUP(A3824,airports!A:H,7,FALSE)</f>
        <v>40.639751109999999</v>
      </c>
      <c r="E3824" s="3">
        <f>VLOOKUP(A3824,airports!A:H,8,FALSE)</f>
        <v>-73.778925560000005</v>
      </c>
      <c r="F3824" s="3">
        <f>VLOOKUP(B3824,airports!A:H,7,FALSE)</f>
        <v>41.253051939999999</v>
      </c>
      <c r="G3824" s="3">
        <f>VLOOKUP(B3824,airports!A:H,8,FALSE)</f>
        <v>-70.060181389999997</v>
      </c>
      <c r="H3824">
        <f t="shared" si="118"/>
        <v>319.7</v>
      </c>
      <c r="I3824">
        <f t="shared" si="119"/>
        <v>198.6</v>
      </c>
    </row>
    <row r="3825" spans="1:9" ht="30" x14ac:dyDescent="0.25">
      <c r="A3825" s="5" t="s">
        <v>69</v>
      </c>
      <c r="B3825" s="5" t="s">
        <v>265</v>
      </c>
      <c r="C3825" s="5" t="s">
        <v>4297</v>
      </c>
      <c r="D3825" s="3">
        <f>VLOOKUP(A3825,airports!A:H,7,FALSE)</f>
        <v>40.639751109999999</v>
      </c>
      <c r="E3825" s="3">
        <f>VLOOKUP(A3825,airports!A:H,8,FALSE)</f>
        <v>-73.778925560000005</v>
      </c>
      <c r="F3825" s="3">
        <f>VLOOKUP(B3825,airports!A:H,7,FALSE)</f>
        <v>61.174320280000003</v>
      </c>
      <c r="G3825" s="3">
        <f>VLOOKUP(B3825,airports!A:H,8,FALSE)</f>
        <v>-149.99618559999999</v>
      </c>
      <c r="H3825">
        <f t="shared" si="118"/>
        <v>5434.2</v>
      </c>
      <c r="I3825">
        <f t="shared" si="119"/>
        <v>3376.8</v>
      </c>
    </row>
    <row r="3826" spans="1:9" x14ac:dyDescent="0.25">
      <c r="A3826" s="5" t="s">
        <v>69</v>
      </c>
      <c r="B3826" s="5" t="s">
        <v>10</v>
      </c>
      <c r="C3826" s="5" t="s">
        <v>4298</v>
      </c>
      <c r="D3826" s="3">
        <f>VLOOKUP(A3826,airports!A:H,7,FALSE)</f>
        <v>40.639751109999999</v>
      </c>
      <c r="E3826" s="3">
        <f>VLOOKUP(A3826,airports!A:H,8,FALSE)</f>
        <v>-73.778925560000005</v>
      </c>
      <c r="F3826" s="3">
        <f>VLOOKUP(B3826,airports!A:H,7,FALSE)</f>
        <v>33.640444440000003</v>
      </c>
      <c r="G3826" s="3">
        <f>VLOOKUP(B3826,airports!A:H,8,FALSE)</f>
        <v>-84.42694444</v>
      </c>
      <c r="H3826">
        <f t="shared" si="118"/>
        <v>1221.7</v>
      </c>
      <c r="I3826">
        <f t="shared" si="119"/>
        <v>759.2</v>
      </c>
    </row>
    <row r="3827" spans="1:9" x14ac:dyDescent="0.25">
      <c r="A3827" s="5" t="s">
        <v>69</v>
      </c>
      <c r="B3827" s="5" t="s">
        <v>13</v>
      </c>
      <c r="C3827" s="5" t="s">
        <v>4299</v>
      </c>
      <c r="D3827" s="3">
        <f>VLOOKUP(A3827,airports!A:H,7,FALSE)</f>
        <v>40.639751109999999</v>
      </c>
      <c r="E3827" s="3">
        <f>VLOOKUP(A3827,airports!A:H,8,FALSE)</f>
        <v>-73.778925560000005</v>
      </c>
      <c r="F3827" s="3">
        <f>VLOOKUP(B3827,airports!A:H,7,FALSE)</f>
        <v>30.194532779999999</v>
      </c>
      <c r="G3827" s="3">
        <f>VLOOKUP(B3827,airports!A:H,8,FALSE)</f>
        <v>-97.669871939999993</v>
      </c>
      <c r="H3827">
        <f t="shared" si="118"/>
        <v>2445.5</v>
      </c>
      <c r="I3827">
        <f t="shared" si="119"/>
        <v>1519.6</v>
      </c>
    </row>
    <row r="3828" spans="1:9" x14ac:dyDescent="0.25">
      <c r="A3828" s="5" t="s">
        <v>69</v>
      </c>
      <c r="B3828" s="5" t="s">
        <v>233</v>
      </c>
      <c r="C3828" s="5" t="s">
        <v>4300</v>
      </c>
      <c r="D3828" s="3">
        <f>VLOOKUP(A3828,airports!A:H,7,FALSE)</f>
        <v>40.639751109999999</v>
      </c>
      <c r="E3828" s="3">
        <f>VLOOKUP(A3828,airports!A:H,8,FALSE)</f>
        <v>-73.778925560000005</v>
      </c>
      <c r="F3828" s="3">
        <f>VLOOKUP(B3828,airports!A:H,7,FALSE)</f>
        <v>44.807444439999998</v>
      </c>
      <c r="G3828" s="3">
        <f>VLOOKUP(B3828,airports!A:H,8,FALSE)</f>
        <v>-68.828138890000005</v>
      </c>
      <c r="H3828">
        <f t="shared" si="118"/>
        <v>614.79999999999995</v>
      </c>
      <c r="I3828">
        <f t="shared" si="119"/>
        <v>382.1</v>
      </c>
    </row>
    <row r="3829" spans="1:9" ht="30" x14ac:dyDescent="0.25">
      <c r="A3829" s="5" t="s">
        <v>69</v>
      </c>
      <c r="B3829" s="5" t="s">
        <v>19</v>
      </c>
      <c r="C3829" s="5" t="s">
        <v>4301</v>
      </c>
      <c r="D3829" s="3">
        <f>VLOOKUP(A3829,airports!A:H,7,FALSE)</f>
        <v>40.639751109999999</v>
      </c>
      <c r="E3829" s="3">
        <f>VLOOKUP(A3829,airports!A:H,8,FALSE)</f>
        <v>-73.778925560000005</v>
      </c>
      <c r="F3829" s="3">
        <f>VLOOKUP(B3829,airports!A:H,7,FALSE)</f>
        <v>36.12447667</v>
      </c>
      <c r="G3829" s="3">
        <f>VLOOKUP(B3829,airports!A:H,8,FALSE)</f>
        <v>-86.678182219999997</v>
      </c>
      <c r="H3829">
        <f t="shared" si="118"/>
        <v>1229.8</v>
      </c>
      <c r="I3829">
        <f t="shared" si="119"/>
        <v>764.2</v>
      </c>
    </row>
    <row r="3830" spans="1:9" x14ac:dyDescent="0.25">
      <c r="A3830" s="5" t="s">
        <v>69</v>
      </c>
      <c r="B3830" s="5" t="s">
        <v>22</v>
      </c>
      <c r="C3830" s="5" t="s">
        <v>4302</v>
      </c>
      <c r="D3830" s="3">
        <f>VLOOKUP(A3830,airports!A:H,7,FALSE)</f>
        <v>40.639751109999999</v>
      </c>
      <c r="E3830" s="3">
        <f>VLOOKUP(A3830,airports!A:H,8,FALSE)</f>
        <v>-73.778925560000005</v>
      </c>
      <c r="F3830" s="3">
        <f>VLOOKUP(B3830,airports!A:H,7,FALSE)</f>
        <v>43.564444440000003</v>
      </c>
      <c r="G3830" s="3">
        <f>VLOOKUP(B3830,airports!A:H,8,FALSE)</f>
        <v>-116.2227778</v>
      </c>
      <c r="H3830">
        <f t="shared" si="118"/>
        <v>3478.6</v>
      </c>
      <c r="I3830">
        <f t="shared" si="119"/>
        <v>2161.6</v>
      </c>
    </row>
    <row r="3831" spans="1:9" x14ac:dyDescent="0.25">
      <c r="A3831" s="5" t="s">
        <v>69</v>
      </c>
      <c r="B3831" s="5" t="s">
        <v>24</v>
      </c>
      <c r="C3831" s="5" t="s">
        <v>4303</v>
      </c>
      <c r="D3831" s="3">
        <f>VLOOKUP(A3831,airports!A:H,7,FALSE)</f>
        <v>40.639751109999999</v>
      </c>
      <c r="E3831" s="3">
        <f>VLOOKUP(A3831,airports!A:H,8,FALSE)</f>
        <v>-73.778925560000005</v>
      </c>
      <c r="F3831" s="3">
        <f>VLOOKUP(B3831,airports!A:H,7,FALSE)</f>
        <v>42.364347500000001</v>
      </c>
      <c r="G3831" s="3">
        <f>VLOOKUP(B3831,airports!A:H,8,FALSE)</f>
        <v>-71.005179170000005</v>
      </c>
      <c r="H3831">
        <f t="shared" si="118"/>
        <v>300.2</v>
      </c>
      <c r="I3831">
        <f t="shared" si="119"/>
        <v>186.5</v>
      </c>
    </row>
    <row r="3832" spans="1:9" ht="30" x14ac:dyDescent="0.25">
      <c r="A3832" s="5" t="s">
        <v>69</v>
      </c>
      <c r="B3832" s="5" t="s">
        <v>25</v>
      </c>
      <c r="C3832" s="5" t="s">
        <v>4304</v>
      </c>
      <c r="D3832" s="3">
        <f>VLOOKUP(A3832,airports!A:H,7,FALSE)</f>
        <v>40.639751109999999</v>
      </c>
      <c r="E3832" s="3">
        <f>VLOOKUP(A3832,airports!A:H,8,FALSE)</f>
        <v>-73.778925560000005</v>
      </c>
      <c r="F3832" s="3">
        <f>VLOOKUP(B3832,airports!A:H,7,FALSE)</f>
        <v>18.494861109999999</v>
      </c>
      <c r="G3832" s="3">
        <f>VLOOKUP(B3832,airports!A:H,8,FALSE)</f>
        <v>-67.12944444</v>
      </c>
      <c r="H3832">
        <f t="shared" si="118"/>
        <v>2543</v>
      </c>
      <c r="I3832">
        <f t="shared" si="119"/>
        <v>1580.2</v>
      </c>
    </row>
    <row r="3833" spans="1:9" x14ac:dyDescent="0.25">
      <c r="A3833" s="5" t="s">
        <v>69</v>
      </c>
      <c r="B3833" s="5" t="s">
        <v>27</v>
      </c>
      <c r="C3833" s="5" t="s">
        <v>4305</v>
      </c>
      <c r="D3833" s="3">
        <f>VLOOKUP(A3833,airports!A:H,7,FALSE)</f>
        <v>40.639751109999999</v>
      </c>
      <c r="E3833" s="3">
        <f>VLOOKUP(A3833,airports!A:H,8,FALSE)</f>
        <v>-73.778925560000005</v>
      </c>
      <c r="F3833" s="3">
        <f>VLOOKUP(B3833,airports!A:H,7,FALSE)</f>
        <v>44.473003609999999</v>
      </c>
      <c r="G3833" s="3">
        <f>VLOOKUP(B3833,airports!A:H,8,FALSE)</f>
        <v>-73.150312499999998</v>
      </c>
      <c r="H3833">
        <f t="shared" si="118"/>
        <v>429.3</v>
      </c>
      <c r="I3833">
        <f t="shared" si="119"/>
        <v>266.8</v>
      </c>
    </row>
    <row r="3834" spans="1:9" x14ac:dyDescent="0.25">
      <c r="A3834" s="5" t="s">
        <v>69</v>
      </c>
      <c r="B3834" s="5" t="s">
        <v>29</v>
      </c>
      <c r="C3834" s="5" t="s">
        <v>4306</v>
      </c>
      <c r="D3834" s="3">
        <f>VLOOKUP(A3834,airports!A:H,7,FALSE)</f>
        <v>40.639751109999999</v>
      </c>
      <c r="E3834" s="3">
        <f>VLOOKUP(A3834,airports!A:H,8,FALSE)</f>
        <v>-73.778925560000005</v>
      </c>
      <c r="F3834" s="3">
        <f>VLOOKUP(B3834,airports!A:H,7,FALSE)</f>
        <v>42.940524719999999</v>
      </c>
      <c r="G3834" s="3">
        <f>VLOOKUP(B3834,airports!A:H,8,FALSE)</f>
        <v>-78.732166669999998</v>
      </c>
      <c r="H3834">
        <f t="shared" si="118"/>
        <v>483.7</v>
      </c>
      <c r="I3834">
        <f t="shared" si="119"/>
        <v>300.60000000000002</v>
      </c>
    </row>
    <row r="3835" spans="1:9" x14ac:dyDescent="0.25">
      <c r="A3835" s="5" t="s">
        <v>69</v>
      </c>
      <c r="B3835" s="5" t="s">
        <v>30</v>
      </c>
      <c r="C3835" s="5" t="s">
        <v>4307</v>
      </c>
      <c r="D3835" s="3">
        <f>VLOOKUP(A3835,airports!A:H,7,FALSE)</f>
        <v>40.639751109999999</v>
      </c>
      <c r="E3835" s="3">
        <f>VLOOKUP(A3835,airports!A:H,8,FALSE)</f>
        <v>-73.778925560000005</v>
      </c>
      <c r="F3835" s="3">
        <f>VLOOKUP(B3835,airports!A:H,7,FALSE)</f>
        <v>34.200619170000003</v>
      </c>
      <c r="G3835" s="3">
        <f>VLOOKUP(B3835,airports!A:H,8,FALSE)</f>
        <v>-118.35849690000001</v>
      </c>
      <c r="H3835">
        <f t="shared" si="118"/>
        <v>3958.4</v>
      </c>
      <c r="I3835">
        <f t="shared" si="119"/>
        <v>2459.8000000000002</v>
      </c>
    </row>
    <row r="3836" spans="1:9" x14ac:dyDescent="0.25">
      <c r="A3836" s="5" t="s">
        <v>69</v>
      </c>
      <c r="B3836" s="5" t="s">
        <v>32</v>
      </c>
      <c r="C3836" s="5" t="s">
        <v>4308</v>
      </c>
      <c r="D3836" s="3">
        <f>VLOOKUP(A3836,airports!A:H,7,FALSE)</f>
        <v>40.639751109999999</v>
      </c>
      <c r="E3836" s="3">
        <f>VLOOKUP(A3836,airports!A:H,8,FALSE)</f>
        <v>-73.778925560000005</v>
      </c>
      <c r="F3836" s="3">
        <f>VLOOKUP(B3836,airports!A:H,7,FALSE)</f>
        <v>39.175401669999999</v>
      </c>
      <c r="G3836" s="3">
        <f>VLOOKUP(B3836,airports!A:H,8,FALSE)</f>
        <v>-76.668198329999996</v>
      </c>
      <c r="H3836">
        <f t="shared" si="118"/>
        <v>295.3</v>
      </c>
      <c r="I3836">
        <f t="shared" si="119"/>
        <v>183.5</v>
      </c>
    </row>
    <row r="3837" spans="1:9" x14ac:dyDescent="0.25">
      <c r="A3837" s="5" t="s">
        <v>69</v>
      </c>
      <c r="B3837" s="5" t="s">
        <v>34</v>
      </c>
      <c r="C3837" s="5" t="s">
        <v>4309</v>
      </c>
      <c r="D3837" s="3">
        <f>VLOOKUP(A3837,airports!A:H,7,FALSE)</f>
        <v>40.639751109999999</v>
      </c>
      <c r="E3837" s="3">
        <f>VLOOKUP(A3837,airports!A:H,8,FALSE)</f>
        <v>-73.778925560000005</v>
      </c>
      <c r="F3837" s="3">
        <f>VLOOKUP(B3837,airports!A:H,7,FALSE)</f>
        <v>45.776901389999999</v>
      </c>
      <c r="G3837" s="3">
        <f>VLOOKUP(B3837,airports!A:H,8,FALSE)</f>
        <v>-111.1530072</v>
      </c>
      <c r="H3837">
        <f t="shared" si="118"/>
        <v>3053.5</v>
      </c>
      <c r="I3837">
        <f t="shared" si="119"/>
        <v>1897.5</v>
      </c>
    </row>
    <row r="3838" spans="1:9" x14ac:dyDescent="0.25">
      <c r="A3838" s="5" t="s">
        <v>69</v>
      </c>
      <c r="B3838" s="5" t="s">
        <v>36</v>
      </c>
      <c r="C3838" s="5" t="s">
        <v>4310</v>
      </c>
      <c r="D3838" s="3">
        <f>VLOOKUP(A3838,airports!A:H,7,FALSE)</f>
        <v>40.639751109999999</v>
      </c>
      <c r="E3838" s="3">
        <f>VLOOKUP(A3838,airports!A:H,8,FALSE)</f>
        <v>-73.778925560000005</v>
      </c>
      <c r="F3838" s="3">
        <f>VLOOKUP(B3838,airports!A:H,7,FALSE)</f>
        <v>32.898646390000003</v>
      </c>
      <c r="G3838" s="3">
        <f>VLOOKUP(B3838,airports!A:H,8,FALSE)</f>
        <v>-80.040505830000001</v>
      </c>
      <c r="H3838">
        <f t="shared" si="118"/>
        <v>1025</v>
      </c>
      <c r="I3838">
        <f t="shared" si="119"/>
        <v>636.9</v>
      </c>
    </row>
    <row r="3839" spans="1:9" x14ac:dyDescent="0.25">
      <c r="A3839" s="5" t="s">
        <v>69</v>
      </c>
      <c r="B3839" s="5" t="s">
        <v>38</v>
      </c>
      <c r="C3839" s="5" t="s">
        <v>4311</v>
      </c>
      <c r="D3839" s="3">
        <f>VLOOKUP(A3839,airports!A:H,7,FALSE)</f>
        <v>40.639751109999999</v>
      </c>
      <c r="E3839" s="3">
        <f>VLOOKUP(A3839,airports!A:H,8,FALSE)</f>
        <v>-73.778925560000005</v>
      </c>
      <c r="F3839" s="3">
        <f>VLOOKUP(B3839,airports!A:H,7,FALSE)</f>
        <v>41.410894169999999</v>
      </c>
      <c r="G3839" s="3">
        <f>VLOOKUP(B3839,airports!A:H,8,FALSE)</f>
        <v>-81.849396670000004</v>
      </c>
      <c r="H3839">
        <f t="shared" si="118"/>
        <v>682.2</v>
      </c>
      <c r="I3839">
        <f t="shared" si="119"/>
        <v>423.9</v>
      </c>
    </row>
    <row r="3840" spans="1:9" x14ac:dyDescent="0.25">
      <c r="A3840" s="5" t="s">
        <v>69</v>
      </c>
      <c r="B3840" s="5" t="s">
        <v>40</v>
      </c>
      <c r="C3840" s="5" t="s">
        <v>4312</v>
      </c>
      <c r="D3840" s="3">
        <f>VLOOKUP(A3840,airports!A:H,7,FALSE)</f>
        <v>40.639751109999999</v>
      </c>
      <c r="E3840" s="3">
        <f>VLOOKUP(A3840,airports!A:H,8,FALSE)</f>
        <v>-73.778925560000005</v>
      </c>
      <c r="F3840" s="3">
        <f>VLOOKUP(B3840,airports!A:H,7,FALSE)</f>
        <v>35.214011110000001</v>
      </c>
      <c r="G3840" s="3">
        <f>VLOOKUP(B3840,airports!A:H,8,FALSE)</f>
        <v>-80.94312583</v>
      </c>
      <c r="H3840">
        <f t="shared" si="118"/>
        <v>870.5</v>
      </c>
      <c r="I3840">
        <f t="shared" si="119"/>
        <v>541</v>
      </c>
    </row>
    <row r="3841" spans="1:9" ht="30" x14ac:dyDescent="0.25">
      <c r="A3841" s="5" t="s">
        <v>69</v>
      </c>
      <c r="B3841" s="5" t="s">
        <v>454</v>
      </c>
      <c r="C3841" s="5" t="s">
        <v>4313</v>
      </c>
      <c r="D3841" s="3">
        <f>VLOOKUP(A3841,airports!A:H,7,FALSE)</f>
        <v>40.639751109999999</v>
      </c>
      <c r="E3841" s="3">
        <f>VLOOKUP(A3841,airports!A:H,8,FALSE)</f>
        <v>-73.778925560000005</v>
      </c>
      <c r="F3841" s="3">
        <f>VLOOKUP(B3841,airports!A:H,7,FALSE)</f>
        <v>39.997985280000002</v>
      </c>
      <c r="G3841" s="3">
        <f>VLOOKUP(B3841,airports!A:H,8,FALSE)</f>
        <v>-82.891882780000003</v>
      </c>
      <c r="H3841">
        <f t="shared" si="118"/>
        <v>775.5</v>
      </c>
      <c r="I3841">
        <f t="shared" si="119"/>
        <v>481.9</v>
      </c>
    </row>
    <row r="3842" spans="1:9" x14ac:dyDescent="0.25">
      <c r="A3842" s="5" t="s">
        <v>69</v>
      </c>
      <c r="B3842" s="5" t="s">
        <v>462</v>
      </c>
      <c r="C3842" s="5" t="s">
        <v>4314</v>
      </c>
      <c r="D3842" s="3">
        <f>VLOOKUP(A3842,airports!A:H,7,FALSE)</f>
        <v>40.639751109999999</v>
      </c>
      <c r="E3842" s="3">
        <f>VLOOKUP(A3842,airports!A:H,8,FALSE)</f>
        <v>-73.778925560000005</v>
      </c>
      <c r="F3842" s="3">
        <f>VLOOKUP(B3842,airports!A:H,7,FALSE)</f>
        <v>39.046142779999997</v>
      </c>
      <c r="G3842" s="3">
        <f>VLOOKUP(B3842,airports!A:H,8,FALSE)</f>
        <v>-84.662172499999997</v>
      </c>
      <c r="H3842">
        <f t="shared" si="118"/>
        <v>945.3</v>
      </c>
      <c r="I3842">
        <f t="shared" si="119"/>
        <v>587.4</v>
      </c>
    </row>
    <row r="3843" spans="1:9" x14ac:dyDescent="0.25">
      <c r="A3843" s="5" t="s">
        <v>69</v>
      </c>
      <c r="B3843" s="5" t="s">
        <v>464</v>
      </c>
      <c r="C3843" s="5" t="s">
        <v>4315</v>
      </c>
      <c r="D3843" s="3">
        <f>VLOOKUP(A3843,airports!A:H,7,FALSE)</f>
        <v>40.639751109999999</v>
      </c>
      <c r="E3843" s="3">
        <f>VLOOKUP(A3843,airports!A:H,8,FALSE)</f>
        <v>-73.778925560000005</v>
      </c>
      <c r="F3843" s="3">
        <f>VLOOKUP(B3843,airports!A:H,7,FALSE)</f>
        <v>29.179916670000001</v>
      </c>
      <c r="G3843" s="3">
        <f>VLOOKUP(B3843,airports!A:H,8,FALSE)</f>
        <v>-81.05805556</v>
      </c>
      <c r="H3843">
        <f t="shared" si="118"/>
        <v>1435.5</v>
      </c>
      <c r="I3843">
        <f t="shared" si="119"/>
        <v>892</v>
      </c>
    </row>
    <row r="3844" spans="1:9" x14ac:dyDescent="0.25">
      <c r="A3844" s="5" t="s">
        <v>69</v>
      </c>
      <c r="B3844" s="5" t="s">
        <v>45</v>
      </c>
      <c r="C3844" s="5" t="s">
        <v>4316</v>
      </c>
      <c r="D3844" s="3">
        <f>VLOOKUP(A3844,airports!A:H,7,FALSE)</f>
        <v>40.639751109999999</v>
      </c>
      <c r="E3844" s="3">
        <f>VLOOKUP(A3844,airports!A:H,8,FALSE)</f>
        <v>-73.778925560000005</v>
      </c>
      <c r="F3844" s="3">
        <f>VLOOKUP(B3844,airports!A:H,7,FALSE)</f>
        <v>38.852083329999999</v>
      </c>
      <c r="G3844" s="3">
        <f>VLOOKUP(B3844,airports!A:H,8,FALSE)</f>
        <v>-77.037722220000006</v>
      </c>
      <c r="H3844">
        <f t="shared" ref="H3844:H3907" si="120">ROUND(ACOS(COS(RADIANS(90-D3844)) * COS(RADIANS(90-F3844)) + SIN(RADIANS(90-D3844)) * SIN(RADIANS(90-F3844)) * COS(RADIANS(E3844-G3844))) * 6371,1)</f>
        <v>342.2</v>
      </c>
      <c r="I3844">
        <f t="shared" ref="I3844:I3907" si="121">ROUND(ACOS(COS(RADIANS(90-D3844)) * COS(RADIANS(90-F3844)) + SIN(RADIANS(90-D3844)) * SIN(RADIANS(90-F3844)) * COS(RADIANS(E3844-G3844))) * 3959,1)</f>
        <v>212.7</v>
      </c>
    </row>
    <row r="3845" spans="1:9" x14ac:dyDescent="0.25">
      <c r="A3845" s="5" t="s">
        <v>69</v>
      </c>
      <c r="B3845" s="5" t="s">
        <v>47</v>
      </c>
      <c r="C3845" s="5" t="s">
        <v>4317</v>
      </c>
      <c r="D3845" s="3">
        <f>VLOOKUP(A3845,airports!A:H,7,FALSE)</f>
        <v>40.639751109999999</v>
      </c>
      <c r="E3845" s="3">
        <f>VLOOKUP(A3845,airports!A:H,8,FALSE)</f>
        <v>-73.778925560000005</v>
      </c>
      <c r="F3845" s="3">
        <f>VLOOKUP(B3845,airports!A:H,7,FALSE)</f>
        <v>39.858408060000002</v>
      </c>
      <c r="G3845" s="3">
        <f>VLOOKUP(B3845,airports!A:H,8,FALSE)</f>
        <v>-104.6670019</v>
      </c>
      <c r="H3845">
        <f t="shared" si="120"/>
        <v>2609.4</v>
      </c>
      <c r="I3845">
        <f t="shared" si="121"/>
        <v>1621.5</v>
      </c>
    </row>
    <row r="3846" spans="1:9" ht="30" x14ac:dyDescent="0.25">
      <c r="A3846" s="5" t="s">
        <v>69</v>
      </c>
      <c r="B3846" s="5" t="s">
        <v>49</v>
      </c>
      <c r="C3846" s="5" t="s">
        <v>4318</v>
      </c>
      <c r="D3846" s="3">
        <f>VLOOKUP(A3846,airports!A:H,7,FALSE)</f>
        <v>40.639751109999999</v>
      </c>
      <c r="E3846" s="3">
        <f>VLOOKUP(A3846,airports!A:H,8,FALSE)</f>
        <v>-73.778925560000005</v>
      </c>
      <c r="F3846" s="3">
        <f>VLOOKUP(B3846,airports!A:H,7,FALSE)</f>
        <v>32.895950560000003</v>
      </c>
      <c r="G3846" s="3">
        <f>VLOOKUP(B3846,airports!A:H,8,FALSE)</f>
        <v>-97.037199999999999</v>
      </c>
      <c r="H3846">
        <f t="shared" si="120"/>
        <v>2234.9</v>
      </c>
      <c r="I3846">
        <f t="shared" si="121"/>
        <v>1388.8</v>
      </c>
    </row>
    <row r="3847" spans="1:9" ht="30" x14ac:dyDescent="0.25">
      <c r="A3847" s="5" t="s">
        <v>69</v>
      </c>
      <c r="B3847" s="5" t="s">
        <v>50</v>
      </c>
      <c r="C3847" s="5" t="s">
        <v>4319</v>
      </c>
      <c r="D3847" s="3">
        <f>VLOOKUP(A3847,airports!A:H,7,FALSE)</f>
        <v>40.639751109999999</v>
      </c>
      <c r="E3847" s="3">
        <f>VLOOKUP(A3847,airports!A:H,8,FALSE)</f>
        <v>-73.778925560000005</v>
      </c>
      <c r="F3847" s="3">
        <f>VLOOKUP(B3847,airports!A:H,7,FALSE)</f>
        <v>42.212058890000002</v>
      </c>
      <c r="G3847" s="3">
        <f>VLOOKUP(B3847,airports!A:H,8,FALSE)</f>
        <v>-83.348835829999999</v>
      </c>
      <c r="H3847">
        <f t="shared" si="120"/>
        <v>816.3</v>
      </c>
      <c r="I3847">
        <f t="shared" si="121"/>
        <v>507.3</v>
      </c>
    </row>
    <row r="3848" spans="1:9" x14ac:dyDescent="0.25">
      <c r="A3848" s="5" t="s">
        <v>69</v>
      </c>
      <c r="B3848" s="5" t="s">
        <v>479</v>
      </c>
      <c r="C3848" s="5" t="s">
        <v>4320</v>
      </c>
      <c r="D3848" s="3">
        <f>VLOOKUP(A3848,airports!A:H,7,FALSE)</f>
        <v>40.639751109999999</v>
      </c>
      <c r="E3848" s="3">
        <f>VLOOKUP(A3848,airports!A:H,8,FALSE)</f>
        <v>-73.778925560000005</v>
      </c>
      <c r="F3848" s="3">
        <f>VLOOKUP(B3848,airports!A:H,7,FALSE)</f>
        <v>39.64256778</v>
      </c>
      <c r="G3848" s="3">
        <f>VLOOKUP(B3848,airports!A:H,8,FALSE)</f>
        <v>-106.91769530000001</v>
      </c>
      <c r="H3848">
        <f t="shared" si="120"/>
        <v>2802.4</v>
      </c>
      <c r="I3848">
        <f t="shared" si="121"/>
        <v>1741.4</v>
      </c>
    </row>
    <row r="3849" spans="1:9" ht="30" x14ac:dyDescent="0.25">
      <c r="A3849" s="5" t="s">
        <v>69</v>
      </c>
      <c r="B3849" s="5" t="s">
        <v>54</v>
      </c>
      <c r="C3849" s="5" t="s">
        <v>4321</v>
      </c>
      <c r="D3849" s="3">
        <f>VLOOKUP(A3849,airports!A:H,7,FALSE)</f>
        <v>40.639751109999999</v>
      </c>
      <c r="E3849" s="3">
        <f>VLOOKUP(A3849,airports!A:H,8,FALSE)</f>
        <v>-73.778925560000005</v>
      </c>
      <c r="F3849" s="3">
        <f>VLOOKUP(B3849,airports!A:H,7,FALSE)</f>
        <v>24.55611111</v>
      </c>
      <c r="G3849" s="3">
        <f>VLOOKUP(B3849,airports!A:H,8,FALSE)</f>
        <v>-81.759555559999995</v>
      </c>
      <c r="H3849">
        <f t="shared" si="120"/>
        <v>1936.2</v>
      </c>
      <c r="I3849">
        <f t="shared" si="121"/>
        <v>1203.2</v>
      </c>
    </row>
    <row r="3850" spans="1:9" x14ac:dyDescent="0.25">
      <c r="A3850" s="5" t="s">
        <v>69</v>
      </c>
      <c r="B3850" s="5" t="s">
        <v>56</v>
      </c>
      <c r="C3850" s="5" t="s">
        <v>4322</v>
      </c>
      <c r="D3850" s="3">
        <f>VLOOKUP(A3850,airports!A:H,7,FALSE)</f>
        <v>40.639751109999999</v>
      </c>
      <c r="E3850" s="3">
        <f>VLOOKUP(A3850,airports!A:H,8,FALSE)</f>
        <v>-73.778925560000005</v>
      </c>
      <c r="F3850" s="3">
        <f>VLOOKUP(B3850,airports!A:H,7,FALSE)</f>
        <v>48.311404719999999</v>
      </c>
      <c r="G3850" s="3">
        <f>VLOOKUP(B3850,airports!A:H,8,FALSE)</f>
        <v>-114.2550694</v>
      </c>
      <c r="H3850">
        <f t="shared" si="120"/>
        <v>3281.4</v>
      </c>
      <c r="I3850">
        <f t="shared" si="121"/>
        <v>2039.1</v>
      </c>
    </row>
    <row r="3851" spans="1:9" x14ac:dyDescent="0.25">
      <c r="A3851" s="5" t="s">
        <v>69</v>
      </c>
      <c r="B3851" s="5" t="s">
        <v>57</v>
      </c>
      <c r="C3851" s="5" t="s">
        <v>4323</v>
      </c>
      <c r="D3851" s="3">
        <f>VLOOKUP(A3851,airports!A:H,7,FALSE)</f>
        <v>40.639751109999999</v>
      </c>
      <c r="E3851" s="3">
        <f>VLOOKUP(A3851,airports!A:H,8,FALSE)</f>
        <v>-73.778925560000005</v>
      </c>
      <c r="F3851" s="3">
        <f>VLOOKUP(B3851,airports!A:H,7,FALSE)</f>
        <v>26.072583330000001</v>
      </c>
      <c r="G3851" s="3">
        <f>VLOOKUP(B3851,airports!A:H,8,FALSE)</f>
        <v>-80.152749999999997</v>
      </c>
      <c r="H3851">
        <f t="shared" si="120"/>
        <v>1723.3</v>
      </c>
      <c r="I3851">
        <f t="shared" si="121"/>
        <v>1070.9000000000001</v>
      </c>
    </row>
    <row r="3852" spans="1:9" ht="30" x14ac:dyDescent="0.25">
      <c r="A3852" s="5" t="s">
        <v>69</v>
      </c>
      <c r="B3852" s="5" t="s">
        <v>64</v>
      </c>
      <c r="C3852" s="5" t="s">
        <v>4324</v>
      </c>
      <c r="D3852" s="3">
        <f>VLOOKUP(A3852,airports!A:H,7,FALSE)</f>
        <v>40.639751109999999</v>
      </c>
      <c r="E3852" s="3">
        <f>VLOOKUP(A3852,airports!A:H,8,FALSE)</f>
        <v>-73.778925560000005</v>
      </c>
      <c r="F3852" s="3">
        <f>VLOOKUP(B3852,airports!A:H,7,FALSE)</f>
        <v>40.481180279999997</v>
      </c>
      <c r="G3852" s="3">
        <f>VLOOKUP(B3852,airports!A:H,8,FALSE)</f>
        <v>-107.2176597</v>
      </c>
      <c r="H3852">
        <f t="shared" si="120"/>
        <v>2807.6</v>
      </c>
      <c r="I3852">
        <f t="shared" si="121"/>
        <v>1744.7</v>
      </c>
    </row>
    <row r="3853" spans="1:9" x14ac:dyDescent="0.25">
      <c r="A3853" s="5" t="s">
        <v>69</v>
      </c>
      <c r="B3853" s="5" t="s">
        <v>360</v>
      </c>
      <c r="C3853" s="5" t="s">
        <v>4325</v>
      </c>
      <c r="D3853" s="3">
        <f>VLOOKUP(A3853,airports!A:H,7,FALSE)</f>
        <v>40.639751109999999</v>
      </c>
      <c r="E3853" s="3">
        <f>VLOOKUP(A3853,airports!A:H,8,FALSE)</f>
        <v>-73.778925560000005</v>
      </c>
      <c r="F3853" s="3">
        <f>VLOOKUP(B3853,airports!A:H,7,FALSE)</f>
        <v>21.31869111</v>
      </c>
      <c r="G3853" s="3">
        <f>VLOOKUP(B3853,airports!A:H,8,FALSE)</f>
        <v>-157.92240720000001</v>
      </c>
      <c r="H3853">
        <f t="shared" si="120"/>
        <v>8006.7</v>
      </c>
      <c r="I3853">
        <f t="shared" si="121"/>
        <v>4975.5</v>
      </c>
    </row>
    <row r="3854" spans="1:9" ht="30" x14ac:dyDescent="0.25">
      <c r="A3854" s="5" t="s">
        <v>69</v>
      </c>
      <c r="B3854" s="5" t="s">
        <v>205</v>
      </c>
      <c r="C3854" s="5" t="s">
        <v>4326</v>
      </c>
      <c r="D3854" s="3">
        <f>VLOOKUP(A3854,airports!A:H,7,FALSE)</f>
        <v>40.639751109999999</v>
      </c>
      <c r="E3854" s="3">
        <f>VLOOKUP(A3854,airports!A:H,8,FALSE)</f>
        <v>-73.778925560000005</v>
      </c>
      <c r="F3854" s="3">
        <f>VLOOKUP(B3854,airports!A:H,7,FALSE)</f>
        <v>29.64541861</v>
      </c>
      <c r="G3854" s="3">
        <f>VLOOKUP(B3854,airports!A:H,8,FALSE)</f>
        <v>-95.278888890000005</v>
      </c>
      <c r="H3854">
        <f t="shared" si="120"/>
        <v>2296.1</v>
      </c>
      <c r="I3854">
        <f t="shared" si="121"/>
        <v>1426.8</v>
      </c>
    </row>
    <row r="3855" spans="1:9" x14ac:dyDescent="0.25">
      <c r="A3855" s="5" t="s">
        <v>69</v>
      </c>
      <c r="B3855" s="5" t="s">
        <v>66</v>
      </c>
      <c r="C3855" s="5" t="s">
        <v>4327</v>
      </c>
      <c r="D3855" s="3">
        <f>VLOOKUP(A3855,airports!A:H,7,FALSE)</f>
        <v>40.639751109999999</v>
      </c>
      <c r="E3855" s="3">
        <f>VLOOKUP(A3855,airports!A:H,8,FALSE)</f>
        <v>-73.778925560000005</v>
      </c>
      <c r="F3855" s="3">
        <f>VLOOKUP(B3855,airports!A:H,7,FALSE)</f>
        <v>41.669336389999998</v>
      </c>
      <c r="G3855" s="3">
        <f>VLOOKUP(B3855,airports!A:H,8,FALSE)</f>
        <v>-70.280355830000005</v>
      </c>
      <c r="H3855">
        <f t="shared" si="120"/>
        <v>314.5</v>
      </c>
      <c r="I3855">
        <f t="shared" si="121"/>
        <v>195.4</v>
      </c>
    </row>
    <row r="3856" spans="1:9" x14ac:dyDescent="0.25">
      <c r="A3856" s="5" t="s">
        <v>69</v>
      </c>
      <c r="B3856" s="5" t="s">
        <v>176</v>
      </c>
      <c r="C3856" s="5" t="s">
        <v>4328</v>
      </c>
      <c r="D3856" s="3">
        <f>VLOOKUP(A3856,airports!A:H,7,FALSE)</f>
        <v>40.639751109999999</v>
      </c>
      <c r="E3856" s="3">
        <f>VLOOKUP(A3856,airports!A:H,8,FALSE)</f>
        <v>-73.778925560000005</v>
      </c>
      <c r="F3856" s="3">
        <f>VLOOKUP(B3856,airports!A:H,7,FALSE)</f>
        <v>38.944531939999997</v>
      </c>
      <c r="G3856" s="3">
        <f>VLOOKUP(B3856,airports!A:H,8,FALSE)</f>
        <v>-77.455809720000005</v>
      </c>
      <c r="H3856">
        <f t="shared" si="120"/>
        <v>366.3</v>
      </c>
      <c r="I3856">
        <f t="shared" si="121"/>
        <v>227.6</v>
      </c>
    </row>
    <row r="3857" spans="1:9" x14ac:dyDescent="0.25">
      <c r="A3857" s="5" t="s">
        <v>69</v>
      </c>
      <c r="B3857" s="5" t="s">
        <v>67</v>
      </c>
      <c r="C3857" s="5" t="s">
        <v>4329</v>
      </c>
      <c r="D3857" s="3">
        <f>VLOOKUP(A3857,airports!A:H,7,FALSE)</f>
        <v>40.639751109999999</v>
      </c>
      <c r="E3857" s="3">
        <f>VLOOKUP(A3857,airports!A:H,8,FALSE)</f>
        <v>-73.778925560000005</v>
      </c>
      <c r="F3857" s="3">
        <f>VLOOKUP(B3857,airports!A:H,7,FALSE)</f>
        <v>29.980472219999999</v>
      </c>
      <c r="G3857" s="3">
        <f>VLOOKUP(B3857,airports!A:H,8,FALSE)</f>
        <v>-95.339722219999999</v>
      </c>
      <c r="H3857">
        <f t="shared" si="120"/>
        <v>2278</v>
      </c>
      <c r="I3857">
        <f t="shared" si="121"/>
        <v>1415.6</v>
      </c>
    </row>
    <row r="3858" spans="1:9" x14ac:dyDescent="0.25">
      <c r="A3858" s="5" t="s">
        <v>69</v>
      </c>
      <c r="B3858" s="5" t="s">
        <v>537</v>
      </c>
      <c r="C3858" s="5" t="s">
        <v>4330</v>
      </c>
      <c r="D3858" s="3">
        <f>VLOOKUP(A3858,airports!A:H,7,FALSE)</f>
        <v>40.639751109999999</v>
      </c>
      <c r="E3858" s="3">
        <f>VLOOKUP(A3858,airports!A:H,8,FALSE)</f>
        <v>-73.778925560000005</v>
      </c>
      <c r="F3858" s="3">
        <f>VLOOKUP(B3858,airports!A:H,7,FALSE)</f>
        <v>39.717329169999999</v>
      </c>
      <c r="G3858" s="3">
        <f>VLOOKUP(B3858,airports!A:H,8,FALSE)</f>
        <v>-86.294384170000001</v>
      </c>
      <c r="H3858">
        <f t="shared" si="120"/>
        <v>1067.3</v>
      </c>
      <c r="I3858">
        <f t="shared" si="121"/>
        <v>663.2</v>
      </c>
    </row>
    <row r="3859" spans="1:9" x14ac:dyDescent="0.25">
      <c r="A3859" s="5" t="s">
        <v>69</v>
      </c>
      <c r="B3859" s="5" t="s">
        <v>541</v>
      </c>
      <c r="C3859" s="5" t="s">
        <v>4331</v>
      </c>
      <c r="D3859" s="3">
        <f>VLOOKUP(A3859,airports!A:H,7,FALSE)</f>
        <v>40.639751109999999</v>
      </c>
      <c r="E3859" s="3">
        <f>VLOOKUP(A3859,airports!A:H,8,FALSE)</f>
        <v>-73.778925560000005</v>
      </c>
      <c r="F3859" s="3">
        <f>VLOOKUP(B3859,airports!A:H,7,FALSE)</f>
        <v>43.607324169999998</v>
      </c>
      <c r="G3859" s="3">
        <f>VLOOKUP(B3859,airports!A:H,8,FALSE)</f>
        <v>-110.7377389</v>
      </c>
      <c r="H3859">
        <f t="shared" si="120"/>
        <v>3040.6</v>
      </c>
      <c r="I3859">
        <f t="shared" si="121"/>
        <v>1889.5</v>
      </c>
    </row>
    <row r="3860" spans="1:9" x14ac:dyDescent="0.25">
      <c r="A3860" s="5" t="s">
        <v>69</v>
      </c>
      <c r="B3860" s="5" t="s">
        <v>68</v>
      </c>
      <c r="C3860" s="5" t="s">
        <v>4332</v>
      </c>
      <c r="D3860" s="3">
        <f>VLOOKUP(A3860,airports!A:H,7,FALSE)</f>
        <v>40.639751109999999</v>
      </c>
      <c r="E3860" s="3">
        <f>VLOOKUP(A3860,airports!A:H,8,FALSE)</f>
        <v>-73.778925560000005</v>
      </c>
      <c r="F3860" s="3">
        <f>VLOOKUP(B3860,airports!A:H,7,FALSE)</f>
        <v>30.49405556</v>
      </c>
      <c r="G3860" s="3">
        <f>VLOOKUP(B3860,airports!A:H,8,FALSE)</f>
        <v>-81.68786111</v>
      </c>
      <c r="H3860">
        <f t="shared" si="120"/>
        <v>1334.5</v>
      </c>
      <c r="I3860">
        <f t="shared" si="121"/>
        <v>829.2</v>
      </c>
    </row>
    <row r="3861" spans="1:9" x14ac:dyDescent="0.25">
      <c r="A3861" s="5" t="s">
        <v>69</v>
      </c>
      <c r="B3861" s="5" t="s">
        <v>71</v>
      </c>
      <c r="C3861" s="5" t="s">
        <v>4333</v>
      </c>
      <c r="D3861" s="3">
        <f>VLOOKUP(A3861,airports!A:H,7,FALSE)</f>
        <v>40.639751109999999</v>
      </c>
      <c r="E3861" s="3">
        <f>VLOOKUP(A3861,airports!A:H,8,FALSE)</f>
        <v>-73.778925560000005</v>
      </c>
      <c r="F3861" s="3">
        <f>VLOOKUP(B3861,airports!A:H,7,FALSE)</f>
        <v>36.080361109999998</v>
      </c>
      <c r="G3861" s="3">
        <f>VLOOKUP(B3861,airports!A:H,8,FALSE)</f>
        <v>-115.1523333</v>
      </c>
      <c r="H3861">
        <f t="shared" si="120"/>
        <v>3609.3</v>
      </c>
      <c r="I3861">
        <f t="shared" si="121"/>
        <v>2242.9</v>
      </c>
    </row>
    <row r="3862" spans="1:9" x14ac:dyDescent="0.25">
      <c r="A3862" s="5" t="s">
        <v>69</v>
      </c>
      <c r="B3862" s="5" t="s">
        <v>73</v>
      </c>
      <c r="C3862" s="5" t="s">
        <v>4334</v>
      </c>
      <c r="D3862" s="3">
        <f>VLOOKUP(A3862,airports!A:H,7,FALSE)</f>
        <v>40.639751109999999</v>
      </c>
      <c r="E3862" s="3">
        <f>VLOOKUP(A3862,airports!A:H,8,FALSE)</f>
        <v>-73.778925560000005</v>
      </c>
      <c r="F3862" s="3">
        <f>VLOOKUP(B3862,airports!A:H,7,FALSE)</f>
        <v>33.942536109999999</v>
      </c>
      <c r="G3862" s="3">
        <f>VLOOKUP(B3862,airports!A:H,8,FALSE)</f>
        <v>-118.4080744</v>
      </c>
      <c r="H3862">
        <f t="shared" si="120"/>
        <v>3974.2</v>
      </c>
      <c r="I3862">
        <f t="shared" si="121"/>
        <v>2469.6</v>
      </c>
    </row>
    <row r="3863" spans="1:9" x14ac:dyDescent="0.25">
      <c r="A3863" s="5" t="s">
        <v>69</v>
      </c>
      <c r="B3863" s="5" t="s">
        <v>742</v>
      </c>
      <c r="C3863" s="5" t="s">
        <v>4335</v>
      </c>
      <c r="D3863" s="3">
        <f>VLOOKUP(A3863,airports!A:H,7,FALSE)</f>
        <v>40.639751109999999</v>
      </c>
      <c r="E3863" s="3">
        <f>VLOOKUP(A3863,airports!A:H,8,FALSE)</f>
        <v>-73.778925560000005</v>
      </c>
      <c r="F3863" s="3">
        <f>VLOOKUP(B3863,airports!A:H,7,FALSE)</f>
        <v>33.81772222</v>
      </c>
      <c r="G3863" s="3">
        <f>VLOOKUP(B3863,airports!A:H,8,FALSE)</f>
        <v>-118.1516111</v>
      </c>
      <c r="H3863">
        <f t="shared" si="120"/>
        <v>3958.3</v>
      </c>
      <c r="I3863">
        <f t="shared" si="121"/>
        <v>2459.6999999999998</v>
      </c>
    </row>
    <row r="3864" spans="1:9" x14ac:dyDescent="0.25">
      <c r="A3864" s="5" t="s">
        <v>69</v>
      </c>
      <c r="B3864" s="5" t="s">
        <v>80</v>
      </c>
      <c r="C3864" s="5" t="s">
        <v>4336</v>
      </c>
      <c r="D3864" s="3">
        <f>VLOOKUP(A3864,airports!A:H,7,FALSE)</f>
        <v>40.639751109999999</v>
      </c>
      <c r="E3864" s="3">
        <f>VLOOKUP(A3864,airports!A:H,8,FALSE)</f>
        <v>-73.778925560000005</v>
      </c>
      <c r="F3864" s="3">
        <f>VLOOKUP(B3864,airports!A:H,7,FALSE)</f>
        <v>39.297605279999999</v>
      </c>
      <c r="G3864" s="3">
        <f>VLOOKUP(B3864,airports!A:H,8,FALSE)</f>
        <v>-94.713905560000001</v>
      </c>
      <c r="H3864">
        <f t="shared" si="120"/>
        <v>1786.1</v>
      </c>
      <c r="I3864">
        <f t="shared" si="121"/>
        <v>1109.9000000000001</v>
      </c>
    </row>
    <row r="3865" spans="1:9" ht="30" x14ac:dyDescent="0.25">
      <c r="A3865" s="5" t="s">
        <v>69</v>
      </c>
      <c r="B3865" s="5" t="s">
        <v>82</v>
      </c>
      <c r="C3865" s="5" t="s">
        <v>4337</v>
      </c>
      <c r="D3865" s="3">
        <f>VLOOKUP(A3865,airports!A:H,7,FALSE)</f>
        <v>40.639751109999999</v>
      </c>
      <c r="E3865" s="3">
        <f>VLOOKUP(A3865,airports!A:H,8,FALSE)</f>
        <v>-73.778925560000005</v>
      </c>
      <c r="F3865" s="3">
        <f>VLOOKUP(B3865,airports!A:H,7,FALSE)</f>
        <v>28.42888889</v>
      </c>
      <c r="G3865" s="3">
        <f>VLOOKUP(B3865,airports!A:H,8,FALSE)</f>
        <v>-81.316027779999999</v>
      </c>
      <c r="H3865">
        <f t="shared" si="120"/>
        <v>1521.7</v>
      </c>
      <c r="I3865">
        <f t="shared" si="121"/>
        <v>945.6</v>
      </c>
    </row>
    <row r="3866" spans="1:9" x14ac:dyDescent="0.25">
      <c r="A3866" s="5" t="s">
        <v>69</v>
      </c>
      <c r="B3866" s="5" t="s">
        <v>84</v>
      </c>
      <c r="C3866" s="5" t="s">
        <v>4338</v>
      </c>
      <c r="D3866" s="3">
        <f>VLOOKUP(A3866,airports!A:H,7,FALSE)</f>
        <v>40.639751109999999</v>
      </c>
      <c r="E3866" s="3">
        <f>VLOOKUP(A3866,airports!A:H,8,FALSE)</f>
        <v>-73.778925560000005</v>
      </c>
      <c r="F3866" s="3">
        <f>VLOOKUP(B3866,airports!A:H,7,FALSE)</f>
        <v>25.79325</v>
      </c>
      <c r="G3866" s="3">
        <f>VLOOKUP(B3866,airports!A:H,8,FALSE)</f>
        <v>-80.290555560000001</v>
      </c>
      <c r="H3866">
        <f t="shared" si="120"/>
        <v>1757.1</v>
      </c>
      <c r="I3866">
        <f t="shared" si="121"/>
        <v>1091.9000000000001</v>
      </c>
    </row>
    <row r="3867" spans="1:9" ht="30" x14ac:dyDescent="0.25">
      <c r="A3867" s="5" t="s">
        <v>69</v>
      </c>
      <c r="B3867" s="5" t="s">
        <v>85</v>
      </c>
      <c r="C3867" s="5" t="s">
        <v>4339</v>
      </c>
      <c r="D3867" s="3">
        <f>VLOOKUP(A3867,airports!A:H,7,FALSE)</f>
        <v>40.639751109999999</v>
      </c>
      <c r="E3867" s="3">
        <f>VLOOKUP(A3867,airports!A:H,8,FALSE)</f>
        <v>-73.778925560000005</v>
      </c>
      <c r="F3867" s="3">
        <f>VLOOKUP(B3867,airports!A:H,7,FALSE)</f>
        <v>42.94722222</v>
      </c>
      <c r="G3867" s="3">
        <f>VLOOKUP(B3867,airports!A:H,8,FALSE)</f>
        <v>-87.896583329999999</v>
      </c>
      <c r="H3867">
        <f t="shared" si="120"/>
        <v>1196.5999999999999</v>
      </c>
      <c r="I3867">
        <f t="shared" si="121"/>
        <v>743.6</v>
      </c>
    </row>
    <row r="3868" spans="1:9" ht="30" x14ac:dyDescent="0.25">
      <c r="A3868" s="5" t="s">
        <v>69</v>
      </c>
      <c r="B3868" s="5" t="s">
        <v>87</v>
      </c>
      <c r="C3868" s="5" t="s">
        <v>4340</v>
      </c>
      <c r="D3868" s="3">
        <f>VLOOKUP(A3868,airports!A:H,7,FALSE)</f>
        <v>40.639751109999999</v>
      </c>
      <c r="E3868" s="3">
        <f>VLOOKUP(A3868,airports!A:H,8,FALSE)</f>
        <v>-73.778925560000005</v>
      </c>
      <c r="F3868" s="3">
        <f>VLOOKUP(B3868,airports!A:H,7,FALSE)</f>
        <v>44.880546940000002</v>
      </c>
      <c r="G3868" s="3">
        <f>VLOOKUP(B3868,airports!A:H,8,FALSE)</f>
        <v>-93.216922499999995</v>
      </c>
      <c r="H3868">
        <f t="shared" si="120"/>
        <v>1650.9</v>
      </c>
      <c r="I3868">
        <f t="shared" si="121"/>
        <v>1025.9000000000001</v>
      </c>
    </row>
    <row r="3869" spans="1:9" x14ac:dyDescent="0.25">
      <c r="A3869" s="5" t="s">
        <v>69</v>
      </c>
      <c r="B3869" s="5" t="s">
        <v>89</v>
      </c>
      <c r="C3869" s="5" t="s">
        <v>4341</v>
      </c>
      <c r="D3869" s="3">
        <f>VLOOKUP(A3869,airports!A:H,7,FALSE)</f>
        <v>40.639751109999999</v>
      </c>
      <c r="E3869" s="3">
        <f>VLOOKUP(A3869,airports!A:H,8,FALSE)</f>
        <v>-73.778925560000005</v>
      </c>
      <c r="F3869" s="3">
        <f>VLOOKUP(B3869,airports!A:H,7,FALSE)</f>
        <v>29.993388889999999</v>
      </c>
      <c r="G3869" s="3">
        <f>VLOOKUP(B3869,airports!A:H,8,FALSE)</f>
        <v>-90.258027780000006</v>
      </c>
      <c r="H3869">
        <f t="shared" si="120"/>
        <v>1901.5</v>
      </c>
      <c r="I3869">
        <f t="shared" si="121"/>
        <v>1181.5999999999999</v>
      </c>
    </row>
    <row r="3870" spans="1:9" ht="30" x14ac:dyDescent="0.25">
      <c r="A3870" s="5" t="s">
        <v>69</v>
      </c>
      <c r="B3870" s="5" t="s">
        <v>92</v>
      </c>
      <c r="C3870" s="5" t="s">
        <v>4342</v>
      </c>
      <c r="D3870" s="3">
        <f>VLOOKUP(A3870,airports!A:H,7,FALSE)</f>
        <v>40.639751109999999</v>
      </c>
      <c r="E3870" s="3">
        <f>VLOOKUP(A3870,airports!A:H,8,FALSE)</f>
        <v>-73.778925560000005</v>
      </c>
      <c r="F3870" s="3">
        <f>VLOOKUP(B3870,airports!A:H,7,FALSE)</f>
        <v>41.393025829999999</v>
      </c>
      <c r="G3870" s="3">
        <f>VLOOKUP(B3870,airports!A:H,8,FALSE)</f>
        <v>-70.614332500000003</v>
      </c>
      <c r="H3870">
        <f t="shared" si="120"/>
        <v>278.39999999999998</v>
      </c>
      <c r="I3870">
        <f t="shared" si="121"/>
        <v>173</v>
      </c>
    </row>
    <row r="3871" spans="1:9" ht="30" x14ac:dyDescent="0.25">
      <c r="A3871" s="5" t="s">
        <v>69</v>
      </c>
      <c r="B3871" s="5" t="s">
        <v>215</v>
      </c>
      <c r="C3871" s="5" t="s">
        <v>4343</v>
      </c>
      <c r="D3871" s="3">
        <f>VLOOKUP(A3871,airports!A:H,7,FALSE)</f>
        <v>40.639751109999999</v>
      </c>
      <c r="E3871" s="3">
        <f>VLOOKUP(A3871,airports!A:H,8,FALSE)</f>
        <v>-73.778925560000005</v>
      </c>
      <c r="F3871" s="3">
        <f>VLOOKUP(B3871,airports!A:H,7,FALSE)</f>
        <v>37.721290830000001</v>
      </c>
      <c r="G3871" s="3">
        <f>VLOOKUP(B3871,airports!A:H,8,FALSE)</f>
        <v>-122.2207167</v>
      </c>
      <c r="H3871">
        <f t="shared" si="120"/>
        <v>4135.1000000000004</v>
      </c>
      <c r="I3871">
        <f t="shared" si="121"/>
        <v>2569.6</v>
      </c>
    </row>
    <row r="3872" spans="1:9" ht="30" x14ac:dyDescent="0.25">
      <c r="A3872" s="5" t="s">
        <v>69</v>
      </c>
      <c r="B3872" s="5" t="s">
        <v>94</v>
      </c>
      <c r="C3872" s="5" t="s">
        <v>4344</v>
      </c>
      <c r="D3872" s="3">
        <f>VLOOKUP(A3872,airports!A:H,7,FALSE)</f>
        <v>40.639751109999999</v>
      </c>
      <c r="E3872" s="3">
        <f>VLOOKUP(A3872,airports!A:H,8,FALSE)</f>
        <v>-73.778925560000005</v>
      </c>
      <c r="F3872" s="3">
        <f>VLOOKUP(B3872,airports!A:H,7,FALSE)</f>
        <v>34.055999999999997</v>
      </c>
      <c r="G3872" s="3">
        <f>VLOOKUP(B3872,airports!A:H,8,FALSE)</f>
        <v>-117.6011944</v>
      </c>
      <c r="H3872">
        <f t="shared" si="120"/>
        <v>3901.1</v>
      </c>
      <c r="I3872">
        <f t="shared" si="121"/>
        <v>2424.1999999999998</v>
      </c>
    </row>
    <row r="3873" spans="1:9" ht="30" x14ac:dyDescent="0.25">
      <c r="A3873" s="5" t="s">
        <v>69</v>
      </c>
      <c r="B3873" s="5" t="s">
        <v>95</v>
      </c>
      <c r="C3873" s="5" t="s">
        <v>4345</v>
      </c>
      <c r="D3873" s="3">
        <f>VLOOKUP(A3873,airports!A:H,7,FALSE)</f>
        <v>40.639751109999999</v>
      </c>
      <c r="E3873" s="3">
        <f>VLOOKUP(A3873,airports!A:H,8,FALSE)</f>
        <v>-73.778925560000005</v>
      </c>
      <c r="F3873" s="3">
        <f>VLOOKUP(B3873,airports!A:H,7,FALSE)</f>
        <v>41.979595000000003</v>
      </c>
      <c r="G3873" s="3">
        <f>VLOOKUP(B3873,airports!A:H,8,FALSE)</f>
        <v>-87.904464169999997</v>
      </c>
      <c r="H3873">
        <f t="shared" si="120"/>
        <v>1187.8</v>
      </c>
      <c r="I3873">
        <f t="shared" si="121"/>
        <v>738.1</v>
      </c>
    </row>
    <row r="3874" spans="1:9" x14ac:dyDescent="0.25">
      <c r="A3874" s="5" t="s">
        <v>69</v>
      </c>
      <c r="B3874" s="5" t="s">
        <v>596</v>
      </c>
      <c r="C3874" s="5" t="s">
        <v>4346</v>
      </c>
      <c r="D3874" s="3">
        <f>VLOOKUP(A3874,airports!A:H,7,FALSE)</f>
        <v>40.639751109999999</v>
      </c>
      <c r="E3874" s="3">
        <f>VLOOKUP(A3874,airports!A:H,8,FALSE)</f>
        <v>-73.778925560000005</v>
      </c>
      <c r="F3874" s="3">
        <f>VLOOKUP(B3874,airports!A:H,7,FALSE)</f>
        <v>36.89461111</v>
      </c>
      <c r="G3874" s="3">
        <f>VLOOKUP(B3874,airports!A:H,8,FALSE)</f>
        <v>-76.201222220000005</v>
      </c>
      <c r="H3874">
        <f t="shared" si="120"/>
        <v>466.3</v>
      </c>
      <c r="I3874">
        <f t="shared" si="121"/>
        <v>289.8</v>
      </c>
    </row>
    <row r="3875" spans="1:9" ht="30" x14ac:dyDescent="0.25">
      <c r="A3875" s="5" t="s">
        <v>69</v>
      </c>
      <c r="B3875" s="5" t="s">
        <v>97</v>
      </c>
      <c r="C3875" s="5" t="s">
        <v>4347</v>
      </c>
      <c r="D3875" s="3">
        <f>VLOOKUP(A3875,airports!A:H,7,FALSE)</f>
        <v>40.639751109999999</v>
      </c>
      <c r="E3875" s="3">
        <f>VLOOKUP(A3875,airports!A:H,8,FALSE)</f>
        <v>-73.778925560000005</v>
      </c>
      <c r="F3875" s="3">
        <f>VLOOKUP(B3875,airports!A:H,7,FALSE)</f>
        <v>42.267339440000001</v>
      </c>
      <c r="G3875" s="3">
        <f>VLOOKUP(B3875,airports!A:H,8,FALSE)</f>
        <v>-71.875709439999994</v>
      </c>
      <c r="H3875">
        <f t="shared" si="120"/>
        <v>240.6</v>
      </c>
      <c r="I3875">
        <f t="shared" si="121"/>
        <v>149.5</v>
      </c>
    </row>
    <row r="3876" spans="1:9" x14ac:dyDescent="0.25">
      <c r="A3876" s="5" t="s">
        <v>69</v>
      </c>
      <c r="B3876" s="5" t="s">
        <v>99</v>
      </c>
      <c r="C3876" s="5" t="s">
        <v>4348</v>
      </c>
      <c r="D3876" s="3">
        <f>VLOOKUP(A3876,airports!A:H,7,FALSE)</f>
        <v>40.639751109999999</v>
      </c>
      <c r="E3876" s="3">
        <f>VLOOKUP(A3876,airports!A:H,8,FALSE)</f>
        <v>-73.778925560000005</v>
      </c>
      <c r="F3876" s="3">
        <f>VLOOKUP(B3876,airports!A:H,7,FALSE)</f>
        <v>26.683161940000002</v>
      </c>
      <c r="G3876" s="3">
        <f>VLOOKUP(B3876,airports!A:H,8,FALSE)</f>
        <v>-80.095594169999998</v>
      </c>
      <c r="H3876">
        <f t="shared" si="120"/>
        <v>1657.1</v>
      </c>
      <c r="I3876">
        <f t="shared" si="121"/>
        <v>1029.8</v>
      </c>
    </row>
    <row r="3877" spans="1:9" x14ac:dyDescent="0.25">
      <c r="A3877" s="5" t="s">
        <v>69</v>
      </c>
      <c r="B3877" s="5" t="s">
        <v>100</v>
      </c>
      <c r="C3877" s="5" t="s">
        <v>4349</v>
      </c>
      <c r="D3877" s="3">
        <f>VLOOKUP(A3877,airports!A:H,7,FALSE)</f>
        <v>40.639751109999999</v>
      </c>
      <c r="E3877" s="3">
        <f>VLOOKUP(A3877,airports!A:H,8,FALSE)</f>
        <v>-73.778925560000005</v>
      </c>
      <c r="F3877" s="3">
        <f>VLOOKUP(B3877,airports!A:H,7,FALSE)</f>
        <v>45.588722220000001</v>
      </c>
      <c r="G3877" s="3">
        <f>VLOOKUP(B3877,airports!A:H,8,FALSE)</f>
        <v>-122.5975</v>
      </c>
      <c r="H3877">
        <f t="shared" si="120"/>
        <v>3938.8</v>
      </c>
      <c r="I3877">
        <f t="shared" si="121"/>
        <v>2447.6</v>
      </c>
    </row>
    <row r="3878" spans="1:9" x14ac:dyDescent="0.25">
      <c r="A3878" s="5" t="s">
        <v>69</v>
      </c>
      <c r="B3878" s="5" t="s">
        <v>102</v>
      </c>
      <c r="C3878" s="5" t="s">
        <v>4350</v>
      </c>
      <c r="D3878" s="3">
        <f>VLOOKUP(A3878,airports!A:H,7,FALSE)</f>
        <v>40.639751109999999</v>
      </c>
      <c r="E3878" s="3">
        <f>VLOOKUP(A3878,airports!A:H,8,FALSE)</f>
        <v>-73.778925560000005</v>
      </c>
      <c r="F3878" s="3">
        <f>VLOOKUP(B3878,airports!A:H,7,FALSE)</f>
        <v>39.871952780000001</v>
      </c>
      <c r="G3878" s="3">
        <f>VLOOKUP(B3878,airports!A:H,8,FALSE)</f>
        <v>-75.241140830000006</v>
      </c>
      <c r="H3878">
        <f t="shared" si="120"/>
        <v>150.6</v>
      </c>
      <c r="I3878">
        <f t="shared" si="121"/>
        <v>93.6</v>
      </c>
    </row>
    <row r="3879" spans="1:9" x14ac:dyDescent="0.25">
      <c r="A3879" s="5" t="s">
        <v>69</v>
      </c>
      <c r="B3879" s="5" t="s">
        <v>104</v>
      </c>
      <c r="C3879" s="5" t="s">
        <v>4351</v>
      </c>
      <c r="D3879" s="3">
        <f>VLOOKUP(A3879,airports!A:H,7,FALSE)</f>
        <v>40.639751109999999</v>
      </c>
      <c r="E3879" s="3">
        <f>VLOOKUP(A3879,airports!A:H,8,FALSE)</f>
        <v>-73.778925560000005</v>
      </c>
      <c r="F3879" s="3">
        <f>VLOOKUP(B3879,airports!A:H,7,FALSE)</f>
        <v>33.434166670000003</v>
      </c>
      <c r="G3879" s="3">
        <f>VLOOKUP(B3879,airports!A:H,8,FALSE)</f>
        <v>-112.00805560000001</v>
      </c>
      <c r="H3879">
        <f t="shared" si="120"/>
        <v>3457.8</v>
      </c>
      <c r="I3879">
        <f t="shared" si="121"/>
        <v>2148.6999999999998</v>
      </c>
    </row>
    <row r="3880" spans="1:9" x14ac:dyDescent="0.25">
      <c r="A3880" s="5" t="s">
        <v>69</v>
      </c>
      <c r="B3880" s="5" t="s">
        <v>106</v>
      </c>
      <c r="C3880" s="5" t="s">
        <v>4352</v>
      </c>
      <c r="D3880" s="3">
        <f>VLOOKUP(A3880,airports!A:H,7,FALSE)</f>
        <v>40.639751109999999</v>
      </c>
      <c r="E3880" s="3">
        <f>VLOOKUP(A3880,airports!A:H,8,FALSE)</f>
        <v>-73.778925560000005</v>
      </c>
      <c r="F3880" s="3">
        <f>VLOOKUP(B3880,airports!A:H,7,FALSE)</f>
        <v>40.491465830000003</v>
      </c>
      <c r="G3880" s="3">
        <f>VLOOKUP(B3880,airports!A:H,8,FALSE)</f>
        <v>-80.232870829999996</v>
      </c>
      <c r="H3880">
        <f t="shared" si="120"/>
        <v>545.29999999999995</v>
      </c>
      <c r="I3880">
        <f t="shared" si="121"/>
        <v>338.9</v>
      </c>
    </row>
    <row r="3881" spans="1:9" x14ac:dyDescent="0.25">
      <c r="A3881" s="5" t="s">
        <v>69</v>
      </c>
      <c r="B3881" s="5" t="s">
        <v>110</v>
      </c>
      <c r="C3881" s="5" t="s">
        <v>4353</v>
      </c>
      <c r="D3881" s="3">
        <f>VLOOKUP(A3881,airports!A:H,7,FALSE)</f>
        <v>40.639751109999999</v>
      </c>
      <c r="E3881" s="3">
        <f>VLOOKUP(A3881,airports!A:H,8,FALSE)</f>
        <v>-73.778925560000005</v>
      </c>
      <c r="F3881" s="3">
        <f>VLOOKUP(B3881,airports!A:H,7,FALSE)</f>
        <v>18.008302780000001</v>
      </c>
      <c r="G3881" s="3">
        <f>VLOOKUP(B3881,airports!A:H,8,FALSE)</f>
        <v>-66.563011939999996</v>
      </c>
      <c r="H3881">
        <f t="shared" si="120"/>
        <v>2609.5</v>
      </c>
      <c r="I3881">
        <f t="shared" si="121"/>
        <v>1621.6</v>
      </c>
    </row>
    <row r="3882" spans="1:9" x14ac:dyDescent="0.25">
      <c r="A3882" s="5" t="s">
        <v>69</v>
      </c>
      <c r="B3882" s="5" t="s">
        <v>111</v>
      </c>
      <c r="C3882" s="5" t="s">
        <v>4354</v>
      </c>
      <c r="D3882" s="3">
        <f>VLOOKUP(A3882,airports!A:H,7,FALSE)</f>
        <v>40.639751109999999</v>
      </c>
      <c r="E3882" s="3">
        <f>VLOOKUP(A3882,airports!A:H,8,FALSE)</f>
        <v>-73.778925560000005</v>
      </c>
      <c r="F3882" s="3">
        <f>VLOOKUP(B3882,airports!A:H,7,FALSE)</f>
        <v>33.829215560000002</v>
      </c>
      <c r="G3882" s="3">
        <f>VLOOKUP(B3882,airports!A:H,8,FALSE)</f>
        <v>-116.5062531</v>
      </c>
      <c r="H3882">
        <f t="shared" si="120"/>
        <v>3819.1</v>
      </c>
      <c r="I3882">
        <f t="shared" si="121"/>
        <v>2373.1999999999998</v>
      </c>
    </row>
    <row r="3883" spans="1:9" ht="30" x14ac:dyDescent="0.25">
      <c r="A3883" s="5" t="s">
        <v>69</v>
      </c>
      <c r="B3883" s="5" t="s">
        <v>117</v>
      </c>
      <c r="C3883" s="5" t="s">
        <v>4355</v>
      </c>
      <c r="D3883" s="3">
        <f>VLOOKUP(A3883,airports!A:H,7,FALSE)</f>
        <v>40.639751109999999</v>
      </c>
      <c r="E3883" s="3">
        <f>VLOOKUP(A3883,airports!A:H,8,FALSE)</f>
        <v>-73.778925560000005</v>
      </c>
      <c r="F3883" s="3">
        <f>VLOOKUP(B3883,airports!A:H,7,FALSE)</f>
        <v>43.646166669999999</v>
      </c>
      <c r="G3883" s="3">
        <f>VLOOKUP(B3883,airports!A:H,8,FALSE)</f>
        <v>-70.308750000000003</v>
      </c>
      <c r="H3883">
        <f t="shared" si="120"/>
        <v>439.9</v>
      </c>
      <c r="I3883">
        <f t="shared" si="121"/>
        <v>273.39999999999998</v>
      </c>
    </row>
    <row r="3884" spans="1:9" x14ac:dyDescent="0.25">
      <c r="A3884" s="5" t="s">
        <v>69</v>
      </c>
      <c r="B3884" s="5" t="s">
        <v>119</v>
      </c>
      <c r="C3884" s="5" t="s">
        <v>4356</v>
      </c>
      <c r="D3884" s="3">
        <f>VLOOKUP(A3884,airports!A:H,7,FALSE)</f>
        <v>40.639751109999999</v>
      </c>
      <c r="E3884" s="3">
        <f>VLOOKUP(A3884,airports!A:H,8,FALSE)</f>
        <v>-73.778925560000005</v>
      </c>
      <c r="F3884" s="3">
        <f>VLOOKUP(B3884,airports!A:H,7,FALSE)</f>
        <v>35.87763889</v>
      </c>
      <c r="G3884" s="3">
        <f>VLOOKUP(B3884,airports!A:H,8,FALSE)</f>
        <v>-78.787472219999998</v>
      </c>
      <c r="H3884">
        <f t="shared" si="120"/>
        <v>686.5</v>
      </c>
      <c r="I3884">
        <f t="shared" si="121"/>
        <v>426.6</v>
      </c>
    </row>
    <row r="3885" spans="1:9" x14ac:dyDescent="0.25">
      <c r="A3885" s="5" t="s">
        <v>69</v>
      </c>
      <c r="B3885" s="5" t="s">
        <v>120</v>
      </c>
      <c r="C3885" s="5" t="s">
        <v>4357</v>
      </c>
      <c r="D3885" s="3">
        <f>VLOOKUP(A3885,airports!A:H,7,FALSE)</f>
        <v>40.639751109999999</v>
      </c>
      <c r="E3885" s="3">
        <f>VLOOKUP(A3885,airports!A:H,8,FALSE)</f>
        <v>-73.778925560000005</v>
      </c>
      <c r="F3885" s="3">
        <f>VLOOKUP(B3885,airports!A:H,7,FALSE)</f>
        <v>37.505166670000001</v>
      </c>
      <c r="G3885" s="3">
        <f>VLOOKUP(B3885,airports!A:H,8,FALSE)</f>
        <v>-77.319666670000004</v>
      </c>
      <c r="H3885">
        <f t="shared" si="120"/>
        <v>463.5</v>
      </c>
      <c r="I3885">
        <f t="shared" si="121"/>
        <v>288</v>
      </c>
    </row>
    <row r="3886" spans="1:9" ht="30" x14ac:dyDescent="0.25">
      <c r="A3886" s="5" t="s">
        <v>69</v>
      </c>
      <c r="B3886" s="5" t="s">
        <v>121</v>
      </c>
      <c r="C3886" s="5" t="s">
        <v>4358</v>
      </c>
      <c r="D3886" s="3">
        <f>VLOOKUP(A3886,airports!A:H,7,FALSE)</f>
        <v>40.639751109999999</v>
      </c>
      <c r="E3886" s="3">
        <f>VLOOKUP(A3886,airports!A:H,8,FALSE)</f>
        <v>-73.778925560000005</v>
      </c>
      <c r="F3886" s="3">
        <f>VLOOKUP(B3886,airports!A:H,7,FALSE)</f>
        <v>39.498576110000002</v>
      </c>
      <c r="G3886" s="3">
        <f>VLOOKUP(B3886,airports!A:H,8,FALSE)</f>
        <v>-119.7680647</v>
      </c>
      <c r="H3886">
        <f t="shared" si="120"/>
        <v>3870.2</v>
      </c>
      <c r="I3886">
        <f t="shared" si="121"/>
        <v>2405</v>
      </c>
    </row>
    <row r="3887" spans="1:9" x14ac:dyDescent="0.25">
      <c r="A3887" s="5" t="s">
        <v>69</v>
      </c>
      <c r="B3887" s="5" t="s">
        <v>122</v>
      </c>
      <c r="C3887" s="5" t="s">
        <v>4359</v>
      </c>
      <c r="D3887" s="3">
        <f>VLOOKUP(A3887,airports!A:H,7,FALSE)</f>
        <v>40.639751109999999</v>
      </c>
      <c r="E3887" s="3">
        <f>VLOOKUP(A3887,airports!A:H,8,FALSE)</f>
        <v>-73.778925560000005</v>
      </c>
      <c r="F3887" s="3">
        <f>VLOOKUP(B3887,airports!A:H,7,FALSE)</f>
        <v>43.118866109999999</v>
      </c>
      <c r="G3887" s="3">
        <f>VLOOKUP(B3887,airports!A:H,8,FALSE)</f>
        <v>-77.672383890000006</v>
      </c>
      <c r="H3887">
        <f t="shared" si="120"/>
        <v>424.1</v>
      </c>
      <c r="I3887">
        <f t="shared" si="121"/>
        <v>263.5</v>
      </c>
    </row>
    <row r="3888" spans="1:9" ht="30" x14ac:dyDescent="0.25">
      <c r="A3888" s="5" t="s">
        <v>69</v>
      </c>
      <c r="B3888" s="5" t="s">
        <v>123</v>
      </c>
      <c r="C3888" s="5" t="s">
        <v>4360</v>
      </c>
      <c r="D3888" s="3">
        <f>VLOOKUP(A3888,airports!A:H,7,FALSE)</f>
        <v>40.639751109999999</v>
      </c>
      <c r="E3888" s="3">
        <f>VLOOKUP(A3888,airports!A:H,8,FALSE)</f>
        <v>-73.778925560000005</v>
      </c>
      <c r="F3888" s="3">
        <f>VLOOKUP(B3888,airports!A:H,7,FALSE)</f>
        <v>26.53616667</v>
      </c>
      <c r="G3888" s="3">
        <f>VLOOKUP(B3888,airports!A:H,8,FALSE)</f>
        <v>-81.755166669999994</v>
      </c>
      <c r="H3888">
        <f t="shared" si="120"/>
        <v>1731.6</v>
      </c>
      <c r="I3888">
        <f t="shared" si="121"/>
        <v>1076.0999999999999</v>
      </c>
    </row>
    <row r="3889" spans="1:9" x14ac:dyDescent="0.25">
      <c r="A3889" s="5" t="s">
        <v>69</v>
      </c>
      <c r="B3889" s="5" t="s">
        <v>124</v>
      </c>
      <c r="C3889" s="5" t="s">
        <v>4361</v>
      </c>
      <c r="D3889" s="3">
        <f>VLOOKUP(A3889,airports!A:H,7,FALSE)</f>
        <v>40.639751109999999</v>
      </c>
      <c r="E3889" s="3">
        <f>VLOOKUP(A3889,airports!A:H,8,FALSE)</f>
        <v>-73.778925560000005</v>
      </c>
      <c r="F3889" s="3">
        <f>VLOOKUP(B3889,airports!A:H,7,FALSE)</f>
        <v>32.733556110000002</v>
      </c>
      <c r="G3889" s="3">
        <f>VLOOKUP(B3889,airports!A:H,8,FALSE)</f>
        <v>-117.1896567</v>
      </c>
      <c r="H3889">
        <f t="shared" si="120"/>
        <v>3928</v>
      </c>
      <c r="I3889">
        <f t="shared" si="121"/>
        <v>2440.9</v>
      </c>
    </row>
    <row r="3890" spans="1:9" x14ac:dyDescent="0.25">
      <c r="A3890" s="5" t="s">
        <v>69</v>
      </c>
      <c r="B3890" s="5" t="s">
        <v>125</v>
      </c>
      <c r="C3890" s="5" t="s">
        <v>4362</v>
      </c>
      <c r="D3890" s="3">
        <f>VLOOKUP(A3890,airports!A:H,7,FALSE)</f>
        <v>40.639751109999999</v>
      </c>
      <c r="E3890" s="3">
        <f>VLOOKUP(A3890,airports!A:H,8,FALSE)</f>
        <v>-73.778925560000005</v>
      </c>
      <c r="F3890" s="3">
        <f>VLOOKUP(B3890,airports!A:H,7,FALSE)</f>
        <v>29.533694440000001</v>
      </c>
      <c r="G3890" s="3">
        <f>VLOOKUP(B3890,airports!A:H,8,FALSE)</f>
        <v>-98.469777780000001</v>
      </c>
      <c r="H3890">
        <f t="shared" si="120"/>
        <v>2550.8000000000002</v>
      </c>
      <c r="I3890">
        <f t="shared" si="121"/>
        <v>1585.1</v>
      </c>
    </row>
    <row r="3891" spans="1:9" x14ac:dyDescent="0.25">
      <c r="A3891" s="5" t="s">
        <v>69</v>
      </c>
      <c r="B3891" s="5" t="s">
        <v>126</v>
      </c>
      <c r="C3891" s="5" t="s">
        <v>4363</v>
      </c>
      <c r="D3891" s="3">
        <f>VLOOKUP(A3891,airports!A:H,7,FALSE)</f>
        <v>40.639751109999999</v>
      </c>
      <c r="E3891" s="3">
        <f>VLOOKUP(A3891,airports!A:H,8,FALSE)</f>
        <v>-73.778925560000005</v>
      </c>
      <c r="F3891" s="3">
        <f>VLOOKUP(B3891,airports!A:H,7,FALSE)</f>
        <v>32.12758333</v>
      </c>
      <c r="G3891" s="3">
        <f>VLOOKUP(B3891,airports!A:H,8,FALSE)</f>
        <v>-81.202138890000001</v>
      </c>
      <c r="H3891">
        <f t="shared" si="120"/>
        <v>1155.5</v>
      </c>
      <c r="I3891">
        <f t="shared" si="121"/>
        <v>718</v>
      </c>
    </row>
    <row r="3892" spans="1:9" x14ac:dyDescent="0.25">
      <c r="A3892" s="5" t="s">
        <v>69</v>
      </c>
      <c r="B3892" s="5" t="s">
        <v>128</v>
      </c>
      <c r="C3892" s="5" t="s">
        <v>4364</v>
      </c>
      <c r="D3892" s="3">
        <f>VLOOKUP(A3892,airports!A:H,7,FALSE)</f>
        <v>40.639751109999999</v>
      </c>
      <c r="E3892" s="3">
        <f>VLOOKUP(A3892,airports!A:H,8,FALSE)</f>
        <v>-73.778925560000005</v>
      </c>
      <c r="F3892" s="3">
        <f>VLOOKUP(B3892,airports!A:H,7,FALSE)</f>
        <v>47.448981940000003</v>
      </c>
      <c r="G3892" s="3">
        <f>VLOOKUP(B3892,airports!A:H,8,FALSE)</f>
        <v>-122.3093131</v>
      </c>
      <c r="H3892">
        <f t="shared" si="120"/>
        <v>3886.7</v>
      </c>
      <c r="I3892">
        <f t="shared" si="121"/>
        <v>2415.1999999999998</v>
      </c>
    </row>
    <row r="3893" spans="1:9" x14ac:dyDescent="0.25">
      <c r="A3893" s="5" t="s">
        <v>69</v>
      </c>
      <c r="B3893" s="5" t="s">
        <v>130</v>
      </c>
      <c r="C3893" s="5" t="s">
        <v>4365</v>
      </c>
      <c r="D3893" s="3">
        <f>VLOOKUP(A3893,airports!A:H,7,FALSE)</f>
        <v>40.639751109999999</v>
      </c>
      <c r="E3893" s="3">
        <f>VLOOKUP(A3893,airports!A:H,8,FALSE)</f>
        <v>-73.778925560000005</v>
      </c>
      <c r="F3893" s="3">
        <f>VLOOKUP(B3893,airports!A:H,7,FALSE)</f>
        <v>37.619001939999997</v>
      </c>
      <c r="G3893" s="3">
        <f>VLOOKUP(B3893,airports!A:H,8,FALSE)</f>
        <v>-122.37484329999999</v>
      </c>
      <c r="H3893">
        <f t="shared" si="120"/>
        <v>4151.8</v>
      </c>
      <c r="I3893">
        <f t="shared" si="121"/>
        <v>2580</v>
      </c>
    </row>
    <row r="3894" spans="1:9" x14ac:dyDescent="0.25">
      <c r="A3894" s="5" t="s">
        <v>69</v>
      </c>
      <c r="B3894" s="5" t="s">
        <v>131</v>
      </c>
      <c r="C3894" s="5" t="s">
        <v>4366</v>
      </c>
      <c r="D3894" s="3">
        <f>VLOOKUP(A3894,airports!A:H,7,FALSE)</f>
        <v>40.639751109999999</v>
      </c>
      <c r="E3894" s="3">
        <f>VLOOKUP(A3894,airports!A:H,8,FALSE)</f>
        <v>-73.778925560000005</v>
      </c>
      <c r="F3894" s="3">
        <f>VLOOKUP(B3894,airports!A:H,7,FALSE)</f>
        <v>37.361861939999997</v>
      </c>
      <c r="G3894" s="3">
        <f>VLOOKUP(B3894,airports!A:H,8,FALSE)</f>
        <v>-121.9290089</v>
      </c>
      <c r="H3894">
        <f t="shared" si="120"/>
        <v>4124.8</v>
      </c>
      <c r="I3894">
        <f t="shared" si="121"/>
        <v>2563.1999999999998</v>
      </c>
    </row>
    <row r="3895" spans="1:9" x14ac:dyDescent="0.25">
      <c r="A3895" s="5" t="s">
        <v>69</v>
      </c>
      <c r="B3895" s="5" t="s">
        <v>134</v>
      </c>
      <c r="C3895" s="5" t="s">
        <v>4367</v>
      </c>
      <c r="D3895" s="3">
        <f>VLOOKUP(A3895,airports!A:H,7,FALSE)</f>
        <v>40.639751109999999</v>
      </c>
      <c r="E3895" s="3">
        <f>VLOOKUP(A3895,airports!A:H,8,FALSE)</f>
        <v>-73.778925560000005</v>
      </c>
      <c r="F3895" s="3">
        <f>VLOOKUP(B3895,airports!A:H,7,FALSE)</f>
        <v>18.43941667</v>
      </c>
      <c r="G3895" s="3">
        <f>VLOOKUP(B3895,airports!A:H,8,FALSE)</f>
        <v>-66.001833329999997</v>
      </c>
      <c r="H3895">
        <f t="shared" si="120"/>
        <v>2577.9</v>
      </c>
      <c r="I3895">
        <f t="shared" si="121"/>
        <v>1601.9</v>
      </c>
    </row>
    <row r="3896" spans="1:9" x14ac:dyDescent="0.25">
      <c r="A3896" s="5" t="s">
        <v>69</v>
      </c>
      <c r="B3896" s="5" t="s">
        <v>135</v>
      </c>
      <c r="C3896" s="5" t="s">
        <v>4368</v>
      </c>
      <c r="D3896" s="3">
        <f>VLOOKUP(A3896,airports!A:H,7,FALSE)</f>
        <v>40.639751109999999</v>
      </c>
      <c r="E3896" s="3">
        <f>VLOOKUP(A3896,airports!A:H,8,FALSE)</f>
        <v>-73.778925560000005</v>
      </c>
      <c r="F3896" s="3">
        <f>VLOOKUP(B3896,airports!A:H,7,FALSE)</f>
        <v>40.788387780000001</v>
      </c>
      <c r="G3896" s="3">
        <f>VLOOKUP(B3896,airports!A:H,8,FALSE)</f>
        <v>-111.97777309999999</v>
      </c>
      <c r="H3896">
        <f t="shared" si="120"/>
        <v>3193.6</v>
      </c>
      <c r="I3896">
        <f t="shared" si="121"/>
        <v>1984.5</v>
      </c>
    </row>
    <row r="3897" spans="1:9" x14ac:dyDescent="0.25">
      <c r="A3897" s="5" t="s">
        <v>69</v>
      </c>
      <c r="B3897" s="5" t="s">
        <v>137</v>
      </c>
      <c r="C3897" s="5" t="s">
        <v>4369</v>
      </c>
      <c r="D3897" s="3">
        <f>VLOOKUP(A3897,airports!A:H,7,FALSE)</f>
        <v>40.639751109999999</v>
      </c>
      <c r="E3897" s="3">
        <f>VLOOKUP(A3897,airports!A:H,8,FALSE)</f>
        <v>-73.778925560000005</v>
      </c>
      <c r="F3897" s="3">
        <f>VLOOKUP(B3897,airports!A:H,7,FALSE)</f>
        <v>38.695421670000002</v>
      </c>
      <c r="G3897" s="3">
        <f>VLOOKUP(B3897,airports!A:H,8,FALSE)</f>
        <v>-121.59076690000001</v>
      </c>
      <c r="H3897">
        <f t="shared" si="120"/>
        <v>4047.3</v>
      </c>
      <c r="I3897">
        <f t="shared" si="121"/>
        <v>2515</v>
      </c>
    </row>
    <row r="3898" spans="1:9" x14ac:dyDescent="0.25">
      <c r="A3898" s="5" t="s">
        <v>69</v>
      </c>
      <c r="B3898" s="5" t="s">
        <v>227</v>
      </c>
      <c r="C3898" s="5" t="s">
        <v>4370</v>
      </c>
      <c r="D3898" s="3">
        <f>VLOOKUP(A3898,airports!A:H,7,FALSE)</f>
        <v>40.639751109999999</v>
      </c>
      <c r="E3898" s="3">
        <f>VLOOKUP(A3898,airports!A:H,8,FALSE)</f>
        <v>-73.778925560000005</v>
      </c>
      <c r="F3898" s="3">
        <f>VLOOKUP(B3898,airports!A:H,7,FALSE)</f>
        <v>33.675658609999999</v>
      </c>
      <c r="G3898" s="3">
        <f>VLOOKUP(B3898,airports!A:H,8,FALSE)</f>
        <v>-117.8682225</v>
      </c>
      <c r="H3898">
        <f t="shared" si="120"/>
        <v>3940.9</v>
      </c>
      <c r="I3898">
        <f t="shared" si="121"/>
        <v>2448.9</v>
      </c>
    </row>
    <row r="3899" spans="1:9" x14ac:dyDescent="0.25">
      <c r="A3899" s="5" t="s">
        <v>69</v>
      </c>
      <c r="B3899" s="5" t="s">
        <v>138</v>
      </c>
      <c r="C3899" s="5" t="s">
        <v>4371</v>
      </c>
      <c r="D3899" s="3">
        <f>VLOOKUP(A3899,airports!A:H,7,FALSE)</f>
        <v>40.639751109999999</v>
      </c>
      <c r="E3899" s="3">
        <f>VLOOKUP(A3899,airports!A:H,8,FALSE)</f>
        <v>-73.778925560000005</v>
      </c>
      <c r="F3899" s="3">
        <f>VLOOKUP(B3899,airports!A:H,7,FALSE)</f>
        <v>27.39533333</v>
      </c>
      <c r="G3899" s="3">
        <f>VLOOKUP(B3899,airports!A:H,8,FALSE)</f>
        <v>-82.554111109999994</v>
      </c>
      <c r="H3899">
        <f t="shared" si="120"/>
        <v>1678</v>
      </c>
      <c r="I3899">
        <f t="shared" si="121"/>
        <v>1042.7</v>
      </c>
    </row>
    <row r="3900" spans="1:9" x14ac:dyDescent="0.25">
      <c r="A3900" s="5" t="s">
        <v>69</v>
      </c>
      <c r="B3900" s="5" t="s">
        <v>140</v>
      </c>
      <c r="C3900" s="5" t="s">
        <v>4372</v>
      </c>
      <c r="D3900" s="3">
        <f>VLOOKUP(A3900,airports!A:H,7,FALSE)</f>
        <v>40.639751109999999</v>
      </c>
      <c r="E3900" s="3">
        <f>VLOOKUP(A3900,airports!A:H,8,FALSE)</f>
        <v>-73.778925560000005</v>
      </c>
      <c r="F3900" s="3">
        <f>VLOOKUP(B3900,airports!A:H,7,FALSE)</f>
        <v>18.337305560000001</v>
      </c>
      <c r="G3900" s="3">
        <f>VLOOKUP(B3900,airports!A:H,8,FALSE)</f>
        <v>-64.973361109999999</v>
      </c>
      <c r="H3900">
        <f t="shared" si="120"/>
        <v>2618.8000000000002</v>
      </c>
      <c r="I3900">
        <f t="shared" si="121"/>
        <v>1627.3</v>
      </c>
    </row>
    <row r="3901" spans="1:9" x14ac:dyDescent="0.25">
      <c r="A3901" s="5" t="s">
        <v>69</v>
      </c>
      <c r="B3901" s="5" t="s">
        <v>144</v>
      </c>
      <c r="C3901" s="5" t="s">
        <v>4373</v>
      </c>
      <c r="D3901" s="3">
        <f>VLOOKUP(A3901,airports!A:H,7,FALSE)</f>
        <v>40.639751109999999</v>
      </c>
      <c r="E3901" s="3">
        <f>VLOOKUP(A3901,airports!A:H,8,FALSE)</f>
        <v>-73.778925560000005</v>
      </c>
      <c r="F3901" s="3">
        <f>VLOOKUP(B3901,airports!A:H,7,FALSE)</f>
        <v>43.111186940000003</v>
      </c>
      <c r="G3901" s="3">
        <f>VLOOKUP(B3901,airports!A:H,8,FALSE)</f>
        <v>-76.106310559999997</v>
      </c>
      <c r="H3901">
        <f t="shared" si="120"/>
        <v>335.6</v>
      </c>
      <c r="I3901">
        <f t="shared" si="121"/>
        <v>208.5</v>
      </c>
    </row>
    <row r="3902" spans="1:9" x14ac:dyDescent="0.25">
      <c r="A3902" s="5" t="s">
        <v>69</v>
      </c>
      <c r="B3902" s="5" t="s">
        <v>145</v>
      </c>
      <c r="C3902" s="5" t="s">
        <v>4374</v>
      </c>
      <c r="D3902" s="3">
        <f>VLOOKUP(A3902,airports!A:H,7,FALSE)</f>
        <v>40.639751109999999</v>
      </c>
      <c r="E3902" s="3">
        <f>VLOOKUP(A3902,airports!A:H,8,FALSE)</f>
        <v>-73.778925560000005</v>
      </c>
      <c r="F3902" s="3">
        <f>VLOOKUP(B3902,airports!A:H,7,FALSE)</f>
        <v>27.97547222</v>
      </c>
      <c r="G3902" s="3">
        <f>VLOOKUP(B3902,airports!A:H,8,FALSE)</f>
        <v>-82.533249999999995</v>
      </c>
      <c r="H3902">
        <f t="shared" si="120"/>
        <v>1619.5</v>
      </c>
      <c r="I3902">
        <f t="shared" si="121"/>
        <v>1006.4</v>
      </c>
    </row>
    <row r="3903" spans="1:9" ht="30" x14ac:dyDescent="0.25">
      <c r="A3903" s="5" t="s">
        <v>3656</v>
      </c>
      <c r="B3903" s="5" t="s">
        <v>360</v>
      </c>
      <c r="C3903" s="5" t="s">
        <v>4375</v>
      </c>
      <c r="D3903" s="3">
        <f>VLOOKUP(A3903,airports!A:H,7,FALSE)</f>
        <v>20.962900000000001</v>
      </c>
      <c r="E3903" s="3">
        <f>VLOOKUP(A3903,airports!A:H,8,FALSE)</f>
        <v>-156.67300399999999</v>
      </c>
      <c r="F3903" s="3">
        <f>VLOOKUP(B3903,airports!A:H,7,FALSE)</f>
        <v>21.31869111</v>
      </c>
      <c r="G3903" s="3">
        <f>VLOOKUP(B3903,airports!A:H,8,FALSE)</f>
        <v>-157.92240720000001</v>
      </c>
      <c r="H3903">
        <f t="shared" si="120"/>
        <v>135.5</v>
      </c>
      <c r="I3903">
        <f t="shared" si="121"/>
        <v>84.2</v>
      </c>
    </row>
    <row r="3904" spans="1:9" ht="30" x14ac:dyDescent="0.25">
      <c r="A3904" s="5" t="s">
        <v>3656</v>
      </c>
      <c r="B3904" s="5" t="s">
        <v>371</v>
      </c>
      <c r="C3904" s="5" t="s">
        <v>4376</v>
      </c>
      <c r="D3904" s="3">
        <f>VLOOKUP(A3904,airports!A:H,7,FALSE)</f>
        <v>20.962900000000001</v>
      </c>
      <c r="E3904" s="3">
        <f>VLOOKUP(A3904,airports!A:H,8,FALSE)</f>
        <v>-156.67300399999999</v>
      </c>
      <c r="F3904" s="3">
        <f>VLOOKUP(B3904,airports!A:H,7,FALSE)</f>
        <v>20.898649720000002</v>
      </c>
      <c r="G3904" s="3">
        <f>VLOOKUP(B3904,airports!A:H,8,FALSE)</f>
        <v>-156.4304578</v>
      </c>
      <c r="H3904">
        <f t="shared" si="120"/>
        <v>26.2</v>
      </c>
      <c r="I3904">
        <f t="shared" si="121"/>
        <v>16.3</v>
      </c>
    </row>
    <row r="3905" spans="1:9" ht="30" x14ac:dyDescent="0.25">
      <c r="A3905" s="5" t="s">
        <v>2407</v>
      </c>
      <c r="B3905" s="5" t="s">
        <v>47</v>
      </c>
      <c r="C3905" s="5" t="s">
        <v>4377</v>
      </c>
      <c r="D3905" s="3">
        <f>VLOOKUP(A3905,airports!A:H,7,FALSE)</f>
        <v>37.151813609999998</v>
      </c>
      <c r="E3905" s="3">
        <f>VLOOKUP(A3905,airports!A:H,8,FALSE)</f>
        <v>-94.498268330000002</v>
      </c>
      <c r="F3905" s="3">
        <f>VLOOKUP(B3905,airports!A:H,7,FALSE)</f>
        <v>39.858408060000002</v>
      </c>
      <c r="G3905" s="3">
        <f>VLOOKUP(B3905,airports!A:H,8,FALSE)</f>
        <v>-104.6670019</v>
      </c>
      <c r="H3905">
        <f t="shared" si="120"/>
        <v>934</v>
      </c>
      <c r="I3905">
        <f t="shared" si="121"/>
        <v>580.4</v>
      </c>
    </row>
    <row r="3906" spans="1:9" ht="30" x14ac:dyDescent="0.25">
      <c r="A3906" s="5" t="s">
        <v>2407</v>
      </c>
      <c r="B3906" s="5" t="s">
        <v>49</v>
      </c>
      <c r="C3906" s="5" t="s">
        <v>4378</v>
      </c>
      <c r="D3906" s="3">
        <f>VLOOKUP(A3906,airports!A:H,7,FALSE)</f>
        <v>37.151813609999998</v>
      </c>
      <c r="E3906" s="3">
        <f>VLOOKUP(A3906,airports!A:H,8,FALSE)</f>
        <v>-94.498268330000002</v>
      </c>
      <c r="F3906" s="3">
        <f>VLOOKUP(B3906,airports!A:H,7,FALSE)</f>
        <v>32.895950560000003</v>
      </c>
      <c r="G3906" s="3">
        <f>VLOOKUP(B3906,airports!A:H,8,FALSE)</f>
        <v>-97.037199999999999</v>
      </c>
      <c r="H3906">
        <f t="shared" si="120"/>
        <v>526.6</v>
      </c>
      <c r="I3906">
        <f t="shared" si="121"/>
        <v>327.2</v>
      </c>
    </row>
    <row r="3907" spans="1:9" x14ac:dyDescent="0.25">
      <c r="A3907" s="5" t="s">
        <v>2407</v>
      </c>
      <c r="B3907" s="5" t="s">
        <v>67</v>
      </c>
      <c r="C3907" s="5" t="s">
        <v>4379</v>
      </c>
      <c r="D3907" s="3">
        <f>VLOOKUP(A3907,airports!A:H,7,FALSE)</f>
        <v>37.151813609999998</v>
      </c>
      <c r="E3907" s="3">
        <f>VLOOKUP(A3907,airports!A:H,8,FALSE)</f>
        <v>-94.498268330000002</v>
      </c>
      <c r="F3907" s="3">
        <f>VLOOKUP(B3907,airports!A:H,7,FALSE)</f>
        <v>29.980472219999999</v>
      </c>
      <c r="G3907" s="3">
        <f>VLOOKUP(B3907,airports!A:H,8,FALSE)</f>
        <v>-95.339722219999999</v>
      </c>
      <c r="H3907">
        <f t="shared" si="120"/>
        <v>801.2</v>
      </c>
      <c r="I3907">
        <f t="shared" si="121"/>
        <v>497.9</v>
      </c>
    </row>
    <row r="3908" spans="1:9" ht="30" x14ac:dyDescent="0.25">
      <c r="A3908" s="5" t="s">
        <v>2407</v>
      </c>
      <c r="B3908" s="5" t="s">
        <v>95</v>
      </c>
      <c r="C3908" s="5" t="s">
        <v>4380</v>
      </c>
      <c r="D3908" s="3">
        <f>VLOOKUP(A3908,airports!A:H,7,FALSE)</f>
        <v>37.151813609999998</v>
      </c>
      <c r="E3908" s="3">
        <f>VLOOKUP(A3908,airports!A:H,8,FALSE)</f>
        <v>-94.498268330000002</v>
      </c>
      <c r="F3908" s="3">
        <f>VLOOKUP(B3908,airports!A:H,7,FALSE)</f>
        <v>41.979595000000003</v>
      </c>
      <c r="G3908" s="3">
        <f>VLOOKUP(B3908,airports!A:H,8,FALSE)</f>
        <v>-87.904464169999997</v>
      </c>
      <c r="H3908">
        <f t="shared" ref="H3908:H3971" si="122">ROUND(ACOS(COS(RADIANS(90-D3908)) * COS(RADIANS(90-F3908)) + SIN(RADIANS(90-D3908)) * SIN(RADIANS(90-F3908)) * COS(RADIANS(E3908-G3908))) * 6371,1)</f>
        <v>779.1</v>
      </c>
      <c r="I3908">
        <f t="shared" ref="I3908:I3971" si="123">ROUND(ACOS(COS(RADIANS(90-D3908)) * COS(RADIANS(90-F3908)) + SIN(RADIANS(90-D3908)) * SIN(RADIANS(90-F3908)) * COS(RADIANS(E3908-G3908))) * 3959,1)</f>
        <v>484.1</v>
      </c>
    </row>
    <row r="3909" spans="1:9" ht="30" x14ac:dyDescent="0.25">
      <c r="A3909" s="5" t="s">
        <v>2409</v>
      </c>
      <c r="B3909" s="5" t="s">
        <v>47</v>
      </c>
      <c r="C3909" s="5" t="s">
        <v>4381</v>
      </c>
      <c r="D3909" s="3">
        <f>VLOOKUP(A3909,airports!A:H,7,FALSE)</f>
        <v>46.92971944</v>
      </c>
      <c r="E3909" s="3">
        <f>VLOOKUP(A3909,airports!A:H,8,FALSE)</f>
        <v>-98.678195279999997</v>
      </c>
      <c r="F3909" s="3">
        <f>VLOOKUP(B3909,airports!A:H,7,FALSE)</f>
        <v>39.858408060000002</v>
      </c>
      <c r="G3909" s="3">
        <f>VLOOKUP(B3909,airports!A:H,8,FALSE)</f>
        <v>-104.6670019</v>
      </c>
      <c r="H3909">
        <f t="shared" si="122"/>
        <v>922.6</v>
      </c>
      <c r="I3909">
        <f t="shared" si="123"/>
        <v>573.29999999999995</v>
      </c>
    </row>
    <row r="3910" spans="1:9" ht="30" x14ac:dyDescent="0.25">
      <c r="A3910" s="5" t="s">
        <v>2409</v>
      </c>
      <c r="B3910" s="5" t="s">
        <v>2354</v>
      </c>
      <c r="C3910" s="5" t="s">
        <v>4382</v>
      </c>
      <c r="D3910" s="3">
        <f>VLOOKUP(A3910,airports!A:H,7,FALSE)</f>
        <v>46.92971944</v>
      </c>
      <c r="E3910" s="3">
        <f>VLOOKUP(A3910,airports!A:H,8,FALSE)</f>
        <v>-98.678195279999997</v>
      </c>
      <c r="F3910" s="3">
        <f>VLOOKUP(B3910,airports!A:H,7,FALSE)</f>
        <v>48.114245279999999</v>
      </c>
      <c r="G3910" s="3">
        <f>VLOOKUP(B3910,airports!A:H,8,FALSE)</f>
        <v>-98.908778330000004</v>
      </c>
      <c r="H3910">
        <f t="shared" si="122"/>
        <v>132.80000000000001</v>
      </c>
      <c r="I3910">
        <f t="shared" si="123"/>
        <v>82.6</v>
      </c>
    </row>
    <row r="3911" spans="1:9" ht="30" x14ac:dyDescent="0.25">
      <c r="A3911" s="5" t="s">
        <v>364</v>
      </c>
      <c r="B3911" s="5" t="s">
        <v>265</v>
      </c>
      <c r="C3911" s="5" t="s">
        <v>4383</v>
      </c>
      <c r="D3911" s="3">
        <f>VLOOKUP(A3911,airports!A:H,7,FALSE)</f>
        <v>58.354961940000003</v>
      </c>
      <c r="E3911" s="3">
        <f>VLOOKUP(A3911,airports!A:H,8,FALSE)</f>
        <v>-134.57627640000001</v>
      </c>
      <c r="F3911" s="3">
        <f>VLOOKUP(B3911,airports!A:H,7,FALSE)</f>
        <v>61.174320280000003</v>
      </c>
      <c r="G3911" s="3">
        <f>VLOOKUP(B3911,airports!A:H,8,FALSE)</f>
        <v>-149.99618559999999</v>
      </c>
      <c r="H3911">
        <f t="shared" si="122"/>
        <v>915.9</v>
      </c>
      <c r="I3911">
        <f t="shared" si="123"/>
        <v>569.20000000000005</v>
      </c>
    </row>
    <row r="3912" spans="1:9" ht="30" x14ac:dyDescent="0.25">
      <c r="A3912" s="5" t="s">
        <v>364</v>
      </c>
      <c r="B3912" s="5" t="s">
        <v>3571</v>
      </c>
      <c r="C3912" s="5" t="s">
        <v>4384</v>
      </c>
      <c r="D3912" s="3">
        <f>VLOOKUP(A3912,airports!A:H,7,FALSE)</f>
        <v>58.354961940000003</v>
      </c>
      <c r="E3912" s="3">
        <f>VLOOKUP(A3912,airports!A:H,8,FALSE)</f>
        <v>-134.57627640000001</v>
      </c>
      <c r="F3912" s="3">
        <f>VLOOKUP(B3912,airports!A:H,7,FALSE)</f>
        <v>58.424381390000001</v>
      </c>
      <c r="G3912" s="3">
        <f>VLOOKUP(B3912,airports!A:H,8,FALSE)</f>
        <v>-135.7073814</v>
      </c>
      <c r="H3912">
        <f t="shared" si="122"/>
        <v>66.400000000000006</v>
      </c>
      <c r="I3912">
        <f t="shared" si="123"/>
        <v>41.2</v>
      </c>
    </row>
    <row r="3913" spans="1:9" ht="30" x14ac:dyDescent="0.25">
      <c r="A3913" s="5" t="s">
        <v>364</v>
      </c>
      <c r="B3913" s="5" t="s">
        <v>4385</v>
      </c>
      <c r="C3913" s="5" t="s">
        <v>4386</v>
      </c>
      <c r="D3913" s="3">
        <f>VLOOKUP(A3913,airports!A:H,7,FALSE)</f>
        <v>58.354961940000003</v>
      </c>
      <c r="E3913" s="3">
        <f>VLOOKUP(A3913,airports!A:H,8,FALSE)</f>
        <v>-134.57627640000001</v>
      </c>
      <c r="F3913" s="3">
        <f>VLOOKUP(B3913,airports!A:H,7,FALSE)</f>
        <v>55.355568609999999</v>
      </c>
      <c r="G3913" s="3">
        <f>VLOOKUP(B3913,airports!A:H,8,FALSE)</f>
        <v>-131.71374</v>
      </c>
      <c r="H3913">
        <f t="shared" si="122"/>
        <v>376.1</v>
      </c>
      <c r="I3913">
        <f t="shared" si="123"/>
        <v>233.7</v>
      </c>
    </row>
    <row r="3914" spans="1:9" ht="30" x14ac:dyDescent="0.25">
      <c r="A3914" s="5" t="s">
        <v>364</v>
      </c>
      <c r="B3914" s="5" t="s">
        <v>4387</v>
      </c>
      <c r="C3914" s="5" t="s">
        <v>4388</v>
      </c>
      <c r="D3914" s="3">
        <f>VLOOKUP(A3914,airports!A:H,7,FALSE)</f>
        <v>58.354961940000003</v>
      </c>
      <c r="E3914" s="3">
        <f>VLOOKUP(A3914,airports!A:H,8,FALSE)</f>
        <v>-134.57627640000001</v>
      </c>
      <c r="F3914" s="3">
        <f>VLOOKUP(B3914,airports!A:H,7,FALSE)</f>
        <v>56.801651939999999</v>
      </c>
      <c r="G3914" s="3">
        <f>VLOOKUP(B3914,airports!A:H,8,FALSE)</f>
        <v>-132.9452781</v>
      </c>
      <c r="H3914">
        <f t="shared" si="122"/>
        <v>198.2</v>
      </c>
      <c r="I3914">
        <f t="shared" si="123"/>
        <v>123.2</v>
      </c>
    </row>
    <row r="3915" spans="1:9" ht="30" x14ac:dyDescent="0.25">
      <c r="A3915" s="5" t="s">
        <v>364</v>
      </c>
      <c r="B3915" s="5" t="s">
        <v>128</v>
      </c>
      <c r="C3915" s="5" t="s">
        <v>4389</v>
      </c>
      <c r="D3915" s="3">
        <f>VLOOKUP(A3915,airports!A:H,7,FALSE)</f>
        <v>58.354961940000003</v>
      </c>
      <c r="E3915" s="3">
        <f>VLOOKUP(A3915,airports!A:H,8,FALSE)</f>
        <v>-134.57627640000001</v>
      </c>
      <c r="F3915" s="3">
        <f>VLOOKUP(B3915,airports!A:H,7,FALSE)</f>
        <v>47.448981940000003</v>
      </c>
      <c r="G3915" s="3">
        <f>VLOOKUP(B3915,airports!A:H,8,FALSE)</f>
        <v>-122.3093131</v>
      </c>
      <c r="H3915">
        <f t="shared" si="122"/>
        <v>1460.5</v>
      </c>
      <c r="I3915">
        <f t="shared" si="123"/>
        <v>907.6</v>
      </c>
    </row>
    <row r="3916" spans="1:9" x14ac:dyDescent="0.25">
      <c r="A3916" s="5" t="s">
        <v>364</v>
      </c>
      <c r="B3916" s="5" t="s">
        <v>4390</v>
      </c>
      <c r="C3916" s="5" t="s">
        <v>4391</v>
      </c>
      <c r="D3916" s="3">
        <f>VLOOKUP(A3916,airports!A:H,7,FALSE)</f>
        <v>58.354961940000003</v>
      </c>
      <c r="E3916" s="3">
        <f>VLOOKUP(A3916,airports!A:H,8,FALSE)</f>
        <v>-134.57627640000001</v>
      </c>
      <c r="F3916" s="3">
        <f>VLOOKUP(B3916,airports!A:H,7,FALSE)</f>
        <v>57.047138060000002</v>
      </c>
      <c r="G3916" s="3">
        <f>VLOOKUP(B3916,airports!A:H,8,FALSE)</f>
        <v>-135.3615983</v>
      </c>
      <c r="H3916">
        <f t="shared" si="122"/>
        <v>152.69999999999999</v>
      </c>
      <c r="I3916">
        <f t="shared" si="123"/>
        <v>94.9</v>
      </c>
    </row>
    <row r="3917" spans="1:9" ht="30" x14ac:dyDescent="0.25">
      <c r="A3917" s="5" t="s">
        <v>364</v>
      </c>
      <c r="B3917" s="5" t="s">
        <v>1559</v>
      </c>
      <c r="C3917" s="5" t="s">
        <v>4392</v>
      </c>
      <c r="D3917" s="3">
        <f>VLOOKUP(A3917,airports!A:H,7,FALSE)</f>
        <v>58.354961940000003</v>
      </c>
      <c r="E3917" s="3">
        <f>VLOOKUP(A3917,airports!A:H,8,FALSE)</f>
        <v>-134.57627640000001</v>
      </c>
      <c r="F3917" s="3">
        <f>VLOOKUP(B3917,airports!A:H,7,FALSE)</f>
        <v>59.503360559999997</v>
      </c>
      <c r="G3917" s="3">
        <f>VLOOKUP(B3917,airports!A:H,8,FALSE)</f>
        <v>-139.66022609999999</v>
      </c>
      <c r="H3917">
        <f t="shared" si="122"/>
        <v>318.39999999999998</v>
      </c>
      <c r="I3917">
        <f t="shared" si="123"/>
        <v>197.8</v>
      </c>
    </row>
    <row r="3918" spans="1:9" x14ac:dyDescent="0.25">
      <c r="A3918" s="5" t="s">
        <v>1658</v>
      </c>
      <c r="B3918" s="5" t="s">
        <v>1655</v>
      </c>
      <c r="C3918" s="5" t="s">
        <v>4393</v>
      </c>
      <c r="D3918" s="3">
        <f>VLOOKUP(A3918,airports!A:H,7,FALSE)</f>
        <v>40.3161010742187</v>
      </c>
      <c r="E3918" s="3">
        <f>VLOOKUP(A3918,airports!A:H,8,FALSE)</f>
        <v>-78.833900451660099</v>
      </c>
      <c r="F3918" s="3">
        <f>VLOOKUP(B3918,airports!A:H,7,FALSE)</f>
        <v>39.296599999999998</v>
      </c>
      <c r="G3918" s="3">
        <f>VLOOKUP(B3918,airports!A:H,8,FALSE)</f>
        <v>-80.228104000000002</v>
      </c>
      <c r="H3918">
        <f t="shared" si="122"/>
        <v>164.4</v>
      </c>
      <c r="I3918">
        <f t="shared" si="123"/>
        <v>102.2</v>
      </c>
    </row>
    <row r="3919" spans="1:9" x14ac:dyDescent="0.25">
      <c r="A3919" s="5" t="s">
        <v>1658</v>
      </c>
      <c r="B3919" s="5" t="s">
        <v>176</v>
      </c>
      <c r="C3919" s="5" t="s">
        <v>4394</v>
      </c>
      <c r="D3919" s="3">
        <f>VLOOKUP(A3919,airports!A:H,7,FALSE)</f>
        <v>40.3161010742187</v>
      </c>
      <c r="E3919" s="3">
        <f>VLOOKUP(A3919,airports!A:H,8,FALSE)</f>
        <v>-78.833900451660099</v>
      </c>
      <c r="F3919" s="3">
        <f>VLOOKUP(B3919,airports!A:H,7,FALSE)</f>
        <v>38.944531939999997</v>
      </c>
      <c r="G3919" s="3">
        <f>VLOOKUP(B3919,airports!A:H,8,FALSE)</f>
        <v>-77.455809720000005</v>
      </c>
      <c r="H3919">
        <f t="shared" si="122"/>
        <v>192.8</v>
      </c>
      <c r="I3919">
        <f t="shared" si="123"/>
        <v>119.8</v>
      </c>
    </row>
    <row r="3920" spans="1:9" x14ac:dyDescent="0.25">
      <c r="A3920" s="5" t="s">
        <v>1658</v>
      </c>
      <c r="B3920" s="5" t="s">
        <v>95</v>
      </c>
      <c r="C3920" s="5" t="s">
        <v>4395</v>
      </c>
      <c r="D3920" s="3">
        <f>VLOOKUP(A3920,airports!A:H,7,FALSE)</f>
        <v>40.3161010742187</v>
      </c>
      <c r="E3920" s="3">
        <f>VLOOKUP(A3920,airports!A:H,8,FALSE)</f>
        <v>-78.833900451660099</v>
      </c>
      <c r="F3920" s="3">
        <f>VLOOKUP(B3920,airports!A:H,7,FALSE)</f>
        <v>41.979595000000003</v>
      </c>
      <c r="G3920" s="3">
        <f>VLOOKUP(B3920,airports!A:H,8,FALSE)</f>
        <v>-87.904464169999997</v>
      </c>
      <c r="H3920">
        <f t="shared" si="122"/>
        <v>781.3</v>
      </c>
      <c r="I3920">
        <f t="shared" si="123"/>
        <v>485.5</v>
      </c>
    </row>
    <row r="3921" spans="1:9" ht="30" x14ac:dyDescent="0.25">
      <c r="A3921" s="5" t="s">
        <v>366</v>
      </c>
      <c r="B3921" s="5" t="s">
        <v>265</v>
      </c>
      <c r="C3921" s="5" t="s">
        <v>4396</v>
      </c>
      <c r="D3921" s="3">
        <f>VLOOKUP(A3921,airports!A:H,7,FALSE)</f>
        <v>19.738765829999998</v>
      </c>
      <c r="E3921" s="3">
        <f>VLOOKUP(A3921,airports!A:H,8,FALSE)</f>
        <v>-156.04563139999999</v>
      </c>
      <c r="F3921" s="3">
        <f>VLOOKUP(B3921,airports!A:H,7,FALSE)</f>
        <v>61.174320280000003</v>
      </c>
      <c r="G3921" s="3">
        <f>VLOOKUP(B3921,airports!A:H,8,FALSE)</f>
        <v>-149.99618559999999</v>
      </c>
      <c r="H3921">
        <f t="shared" si="122"/>
        <v>4631.7</v>
      </c>
      <c r="I3921">
        <f t="shared" si="123"/>
        <v>2878.2</v>
      </c>
    </row>
    <row r="3922" spans="1:9" x14ac:dyDescent="0.25">
      <c r="A3922" s="5" t="s">
        <v>366</v>
      </c>
      <c r="B3922" s="5" t="s">
        <v>344</v>
      </c>
      <c r="C3922" s="5" t="s">
        <v>4397</v>
      </c>
      <c r="D3922" s="3">
        <f>VLOOKUP(A3922,airports!A:H,7,FALSE)</f>
        <v>19.738765829999998</v>
      </c>
      <c r="E3922" s="3">
        <f>VLOOKUP(A3922,airports!A:H,8,FALSE)</f>
        <v>-156.04563139999999</v>
      </c>
      <c r="F3922" s="3">
        <f>VLOOKUP(B3922,airports!A:H,7,FALSE)</f>
        <v>48.792749999999998</v>
      </c>
      <c r="G3922" s="3">
        <f>VLOOKUP(B3922,airports!A:H,8,FALSE)</f>
        <v>-122.53752780000001</v>
      </c>
      <c r="H3922">
        <f t="shared" si="122"/>
        <v>4397.3</v>
      </c>
      <c r="I3922">
        <f t="shared" si="123"/>
        <v>2732.6</v>
      </c>
    </row>
    <row r="3923" spans="1:9" ht="30" x14ac:dyDescent="0.25">
      <c r="A3923" s="5" t="s">
        <v>366</v>
      </c>
      <c r="B3923" s="5" t="s">
        <v>47</v>
      </c>
      <c r="C3923" s="5" t="s">
        <v>4398</v>
      </c>
      <c r="D3923" s="3">
        <f>VLOOKUP(A3923,airports!A:H,7,FALSE)</f>
        <v>19.738765829999998</v>
      </c>
      <c r="E3923" s="3">
        <f>VLOOKUP(A3923,airports!A:H,8,FALSE)</f>
        <v>-156.04563139999999</v>
      </c>
      <c r="F3923" s="3">
        <f>VLOOKUP(B3923,airports!A:H,7,FALSE)</f>
        <v>39.858408060000002</v>
      </c>
      <c r="G3923" s="3">
        <f>VLOOKUP(B3923,airports!A:H,8,FALSE)</f>
        <v>-104.6670019</v>
      </c>
      <c r="H3923">
        <f t="shared" si="122"/>
        <v>5351.9</v>
      </c>
      <c r="I3923">
        <f t="shared" si="123"/>
        <v>3325.7</v>
      </c>
    </row>
    <row r="3924" spans="1:9" ht="30" x14ac:dyDescent="0.25">
      <c r="A3924" s="5" t="s">
        <v>366</v>
      </c>
      <c r="B3924" s="5" t="s">
        <v>49</v>
      </c>
      <c r="C3924" s="5" t="s">
        <v>4399</v>
      </c>
      <c r="D3924" s="3">
        <f>VLOOKUP(A3924,airports!A:H,7,FALSE)</f>
        <v>19.738765829999998</v>
      </c>
      <c r="E3924" s="3">
        <f>VLOOKUP(A3924,airports!A:H,8,FALSE)</f>
        <v>-156.04563139999999</v>
      </c>
      <c r="F3924" s="3">
        <f>VLOOKUP(B3924,airports!A:H,7,FALSE)</f>
        <v>32.895950560000003</v>
      </c>
      <c r="G3924" s="3">
        <f>VLOOKUP(B3924,airports!A:H,8,FALSE)</f>
        <v>-97.037199999999999</v>
      </c>
      <c r="H3924">
        <f t="shared" si="122"/>
        <v>5984.1</v>
      </c>
      <c r="I3924">
        <f t="shared" si="123"/>
        <v>3718.6</v>
      </c>
    </row>
    <row r="3925" spans="1:9" ht="30" x14ac:dyDescent="0.25">
      <c r="A3925" s="5" t="s">
        <v>366</v>
      </c>
      <c r="B3925" s="5" t="s">
        <v>360</v>
      </c>
      <c r="C3925" s="5" t="s">
        <v>4400</v>
      </c>
      <c r="D3925" s="3">
        <f>VLOOKUP(A3925,airports!A:H,7,FALSE)</f>
        <v>19.738765829999998</v>
      </c>
      <c r="E3925" s="3">
        <f>VLOOKUP(A3925,airports!A:H,8,FALSE)</f>
        <v>-156.04563139999999</v>
      </c>
      <c r="F3925" s="3">
        <f>VLOOKUP(B3925,airports!A:H,7,FALSE)</f>
        <v>21.31869111</v>
      </c>
      <c r="G3925" s="3">
        <f>VLOOKUP(B3925,airports!A:H,8,FALSE)</f>
        <v>-157.92240720000001</v>
      </c>
      <c r="H3925">
        <f t="shared" si="122"/>
        <v>262.8</v>
      </c>
      <c r="I3925">
        <f t="shared" si="123"/>
        <v>163.30000000000001</v>
      </c>
    </row>
    <row r="3926" spans="1:9" ht="30" x14ac:dyDescent="0.25">
      <c r="A3926" s="5" t="s">
        <v>366</v>
      </c>
      <c r="B3926" s="5" t="s">
        <v>71</v>
      </c>
      <c r="C3926" s="5" t="s">
        <v>4401</v>
      </c>
      <c r="D3926" s="3">
        <f>VLOOKUP(A3926,airports!A:H,7,FALSE)</f>
        <v>19.738765829999998</v>
      </c>
      <c r="E3926" s="3">
        <f>VLOOKUP(A3926,airports!A:H,8,FALSE)</f>
        <v>-156.04563139999999</v>
      </c>
      <c r="F3926" s="3">
        <f>VLOOKUP(B3926,airports!A:H,7,FALSE)</f>
        <v>36.080361109999998</v>
      </c>
      <c r="G3926" s="3">
        <f>VLOOKUP(B3926,airports!A:H,8,FALSE)</f>
        <v>-115.1523333</v>
      </c>
      <c r="H3926">
        <f t="shared" si="122"/>
        <v>4369</v>
      </c>
      <c r="I3926">
        <f t="shared" si="123"/>
        <v>2714.9</v>
      </c>
    </row>
    <row r="3927" spans="1:9" ht="30" x14ac:dyDescent="0.25">
      <c r="A3927" s="5" t="s">
        <v>366</v>
      </c>
      <c r="B3927" s="5" t="s">
        <v>73</v>
      </c>
      <c r="C3927" s="5" t="s">
        <v>4402</v>
      </c>
      <c r="D3927" s="3">
        <f>VLOOKUP(A3927,airports!A:H,7,FALSE)</f>
        <v>19.738765829999998</v>
      </c>
      <c r="E3927" s="3">
        <f>VLOOKUP(A3927,airports!A:H,8,FALSE)</f>
        <v>-156.04563139999999</v>
      </c>
      <c r="F3927" s="3">
        <f>VLOOKUP(B3927,airports!A:H,7,FALSE)</f>
        <v>33.942536109999999</v>
      </c>
      <c r="G3927" s="3">
        <f>VLOOKUP(B3927,airports!A:H,8,FALSE)</f>
        <v>-118.4080744</v>
      </c>
      <c r="H3927">
        <f t="shared" si="122"/>
        <v>4025.6</v>
      </c>
      <c r="I3927">
        <f t="shared" si="123"/>
        <v>2501.6</v>
      </c>
    </row>
    <row r="3928" spans="1:9" x14ac:dyDescent="0.25">
      <c r="A3928" s="5" t="s">
        <v>366</v>
      </c>
      <c r="B3928" s="5" t="s">
        <v>2421</v>
      </c>
      <c r="C3928" s="5" t="s">
        <v>4403</v>
      </c>
      <c r="D3928" s="3">
        <f>VLOOKUP(A3928,airports!A:H,7,FALSE)</f>
        <v>19.738765829999998</v>
      </c>
      <c r="E3928" s="3">
        <f>VLOOKUP(A3928,airports!A:H,8,FALSE)</f>
        <v>-156.04563139999999</v>
      </c>
      <c r="F3928" s="3">
        <f>VLOOKUP(B3928,airports!A:H,7,FALSE)</f>
        <v>21.975983060000001</v>
      </c>
      <c r="G3928" s="3">
        <f>VLOOKUP(B3928,airports!A:H,8,FALSE)</f>
        <v>-159.33895810000001</v>
      </c>
      <c r="H3928">
        <f t="shared" si="122"/>
        <v>423</v>
      </c>
      <c r="I3928">
        <f t="shared" si="123"/>
        <v>262.89999999999998</v>
      </c>
    </row>
    <row r="3929" spans="1:9" ht="30" x14ac:dyDescent="0.25">
      <c r="A3929" s="5" t="s">
        <v>366</v>
      </c>
      <c r="B3929" s="5" t="s">
        <v>215</v>
      </c>
      <c r="C3929" s="5" t="s">
        <v>4404</v>
      </c>
      <c r="D3929" s="3">
        <f>VLOOKUP(A3929,airports!A:H,7,FALSE)</f>
        <v>19.738765829999998</v>
      </c>
      <c r="E3929" s="3">
        <f>VLOOKUP(A3929,airports!A:H,8,FALSE)</f>
        <v>-156.04563139999999</v>
      </c>
      <c r="F3929" s="3">
        <f>VLOOKUP(B3929,airports!A:H,7,FALSE)</f>
        <v>37.721290830000001</v>
      </c>
      <c r="G3929" s="3">
        <f>VLOOKUP(B3929,airports!A:H,8,FALSE)</f>
        <v>-122.2207167</v>
      </c>
      <c r="H3929">
        <f t="shared" si="122"/>
        <v>3824.9</v>
      </c>
      <c r="I3929">
        <f t="shared" si="123"/>
        <v>2376.8000000000002</v>
      </c>
    </row>
    <row r="3930" spans="1:9" ht="30" x14ac:dyDescent="0.25">
      <c r="A3930" s="5" t="s">
        <v>366</v>
      </c>
      <c r="B3930" s="5" t="s">
        <v>371</v>
      </c>
      <c r="C3930" s="5" t="s">
        <v>4405</v>
      </c>
      <c r="D3930" s="3">
        <f>VLOOKUP(A3930,airports!A:H,7,FALSE)</f>
        <v>19.738765829999998</v>
      </c>
      <c r="E3930" s="3">
        <f>VLOOKUP(A3930,airports!A:H,8,FALSE)</f>
        <v>-156.04563139999999</v>
      </c>
      <c r="F3930" s="3">
        <f>VLOOKUP(B3930,airports!A:H,7,FALSE)</f>
        <v>20.898649720000002</v>
      </c>
      <c r="G3930" s="3">
        <f>VLOOKUP(B3930,airports!A:H,8,FALSE)</f>
        <v>-156.4304578</v>
      </c>
      <c r="H3930">
        <f t="shared" si="122"/>
        <v>135.1</v>
      </c>
      <c r="I3930">
        <f t="shared" si="123"/>
        <v>83.9</v>
      </c>
    </row>
    <row r="3931" spans="1:9" ht="30" x14ac:dyDescent="0.25">
      <c r="A3931" s="5" t="s">
        <v>366</v>
      </c>
      <c r="B3931" s="5" t="s">
        <v>95</v>
      </c>
      <c r="C3931" s="5" t="s">
        <v>4406</v>
      </c>
      <c r="D3931" s="3">
        <f>VLOOKUP(A3931,airports!A:H,7,FALSE)</f>
        <v>19.738765829999998</v>
      </c>
      <c r="E3931" s="3">
        <f>VLOOKUP(A3931,airports!A:H,8,FALSE)</f>
        <v>-156.04563139999999</v>
      </c>
      <c r="F3931" s="3">
        <f>VLOOKUP(B3931,airports!A:H,7,FALSE)</f>
        <v>41.979595000000003</v>
      </c>
      <c r="G3931" s="3">
        <f>VLOOKUP(B3931,airports!A:H,8,FALSE)</f>
        <v>-87.904464169999997</v>
      </c>
      <c r="H3931">
        <f t="shared" si="122"/>
        <v>6771.2</v>
      </c>
      <c r="I3931">
        <f t="shared" si="123"/>
        <v>4207.7</v>
      </c>
    </row>
    <row r="3932" spans="1:9" ht="30" x14ac:dyDescent="0.25">
      <c r="A3932" s="5" t="s">
        <v>366</v>
      </c>
      <c r="B3932" s="5" t="s">
        <v>100</v>
      </c>
      <c r="C3932" s="5" t="s">
        <v>4407</v>
      </c>
      <c r="D3932" s="3">
        <f>VLOOKUP(A3932,airports!A:H,7,FALSE)</f>
        <v>19.738765829999998</v>
      </c>
      <c r="E3932" s="3">
        <f>VLOOKUP(A3932,airports!A:H,8,FALSE)</f>
        <v>-156.04563139999999</v>
      </c>
      <c r="F3932" s="3">
        <f>VLOOKUP(B3932,airports!A:H,7,FALSE)</f>
        <v>45.588722220000001</v>
      </c>
      <c r="G3932" s="3">
        <f>VLOOKUP(B3932,airports!A:H,8,FALSE)</f>
        <v>-122.5975</v>
      </c>
      <c r="H3932">
        <f t="shared" si="122"/>
        <v>4195.8999999999996</v>
      </c>
      <c r="I3932">
        <f t="shared" si="123"/>
        <v>2607.4</v>
      </c>
    </row>
    <row r="3933" spans="1:9" ht="30" x14ac:dyDescent="0.25">
      <c r="A3933" s="5" t="s">
        <v>366</v>
      </c>
      <c r="B3933" s="5" t="s">
        <v>104</v>
      </c>
      <c r="C3933" s="5" t="s">
        <v>4408</v>
      </c>
      <c r="D3933" s="3">
        <f>VLOOKUP(A3933,airports!A:H,7,FALSE)</f>
        <v>19.738765829999998</v>
      </c>
      <c r="E3933" s="3">
        <f>VLOOKUP(A3933,airports!A:H,8,FALSE)</f>
        <v>-156.04563139999999</v>
      </c>
      <c r="F3933" s="3">
        <f>VLOOKUP(B3933,airports!A:H,7,FALSE)</f>
        <v>33.434166670000003</v>
      </c>
      <c r="G3933" s="3">
        <f>VLOOKUP(B3933,airports!A:H,8,FALSE)</f>
        <v>-112.00805560000001</v>
      </c>
      <c r="H3933">
        <f t="shared" si="122"/>
        <v>4597.3</v>
      </c>
      <c r="I3933">
        <f t="shared" si="123"/>
        <v>2856.8</v>
      </c>
    </row>
    <row r="3934" spans="1:9" ht="30" x14ac:dyDescent="0.25">
      <c r="A3934" s="5" t="s">
        <v>366</v>
      </c>
      <c r="B3934" s="5" t="s">
        <v>124</v>
      </c>
      <c r="C3934" s="5" t="s">
        <v>4409</v>
      </c>
      <c r="D3934" s="3">
        <f>VLOOKUP(A3934,airports!A:H,7,FALSE)</f>
        <v>19.738765829999998</v>
      </c>
      <c r="E3934" s="3">
        <f>VLOOKUP(A3934,airports!A:H,8,FALSE)</f>
        <v>-156.04563139999999</v>
      </c>
      <c r="F3934" s="3">
        <f>VLOOKUP(B3934,airports!A:H,7,FALSE)</f>
        <v>32.733556110000002</v>
      </c>
      <c r="G3934" s="3">
        <f>VLOOKUP(B3934,airports!A:H,8,FALSE)</f>
        <v>-117.1896567</v>
      </c>
      <c r="H3934">
        <f t="shared" si="122"/>
        <v>4108.3</v>
      </c>
      <c r="I3934">
        <f t="shared" si="123"/>
        <v>2552.9</v>
      </c>
    </row>
    <row r="3935" spans="1:9" ht="30" x14ac:dyDescent="0.25">
      <c r="A3935" s="5" t="s">
        <v>366</v>
      </c>
      <c r="B3935" s="5" t="s">
        <v>128</v>
      </c>
      <c r="C3935" s="5" t="s">
        <v>4410</v>
      </c>
      <c r="D3935" s="3">
        <f>VLOOKUP(A3935,airports!A:H,7,FALSE)</f>
        <v>19.738765829999998</v>
      </c>
      <c r="E3935" s="3">
        <f>VLOOKUP(A3935,airports!A:H,8,FALSE)</f>
        <v>-156.04563139999999</v>
      </c>
      <c r="F3935" s="3">
        <f>VLOOKUP(B3935,airports!A:H,7,FALSE)</f>
        <v>47.448981940000003</v>
      </c>
      <c r="G3935" s="3">
        <f>VLOOKUP(B3935,airports!A:H,8,FALSE)</f>
        <v>-122.3093131</v>
      </c>
      <c r="H3935">
        <f t="shared" si="122"/>
        <v>4326.7</v>
      </c>
      <c r="I3935">
        <f t="shared" si="123"/>
        <v>2688.6</v>
      </c>
    </row>
    <row r="3936" spans="1:9" ht="30" x14ac:dyDescent="0.25">
      <c r="A3936" s="5" t="s">
        <v>366</v>
      </c>
      <c r="B3936" s="5" t="s">
        <v>130</v>
      </c>
      <c r="C3936" s="5" t="s">
        <v>4411</v>
      </c>
      <c r="D3936" s="3">
        <f>VLOOKUP(A3936,airports!A:H,7,FALSE)</f>
        <v>19.738765829999998</v>
      </c>
      <c r="E3936" s="3">
        <f>VLOOKUP(A3936,airports!A:H,8,FALSE)</f>
        <v>-156.04563139999999</v>
      </c>
      <c r="F3936" s="3">
        <f>VLOOKUP(B3936,airports!A:H,7,FALSE)</f>
        <v>37.619001939999997</v>
      </c>
      <c r="G3936" s="3">
        <f>VLOOKUP(B3936,airports!A:H,8,FALSE)</f>
        <v>-122.37484329999999</v>
      </c>
      <c r="H3936">
        <f t="shared" si="122"/>
        <v>3808</v>
      </c>
      <c r="I3936">
        <f t="shared" si="123"/>
        <v>2366.3000000000002</v>
      </c>
    </row>
    <row r="3937" spans="1:9" ht="30" x14ac:dyDescent="0.25">
      <c r="A3937" s="5" t="s">
        <v>366</v>
      </c>
      <c r="B3937" s="5" t="s">
        <v>131</v>
      </c>
      <c r="C3937" s="5" t="s">
        <v>4412</v>
      </c>
      <c r="D3937" s="3">
        <f>VLOOKUP(A3937,airports!A:H,7,FALSE)</f>
        <v>19.738765829999998</v>
      </c>
      <c r="E3937" s="3">
        <f>VLOOKUP(A3937,airports!A:H,8,FALSE)</f>
        <v>-156.04563139999999</v>
      </c>
      <c r="F3937" s="3">
        <f>VLOOKUP(B3937,airports!A:H,7,FALSE)</f>
        <v>37.361861939999997</v>
      </c>
      <c r="G3937" s="3">
        <f>VLOOKUP(B3937,airports!A:H,8,FALSE)</f>
        <v>-121.9290089</v>
      </c>
      <c r="H3937">
        <f t="shared" si="122"/>
        <v>3834.1</v>
      </c>
      <c r="I3937">
        <f t="shared" si="123"/>
        <v>2382.5</v>
      </c>
    </row>
    <row r="3938" spans="1:9" ht="30" x14ac:dyDescent="0.25">
      <c r="A3938" s="5" t="s">
        <v>366</v>
      </c>
      <c r="B3938" s="5" t="s">
        <v>137</v>
      </c>
      <c r="C3938" s="5" t="s">
        <v>4413</v>
      </c>
      <c r="D3938" s="3">
        <f>VLOOKUP(A3938,airports!A:H,7,FALSE)</f>
        <v>19.738765829999998</v>
      </c>
      <c r="E3938" s="3">
        <f>VLOOKUP(A3938,airports!A:H,8,FALSE)</f>
        <v>-156.04563139999999</v>
      </c>
      <c r="F3938" s="3">
        <f>VLOOKUP(B3938,airports!A:H,7,FALSE)</f>
        <v>38.695421670000002</v>
      </c>
      <c r="G3938" s="3">
        <f>VLOOKUP(B3938,airports!A:H,8,FALSE)</f>
        <v>-121.59076690000001</v>
      </c>
      <c r="H3938">
        <f t="shared" si="122"/>
        <v>3916.9</v>
      </c>
      <c r="I3938">
        <f t="shared" si="123"/>
        <v>2434</v>
      </c>
    </row>
    <row r="3939" spans="1:9" ht="30" x14ac:dyDescent="0.25">
      <c r="A3939" s="5" t="s">
        <v>4385</v>
      </c>
      <c r="B3939" s="5" t="s">
        <v>364</v>
      </c>
      <c r="C3939" s="5" t="s">
        <v>4414</v>
      </c>
      <c r="D3939" s="3">
        <f>VLOOKUP(A3939,airports!A:H,7,FALSE)</f>
        <v>55.355568609999999</v>
      </c>
      <c r="E3939" s="3">
        <f>VLOOKUP(A3939,airports!A:H,8,FALSE)</f>
        <v>-131.71374</v>
      </c>
      <c r="F3939" s="3">
        <f>VLOOKUP(B3939,airports!A:H,7,FALSE)</f>
        <v>58.354961940000003</v>
      </c>
      <c r="G3939" s="3">
        <f>VLOOKUP(B3939,airports!A:H,8,FALSE)</f>
        <v>-134.57627640000001</v>
      </c>
      <c r="H3939">
        <f t="shared" si="122"/>
        <v>376.1</v>
      </c>
      <c r="I3939">
        <f t="shared" si="123"/>
        <v>233.7</v>
      </c>
    </row>
    <row r="3940" spans="1:9" ht="30" x14ac:dyDescent="0.25">
      <c r="A3940" s="5" t="s">
        <v>4385</v>
      </c>
      <c r="B3940" s="5" t="s">
        <v>128</v>
      </c>
      <c r="C3940" s="5" t="s">
        <v>4415</v>
      </c>
      <c r="D3940" s="3">
        <f>VLOOKUP(A3940,airports!A:H,7,FALSE)</f>
        <v>55.355568609999999</v>
      </c>
      <c r="E3940" s="3">
        <f>VLOOKUP(A3940,airports!A:H,8,FALSE)</f>
        <v>-131.71374</v>
      </c>
      <c r="F3940" s="3">
        <f>VLOOKUP(B3940,airports!A:H,7,FALSE)</f>
        <v>47.448981940000003</v>
      </c>
      <c r="G3940" s="3">
        <f>VLOOKUP(B3940,airports!A:H,8,FALSE)</f>
        <v>-122.3093131</v>
      </c>
      <c r="H3940">
        <f t="shared" si="122"/>
        <v>1092.7</v>
      </c>
      <c r="I3940">
        <f t="shared" si="123"/>
        <v>679</v>
      </c>
    </row>
    <row r="3941" spans="1:9" x14ac:dyDescent="0.25">
      <c r="A3941" s="5" t="s">
        <v>4385</v>
      </c>
      <c r="B3941" s="5" t="s">
        <v>4390</v>
      </c>
      <c r="C3941" s="5" t="s">
        <v>4416</v>
      </c>
      <c r="D3941" s="3">
        <f>VLOOKUP(A3941,airports!A:H,7,FALSE)</f>
        <v>55.355568609999999</v>
      </c>
      <c r="E3941" s="3">
        <f>VLOOKUP(A3941,airports!A:H,8,FALSE)</f>
        <v>-131.71374</v>
      </c>
      <c r="F3941" s="3">
        <f>VLOOKUP(B3941,airports!A:H,7,FALSE)</f>
        <v>57.047138060000002</v>
      </c>
      <c r="G3941" s="3">
        <f>VLOOKUP(B3941,airports!A:H,8,FALSE)</f>
        <v>-135.3615983</v>
      </c>
      <c r="H3941">
        <f t="shared" si="122"/>
        <v>293.7</v>
      </c>
      <c r="I3941">
        <f t="shared" si="123"/>
        <v>182.5</v>
      </c>
    </row>
    <row r="3942" spans="1:9" ht="30" x14ac:dyDescent="0.25">
      <c r="A3942" s="5" t="s">
        <v>4385</v>
      </c>
      <c r="B3942" s="5" t="s">
        <v>4417</v>
      </c>
      <c r="C3942" s="5" t="s">
        <v>4418</v>
      </c>
      <c r="D3942" s="3">
        <f>VLOOKUP(A3942,airports!A:H,7,FALSE)</f>
        <v>55.355568609999999</v>
      </c>
      <c r="E3942" s="3">
        <f>VLOOKUP(A3942,airports!A:H,8,FALSE)</f>
        <v>-131.71374</v>
      </c>
      <c r="F3942" s="3">
        <f>VLOOKUP(B3942,airports!A:H,7,FALSE)</f>
        <v>56.484325830000003</v>
      </c>
      <c r="G3942" s="3">
        <f>VLOOKUP(B3942,airports!A:H,8,FALSE)</f>
        <v>-132.36982420000001</v>
      </c>
      <c r="H3942">
        <f t="shared" si="122"/>
        <v>132</v>
      </c>
      <c r="I3942">
        <f t="shared" si="123"/>
        <v>82</v>
      </c>
    </row>
    <row r="3943" spans="1:9" ht="30" x14ac:dyDescent="0.25">
      <c r="A3943" s="5" t="s">
        <v>2236</v>
      </c>
      <c r="B3943" s="5" t="s">
        <v>45</v>
      </c>
      <c r="C3943" s="5" t="s">
        <v>4419</v>
      </c>
      <c r="D3943" s="3">
        <f>VLOOKUP(A3943,airports!A:H,7,FALSE)</f>
        <v>42.778700000000001</v>
      </c>
      <c r="E3943" s="3">
        <f>VLOOKUP(A3943,airports!A:H,8,FALSE)</f>
        <v>-84.58735806</v>
      </c>
      <c r="F3943" s="3">
        <f>VLOOKUP(B3943,airports!A:H,7,FALSE)</f>
        <v>38.852083329999999</v>
      </c>
      <c r="G3943" s="3">
        <f>VLOOKUP(B3943,airports!A:H,8,FALSE)</f>
        <v>-77.037722220000006</v>
      </c>
      <c r="H3943">
        <f t="shared" si="122"/>
        <v>770.4</v>
      </c>
      <c r="I3943">
        <f t="shared" si="123"/>
        <v>478.7</v>
      </c>
    </row>
    <row r="3944" spans="1:9" ht="30" x14ac:dyDescent="0.25">
      <c r="A3944" s="5" t="s">
        <v>2236</v>
      </c>
      <c r="B3944" s="5" t="s">
        <v>50</v>
      </c>
      <c r="C3944" s="5" t="s">
        <v>4420</v>
      </c>
      <c r="D3944" s="3">
        <f>VLOOKUP(A3944,airports!A:H,7,FALSE)</f>
        <v>42.778700000000001</v>
      </c>
      <c r="E3944" s="3">
        <f>VLOOKUP(A3944,airports!A:H,8,FALSE)</f>
        <v>-84.58735806</v>
      </c>
      <c r="F3944" s="3">
        <f>VLOOKUP(B3944,airports!A:H,7,FALSE)</f>
        <v>42.212058890000002</v>
      </c>
      <c r="G3944" s="3">
        <f>VLOOKUP(B3944,airports!A:H,8,FALSE)</f>
        <v>-83.348835829999999</v>
      </c>
      <c r="H3944">
        <f t="shared" si="122"/>
        <v>119.5</v>
      </c>
      <c r="I3944">
        <f t="shared" si="123"/>
        <v>74.3</v>
      </c>
    </row>
    <row r="3945" spans="1:9" ht="30" x14ac:dyDescent="0.25">
      <c r="A3945" s="5" t="s">
        <v>2236</v>
      </c>
      <c r="B3945" s="5" t="s">
        <v>556</v>
      </c>
      <c r="C3945" s="5" t="s">
        <v>4421</v>
      </c>
      <c r="D3945" s="3">
        <f>VLOOKUP(A3945,airports!A:H,7,FALSE)</f>
        <v>42.778700000000001</v>
      </c>
      <c r="E3945" s="3">
        <f>VLOOKUP(A3945,airports!A:H,8,FALSE)</f>
        <v>-84.58735806</v>
      </c>
      <c r="F3945" s="3">
        <f>VLOOKUP(B3945,airports!A:H,7,FALSE)</f>
        <v>40.850972220000003</v>
      </c>
      <c r="G3945" s="3">
        <f>VLOOKUP(B3945,airports!A:H,8,FALSE)</f>
        <v>-96.759249999999994</v>
      </c>
      <c r="H3945">
        <f t="shared" si="122"/>
        <v>1030.3</v>
      </c>
      <c r="I3945">
        <f t="shared" si="123"/>
        <v>640.20000000000005</v>
      </c>
    </row>
    <row r="3946" spans="1:9" ht="30" x14ac:dyDescent="0.25">
      <c r="A3946" s="5" t="s">
        <v>2236</v>
      </c>
      <c r="B3946" s="5" t="s">
        <v>87</v>
      </c>
      <c r="C3946" s="5" t="s">
        <v>4422</v>
      </c>
      <c r="D3946" s="3">
        <f>VLOOKUP(A3946,airports!A:H,7,FALSE)</f>
        <v>42.778700000000001</v>
      </c>
      <c r="E3946" s="3">
        <f>VLOOKUP(A3946,airports!A:H,8,FALSE)</f>
        <v>-84.58735806</v>
      </c>
      <c r="F3946" s="3">
        <f>VLOOKUP(B3946,airports!A:H,7,FALSE)</f>
        <v>44.880546940000002</v>
      </c>
      <c r="G3946" s="3">
        <f>VLOOKUP(B3946,airports!A:H,8,FALSE)</f>
        <v>-93.216922499999995</v>
      </c>
      <c r="H3946">
        <f t="shared" si="122"/>
        <v>730.2</v>
      </c>
      <c r="I3946">
        <f t="shared" si="123"/>
        <v>453.7</v>
      </c>
    </row>
    <row r="3947" spans="1:9" ht="30" x14ac:dyDescent="0.25">
      <c r="A3947" s="5" t="s">
        <v>2236</v>
      </c>
      <c r="B3947" s="5" t="s">
        <v>95</v>
      </c>
      <c r="C3947" s="5" t="s">
        <v>4423</v>
      </c>
      <c r="D3947" s="3">
        <f>VLOOKUP(A3947,airports!A:H,7,FALSE)</f>
        <v>42.778700000000001</v>
      </c>
      <c r="E3947" s="3">
        <f>VLOOKUP(A3947,airports!A:H,8,FALSE)</f>
        <v>-84.58735806</v>
      </c>
      <c r="F3947" s="3">
        <f>VLOOKUP(B3947,airports!A:H,7,FALSE)</f>
        <v>41.979595000000003</v>
      </c>
      <c r="G3947" s="3">
        <f>VLOOKUP(B3947,airports!A:H,8,FALSE)</f>
        <v>-87.904464169999997</v>
      </c>
      <c r="H3947">
        <f t="shared" si="122"/>
        <v>286.60000000000002</v>
      </c>
      <c r="I3947">
        <f t="shared" si="123"/>
        <v>178.1</v>
      </c>
    </row>
    <row r="3948" spans="1:9" x14ac:dyDescent="0.25">
      <c r="A3948" s="5" t="s">
        <v>958</v>
      </c>
      <c r="B3948" s="5" t="s">
        <v>956</v>
      </c>
      <c r="C3948" s="5" t="s">
        <v>4424</v>
      </c>
      <c r="D3948" s="3">
        <f>VLOOKUP(A3948,airports!A:H,7,FALSE)</f>
        <v>41.312049999999999</v>
      </c>
      <c r="E3948" s="3">
        <f>VLOOKUP(A3948,airports!A:H,8,FALSE)</f>
        <v>-105.67498639999999</v>
      </c>
      <c r="F3948" s="3">
        <f>VLOOKUP(B3948,airports!A:H,7,FALSE)</f>
        <v>41.869599999999998</v>
      </c>
      <c r="G3948" s="3">
        <f>VLOOKUP(B3948,airports!A:H,8,FALSE)</f>
        <v>-103.5926</v>
      </c>
      <c r="H3948">
        <f t="shared" si="122"/>
        <v>183.9</v>
      </c>
      <c r="I3948">
        <f t="shared" si="123"/>
        <v>114.3</v>
      </c>
    </row>
    <row r="3949" spans="1:9" ht="30" x14ac:dyDescent="0.25">
      <c r="A3949" s="5" t="s">
        <v>958</v>
      </c>
      <c r="B3949" s="5" t="s">
        <v>47</v>
      </c>
      <c r="C3949" s="5" t="s">
        <v>4425</v>
      </c>
      <c r="D3949" s="3">
        <f>VLOOKUP(A3949,airports!A:H,7,FALSE)</f>
        <v>41.312049999999999</v>
      </c>
      <c r="E3949" s="3">
        <f>VLOOKUP(A3949,airports!A:H,8,FALSE)</f>
        <v>-105.67498639999999</v>
      </c>
      <c r="F3949" s="3">
        <f>VLOOKUP(B3949,airports!A:H,7,FALSE)</f>
        <v>39.858408060000002</v>
      </c>
      <c r="G3949" s="3">
        <f>VLOOKUP(B3949,airports!A:H,8,FALSE)</f>
        <v>-104.6670019</v>
      </c>
      <c r="H3949">
        <f t="shared" si="122"/>
        <v>182.7</v>
      </c>
      <c r="I3949">
        <f t="shared" si="123"/>
        <v>113.5</v>
      </c>
    </row>
    <row r="3950" spans="1:9" ht="30" x14ac:dyDescent="0.25">
      <c r="A3950" s="5" t="s">
        <v>71</v>
      </c>
      <c r="B3950" s="5" t="s">
        <v>2</v>
      </c>
      <c r="C3950" s="5" t="s">
        <v>4426</v>
      </c>
      <c r="D3950" s="3">
        <f>VLOOKUP(A3950,airports!A:H,7,FALSE)</f>
        <v>36.080361109999998</v>
      </c>
      <c r="E3950" s="3">
        <f>VLOOKUP(A3950,airports!A:H,8,FALSE)</f>
        <v>-115.1523333</v>
      </c>
      <c r="F3950" s="3">
        <f>VLOOKUP(B3950,airports!A:H,7,FALSE)</f>
        <v>35.040222219999997</v>
      </c>
      <c r="G3950" s="3">
        <f>VLOOKUP(B3950,airports!A:H,8,FALSE)</f>
        <v>-106.60919440000001</v>
      </c>
      <c r="H3950">
        <f t="shared" si="122"/>
        <v>781.1</v>
      </c>
      <c r="I3950">
        <f t="shared" si="123"/>
        <v>485.4</v>
      </c>
    </row>
    <row r="3951" spans="1:9" x14ac:dyDescent="0.25">
      <c r="A3951" s="5" t="s">
        <v>71</v>
      </c>
      <c r="B3951" s="5" t="s">
        <v>7</v>
      </c>
      <c r="C3951" s="5" t="s">
        <v>4427</v>
      </c>
      <c r="D3951" s="3">
        <f>VLOOKUP(A3951,airports!A:H,7,FALSE)</f>
        <v>36.080361109999998</v>
      </c>
      <c r="E3951" s="3">
        <f>VLOOKUP(A3951,airports!A:H,8,FALSE)</f>
        <v>-115.1523333</v>
      </c>
      <c r="F3951" s="3">
        <f>VLOOKUP(B3951,airports!A:H,7,FALSE)</f>
        <v>42.748119440000004</v>
      </c>
      <c r="G3951" s="3">
        <f>VLOOKUP(B3951,airports!A:H,8,FALSE)</f>
        <v>-73.802978609999997</v>
      </c>
      <c r="H3951">
        <f t="shared" si="122"/>
        <v>3591.4</v>
      </c>
      <c r="I3951">
        <f t="shared" si="123"/>
        <v>2231.6999999999998</v>
      </c>
    </row>
    <row r="3952" spans="1:9" ht="30" x14ac:dyDescent="0.25">
      <c r="A3952" s="5" t="s">
        <v>71</v>
      </c>
      <c r="B3952" s="5" t="s">
        <v>327</v>
      </c>
      <c r="C3952" s="5" t="s">
        <v>4428</v>
      </c>
      <c r="D3952" s="3">
        <f>VLOOKUP(A3952,airports!A:H,7,FALSE)</f>
        <v>36.080361109999998</v>
      </c>
      <c r="E3952" s="3">
        <f>VLOOKUP(A3952,airports!A:H,8,FALSE)</f>
        <v>-115.1523333</v>
      </c>
      <c r="F3952" s="3">
        <f>VLOOKUP(B3952,airports!A:H,7,FALSE)</f>
        <v>35.219372499999999</v>
      </c>
      <c r="G3952" s="3">
        <f>VLOOKUP(B3952,airports!A:H,8,FALSE)</f>
        <v>-101.7059272</v>
      </c>
      <c r="H3952">
        <f t="shared" si="122"/>
        <v>1217.8</v>
      </c>
      <c r="I3952">
        <f t="shared" si="123"/>
        <v>756.7</v>
      </c>
    </row>
    <row r="3953" spans="1:9" ht="30" x14ac:dyDescent="0.25">
      <c r="A3953" s="5" t="s">
        <v>71</v>
      </c>
      <c r="B3953" s="5" t="s">
        <v>265</v>
      </c>
      <c r="C3953" s="5" t="s">
        <v>4429</v>
      </c>
      <c r="D3953" s="3">
        <f>VLOOKUP(A3953,airports!A:H,7,FALSE)</f>
        <v>36.080361109999998</v>
      </c>
      <c r="E3953" s="3">
        <f>VLOOKUP(A3953,airports!A:H,8,FALSE)</f>
        <v>-115.1523333</v>
      </c>
      <c r="F3953" s="3">
        <f>VLOOKUP(B3953,airports!A:H,7,FALSE)</f>
        <v>61.174320280000003</v>
      </c>
      <c r="G3953" s="3">
        <f>VLOOKUP(B3953,airports!A:H,8,FALSE)</f>
        <v>-149.99618559999999</v>
      </c>
      <c r="H3953">
        <f t="shared" si="122"/>
        <v>3703.4</v>
      </c>
      <c r="I3953">
        <f t="shared" si="123"/>
        <v>2301.4</v>
      </c>
    </row>
    <row r="3954" spans="1:9" x14ac:dyDescent="0.25">
      <c r="A3954" s="5" t="s">
        <v>71</v>
      </c>
      <c r="B3954" s="5" t="s">
        <v>10</v>
      </c>
      <c r="C3954" s="5" t="s">
        <v>4430</v>
      </c>
      <c r="D3954" s="3">
        <f>VLOOKUP(A3954,airports!A:H,7,FALSE)</f>
        <v>36.080361109999998</v>
      </c>
      <c r="E3954" s="3">
        <f>VLOOKUP(A3954,airports!A:H,8,FALSE)</f>
        <v>-115.1523333</v>
      </c>
      <c r="F3954" s="3">
        <f>VLOOKUP(B3954,airports!A:H,7,FALSE)</f>
        <v>33.640444440000003</v>
      </c>
      <c r="G3954" s="3">
        <f>VLOOKUP(B3954,airports!A:H,8,FALSE)</f>
        <v>-84.42694444</v>
      </c>
      <c r="H3954">
        <f t="shared" si="122"/>
        <v>2804.9</v>
      </c>
      <c r="I3954">
        <f t="shared" si="123"/>
        <v>1743</v>
      </c>
    </row>
    <row r="3955" spans="1:9" ht="30" x14ac:dyDescent="0.25">
      <c r="A3955" s="5" t="s">
        <v>71</v>
      </c>
      <c r="B3955" s="5" t="s">
        <v>416</v>
      </c>
      <c r="C3955" s="5" t="s">
        <v>4431</v>
      </c>
      <c r="D3955" s="3">
        <f>VLOOKUP(A3955,airports!A:H,7,FALSE)</f>
        <v>36.080361109999998</v>
      </c>
      <c r="E3955" s="3">
        <f>VLOOKUP(A3955,airports!A:H,8,FALSE)</f>
        <v>-115.1523333</v>
      </c>
      <c r="F3955" s="3">
        <f>VLOOKUP(B3955,airports!A:H,7,FALSE)</f>
        <v>44.257408060000003</v>
      </c>
      <c r="G3955" s="3">
        <f>VLOOKUP(B3955,airports!A:H,8,FALSE)</f>
        <v>-88.519475560000004</v>
      </c>
      <c r="H3955">
        <f t="shared" si="122"/>
        <v>2425.1999999999998</v>
      </c>
      <c r="I3955">
        <f t="shared" si="123"/>
        <v>1507.1</v>
      </c>
    </row>
    <row r="3956" spans="1:9" ht="30" x14ac:dyDescent="0.25">
      <c r="A3956" s="5" t="s">
        <v>71</v>
      </c>
      <c r="B3956" s="5" t="s">
        <v>13</v>
      </c>
      <c r="C3956" s="5" t="s">
        <v>4432</v>
      </c>
      <c r="D3956" s="3">
        <f>VLOOKUP(A3956,airports!A:H,7,FALSE)</f>
        <v>36.080361109999998</v>
      </c>
      <c r="E3956" s="3">
        <f>VLOOKUP(A3956,airports!A:H,8,FALSE)</f>
        <v>-115.1523333</v>
      </c>
      <c r="F3956" s="3">
        <f>VLOOKUP(B3956,airports!A:H,7,FALSE)</f>
        <v>30.194532779999999</v>
      </c>
      <c r="G3956" s="3">
        <f>VLOOKUP(B3956,airports!A:H,8,FALSE)</f>
        <v>-97.669871939999993</v>
      </c>
      <c r="H3956">
        <f t="shared" si="122"/>
        <v>1751.2</v>
      </c>
      <c r="I3956">
        <f t="shared" si="123"/>
        <v>1088.2</v>
      </c>
    </row>
    <row r="3957" spans="1:9" x14ac:dyDescent="0.25">
      <c r="A3957" s="5" t="s">
        <v>71</v>
      </c>
      <c r="B3957" s="5" t="s">
        <v>419</v>
      </c>
      <c r="C3957" s="5" t="s">
        <v>4433</v>
      </c>
      <c r="D3957" s="3">
        <f>VLOOKUP(A3957,airports!A:H,7,FALSE)</f>
        <v>36.080361109999998</v>
      </c>
      <c r="E3957" s="3">
        <f>VLOOKUP(A3957,airports!A:H,8,FALSE)</f>
        <v>-115.1523333</v>
      </c>
      <c r="F3957" s="3">
        <f>VLOOKUP(B3957,airports!A:H,7,FALSE)</f>
        <v>35.436194440000001</v>
      </c>
      <c r="G3957" s="3">
        <f>VLOOKUP(B3957,airports!A:H,8,FALSE)</f>
        <v>-82.54180556</v>
      </c>
      <c r="H3957">
        <f t="shared" si="122"/>
        <v>2929.6</v>
      </c>
      <c r="I3957">
        <f t="shared" si="123"/>
        <v>1820.5</v>
      </c>
    </row>
    <row r="3958" spans="1:9" ht="30" x14ac:dyDescent="0.25">
      <c r="A3958" s="5" t="s">
        <v>71</v>
      </c>
      <c r="B3958" s="5" t="s">
        <v>329</v>
      </c>
      <c r="C3958" s="5" t="s">
        <v>4434</v>
      </c>
      <c r="D3958" s="3">
        <f>VLOOKUP(A3958,airports!A:H,7,FALSE)</f>
        <v>36.080361109999998</v>
      </c>
      <c r="E3958" s="3">
        <f>VLOOKUP(A3958,airports!A:H,8,FALSE)</f>
        <v>-115.1523333</v>
      </c>
      <c r="F3958" s="3">
        <f>VLOOKUP(B3958,airports!A:H,7,FALSE)</f>
        <v>33.308999999999997</v>
      </c>
      <c r="G3958" s="3">
        <f>VLOOKUP(B3958,airports!A:H,8,FALSE)</f>
        <v>-111.6559</v>
      </c>
      <c r="H3958">
        <f t="shared" si="122"/>
        <v>443.9</v>
      </c>
      <c r="I3958">
        <f t="shared" si="123"/>
        <v>275.89999999999998</v>
      </c>
    </row>
    <row r="3959" spans="1:9" x14ac:dyDescent="0.25">
      <c r="A3959" s="5" t="s">
        <v>71</v>
      </c>
      <c r="B3959" s="5" t="s">
        <v>16</v>
      </c>
      <c r="C3959" s="5" t="s">
        <v>4435</v>
      </c>
      <c r="D3959" s="3">
        <f>VLOOKUP(A3959,airports!A:H,7,FALSE)</f>
        <v>36.080361109999998</v>
      </c>
      <c r="E3959" s="3">
        <f>VLOOKUP(A3959,airports!A:H,8,FALSE)</f>
        <v>-115.1523333</v>
      </c>
      <c r="F3959" s="3">
        <f>VLOOKUP(B3959,airports!A:H,7,FALSE)</f>
        <v>41.938874169999998</v>
      </c>
      <c r="G3959" s="3">
        <f>VLOOKUP(B3959,airports!A:H,8,FALSE)</f>
        <v>-72.683228330000006</v>
      </c>
      <c r="H3959">
        <f t="shared" si="122"/>
        <v>3688.3</v>
      </c>
      <c r="I3959">
        <f t="shared" si="123"/>
        <v>2292</v>
      </c>
    </row>
    <row r="3960" spans="1:9" ht="30" x14ac:dyDescent="0.25">
      <c r="A3960" s="5" t="s">
        <v>71</v>
      </c>
      <c r="B3960" s="5" t="s">
        <v>425</v>
      </c>
      <c r="C3960" s="5" t="s">
        <v>4436</v>
      </c>
      <c r="D3960" s="3">
        <f>VLOOKUP(A3960,airports!A:H,7,FALSE)</f>
        <v>36.080361109999998</v>
      </c>
      <c r="E3960" s="3">
        <f>VLOOKUP(A3960,airports!A:H,8,FALSE)</f>
        <v>-115.1523333</v>
      </c>
      <c r="F3960" s="3">
        <f>VLOOKUP(B3960,airports!A:H,7,FALSE)</f>
        <v>33.562943060000002</v>
      </c>
      <c r="G3960" s="3">
        <f>VLOOKUP(B3960,airports!A:H,8,FALSE)</f>
        <v>-86.753549719999995</v>
      </c>
      <c r="H3960">
        <f t="shared" si="122"/>
        <v>2598.1999999999998</v>
      </c>
      <c r="I3960">
        <f t="shared" si="123"/>
        <v>1614.5</v>
      </c>
    </row>
    <row r="3961" spans="1:9" x14ac:dyDescent="0.25">
      <c r="A3961" s="5" t="s">
        <v>71</v>
      </c>
      <c r="B3961" s="5" t="s">
        <v>836</v>
      </c>
      <c r="C3961" s="5" t="s">
        <v>4437</v>
      </c>
      <c r="D3961" s="3">
        <f>VLOOKUP(A3961,airports!A:H,7,FALSE)</f>
        <v>36.080361109999998</v>
      </c>
      <c r="E3961" s="3">
        <f>VLOOKUP(A3961,airports!A:H,8,FALSE)</f>
        <v>-115.1523333</v>
      </c>
      <c r="F3961" s="3">
        <f>VLOOKUP(B3961,airports!A:H,7,FALSE)</f>
        <v>45.807662499999999</v>
      </c>
      <c r="G3961" s="3">
        <f>VLOOKUP(B3961,airports!A:H,8,FALSE)</f>
        <v>-108.5428611</v>
      </c>
      <c r="H3961">
        <f t="shared" si="122"/>
        <v>1214.7</v>
      </c>
      <c r="I3961">
        <f t="shared" si="123"/>
        <v>754.8</v>
      </c>
    </row>
    <row r="3962" spans="1:9" x14ac:dyDescent="0.25">
      <c r="A3962" s="5" t="s">
        <v>71</v>
      </c>
      <c r="B3962" s="5" t="s">
        <v>838</v>
      </c>
      <c r="C3962" s="5" t="s">
        <v>4438</v>
      </c>
      <c r="D3962" s="3">
        <f>VLOOKUP(A3962,airports!A:H,7,FALSE)</f>
        <v>36.080361109999998</v>
      </c>
      <c r="E3962" s="3">
        <f>VLOOKUP(A3962,airports!A:H,8,FALSE)</f>
        <v>-115.1523333</v>
      </c>
      <c r="F3962" s="3">
        <f>VLOOKUP(B3962,airports!A:H,7,FALSE)</f>
        <v>46.77411111</v>
      </c>
      <c r="G3962" s="3">
        <f>VLOOKUP(B3962,airports!A:H,8,FALSE)</f>
        <v>-100.74672219999999</v>
      </c>
      <c r="H3962">
        <f t="shared" si="122"/>
        <v>1685</v>
      </c>
      <c r="I3962">
        <f t="shared" si="123"/>
        <v>1047.0999999999999</v>
      </c>
    </row>
    <row r="3963" spans="1:9" x14ac:dyDescent="0.25">
      <c r="A3963" s="5" t="s">
        <v>71</v>
      </c>
      <c r="B3963" s="5" t="s">
        <v>344</v>
      </c>
      <c r="C3963" s="5" t="s">
        <v>4439</v>
      </c>
      <c r="D3963" s="3">
        <f>VLOOKUP(A3963,airports!A:H,7,FALSE)</f>
        <v>36.080361109999998</v>
      </c>
      <c r="E3963" s="3">
        <f>VLOOKUP(A3963,airports!A:H,8,FALSE)</f>
        <v>-115.1523333</v>
      </c>
      <c r="F3963" s="3">
        <f>VLOOKUP(B3963,airports!A:H,7,FALSE)</f>
        <v>48.792749999999998</v>
      </c>
      <c r="G3963" s="3">
        <f>VLOOKUP(B3963,airports!A:H,8,FALSE)</f>
        <v>-122.53752780000001</v>
      </c>
      <c r="H3963">
        <f t="shared" si="122"/>
        <v>1536.2</v>
      </c>
      <c r="I3963">
        <f t="shared" si="123"/>
        <v>954.6</v>
      </c>
    </row>
    <row r="3964" spans="1:9" x14ac:dyDescent="0.25">
      <c r="A3964" s="5" t="s">
        <v>71</v>
      </c>
      <c r="B3964" s="5" t="s">
        <v>841</v>
      </c>
      <c r="C3964" s="5" t="s">
        <v>4440</v>
      </c>
      <c r="D3964" s="3">
        <f>VLOOKUP(A3964,airports!A:H,7,FALSE)</f>
        <v>36.080361109999998</v>
      </c>
      <c r="E3964" s="3">
        <f>VLOOKUP(A3964,airports!A:H,8,FALSE)</f>
        <v>-115.1523333</v>
      </c>
      <c r="F3964" s="3">
        <f>VLOOKUP(B3964,airports!A:H,7,FALSE)</f>
        <v>38.547699999999999</v>
      </c>
      <c r="G3964" s="3">
        <f>VLOOKUP(B3964,airports!A:H,8,FALSE)</f>
        <v>-89.815700000000007</v>
      </c>
      <c r="H3964">
        <f t="shared" si="122"/>
        <v>2250.1999999999998</v>
      </c>
      <c r="I3964">
        <f t="shared" si="123"/>
        <v>1398.3</v>
      </c>
    </row>
    <row r="3965" spans="1:9" x14ac:dyDescent="0.25">
      <c r="A3965" s="5" t="s">
        <v>71</v>
      </c>
      <c r="B3965" s="5" t="s">
        <v>427</v>
      </c>
      <c r="C3965" s="5" t="s">
        <v>4441</v>
      </c>
      <c r="D3965" s="3">
        <f>VLOOKUP(A3965,airports!A:H,7,FALSE)</f>
        <v>36.080361109999998</v>
      </c>
      <c r="E3965" s="3">
        <f>VLOOKUP(A3965,airports!A:H,8,FALSE)</f>
        <v>-115.1523333</v>
      </c>
      <c r="F3965" s="3">
        <f>VLOOKUP(B3965,airports!A:H,7,FALSE)</f>
        <v>40.47798556</v>
      </c>
      <c r="G3965" s="3">
        <f>VLOOKUP(B3965,airports!A:H,8,FALSE)</f>
        <v>-88.915952779999998</v>
      </c>
      <c r="H3965">
        <f t="shared" si="122"/>
        <v>2332.6</v>
      </c>
      <c r="I3965">
        <f t="shared" si="123"/>
        <v>1449.5</v>
      </c>
    </row>
    <row r="3966" spans="1:9" ht="30" x14ac:dyDescent="0.25">
      <c r="A3966" s="5" t="s">
        <v>71</v>
      </c>
      <c r="B3966" s="5" t="s">
        <v>19</v>
      </c>
      <c r="C3966" s="5" t="s">
        <v>4442</v>
      </c>
      <c r="D3966" s="3">
        <f>VLOOKUP(A3966,airports!A:H,7,FALSE)</f>
        <v>36.080361109999998</v>
      </c>
      <c r="E3966" s="3">
        <f>VLOOKUP(A3966,airports!A:H,8,FALSE)</f>
        <v>-115.1523333</v>
      </c>
      <c r="F3966" s="3">
        <f>VLOOKUP(B3966,airports!A:H,7,FALSE)</f>
        <v>36.12447667</v>
      </c>
      <c r="G3966" s="3">
        <f>VLOOKUP(B3966,airports!A:H,8,FALSE)</f>
        <v>-86.678182219999997</v>
      </c>
      <c r="H3966">
        <f t="shared" si="122"/>
        <v>2548.9</v>
      </c>
      <c r="I3966">
        <f t="shared" si="123"/>
        <v>1583.9</v>
      </c>
    </row>
    <row r="3967" spans="1:9" x14ac:dyDescent="0.25">
      <c r="A3967" s="5" t="s">
        <v>71</v>
      </c>
      <c r="B3967" s="5" t="s">
        <v>22</v>
      </c>
      <c r="C3967" s="5" t="s">
        <v>4443</v>
      </c>
      <c r="D3967" s="3">
        <f>VLOOKUP(A3967,airports!A:H,7,FALSE)</f>
        <v>36.080361109999998</v>
      </c>
      <c r="E3967" s="3">
        <f>VLOOKUP(A3967,airports!A:H,8,FALSE)</f>
        <v>-115.1523333</v>
      </c>
      <c r="F3967" s="3">
        <f>VLOOKUP(B3967,airports!A:H,7,FALSE)</f>
        <v>43.564444440000003</v>
      </c>
      <c r="G3967" s="3">
        <f>VLOOKUP(B3967,airports!A:H,8,FALSE)</f>
        <v>-116.2227778</v>
      </c>
      <c r="H3967">
        <f t="shared" si="122"/>
        <v>837.2</v>
      </c>
      <c r="I3967">
        <f t="shared" si="123"/>
        <v>520.20000000000005</v>
      </c>
    </row>
    <row r="3968" spans="1:9" ht="30" x14ac:dyDescent="0.25">
      <c r="A3968" s="5" t="s">
        <v>71</v>
      </c>
      <c r="B3968" s="5" t="s">
        <v>24</v>
      </c>
      <c r="C3968" s="5" t="s">
        <v>4444</v>
      </c>
      <c r="D3968" s="3">
        <f>VLOOKUP(A3968,airports!A:H,7,FALSE)</f>
        <v>36.080361109999998</v>
      </c>
      <c r="E3968" s="3">
        <f>VLOOKUP(A3968,airports!A:H,8,FALSE)</f>
        <v>-115.1523333</v>
      </c>
      <c r="F3968" s="3">
        <f>VLOOKUP(B3968,airports!A:H,7,FALSE)</f>
        <v>42.364347500000001</v>
      </c>
      <c r="G3968" s="3">
        <f>VLOOKUP(B3968,airports!A:H,8,FALSE)</f>
        <v>-71.005179170000005</v>
      </c>
      <c r="H3968">
        <f t="shared" si="122"/>
        <v>3822.7</v>
      </c>
      <c r="I3968">
        <f t="shared" si="123"/>
        <v>2375.5</v>
      </c>
    </row>
    <row r="3969" spans="1:9" x14ac:dyDescent="0.25">
      <c r="A3969" s="5" t="s">
        <v>71</v>
      </c>
      <c r="B3969" s="5" t="s">
        <v>29</v>
      </c>
      <c r="C3969" s="5" t="s">
        <v>4445</v>
      </c>
      <c r="D3969" s="3">
        <f>VLOOKUP(A3969,airports!A:H,7,FALSE)</f>
        <v>36.080361109999998</v>
      </c>
      <c r="E3969" s="3">
        <f>VLOOKUP(A3969,airports!A:H,8,FALSE)</f>
        <v>-115.1523333</v>
      </c>
      <c r="F3969" s="3">
        <f>VLOOKUP(B3969,airports!A:H,7,FALSE)</f>
        <v>42.940524719999999</v>
      </c>
      <c r="G3969" s="3">
        <f>VLOOKUP(B3969,airports!A:H,8,FALSE)</f>
        <v>-78.732166669999998</v>
      </c>
      <c r="H3969">
        <f t="shared" si="122"/>
        <v>3189.5</v>
      </c>
      <c r="I3969">
        <f t="shared" si="123"/>
        <v>1982</v>
      </c>
    </row>
    <row r="3970" spans="1:9" ht="30" x14ac:dyDescent="0.25">
      <c r="A3970" s="5" t="s">
        <v>71</v>
      </c>
      <c r="B3970" s="5" t="s">
        <v>30</v>
      </c>
      <c r="C3970" s="5" t="s">
        <v>4446</v>
      </c>
      <c r="D3970" s="3">
        <f>VLOOKUP(A3970,airports!A:H,7,FALSE)</f>
        <v>36.080361109999998</v>
      </c>
      <c r="E3970" s="3">
        <f>VLOOKUP(A3970,airports!A:H,8,FALSE)</f>
        <v>-115.1523333</v>
      </c>
      <c r="F3970" s="3">
        <f>VLOOKUP(B3970,airports!A:H,7,FALSE)</f>
        <v>34.200619170000003</v>
      </c>
      <c r="G3970" s="3">
        <f>VLOOKUP(B3970,airports!A:H,8,FALSE)</f>
        <v>-118.35849690000001</v>
      </c>
      <c r="H3970">
        <f t="shared" si="122"/>
        <v>358.7</v>
      </c>
      <c r="I3970">
        <f t="shared" si="123"/>
        <v>222.9</v>
      </c>
    </row>
    <row r="3971" spans="1:9" ht="30" x14ac:dyDescent="0.25">
      <c r="A3971" s="5" t="s">
        <v>71</v>
      </c>
      <c r="B3971" s="5" t="s">
        <v>32</v>
      </c>
      <c r="C3971" s="5" t="s">
        <v>4447</v>
      </c>
      <c r="D3971" s="3">
        <f>VLOOKUP(A3971,airports!A:H,7,FALSE)</f>
        <v>36.080361109999998</v>
      </c>
      <c r="E3971" s="3">
        <f>VLOOKUP(A3971,airports!A:H,8,FALSE)</f>
        <v>-115.1523333</v>
      </c>
      <c r="F3971" s="3">
        <f>VLOOKUP(B3971,airports!A:H,7,FALSE)</f>
        <v>39.175401669999999</v>
      </c>
      <c r="G3971" s="3">
        <f>VLOOKUP(B3971,airports!A:H,8,FALSE)</f>
        <v>-76.668198329999996</v>
      </c>
      <c r="H3971">
        <f t="shared" si="122"/>
        <v>3381.1</v>
      </c>
      <c r="I3971">
        <f t="shared" si="123"/>
        <v>2101.1</v>
      </c>
    </row>
    <row r="3972" spans="1:9" ht="30" x14ac:dyDescent="0.25">
      <c r="A3972" s="5" t="s">
        <v>71</v>
      </c>
      <c r="B3972" s="5" t="s">
        <v>34</v>
      </c>
      <c r="C3972" s="5" t="s">
        <v>4448</v>
      </c>
      <c r="D3972" s="3">
        <f>VLOOKUP(A3972,airports!A:H,7,FALSE)</f>
        <v>36.080361109999998</v>
      </c>
      <c r="E3972" s="3">
        <f>VLOOKUP(A3972,airports!A:H,8,FALSE)</f>
        <v>-115.1523333</v>
      </c>
      <c r="F3972" s="3">
        <f>VLOOKUP(B3972,airports!A:H,7,FALSE)</f>
        <v>45.776901389999999</v>
      </c>
      <c r="G3972" s="3">
        <f>VLOOKUP(B3972,airports!A:H,8,FALSE)</f>
        <v>-111.1530072</v>
      </c>
      <c r="H3972">
        <f t="shared" ref="H3972:H4035" si="124">ROUND(ACOS(COS(RADIANS(90-D3972)) * COS(RADIANS(90-F3972)) + SIN(RADIANS(90-D3972)) * SIN(RADIANS(90-F3972)) * COS(RADIANS(E3972-G3972))) * 6371,1)</f>
        <v>1128.9000000000001</v>
      </c>
      <c r="I3972">
        <f t="shared" ref="I3972:I4035" si="125">ROUND(ACOS(COS(RADIANS(90-D3972)) * COS(RADIANS(90-F3972)) + SIN(RADIANS(90-D3972)) * SIN(RADIANS(90-F3972)) * COS(RADIANS(E3972-G3972))) * 3959,1)</f>
        <v>701.5</v>
      </c>
    </row>
    <row r="3973" spans="1:9" x14ac:dyDescent="0.25">
      <c r="A3973" s="5" t="s">
        <v>71</v>
      </c>
      <c r="B3973" s="5" t="s">
        <v>450</v>
      </c>
      <c r="C3973" s="5" t="s">
        <v>4449</v>
      </c>
      <c r="D3973" s="3">
        <f>VLOOKUP(A3973,airports!A:H,7,FALSE)</f>
        <v>36.080361109999998</v>
      </c>
      <c r="E3973" s="3">
        <f>VLOOKUP(A3973,airports!A:H,8,FALSE)</f>
        <v>-115.1523333</v>
      </c>
      <c r="F3973" s="3">
        <f>VLOOKUP(B3973,airports!A:H,7,FALSE)</f>
        <v>41.88458833</v>
      </c>
      <c r="G3973" s="3">
        <f>VLOOKUP(B3973,airports!A:H,8,FALSE)</f>
        <v>-91.710872219999999</v>
      </c>
      <c r="H3973">
        <f t="shared" si="124"/>
        <v>2118.6999999999998</v>
      </c>
      <c r="I3973">
        <f t="shared" si="125"/>
        <v>1316.6</v>
      </c>
    </row>
    <row r="3974" spans="1:9" x14ac:dyDescent="0.25">
      <c r="A3974" s="5" t="s">
        <v>71</v>
      </c>
      <c r="B3974" s="5" t="s">
        <v>38</v>
      </c>
      <c r="C3974" s="5" t="s">
        <v>4450</v>
      </c>
      <c r="D3974" s="3">
        <f>VLOOKUP(A3974,airports!A:H,7,FALSE)</f>
        <v>36.080361109999998</v>
      </c>
      <c r="E3974" s="3">
        <f>VLOOKUP(A3974,airports!A:H,8,FALSE)</f>
        <v>-115.1523333</v>
      </c>
      <c r="F3974" s="3">
        <f>VLOOKUP(B3974,airports!A:H,7,FALSE)</f>
        <v>41.410894169999999</v>
      </c>
      <c r="G3974" s="3">
        <f>VLOOKUP(B3974,airports!A:H,8,FALSE)</f>
        <v>-81.849396670000004</v>
      </c>
      <c r="H3974">
        <f t="shared" si="124"/>
        <v>2929.5</v>
      </c>
      <c r="I3974">
        <f t="shared" si="125"/>
        <v>1820.4</v>
      </c>
    </row>
    <row r="3975" spans="1:9" x14ac:dyDescent="0.25">
      <c r="A3975" s="5" t="s">
        <v>71</v>
      </c>
      <c r="B3975" s="5" t="s">
        <v>40</v>
      </c>
      <c r="C3975" s="5" t="s">
        <v>4451</v>
      </c>
      <c r="D3975" s="3">
        <f>VLOOKUP(A3975,airports!A:H,7,FALSE)</f>
        <v>36.080361109999998</v>
      </c>
      <c r="E3975" s="3">
        <f>VLOOKUP(A3975,airports!A:H,8,FALSE)</f>
        <v>-115.1523333</v>
      </c>
      <c r="F3975" s="3">
        <f>VLOOKUP(B3975,airports!A:H,7,FALSE)</f>
        <v>35.214011110000001</v>
      </c>
      <c r="G3975" s="3">
        <f>VLOOKUP(B3975,airports!A:H,8,FALSE)</f>
        <v>-80.94312583</v>
      </c>
      <c r="H3975">
        <f t="shared" si="124"/>
        <v>3076.6</v>
      </c>
      <c r="I3975">
        <f t="shared" si="125"/>
        <v>1911.8</v>
      </c>
    </row>
    <row r="3976" spans="1:9" ht="30" x14ac:dyDescent="0.25">
      <c r="A3976" s="5" t="s">
        <v>71</v>
      </c>
      <c r="B3976" s="5" t="s">
        <v>454</v>
      </c>
      <c r="C3976" s="5" t="s">
        <v>4452</v>
      </c>
      <c r="D3976" s="3">
        <f>VLOOKUP(A3976,airports!A:H,7,FALSE)</f>
        <v>36.080361109999998</v>
      </c>
      <c r="E3976" s="3">
        <f>VLOOKUP(A3976,airports!A:H,8,FALSE)</f>
        <v>-115.1523333</v>
      </c>
      <c r="F3976" s="3">
        <f>VLOOKUP(B3976,airports!A:H,7,FALSE)</f>
        <v>39.997985280000002</v>
      </c>
      <c r="G3976" s="3">
        <f>VLOOKUP(B3976,airports!A:H,8,FALSE)</f>
        <v>-82.891882780000003</v>
      </c>
      <c r="H3976">
        <f t="shared" si="124"/>
        <v>2842.8</v>
      </c>
      <c r="I3976">
        <f t="shared" si="125"/>
        <v>1766.6</v>
      </c>
    </row>
    <row r="3977" spans="1:9" ht="30" x14ac:dyDescent="0.25">
      <c r="A3977" s="5" t="s">
        <v>71</v>
      </c>
      <c r="B3977" s="5" t="s">
        <v>456</v>
      </c>
      <c r="C3977" s="5" t="s">
        <v>4453</v>
      </c>
      <c r="D3977" s="3">
        <f>VLOOKUP(A3977,airports!A:H,7,FALSE)</f>
        <v>36.080361109999998</v>
      </c>
      <c r="E3977" s="3">
        <f>VLOOKUP(A3977,airports!A:H,8,FALSE)</f>
        <v>-115.1523333</v>
      </c>
      <c r="F3977" s="3">
        <f>VLOOKUP(B3977,airports!A:H,7,FALSE)</f>
        <v>38.805805560000003</v>
      </c>
      <c r="G3977" s="3">
        <f>VLOOKUP(B3977,airports!A:H,8,FALSE)</f>
        <v>-104.70025</v>
      </c>
      <c r="H3977">
        <f t="shared" si="124"/>
        <v>970.6</v>
      </c>
      <c r="I3977">
        <f t="shared" si="125"/>
        <v>603.1</v>
      </c>
    </row>
    <row r="3978" spans="1:9" x14ac:dyDescent="0.25">
      <c r="A3978" s="5" t="s">
        <v>71</v>
      </c>
      <c r="B3978" s="5" t="s">
        <v>1981</v>
      </c>
      <c r="C3978" s="5" t="s">
        <v>4454</v>
      </c>
      <c r="D3978" s="3">
        <f>VLOOKUP(A3978,airports!A:H,7,FALSE)</f>
        <v>36.080361109999998</v>
      </c>
      <c r="E3978" s="3">
        <f>VLOOKUP(A3978,airports!A:H,8,FALSE)</f>
        <v>-115.1523333</v>
      </c>
      <c r="F3978" s="3">
        <f>VLOOKUP(B3978,airports!A:H,7,FALSE)</f>
        <v>42.908355559999997</v>
      </c>
      <c r="G3978" s="3">
        <f>VLOOKUP(B3978,airports!A:H,8,FALSE)</f>
        <v>-106.4644661</v>
      </c>
      <c r="H3978">
        <f t="shared" si="124"/>
        <v>1062.9000000000001</v>
      </c>
      <c r="I3978">
        <f t="shared" si="125"/>
        <v>660.5</v>
      </c>
    </row>
    <row r="3979" spans="1:9" ht="30" x14ac:dyDescent="0.25">
      <c r="A3979" s="5" t="s">
        <v>71</v>
      </c>
      <c r="B3979" s="5" t="s">
        <v>462</v>
      </c>
      <c r="C3979" s="5" t="s">
        <v>4455</v>
      </c>
      <c r="D3979" s="3">
        <f>VLOOKUP(A3979,airports!A:H,7,FALSE)</f>
        <v>36.080361109999998</v>
      </c>
      <c r="E3979" s="3">
        <f>VLOOKUP(A3979,airports!A:H,8,FALSE)</f>
        <v>-115.1523333</v>
      </c>
      <c r="F3979" s="3">
        <f>VLOOKUP(B3979,airports!A:H,7,FALSE)</f>
        <v>39.046142779999997</v>
      </c>
      <c r="G3979" s="3">
        <f>VLOOKUP(B3979,airports!A:H,8,FALSE)</f>
        <v>-84.662172499999997</v>
      </c>
      <c r="H3979">
        <f t="shared" si="124"/>
        <v>2694.9</v>
      </c>
      <c r="I3979">
        <f t="shared" si="125"/>
        <v>1674.6</v>
      </c>
    </row>
    <row r="3980" spans="1:9" x14ac:dyDescent="0.25">
      <c r="A3980" s="5" t="s">
        <v>71</v>
      </c>
      <c r="B3980" s="5" t="s">
        <v>201</v>
      </c>
      <c r="C3980" s="5" t="s">
        <v>4456</v>
      </c>
      <c r="D3980" s="3">
        <f>VLOOKUP(A3980,airports!A:H,7,FALSE)</f>
        <v>36.080361109999998</v>
      </c>
      <c r="E3980" s="3">
        <f>VLOOKUP(A3980,airports!A:H,8,FALSE)</f>
        <v>-115.1523333</v>
      </c>
      <c r="F3980" s="3">
        <f>VLOOKUP(B3980,airports!A:H,7,FALSE)</f>
        <v>32.847113890000003</v>
      </c>
      <c r="G3980" s="3">
        <f>VLOOKUP(B3980,airports!A:H,8,FALSE)</f>
        <v>-96.851772220000001</v>
      </c>
      <c r="H3980">
        <f t="shared" si="124"/>
        <v>1713.1</v>
      </c>
      <c r="I3980">
        <f t="shared" si="125"/>
        <v>1064.5</v>
      </c>
    </row>
    <row r="3981" spans="1:9" ht="30" x14ac:dyDescent="0.25">
      <c r="A3981" s="5" t="s">
        <v>71</v>
      </c>
      <c r="B3981" s="5" t="s">
        <v>45</v>
      </c>
      <c r="C3981" s="5" t="s">
        <v>4457</v>
      </c>
      <c r="D3981" s="3">
        <f>VLOOKUP(A3981,airports!A:H,7,FALSE)</f>
        <v>36.080361109999998</v>
      </c>
      <c r="E3981" s="3">
        <f>VLOOKUP(A3981,airports!A:H,8,FALSE)</f>
        <v>-115.1523333</v>
      </c>
      <c r="F3981" s="3">
        <f>VLOOKUP(B3981,airports!A:H,7,FALSE)</f>
        <v>38.852083329999999</v>
      </c>
      <c r="G3981" s="3">
        <f>VLOOKUP(B3981,airports!A:H,8,FALSE)</f>
        <v>-77.037722220000006</v>
      </c>
      <c r="H3981">
        <f t="shared" si="124"/>
        <v>3353.6</v>
      </c>
      <c r="I3981">
        <f t="shared" si="125"/>
        <v>2084</v>
      </c>
    </row>
    <row r="3982" spans="1:9" ht="30" x14ac:dyDescent="0.25">
      <c r="A3982" s="5" t="s">
        <v>71</v>
      </c>
      <c r="B3982" s="5" t="s">
        <v>47</v>
      </c>
      <c r="C3982" s="5" t="s">
        <v>4458</v>
      </c>
      <c r="D3982" s="3">
        <f>VLOOKUP(A3982,airports!A:H,7,FALSE)</f>
        <v>36.080361109999998</v>
      </c>
      <c r="E3982" s="3">
        <f>VLOOKUP(A3982,airports!A:H,8,FALSE)</f>
        <v>-115.1523333</v>
      </c>
      <c r="F3982" s="3">
        <f>VLOOKUP(B3982,airports!A:H,7,FALSE)</f>
        <v>39.858408060000002</v>
      </c>
      <c r="G3982" s="3">
        <f>VLOOKUP(B3982,airports!A:H,8,FALSE)</f>
        <v>-104.6670019</v>
      </c>
      <c r="H3982">
        <f t="shared" si="124"/>
        <v>1009.7</v>
      </c>
      <c r="I3982">
        <f t="shared" si="125"/>
        <v>627.5</v>
      </c>
    </row>
    <row r="3983" spans="1:9" ht="30" x14ac:dyDescent="0.25">
      <c r="A3983" s="5" t="s">
        <v>71</v>
      </c>
      <c r="B3983" s="5" t="s">
        <v>49</v>
      </c>
      <c r="C3983" s="5" t="s">
        <v>4459</v>
      </c>
      <c r="D3983" s="3">
        <f>VLOOKUP(A3983,airports!A:H,7,FALSE)</f>
        <v>36.080361109999998</v>
      </c>
      <c r="E3983" s="3">
        <f>VLOOKUP(A3983,airports!A:H,8,FALSE)</f>
        <v>-115.1523333</v>
      </c>
      <c r="F3983" s="3">
        <f>VLOOKUP(B3983,airports!A:H,7,FALSE)</f>
        <v>32.895950560000003</v>
      </c>
      <c r="G3983" s="3">
        <f>VLOOKUP(B3983,airports!A:H,8,FALSE)</f>
        <v>-97.037199999999999</v>
      </c>
      <c r="H3983">
        <f t="shared" si="124"/>
        <v>1694.9</v>
      </c>
      <c r="I3983">
        <f t="shared" si="125"/>
        <v>1053.2</v>
      </c>
    </row>
    <row r="3984" spans="1:9" ht="30" x14ac:dyDescent="0.25">
      <c r="A3984" s="5" t="s">
        <v>71</v>
      </c>
      <c r="B3984" s="5" t="s">
        <v>2350</v>
      </c>
      <c r="C3984" s="5" t="s">
        <v>4460</v>
      </c>
      <c r="D3984" s="3">
        <f>VLOOKUP(A3984,airports!A:H,7,FALSE)</f>
        <v>36.080361109999998</v>
      </c>
      <c r="E3984" s="3">
        <f>VLOOKUP(A3984,airports!A:H,8,FALSE)</f>
        <v>-115.1523333</v>
      </c>
      <c r="F3984" s="3">
        <f>VLOOKUP(B3984,airports!A:H,7,FALSE)</f>
        <v>37.151516669999999</v>
      </c>
      <c r="G3984" s="3">
        <f>VLOOKUP(B3984,airports!A:H,8,FALSE)</f>
        <v>-107.75376919999999</v>
      </c>
      <c r="H3984">
        <f t="shared" si="124"/>
        <v>670.8</v>
      </c>
      <c r="I3984">
        <f t="shared" si="125"/>
        <v>416.8</v>
      </c>
    </row>
    <row r="3985" spans="1:9" ht="30" x14ac:dyDescent="0.25">
      <c r="A3985" s="5" t="s">
        <v>71</v>
      </c>
      <c r="B3985" s="5" t="s">
        <v>474</v>
      </c>
      <c r="C3985" s="5" t="s">
        <v>4461</v>
      </c>
      <c r="D3985" s="3">
        <f>VLOOKUP(A3985,airports!A:H,7,FALSE)</f>
        <v>36.080361109999998</v>
      </c>
      <c r="E3985" s="3">
        <f>VLOOKUP(A3985,airports!A:H,8,FALSE)</f>
        <v>-115.1523333</v>
      </c>
      <c r="F3985" s="3">
        <f>VLOOKUP(B3985,airports!A:H,7,FALSE)</f>
        <v>41.53493306</v>
      </c>
      <c r="G3985" s="3">
        <f>VLOOKUP(B3985,airports!A:H,8,FALSE)</f>
        <v>-93.660682219999998</v>
      </c>
      <c r="H3985">
        <f t="shared" si="124"/>
        <v>1952.4</v>
      </c>
      <c r="I3985">
        <f t="shared" si="125"/>
        <v>1213.3</v>
      </c>
    </row>
    <row r="3986" spans="1:9" ht="30" x14ac:dyDescent="0.25">
      <c r="A3986" s="5" t="s">
        <v>71</v>
      </c>
      <c r="B3986" s="5" t="s">
        <v>50</v>
      </c>
      <c r="C3986" s="5" t="s">
        <v>4462</v>
      </c>
      <c r="D3986" s="3">
        <f>VLOOKUP(A3986,airports!A:H,7,FALSE)</f>
        <v>36.080361109999998</v>
      </c>
      <c r="E3986" s="3">
        <f>VLOOKUP(A3986,airports!A:H,8,FALSE)</f>
        <v>-115.1523333</v>
      </c>
      <c r="F3986" s="3">
        <f>VLOOKUP(B3986,airports!A:H,7,FALSE)</f>
        <v>42.212058890000002</v>
      </c>
      <c r="G3986" s="3">
        <f>VLOOKUP(B3986,airports!A:H,8,FALSE)</f>
        <v>-83.348835829999999</v>
      </c>
      <c r="H3986">
        <f t="shared" si="124"/>
        <v>2808.4</v>
      </c>
      <c r="I3986">
        <f t="shared" si="125"/>
        <v>1745.2</v>
      </c>
    </row>
    <row r="3987" spans="1:9" x14ac:dyDescent="0.25">
      <c r="A3987" s="5" t="s">
        <v>71</v>
      </c>
      <c r="B3987" s="5" t="s">
        <v>483</v>
      </c>
      <c r="C3987" s="5" t="s">
        <v>4463</v>
      </c>
      <c r="D3987" s="3">
        <f>VLOOKUP(A3987,airports!A:H,7,FALSE)</f>
        <v>36.080361109999998</v>
      </c>
      <c r="E3987" s="3">
        <f>VLOOKUP(A3987,airports!A:H,8,FALSE)</f>
        <v>-115.1523333</v>
      </c>
      <c r="F3987" s="3">
        <f>VLOOKUP(B3987,airports!A:H,7,FALSE)</f>
        <v>31.806666669999998</v>
      </c>
      <c r="G3987" s="3">
        <f>VLOOKUP(B3987,airports!A:H,8,FALSE)</f>
        <v>-106.3778056</v>
      </c>
      <c r="H3987">
        <f t="shared" si="124"/>
        <v>938</v>
      </c>
      <c r="I3987">
        <f t="shared" si="125"/>
        <v>582.9</v>
      </c>
    </row>
    <row r="3988" spans="1:9" ht="30" x14ac:dyDescent="0.25">
      <c r="A3988" s="5" t="s">
        <v>71</v>
      </c>
      <c r="B3988" s="5" t="s">
        <v>848</v>
      </c>
      <c r="C3988" s="5" t="s">
        <v>4464</v>
      </c>
      <c r="D3988" s="3">
        <f>VLOOKUP(A3988,airports!A:H,7,FALSE)</f>
        <v>36.080361109999998</v>
      </c>
      <c r="E3988" s="3">
        <f>VLOOKUP(A3988,airports!A:H,8,FALSE)</f>
        <v>-115.1523333</v>
      </c>
      <c r="F3988" s="3">
        <f>VLOOKUP(B3988,airports!A:H,7,FALSE)</f>
        <v>44.123260000000002</v>
      </c>
      <c r="G3988" s="3">
        <f>VLOOKUP(B3988,airports!A:H,8,FALSE)</f>
        <v>-123.2186856</v>
      </c>
      <c r="H3988">
        <f t="shared" si="124"/>
        <v>1126</v>
      </c>
      <c r="I3988">
        <f t="shared" si="125"/>
        <v>699.7</v>
      </c>
    </row>
    <row r="3989" spans="1:9" ht="30" x14ac:dyDescent="0.25">
      <c r="A3989" s="5" t="s">
        <v>71</v>
      </c>
      <c r="B3989" s="5" t="s">
        <v>52</v>
      </c>
      <c r="C3989" s="5" t="s">
        <v>4465</v>
      </c>
      <c r="D3989" s="3">
        <f>VLOOKUP(A3989,airports!A:H,7,FALSE)</f>
        <v>36.080361109999998</v>
      </c>
      <c r="E3989" s="3">
        <f>VLOOKUP(A3989,airports!A:H,8,FALSE)</f>
        <v>-115.1523333</v>
      </c>
      <c r="F3989" s="3">
        <f>VLOOKUP(B3989,airports!A:H,7,FALSE)</f>
        <v>40.69249722</v>
      </c>
      <c r="G3989" s="3">
        <f>VLOOKUP(B3989,airports!A:H,8,FALSE)</f>
        <v>-74.168660560000006</v>
      </c>
      <c r="H3989">
        <f t="shared" si="124"/>
        <v>3576</v>
      </c>
      <c r="I3989">
        <f t="shared" si="125"/>
        <v>2222.1999999999998</v>
      </c>
    </row>
    <row r="3990" spans="1:9" x14ac:dyDescent="0.25">
      <c r="A3990" s="5" t="s">
        <v>71</v>
      </c>
      <c r="B3990" s="5" t="s">
        <v>491</v>
      </c>
      <c r="C3990" s="5" t="s">
        <v>4466</v>
      </c>
      <c r="D3990" s="3">
        <f>VLOOKUP(A3990,airports!A:H,7,FALSE)</f>
        <v>36.080361109999998</v>
      </c>
      <c r="E3990" s="3">
        <f>VLOOKUP(A3990,airports!A:H,8,FALSE)</f>
        <v>-115.1523333</v>
      </c>
      <c r="F3990" s="3">
        <f>VLOOKUP(B3990,airports!A:H,7,FALSE)</f>
        <v>46.919348890000002</v>
      </c>
      <c r="G3990" s="3">
        <f>VLOOKUP(B3990,airports!A:H,8,FALSE)</f>
        <v>-96.814988889999995</v>
      </c>
      <c r="H3990">
        <f t="shared" si="124"/>
        <v>1937.2</v>
      </c>
      <c r="I3990">
        <f t="shared" si="125"/>
        <v>1203.8</v>
      </c>
    </row>
    <row r="3991" spans="1:9" x14ac:dyDescent="0.25">
      <c r="A3991" s="5" t="s">
        <v>71</v>
      </c>
      <c r="B3991" s="5" t="s">
        <v>2365</v>
      </c>
      <c r="C3991" s="5" t="s">
        <v>4467</v>
      </c>
      <c r="D3991" s="3">
        <f>VLOOKUP(A3991,airports!A:H,7,FALSE)</f>
        <v>36.080361109999998</v>
      </c>
      <c r="E3991" s="3">
        <f>VLOOKUP(A3991,airports!A:H,8,FALSE)</f>
        <v>-115.1523333</v>
      </c>
      <c r="F3991" s="3">
        <f>VLOOKUP(B3991,airports!A:H,7,FALSE)</f>
        <v>36.776194439999998</v>
      </c>
      <c r="G3991" s="3">
        <f>VLOOKUP(B3991,airports!A:H,8,FALSE)</f>
        <v>-119.7181389</v>
      </c>
      <c r="H3991">
        <f t="shared" si="124"/>
        <v>415.7</v>
      </c>
      <c r="I3991">
        <f t="shared" si="125"/>
        <v>258.3</v>
      </c>
    </row>
    <row r="3992" spans="1:9" x14ac:dyDescent="0.25">
      <c r="A3992" s="5" t="s">
        <v>71</v>
      </c>
      <c r="B3992" s="5" t="s">
        <v>56</v>
      </c>
      <c r="C3992" s="5" t="s">
        <v>4468</v>
      </c>
      <c r="D3992" s="3">
        <f>VLOOKUP(A3992,airports!A:H,7,FALSE)</f>
        <v>36.080361109999998</v>
      </c>
      <c r="E3992" s="3">
        <f>VLOOKUP(A3992,airports!A:H,8,FALSE)</f>
        <v>-115.1523333</v>
      </c>
      <c r="F3992" s="3">
        <f>VLOOKUP(B3992,airports!A:H,7,FALSE)</f>
        <v>48.311404719999999</v>
      </c>
      <c r="G3992" s="3">
        <f>VLOOKUP(B3992,airports!A:H,8,FALSE)</f>
        <v>-114.2550694</v>
      </c>
      <c r="H3992">
        <f t="shared" si="124"/>
        <v>1362</v>
      </c>
      <c r="I3992">
        <f t="shared" si="125"/>
        <v>846.4</v>
      </c>
    </row>
    <row r="3993" spans="1:9" x14ac:dyDescent="0.25">
      <c r="A3993" s="5" t="s">
        <v>71</v>
      </c>
      <c r="B3993" s="5" t="s">
        <v>57</v>
      </c>
      <c r="C3993" s="5" t="s">
        <v>4469</v>
      </c>
      <c r="D3993" s="3">
        <f>VLOOKUP(A3993,airports!A:H,7,FALSE)</f>
        <v>36.080361109999998</v>
      </c>
      <c r="E3993" s="3">
        <f>VLOOKUP(A3993,airports!A:H,8,FALSE)</f>
        <v>-115.1523333</v>
      </c>
      <c r="F3993" s="3">
        <f>VLOOKUP(B3993,airports!A:H,7,FALSE)</f>
        <v>26.072583330000001</v>
      </c>
      <c r="G3993" s="3">
        <f>VLOOKUP(B3993,airports!A:H,8,FALSE)</f>
        <v>-80.152749999999997</v>
      </c>
      <c r="H3993">
        <f t="shared" si="124"/>
        <v>3492.1</v>
      </c>
      <c r="I3993">
        <f t="shared" si="125"/>
        <v>2170</v>
      </c>
    </row>
    <row r="3994" spans="1:9" x14ac:dyDescent="0.25">
      <c r="A3994" s="5" t="s">
        <v>71</v>
      </c>
      <c r="B3994" s="5" t="s">
        <v>497</v>
      </c>
      <c r="C3994" s="5" t="s">
        <v>4470</v>
      </c>
      <c r="D3994" s="3">
        <f>VLOOKUP(A3994,airports!A:H,7,FALSE)</f>
        <v>36.080361109999998</v>
      </c>
      <c r="E3994" s="3">
        <f>VLOOKUP(A3994,airports!A:H,8,FALSE)</f>
        <v>-115.1523333</v>
      </c>
      <c r="F3994" s="3">
        <f>VLOOKUP(B3994,airports!A:H,7,FALSE)</f>
        <v>42.965503329999997</v>
      </c>
      <c r="G3994" s="3">
        <f>VLOOKUP(B3994,airports!A:H,8,FALSE)</f>
        <v>-83.743456390000006</v>
      </c>
      <c r="H3994">
        <f t="shared" si="124"/>
        <v>2782.6</v>
      </c>
      <c r="I3994">
        <f t="shared" si="125"/>
        <v>1729.1</v>
      </c>
    </row>
    <row r="3995" spans="1:9" x14ac:dyDescent="0.25">
      <c r="A3995" s="5" t="s">
        <v>71</v>
      </c>
      <c r="B3995" s="5" t="s">
        <v>499</v>
      </c>
      <c r="C3995" s="5" t="s">
        <v>4471</v>
      </c>
      <c r="D3995" s="3">
        <f>VLOOKUP(A3995,airports!A:H,7,FALSE)</f>
        <v>36.080361109999998</v>
      </c>
      <c r="E3995" s="3">
        <f>VLOOKUP(A3995,airports!A:H,8,FALSE)</f>
        <v>-115.1523333</v>
      </c>
      <c r="F3995" s="3">
        <f>VLOOKUP(B3995,airports!A:H,7,FALSE)</f>
        <v>43.58135111</v>
      </c>
      <c r="G3995" s="3">
        <f>VLOOKUP(B3995,airports!A:H,8,FALSE)</f>
        <v>-96.741700280000003</v>
      </c>
      <c r="H3995">
        <f t="shared" si="124"/>
        <v>1774.1</v>
      </c>
      <c r="I3995">
        <f t="shared" si="125"/>
        <v>1102.5</v>
      </c>
    </row>
    <row r="3996" spans="1:9" ht="30" x14ac:dyDescent="0.25">
      <c r="A3996" s="5" t="s">
        <v>71</v>
      </c>
      <c r="B3996" s="5" t="s">
        <v>503</v>
      </c>
      <c r="C3996" s="5" t="s">
        <v>4472</v>
      </c>
      <c r="D3996" s="3">
        <f>VLOOKUP(A3996,airports!A:H,7,FALSE)</f>
        <v>36.080361109999998</v>
      </c>
      <c r="E3996" s="3">
        <f>VLOOKUP(A3996,airports!A:H,8,FALSE)</f>
        <v>-115.1523333</v>
      </c>
      <c r="F3996" s="3">
        <f>VLOOKUP(B3996,airports!A:H,7,FALSE)</f>
        <v>40.978465829999998</v>
      </c>
      <c r="G3996" s="3">
        <f>VLOOKUP(B3996,airports!A:H,8,FALSE)</f>
        <v>-85.195146390000005</v>
      </c>
      <c r="H3996">
        <f t="shared" si="124"/>
        <v>2648.5</v>
      </c>
      <c r="I3996">
        <f t="shared" si="125"/>
        <v>1645.8</v>
      </c>
    </row>
    <row r="3997" spans="1:9" ht="30" x14ac:dyDescent="0.25">
      <c r="A3997" s="5" t="s">
        <v>71</v>
      </c>
      <c r="B3997" s="5" t="s">
        <v>505</v>
      </c>
      <c r="C3997" s="5" t="s">
        <v>4473</v>
      </c>
      <c r="D3997" s="3">
        <f>VLOOKUP(A3997,airports!A:H,7,FALSE)</f>
        <v>36.080361109999998</v>
      </c>
      <c r="E3997" s="3">
        <f>VLOOKUP(A3997,airports!A:H,8,FALSE)</f>
        <v>-115.1523333</v>
      </c>
      <c r="F3997" s="3">
        <f>VLOOKUP(B3997,airports!A:H,7,FALSE)</f>
        <v>47.619855559999998</v>
      </c>
      <c r="G3997" s="3">
        <f>VLOOKUP(B3997,airports!A:H,8,FALSE)</f>
        <v>-117.53384250000001</v>
      </c>
      <c r="H3997">
        <f t="shared" si="124"/>
        <v>1298</v>
      </c>
      <c r="I3997">
        <f t="shared" si="125"/>
        <v>806.6</v>
      </c>
    </row>
    <row r="3998" spans="1:9" x14ac:dyDescent="0.25">
      <c r="A3998" s="5" t="s">
        <v>71</v>
      </c>
      <c r="B3998" s="5" t="s">
        <v>856</v>
      </c>
      <c r="C3998" s="5" t="s">
        <v>4474</v>
      </c>
      <c r="D3998" s="3">
        <f>VLOOKUP(A3998,airports!A:H,7,FALSE)</f>
        <v>36.080361109999998</v>
      </c>
      <c r="E3998" s="3">
        <f>VLOOKUP(A3998,airports!A:H,8,FALSE)</f>
        <v>-115.1523333</v>
      </c>
      <c r="F3998" s="3">
        <f>VLOOKUP(B3998,airports!A:H,7,FALSE)</f>
        <v>47.949255000000001</v>
      </c>
      <c r="G3998" s="3">
        <f>VLOOKUP(B3998,airports!A:H,8,FALSE)</f>
        <v>-97.176111109999994</v>
      </c>
      <c r="H3998">
        <f t="shared" si="124"/>
        <v>1977.9</v>
      </c>
      <c r="I3998">
        <f t="shared" si="125"/>
        <v>1229.0999999999999</v>
      </c>
    </row>
    <row r="3999" spans="1:9" x14ac:dyDescent="0.25">
      <c r="A3999" s="5" t="s">
        <v>71</v>
      </c>
      <c r="B3999" s="5" t="s">
        <v>858</v>
      </c>
      <c r="C3999" s="5" t="s">
        <v>4475</v>
      </c>
      <c r="D3999" s="3">
        <f>VLOOKUP(A3999,airports!A:H,7,FALSE)</f>
        <v>36.080361109999998</v>
      </c>
      <c r="E3999" s="3">
        <f>VLOOKUP(A3999,airports!A:H,8,FALSE)</f>
        <v>-115.1523333</v>
      </c>
      <c r="F3999" s="3">
        <f>VLOOKUP(B3999,airports!A:H,7,FALSE)</f>
        <v>39.122412500000003</v>
      </c>
      <c r="G3999" s="3">
        <f>VLOOKUP(B3999,airports!A:H,8,FALSE)</f>
        <v>-108.52673470000001</v>
      </c>
      <c r="H3999">
        <f t="shared" si="124"/>
        <v>674.4</v>
      </c>
      <c r="I3999">
        <f t="shared" si="125"/>
        <v>419.1</v>
      </c>
    </row>
    <row r="4000" spans="1:9" x14ac:dyDescent="0.25">
      <c r="A4000" s="5" t="s">
        <v>71</v>
      </c>
      <c r="B4000" s="5" t="s">
        <v>860</v>
      </c>
      <c r="C4000" s="5" t="s">
        <v>4476</v>
      </c>
      <c r="D4000" s="3">
        <f>VLOOKUP(A4000,airports!A:H,7,FALSE)</f>
        <v>36.080361109999998</v>
      </c>
      <c r="E4000" s="3">
        <f>VLOOKUP(A4000,airports!A:H,8,FALSE)</f>
        <v>-115.1523333</v>
      </c>
      <c r="F4000" s="3">
        <f>VLOOKUP(B4000,airports!A:H,7,FALSE)</f>
        <v>40.967472219999998</v>
      </c>
      <c r="G4000" s="3">
        <f>VLOOKUP(B4000,airports!A:H,8,FALSE)</f>
        <v>-98.308611110000001</v>
      </c>
      <c r="H4000">
        <f t="shared" si="124"/>
        <v>1559.7</v>
      </c>
      <c r="I4000">
        <f t="shared" si="125"/>
        <v>969.2</v>
      </c>
    </row>
    <row r="4001" spans="1:9" ht="30" x14ac:dyDescent="0.25">
      <c r="A4001" s="5" t="s">
        <v>71</v>
      </c>
      <c r="B4001" s="5" t="s">
        <v>515</v>
      </c>
      <c r="C4001" s="5" t="s">
        <v>4477</v>
      </c>
      <c r="D4001" s="3">
        <f>VLOOKUP(A4001,airports!A:H,7,FALSE)</f>
        <v>36.080361109999998</v>
      </c>
      <c r="E4001" s="3">
        <f>VLOOKUP(A4001,airports!A:H,8,FALSE)</f>
        <v>-115.1523333</v>
      </c>
      <c r="F4001" s="3">
        <f>VLOOKUP(B4001,airports!A:H,7,FALSE)</f>
        <v>42.880819719999998</v>
      </c>
      <c r="G4001" s="3">
        <f>VLOOKUP(B4001,airports!A:H,8,FALSE)</f>
        <v>-85.522767779999995</v>
      </c>
      <c r="H4001">
        <f t="shared" si="124"/>
        <v>2637.5</v>
      </c>
      <c r="I4001">
        <f t="shared" si="125"/>
        <v>1639</v>
      </c>
    </row>
    <row r="4002" spans="1:9" x14ac:dyDescent="0.25">
      <c r="A4002" s="5" t="s">
        <v>71</v>
      </c>
      <c r="B4002" s="5" t="s">
        <v>519</v>
      </c>
      <c r="C4002" s="5" t="s">
        <v>4478</v>
      </c>
      <c r="D4002" s="3">
        <f>VLOOKUP(A4002,airports!A:H,7,FALSE)</f>
        <v>36.080361109999998</v>
      </c>
      <c r="E4002" s="3">
        <f>VLOOKUP(A4002,airports!A:H,8,FALSE)</f>
        <v>-115.1523333</v>
      </c>
      <c r="F4002" s="3">
        <f>VLOOKUP(B4002,airports!A:H,7,FALSE)</f>
        <v>34.89566722</v>
      </c>
      <c r="G4002" s="3">
        <f>VLOOKUP(B4002,airports!A:H,8,FALSE)</f>
        <v>-82.218858330000003</v>
      </c>
      <c r="H4002">
        <f t="shared" si="124"/>
        <v>2970.4</v>
      </c>
      <c r="I4002">
        <f t="shared" si="125"/>
        <v>1845.9</v>
      </c>
    </row>
    <row r="4003" spans="1:9" x14ac:dyDescent="0.25">
      <c r="A4003" s="5" t="s">
        <v>71</v>
      </c>
      <c r="B4003" s="5" t="s">
        <v>863</v>
      </c>
      <c r="C4003" s="5" t="s">
        <v>4479</v>
      </c>
      <c r="D4003" s="3">
        <f>VLOOKUP(A4003,airports!A:H,7,FALSE)</f>
        <v>36.080361109999998</v>
      </c>
      <c r="E4003" s="3">
        <f>VLOOKUP(A4003,airports!A:H,8,FALSE)</f>
        <v>-115.1523333</v>
      </c>
      <c r="F4003" s="3">
        <f>VLOOKUP(B4003,airports!A:H,7,FALSE)</f>
        <v>47.482001940000004</v>
      </c>
      <c r="G4003" s="3">
        <f>VLOOKUP(B4003,airports!A:H,8,FALSE)</f>
        <v>-111.37068530000001</v>
      </c>
      <c r="H4003">
        <f t="shared" si="124"/>
        <v>1305.5999999999999</v>
      </c>
      <c r="I4003">
        <f t="shared" si="125"/>
        <v>811.3</v>
      </c>
    </row>
    <row r="4004" spans="1:9" ht="30" x14ac:dyDescent="0.25">
      <c r="A4004" s="5" t="s">
        <v>71</v>
      </c>
      <c r="B4004" s="5" t="s">
        <v>360</v>
      </c>
      <c r="C4004" s="5" t="s">
        <v>4480</v>
      </c>
      <c r="D4004" s="3">
        <f>VLOOKUP(A4004,airports!A:H,7,FALSE)</f>
        <v>36.080361109999998</v>
      </c>
      <c r="E4004" s="3">
        <f>VLOOKUP(A4004,airports!A:H,8,FALSE)</f>
        <v>-115.1523333</v>
      </c>
      <c r="F4004" s="3">
        <f>VLOOKUP(B4004,airports!A:H,7,FALSE)</f>
        <v>21.31869111</v>
      </c>
      <c r="G4004" s="3">
        <f>VLOOKUP(B4004,airports!A:H,8,FALSE)</f>
        <v>-157.92240720000001</v>
      </c>
      <c r="H4004">
        <f t="shared" si="124"/>
        <v>4440.3999999999996</v>
      </c>
      <c r="I4004">
        <f t="shared" si="125"/>
        <v>2759.3</v>
      </c>
    </row>
    <row r="4005" spans="1:9" ht="30" x14ac:dyDescent="0.25">
      <c r="A4005" s="5" t="s">
        <v>71</v>
      </c>
      <c r="B4005" s="5" t="s">
        <v>205</v>
      </c>
      <c r="C4005" s="5" t="s">
        <v>4481</v>
      </c>
      <c r="D4005" s="3">
        <f>VLOOKUP(A4005,airports!A:H,7,FALSE)</f>
        <v>36.080361109999998</v>
      </c>
      <c r="E4005" s="3">
        <f>VLOOKUP(A4005,airports!A:H,8,FALSE)</f>
        <v>-115.1523333</v>
      </c>
      <c r="F4005" s="3">
        <f>VLOOKUP(B4005,airports!A:H,7,FALSE)</f>
        <v>29.64541861</v>
      </c>
      <c r="G4005" s="3">
        <f>VLOOKUP(B4005,airports!A:H,8,FALSE)</f>
        <v>-95.278888890000005</v>
      </c>
      <c r="H4005">
        <f t="shared" si="124"/>
        <v>1984.7</v>
      </c>
      <c r="I4005">
        <f t="shared" si="125"/>
        <v>1233.3</v>
      </c>
    </row>
    <row r="4006" spans="1:9" x14ac:dyDescent="0.25">
      <c r="A4006" s="5" t="s">
        <v>71</v>
      </c>
      <c r="B4006" s="5" t="s">
        <v>729</v>
      </c>
      <c r="C4006" s="5" t="s">
        <v>4482</v>
      </c>
      <c r="D4006" s="3">
        <f>VLOOKUP(A4006,airports!A:H,7,FALSE)</f>
        <v>36.080361109999998</v>
      </c>
      <c r="E4006" s="3">
        <f>VLOOKUP(A4006,airports!A:H,8,FALSE)</f>
        <v>-115.1523333</v>
      </c>
      <c r="F4006" s="3">
        <f>VLOOKUP(B4006,airports!A:H,7,FALSE)</f>
        <v>26.228506110000001</v>
      </c>
      <c r="G4006" s="3">
        <f>VLOOKUP(B4006,airports!A:H,8,FALSE)</f>
        <v>-97.654393889999994</v>
      </c>
      <c r="H4006">
        <f t="shared" si="124"/>
        <v>1988.1</v>
      </c>
      <c r="I4006">
        <f t="shared" si="125"/>
        <v>1235.4000000000001</v>
      </c>
    </row>
    <row r="4007" spans="1:9" x14ac:dyDescent="0.25">
      <c r="A4007" s="5" t="s">
        <v>71</v>
      </c>
      <c r="B4007" s="5" t="s">
        <v>176</v>
      </c>
      <c r="C4007" s="5" t="s">
        <v>4483</v>
      </c>
      <c r="D4007" s="3">
        <f>VLOOKUP(A4007,airports!A:H,7,FALSE)</f>
        <v>36.080361109999998</v>
      </c>
      <c r="E4007" s="3">
        <f>VLOOKUP(A4007,airports!A:H,8,FALSE)</f>
        <v>-115.1523333</v>
      </c>
      <c r="F4007" s="3">
        <f>VLOOKUP(B4007,airports!A:H,7,FALSE)</f>
        <v>38.944531939999997</v>
      </c>
      <c r="G4007" s="3">
        <f>VLOOKUP(B4007,airports!A:H,8,FALSE)</f>
        <v>-77.455809720000005</v>
      </c>
      <c r="H4007">
        <f t="shared" si="124"/>
        <v>3316.5</v>
      </c>
      <c r="I4007">
        <f t="shared" si="125"/>
        <v>2060.9</v>
      </c>
    </row>
    <row r="4008" spans="1:9" x14ac:dyDescent="0.25">
      <c r="A4008" s="5" t="s">
        <v>71</v>
      </c>
      <c r="B4008" s="5" t="s">
        <v>67</v>
      </c>
      <c r="C4008" s="5" t="s">
        <v>4484</v>
      </c>
      <c r="D4008" s="3">
        <f>VLOOKUP(A4008,airports!A:H,7,FALSE)</f>
        <v>36.080361109999998</v>
      </c>
      <c r="E4008" s="3">
        <f>VLOOKUP(A4008,airports!A:H,8,FALSE)</f>
        <v>-115.1523333</v>
      </c>
      <c r="F4008" s="3">
        <f>VLOOKUP(B4008,airports!A:H,7,FALSE)</f>
        <v>29.980472219999999</v>
      </c>
      <c r="G4008" s="3">
        <f>VLOOKUP(B4008,airports!A:H,8,FALSE)</f>
        <v>-95.339722219999999</v>
      </c>
      <c r="H4008">
        <f t="shared" si="124"/>
        <v>1963.2</v>
      </c>
      <c r="I4008">
        <f t="shared" si="125"/>
        <v>1219.9000000000001</v>
      </c>
    </row>
    <row r="4009" spans="1:9" x14ac:dyDescent="0.25">
      <c r="A4009" s="5" t="s">
        <v>71</v>
      </c>
      <c r="B4009" s="5" t="s">
        <v>533</v>
      </c>
      <c r="C4009" s="5" t="s">
        <v>4485</v>
      </c>
      <c r="D4009" s="3">
        <f>VLOOKUP(A4009,airports!A:H,7,FALSE)</f>
        <v>36.080361109999998</v>
      </c>
      <c r="E4009" s="3">
        <f>VLOOKUP(A4009,airports!A:H,8,FALSE)</f>
        <v>-115.1523333</v>
      </c>
      <c r="F4009" s="3">
        <f>VLOOKUP(B4009,airports!A:H,7,FALSE)</f>
        <v>37.649958890000001</v>
      </c>
      <c r="G4009" s="3">
        <f>VLOOKUP(B4009,airports!A:H,8,FALSE)</f>
        <v>-97.433045829999998</v>
      </c>
      <c r="H4009">
        <f t="shared" si="124"/>
        <v>1583.6</v>
      </c>
      <c r="I4009">
        <f t="shared" si="125"/>
        <v>984</v>
      </c>
    </row>
    <row r="4010" spans="1:9" x14ac:dyDescent="0.25">
      <c r="A4010" s="5" t="s">
        <v>71</v>
      </c>
      <c r="B4010" s="5" t="s">
        <v>867</v>
      </c>
      <c r="C4010" s="5" t="s">
        <v>4486</v>
      </c>
      <c r="D4010" s="3">
        <f>VLOOKUP(A4010,airports!A:H,7,FALSE)</f>
        <v>36.080361109999998</v>
      </c>
      <c r="E4010" s="3">
        <f>VLOOKUP(A4010,airports!A:H,8,FALSE)</f>
        <v>-115.1523333</v>
      </c>
      <c r="F4010" s="3">
        <f>VLOOKUP(B4010,airports!A:H,7,FALSE)</f>
        <v>43.514555559999998</v>
      </c>
      <c r="G4010" s="3">
        <f>VLOOKUP(B4010,airports!A:H,8,FALSE)</f>
        <v>-112.0701667</v>
      </c>
      <c r="H4010">
        <f t="shared" si="124"/>
        <v>867.4</v>
      </c>
      <c r="I4010">
        <f t="shared" si="125"/>
        <v>539</v>
      </c>
    </row>
    <row r="4011" spans="1:9" x14ac:dyDescent="0.25">
      <c r="A4011" s="5" t="s">
        <v>71</v>
      </c>
      <c r="B4011" s="5" t="s">
        <v>537</v>
      </c>
      <c r="C4011" s="5" t="s">
        <v>4487</v>
      </c>
      <c r="D4011" s="3">
        <f>VLOOKUP(A4011,airports!A:H,7,FALSE)</f>
        <v>36.080361109999998</v>
      </c>
      <c r="E4011" s="3">
        <f>VLOOKUP(A4011,airports!A:H,8,FALSE)</f>
        <v>-115.1523333</v>
      </c>
      <c r="F4011" s="3">
        <f>VLOOKUP(B4011,airports!A:H,7,FALSE)</f>
        <v>39.717329169999999</v>
      </c>
      <c r="G4011" s="3">
        <f>VLOOKUP(B4011,airports!A:H,8,FALSE)</f>
        <v>-86.294384170000001</v>
      </c>
      <c r="H4011">
        <f t="shared" si="124"/>
        <v>2552.9</v>
      </c>
      <c r="I4011">
        <f t="shared" si="125"/>
        <v>1586.4</v>
      </c>
    </row>
    <row r="4012" spans="1:9" x14ac:dyDescent="0.25">
      <c r="A4012" s="5" t="s">
        <v>71</v>
      </c>
      <c r="B4012" s="5" t="s">
        <v>541</v>
      </c>
      <c r="C4012" s="5" t="s">
        <v>4488</v>
      </c>
      <c r="D4012" s="3">
        <f>VLOOKUP(A4012,airports!A:H,7,FALSE)</f>
        <v>36.080361109999998</v>
      </c>
      <c r="E4012" s="3">
        <f>VLOOKUP(A4012,airports!A:H,8,FALSE)</f>
        <v>-115.1523333</v>
      </c>
      <c r="F4012" s="3">
        <f>VLOOKUP(B4012,airports!A:H,7,FALSE)</f>
        <v>43.607324169999998</v>
      </c>
      <c r="G4012" s="3">
        <f>VLOOKUP(B4012,airports!A:H,8,FALSE)</f>
        <v>-110.7377389</v>
      </c>
      <c r="H4012">
        <f t="shared" si="124"/>
        <v>917.5</v>
      </c>
      <c r="I4012">
        <f t="shared" si="125"/>
        <v>570.20000000000005</v>
      </c>
    </row>
    <row r="4013" spans="1:9" x14ac:dyDescent="0.25">
      <c r="A4013" s="5" t="s">
        <v>71</v>
      </c>
      <c r="B4013" s="5" t="s">
        <v>68</v>
      </c>
      <c r="C4013" s="5" t="s">
        <v>4489</v>
      </c>
      <c r="D4013" s="3">
        <f>VLOOKUP(A4013,airports!A:H,7,FALSE)</f>
        <v>36.080361109999998</v>
      </c>
      <c r="E4013" s="3">
        <f>VLOOKUP(A4013,airports!A:H,8,FALSE)</f>
        <v>-115.1523333</v>
      </c>
      <c r="F4013" s="3">
        <f>VLOOKUP(B4013,airports!A:H,7,FALSE)</f>
        <v>30.49405556</v>
      </c>
      <c r="G4013" s="3">
        <f>VLOOKUP(B4013,airports!A:H,8,FALSE)</f>
        <v>-81.68786111</v>
      </c>
      <c r="H4013">
        <f t="shared" si="124"/>
        <v>3155.8</v>
      </c>
      <c r="I4013">
        <f t="shared" si="125"/>
        <v>1961.1</v>
      </c>
    </row>
    <row r="4014" spans="1:9" x14ac:dyDescent="0.25">
      <c r="A4014" s="5" t="s">
        <v>71</v>
      </c>
      <c r="B4014" s="5" t="s">
        <v>69</v>
      </c>
      <c r="C4014" s="5" t="s">
        <v>4490</v>
      </c>
      <c r="D4014" s="3">
        <f>VLOOKUP(A4014,airports!A:H,7,FALSE)</f>
        <v>36.080361109999998</v>
      </c>
      <c r="E4014" s="3">
        <f>VLOOKUP(A4014,airports!A:H,8,FALSE)</f>
        <v>-115.1523333</v>
      </c>
      <c r="F4014" s="3">
        <f>VLOOKUP(B4014,airports!A:H,7,FALSE)</f>
        <v>40.639751109999999</v>
      </c>
      <c r="G4014" s="3">
        <f>VLOOKUP(B4014,airports!A:H,8,FALSE)</f>
        <v>-73.778925560000005</v>
      </c>
      <c r="H4014">
        <f t="shared" si="124"/>
        <v>3609.3</v>
      </c>
      <c r="I4014">
        <f t="shared" si="125"/>
        <v>2242.9</v>
      </c>
    </row>
    <row r="4015" spans="1:9" ht="30" x14ac:dyDescent="0.25">
      <c r="A4015" s="5" t="s">
        <v>71</v>
      </c>
      <c r="B4015" s="5" t="s">
        <v>366</v>
      </c>
      <c r="C4015" s="5" t="s">
        <v>4491</v>
      </c>
      <c r="D4015" s="3">
        <f>VLOOKUP(A4015,airports!A:H,7,FALSE)</f>
        <v>36.080361109999998</v>
      </c>
      <c r="E4015" s="3">
        <f>VLOOKUP(A4015,airports!A:H,8,FALSE)</f>
        <v>-115.1523333</v>
      </c>
      <c r="F4015" s="3">
        <f>VLOOKUP(B4015,airports!A:H,7,FALSE)</f>
        <v>19.738765829999998</v>
      </c>
      <c r="G4015" s="3">
        <f>VLOOKUP(B4015,airports!A:H,8,FALSE)</f>
        <v>-156.04563139999999</v>
      </c>
      <c r="H4015">
        <f t="shared" si="124"/>
        <v>4369</v>
      </c>
      <c r="I4015">
        <f t="shared" si="125"/>
        <v>2714.9</v>
      </c>
    </row>
    <row r="4016" spans="1:9" x14ac:dyDescent="0.25">
      <c r="A4016" s="5" t="s">
        <v>71</v>
      </c>
      <c r="B4016" s="5" t="s">
        <v>73</v>
      </c>
      <c r="C4016" s="5" t="s">
        <v>4492</v>
      </c>
      <c r="D4016" s="3">
        <f>VLOOKUP(A4016,airports!A:H,7,FALSE)</f>
        <v>36.080361109999998</v>
      </c>
      <c r="E4016" s="3">
        <f>VLOOKUP(A4016,airports!A:H,8,FALSE)</f>
        <v>-115.1523333</v>
      </c>
      <c r="F4016" s="3">
        <f>VLOOKUP(B4016,airports!A:H,7,FALSE)</f>
        <v>33.942536109999999</v>
      </c>
      <c r="G4016" s="3">
        <f>VLOOKUP(B4016,airports!A:H,8,FALSE)</f>
        <v>-118.4080744</v>
      </c>
      <c r="H4016">
        <f t="shared" si="124"/>
        <v>380</v>
      </c>
      <c r="I4016">
        <f t="shared" si="125"/>
        <v>236.1</v>
      </c>
    </row>
    <row r="4017" spans="1:9" x14ac:dyDescent="0.25">
      <c r="A4017" s="5" t="s">
        <v>71</v>
      </c>
      <c r="B4017" s="5" t="s">
        <v>738</v>
      </c>
      <c r="C4017" s="5" t="s">
        <v>4493</v>
      </c>
      <c r="D4017" s="3">
        <f>VLOOKUP(A4017,airports!A:H,7,FALSE)</f>
        <v>36.080361109999998</v>
      </c>
      <c r="E4017" s="3">
        <f>VLOOKUP(A4017,airports!A:H,8,FALSE)</f>
        <v>-115.1523333</v>
      </c>
      <c r="F4017" s="3">
        <f>VLOOKUP(B4017,airports!A:H,7,FALSE)</f>
        <v>33.663638890000001</v>
      </c>
      <c r="G4017" s="3">
        <f>VLOOKUP(B4017,airports!A:H,8,FALSE)</f>
        <v>-101.8227778</v>
      </c>
      <c r="H4017">
        <f t="shared" si="124"/>
        <v>1244.3</v>
      </c>
      <c r="I4017">
        <f t="shared" si="125"/>
        <v>773.2</v>
      </c>
    </row>
    <row r="4018" spans="1:9" x14ac:dyDescent="0.25">
      <c r="A4018" s="5" t="s">
        <v>71</v>
      </c>
      <c r="B4018" s="5" t="s">
        <v>742</v>
      </c>
      <c r="C4018" s="5" t="s">
        <v>4494</v>
      </c>
      <c r="D4018" s="3">
        <f>VLOOKUP(A4018,airports!A:H,7,FALSE)</f>
        <v>36.080361109999998</v>
      </c>
      <c r="E4018" s="3">
        <f>VLOOKUP(A4018,airports!A:H,8,FALSE)</f>
        <v>-115.1523333</v>
      </c>
      <c r="F4018" s="3">
        <f>VLOOKUP(B4018,airports!A:H,7,FALSE)</f>
        <v>33.81772222</v>
      </c>
      <c r="G4018" s="3">
        <f>VLOOKUP(B4018,airports!A:H,8,FALSE)</f>
        <v>-118.1516111</v>
      </c>
      <c r="H4018">
        <f t="shared" si="124"/>
        <v>371.5</v>
      </c>
      <c r="I4018">
        <f t="shared" si="125"/>
        <v>230.8</v>
      </c>
    </row>
    <row r="4019" spans="1:9" x14ac:dyDescent="0.25">
      <c r="A4019" s="5" t="s">
        <v>71</v>
      </c>
      <c r="B4019" s="5" t="s">
        <v>2421</v>
      </c>
      <c r="C4019" s="5" t="s">
        <v>4495</v>
      </c>
      <c r="D4019" s="3">
        <f>VLOOKUP(A4019,airports!A:H,7,FALSE)</f>
        <v>36.080361109999998</v>
      </c>
      <c r="E4019" s="3">
        <f>VLOOKUP(A4019,airports!A:H,8,FALSE)</f>
        <v>-115.1523333</v>
      </c>
      <c r="F4019" s="3">
        <f>VLOOKUP(B4019,airports!A:H,7,FALSE)</f>
        <v>21.975983060000001</v>
      </c>
      <c r="G4019" s="3">
        <f>VLOOKUP(B4019,airports!A:H,8,FALSE)</f>
        <v>-159.33895810000001</v>
      </c>
      <c r="H4019">
        <f t="shared" si="124"/>
        <v>4528.8</v>
      </c>
      <c r="I4019">
        <f t="shared" si="125"/>
        <v>2814.2</v>
      </c>
    </row>
    <row r="4020" spans="1:9" x14ac:dyDescent="0.25">
      <c r="A4020" s="5" t="s">
        <v>71</v>
      </c>
      <c r="B4020" s="5" t="s">
        <v>554</v>
      </c>
      <c r="C4020" s="5" t="s">
        <v>4496</v>
      </c>
      <c r="D4020" s="3">
        <f>VLOOKUP(A4020,airports!A:H,7,FALSE)</f>
        <v>36.080361109999998</v>
      </c>
      <c r="E4020" s="3">
        <f>VLOOKUP(A4020,airports!A:H,8,FALSE)</f>
        <v>-115.1523333</v>
      </c>
      <c r="F4020" s="3">
        <f>VLOOKUP(B4020,airports!A:H,7,FALSE)</f>
        <v>34.729396110000003</v>
      </c>
      <c r="G4020" s="3">
        <f>VLOOKUP(B4020,airports!A:H,8,FALSE)</f>
        <v>-92.22424556</v>
      </c>
      <c r="H4020">
        <f t="shared" si="124"/>
        <v>2078.6</v>
      </c>
      <c r="I4020">
        <f t="shared" si="125"/>
        <v>1291.7</v>
      </c>
    </row>
    <row r="4021" spans="1:9" x14ac:dyDescent="0.25">
      <c r="A4021" s="5" t="s">
        <v>71</v>
      </c>
      <c r="B4021" s="5" t="s">
        <v>2649</v>
      </c>
      <c r="C4021" s="5" t="s">
        <v>4497</v>
      </c>
      <c r="D4021" s="3">
        <f>VLOOKUP(A4021,airports!A:H,7,FALSE)</f>
        <v>36.080361109999998</v>
      </c>
      <c r="E4021" s="3">
        <f>VLOOKUP(A4021,airports!A:H,8,FALSE)</f>
        <v>-115.1523333</v>
      </c>
      <c r="F4021" s="3">
        <f>VLOOKUP(B4021,airports!A:H,7,FALSE)</f>
        <v>27.543738609999998</v>
      </c>
      <c r="G4021" s="3">
        <f>VLOOKUP(B4021,airports!A:H,8,FALSE)</f>
        <v>-99.461543610000007</v>
      </c>
      <c r="H4021">
        <f t="shared" si="124"/>
        <v>1756.9</v>
      </c>
      <c r="I4021">
        <f t="shared" si="125"/>
        <v>1091.7</v>
      </c>
    </row>
    <row r="4022" spans="1:9" ht="30" x14ac:dyDescent="0.25">
      <c r="A4022" s="5" t="s">
        <v>71</v>
      </c>
      <c r="B4022" s="5" t="s">
        <v>744</v>
      </c>
      <c r="C4022" s="5" t="s">
        <v>4498</v>
      </c>
      <c r="D4022" s="3">
        <f>VLOOKUP(A4022,airports!A:H,7,FALSE)</f>
        <v>36.080361109999998</v>
      </c>
      <c r="E4022" s="3">
        <f>VLOOKUP(A4022,airports!A:H,8,FALSE)</f>
        <v>-115.1523333</v>
      </c>
      <c r="F4022" s="3">
        <f>VLOOKUP(B4022,airports!A:H,7,FALSE)</f>
        <v>31.942527779999999</v>
      </c>
      <c r="G4022" s="3">
        <f>VLOOKUP(B4022,airports!A:H,8,FALSE)</f>
        <v>-102.20191389999999</v>
      </c>
      <c r="H4022">
        <f t="shared" si="124"/>
        <v>1278</v>
      </c>
      <c r="I4022">
        <f t="shared" si="125"/>
        <v>794.1</v>
      </c>
    </row>
    <row r="4023" spans="1:9" x14ac:dyDescent="0.25">
      <c r="A4023" s="5" t="s">
        <v>71</v>
      </c>
      <c r="B4023" s="5" t="s">
        <v>80</v>
      </c>
      <c r="C4023" s="5" t="s">
        <v>4499</v>
      </c>
      <c r="D4023" s="3">
        <f>VLOOKUP(A4023,airports!A:H,7,FALSE)</f>
        <v>36.080361109999998</v>
      </c>
      <c r="E4023" s="3">
        <f>VLOOKUP(A4023,airports!A:H,8,FALSE)</f>
        <v>-115.1523333</v>
      </c>
      <c r="F4023" s="3">
        <f>VLOOKUP(B4023,airports!A:H,7,FALSE)</f>
        <v>39.297605279999999</v>
      </c>
      <c r="G4023" s="3">
        <f>VLOOKUP(B4023,airports!A:H,8,FALSE)</f>
        <v>-94.713905560000001</v>
      </c>
      <c r="H4023">
        <f t="shared" si="124"/>
        <v>1829.5</v>
      </c>
      <c r="I4023">
        <f t="shared" si="125"/>
        <v>1136.9000000000001</v>
      </c>
    </row>
    <row r="4024" spans="1:9" ht="30" x14ac:dyDescent="0.25">
      <c r="A4024" s="5" t="s">
        <v>71</v>
      </c>
      <c r="B4024" s="5" t="s">
        <v>82</v>
      </c>
      <c r="C4024" s="5" t="s">
        <v>4500</v>
      </c>
      <c r="D4024" s="3">
        <f>VLOOKUP(A4024,airports!A:H,7,FALSE)</f>
        <v>36.080361109999998</v>
      </c>
      <c r="E4024" s="3">
        <f>VLOOKUP(A4024,airports!A:H,8,FALSE)</f>
        <v>-115.1523333</v>
      </c>
      <c r="F4024" s="3">
        <f>VLOOKUP(B4024,airports!A:H,7,FALSE)</f>
        <v>28.42888889</v>
      </c>
      <c r="G4024" s="3">
        <f>VLOOKUP(B4024,airports!A:H,8,FALSE)</f>
        <v>-81.316027779999999</v>
      </c>
      <c r="H4024">
        <f t="shared" si="124"/>
        <v>3275.5</v>
      </c>
      <c r="I4024">
        <f t="shared" si="125"/>
        <v>2035.4</v>
      </c>
    </row>
    <row r="4025" spans="1:9" ht="30" x14ac:dyDescent="0.25">
      <c r="A4025" s="5" t="s">
        <v>71</v>
      </c>
      <c r="B4025" s="5" t="s">
        <v>180</v>
      </c>
      <c r="C4025" s="5" t="s">
        <v>4501</v>
      </c>
      <c r="D4025" s="3">
        <f>VLOOKUP(A4025,airports!A:H,7,FALSE)</f>
        <v>36.080361109999998</v>
      </c>
      <c r="E4025" s="3">
        <f>VLOOKUP(A4025,airports!A:H,8,FALSE)</f>
        <v>-115.1523333</v>
      </c>
      <c r="F4025" s="3">
        <f>VLOOKUP(B4025,airports!A:H,7,FALSE)</f>
        <v>41.785982500000003</v>
      </c>
      <c r="G4025" s="3">
        <f>VLOOKUP(B4025,airports!A:H,8,FALSE)</f>
        <v>-87.752424439999999</v>
      </c>
      <c r="H4025">
        <f t="shared" si="124"/>
        <v>2441.9</v>
      </c>
      <c r="I4025">
        <f t="shared" si="125"/>
        <v>1517.4</v>
      </c>
    </row>
    <row r="4026" spans="1:9" ht="30" x14ac:dyDescent="0.25">
      <c r="A4026" s="5" t="s">
        <v>71</v>
      </c>
      <c r="B4026" s="5" t="s">
        <v>563</v>
      </c>
      <c r="C4026" s="5" t="s">
        <v>4502</v>
      </c>
      <c r="D4026" s="3">
        <f>VLOOKUP(A4026,airports!A:H,7,FALSE)</f>
        <v>36.080361109999998</v>
      </c>
      <c r="E4026" s="3">
        <f>VLOOKUP(A4026,airports!A:H,8,FALSE)</f>
        <v>-115.1523333</v>
      </c>
      <c r="F4026" s="3">
        <f>VLOOKUP(B4026,airports!A:H,7,FALSE)</f>
        <v>35.042416670000001</v>
      </c>
      <c r="G4026" s="3">
        <f>VLOOKUP(B4026,airports!A:H,8,FALSE)</f>
        <v>-89.97666667</v>
      </c>
      <c r="H4026">
        <f t="shared" si="124"/>
        <v>2273.9</v>
      </c>
      <c r="I4026">
        <f t="shared" si="125"/>
        <v>1413</v>
      </c>
    </row>
    <row r="4027" spans="1:9" ht="30" x14ac:dyDescent="0.25">
      <c r="A4027" s="5" t="s">
        <v>71</v>
      </c>
      <c r="B4027" s="5" t="s">
        <v>750</v>
      </c>
      <c r="C4027" s="5" t="s">
        <v>4503</v>
      </c>
      <c r="D4027" s="3">
        <f>VLOOKUP(A4027,airports!A:H,7,FALSE)</f>
        <v>36.080361109999998</v>
      </c>
      <c r="E4027" s="3">
        <f>VLOOKUP(A4027,airports!A:H,8,FALSE)</f>
        <v>-115.1523333</v>
      </c>
      <c r="F4027" s="3">
        <f>VLOOKUP(B4027,airports!A:H,7,FALSE)</f>
        <v>26.17583333</v>
      </c>
      <c r="G4027" s="3">
        <f>VLOOKUP(B4027,airports!A:H,8,FALSE)</f>
        <v>-98.238611109999994</v>
      </c>
      <c r="H4027">
        <f t="shared" si="124"/>
        <v>1945.8</v>
      </c>
      <c r="I4027">
        <f t="shared" si="125"/>
        <v>1209.0999999999999</v>
      </c>
    </row>
    <row r="4028" spans="1:9" ht="30" x14ac:dyDescent="0.25">
      <c r="A4028" s="5" t="s">
        <v>71</v>
      </c>
      <c r="B4028" s="5" t="s">
        <v>875</v>
      </c>
      <c r="C4028" s="5" t="s">
        <v>4504</v>
      </c>
      <c r="D4028" s="3">
        <f>VLOOKUP(A4028,airports!A:H,7,FALSE)</f>
        <v>36.080361109999998</v>
      </c>
      <c r="E4028" s="3">
        <f>VLOOKUP(A4028,airports!A:H,8,FALSE)</f>
        <v>-115.1523333</v>
      </c>
      <c r="F4028" s="3">
        <f>VLOOKUP(B4028,airports!A:H,7,FALSE)</f>
        <v>42.374227779999998</v>
      </c>
      <c r="G4028" s="3">
        <f>VLOOKUP(B4028,airports!A:H,8,FALSE)</f>
        <v>-122.8734978</v>
      </c>
      <c r="H4028">
        <f t="shared" si="124"/>
        <v>964.6</v>
      </c>
      <c r="I4028">
        <f t="shared" si="125"/>
        <v>599.4</v>
      </c>
    </row>
    <row r="4029" spans="1:9" ht="30" x14ac:dyDescent="0.25">
      <c r="A4029" s="5" t="s">
        <v>71</v>
      </c>
      <c r="B4029" s="5" t="s">
        <v>84</v>
      </c>
      <c r="C4029" s="5" t="s">
        <v>4505</v>
      </c>
      <c r="D4029" s="3">
        <f>VLOOKUP(A4029,airports!A:H,7,FALSE)</f>
        <v>36.080361109999998</v>
      </c>
      <c r="E4029" s="3">
        <f>VLOOKUP(A4029,airports!A:H,8,FALSE)</f>
        <v>-115.1523333</v>
      </c>
      <c r="F4029" s="3">
        <f>VLOOKUP(B4029,airports!A:H,7,FALSE)</f>
        <v>25.79325</v>
      </c>
      <c r="G4029" s="3">
        <f>VLOOKUP(B4029,airports!A:H,8,FALSE)</f>
        <v>-80.290555560000001</v>
      </c>
      <c r="H4029">
        <f t="shared" si="124"/>
        <v>3494.2</v>
      </c>
      <c r="I4029">
        <f t="shared" si="125"/>
        <v>2171.3000000000002</v>
      </c>
    </row>
    <row r="4030" spans="1:9" ht="30" x14ac:dyDescent="0.25">
      <c r="A4030" s="5" t="s">
        <v>71</v>
      </c>
      <c r="B4030" s="5" t="s">
        <v>85</v>
      </c>
      <c r="C4030" s="5" t="s">
        <v>4506</v>
      </c>
      <c r="D4030" s="3">
        <f>VLOOKUP(A4030,airports!A:H,7,FALSE)</f>
        <v>36.080361109999998</v>
      </c>
      <c r="E4030" s="3">
        <f>VLOOKUP(A4030,airports!A:H,8,FALSE)</f>
        <v>-115.1523333</v>
      </c>
      <c r="F4030" s="3">
        <f>VLOOKUP(B4030,airports!A:H,7,FALSE)</f>
        <v>42.94722222</v>
      </c>
      <c r="G4030" s="3">
        <f>VLOOKUP(B4030,airports!A:H,8,FALSE)</f>
        <v>-87.896583329999999</v>
      </c>
      <c r="H4030">
        <f t="shared" si="124"/>
        <v>2447</v>
      </c>
      <c r="I4030">
        <f t="shared" si="125"/>
        <v>1520.6</v>
      </c>
    </row>
    <row r="4031" spans="1:9" x14ac:dyDescent="0.25">
      <c r="A4031" s="5" t="s">
        <v>71</v>
      </c>
      <c r="B4031" s="5" t="s">
        <v>573</v>
      </c>
      <c r="C4031" s="5" t="s">
        <v>4507</v>
      </c>
      <c r="D4031" s="3">
        <f>VLOOKUP(A4031,airports!A:H,7,FALSE)</f>
        <v>36.080361109999998</v>
      </c>
      <c r="E4031" s="3">
        <f>VLOOKUP(A4031,airports!A:H,8,FALSE)</f>
        <v>-115.1523333</v>
      </c>
      <c r="F4031" s="3">
        <f>VLOOKUP(B4031,airports!A:H,7,FALSE)</f>
        <v>41.448526389999998</v>
      </c>
      <c r="G4031" s="3">
        <f>VLOOKUP(B4031,airports!A:H,8,FALSE)</f>
        <v>-90.507539170000001</v>
      </c>
      <c r="H4031">
        <f t="shared" si="124"/>
        <v>2210.1</v>
      </c>
      <c r="I4031">
        <f t="shared" si="125"/>
        <v>1373.3</v>
      </c>
    </row>
    <row r="4032" spans="1:9" ht="30" x14ac:dyDescent="0.25">
      <c r="A4032" s="5" t="s">
        <v>71</v>
      </c>
      <c r="B4032" s="5" t="s">
        <v>879</v>
      </c>
      <c r="C4032" s="5" t="s">
        <v>4508</v>
      </c>
      <c r="D4032" s="3">
        <f>VLOOKUP(A4032,airports!A:H,7,FALSE)</f>
        <v>36.080361109999998</v>
      </c>
      <c r="E4032" s="3">
        <f>VLOOKUP(A4032,airports!A:H,8,FALSE)</f>
        <v>-115.1523333</v>
      </c>
      <c r="F4032" s="3">
        <f>VLOOKUP(B4032,airports!A:H,7,FALSE)</f>
        <v>48.259377780000001</v>
      </c>
      <c r="G4032" s="3">
        <f>VLOOKUP(B4032,airports!A:H,8,FALSE)</f>
        <v>-101.2803339</v>
      </c>
      <c r="H4032">
        <f t="shared" si="124"/>
        <v>1766.6</v>
      </c>
      <c r="I4032">
        <f t="shared" si="125"/>
        <v>1097.8</v>
      </c>
    </row>
    <row r="4033" spans="1:9" ht="30" x14ac:dyDescent="0.25">
      <c r="A4033" s="5" t="s">
        <v>71</v>
      </c>
      <c r="B4033" s="5" t="s">
        <v>2439</v>
      </c>
      <c r="C4033" s="5" t="s">
        <v>4509</v>
      </c>
      <c r="D4033" s="3">
        <f>VLOOKUP(A4033,airports!A:H,7,FALSE)</f>
        <v>36.080361109999998</v>
      </c>
      <c r="E4033" s="3">
        <f>VLOOKUP(A4033,airports!A:H,8,FALSE)</f>
        <v>-115.1523333</v>
      </c>
      <c r="F4033" s="3">
        <f>VLOOKUP(B4033,airports!A:H,7,FALSE)</f>
        <v>36.586982499999998</v>
      </c>
      <c r="G4033" s="3">
        <f>VLOOKUP(B4033,airports!A:H,8,FALSE)</f>
        <v>-121.8429478</v>
      </c>
      <c r="H4033">
        <f t="shared" si="124"/>
        <v>601.79999999999995</v>
      </c>
      <c r="I4033">
        <f t="shared" si="125"/>
        <v>374</v>
      </c>
    </row>
    <row r="4034" spans="1:9" ht="30" x14ac:dyDescent="0.25">
      <c r="A4034" s="5" t="s">
        <v>71</v>
      </c>
      <c r="B4034" s="5" t="s">
        <v>579</v>
      </c>
      <c r="C4034" s="5" t="s">
        <v>4510</v>
      </c>
      <c r="D4034" s="3">
        <f>VLOOKUP(A4034,airports!A:H,7,FALSE)</f>
        <v>36.080361109999998</v>
      </c>
      <c r="E4034" s="3">
        <f>VLOOKUP(A4034,airports!A:H,8,FALSE)</f>
        <v>-115.1523333</v>
      </c>
      <c r="F4034" s="3">
        <f>VLOOKUP(B4034,airports!A:H,7,FALSE)</f>
        <v>43.13985778</v>
      </c>
      <c r="G4034" s="3">
        <f>VLOOKUP(B4034,airports!A:H,8,FALSE)</f>
        <v>-89.337513610000002</v>
      </c>
      <c r="H4034">
        <f t="shared" si="124"/>
        <v>2335.3000000000002</v>
      </c>
      <c r="I4034">
        <f t="shared" si="125"/>
        <v>1451.2</v>
      </c>
    </row>
    <row r="4035" spans="1:9" ht="30" x14ac:dyDescent="0.25">
      <c r="A4035" s="5" t="s">
        <v>71</v>
      </c>
      <c r="B4035" s="5" t="s">
        <v>581</v>
      </c>
      <c r="C4035" s="5" t="s">
        <v>4511</v>
      </c>
      <c r="D4035" s="3">
        <f>VLOOKUP(A4035,airports!A:H,7,FALSE)</f>
        <v>36.080361109999998</v>
      </c>
      <c r="E4035" s="3">
        <f>VLOOKUP(A4035,airports!A:H,8,FALSE)</f>
        <v>-115.1523333</v>
      </c>
      <c r="F4035" s="3">
        <f>VLOOKUP(B4035,airports!A:H,7,FALSE)</f>
        <v>46.916305559999998</v>
      </c>
      <c r="G4035" s="3">
        <f>VLOOKUP(B4035,airports!A:H,8,FALSE)</f>
        <v>-114.0905556</v>
      </c>
      <c r="H4035">
        <f t="shared" si="124"/>
        <v>1208.0999999999999</v>
      </c>
      <c r="I4035">
        <f t="shared" si="125"/>
        <v>750.7</v>
      </c>
    </row>
    <row r="4036" spans="1:9" ht="30" x14ac:dyDescent="0.25">
      <c r="A4036" s="5" t="s">
        <v>71</v>
      </c>
      <c r="B4036" s="5" t="s">
        <v>87</v>
      </c>
      <c r="C4036" s="5" t="s">
        <v>4512</v>
      </c>
      <c r="D4036" s="3">
        <f>VLOOKUP(A4036,airports!A:H,7,FALSE)</f>
        <v>36.080361109999998</v>
      </c>
      <c r="E4036" s="3">
        <f>VLOOKUP(A4036,airports!A:H,8,FALSE)</f>
        <v>-115.1523333</v>
      </c>
      <c r="F4036" s="3">
        <f>VLOOKUP(B4036,airports!A:H,7,FALSE)</f>
        <v>44.880546940000002</v>
      </c>
      <c r="G4036" s="3">
        <f>VLOOKUP(B4036,airports!A:H,8,FALSE)</f>
        <v>-93.216922499999995</v>
      </c>
      <c r="H4036">
        <f t="shared" ref="H4036:H4099" si="126">ROUND(ACOS(COS(RADIANS(90-D4036)) * COS(RADIANS(90-F4036)) + SIN(RADIANS(90-D4036)) * SIN(RADIANS(90-F4036)) * COS(RADIANS(E4036-G4036))) * 6371,1)</f>
        <v>2088.1</v>
      </c>
      <c r="I4036">
        <f t="shared" ref="I4036:I4099" si="127">ROUND(ACOS(COS(RADIANS(90-D4036)) * COS(RADIANS(90-F4036)) + SIN(RADIANS(90-D4036)) * SIN(RADIANS(90-F4036)) * COS(RADIANS(E4036-G4036))) * 3959,1)</f>
        <v>1297.5999999999999</v>
      </c>
    </row>
    <row r="4037" spans="1:9" ht="30" x14ac:dyDescent="0.25">
      <c r="A4037" s="5" t="s">
        <v>71</v>
      </c>
      <c r="B4037" s="5" t="s">
        <v>89</v>
      </c>
      <c r="C4037" s="5" t="s">
        <v>4513</v>
      </c>
      <c r="D4037" s="3">
        <f>VLOOKUP(A4037,airports!A:H,7,FALSE)</f>
        <v>36.080361109999998</v>
      </c>
      <c r="E4037" s="3">
        <f>VLOOKUP(A4037,airports!A:H,8,FALSE)</f>
        <v>-115.1523333</v>
      </c>
      <c r="F4037" s="3">
        <f>VLOOKUP(B4037,airports!A:H,7,FALSE)</f>
        <v>29.993388889999999</v>
      </c>
      <c r="G4037" s="3">
        <f>VLOOKUP(B4037,airports!A:H,8,FALSE)</f>
        <v>-90.258027780000006</v>
      </c>
      <c r="H4037">
        <f t="shared" si="126"/>
        <v>2409.6</v>
      </c>
      <c r="I4037">
        <f t="shared" si="127"/>
        <v>1497.3</v>
      </c>
    </row>
    <row r="4038" spans="1:9" ht="30" x14ac:dyDescent="0.25">
      <c r="A4038" s="5" t="s">
        <v>71</v>
      </c>
      <c r="B4038" s="5" t="s">
        <v>215</v>
      </c>
      <c r="C4038" s="5" t="s">
        <v>4514</v>
      </c>
      <c r="D4038" s="3">
        <f>VLOOKUP(A4038,airports!A:H,7,FALSE)</f>
        <v>36.080361109999998</v>
      </c>
      <c r="E4038" s="3">
        <f>VLOOKUP(A4038,airports!A:H,8,FALSE)</f>
        <v>-115.1523333</v>
      </c>
      <c r="F4038" s="3">
        <f>VLOOKUP(B4038,airports!A:H,7,FALSE)</f>
        <v>37.721290830000001</v>
      </c>
      <c r="G4038" s="3">
        <f>VLOOKUP(B4038,airports!A:H,8,FALSE)</f>
        <v>-122.2207167</v>
      </c>
      <c r="H4038">
        <f t="shared" si="126"/>
        <v>654.29999999999995</v>
      </c>
      <c r="I4038">
        <f t="shared" si="127"/>
        <v>406.6</v>
      </c>
    </row>
    <row r="4039" spans="1:9" ht="30" x14ac:dyDescent="0.25">
      <c r="A4039" s="5" t="s">
        <v>71</v>
      </c>
      <c r="B4039" s="5" t="s">
        <v>884</v>
      </c>
      <c r="C4039" s="5" t="s">
        <v>4515</v>
      </c>
      <c r="D4039" s="3">
        <f>VLOOKUP(A4039,airports!A:H,7,FALSE)</f>
        <v>36.080361109999998</v>
      </c>
      <c r="E4039" s="3">
        <f>VLOOKUP(A4039,airports!A:H,8,FALSE)</f>
        <v>-115.1523333</v>
      </c>
      <c r="F4039" s="3">
        <f>VLOOKUP(B4039,airports!A:H,7,FALSE)</f>
        <v>41.195899963378999</v>
      </c>
      <c r="G4039" s="3">
        <f>VLOOKUP(B4039,airports!A:H,8,FALSE)</f>
        <v>-112.0120010376</v>
      </c>
      <c r="H4039">
        <f t="shared" si="126"/>
        <v>630.70000000000005</v>
      </c>
      <c r="I4039">
        <f t="shared" si="127"/>
        <v>391.9</v>
      </c>
    </row>
    <row r="4040" spans="1:9" ht="30" x14ac:dyDescent="0.25">
      <c r="A4040" s="5" t="s">
        <v>71</v>
      </c>
      <c r="B4040" s="5" t="s">
        <v>371</v>
      </c>
      <c r="C4040" s="5" t="s">
        <v>4516</v>
      </c>
      <c r="D4040" s="3">
        <f>VLOOKUP(A4040,airports!A:H,7,FALSE)</f>
        <v>36.080361109999998</v>
      </c>
      <c r="E4040" s="3">
        <f>VLOOKUP(A4040,airports!A:H,8,FALSE)</f>
        <v>-115.1523333</v>
      </c>
      <c r="F4040" s="3">
        <f>VLOOKUP(B4040,airports!A:H,7,FALSE)</f>
        <v>20.898649720000002</v>
      </c>
      <c r="G4040" s="3">
        <f>VLOOKUP(B4040,airports!A:H,8,FALSE)</f>
        <v>-156.4304578</v>
      </c>
      <c r="H4040">
        <f t="shared" si="126"/>
        <v>4333.1000000000004</v>
      </c>
      <c r="I4040">
        <f t="shared" si="127"/>
        <v>2692.6</v>
      </c>
    </row>
    <row r="4041" spans="1:9" ht="30" x14ac:dyDescent="0.25">
      <c r="A4041" s="5" t="s">
        <v>71</v>
      </c>
      <c r="B4041" s="5" t="s">
        <v>590</v>
      </c>
      <c r="C4041" s="5" t="s">
        <v>4517</v>
      </c>
      <c r="D4041" s="3">
        <f>VLOOKUP(A4041,airports!A:H,7,FALSE)</f>
        <v>36.080361109999998</v>
      </c>
      <c r="E4041" s="3">
        <f>VLOOKUP(A4041,airports!A:H,8,FALSE)</f>
        <v>-115.1523333</v>
      </c>
      <c r="F4041" s="3">
        <f>VLOOKUP(B4041,airports!A:H,7,FALSE)</f>
        <v>35.393088329999998</v>
      </c>
      <c r="G4041" s="3">
        <f>VLOOKUP(B4041,airports!A:H,8,FALSE)</f>
        <v>-97.600733890000001</v>
      </c>
      <c r="H4041">
        <f t="shared" si="126"/>
        <v>1583.9</v>
      </c>
      <c r="I4041">
        <f t="shared" si="127"/>
        <v>984.2</v>
      </c>
    </row>
    <row r="4042" spans="1:9" ht="30" x14ac:dyDescent="0.25">
      <c r="A4042" s="5" t="s">
        <v>71</v>
      </c>
      <c r="B4042" s="5" t="s">
        <v>592</v>
      </c>
      <c r="C4042" s="5" t="s">
        <v>4518</v>
      </c>
      <c r="D4042" s="3">
        <f>VLOOKUP(A4042,airports!A:H,7,FALSE)</f>
        <v>36.080361109999998</v>
      </c>
      <c r="E4042" s="3">
        <f>VLOOKUP(A4042,airports!A:H,8,FALSE)</f>
        <v>-115.1523333</v>
      </c>
      <c r="F4042" s="3">
        <f>VLOOKUP(B4042,airports!A:H,7,FALSE)</f>
        <v>41.30251861</v>
      </c>
      <c r="G4042" s="3">
        <f>VLOOKUP(B4042,airports!A:H,8,FALSE)</f>
        <v>-95.89417306</v>
      </c>
      <c r="H4042">
        <f t="shared" si="126"/>
        <v>1764.9</v>
      </c>
      <c r="I4042">
        <f t="shared" si="127"/>
        <v>1096.7</v>
      </c>
    </row>
    <row r="4043" spans="1:9" ht="30" x14ac:dyDescent="0.25">
      <c r="A4043" s="5" t="s">
        <v>71</v>
      </c>
      <c r="B4043" s="5" t="s">
        <v>94</v>
      </c>
      <c r="C4043" s="5" t="s">
        <v>4519</v>
      </c>
      <c r="D4043" s="3">
        <f>VLOOKUP(A4043,airports!A:H,7,FALSE)</f>
        <v>36.080361109999998</v>
      </c>
      <c r="E4043" s="3">
        <f>VLOOKUP(A4043,airports!A:H,8,FALSE)</f>
        <v>-115.1523333</v>
      </c>
      <c r="F4043" s="3">
        <f>VLOOKUP(B4043,airports!A:H,7,FALSE)</f>
        <v>34.055999999999997</v>
      </c>
      <c r="G4043" s="3">
        <f>VLOOKUP(B4043,airports!A:H,8,FALSE)</f>
        <v>-117.6011944</v>
      </c>
      <c r="H4043">
        <f t="shared" si="126"/>
        <v>316.7</v>
      </c>
      <c r="I4043">
        <f t="shared" si="127"/>
        <v>196.8</v>
      </c>
    </row>
    <row r="4044" spans="1:9" ht="30" x14ac:dyDescent="0.25">
      <c r="A4044" s="5" t="s">
        <v>71</v>
      </c>
      <c r="B4044" s="5" t="s">
        <v>95</v>
      </c>
      <c r="C4044" s="5" t="s">
        <v>4520</v>
      </c>
      <c r="D4044" s="3">
        <f>VLOOKUP(A4044,airports!A:H,7,FALSE)</f>
        <v>36.080361109999998</v>
      </c>
      <c r="E4044" s="3">
        <f>VLOOKUP(A4044,airports!A:H,8,FALSE)</f>
        <v>-115.1523333</v>
      </c>
      <c r="F4044" s="3">
        <f>VLOOKUP(B4044,airports!A:H,7,FALSE)</f>
        <v>41.979595000000003</v>
      </c>
      <c r="G4044" s="3">
        <f>VLOOKUP(B4044,airports!A:H,8,FALSE)</f>
        <v>-87.904464169999997</v>
      </c>
      <c r="H4044">
        <f t="shared" si="126"/>
        <v>2431.6999999999998</v>
      </c>
      <c r="I4044">
        <f t="shared" si="127"/>
        <v>1511.1</v>
      </c>
    </row>
    <row r="4045" spans="1:9" ht="30" x14ac:dyDescent="0.25">
      <c r="A4045" s="5" t="s">
        <v>71</v>
      </c>
      <c r="B4045" s="5" t="s">
        <v>596</v>
      </c>
      <c r="C4045" s="5" t="s">
        <v>4521</v>
      </c>
      <c r="D4045" s="3">
        <f>VLOOKUP(A4045,airports!A:H,7,FALSE)</f>
        <v>36.080361109999998</v>
      </c>
      <c r="E4045" s="3">
        <f>VLOOKUP(A4045,airports!A:H,8,FALSE)</f>
        <v>-115.1523333</v>
      </c>
      <c r="F4045" s="3">
        <f>VLOOKUP(B4045,airports!A:H,7,FALSE)</f>
        <v>36.89461111</v>
      </c>
      <c r="G4045" s="3">
        <f>VLOOKUP(B4045,airports!A:H,8,FALSE)</f>
        <v>-76.201222220000005</v>
      </c>
      <c r="H4045">
        <f t="shared" si="126"/>
        <v>3458.9</v>
      </c>
      <c r="I4045">
        <f t="shared" si="127"/>
        <v>2149.4</v>
      </c>
    </row>
    <row r="4046" spans="1:9" x14ac:dyDescent="0.25">
      <c r="A4046" s="5" t="s">
        <v>71</v>
      </c>
      <c r="B4046" s="5" t="s">
        <v>1214</v>
      </c>
      <c r="C4046" s="5" t="s">
        <v>4522</v>
      </c>
      <c r="D4046" s="3">
        <f>VLOOKUP(A4046,airports!A:H,7,FALSE)</f>
        <v>36.080361109999998</v>
      </c>
      <c r="E4046" s="3">
        <f>VLOOKUP(A4046,airports!A:H,8,FALSE)</f>
        <v>-115.1523333</v>
      </c>
      <c r="F4046" s="3">
        <f>VLOOKUP(B4046,airports!A:H,7,FALSE)</f>
        <v>47.906300000000002</v>
      </c>
      <c r="G4046" s="3">
        <f>VLOOKUP(B4046,airports!A:H,8,FALSE)</f>
        <v>-122.281998</v>
      </c>
      <c r="H4046">
        <f t="shared" si="126"/>
        <v>1439.4</v>
      </c>
      <c r="I4046">
        <f t="shared" si="127"/>
        <v>894.5</v>
      </c>
    </row>
    <row r="4047" spans="1:9" ht="30" x14ac:dyDescent="0.25">
      <c r="A4047" s="5" t="s">
        <v>71</v>
      </c>
      <c r="B4047" s="5" t="s">
        <v>100</v>
      </c>
      <c r="C4047" s="5" t="s">
        <v>4523</v>
      </c>
      <c r="D4047" s="3">
        <f>VLOOKUP(A4047,airports!A:H,7,FALSE)</f>
        <v>36.080361109999998</v>
      </c>
      <c r="E4047" s="3">
        <f>VLOOKUP(A4047,airports!A:H,8,FALSE)</f>
        <v>-115.1523333</v>
      </c>
      <c r="F4047" s="3">
        <f>VLOOKUP(B4047,airports!A:H,7,FALSE)</f>
        <v>45.588722220000001</v>
      </c>
      <c r="G4047" s="3">
        <f>VLOOKUP(B4047,airports!A:H,8,FALSE)</f>
        <v>-122.5975</v>
      </c>
      <c r="H4047">
        <f t="shared" si="126"/>
        <v>1227.5999999999999</v>
      </c>
      <c r="I4047">
        <f t="shared" si="127"/>
        <v>762.8</v>
      </c>
    </row>
    <row r="4048" spans="1:9" x14ac:dyDescent="0.25">
      <c r="A4048" s="5" t="s">
        <v>71</v>
      </c>
      <c r="B4048" s="5" t="s">
        <v>102</v>
      </c>
      <c r="C4048" s="5" t="s">
        <v>4524</v>
      </c>
      <c r="D4048" s="3">
        <f>VLOOKUP(A4048,airports!A:H,7,FALSE)</f>
        <v>36.080361109999998</v>
      </c>
      <c r="E4048" s="3">
        <f>VLOOKUP(A4048,airports!A:H,8,FALSE)</f>
        <v>-115.1523333</v>
      </c>
      <c r="F4048" s="3">
        <f>VLOOKUP(B4048,airports!A:H,7,FALSE)</f>
        <v>39.871952780000001</v>
      </c>
      <c r="G4048" s="3">
        <f>VLOOKUP(B4048,airports!A:H,8,FALSE)</f>
        <v>-75.241140830000006</v>
      </c>
      <c r="H4048">
        <f t="shared" si="126"/>
        <v>3494.4</v>
      </c>
      <c r="I4048">
        <f t="shared" si="127"/>
        <v>2171.5</v>
      </c>
    </row>
    <row r="4049" spans="1:9" ht="30" x14ac:dyDescent="0.25">
      <c r="A4049" s="5" t="s">
        <v>71</v>
      </c>
      <c r="B4049" s="5" t="s">
        <v>104</v>
      </c>
      <c r="C4049" s="5" t="s">
        <v>4525</v>
      </c>
      <c r="D4049" s="3">
        <f>VLOOKUP(A4049,airports!A:H,7,FALSE)</f>
        <v>36.080361109999998</v>
      </c>
      <c r="E4049" s="3">
        <f>VLOOKUP(A4049,airports!A:H,8,FALSE)</f>
        <v>-115.1523333</v>
      </c>
      <c r="F4049" s="3">
        <f>VLOOKUP(B4049,airports!A:H,7,FALSE)</f>
        <v>33.434166670000003</v>
      </c>
      <c r="G4049" s="3">
        <f>VLOOKUP(B4049,airports!A:H,8,FALSE)</f>
        <v>-112.00805560000001</v>
      </c>
      <c r="H4049">
        <f t="shared" si="126"/>
        <v>411.2</v>
      </c>
      <c r="I4049">
        <f t="shared" si="127"/>
        <v>255.5</v>
      </c>
    </row>
    <row r="4050" spans="1:9" x14ac:dyDescent="0.25">
      <c r="A4050" s="5" t="s">
        <v>71</v>
      </c>
      <c r="B4050" s="5" t="s">
        <v>604</v>
      </c>
      <c r="C4050" s="5" t="s">
        <v>4526</v>
      </c>
      <c r="D4050" s="3">
        <f>VLOOKUP(A4050,airports!A:H,7,FALSE)</f>
        <v>36.080361109999998</v>
      </c>
      <c r="E4050" s="3">
        <f>VLOOKUP(A4050,airports!A:H,8,FALSE)</f>
        <v>-115.1523333</v>
      </c>
      <c r="F4050" s="3">
        <f>VLOOKUP(B4050,airports!A:H,7,FALSE)</f>
        <v>40.664243329999998</v>
      </c>
      <c r="G4050" s="3">
        <f>VLOOKUP(B4050,airports!A:H,8,FALSE)</f>
        <v>-89.693305559999999</v>
      </c>
      <c r="H4050">
        <f t="shared" si="126"/>
        <v>2268.6</v>
      </c>
      <c r="I4050">
        <f t="shared" si="127"/>
        <v>1409.7</v>
      </c>
    </row>
    <row r="4051" spans="1:9" x14ac:dyDescent="0.25">
      <c r="A4051" s="5" t="s">
        <v>71</v>
      </c>
      <c r="B4051" s="5" t="s">
        <v>106</v>
      </c>
      <c r="C4051" s="5" t="s">
        <v>4527</v>
      </c>
      <c r="D4051" s="3">
        <f>VLOOKUP(A4051,airports!A:H,7,FALSE)</f>
        <v>36.080361109999998</v>
      </c>
      <c r="E4051" s="3">
        <f>VLOOKUP(A4051,airports!A:H,8,FALSE)</f>
        <v>-115.1523333</v>
      </c>
      <c r="F4051" s="3">
        <f>VLOOKUP(B4051,airports!A:H,7,FALSE)</f>
        <v>40.491465830000003</v>
      </c>
      <c r="G4051" s="3">
        <f>VLOOKUP(B4051,airports!A:H,8,FALSE)</f>
        <v>-80.232870829999996</v>
      </c>
      <c r="H4051">
        <f t="shared" si="126"/>
        <v>3066.6</v>
      </c>
      <c r="I4051">
        <f t="shared" si="127"/>
        <v>1905.6</v>
      </c>
    </row>
    <row r="4052" spans="1:9" x14ac:dyDescent="0.25">
      <c r="A4052" s="5" t="s">
        <v>71</v>
      </c>
      <c r="B4052" s="5" t="s">
        <v>890</v>
      </c>
      <c r="C4052" s="5" t="s">
        <v>4528</v>
      </c>
      <c r="D4052" s="3">
        <f>VLOOKUP(A4052,airports!A:H,7,FALSE)</f>
        <v>36.080361109999998</v>
      </c>
      <c r="E4052" s="3">
        <f>VLOOKUP(A4052,airports!A:H,8,FALSE)</f>
        <v>-115.1523333</v>
      </c>
      <c r="F4052" s="3">
        <f>VLOOKUP(B4052,airports!A:H,7,FALSE)</f>
        <v>46.26468028</v>
      </c>
      <c r="G4052" s="3">
        <f>VLOOKUP(B4052,airports!A:H,8,FALSE)</f>
        <v>-119.1190292</v>
      </c>
      <c r="H4052">
        <f t="shared" si="126"/>
        <v>1179.7</v>
      </c>
      <c r="I4052">
        <f t="shared" si="127"/>
        <v>733.1</v>
      </c>
    </row>
    <row r="4053" spans="1:9" x14ac:dyDescent="0.25">
      <c r="A4053" s="5" t="s">
        <v>71</v>
      </c>
      <c r="B4053" s="5" t="s">
        <v>111</v>
      </c>
      <c r="C4053" s="5" t="s">
        <v>4529</v>
      </c>
      <c r="D4053" s="3">
        <f>VLOOKUP(A4053,airports!A:H,7,FALSE)</f>
        <v>36.080361109999998</v>
      </c>
      <c r="E4053" s="3">
        <f>VLOOKUP(A4053,airports!A:H,8,FALSE)</f>
        <v>-115.1523333</v>
      </c>
      <c r="F4053" s="3">
        <f>VLOOKUP(B4053,airports!A:H,7,FALSE)</f>
        <v>33.829215560000002</v>
      </c>
      <c r="G4053" s="3">
        <f>VLOOKUP(B4053,airports!A:H,8,FALSE)</f>
        <v>-116.5062531</v>
      </c>
      <c r="H4053">
        <f t="shared" si="126"/>
        <v>279.10000000000002</v>
      </c>
      <c r="I4053">
        <f t="shared" si="127"/>
        <v>173.4</v>
      </c>
    </row>
    <row r="4054" spans="1:9" ht="30" x14ac:dyDescent="0.25">
      <c r="A4054" s="5" t="s">
        <v>71</v>
      </c>
      <c r="B4054" s="5" t="s">
        <v>772</v>
      </c>
      <c r="C4054" s="5" t="s">
        <v>4530</v>
      </c>
      <c r="D4054" s="3">
        <f>VLOOKUP(A4054,airports!A:H,7,FALSE)</f>
        <v>36.080361109999998</v>
      </c>
      <c r="E4054" s="3">
        <f>VLOOKUP(A4054,airports!A:H,8,FALSE)</f>
        <v>-115.1523333</v>
      </c>
      <c r="F4054" s="3">
        <f>VLOOKUP(B4054,airports!A:H,7,FALSE)</f>
        <v>40.219200000000001</v>
      </c>
      <c r="G4054" s="3">
        <f>VLOOKUP(B4054,airports!A:H,8,FALSE)</f>
        <v>-111.723</v>
      </c>
      <c r="H4054">
        <f t="shared" si="126"/>
        <v>549.20000000000005</v>
      </c>
      <c r="I4054">
        <f t="shared" si="127"/>
        <v>341.3</v>
      </c>
    </row>
    <row r="4055" spans="1:9" ht="30" x14ac:dyDescent="0.25">
      <c r="A4055" s="5" t="s">
        <v>71</v>
      </c>
      <c r="B4055" s="5" t="s">
        <v>612</v>
      </c>
      <c r="C4055" s="5" t="s">
        <v>4531</v>
      </c>
      <c r="D4055" s="3">
        <f>VLOOKUP(A4055,airports!A:H,7,FALSE)</f>
        <v>36.080361109999998</v>
      </c>
      <c r="E4055" s="3">
        <f>VLOOKUP(A4055,airports!A:H,8,FALSE)</f>
        <v>-115.1523333</v>
      </c>
      <c r="F4055" s="3">
        <f>VLOOKUP(B4055,airports!A:H,7,FALSE)</f>
        <v>44.045321389999998</v>
      </c>
      <c r="G4055" s="3">
        <f>VLOOKUP(B4055,airports!A:H,8,FALSE)</f>
        <v>-103.0573708</v>
      </c>
      <c r="H4055">
        <f t="shared" si="126"/>
        <v>1355.3</v>
      </c>
      <c r="I4055">
        <f t="shared" si="127"/>
        <v>842.2</v>
      </c>
    </row>
    <row r="4056" spans="1:9" ht="30" x14ac:dyDescent="0.25">
      <c r="A4056" s="5" t="s">
        <v>71</v>
      </c>
      <c r="B4056" s="5" t="s">
        <v>894</v>
      </c>
      <c r="C4056" s="5" t="s">
        <v>4532</v>
      </c>
      <c r="D4056" s="3">
        <f>VLOOKUP(A4056,airports!A:H,7,FALSE)</f>
        <v>36.080361109999998</v>
      </c>
      <c r="E4056" s="3">
        <f>VLOOKUP(A4056,airports!A:H,8,FALSE)</f>
        <v>-115.1523333</v>
      </c>
      <c r="F4056" s="3">
        <f>VLOOKUP(B4056,airports!A:H,7,FALSE)</f>
        <v>44.254067220000003</v>
      </c>
      <c r="G4056" s="3">
        <f>VLOOKUP(B4056,airports!A:H,8,FALSE)</f>
        <v>-121.1499633</v>
      </c>
      <c r="H4056">
        <f t="shared" si="126"/>
        <v>1041.3</v>
      </c>
      <c r="I4056">
        <f t="shared" si="127"/>
        <v>647.1</v>
      </c>
    </row>
    <row r="4057" spans="1:9" ht="30" x14ac:dyDescent="0.25">
      <c r="A4057" s="5" t="s">
        <v>71</v>
      </c>
      <c r="B4057" s="5" t="s">
        <v>119</v>
      </c>
      <c r="C4057" s="5" t="s">
        <v>4533</v>
      </c>
      <c r="D4057" s="3">
        <f>VLOOKUP(A4057,airports!A:H,7,FALSE)</f>
        <v>36.080361109999998</v>
      </c>
      <c r="E4057" s="3">
        <f>VLOOKUP(A4057,airports!A:H,8,FALSE)</f>
        <v>-115.1523333</v>
      </c>
      <c r="F4057" s="3">
        <f>VLOOKUP(B4057,airports!A:H,7,FALSE)</f>
        <v>35.87763889</v>
      </c>
      <c r="G4057" s="3">
        <f>VLOOKUP(B4057,airports!A:H,8,FALSE)</f>
        <v>-78.787472219999998</v>
      </c>
      <c r="H4057">
        <f t="shared" si="126"/>
        <v>3252.8</v>
      </c>
      <c r="I4057">
        <f t="shared" si="127"/>
        <v>2021.3</v>
      </c>
    </row>
    <row r="4058" spans="1:9" x14ac:dyDescent="0.25">
      <c r="A4058" s="5" t="s">
        <v>71</v>
      </c>
      <c r="B4058" s="5" t="s">
        <v>896</v>
      </c>
      <c r="C4058" s="5" t="s">
        <v>4534</v>
      </c>
      <c r="D4058" s="3">
        <f>VLOOKUP(A4058,airports!A:H,7,FALSE)</f>
        <v>36.080361109999998</v>
      </c>
      <c r="E4058" s="3">
        <f>VLOOKUP(A4058,airports!A:H,8,FALSE)</f>
        <v>-115.1523333</v>
      </c>
      <c r="F4058" s="3">
        <f>VLOOKUP(B4058,airports!A:H,7,FALSE)</f>
        <v>42.195363890000003</v>
      </c>
      <c r="G4058" s="3">
        <f>VLOOKUP(B4058,airports!A:H,8,FALSE)</f>
        <v>-89.097211110000003</v>
      </c>
      <c r="H4058">
        <f t="shared" si="126"/>
        <v>2337.1999999999998</v>
      </c>
      <c r="I4058">
        <f t="shared" si="127"/>
        <v>1452.4</v>
      </c>
    </row>
    <row r="4059" spans="1:9" x14ac:dyDescent="0.25">
      <c r="A4059" s="5" t="s">
        <v>71</v>
      </c>
      <c r="B4059" s="5" t="s">
        <v>120</v>
      </c>
      <c r="C4059" s="5" t="s">
        <v>4535</v>
      </c>
      <c r="D4059" s="3">
        <f>VLOOKUP(A4059,airports!A:H,7,FALSE)</f>
        <v>36.080361109999998</v>
      </c>
      <c r="E4059" s="3">
        <f>VLOOKUP(A4059,airports!A:H,8,FALSE)</f>
        <v>-115.1523333</v>
      </c>
      <c r="F4059" s="3">
        <f>VLOOKUP(B4059,airports!A:H,7,FALSE)</f>
        <v>37.505166670000001</v>
      </c>
      <c r="G4059" s="3">
        <f>VLOOKUP(B4059,airports!A:H,8,FALSE)</f>
        <v>-77.319666670000004</v>
      </c>
      <c r="H4059">
        <f t="shared" si="126"/>
        <v>3349.8</v>
      </c>
      <c r="I4059">
        <f t="shared" si="127"/>
        <v>2081.6</v>
      </c>
    </row>
    <row r="4060" spans="1:9" ht="30" x14ac:dyDescent="0.25">
      <c r="A4060" s="5" t="s">
        <v>71</v>
      </c>
      <c r="B4060" s="5" t="s">
        <v>121</v>
      </c>
      <c r="C4060" s="5" t="s">
        <v>4536</v>
      </c>
      <c r="D4060" s="3">
        <f>VLOOKUP(A4060,airports!A:H,7,FALSE)</f>
        <v>36.080361109999998</v>
      </c>
      <c r="E4060" s="3">
        <f>VLOOKUP(A4060,airports!A:H,8,FALSE)</f>
        <v>-115.1523333</v>
      </c>
      <c r="F4060" s="3">
        <f>VLOOKUP(B4060,airports!A:H,7,FALSE)</f>
        <v>39.498576110000002</v>
      </c>
      <c r="G4060" s="3">
        <f>VLOOKUP(B4060,airports!A:H,8,FALSE)</f>
        <v>-119.7680647</v>
      </c>
      <c r="H4060">
        <f t="shared" si="126"/>
        <v>555.70000000000005</v>
      </c>
      <c r="I4060">
        <f t="shared" si="127"/>
        <v>345.3</v>
      </c>
    </row>
    <row r="4061" spans="1:9" ht="30" x14ac:dyDescent="0.25">
      <c r="A4061" s="5" t="s">
        <v>71</v>
      </c>
      <c r="B4061" s="5" t="s">
        <v>123</v>
      </c>
      <c r="C4061" s="5" t="s">
        <v>4537</v>
      </c>
      <c r="D4061" s="3">
        <f>VLOOKUP(A4061,airports!A:H,7,FALSE)</f>
        <v>36.080361109999998</v>
      </c>
      <c r="E4061" s="3">
        <f>VLOOKUP(A4061,airports!A:H,8,FALSE)</f>
        <v>-115.1523333</v>
      </c>
      <c r="F4061" s="3">
        <f>VLOOKUP(B4061,airports!A:H,7,FALSE)</f>
        <v>26.53616667</v>
      </c>
      <c r="G4061" s="3">
        <f>VLOOKUP(B4061,airports!A:H,8,FALSE)</f>
        <v>-81.755166669999994</v>
      </c>
      <c r="H4061">
        <f t="shared" si="126"/>
        <v>3326.4</v>
      </c>
      <c r="I4061">
        <f t="shared" si="127"/>
        <v>2067.1</v>
      </c>
    </row>
    <row r="4062" spans="1:9" ht="30" x14ac:dyDescent="0.25">
      <c r="A4062" s="5" t="s">
        <v>71</v>
      </c>
      <c r="B4062" s="5" t="s">
        <v>124</v>
      </c>
      <c r="C4062" s="5" t="s">
        <v>4538</v>
      </c>
      <c r="D4062" s="3">
        <f>VLOOKUP(A4062,airports!A:H,7,FALSE)</f>
        <v>36.080361109999998</v>
      </c>
      <c r="E4062" s="3">
        <f>VLOOKUP(A4062,airports!A:H,8,FALSE)</f>
        <v>-115.1523333</v>
      </c>
      <c r="F4062" s="3">
        <f>VLOOKUP(B4062,airports!A:H,7,FALSE)</f>
        <v>32.733556110000002</v>
      </c>
      <c r="G4062" s="3">
        <f>VLOOKUP(B4062,airports!A:H,8,FALSE)</f>
        <v>-117.1896567</v>
      </c>
      <c r="H4062">
        <f t="shared" si="126"/>
        <v>416.4</v>
      </c>
      <c r="I4062">
        <f t="shared" si="127"/>
        <v>258.8</v>
      </c>
    </row>
    <row r="4063" spans="1:9" x14ac:dyDescent="0.25">
      <c r="A4063" s="5" t="s">
        <v>71</v>
      </c>
      <c r="B4063" s="5" t="s">
        <v>125</v>
      </c>
      <c r="C4063" s="5" t="s">
        <v>4539</v>
      </c>
      <c r="D4063" s="3">
        <f>VLOOKUP(A4063,airports!A:H,7,FALSE)</f>
        <v>36.080361109999998</v>
      </c>
      <c r="E4063" s="3">
        <f>VLOOKUP(A4063,airports!A:H,8,FALSE)</f>
        <v>-115.1523333</v>
      </c>
      <c r="F4063" s="3">
        <f>VLOOKUP(B4063,airports!A:H,7,FALSE)</f>
        <v>29.533694440000001</v>
      </c>
      <c r="G4063" s="3">
        <f>VLOOKUP(B4063,airports!A:H,8,FALSE)</f>
        <v>-98.469777780000001</v>
      </c>
      <c r="H4063">
        <f t="shared" si="126"/>
        <v>1717.5</v>
      </c>
      <c r="I4063">
        <f t="shared" si="127"/>
        <v>1067.3</v>
      </c>
    </row>
    <row r="4064" spans="1:9" x14ac:dyDescent="0.25">
      <c r="A4064" s="5" t="s">
        <v>71</v>
      </c>
      <c r="B4064" s="5" t="s">
        <v>967</v>
      </c>
      <c r="C4064" s="5" t="s">
        <v>4540</v>
      </c>
      <c r="D4064" s="3">
        <f>VLOOKUP(A4064,airports!A:H,7,FALSE)</f>
        <v>36.080361109999998</v>
      </c>
      <c r="E4064" s="3">
        <f>VLOOKUP(A4064,airports!A:H,8,FALSE)</f>
        <v>-115.1523333</v>
      </c>
      <c r="F4064" s="3">
        <f>VLOOKUP(B4064,airports!A:H,7,FALSE)</f>
        <v>34.426211940000002</v>
      </c>
      <c r="G4064" s="3">
        <f>VLOOKUP(B4064,airports!A:H,8,FALSE)</f>
        <v>-119.8403733</v>
      </c>
      <c r="H4064">
        <f t="shared" si="126"/>
        <v>463.7</v>
      </c>
      <c r="I4064">
        <f t="shared" si="127"/>
        <v>288.10000000000002</v>
      </c>
    </row>
    <row r="4065" spans="1:9" ht="30" x14ac:dyDescent="0.25">
      <c r="A4065" s="5" t="s">
        <v>71</v>
      </c>
      <c r="B4065" s="5" t="s">
        <v>626</v>
      </c>
      <c r="C4065" s="5" t="s">
        <v>4541</v>
      </c>
      <c r="D4065" s="3">
        <f>VLOOKUP(A4065,airports!A:H,7,FALSE)</f>
        <v>36.080361109999998</v>
      </c>
      <c r="E4065" s="3">
        <f>VLOOKUP(A4065,airports!A:H,8,FALSE)</f>
        <v>-115.1523333</v>
      </c>
      <c r="F4065" s="3">
        <f>VLOOKUP(B4065,airports!A:H,7,FALSE)</f>
        <v>41.708953610000002</v>
      </c>
      <c r="G4065" s="3">
        <f>VLOOKUP(B4065,airports!A:H,8,FALSE)</f>
        <v>-86.318474170000002</v>
      </c>
      <c r="H4065">
        <f t="shared" si="126"/>
        <v>2559.6</v>
      </c>
      <c r="I4065">
        <f t="shared" si="127"/>
        <v>1590.5</v>
      </c>
    </row>
    <row r="4066" spans="1:9" x14ac:dyDescent="0.25">
      <c r="A4066" s="5" t="s">
        <v>71</v>
      </c>
      <c r="B4066" s="5" t="s">
        <v>900</v>
      </c>
      <c r="C4066" s="5" t="s">
        <v>4542</v>
      </c>
      <c r="D4066" s="3">
        <f>VLOOKUP(A4066,airports!A:H,7,FALSE)</f>
        <v>36.080361109999998</v>
      </c>
      <c r="E4066" s="3">
        <f>VLOOKUP(A4066,airports!A:H,8,FALSE)</f>
        <v>-115.1523333</v>
      </c>
      <c r="F4066" s="3">
        <f>VLOOKUP(B4066,airports!A:H,7,FALSE)</f>
        <v>37.894199371337997</v>
      </c>
      <c r="G4066" s="3">
        <f>VLOOKUP(B4066,airports!A:H,8,FALSE)</f>
        <v>-121.2379989624</v>
      </c>
      <c r="H4066">
        <f t="shared" si="126"/>
        <v>576.79999999999995</v>
      </c>
      <c r="I4066">
        <f t="shared" si="127"/>
        <v>358.4</v>
      </c>
    </row>
    <row r="4067" spans="1:9" x14ac:dyDescent="0.25">
      <c r="A4067" s="5" t="s">
        <v>71</v>
      </c>
      <c r="B4067" s="5" t="s">
        <v>630</v>
      </c>
      <c r="C4067" s="5" t="s">
        <v>4543</v>
      </c>
      <c r="D4067" s="3">
        <f>VLOOKUP(A4067,airports!A:H,7,FALSE)</f>
        <v>36.080361109999998</v>
      </c>
      <c r="E4067" s="3">
        <f>VLOOKUP(A4067,airports!A:H,8,FALSE)</f>
        <v>-115.1523333</v>
      </c>
      <c r="F4067" s="3">
        <f>VLOOKUP(B4067,airports!A:H,7,FALSE)</f>
        <v>38.174388890000003</v>
      </c>
      <c r="G4067" s="3">
        <f>VLOOKUP(B4067,airports!A:H,8,FALSE)</f>
        <v>-85.736000000000004</v>
      </c>
      <c r="H4067">
        <f t="shared" si="126"/>
        <v>2607.3000000000002</v>
      </c>
      <c r="I4067">
        <f t="shared" si="127"/>
        <v>1620.2</v>
      </c>
    </row>
    <row r="4068" spans="1:9" x14ac:dyDescent="0.25">
      <c r="A4068" s="5" t="s">
        <v>71</v>
      </c>
      <c r="B4068" s="5" t="s">
        <v>128</v>
      </c>
      <c r="C4068" s="5" t="s">
        <v>4544</v>
      </c>
      <c r="D4068" s="3">
        <f>VLOOKUP(A4068,airports!A:H,7,FALSE)</f>
        <v>36.080361109999998</v>
      </c>
      <c r="E4068" s="3">
        <f>VLOOKUP(A4068,airports!A:H,8,FALSE)</f>
        <v>-115.1523333</v>
      </c>
      <c r="F4068" s="3">
        <f>VLOOKUP(B4068,airports!A:H,7,FALSE)</f>
        <v>47.448981940000003</v>
      </c>
      <c r="G4068" s="3">
        <f>VLOOKUP(B4068,airports!A:H,8,FALSE)</f>
        <v>-122.3093131</v>
      </c>
      <c r="H4068">
        <f t="shared" si="126"/>
        <v>1395.1</v>
      </c>
      <c r="I4068">
        <f t="shared" si="127"/>
        <v>866.9</v>
      </c>
    </row>
    <row r="4069" spans="1:9" x14ac:dyDescent="0.25">
      <c r="A4069" s="5" t="s">
        <v>71</v>
      </c>
      <c r="B4069" s="5" t="s">
        <v>191</v>
      </c>
      <c r="C4069" s="5" t="s">
        <v>4545</v>
      </c>
      <c r="D4069" s="3">
        <f>VLOOKUP(A4069,airports!A:H,7,FALSE)</f>
        <v>36.080361109999998</v>
      </c>
      <c r="E4069" s="3">
        <f>VLOOKUP(A4069,airports!A:H,8,FALSE)</f>
        <v>-115.1523333</v>
      </c>
      <c r="F4069" s="3">
        <f>VLOOKUP(B4069,airports!A:H,7,FALSE)</f>
        <v>28.7776</v>
      </c>
      <c r="G4069" s="3">
        <f>VLOOKUP(B4069,airports!A:H,8,FALSE)</f>
        <v>-81.237499999999997</v>
      </c>
      <c r="H4069">
        <f t="shared" si="126"/>
        <v>3267.1</v>
      </c>
      <c r="I4069">
        <f t="shared" si="127"/>
        <v>2030.2</v>
      </c>
    </row>
    <row r="4070" spans="1:9" x14ac:dyDescent="0.25">
      <c r="A4070" s="5" t="s">
        <v>71</v>
      </c>
      <c r="B4070" s="5" t="s">
        <v>130</v>
      </c>
      <c r="C4070" s="5" t="s">
        <v>4546</v>
      </c>
      <c r="D4070" s="3">
        <f>VLOOKUP(A4070,airports!A:H,7,FALSE)</f>
        <v>36.080361109999998</v>
      </c>
      <c r="E4070" s="3">
        <f>VLOOKUP(A4070,airports!A:H,8,FALSE)</f>
        <v>-115.1523333</v>
      </c>
      <c r="F4070" s="3">
        <f>VLOOKUP(B4070,airports!A:H,7,FALSE)</f>
        <v>37.619001939999997</v>
      </c>
      <c r="G4070" s="3">
        <f>VLOOKUP(B4070,airports!A:H,8,FALSE)</f>
        <v>-122.37484329999999</v>
      </c>
      <c r="H4070">
        <f t="shared" si="126"/>
        <v>664.8</v>
      </c>
      <c r="I4070">
        <f t="shared" si="127"/>
        <v>413.1</v>
      </c>
    </row>
    <row r="4071" spans="1:9" x14ac:dyDescent="0.25">
      <c r="A4071" s="5" t="s">
        <v>71</v>
      </c>
      <c r="B4071" s="5" t="s">
        <v>634</v>
      </c>
      <c r="C4071" s="5" t="s">
        <v>4547</v>
      </c>
      <c r="D4071" s="3">
        <f>VLOOKUP(A4071,airports!A:H,7,FALSE)</f>
        <v>36.080361109999998</v>
      </c>
      <c r="E4071" s="3">
        <f>VLOOKUP(A4071,airports!A:H,8,FALSE)</f>
        <v>-115.1523333</v>
      </c>
      <c r="F4071" s="3">
        <f>VLOOKUP(B4071,airports!A:H,7,FALSE)</f>
        <v>37.244326110000003</v>
      </c>
      <c r="G4071" s="3">
        <f>VLOOKUP(B4071,airports!A:H,8,FALSE)</f>
        <v>-93.386858059999994</v>
      </c>
      <c r="H4071">
        <f t="shared" si="126"/>
        <v>1941.4</v>
      </c>
      <c r="I4071">
        <f t="shared" si="127"/>
        <v>1206.4000000000001</v>
      </c>
    </row>
    <row r="4072" spans="1:9" ht="30" x14ac:dyDescent="0.25">
      <c r="A4072" s="5" t="s">
        <v>71</v>
      </c>
      <c r="B4072" s="5" t="s">
        <v>636</v>
      </c>
      <c r="C4072" s="5" t="s">
        <v>4548</v>
      </c>
      <c r="D4072" s="3">
        <f>VLOOKUP(A4072,airports!A:H,7,FALSE)</f>
        <v>36.080361109999998</v>
      </c>
      <c r="E4072" s="3">
        <f>VLOOKUP(A4072,airports!A:H,8,FALSE)</f>
        <v>-115.1523333</v>
      </c>
      <c r="F4072" s="3">
        <f>VLOOKUP(B4072,airports!A:H,7,FALSE)</f>
        <v>32.446627499999998</v>
      </c>
      <c r="G4072" s="3">
        <f>VLOOKUP(B4072,airports!A:H,8,FALSE)</f>
        <v>-93.825598330000005</v>
      </c>
      <c r="H4072">
        <f t="shared" si="126"/>
        <v>1996.8</v>
      </c>
      <c r="I4072">
        <f t="shared" si="127"/>
        <v>1240.8</v>
      </c>
    </row>
    <row r="4073" spans="1:9" x14ac:dyDescent="0.25">
      <c r="A4073" s="5" t="s">
        <v>71</v>
      </c>
      <c r="B4073" s="5" t="s">
        <v>131</v>
      </c>
      <c r="C4073" s="5" t="s">
        <v>4549</v>
      </c>
      <c r="D4073" s="3">
        <f>VLOOKUP(A4073,airports!A:H,7,FALSE)</f>
        <v>36.080361109999998</v>
      </c>
      <c r="E4073" s="3">
        <f>VLOOKUP(A4073,airports!A:H,8,FALSE)</f>
        <v>-115.1523333</v>
      </c>
      <c r="F4073" s="3">
        <f>VLOOKUP(B4073,airports!A:H,7,FALSE)</f>
        <v>37.361861939999997</v>
      </c>
      <c r="G4073" s="3">
        <f>VLOOKUP(B4073,airports!A:H,8,FALSE)</f>
        <v>-121.9290089</v>
      </c>
      <c r="H4073">
        <f t="shared" si="126"/>
        <v>620.4</v>
      </c>
      <c r="I4073">
        <f t="shared" si="127"/>
        <v>385.5</v>
      </c>
    </row>
    <row r="4074" spans="1:9" x14ac:dyDescent="0.25">
      <c r="A4074" s="5" t="s">
        <v>71</v>
      </c>
      <c r="B4074" s="5" t="s">
        <v>135</v>
      </c>
      <c r="C4074" s="5" t="s">
        <v>4550</v>
      </c>
      <c r="D4074" s="3">
        <f>VLOOKUP(A4074,airports!A:H,7,FALSE)</f>
        <v>36.080361109999998</v>
      </c>
      <c r="E4074" s="3">
        <f>VLOOKUP(A4074,airports!A:H,8,FALSE)</f>
        <v>-115.1523333</v>
      </c>
      <c r="F4074" s="3">
        <f>VLOOKUP(B4074,airports!A:H,7,FALSE)</f>
        <v>40.788387780000001</v>
      </c>
      <c r="G4074" s="3">
        <f>VLOOKUP(B4074,airports!A:H,8,FALSE)</f>
        <v>-111.97777309999999</v>
      </c>
      <c r="H4074">
        <f t="shared" si="126"/>
        <v>591.9</v>
      </c>
      <c r="I4074">
        <f t="shared" si="127"/>
        <v>367.8</v>
      </c>
    </row>
    <row r="4075" spans="1:9" ht="30" x14ac:dyDescent="0.25">
      <c r="A4075" s="5" t="s">
        <v>71</v>
      </c>
      <c r="B4075" s="5" t="s">
        <v>137</v>
      </c>
      <c r="C4075" s="5" t="s">
        <v>4551</v>
      </c>
      <c r="D4075" s="3">
        <f>VLOOKUP(A4075,airports!A:H,7,FALSE)</f>
        <v>36.080361109999998</v>
      </c>
      <c r="E4075" s="3">
        <f>VLOOKUP(A4075,airports!A:H,8,FALSE)</f>
        <v>-115.1523333</v>
      </c>
      <c r="F4075" s="3">
        <f>VLOOKUP(B4075,airports!A:H,7,FALSE)</f>
        <v>38.695421670000002</v>
      </c>
      <c r="G4075" s="3">
        <f>VLOOKUP(B4075,airports!A:H,8,FALSE)</f>
        <v>-121.59076690000001</v>
      </c>
      <c r="H4075">
        <f t="shared" si="126"/>
        <v>638.6</v>
      </c>
      <c r="I4075">
        <f t="shared" si="127"/>
        <v>396.8</v>
      </c>
    </row>
    <row r="4076" spans="1:9" ht="30" x14ac:dyDescent="0.25">
      <c r="A4076" s="5" t="s">
        <v>71</v>
      </c>
      <c r="B4076" s="5" t="s">
        <v>906</v>
      </c>
      <c r="C4076" s="5" t="s">
        <v>4552</v>
      </c>
      <c r="D4076" s="3">
        <f>VLOOKUP(A4076,airports!A:H,7,FALSE)</f>
        <v>36.080361109999998</v>
      </c>
      <c r="E4076" s="3">
        <f>VLOOKUP(A4076,airports!A:H,8,FALSE)</f>
        <v>-115.1523333</v>
      </c>
      <c r="F4076" s="3">
        <f>VLOOKUP(B4076,airports!A:H,7,FALSE)</f>
        <v>34.899248329999999</v>
      </c>
      <c r="G4076" s="3">
        <f>VLOOKUP(B4076,airports!A:H,8,FALSE)</f>
        <v>-120.4575825</v>
      </c>
      <c r="H4076">
        <f t="shared" si="126"/>
        <v>497.9</v>
      </c>
      <c r="I4076">
        <f t="shared" si="127"/>
        <v>309.39999999999998</v>
      </c>
    </row>
    <row r="4077" spans="1:9" ht="30" x14ac:dyDescent="0.25">
      <c r="A4077" s="5" t="s">
        <v>71</v>
      </c>
      <c r="B4077" s="5" t="s">
        <v>227</v>
      </c>
      <c r="C4077" s="5" t="s">
        <v>4553</v>
      </c>
      <c r="D4077" s="3">
        <f>VLOOKUP(A4077,airports!A:H,7,FALSE)</f>
        <v>36.080361109999998</v>
      </c>
      <c r="E4077" s="3">
        <f>VLOOKUP(A4077,airports!A:H,8,FALSE)</f>
        <v>-115.1523333</v>
      </c>
      <c r="F4077" s="3">
        <f>VLOOKUP(B4077,airports!A:H,7,FALSE)</f>
        <v>33.675658609999999</v>
      </c>
      <c r="G4077" s="3">
        <f>VLOOKUP(B4077,airports!A:H,8,FALSE)</f>
        <v>-117.8682225</v>
      </c>
      <c r="H4077">
        <f t="shared" si="126"/>
        <v>364.5</v>
      </c>
      <c r="I4077">
        <f t="shared" si="127"/>
        <v>226.5</v>
      </c>
    </row>
    <row r="4078" spans="1:9" x14ac:dyDescent="0.25">
      <c r="A4078" s="5" t="s">
        <v>71</v>
      </c>
      <c r="B4078" s="5" t="s">
        <v>644</v>
      </c>
      <c r="C4078" s="5" t="s">
        <v>4554</v>
      </c>
      <c r="D4078" s="3">
        <f>VLOOKUP(A4078,airports!A:H,7,FALSE)</f>
        <v>36.080361109999998</v>
      </c>
      <c r="E4078" s="3">
        <f>VLOOKUP(A4078,airports!A:H,8,FALSE)</f>
        <v>-115.1523333</v>
      </c>
      <c r="F4078" s="3">
        <f>VLOOKUP(B4078,airports!A:H,7,FALSE)</f>
        <v>38.747686940000001</v>
      </c>
      <c r="G4078" s="3">
        <f>VLOOKUP(B4078,airports!A:H,8,FALSE)</f>
        <v>-90.359989720000002</v>
      </c>
      <c r="H4078">
        <f t="shared" si="126"/>
        <v>2202.8000000000002</v>
      </c>
      <c r="I4078">
        <f t="shared" si="127"/>
        <v>1368.8</v>
      </c>
    </row>
    <row r="4079" spans="1:9" x14ac:dyDescent="0.25">
      <c r="A4079" s="5" t="s">
        <v>71</v>
      </c>
      <c r="B4079" s="5" t="s">
        <v>145</v>
      </c>
      <c r="C4079" s="5" t="s">
        <v>4555</v>
      </c>
      <c r="D4079" s="3">
        <f>VLOOKUP(A4079,airports!A:H,7,FALSE)</f>
        <v>36.080361109999998</v>
      </c>
      <c r="E4079" s="3">
        <f>VLOOKUP(A4079,airports!A:H,8,FALSE)</f>
        <v>-115.1523333</v>
      </c>
      <c r="F4079" s="3">
        <f>VLOOKUP(B4079,airports!A:H,7,FALSE)</f>
        <v>27.97547222</v>
      </c>
      <c r="G4079" s="3">
        <f>VLOOKUP(B4079,airports!A:H,8,FALSE)</f>
        <v>-82.533249999999995</v>
      </c>
      <c r="H4079">
        <f t="shared" si="126"/>
        <v>3187.5</v>
      </c>
      <c r="I4079">
        <f t="shared" si="127"/>
        <v>1980.7</v>
      </c>
    </row>
    <row r="4080" spans="1:9" x14ac:dyDescent="0.25">
      <c r="A4080" s="5" t="s">
        <v>71</v>
      </c>
      <c r="B4080" s="5" t="s">
        <v>658</v>
      </c>
      <c r="C4080" s="5" t="s">
        <v>4556</v>
      </c>
      <c r="D4080" s="3">
        <f>VLOOKUP(A4080,airports!A:H,7,FALSE)</f>
        <v>36.080361109999998</v>
      </c>
      <c r="E4080" s="3">
        <f>VLOOKUP(A4080,airports!A:H,8,FALSE)</f>
        <v>-115.1523333</v>
      </c>
      <c r="F4080" s="3">
        <f>VLOOKUP(B4080,airports!A:H,7,FALSE)</f>
        <v>36.198372220000003</v>
      </c>
      <c r="G4080" s="3">
        <f>VLOOKUP(B4080,airports!A:H,8,FALSE)</f>
        <v>-95.888241669999999</v>
      </c>
      <c r="H4080">
        <f t="shared" si="126"/>
        <v>1727.1</v>
      </c>
      <c r="I4080">
        <f t="shared" si="127"/>
        <v>1073.2</v>
      </c>
    </row>
    <row r="4081" spans="1:9" x14ac:dyDescent="0.25">
      <c r="A4081" s="5" t="s">
        <v>71</v>
      </c>
      <c r="B4081" s="5" t="s">
        <v>660</v>
      </c>
      <c r="C4081" s="5" t="s">
        <v>4557</v>
      </c>
      <c r="D4081" s="3">
        <f>VLOOKUP(A4081,airports!A:H,7,FALSE)</f>
        <v>36.080361109999998</v>
      </c>
      <c r="E4081" s="3">
        <f>VLOOKUP(A4081,airports!A:H,8,FALSE)</f>
        <v>-115.1523333</v>
      </c>
      <c r="F4081" s="3">
        <f>VLOOKUP(B4081,airports!A:H,7,FALSE)</f>
        <v>32.116083330000002</v>
      </c>
      <c r="G4081" s="3">
        <f>VLOOKUP(B4081,airports!A:H,8,FALSE)</f>
        <v>-110.9410278</v>
      </c>
      <c r="H4081">
        <f t="shared" si="126"/>
        <v>587</v>
      </c>
      <c r="I4081">
        <f t="shared" si="127"/>
        <v>364.7</v>
      </c>
    </row>
    <row r="4082" spans="1:9" x14ac:dyDescent="0.25">
      <c r="A4082" s="5" t="s">
        <v>71</v>
      </c>
      <c r="B4082" s="5" t="s">
        <v>664</v>
      </c>
      <c r="C4082" s="5" t="s">
        <v>4558</v>
      </c>
      <c r="D4082" s="3">
        <f>VLOOKUP(A4082,airports!A:H,7,FALSE)</f>
        <v>36.080361109999998</v>
      </c>
      <c r="E4082" s="3">
        <f>VLOOKUP(A4082,airports!A:H,8,FALSE)</f>
        <v>-115.1523333</v>
      </c>
      <c r="F4082" s="3">
        <f>VLOOKUP(B4082,airports!A:H,7,FALSE)</f>
        <v>35.812487220000001</v>
      </c>
      <c r="G4082" s="3">
        <f>VLOOKUP(B4082,airports!A:H,8,FALSE)</f>
        <v>-83.992855829999996</v>
      </c>
      <c r="H4082">
        <f t="shared" si="126"/>
        <v>2793</v>
      </c>
      <c r="I4082">
        <f t="shared" si="127"/>
        <v>1735.6</v>
      </c>
    </row>
    <row r="4083" spans="1:9" x14ac:dyDescent="0.25">
      <c r="A4083" s="5" t="s">
        <v>71</v>
      </c>
      <c r="B4083" s="5" t="s">
        <v>668</v>
      </c>
      <c r="C4083" s="5" t="s">
        <v>4559</v>
      </c>
      <c r="D4083" s="3">
        <f>VLOOKUP(A4083,airports!A:H,7,FALSE)</f>
        <v>36.080361109999998</v>
      </c>
      <c r="E4083" s="3">
        <f>VLOOKUP(A4083,airports!A:H,8,FALSE)</f>
        <v>-115.1523333</v>
      </c>
      <c r="F4083" s="3">
        <f>VLOOKUP(B4083,airports!A:H,7,FALSE)</f>
        <v>30.483250000000002</v>
      </c>
      <c r="G4083" s="3">
        <f>VLOOKUP(B4083,airports!A:H,8,FALSE)</f>
        <v>-86.525400000000005</v>
      </c>
      <c r="H4083">
        <f t="shared" si="126"/>
        <v>2722.3</v>
      </c>
      <c r="I4083">
        <f t="shared" si="127"/>
        <v>1691.6</v>
      </c>
    </row>
    <row r="4084" spans="1:9" ht="30" x14ac:dyDescent="0.25">
      <c r="A4084" s="5" t="s">
        <v>71</v>
      </c>
      <c r="B4084" s="5" t="s">
        <v>670</v>
      </c>
      <c r="C4084" s="5" t="s">
        <v>4560</v>
      </c>
      <c r="D4084" s="3">
        <f>VLOOKUP(A4084,airports!A:H,7,FALSE)</f>
        <v>36.080361109999998</v>
      </c>
      <c r="E4084" s="3">
        <f>VLOOKUP(A4084,airports!A:H,8,FALSE)</f>
        <v>-115.1523333</v>
      </c>
      <c r="F4084" s="3">
        <f>VLOOKUP(B4084,airports!A:H,7,FALSE)</f>
        <v>36.281869440000001</v>
      </c>
      <c r="G4084" s="3">
        <f>VLOOKUP(B4084,airports!A:H,8,FALSE)</f>
        <v>-94.306811109999998</v>
      </c>
      <c r="H4084">
        <f t="shared" si="126"/>
        <v>1867.4</v>
      </c>
      <c r="I4084">
        <f t="shared" si="127"/>
        <v>1160.4000000000001</v>
      </c>
    </row>
    <row r="4085" spans="1:9" ht="30" x14ac:dyDescent="0.25">
      <c r="A4085" s="5" t="s">
        <v>2637</v>
      </c>
      <c r="B4085" s="5" t="s">
        <v>49</v>
      </c>
      <c r="C4085" s="5" t="s">
        <v>4561</v>
      </c>
      <c r="D4085" s="3">
        <f>VLOOKUP(A4085,airports!A:H,7,FALSE)</f>
        <v>34.567714440000003</v>
      </c>
      <c r="E4085" s="3">
        <f>VLOOKUP(A4085,airports!A:H,8,FALSE)</f>
        <v>-98.416636670000003</v>
      </c>
      <c r="F4085" s="3">
        <f>VLOOKUP(B4085,airports!A:H,7,FALSE)</f>
        <v>32.895950560000003</v>
      </c>
      <c r="G4085" s="3">
        <f>VLOOKUP(B4085,airports!A:H,8,FALSE)</f>
        <v>-97.037199999999999</v>
      </c>
      <c r="H4085">
        <f t="shared" si="126"/>
        <v>225.4</v>
      </c>
      <c r="I4085">
        <f t="shared" si="127"/>
        <v>140.1</v>
      </c>
    </row>
    <row r="4086" spans="1:9" ht="30" x14ac:dyDescent="0.25">
      <c r="A4086" s="5" t="s">
        <v>73</v>
      </c>
      <c r="B4086" s="5" t="s">
        <v>2</v>
      </c>
      <c r="C4086" s="5" t="s">
        <v>4562</v>
      </c>
      <c r="D4086" s="3">
        <f>VLOOKUP(A4086,airports!A:H,7,FALSE)</f>
        <v>33.942536109999999</v>
      </c>
      <c r="E4086" s="3">
        <f>VLOOKUP(A4086,airports!A:H,8,FALSE)</f>
        <v>-118.4080744</v>
      </c>
      <c r="F4086" s="3">
        <f>VLOOKUP(B4086,airports!A:H,7,FALSE)</f>
        <v>35.040222219999997</v>
      </c>
      <c r="G4086" s="3">
        <f>VLOOKUP(B4086,airports!A:H,8,FALSE)</f>
        <v>-106.60919440000001</v>
      </c>
      <c r="H4086">
        <f t="shared" si="126"/>
        <v>1087.5999999999999</v>
      </c>
      <c r="I4086">
        <f t="shared" si="127"/>
        <v>675.8</v>
      </c>
    </row>
    <row r="4087" spans="1:9" ht="30" x14ac:dyDescent="0.25">
      <c r="A4087" s="5" t="s">
        <v>73</v>
      </c>
      <c r="B4087" s="5" t="s">
        <v>247</v>
      </c>
      <c r="C4087" s="5" t="s">
        <v>4563</v>
      </c>
      <c r="D4087" s="3">
        <f>VLOOKUP(A4087,airports!A:H,7,FALSE)</f>
        <v>33.942536109999999</v>
      </c>
      <c r="E4087" s="3">
        <f>VLOOKUP(A4087,airports!A:H,8,FALSE)</f>
        <v>-118.4080744</v>
      </c>
      <c r="F4087" s="3">
        <f>VLOOKUP(B4087,airports!A:H,7,FALSE)</f>
        <v>40.978115279999997</v>
      </c>
      <c r="G4087" s="3">
        <f>VLOOKUP(B4087,airports!A:H,8,FALSE)</f>
        <v>-124.1086189</v>
      </c>
      <c r="H4087">
        <f t="shared" si="126"/>
        <v>929.6</v>
      </c>
      <c r="I4087">
        <f t="shared" si="127"/>
        <v>577.70000000000005</v>
      </c>
    </row>
    <row r="4088" spans="1:9" ht="30" x14ac:dyDescent="0.25">
      <c r="A4088" s="5" t="s">
        <v>73</v>
      </c>
      <c r="B4088" s="5" t="s">
        <v>265</v>
      </c>
      <c r="C4088" s="5" t="s">
        <v>4564</v>
      </c>
      <c r="D4088" s="3">
        <f>VLOOKUP(A4088,airports!A:H,7,FALSE)</f>
        <v>33.942536109999999</v>
      </c>
      <c r="E4088" s="3">
        <f>VLOOKUP(A4088,airports!A:H,8,FALSE)</f>
        <v>-118.4080744</v>
      </c>
      <c r="F4088" s="3">
        <f>VLOOKUP(B4088,airports!A:H,7,FALSE)</f>
        <v>61.174320280000003</v>
      </c>
      <c r="G4088" s="3">
        <f>VLOOKUP(B4088,airports!A:H,8,FALSE)</f>
        <v>-149.99618559999999</v>
      </c>
      <c r="H4088">
        <f t="shared" si="126"/>
        <v>3770.8</v>
      </c>
      <c r="I4088">
        <f t="shared" si="127"/>
        <v>2343.1999999999998</v>
      </c>
    </row>
    <row r="4089" spans="1:9" x14ac:dyDescent="0.25">
      <c r="A4089" s="5" t="s">
        <v>73</v>
      </c>
      <c r="B4089" s="5" t="s">
        <v>393</v>
      </c>
      <c r="C4089" s="5" t="s">
        <v>4565</v>
      </c>
      <c r="D4089" s="3">
        <f>VLOOKUP(A4089,airports!A:H,7,FALSE)</f>
        <v>33.942536109999999</v>
      </c>
      <c r="E4089" s="3">
        <f>VLOOKUP(A4089,airports!A:H,8,FALSE)</f>
        <v>-118.4080744</v>
      </c>
      <c r="F4089" s="3">
        <f>VLOOKUP(B4089,airports!A:H,7,FALSE)</f>
        <v>39.22316</v>
      </c>
      <c r="G4089" s="3">
        <f>VLOOKUP(B4089,airports!A:H,8,FALSE)</f>
        <v>-106.86884499999999</v>
      </c>
      <c r="H4089">
        <f t="shared" si="126"/>
        <v>1184.5</v>
      </c>
      <c r="I4089">
        <f t="shared" si="127"/>
        <v>736.1</v>
      </c>
    </row>
    <row r="4090" spans="1:9" x14ac:dyDescent="0.25">
      <c r="A4090" s="5" t="s">
        <v>73</v>
      </c>
      <c r="B4090" s="5" t="s">
        <v>10</v>
      </c>
      <c r="C4090" s="5" t="s">
        <v>4566</v>
      </c>
      <c r="D4090" s="3">
        <f>VLOOKUP(A4090,airports!A:H,7,FALSE)</f>
        <v>33.942536109999999</v>
      </c>
      <c r="E4090" s="3">
        <f>VLOOKUP(A4090,airports!A:H,8,FALSE)</f>
        <v>-118.4080744</v>
      </c>
      <c r="F4090" s="3">
        <f>VLOOKUP(B4090,airports!A:H,7,FALSE)</f>
        <v>33.640444440000003</v>
      </c>
      <c r="G4090" s="3">
        <f>VLOOKUP(B4090,airports!A:H,8,FALSE)</f>
        <v>-84.42694444</v>
      </c>
      <c r="H4090">
        <f t="shared" si="126"/>
        <v>3125.8</v>
      </c>
      <c r="I4090">
        <f t="shared" si="127"/>
        <v>1942.4</v>
      </c>
    </row>
    <row r="4091" spans="1:9" ht="30" x14ac:dyDescent="0.25">
      <c r="A4091" s="5" t="s">
        <v>73</v>
      </c>
      <c r="B4091" s="5" t="s">
        <v>13</v>
      </c>
      <c r="C4091" s="5" t="s">
        <v>4567</v>
      </c>
      <c r="D4091" s="3">
        <f>VLOOKUP(A4091,airports!A:H,7,FALSE)</f>
        <v>33.942536109999999</v>
      </c>
      <c r="E4091" s="3">
        <f>VLOOKUP(A4091,airports!A:H,8,FALSE)</f>
        <v>-118.4080744</v>
      </c>
      <c r="F4091" s="3">
        <f>VLOOKUP(B4091,airports!A:H,7,FALSE)</f>
        <v>30.194532779999999</v>
      </c>
      <c r="G4091" s="3">
        <f>VLOOKUP(B4091,airports!A:H,8,FALSE)</f>
        <v>-97.669871939999993</v>
      </c>
      <c r="H4091">
        <f t="shared" si="126"/>
        <v>1994.4</v>
      </c>
      <c r="I4091">
        <f t="shared" si="127"/>
        <v>1239.3</v>
      </c>
    </row>
    <row r="4092" spans="1:9" x14ac:dyDescent="0.25">
      <c r="A4092" s="5" t="s">
        <v>73</v>
      </c>
      <c r="B4092" s="5" t="s">
        <v>16</v>
      </c>
      <c r="C4092" s="5" t="s">
        <v>4568</v>
      </c>
      <c r="D4092" s="3">
        <f>VLOOKUP(A4092,airports!A:H,7,FALSE)</f>
        <v>33.942536109999999</v>
      </c>
      <c r="E4092" s="3">
        <f>VLOOKUP(A4092,airports!A:H,8,FALSE)</f>
        <v>-118.4080744</v>
      </c>
      <c r="F4092" s="3">
        <f>VLOOKUP(B4092,airports!A:H,7,FALSE)</f>
        <v>41.938874169999998</v>
      </c>
      <c r="G4092" s="3">
        <f>VLOOKUP(B4092,airports!A:H,8,FALSE)</f>
        <v>-72.683228330000006</v>
      </c>
      <c r="H4092">
        <f t="shared" si="126"/>
        <v>4057.3</v>
      </c>
      <c r="I4092">
        <f t="shared" si="127"/>
        <v>2521.3000000000002</v>
      </c>
    </row>
    <row r="4093" spans="1:9" x14ac:dyDescent="0.25">
      <c r="A4093" s="5" t="s">
        <v>73</v>
      </c>
      <c r="B4093" s="5" t="s">
        <v>1021</v>
      </c>
      <c r="C4093" s="5" t="s">
        <v>4569</v>
      </c>
      <c r="D4093" s="3">
        <f>VLOOKUP(A4093,airports!A:H,7,FALSE)</f>
        <v>33.942536109999999</v>
      </c>
      <c r="E4093" s="3">
        <f>VLOOKUP(A4093,airports!A:H,8,FALSE)</f>
        <v>-118.4080744</v>
      </c>
      <c r="F4093" s="3">
        <f>VLOOKUP(B4093,airports!A:H,7,FALSE)</f>
        <v>37.373100280800003</v>
      </c>
      <c r="G4093" s="3">
        <f>VLOOKUP(B4093,airports!A:H,8,FALSE)</f>
        <v>-118.363998413</v>
      </c>
      <c r="H4093">
        <f t="shared" si="126"/>
        <v>381.5</v>
      </c>
      <c r="I4093">
        <f t="shared" si="127"/>
        <v>237.1</v>
      </c>
    </row>
    <row r="4094" spans="1:9" x14ac:dyDescent="0.25">
      <c r="A4094" s="5" t="s">
        <v>73</v>
      </c>
      <c r="B4094" s="5" t="s">
        <v>836</v>
      </c>
      <c r="C4094" s="5" t="s">
        <v>4570</v>
      </c>
      <c r="D4094" s="3">
        <f>VLOOKUP(A4094,airports!A:H,7,FALSE)</f>
        <v>33.942536109999999</v>
      </c>
      <c r="E4094" s="3">
        <f>VLOOKUP(A4094,airports!A:H,8,FALSE)</f>
        <v>-118.4080744</v>
      </c>
      <c r="F4094" s="3">
        <f>VLOOKUP(B4094,airports!A:H,7,FALSE)</f>
        <v>45.807662499999999</v>
      </c>
      <c r="G4094" s="3">
        <f>VLOOKUP(B4094,airports!A:H,8,FALSE)</f>
        <v>-108.5428611</v>
      </c>
      <c r="H4094">
        <f t="shared" si="126"/>
        <v>1562.3</v>
      </c>
      <c r="I4094">
        <f t="shared" si="127"/>
        <v>970.8</v>
      </c>
    </row>
    <row r="4095" spans="1:9" x14ac:dyDescent="0.25">
      <c r="A4095" s="5" t="s">
        <v>73</v>
      </c>
      <c r="B4095" s="5" t="s">
        <v>344</v>
      </c>
      <c r="C4095" s="5" t="s">
        <v>4571</v>
      </c>
      <c r="D4095" s="3">
        <f>VLOOKUP(A4095,airports!A:H,7,FALSE)</f>
        <v>33.942536109999999</v>
      </c>
      <c r="E4095" s="3">
        <f>VLOOKUP(A4095,airports!A:H,8,FALSE)</f>
        <v>-118.4080744</v>
      </c>
      <c r="F4095" s="3">
        <f>VLOOKUP(B4095,airports!A:H,7,FALSE)</f>
        <v>48.792749999999998</v>
      </c>
      <c r="G4095" s="3">
        <f>VLOOKUP(B4095,airports!A:H,8,FALSE)</f>
        <v>-122.53752780000001</v>
      </c>
      <c r="H4095">
        <f t="shared" si="126"/>
        <v>1686.2</v>
      </c>
      <c r="I4095">
        <f t="shared" si="127"/>
        <v>1047.8</v>
      </c>
    </row>
    <row r="4096" spans="1:9" ht="30" x14ac:dyDescent="0.25">
      <c r="A4096" s="5" t="s">
        <v>73</v>
      </c>
      <c r="B4096" s="5" t="s">
        <v>19</v>
      </c>
      <c r="C4096" s="5" t="s">
        <v>4572</v>
      </c>
      <c r="D4096" s="3">
        <f>VLOOKUP(A4096,airports!A:H,7,FALSE)</f>
        <v>33.942536109999999</v>
      </c>
      <c r="E4096" s="3">
        <f>VLOOKUP(A4096,airports!A:H,8,FALSE)</f>
        <v>-118.4080744</v>
      </c>
      <c r="F4096" s="3">
        <f>VLOOKUP(B4096,airports!A:H,7,FALSE)</f>
        <v>36.12447667</v>
      </c>
      <c r="G4096" s="3">
        <f>VLOOKUP(B4096,airports!A:H,8,FALSE)</f>
        <v>-86.678182219999997</v>
      </c>
      <c r="H4096">
        <f t="shared" si="126"/>
        <v>2886.3</v>
      </c>
      <c r="I4096">
        <f t="shared" si="127"/>
        <v>1793.6</v>
      </c>
    </row>
    <row r="4097" spans="1:9" x14ac:dyDescent="0.25">
      <c r="A4097" s="5" t="s">
        <v>73</v>
      </c>
      <c r="B4097" s="5" t="s">
        <v>22</v>
      </c>
      <c r="C4097" s="5" t="s">
        <v>4573</v>
      </c>
      <c r="D4097" s="3">
        <f>VLOOKUP(A4097,airports!A:H,7,FALSE)</f>
        <v>33.942536109999999</v>
      </c>
      <c r="E4097" s="3">
        <f>VLOOKUP(A4097,airports!A:H,8,FALSE)</f>
        <v>-118.4080744</v>
      </c>
      <c r="F4097" s="3">
        <f>VLOOKUP(B4097,airports!A:H,7,FALSE)</f>
        <v>43.564444440000003</v>
      </c>
      <c r="G4097" s="3">
        <f>VLOOKUP(B4097,airports!A:H,8,FALSE)</f>
        <v>-116.2227778</v>
      </c>
      <c r="H4097">
        <f t="shared" si="126"/>
        <v>1086.4000000000001</v>
      </c>
      <c r="I4097">
        <f t="shared" si="127"/>
        <v>675.1</v>
      </c>
    </row>
    <row r="4098" spans="1:9" ht="30" x14ac:dyDescent="0.25">
      <c r="A4098" s="5" t="s">
        <v>73</v>
      </c>
      <c r="B4098" s="5" t="s">
        <v>24</v>
      </c>
      <c r="C4098" s="5" t="s">
        <v>4574</v>
      </c>
      <c r="D4098" s="3">
        <f>VLOOKUP(A4098,airports!A:H,7,FALSE)</f>
        <v>33.942536109999999</v>
      </c>
      <c r="E4098" s="3">
        <f>VLOOKUP(A4098,airports!A:H,8,FALSE)</f>
        <v>-118.4080744</v>
      </c>
      <c r="F4098" s="3">
        <f>VLOOKUP(B4098,airports!A:H,7,FALSE)</f>
        <v>42.364347500000001</v>
      </c>
      <c r="G4098" s="3">
        <f>VLOOKUP(B4098,airports!A:H,8,FALSE)</f>
        <v>-71.005179170000005</v>
      </c>
      <c r="H4098">
        <f t="shared" si="126"/>
        <v>4193</v>
      </c>
      <c r="I4098">
        <f t="shared" si="127"/>
        <v>2605.6</v>
      </c>
    </row>
    <row r="4099" spans="1:9" x14ac:dyDescent="0.25">
      <c r="A4099" s="5" t="s">
        <v>73</v>
      </c>
      <c r="B4099" s="5" t="s">
        <v>434</v>
      </c>
      <c r="C4099" s="5" t="s">
        <v>4575</v>
      </c>
      <c r="D4099" s="3">
        <f>VLOOKUP(A4099,airports!A:H,7,FALSE)</f>
        <v>33.942536109999999</v>
      </c>
      <c r="E4099" s="3">
        <f>VLOOKUP(A4099,airports!A:H,8,FALSE)</f>
        <v>-118.4080744</v>
      </c>
      <c r="F4099" s="3">
        <f>VLOOKUP(B4099,airports!A:H,7,FALSE)</f>
        <v>30.53316083</v>
      </c>
      <c r="G4099" s="3">
        <f>VLOOKUP(B4099,airports!A:H,8,FALSE)</f>
        <v>-91.14963444</v>
      </c>
      <c r="H4099">
        <f t="shared" si="126"/>
        <v>2583.9</v>
      </c>
      <c r="I4099">
        <f t="shared" si="127"/>
        <v>1605.7</v>
      </c>
    </row>
    <row r="4100" spans="1:9" ht="30" x14ac:dyDescent="0.25">
      <c r="A4100" s="5" t="s">
        <v>73</v>
      </c>
      <c r="B4100" s="5" t="s">
        <v>29</v>
      </c>
      <c r="C4100" s="5" t="s">
        <v>4576</v>
      </c>
      <c r="D4100" s="3">
        <f>VLOOKUP(A4100,airports!A:H,7,FALSE)</f>
        <v>33.942536109999999</v>
      </c>
      <c r="E4100" s="3">
        <f>VLOOKUP(A4100,airports!A:H,8,FALSE)</f>
        <v>-118.4080744</v>
      </c>
      <c r="F4100" s="3">
        <f>VLOOKUP(B4100,airports!A:H,7,FALSE)</f>
        <v>42.940524719999999</v>
      </c>
      <c r="G4100" s="3">
        <f>VLOOKUP(B4100,airports!A:H,8,FALSE)</f>
        <v>-78.732166669999998</v>
      </c>
      <c r="H4100">
        <f t="shared" ref="H4100:H4163" si="128">ROUND(ACOS(COS(RADIANS(90-D4100)) * COS(RADIANS(90-F4100)) + SIN(RADIANS(90-D4100)) * SIN(RADIANS(90-F4100)) * COS(RADIANS(E4100-G4100))) * 6371,1)</f>
        <v>3561.1</v>
      </c>
      <c r="I4100">
        <f t="shared" ref="I4100:I4163" si="129">ROUND(ACOS(COS(RADIANS(90-D4100)) * COS(RADIANS(90-F4100)) + SIN(RADIANS(90-D4100)) * SIN(RADIANS(90-F4100)) * COS(RADIANS(E4100-G4100))) * 3959,1)</f>
        <v>2212.9</v>
      </c>
    </row>
    <row r="4101" spans="1:9" ht="30" x14ac:dyDescent="0.25">
      <c r="A4101" s="5" t="s">
        <v>73</v>
      </c>
      <c r="B4101" s="5" t="s">
        <v>32</v>
      </c>
      <c r="C4101" s="5" t="s">
        <v>4577</v>
      </c>
      <c r="D4101" s="3">
        <f>VLOOKUP(A4101,airports!A:H,7,FALSE)</f>
        <v>33.942536109999999</v>
      </c>
      <c r="E4101" s="3">
        <f>VLOOKUP(A4101,airports!A:H,8,FALSE)</f>
        <v>-118.4080744</v>
      </c>
      <c r="F4101" s="3">
        <f>VLOOKUP(B4101,airports!A:H,7,FALSE)</f>
        <v>39.175401669999999</v>
      </c>
      <c r="G4101" s="3">
        <f>VLOOKUP(B4101,airports!A:H,8,FALSE)</f>
        <v>-76.668198329999996</v>
      </c>
      <c r="H4101">
        <f t="shared" si="128"/>
        <v>3739.9</v>
      </c>
      <c r="I4101">
        <f t="shared" si="129"/>
        <v>2324</v>
      </c>
    </row>
    <row r="4102" spans="1:9" ht="30" x14ac:dyDescent="0.25">
      <c r="A4102" s="5" t="s">
        <v>73</v>
      </c>
      <c r="B4102" s="5" t="s">
        <v>34</v>
      </c>
      <c r="C4102" s="5" t="s">
        <v>4578</v>
      </c>
      <c r="D4102" s="3">
        <f>VLOOKUP(A4102,airports!A:H,7,FALSE)</f>
        <v>33.942536109999999</v>
      </c>
      <c r="E4102" s="3">
        <f>VLOOKUP(A4102,airports!A:H,8,FALSE)</f>
        <v>-118.4080744</v>
      </c>
      <c r="F4102" s="3">
        <f>VLOOKUP(B4102,airports!A:H,7,FALSE)</f>
        <v>45.776901389999999</v>
      </c>
      <c r="G4102" s="3">
        <f>VLOOKUP(B4102,airports!A:H,8,FALSE)</f>
        <v>-111.1530072</v>
      </c>
      <c r="H4102">
        <f t="shared" si="128"/>
        <v>1452.8</v>
      </c>
      <c r="I4102">
        <f t="shared" si="129"/>
        <v>902.8</v>
      </c>
    </row>
    <row r="4103" spans="1:9" ht="30" x14ac:dyDescent="0.25">
      <c r="A4103" s="5" t="s">
        <v>73</v>
      </c>
      <c r="B4103" s="5" t="s">
        <v>36</v>
      </c>
      <c r="C4103" s="5" t="s">
        <v>4579</v>
      </c>
      <c r="D4103" s="3">
        <f>VLOOKUP(A4103,airports!A:H,7,FALSE)</f>
        <v>33.942536109999999</v>
      </c>
      <c r="E4103" s="3">
        <f>VLOOKUP(A4103,airports!A:H,8,FALSE)</f>
        <v>-118.4080744</v>
      </c>
      <c r="F4103" s="3">
        <f>VLOOKUP(B4103,airports!A:H,7,FALSE)</f>
        <v>32.898646390000003</v>
      </c>
      <c r="G4103" s="3">
        <f>VLOOKUP(B4103,airports!A:H,8,FALSE)</f>
        <v>-80.040505830000001</v>
      </c>
      <c r="H4103">
        <f t="shared" si="128"/>
        <v>3541.8</v>
      </c>
      <c r="I4103">
        <f t="shared" si="129"/>
        <v>2200.9</v>
      </c>
    </row>
    <row r="4104" spans="1:9" x14ac:dyDescent="0.25">
      <c r="A4104" s="5" t="s">
        <v>73</v>
      </c>
      <c r="B4104" s="5" t="s">
        <v>450</v>
      </c>
      <c r="C4104" s="5" t="s">
        <v>4580</v>
      </c>
      <c r="D4104" s="3">
        <f>VLOOKUP(A4104,airports!A:H,7,FALSE)</f>
        <v>33.942536109999999</v>
      </c>
      <c r="E4104" s="3">
        <f>VLOOKUP(A4104,airports!A:H,8,FALSE)</f>
        <v>-118.4080744</v>
      </c>
      <c r="F4104" s="3">
        <f>VLOOKUP(B4104,airports!A:H,7,FALSE)</f>
        <v>41.88458833</v>
      </c>
      <c r="G4104" s="3">
        <f>VLOOKUP(B4104,airports!A:H,8,FALSE)</f>
        <v>-91.710872219999999</v>
      </c>
      <c r="H4104">
        <f t="shared" si="128"/>
        <v>2490.4</v>
      </c>
      <c r="I4104">
        <f t="shared" si="129"/>
        <v>1547.6</v>
      </c>
    </row>
    <row r="4105" spans="1:9" x14ac:dyDescent="0.25">
      <c r="A4105" s="5" t="s">
        <v>73</v>
      </c>
      <c r="B4105" s="5" t="s">
        <v>38</v>
      </c>
      <c r="C4105" s="5" t="s">
        <v>4581</v>
      </c>
      <c r="D4105" s="3">
        <f>VLOOKUP(A4105,airports!A:H,7,FALSE)</f>
        <v>33.942536109999999</v>
      </c>
      <c r="E4105" s="3">
        <f>VLOOKUP(A4105,airports!A:H,8,FALSE)</f>
        <v>-118.4080744</v>
      </c>
      <c r="F4105" s="3">
        <f>VLOOKUP(B4105,airports!A:H,7,FALSE)</f>
        <v>41.410894169999999</v>
      </c>
      <c r="G4105" s="3">
        <f>VLOOKUP(B4105,airports!A:H,8,FALSE)</f>
        <v>-81.849396670000004</v>
      </c>
      <c r="H4105">
        <f t="shared" si="128"/>
        <v>3296.5</v>
      </c>
      <c r="I4105">
        <f t="shared" si="129"/>
        <v>2048.5</v>
      </c>
    </row>
    <row r="4106" spans="1:9" x14ac:dyDescent="0.25">
      <c r="A4106" s="5" t="s">
        <v>73</v>
      </c>
      <c r="B4106" s="5" t="s">
        <v>40</v>
      </c>
      <c r="C4106" s="5" t="s">
        <v>4582</v>
      </c>
      <c r="D4106" s="3">
        <f>VLOOKUP(A4106,airports!A:H,7,FALSE)</f>
        <v>33.942536109999999</v>
      </c>
      <c r="E4106" s="3">
        <f>VLOOKUP(A4106,airports!A:H,8,FALSE)</f>
        <v>-118.4080744</v>
      </c>
      <c r="F4106" s="3">
        <f>VLOOKUP(B4106,airports!A:H,7,FALSE)</f>
        <v>35.214011110000001</v>
      </c>
      <c r="G4106" s="3">
        <f>VLOOKUP(B4106,airports!A:H,8,FALSE)</f>
        <v>-80.94312583</v>
      </c>
      <c r="H4106">
        <f t="shared" si="128"/>
        <v>3412.5</v>
      </c>
      <c r="I4106">
        <f t="shared" si="129"/>
        <v>2120.6</v>
      </c>
    </row>
    <row r="4107" spans="1:9" ht="30" x14ac:dyDescent="0.25">
      <c r="A4107" s="5" t="s">
        <v>73</v>
      </c>
      <c r="B4107" s="5" t="s">
        <v>454</v>
      </c>
      <c r="C4107" s="5" t="s">
        <v>4583</v>
      </c>
      <c r="D4107" s="3">
        <f>VLOOKUP(A4107,airports!A:H,7,FALSE)</f>
        <v>33.942536109999999</v>
      </c>
      <c r="E4107" s="3">
        <f>VLOOKUP(A4107,airports!A:H,8,FALSE)</f>
        <v>-118.4080744</v>
      </c>
      <c r="F4107" s="3">
        <f>VLOOKUP(B4107,airports!A:H,7,FALSE)</f>
        <v>39.997985280000002</v>
      </c>
      <c r="G4107" s="3">
        <f>VLOOKUP(B4107,airports!A:H,8,FALSE)</f>
        <v>-82.891882780000003</v>
      </c>
      <c r="H4107">
        <f t="shared" si="128"/>
        <v>3204.1</v>
      </c>
      <c r="I4107">
        <f t="shared" si="129"/>
        <v>1991</v>
      </c>
    </row>
    <row r="4108" spans="1:9" ht="30" x14ac:dyDescent="0.25">
      <c r="A4108" s="5" t="s">
        <v>73</v>
      </c>
      <c r="B4108" s="5" t="s">
        <v>456</v>
      </c>
      <c r="C4108" s="5" t="s">
        <v>4584</v>
      </c>
      <c r="D4108" s="3">
        <f>VLOOKUP(A4108,airports!A:H,7,FALSE)</f>
        <v>33.942536109999999</v>
      </c>
      <c r="E4108" s="3">
        <f>VLOOKUP(A4108,airports!A:H,8,FALSE)</f>
        <v>-118.4080744</v>
      </c>
      <c r="F4108" s="3">
        <f>VLOOKUP(B4108,airports!A:H,7,FALSE)</f>
        <v>38.805805560000003</v>
      </c>
      <c r="G4108" s="3">
        <f>VLOOKUP(B4108,airports!A:H,8,FALSE)</f>
        <v>-104.70025</v>
      </c>
      <c r="H4108">
        <f t="shared" si="128"/>
        <v>1339.3</v>
      </c>
      <c r="I4108">
        <f t="shared" si="129"/>
        <v>832.2</v>
      </c>
    </row>
    <row r="4109" spans="1:9" ht="30" x14ac:dyDescent="0.25">
      <c r="A4109" s="5" t="s">
        <v>73</v>
      </c>
      <c r="B4109" s="5" t="s">
        <v>462</v>
      </c>
      <c r="C4109" s="5" t="s">
        <v>4585</v>
      </c>
      <c r="D4109" s="3">
        <f>VLOOKUP(A4109,airports!A:H,7,FALSE)</f>
        <v>33.942536109999999</v>
      </c>
      <c r="E4109" s="3">
        <f>VLOOKUP(A4109,airports!A:H,8,FALSE)</f>
        <v>-118.4080744</v>
      </c>
      <c r="F4109" s="3">
        <f>VLOOKUP(B4109,airports!A:H,7,FALSE)</f>
        <v>39.046142779999997</v>
      </c>
      <c r="G4109" s="3">
        <f>VLOOKUP(B4109,airports!A:H,8,FALSE)</f>
        <v>-84.662172499999997</v>
      </c>
      <c r="H4109">
        <f t="shared" si="128"/>
        <v>3051.4</v>
      </c>
      <c r="I4109">
        <f t="shared" si="129"/>
        <v>1896.2</v>
      </c>
    </row>
    <row r="4110" spans="1:9" ht="30" x14ac:dyDescent="0.25">
      <c r="A4110" s="5" t="s">
        <v>73</v>
      </c>
      <c r="B4110" s="5" t="s">
        <v>201</v>
      </c>
      <c r="C4110" s="5" t="s">
        <v>4586</v>
      </c>
      <c r="D4110" s="3">
        <f>VLOOKUP(A4110,airports!A:H,7,FALSE)</f>
        <v>33.942536109999999</v>
      </c>
      <c r="E4110" s="3">
        <f>VLOOKUP(A4110,airports!A:H,8,FALSE)</f>
        <v>-118.4080744</v>
      </c>
      <c r="F4110" s="3">
        <f>VLOOKUP(B4110,airports!A:H,7,FALSE)</f>
        <v>32.847113890000003</v>
      </c>
      <c r="G4110" s="3">
        <f>VLOOKUP(B4110,airports!A:H,8,FALSE)</f>
        <v>-96.851772220000001</v>
      </c>
      <c r="H4110">
        <f t="shared" si="128"/>
        <v>2001.2</v>
      </c>
      <c r="I4110">
        <f t="shared" si="129"/>
        <v>1243.5999999999999</v>
      </c>
    </row>
    <row r="4111" spans="1:9" ht="30" x14ac:dyDescent="0.25">
      <c r="A4111" s="5" t="s">
        <v>73</v>
      </c>
      <c r="B4111" s="5" t="s">
        <v>45</v>
      </c>
      <c r="C4111" s="5" t="s">
        <v>4587</v>
      </c>
      <c r="D4111" s="3">
        <f>VLOOKUP(A4111,airports!A:H,7,FALSE)</f>
        <v>33.942536109999999</v>
      </c>
      <c r="E4111" s="3">
        <f>VLOOKUP(A4111,airports!A:H,8,FALSE)</f>
        <v>-118.4080744</v>
      </c>
      <c r="F4111" s="3">
        <f>VLOOKUP(B4111,airports!A:H,7,FALSE)</f>
        <v>38.852083329999999</v>
      </c>
      <c r="G4111" s="3">
        <f>VLOOKUP(B4111,airports!A:H,8,FALSE)</f>
        <v>-77.037722220000006</v>
      </c>
      <c r="H4111">
        <f t="shared" si="128"/>
        <v>3710.9</v>
      </c>
      <c r="I4111">
        <f t="shared" si="129"/>
        <v>2306</v>
      </c>
    </row>
    <row r="4112" spans="1:9" ht="30" x14ac:dyDescent="0.25">
      <c r="A4112" s="5" t="s">
        <v>73</v>
      </c>
      <c r="B4112" s="5" t="s">
        <v>47</v>
      </c>
      <c r="C4112" s="5" t="s">
        <v>4588</v>
      </c>
      <c r="D4112" s="3">
        <f>VLOOKUP(A4112,airports!A:H,7,FALSE)</f>
        <v>33.942536109999999</v>
      </c>
      <c r="E4112" s="3">
        <f>VLOOKUP(A4112,airports!A:H,8,FALSE)</f>
        <v>-118.4080744</v>
      </c>
      <c r="F4112" s="3">
        <f>VLOOKUP(B4112,airports!A:H,7,FALSE)</f>
        <v>39.858408060000002</v>
      </c>
      <c r="G4112" s="3">
        <f>VLOOKUP(B4112,airports!A:H,8,FALSE)</f>
        <v>-104.6670019</v>
      </c>
      <c r="H4112">
        <f t="shared" si="128"/>
        <v>1385.5</v>
      </c>
      <c r="I4112">
        <f t="shared" si="129"/>
        <v>860.9</v>
      </c>
    </row>
    <row r="4113" spans="1:9" ht="30" x14ac:dyDescent="0.25">
      <c r="A4113" s="5" t="s">
        <v>73</v>
      </c>
      <c r="B4113" s="5" t="s">
        <v>49</v>
      </c>
      <c r="C4113" s="5" t="s">
        <v>4589</v>
      </c>
      <c r="D4113" s="3">
        <f>VLOOKUP(A4113,airports!A:H,7,FALSE)</f>
        <v>33.942536109999999</v>
      </c>
      <c r="E4113" s="3">
        <f>VLOOKUP(A4113,airports!A:H,8,FALSE)</f>
        <v>-118.4080744</v>
      </c>
      <c r="F4113" s="3">
        <f>VLOOKUP(B4113,airports!A:H,7,FALSE)</f>
        <v>32.895950560000003</v>
      </c>
      <c r="G4113" s="3">
        <f>VLOOKUP(B4113,airports!A:H,8,FALSE)</f>
        <v>-97.037199999999999</v>
      </c>
      <c r="H4113">
        <f t="shared" si="128"/>
        <v>1983.3</v>
      </c>
      <c r="I4113">
        <f t="shared" si="129"/>
        <v>1232.4000000000001</v>
      </c>
    </row>
    <row r="4114" spans="1:9" ht="30" x14ac:dyDescent="0.25">
      <c r="A4114" s="5" t="s">
        <v>73</v>
      </c>
      <c r="B4114" s="5" t="s">
        <v>2350</v>
      </c>
      <c r="C4114" s="5" t="s">
        <v>4590</v>
      </c>
      <c r="D4114" s="3">
        <f>VLOOKUP(A4114,airports!A:H,7,FALSE)</f>
        <v>33.942536109999999</v>
      </c>
      <c r="E4114" s="3">
        <f>VLOOKUP(A4114,airports!A:H,8,FALSE)</f>
        <v>-118.4080744</v>
      </c>
      <c r="F4114" s="3">
        <f>VLOOKUP(B4114,airports!A:H,7,FALSE)</f>
        <v>37.151516669999999</v>
      </c>
      <c r="G4114" s="3">
        <f>VLOOKUP(B4114,airports!A:H,8,FALSE)</f>
        <v>-107.75376919999999</v>
      </c>
      <c r="H4114">
        <f t="shared" si="128"/>
        <v>1027.0999999999999</v>
      </c>
      <c r="I4114">
        <f t="shared" si="129"/>
        <v>638.29999999999995</v>
      </c>
    </row>
    <row r="4115" spans="1:9" ht="30" x14ac:dyDescent="0.25">
      <c r="A4115" s="5" t="s">
        <v>73</v>
      </c>
      <c r="B4115" s="5" t="s">
        <v>474</v>
      </c>
      <c r="C4115" s="5" t="s">
        <v>4591</v>
      </c>
      <c r="D4115" s="3">
        <f>VLOOKUP(A4115,airports!A:H,7,FALSE)</f>
        <v>33.942536109999999</v>
      </c>
      <c r="E4115" s="3">
        <f>VLOOKUP(A4115,airports!A:H,8,FALSE)</f>
        <v>-118.4080744</v>
      </c>
      <c r="F4115" s="3">
        <f>VLOOKUP(B4115,airports!A:H,7,FALSE)</f>
        <v>41.53493306</v>
      </c>
      <c r="G4115" s="3">
        <f>VLOOKUP(B4115,airports!A:H,8,FALSE)</f>
        <v>-93.660682219999998</v>
      </c>
      <c r="H4115">
        <f t="shared" si="128"/>
        <v>2324</v>
      </c>
      <c r="I4115">
        <f t="shared" si="129"/>
        <v>1444.2</v>
      </c>
    </row>
    <row r="4116" spans="1:9" ht="30" x14ac:dyDescent="0.25">
      <c r="A4116" s="5" t="s">
        <v>73</v>
      </c>
      <c r="B4116" s="5" t="s">
        <v>50</v>
      </c>
      <c r="C4116" s="5" t="s">
        <v>4592</v>
      </c>
      <c r="D4116" s="3">
        <f>VLOOKUP(A4116,airports!A:H,7,FALSE)</f>
        <v>33.942536109999999</v>
      </c>
      <c r="E4116" s="3">
        <f>VLOOKUP(A4116,airports!A:H,8,FALSE)</f>
        <v>-118.4080744</v>
      </c>
      <c r="F4116" s="3">
        <f>VLOOKUP(B4116,airports!A:H,7,FALSE)</f>
        <v>42.212058890000002</v>
      </c>
      <c r="G4116" s="3">
        <f>VLOOKUP(B4116,airports!A:H,8,FALSE)</f>
        <v>-83.348835829999999</v>
      </c>
      <c r="H4116">
        <f t="shared" si="128"/>
        <v>3178.4</v>
      </c>
      <c r="I4116">
        <f t="shared" si="129"/>
        <v>1975.1</v>
      </c>
    </row>
    <row r="4117" spans="1:9" x14ac:dyDescent="0.25">
      <c r="A4117" s="5" t="s">
        <v>73</v>
      </c>
      <c r="B4117" s="5" t="s">
        <v>479</v>
      </c>
      <c r="C4117" s="5" t="s">
        <v>4593</v>
      </c>
      <c r="D4117" s="3">
        <f>VLOOKUP(A4117,airports!A:H,7,FALSE)</f>
        <v>33.942536109999999</v>
      </c>
      <c r="E4117" s="3">
        <f>VLOOKUP(A4117,airports!A:H,8,FALSE)</f>
        <v>-118.4080744</v>
      </c>
      <c r="F4117" s="3">
        <f>VLOOKUP(B4117,airports!A:H,7,FALSE)</f>
        <v>39.64256778</v>
      </c>
      <c r="G4117" s="3">
        <f>VLOOKUP(B4117,airports!A:H,8,FALSE)</f>
        <v>-106.91769530000001</v>
      </c>
      <c r="H4117">
        <f t="shared" si="128"/>
        <v>1202.0999999999999</v>
      </c>
      <c r="I4117">
        <f t="shared" si="129"/>
        <v>747</v>
      </c>
    </row>
    <row r="4118" spans="1:9" x14ac:dyDescent="0.25">
      <c r="A4118" s="5" t="s">
        <v>73</v>
      </c>
      <c r="B4118" s="5" t="s">
        <v>483</v>
      </c>
      <c r="C4118" s="5" t="s">
        <v>4594</v>
      </c>
      <c r="D4118" s="3">
        <f>VLOOKUP(A4118,airports!A:H,7,FALSE)</f>
        <v>33.942536109999999</v>
      </c>
      <c r="E4118" s="3">
        <f>VLOOKUP(A4118,airports!A:H,8,FALSE)</f>
        <v>-118.4080744</v>
      </c>
      <c r="F4118" s="3">
        <f>VLOOKUP(B4118,airports!A:H,7,FALSE)</f>
        <v>31.806666669999998</v>
      </c>
      <c r="G4118" s="3">
        <f>VLOOKUP(B4118,airports!A:H,8,FALSE)</f>
        <v>-106.3778056</v>
      </c>
      <c r="H4118">
        <f t="shared" si="128"/>
        <v>1147.5999999999999</v>
      </c>
      <c r="I4118">
        <f t="shared" si="129"/>
        <v>713.1</v>
      </c>
    </row>
    <row r="4119" spans="1:9" ht="30" x14ac:dyDescent="0.25">
      <c r="A4119" s="5" t="s">
        <v>73</v>
      </c>
      <c r="B4119" s="5" t="s">
        <v>848</v>
      </c>
      <c r="C4119" s="5" t="s">
        <v>4595</v>
      </c>
      <c r="D4119" s="3">
        <f>VLOOKUP(A4119,airports!A:H,7,FALSE)</f>
        <v>33.942536109999999</v>
      </c>
      <c r="E4119" s="3">
        <f>VLOOKUP(A4119,airports!A:H,8,FALSE)</f>
        <v>-118.4080744</v>
      </c>
      <c r="F4119" s="3">
        <f>VLOOKUP(B4119,airports!A:H,7,FALSE)</f>
        <v>44.123260000000002</v>
      </c>
      <c r="G4119" s="3">
        <f>VLOOKUP(B4119,airports!A:H,8,FALSE)</f>
        <v>-123.2186856</v>
      </c>
      <c r="H4119">
        <f t="shared" si="128"/>
        <v>1205.3</v>
      </c>
      <c r="I4119">
        <f t="shared" si="129"/>
        <v>749</v>
      </c>
    </row>
    <row r="4120" spans="1:9" ht="30" x14ac:dyDescent="0.25">
      <c r="A4120" s="5" t="s">
        <v>73</v>
      </c>
      <c r="B4120" s="5" t="s">
        <v>52</v>
      </c>
      <c r="C4120" s="5" t="s">
        <v>4596</v>
      </c>
      <c r="D4120" s="3">
        <f>VLOOKUP(A4120,airports!A:H,7,FALSE)</f>
        <v>33.942536109999999</v>
      </c>
      <c r="E4120" s="3">
        <f>VLOOKUP(A4120,airports!A:H,8,FALSE)</f>
        <v>-118.4080744</v>
      </c>
      <c r="F4120" s="3">
        <f>VLOOKUP(B4120,airports!A:H,7,FALSE)</f>
        <v>40.69249722</v>
      </c>
      <c r="G4120" s="3">
        <f>VLOOKUP(B4120,airports!A:H,8,FALSE)</f>
        <v>-74.168660560000006</v>
      </c>
      <c r="H4120">
        <f t="shared" si="128"/>
        <v>3941</v>
      </c>
      <c r="I4120">
        <f t="shared" si="129"/>
        <v>2449</v>
      </c>
    </row>
    <row r="4121" spans="1:9" ht="30" x14ac:dyDescent="0.25">
      <c r="A4121" s="5" t="s">
        <v>73</v>
      </c>
      <c r="B4121" s="5" t="s">
        <v>491</v>
      </c>
      <c r="C4121" s="5" t="s">
        <v>4597</v>
      </c>
      <c r="D4121" s="3">
        <f>VLOOKUP(A4121,airports!A:H,7,FALSE)</f>
        <v>33.942536109999999</v>
      </c>
      <c r="E4121" s="3">
        <f>VLOOKUP(A4121,airports!A:H,8,FALSE)</f>
        <v>-118.4080744</v>
      </c>
      <c r="F4121" s="3">
        <f>VLOOKUP(B4121,airports!A:H,7,FALSE)</f>
        <v>46.919348890000002</v>
      </c>
      <c r="G4121" s="3">
        <f>VLOOKUP(B4121,airports!A:H,8,FALSE)</f>
        <v>-96.814988889999995</v>
      </c>
      <c r="H4121">
        <f t="shared" si="128"/>
        <v>2315.1999999999998</v>
      </c>
      <c r="I4121">
        <f t="shared" si="129"/>
        <v>1438.7</v>
      </c>
    </row>
    <row r="4122" spans="1:9" x14ac:dyDescent="0.25">
      <c r="A4122" s="5" t="s">
        <v>73</v>
      </c>
      <c r="B4122" s="5" t="s">
        <v>2365</v>
      </c>
      <c r="C4122" s="5" t="s">
        <v>4598</v>
      </c>
      <c r="D4122" s="3">
        <f>VLOOKUP(A4122,airports!A:H,7,FALSE)</f>
        <v>33.942536109999999</v>
      </c>
      <c r="E4122" s="3">
        <f>VLOOKUP(A4122,airports!A:H,8,FALSE)</f>
        <v>-118.4080744</v>
      </c>
      <c r="F4122" s="3">
        <f>VLOOKUP(B4122,airports!A:H,7,FALSE)</f>
        <v>36.776194439999998</v>
      </c>
      <c r="G4122" s="3">
        <f>VLOOKUP(B4122,airports!A:H,8,FALSE)</f>
        <v>-119.7181389</v>
      </c>
      <c r="H4122">
        <f t="shared" si="128"/>
        <v>336.7</v>
      </c>
      <c r="I4122">
        <f t="shared" si="129"/>
        <v>209.2</v>
      </c>
    </row>
    <row r="4123" spans="1:9" ht="30" x14ac:dyDescent="0.25">
      <c r="A4123" s="5" t="s">
        <v>73</v>
      </c>
      <c r="B4123" s="5" t="s">
        <v>56</v>
      </c>
      <c r="C4123" s="5" t="s">
        <v>4599</v>
      </c>
      <c r="D4123" s="3">
        <f>VLOOKUP(A4123,airports!A:H,7,FALSE)</f>
        <v>33.942536109999999</v>
      </c>
      <c r="E4123" s="3">
        <f>VLOOKUP(A4123,airports!A:H,8,FALSE)</f>
        <v>-118.4080744</v>
      </c>
      <c r="F4123" s="3">
        <f>VLOOKUP(B4123,airports!A:H,7,FALSE)</f>
        <v>48.311404719999999</v>
      </c>
      <c r="G4123" s="3">
        <f>VLOOKUP(B4123,airports!A:H,8,FALSE)</f>
        <v>-114.2550694</v>
      </c>
      <c r="H4123">
        <f t="shared" si="128"/>
        <v>1634.5</v>
      </c>
      <c r="I4123">
        <f t="shared" si="129"/>
        <v>1015.7</v>
      </c>
    </row>
    <row r="4124" spans="1:9" x14ac:dyDescent="0.25">
      <c r="A4124" s="5" t="s">
        <v>73</v>
      </c>
      <c r="B4124" s="5" t="s">
        <v>2368</v>
      </c>
      <c r="C4124" s="5" t="s">
        <v>4600</v>
      </c>
      <c r="D4124" s="3">
        <f>VLOOKUP(A4124,airports!A:H,7,FALSE)</f>
        <v>33.942536109999999</v>
      </c>
      <c r="E4124" s="3">
        <f>VLOOKUP(A4124,airports!A:H,8,FALSE)</f>
        <v>-118.4080744</v>
      </c>
      <c r="F4124" s="3">
        <f>VLOOKUP(B4124,airports!A:H,7,FALSE)</f>
        <v>35.138454719999999</v>
      </c>
      <c r="G4124" s="3">
        <f>VLOOKUP(B4124,airports!A:H,8,FALSE)</f>
        <v>-111.67121830000001</v>
      </c>
      <c r="H4124">
        <f t="shared" si="128"/>
        <v>631.1</v>
      </c>
      <c r="I4124">
        <f t="shared" si="129"/>
        <v>392.2</v>
      </c>
    </row>
    <row r="4125" spans="1:9" x14ac:dyDescent="0.25">
      <c r="A4125" s="5" t="s">
        <v>73</v>
      </c>
      <c r="B4125" s="5" t="s">
        <v>57</v>
      </c>
      <c r="C4125" s="5" t="s">
        <v>4601</v>
      </c>
      <c r="D4125" s="3">
        <f>VLOOKUP(A4125,airports!A:H,7,FALSE)</f>
        <v>33.942536109999999</v>
      </c>
      <c r="E4125" s="3">
        <f>VLOOKUP(A4125,airports!A:H,8,FALSE)</f>
        <v>-118.4080744</v>
      </c>
      <c r="F4125" s="3">
        <f>VLOOKUP(B4125,airports!A:H,7,FALSE)</f>
        <v>26.072583330000001</v>
      </c>
      <c r="G4125" s="3">
        <f>VLOOKUP(B4125,airports!A:H,8,FALSE)</f>
        <v>-80.152749999999997</v>
      </c>
      <c r="H4125">
        <f t="shared" si="128"/>
        <v>3763.2</v>
      </c>
      <c r="I4125">
        <f t="shared" si="129"/>
        <v>2338.5</v>
      </c>
    </row>
    <row r="4126" spans="1:9" x14ac:dyDescent="0.25">
      <c r="A4126" s="5" t="s">
        <v>73</v>
      </c>
      <c r="B4126" s="5" t="s">
        <v>499</v>
      </c>
      <c r="C4126" s="5" t="s">
        <v>4602</v>
      </c>
      <c r="D4126" s="3">
        <f>VLOOKUP(A4126,airports!A:H,7,FALSE)</f>
        <v>33.942536109999999</v>
      </c>
      <c r="E4126" s="3">
        <f>VLOOKUP(A4126,airports!A:H,8,FALSE)</f>
        <v>-118.4080744</v>
      </c>
      <c r="F4126" s="3">
        <f>VLOOKUP(B4126,airports!A:H,7,FALSE)</f>
        <v>43.58135111</v>
      </c>
      <c r="G4126" s="3">
        <f>VLOOKUP(B4126,airports!A:H,8,FALSE)</f>
        <v>-96.741700280000003</v>
      </c>
      <c r="H4126">
        <f t="shared" si="128"/>
        <v>2153.3000000000002</v>
      </c>
      <c r="I4126">
        <f t="shared" si="129"/>
        <v>1338.1</v>
      </c>
    </row>
    <row r="4127" spans="1:9" ht="30" x14ac:dyDescent="0.25">
      <c r="A4127" s="5" t="s">
        <v>73</v>
      </c>
      <c r="B4127" s="5" t="s">
        <v>505</v>
      </c>
      <c r="C4127" s="5" t="s">
        <v>4603</v>
      </c>
      <c r="D4127" s="3">
        <f>VLOOKUP(A4127,airports!A:H,7,FALSE)</f>
        <v>33.942536109999999</v>
      </c>
      <c r="E4127" s="3">
        <f>VLOOKUP(A4127,airports!A:H,8,FALSE)</f>
        <v>-118.4080744</v>
      </c>
      <c r="F4127" s="3">
        <f>VLOOKUP(B4127,airports!A:H,7,FALSE)</f>
        <v>47.619855559999998</v>
      </c>
      <c r="G4127" s="3">
        <f>VLOOKUP(B4127,airports!A:H,8,FALSE)</f>
        <v>-117.53384250000001</v>
      </c>
      <c r="H4127">
        <f t="shared" si="128"/>
        <v>1522.6</v>
      </c>
      <c r="I4127">
        <f t="shared" si="129"/>
        <v>946.2</v>
      </c>
    </row>
    <row r="4128" spans="1:9" x14ac:dyDescent="0.25">
      <c r="A4128" s="5" t="s">
        <v>73</v>
      </c>
      <c r="B4128" s="5" t="s">
        <v>858</v>
      </c>
      <c r="C4128" s="5" t="s">
        <v>4604</v>
      </c>
      <c r="D4128" s="3">
        <f>VLOOKUP(A4128,airports!A:H,7,FALSE)</f>
        <v>33.942536109999999</v>
      </c>
      <c r="E4128" s="3">
        <f>VLOOKUP(A4128,airports!A:H,8,FALSE)</f>
        <v>-118.4080744</v>
      </c>
      <c r="F4128" s="3">
        <f>VLOOKUP(B4128,airports!A:H,7,FALSE)</f>
        <v>39.122412500000003</v>
      </c>
      <c r="G4128" s="3">
        <f>VLOOKUP(B4128,airports!A:H,8,FALSE)</f>
        <v>-108.52673470000001</v>
      </c>
      <c r="H4128">
        <f t="shared" si="128"/>
        <v>1053.0999999999999</v>
      </c>
      <c r="I4128">
        <f t="shared" si="129"/>
        <v>654.4</v>
      </c>
    </row>
    <row r="4129" spans="1:9" ht="30" x14ac:dyDescent="0.25">
      <c r="A4129" s="5" t="s">
        <v>73</v>
      </c>
      <c r="B4129" s="5" t="s">
        <v>515</v>
      </c>
      <c r="C4129" s="5" t="s">
        <v>4605</v>
      </c>
      <c r="D4129" s="3">
        <f>VLOOKUP(A4129,airports!A:H,7,FALSE)</f>
        <v>33.942536109999999</v>
      </c>
      <c r="E4129" s="3">
        <f>VLOOKUP(A4129,airports!A:H,8,FALSE)</f>
        <v>-118.4080744</v>
      </c>
      <c r="F4129" s="3">
        <f>VLOOKUP(B4129,airports!A:H,7,FALSE)</f>
        <v>42.880819719999998</v>
      </c>
      <c r="G4129" s="3">
        <f>VLOOKUP(B4129,airports!A:H,8,FALSE)</f>
        <v>-85.522767779999995</v>
      </c>
      <c r="H4129">
        <f t="shared" si="128"/>
        <v>3010.1</v>
      </c>
      <c r="I4129">
        <f t="shared" si="129"/>
        <v>1870.5</v>
      </c>
    </row>
    <row r="4130" spans="1:9" ht="30" x14ac:dyDescent="0.25">
      <c r="A4130" s="5" t="s">
        <v>73</v>
      </c>
      <c r="B4130" s="5" t="s">
        <v>64</v>
      </c>
      <c r="C4130" s="5" t="s">
        <v>4606</v>
      </c>
      <c r="D4130" s="3">
        <f>VLOOKUP(A4130,airports!A:H,7,FALSE)</f>
        <v>33.942536109999999</v>
      </c>
      <c r="E4130" s="3">
        <f>VLOOKUP(A4130,airports!A:H,8,FALSE)</f>
        <v>-118.4080744</v>
      </c>
      <c r="F4130" s="3">
        <f>VLOOKUP(B4130,airports!A:H,7,FALSE)</f>
        <v>40.481180279999997</v>
      </c>
      <c r="G4130" s="3">
        <f>VLOOKUP(B4130,airports!A:H,8,FALSE)</f>
        <v>-107.2176597</v>
      </c>
      <c r="H4130">
        <f t="shared" si="128"/>
        <v>1227.4000000000001</v>
      </c>
      <c r="I4130">
        <f t="shared" si="129"/>
        <v>762.7</v>
      </c>
    </row>
    <row r="4131" spans="1:9" ht="30" x14ac:dyDescent="0.25">
      <c r="A4131" s="5" t="s">
        <v>73</v>
      </c>
      <c r="B4131" s="5" t="s">
        <v>360</v>
      </c>
      <c r="C4131" s="5" t="s">
        <v>4607</v>
      </c>
      <c r="D4131" s="3">
        <f>VLOOKUP(A4131,airports!A:H,7,FALSE)</f>
        <v>33.942536109999999</v>
      </c>
      <c r="E4131" s="3">
        <f>VLOOKUP(A4131,airports!A:H,8,FALSE)</f>
        <v>-118.4080744</v>
      </c>
      <c r="F4131" s="3">
        <f>VLOOKUP(B4131,airports!A:H,7,FALSE)</f>
        <v>21.31869111</v>
      </c>
      <c r="G4131" s="3">
        <f>VLOOKUP(B4131,airports!A:H,8,FALSE)</f>
        <v>-157.92240720000001</v>
      </c>
      <c r="H4131">
        <f t="shared" si="128"/>
        <v>4108.2</v>
      </c>
      <c r="I4131">
        <f t="shared" si="129"/>
        <v>2552.8000000000002</v>
      </c>
    </row>
    <row r="4132" spans="1:9" ht="30" x14ac:dyDescent="0.25">
      <c r="A4132" s="5" t="s">
        <v>73</v>
      </c>
      <c r="B4132" s="5" t="s">
        <v>205</v>
      </c>
      <c r="C4132" s="5" t="s">
        <v>4608</v>
      </c>
      <c r="D4132" s="3">
        <f>VLOOKUP(A4132,airports!A:H,7,FALSE)</f>
        <v>33.942536109999999</v>
      </c>
      <c r="E4132" s="3">
        <f>VLOOKUP(A4132,airports!A:H,8,FALSE)</f>
        <v>-118.4080744</v>
      </c>
      <c r="F4132" s="3">
        <f>VLOOKUP(B4132,airports!A:H,7,FALSE)</f>
        <v>29.64541861</v>
      </c>
      <c r="G4132" s="3">
        <f>VLOOKUP(B4132,airports!A:H,8,FALSE)</f>
        <v>-95.278888890000005</v>
      </c>
      <c r="H4132">
        <f t="shared" si="128"/>
        <v>2232.4</v>
      </c>
      <c r="I4132">
        <f t="shared" si="129"/>
        <v>1387.2</v>
      </c>
    </row>
    <row r="4133" spans="1:9" x14ac:dyDescent="0.25">
      <c r="A4133" s="5" t="s">
        <v>73</v>
      </c>
      <c r="B4133" s="5" t="s">
        <v>176</v>
      </c>
      <c r="C4133" s="5" t="s">
        <v>4609</v>
      </c>
      <c r="D4133" s="3">
        <f>VLOOKUP(A4133,airports!A:H,7,FALSE)</f>
        <v>33.942536109999999</v>
      </c>
      <c r="E4133" s="3">
        <f>VLOOKUP(A4133,airports!A:H,8,FALSE)</f>
        <v>-118.4080744</v>
      </c>
      <c r="F4133" s="3">
        <f>VLOOKUP(B4133,airports!A:H,7,FALSE)</f>
        <v>38.944531939999997</v>
      </c>
      <c r="G4133" s="3">
        <f>VLOOKUP(B4133,airports!A:H,8,FALSE)</f>
        <v>-77.455809720000005</v>
      </c>
      <c r="H4133">
        <f t="shared" si="128"/>
        <v>3674</v>
      </c>
      <c r="I4133">
        <f t="shared" si="129"/>
        <v>2283.1</v>
      </c>
    </row>
    <row r="4134" spans="1:9" x14ac:dyDescent="0.25">
      <c r="A4134" s="5" t="s">
        <v>73</v>
      </c>
      <c r="B4134" s="5" t="s">
        <v>67</v>
      </c>
      <c r="C4134" s="5" t="s">
        <v>4610</v>
      </c>
      <c r="D4134" s="3">
        <f>VLOOKUP(A4134,airports!A:H,7,FALSE)</f>
        <v>33.942536109999999</v>
      </c>
      <c r="E4134" s="3">
        <f>VLOOKUP(A4134,airports!A:H,8,FALSE)</f>
        <v>-118.4080744</v>
      </c>
      <c r="F4134" s="3">
        <f>VLOOKUP(B4134,airports!A:H,7,FALSE)</f>
        <v>29.980472219999999</v>
      </c>
      <c r="G4134" s="3">
        <f>VLOOKUP(B4134,airports!A:H,8,FALSE)</f>
        <v>-95.339722219999999</v>
      </c>
      <c r="H4134">
        <f t="shared" si="128"/>
        <v>2215.4</v>
      </c>
      <c r="I4134">
        <f t="shared" si="129"/>
        <v>1376.6</v>
      </c>
    </row>
    <row r="4135" spans="1:9" x14ac:dyDescent="0.25">
      <c r="A4135" s="5" t="s">
        <v>73</v>
      </c>
      <c r="B4135" s="5" t="s">
        <v>533</v>
      </c>
      <c r="C4135" s="5" t="s">
        <v>4611</v>
      </c>
      <c r="D4135" s="3">
        <f>VLOOKUP(A4135,airports!A:H,7,FALSE)</f>
        <v>33.942536109999999</v>
      </c>
      <c r="E4135" s="3">
        <f>VLOOKUP(A4135,airports!A:H,8,FALSE)</f>
        <v>-118.4080744</v>
      </c>
      <c r="F4135" s="3">
        <f>VLOOKUP(B4135,airports!A:H,7,FALSE)</f>
        <v>37.649958890000001</v>
      </c>
      <c r="G4135" s="3">
        <f>VLOOKUP(B4135,airports!A:H,8,FALSE)</f>
        <v>-97.433045829999998</v>
      </c>
      <c r="H4135">
        <f t="shared" si="128"/>
        <v>1931.8</v>
      </c>
      <c r="I4135">
        <f t="shared" si="129"/>
        <v>1200.4000000000001</v>
      </c>
    </row>
    <row r="4136" spans="1:9" x14ac:dyDescent="0.25">
      <c r="A4136" s="5" t="s">
        <v>73</v>
      </c>
      <c r="B4136" s="5" t="s">
        <v>867</v>
      </c>
      <c r="C4136" s="5" t="s">
        <v>4612</v>
      </c>
      <c r="D4136" s="3">
        <f>VLOOKUP(A4136,airports!A:H,7,FALSE)</f>
        <v>33.942536109999999</v>
      </c>
      <c r="E4136" s="3">
        <f>VLOOKUP(A4136,airports!A:H,8,FALSE)</f>
        <v>-118.4080744</v>
      </c>
      <c r="F4136" s="3">
        <f>VLOOKUP(B4136,airports!A:H,7,FALSE)</f>
        <v>43.514555559999998</v>
      </c>
      <c r="G4136" s="3">
        <f>VLOOKUP(B4136,airports!A:H,8,FALSE)</f>
        <v>-112.0701667</v>
      </c>
      <c r="H4136">
        <f t="shared" si="128"/>
        <v>1197.0999999999999</v>
      </c>
      <c r="I4136">
        <f t="shared" si="129"/>
        <v>743.9</v>
      </c>
    </row>
    <row r="4137" spans="1:9" x14ac:dyDescent="0.25">
      <c r="A4137" s="5" t="s">
        <v>73</v>
      </c>
      <c r="B4137" s="5" t="s">
        <v>537</v>
      </c>
      <c r="C4137" s="5" t="s">
        <v>4613</v>
      </c>
      <c r="D4137" s="3">
        <f>VLOOKUP(A4137,airports!A:H,7,FALSE)</f>
        <v>33.942536109999999</v>
      </c>
      <c r="E4137" s="3">
        <f>VLOOKUP(A4137,airports!A:H,8,FALSE)</f>
        <v>-118.4080744</v>
      </c>
      <c r="F4137" s="3">
        <f>VLOOKUP(B4137,airports!A:H,7,FALSE)</f>
        <v>39.717329169999999</v>
      </c>
      <c r="G4137" s="3">
        <f>VLOOKUP(B4137,airports!A:H,8,FALSE)</f>
        <v>-86.294384170000001</v>
      </c>
      <c r="H4137">
        <f t="shared" si="128"/>
        <v>2912.9</v>
      </c>
      <c r="I4137">
        <f t="shared" si="129"/>
        <v>1810.1</v>
      </c>
    </row>
    <row r="4138" spans="1:9" x14ac:dyDescent="0.25">
      <c r="A4138" s="5" t="s">
        <v>73</v>
      </c>
      <c r="B4138" s="5" t="s">
        <v>3653</v>
      </c>
      <c r="C4138" s="5" t="s">
        <v>4614</v>
      </c>
      <c r="D4138" s="3">
        <f>VLOOKUP(A4138,airports!A:H,7,FALSE)</f>
        <v>33.942536109999999</v>
      </c>
      <c r="E4138" s="3">
        <f>VLOOKUP(A4138,airports!A:H,8,FALSE)</f>
        <v>-118.4080744</v>
      </c>
      <c r="F4138" s="3">
        <f>VLOOKUP(B4138,airports!A:H,7,FALSE)</f>
        <v>19.720263060000001</v>
      </c>
      <c r="G4138" s="3">
        <f>VLOOKUP(B4138,airports!A:H,8,FALSE)</f>
        <v>-155.04847029999999</v>
      </c>
      <c r="H4138">
        <f t="shared" si="128"/>
        <v>3937.3</v>
      </c>
      <c r="I4138">
        <f t="shared" si="129"/>
        <v>2446.6999999999998</v>
      </c>
    </row>
    <row r="4139" spans="1:9" x14ac:dyDescent="0.25">
      <c r="A4139" s="5" t="s">
        <v>73</v>
      </c>
      <c r="B4139" s="5" t="s">
        <v>541</v>
      </c>
      <c r="C4139" s="5" t="s">
        <v>4615</v>
      </c>
      <c r="D4139" s="3">
        <f>VLOOKUP(A4139,airports!A:H,7,FALSE)</f>
        <v>33.942536109999999</v>
      </c>
      <c r="E4139" s="3">
        <f>VLOOKUP(A4139,airports!A:H,8,FALSE)</f>
        <v>-118.4080744</v>
      </c>
      <c r="F4139" s="3">
        <f>VLOOKUP(B4139,airports!A:H,7,FALSE)</f>
        <v>43.607324169999998</v>
      </c>
      <c r="G4139" s="3">
        <f>VLOOKUP(B4139,airports!A:H,8,FALSE)</f>
        <v>-110.7377389</v>
      </c>
      <c r="H4139">
        <f t="shared" si="128"/>
        <v>1262.4000000000001</v>
      </c>
      <c r="I4139">
        <f t="shared" si="129"/>
        <v>784.5</v>
      </c>
    </row>
    <row r="4140" spans="1:9" x14ac:dyDescent="0.25">
      <c r="A4140" s="5" t="s">
        <v>73</v>
      </c>
      <c r="B4140" s="5" t="s">
        <v>68</v>
      </c>
      <c r="C4140" s="5" t="s">
        <v>4616</v>
      </c>
      <c r="D4140" s="3">
        <f>VLOOKUP(A4140,airports!A:H,7,FALSE)</f>
        <v>33.942536109999999</v>
      </c>
      <c r="E4140" s="3">
        <f>VLOOKUP(A4140,airports!A:H,8,FALSE)</f>
        <v>-118.4080744</v>
      </c>
      <c r="F4140" s="3">
        <f>VLOOKUP(B4140,airports!A:H,7,FALSE)</f>
        <v>30.49405556</v>
      </c>
      <c r="G4140" s="3">
        <f>VLOOKUP(B4140,airports!A:H,8,FALSE)</f>
        <v>-81.68786111</v>
      </c>
      <c r="H4140">
        <f t="shared" si="128"/>
        <v>3457.3</v>
      </c>
      <c r="I4140">
        <f t="shared" si="129"/>
        <v>2148.4</v>
      </c>
    </row>
    <row r="4141" spans="1:9" x14ac:dyDescent="0.25">
      <c r="A4141" s="5" t="s">
        <v>73</v>
      </c>
      <c r="B4141" s="5" t="s">
        <v>69</v>
      </c>
      <c r="C4141" s="5" t="s">
        <v>4617</v>
      </c>
      <c r="D4141" s="3">
        <f>VLOOKUP(A4141,airports!A:H,7,FALSE)</f>
        <v>33.942536109999999</v>
      </c>
      <c r="E4141" s="3">
        <f>VLOOKUP(A4141,airports!A:H,8,FALSE)</f>
        <v>-118.4080744</v>
      </c>
      <c r="F4141" s="3">
        <f>VLOOKUP(B4141,airports!A:H,7,FALSE)</f>
        <v>40.639751109999999</v>
      </c>
      <c r="G4141" s="3">
        <f>VLOOKUP(B4141,airports!A:H,8,FALSE)</f>
        <v>-73.778925560000005</v>
      </c>
      <c r="H4141">
        <f t="shared" si="128"/>
        <v>3974.2</v>
      </c>
      <c r="I4141">
        <f t="shared" si="129"/>
        <v>2469.6</v>
      </c>
    </row>
    <row r="4142" spans="1:9" ht="30" x14ac:dyDescent="0.25">
      <c r="A4142" s="5" t="s">
        <v>73</v>
      </c>
      <c r="B4142" s="5" t="s">
        <v>366</v>
      </c>
      <c r="C4142" s="5" t="s">
        <v>4618</v>
      </c>
      <c r="D4142" s="3">
        <f>VLOOKUP(A4142,airports!A:H,7,FALSE)</f>
        <v>33.942536109999999</v>
      </c>
      <c r="E4142" s="3">
        <f>VLOOKUP(A4142,airports!A:H,8,FALSE)</f>
        <v>-118.4080744</v>
      </c>
      <c r="F4142" s="3">
        <f>VLOOKUP(B4142,airports!A:H,7,FALSE)</f>
        <v>19.738765829999998</v>
      </c>
      <c r="G4142" s="3">
        <f>VLOOKUP(B4142,airports!A:H,8,FALSE)</f>
        <v>-156.04563139999999</v>
      </c>
      <c r="H4142">
        <f t="shared" si="128"/>
        <v>4025.6</v>
      </c>
      <c r="I4142">
        <f t="shared" si="129"/>
        <v>2501.6</v>
      </c>
    </row>
    <row r="4143" spans="1:9" x14ac:dyDescent="0.25">
      <c r="A4143" s="5" t="s">
        <v>73</v>
      </c>
      <c r="B4143" s="5" t="s">
        <v>71</v>
      </c>
      <c r="C4143" s="5" t="s">
        <v>4619</v>
      </c>
      <c r="D4143" s="3">
        <f>VLOOKUP(A4143,airports!A:H,7,FALSE)</f>
        <v>33.942536109999999</v>
      </c>
      <c r="E4143" s="3">
        <f>VLOOKUP(A4143,airports!A:H,8,FALSE)</f>
        <v>-118.4080744</v>
      </c>
      <c r="F4143" s="3">
        <f>VLOOKUP(B4143,airports!A:H,7,FALSE)</f>
        <v>36.080361109999998</v>
      </c>
      <c r="G4143" s="3">
        <f>VLOOKUP(B4143,airports!A:H,8,FALSE)</f>
        <v>-115.1523333</v>
      </c>
      <c r="H4143">
        <f t="shared" si="128"/>
        <v>380</v>
      </c>
      <c r="I4143">
        <f t="shared" si="129"/>
        <v>236.1</v>
      </c>
    </row>
    <row r="4144" spans="1:9" ht="30" x14ac:dyDescent="0.25">
      <c r="A4144" s="5" t="s">
        <v>73</v>
      </c>
      <c r="B4144" s="5" t="s">
        <v>74</v>
      </c>
      <c r="C4144" s="5" t="s">
        <v>4620</v>
      </c>
      <c r="D4144" s="3">
        <f>VLOOKUP(A4144,airports!A:H,7,FALSE)</f>
        <v>33.942536109999999</v>
      </c>
      <c r="E4144" s="3">
        <f>VLOOKUP(A4144,airports!A:H,8,FALSE)</f>
        <v>-118.4080744</v>
      </c>
      <c r="F4144" s="3">
        <f>VLOOKUP(B4144,airports!A:H,7,FALSE)</f>
        <v>40.777243060000004</v>
      </c>
      <c r="G4144" s="3">
        <f>VLOOKUP(B4144,airports!A:H,8,FALSE)</f>
        <v>-73.872609170000004</v>
      </c>
      <c r="H4144">
        <f t="shared" si="128"/>
        <v>3965.3</v>
      </c>
      <c r="I4144">
        <f t="shared" si="129"/>
        <v>2464.1</v>
      </c>
    </row>
    <row r="4145" spans="1:9" x14ac:dyDescent="0.25">
      <c r="A4145" s="5" t="s">
        <v>73</v>
      </c>
      <c r="B4145" s="5" t="s">
        <v>2421</v>
      </c>
      <c r="C4145" s="5" t="s">
        <v>4621</v>
      </c>
      <c r="D4145" s="3">
        <f>VLOOKUP(A4145,airports!A:H,7,FALSE)</f>
        <v>33.942536109999999</v>
      </c>
      <c r="E4145" s="3">
        <f>VLOOKUP(A4145,airports!A:H,8,FALSE)</f>
        <v>-118.4080744</v>
      </c>
      <c r="F4145" s="3">
        <f>VLOOKUP(B4145,airports!A:H,7,FALSE)</f>
        <v>21.975983060000001</v>
      </c>
      <c r="G4145" s="3">
        <f>VLOOKUP(B4145,airports!A:H,8,FALSE)</f>
        <v>-159.33895810000001</v>
      </c>
      <c r="H4145">
        <f t="shared" si="128"/>
        <v>4203</v>
      </c>
      <c r="I4145">
        <f t="shared" si="129"/>
        <v>2611.8000000000002</v>
      </c>
    </row>
    <row r="4146" spans="1:9" x14ac:dyDescent="0.25">
      <c r="A4146" s="5" t="s">
        <v>73</v>
      </c>
      <c r="B4146" s="5" t="s">
        <v>554</v>
      </c>
      <c r="C4146" s="5" t="s">
        <v>4622</v>
      </c>
      <c r="D4146" s="3">
        <f>VLOOKUP(A4146,airports!A:H,7,FALSE)</f>
        <v>33.942536109999999</v>
      </c>
      <c r="E4146" s="3">
        <f>VLOOKUP(A4146,airports!A:H,8,FALSE)</f>
        <v>-118.4080744</v>
      </c>
      <c r="F4146" s="3">
        <f>VLOOKUP(B4146,airports!A:H,7,FALSE)</f>
        <v>34.729396110000003</v>
      </c>
      <c r="G4146" s="3">
        <f>VLOOKUP(B4146,airports!A:H,8,FALSE)</f>
        <v>-92.22424556</v>
      </c>
      <c r="H4146">
        <f t="shared" si="128"/>
        <v>2399</v>
      </c>
      <c r="I4146">
        <f t="shared" si="129"/>
        <v>1490.7</v>
      </c>
    </row>
    <row r="4147" spans="1:9" ht="30" x14ac:dyDescent="0.25">
      <c r="A4147" s="5" t="s">
        <v>73</v>
      </c>
      <c r="B4147" s="5" t="s">
        <v>80</v>
      </c>
      <c r="C4147" s="5" t="s">
        <v>4623</v>
      </c>
      <c r="D4147" s="3">
        <f>VLOOKUP(A4147,airports!A:H,7,FALSE)</f>
        <v>33.942536109999999</v>
      </c>
      <c r="E4147" s="3">
        <f>VLOOKUP(A4147,airports!A:H,8,FALSE)</f>
        <v>-118.4080744</v>
      </c>
      <c r="F4147" s="3">
        <f>VLOOKUP(B4147,airports!A:H,7,FALSE)</f>
        <v>39.297605279999999</v>
      </c>
      <c r="G4147" s="3">
        <f>VLOOKUP(B4147,airports!A:H,8,FALSE)</f>
        <v>-94.713905560000001</v>
      </c>
      <c r="H4147">
        <f t="shared" si="128"/>
        <v>2189.6999999999998</v>
      </c>
      <c r="I4147">
        <f t="shared" si="129"/>
        <v>1360.7</v>
      </c>
    </row>
    <row r="4148" spans="1:9" ht="30" x14ac:dyDescent="0.25">
      <c r="A4148" s="5" t="s">
        <v>73</v>
      </c>
      <c r="B4148" s="5" t="s">
        <v>82</v>
      </c>
      <c r="C4148" s="5" t="s">
        <v>4624</v>
      </c>
      <c r="D4148" s="3">
        <f>VLOOKUP(A4148,airports!A:H,7,FALSE)</f>
        <v>33.942536109999999</v>
      </c>
      <c r="E4148" s="3">
        <f>VLOOKUP(A4148,airports!A:H,8,FALSE)</f>
        <v>-118.4080744</v>
      </c>
      <c r="F4148" s="3">
        <f>VLOOKUP(B4148,airports!A:H,7,FALSE)</f>
        <v>28.42888889</v>
      </c>
      <c r="G4148" s="3">
        <f>VLOOKUP(B4148,airports!A:H,8,FALSE)</f>
        <v>-81.316027779999999</v>
      </c>
      <c r="H4148">
        <f t="shared" si="128"/>
        <v>3561.7</v>
      </c>
      <c r="I4148">
        <f t="shared" si="129"/>
        <v>2213.3000000000002</v>
      </c>
    </row>
    <row r="4149" spans="1:9" ht="30" x14ac:dyDescent="0.25">
      <c r="A4149" s="5" t="s">
        <v>73</v>
      </c>
      <c r="B4149" s="5" t="s">
        <v>180</v>
      </c>
      <c r="C4149" s="5" t="s">
        <v>4625</v>
      </c>
      <c r="D4149" s="3">
        <f>VLOOKUP(A4149,airports!A:H,7,FALSE)</f>
        <v>33.942536109999999</v>
      </c>
      <c r="E4149" s="3">
        <f>VLOOKUP(A4149,airports!A:H,8,FALSE)</f>
        <v>-118.4080744</v>
      </c>
      <c r="F4149" s="3">
        <f>VLOOKUP(B4149,airports!A:H,7,FALSE)</f>
        <v>41.785982500000003</v>
      </c>
      <c r="G4149" s="3">
        <f>VLOOKUP(B4149,airports!A:H,8,FALSE)</f>
        <v>-87.752424439999999</v>
      </c>
      <c r="H4149">
        <f t="shared" si="128"/>
        <v>2811.5</v>
      </c>
      <c r="I4149">
        <f t="shared" si="129"/>
        <v>1747.1</v>
      </c>
    </row>
    <row r="4150" spans="1:9" ht="30" x14ac:dyDescent="0.25">
      <c r="A4150" s="5" t="s">
        <v>73</v>
      </c>
      <c r="B4150" s="5" t="s">
        <v>563</v>
      </c>
      <c r="C4150" s="5" t="s">
        <v>4626</v>
      </c>
      <c r="D4150" s="3">
        <f>VLOOKUP(A4150,airports!A:H,7,FALSE)</f>
        <v>33.942536109999999</v>
      </c>
      <c r="E4150" s="3">
        <f>VLOOKUP(A4150,airports!A:H,8,FALSE)</f>
        <v>-118.4080744</v>
      </c>
      <c r="F4150" s="3">
        <f>VLOOKUP(B4150,airports!A:H,7,FALSE)</f>
        <v>35.042416670000001</v>
      </c>
      <c r="G4150" s="3">
        <f>VLOOKUP(B4150,airports!A:H,8,FALSE)</f>
        <v>-89.97666667</v>
      </c>
      <c r="H4150">
        <f t="shared" si="128"/>
        <v>2599.6999999999998</v>
      </c>
      <c r="I4150">
        <f t="shared" si="129"/>
        <v>1615.5</v>
      </c>
    </row>
    <row r="4151" spans="1:9" ht="30" x14ac:dyDescent="0.25">
      <c r="A4151" s="5" t="s">
        <v>73</v>
      </c>
      <c r="B4151" s="5" t="s">
        <v>750</v>
      </c>
      <c r="C4151" s="5" t="s">
        <v>4627</v>
      </c>
      <c r="D4151" s="3">
        <f>VLOOKUP(A4151,airports!A:H,7,FALSE)</f>
        <v>33.942536109999999</v>
      </c>
      <c r="E4151" s="3">
        <f>VLOOKUP(A4151,airports!A:H,8,FALSE)</f>
        <v>-118.4080744</v>
      </c>
      <c r="F4151" s="3">
        <f>VLOOKUP(B4151,airports!A:H,7,FALSE)</f>
        <v>26.17583333</v>
      </c>
      <c r="G4151" s="3">
        <f>VLOOKUP(B4151,airports!A:H,8,FALSE)</f>
        <v>-98.238611109999994</v>
      </c>
      <c r="H4151">
        <f t="shared" si="128"/>
        <v>2119.5</v>
      </c>
      <c r="I4151">
        <f t="shared" si="129"/>
        <v>1317.1</v>
      </c>
    </row>
    <row r="4152" spans="1:9" ht="30" x14ac:dyDescent="0.25">
      <c r="A4152" s="5" t="s">
        <v>73</v>
      </c>
      <c r="B4152" s="5" t="s">
        <v>875</v>
      </c>
      <c r="C4152" s="5" t="s">
        <v>4628</v>
      </c>
      <c r="D4152" s="3">
        <f>VLOOKUP(A4152,airports!A:H,7,FALSE)</f>
        <v>33.942536109999999</v>
      </c>
      <c r="E4152" s="3">
        <f>VLOOKUP(A4152,airports!A:H,8,FALSE)</f>
        <v>-118.4080744</v>
      </c>
      <c r="F4152" s="3">
        <f>VLOOKUP(B4152,airports!A:H,7,FALSE)</f>
        <v>42.374227779999998</v>
      </c>
      <c r="G4152" s="3">
        <f>VLOOKUP(B4152,airports!A:H,8,FALSE)</f>
        <v>-122.8734978</v>
      </c>
      <c r="H4152">
        <f t="shared" si="128"/>
        <v>1015.2</v>
      </c>
      <c r="I4152">
        <f t="shared" si="129"/>
        <v>630.9</v>
      </c>
    </row>
    <row r="4153" spans="1:9" ht="30" x14ac:dyDescent="0.25">
      <c r="A4153" s="5" t="s">
        <v>73</v>
      </c>
      <c r="B4153" s="5" t="s">
        <v>84</v>
      </c>
      <c r="C4153" s="5" t="s">
        <v>4629</v>
      </c>
      <c r="D4153" s="3">
        <f>VLOOKUP(A4153,airports!A:H,7,FALSE)</f>
        <v>33.942536109999999</v>
      </c>
      <c r="E4153" s="3">
        <f>VLOOKUP(A4153,airports!A:H,8,FALSE)</f>
        <v>-118.4080744</v>
      </c>
      <c r="F4153" s="3">
        <f>VLOOKUP(B4153,airports!A:H,7,FALSE)</f>
        <v>25.79325</v>
      </c>
      <c r="G4153" s="3">
        <f>VLOOKUP(B4153,airports!A:H,8,FALSE)</f>
        <v>-80.290555560000001</v>
      </c>
      <c r="H4153">
        <f t="shared" si="128"/>
        <v>3762.6</v>
      </c>
      <c r="I4153">
        <f t="shared" si="129"/>
        <v>2338.1</v>
      </c>
    </row>
    <row r="4154" spans="1:9" ht="30" x14ac:dyDescent="0.25">
      <c r="A4154" s="5" t="s">
        <v>73</v>
      </c>
      <c r="B4154" s="5" t="s">
        <v>85</v>
      </c>
      <c r="C4154" s="5" t="s">
        <v>4630</v>
      </c>
      <c r="D4154" s="3">
        <f>VLOOKUP(A4154,airports!A:H,7,FALSE)</f>
        <v>33.942536109999999</v>
      </c>
      <c r="E4154" s="3">
        <f>VLOOKUP(A4154,airports!A:H,8,FALSE)</f>
        <v>-118.4080744</v>
      </c>
      <c r="F4154" s="3">
        <f>VLOOKUP(B4154,airports!A:H,7,FALSE)</f>
        <v>42.94722222</v>
      </c>
      <c r="G4154" s="3">
        <f>VLOOKUP(B4154,airports!A:H,8,FALSE)</f>
        <v>-87.896583329999999</v>
      </c>
      <c r="H4154">
        <f t="shared" si="128"/>
        <v>2820.6</v>
      </c>
      <c r="I4154">
        <f t="shared" si="129"/>
        <v>1752.7</v>
      </c>
    </row>
    <row r="4155" spans="1:9" ht="30" x14ac:dyDescent="0.25">
      <c r="A4155" s="5" t="s">
        <v>73</v>
      </c>
      <c r="B4155" s="5" t="s">
        <v>2436</v>
      </c>
      <c r="C4155" s="5" t="s">
        <v>4631</v>
      </c>
      <c r="D4155" s="3">
        <f>VLOOKUP(A4155,airports!A:H,7,FALSE)</f>
        <v>33.942536109999999</v>
      </c>
      <c r="E4155" s="3">
        <f>VLOOKUP(A4155,airports!A:H,8,FALSE)</f>
        <v>-118.4080744</v>
      </c>
      <c r="F4155" s="3">
        <f>VLOOKUP(B4155,airports!A:H,7,FALSE)</f>
        <v>37.624048610000003</v>
      </c>
      <c r="G4155" s="3">
        <f>VLOOKUP(B4155,airports!A:H,8,FALSE)</f>
        <v>-118.8377722</v>
      </c>
      <c r="H4155">
        <f t="shared" si="128"/>
        <v>411.2</v>
      </c>
      <c r="I4155">
        <f t="shared" si="129"/>
        <v>255.5</v>
      </c>
    </row>
    <row r="4156" spans="1:9" ht="30" x14ac:dyDescent="0.25">
      <c r="A4156" s="5" t="s">
        <v>73</v>
      </c>
      <c r="B4156" s="5" t="s">
        <v>2439</v>
      </c>
      <c r="C4156" s="5" t="s">
        <v>4632</v>
      </c>
      <c r="D4156" s="3">
        <f>VLOOKUP(A4156,airports!A:H,7,FALSE)</f>
        <v>33.942536109999999</v>
      </c>
      <c r="E4156" s="3">
        <f>VLOOKUP(A4156,airports!A:H,8,FALSE)</f>
        <v>-118.4080744</v>
      </c>
      <c r="F4156" s="3">
        <f>VLOOKUP(B4156,airports!A:H,7,FALSE)</f>
        <v>36.586982499999998</v>
      </c>
      <c r="G4156" s="3">
        <f>VLOOKUP(B4156,airports!A:H,8,FALSE)</f>
        <v>-121.8429478</v>
      </c>
      <c r="H4156">
        <f t="shared" si="128"/>
        <v>428.6</v>
      </c>
      <c r="I4156">
        <f t="shared" si="129"/>
        <v>266.3</v>
      </c>
    </row>
    <row r="4157" spans="1:9" ht="30" x14ac:dyDescent="0.25">
      <c r="A4157" s="5" t="s">
        <v>73</v>
      </c>
      <c r="B4157" s="5" t="s">
        <v>579</v>
      </c>
      <c r="C4157" s="5" t="s">
        <v>4633</v>
      </c>
      <c r="D4157" s="3">
        <f>VLOOKUP(A4157,airports!A:H,7,FALSE)</f>
        <v>33.942536109999999</v>
      </c>
      <c r="E4157" s="3">
        <f>VLOOKUP(A4157,airports!A:H,8,FALSE)</f>
        <v>-118.4080744</v>
      </c>
      <c r="F4157" s="3">
        <f>VLOOKUP(B4157,airports!A:H,7,FALSE)</f>
        <v>43.13985778</v>
      </c>
      <c r="G4157" s="3">
        <f>VLOOKUP(B4157,airports!A:H,8,FALSE)</f>
        <v>-89.337513610000002</v>
      </c>
      <c r="H4157">
        <f t="shared" si="128"/>
        <v>2710.1</v>
      </c>
      <c r="I4157">
        <f t="shared" si="129"/>
        <v>1684.1</v>
      </c>
    </row>
    <row r="4158" spans="1:9" ht="30" x14ac:dyDescent="0.25">
      <c r="A4158" s="5" t="s">
        <v>73</v>
      </c>
      <c r="B4158" s="5" t="s">
        <v>581</v>
      </c>
      <c r="C4158" s="5" t="s">
        <v>4634</v>
      </c>
      <c r="D4158" s="3">
        <f>VLOOKUP(A4158,airports!A:H,7,FALSE)</f>
        <v>33.942536109999999</v>
      </c>
      <c r="E4158" s="3">
        <f>VLOOKUP(A4158,airports!A:H,8,FALSE)</f>
        <v>-118.4080744</v>
      </c>
      <c r="F4158" s="3">
        <f>VLOOKUP(B4158,airports!A:H,7,FALSE)</f>
        <v>46.916305559999998</v>
      </c>
      <c r="G4158" s="3">
        <f>VLOOKUP(B4158,airports!A:H,8,FALSE)</f>
        <v>-114.0905556</v>
      </c>
      <c r="H4158">
        <f t="shared" si="128"/>
        <v>1487.6</v>
      </c>
      <c r="I4158">
        <f t="shared" si="129"/>
        <v>924.4</v>
      </c>
    </row>
    <row r="4159" spans="1:9" ht="30" x14ac:dyDescent="0.25">
      <c r="A4159" s="5" t="s">
        <v>73</v>
      </c>
      <c r="B4159" s="5" t="s">
        <v>87</v>
      </c>
      <c r="C4159" s="5" t="s">
        <v>4635</v>
      </c>
      <c r="D4159" s="3">
        <f>VLOOKUP(A4159,airports!A:H,7,FALSE)</f>
        <v>33.942536109999999</v>
      </c>
      <c r="E4159" s="3">
        <f>VLOOKUP(A4159,airports!A:H,8,FALSE)</f>
        <v>-118.4080744</v>
      </c>
      <c r="F4159" s="3">
        <f>VLOOKUP(B4159,airports!A:H,7,FALSE)</f>
        <v>44.880546940000002</v>
      </c>
      <c r="G4159" s="3">
        <f>VLOOKUP(B4159,airports!A:H,8,FALSE)</f>
        <v>-93.216922499999995</v>
      </c>
      <c r="H4159">
        <f t="shared" si="128"/>
        <v>2467.6</v>
      </c>
      <c r="I4159">
        <f t="shared" si="129"/>
        <v>1533.4</v>
      </c>
    </row>
    <row r="4160" spans="1:9" ht="30" x14ac:dyDescent="0.25">
      <c r="A4160" s="5" t="s">
        <v>73</v>
      </c>
      <c r="B4160" s="5" t="s">
        <v>89</v>
      </c>
      <c r="C4160" s="5" t="s">
        <v>4636</v>
      </c>
      <c r="D4160" s="3">
        <f>VLOOKUP(A4160,airports!A:H,7,FALSE)</f>
        <v>33.942536109999999</v>
      </c>
      <c r="E4160" s="3">
        <f>VLOOKUP(A4160,airports!A:H,8,FALSE)</f>
        <v>-118.4080744</v>
      </c>
      <c r="F4160" s="3">
        <f>VLOOKUP(B4160,airports!A:H,7,FALSE)</f>
        <v>29.993388889999999</v>
      </c>
      <c r="G4160" s="3">
        <f>VLOOKUP(B4160,airports!A:H,8,FALSE)</f>
        <v>-90.258027780000006</v>
      </c>
      <c r="H4160">
        <f t="shared" si="128"/>
        <v>2682.9</v>
      </c>
      <c r="I4160">
        <f t="shared" si="129"/>
        <v>1667.2</v>
      </c>
    </row>
    <row r="4161" spans="1:9" ht="30" x14ac:dyDescent="0.25">
      <c r="A4161" s="5" t="s">
        <v>73</v>
      </c>
      <c r="B4161" s="5" t="s">
        <v>91</v>
      </c>
      <c r="C4161" s="5" t="s">
        <v>4637</v>
      </c>
      <c r="D4161" s="3">
        <f>VLOOKUP(A4161,airports!A:H,7,FALSE)</f>
        <v>33.942536109999999</v>
      </c>
      <c r="E4161" s="3">
        <f>VLOOKUP(A4161,airports!A:H,8,FALSE)</f>
        <v>-118.4080744</v>
      </c>
      <c r="F4161" s="3">
        <f>VLOOKUP(B4161,airports!A:H,7,FALSE)</f>
        <v>38.508867219999999</v>
      </c>
      <c r="G4161" s="3">
        <f>VLOOKUP(B4161,airports!A:H,8,FALSE)</f>
        <v>-107.8938333</v>
      </c>
      <c r="H4161">
        <f t="shared" si="128"/>
        <v>1070.0999999999999</v>
      </c>
      <c r="I4161">
        <f t="shared" si="129"/>
        <v>665</v>
      </c>
    </row>
    <row r="4162" spans="1:9" ht="30" x14ac:dyDescent="0.25">
      <c r="A4162" s="5" t="s">
        <v>73</v>
      </c>
      <c r="B4162" s="5" t="s">
        <v>215</v>
      </c>
      <c r="C4162" s="5" t="s">
        <v>4638</v>
      </c>
      <c r="D4162" s="3">
        <f>VLOOKUP(A4162,airports!A:H,7,FALSE)</f>
        <v>33.942536109999999</v>
      </c>
      <c r="E4162" s="3">
        <f>VLOOKUP(A4162,airports!A:H,8,FALSE)</f>
        <v>-118.4080744</v>
      </c>
      <c r="F4162" s="3">
        <f>VLOOKUP(B4162,airports!A:H,7,FALSE)</f>
        <v>37.721290830000001</v>
      </c>
      <c r="G4162" s="3">
        <f>VLOOKUP(B4162,airports!A:H,8,FALSE)</f>
        <v>-122.2207167</v>
      </c>
      <c r="H4162">
        <f t="shared" si="128"/>
        <v>542.70000000000005</v>
      </c>
      <c r="I4162">
        <f t="shared" si="129"/>
        <v>337.3</v>
      </c>
    </row>
    <row r="4163" spans="1:9" ht="30" x14ac:dyDescent="0.25">
      <c r="A4163" s="5" t="s">
        <v>73</v>
      </c>
      <c r="B4163" s="5" t="s">
        <v>884</v>
      </c>
      <c r="C4163" s="5" t="s">
        <v>4639</v>
      </c>
      <c r="D4163" s="3">
        <f>VLOOKUP(A4163,airports!A:H,7,FALSE)</f>
        <v>33.942536109999999</v>
      </c>
      <c r="E4163" s="3">
        <f>VLOOKUP(A4163,airports!A:H,8,FALSE)</f>
        <v>-118.4080744</v>
      </c>
      <c r="F4163" s="3">
        <f>VLOOKUP(B4163,airports!A:H,7,FALSE)</f>
        <v>41.195899963378999</v>
      </c>
      <c r="G4163" s="3">
        <f>VLOOKUP(B4163,airports!A:H,8,FALSE)</f>
        <v>-112.0120010376</v>
      </c>
      <c r="H4163">
        <f t="shared" si="128"/>
        <v>983.4</v>
      </c>
      <c r="I4163">
        <f t="shared" si="129"/>
        <v>611.1</v>
      </c>
    </row>
    <row r="4164" spans="1:9" ht="30" x14ac:dyDescent="0.25">
      <c r="A4164" s="5" t="s">
        <v>73</v>
      </c>
      <c r="B4164" s="5" t="s">
        <v>371</v>
      </c>
      <c r="C4164" s="5" t="s">
        <v>4640</v>
      </c>
      <c r="D4164" s="3">
        <f>VLOOKUP(A4164,airports!A:H,7,FALSE)</f>
        <v>33.942536109999999</v>
      </c>
      <c r="E4164" s="3">
        <f>VLOOKUP(A4164,airports!A:H,8,FALSE)</f>
        <v>-118.4080744</v>
      </c>
      <c r="F4164" s="3">
        <f>VLOOKUP(B4164,airports!A:H,7,FALSE)</f>
        <v>20.898649720000002</v>
      </c>
      <c r="G4164" s="3">
        <f>VLOOKUP(B4164,airports!A:H,8,FALSE)</f>
        <v>-156.4304578</v>
      </c>
      <c r="H4164">
        <f t="shared" ref="H4164:H4227" si="130">ROUND(ACOS(COS(RADIANS(90-D4164)) * COS(RADIANS(90-F4164)) + SIN(RADIANS(90-D4164)) * SIN(RADIANS(90-F4164)) * COS(RADIANS(E4164-G4164))) * 6371,1)</f>
        <v>3995.4</v>
      </c>
      <c r="I4164">
        <f t="shared" ref="I4164:I4227" si="131">ROUND(ACOS(COS(RADIANS(90-D4164)) * COS(RADIANS(90-F4164)) + SIN(RADIANS(90-D4164)) * SIN(RADIANS(90-F4164)) * COS(RADIANS(E4164-G4164))) * 3959,1)</f>
        <v>2482.8000000000002</v>
      </c>
    </row>
    <row r="4165" spans="1:9" ht="30" x14ac:dyDescent="0.25">
      <c r="A4165" s="5" t="s">
        <v>73</v>
      </c>
      <c r="B4165" s="5" t="s">
        <v>590</v>
      </c>
      <c r="C4165" s="5" t="s">
        <v>4641</v>
      </c>
      <c r="D4165" s="3">
        <f>VLOOKUP(A4165,airports!A:H,7,FALSE)</f>
        <v>33.942536109999999</v>
      </c>
      <c r="E4165" s="3">
        <f>VLOOKUP(A4165,airports!A:H,8,FALSE)</f>
        <v>-118.4080744</v>
      </c>
      <c r="F4165" s="3">
        <f>VLOOKUP(B4165,airports!A:H,7,FALSE)</f>
        <v>35.393088329999998</v>
      </c>
      <c r="G4165" s="3">
        <f>VLOOKUP(B4165,airports!A:H,8,FALSE)</f>
        <v>-97.600733890000001</v>
      </c>
      <c r="H4165">
        <f t="shared" si="130"/>
        <v>1906.2</v>
      </c>
      <c r="I4165">
        <f t="shared" si="131"/>
        <v>1184.5</v>
      </c>
    </row>
    <row r="4166" spans="1:9" ht="30" x14ac:dyDescent="0.25">
      <c r="A4166" s="5" t="s">
        <v>73</v>
      </c>
      <c r="B4166" s="5" t="s">
        <v>592</v>
      </c>
      <c r="C4166" s="5" t="s">
        <v>4642</v>
      </c>
      <c r="D4166" s="3">
        <f>VLOOKUP(A4166,airports!A:H,7,FALSE)</f>
        <v>33.942536109999999</v>
      </c>
      <c r="E4166" s="3">
        <f>VLOOKUP(A4166,airports!A:H,8,FALSE)</f>
        <v>-118.4080744</v>
      </c>
      <c r="F4166" s="3">
        <f>VLOOKUP(B4166,airports!A:H,7,FALSE)</f>
        <v>41.30251861</v>
      </c>
      <c r="G4166" s="3">
        <f>VLOOKUP(B4166,airports!A:H,8,FALSE)</f>
        <v>-95.89417306</v>
      </c>
      <c r="H4166">
        <f t="shared" si="130"/>
        <v>2137.1</v>
      </c>
      <c r="I4166">
        <f t="shared" si="131"/>
        <v>1328</v>
      </c>
    </row>
    <row r="4167" spans="1:9" ht="30" x14ac:dyDescent="0.25">
      <c r="A4167" s="5" t="s">
        <v>73</v>
      </c>
      <c r="B4167" s="5" t="s">
        <v>95</v>
      </c>
      <c r="C4167" s="5" t="s">
        <v>4643</v>
      </c>
      <c r="D4167" s="3">
        <f>VLOOKUP(A4167,airports!A:H,7,FALSE)</f>
        <v>33.942536109999999</v>
      </c>
      <c r="E4167" s="3">
        <f>VLOOKUP(A4167,airports!A:H,8,FALSE)</f>
        <v>-118.4080744</v>
      </c>
      <c r="F4167" s="3">
        <f>VLOOKUP(B4167,airports!A:H,7,FALSE)</f>
        <v>41.979595000000003</v>
      </c>
      <c r="G4167" s="3">
        <f>VLOOKUP(B4167,airports!A:H,8,FALSE)</f>
        <v>-87.904464169999997</v>
      </c>
      <c r="H4167">
        <f t="shared" si="130"/>
        <v>2802.2</v>
      </c>
      <c r="I4167">
        <f t="shared" si="131"/>
        <v>1741.3</v>
      </c>
    </row>
    <row r="4168" spans="1:9" ht="30" x14ac:dyDescent="0.25">
      <c r="A4168" s="5" t="s">
        <v>73</v>
      </c>
      <c r="B4168" s="5" t="s">
        <v>1214</v>
      </c>
      <c r="C4168" s="5" t="s">
        <v>4644</v>
      </c>
      <c r="D4168" s="3">
        <f>VLOOKUP(A4168,airports!A:H,7,FALSE)</f>
        <v>33.942536109999999</v>
      </c>
      <c r="E4168" s="3">
        <f>VLOOKUP(A4168,airports!A:H,8,FALSE)</f>
        <v>-118.4080744</v>
      </c>
      <c r="F4168" s="3">
        <f>VLOOKUP(B4168,airports!A:H,7,FALSE)</f>
        <v>47.906300000000002</v>
      </c>
      <c r="G4168" s="3">
        <f>VLOOKUP(B4168,airports!A:H,8,FALSE)</f>
        <v>-122.281998</v>
      </c>
      <c r="H4168">
        <f t="shared" si="130"/>
        <v>1585.9</v>
      </c>
      <c r="I4168">
        <f t="shared" si="131"/>
        <v>985.5</v>
      </c>
    </row>
    <row r="4169" spans="1:9" x14ac:dyDescent="0.25">
      <c r="A4169" s="5" t="s">
        <v>73</v>
      </c>
      <c r="B4169" s="5" t="s">
        <v>99</v>
      </c>
      <c r="C4169" s="5" t="s">
        <v>4645</v>
      </c>
      <c r="D4169" s="3">
        <f>VLOOKUP(A4169,airports!A:H,7,FALSE)</f>
        <v>33.942536109999999</v>
      </c>
      <c r="E4169" s="3">
        <f>VLOOKUP(A4169,airports!A:H,8,FALSE)</f>
        <v>-118.4080744</v>
      </c>
      <c r="F4169" s="3">
        <f>VLOOKUP(B4169,airports!A:H,7,FALSE)</f>
        <v>26.683161940000002</v>
      </c>
      <c r="G4169" s="3">
        <f>VLOOKUP(B4169,airports!A:H,8,FALSE)</f>
        <v>-80.095594169999998</v>
      </c>
      <c r="H4169">
        <f t="shared" si="130"/>
        <v>3742.7</v>
      </c>
      <c r="I4169">
        <f t="shared" si="131"/>
        <v>2325.8000000000002</v>
      </c>
    </row>
    <row r="4170" spans="1:9" ht="30" x14ac:dyDescent="0.25">
      <c r="A4170" s="5" t="s">
        <v>73</v>
      </c>
      <c r="B4170" s="5" t="s">
        <v>100</v>
      </c>
      <c r="C4170" s="5" t="s">
        <v>4646</v>
      </c>
      <c r="D4170" s="3">
        <f>VLOOKUP(A4170,airports!A:H,7,FALSE)</f>
        <v>33.942536109999999</v>
      </c>
      <c r="E4170" s="3">
        <f>VLOOKUP(A4170,airports!A:H,8,FALSE)</f>
        <v>-118.4080744</v>
      </c>
      <c r="F4170" s="3">
        <f>VLOOKUP(B4170,airports!A:H,7,FALSE)</f>
        <v>45.588722220000001</v>
      </c>
      <c r="G4170" s="3">
        <f>VLOOKUP(B4170,airports!A:H,8,FALSE)</f>
        <v>-122.5975</v>
      </c>
      <c r="H4170">
        <f t="shared" si="130"/>
        <v>1343.1</v>
      </c>
      <c r="I4170">
        <f t="shared" si="131"/>
        <v>834.6</v>
      </c>
    </row>
    <row r="4171" spans="1:9" x14ac:dyDescent="0.25">
      <c r="A4171" s="5" t="s">
        <v>73</v>
      </c>
      <c r="B4171" s="5" t="s">
        <v>102</v>
      </c>
      <c r="C4171" s="5" t="s">
        <v>4647</v>
      </c>
      <c r="D4171" s="3">
        <f>VLOOKUP(A4171,airports!A:H,7,FALSE)</f>
        <v>33.942536109999999</v>
      </c>
      <c r="E4171" s="3">
        <f>VLOOKUP(A4171,airports!A:H,8,FALSE)</f>
        <v>-118.4080744</v>
      </c>
      <c r="F4171" s="3">
        <f>VLOOKUP(B4171,airports!A:H,7,FALSE)</f>
        <v>39.871952780000001</v>
      </c>
      <c r="G4171" s="3">
        <f>VLOOKUP(B4171,airports!A:H,8,FALSE)</f>
        <v>-75.241140830000006</v>
      </c>
      <c r="H4171">
        <f t="shared" si="130"/>
        <v>3856.3</v>
      </c>
      <c r="I4171">
        <f t="shared" si="131"/>
        <v>2396.4</v>
      </c>
    </row>
    <row r="4172" spans="1:9" ht="30" x14ac:dyDescent="0.25">
      <c r="A4172" s="5" t="s">
        <v>73</v>
      </c>
      <c r="B4172" s="5" t="s">
        <v>104</v>
      </c>
      <c r="C4172" s="5" t="s">
        <v>4648</v>
      </c>
      <c r="D4172" s="3">
        <f>VLOOKUP(A4172,airports!A:H,7,FALSE)</f>
        <v>33.942536109999999</v>
      </c>
      <c r="E4172" s="3">
        <f>VLOOKUP(A4172,airports!A:H,8,FALSE)</f>
        <v>-118.4080744</v>
      </c>
      <c r="F4172" s="3">
        <f>VLOOKUP(B4172,airports!A:H,7,FALSE)</f>
        <v>33.434166670000003</v>
      </c>
      <c r="G4172" s="3">
        <f>VLOOKUP(B4172,airports!A:H,8,FALSE)</f>
        <v>-112.00805560000001</v>
      </c>
      <c r="H4172">
        <f t="shared" si="130"/>
        <v>594.70000000000005</v>
      </c>
      <c r="I4172">
        <f t="shared" si="131"/>
        <v>369.6</v>
      </c>
    </row>
    <row r="4173" spans="1:9" x14ac:dyDescent="0.25">
      <c r="A4173" s="5" t="s">
        <v>73</v>
      </c>
      <c r="B4173" s="5" t="s">
        <v>106</v>
      </c>
      <c r="C4173" s="5" t="s">
        <v>4649</v>
      </c>
      <c r="D4173" s="3">
        <f>VLOOKUP(A4173,airports!A:H,7,FALSE)</f>
        <v>33.942536109999999</v>
      </c>
      <c r="E4173" s="3">
        <f>VLOOKUP(A4173,airports!A:H,8,FALSE)</f>
        <v>-118.4080744</v>
      </c>
      <c r="F4173" s="3">
        <f>VLOOKUP(B4173,airports!A:H,7,FALSE)</f>
        <v>40.491465830000003</v>
      </c>
      <c r="G4173" s="3">
        <f>VLOOKUP(B4173,airports!A:H,8,FALSE)</f>
        <v>-80.232870829999996</v>
      </c>
      <c r="H4173">
        <f t="shared" si="130"/>
        <v>3430</v>
      </c>
      <c r="I4173">
        <f t="shared" si="131"/>
        <v>2131.5</v>
      </c>
    </row>
    <row r="4174" spans="1:9" ht="30" x14ac:dyDescent="0.25">
      <c r="A4174" s="5" t="s">
        <v>73</v>
      </c>
      <c r="B4174" s="5" t="s">
        <v>2465</v>
      </c>
      <c r="C4174" s="5" t="s">
        <v>4650</v>
      </c>
      <c r="D4174" s="3">
        <f>VLOOKUP(A4174,airports!A:H,7,FALSE)</f>
        <v>33.942536109999999</v>
      </c>
      <c r="E4174" s="3">
        <f>VLOOKUP(A4174,airports!A:H,8,FALSE)</f>
        <v>-118.4080744</v>
      </c>
      <c r="F4174" s="3">
        <f>VLOOKUP(B4174,airports!A:H,7,FALSE)</f>
        <v>34.654499000000001</v>
      </c>
      <c r="G4174" s="3">
        <f>VLOOKUP(B4174,airports!A:H,8,FALSE)</f>
        <v>-112.41999800000001</v>
      </c>
      <c r="H4174">
        <f t="shared" si="130"/>
        <v>555.6</v>
      </c>
      <c r="I4174">
        <f t="shared" si="131"/>
        <v>345.3</v>
      </c>
    </row>
    <row r="4175" spans="1:9" x14ac:dyDescent="0.25">
      <c r="A4175" s="5" t="s">
        <v>73</v>
      </c>
      <c r="B4175" s="5" t="s">
        <v>890</v>
      </c>
      <c r="C4175" s="5" t="s">
        <v>4651</v>
      </c>
      <c r="D4175" s="3">
        <f>VLOOKUP(A4175,airports!A:H,7,FALSE)</f>
        <v>33.942536109999999</v>
      </c>
      <c r="E4175" s="3">
        <f>VLOOKUP(A4175,airports!A:H,8,FALSE)</f>
        <v>-118.4080744</v>
      </c>
      <c r="F4175" s="3">
        <f>VLOOKUP(B4175,airports!A:H,7,FALSE)</f>
        <v>46.26468028</v>
      </c>
      <c r="G4175" s="3">
        <f>VLOOKUP(B4175,airports!A:H,8,FALSE)</f>
        <v>-119.1190292</v>
      </c>
      <c r="H4175">
        <f t="shared" si="130"/>
        <v>1371.5</v>
      </c>
      <c r="I4175">
        <f t="shared" si="131"/>
        <v>852.2</v>
      </c>
    </row>
    <row r="4176" spans="1:9" x14ac:dyDescent="0.25">
      <c r="A4176" s="5" t="s">
        <v>73</v>
      </c>
      <c r="B4176" s="5" t="s">
        <v>111</v>
      </c>
      <c r="C4176" s="5" t="s">
        <v>4652</v>
      </c>
      <c r="D4176" s="3">
        <f>VLOOKUP(A4176,airports!A:H,7,FALSE)</f>
        <v>33.942536109999999</v>
      </c>
      <c r="E4176" s="3">
        <f>VLOOKUP(A4176,airports!A:H,8,FALSE)</f>
        <v>-118.4080744</v>
      </c>
      <c r="F4176" s="3">
        <f>VLOOKUP(B4176,airports!A:H,7,FALSE)</f>
        <v>33.829215560000002</v>
      </c>
      <c r="G4176" s="3">
        <f>VLOOKUP(B4176,airports!A:H,8,FALSE)</f>
        <v>-116.5062531</v>
      </c>
      <c r="H4176">
        <f t="shared" si="130"/>
        <v>176</v>
      </c>
      <c r="I4176">
        <f t="shared" si="131"/>
        <v>109.4</v>
      </c>
    </row>
    <row r="4177" spans="1:9" ht="30" x14ac:dyDescent="0.25">
      <c r="A4177" s="5" t="s">
        <v>73</v>
      </c>
      <c r="B4177" s="5" t="s">
        <v>772</v>
      </c>
      <c r="C4177" s="5" t="s">
        <v>4653</v>
      </c>
      <c r="D4177" s="3">
        <f>VLOOKUP(A4177,airports!A:H,7,FALSE)</f>
        <v>33.942536109999999</v>
      </c>
      <c r="E4177" s="3">
        <f>VLOOKUP(A4177,airports!A:H,8,FALSE)</f>
        <v>-118.4080744</v>
      </c>
      <c r="F4177" s="3">
        <f>VLOOKUP(B4177,airports!A:H,7,FALSE)</f>
        <v>40.219200000000001</v>
      </c>
      <c r="G4177" s="3">
        <f>VLOOKUP(B4177,airports!A:H,8,FALSE)</f>
        <v>-111.723</v>
      </c>
      <c r="H4177">
        <f t="shared" si="130"/>
        <v>915.3</v>
      </c>
      <c r="I4177">
        <f t="shared" si="131"/>
        <v>568.70000000000005</v>
      </c>
    </row>
    <row r="4178" spans="1:9" ht="30" x14ac:dyDescent="0.25">
      <c r="A4178" s="5" t="s">
        <v>73</v>
      </c>
      <c r="B4178" s="5" t="s">
        <v>612</v>
      </c>
      <c r="C4178" s="5" t="s">
        <v>4654</v>
      </c>
      <c r="D4178" s="3">
        <f>VLOOKUP(A4178,airports!A:H,7,FALSE)</f>
        <v>33.942536109999999</v>
      </c>
      <c r="E4178" s="3">
        <f>VLOOKUP(A4178,airports!A:H,8,FALSE)</f>
        <v>-118.4080744</v>
      </c>
      <c r="F4178" s="3">
        <f>VLOOKUP(B4178,airports!A:H,7,FALSE)</f>
        <v>44.045321389999998</v>
      </c>
      <c r="G4178" s="3">
        <f>VLOOKUP(B4178,airports!A:H,8,FALSE)</f>
        <v>-103.0573708</v>
      </c>
      <c r="H4178">
        <f t="shared" si="130"/>
        <v>1733.3</v>
      </c>
      <c r="I4178">
        <f t="shared" si="131"/>
        <v>1077.0999999999999</v>
      </c>
    </row>
    <row r="4179" spans="1:9" ht="30" x14ac:dyDescent="0.25">
      <c r="A4179" s="5" t="s">
        <v>73</v>
      </c>
      <c r="B4179" s="5" t="s">
        <v>4655</v>
      </c>
      <c r="C4179" s="5" t="s">
        <v>4656</v>
      </c>
      <c r="D4179" s="3">
        <f>VLOOKUP(A4179,airports!A:H,7,FALSE)</f>
        <v>33.942536109999999</v>
      </c>
      <c r="E4179" s="3">
        <f>VLOOKUP(A4179,airports!A:H,8,FALSE)</f>
        <v>-118.4080744</v>
      </c>
      <c r="F4179" s="3">
        <f>VLOOKUP(B4179,airports!A:H,7,FALSE)</f>
        <v>40.508983610000001</v>
      </c>
      <c r="G4179" s="3">
        <f>VLOOKUP(B4179,airports!A:H,8,FALSE)</f>
        <v>-122.29340190000001</v>
      </c>
      <c r="H4179">
        <f t="shared" si="130"/>
        <v>806.9</v>
      </c>
      <c r="I4179">
        <f t="shared" si="131"/>
        <v>501.4</v>
      </c>
    </row>
    <row r="4180" spans="1:9" ht="30" x14ac:dyDescent="0.25">
      <c r="A4180" s="5" t="s">
        <v>73</v>
      </c>
      <c r="B4180" s="5" t="s">
        <v>894</v>
      </c>
      <c r="C4180" s="5" t="s">
        <v>4657</v>
      </c>
      <c r="D4180" s="3">
        <f>VLOOKUP(A4180,airports!A:H,7,FALSE)</f>
        <v>33.942536109999999</v>
      </c>
      <c r="E4180" s="3">
        <f>VLOOKUP(A4180,airports!A:H,8,FALSE)</f>
        <v>-118.4080744</v>
      </c>
      <c r="F4180" s="3">
        <f>VLOOKUP(B4180,airports!A:H,7,FALSE)</f>
        <v>44.254067220000003</v>
      </c>
      <c r="G4180" s="3">
        <f>VLOOKUP(B4180,airports!A:H,8,FALSE)</f>
        <v>-121.1499633</v>
      </c>
      <c r="H4180">
        <f t="shared" si="130"/>
        <v>1170.5999999999999</v>
      </c>
      <c r="I4180">
        <f t="shared" si="131"/>
        <v>727.4</v>
      </c>
    </row>
    <row r="4181" spans="1:9" ht="30" x14ac:dyDescent="0.25">
      <c r="A4181" s="5" t="s">
        <v>73</v>
      </c>
      <c r="B4181" s="5" t="s">
        <v>119</v>
      </c>
      <c r="C4181" s="5" t="s">
        <v>4658</v>
      </c>
      <c r="D4181" s="3">
        <f>VLOOKUP(A4181,airports!A:H,7,FALSE)</f>
        <v>33.942536109999999</v>
      </c>
      <c r="E4181" s="3">
        <f>VLOOKUP(A4181,airports!A:H,8,FALSE)</f>
        <v>-118.4080744</v>
      </c>
      <c r="F4181" s="3">
        <f>VLOOKUP(B4181,airports!A:H,7,FALSE)</f>
        <v>35.87763889</v>
      </c>
      <c r="G4181" s="3">
        <f>VLOOKUP(B4181,airports!A:H,8,FALSE)</f>
        <v>-78.787472219999998</v>
      </c>
      <c r="H4181">
        <f t="shared" si="130"/>
        <v>3594.5</v>
      </c>
      <c r="I4181">
        <f t="shared" si="131"/>
        <v>2233.6999999999998</v>
      </c>
    </row>
    <row r="4182" spans="1:9" x14ac:dyDescent="0.25">
      <c r="A4182" s="5" t="s">
        <v>73</v>
      </c>
      <c r="B4182" s="5" t="s">
        <v>120</v>
      </c>
      <c r="C4182" s="5" t="s">
        <v>4659</v>
      </c>
      <c r="D4182" s="3">
        <f>VLOOKUP(A4182,airports!A:H,7,FALSE)</f>
        <v>33.942536109999999</v>
      </c>
      <c r="E4182" s="3">
        <f>VLOOKUP(A4182,airports!A:H,8,FALSE)</f>
        <v>-118.4080744</v>
      </c>
      <c r="F4182" s="3">
        <f>VLOOKUP(B4182,airports!A:H,7,FALSE)</f>
        <v>37.505166670000001</v>
      </c>
      <c r="G4182" s="3">
        <f>VLOOKUP(B4182,airports!A:H,8,FALSE)</f>
        <v>-77.319666670000004</v>
      </c>
      <c r="H4182">
        <f t="shared" si="130"/>
        <v>3700.9</v>
      </c>
      <c r="I4182">
        <f t="shared" si="131"/>
        <v>2299.8000000000002</v>
      </c>
    </row>
    <row r="4183" spans="1:9" ht="30" x14ac:dyDescent="0.25">
      <c r="A4183" s="5" t="s">
        <v>73</v>
      </c>
      <c r="B4183" s="5" t="s">
        <v>121</v>
      </c>
      <c r="C4183" s="5" t="s">
        <v>4660</v>
      </c>
      <c r="D4183" s="3">
        <f>VLOOKUP(A4183,airports!A:H,7,FALSE)</f>
        <v>33.942536109999999</v>
      </c>
      <c r="E4183" s="3">
        <f>VLOOKUP(A4183,airports!A:H,8,FALSE)</f>
        <v>-118.4080744</v>
      </c>
      <c r="F4183" s="3">
        <f>VLOOKUP(B4183,airports!A:H,7,FALSE)</f>
        <v>39.498576110000002</v>
      </c>
      <c r="G4183" s="3">
        <f>VLOOKUP(B4183,airports!A:H,8,FALSE)</f>
        <v>-119.7680647</v>
      </c>
      <c r="H4183">
        <f t="shared" si="130"/>
        <v>629.6</v>
      </c>
      <c r="I4183">
        <f t="shared" si="131"/>
        <v>391.2</v>
      </c>
    </row>
    <row r="4184" spans="1:9" ht="30" x14ac:dyDescent="0.25">
      <c r="A4184" s="5" t="s">
        <v>73</v>
      </c>
      <c r="B4184" s="5" t="s">
        <v>123</v>
      </c>
      <c r="C4184" s="5" t="s">
        <v>4661</v>
      </c>
      <c r="D4184" s="3">
        <f>VLOOKUP(A4184,airports!A:H,7,FALSE)</f>
        <v>33.942536109999999</v>
      </c>
      <c r="E4184" s="3">
        <f>VLOOKUP(A4184,airports!A:H,8,FALSE)</f>
        <v>-118.4080744</v>
      </c>
      <c r="F4184" s="3">
        <f>VLOOKUP(B4184,airports!A:H,7,FALSE)</f>
        <v>26.53616667</v>
      </c>
      <c r="G4184" s="3">
        <f>VLOOKUP(B4184,airports!A:H,8,FALSE)</f>
        <v>-81.755166669999994</v>
      </c>
      <c r="H4184">
        <f t="shared" si="130"/>
        <v>3595.9</v>
      </c>
      <c r="I4184">
        <f t="shared" si="131"/>
        <v>2234.5</v>
      </c>
    </row>
    <row r="4185" spans="1:9" x14ac:dyDescent="0.25">
      <c r="A4185" s="5" t="s">
        <v>73</v>
      </c>
      <c r="B4185" s="5" t="s">
        <v>2486</v>
      </c>
      <c r="C4185" s="5" t="s">
        <v>4662</v>
      </c>
      <c r="D4185" s="3">
        <f>VLOOKUP(A4185,airports!A:H,7,FALSE)</f>
        <v>33.942536109999999</v>
      </c>
      <c r="E4185" s="3">
        <f>VLOOKUP(A4185,airports!A:H,8,FALSE)</f>
        <v>-118.4080744</v>
      </c>
      <c r="F4185" s="3">
        <f>VLOOKUP(B4185,airports!A:H,7,FALSE)</f>
        <v>35.61677778</v>
      </c>
      <c r="G4185" s="3">
        <f>VLOOKUP(B4185,airports!A:H,8,FALSE)</f>
        <v>-106.0881389</v>
      </c>
      <c r="H4185">
        <f t="shared" si="130"/>
        <v>1139.7</v>
      </c>
      <c r="I4185">
        <f t="shared" si="131"/>
        <v>708.2</v>
      </c>
    </row>
    <row r="4186" spans="1:9" ht="30" x14ac:dyDescent="0.25">
      <c r="A4186" s="5" t="s">
        <v>73</v>
      </c>
      <c r="B4186" s="5" t="s">
        <v>124</v>
      </c>
      <c r="C4186" s="5" t="s">
        <v>4663</v>
      </c>
      <c r="D4186" s="3">
        <f>VLOOKUP(A4186,airports!A:H,7,FALSE)</f>
        <v>33.942536109999999</v>
      </c>
      <c r="E4186" s="3">
        <f>VLOOKUP(A4186,airports!A:H,8,FALSE)</f>
        <v>-118.4080744</v>
      </c>
      <c r="F4186" s="3">
        <f>VLOOKUP(B4186,airports!A:H,7,FALSE)</f>
        <v>32.733556110000002</v>
      </c>
      <c r="G4186" s="3">
        <f>VLOOKUP(B4186,airports!A:H,8,FALSE)</f>
        <v>-117.1896567</v>
      </c>
      <c r="H4186">
        <f t="shared" si="130"/>
        <v>175.7</v>
      </c>
      <c r="I4186">
        <f t="shared" si="131"/>
        <v>109.2</v>
      </c>
    </row>
    <row r="4187" spans="1:9" x14ac:dyDescent="0.25">
      <c r="A4187" s="5" t="s">
        <v>73</v>
      </c>
      <c r="B4187" s="5" t="s">
        <v>125</v>
      </c>
      <c r="C4187" s="5" t="s">
        <v>4664</v>
      </c>
      <c r="D4187" s="3">
        <f>VLOOKUP(A4187,airports!A:H,7,FALSE)</f>
        <v>33.942536109999999</v>
      </c>
      <c r="E4187" s="3">
        <f>VLOOKUP(A4187,airports!A:H,8,FALSE)</f>
        <v>-118.4080744</v>
      </c>
      <c r="F4187" s="3">
        <f>VLOOKUP(B4187,airports!A:H,7,FALSE)</f>
        <v>29.533694440000001</v>
      </c>
      <c r="G4187" s="3">
        <f>VLOOKUP(B4187,airports!A:H,8,FALSE)</f>
        <v>-98.469777780000001</v>
      </c>
      <c r="H4187">
        <f t="shared" si="130"/>
        <v>1944.7</v>
      </c>
      <c r="I4187">
        <f t="shared" si="131"/>
        <v>1208.4000000000001</v>
      </c>
    </row>
    <row r="4188" spans="1:9" ht="30" x14ac:dyDescent="0.25">
      <c r="A4188" s="5" t="s">
        <v>73</v>
      </c>
      <c r="B4188" s="5" t="s">
        <v>967</v>
      </c>
      <c r="C4188" s="5" t="s">
        <v>4665</v>
      </c>
      <c r="D4188" s="3">
        <f>VLOOKUP(A4188,airports!A:H,7,FALSE)</f>
        <v>33.942536109999999</v>
      </c>
      <c r="E4188" s="3">
        <f>VLOOKUP(A4188,airports!A:H,8,FALSE)</f>
        <v>-118.4080744</v>
      </c>
      <c r="F4188" s="3">
        <f>VLOOKUP(B4188,airports!A:H,7,FALSE)</f>
        <v>34.426211940000002</v>
      </c>
      <c r="G4188" s="3">
        <f>VLOOKUP(B4188,airports!A:H,8,FALSE)</f>
        <v>-119.8403733</v>
      </c>
      <c r="H4188">
        <f t="shared" si="130"/>
        <v>142.30000000000001</v>
      </c>
      <c r="I4188">
        <f t="shared" si="131"/>
        <v>88.4</v>
      </c>
    </row>
    <row r="4189" spans="1:9" ht="30" x14ac:dyDescent="0.25">
      <c r="A4189" s="5" t="s">
        <v>73</v>
      </c>
      <c r="B4189" s="5" t="s">
        <v>626</v>
      </c>
      <c r="C4189" s="5" t="s">
        <v>4666</v>
      </c>
      <c r="D4189" s="3">
        <f>VLOOKUP(A4189,airports!A:H,7,FALSE)</f>
        <v>33.942536109999999</v>
      </c>
      <c r="E4189" s="3">
        <f>VLOOKUP(A4189,airports!A:H,8,FALSE)</f>
        <v>-118.4080744</v>
      </c>
      <c r="F4189" s="3">
        <f>VLOOKUP(B4189,airports!A:H,7,FALSE)</f>
        <v>41.708953610000002</v>
      </c>
      <c r="G4189" s="3">
        <f>VLOOKUP(B4189,airports!A:H,8,FALSE)</f>
        <v>-86.318474170000002</v>
      </c>
      <c r="H4189">
        <f t="shared" si="130"/>
        <v>2928.5</v>
      </c>
      <c r="I4189">
        <f t="shared" si="131"/>
        <v>1819.8</v>
      </c>
    </row>
    <row r="4190" spans="1:9" x14ac:dyDescent="0.25">
      <c r="A4190" s="5" t="s">
        <v>73</v>
      </c>
      <c r="B4190" s="5" t="s">
        <v>2493</v>
      </c>
      <c r="C4190" s="5" t="s">
        <v>4667</v>
      </c>
      <c r="D4190" s="3">
        <f>VLOOKUP(A4190,airports!A:H,7,FALSE)</f>
        <v>33.942536109999999</v>
      </c>
      <c r="E4190" s="3">
        <f>VLOOKUP(A4190,airports!A:H,8,FALSE)</f>
        <v>-118.4080744</v>
      </c>
      <c r="F4190" s="3">
        <f>VLOOKUP(B4190,airports!A:H,7,FALSE)</f>
        <v>35.237058060000003</v>
      </c>
      <c r="G4190" s="3">
        <f>VLOOKUP(B4190,airports!A:H,8,FALSE)</f>
        <v>-120.64239310000001</v>
      </c>
      <c r="H4190">
        <f t="shared" si="130"/>
        <v>250.1</v>
      </c>
      <c r="I4190">
        <f t="shared" si="131"/>
        <v>155.4</v>
      </c>
    </row>
    <row r="4191" spans="1:9" x14ac:dyDescent="0.25">
      <c r="A4191" s="5" t="s">
        <v>73</v>
      </c>
      <c r="B4191" s="5" t="s">
        <v>900</v>
      </c>
      <c r="C4191" s="5" t="s">
        <v>4668</v>
      </c>
      <c r="D4191" s="3">
        <f>VLOOKUP(A4191,airports!A:H,7,FALSE)</f>
        <v>33.942536109999999</v>
      </c>
      <c r="E4191" s="3">
        <f>VLOOKUP(A4191,airports!A:H,8,FALSE)</f>
        <v>-118.4080744</v>
      </c>
      <c r="F4191" s="3">
        <f>VLOOKUP(B4191,airports!A:H,7,FALSE)</f>
        <v>37.894199371337997</v>
      </c>
      <c r="G4191" s="3">
        <f>VLOOKUP(B4191,airports!A:H,8,FALSE)</f>
        <v>-121.2379989624</v>
      </c>
      <c r="H4191">
        <f t="shared" si="130"/>
        <v>507.9</v>
      </c>
      <c r="I4191">
        <f t="shared" si="131"/>
        <v>315.60000000000002</v>
      </c>
    </row>
    <row r="4192" spans="1:9" x14ac:dyDescent="0.25">
      <c r="A4192" s="5" t="s">
        <v>73</v>
      </c>
      <c r="B4192" s="5" t="s">
        <v>630</v>
      </c>
      <c r="C4192" s="5" t="s">
        <v>4669</v>
      </c>
      <c r="D4192" s="3">
        <f>VLOOKUP(A4192,airports!A:H,7,FALSE)</f>
        <v>33.942536109999999</v>
      </c>
      <c r="E4192" s="3">
        <f>VLOOKUP(A4192,airports!A:H,8,FALSE)</f>
        <v>-118.4080744</v>
      </c>
      <c r="F4192" s="3">
        <f>VLOOKUP(B4192,airports!A:H,7,FALSE)</f>
        <v>38.174388890000003</v>
      </c>
      <c r="G4192" s="3">
        <f>VLOOKUP(B4192,airports!A:H,8,FALSE)</f>
        <v>-85.736000000000004</v>
      </c>
      <c r="H4192">
        <f t="shared" si="130"/>
        <v>2958.8</v>
      </c>
      <c r="I4192">
        <f t="shared" si="131"/>
        <v>1838.6</v>
      </c>
    </row>
    <row r="4193" spans="1:9" x14ac:dyDescent="0.25">
      <c r="A4193" s="5" t="s">
        <v>73</v>
      </c>
      <c r="B4193" s="5" t="s">
        <v>128</v>
      </c>
      <c r="C4193" s="5" t="s">
        <v>4670</v>
      </c>
      <c r="D4193" s="3">
        <f>VLOOKUP(A4193,airports!A:H,7,FALSE)</f>
        <v>33.942536109999999</v>
      </c>
      <c r="E4193" s="3">
        <f>VLOOKUP(A4193,airports!A:H,8,FALSE)</f>
        <v>-118.4080744</v>
      </c>
      <c r="F4193" s="3">
        <f>VLOOKUP(B4193,airports!A:H,7,FALSE)</f>
        <v>47.448981940000003</v>
      </c>
      <c r="G4193" s="3">
        <f>VLOOKUP(B4193,airports!A:H,8,FALSE)</f>
        <v>-122.3093131</v>
      </c>
      <c r="H4193">
        <f t="shared" si="130"/>
        <v>1536.9</v>
      </c>
      <c r="I4193">
        <f t="shared" si="131"/>
        <v>955</v>
      </c>
    </row>
    <row r="4194" spans="1:9" ht="30" x14ac:dyDescent="0.25">
      <c r="A4194" s="5" t="s">
        <v>73</v>
      </c>
      <c r="B4194" s="5" t="s">
        <v>130</v>
      </c>
      <c r="C4194" s="5" t="s">
        <v>4671</v>
      </c>
      <c r="D4194" s="3">
        <f>VLOOKUP(A4194,airports!A:H,7,FALSE)</f>
        <v>33.942536109999999</v>
      </c>
      <c r="E4194" s="3">
        <f>VLOOKUP(A4194,airports!A:H,8,FALSE)</f>
        <v>-118.4080744</v>
      </c>
      <c r="F4194" s="3">
        <f>VLOOKUP(B4194,airports!A:H,7,FALSE)</f>
        <v>37.619001939999997</v>
      </c>
      <c r="G4194" s="3">
        <f>VLOOKUP(B4194,airports!A:H,8,FALSE)</f>
        <v>-122.37484329999999</v>
      </c>
      <c r="H4194">
        <f t="shared" si="130"/>
        <v>543.20000000000005</v>
      </c>
      <c r="I4194">
        <f t="shared" si="131"/>
        <v>337.5</v>
      </c>
    </row>
    <row r="4195" spans="1:9" x14ac:dyDescent="0.25">
      <c r="A4195" s="5" t="s">
        <v>73</v>
      </c>
      <c r="B4195" s="5" t="s">
        <v>634</v>
      </c>
      <c r="C4195" s="5" t="s">
        <v>4672</v>
      </c>
      <c r="D4195" s="3">
        <f>VLOOKUP(A4195,airports!A:H,7,FALSE)</f>
        <v>33.942536109999999</v>
      </c>
      <c r="E4195" s="3">
        <f>VLOOKUP(A4195,airports!A:H,8,FALSE)</f>
        <v>-118.4080744</v>
      </c>
      <c r="F4195" s="3">
        <f>VLOOKUP(B4195,airports!A:H,7,FALSE)</f>
        <v>37.244326110000003</v>
      </c>
      <c r="G4195" s="3">
        <f>VLOOKUP(B4195,airports!A:H,8,FALSE)</f>
        <v>-93.386858059999994</v>
      </c>
      <c r="H4195">
        <f t="shared" si="130"/>
        <v>2285.1</v>
      </c>
      <c r="I4195">
        <f t="shared" si="131"/>
        <v>1420</v>
      </c>
    </row>
    <row r="4196" spans="1:9" ht="30" x14ac:dyDescent="0.25">
      <c r="A4196" s="5" t="s">
        <v>73</v>
      </c>
      <c r="B4196" s="5" t="s">
        <v>904</v>
      </c>
      <c r="C4196" s="5" t="s">
        <v>4673</v>
      </c>
      <c r="D4196" s="3">
        <f>VLOOKUP(A4196,airports!A:H,7,FALSE)</f>
        <v>33.942536109999999</v>
      </c>
      <c r="E4196" s="3">
        <f>VLOOKUP(A4196,airports!A:H,8,FALSE)</f>
        <v>-118.4080744</v>
      </c>
      <c r="F4196" s="3">
        <f>VLOOKUP(B4196,airports!A:H,7,FALSE)</f>
        <v>37.090583330000001</v>
      </c>
      <c r="G4196" s="3">
        <f>VLOOKUP(B4196,airports!A:H,8,FALSE)</f>
        <v>-113.5930556</v>
      </c>
      <c r="H4196">
        <f t="shared" si="130"/>
        <v>558.79999999999995</v>
      </c>
      <c r="I4196">
        <f t="shared" si="131"/>
        <v>347.3</v>
      </c>
    </row>
    <row r="4197" spans="1:9" ht="30" x14ac:dyDescent="0.25">
      <c r="A4197" s="5" t="s">
        <v>73</v>
      </c>
      <c r="B4197" s="5" t="s">
        <v>636</v>
      </c>
      <c r="C4197" s="5" t="s">
        <v>4674</v>
      </c>
      <c r="D4197" s="3">
        <f>VLOOKUP(A4197,airports!A:H,7,FALSE)</f>
        <v>33.942536109999999</v>
      </c>
      <c r="E4197" s="3">
        <f>VLOOKUP(A4197,airports!A:H,8,FALSE)</f>
        <v>-118.4080744</v>
      </c>
      <c r="F4197" s="3">
        <f>VLOOKUP(B4197,airports!A:H,7,FALSE)</f>
        <v>32.446627499999998</v>
      </c>
      <c r="G4197" s="3">
        <f>VLOOKUP(B4197,airports!A:H,8,FALSE)</f>
        <v>-93.825598330000005</v>
      </c>
      <c r="H4197">
        <f t="shared" si="130"/>
        <v>2288</v>
      </c>
      <c r="I4197">
        <f t="shared" si="131"/>
        <v>1421.8</v>
      </c>
    </row>
    <row r="4198" spans="1:9" x14ac:dyDescent="0.25">
      <c r="A4198" s="5" t="s">
        <v>73</v>
      </c>
      <c r="B4198" s="5" t="s">
        <v>131</v>
      </c>
      <c r="C4198" s="5" t="s">
        <v>4675</v>
      </c>
      <c r="D4198" s="3">
        <f>VLOOKUP(A4198,airports!A:H,7,FALSE)</f>
        <v>33.942536109999999</v>
      </c>
      <c r="E4198" s="3">
        <f>VLOOKUP(A4198,airports!A:H,8,FALSE)</f>
        <v>-118.4080744</v>
      </c>
      <c r="F4198" s="3">
        <f>VLOOKUP(B4198,airports!A:H,7,FALSE)</f>
        <v>37.361861939999997</v>
      </c>
      <c r="G4198" s="3">
        <f>VLOOKUP(B4198,airports!A:H,8,FALSE)</f>
        <v>-121.9290089</v>
      </c>
      <c r="H4198">
        <f t="shared" si="130"/>
        <v>495.7</v>
      </c>
      <c r="I4198">
        <f t="shared" si="131"/>
        <v>308</v>
      </c>
    </row>
    <row r="4199" spans="1:9" x14ac:dyDescent="0.25">
      <c r="A4199" s="5" t="s">
        <v>73</v>
      </c>
      <c r="B4199" s="5" t="s">
        <v>135</v>
      </c>
      <c r="C4199" s="5" t="s">
        <v>4676</v>
      </c>
      <c r="D4199" s="3">
        <f>VLOOKUP(A4199,airports!A:H,7,FALSE)</f>
        <v>33.942536109999999</v>
      </c>
      <c r="E4199" s="3">
        <f>VLOOKUP(A4199,airports!A:H,8,FALSE)</f>
        <v>-118.4080744</v>
      </c>
      <c r="F4199" s="3">
        <f>VLOOKUP(B4199,airports!A:H,7,FALSE)</f>
        <v>40.788387780000001</v>
      </c>
      <c r="G4199" s="3">
        <f>VLOOKUP(B4199,airports!A:H,8,FALSE)</f>
        <v>-111.97777309999999</v>
      </c>
      <c r="H4199">
        <f t="shared" si="130"/>
        <v>949.3</v>
      </c>
      <c r="I4199">
        <f t="shared" si="131"/>
        <v>589.9</v>
      </c>
    </row>
    <row r="4200" spans="1:9" ht="30" x14ac:dyDescent="0.25">
      <c r="A4200" s="5" t="s">
        <v>73</v>
      </c>
      <c r="B4200" s="5" t="s">
        <v>137</v>
      </c>
      <c r="C4200" s="5" t="s">
        <v>4677</v>
      </c>
      <c r="D4200" s="3">
        <f>VLOOKUP(A4200,airports!A:H,7,FALSE)</f>
        <v>33.942536109999999</v>
      </c>
      <c r="E4200" s="3">
        <f>VLOOKUP(A4200,airports!A:H,8,FALSE)</f>
        <v>-118.4080744</v>
      </c>
      <c r="F4200" s="3">
        <f>VLOOKUP(B4200,airports!A:H,7,FALSE)</f>
        <v>38.695421670000002</v>
      </c>
      <c r="G4200" s="3">
        <f>VLOOKUP(B4200,airports!A:H,8,FALSE)</f>
        <v>-121.59076690000001</v>
      </c>
      <c r="H4200">
        <f t="shared" si="130"/>
        <v>600.4</v>
      </c>
      <c r="I4200">
        <f t="shared" si="131"/>
        <v>373.1</v>
      </c>
    </row>
    <row r="4201" spans="1:9" x14ac:dyDescent="0.25">
      <c r="A4201" s="5" t="s">
        <v>73</v>
      </c>
      <c r="B4201" s="5" t="s">
        <v>644</v>
      </c>
      <c r="C4201" s="5" t="s">
        <v>4678</v>
      </c>
      <c r="D4201" s="3">
        <f>VLOOKUP(A4201,airports!A:H,7,FALSE)</f>
        <v>33.942536109999999</v>
      </c>
      <c r="E4201" s="3">
        <f>VLOOKUP(A4201,airports!A:H,8,FALSE)</f>
        <v>-118.4080744</v>
      </c>
      <c r="F4201" s="3">
        <f>VLOOKUP(B4201,airports!A:H,7,FALSE)</f>
        <v>38.747686940000001</v>
      </c>
      <c r="G4201" s="3">
        <f>VLOOKUP(B4201,airports!A:H,8,FALSE)</f>
        <v>-90.359989720000002</v>
      </c>
      <c r="H4201">
        <f t="shared" si="130"/>
        <v>2557.6</v>
      </c>
      <c r="I4201">
        <f t="shared" si="131"/>
        <v>1589.3</v>
      </c>
    </row>
    <row r="4202" spans="1:9" x14ac:dyDescent="0.25">
      <c r="A4202" s="5" t="s">
        <v>73</v>
      </c>
      <c r="B4202" s="5" t="s">
        <v>1413</v>
      </c>
      <c r="C4202" s="5" t="s">
        <v>4679</v>
      </c>
      <c r="D4202" s="3">
        <f>VLOOKUP(A4202,airports!A:H,7,FALSE)</f>
        <v>33.942536109999999</v>
      </c>
      <c r="E4202" s="3">
        <f>VLOOKUP(A4202,airports!A:H,8,FALSE)</f>
        <v>-118.4080744</v>
      </c>
      <c r="F4202" s="3">
        <f>VLOOKUP(B4202,airports!A:H,7,FALSE)</f>
        <v>38.508998869999999</v>
      </c>
      <c r="G4202" s="3">
        <f>VLOOKUP(B4202,airports!A:H,8,FALSE)</f>
        <v>-122.81300349999999</v>
      </c>
      <c r="H4202">
        <f t="shared" si="130"/>
        <v>643.20000000000005</v>
      </c>
      <c r="I4202">
        <f t="shared" si="131"/>
        <v>399.7</v>
      </c>
    </row>
    <row r="4203" spans="1:9" ht="30" x14ac:dyDescent="0.25">
      <c r="A4203" s="5" t="s">
        <v>73</v>
      </c>
      <c r="B4203" s="5" t="s">
        <v>2512</v>
      </c>
      <c r="C4203" s="5" t="s">
        <v>4680</v>
      </c>
      <c r="D4203" s="3">
        <f>VLOOKUP(A4203,airports!A:H,7,FALSE)</f>
        <v>33.942536109999999</v>
      </c>
      <c r="E4203" s="3">
        <f>VLOOKUP(A4203,airports!A:H,8,FALSE)</f>
        <v>-118.4080744</v>
      </c>
      <c r="F4203" s="3">
        <f>VLOOKUP(B4203,airports!A:H,7,FALSE)</f>
        <v>43.504841390000003</v>
      </c>
      <c r="G4203" s="3">
        <f>VLOOKUP(B4203,airports!A:H,8,FALSE)</f>
        <v>-114.29659030000001</v>
      </c>
      <c r="H4203">
        <f t="shared" si="130"/>
        <v>1121.0999999999999</v>
      </c>
      <c r="I4203">
        <f t="shared" si="131"/>
        <v>696.7</v>
      </c>
    </row>
    <row r="4204" spans="1:9" ht="30" x14ac:dyDescent="0.25">
      <c r="A4204" s="5" t="s">
        <v>73</v>
      </c>
      <c r="B4204" s="5" t="s">
        <v>145</v>
      </c>
      <c r="C4204" s="5" t="s">
        <v>4681</v>
      </c>
      <c r="D4204" s="3">
        <f>VLOOKUP(A4204,airports!A:H,7,FALSE)</f>
        <v>33.942536109999999</v>
      </c>
      <c r="E4204" s="3">
        <f>VLOOKUP(A4204,airports!A:H,8,FALSE)</f>
        <v>-118.4080744</v>
      </c>
      <c r="F4204" s="3">
        <f>VLOOKUP(B4204,airports!A:H,7,FALSE)</f>
        <v>27.97547222</v>
      </c>
      <c r="G4204" s="3">
        <f>VLOOKUP(B4204,airports!A:H,8,FALSE)</f>
        <v>-82.533249999999995</v>
      </c>
      <c r="H4204">
        <f t="shared" si="130"/>
        <v>3466.4</v>
      </c>
      <c r="I4204">
        <f t="shared" si="131"/>
        <v>2154.1</v>
      </c>
    </row>
    <row r="4205" spans="1:9" x14ac:dyDescent="0.25">
      <c r="A4205" s="5" t="s">
        <v>73</v>
      </c>
      <c r="B4205" s="5" t="s">
        <v>658</v>
      </c>
      <c r="C4205" s="5" t="s">
        <v>4682</v>
      </c>
      <c r="D4205" s="3">
        <f>VLOOKUP(A4205,airports!A:H,7,FALSE)</f>
        <v>33.942536109999999</v>
      </c>
      <c r="E4205" s="3">
        <f>VLOOKUP(A4205,airports!A:H,8,FALSE)</f>
        <v>-118.4080744</v>
      </c>
      <c r="F4205" s="3">
        <f>VLOOKUP(B4205,airports!A:H,7,FALSE)</f>
        <v>36.198372220000003</v>
      </c>
      <c r="G4205" s="3">
        <f>VLOOKUP(B4205,airports!A:H,8,FALSE)</f>
        <v>-95.888241669999999</v>
      </c>
      <c r="H4205">
        <f t="shared" si="130"/>
        <v>2060.1</v>
      </c>
      <c r="I4205">
        <f t="shared" si="131"/>
        <v>1280.0999999999999</v>
      </c>
    </row>
    <row r="4206" spans="1:9" x14ac:dyDescent="0.25">
      <c r="A4206" s="5" t="s">
        <v>73</v>
      </c>
      <c r="B4206" s="5" t="s">
        <v>660</v>
      </c>
      <c r="C4206" s="5" t="s">
        <v>4683</v>
      </c>
      <c r="D4206" s="3">
        <f>VLOOKUP(A4206,airports!A:H,7,FALSE)</f>
        <v>33.942536109999999</v>
      </c>
      <c r="E4206" s="3">
        <f>VLOOKUP(A4206,airports!A:H,8,FALSE)</f>
        <v>-118.4080744</v>
      </c>
      <c r="F4206" s="3">
        <f>VLOOKUP(B4206,airports!A:H,7,FALSE)</f>
        <v>32.116083330000002</v>
      </c>
      <c r="G4206" s="3">
        <f>VLOOKUP(B4206,airports!A:H,8,FALSE)</f>
        <v>-110.9410278</v>
      </c>
      <c r="H4206">
        <f t="shared" si="130"/>
        <v>724.9</v>
      </c>
      <c r="I4206">
        <f t="shared" si="131"/>
        <v>450.5</v>
      </c>
    </row>
    <row r="4207" spans="1:9" ht="30" x14ac:dyDescent="0.25">
      <c r="A4207" s="5" t="s">
        <v>73</v>
      </c>
      <c r="B4207" s="5" t="s">
        <v>670</v>
      </c>
      <c r="C4207" s="5" t="s">
        <v>4684</v>
      </c>
      <c r="D4207" s="3">
        <f>VLOOKUP(A4207,airports!A:H,7,FALSE)</f>
        <v>33.942536109999999</v>
      </c>
      <c r="E4207" s="3">
        <f>VLOOKUP(A4207,airports!A:H,8,FALSE)</f>
        <v>-118.4080744</v>
      </c>
      <c r="F4207" s="3">
        <f>VLOOKUP(B4207,airports!A:H,7,FALSE)</f>
        <v>36.281869440000001</v>
      </c>
      <c r="G4207" s="3">
        <f>VLOOKUP(B4207,airports!A:H,8,FALSE)</f>
        <v>-94.306811109999998</v>
      </c>
      <c r="H4207">
        <f t="shared" si="130"/>
        <v>2201.9</v>
      </c>
      <c r="I4207">
        <f t="shared" si="131"/>
        <v>1368.3</v>
      </c>
    </row>
    <row r="4208" spans="1:9" ht="30" x14ac:dyDescent="0.25">
      <c r="A4208" s="5" t="s">
        <v>738</v>
      </c>
      <c r="B4208" s="5" t="s">
        <v>13</v>
      </c>
      <c r="C4208" s="5" t="s">
        <v>4685</v>
      </c>
      <c r="D4208" s="3">
        <f>VLOOKUP(A4208,airports!A:H,7,FALSE)</f>
        <v>33.663638890000001</v>
      </c>
      <c r="E4208" s="3">
        <f>VLOOKUP(A4208,airports!A:H,8,FALSE)</f>
        <v>-101.8227778</v>
      </c>
      <c r="F4208" s="3">
        <f>VLOOKUP(B4208,airports!A:H,7,FALSE)</f>
        <v>30.194532779999999</v>
      </c>
      <c r="G4208" s="3">
        <f>VLOOKUP(B4208,airports!A:H,8,FALSE)</f>
        <v>-97.669871939999993</v>
      </c>
      <c r="H4208">
        <f t="shared" si="130"/>
        <v>549.79999999999995</v>
      </c>
      <c r="I4208">
        <f t="shared" si="131"/>
        <v>341.7</v>
      </c>
    </row>
    <row r="4209" spans="1:9" x14ac:dyDescent="0.25">
      <c r="A4209" s="5" t="s">
        <v>738</v>
      </c>
      <c r="B4209" s="5" t="s">
        <v>201</v>
      </c>
      <c r="C4209" s="5" t="s">
        <v>4686</v>
      </c>
      <c r="D4209" s="3">
        <f>VLOOKUP(A4209,airports!A:H,7,FALSE)</f>
        <v>33.663638890000001</v>
      </c>
      <c r="E4209" s="3">
        <f>VLOOKUP(A4209,airports!A:H,8,FALSE)</f>
        <v>-101.8227778</v>
      </c>
      <c r="F4209" s="3">
        <f>VLOOKUP(B4209,airports!A:H,7,FALSE)</f>
        <v>32.847113890000003</v>
      </c>
      <c r="G4209" s="3">
        <f>VLOOKUP(B4209,airports!A:H,8,FALSE)</f>
        <v>-96.851772220000001</v>
      </c>
      <c r="H4209">
        <f t="shared" si="130"/>
        <v>471</v>
      </c>
      <c r="I4209">
        <f t="shared" si="131"/>
        <v>292.7</v>
      </c>
    </row>
    <row r="4210" spans="1:9" ht="30" x14ac:dyDescent="0.25">
      <c r="A4210" s="5" t="s">
        <v>738</v>
      </c>
      <c r="B4210" s="5" t="s">
        <v>47</v>
      </c>
      <c r="C4210" s="5" t="s">
        <v>4687</v>
      </c>
      <c r="D4210" s="3">
        <f>VLOOKUP(A4210,airports!A:H,7,FALSE)</f>
        <v>33.663638890000001</v>
      </c>
      <c r="E4210" s="3">
        <f>VLOOKUP(A4210,airports!A:H,8,FALSE)</f>
        <v>-101.8227778</v>
      </c>
      <c r="F4210" s="3">
        <f>VLOOKUP(B4210,airports!A:H,7,FALSE)</f>
        <v>39.858408060000002</v>
      </c>
      <c r="G4210" s="3">
        <f>VLOOKUP(B4210,airports!A:H,8,FALSE)</f>
        <v>-104.6670019</v>
      </c>
      <c r="H4210">
        <f t="shared" si="130"/>
        <v>733.8</v>
      </c>
      <c r="I4210">
        <f t="shared" si="131"/>
        <v>456</v>
      </c>
    </row>
    <row r="4211" spans="1:9" ht="30" x14ac:dyDescent="0.25">
      <c r="A4211" s="5" t="s">
        <v>738</v>
      </c>
      <c r="B4211" s="5" t="s">
        <v>49</v>
      </c>
      <c r="C4211" s="5" t="s">
        <v>4688</v>
      </c>
      <c r="D4211" s="3">
        <f>VLOOKUP(A4211,airports!A:H,7,FALSE)</f>
        <v>33.663638890000001</v>
      </c>
      <c r="E4211" s="3">
        <f>VLOOKUP(A4211,airports!A:H,8,FALSE)</f>
        <v>-101.8227778</v>
      </c>
      <c r="F4211" s="3">
        <f>VLOOKUP(B4211,airports!A:H,7,FALSE)</f>
        <v>32.895950560000003</v>
      </c>
      <c r="G4211" s="3">
        <f>VLOOKUP(B4211,airports!A:H,8,FALSE)</f>
        <v>-97.037199999999999</v>
      </c>
      <c r="H4211">
        <f t="shared" si="130"/>
        <v>452.9</v>
      </c>
      <c r="I4211">
        <f t="shared" si="131"/>
        <v>281.5</v>
      </c>
    </row>
    <row r="4212" spans="1:9" ht="30" x14ac:dyDescent="0.25">
      <c r="A4212" s="5" t="s">
        <v>738</v>
      </c>
      <c r="B4212" s="5" t="s">
        <v>205</v>
      </c>
      <c r="C4212" s="5" t="s">
        <v>4689</v>
      </c>
      <c r="D4212" s="3">
        <f>VLOOKUP(A4212,airports!A:H,7,FALSE)</f>
        <v>33.663638890000001</v>
      </c>
      <c r="E4212" s="3">
        <f>VLOOKUP(A4212,airports!A:H,8,FALSE)</f>
        <v>-101.8227778</v>
      </c>
      <c r="F4212" s="3">
        <f>VLOOKUP(B4212,airports!A:H,7,FALSE)</f>
        <v>29.64541861</v>
      </c>
      <c r="G4212" s="3">
        <f>VLOOKUP(B4212,airports!A:H,8,FALSE)</f>
        <v>-95.278888890000005</v>
      </c>
      <c r="H4212">
        <f t="shared" si="130"/>
        <v>763.4</v>
      </c>
      <c r="I4212">
        <f t="shared" si="131"/>
        <v>474.4</v>
      </c>
    </row>
    <row r="4213" spans="1:9" x14ac:dyDescent="0.25">
      <c r="A4213" s="5" t="s">
        <v>738</v>
      </c>
      <c r="B4213" s="5" t="s">
        <v>67</v>
      </c>
      <c r="C4213" s="5" t="s">
        <v>4690</v>
      </c>
      <c r="D4213" s="3">
        <f>VLOOKUP(A4213,airports!A:H,7,FALSE)</f>
        <v>33.663638890000001</v>
      </c>
      <c r="E4213" s="3">
        <f>VLOOKUP(A4213,airports!A:H,8,FALSE)</f>
        <v>-101.8227778</v>
      </c>
      <c r="F4213" s="3">
        <f>VLOOKUP(B4213,airports!A:H,7,FALSE)</f>
        <v>29.980472219999999</v>
      </c>
      <c r="G4213" s="3">
        <f>VLOOKUP(B4213,airports!A:H,8,FALSE)</f>
        <v>-95.339722219999999</v>
      </c>
      <c r="H4213">
        <f t="shared" si="130"/>
        <v>736.6</v>
      </c>
      <c r="I4213">
        <f t="shared" si="131"/>
        <v>457.7</v>
      </c>
    </row>
    <row r="4214" spans="1:9" x14ac:dyDescent="0.25">
      <c r="A4214" s="5" t="s">
        <v>738</v>
      </c>
      <c r="B4214" s="5" t="s">
        <v>71</v>
      </c>
      <c r="C4214" s="5" t="s">
        <v>4691</v>
      </c>
      <c r="D4214" s="3">
        <f>VLOOKUP(A4214,airports!A:H,7,FALSE)</f>
        <v>33.663638890000001</v>
      </c>
      <c r="E4214" s="3">
        <f>VLOOKUP(A4214,airports!A:H,8,FALSE)</f>
        <v>-101.8227778</v>
      </c>
      <c r="F4214" s="3">
        <f>VLOOKUP(B4214,airports!A:H,7,FALSE)</f>
        <v>36.080361109999998</v>
      </c>
      <c r="G4214" s="3">
        <f>VLOOKUP(B4214,airports!A:H,8,FALSE)</f>
        <v>-115.1523333</v>
      </c>
      <c r="H4214">
        <f t="shared" si="130"/>
        <v>1244.3</v>
      </c>
      <c r="I4214">
        <f t="shared" si="131"/>
        <v>773.2</v>
      </c>
    </row>
    <row r="4215" spans="1:9" ht="30" x14ac:dyDescent="0.25">
      <c r="A4215" s="5" t="s">
        <v>738</v>
      </c>
      <c r="B4215" s="5" t="s">
        <v>104</v>
      </c>
      <c r="C4215" s="5" t="s">
        <v>4692</v>
      </c>
      <c r="D4215" s="3">
        <f>VLOOKUP(A4215,airports!A:H,7,FALSE)</f>
        <v>33.663638890000001</v>
      </c>
      <c r="E4215" s="3">
        <f>VLOOKUP(A4215,airports!A:H,8,FALSE)</f>
        <v>-101.8227778</v>
      </c>
      <c r="F4215" s="3">
        <f>VLOOKUP(B4215,airports!A:H,7,FALSE)</f>
        <v>33.434166670000003</v>
      </c>
      <c r="G4215" s="3">
        <f>VLOOKUP(B4215,airports!A:H,8,FALSE)</f>
        <v>-112.00805560000001</v>
      </c>
      <c r="H4215">
        <f t="shared" si="130"/>
        <v>943.8</v>
      </c>
      <c r="I4215">
        <f t="shared" si="131"/>
        <v>586.5</v>
      </c>
    </row>
    <row r="4216" spans="1:9" x14ac:dyDescent="0.25">
      <c r="A4216" s="5" t="s">
        <v>3295</v>
      </c>
      <c r="B4216" s="5" t="s">
        <v>57</v>
      </c>
      <c r="C4216" s="5" t="s">
        <v>4693</v>
      </c>
      <c r="D4216" s="3">
        <f>VLOOKUP(A4216,airports!A:H,7,FALSE)</f>
        <v>40.275902000000002</v>
      </c>
      <c r="E4216" s="3">
        <f>VLOOKUP(A4216,airports!A:H,8,FALSE)</f>
        <v>-79.404799999999994</v>
      </c>
      <c r="F4216" s="3">
        <f>VLOOKUP(B4216,airports!A:H,7,FALSE)</f>
        <v>26.072583330000001</v>
      </c>
      <c r="G4216" s="3">
        <f>VLOOKUP(B4216,airports!A:H,8,FALSE)</f>
        <v>-80.152749999999997</v>
      </c>
      <c r="H4216">
        <f t="shared" si="130"/>
        <v>1580.9</v>
      </c>
      <c r="I4216">
        <f t="shared" si="131"/>
        <v>982.4</v>
      </c>
    </row>
    <row r="4217" spans="1:9" ht="30" x14ac:dyDescent="0.25">
      <c r="A4217" s="5" t="s">
        <v>3295</v>
      </c>
      <c r="B4217" s="5" t="s">
        <v>82</v>
      </c>
      <c r="C4217" s="5" t="s">
        <v>4694</v>
      </c>
      <c r="D4217" s="3">
        <f>VLOOKUP(A4217,airports!A:H,7,FALSE)</f>
        <v>40.275902000000002</v>
      </c>
      <c r="E4217" s="3">
        <f>VLOOKUP(A4217,airports!A:H,8,FALSE)</f>
        <v>-79.404799999999994</v>
      </c>
      <c r="F4217" s="3">
        <f>VLOOKUP(B4217,airports!A:H,7,FALSE)</f>
        <v>28.42888889</v>
      </c>
      <c r="G4217" s="3">
        <f>VLOOKUP(B4217,airports!A:H,8,FALSE)</f>
        <v>-81.316027779999999</v>
      </c>
      <c r="H4217">
        <f t="shared" si="130"/>
        <v>1328.9</v>
      </c>
      <c r="I4217">
        <f t="shared" si="131"/>
        <v>825.8</v>
      </c>
    </row>
    <row r="4218" spans="1:9" ht="30" x14ac:dyDescent="0.25">
      <c r="A4218" s="5" t="s">
        <v>3295</v>
      </c>
      <c r="B4218" s="5" t="s">
        <v>182</v>
      </c>
      <c r="C4218" s="5" t="s">
        <v>4695</v>
      </c>
      <c r="D4218" s="3">
        <f>VLOOKUP(A4218,airports!A:H,7,FALSE)</f>
        <v>40.275902000000002</v>
      </c>
      <c r="E4218" s="3">
        <f>VLOOKUP(A4218,airports!A:H,8,FALSE)</f>
        <v>-79.404799999999994</v>
      </c>
      <c r="F4218" s="3">
        <f>VLOOKUP(B4218,airports!A:H,7,FALSE)</f>
        <v>33.679749999999999</v>
      </c>
      <c r="G4218" s="3">
        <f>VLOOKUP(B4218,airports!A:H,8,FALSE)</f>
        <v>-78.928333330000001</v>
      </c>
      <c r="H4218">
        <f t="shared" si="130"/>
        <v>734.7</v>
      </c>
      <c r="I4218">
        <f t="shared" si="131"/>
        <v>456.5</v>
      </c>
    </row>
    <row r="4219" spans="1:9" ht="30" x14ac:dyDescent="0.25">
      <c r="A4219" s="5" t="s">
        <v>3295</v>
      </c>
      <c r="B4219" s="5" t="s">
        <v>123</v>
      </c>
      <c r="C4219" s="5" t="s">
        <v>4696</v>
      </c>
      <c r="D4219" s="3">
        <f>VLOOKUP(A4219,airports!A:H,7,FALSE)</f>
        <v>40.275902000000002</v>
      </c>
      <c r="E4219" s="3">
        <f>VLOOKUP(A4219,airports!A:H,8,FALSE)</f>
        <v>-79.404799999999994</v>
      </c>
      <c r="F4219" s="3">
        <f>VLOOKUP(B4219,airports!A:H,7,FALSE)</f>
        <v>26.53616667</v>
      </c>
      <c r="G4219" s="3">
        <f>VLOOKUP(B4219,airports!A:H,8,FALSE)</f>
        <v>-81.755166669999994</v>
      </c>
      <c r="H4219">
        <f t="shared" si="130"/>
        <v>1543.1</v>
      </c>
      <c r="I4219">
        <f t="shared" si="131"/>
        <v>958.9</v>
      </c>
    </row>
    <row r="4220" spans="1:9" x14ac:dyDescent="0.25">
      <c r="A4220" s="5" t="s">
        <v>3295</v>
      </c>
      <c r="B4220" s="5" t="s">
        <v>145</v>
      </c>
      <c r="C4220" s="5" t="s">
        <v>4697</v>
      </c>
      <c r="D4220" s="3">
        <f>VLOOKUP(A4220,airports!A:H,7,FALSE)</f>
        <v>40.275902000000002</v>
      </c>
      <c r="E4220" s="3">
        <f>VLOOKUP(A4220,airports!A:H,8,FALSE)</f>
        <v>-79.404799999999994</v>
      </c>
      <c r="F4220" s="3">
        <f>VLOOKUP(B4220,airports!A:H,7,FALSE)</f>
        <v>27.97547222</v>
      </c>
      <c r="G4220" s="3">
        <f>VLOOKUP(B4220,airports!A:H,8,FALSE)</f>
        <v>-82.533249999999995</v>
      </c>
      <c r="H4220">
        <f t="shared" si="130"/>
        <v>1397.5</v>
      </c>
      <c r="I4220">
        <f t="shared" si="131"/>
        <v>868.4</v>
      </c>
    </row>
    <row r="4221" spans="1:9" x14ac:dyDescent="0.25">
      <c r="A4221" s="5" t="s">
        <v>960</v>
      </c>
      <c r="B4221" s="5" t="s">
        <v>956</v>
      </c>
      <c r="C4221" s="5" t="s">
        <v>4698</v>
      </c>
      <c r="D4221" s="3">
        <f>VLOOKUP(A4221,airports!A:H,7,FALSE)</f>
        <v>41.1327</v>
      </c>
      <c r="E4221" s="3">
        <f>VLOOKUP(A4221,airports!A:H,8,FALSE)</f>
        <v>-100.69799999999999</v>
      </c>
      <c r="F4221" s="3">
        <f>VLOOKUP(B4221,airports!A:H,7,FALSE)</f>
        <v>41.869599999999998</v>
      </c>
      <c r="G4221" s="3">
        <f>VLOOKUP(B4221,airports!A:H,8,FALSE)</f>
        <v>-103.5926</v>
      </c>
      <c r="H4221">
        <f t="shared" si="130"/>
        <v>254.6</v>
      </c>
      <c r="I4221">
        <f t="shared" si="131"/>
        <v>158.19999999999999</v>
      </c>
    </row>
    <row r="4222" spans="1:9" ht="30" x14ac:dyDescent="0.25">
      <c r="A4222" s="5" t="s">
        <v>960</v>
      </c>
      <c r="B4222" s="5" t="s">
        <v>47</v>
      </c>
      <c r="C4222" s="5" t="s">
        <v>4699</v>
      </c>
      <c r="D4222" s="3">
        <f>VLOOKUP(A4222,airports!A:H,7,FALSE)</f>
        <v>41.1327</v>
      </c>
      <c r="E4222" s="3">
        <f>VLOOKUP(A4222,airports!A:H,8,FALSE)</f>
        <v>-100.69799999999999</v>
      </c>
      <c r="F4222" s="3">
        <f>VLOOKUP(B4222,airports!A:H,7,FALSE)</f>
        <v>39.858408060000002</v>
      </c>
      <c r="G4222" s="3">
        <f>VLOOKUP(B4222,airports!A:H,8,FALSE)</f>
        <v>-104.6670019</v>
      </c>
      <c r="H4222">
        <f t="shared" si="130"/>
        <v>364.3</v>
      </c>
      <c r="I4222">
        <f t="shared" si="131"/>
        <v>226.4</v>
      </c>
    </row>
    <row r="4223" spans="1:9" x14ac:dyDescent="0.25">
      <c r="A4223" s="5" t="s">
        <v>960</v>
      </c>
      <c r="B4223" s="5" t="s">
        <v>2356</v>
      </c>
      <c r="C4223" s="5" t="s">
        <v>4700</v>
      </c>
      <c r="D4223" s="3">
        <f>VLOOKUP(A4223,airports!A:H,7,FALSE)</f>
        <v>41.1327</v>
      </c>
      <c r="E4223" s="3">
        <f>VLOOKUP(A4223,airports!A:H,8,FALSE)</f>
        <v>-100.69799999999999</v>
      </c>
      <c r="F4223" s="3">
        <f>VLOOKUP(B4223,airports!A:H,7,FALSE)</f>
        <v>40.727001000000001</v>
      </c>
      <c r="G4223" s="3">
        <f>VLOOKUP(B4223,airports!A:H,8,FALSE)</f>
        <v>-99.006798000000003</v>
      </c>
      <c r="H4223">
        <f t="shared" si="130"/>
        <v>149.1</v>
      </c>
      <c r="I4223">
        <f t="shared" si="131"/>
        <v>92.6</v>
      </c>
    </row>
    <row r="4224" spans="1:9" x14ac:dyDescent="0.25">
      <c r="A4224" s="5" t="s">
        <v>2291</v>
      </c>
      <c r="B4224" s="5" t="s">
        <v>2289</v>
      </c>
      <c r="C4224" s="5" t="s">
        <v>4701</v>
      </c>
      <c r="D4224" s="3">
        <f>VLOOKUP(A4224,airports!A:H,7,FALSE)</f>
        <v>37.0442009</v>
      </c>
      <c r="E4224" s="3">
        <f>VLOOKUP(A4224,airports!A:H,8,FALSE)</f>
        <v>-100.9599991</v>
      </c>
      <c r="F4224" s="3">
        <f>VLOOKUP(B4224,airports!A:H,7,FALSE)</f>
        <v>37.763401031494098</v>
      </c>
      <c r="G4224" s="3">
        <f>VLOOKUP(B4224,airports!A:H,8,FALSE)</f>
        <v>-99.965599060058594</v>
      </c>
      <c r="H4224">
        <f t="shared" si="130"/>
        <v>118.8</v>
      </c>
      <c r="I4224">
        <f t="shared" si="131"/>
        <v>73.8</v>
      </c>
    </row>
    <row r="4225" spans="1:9" x14ac:dyDescent="0.25">
      <c r="A4225" s="5" t="s">
        <v>2291</v>
      </c>
      <c r="B4225" s="5" t="s">
        <v>47</v>
      </c>
      <c r="C4225" s="5" t="s">
        <v>4702</v>
      </c>
      <c r="D4225" s="3">
        <f>VLOOKUP(A4225,airports!A:H,7,FALSE)</f>
        <v>37.0442009</v>
      </c>
      <c r="E4225" s="3">
        <f>VLOOKUP(A4225,airports!A:H,8,FALSE)</f>
        <v>-100.9599991</v>
      </c>
      <c r="F4225" s="3">
        <f>VLOOKUP(B4225,airports!A:H,7,FALSE)</f>
        <v>39.858408060000002</v>
      </c>
      <c r="G4225" s="3">
        <f>VLOOKUP(B4225,airports!A:H,8,FALSE)</f>
        <v>-104.6670019</v>
      </c>
      <c r="H4225">
        <f t="shared" si="130"/>
        <v>449.5</v>
      </c>
      <c r="I4225">
        <f t="shared" si="131"/>
        <v>279.3</v>
      </c>
    </row>
    <row r="4226" spans="1:9" x14ac:dyDescent="0.25">
      <c r="A4226" s="5" t="s">
        <v>2291</v>
      </c>
      <c r="B4226" s="5" t="s">
        <v>2469</v>
      </c>
      <c r="C4226" s="5" t="s">
        <v>4703</v>
      </c>
      <c r="D4226" s="3">
        <f>VLOOKUP(A4226,airports!A:H,7,FALSE)</f>
        <v>37.0442009</v>
      </c>
      <c r="E4226" s="3">
        <f>VLOOKUP(A4226,airports!A:H,8,FALSE)</f>
        <v>-100.9599991</v>
      </c>
      <c r="F4226" s="3">
        <f>VLOOKUP(B4226,airports!A:H,7,FALSE)</f>
        <v>38.289087219999999</v>
      </c>
      <c r="G4226" s="3">
        <f>VLOOKUP(B4226,airports!A:H,8,FALSE)</f>
        <v>-104.4965722</v>
      </c>
      <c r="H4226">
        <f t="shared" si="130"/>
        <v>340.6</v>
      </c>
      <c r="I4226">
        <f t="shared" si="131"/>
        <v>211.7</v>
      </c>
    </row>
    <row r="4227" spans="1:9" ht="30" x14ac:dyDescent="0.25">
      <c r="A4227" s="5" t="s">
        <v>2641</v>
      </c>
      <c r="B4227" s="5" t="s">
        <v>49</v>
      </c>
      <c r="C4227" s="5" t="s">
        <v>4704</v>
      </c>
      <c r="D4227" s="3">
        <f>VLOOKUP(A4227,airports!A:H,7,FALSE)</f>
        <v>30.1260975</v>
      </c>
      <c r="E4227" s="3">
        <f>VLOOKUP(A4227,airports!A:H,8,FALSE)</f>
        <v>-93.223403610000005</v>
      </c>
      <c r="F4227" s="3">
        <f>VLOOKUP(B4227,airports!A:H,7,FALSE)</f>
        <v>32.895950560000003</v>
      </c>
      <c r="G4227" s="3">
        <f>VLOOKUP(B4227,airports!A:H,8,FALSE)</f>
        <v>-97.037199999999999</v>
      </c>
      <c r="H4227">
        <f t="shared" si="130"/>
        <v>474.9</v>
      </c>
      <c r="I4227">
        <f t="shared" si="131"/>
        <v>295.10000000000002</v>
      </c>
    </row>
    <row r="4228" spans="1:9" x14ac:dyDescent="0.25">
      <c r="A4228" s="5" t="s">
        <v>2641</v>
      </c>
      <c r="B4228" s="5" t="s">
        <v>67</v>
      </c>
      <c r="C4228" s="5" t="s">
        <v>4705</v>
      </c>
      <c r="D4228" s="3">
        <f>VLOOKUP(A4228,airports!A:H,7,FALSE)</f>
        <v>30.1260975</v>
      </c>
      <c r="E4228" s="3">
        <f>VLOOKUP(A4228,airports!A:H,8,FALSE)</f>
        <v>-93.223403610000005</v>
      </c>
      <c r="F4228" s="3">
        <f>VLOOKUP(B4228,airports!A:H,7,FALSE)</f>
        <v>29.980472219999999</v>
      </c>
      <c r="G4228" s="3">
        <f>VLOOKUP(B4228,airports!A:H,8,FALSE)</f>
        <v>-95.339722219999999</v>
      </c>
      <c r="H4228">
        <f t="shared" ref="H4228:H4291" si="132">ROUND(ACOS(COS(RADIANS(90-D4228)) * COS(RADIANS(90-F4228)) + SIN(RADIANS(90-D4228)) * SIN(RADIANS(90-F4228)) * COS(RADIANS(E4228-G4228))) * 6371,1)</f>
        <v>204.3</v>
      </c>
      <c r="I4228">
        <f t="shared" ref="I4228:I4291" si="133">ROUND(ACOS(COS(RADIANS(90-D4228)) * COS(RADIANS(90-F4228)) + SIN(RADIANS(90-D4228)) * SIN(RADIANS(90-F4228)) * COS(RADIANS(E4228-G4228))) * 3959,1)</f>
        <v>127</v>
      </c>
    </row>
    <row r="4229" spans="1:9" ht="30" x14ac:dyDescent="0.25">
      <c r="A4229" s="5" t="s">
        <v>740</v>
      </c>
      <c r="B4229" s="5" t="s">
        <v>13</v>
      </c>
      <c r="C4229" s="5" t="s">
        <v>4706</v>
      </c>
      <c r="D4229" s="3">
        <f>VLOOKUP(A4229,airports!A:H,7,FALSE)</f>
        <v>39.813800999999998</v>
      </c>
      <c r="E4229" s="3">
        <f>VLOOKUP(A4229,airports!A:H,8,FALSE)</f>
        <v>-82.927802999999997</v>
      </c>
      <c r="F4229" s="3">
        <f>VLOOKUP(B4229,airports!A:H,7,FALSE)</f>
        <v>30.194532779999999</v>
      </c>
      <c r="G4229" s="3">
        <f>VLOOKUP(B4229,airports!A:H,8,FALSE)</f>
        <v>-97.669871939999993</v>
      </c>
      <c r="H4229">
        <f t="shared" si="132"/>
        <v>1712.7</v>
      </c>
      <c r="I4229">
        <f t="shared" si="133"/>
        <v>1064.3</v>
      </c>
    </row>
    <row r="4230" spans="1:9" x14ac:dyDescent="0.25">
      <c r="A4230" s="5" t="s">
        <v>740</v>
      </c>
      <c r="B4230" s="5" t="s">
        <v>36</v>
      </c>
      <c r="C4230" s="5" t="s">
        <v>4707</v>
      </c>
      <c r="D4230" s="3">
        <f>VLOOKUP(A4230,airports!A:H,7,FALSE)</f>
        <v>39.813800999999998</v>
      </c>
      <c r="E4230" s="3">
        <f>VLOOKUP(A4230,airports!A:H,8,FALSE)</f>
        <v>-82.927802999999997</v>
      </c>
      <c r="F4230" s="3">
        <f>VLOOKUP(B4230,airports!A:H,7,FALSE)</f>
        <v>32.898646390000003</v>
      </c>
      <c r="G4230" s="3">
        <f>VLOOKUP(B4230,airports!A:H,8,FALSE)</f>
        <v>-80.040505830000001</v>
      </c>
      <c r="H4230">
        <f t="shared" si="132"/>
        <v>811.1</v>
      </c>
      <c r="I4230">
        <f t="shared" si="133"/>
        <v>504</v>
      </c>
    </row>
    <row r="4231" spans="1:9" x14ac:dyDescent="0.25">
      <c r="A4231" s="5" t="s">
        <v>740</v>
      </c>
      <c r="B4231" s="5" t="s">
        <v>57</v>
      </c>
      <c r="C4231" s="5" t="s">
        <v>4708</v>
      </c>
      <c r="D4231" s="3">
        <f>VLOOKUP(A4231,airports!A:H,7,FALSE)</f>
        <v>39.813800999999998</v>
      </c>
      <c r="E4231" s="3">
        <f>VLOOKUP(A4231,airports!A:H,8,FALSE)</f>
        <v>-82.927802999999997</v>
      </c>
      <c r="F4231" s="3">
        <f>VLOOKUP(B4231,airports!A:H,7,FALSE)</f>
        <v>26.072583330000001</v>
      </c>
      <c r="G4231" s="3">
        <f>VLOOKUP(B4231,airports!A:H,8,FALSE)</f>
        <v>-80.152749999999997</v>
      </c>
      <c r="H4231">
        <f t="shared" si="132"/>
        <v>1549.5</v>
      </c>
      <c r="I4231">
        <f t="shared" si="133"/>
        <v>962.9</v>
      </c>
    </row>
    <row r="4232" spans="1:9" x14ac:dyDescent="0.25">
      <c r="A4232" s="5" t="s">
        <v>740</v>
      </c>
      <c r="B4232" s="5" t="s">
        <v>68</v>
      </c>
      <c r="C4232" s="5" t="s">
        <v>4709</v>
      </c>
      <c r="D4232" s="3">
        <f>VLOOKUP(A4232,airports!A:H,7,FALSE)</f>
        <v>39.813800999999998</v>
      </c>
      <c r="E4232" s="3">
        <f>VLOOKUP(A4232,airports!A:H,8,FALSE)</f>
        <v>-82.927802999999997</v>
      </c>
      <c r="F4232" s="3">
        <f>VLOOKUP(B4232,airports!A:H,7,FALSE)</f>
        <v>30.49405556</v>
      </c>
      <c r="G4232" s="3">
        <f>VLOOKUP(B4232,airports!A:H,8,FALSE)</f>
        <v>-81.68786111</v>
      </c>
      <c r="H4232">
        <f t="shared" si="132"/>
        <v>1042.4000000000001</v>
      </c>
      <c r="I4232">
        <f t="shared" si="133"/>
        <v>647.70000000000005</v>
      </c>
    </row>
    <row r="4233" spans="1:9" ht="30" x14ac:dyDescent="0.25">
      <c r="A4233" s="5" t="s">
        <v>740</v>
      </c>
      <c r="B4233" s="5" t="s">
        <v>89</v>
      </c>
      <c r="C4233" s="5" t="s">
        <v>4710</v>
      </c>
      <c r="D4233" s="3">
        <f>VLOOKUP(A4233,airports!A:H,7,FALSE)</f>
        <v>39.813800999999998</v>
      </c>
      <c r="E4233" s="3">
        <f>VLOOKUP(A4233,airports!A:H,8,FALSE)</f>
        <v>-82.927802999999997</v>
      </c>
      <c r="F4233" s="3">
        <f>VLOOKUP(B4233,airports!A:H,7,FALSE)</f>
        <v>29.993388889999999</v>
      </c>
      <c r="G4233" s="3">
        <f>VLOOKUP(B4233,airports!A:H,8,FALSE)</f>
        <v>-90.258027780000006</v>
      </c>
      <c r="H4233">
        <f t="shared" si="132"/>
        <v>1279.2</v>
      </c>
      <c r="I4233">
        <f t="shared" si="133"/>
        <v>794.9</v>
      </c>
    </row>
    <row r="4234" spans="1:9" ht="30" x14ac:dyDescent="0.25">
      <c r="A4234" s="5" t="s">
        <v>740</v>
      </c>
      <c r="B4234" s="5" t="s">
        <v>182</v>
      </c>
      <c r="C4234" s="5" t="s">
        <v>4711</v>
      </c>
      <c r="D4234" s="3">
        <f>VLOOKUP(A4234,airports!A:H,7,FALSE)</f>
        <v>39.813800999999998</v>
      </c>
      <c r="E4234" s="3">
        <f>VLOOKUP(A4234,airports!A:H,8,FALSE)</f>
        <v>-82.927802999999997</v>
      </c>
      <c r="F4234" s="3">
        <f>VLOOKUP(B4234,airports!A:H,7,FALSE)</f>
        <v>33.679749999999999</v>
      </c>
      <c r="G4234" s="3">
        <f>VLOOKUP(B4234,airports!A:H,8,FALSE)</f>
        <v>-78.928333330000001</v>
      </c>
      <c r="H4234">
        <f t="shared" si="132"/>
        <v>769.3</v>
      </c>
      <c r="I4234">
        <f t="shared" si="133"/>
        <v>478.1</v>
      </c>
    </row>
    <row r="4235" spans="1:9" ht="30" x14ac:dyDescent="0.25">
      <c r="A4235" s="5" t="s">
        <v>740</v>
      </c>
      <c r="B4235" s="5" t="s">
        <v>596</v>
      </c>
      <c r="C4235" s="5" t="s">
        <v>4712</v>
      </c>
      <c r="D4235" s="3">
        <f>VLOOKUP(A4235,airports!A:H,7,FALSE)</f>
        <v>39.813800999999998</v>
      </c>
      <c r="E4235" s="3">
        <f>VLOOKUP(A4235,airports!A:H,8,FALSE)</f>
        <v>-82.927802999999997</v>
      </c>
      <c r="F4235" s="3">
        <f>VLOOKUP(B4235,airports!A:H,7,FALSE)</f>
        <v>36.89461111</v>
      </c>
      <c r="G4235" s="3">
        <f>VLOOKUP(B4235,airports!A:H,8,FALSE)</f>
        <v>-76.201222220000005</v>
      </c>
      <c r="H4235">
        <f t="shared" si="132"/>
        <v>670.1</v>
      </c>
      <c r="I4235">
        <f t="shared" si="133"/>
        <v>416.4</v>
      </c>
    </row>
    <row r="4236" spans="1:9" ht="30" x14ac:dyDescent="0.25">
      <c r="A4236" s="5" t="s">
        <v>740</v>
      </c>
      <c r="B4236" s="5" t="s">
        <v>185</v>
      </c>
      <c r="C4236" s="5" t="s">
        <v>4713</v>
      </c>
      <c r="D4236" s="3">
        <f>VLOOKUP(A4236,airports!A:H,7,FALSE)</f>
        <v>39.813800999999998</v>
      </c>
      <c r="E4236" s="3">
        <f>VLOOKUP(A4236,airports!A:H,8,FALSE)</f>
        <v>-82.927802999999997</v>
      </c>
      <c r="F4236" s="3">
        <f>VLOOKUP(B4236,airports!A:H,7,FALSE)</f>
        <v>26.919699999999999</v>
      </c>
      <c r="G4236" s="3">
        <f>VLOOKUP(B4236,airports!A:H,8,FALSE)</f>
        <v>-81.995999999999995</v>
      </c>
      <c r="H4236">
        <f t="shared" si="132"/>
        <v>1436.3</v>
      </c>
      <c r="I4236">
        <f t="shared" si="133"/>
        <v>892.6</v>
      </c>
    </row>
    <row r="4237" spans="1:9" x14ac:dyDescent="0.25">
      <c r="A4237" s="5" t="s">
        <v>740</v>
      </c>
      <c r="B4237" s="5" t="s">
        <v>188</v>
      </c>
      <c r="C4237" s="5" t="s">
        <v>4714</v>
      </c>
      <c r="D4237" s="3">
        <f>VLOOKUP(A4237,airports!A:H,7,FALSE)</f>
        <v>39.813800999999998</v>
      </c>
      <c r="E4237" s="3">
        <f>VLOOKUP(A4237,airports!A:H,8,FALSE)</f>
        <v>-82.927802999999997</v>
      </c>
      <c r="F4237" s="3">
        <f>VLOOKUP(B4237,airports!A:H,7,FALSE)</f>
        <v>27.910763330000002</v>
      </c>
      <c r="G4237" s="3">
        <f>VLOOKUP(B4237,airports!A:H,8,FALSE)</f>
        <v>-82.687439440000006</v>
      </c>
      <c r="H4237">
        <f t="shared" si="132"/>
        <v>1323.7</v>
      </c>
      <c r="I4237">
        <f t="shared" si="133"/>
        <v>822.6</v>
      </c>
    </row>
    <row r="4238" spans="1:9" ht="30" x14ac:dyDescent="0.25">
      <c r="A4238" s="5" t="s">
        <v>740</v>
      </c>
      <c r="B4238" s="5" t="s">
        <v>126</v>
      </c>
      <c r="C4238" s="5" t="s">
        <v>4715</v>
      </c>
      <c r="D4238" s="3">
        <f>VLOOKUP(A4238,airports!A:H,7,FALSE)</f>
        <v>39.813800999999998</v>
      </c>
      <c r="E4238" s="3">
        <f>VLOOKUP(A4238,airports!A:H,8,FALSE)</f>
        <v>-82.927802999999997</v>
      </c>
      <c r="F4238" s="3">
        <f>VLOOKUP(B4238,airports!A:H,7,FALSE)</f>
        <v>32.12758333</v>
      </c>
      <c r="G4238" s="3">
        <f>VLOOKUP(B4238,airports!A:H,8,FALSE)</f>
        <v>-81.202138890000001</v>
      </c>
      <c r="H4238">
        <f t="shared" si="132"/>
        <v>868.6</v>
      </c>
      <c r="I4238">
        <f t="shared" si="133"/>
        <v>539.79999999999995</v>
      </c>
    </row>
    <row r="4239" spans="1:9" x14ac:dyDescent="0.25">
      <c r="A4239" s="5" t="s">
        <v>740</v>
      </c>
      <c r="B4239" s="5" t="s">
        <v>191</v>
      </c>
      <c r="C4239" s="5" t="s">
        <v>4716</v>
      </c>
      <c r="D4239" s="3">
        <f>VLOOKUP(A4239,airports!A:H,7,FALSE)</f>
        <v>39.813800999999998</v>
      </c>
      <c r="E4239" s="3">
        <f>VLOOKUP(A4239,airports!A:H,8,FALSE)</f>
        <v>-82.927802999999997</v>
      </c>
      <c r="F4239" s="3">
        <f>VLOOKUP(B4239,airports!A:H,7,FALSE)</f>
        <v>28.7776</v>
      </c>
      <c r="G4239" s="3">
        <f>VLOOKUP(B4239,airports!A:H,8,FALSE)</f>
        <v>-81.237499999999997</v>
      </c>
      <c r="H4239">
        <f t="shared" si="132"/>
        <v>1236.9000000000001</v>
      </c>
      <c r="I4239">
        <f t="shared" si="133"/>
        <v>768.6</v>
      </c>
    </row>
    <row r="4240" spans="1:9" ht="30" x14ac:dyDescent="0.25">
      <c r="A4240" s="5" t="s">
        <v>740</v>
      </c>
      <c r="B4240" s="5" t="s">
        <v>138</v>
      </c>
      <c r="C4240" s="5" t="s">
        <v>4717</v>
      </c>
      <c r="D4240" s="3">
        <f>VLOOKUP(A4240,airports!A:H,7,FALSE)</f>
        <v>39.813800999999998</v>
      </c>
      <c r="E4240" s="3">
        <f>VLOOKUP(A4240,airports!A:H,8,FALSE)</f>
        <v>-82.927802999999997</v>
      </c>
      <c r="F4240" s="3">
        <f>VLOOKUP(B4240,airports!A:H,7,FALSE)</f>
        <v>27.39533333</v>
      </c>
      <c r="G4240" s="3">
        <f>VLOOKUP(B4240,airports!A:H,8,FALSE)</f>
        <v>-82.554111109999994</v>
      </c>
      <c r="H4240">
        <f t="shared" si="132"/>
        <v>1381.3</v>
      </c>
      <c r="I4240">
        <f t="shared" si="133"/>
        <v>858.4</v>
      </c>
    </row>
    <row r="4241" spans="1:9" x14ac:dyDescent="0.25">
      <c r="A4241" s="5" t="s">
        <v>740</v>
      </c>
      <c r="B4241" s="5" t="s">
        <v>668</v>
      </c>
      <c r="C4241" s="5" t="s">
        <v>4718</v>
      </c>
      <c r="D4241" s="3">
        <f>VLOOKUP(A4241,airports!A:H,7,FALSE)</f>
        <v>39.813800999999998</v>
      </c>
      <c r="E4241" s="3">
        <f>VLOOKUP(A4241,airports!A:H,8,FALSE)</f>
        <v>-82.927802999999997</v>
      </c>
      <c r="F4241" s="3">
        <f>VLOOKUP(B4241,airports!A:H,7,FALSE)</f>
        <v>30.483250000000002</v>
      </c>
      <c r="G4241" s="3">
        <f>VLOOKUP(B4241,airports!A:H,8,FALSE)</f>
        <v>-86.525400000000005</v>
      </c>
      <c r="H4241">
        <f t="shared" si="132"/>
        <v>1087.5999999999999</v>
      </c>
      <c r="I4241">
        <f t="shared" si="133"/>
        <v>675.8</v>
      </c>
    </row>
    <row r="4242" spans="1:9" x14ac:dyDescent="0.25">
      <c r="A4242" s="5" t="s">
        <v>549</v>
      </c>
      <c r="B4242" s="5" t="s">
        <v>10</v>
      </c>
      <c r="C4242" s="5" t="s">
        <v>4719</v>
      </c>
      <c r="D4242" s="3">
        <f>VLOOKUP(A4242,airports!A:H,7,FALSE)</f>
        <v>38.036972220000003</v>
      </c>
      <c r="E4242" s="3">
        <f>VLOOKUP(A4242,airports!A:H,8,FALSE)</f>
        <v>-84.60538889</v>
      </c>
      <c r="F4242" s="3">
        <f>VLOOKUP(B4242,airports!A:H,7,FALSE)</f>
        <v>33.640444440000003</v>
      </c>
      <c r="G4242" s="3">
        <f>VLOOKUP(B4242,airports!A:H,8,FALSE)</f>
        <v>-84.42694444</v>
      </c>
      <c r="H4242">
        <f t="shared" si="132"/>
        <v>489.1</v>
      </c>
      <c r="I4242">
        <f t="shared" si="133"/>
        <v>304</v>
      </c>
    </row>
    <row r="4243" spans="1:9" x14ac:dyDescent="0.25">
      <c r="A4243" s="5" t="s">
        <v>549</v>
      </c>
      <c r="B4243" s="5" t="s">
        <v>40</v>
      </c>
      <c r="C4243" s="5" t="s">
        <v>4720</v>
      </c>
      <c r="D4243" s="3">
        <f>VLOOKUP(A4243,airports!A:H,7,FALSE)</f>
        <v>38.036972220000003</v>
      </c>
      <c r="E4243" s="3">
        <f>VLOOKUP(A4243,airports!A:H,8,FALSE)</f>
        <v>-84.60538889</v>
      </c>
      <c r="F4243" s="3">
        <f>VLOOKUP(B4243,airports!A:H,7,FALSE)</f>
        <v>35.214011110000001</v>
      </c>
      <c r="G4243" s="3">
        <f>VLOOKUP(B4243,airports!A:H,8,FALSE)</f>
        <v>-80.94312583</v>
      </c>
      <c r="H4243">
        <f t="shared" si="132"/>
        <v>453.1</v>
      </c>
      <c r="I4243">
        <f t="shared" si="133"/>
        <v>281.5</v>
      </c>
    </row>
    <row r="4244" spans="1:9" ht="30" x14ac:dyDescent="0.25">
      <c r="A4244" s="5" t="s">
        <v>549</v>
      </c>
      <c r="B4244" s="5" t="s">
        <v>45</v>
      </c>
      <c r="C4244" s="5" t="s">
        <v>4721</v>
      </c>
      <c r="D4244" s="3">
        <f>VLOOKUP(A4244,airports!A:H,7,FALSE)</f>
        <v>38.036972220000003</v>
      </c>
      <c r="E4244" s="3">
        <f>VLOOKUP(A4244,airports!A:H,8,FALSE)</f>
        <v>-84.60538889</v>
      </c>
      <c r="F4244" s="3">
        <f>VLOOKUP(B4244,airports!A:H,7,FALSE)</f>
        <v>38.852083329999999</v>
      </c>
      <c r="G4244" s="3">
        <f>VLOOKUP(B4244,airports!A:H,8,FALSE)</f>
        <v>-77.037722220000006</v>
      </c>
      <c r="H4244">
        <f t="shared" si="132"/>
        <v>665.1</v>
      </c>
      <c r="I4244">
        <f t="shared" si="133"/>
        <v>413.3</v>
      </c>
    </row>
    <row r="4245" spans="1:9" ht="30" x14ac:dyDescent="0.25">
      <c r="A4245" s="5" t="s">
        <v>549</v>
      </c>
      <c r="B4245" s="5" t="s">
        <v>49</v>
      </c>
      <c r="C4245" s="5" t="s">
        <v>4722</v>
      </c>
      <c r="D4245" s="3">
        <f>VLOOKUP(A4245,airports!A:H,7,FALSE)</f>
        <v>38.036972220000003</v>
      </c>
      <c r="E4245" s="3">
        <f>VLOOKUP(A4245,airports!A:H,8,FALSE)</f>
        <v>-84.60538889</v>
      </c>
      <c r="F4245" s="3">
        <f>VLOOKUP(B4245,airports!A:H,7,FALSE)</f>
        <v>32.895950560000003</v>
      </c>
      <c r="G4245" s="3">
        <f>VLOOKUP(B4245,airports!A:H,8,FALSE)</f>
        <v>-97.037199999999999</v>
      </c>
      <c r="H4245">
        <f t="shared" si="132"/>
        <v>1261.2</v>
      </c>
      <c r="I4245">
        <f t="shared" si="133"/>
        <v>783.7</v>
      </c>
    </row>
    <row r="4246" spans="1:9" ht="30" x14ac:dyDescent="0.25">
      <c r="A4246" s="5" t="s">
        <v>549</v>
      </c>
      <c r="B4246" s="5" t="s">
        <v>50</v>
      </c>
      <c r="C4246" s="5" t="s">
        <v>4723</v>
      </c>
      <c r="D4246" s="3">
        <f>VLOOKUP(A4246,airports!A:H,7,FALSE)</f>
        <v>38.036972220000003</v>
      </c>
      <c r="E4246" s="3">
        <f>VLOOKUP(A4246,airports!A:H,8,FALSE)</f>
        <v>-84.60538889</v>
      </c>
      <c r="F4246" s="3">
        <f>VLOOKUP(B4246,airports!A:H,7,FALSE)</f>
        <v>42.212058890000002</v>
      </c>
      <c r="G4246" s="3">
        <f>VLOOKUP(B4246,airports!A:H,8,FALSE)</f>
        <v>-83.348835829999999</v>
      </c>
      <c r="H4246">
        <f t="shared" si="132"/>
        <v>476.4</v>
      </c>
      <c r="I4246">
        <f t="shared" si="133"/>
        <v>296</v>
      </c>
    </row>
    <row r="4247" spans="1:9" ht="30" x14ac:dyDescent="0.25">
      <c r="A4247" s="5" t="s">
        <v>549</v>
      </c>
      <c r="B4247" s="5" t="s">
        <v>52</v>
      </c>
      <c r="C4247" s="5" t="s">
        <v>4724</v>
      </c>
      <c r="D4247" s="3">
        <f>VLOOKUP(A4247,airports!A:H,7,FALSE)</f>
        <v>38.036972220000003</v>
      </c>
      <c r="E4247" s="3">
        <f>VLOOKUP(A4247,airports!A:H,8,FALSE)</f>
        <v>-84.60538889</v>
      </c>
      <c r="F4247" s="3">
        <f>VLOOKUP(B4247,airports!A:H,7,FALSE)</f>
        <v>40.69249722</v>
      </c>
      <c r="G4247" s="3">
        <f>VLOOKUP(B4247,airports!A:H,8,FALSE)</f>
        <v>-74.168660560000006</v>
      </c>
      <c r="H4247">
        <f t="shared" si="132"/>
        <v>943.9</v>
      </c>
      <c r="I4247">
        <f t="shared" si="133"/>
        <v>586.5</v>
      </c>
    </row>
    <row r="4248" spans="1:9" x14ac:dyDescent="0.25">
      <c r="A4248" s="5" t="s">
        <v>549</v>
      </c>
      <c r="B4248" s="5" t="s">
        <v>57</v>
      </c>
      <c r="C4248" s="5" t="s">
        <v>4725</v>
      </c>
      <c r="D4248" s="3">
        <f>VLOOKUP(A4248,airports!A:H,7,FALSE)</f>
        <v>38.036972220000003</v>
      </c>
      <c r="E4248" s="3">
        <f>VLOOKUP(A4248,airports!A:H,8,FALSE)</f>
        <v>-84.60538889</v>
      </c>
      <c r="F4248" s="3">
        <f>VLOOKUP(B4248,airports!A:H,7,FALSE)</f>
        <v>26.072583330000001</v>
      </c>
      <c r="G4248" s="3">
        <f>VLOOKUP(B4248,airports!A:H,8,FALSE)</f>
        <v>-80.152749999999997</v>
      </c>
      <c r="H4248">
        <f t="shared" si="132"/>
        <v>1394.5</v>
      </c>
      <c r="I4248">
        <f t="shared" si="133"/>
        <v>866.5</v>
      </c>
    </row>
    <row r="4249" spans="1:9" ht="30" x14ac:dyDescent="0.25">
      <c r="A4249" s="5" t="s">
        <v>549</v>
      </c>
      <c r="B4249" s="5" t="s">
        <v>205</v>
      </c>
      <c r="C4249" s="5" t="s">
        <v>4726</v>
      </c>
      <c r="D4249" s="3">
        <f>VLOOKUP(A4249,airports!A:H,7,FALSE)</f>
        <v>38.036972220000003</v>
      </c>
      <c r="E4249" s="3">
        <f>VLOOKUP(A4249,airports!A:H,8,FALSE)</f>
        <v>-84.60538889</v>
      </c>
      <c r="F4249" s="3">
        <f>VLOOKUP(B4249,airports!A:H,7,FALSE)</f>
        <v>29.64541861</v>
      </c>
      <c r="G4249" s="3">
        <f>VLOOKUP(B4249,airports!A:H,8,FALSE)</f>
        <v>-95.278888890000005</v>
      </c>
      <c r="H4249">
        <f t="shared" si="132"/>
        <v>1355.5</v>
      </c>
      <c r="I4249">
        <f t="shared" si="133"/>
        <v>842.3</v>
      </c>
    </row>
    <row r="4250" spans="1:9" x14ac:dyDescent="0.25">
      <c r="A4250" s="5" t="s">
        <v>549</v>
      </c>
      <c r="B4250" s="5" t="s">
        <v>176</v>
      </c>
      <c r="C4250" s="5" t="s">
        <v>4727</v>
      </c>
      <c r="D4250" s="3">
        <f>VLOOKUP(A4250,airports!A:H,7,FALSE)</f>
        <v>38.036972220000003</v>
      </c>
      <c r="E4250" s="3">
        <f>VLOOKUP(A4250,airports!A:H,8,FALSE)</f>
        <v>-84.60538889</v>
      </c>
      <c r="F4250" s="3">
        <f>VLOOKUP(B4250,airports!A:H,7,FALSE)</f>
        <v>38.944531939999997</v>
      </c>
      <c r="G4250" s="3">
        <f>VLOOKUP(B4250,airports!A:H,8,FALSE)</f>
        <v>-77.455809720000005</v>
      </c>
      <c r="H4250">
        <f t="shared" si="132"/>
        <v>630.20000000000005</v>
      </c>
      <c r="I4250">
        <f t="shared" si="133"/>
        <v>391.6</v>
      </c>
    </row>
    <row r="4251" spans="1:9" x14ac:dyDescent="0.25">
      <c r="A4251" s="5" t="s">
        <v>549</v>
      </c>
      <c r="B4251" s="5" t="s">
        <v>67</v>
      </c>
      <c r="C4251" s="5" t="s">
        <v>4728</v>
      </c>
      <c r="D4251" s="3">
        <f>VLOOKUP(A4251,airports!A:H,7,FALSE)</f>
        <v>38.036972220000003</v>
      </c>
      <c r="E4251" s="3">
        <f>VLOOKUP(A4251,airports!A:H,8,FALSE)</f>
        <v>-84.60538889</v>
      </c>
      <c r="F4251" s="3">
        <f>VLOOKUP(B4251,airports!A:H,7,FALSE)</f>
        <v>29.980472219999999</v>
      </c>
      <c r="G4251" s="3">
        <f>VLOOKUP(B4251,airports!A:H,8,FALSE)</f>
        <v>-95.339722219999999</v>
      </c>
      <c r="H4251">
        <f t="shared" si="132"/>
        <v>1333</v>
      </c>
      <c r="I4251">
        <f t="shared" si="133"/>
        <v>828.3</v>
      </c>
    </row>
    <row r="4252" spans="1:9" x14ac:dyDescent="0.25">
      <c r="A4252" s="5" t="s">
        <v>549</v>
      </c>
      <c r="B4252" s="5" t="s">
        <v>74</v>
      </c>
      <c r="C4252" s="5" t="s">
        <v>4729</v>
      </c>
      <c r="D4252" s="3">
        <f>VLOOKUP(A4252,airports!A:H,7,FALSE)</f>
        <v>38.036972220000003</v>
      </c>
      <c r="E4252" s="3">
        <f>VLOOKUP(A4252,airports!A:H,8,FALSE)</f>
        <v>-84.60538889</v>
      </c>
      <c r="F4252" s="3">
        <f>VLOOKUP(B4252,airports!A:H,7,FALSE)</f>
        <v>40.777243060000004</v>
      </c>
      <c r="G4252" s="3">
        <f>VLOOKUP(B4252,airports!A:H,8,FALSE)</f>
        <v>-73.872609170000004</v>
      </c>
      <c r="H4252">
        <f t="shared" si="132"/>
        <v>970.4</v>
      </c>
      <c r="I4252">
        <f t="shared" si="133"/>
        <v>603</v>
      </c>
    </row>
    <row r="4253" spans="1:9" x14ac:dyDescent="0.25">
      <c r="A4253" s="5" t="s">
        <v>549</v>
      </c>
      <c r="B4253" s="5" t="s">
        <v>84</v>
      </c>
      <c r="C4253" s="5" t="s">
        <v>4730</v>
      </c>
      <c r="D4253" s="3">
        <f>VLOOKUP(A4253,airports!A:H,7,FALSE)</f>
        <v>38.036972220000003</v>
      </c>
      <c r="E4253" s="3">
        <f>VLOOKUP(A4253,airports!A:H,8,FALSE)</f>
        <v>-84.60538889</v>
      </c>
      <c r="F4253" s="3">
        <f>VLOOKUP(B4253,airports!A:H,7,FALSE)</f>
        <v>25.79325</v>
      </c>
      <c r="G4253" s="3">
        <f>VLOOKUP(B4253,airports!A:H,8,FALSE)</f>
        <v>-80.290555560000001</v>
      </c>
      <c r="H4253">
        <f t="shared" si="132"/>
        <v>1420.6</v>
      </c>
      <c r="I4253">
        <f t="shared" si="133"/>
        <v>882.7</v>
      </c>
    </row>
    <row r="4254" spans="1:9" ht="30" x14ac:dyDescent="0.25">
      <c r="A4254" s="5" t="s">
        <v>549</v>
      </c>
      <c r="B4254" s="5" t="s">
        <v>87</v>
      </c>
      <c r="C4254" s="5" t="s">
        <v>4731</v>
      </c>
      <c r="D4254" s="3">
        <f>VLOOKUP(A4254,airports!A:H,7,FALSE)</f>
        <v>38.036972220000003</v>
      </c>
      <c r="E4254" s="3">
        <f>VLOOKUP(A4254,airports!A:H,8,FALSE)</f>
        <v>-84.60538889</v>
      </c>
      <c r="F4254" s="3">
        <f>VLOOKUP(B4254,airports!A:H,7,FALSE)</f>
        <v>44.880546940000002</v>
      </c>
      <c r="G4254" s="3">
        <f>VLOOKUP(B4254,airports!A:H,8,FALSE)</f>
        <v>-93.216922499999995</v>
      </c>
      <c r="H4254">
        <f t="shared" si="132"/>
        <v>1044.8</v>
      </c>
      <c r="I4254">
        <f t="shared" si="133"/>
        <v>649.20000000000005</v>
      </c>
    </row>
    <row r="4255" spans="1:9" ht="30" x14ac:dyDescent="0.25">
      <c r="A4255" s="5" t="s">
        <v>549</v>
      </c>
      <c r="B4255" s="5" t="s">
        <v>182</v>
      </c>
      <c r="C4255" s="5" t="s">
        <v>4732</v>
      </c>
      <c r="D4255" s="3">
        <f>VLOOKUP(A4255,airports!A:H,7,FALSE)</f>
        <v>38.036972220000003</v>
      </c>
      <c r="E4255" s="3">
        <f>VLOOKUP(A4255,airports!A:H,8,FALSE)</f>
        <v>-84.60538889</v>
      </c>
      <c r="F4255" s="3">
        <f>VLOOKUP(B4255,airports!A:H,7,FALSE)</f>
        <v>33.679749999999999</v>
      </c>
      <c r="G4255" s="3">
        <f>VLOOKUP(B4255,airports!A:H,8,FALSE)</f>
        <v>-78.928333330000001</v>
      </c>
      <c r="H4255">
        <f t="shared" si="132"/>
        <v>704.3</v>
      </c>
      <c r="I4255">
        <f t="shared" si="133"/>
        <v>437.7</v>
      </c>
    </row>
    <row r="4256" spans="1:9" ht="30" x14ac:dyDescent="0.25">
      <c r="A4256" s="5" t="s">
        <v>549</v>
      </c>
      <c r="B4256" s="5" t="s">
        <v>95</v>
      </c>
      <c r="C4256" s="5" t="s">
        <v>4733</v>
      </c>
      <c r="D4256" s="3">
        <f>VLOOKUP(A4256,airports!A:H,7,FALSE)</f>
        <v>38.036972220000003</v>
      </c>
      <c r="E4256" s="3">
        <f>VLOOKUP(A4256,airports!A:H,8,FALSE)</f>
        <v>-84.60538889</v>
      </c>
      <c r="F4256" s="3">
        <f>VLOOKUP(B4256,airports!A:H,7,FALSE)</f>
        <v>41.979595000000003</v>
      </c>
      <c r="G4256" s="3">
        <f>VLOOKUP(B4256,airports!A:H,8,FALSE)</f>
        <v>-87.904464169999997</v>
      </c>
      <c r="H4256">
        <f t="shared" si="132"/>
        <v>520.6</v>
      </c>
      <c r="I4256">
        <f t="shared" si="133"/>
        <v>323.5</v>
      </c>
    </row>
    <row r="4257" spans="1:9" ht="30" x14ac:dyDescent="0.25">
      <c r="A4257" s="5" t="s">
        <v>549</v>
      </c>
      <c r="B4257" s="5" t="s">
        <v>185</v>
      </c>
      <c r="C4257" s="5" t="s">
        <v>4734</v>
      </c>
      <c r="D4257" s="3">
        <f>VLOOKUP(A4257,airports!A:H,7,FALSE)</f>
        <v>38.036972220000003</v>
      </c>
      <c r="E4257" s="3">
        <f>VLOOKUP(A4257,airports!A:H,8,FALSE)</f>
        <v>-84.60538889</v>
      </c>
      <c r="F4257" s="3">
        <f>VLOOKUP(B4257,airports!A:H,7,FALSE)</f>
        <v>26.919699999999999</v>
      </c>
      <c r="G4257" s="3">
        <f>VLOOKUP(B4257,airports!A:H,8,FALSE)</f>
        <v>-81.995999999999995</v>
      </c>
      <c r="H4257">
        <f t="shared" si="132"/>
        <v>1260</v>
      </c>
      <c r="I4257">
        <f t="shared" si="133"/>
        <v>783</v>
      </c>
    </row>
    <row r="4258" spans="1:9" x14ac:dyDescent="0.25">
      <c r="A4258" s="5" t="s">
        <v>549</v>
      </c>
      <c r="B4258" s="5" t="s">
        <v>102</v>
      </c>
      <c r="C4258" s="5" t="s">
        <v>4735</v>
      </c>
      <c r="D4258" s="3">
        <f>VLOOKUP(A4258,airports!A:H,7,FALSE)</f>
        <v>38.036972220000003</v>
      </c>
      <c r="E4258" s="3">
        <f>VLOOKUP(A4258,airports!A:H,8,FALSE)</f>
        <v>-84.60538889</v>
      </c>
      <c r="F4258" s="3">
        <f>VLOOKUP(B4258,airports!A:H,7,FALSE)</f>
        <v>39.871952780000001</v>
      </c>
      <c r="G4258" s="3">
        <f>VLOOKUP(B4258,airports!A:H,8,FALSE)</f>
        <v>-75.241140830000006</v>
      </c>
      <c r="H4258">
        <f t="shared" si="132"/>
        <v>834.6</v>
      </c>
      <c r="I4258">
        <f t="shared" si="133"/>
        <v>518.6</v>
      </c>
    </row>
    <row r="4259" spans="1:9" x14ac:dyDescent="0.25">
      <c r="A4259" s="5" t="s">
        <v>549</v>
      </c>
      <c r="B4259" s="5" t="s">
        <v>188</v>
      </c>
      <c r="C4259" s="5" t="s">
        <v>4736</v>
      </c>
      <c r="D4259" s="3">
        <f>VLOOKUP(A4259,airports!A:H,7,FALSE)</f>
        <v>38.036972220000003</v>
      </c>
      <c r="E4259" s="3">
        <f>VLOOKUP(A4259,airports!A:H,8,FALSE)</f>
        <v>-84.60538889</v>
      </c>
      <c r="F4259" s="3">
        <f>VLOOKUP(B4259,airports!A:H,7,FALSE)</f>
        <v>27.910763330000002</v>
      </c>
      <c r="G4259" s="3">
        <f>VLOOKUP(B4259,airports!A:H,8,FALSE)</f>
        <v>-82.687439440000006</v>
      </c>
      <c r="H4259">
        <f t="shared" si="132"/>
        <v>1140</v>
      </c>
      <c r="I4259">
        <f t="shared" si="133"/>
        <v>708.4</v>
      </c>
    </row>
    <row r="4260" spans="1:9" x14ac:dyDescent="0.25">
      <c r="A4260" s="5" t="s">
        <v>549</v>
      </c>
      <c r="B4260" s="5" t="s">
        <v>126</v>
      </c>
      <c r="C4260" s="5" t="s">
        <v>4737</v>
      </c>
      <c r="D4260" s="3">
        <f>VLOOKUP(A4260,airports!A:H,7,FALSE)</f>
        <v>38.036972220000003</v>
      </c>
      <c r="E4260" s="3">
        <f>VLOOKUP(A4260,airports!A:H,8,FALSE)</f>
        <v>-84.60538889</v>
      </c>
      <c r="F4260" s="3">
        <f>VLOOKUP(B4260,airports!A:H,7,FALSE)</f>
        <v>32.12758333</v>
      </c>
      <c r="G4260" s="3">
        <f>VLOOKUP(B4260,airports!A:H,8,FALSE)</f>
        <v>-81.202138890000001</v>
      </c>
      <c r="H4260">
        <f t="shared" si="132"/>
        <v>726.3</v>
      </c>
      <c r="I4260">
        <f t="shared" si="133"/>
        <v>451.3</v>
      </c>
    </row>
    <row r="4261" spans="1:9" x14ac:dyDescent="0.25">
      <c r="A4261" s="5" t="s">
        <v>549</v>
      </c>
      <c r="B4261" s="5" t="s">
        <v>191</v>
      </c>
      <c r="C4261" s="5" t="s">
        <v>4738</v>
      </c>
      <c r="D4261" s="3">
        <f>VLOOKUP(A4261,airports!A:H,7,FALSE)</f>
        <v>38.036972220000003</v>
      </c>
      <c r="E4261" s="3">
        <f>VLOOKUP(A4261,airports!A:H,8,FALSE)</f>
        <v>-84.60538889</v>
      </c>
      <c r="F4261" s="3">
        <f>VLOOKUP(B4261,airports!A:H,7,FALSE)</f>
        <v>28.7776</v>
      </c>
      <c r="G4261" s="3">
        <f>VLOOKUP(B4261,airports!A:H,8,FALSE)</f>
        <v>-81.237499999999997</v>
      </c>
      <c r="H4261">
        <f t="shared" si="132"/>
        <v>1075.8</v>
      </c>
      <c r="I4261">
        <f t="shared" si="133"/>
        <v>668.5</v>
      </c>
    </row>
    <row r="4262" spans="1:9" x14ac:dyDescent="0.25">
      <c r="A4262" s="5" t="s">
        <v>549</v>
      </c>
      <c r="B4262" s="5" t="s">
        <v>668</v>
      </c>
      <c r="C4262" s="5" t="s">
        <v>4739</v>
      </c>
      <c r="D4262" s="3">
        <f>VLOOKUP(A4262,airports!A:H,7,FALSE)</f>
        <v>38.036972220000003</v>
      </c>
      <c r="E4262" s="3">
        <f>VLOOKUP(A4262,airports!A:H,8,FALSE)</f>
        <v>-84.60538889</v>
      </c>
      <c r="F4262" s="3">
        <f>VLOOKUP(B4262,airports!A:H,7,FALSE)</f>
        <v>30.483250000000002</v>
      </c>
      <c r="G4262" s="3">
        <f>VLOOKUP(B4262,airports!A:H,8,FALSE)</f>
        <v>-86.525400000000005</v>
      </c>
      <c r="H4262">
        <f t="shared" si="132"/>
        <v>858.2</v>
      </c>
      <c r="I4262">
        <f t="shared" si="133"/>
        <v>533.29999999999995</v>
      </c>
    </row>
    <row r="4263" spans="1:9" x14ac:dyDescent="0.25">
      <c r="A4263" s="5" t="s">
        <v>551</v>
      </c>
      <c r="B4263" s="5" t="s">
        <v>10</v>
      </c>
      <c r="C4263" s="5" t="s">
        <v>4740</v>
      </c>
      <c r="D4263" s="3">
        <f>VLOOKUP(A4263,airports!A:H,7,FALSE)</f>
        <v>30.20527972</v>
      </c>
      <c r="E4263" s="3">
        <f>VLOOKUP(A4263,airports!A:H,8,FALSE)</f>
        <v>-91.987655000000004</v>
      </c>
      <c r="F4263" s="3">
        <f>VLOOKUP(B4263,airports!A:H,7,FALSE)</f>
        <v>33.640444440000003</v>
      </c>
      <c r="G4263" s="3">
        <f>VLOOKUP(B4263,airports!A:H,8,FALSE)</f>
        <v>-84.42694444</v>
      </c>
      <c r="H4263">
        <f t="shared" si="132"/>
        <v>809</v>
      </c>
      <c r="I4263">
        <f t="shared" si="133"/>
        <v>502.7</v>
      </c>
    </row>
    <row r="4264" spans="1:9" x14ac:dyDescent="0.25">
      <c r="A4264" s="5" t="s">
        <v>551</v>
      </c>
      <c r="B4264" s="5" t="s">
        <v>40</v>
      </c>
      <c r="C4264" s="5" t="s">
        <v>4741</v>
      </c>
      <c r="D4264" s="3">
        <f>VLOOKUP(A4264,airports!A:H,7,FALSE)</f>
        <v>30.20527972</v>
      </c>
      <c r="E4264" s="3">
        <f>VLOOKUP(A4264,airports!A:H,8,FALSE)</f>
        <v>-91.987655000000004</v>
      </c>
      <c r="F4264" s="3">
        <f>VLOOKUP(B4264,airports!A:H,7,FALSE)</f>
        <v>35.214011110000001</v>
      </c>
      <c r="G4264" s="3">
        <f>VLOOKUP(B4264,airports!A:H,8,FALSE)</f>
        <v>-80.94312583</v>
      </c>
      <c r="H4264">
        <f t="shared" si="132"/>
        <v>1172.8</v>
      </c>
      <c r="I4264">
        <f t="shared" si="133"/>
        <v>728.8</v>
      </c>
    </row>
    <row r="4265" spans="1:9" x14ac:dyDescent="0.25">
      <c r="A4265" s="5" t="s">
        <v>551</v>
      </c>
      <c r="B4265" s="5" t="s">
        <v>47</v>
      </c>
      <c r="C4265" s="5" t="s">
        <v>4742</v>
      </c>
      <c r="D4265" s="3">
        <f>VLOOKUP(A4265,airports!A:H,7,FALSE)</f>
        <v>30.20527972</v>
      </c>
      <c r="E4265" s="3">
        <f>VLOOKUP(A4265,airports!A:H,8,FALSE)</f>
        <v>-91.987655000000004</v>
      </c>
      <c r="F4265" s="3">
        <f>VLOOKUP(B4265,airports!A:H,7,FALSE)</f>
        <v>39.858408060000002</v>
      </c>
      <c r="G4265" s="3">
        <f>VLOOKUP(B4265,airports!A:H,8,FALSE)</f>
        <v>-104.6670019</v>
      </c>
      <c r="H4265">
        <f t="shared" si="132"/>
        <v>1573.3</v>
      </c>
      <c r="I4265">
        <f t="shared" si="133"/>
        <v>977.7</v>
      </c>
    </row>
    <row r="4266" spans="1:9" ht="30" x14ac:dyDescent="0.25">
      <c r="A4266" s="5" t="s">
        <v>551</v>
      </c>
      <c r="B4266" s="5" t="s">
        <v>49</v>
      </c>
      <c r="C4266" s="5" t="s">
        <v>4743</v>
      </c>
      <c r="D4266" s="3">
        <f>VLOOKUP(A4266,airports!A:H,7,FALSE)</f>
        <v>30.20527972</v>
      </c>
      <c r="E4266" s="3">
        <f>VLOOKUP(A4266,airports!A:H,8,FALSE)</f>
        <v>-91.987655000000004</v>
      </c>
      <c r="F4266" s="3">
        <f>VLOOKUP(B4266,airports!A:H,7,FALSE)</f>
        <v>32.895950560000003</v>
      </c>
      <c r="G4266" s="3">
        <f>VLOOKUP(B4266,airports!A:H,8,FALSE)</f>
        <v>-97.037199999999999</v>
      </c>
      <c r="H4266">
        <f t="shared" si="132"/>
        <v>564.20000000000005</v>
      </c>
      <c r="I4266">
        <f t="shared" si="133"/>
        <v>350.6</v>
      </c>
    </row>
    <row r="4267" spans="1:9" x14ac:dyDescent="0.25">
      <c r="A4267" s="5" t="s">
        <v>551</v>
      </c>
      <c r="B4267" s="5" t="s">
        <v>67</v>
      </c>
      <c r="C4267" s="5" t="s">
        <v>4744</v>
      </c>
      <c r="D4267" s="3">
        <f>VLOOKUP(A4267,airports!A:H,7,FALSE)</f>
        <v>30.20527972</v>
      </c>
      <c r="E4267" s="3">
        <f>VLOOKUP(A4267,airports!A:H,8,FALSE)</f>
        <v>-91.987655000000004</v>
      </c>
      <c r="F4267" s="3">
        <f>VLOOKUP(B4267,airports!A:H,7,FALSE)</f>
        <v>29.980472219999999</v>
      </c>
      <c r="G4267" s="3">
        <f>VLOOKUP(B4267,airports!A:H,8,FALSE)</f>
        <v>-95.339722219999999</v>
      </c>
      <c r="H4267">
        <f t="shared" si="132"/>
        <v>323.39999999999998</v>
      </c>
      <c r="I4267">
        <f t="shared" si="133"/>
        <v>201</v>
      </c>
    </row>
    <row r="4268" spans="1:9" ht="30" x14ac:dyDescent="0.25">
      <c r="A4268" s="5" t="s">
        <v>551</v>
      </c>
      <c r="B4268" s="5" t="s">
        <v>82</v>
      </c>
      <c r="C4268" s="5" t="s">
        <v>4745</v>
      </c>
      <c r="D4268" s="3">
        <f>VLOOKUP(A4268,airports!A:H,7,FALSE)</f>
        <v>30.20527972</v>
      </c>
      <c r="E4268" s="3">
        <f>VLOOKUP(A4268,airports!A:H,8,FALSE)</f>
        <v>-91.987655000000004</v>
      </c>
      <c r="F4268" s="3">
        <f>VLOOKUP(B4268,airports!A:H,7,FALSE)</f>
        <v>28.42888889</v>
      </c>
      <c r="G4268" s="3">
        <f>VLOOKUP(B4268,airports!A:H,8,FALSE)</f>
        <v>-81.316027779999999</v>
      </c>
      <c r="H4268">
        <f t="shared" si="132"/>
        <v>1052.9000000000001</v>
      </c>
      <c r="I4268">
        <f t="shared" si="133"/>
        <v>654.29999999999995</v>
      </c>
    </row>
    <row r="4269" spans="1:9" ht="30" x14ac:dyDescent="0.25">
      <c r="A4269" s="5" t="s">
        <v>74</v>
      </c>
      <c r="B4269" s="5" t="s">
        <v>5</v>
      </c>
      <c r="C4269" s="5" t="s">
        <v>4746</v>
      </c>
      <c r="D4269" s="3">
        <f>VLOOKUP(A4269,airports!A:H,7,FALSE)</f>
        <v>40.777243060000004</v>
      </c>
      <c r="E4269" s="3">
        <f>VLOOKUP(A4269,airports!A:H,8,FALSE)</f>
        <v>-73.872609170000004</v>
      </c>
      <c r="F4269" s="3">
        <f>VLOOKUP(B4269,airports!A:H,7,FALSE)</f>
        <v>41.253051939999999</v>
      </c>
      <c r="G4269" s="3">
        <f>VLOOKUP(B4269,airports!A:H,8,FALSE)</f>
        <v>-70.060181389999997</v>
      </c>
      <c r="H4269">
        <f t="shared" si="132"/>
        <v>324.2</v>
      </c>
      <c r="I4269">
        <f t="shared" si="133"/>
        <v>201.5</v>
      </c>
    </row>
    <row r="4270" spans="1:9" ht="30" x14ac:dyDescent="0.25">
      <c r="A4270" s="5" t="s">
        <v>74</v>
      </c>
      <c r="B4270" s="5" t="s">
        <v>276</v>
      </c>
      <c r="C4270" s="5" t="s">
        <v>4747</v>
      </c>
      <c r="D4270" s="3">
        <f>VLOOKUP(A4270,airports!A:H,7,FALSE)</f>
        <v>40.777243060000004</v>
      </c>
      <c r="E4270" s="3">
        <f>VLOOKUP(A4270,airports!A:H,8,FALSE)</f>
        <v>-73.872609170000004</v>
      </c>
      <c r="F4270" s="3">
        <f>VLOOKUP(B4270,airports!A:H,7,FALSE)</f>
        <v>33.369954999999997</v>
      </c>
      <c r="G4270" s="3">
        <f>VLOOKUP(B4270,airports!A:H,8,FALSE)</f>
        <v>-81.964496109999999</v>
      </c>
      <c r="H4270">
        <f t="shared" si="132"/>
        <v>1091.5999999999999</v>
      </c>
      <c r="I4270">
        <f t="shared" si="133"/>
        <v>678.3</v>
      </c>
    </row>
    <row r="4271" spans="1:9" ht="30" x14ac:dyDescent="0.25">
      <c r="A4271" s="5" t="s">
        <v>74</v>
      </c>
      <c r="B4271" s="5" t="s">
        <v>7</v>
      </c>
      <c r="C4271" s="5" t="s">
        <v>4748</v>
      </c>
      <c r="D4271" s="3">
        <f>VLOOKUP(A4271,airports!A:H,7,FALSE)</f>
        <v>40.777243060000004</v>
      </c>
      <c r="E4271" s="3">
        <f>VLOOKUP(A4271,airports!A:H,8,FALSE)</f>
        <v>-73.872609170000004</v>
      </c>
      <c r="F4271" s="3">
        <f>VLOOKUP(B4271,airports!A:H,7,FALSE)</f>
        <v>42.748119440000004</v>
      </c>
      <c r="G4271" s="3">
        <f>VLOOKUP(B4271,airports!A:H,8,FALSE)</f>
        <v>-73.802978609999997</v>
      </c>
      <c r="H4271">
        <f t="shared" si="132"/>
        <v>219.2</v>
      </c>
      <c r="I4271">
        <f t="shared" si="133"/>
        <v>136.19999999999999</v>
      </c>
    </row>
    <row r="4272" spans="1:9" x14ac:dyDescent="0.25">
      <c r="A4272" s="5" t="s">
        <v>74</v>
      </c>
      <c r="B4272" s="5" t="s">
        <v>10</v>
      </c>
      <c r="C4272" s="5" t="s">
        <v>4749</v>
      </c>
      <c r="D4272" s="3">
        <f>VLOOKUP(A4272,airports!A:H,7,FALSE)</f>
        <v>40.777243060000004</v>
      </c>
      <c r="E4272" s="3">
        <f>VLOOKUP(A4272,airports!A:H,8,FALSE)</f>
        <v>-73.872609170000004</v>
      </c>
      <c r="F4272" s="3">
        <f>VLOOKUP(B4272,airports!A:H,7,FALSE)</f>
        <v>33.640444440000003</v>
      </c>
      <c r="G4272" s="3">
        <f>VLOOKUP(B4272,airports!A:H,8,FALSE)</f>
        <v>-84.42694444</v>
      </c>
      <c r="H4272">
        <f t="shared" si="132"/>
        <v>1224.5</v>
      </c>
      <c r="I4272">
        <f t="shared" si="133"/>
        <v>760.9</v>
      </c>
    </row>
    <row r="4273" spans="1:9" ht="30" x14ac:dyDescent="0.25">
      <c r="A4273" s="5" t="s">
        <v>74</v>
      </c>
      <c r="B4273" s="5" t="s">
        <v>419</v>
      </c>
      <c r="C4273" s="5" t="s">
        <v>4750</v>
      </c>
      <c r="D4273" s="3">
        <f>VLOOKUP(A4273,airports!A:H,7,FALSE)</f>
        <v>40.777243060000004</v>
      </c>
      <c r="E4273" s="3">
        <f>VLOOKUP(A4273,airports!A:H,8,FALSE)</f>
        <v>-73.872609170000004</v>
      </c>
      <c r="F4273" s="3">
        <f>VLOOKUP(B4273,airports!A:H,7,FALSE)</f>
        <v>35.436194440000001</v>
      </c>
      <c r="G4273" s="3">
        <f>VLOOKUP(B4273,airports!A:H,8,FALSE)</f>
        <v>-82.54180556</v>
      </c>
      <c r="H4273">
        <f t="shared" si="132"/>
        <v>962.5</v>
      </c>
      <c r="I4273">
        <f t="shared" si="133"/>
        <v>598.1</v>
      </c>
    </row>
    <row r="4274" spans="1:9" ht="30" x14ac:dyDescent="0.25">
      <c r="A4274" s="5" t="s">
        <v>74</v>
      </c>
      <c r="B4274" s="5" t="s">
        <v>16</v>
      </c>
      <c r="C4274" s="5" t="s">
        <v>4751</v>
      </c>
      <c r="D4274" s="3">
        <f>VLOOKUP(A4274,airports!A:H,7,FALSE)</f>
        <v>40.777243060000004</v>
      </c>
      <c r="E4274" s="3">
        <f>VLOOKUP(A4274,airports!A:H,8,FALSE)</f>
        <v>-73.872609170000004</v>
      </c>
      <c r="F4274" s="3">
        <f>VLOOKUP(B4274,airports!A:H,7,FALSE)</f>
        <v>41.938874169999998</v>
      </c>
      <c r="G4274" s="3">
        <f>VLOOKUP(B4274,airports!A:H,8,FALSE)</f>
        <v>-72.683228330000006</v>
      </c>
      <c r="H4274">
        <f t="shared" si="132"/>
        <v>162.9</v>
      </c>
      <c r="I4274">
        <f t="shared" si="133"/>
        <v>101.2</v>
      </c>
    </row>
    <row r="4275" spans="1:9" ht="30" x14ac:dyDescent="0.25">
      <c r="A4275" s="5" t="s">
        <v>74</v>
      </c>
      <c r="B4275" s="5" t="s">
        <v>233</v>
      </c>
      <c r="C4275" s="5" t="s">
        <v>4752</v>
      </c>
      <c r="D4275" s="3">
        <f>VLOOKUP(A4275,airports!A:H,7,FALSE)</f>
        <v>40.777243060000004</v>
      </c>
      <c r="E4275" s="3">
        <f>VLOOKUP(A4275,airports!A:H,8,FALSE)</f>
        <v>-73.872609170000004</v>
      </c>
      <c r="F4275" s="3">
        <f>VLOOKUP(B4275,airports!A:H,7,FALSE)</f>
        <v>44.807444439999998</v>
      </c>
      <c r="G4275" s="3">
        <f>VLOOKUP(B4275,airports!A:H,8,FALSE)</f>
        <v>-68.828138890000005</v>
      </c>
      <c r="H4275">
        <f t="shared" si="132"/>
        <v>608.20000000000005</v>
      </c>
      <c r="I4275">
        <f t="shared" si="133"/>
        <v>378</v>
      </c>
    </row>
    <row r="4276" spans="1:9" ht="30" x14ac:dyDescent="0.25">
      <c r="A4276" s="5" t="s">
        <v>74</v>
      </c>
      <c r="B4276" s="5" t="s">
        <v>425</v>
      </c>
      <c r="C4276" s="5" t="s">
        <v>4753</v>
      </c>
      <c r="D4276" s="3">
        <f>VLOOKUP(A4276,airports!A:H,7,FALSE)</f>
        <v>40.777243060000004</v>
      </c>
      <c r="E4276" s="3">
        <f>VLOOKUP(A4276,airports!A:H,8,FALSE)</f>
        <v>-73.872609170000004</v>
      </c>
      <c r="F4276" s="3">
        <f>VLOOKUP(B4276,airports!A:H,7,FALSE)</f>
        <v>33.562943060000002</v>
      </c>
      <c r="G4276" s="3">
        <f>VLOOKUP(B4276,airports!A:H,8,FALSE)</f>
        <v>-86.753549719999995</v>
      </c>
      <c r="H4276">
        <f t="shared" si="132"/>
        <v>1392.6</v>
      </c>
      <c r="I4276">
        <f t="shared" si="133"/>
        <v>865.4</v>
      </c>
    </row>
    <row r="4277" spans="1:9" ht="30" x14ac:dyDescent="0.25">
      <c r="A4277" s="5" t="s">
        <v>74</v>
      </c>
      <c r="B4277" s="5" t="s">
        <v>19</v>
      </c>
      <c r="C4277" s="5" t="s">
        <v>4754</v>
      </c>
      <c r="D4277" s="3">
        <f>VLOOKUP(A4277,airports!A:H,7,FALSE)</f>
        <v>40.777243060000004</v>
      </c>
      <c r="E4277" s="3">
        <f>VLOOKUP(A4277,airports!A:H,8,FALSE)</f>
        <v>-73.872609170000004</v>
      </c>
      <c r="F4277" s="3">
        <f>VLOOKUP(B4277,airports!A:H,7,FALSE)</f>
        <v>36.12447667</v>
      </c>
      <c r="G4277" s="3">
        <f>VLOOKUP(B4277,airports!A:H,8,FALSE)</f>
        <v>-86.678182219999997</v>
      </c>
      <c r="H4277">
        <f t="shared" si="132"/>
        <v>1227.7</v>
      </c>
      <c r="I4277">
        <f t="shared" si="133"/>
        <v>762.9</v>
      </c>
    </row>
    <row r="4278" spans="1:9" ht="30" x14ac:dyDescent="0.25">
      <c r="A4278" s="5" t="s">
        <v>74</v>
      </c>
      <c r="B4278" s="5" t="s">
        <v>24</v>
      </c>
      <c r="C4278" s="5" t="s">
        <v>4755</v>
      </c>
      <c r="D4278" s="3">
        <f>VLOOKUP(A4278,airports!A:H,7,FALSE)</f>
        <v>40.777243060000004</v>
      </c>
      <c r="E4278" s="3">
        <f>VLOOKUP(A4278,airports!A:H,8,FALSE)</f>
        <v>-73.872609170000004</v>
      </c>
      <c r="F4278" s="3">
        <f>VLOOKUP(B4278,airports!A:H,7,FALSE)</f>
        <v>42.364347500000001</v>
      </c>
      <c r="G4278" s="3">
        <f>VLOOKUP(B4278,airports!A:H,8,FALSE)</f>
        <v>-71.005179170000005</v>
      </c>
      <c r="H4278">
        <f t="shared" si="132"/>
        <v>296.7</v>
      </c>
      <c r="I4278">
        <f t="shared" si="133"/>
        <v>184.4</v>
      </c>
    </row>
    <row r="4279" spans="1:9" ht="30" x14ac:dyDescent="0.25">
      <c r="A4279" s="5" t="s">
        <v>74</v>
      </c>
      <c r="B4279" s="5" t="s">
        <v>27</v>
      </c>
      <c r="C4279" s="5" t="s">
        <v>4756</v>
      </c>
      <c r="D4279" s="3">
        <f>VLOOKUP(A4279,airports!A:H,7,FALSE)</f>
        <v>40.777243060000004</v>
      </c>
      <c r="E4279" s="3">
        <f>VLOOKUP(A4279,airports!A:H,8,FALSE)</f>
        <v>-73.872609170000004</v>
      </c>
      <c r="F4279" s="3">
        <f>VLOOKUP(B4279,airports!A:H,7,FALSE)</f>
        <v>44.473003609999999</v>
      </c>
      <c r="G4279" s="3">
        <f>VLOOKUP(B4279,airports!A:H,8,FALSE)</f>
        <v>-73.150312499999998</v>
      </c>
      <c r="H4279">
        <f t="shared" si="132"/>
        <v>415.2</v>
      </c>
      <c r="I4279">
        <f t="shared" si="133"/>
        <v>258</v>
      </c>
    </row>
    <row r="4280" spans="1:9" ht="30" x14ac:dyDescent="0.25">
      <c r="A4280" s="5" t="s">
        <v>74</v>
      </c>
      <c r="B4280" s="5" t="s">
        <v>29</v>
      </c>
      <c r="C4280" s="5" t="s">
        <v>4757</v>
      </c>
      <c r="D4280" s="3">
        <f>VLOOKUP(A4280,airports!A:H,7,FALSE)</f>
        <v>40.777243060000004</v>
      </c>
      <c r="E4280" s="3">
        <f>VLOOKUP(A4280,airports!A:H,8,FALSE)</f>
        <v>-73.872609170000004</v>
      </c>
      <c r="F4280" s="3">
        <f>VLOOKUP(B4280,airports!A:H,7,FALSE)</f>
        <v>42.940524719999999</v>
      </c>
      <c r="G4280" s="3">
        <f>VLOOKUP(B4280,airports!A:H,8,FALSE)</f>
        <v>-78.732166669999998</v>
      </c>
      <c r="H4280">
        <f t="shared" si="132"/>
        <v>468.7</v>
      </c>
      <c r="I4280">
        <f t="shared" si="133"/>
        <v>291.3</v>
      </c>
    </row>
    <row r="4281" spans="1:9" ht="30" x14ac:dyDescent="0.25">
      <c r="A4281" s="5" t="s">
        <v>74</v>
      </c>
      <c r="B4281" s="5" t="s">
        <v>32</v>
      </c>
      <c r="C4281" s="5" t="s">
        <v>4758</v>
      </c>
      <c r="D4281" s="3">
        <f>VLOOKUP(A4281,airports!A:H,7,FALSE)</f>
        <v>40.777243060000004</v>
      </c>
      <c r="E4281" s="3">
        <f>VLOOKUP(A4281,airports!A:H,8,FALSE)</f>
        <v>-73.872609170000004</v>
      </c>
      <c r="F4281" s="3">
        <f>VLOOKUP(B4281,airports!A:H,7,FALSE)</f>
        <v>39.175401669999999</v>
      </c>
      <c r="G4281" s="3">
        <f>VLOOKUP(B4281,airports!A:H,8,FALSE)</f>
        <v>-76.668198329999996</v>
      </c>
      <c r="H4281">
        <f t="shared" si="132"/>
        <v>297.39999999999998</v>
      </c>
      <c r="I4281">
        <f t="shared" si="133"/>
        <v>184.8</v>
      </c>
    </row>
    <row r="4282" spans="1:9" ht="30" x14ac:dyDescent="0.25">
      <c r="A4282" s="5" t="s">
        <v>74</v>
      </c>
      <c r="B4282" s="5" t="s">
        <v>34</v>
      </c>
      <c r="C4282" s="5" t="s">
        <v>4759</v>
      </c>
      <c r="D4282" s="3">
        <f>VLOOKUP(A4282,airports!A:H,7,FALSE)</f>
        <v>40.777243060000004</v>
      </c>
      <c r="E4282" s="3">
        <f>VLOOKUP(A4282,airports!A:H,8,FALSE)</f>
        <v>-73.872609170000004</v>
      </c>
      <c r="F4282" s="3">
        <f>VLOOKUP(B4282,airports!A:H,7,FALSE)</f>
        <v>45.776901389999999</v>
      </c>
      <c r="G4282" s="3">
        <f>VLOOKUP(B4282,airports!A:H,8,FALSE)</f>
        <v>-111.1530072</v>
      </c>
      <c r="H4282">
        <f t="shared" si="132"/>
        <v>3040.2</v>
      </c>
      <c r="I4282">
        <f t="shared" si="133"/>
        <v>1889.2</v>
      </c>
    </row>
    <row r="4283" spans="1:9" ht="30" x14ac:dyDescent="0.25">
      <c r="A4283" s="5" t="s">
        <v>74</v>
      </c>
      <c r="B4283" s="5" t="s">
        <v>441</v>
      </c>
      <c r="C4283" s="5" t="s">
        <v>4760</v>
      </c>
      <c r="D4283" s="3">
        <f>VLOOKUP(A4283,airports!A:H,7,FALSE)</f>
        <v>40.777243060000004</v>
      </c>
      <c r="E4283" s="3">
        <f>VLOOKUP(A4283,airports!A:H,8,FALSE)</f>
        <v>-73.872609170000004</v>
      </c>
      <c r="F4283" s="3">
        <f>VLOOKUP(B4283,airports!A:H,7,FALSE)</f>
        <v>33.938839999999999</v>
      </c>
      <c r="G4283" s="3">
        <f>VLOOKUP(B4283,airports!A:H,8,FALSE)</f>
        <v>-81.119539439999997</v>
      </c>
      <c r="H4283">
        <f t="shared" si="132"/>
        <v>993.4</v>
      </c>
      <c r="I4283">
        <f t="shared" si="133"/>
        <v>617.29999999999995</v>
      </c>
    </row>
    <row r="4284" spans="1:9" ht="30" x14ac:dyDescent="0.25">
      <c r="A4284" s="5" t="s">
        <v>74</v>
      </c>
      <c r="B4284" s="5" t="s">
        <v>443</v>
      </c>
      <c r="C4284" s="5" t="s">
        <v>4761</v>
      </c>
      <c r="D4284" s="3">
        <f>VLOOKUP(A4284,airports!A:H,7,FALSE)</f>
        <v>40.777243060000004</v>
      </c>
      <c r="E4284" s="3">
        <f>VLOOKUP(A4284,airports!A:H,8,FALSE)</f>
        <v>-73.872609170000004</v>
      </c>
      <c r="F4284" s="3">
        <f>VLOOKUP(B4284,airports!A:H,7,FALSE)</f>
        <v>40.91631194</v>
      </c>
      <c r="G4284" s="3">
        <f>VLOOKUP(B4284,airports!A:H,8,FALSE)</f>
        <v>-81.442465560000002</v>
      </c>
      <c r="H4284">
        <f t="shared" si="132"/>
        <v>636.70000000000005</v>
      </c>
      <c r="I4284">
        <f t="shared" si="133"/>
        <v>395.7</v>
      </c>
    </row>
    <row r="4285" spans="1:9" ht="30" x14ac:dyDescent="0.25">
      <c r="A4285" s="5" t="s">
        <v>74</v>
      </c>
      <c r="B4285" s="5" t="s">
        <v>445</v>
      </c>
      <c r="C4285" s="5" t="s">
        <v>4762</v>
      </c>
      <c r="D4285" s="3">
        <f>VLOOKUP(A4285,airports!A:H,7,FALSE)</f>
        <v>40.777243060000004</v>
      </c>
      <c r="E4285" s="3">
        <f>VLOOKUP(A4285,airports!A:H,8,FALSE)</f>
        <v>-73.872609170000004</v>
      </c>
      <c r="F4285" s="3">
        <f>VLOOKUP(B4285,airports!A:H,7,FALSE)</f>
        <v>35.035268330000001</v>
      </c>
      <c r="G4285" s="3">
        <f>VLOOKUP(B4285,airports!A:H,8,FALSE)</f>
        <v>-85.203787779999999</v>
      </c>
      <c r="H4285">
        <f t="shared" si="132"/>
        <v>1180</v>
      </c>
      <c r="I4285">
        <f t="shared" si="133"/>
        <v>733.3</v>
      </c>
    </row>
    <row r="4286" spans="1:9" ht="30" x14ac:dyDescent="0.25">
      <c r="A4286" s="5" t="s">
        <v>74</v>
      </c>
      <c r="B4286" s="5" t="s">
        <v>447</v>
      </c>
      <c r="C4286" s="5" t="s">
        <v>4763</v>
      </c>
      <c r="D4286" s="3">
        <f>VLOOKUP(A4286,airports!A:H,7,FALSE)</f>
        <v>40.777243060000004</v>
      </c>
      <c r="E4286" s="3">
        <f>VLOOKUP(A4286,airports!A:H,8,FALSE)</f>
        <v>-73.872609170000004</v>
      </c>
      <c r="F4286" s="3">
        <f>VLOOKUP(B4286,airports!A:H,7,FALSE)</f>
        <v>38.138638890000003</v>
      </c>
      <c r="G4286" s="3">
        <f>VLOOKUP(B4286,airports!A:H,8,FALSE)</f>
        <v>-78.452861110000001</v>
      </c>
      <c r="H4286">
        <f t="shared" si="132"/>
        <v>490.5</v>
      </c>
      <c r="I4286">
        <f t="shared" si="133"/>
        <v>304.8</v>
      </c>
    </row>
    <row r="4287" spans="1:9" ht="30" x14ac:dyDescent="0.25">
      <c r="A4287" s="5" t="s">
        <v>74</v>
      </c>
      <c r="B4287" s="5" t="s">
        <v>36</v>
      </c>
      <c r="C4287" s="5" t="s">
        <v>4764</v>
      </c>
      <c r="D4287" s="3">
        <f>VLOOKUP(A4287,airports!A:H,7,FALSE)</f>
        <v>40.777243060000004</v>
      </c>
      <c r="E4287" s="3">
        <f>VLOOKUP(A4287,airports!A:H,8,FALSE)</f>
        <v>-73.872609170000004</v>
      </c>
      <c r="F4287" s="3">
        <f>VLOOKUP(B4287,airports!A:H,7,FALSE)</f>
        <v>32.898646390000003</v>
      </c>
      <c r="G4287" s="3">
        <f>VLOOKUP(B4287,airports!A:H,8,FALSE)</f>
        <v>-80.040505830000001</v>
      </c>
      <c r="H4287">
        <f t="shared" si="132"/>
        <v>1033.0999999999999</v>
      </c>
      <c r="I4287">
        <f t="shared" si="133"/>
        <v>642</v>
      </c>
    </row>
    <row r="4288" spans="1:9" x14ac:dyDescent="0.25">
      <c r="A4288" s="5" t="s">
        <v>74</v>
      </c>
      <c r="B4288" s="5" t="s">
        <v>38</v>
      </c>
      <c r="C4288" s="5" t="s">
        <v>4765</v>
      </c>
      <c r="D4288" s="3">
        <f>VLOOKUP(A4288,airports!A:H,7,FALSE)</f>
        <v>40.777243060000004</v>
      </c>
      <c r="E4288" s="3">
        <f>VLOOKUP(A4288,airports!A:H,8,FALSE)</f>
        <v>-73.872609170000004</v>
      </c>
      <c r="F4288" s="3">
        <f>VLOOKUP(B4288,airports!A:H,7,FALSE)</f>
        <v>41.410894169999999</v>
      </c>
      <c r="G4288" s="3">
        <f>VLOOKUP(B4288,airports!A:H,8,FALSE)</f>
        <v>-81.849396670000004</v>
      </c>
      <c r="H4288">
        <f t="shared" si="132"/>
        <v>671.9</v>
      </c>
      <c r="I4288">
        <f t="shared" si="133"/>
        <v>417.5</v>
      </c>
    </row>
    <row r="4289" spans="1:9" x14ac:dyDescent="0.25">
      <c r="A4289" s="5" t="s">
        <v>74</v>
      </c>
      <c r="B4289" s="5" t="s">
        <v>40</v>
      </c>
      <c r="C4289" s="5" t="s">
        <v>4766</v>
      </c>
      <c r="D4289" s="3">
        <f>VLOOKUP(A4289,airports!A:H,7,FALSE)</f>
        <v>40.777243060000004</v>
      </c>
      <c r="E4289" s="3">
        <f>VLOOKUP(A4289,airports!A:H,8,FALSE)</f>
        <v>-73.872609170000004</v>
      </c>
      <c r="F4289" s="3">
        <f>VLOOKUP(B4289,airports!A:H,7,FALSE)</f>
        <v>35.214011110000001</v>
      </c>
      <c r="G4289" s="3">
        <f>VLOOKUP(B4289,airports!A:H,8,FALSE)</f>
        <v>-80.94312583</v>
      </c>
      <c r="H4289">
        <f t="shared" si="132"/>
        <v>874.9</v>
      </c>
      <c r="I4289">
        <f t="shared" si="133"/>
        <v>543.70000000000005</v>
      </c>
    </row>
    <row r="4290" spans="1:9" ht="30" x14ac:dyDescent="0.25">
      <c r="A4290" s="5" t="s">
        <v>74</v>
      </c>
      <c r="B4290" s="5" t="s">
        <v>454</v>
      </c>
      <c r="C4290" s="5" t="s">
        <v>4767</v>
      </c>
      <c r="D4290" s="3">
        <f>VLOOKUP(A4290,airports!A:H,7,FALSE)</f>
        <v>40.777243060000004</v>
      </c>
      <c r="E4290" s="3">
        <f>VLOOKUP(A4290,airports!A:H,8,FALSE)</f>
        <v>-73.872609170000004</v>
      </c>
      <c r="F4290" s="3">
        <f>VLOOKUP(B4290,airports!A:H,7,FALSE)</f>
        <v>39.997985280000002</v>
      </c>
      <c r="G4290" s="3">
        <f>VLOOKUP(B4290,airports!A:H,8,FALSE)</f>
        <v>-82.891882780000003</v>
      </c>
      <c r="H4290">
        <f t="shared" si="132"/>
        <v>768.4</v>
      </c>
      <c r="I4290">
        <f t="shared" si="133"/>
        <v>477.5</v>
      </c>
    </row>
    <row r="4291" spans="1:9" ht="30" x14ac:dyDescent="0.25">
      <c r="A4291" s="5" t="s">
        <v>74</v>
      </c>
      <c r="B4291" s="5" t="s">
        <v>462</v>
      </c>
      <c r="C4291" s="5" t="s">
        <v>4768</v>
      </c>
      <c r="D4291" s="3">
        <f>VLOOKUP(A4291,airports!A:H,7,FALSE)</f>
        <v>40.777243060000004</v>
      </c>
      <c r="E4291" s="3">
        <f>VLOOKUP(A4291,airports!A:H,8,FALSE)</f>
        <v>-73.872609170000004</v>
      </c>
      <c r="F4291" s="3">
        <f>VLOOKUP(B4291,airports!A:H,7,FALSE)</f>
        <v>39.046142779999997</v>
      </c>
      <c r="G4291" s="3">
        <f>VLOOKUP(B4291,airports!A:H,8,FALSE)</f>
        <v>-84.662172499999997</v>
      </c>
      <c r="H4291">
        <f t="shared" si="132"/>
        <v>939.5</v>
      </c>
      <c r="I4291">
        <f t="shared" si="133"/>
        <v>583.79999999999995</v>
      </c>
    </row>
    <row r="4292" spans="1:9" ht="30" x14ac:dyDescent="0.25">
      <c r="A4292" s="5" t="s">
        <v>74</v>
      </c>
      <c r="B4292" s="5" t="s">
        <v>464</v>
      </c>
      <c r="C4292" s="5" t="s">
        <v>4769</v>
      </c>
      <c r="D4292" s="3">
        <f>VLOOKUP(A4292,airports!A:H,7,FALSE)</f>
        <v>40.777243060000004</v>
      </c>
      <c r="E4292" s="3">
        <f>VLOOKUP(A4292,airports!A:H,8,FALSE)</f>
        <v>-73.872609170000004</v>
      </c>
      <c r="F4292" s="3">
        <f>VLOOKUP(B4292,airports!A:H,7,FALSE)</f>
        <v>29.179916670000001</v>
      </c>
      <c r="G4292" s="3">
        <f>VLOOKUP(B4292,airports!A:H,8,FALSE)</f>
        <v>-81.05805556</v>
      </c>
      <c r="H4292">
        <f t="shared" ref="H4292:H4355" si="134">ROUND(ACOS(COS(RADIANS(90-D4292)) * COS(RADIANS(90-F4292)) + SIN(RADIANS(90-D4292)) * SIN(RADIANS(90-F4292)) * COS(RADIANS(E4292-G4292))) * 6371,1)</f>
        <v>1444.9</v>
      </c>
      <c r="I4292">
        <f t="shared" ref="I4292:I4355" si="135">ROUND(ACOS(COS(RADIANS(90-D4292)) * COS(RADIANS(90-F4292)) + SIN(RADIANS(90-D4292)) * SIN(RADIANS(90-F4292)) * COS(RADIANS(E4292-G4292))) * 3959,1)</f>
        <v>897.9</v>
      </c>
    </row>
    <row r="4293" spans="1:9" ht="30" x14ac:dyDescent="0.25">
      <c r="A4293" s="5" t="s">
        <v>74</v>
      </c>
      <c r="B4293" s="5" t="s">
        <v>201</v>
      </c>
      <c r="C4293" s="5" t="s">
        <v>4770</v>
      </c>
      <c r="D4293" s="3">
        <f>VLOOKUP(A4293,airports!A:H,7,FALSE)</f>
        <v>40.777243060000004</v>
      </c>
      <c r="E4293" s="3">
        <f>VLOOKUP(A4293,airports!A:H,8,FALSE)</f>
        <v>-73.872609170000004</v>
      </c>
      <c r="F4293" s="3">
        <f>VLOOKUP(B4293,airports!A:H,7,FALSE)</f>
        <v>32.847113890000003</v>
      </c>
      <c r="G4293" s="3">
        <f>VLOOKUP(B4293,airports!A:H,8,FALSE)</f>
        <v>-96.851772220000001</v>
      </c>
      <c r="H4293">
        <f t="shared" si="134"/>
        <v>2219</v>
      </c>
      <c r="I4293">
        <f t="shared" si="135"/>
        <v>1378.9</v>
      </c>
    </row>
    <row r="4294" spans="1:9" ht="30" x14ac:dyDescent="0.25">
      <c r="A4294" s="5" t="s">
        <v>74</v>
      </c>
      <c r="B4294" s="5" t="s">
        <v>467</v>
      </c>
      <c r="C4294" s="5" t="s">
        <v>4771</v>
      </c>
      <c r="D4294" s="3">
        <f>VLOOKUP(A4294,airports!A:H,7,FALSE)</f>
        <v>40.777243060000004</v>
      </c>
      <c r="E4294" s="3">
        <f>VLOOKUP(A4294,airports!A:H,8,FALSE)</f>
        <v>-73.872609170000004</v>
      </c>
      <c r="F4294" s="3">
        <f>VLOOKUP(B4294,airports!A:H,7,FALSE)</f>
        <v>39.902375829999997</v>
      </c>
      <c r="G4294" s="3">
        <f>VLOOKUP(B4294,airports!A:H,8,FALSE)</f>
        <v>-84.219374999999999</v>
      </c>
      <c r="H4294">
        <f t="shared" si="134"/>
        <v>881.8</v>
      </c>
      <c r="I4294">
        <f t="shared" si="135"/>
        <v>548</v>
      </c>
    </row>
    <row r="4295" spans="1:9" ht="30" x14ac:dyDescent="0.25">
      <c r="A4295" s="5" t="s">
        <v>74</v>
      </c>
      <c r="B4295" s="5" t="s">
        <v>45</v>
      </c>
      <c r="C4295" s="5" t="s">
        <v>4772</v>
      </c>
      <c r="D4295" s="3">
        <f>VLOOKUP(A4295,airports!A:H,7,FALSE)</f>
        <v>40.777243060000004</v>
      </c>
      <c r="E4295" s="3">
        <f>VLOOKUP(A4295,airports!A:H,8,FALSE)</f>
        <v>-73.872609170000004</v>
      </c>
      <c r="F4295" s="3">
        <f>VLOOKUP(B4295,airports!A:H,7,FALSE)</f>
        <v>38.852083329999999</v>
      </c>
      <c r="G4295" s="3">
        <f>VLOOKUP(B4295,airports!A:H,8,FALSE)</f>
        <v>-77.037722220000006</v>
      </c>
      <c r="H4295">
        <f t="shared" si="134"/>
        <v>344.8</v>
      </c>
      <c r="I4295">
        <f t="shared" si="135"/>
        <v>214.3</v>
      </c>
    </row>
    <row r="4296" spans="1:9" ht="30" x14ac:dyDescent="0.25">
      <c r="A4296" s="5" t="s">
        <v>74</v>
      </c>
      <c r="B4296" s="5" t="s">
        <v>47</v>
      </c>
      <c r="C4296" s="5" t="s">
        <v>4773</v>
      </c>
      <c r="D4296" s="3">
        <f>VLOOKUP(A4296,airports!A:H,7,FALSE)</f>
        <v>40.777243060000004</v>
      </c>
      <c r="E4296" s="3">
        <f>VLOOKUP(A4296,airports!A:H,8,FALSE)</f>
        <v>-73.872609170000004</v>
      </c>
      <c r="F4296" s="3">
        <f>VLOOKUP(B4296,airports!A:H,7,FALSE)</f>
        <v>39.858408060000002</v>
      </c>
      <c r="G4296" s="3">
        <f>VLOOKUP(B4296,airports!A:H,8,FALSE)</f>
        <v>-104.6670019</v>
      </c>
      <c r="H4296">
        <f t="shared" si="134"/>
        <v>2599.4</v>
      </c>
      <c r="I4296">
        <f t="shared" si="135"/>
        <v>1615.3</v>
      </c>
    </row>
    <row r="4297" spans="1:9" ht="30" x14ac:dyDescent="0.25">
      <c r="A4297" s="5" t="s">
        <v>74</v>
      </c>
      <c r="B4297" s="5" t="s">
        <v>49</v>
      </c>
      <c r="C4297" s="5" t="s">
        <v>4774</v>
      </c>
      <c r="D4297" s="3">
        <f>VLOOKUP(A4297,airports!A:H,7,FALSE)</f>
        <v>40.777243060000004</v>
      </c>
      <c r="E4297" s="3">
        <f>VLOOKUP(A4297,airports!A:H,8,FALSE)</f>
        <v>-73.872609170000004</v>
      </c>
      <c r="F4297" s="3">
        <f>VLOOKUP(B4297,airports!A:H,7,FALSE)</f>
        <v>32.895950560000003</v>
      </c>
      <c r="G4297" s="3">
        <f>VLOOKUP(B4297,airports!A:H,8,FALSE)</f>
        <v>-97.037199999999999</v>
      </c>
      <c r="H4297">
        <f t="shared" si="134"/>
        <v>2231.3000000000002</v>
      </c>
      <c r="I4297">
        <f t="shared" si="135"/>
        <v>1386.6</v>
      </c>
    </row>
    <row r="4298" spans="1:9" ht="30" x14ac:dyDescent="0.25">
      <c r="A4298" s="5" t="s">
        <v>74</v>
      </c>
      <c r="B4298" s="5" t="s">
        <v>474</v>
      </c>
      <c r="C4298" s="5" t="s">
        <v>4775</v>
      </c>
      <c r="D4298" s="3">
        <f>VLOOKUP(A4298,airports!A:H,7,FALSE)</f>
        <v>40.777243060000004</v>
      </c>
      <c r="E4298" s="3">
        <f>VLOOKUP(A4298,airports!A:H,8,FALSE)</f>
        <v>-73.872609170000004</v>
      </c>
      <c r="F4298" s="3">
        <f>VLOOKUP(B4298,airports!A:H,7,FALSE)</f>
        <v>41.53493306</v>
      </c>
      <c r="G4298" s="3">
        <f>VLOOKUP(B4298,airports!A:H,8,FALSE)</f>
        <v>-93.660682219999998</v>
      </c>
      <c r="H4298">
        <f t="shared" si="134"/>
        <v>1655.2</v>
      </c>
      <c r="I4298">
        <f t="shared" si="135"/>
        <v>1028.5999999999999</v>
      </c>
    </row>
    <row r="4299" spans="1:9" ht="30" x14ac:dyDescent="0.25">
      <c r="A4299" s="5" t="s">
        <v>74</v>
      </c>
      <c r="B4299" s="5" t="s">
        <v>50</v>
      </c>
      <c r="C4299" s="5" t="s">
        <v>4776</v>
      </c>
      <c r="D4299" s="3">
        <f>VLOOKUP(A4299,airports!A:H,7,FALSE)</f>
        <v>40.777243060000004</v>
      </c>
      <c r="E4299" s="3">
        <f>VLOOKUP(A4299,airports!A:H,8,FALSE)</f>
        <v>-73.872609170000004</v>
      </c>
      <c r="F4299" s="3">
        <f>VLOOKUP(B4299,airports!A:H,7,FALSE)</f>
        <v>42.212058890000002</v>
      </c>
      <c r="G4299" s="3">
        <f>VLOOKUP(B4299,airports!A:H,8,FALSE)</f>
        <v>-83.348835829999999</v>
      </c>
      <c r="H4299">
        <f t="shared" si="134"/>
        <v>804.8</v>
      </c>
      <c r="I4299">
        <f t="shared" si="135"/>
        <v>500.1</v>
      </c>
    </row>
    <row r="4300" spans="1:9" ht="30" x14ac:dyDescent="0.25">
      <c r="A4300" s="5" t="s">
        <v>74</v>
      </c>
      <c r="B4300" s="5" t="s">
        <v>479</v>
      </c>
      <c r="C4300" s="5" t="s">
        <v>4777</v>
      </c>
      <c r="D4300" s="3">
        <f>VLOOKUP(A4300,airports!A:H,7,FALSE)</f>
        <v>40.777243060000004</v>
      </c>
      <c r="E4300" s="3">
        <f>VLOOKUP(A4300,airports!A:H,8,FALSE)</f>
        <v>-73.872609170000004</v>
      </c>
      <c r="F4300" s="3">
        <f>VLOOKUP(B4300,airports!A:H,7,FALSE)</f>
        <v>39.64256778</v>
      </c>
      <c r="G4300" s="3">
        <f>VLOOKUP(B4300,airports!A:H,8,FALSE)</f>
        <v>-106.91769530000001</v>
      </c>
      <c r="H4300">
        <f t="shared" si="134"/>
        <v>2792.3</v>
      </c>
      <c r="I4300">
        <f t="shared" si="135"/>
        <v>1735.2</v>
      </c>
    </row>
    <row r="4301" spans="1:9" ht="30" x14ac:dyDescent="0.25">
      <c r="A4301" s="5" t="s">
        <v>74</v>
      </c>
      <c r="B4301" s="5" t="s">
        <v>54</v>
      </c>
      <c r="C4301" s="5" t="s">
        <v>4778</v>
      </c>
      <c r="D4301" s="3">
        <f>VLOOKUP(A4301,airports!A:H,7,FALSE)</f>
        <v>40.777243060000004</v>
      </c>
      <c r="E4301" s="3">
        <f>VLOOKUP(A4301,airports!A:H,8,FALSE)</f>
        <v>-73.872609170000004</v>
      </c>
      <c r="F4301" s="3">
        <f>VLOOKUP(B4301,airports!A:H,7,FALSE)</f>
        <v>24.55611111</v>
      </c>
      <c r="G4301" s="3">
        <f>VLOOKUP(B4301,airports!A:H,8,FALSE)</f>
        <v>-81.759555559999995</v>
      </c>
      <c r="H4301">
        <f t="shared" si="134"/>
        <v>1946.8</v>
      </c>
      <c r="I4301">
        <f t="shared" si="135"/>
        <v>1209.8</v>
      </c>
    </row>
    <row r="4302" spans="1:9" ht="30" x14ac:dyDescent="0.25">
      <c r="A4302" s="5" t="s">
        <v>74</v>
      </c>
      <c r="B4302" s="5" t="s">
        <v>56</v>
      </c>
      <c r="C4302" s="5" t="s">
        <v>4779</v>
      </c>
      <c r="D4302" s="3">
        <f>VLOOKUP(A4302,airports!A:H,7,FALSE)</f>
        <v>40.777243060000004</v>
      </c>
      <c r="E4302" s="3">
        <f>VLOOKUP(A4302,airports!A:H,8,FALSE)</f>
        <v>-73.872609170000004</v>
      </c>
      <c r="F4302" s="3">
        <f>VLOOKUP(B4302,airports!A:H,7,FALSE)</f>
        <v>48.311404719999999</v>
      </c>
      <c r="G4302" s="3">
        <f>VLOOKUP(B4302,airports!A:H,8,FALSE)</f>
        <v>-114.2550694</v>
      </c>
      <c r="H4302">
        <f t="shared" si="134"/>
        <v>3267.1</v>
      </c>
      <c r="I4302">
        <f t="shared" si="135"/>
        <v>2030.2</v>
      </c>
    </row>
    <row r="4303" spans="1:9" x14ac:dyDescent="0.25">
      <c r="A4303" s="5" t="s">
        <v>74</v>
      </c>
      <c r="B4303" s="5" t="s">
        <v>57</v>
      </c>
      <c r="C4303" s="5" t="s">
        <v>4780</v>
      </c>
      <c r="D4303" s="3">
        <f>VLOOKUP(A4303,airports!A:H,7,FALSE)</f>
        <v>40.777243060000004</v>
      </c>
      <c r="E4303" s="3">
        <f>VLOOKUP(A4303,airports!A:H,8,FALSE)</f>
        <v>-73.872609170000004</v>
      </c>
      <c r="F4303" s="3">
        <f>VLOOKUP(B4303,airports!A:H,7,FALSE)</f>
        <v>26.072583330000001</v>
      </c>
      <c r="G4303" s="3">
        <f>VLOOKUP(B4303,airports!A:H,8,FALSE)</f>
        <v>-80.152749999999997</v>
      </c>
      <c r="H4303">
        <f t="shared" si="134"/>
        <v>1734.6</v>
      </c>
      <c r="I4303">
        <f t="shared" si="135"/>
        <v>1077.9000000000001</v>
      </c>
    </row>
    <row r="4304" spans="1:9" ht="30" x14ac:dyDescent="0.25">
      <c r="A4304" s="5" t="s">
        <v>74</v>
      </c>
      <c r="B4304" s="5" t="s">
        <v>515</v>
      </c>
      <c r="C4304" s="5" t="s">
        <v>4781</v>
      </c>
      <c r="D4304" s="3">
        <f>VLOOKUP(A4304,airports!A:H,7,FALSE)</f>
        <v>40.777243060000004</v>
      </c>
      <c r="E4304" s="3">
        <f>VLOOKUP(A4304,airports!A:H,8,FALSE)</f>
        <v>-73.872609170000004</v>
      </c>
      <c r="F4304" s="3">
        <f>VLOOKUP(B4304,airports!A:H,7,FALSE)</f>
        <v>42.880819719999998</v>
      </c>
      <c r="G4304" s="3">
        <f>VLOOKUP(B4304,airports!A:H,8,FALSE)</f>
        <v>-85.522767779999995</v>
      </c>
      <c r="H4304">
        <f t="shared" si="134"/>
        <v>992.3</v>
      </c>
      <c r="I4304">
        <f t="shared" si="135"/>
        <v>616.6</v>
      </c>
    </row>
    <row r="4305" spans="1:9" ht="30" x14ac:dyDescent="0.25">
      <c r="A4305" s="5" t="s">
        <v>74</v>
      </c>
      <c r="B4305" s="5" t="s">
        <v>517</v>
      </c>
      <c r="C4305" s="5" t="s">
        <v>4782</v>
      </c>
      <c r="D4305" s="3">
        <f>VLOOKUP(A4305,airports!A:H,7,FALSE)</f>
        <v>40.777243060000004</v>
      </c>
      <c r="E4305" s="3">
        <f>VLOOKUP(A4305,airports!A:H,8,FALSE)</f>
        <v>-73.872609170000004</v>
      </c>
      <c r="F4305" s="3">
        <f>VLOOKUP(B4305,airports!A:H,7,FALSE)</f>
        <v>36.09774694</v>
      </c>
      <c r="G4305" s="3">
        <f>VLOOKUP(B4305,airports!A:H,8,FALSE)</f>
        <v>-79.9372975</v>
      </c>
      <c r="H4305">
        <f t="shared" si="134"/>
        <v>741.1</v>
      </c>
      <c r="I4305">
        <f t="shared" si="135"/>
        <v>460.5</v>
      </c>
    </row>
    <row r="4306" spans="1:9" ht="30" x14ac:dyDescent="0.25">
      <c r="A4306" s="5" t="s">
        <v>74</v>
      </c>
      <c r="B4306" s="5" t="s">
        <v>519</v>
      </c>
      <c r="C4306" s="5" t="s">
        <v>4783</v>
      </c>
      <c r="D4306" s="3">
        <f>VLOOKUP(A4306,airports!A:H,7,FALSE)</f>
        <v>40.777243060000004</v>
      </c>
      <c r="E4306" s="3">
        <f>VLOOKUP(A4306,airports!A:H,8,FALSE)</f>
        <v>-73.872609170000004</v>
      </c>
      <c r="F4306" s="3">
        <f>VLOOKUP(B4306,airports!A:H,7,FALSE)</f>
        <v>34.89566722</v>
      </c>
      <c r="G4306" s="3">
        <f>VLOOKUP(B4306,airports!A:H,8,FALSE)</f>
        <v>-82.218858330000003</v>
      </c>
      <c r="H4306">
        <f t="shared" si="134"/>
        <v>981.5</v>
      </c>
      <c r="I4306">
        <f t="shared" si="135"/>
        <v>609.9</v>
      </c>
    </row>
    <row r="4307" spans="1:9" ht="30" x14ac:dyDescent="0.25">
      <c r="A4307" s="5" t="s">
        <v>74</v>
      </c>
      <c r="B4307" s="5" t="s">
        <v>524</v>
      </c>
      <c r="C4307" s="5" t="s">
        <v>4784</v>
      </c>
      <c r="D4307" s="3">
        <f>VLOOKUP(A4307,airports!A:H,7,FALSE)</f>
        <v>40.777243060000004</v>
      </c>
      <c r="E4307" s="3">
        <f>VLOOKUP(A4307,airports!A:H,8,FALSE)</f>
        <v>-73.872609170000004</v>
      </c>
      <c r="F4307" s="3">
        <f>VLOOKUP(B4307,airports!A:H,7,FALSE)</f>
        <v>32.224399566700001</v>
      </c>
      <c r="G4307" s="3">
        <f>VLOOKUP(B4307,airports!A:H,8,FALSE)</f>
        <v>-80.697502136200001</v>
      </c>
      <c r="H4307">
        <f t="shared" si="134"/>
        <v>1129</v>
      </c>
      <c r="I4307">
        <f t="shared" si="135"/>
        <v>701.6</v>
      </c>
    </row>
    <row r="4308" spans="1:9" ht="30" x14ac:dyDescent="0.25">
      <c r="A4308" s="5" t="s">
        <v>74</v>
      </c>
      <c r="B4308" s="5" t="s">
        <v>205</v>
      </c>
      <c r="C4308" s="5" t="s">
        <v>4785</v>
      </c>
      <c r="D4308" s="3">
        <f>VLOOKUP(A4308,airports!A:H,7,FALSE)</f>
        <v>40.777243060000004</v>
      </c>
      <c r="E4308" s="3">
        <f>VLOOKUP(A4308,airports!A:H,8,FALSE)</f>
        <v>-73.872609170000004</v>
      </c>
      <c r="F4308" s="3">
        <f>VLOOKUP(B4308,airports!A:H,7,FALSE)</f>
        <v>29.64541861</v>
      </c>
      <c r="G4308" s="3">
        <f>VLOOKUP(B4308,airports!A:H,8,FALSE)</f>
        <v>-95.278888890000005</v>
      </c>
      <c r="H4308">
        <f t="shared" si="134"/>
        <v>2295.6</v>
      </c>
      <c r="I4308">
        <f t="shared" si="135"/>
        <v>1426.5</v>
      </c>
    </row>
    <row r="4309" spans="1:9" x14ac:dyDescent="0.25">
      <c r="A4309" s="5" t="s">
        <v>74</v>
      </c>
      <c r="B4309" s="5" t="s">
        <v>176</v>
      </c>
      <c r="C4309" s="5" t="s">
        <v>4786</v>
      </c>
      <c r="D4309" s="3">
        <f>VLOOKUP(A4309,airports!A:H,7,FALSE)</f>
        <v>40.777243060000004</v>
      </c>
      <c r="E4309" s="3">
        <f>VLOOKUP(A4309,airports!A:H,8,FALSE)</f>
        <v>-73.872609170000004</v>
      </c>
      <c r="F4309" s="3">
        <f>VLOOKUP(B4309,airports!A:H,7,FALSE)</f>
        <v>38.944531939999997</v>
      </c>
      <c r="G4309" s="3">
        <f>VLOOKUP(B4309,airports!A:H,8,FALSE)</f>
        <v>-77.455809720000005</v>
      </c>
      <c r="H4309">
        <f t="shared" si="134"/>
        <v>367.5</v>
      </c>
      <c r="I4309">
        <f t="shared" si="135"/>
        <v>228.3</v>
      </c>
    </row>
    <row r="4310" spans="1:9" x14ac:dyDescent="0.25">
      <c r="A4310" s="5" t="s">
        <v>74</v>
      </c>
      <c r="B4310" s="5" t="s">
        <v>67</v>
      </c>
      <c r="C4310" s="5" t="s">
        <v>4787</v>
      </c>
      <c r="D4310" s="3">
        <f>VLOOKUP(A4310,airports!A:H,7,FALSE)</f>
        <v>40.777243060000004</v>
      </c>
      <c r="E4310" s="3">
        <f>VLOOKUP(A4310,airports!A:H,8,FALSE)</f>
        <v>-73.872609170000004</v>
      </c>
      <c r="F4310" s="3">
        <f>VLOOKUP(B4310,airports!A:H,7,FALSE)</f>
        <v>29.980472219999999</v>
      </c>
      <c r="G4310" s="3">
        <f>VLOOKUP(B4310,airports!A:H,8,FALSE)</f>
        <v>-95.339722219999999</v>
      </c>
      <c r="H4310">
        <f t="shared" si="134"/>
        <v>2277.3000000000002</v>
      </c>
      <c r="I4310">
        <f t="shared" si="135"/>
        <v>1415.1</v>
      </c>
    </row>
    <row r="4311" spans="1:9" x14ac:dyDescent="0.25">
      <c r="A4311" s="5" t="s">
        <v>74</v>
      </c>
      <c r="B4311" s="5" t="s">
        <v>535</v>
      </c>
      <c r="C4311" s="5" t="s">
        <v>4788</v>
      </c>
      <c r="D4311" s="3">
        <f>VLOOKUP(A4311,airports!A:H,7,FALSE)</f>
        <v>40.777243060000004</v>
      </c>
      <c r="E4311" s="3">
        <f>VLOOKUP(A4311,airports!A:H,8,FALSE)</f>
        <v>-73.872609170000004</v>
      </c>
      <c r="F4311" s="3">
        <f>VLOOKUP(B4311,airports!A:H,7,FALSE)</f>
        <v>34.270611109999997</v>
      </c>
      <c r="G4311" s="3">
        <f>VLOOKUP(B4311,airports!A:H,8,FALSE)</f>
        <v>-77.902555559999996</v>
      </c>
      <c r="H4311">
        <f t="shared" si="134"/>
        <v>805.8</v>
      </c>
      <c r="I4311">
        <f t="shared" si="135"/>
        <v>500.8</v>
      </c>
    </row>
    <row r="4312" spans="1:9" ht="30" x14ac:dyDescent="0.25">
      <c r="A4312" s="5" t="s">
        <v>74</v>
      </c>
      <c r="B4312" s="5" t="s">
        <v>537</v>
      </c>
      <c r="C4312" s="5" t="s">
        <v>4789</v>
      </c>
      <c r="D4312" s="3">
        <f>VLOOKUP(A4312,airports!A:H,7,FALSE)</f>
        <v>40.777243060000004</v>
      </c>
      <c r="E4312" s="3">
        <f>VLOOKUP(A4312,airports!A:H,8,FALSE)</f>
        <v>-73.872609170000004</v>
      </c>
      <c r="F4312" s="3">
        <f>VLOOKUP(B4312,airports!A:H,7,FALSE)</f>
        <v>39.717329169999999</v>
      </c>
      <c r="G4312" s="3">
        <f>VLOOKUP(B4312,airports!A:H,8,FALSE)</f>
        <v>-86.294384170000001</v>
      </c>
      <c r="H4312">
        <f t="shared" si="134"/>
        <v>1059.9000000000001</v>
      </c>
      <c r="I4312">
        <f t="shared" si="135"/>
        <v>658.6</v>
      </c>
    </row>
    <row r="4313" spans="1:9" x14ac:dyDescent="0.25">
      <c r="A4313" s="5" t="s">
        <v>74</v>
      </c>
      <c r="B4313" s="5" t="s">
        <v>541</v>
      </c>
      <c r="C4313" s="5" t="s">
        <v>4790</v>
      </c>
      <c r="D4313" s="3">
        <f>VLOOKUP(A4313,airports!A:H,7,FALSE)</f>
        <v>40.777243060000004</v>
      </c>
      <c r="E4313" s="3">
        <f>VLOOKUP(A4313,airports!A:H,8,FALSE)</f>
        <v>-73.872609170000004</v>
      </c>
      <c r="F4313" s="3">
        <f>VLOOKUP(B4313,airports!A:H,7,FALSE)</f>
        <v>43.607324169999998</v>
      </c>
      <c r="G4313" s="3">
        <f>VLOOKUP(B4313,airports!A:H,8,FALSE)</f>
        <v>-110.7377389</v>
      </c>
      <c r="H4313">
        <f t="shared" si="134"/>
        <v>3028.3</v>
      </c>
      <c r="I4313">
        <f t="shared" si="135"/>
        <v>1881.8</v>
      </c>
    </row>
    <row r="4314" spans="1:9" x14ac:dyDescent="0.25">
      <c r="A4314" s="5" t="s">
        <v>74</v>
      </c>
      <c r="B4314" s="5" t="s">
        <v>68</v>
      </c>
      <c r="C4314" s="5" t="s">
        <v>4791</v>
      </c>
      <c r="D4314" s="3">
        <f>VLOOKUP(A4314,airports!A:H,7,FALSE)</f>
        <v>40.777243060000004</v>
      </c>
      <c r="E4314" s="3">
        <f>VLOOKUP(A4314,airports!A:H,8,FALSE)</f>
        <v>-73.872609170000004</v>
      </c>
      <c r="F4314" s="3">
        <f>VLOOKUP(B4314,airports!A:H,7,FALSE)</f>
        <v>30.49405556</v>
      </c>
      <c r="G4314" s="3">
        <f>VLOOKUP(B4314,airports!A:H,8,FALSE)</f>
        <v>-81.68786111</v>
      </c>
      <c r="H4314">
        <f t="shared" si="134"/>
        <v>1342.6</v>
      </c>
      <c r="I4314">
        <f t="shared" si="135"/>
        <v>834.3</v>
      </c>
    </row>
    <row r="4315" spans="1:9" ht="30" x14ac:dyDescent="0.25">
      <c r="A4315" s="5" t="s">
        <v>74</v>
      </c>
      <c r="B4315" s="5" t="s">
        <v>73</v>
      </c>
      <c r="C4315" s="5" t="s">
        <v>4792</v>
      </c>
      <c r="D4315" s="3">
        <f>VLOOKUP(A4315,airports!A:H,7,FALSE)</f>
        <v>40.777243060000004</v>
      </c>
      <c r="E4315" s="3">
        <f>VLOOKUP(A4315,airports!A:H,8,FALSE)</f>
        <v>-73.872609170000004</v>
      </c>
      <c r="F4315" s="3">
        <f>VLOOKUP(B4315,airports!A:H,7,FALSE)</f>
        <v>33.942536109999999</v>
      </c>
      <c r="G4315" s="3">
        <f>VLOOKUP(B4315,airports!A:H,8,FALSE)</f>
        <v>-118.4080744</v>
      </c>
      <c r="H4315">
        <f t="shared" si="134"/>
        <v>3965.3</v>
      </c>
      <c r="I4315">
        <f t="shared" si="135"/>
        <v>2464.1</v>
      </c>
    </row>
    <row r="4316" spans="1:9" x14ac:dyDescent="0.25">
      <c r="A4316" s="5" t="s">
        <v>74</v>
      </c>
      <c r="B4316" s="5" t="s">
        <v>549</v>
      </c>
      <c r="C4316" s="5" t="s">
        <v>4793</v>
      </c>
      <c r="D4316" s="3">
        <f>VLOOKUP(A4316,airports!A:H,7,FALSE)</f>
        <v>40.777243060000004</v>
      </c>
      <c r="E4316" s="3">
        <f>VLOOKUP(A4316,airports!A:H,8,FALSE)</f>
        <v>-73.872609170000004</v>
      </c>
      <c r="F4316" s="3">
        <f>VLOOKUP(B4316,airports!A:H,7,FALSE)</f>
        <v>38.036972220000003</v>
      </c>
      <c r="G4316" s="3">
        <f>VLOOKUP(B4316,airports!A:H,8,FALSE)</f>
        <v>-84.60538889</v>
      </c>
      <c r="H4316">
        <f t="shared" si="134"/>
        <v>970.4</v>
      </c>
      <c r="I4316">
        <f t="shared" si="135"/>
        <v>603</v>
      </c>
    </row>
    <row r="4317" spans="1:9" ht="30" x14ac:dyDescent="0.25">
      <c r="A4317" s="5" t="s">
        <v>74</v>
      </c>
      <c r="B4317" s="5" t="s">
        <v>80</v>
      </c>
      <c r="C4317" s="5" t="s">
        <v>4794</v>
      </c>
      <c r="D4317" s="3">
        <f>VLOOKUP(A4317,airports!A:H,7,FALSE)</f>
        <v>40.777243060000004</v>
      </c>
      <c r="E4317" s="3">
        <f>VLOOKUP(A4317,airports!A:H,8,FALSE)</f>
        <v>-73.872609170000004</v>
      </c>
      <c r="F4317" s="3">
        <f>VLOOKUP(B4317,airports!A:H,7,FALSE)</f>
        <v>39.297605279999999</v>
      </c>
      <c r="G4317" s="3">
        <f>VLOOKUP(B4317,airports!A:H,8,FALSE)</f>
        <v>-94.713905560000001</v>
      </c>
      <c r="H4317">
        <f t="shared" si="134"/>
        <v>1777.7</v>
      </c>
      <c r="I4317">
        <f t="shared" si="135"/>
        <v>1104.7</v>
      </c>
    </row>
    <row r="4318" spans="1:9" ht="30" x14ac:dyDescent="0.25">
      <c r="A4318" s="5" t="s">
        <v>74</v>
      </c>
      <c r="B4318" s="5" t="s">
        <v>82</v>
      </c>
      <c r="C4318" s="5" t="s">
        <v>4795</v>
      </c>
      <c r="D4318" s="3">
        <f>VLOOKUP(A4318,airports!A:H,7,FALSE)</f>
        <v>40.777243060000004</v>
      </c>
      <c r="E4318" s="3">
        <f>VLOOKUP(A4318,airports!A:H,8,FALSE)</f>
        <v>-73.872609170000004</v>
      </c>
      <c r="F4318" s="3">
        <f>VLOOKUP(B4318,airports!A:H,7,FALSE)</f>
        <v>28.42888889</v>
      </c>
      <c r="G4318" s="3">
        <f>VLOOKUP(B4318,airports!A:H,8,FALSE)</f>
        <v>-81.316027779999999</v>
      </c>
      <c r="H4318">
        <f t="shared" si="134"/>
        <v>1531.3</v>
      </c>
      <c r="I4318">
        <f t="shared" si="135"/>
        <v>951.6</v>
      </c>
    </row>
    <row r="4319" spans="1:9" ht="30" x14ac:dyDescent="0.25">
      <c r="A4319" s="5" t="s">
        <v>74</v>
      </c>
      <c r="B4319" s="5" t="s">
        <v>180</v>
      </c>
      <c r="C4319" s="5" t="s">
        <v>4796</v>
      </c>
      <c r="D4319" s="3">
        <f>VLOOKUP(A4319,airports!A:H,7,FALSE)</f>
        <v>40.777243060000004</v>
      </c>
      <c r="E4319" s="3">
        <f>VLOOKUP(A4319,airports!A:H,8,FALSE)</f>
        <v>-73.872609170000004</v>
      </c>
      <c r="F4319" s="3">
        <f>VLOOKUP(B4319,airports!A:H,7,FALSE)</f>
        <v>41.785982500000003</v>
      </c>
      <c r="G4319" s="3">
        <f>VLOOKUP(B4319,airports!A:H,8,FALSE)</f>
        <v>-87.752424439999999</v>
      </c>
      <c r="H4319">
        <f t="shared" si="134"/>
        <v>1163.9000000000001</v>
      </c>
      <c r="I4319">
        <f t="shared" si="135"/>
        <v>723.3</v>
      </c>
    </row>
    <row r="4320" spans="1:9" ht="30" x14ac:dyDescent="0.25">
      <c r="A4320" s="5" t="s">
        <v>74</v>
      </c>
      <c r="B4320" s="5" t="s">
        <v>563</v>
      </c>
      <c r="C4320" s="5" t="s">
        <v>4797</v>
      </c>
      <c r="D4320" s="3">
        <f>VLOOKUP(A4320,airports!A:H,7,FALSE)</f>
        <v>40.777243060000004</v>
      </c>
      <c r="E4320" s="3">
        <f>VLOOKUP(A4320,airports!A:H,8,FALSE)</f>
        <v>-73.872609170000004</v>
      </c>
      <c r="F4320" s="3">
        <f>VLOOKUP(B4320,airports!A:H,7,FALSE)</f>
        <v>35.042416670000001</v>
      </c>
      <c r="G4320" s="3">
        <f>VLOOKUP(B4320,airports!A:H,8,FALSE)</f>
        <v>-89.97666667</v>
      </c>
      <c r="H4320">
        <f t="shared" si="134"/>
        <v>1546.9</v>
      </c>
      <c r="I4320">
        <f t="shared" si="135"/>
        <v>961.3</v>
      </c>
    </row>
    <row r="4321" spans="1:9" ht="30" x14ac:dyDescent="0.25">
      <c r="A4321" s="5" t="s">
        <v>74</v>
      </c>
      <c r="B4321" s="5" t="s">
        <v>567</v>
      </c>
      <c r="C4321" s="5" t="s">
        <v>4798</v>
      </c>
      <c r="D4321" s="3">
        <f>VLOOKUP(A4321,airports!A:H,7,FALSE)</f>
        <v>40.777243060000004</v>
      </c>
      <c r="E4321" s="3">
        <f>VLOOKUP(A4321,airports!A:H,8,FALSE)</f>
        <v>-73.872609170000004</v>
      </c>
      <c r="F4321" s="3">
        <f>VLOOKUP(B4321,airports!A:H,7,FALSE)</f>
        <v>42.934516389999999</v>
      </c>
      <c r="G4321" s="3">
        <f>VLOOKUP(B4321,airports!A:H,8,FALSE)</f>
        <v>-71.437055830000006</v>
      </c>
      <c r="H4321">
        <f t="shared" si="134"/>
        <v>313.39999999999998</v>
      </c>
      <c r="I4321">
        <f t="shared" si="135"/>
        <v>194.7</v>
      </c>
    </row>
    <row r="4322" spans="1:9" ht="30" x14ac:dyDescent="0.25">
      <c r="A4322" s="5" t="s">
        <v>74</v>
      </c>
      <c r="B4322" s="5" t="s">
        <v>84</v>
      </c>
      <c r="C4322" s="5" t="s">
        <v>4799</v>
      </c>
      <c r="D4322" s="3">
        <f>VLOOKUP(A4322,airports!A:H,7,FALSE)</f>
        <v>40.777243060000004</v>
      </c>
      <c r="E4322" s="3">
        <f>VLOOKUP(A4322,airports!A:H,8,FALSE)</f>
        <v>-73.872609170000004</v>
      </c>
      <c r="F4322" s="3">
        <f>VLOOKUP(B4322,airports!A:H,7,FALSE)</f>
        <v>25.79325</v>
      </c>
      <c r="G4322" s="3">
        <f>VLOOKUP(B4322,airports!A:H,8,FALSE)</f>
        <v>-80.290555560000001</v>
      </c>
      <c r="H4322">
        <f t="shared" si="134"/>
        <v>1768.4</v>
      </c>
      <c r="I4322">
        <f t="shared" si="135"/>
        <v>1098.9000000000001</v>
      </c>
    </row>
    <row r="4323" spans="1:9" ht="30" x14ac:dyDescent="0.25">
      <c r="A4323" s="5" t="s">
        <v>74</v>
      </c>
      <c r="B4323" s="5" t="s">
        <v>85</v>
      </c>
      <c r="C4323" s="5" t="s">
        <v>4800</v>
      </c>
      <c r="D4323" s="3">
        <f>VLOOKUP(A4323,airports!A:H,7,FALSE)</f>
        <v>40.777243060000004</v>
      </c>
      <c r="E4323" s="3">
        <f>VLOOKUP(A4323,airports!A:H,8,FALSE)</f>
        <v>-73.872609170000004</v>
      </c>
      <c r="F4323" s="3">
        <f>VLOOKUP(B4323,airports!A:H,7,FALSE)</f>
        <v>42.94722222</v>
      </c>
      <c r="G4323" s="3">
        <f>VLOOKUP(B4323,airports!A:H,8,FALSE)</f>
        <v>-87.896583329999999</v>
      </c>
      <c r="H4323">
        <f t="shared" si="134"/>
        <v>1184.7</v>
      </c>
      <c r="I4323">
        <f t="shared" si="135"/>
        <v>736.2</v>
      </c>
    </row>
    <row r="4324" spans="1:9" ht="30" x14ac:dyDescent="0.25">
      <c r="A4324" s="5" t="s">
        <v>74</v>
      </c>
      <c r="B4324" s="5" t="s">
        <v>579</v>
      </c>
      <c r="C4324" s="5" t="s">
        <v>4801</v>
      </c>
      <c r="D4324" s="3">
        <f>VLOOKUP(A4324,airports!A:H,7,FALSE)</f>
        <v>40.777243060000004</v>
      </c>
      <c r="E4324" s="3">
        <f>VLOOKUP(A4324,airports!A:H,8,FALSE)</f>
        <v>-73.872609170000004</v>
      </c>
      <c r="F4324" s="3">
        <f>VLOOKUP(B4324,airports!A:H,7,FALSE)</f>
        <v>43.13985778</v>
      </c>
      <c r="G4324" s="3">
        <f>VLOOKUP(B4324,airports!A:H,8,FALSE)</f>
        <v>-89.337513610000002</v>
      </c>
      <c r="H4324">
        <f t="shared" si="134"/>
        <v>1303.5</v>
      </c>
      <c r="I4324">
        <f t="shared" si="135"/>
        <v>810</v>
      </c>
    </row>
    <row r="4325" spans="1:9" ht="30" x14ac:dyDescent="0.25">
      <c r="A4325" s="5" t="s">
        <v>74</v>
      </c>
      <c r="B4325" s="5" t="s">
        <v>87</v>
      </c>
      <c r="C4325" s="5" t="s">
        <v>4802</v>
      </c>
      <c r="D4325" s="3">
        <f>VLOOKUP(A4325,airports!A:H,7,FALSE)</f>
        <v>40.777243060000004</v>
      </c>
      <c r="E4325" s="3">
        <f>VLOOKUP(A4325,airports!A:H,8,FALSE)</f>
        <v>-73.872609170000004</v>
      </c>
      <c r="F4325" s="3">
        <f>VLOOKUP(B4325,airports!A:H,7,FALSE)</f>
        <v>44.880546940000002</v>
      </c>
      <c r="G4325" s="3">
        <f>VLOOKUP(B4325,airports!A:H,8,FALSE)</f>
        <v>-93.216922499999995</v>
      </c>
      <c r="H4325">
        <f t="shared" si="134"/>
        <v>1637.7</v>
      </c>
      <c r="I4325">
        <f t="shared" si="135"/>
        <v>1017.7</v>
      </c>
    </row>
    <row r="4326" spans="1:9" ht="30" x14ac:dyDescent="0.25">
      <c r="A4326" s="5" t="s">
        <v>74</v>
      </c>
      <c r="B4326" s="5" t="s">
        <v>89</v>
      </c>
      <c r="C4326" s="5" t="s">
        <v>4803</v>
      </c>
      <c r="D4326" s="3">
        <f>VLOOKUP(A4326,airports!A:H,7,FALSE)</f>
        <v>40.777243060000004</v>
      </c>
      <c r="E4326" s="3">
        <f>VLOOKUP(A4326,airports!A:H,8,FALSE)</f>
        <v>-73.872609170000004</v>
      </c>
      <c r="F4326" s="3">
        <f>VLOOKUP(B4326,airports!A:H,7,FALSE)</f>
        <v>29.993388889999999</v>
      </c>
      <c r="G4326" s="3">
        <f>VLOOKUP(B4326,airports!A:H,8,FALSE)</f>
        <v>-90.258027780000006</v>
      </c>
      <c r="H4326">
        <f t="shared" si="134"/>
        <v>1903.4</v>
      </c>
      <c r="I4326">
        <f t="shared" si="135"/>
        <v>1182.8</v>
      </c>
    </row>
    <row r="4327" spans="1:9" ht="30" x14ac:dyDescent="0.25">
      <c r="A4327" s="5" t="s">
        <v>74</v>
      </c>
      <c r="B4327" s="5" t="s">
        <v>91</v>
      </c>
      <c r="C4327" s="5" t="s">
        <v>4804</v>
      </c>
      <c r="D4327" s="3">
        <f>VLOOKUP(A4327,airports!A:H,7,FALSE)</f>
        <v>40.777243060000004</v>
      </c>
      <c r="E4327" s="3">
        <f>VLOOKUP(A4327,airports!A:H,8,FALSE)</f>
        <v>-73.872609170000004</v>
      </c>
      <c r="F4327" s="3">
        <f>VLOOKUP(B4327,airports!A:H,7,FALSE)</f>
        <v>38.508867219999999</v>
      </c>
      <c r="G4327" s="3">
        <f>VLOOKUP(B4327,airports!A:H,8,FALSE)</f>
        <v>-107.8938333</v>
      </c>
      <c r="H4327">
        <f t="shared" si="134"/>
        <v>2905.7</v>
      </c>
      <c r="I4327">
        <f t="shared" si="135"/>
        <v>1805.6</v>
      </c>
    </row>
    <row r="4328" spans="1:9" ht="30" x14ac:dyDescent="0.25">
      <c r="A4328" s="5" t="s">
        <v>74</v>
      </c>
      <c r="B4328" s="5" t="s">
        <v>92</v>
      </c>
      <c r="C4328" s="5" t="s">
        <v>4805</v>
      </c>
      <c r="D4328" s="3">
        <f>VLOOKUP(A4328,airports!A:H,7,FALSE)</f>
        <v>40.777243060000004</v>
      </c>
      <c r="E4328" s="3">
        <f>VLOOKUP(A4328,airports!A:H,8,FALSE)</f>
        <v>-73.872609170000004</v>
      </c>
      <c r="F4328" s="3">
        <f>VLOOKUP(B4328,airports!A:H,7,FALSE)</f>
        <v>41.393025829999999</v>
      </c>
      <c r="G4328" s="3">
        <f>VLOOKUP(B4328,airports!A:H,8,FALSE)</f>
        <v>-70.614332500000003</v>
      </c>
      <c r="H4328">
        <f t="shared" si="134"/>
        <v>281.5</v>
      </c>
      <c r="I4328">
        <f t="shared" si="135"/>
        <v>174.9</v>
      </c>
    </row>
    <row r="4329" spans="1:9" ht="30" x14ac:dyDescent="0.25">
      <c r="A4329" s="5" t="s">
        <v>74</v>
      </c>
      <c r="B4329" s="5" t="s">
        <v>182</v>
      </c>
      <c r="C4329" s="5" t="s">
        <v>4806</v>
      </c>
      <c r="D4329" s="3">
        <f>VLOOKUP(A4329,airports!A:H,7,FALSE)</f>
        <v>40.777243060000004</v>
      </c>
      <c r="E4329" s="3">
        <f>VLOOKUP(A4329,airports!A:H,8,FALSE)</f>
        <v>-73.872609170000004</v>
      </c>
      <c r="F4329" s="3">
        <f>VLOOKUP(B4329,airports!A:H,7,FALSE)</f>
        <v>33.679749999999999</v>
      </c>
      <c r="G4329" s="3">
        <f>VLOOKUP(B4329,airports!A:H,8,FALSE)</f>
        <v>-78.928333330000001</v>
      </c>
      <c r="H4329">
        <f t="shared" si="134"/>
        <v>906.9</v>
      </c>
      <c r="I4329">
        <f t="shared" si="135"/>
        <v>563.6</v>
      </c>
    </row>
    <row r="4330" spans="1:9" ht="30" x14ac:dyDescent="0.25">
      <c r="A4330" s="5" t="s">
        <v>74</v>
      </c>
      <c r="B4330" s="5" t="s">
        <v>590</v>
      </c>
      <c r="C4330" s="5" t="s">
        <v>4807</v>
      </c>
      <c r="D4330" s="3">
        <f>VLOOKUP(A4330,airports!A:H,7,FALSE)</f>
        <v>40.777243060000004</v>
      </c>
      <c r="E4330" s="3">
        <f>VLOOKUP(A4330,airports!A:H,8,FALSE)</f>
        <v>-73.872609170000004</v>
      </c>
      <c r="F4330" s="3">
        <f>VLOOKUP(B4330,airports!A:H,7,FALSE)</f>
        <v>35.393088329999998</v>
      </c>
      <c r="G4330" s="3">
        <f>VLOOKUP(B4330,airports!A:H,8,FALSE)</f>
        <v>-97.600733890000001</v>
      </c>
      <c r="H4330">
        <f t="shared" si="134"/>
        <v>2153.6999999999998</v>
      </c>
      <c r="I4330">
        <f t="shared" si="135"/>
        <v>1338.3</v>
      </c>
    </row>
    <row r="4331" spans="1:9" ht="30" x14ac:dyDescent="0.25">
      <c r="A4331" s="5" t="s">
        <v>74</v>
      </c>
      <c r="B4331" s="5" t="s">
        <v>592</v>
      </c>
      <c r="C4331" s="5" t="s">
        <v>4808</v>
      </c>
      <c r="D4331" s="3">
        <f>VLOOKUP(A4331,airports!A:H,7,FALSE)</f>
        <v>40.777243060000004</v>
      </c>
      <c r="E4331" s="3">
        <f>VLOOKUP(A4331,airports!A:H,8,FALSE)</f>
        <v>-73.872609170000004</v>
      </c>
      <c r="F4331" s="3">
        <f>VLOOKUP(B4331,airports!A:H,7,FALSE)</f>
        <v>41.30251861</v>
      </c>
      <c r="G4331" s="3">
        <f>VLOOKUP(B4331,airports!A:H,8,FALSE)</f>
        <v>-95.89417306</v>
      </c>
      <c r="H4331">
        <f t="shared" si="134"/>
        <v>1842.9</v>
      </c>
      <c r="I4331">
        <f t="shared" si="135"/>
        <v>1145.2</v>
      </c>
    </row>
    <row r="4332" spans="1:9" ht="30" x14ac:dyDescent="0.25">
      <c r="A4332" s="5" t="s">
        <v>74</v>
      </c>
      <c r="B4332" s="5" t="s">
        <v>95</v>
      </c>
      <c r="C4332" s="5" t="s">
        <v>4809</v>
      </c>
      <c r="D4332" s="3">
        <f>VLOOKUP(A4332,airports!A:H,7,FALSE)</f>
        <v>40.777243060000004</v>
      </c>
      <c r="E4332" s="3">
        <f>VLOOKUP(A4332,airports!A:H,8,FALSE)</f>
        <v>-73.872609170000004</v>
      </c>
      <c r="F4332" s="3">
        <f>VLOOKUP(B4332,airports!A:H,7,FALSE)</f>
        <v>41.979595000000003</v>
      </c>
      <c r="G4332" s="3">
        <f>VLOOKUP(B4332,airports!A:H,8,FALSE)</f>
        <v>-87.904464169999997</v>
      </c>
      <c r="H4332">
        <f t="shared" si="134"/>
        <v>1177</v>
      </c>
      <c r="I4332">
        <f t="shared" si="135"/>
        <v>731.4</v>
      </c>
    </row>
    <row r="4333" spans="1:9" ht="30" x14ac:dyDescent="0.25">
      <c r="A4333" s="5" t="s">
        <v>74</v>
      </c>
      <c r="B4333" s="5" t="s">
        <v>596</v>
      </c>
      <c r="C4333" s="5" t="s">
        <v>4810</v>
      </c>
      <c r="D4333" s="3">
        <f>VLOOKUP(A4333,airports!A:H,7,FALSE)</f>
        <v>40.777243060000004</v>
      </c>
      <c r="E4333" s="3">
        <f>VLOOKUP(A4333,airports!A:H,8,FALSE)</f>
        <v>-73.872609170000004</v>
      </c>
      <c r="F4333" s="3">
        <f>VLOOKUP(B4333,airports!A:H,7,FALSE)</f>
        <v>36.89461111</v>
      </c>
      <c r="G4333" s="3">
        <f>VLOOKUP(B4333,airports!A:H,8,FALSE)</f>
        <v>-76.201222220000005</v>
      </c>
      <c r="H4333">
        <f t="shared" si="134"/>
        <v>476.5</v>
      </c>
      <c r="I4333">
        <f t="shared" si="135"/>
        <v>296.10000000000002</v>
      </c>
    </row>
    <row r="4334" spans="1:9" ht="30" x14ac:dyDescent="0.25">
      <c r="A4334" s="5" t="s">
        <v>74</v>
      </c>
      <c r="B4334" s="5" t="s">
        <v>97</v>
      </c>
      <c r="C4334" s="5" t="s">
        <v>4811</v>
      </c>
      <c r="D4334" s="3">
        <f>VLOOKUP(A4334,airports!A:H,7,FALSE)</f>
        <v>40.777243060000004</v>
      </c>
      <c r="E4334" s="3">
        <f>VLOOKUP(A4334,airports!A:H,8,FALSE)</f>
        <v>-73.872609170000004</v>
      </c>
      <c r="F4334" s="3">
        <f>VLOOKUP(B4334,airports!A:H,7,FALSE)</f>
        <v>42.267339440000001</v>
      </c>
      <c r="G4334" s="3">
        <f>VLOOKUP(B4334,airports!A:H,8,FALSE)</f>
        <v>-71.875709439999994</v>
      </c>
      <c r="H4334">
        <f t="shared" si="134"/>
        <v>234.7</v>
      </c>
      <c r="I4334">
        <f t="shared" si="135"/>
        <v>145.80000000000001</v>
      </c>
    </row>
    <row r="4335" spans="1:9" x14ac:dyDescent="0.25">
      <c r="A4335" s="5" t="s">
        <v>74</v>
      </c>
      <c r="B4335" s="5" t="s">
        <v>99</v>
      </c>
      <c r="C4335" s="5" t="s">
        <v>4812</v>
      </c>
      <c r="D4335" s="3">
        <f>VLOOKUP(A4335,airports!A:H,7,FALSE)</f>
        <v>40.777243060000004</v>
      </c>
      <c r="E4335" s="3">
        <f>VLOOKUP(A4335,airports!A:H,8,FALSE)</f>
        <v>-73.872609170000004</v>
      </c>
      <c r="F4335" s="3">
        <f>VLOOKUP(B4335,airports!A:H,7,FALSE)</f>
        <v>26.683161940000002</v>
      </c>
      <c r="G4335" s="3">
        <f>VLOOKUP(B4335,airports!A:H,8,FALSE)</f>
        <v>-80.095594169999998</v>
      </c>
      <c r="H4335">
        <f t="shared" si="134"/>
        <v>1668.3</v>
      </c>
      <c r="I4335">
        <f t="shared" si="135"/>
        <v>1036.7</v>
      </c>
    </row>
    <row r="4336" spans="1:9" ht="30" x14ac:dyDescent="0.25">
      <c r="A4336" s="5" t="s">
        <v>74</v>
      </c>
      <c r="B4336" s="5" t="s">
        <v>102</v>
      </c>
      <c r="C4336" s="5" t="s">
        <v>4813</v>
      </c>
      <c r="D4336" s="3">
        <f>VLOOKUP(A4336,airports!A:H,7,FALSE)</f>
        <v>40.777243060000004</v>
      </c>
      <c r="E4336" s="3">
        <f>VLOOKUP(A4336,airports!A:H,8,FALSE)</f>
        <v>-73.872609170000004</v>
      </c>
      <c r="F4336" s="3">
        <f>VLOOKUP(B4336,airports!A:H,7,FALSE)</f>
        <v>39.871952780000001</v>
      </c>
      <c r="G4336" s="3">
        <f>VLOOKUP(B4336,airports!A:H,8,FALSE)</f>
        <v>-75.241140830000006</v>
      </c>
      <c r="H4336">
        <f t="shared" si="134"/>
        <v>153.6</v>
      </c>
      <c r="I4336">
        <f t="shared" si="135"/>
        <v>95.4</v>
      </c>
    </row>
    <row r="4337" spans="1:9" ht="30" x14ac:dyDescent="0.25">
      <c r="A4337" s="5" t="s">
        <v>74</v>
      </c>
      <c r="B4337" s="5" t="s">
        <v>104</v>
      </c>
      <c r="C4337" s="5" t="s">
        <v>4814</v>
      </c>
      <c r="D4337" s="3">
        <f>VLOOKUP(A4337,airports!A:H,7,FALSE)</f>
        <v>40.777243060000004</v>
      </c>
      <c r="E4337" s="3">
        <f>VLOOKUP(A4337,airports!A:H,8,FALSE)</f>
        <v>-73.872609170000004</v>
      </c>
      <c r="F4337" s="3">
        <f>VLOOKUP(B4337,airports!A:H,7,FALSE)</f>
        <v>33.434166670000003</v>
      </c>
      <c r="G4337" s="3">
        <f>VLOOKUP(B4337,airports!A:H,8,FALSE)</f>
        <v>-112.00805560000001</v>
      </c>
      <c r="H4337">
        <f t="shared" si="134"/>
        <v>3450.2</v>
      </c>
      <c r="I4337">
        <f t="shared" si="135"/>
        <v>2144</v>
      </c>
    </row>
    <row r="4338" spans="1:9" x14ac:dyDescent="0.25">
      <c r="A4338" s="5" t="s">
        <v>74</v>
      </c>
      <c r="B4338" s="5" t="s">
        <v>106</v>
      </c>
      <c r="C4338" s="5" t="s">
        <v>4815</v>
      </c>
      <c r="D4338" s="3">
        <f>VLOOKUP(A4338,airports!A:H,7,FALSE)</f>
        <v>40.777243060000004</v>
      </c>
      <c r="E4338" s="3">
        <f>VLOOKUP(A4338,airports!A:H,8,FALSE)</f>
        <v>-73.872609170000004</v>
      </c>
      <c r="F4338" s="3">
        <f>VLOOKUP(B4338,airports!A:H,7,FALSE)</f>
        <v>40.491465830000003</v>
      </c>
      <c r="G4338" s="3">
        <f>VLOOKUP(B4338,airports!A:H,8,FALSE)</f>
        <v>-80.232870829999996</v>
      </c>
      <c r="H4338">
        <f t="shared" si="134"/>
        <v>537.5</v>
      </c>
      <c r="I4338">
        <f t="shared" si="135"/>
        <v>334</v>
      </c>
    </row>
    <row r="4339" spans="1:9" ht="30" x14ac:dyDescent="0.25">
      <c r="A4339" s="5" t="s">
        <v>74</v>
      </c>
      <c r="B4339" s="5" t="s">
        <v>607</v>
      </c>
      <c r="C4339" s="5" t="s">
        <v>4816</v>
      </c>
      <c r="D4339" s="3">
        <f>VLOOKUP(A4339,airports!A:H,7,FALSE)</f>
        <v>40.777243060000004</v>
      </c>
      <c r="E4339" s="3">
        <f>VLOOKUP(A4339,airports!A:H,8,FALSE)</f>
        <v>-73.872609170000004</v>
      </c>
      <c r="F4339" s="3">
        <f>VLOOKUP(B4339,airports!A:H,7,FALSE)</f>
        <v>30.47330556</v>
      </c>
      <c r="G4339" s="3">
        <f>VLOOKUP(B4339,airports!A:H,8,FALSE)</f>
        <v>-87.187444439999993</v>
      </c>
      <c r="H4339">
        <f t="shared" si="134"/>
        <v>1658</v>
      </c>
      <c r="I4339">
        <f t="shared" si="135"/>
        <v>1030.3</v>
      </c>
    </row>
    <row r="4340" spans="1:9" ht="30" x14ac:dyDescent="0.25">
      <c r="A4340" s="5" t="s">
        <v>74</v>
      </c>
      <c r="B4340" s="5" t="s">
        <v>114</v>
      </c>
      <c r="C4340" s="5" t="s">
        <v>4817</v>
      </c>
      <c r="D4340" s="3">
        <f>VLOOKUP(A4340,airports!A:H,7,FALSE)</f>
        <v>40.777243060000004</v>
      </c>
      <c r="E4340" s="3">
        <f>VLOOKUP(A4340,airports!A:H,8,FALSE)</f>
        <v>-73.872609170000004</v>
      </c>
      <c r="F4340" s="3">
        <f>VLOOKUP(B4340,airports!A:H,7,FALSE)</f>
        <v>41.723999169999999</v>
      </c>
      <c r="G4340" s="3">
        <f>VLOOKUP(B4340,airports!A:H,8,FALSE)</f>
        <v>-71.428221109999996</v>
      </c>
      <c r="H4340">
        <f t="shared" si="134"/>
        <v>229.9</v>
      </c>
      <c r="I4340">
        <f t="shared" si="135"/>
        <v>142.80000000000001</v>
      </c>
    </row>
    <row r="4341" spans="1:9" ht="30" x14ac:dyDescent="0.25">
      <c r="A4341" s="5" t="s">
        <v>74</v>
      </c>
      <c r="B4341" s="5" t="s">
        <v>117</v>
      </c>
      <c r="C4341" s="5" t="s">
        <v>4818</v>
      </c>
      <c r="D4341" s="3">
        <f>VLOOKUP(A4341,airports!A:H,7,FALSE)</f>
        <v>40.777243060000004</v>
      </c>
      <c r="E4341" s="3">
        <f>VLOOKUP(A4341,airports!A:H,8,FALSE)</f>
        <v>-73.872609170000004</v>
      </c>
      <c r="F4341" s="3">
        <f>VLOOKUP(B4341,airports!A:H,7,FALSE)</f>
        <v>43.646166669999999</v>
      </c>
      <c r="G4341" s="3">
        <f>VLOOKUP(B4341,airports!A:H,8,FALSE)</f>
        <v>-70.308750000000003</v>
      </c>
      <c r="H4341">
        <f t="shared" si="134"/>
        <v>433.4</v>
      </c>
      <c r="I4341">
        <f t="shared" si="135"/>
        <v>269.3</v>
      </c>
    </row>
    <row r="4342" spans="1:9" ht="30" x14ac:dyDescent="0.25">
      <c r="A4342" s="5" t="s">
        <v>74</v>
      </c>
      <c r="B4342" s="5" t="s">
        <v>612</v>
      </c>
      <c r="C4342" s="5" t="s">
        <v>4819</v>
      </c>
      <c r="D4342" s="3">
        <f>VLOOKUP(A4342,airports!A:H,7,FALSE)</f>
        <v>40.777243060000004</v>
      </c>
      <c r="E4342" s="3">
        <f>VLOOKUP(A4342,airports!A:H,8,FALSE)</f>
        <v>-73.872609170000004</v>
      </c>
      <c r="F4342" s="3">
        <f>VLOOKUP(B4342,airports!A:H,7,FALSE)</f>
        <v>44.045321389999998</v>
      </c>
      <c r="G4342" s="3">
        <f>VLOOKUP(B4342,airports!A:H,8,FALSE)</f>
        <v>-103.0573708</v>
      </c>
      <c r="H4342">
        <f t="shared" si="134"/>
        <v>2410.5</v>
      </c>
      <c r="I4342">
        <f t="shared" si="135"/>
        <v>1497.9</v>
      </c>
    </row>
    <row r="4343" spans="1:9" ht="30" x14ac:dyDescent="0.25">
      <c r="A4343" s="5" t="s">
        <v>74</v>
      </c>
      <c r="B4343" s="5" t="s">
        <v>119</v>
      </c>
      <c r="C4343" s="5" t="s">
        <v>4820</v>
      </c>
      <c r="D4343" s="3">
        <f>VLOOKUP(A4343,airports!A:H,7,FALSE)</f>
        <v>40.777243060000004</v>
      </c>
      <c r="E4343" s="3">
        <f>VLOOKUP(A4343,airports!A:H,8,FALSE)</f>
        <v>-73.872609170000004</v>
      </c>
      <c r="F4343" s="3">
        <f>VLOOKUP(B4343,airports!A:H,7,FALSE)</f>
        <v>35.87763889</v>
      </c>
      <c r="G4343" s="3">
        <f>VLOOKUP(B4343,airports!A:H,8,FALSE)</f>
        <v>-78.787472219999998</v>
      </c>
      <c r="H4343">
        <f t="shared" si="134"/>
        <v>693</v>
      </c>
      <c r="I4343">
        <f t="shared" si="135"/>
        <v>430.6</v>
      </c>
    </row>
    <row r="4344" spans="1:9" x14ac:dyDescent="0.25">
      <c r="A4344" s="5" t="s">
        <v>74</v>
      </c>
      <c r="B4344" s="5" t="s">
        <v>120</v>
      </c>
      <c r="C4344" s="5" t="s">
        <v>4821</v>
      </c>
      <c r="D4344" s="3">
        <f>VLOOKUP(A4344,airports!A:H,7,FALSE)</f>
        <v>40.777243060000004</v>
      </c>
      <c r="E4344" s="3">
        <f>VLOOKUP(A4344,airports!A:H,8,FALSE)</f>
        <v>-73.872609170000004</v>
      </c>
      <c r="F4344" s="3">
        <f>VLOOKUP(B4344,airports!A:H,7,FALSE)</f>
        <v>37.505166670000001</v>
      </c>
      <c r="G4344" s="3">
        <f>VLOOKUP(B4344,airports!A:H,8,FALSE)</f>
        <v>-77.319666670000004</v>
      </c>
      <c r="H4344">
        <f t="shared" si="134"/>
        <v>469.8</v>
      </c>
      <c r="I4344">
        <f t="shared" si="135"/>
        <v>291.89999999999998</v>
      </c>
    </row>
    <row r="4345" spans="1:9" ht="30" x14ac:dyDescent="0.25">
      <c r="A4345" s="5" t="s">
        <v>74</v>
      </c>
      <c r="B4345" s="5" t="s">
        <v>617</v>
      </c>
      <c r="C4345" s="5" t="s">
        <v>4822</v>
      </c>
      <c r="D4345" s="3">
        <f>VLOOKUP(A4345,airports!A:H,7,FALSE)</f>
        <v>40.777243060000004</v>
      </c>
      <c r="E4345" s="3">
        <f>VLOOKUP(A4345,airports!A:H,8,FALSE)</f>
        <v>-73.872609170000004</v>
      </c>
      <c r="F4345" s="3">
        <f>VLOOKUP(B4345,airports!A:H,7,FALSE)</f>
        <v>37.32546833</v>
      </c>
      <c r="G4345" s="3">
        <f>VLOOKUP(B4345,airports!A:H,8,FALSE)</f>
        <v>-79.97542833</v>
      </c>
      <c r="H4345">
        <f t="shared" si="134"/>
        <v>651.70000000000005</v>
      </c>
      <c r="I4345">
        <f t="shared" si="135"/>
        <v>405</v>
      </c>
    </row>
    <row r="4346" spans="1:9" ht="30" x14ac:dyDescent="0.25">
      <c r="A4346" s="5" t="s">
        <v>74</v>
      </c>
      <c r="B4346" s="5" t="s">
        <v>122</v>
      </c>
      <c r="C4346" s="5" t="s">
        <v>4823</v>
      </c>
      <c r="D4346" s="3">
        <f>VLOOKUP(A4346,airports!A:H,7,FALSE)</f>
        <v>40.777243060000004</v>
      </c>
      <c r="E4346" s="3">
        <f>VLOOKUP(A4346,airports!A:H,8,FALSE)</f>
        <v>-73.872609170000004</v>
      </c>
      <c r="F4346" s="3">
        <f>VLOOKUP(B4346,airports!A:H,7,FALSE)</f>
        <v>43.118866109999999</v>
      </c>
      <c r="G4346" s="3">
        <f>VLOOKUP(B4346,airports!A:H,8,FALSE)</f>
        <v>-77.672383890000006</v>
      </c>
      <c r="H4346">
        <f t="shared" si="134"/>
        <v>408</v>
      </c>
      <c r="I4346">
        <f t="shared" si="135"/>
        <v>253.6</v>
      </c>
    </row>
    <row r="4347" spans="1:9" ht="30" x14ac:dyDescent="0.25">
      <c r="A4347" s="5" t="s">
        <v>74</v>
      </c>
      <c r="B4347" s="5" t="s">
        <v>123</v>
      </c>
      <c r="C4347" s="5" t="s">
        <v>4824</v>
      </c>
      <c r="D4347" s="3">
        <f>VLOOKUP(A4347,airports!A:H,7,FALSE)</f>
        <v>40.777243060000004</v>
      </c>
      <c r="E4347" s="3">
        <f>VLOOKUP(A4347,airports!A:H,8,FALSE)</f>
        <v>-73.872609170000004</v>
      </c>
      <c r="F4347" s="3">
        <f>VLOOKUP(B4347,airports!A:H,7,FALSE)</f>
        <v>26.53616667</v>
      </c>
      <c r="G4347" s="3">
        <f>VLOOKUP(B4347,airports!A:H,8,FALSE)</f>
        <v>-81.755166669999994</v>
      </c>
      <c r="H4347">
        <f t="shared" si="134"/>
        <v>1741.6</v>
      </c>
      <c r="I4347">
        <f t="shared" si="135"/>
        <v>1082.3</v>
      </c>
    </row>
    <row r="4348" spans="1:9" ht="30" x14ac:dyDescent="0.25">
      <c r="A4348" s="5" t="s">
        <v>74</v>
      </c>
      <c r="B4348" s="5" t="s">
        <v>125</v>
      </c>
      <c r="C4348" s="5" t="s">
        <v>4825</v>
      </c>
      <c r="D4348" s="3">
        <f>VLOOKUP(A4348,airports!A:H,7,FALSE)</f>
        <v>40.777243060000004</v>
      </c>
      <c r="E4348" s="3">
        <f>VLOOKUP(A4348,airports!A:H,8,FALSE)</f>
        <v>-73.872609170000004</v>
      </c>
      <c r="F4348" s="3">
        <f>VLOOKUP(B4348,airports!A:H,7,FALSE)</f>
        <v>29.533694440000001</v>
      </c>
      <c r="G4348" s="3">
        <f>VLOOKUP(B4348,airports!A:H,8,FALSE)</f>
        <v>-98.469777780000001</v>
      </c>
      <c r="H4348">
        <f t="shared" si="134"/>
        <v>2549.1</v>
      </c>
      <c r="I4348">
        <f t="shared" si="135"/>
        <v>1584</v>
      </c>
    </row>
    <row r="4349" spans="1:9" ht="30" x14ac:dyDescent="0.25">
      <c r="A4349" s="5" t="s">
        <v>74</v>
      </c>
      <c r="B4349" s="5" t="s">
        <v>126</v>
      </c>
      <c r="C4349" s="5" t="s">
        <v>4826</v>
      </c>
      <c r="D4349" s="3">
        <f>VLOOKUP(A4349,airports!A:H,7,FALSE)</f>
        <v>40.777243060000004</v>
      </c>
      <c r="E4349" s="3">
        <f>VLOOKUP(A4349,airports!A:H,8,FALSE)</f>
        <v>-73.872609170000004</v>
      </c>
      <c r="F4349" s="3">
        <f>VLOOKUP(B4349,airports!A:H,7,FALSE)</f>
        <v>32.12758333</v>
      </c>
      <c r="G4349" s="3">
        <f>VLOOKUP(B4349,airports!A:H,8,FALSE)</f>
        <v>-81.202138890000001</v>
      </c>
      <c r="H4349">
        <f t="shared" si="134"/>
        <v>1162.9000000000001</v>
      </c>
      <c r="I4349">
        <f t="shared" si="135"/>
        <v>722.7</v>
      </c>
    </row>
    <row r="4350" spans="1:9" ht="30" x14ac:dyDescent="0.25">
      <c r="A4350" s="5" t="s">
        <v>74</v>
      </c>
      <c r="B4350" s="5" t="s">
        <v>626</v>
      </c>
      <c r="C4350" s="5" t="s">
        <v>4827</v>
      </c>
      <c r="D4350" s="3">
        <f>VLOOKUP(A4350,airports!A:H,7,FALSE)</f>
        <v>40.777243060000004</v>
      </c>
      <c r="E4350" s="3">
        <f>VLOOKUP(A4350,airports!A:H,8,FALSE)</f>
        <v>-73.872609170000004</v>
      </c>
      <c r="F4350" s="3">
        <f>VLOOKUP(B4350,airports!A:H,7,FALSE)</f>
        <v>41.708953610000002</v>
      </c>
      <c r="G4350" s="3">
        <f>VLOOKUP(B4350,airports!A:H,8,FALSE)</f>
        <v>-86.318474170000002</v>
      </c>
      <c r="H4350">
        <f t="shared" si="134"/>
        <v>1044.8</v>
      </c>
      <c r="I4350">
        <f t="shared" si="135"/>
        <v>649.29999999999995</v>
      </c>
    </row>
    <row r="4351" spans="1:9" ht="30" x14ac:dyDescent="0.25">
      <c r="A4351" s="5" t="s">
        <v>74</v>
      </c>
      <c r="B4351" s="5" t="s">
        <v>630</v>
      </c>
      <c r="C4351" s="5" t="s">
        <v>4828</v>
      </c>
      <c r="D4351" s="3">
        <f>VLOOKUP(A4351,airports!A:H,7,FALSE)</f>
        <v>40.777243060000004</v>
      </c>
      <c r="E4351" s="3">
        <f>VLOOKUP(A4351,airports!A:H,8,FALSE)</f>
        <v>-73.872609170000004</v>
      </c>
      <c r="F4351" s="3">
        <f>VLOOKUP(B4351,airports!A:H,7,FALSE)</f>
        <v>38.174388890000003</v>
      </c>
      <c r="G4351" s="3">
        <f>VLOOKUP(B4351,airports!A:H,8,FALSE)</f>
        <v>-85.736000000000004</v>
      </c>
      <c r="H4351">
        <f t="shared" si="134"/>
        <v>1057.5999999999999</v>
      </c>
      <c r="I4351">
        <f t="shared" si="135"/>
        <v>657.2</v>
      </c>
    </row>
    <row r="4352" spans="1:9" x14ac:dyDescent="0.25">
      <c r="A4352" s="5" t="s">
        <v>74</v>
      </c>
      <c r="B4352" s="5" t="s">
        <v>134</v>
      </c>
      <c r="C4352" s="5" t="s">
        <v>4829</v>
      </c>
      <c r="D4352" s="3">
        <f>VLOOKUP(A4352,airports!A:H,7,FALSE)</f>
        <v>40.777243060000004</v>
      </c>
      <c r="E4352" s="3">
        <f>VLOOKUP(A4352,airports!A:H,8,FALSE)</f>
        <v>-73.872609170000004</v>
      </c>
      <c r="F4352" s="3">
        <f>VLOOKUP(B4352,airports!A:H,7,FALSE)</f>
        <v>18.43941667</v>
      </c>
      <c r="G4352" s="3">
        <f>VLOOKUP(B4352,airports!A:H,8,FALSE)</f>
        <v>-66.001833329999997</v>
      </c>
      <c r="H4352">
        <f t="shared" si="134"/>
        <v>2594.9</v>
      </c>
      <c r="I4352">
        <f t="shared" si="135"/>
        <v>1612.5</v>
      </c>
    </row>
    <row r="4353" spans="1:9" ht="30" x14ac:dyDescent="0.25">
      <c r="A4353" s="5" t="s">
        <v>74</v>
      </c>
      <c r="B4353" s="5" t="s">
        <v>138</v>
      </c>
      <c r="C4353" s="5" t="s">
        <v>4830</v>
      </c>
      <c r="D4353" s="3">
        <f>VLOOKUP(A4353,airports!A:H,7,FALSE)</f>
        <v>40.777243060000004</v>
      </c>
      <c r="E4353" s="3">
        <f>VLOOKUP(A4353,airports!A:H,8,FALSE)</f>
        <v>-73.872609170000004</v>
      </c>
      <c r="F4353" s="3">
        <f>VLOOKUP(B4353,airports!A:H,7,FALSE)</f>
        <v>27.39533333</v>
      </c>
      <c r="G4353" s="3">
        <f>VLOOKUP(B4353,airports!A:H,8,FALSE)</f>
        <v>-82.554111109999994</v>
      </c>
      <c r="H4353">
        <f t="shared" si="134"/>
        <v>1687</v>
      </c>
      <c r="I4353">
        <f t="shared" si="135"/>
        <v>1048.3</v>
      </c>
    </row>
    <row r="4354" spans="1:9" x14ac:dyDescent="0.25">
      <c r="A4354" s="5" t="s">
        <v>74</v>
      </c>
      <c r="B4354" s="5" t="s">
        <v>644</v>
      </c>
      <c r="C4354" s="5" t="s">
        <v>4831</v>
      </c>
      <c r="D4354" s="3">
        <f>VLOOKUP(A4354,airports!A:H,7,FALSE)</f>
        <v>40.777243060000004</v>
      </c>
      <c r="E4354" s="3">
        <f>VLOOKUP(A4354,airports!A:H,8,FALSE)</f>
        <v>-73.872609170000004</v>
      </c>
      <c r="F4354" s="3">
        <f>VLOOKUP(B4354,airports!A:H,7,FALSE)</f>
        <v>38.747686940000001</v>
      </c>
      <c r="G4354" s="3">
        <f>VLOOKUP(B4354,airports!A:H,8,FALSE)</f>
        <v>-90.359989720000002</v>
      </c>
      <c r="H4354">
        <f t="shared" si="134"/>
        <v>1425</v>
      </c>
      <c r="I4354">
        <f t="shared" si="135"/>
        <v>885.5</v>
      </c>
    </row>
    <row r="4355" spans="1:9" x14ac:dyDescent="0.25">
      <c r="A4355" s="5" t="s">
        <v>74</v>
      </c>
      <c r="B4355" s="5" t="s">
        <v>144</v>
      </c>
      <c r="C4355" s="5" t="s">
        <v>4832</v>
      </c>
      <c r="D4355" s="3">
        <f>VLOOKUP(A4355,airports!A:H,7,FALSE)</f>
        <v>40.777243060000004</v>
      </c>
      <c r="E4355" s="3">
        <f>VLOOKUP(A4355,airports!A:H,8,FALSE)</f>
        <v>-73.872609170000004</v>
      </c>
      <c r="F4355" s="3">
        <f>VLOOKUP(B4355,airports!A:H,7,FALSE)</f>
        <v>43.111186940000003</v>
      </c>
      <c r="G4355" s="3">
        <f>VLOOKUP(B4355,airports!A:H,8,FALSE)</f>
        <v>-76.106310559999997</v>
      </c>
      <c r="H4355">
        <f t="shared" si="134"/>
        <v>318.5</v>
      </c>
      <c r="I4355">
        <f t="shared" si="135"/>
        <v>197.9</v>
      </c>
    </row>
    <row r="4356" spans="1:9" ht="30" x14ac:dyDescent="0.25">
      <c r="A4356" s="5" t="s">
        <v>74</v>
      </c>
      <c r="B4356" s="5" t="s">
        <v>145</v>
      </c>
      <c r="C4356" s="5" t="s">
        <v>4833</v>
      </c>
      <c r="D4356" s="3">
        <f>VLOOKUP(A4356,airports!A:H,7,FALSE)</f>
        <v>40.777243060000004</v>
      </c>
      <c r="E4356" s="3">
        <f>VLOOKUP(A4356,airports!A:H,8,FALSE)</f>
        <v>-73.872609170000004</v>
      </c>
      <c r="F4356" s="3">
        <f>VLOOKUP(B4356,airports!A:H,7,FALSE)</f>
        <v>27.97547222</v>
      </c>
      <c r="G4356" s="3">
        <f>VLOOKUP(B4356,airports!A:H,8,FALSE)</f>
        <v>-82.533249999999995</v>
      </c>
      <c r="H4356">
        <f t="shared" ref="H4356:H4419" si="136">ROUND(ACOS(COS(RADIANS(90-D4356)) * COS(RADIANS(90-F4356)) + SIN(RADIANS(90-D4356)) * SIN(RADIANS(90-F4356)) * COS(RADIANS(E4356-G4356))) * 6371,1)</f>
        <v>1628.3</v>
      </c>
      <c r="I4356">
        <f t="shared" ref="I4356:I4419" si="137">ROUND(ACOS(COS(RADIANS(90-D4356)) * COS(RADIANS(90-F4356)) + SIN(RADIANS(90-D4356)) * SIN(RADIANS(90-F4356)) * COS(RADIANS(E4356-G4356))) * 3959,1)</f>
        <v>1011.8</v>
      </c>
    </row>
    <row r="4357" spans="1:9" ht="30" x14ac:dyDescent="0.25">
      <c r="A4357" s="5" t="s">
        <v>74</v>
      </c>
      <c r="B4357" s="5" t="s">
        <v>662</v>
      </c>
      <c r="C4357" s="5" t="s">
        <v>4834</v>
      </c>
      <c r="D4357" s="3">
        <f>VLOOKUP(A4357,airports!A:H,7,FALSE)</f>
        <v>40.777243060000004</v>
      </c>
      <c r="E4357" s="3">
        <f>VLOOKUP(A4357,airports!A:H,8,FALSE)</f>
        <v>-73.872609170000004</v>
      </c>
      <c r="F4357" s="3">
        <f>VLOOKUP(B4357,airports!A:H,7,FALSE)</f>
        <v>44.741444719999997</v>
      </c>
      <c r="G4357" s="3">
        <f>VLOOKUP(B4357,airports!A:H,8,FALSE)</f>
        <v>-85.582234999999997</v>
      </c>
      <c r="H4357">
        <f t="shared" si="136"/>
        <v>1051.4000000000001</v>
      </c>
      <c r="I4357">
        <f t="shared" si="137"/>
        <v>653.29999999999995</v>
      </c>
    </row>
    <row r="4358" spans="1:9" x14ac:dyDescent="0.25">
      <c r="A4358" s="5" t="s">
        <v>74</v>
      </c>
      <c r="B4358" s="5" t="s">
        <v>664</v>
      </c>
      <c r="C4358" s="5" t="s">
        <v>4835</v>
      </c>
      <c r="D4358" s="3">
        <f>VLOOKUP(A4358,airports!A:H,7,FALSE)</f>
        <v>40.777243060000004</v>
      </c>
      <c r="E4358" s="3">
        <f>VLOOKUP(A4358,airports!A:H,8,FALSE)</f>
        <v>-73.872609170000004</v>
      </c>
      <c r="F4358" s="3">
        <f>VLOOKUP(B4358,airports!A:H,7,FALSE)</f>
        <v>35.812487220000001</v>
      </c>
      <c r="G4358" s="3">
        <f>VLOOKUP(B4358,airports!A:H,8,FALSE)</f>
        <v>-83.992855829999996</v>
      </c>
      <c r="H4358">
        <f t="shared" si="136"/>
        <v>1040.5</v>
      </c>
      <c r="I4358">
        <f t="shared" si="137"/>
        <v>646.6</v>
      </c>
    </row>
    <row r="4359" spans="1:9" ht="30" x14ac:dyDescent="0.25">
      <c r="A4359" s="5" t="s">
        <v>74</v>
      </c>
      <c r="B4359" s="5" t="s">
        <v>668</v>
      </c>
      <c r="C4359" s="5" t="s">
        <v>4836</v>
      </c>
      <c r="D4359" s="3">
        <f>VLOOKUP(A4359,airports!A:H,7,FALSE)</f>
        <v>40.777243060000004</v>
      </c>
      <c r="E4359" s="3">
        <f>VLOOKUP(A4359,airports!A:H,8,FALSE)</f>
        <v>-73.872609170000004</v>
      </c>
      <c r="F4359" s="3">
        <f>VLOOKUP(B4359,airports!A:H,7,FALSE)</f>
        <v>30.483250000000002</v>
      </c>
      <c r="G4359" s="3">
        <f>VLOOKUP(B4359,airports!A:H,8,FALSE)</f>
        <v>-86.525400000000005</v>
      </c>
      <c r="H4359">
        <f t="shared" si="136"/>
        <v>1614.7</v>
      </c>
      <c r="I4359">
        <f t="shared" si="137"/>
        <v>1003.4</v>
      </c>
    </row>
    <row r="4360" spans="1:9" ht="30" x14ac:dyDescent="0.25">
      <c r="A4360" s="5" t="s">
        <v>74</v>
      </c>
      <c r="B4360" s="5" t="s">
        <v>670</v>
      </c>
      <c r="C4360" s="5" t="s">
        <v>4837</v>
      </c>
      <c r="D4360" s="3">
        <f>VLOOKUP(A4360,airports!A:H,7,FALSE)</f>
        <v>40.777243060000004</v>
      </c>
      <c r="E4360" s="3">
        <f>VLOOKUP(A4360,airports!A:H,8,FALSE)</f>
        <v>-73.872609170000004</v>
      </c>
      <c r="F4360" s="3">
        <f>VLOOKUP(B4360,airports!A:H,7,FALSE)</f>
        <v>36.281869440000001</v>
      </c>
      <c r="G4360" s="3">
        <f>VLOOKUP(B4360,airports!A:H,8,FALSE)</f>
        <v>-94.306811109999998</v>
      </c>
      <c r="H4360">
        <f t="shared" si="136"/>
        <v>1841.6</v>
      </c>
      <c r="I4360">
        <f t="shared" si="137"/>
        <v>1144.4000000000001</v>
      </c>
    </row>
    <row r="4361" spans="1:9" ht="30" x14ac:dyDescent="0.25">
      <c r="A4361" s="5" t="s">
        <v>742</v>
      </c>
      <c r="B4361" s="5" t="s">
        <v>13</v>
      </c>
      <c r="C4361" s="5" t="s">
        <v>4838</v>
      </c>
      <c r="D4361" s="3">
        <f>VLOOKUP(A4361,airports!A:H,7,FALSE)</f>
        <v>33.81772222</v>
      </c>
      <c r="E4361" s="3">
        <f>VLOOKUP(A4361,airports!A:H,8,FALSE)</f>
        <v>-118.1516111</v>
      </c>
      <c r="F4361" s="3">
        <f>VLOOKUP(B4361,airports!A:H,7,FALSE)</f>
        <v>30.194532779999999</v>
      </c>
      <c r="G4361" s="3">
        <f>VLOOKUP(B4361,airports!A:H,8,FALSE)</f>
        <v>-97.669871939999993</v>
      </c>
      <c r="H4361">
        <f t="shared" si="136"/>
        <v>1969.3</v>
      </c>
      <c r="I4361">
        <f t="shared" si="137"/>
        <v>1223.7</v>
      </c>
    </row>
    <row r="4362" spans="1:9" ht="30" x14ac:dyDescent="0.25">
      <c r="A4362" s="5" t="s">
        <v>742</v>
      </c>
      <c r="B4362" s="5" t="s">
        <v>24</v>
      </c>
      <c r="C4362" s="5" t="s">
        <v>4839</v>
      </c>
      <c r="D4362" s="3">
        <f>VLOOKUP(A4362,airports!A:H,7,FALSE)</f>
        <v>33.81772222</v>
      </c>
      <c r="E4362" s="3">
        <f>VLOOKUP(A4362,airports!A:H,8,FALSE)</f>
        <v>-118.1516111</v>
      </c>
      <c r="F4362" s="3">
        <f>VLOOKUP(B4362,airports!A:H,7,FALSE)</f>
        <v>42.364347500000001</v>
      </c>
      <c r="G4362" s="3">
        <f>VLOOKUP(B4362,airports!A:H,8,FALSE)</f>
        <v>-71.005179170000005</v>
      </c>
      <c r="H4362">
        <f t="shared" si="136"/>
        <v>4178.3999999999996</v>
      </c>
      <c r="I4362">
        <f t="shared" si="137"/>
        <v>2596.5</v>
      </c>
    </row>
    <row r="4363" spans="1:9" ht="30" x14ac:dyDescent="0.25">
      <c r="A4363" s="5" t="s">
        <v>742</v>
      </c>
      <c r="B4363" s="5" t="s">
        <v>34</v>
      </c>
      <c r="C4363" s="5" t="s">
        <v>4840</v>
      </c>
      <c r="D4363" s="3">
        <f>VLOOKUP(A4363,airports!A:H,7,FALSE)</f>
        <v>33.81772222</v>
      </c>
      <c r="E4363" s="3">
        <f>VLOOKUP(A4363,airports!A:H,8,FALSE)</f>
        <v>-118.1516111</v>
      </c>
      <c r="F4363" s="3">
        <f>VLOOKUP(B4363,airports!A:H,7,FALSE)</f>
        <v>45.776901389999999</v>
      </c>
      <c r="G4363" s="3">
        <f>VLOOKUP(B4363,airports!A:H,8,FALSE)</f>
        <v>-111.1530072</v>
      </c>
      <c r="H4363">
        <f t="shared" si="136"/>
        <v>1456.6</v>
      </c>
      <c r="I4363">
        <f t="shared" si="137"/>
        <v>905.1</v>
      </c>
    </row>
    <row r="4364" spans="1:9" ht="30" x14ac:dyDescent="0.25">
      <c r="A4364" s="5" t="s">
        <v>742</v>
      </c>
      <c r="B4364" s="5" t="s">
        <v>201</v>
      </c>
      <c r="C4364" s="5" t="s">
        <v>4841</v>
      </c>
      <c r="D4364" s="3">
        <f>VLOOKUP(A4364,airports!A:H,7,FALSE)</f>
        <v>33.81772222</v>
      </c>
      <c r="E4364" s="3">
        <f>VLOOKUP(A4364,airports!A:H,8,FALSE)</f>
        <v>-118.1516111</v>
      </c>
      <c r="F4364" s="3">
        <f>VLOOKUP(B4364,airports!A:H,7,FALSE)</f>
        <v>32.847113890000003</v>
      </c>
      <c r="G4364" s="3">
        <f>VLOOKUP(B4364,airports!A:H,8,FALSE)</f>
        <v>-96.851772220000001</v>
      </c>
      <c r="H4364">
        <f t="shared" si="136"/>
        <v>1978.2</v>
      </c>
      <c r="I4364">
        <f t="shared" si="137"/>
        <v>1229.3</v>
      </c>
    </row>
    <row r="4365" spans="1:9" ht="30" x14ac:dyDescent="0.25">
      <c r="A4365" s="5" t="s">
        <v>742</v>
      </c>
      <c r="B4365" s="5" t="s">
        <v>47</v>
      </c>
      <c r="C4365" s="5" t="s">
        <v>4842</v>
      </c>
      <c r="D4365" s="3">
        <f>VLOOKUP(A4365,airports!A:H,7,FALSE)</f>
        <v>33.81772222</v>
      </c>
      <c r="E4365" s="3">
        <f>VLOOKUP(A4365,airports!A:H,8,FALSE)</f>
        <v>-118.1516111</v>
      </c>
      <c r="F4365" s="3">
        <f>VLOOKUP(B4365,airports!A:H,7,FALSE)</f>
        <v>39.858408060000002</v>
      </c>
      <c r="G4365" s="3">
        <f>VLOOKUP(B4365,airports!A:H,8,FALSE)</f>
        <v>-104.6670019</v>
      </c>
      <c r="H4365">
        <f t="shared" si="136"/>
        <v>1373.1</v>
      </c>
      <c r="I4365">
        <f t="shared" si="137"/>
        <v>853.2</v>
      </c>
    </row>
    <row r="4366" spans="1:9" ht="30" x14ac:dyDescent="0.25">
      <c r="A4366" s="5" t="s">
        <v>742</v>
      </c>
      <c r="B4366" s="5" t="s">
        <v>49</v>
      </c>
      <c r="C4366" s="5" t="s">
        <v>4843</v>
      </c>
      <c r="D4366" s="3">
        <f>VLOOKUP(A4366,airports!A:H,7,FALSE)</f>
        <v>33.81772222</v>
      </c>
      <c r="E4366" s="3">
        <f>VLOOKUP(A4366,airports!A:H,8,FALSE)</f>
        <v>-118.1516111</v>
      </c>
      <c r="F4366" s="3">
        <f>VLOOKUP(B4366,airports!A:H,7,FALSE)</f>
        <v>32.895950560000003</v>
      </c>
      <c r="G4366" s="3">
        <f>VLOOKUP(B4366,airports!A:H,8,FALSE)</f>
        <v>-97.037199999999999</v>
      </c>
      <c r="H4366">
        <f t="shared" si="136"/>
        <v>1960.3</v>
      </c>
      <c r="I4366">
        <f t="shared" si="137"/>
        <v>1218.0999999999999</v>
      </c>
    </row>
    <row r="4367" spans="1:9" x14ac:dyDescent="0.25">
      <c r="A4367" s="5" t="s">
        <v>742</v>
      </c>
      <c r="B4367" s="5" t="s">
        <v>57</v>
      </c>
      <c r="C4367" s="5" t="s">
        <v>4844</v>
      </c>
      <c r="D4367" s="3">
        <f>VLOOKUP(A4367,airports!A:H,7,FALSE)</f>
        <v>33.81772222</v>
      </c>
      <c r="E4367" s="3">
        <f>VLOOKUP(A4367,airports!A:H,8,FALSE)</f>
        <v>-118.1516111</v>
      </c>
      <c r="F4367" s="3">
        <f>VLOOKUP(B4367,airports!A:H,7,FALSE)</f>
        <v>26.072583330000001</v>
      </c>
      <c r="G4367" s="3">
        <f>VLOOKUP(B4367,airports!A:H,8,FALSE)</f>
        <v>-80.152749999999997</v>
      </c>
      <c r="H4367">
        <f t="shared" si="136"/>
        <v>3738.9</v>
      </c>
      <c r="I4367">
        <f t="shared" si="137"/>
        <v>2323.4</v>
      </c>
    </row>
    <row r="4368" spans="1:9" ht="30" x14ac:dyDescent="0.25">
      <c r="A4368" s="5" t="s">
        <v>742</v>
      </c>
      <c r="B4368" s="5" t="s">
        <v>64</v>
      </c>
      <c r="C4368" s="5" t="s">
        <v>4845</v>
      </c>
      <c r="D4368" s="3">
        <f>VLOOKUP(A4368,airports!A:H,7,FALSE)</f>
        <v>33.81772222</v>
      </c>
      <c r="E4368" s="3">
        <f>VLOOKUP(A4368,airports!A:H,8,FALSE)</f>
        <v>-118.1516111</v>
      </c>
      <c r="F4368" s="3">
        <f>VLOOKUP(B4368,airports!A:H,7,FALSE)</f>
        <v>40.481180279999997</v>
      </c>
      <c r="G4368" s="3">
        <f>VLOOKUP(B4368,airports!A:H,8,FALSE)</f>
        <v>-107.2176597</v>
      </c>
      <c r="H4368">
        <f t="shared" si="136"/>
        <v>1218.3</v>
      </c>
      <c r="I4368">
        <f t="shared" si="137"/>
        <v>757</v>
      </c>
    </row>
    <row r="4369" spans="1:9" ht="30" x14ac:dyDescent="0.25">
      <c r="A4369" s="5" t="s">
        <v>742</v>
      </c>
      <c r="B4369" s="5" t="s">
        <v>360</v>
      </c>
      <c r="C4369" s="5" t="s">
        <v>4846</v>
      </c>
      <c r="D4369" s="3">
        <f>VLOOKUP(A4369,airports!A:H,7,FALSE)</f>
        <v>33.81772222</v>
      </c>
      <c r="E4369" s="3">
        <f>VLOOKUP(A4369,airports!A:H,8,FALSE)</f>
        <v>-118.1516111</v>
      </c>
      <c r="F4369" s="3">
        <f>VLOOKUP(B4369,airports!A:H,7,FALSE)</f>
        <v>21.31869111</v>
      </c>
      <c r="G4369" s="3">
        <f>VLOOKUP(B4369,airports!A:H,8,FALSE)</f>
        <v>-157.92240720000001</v>
      </c>
      <c r="H4369">
        <f t="shared" si="136"/>
        <v>4129.3</v>
      </c>
      <c r="I4369">
        <f t="shared" si="137"/>
        <v>2566</v>
      </c>
    </row>
    <row r="4370" spans="1:9" ht="30" x14ac:dyDescent="0.25">
      <c r="A4370" s="5" t="s">
        <v>742</v>
      </c>
      <c r="B4370" s="5" t="s">
        <v>205</v>
      </c>
      <c r="C4370" s="5" t="s">
        <v>4847</v>
      </c>
      <c r="D4370" s="3">
        <f>VLOOKUP(A4370,airports!A:H,7,FALSE)</f>
        <v>33.81772222</v>
      </c>
      <c r="E4370" s="3">
        <f>VLOOKUP(A4370,airports!A:H,8,FALSE)</f>
        <v>-118.1516111</v>
      </c>
      <c r="F4370" s="3">
        <f>VLOOKUP(B4370,airports!A:H,7,FALSE)</f>
        <v>29.64541861</v>
      </c>
      <c r="G4370" s="3">
        <f>VLOOKUP(B4370,airports!A:H,8,FALSE)</f>
        <v>-95.278888890000005</v>
      </c>
      <c r="H4370">
        <f t="shared" si="136"/>
        <v>2207.4</v>
      </c>
      <c r="I4370">
        <f t="shared" si="137"/>
        <v>1371.7</v>
      </c>
    </row>
    <row r="4371" spans="1:9" x14ac:dyDescent="0.25">
      <c r="A4371" s="5" t="s">
        <v>742</v>
      </c>
      <c r="B4371" s="5" t="s">
        <v>69</v>
      </c>
      <c r="C4371" s="5" t="s">
        <v>4848</v>
      </c>
      <c r="D4371" s="3">
        <f>VLOOKUP(A4371,airports!A:H,7,FALSE)</f>
        <v>33.81772222</v>
      </c>
      <c r="E4371" s="3">
        <f>VLOOKUP(A4371,airports!A:H,8,FALSE)</f>
        <v>-118.1516111</v>
      </c>
      <c r="F4371" s="3">
        <f>VLOOKUP(B4371,airports!A:H,7,FALSE)</f>
        <v>40.639751109999999</v>
      </c>
      <c r="G4371" s="3">
        <f>VLOOKUP(B4371,airports!A:H,8,FALSE)</f>
        <v>-73.778925560000005</v>
      </c>
      <c r="H4371">
        <f t="shared" si="136"/>
        <v>3958.3</v>
      </c>
      <c r="I4371">
        <f t="shared" si="137"/>
        <v>2459.6999999999998</v>
      </c>
    </row>
    <row r="4372" spans="1:9" x14ac:dyDescent="0.25">
      <c r="A4372" s="5" t="s">
        <v>742</v>
      </c>
      <c r="B4372" s="5" t="s">
        <v>71</v>
      </c>
      <c r="C4372" s="5" t="s">
        <v>4849</v>
      </c>
      <c r="D4372" s="3">
        <f>VLOOKUP(A4372,airports!A:H,7,FALSE)</f>
        <v>33.81772222</v>
      </c>
      <c r="E4372" s="3">
        <f>VLOOKUP(A4372,airports!A:H,8,FALSE)</f>
        <v>-118.1516111</v>
      </c>
      <c r="F4372" s="3">
        <f>VLOOKUP(B4372,airports!A:H,7,FALSE)</f>
        <v>36.080361109999998</v>
      </c>
      <c r="G4372" s="3">
        <f>VLOOKUP(B4372,airports!A:H,8,FALSE)</f>
        <v>-115.1523333</v>
      </c>
      <c r="H4372">
        <f t="shared" si="136"/>
        <v>371.5</v>
      </c>
      <c r="I4372">
        <f t="shared" si="137"/>
        <v>230.8</v>
      </c>
    </row>
    <row r="4373" spans="1:9" ht="30" x14ac:dyDescent="0.25">
      <c r="A4373" s="5" t="s">
        <v>742</v>
      </c>
      <c r="B4373" s="5" t="s">
        <v>180</v>
      </c>
      <c r="C4373" s="5" t="s">
        <v>4850</v>
      </c>
      <c r="D4373" s="3">
        <f>VLOOKUP(A4373,airports!A:H,7,FALSE)</f>
        <v>33.81772222</v>
      </c>
      <c r="E4373" s="3">
        <f>VLOOKUP(A4373,airports!A:H,8,FALSE)</f>
        <v>-118.1516111</v>
      </c>
      <c r="F4373" s="3">
        <f>VLOOKUP(B4373,airports!A:H,7,FALSE)</f>
        <v>41.785982500000003</v>
      </c>
      <c r="G4373" s="3">
        <f>VLOOKUP(B4373,airports!A:H,8,FALSE)</f>
        <v>-87.752424439999999</v>
      </c>
      <c r="H4373">
        <f t="shared" si="136"/>
        <v>2796.8</v>
      </c>
      <c r="I4373">
        <f t="shared" si="137"/>
        <v>1738</v>
      </c>
    </row>
    <row r="4374" spans="1:9" ht="30" x14ac:dyDescent="0.25">
      <c r="A4374" s="5" t="s">
        <v>742</v>
      </c>
      <c r="B4374" s="5" t="s">
        <v>215</v>
      </c>
      <c r="C4374" s="5" t="s">
        <v>4851</v>
      </c>
      <c r="D4374" s="3">
        <f>VLOOKUP(A4374,airports!A:H,7,FALSE)</f>
        <v>33.81772222</v>
      </c>
      <c r="E4374" s="3">
        <f>VLOOKUP(A4374,airports!A:H,8,FALSE)</f>
        <v>-118.1516111</v>
      </c>
      <c r="F4374" s="3">
        <f>VLOOKUP(B4374,airports!A:H,7,FALSE)</f>
        <v>37.721290830000001</v>
      </c>
      <c r="G4374" s="3">
        <f>VLOOKUP(B4374,airports!A:H,8,FALSE)</f>
        <v>-122.2207167</v>
      </c>
      <c r="H4374">
        <f t="shared" si="136"/>
        <v>568.4</v>
      </c>
      <c r="I4374">
        <f t="shared" si="137"/>
        <v>353.2</v>
      </c>
    </row>
    <row r="4375" spans="1:9" ht="30" x14ac:dyDescent="0.25">
      <c r="A4375" s="5" t="s">
        <v>742</v>
      </c>
      <c r="B4375" s="5" t="s">
        <v>371</v>
      </c>
      <c r="C4375" s="5" t="s">
        <v>4852</v>
      </c>
      <c r="D4375" s="3">
        <f>VLOOKUP(A4375,airports!A:H,7,FALSE)</f>
        <v>33.81772222</v>
      </c>
      <c r="E4375" s="3">
        <f>VLOOKUP(A4375,airports!A:H,8,FALSE)</f>
        <v>-118.1516111</v>
      </c>
      <c r="F4375" s="3">
        <f>VLOOKUP(B4375,airports!A:H,7,FALSE)</f>
        <v>20.898649720000002</v>
      </c>
      <c r="G4375" s="3">
        <f>VLOOKUP(B4375,airports!A:H,8,FALSE)</f>
        <v>-156.4304578</v>
      </c>
      <c r="H4375">
        <f t="shared" si="136"/>
        <v>4016</v>
      </c>
      <c r="I4375">
        <f t="shared" si="137"/>
        <v>2495.6</v>
      </c>
    </row>
    <row r="4376" spans="1:9" ht="30" x14ac:dyDescent="0.25">
      <c r="A4376" s="5" t="s">
        <v>742</v>
      </c>
      <c r="B4376" s="5" t="s">
        <v>100</v>
      </c>
      <c r="C4376" s="5" t="s">
        <v>4853</v>
      </c>
      <c r="D4376" s="3">
        <f>VLOOKUP(A4376,airports!A:H,7,FALSE)</f>
        <v>33.81772222</v>
      </c>
      <c r="E4376" s="3">
        <f>VLOOKUP(A4376,airports!A:H,8,FALSE)</f>
        <v>-118.1516111</v>
      </c>
      <c r="F4376" s="3">
        <f>VLOOKUP(B4376,airports!A:H,7,FALSE)</f>
        <v>45.588722220000001</v>
      </c>
      <c r="G4376" s="3">
        <f>VLOOKUP(B4376,airports!A:H,8,FALSE)</f>
        <v>-122.5975</v>
      </c>
      <c r="H4376">
        <f t="shared" si="136"/>
        <v>1362.4</v>
      </c>
      <c r="I4376">
        <f t="shared" si="137"/>
        <v>846.6</v>
      </c>
    </row>
    <row r="4377" spans="1:9" ht="30" x14ac:dyDescent="0.25">
      <c r="A4377" s="5" t="s">
        <v>742</v>
      </c>
      <c r="B4377" s="5" t="s">
        <v>104</v>
      </c>
      <c r="C4377" s="5" t="s">
        <v>4854</v>
      </c>
      <c r="D4377" s="3">
        <f>VLOOKUP(A4377,airports!A:H,7,FALSE)</f>
        <v>33.81772222</v>
      </c>
      <c r="E4377" s="3">
        <f>VLOOKUP(A4377,airports!A:H,8,FALSE)</f>
        <v>-118.1516111</v>
      </c>
      <c r="F4377" s="3">
        <f>VLOOKUP(B4377,airports!A:H,7,FALSE)</f>
        <v>33.434166670000003</v>
      </c>
      <c r="G4377" s="3">
        <f>VLOOKUP(B4377,airports!A:H,8,FALSE)</f>
        <v>-112.00805560000001</v>
      </c>
      <c r="H4377">
        <f t="shared" si="136"/>
        <v>570.29999999999995</v>
      </c>
      <c r="I4377">
        <f t="shared" si="137"/>
        <v>354.4</v>
      </c>
    </row>
    <row r="4378" spans="1:9" x14ac:dyDescent="0.25">
      <c r="A4378" s="5" t="s">
        <v>742</v>
      </c>
      <c r="B4378" s="5" t="s">
        <v>111</v>
      </c>
      <c r="C4378" s="5" t="s">
        <v>4855</v>
      </c>
      <c r="D4378" s="3">
        <f>VLOOKUP(A4378,airports!A:H,7,FALSE)</f>
        <v>33.81772222</v>
      </c>
      <c r="E4378" s="3">
        <f>VLOOKUP(A4378,airports!A:H,8,FALSE)</f>
        <v>-118.1516111</v>
      </c>
      <c r="F4378" s="3">
        <f>VLOOKUP(B4378,airports!A:H,7,FALSE)</f>
        <v>33.829215560000002</v>
      </c>
      <c r="G4378" s="3">
        <f>VLOOKUP(B4378,airports!A:H,8,FALSE)</f>
        <v>-116.5062531</v>
      </c>
      <c r="H4378">
        <f t="shared" si="136"/>
        <v>152</v>
      </c>
      <c r="I4378">
        <f t="shared" si="137"/>
        <v>94.5</v>
      </c>
    </row>
    <row r="4379" spans="1:9" ht="30" x14ac:dyDescent="0.25">
      <c r="A4379" s="5" t="s">
        <v>742</v>
      </c>
      <c r="B4379" s="5" t="s">
        <v>121</v>
      </c>
      <c r="C4379" s="5" t="s">
        <v>4856</v>
      </c>
      <c r="D4379" s="3">
        <f>VLOOKUP(A4379,airports!A:H,7,FALSE)</f>
        <v>33.81772222</v>
      </c>
      <c r="E4379" s="3">
        <f>VLOOKUP(A4379,airports!A:H,8,FALSE)</f>
        <v>-118.1516111</v>
      </c>
      <c r="F4379" s="3">
        <f>VLOOKUP(B4379,airports!A:H,7,FALSE)</f>
        <v>39.498576110000002</v>
      </c>
      <c r="G4379" s="3">
        <f>VLOOKUP(B4379,airports!A:H,8,FALSE)</f>
        <v>-119.7680647</v>
      </c>
      <c r="H4379">
        <f t="shared" si="136"/>
        <v>647.9</v>
      </c>
      <c r="I4379">
        <f t="shared" si="137"/>
        <v>402.6</v>
      </c>
    </row>
    <row r="4380" spans="1:9" x14ac:dyDescent="0.25">
      <c r="A4380" s="5" t="s">
        <v>742</v>
      </c>
      <c r="B4380" s="5" t="s">
        <v>128</v>
      </c>
      <c r="C4380" s="5" t="s">
        <v>4857</v>
      </c>
      <c r="D4380" s="3">
        <f>VLOOKUP(A4380,airports!A:H,7,FALSE)</f>
        <v>33.81772222</v>
      </c>
      <c r="E4380" s="3">
        <f>VLOOKUP(A4380,airports!A:H,8,FALSE)</f>
        <v>-118.1516111</v>
      </c>
      <c r="F4380" s="3">
        <f>VLOOKUP(B4380,airports!A:H,7,FALSE)</f>
        <v>47.448981940000003</v>
      </c>
      <c r="G4380" s="3">
        <f>VLOOKUP(B4380,airports!A:H,8,FALSE)</f>
        <v>-122.3093131</v>
      </c>
      <c r="H4380">
        <f t="shared" si="136"/>
        <v>1555.2</v>
      </c>
      <c r="I4380">
        <f t="shared" si="137"/>
        <v>966.4</v>
      </c>
    </row>
    <row r="4381" spans="1:9" ht="30" x14ac:dyDescent="0.25">
      <c r="A4381" s="5" t="s">
        <v>742</v>
      </c>
      <c r="B4381" s="5" t="s">
        <v>130</v>
      </c>
      <c r="C4381" s="5" t="s">
        <v>4858</v>
      </c>
      <c r="D4381" s="3">
        <f>VLOOKUP(A4381,airports!A:H,7,FALSE)</f>
        <v>33.81772222</v>
      </c>
      <c r="E4381" s="3">
        <f>VLOOKUP(A4381,airports!A:H,8,FALSE)</f>
        <v>-118.1516111</v>
      </c>
      <c r="F4381" s="3">
        <f>VLOOKUP(B4381,airports!A:H,7,FALSE)</f>
        <v>37.619001939999997</v>
      </c>
      <c r="G4381" s="3">
        <f>VLOOKUP(B4381,airports!A:H,8,FALSE)</f>
        <v>-122.37484329999999</v>
      </c>
      <c r="H4381">
        <f t="shared" si="136"/>
        <v>569.1</v>
      </c>
      <c r="I4381">
        <f t="shared" si="137"/>
        <v>353.6</v>
      </c>
    </row>
    <row r="4382" spans="1:9" x14ac:dyDescent="0.25">
      <c r="A4382" s="5" t="s">
        <v>742</v>
      </c>
      <c r="B4382" s="5" t="s">
        <v>131</v>
      </c>
      <c r="C4382" s="5" t="s">
        <v>4859</v>
      </c>
      <c r="D4382" s="3">
        <f>VLOOKUP(A4382,airports!A:H,7,FALSE)</f>
        <v>33.81772222</v>
      </c>
      <c r="E4382" s="3">
        <f>VLOOKUP(A4382,airports!A:H,8,FALSE)</f>
        <v>-118.1516111</v>
      </c>
      <c r="F4382" s="3">
        <f>VLOOKUP(B4382,airports!A:H,7,FALSE)</f>
        <v>37.361861939999997</v>
      </c>
      <c r="G4382" s="3">
        <f>VLOOKUP(B4382,airports!A:H,8,FALSE)</f>
        <v>-121.9290089</v>
      </c>
      <c r="H4382">
        <f t="shared" si="136"/>
        <v>521.4</v>
      </c>
      <c r="I4382">
        <f t="shared" si="137"/>
        <v>324</v>
      </c>
    </row>
    <row r="4383" spans="1:9" x14ac:dyDescent="0.25">
      <c r="A4383" s="5" t="s">
        <v>742</v>
      </c>
      <c r="B4383" s="5" t="s">
        <v>135</v>
      </c>
      <c r="C4383" s="5" t="s">
        <v>4860</v>
      </c>
      <c r="D4383" s="3">
        <f>VLOOKUP(A4383,airports!A:H,7,FALSE)</f>
        <v>33.81772222</v>
      </c>
      <c r="E4383" s="3">
        <f>VLOOKUP(A4383,airports!A:H,8,FALSE)</f>
        <v>-118.1516111</v>
      </c>
      <c r="F4383" s="3">
        <f>VLOOKUP(B4383,airports!A:H,7,FALSE)</f>
        <v>40.788387780000001</v>
      </c>
      <c r="G4383" s="3">
        <f>VLOOKUP(B4383,airports!A:H,8,FALSE)</f>
        <v>-111.97777309999999</v>
      </c>
      <c r="H4383">
        <f t="shared" si="136"/>
        <v>947.6</v>
      </c>
      <c r="I4383">
        <f t="shared" si="137"/>
        <v>588.79999999999995</v>
      </c>
    </row>
    <row r="4384" spans="1:9" ht="30" x14ac:dyDescent="0.25">
      <c r="A4384" s="5" t="s">
        <v>742</v>
      </c>
      <c r="B4384" s="5" t="s">
        <v>137</v>
      </c>
      <c r="C4384" s="5" t="s">
        <v>4861</v>
      </c>
      <c r="D4384" s="3">
        <f>VLOOKUP(A4384,airports!A:H,7,FALSE)</f>
        <v>33.81772222</v>
      </c>
      <c r="E4384" s="3">
        <f>VLOOKUP(A4384,airports!A:H,8,FALSE)</f>
        <v>-118.1516111</v>
      </c>
      <c r="F4384" s="3">
        <f>VLOOKUP(B4384,airports!A:H,7,FALSE)</f>
        <v>38.695421670000002</v>
      </c>
      <c r="G4384" s="3">
        <f>VLOOKUP(B4384,airports!A:H,8,FALSE)</f>
        <v>-121.59076690000001</v>
      </c>
      <c r="H4384">
        <f t="shared" si="136"/>
        <v>623.79999999999995</v>
      </c>
      <c r="I4384">
        <f t="shared" si="137"/>
        <v>387.6</v>
      </c>
    </row>
    <row r="4385" spans="1:9" x14ac:dyDescent="0.25">
      <c r="A4385" s="5" t="s">
        <v>742</v>
      </c>
      <c r="B4385" s="5" t="s">
        <v>644</v>
      </c>
      <c r="C4385" s="5" t="s">
        <v>4862</v>
      </c>
      <c r="D4385" s="3">
        <f>VLOOKUP(A4385,airports!A:H,7,FALSE)</f>
        <v>33.81772222</v>
      </c>
      <c r="E4385" s="3">
        <f>VLOOKUP(A4385,airports!A:H,8,FALSE)</f>
        <v>-118.1516111</v>
      </c>
      <c r="F4385" s="3">
        <f>VLOOKUP(B4385,airports!A:H,7,FALSE)</f>
        <v>38.747686940000001</v>
      </c>
      <c r="G4385" s="3">
        <f>VLOOKUP(B4385,airports!A:H,8,FALSE)</f>
        <v>-90.359989720000002</v>
      </c>
      <c r="H4385">
        <f t="shared" si="136"/>
        <v>2540.3000000000002</v>
      </c>
      <c r="I4385">
        <f t="shared" si="137"/>
        <v>1578.5</v>
      </c>
    </row>
    <row r="4386" spans="1:9" x14ac:dyDescent="0.25">
      <c r="A4386" s="5" t="s">
        <v>2421</v>
      </c>
      <c r="B4386" s="5" t="s">
        <v>47</v>
      </c>
      <c r="C4386" s="5" t="s">
        <v>4863</v>
      </c>
      <c r="D4386" s="3">
        <f>VLOOKUP(A4386,airports!A:H,7,FALSE)</f>
        <v>21.975983060000001</v>
      </c>
      <c r="E4386" s="3">
        <f>VLOOKUP(A4386,airports!A:H,8,FALSE)</f>
        <v>-159.33895810000001</v>
      </c>
      <c r="F4386" s="3">
        <f>VLOOKUP(B4386,airports!A:H,7,FALSE)</f>
        <v>39.858408060000002</v>
      </c>
      <c r="G4386" s="3">
        <f>VLOOKUP(B4386,airports!A:H,8,FALSE)</f>
        <v>-104.6670019</v>
      </c>
      <c r="H4386">
        <f t="shared" si="136"/>
        <v>5487.2</v>
      </c>
      <c r="I4386">
        <f t="shared" si="137"/>
        <v>3409.8</v>
      </c>
    </row>
    <row r="4387" spans="1:9" ht="30" x14ac:dyDescent="0.25">
      <c r="A4387" s="5" t="s">
        <v>2421</v>
      </c>
      <c r="B4387" s="5" t="s">
        <v>49</v>
      </c>
      <c r="C4387" s="5" t="s">
        <v>4864</v>
      </c>
      <c r="D4387" s="3">
        <f>VLOOKUP(A4387,airports!A:H,7,FALSE)</f>
        <v>21.975983060000001</v>
      </c>
      <c r="E4387" s="3">
        <f>VLOOKUP(A4387,airports!A:H,8,FALSE)</f>
        <v>-159.33895810000001</v>
      </c>
      <c r="F4387" s="3">
        <f>VLOOKUP(B4387,airports!A:H,7,FALSE)</f>
        <v>32.895950560000003</v>
      </c>
      <c r="G4387" s="3">
        <f>VLOOKUP(B4387,airports!A:H,8,FALSE)</f>
        <v>-97.037199999999999</v>
      </c>
      <c r="H4387">
        <f t="shared" si="136"/>
        <v>6180.9</v>
      </c>
      <c r="I4387">
        <f t="shared" si="137"/>
        <v>3840.8</v>
      </c>
    </row>
    <row r="4388" spans="1:9" x14ac:dyDescent="0.25">
      <c r="A4388" s="5" t="s">
        <v>2421</v>
      </c>
      <c r="B4388" s="5" t="s">
        <v>360</v>
      </c>
      <c r="C4388" s="5" t="s">
        <v>4865</v>
      </c>
      <c r="D4388" s="3">
        <f>VLOOKUP(A4388,airports!A:H,7,FALSE)</f>
        <v>21.975983060000001</v>
      </c>
      <c r="E4388" s="3">
        <f>VLOOKUP(A4388,airports!A:H,8,FALSE)</f>
        <v>-159.33895810000001</v>
      </c>
      <c r="F4388" s="3">
        <f>VLOOKUP(B4388,airports!A:H,7,FALSE)</f>
        <v>21.31869111</v>
      </c>
      <c r="G4388" s="3">
        <f>VLOOKUP(B4388,airports!A:H,8,FALSE)</f>
        <v>-157.92240720000001</v>
      </c>
      <c r="H4388">
        <f t="shared" si="136"/>
        <v>163.6</v>
      </c>
      <c r="I4388">
        <f t="shared" si="137"/>
        <v>101.7</v>
      </c>
    </row>
    <row r="4389" spans="1:9" x14ac:dyDescent="0.25">
      <c r="A4389" s="5" t="s">
        <v>2421</v>
      </c>
      <c r="B4389" s="5" t="s">
        <v>366</v>
      </c>
      <c r="C4389" s="5" t="s">
        <v>4866</v>
      </c>
      <c r="D4389" s="3">
        <f>VLOOKUP(A4389,airports!A:H,7,FALSE)</f>
        <v>21.975983060000001</v>
      </c>
      <c r="E4389" s="3">
        <f>VLOOKUP(A4389,airports!A:H,8,FALSE)</f>
        <v>-159.33895810000001</v>
      </c>
      <c r="F4389" s="3">
        <f>VLOOKUP(B4389,airports!A:H,7,FALSE)</f>
        <v>19.738765829999998</v>
      </c>
      <c r="G4389" s="3">
        <f>VLOOKUP(B4389,airports!A:H,8,FALSE)</f>
        <v>-156.04563139999999</v>
      </c>
      <c r="H4389">
        <f t="shared" si="136"/>
        <v>423</v>
      </c>
      <c r="I4389">
        <f t="shared" si="137"/>
        <v>262.89999999999998</v>
      </c>
    </row>
    <row r="4390" spans="1:9" x14ac:dyDescent="0.25">
      <c r="A4390" s="5" t="s">
        <v>2421</v>
      </c>
      <c r="B4390" s="5" t="s">
        <v>71</v>
      </c>
      <c r="C4390" s="5" t="s">
        <v>4867</v>
      </c>
      <c r="D4390" s="3">
        <f>VLOOKUP(A4390,airports!A:H,7,FALSE)</f>
        <v>21.975983060000001</v>
      </c>
      <c r="E4390" s="3">
        <f>VLOOKUP(A4390,airports!A:H,8,FALSE)</f>
        <v>-159.33895810000001</v>
      </c>
      <c r="F4390" s="3">
        <f>VLOOKUP(B4390,airports!A:H,7,FALSE)</f>
        <v>36.080361109999998</v>
      </c>
      <c r="G4390" s="3">
        <f>VLOOKUP(B4390,airports!A:H,8,FALSE)</f>
        <v>-115.1523333</v>
      </c>
      <c r="H4390">
        <f t="shared" si="136"/>
        <v>4528.8</v>
      </c>
      <c r="I4390">
        <f t="shared" si="137"/>
        <v>2814.2</v>
      </c>
    </row>
    <row r="4391" spans="1:9" x14ac:dyDescent="0.25">
      <c r="A4391" s="5" t="s">
        <v>2421</v>
      </c>
      <c r="B4391" s="5" t="s">
        <v>73</v>
      </c>
      <c r="C4391" s="5" t="s">
        <v>4868</v>
      </c>
      <c r="D4391" s="3">
        <f>VLOOKUP(A4391,airports!A:H,7,FALSE)</f>
        <v>21.975983060000001</v>
      </c>
      <c r="E4391" s="3">
        <f>VLOOKUP(A4391,airports!A:H,8,FALSE)</f>
        <v>-159.33895810000001</v>
      </c>
      <c r="F4391" s="3">
        <f>VLOOKUP(B4391,airports!A:H,7,FALSE)</f>
        <v>33.942536109999999</v>
      </c>
      <c r="G4391" s="3">
        <f>VLOOKUP(B4391,airports!A:H,8,FALSE)</f>
        <v>-118.4080744</v>
      </c>
      <c r="H4391">
        <f t="shared" si="136"/>
        <v>4203</v>
      </c>
      <c r="I4391">
        <f t="shared" si="137"/>
        <v>2611.8000000000002</v>
      </c>
    </row>
    <row r="4392" spans="1:9" x14ac:dyDescent="0.25">
      <c r="A4392" s="5" t="s">
        <v>2421</v>
      </c>
      <c r="B4392" s="5" t="s">
        <v>215</v>
      </c>
      <c r="C4392" s="5" t="s">
        <v>4869</v>
      </c>
      <c r="D4392" s="3">
        <f>VLOOKUP(A4392,airports!A:H,7,FALSE)</f>
        <v>21.975983060000001</v>
      </c>
      <c r="E4392" s="3">
        <f>VLOOKUP(A4392,airports!A:H,8,FALSE)</f>
        <v>-159.33895810000001</v>
      </c>
      <c r="F4392" s="3">
        <f>VLOOKUP(B4392,airports!A:H,7,FALSE)</f>
        <v>37.721290830000001</v>
      </c>
      <c r="G4392" s="3">
        <f>VLOOKUP(B4392,airports!A:H,8,FALSE)</f>
        <v>-122.2207167</v>
      </c>
      <c r="H4392">
        <f t="shared" si="136"/>
        <v>3950.2</v>
      </c>
      <c r="I4392">
        <f t="shared" si="137"/>
        <v>2454.6999999999998</v>
      </c>
    </row>
    <row r="4393" spans="1:9" ht="30" x14ac:dyDescent="0.25">
      <c r="A4393" s="5" t="s">
        <v>2421</v>
      </c>
      <c r="B4393" s="5" t="s">
        <v>371</v>
      </c>
      <c r="C4393" s="5" t="s">
        <v>4870</v>
      </c>
      <c r="D4393" s="3">
        <f>VLOOKUP(A4393,airports!A:H,7,FALSE)</f>
        <v>21.975983060000001</v>
      </c>
      <c r="E4393" s="3">
        <f>VLOOKUP(A4393,airports!A:H,8,FALSE)</f>
        <v>-159.33895810000001</v>
      </c>
      <c r="F4393" s="3">
        <f>VLOOKUP(B4393,airports!A:H,7,FALSE)</f>
        <v>20.898649720000002</v>
      </c>
      <c r="G4393" s="3">
        <f>VLOOKUP(B4393,airports!A:H,8,FALSE)</f>
        <v>-156.4304578</v>
      </c>
      <c r="H4393">
        <f t="shared" si="136"/>
        <v>324</v>
      </c>
      <c r="I4393">
        <f t="shared" si="137"/>
        <v>201.3</v>
      </c>
    </row>
    <row r="4394" spans="1:9" x14ac:dyDescent="0.25">
      <c r="A4394" s="5" t="s">
        <v>2421</v>
      </c>
      <c r="B4394" s="5" t="s">
        <v>100</v>
      </c>
      <c r="C4394" s="5" t="s">
        <v>4871</v>
      </c>
      <c r="D4394" s="3">
        <f>VLOOKUP(A4394,airports!A:H,7,FALSE)</f>
        <v>21.975983060000001</v>
      </c>
      <c r="E4394" s="3">
        <f>VLOOKUP(A4394,airports!A:H,8,FALSE)</f>
        <v>-159.33895810000001</v>
      </c>
      <c r="F4394" s="3">
        <f>VLOOKUP(B4394,airports!A:H,7,FALSE)</f>
        <v>45.588722220000001</v>
      </c>
      <c r="G4394" s="3">
        <f>VLOOKUP(B4394,airports!A:H,8,FALSE)</f>
        <v>-122.5975</v>
      </c>
      <c r="H4394">
        <f t="shared" si="136"/>
        <v>4232.2</v>
      </c>
      <c r="I4394">
        <f t="shared" si="137"/>
        <v>2629.9</v>
      </c>
    </row>
    <row r="4395" spans="1:9" x14ac:dyDescent="0.25">
      <c r="A4395" s="5" t="s">
        <v>2421</v>
      </c>
      <c r="B4395" s="5" t="s">
        <v>104</v>
      </c>
      <c r="C4395" s="5" t="s">
        <v>4872</v>
      </c>
      <c r="D4395" s="3">
        <f>VLOOKUP(A4395,airports!A:H,7,FALSE)</f>
        <v>21.975983060000001</v>
      </c>
      <c r="E4395" s="3">
        <f>VLOOKUP(A4395,airports!A:H,8,FALSE)</f>
        <v>-159.33895810000001</v>
      </c>
      <c r="F4395" s="3">
        <f>VLOOKUP(B4395,airports!A:H,7,FALSE)</f>
        <v>33.434166670000003</v>
      </c>
      <c r="G4395" s="3">
        <f>VLOOKUP(B4395,airports!A:H,8,FALSE)</f>
        <v>-112.00805560000001</v>
      </c>
      <c r="H4395">
        <f t="shared" si="136"/>
        <v>4787.5</v>
      </c>
      <c r="I4395">
        <f t="shared" si="137"/>
        <v>2975</v>
      </c>
    </row>
    <row r="4396" spans="1:9" x14ac:dyDescent="0.25">
      <c r="A4396" s="5" t="s">
        <v>2421</v>
      </c>
      <c r="B4396" s="5" t="s">
        <v>124</v>
      </c>
      <c r="C4396" s="5" t="s">
        <v>4873</v>
      </c>
      <c r="D4396" s="3">
        <f>VLOOKUP(A4396,airports!A:H,7,FALSE)</f>
        <v>21.975983060000001</v>
      </c>
      <c r="E4396" s="3">
        <f>VLOOKUP(A4396,airports!A:H,8,FALSE)</f>
        <v>-159.33895810000001</v>
      </c>
      <c r="F4396" s="3">
        <f>VLOOKUP(B4396,airports!A:H,7,FALSE)</f>
        <v>32.733556110000002</v>
      </c>
      <c r="G4396" s="3">
        <f>VLOOKUP(B4396,airports!A:H,8,FALSE)</f>
        <v>-117.1896567</v>
      </c>
      <c r="H4396">
        <f t="shared" si="136"/>
        <v>4300.5</v>
      </c>
      <c r="I4396">
        <f t="shared" si="137"/>
        <v>2672.4</v>
      </c>
    </row>
    <row r="4397" spans="1:9" x14ac:dyDescent="0.25">
      <c r="A4397" s="5" t="s">
        <v>2421</v>
      </c>
      <c r="B4397" s="5" t="s">
        <v>128</v>
      </c>
      <c r="C4397" s="5" t="s">
        <v>4874</v>
      </c>
      <c r="D4397" s="3">
        <f>VLOOKUP(A4397,airports!A:H,7,FALSE)</f>
        <v>21.975983060000001</v>
      </c>
      <c r="E4397" s="3">
        <f>VLOOKUP(A4397,airports!A:H,8,FALSE)</f>
        <v>-159.33895810000001</v>
      </c>
      <c r="F4397" s="3">
        <f>VLOOKUP(B4397,airports!A:H,7,FALSE)</f>
        <v>47.448981940000003</v>
      </c>
      <c r="G4397" s="3">
        <f>VLOOKUP(B4397,airports!A:H,8,FALSE)</f>
        <v>-122.3093131</v>
      </c>
      <c r="H4397">
        <f t="shared" si="136"/>
        <v>4345</v>
      </c>
      <c r="I4397">
        <f t="shared" si="137"/>
        <v>2700</v>
      </c>
    </row>
    <row r="4398" spans="1:9" x14ac:dyDescent="0.25">
      <c r="A4398" s="5" t="s">
        <v>2421</v>
      </c>
      <c r="B4398" s="5" t="s">
        <v>130</v>
      </c>
      <c r="C4398" s="5" t="s">
        <v>4875</v>
      </c>
      <c r="D4398" s="3">
        <f>VLOOKUP(A4398,airports!A:H,7,FALSE)</f>
        <v>21.975983060000001</v>
      </c>
      <c r="E4398" s="3">
        <f>VLOOKUP(A4398,airports!A:H,8,FALSE)</f>
        <v>-159.33895810000001</v>
      </c>
      <c r="F4398" s="3">
        <f>VLOOKUP(B4398,airports!A:H,7,FALSE)</f>
        <v>37.619001939999997</v>
      </c>
      <c r="G4398" s="3">
        <f>VLOOKUP(B4398,airports!A:H,8,FALSE)</f>
        <v>-122.37484329999999</v>
      </c>
      <c r="H4398">
        <f t="shared" si="136"/>
        <v>3934.1</v>
      </c>
      <c r="I4398">
        <f t="shared" si="137"/>
        <v>2444.6999999999998</v>
      </c>
    </row>
    <row r="4399" spans="1:9" x14ac:dyDescent="0.25">
      <c r="A4399" s="5" t="s">
        <v>2421</v>
      </c>
      <c r="B4399" s="5" t="s">
        <v>131</v>
      </c>
      <c r="C4399" s="5" t="s">
        <v>4876</v>
      </c>
      <c r="D4399" s="3">
        <f>VLOOKUP(A4399,airports!A:H,7,FALSE)</f>
        <v>21.975983060000001</v>
      </c>
      <c r="E4399" s="3">
        <f>VLOOKUP(A4399,airports!A:H,8,FALSE)</f>
        <v>-159.33895810000001</v>
      </c>
      <c r="F4399" s="3">
        <f>VLOOKUP(B4399,airports!A:H,7,FALSE)</f>
        <v>37.361861939999997</v>
      </c>
      <c r="G4399" s="3">
        <f>VLOOKUP(B4399,airports!A:H,8,FALSE)</f>
        <v>-121.9290089</v>
      </c>
      <c r="H4399">
        <f t="shared" si="136"/>
        <v>3964.5</v>
      </c>
      <c r="I4399">
        <f t="shared" si="137"/>
        <v>2463.6</v>
      </c>
    </row>
    <row r="4400" spans="1:9" x14ac:dyDescent="0.25">
      <c r="A4400" s="5" t="s">
        <v>554</v>
      </c>
      <c r="B4400" s="5" t="s">
        <v>10</v>
      </c>
      <c r="C4400" s="5" t="s">
        <v>4877</v>
      </c>
      <c r="D4400" s="3">
        <f>VLOOKUP(A4400,airports!A:H,7,FALSE)</f>
        <v>34.729396110000003</v>
      </c>
      <c r="E4400" s="3">
        <f>VLOOKUP(A4400,airports!A:H,8,FALSE)</f>
        <v>-92.22424556</v>
      </c>
      <c r="F4400" s="3">
        <f>VLOOKUP(B4400,airports!A:H,7,FALSE)</f>
        <v>33.640444440000003</v>
      </c>
      <c r="G4400" s="3">
        <f>VLOOKUP(B4400,airports!A:H,8,FALSE)</f>
        <v>-84.42694444</v>
      </c>
      <c r="H4400">
        <f t="shared" si="136"/>
        <v>727.2</v>
      </c>
      <c r="I4400">
        <f t="shared" si="137"/>
        <v>451.9</v>
      </c>
    </row>
    <row r="4401" spans="1:9" x14ac:dyDescent="0.25">
      <c r="A4401" s="5" t="s">
        <v>554</v>
      </c>
      <c r="B4401" s="5" t="s">
        <v>40</v>
      </c>
      <c r="C4401" s="5" t="s">
        <v>4878</v>
      </c>
      <c r="D4401" s="3">
        <f>VLOOKUP(A4401,airports!A:H,7,FALSE)</f>
        <v>34.729396110000003</v>
      </c>
      <c r="E4401" s="3">
        <f>VLOOKUP(A4401,airports!A:H,8,FALSE)</f>
        <v>-92.22424556</v>
      </c>
      <c r="F4401" s="3">
        <f>VLOOKUP(B4401,airports!A:H,7,FALSE)</f>
        <v>35.214011110000001</v>
      </c>
      <c r="G4401" s="3">
        <f>VLOOKUP(B4401,airports!A:H,8,FALSE)</f>
        <v>-80.94312583</v>
      </c>
      <c r="H4401">
        <f t="shared" si="136"/>
        <v>1028.8</v>
      </c>
      <c r="I4401">
        <f t="shared" si="137"/>
        <v>639.29999999999995</v>
      </c>
    </row>
    <row r="4402" spans="1:9" x14ac:dyDescent="0.25">
      <c r="A4402" s="5" t="s">
        <v>554</v>
      </c>
      <c r="B4402" s="5" t="s">
        <v>201</v>
      </c>
      <c r="C4402" s="5" t="s">
        <v>4879</v>
      </c>
      <c r="D4402" s="3">
        <f>VLOOKUP(A4402,airports!A:H,7,FALSE)</f>
        <v>34.729396110000003</v>
      </c>
      <c r="E4402" s="3">
        <f>VLOOKUP(A4402,airports!A:H,8,FALSE)</f>
        <v>-92.22424556</v>
      </c>
      <c r="F4402" s="3">
        <f>VLOOKUP(B4402,airports!A:H,7,FALSE)</f>
        <v>32.847113890000003</v>
      </c>
      <c r="G4402" s="3">
        <f>VLOOKUP(B4402,airports!A:H,8,FALSE)</f>
        <v>-96.851772220000001</v>
      </c>
      <c r="H4402">
        <f t="shared" si="136"/>
        <v>476</v>
      </c>
      <c r="I4402">
        <f t="shared" si="137"/>
        <v>295.8</v>
      </c>
    </row>
    <row r="4403" spans="1:9" x14ac:dyDescent="0.25">
      <c r="A4403" s="5" t="s">
        <v>554</v>
      </c>
      <c r="B4403" s="5" t="s">
        <v>45</v>
      </c>
      <c r="C4403" s="5" t="s">
        <v>4880</v>
      </c>
      <c r="D4403" s="3">
        <f>VLOOKUP(A4403,airports!A:H,7,FALSE)</f>
        <v>34.729396110000003</v>
      </c>
      <c r="E4403" s="3">
        <f>VLOOKUP(A4403,airports!A:H,8,FALSE)</f>
        <v>-92.22424556</v>
      </c>
      <c r="F4403" s="3">
        <f>VLOOKUP(B4403,airports!A:H,7,FALSE)</f>
        <v>38.852083329999999</v>
      </c>
      <c r="G4403" s="3">
        <f>VLOOKUP(B4403,airports!A:H,8,FALSE)</f>
        <v>-77.037722220000006</v>
      </c>
      <c r="H4403">
        <f t="shared" si="136"/>
        <v>1425.8</v>
      </c>
      <c r="I4403">
        <f t="shared" si="137"/>
        <v>886</v>
      </c>
    </row>
    <row r="4404" spans="1:9" x14ac:dyDescent="0.25">
      <c r="A4404" s="5" t="s">
        <v>554</v>
      </c>
      <c r="B4404" s="5" t="s">
        <v>47</v>
      </c>
      <c r="C4404" s="5" t="s">
        <v>4881</v>
      </c>
      <c r="D4404" s="3">
        <f>VLOOKUP(A4404,airports!A:H,7,FALSE)</f>
        <v>34.729396110000003</v>
      </c>
      <c r="E4404" s="3">
        <f>VLOOKUP(A4404,airports!A:H,8,FALSE)</f>
        <v>-92.22424556</v>
      </c>
      <c r="F4404" s="3">
        <f>VLOOKUP(B4404,airports!A:H,7,FALSE)</f>
        <v>39.858408060000002</v>
      </c>
      <c r="G4404" s="3">
        <f>VLOOKUP(B4404,airports!A:H,8,FALSE)</f>
        <v>-104.6670019</v>
      </c>
      <c r="H4404">
        <f t="shared" si="136"/>
        <v>1238.0999999999999</v>
      </c>
      <c r="I4404">
        <f t="shared" si="137"/>
        <v>769.3</v>
      </c>
    </row>
    <row r="4405" spans="1:9" x14ac:dyDescent="0.25">
      <c r="A4405" s="5" t="s">
        <v>554</v>
      </c>
      <c r="B4405" s="5" t="s">
        <v>49</v>
      </c>
      <c r="C4405" s="5" t="s">
        <v>4882</v>
      </c>
      <c r="D4405" s="3">
        <f>VLOOKUP(A4405,airports!A:H,7,FALSE)</f>
        <v>34.729396110000003</v>
      </c>
      <c r="E4405" s="3">
        <f>VLOOKUP(A4405,airports!A:H,8,FALSE)</f>
        <v>-92.22424556</v>
      </c>
      <c r="F4405" s="3">
        <f>VLOOKUP(B4405,airports!A:H,7,FALSE)</f>
        <v>32.895950560000003</v>
      </c>
      <c r="G4405" s="3">
        <f>VLOOKUP(B4405,airports!A:H,8,FALSE)</f>
        <v>-97.037199999999999</v>
      </c>
      <c r="H4405">
        <f t="shared" si="136"/>
        <v>489.1</v>
      </c>
      <c r="I4405">
        <f t="shared" si="137"/>
        <v>303.89999999999998</v>
      </c>
    </row>
    <row r="4406" spans="1:9" x14ac:dyDescent="0.25">
      <c r="A4406" s="5" t="s">
        <v>554</v>
      </c>
      <c r="B4406" s="5" t="s">
        <v>50</v>
      </c>
      <c r="C4406" s="5" t="s">
        <v>4883</v>
      </c>
      <c r="D4406" s="3">
        <f>VLOOKUP(A4406,airports!A:H,7,FALSE)</f>
        <v>34.729396110000003</v>
      </c>
      <c r="E4406" s="3">
        <f>VLOOKUP(A4406,airports!A:H,8,FALSE)</f>
        <v>-92.22424556</v>
      </c>
      <c r="F4406" s="3">
        <f>VLOOKUP(B4406,airports!A:H,7,FALSE)</f>
        <v>42.212058890000002</v>
      </c>
      <c r="G4406" s="3">
        <f>VLOOKUP(B4406,airports!A:H,8,FALSE)</f>
        <v>-83.348835829999999</v>
      </c>
      <c r="H4406">
        <f t="shared" si="136"/>
        <v>1134.2</v>
      </c>
      <c r="I4406">
        <f t="shared" si="137"/>
        <v>704.8</v>
      </c>
    </row>
    <row r="4407" spans="1:9" x14ac:dyDescent="0.25">
      <c r="A4407" s="5" t="s">
        <v>554</v>
      </c>
      <c r="B4407" s="5" t="s">
        <v>205</v>
      </c>
      <c r="C4407" s="5" t="s">
        <v>4884</v>
      </c>
      <c r="D4407" s="3">
        <f>VLOOKUP(A4407,airports!A:H,7,FALSE)</f>
        <v>34.729396110000003</v>
      </c>
      <c r="E4407" s="3">
        <f>VLOOKUP(A4407,airports!A:H,8,FALSE)</f>
        <v>-92.22424556</v>
      </c>
      <c r="F4407" s="3">
        <f>VLOOKUP(B4407,airports!A:H,7,FALSE)</f>
        <v>29.64541861</v>
      </c>
      <c r="G4407" s="3">
        <f>VLOOKUP(B4407,airports!A:H,8,FALSE)</f>
        <v>-95.278888890000005</v>
      </c>
      <c r="H4407">
        <f t="shared" si="136"/>
        <v>634.1</v>
      </c>
      <c r="I4407">
        <f t="shared" si="137"/>
        <v>394</v>
      </c>
    </row>
    <row r="4408" spans="1:9" x14ac:dyDescent="0.25">
      <c r="A4408" s="5" t="s">
        <v>554</v>
      </c>
      <c r="B4408" s="5" t="s">
        <v>67</v>
      </c>
      <c r="C4408" s="5" t="s">
        <v>4885</v>
      </c>
      <c r="D4408" s="3">
        <f>VLOOKUP(A4408,airports!A:H,7,FALSE)</f>
        <v>34.729396110000003</v>
      </c>
      <c r="E4408" s="3">
        <f>VLOOKUP(A4408,airports!A:H,8,FALSE)</f>
        <v>-92.22424556</v>
      </c>
      <c r="F4408" s="3">
        <f>VLOOKUP(B4408,airports!A:H,7,FALSE)</f>
        <v>29.980472219999999</v>
      </c>
      <c r="G4408" s="3">
        <f>VLOOKUP(B4408,airports!A:H,8,FALSE)</f>
        <v>-95.339722219999999</v>
      </c>
      <c r="H4408">
        <f t="shared" si="136"/>
        <v>603.6</v>
      </c>
      <c r="I4408">
        <f t="shared" si="137"/>
        <v>375.1</v>
      </c>
    </row>
    <row r="4409" spans="1:9" x14ac:dyDescent="0.25">
      <c r="A4409" s="5" t="s">
        <v>554</v>
      </c>
      <c r="B4409" s="5" t="s">
        <v>71</v>
      </c>
      <c r="C4409" s="5" t="s">
        <v>4886</v>
      </c>
      <c r="D4409" s="3">
        <f>VLOOKUP(A4409,airports!A:H,7,FALSE)</f>
        <v>34.729396110000003</v>
      </c>
      <c r="E4409" s="3">
        <f>VLOOKUP(A4409,airports!A:H,8,FALSE)</f>
        <v>-92.22424556</v>
      </c>
      <c r="F4409" s="3">
        <f>VLOOKUP(B4409,airports!A:H,7,FALSE)</f>
        <v>36.080361109999998</v>
      </c>
      <c r="G4409" s="3">
        <f>VLOOKUP(B4409,airports!A:H,8,FALSE)</f>
        <v>-115.1523333</v>
      </c>
      <c r="H4409">
        <f t="shared" si="136"/>
        <v>2078.6</v>
      </c>
      <c r="I4409">
        <f t="shared" si="137"/>
        <v>1291.7</v>
      </c>
    </row>
    <row r="4410" spans="1:9" x14ac:dyDescent="0.25">
      <c r="A4410" s="5" t="s">
        <v>554</v>
      </c>
      <c r="B4410" s="5" t="s">
        <v>73</v>
      </c>
      <c r="C4410" s="5" t="s">
        <v>4887</v>
      </c>
      <c r="D4410" s="3">
        <f>VLOOKUP(A4410,airports!A:H,7,FALSE)</f>
        <v>34.729396110000003</v>
      </c>
      <c r="E4410" s="3">
        <f>VLOOKUP(A4410,airports!A:H,8,FALSE)</f>
        <v>-92.22424556</v>
      </c>
      <c r="F4410" s="3">
        <f>VLOOKUP(B4410,airports!A:H,7,FALSE)</f>
        <v>33.942536109999999</v>
      </c>
      <c r="G4410" s="3">
        <f>VLOOKUP(B4410,airports!A:H,8,FALSE)</f>
        <v>-118.4080744</v>
      </c>
      <c r="H4410">
        <f t="shared" si="136"/>
        <v>2399</v>
      </c>
      <c r="I4410">
        <f t="shared" si="137"/>
        <v>1490.7</v>
      </c>
    </row>
    <row r="4411" spans="1:9" ht="30" x14ac:dyDescent="0.25">
      <c r="A4411" s="5" t="s">
        <v>554</v>
      </c>
      <c r="B4411" s="5" t="s">
        <v>82</v>
      </c>
      <c r="C4411" s="5" t="s">
        <v>4888</v>
      </c>
      <c r="D4411" s="3">
        <f>VLOOKUP(A4411,airports!A:H,7,FALSE)</f>
        <v>34.729396110000003</v>
      </c>
      <c r="E4411" s="3">
        <f>VLOOKUP(A4411,airports!A:H,8,FALSE)</f>
        <v>-92.22424556</v>
      </c>
      <c r="F4411" s="3">
        <f>VLOOKUP(B4411,airports!A:H,7,FALSE)</f>
        <v>28.42888889</v>
      </c>
      <c r="G4411" s="3">
        <f>VLOOKUP(B4411,airports!A:H,8,FALSE)</f>
        <v>-81.316027779999999</v>
      </c>
      <c r="H4411">
        <f t="shared" si="136"/>
        <v>1247.2</v>
      </c>
      <c r="I4411">
        <f t="shared" si="137"/>
        <v>775</v>
      </c>
    </row>
    <row r="4412" spans="1:9" x14ac:dyDescent="0.25">
      <c r="A4412" s="5" t="s">
        <v>554</v>
      </c>
      <c r="B4412" s="5" t="s">
        <v>84</v>
      </c>
      <c r="C4412" s="5" t="s">
        <v>4889</v>
      </c>
      <c r="D4412" s="3">
        <f>VLOOKUP(A4412,airports!A:H,7,FALSE)</f>
        <v>34.729396110000003</v>
      </c>
      <c r="E4412" s="3">
        <f>VLOOKUP(A4412,airports!A:H,8,FALSE)</f>
        <v>-92.22424556</v>
      </c>
      <c r="F4412" s="3">
        <f>VLOOKUP(B4412,airports!A:H,7,FALSE)</f>
        <v>25.79325</v>
      </c>
      <c r="G4412" s="3">
        <f>VLOOKUP(B4412,airports!A:H,8,FALSE)</f>
        <v>-80.290555560000001</v>
      </c>
      <c r="H4412">
        <f t="shared" si="136"/>
        <v>1514.7</v>
      </c>
      <c r="I4412">
        <f t="shared" si="137"/>
        <v>941.3</v>
      </c>
    </row>
    <row r="4413" spans="1:9" x14ac:dyDescent="0.25">
      <c r="A4413" s="5" t="s">
        <v>554</v>
      </c>
      <c r="B4413" s="5" t="s">
        <v>95</v>
      </c>
      <c r="C4413" s="5" t="s">
        <v>4890</v>
      </c>
      <c r="D4413" s="3">
        <f>VLOOKUP(A4413,airports!A:H,7,FALSE)</f>
        <v>34.729396110000003</v>
      </c>
      <c r="E4413" s="3">
        <f>VLOOKUP(A4413,airports!A:H,8,FALSE)</f>
        <v>-92.22424556</v>
      </c>
      <c r="F4413" s="3">
        <f>VLOOKUP(B4413,airports!A:H,7,FALSE)</f>
        <v>41.979595000000003</v>
      </c>
      <c r="G4413" s="3">
        <f>VLOOKUP(B4413,airports!A:H,8,FALSE)</f>
        <v>-87.904464169999997</v>
      </c>
      <c r="H4413">
        <f t="shared" si="136"/>
        <v>889.5</v>
      </c>
      <c r="I4413">
        <f t="shared" si="137"/>
        <v>552.79999999999995</v>
      </c>
    </row>
    <row r="4414" spans="1:9" x14ac:dyDescent="0.25">
      <c r="A4414" s="5" t="s">
        <v>554</v>
      </c>
      <c r="B4414" s="5" t="s">
        <v>104</v>
      </c>
      <c r="C4414" s="5" t="s">
        <v>4891</v>
      </c>
      <c r="D4414" s="3">
        <f>VLOOKUP(A4414,airports!A:H,7,FALSE)</f>
        <v>34.729396110000003</v>
      </c>
      <c r="E4414" s="3">
        <f>VLOOKUP(A4414,airports!A:H,8,FALSE)</f>
        <v>-92.22424556</v>
      </c>
      <c r="F4414" s="3">
        <f>VLOOKUP(B4414,airports!A:H,7,FALSE)</f>
        <v>33.434166670000003</v>
      </c>
      <c r="G4414" s="3">
        <f>VLOOKUP(B4414,airports!A:H,8,FALSE)</f>
        <v>-112.00805560000001</v>
      </c>
      <c r="H4414">
        <f t="shared" si="136"/>
        <v>1824.7</v>
      </c>
      <c r="I4414">
        <f t="shared" si="137"/>
        <v>1133.9000000000001</v>
      </c>
    </row>
    <row r="4415" spans="1:9" x14ac:dyDescent="0.25">
      <c r="A4415" s="5" t="s">
        <v>554</v>
      </c>
      <c r="B4415" s="5" t="s">
        <v>188</v>
      </c>
      <c r="C4415" s="5" t="s">
        <v>4892</v>
      </c>
      <c r="D4415" s="3">
        <f>VLOOKUP(A4415,airports!A:H,7,FALSE)</f>
        <v>34.729396110000003</v>
      </c>
      <c r="E4415" s="3">
        <f>VLOOKUP(A4415,airports!A:H,8,FALSE)</f>
        <v>-92.22424556</v>
      </c>
      <c r="F4415" s="3">
        <f>VLOOKUP(B4415,airports!A:H,7,FALSE)</f>
        <v>27.910763330000002</v>
      </c>
      <c r="G4415" s="3">
        <f>VLOOKUP(B4415,airports!A:H,8,FALSE)</f>
        <v>-82.687439440000006</v>
      </c>
      <c r="H4415">
        <f t="shared" si="136"/>
        <v>1180.2</v>
      </c>
      <c r="I4415">
        <f t="shared" si="137"/>
        <v>733.4</v>
      </c>
    </row>
    <row r="4416" spans="1:9" x14ac:dyDescent="0.25">
      <c r="A4416" s="5" t="s">
        <v>554</v>
      </c>
      <c r="B4416" s="5" t="s">
        <v>191</v>
      </c>
      <c r="C4416" s="5" t="s">
        <v>4893</v>
      </c>
      <c r="D4416" s="3">
        <f>VLOOKUP(A4416,airports!A:H,7,FALSE)</f>
        <v>34.729396110000003</v>
      </c>
      <c r="E4416" s="3">
        <f>VLOOKUP(A4416,airports!A:H,8,FALSE)</f>
        <v>-92.22424556</v>
      </c>
      <c r="F4416" s="3">
        <f>VLOOKUP(B4416,airports!A:H,7,FALSE)</f>
        <v>28.7776</v>
      </c>
      <c r="G4416" s="3">
        <f>VLOOKUP(B4416,airports!A:H,8,FALSE)</f>
        <v>-81.237499999999997</v>
      </c>
      <c r="H4416">
        <f t="shared" si="136"/>
        <v>1230.5</v>
      </c>
      <c r="I4416">
        <f t="shared" si="137"/>
        <v>764.6</v>
      </c>
    </row>
    <row r="4417" spans="1:9" x14ac:dyDescent="0.25">
      <c r="A4417" s="5" t="s">
        <v>554</v>
      </c>
      <c r="B4417" s="5" t="s">
        <v>644</v>
      </c>
      <c r="C4417" s="5" t="s">
        <v>4894</v>
      </c>
      <c r="D4417" s="3">
        <f>VLOOKUP(A4417,airports!A:H,7,FALSE)</f>
        <v>34.729396110000003</v>
      </c>
      <c r="E4417" s="3">
        <f>VLOOKUP(A4417,airports!A:H,8,FALSE)</f>
        <v>-92.22424556</v>
      </c>
      <c r="F4417" s="3">
        <f>VLOOKUP(B4417,airports!A:H,7,FALSE)</f>
        <v>38.747686940000001</v>
      </c>
      <c r="G4417" s="3">
        <f>VLOOKUP(B4417,airports!A:H,8,FALSE)</f>
        <v>-90.359989720000002</v>
      </c>
      <c r="H4417">
        <f t="shared" si="136"/>
        <v>476.7</v>
      </c>
      <c r="I4417">
        <f t="shared" si="137"/>
        <v>296.2</v>
      </c>
    </row>
    <row r="4418" spans="1:9" x14ac:dyDescent="0.25">
      <c r="A4418" s="5" t="s">
        <v>554</v>
      </c>
      <c r="B4418" s="5" t="s">
        <v>668</v>
      </c>
      <c r="C4418" s="5" t="s">
        <v>4895</v>
      </c>
      <c r="D4418" s="3">
        <f>VLOOKUP(A4418,airports!A:H,7,FALSE)</f>
        <v>34.729396110000003</v>
      </c>
      <c r="E4418" s="3">
        <f>VLOOKUP(A4418,airports!A:H,8,FALSE)</f>
        <v>-92.22424556</v>
      </c>
      <c r="F4418" s="3">
        <f>VLOOKUP(B4418,airports!A:H,7,FALSE)</f>
        <v>30.483250000000002</v>
      </c>
      <c r="G4418" s="3">
        <f>VLOOKUP(B4418,airports!A:H,8,FALSE)</f>
        <v>-86.525400000000005</v>
      </c>
      <c r="H4418">
        <f t="shared" si="136"/>
        <v>712.4</v>
      </c>
      <c r="I4418">
        <f t="shared" si="137"/>
        <v>442.7</v>
      </c>
    </row>
    <row r="4419" spans="1:9" x14ac:dyDescent="0.25">
      <c r="A4419" s="5" t="s">
        <v>556</v>
      </c>
      <c r="B4419" s="5" t="s">
        <v>10</v>
      </c>
      <c r="C4419" s="5" t="s">
        <v>4896</v>
      </c>
      <c r="D4419" s="3">
        <f>VLOOKUP(A4419,airports!A:H,7,FALSE)</f>
        <v>40.850972220000003</v>
      </c>
      <c r="E4419" s="3">
        <f>VLOOKUP(A4419,airports!A:H,8,FALSE)</f>
        <v>-96.759249999999994</v>
      </c>
      <c r="F4419" s="3">
        <f>VLOOKUP(B4419,airports!A:H,7,FALSE)</f>
        <v>33.640444440000003</v>
      </c>
      <c r="G4419" s="3">
        <f>VLOOKUP(B4419,airports!A:H,8,FALSE)</f>
        <v>-84.42694444</v>
      </c>
      <c r="H4419">
        <f t="shared" si="136"/>
        <v>1352.2</v>
      </c>
      <c r="I4419">
        <f t="shared" si="137"/>
        <v>840.3</v>
      </c>
    </row>
    <row r="4420" spans="1:9" ht="30" x14ac:dyDescent="0.25">
      <c r="A4420" s="5" t="s">
        <v>556</v>
      </c>
      <c r="B4420" s="5" t="s">
        <v>454</v>
      </c>
      <c r="C4420" s="5" t="s">
        <v>4897</v>
      </c>
      <c r="D4420" s="3">
        <f>VLOOKUP(A4420,airports!A:H,7,FALSE)</f>
        <v>40.850972220000003</v>
      </c>
      <c r="E4420" s="3">
        <f>VLOOKUP(A4420,airports!A:H,8,FALSE)</f>
        <v>-96.759249999999994</v>
      </c>
      <c r="F4420" s="3">
        <f>VLOOKUP(B4420,airports!A:H,7,FALSE)</f>
        <v>39.997985280000002</v>
      </c>
      <c r="G4420" s="3">
        <f>VLOOKUP(B4420,airports!A:H,8,FALSE)</f>
        <v>-82.891882780000003</v>
      </c>
      <c r="H4420">
        <f t="shared" ref="H4420:H4483" si="138">ROUND(ACOS(COS(RADIANS(90-D4420)) * COS(RADIANS(90-F4420)) + SIN(RADIANS(90-D4420)) * SIN(RADIANS(90-F4420)) * COS(RADIANS(E4420-G4420))) * 6371,1)</f>
        <v>1176.4000000000001</v>
      </c>
      <c r="I4420">
        <f t="shared" ref="I4420:I4483" si="139">ROUND(ACOS(COS(RADIANS(90-D4420)) * COS(RADIANS(90-F4420)) + SIN(RADIANS(90-D4420)) * SIN(RADIANS(90-F4420)) * COS(RADIANS(E4420-G4420))) * 3959,1)</f>
        <v>731</v>
      </c>
    </row>
    <row r="4421" spans="1:9" ht="30" x14ac:dyDescent="0.25">
      <c r="A4421" s="5" t="s">
        <v>556</v>
      </c>
      <c r="B4421" s="5" t="s">
        <v>47</v>
      </c>
      <c r="C4421" s="5" t="s">
        <v>4898</v>
      </c>
      <c r="D4421" s="3">
        <f>VLOOKUP(A4421,airports!A:H,7,FALSE)</f>
        <v>40.850972220000003</v>
      </c>
      <c r="E4421" s="3">
        <f>VLOOKUP(A4421,airports!A:H,8,FALSE)</f>
        <v>-96.759249999999994</v>
      </c>
      <c r="F4421" s="3">
        <f>VLOOKUP(B4421,airports!A:H,7,FALSE)</f>
        <v>39.858408060000002</v>
      </c>
      <c r="G4421" s="3">
        <f>VLOOKUP(B4421,airports!A:H,8,FALSE)</f>
        <v>-104.6670019</v>
      </c>
      <c r="H4421">
        <f t="shared" si="138"/>
        <v>678.9</v>
      </c>
      <c r="I4421">
        <f t="shared" si="139"/>
        <v>421.8</v>
      </c>
    </row>
    <row r="4422" spans="1:9" ht="30" x14ac:dyDescent="0.25">
      <c r="A4422" s="5" t="s">
        <v>556</v>
      </c>
      <c r="B4422" s="5" t="s">
        <v>50</v>
      </c>
      <c r="C4422" s="5" t="s">
        <v>4899</v>
      </c>
      <c r="D4422" s="3">
        <f>VLOOKUP(A4422,airports!A:H,7,FALSE)</f>
        <v>40.850972220000003</v>
      </c>
      <c r="E4422" s="3">
        <f>VLOOKUP(A4422,airports!A:H,8,FALSE)</f>
        <v>-96.759249999999994</v>
      </c>
      <c r="F4422" s="3">
        <f>VLOOKUP(B4422,airports!A:H,7,FALSE)</f>
        <v>42.212058890000002</v>
      </c>
      <c r="G4422" s="3">
        <f>VLOOKUP(B4422,airports!A:H,8,FALSE)</f>
        <v>-83.348835829999999</v>
      </c>
      <c r="H4422">
        <f t="shared" si="138"/>
        <v>1125.3</v>
      </c>
      <c r="I4422">
        <f t="shared" si="139"/>
        <v>699.3</v>
      </c>
    </row>
    <row r="4423" spans="1:9" ht="30" x14ac:dyDescent="0.25">
      <c r="A4423" s="5" t="s">
        <v>556</v>
      </c>
      <c r="B4423" s="5" t="s">
        <v>2236</v>
      </c>
      <c r="C4423" s="5" t="s">
        <v>4900</v>
      </c>
      <c r="D4423" s="3">
        <f>VLOOKUP(A4423,airports!A:H,7,FALSE)</f>
        <v>40.850972220000003</v>
      </c>
      <c r="E4423" s="3">
        <f>VLOOKUP(A4423,airports!A:H,8,FALSE)</f>
        <v>-96.759249999999994</v>
      </c>
      <c r="F4423" s="3">
        <f>VLOOKUP(B4423,airports!A:H,7,FALSE)</f>
        <v>42.778700000000001</v>
      </c>
      <c r="G4423" s="3">
        <f>VLOOKUP(B4423,airports!A:H,8,FALSE)</f>
        <v>-84.58735806</v>
      </c>
      <c r="H4423">
        <f t="shared" si="138"/>
        <v>1030.3</v>
      </c>
      <c r="I4423">
        <f t="shared" si="139"/>
        <v>640.20000000000005</v>
      </c>
    </row>
    <row r="4424" spans="1:9" ht="30" x14ac:dyDescent="0.25">
      <c r="A4424" s="5" t="s">
        <v>556</v>
      </c>
      <c r="B4424" s="5" t="s">
        <v>87</v>
      </c>
      <c r="C4424" s="5" t="s">
        <v>4901</v>
      </c>
      <c r="D4424" s="3">
        <f>VLOOKUP(A4424,airports!A:H,7,FALSE)</f>
        <v>40.850972220000003</v>
      </c>
      <c r="E4424" s="3">
        <f>VLOOKUP(A4424,airports!A:H,8,FALSE)</f>
        <v>-96.759249999999994</v>
      </c>
      <c r="F4424" s="3">
        <f>VLOOKUP(B4424,airports!A:H,7,FALSE)</f>
        <v>44.880546940000002</v>
      </c>
      <c r="G4424" s="3">
        <f>VLOOKUP(B4424,airports!A:H,8,FALSE)</f>
        <v>-93.216922499999995</v>
      </c>
      <c r="H4424">
        <f t="shared" si="138"/>
        <v>532.9</v>
      </c>
      <c r="I4424">
        <f t="shared" si="139"/>
        <v>331.1</v>
      </c>
    </row>
    <row r="4425" spans="1:9" ht="30" x14ac:dyDescent="0.25">
      <c r="A4425" s="5" t="s">
        <v>556</v>
      </c>
      <c r="B4425" s="5" t="s">
        <v>95</v>
      </c>
      <c r="C4425" s="5" t="s">
        <v>4902</v>
      </c>
      <c r="D4425" s="3">
        <f>VLOOKUP(A4425,airports!A:H,7,FALSE)</f>
        <v>40.850972220000003</v>
      </c>
      <c r="E4425" s="3">
        <f>VLOOKUP(A4425,airports!A:H,8,FALSE)</f>
        <v>-96.759249999999994</v>
      </c>
      <c r="F4425" s="3">
        <f>VLOOKUP(B4425,airports!A:H,7,FALSE)</f>
        <v>41.979595000000003</v>
      </c>
      <c r="G4425" s="3">
        <f>VLOOKUP(B4425,airports!A:H,8,FALSE)</f>
        <v>-87.904464169999997</v>
      </c>
      <c r="H4425">
        <f t="shared" si="138"/>
        <v>748.6</v>
      </c>
      <c r="I4425">
        <f t="shared" si="139"/>
        <v>465.2</v>
      </c>
    </row>
    <row r="4426" spans="1:9" ht="30" x14ac:dyDescent="0.25">
      <c r="A4426" s="5" t="s">
        <v>3663</v>
      </c>
      <c r="B4426" s="5" t="s">
        <v>360</v>
      </c>
      <c r="C4426" s="5" t="s">
        <v>4903</v>
      </c>
      <c r="D4426" s="3">
        <f>VLOOKUP(A4426,airports!A:H,7,FALSE)</f>
        <v>20.785675000000001</v>
      </c>
      <c r="E4426" s="3">
        <f>VLOOKUP(A4426,airports!A:H,8,FALSE)</f>
        <v>-156.951324</v>
      </c>
      <c r="F4426" s="3">
        <f>VLOOKUP(B4426,airports!A:H,7,FALSE)</f>
        <v>21.31869111</v>
      </c>
      <c r="G4426" s="3">
        <f>VLOOKUP(B4426,airports!A:H,8,FALSE)</f>
        <v>-157.92240720000001</v>
      </c>
      <c r="H4426">
        <f t="shared" si="138"/>
        <v>116.9</v>
      </c>
      <c r="I4426">
        <f t="shared" si="139"/>
        <v>72.599999999999994</v>
      </c>
    </row>
    <row r="4427" spans="1:9" ht="30" x14ac:dyDescent="0.25">
      <c r="A4427" s="5" t="s">
        <v>3663</v>
      </c>
      <c r="B4427" s="5" t="s">
        <v>3666</v>
      </c>
      <c r="C4427" s="5" t="s">
        <v>4904</v>
      </c>
      <c r="D4427" s="3">
        <f>VLOOKUP(A4427,airports!A:H,7,FALSE)</f>
        <v>20.785675000000001</v>
      </c>
      <c r="E4427" s="3">
        <f>VLOOKUP(A4427,airports!A:H,8,FALSE)</f>
        <v>-156.951324</v>
      </c>
      <c r="F4427" s="3">
        <f>VLOOKUP(B4427,airports!A:H,7,FALSE)</f>
        <v>21.152901</v>
      </c>
      <c r="G4427" s="3">
        <f>VLOOKUP(B4427,airports!A:H,8,FALSE)</f>
        <v>-157.09599299999999</v>
      </c>
      <c r="H4427">
        <f t="shared" si="138"/>
        <v>43.5</v>
      </c>
      <c r="I4427">
        <f t="shared" si="139"/>
        <v>27</v>
      </c>
    </row>
    <row r="4428" spans="1:9" ht="30" x14ac:dyDescent="0.25">
      <c r="A4428" s="5" t="s">
        <v>2649</v>
      </c>
      <c r="B4428" s="5" t="s">
        <v>49</v>
      </c>
      <c r="C4428" s="5" t="s">
        <v>4905</v>
      </c>
      <c r="D4428" s="3">
        <f>VLOOKUP(A4428,airports!A:H,7,FALSE)</f>
        <v>27.543738609999998</v>
      </c>
      <c r="E4428" s="3">
        <f>VLOOKUP(A4428,airports!A:H,8,FALSE)</f>
        <v>-99.461543610000007</v>
      </c>
      <c r="F4428" s="3">
        <f>VLOOKUP(B4428,airports!A:H,7,FALSE)</f>
        <v>32.895950560000003</v>
      </c>
      <c r="G4428" s="3">
        <f>VLOOKUP(B4428,airports!A:H,8,FALSE)</f>
        <v>-97.037199999999999</v>
      </c>
      <c r="H4428">
        <f t="shared" si="138"/>
        <v>639</v>
      </c>
      <c r="I4428">
        <f t="shared" si="139"/>
        <v>397.1</v>
      </c>
    </row>
    <row r="4429" spans="1:9" x14ac:dyDescent="0.25">
      <c r="A4429" s="5" t="s">
        <v>2649</v>
      </c>
      <c r="B4429" s="5" t="s">
        <v>67</v>
      </c>
      <c r="C4429" s="5" t="s">
        <v>4906</v>
      </c>
      <c r="D4429" s="3">
        <f>VLOOKUP(A4429,airports!A:H,7,FALSE)</f>
        <v>27.543738609999998</v>
      </c>
      <c r="E4429" s="3">
        <f>VLOOKUP(A4429,airports!A:H,8,FALSE)</f>
        <v>-99.461543610000007</v>
      </c>
      <c r="F4429" s="3">
        <f>VLOOKUP(B4429,airports!A:H,7,FALSE)</f>
        <v>29.980472219999999</v>
      </c>
      <c r="G4429" s="3">
        <f>VLOOKUP(B4429,airports!A:H,8,FALSE)</f>
        <v>-95.339722219999999</v>
      </c>
      <c r="H4429">
        <f t="shared" si="138"/>
        <v>484.5</v>
      </c>
      <c r="I4429">
        <f t="shared" si="139"/>
        <v>301.10000000000002</v>
      </c>
    </row>
    <row r="4430" spans="1:9" x14ac:dyDescent="0.25">
      <c r="A4430" s="5" t="s">
        <v>2649</v>
      </c>
      <c r="B4430" s="5" t="s">
        <v>71</v>
      </c>
      <c r="C4430" s="5" t="s">
        <v>4907</v>
      </c>
      <c r="D4430" s="3">
        <f>VLOOKUP(A4430,airports!A:H,7,FALSE)</f>
        <v>27.543738609999998</v>
      </c>
      <c r="E4430" s="3">
        <f>VLOOKUP(A4430,airports!A:H,8,FALSE)</f>
        <v>-99.461543610000007</v>
      </c>
      <c r="F4430" s="3">
        <f>VLOOKUP(B4430,airports!A:H,7,FALSE)</f>
        <v>36.080361109999998</v>
      </c>
      <c r="G4430" s="3">
        <f>VLOOKUP(B4430,airports!A:H,8,FALSE)</f>
        <v>-115.1523333</v>
      </c>
      <c r="H4430">
        <f t="shared" si="138"/>
        <v>1756.9</v>
      </c>
      <c r="I4430">
        <f t="shared" si="139"/>
        <v>1091.7</v>
      </c>
    </row>
    <row r="4431" spans="1:9" ht="30" x14ac:dyDescent="0.25">
      <c r="A4431" s="5" t="s">
        <v>2874</v>
      </c>
      <c r="B4431" s="5" t="s">
        <v>50</v>
      </c>
      <c r="C4431" s="5" t="s">
        <v>4908</v>
      </c>
      <c r="D4431" s="3">
        <f>VLOOKUP(A4431,airports!A:H,7,FALSE)</f>
        <v>43.879379720000003</v>
      </c>
      <c r="E4431" s="3">
        <f>VLOOKUP(A4431,airports!A:H,8,FALSE)</f>
        <v>-91.256537780000002</v>
      </c>
      <c r="F4431" s="3">
        <f>VLOOKUP(B4431,airports!A:H,7,FALSE)</f>
        <v>42.212058890000002</v>
      </c>
      <c r="G4431" s="3">
        <f>VLOOKUP(B4431,airports!A:H,8,FALSE)</f>
        <v>-83.348835829999999</v>
      </c>
      <c r="H4431">
        <f t="shared" si="138"/>
        <v>668.5</v>
      </c>
      <c r="I4431">
        <f t="shared" si="139"/>
        <v>415.4</v>
      </c>
    </row>
    <row r="4432" spans="1:9" ht="30" x14ac:dyDescent="0.25">
      <c r="A4432" s="5" t="s">
        <v>2874</v>
      </c>
      <c r="B4432" s="5" t="s">
        <v>87</v>
      </c>
      <c r="C4432" s="5" t="s">
        <v>4909</v>
      </c>
      <c r="D4432" s="3">
        <f>VLOOKUP(A4432,airports!A:H,7,FALSE)</f>
        <v>43.879379720000003</v>
      </c>
      <c r="E4432" s="3">
        <f>VLOOKUP(A4432,airports!A:H,8,FALSE)</f>
        <v>-91.256537780000002</v>
      </c>
      <c r="F4432" s="3">
        <f>VLOOKUP(B4432,airports!A:H,7,FALSE)</f>
        <v>44.880546940000002</v>
      </c>
      <c r="G4432" s="3">
        <f>VLOOKUP(B4432,airports!A:H,8,FALSE)</f>
        <v>-93.216922499999995</v>
      </c>
      <c r="H4432">
        <f t="shared" si="138"/>
        <v>191.5</v>
      </c>
      <c r="I4432">
        <f t="shared" si="139"/>
        <v>119</v>
      </c>
    </row>
    <row r="4433" spans="1:9" ht="30" x14ac:dyDescent="0.25">
      <c r="A4433" s="5" t="s">
        <v>2874</v>
      </c>
      <c r="B4433" s="5" t="s">
        <v>95</v>
      </c>
      <c r="C4433" s="5" t="s">
        <v>4910</v>
      </c>
      <c r="D4433" s="3">
        <f>VLOOKUP(A4433,airports!A:H,7,FALSE)</f>
        <v>43.879379720000003</v>
      </c>
      <c r="E4433" s="3">
        <f>VLOOKUP(A4433,airports!A:H,8,FALSE)</f>
        <v>-91.256537780000002</v>
      </c>
      <c r="F4433" s="3">
        <f>VLOOKUP(B4433,airports!A:H,7,FALSE)</f>
        <v>41.979595000000003</v>
      </c>
      <c r="G4433" s="3">
        <f>VLOOKUP(B4433,airports!A:H,8,FALSE)</f>
        <v>-87.904464169999997</v>
      </c>
      <c r="H4433">
        <f t="shared" si="138"/>
        <v>345.1</v>
      </c>
      <c r="I4433">
        <f t="shared" si="139"/>
        <v>214.4</v>
      </c>
    </row>
    <row r="4434" spans="1:9" ht="30" x14ac:dyDescent="0.25">
      <c r="A4434" s="5" t="s">
        <v>3876</v>
      </c>
      <c r="B4434" s="5" t="s">
        <v>176</v>
      </c>
      <c r="C4434" s="5" t="s">
        <v>4911</v>
      </c>
      <c r="D4434" s="3">
        <f>VLOOKUP(A4434,airports!A:H,7,FALSE)</f>
        <v>37.858305559999998</v>
      </c>
      <c r="E4434" s="3">
        <f>VLOOKUP(A4434,airports!A:H,8,FALSE)</f>
        <v>-80.399472220000007</v>
      </c>
      <c r="F4434" s="3">
        <f>VLOOKUP(B4434,airports!A:H,7,FALSE)</f>
        <v>38.944531939999997</v>
      </c>
      <c r="G4434" s="3">
        <f>VLOOKUP(B4434,airports!A:H,8,FALSE)</f>
        <v>-77.455809720000005</v>
      </c>
      <c r="H4434">
        <f t="shared" si="138"/>
        <v>283.5</v>
      </c>
      <c r="I4434">
        <f t="shared" si="139"/>
        <v>176.2</v>
      </c>
    </row>
    <row r="4435" spans="1:9" ht="30" x14ac:dyDescent="0.25">
      <c r="A4435" s="5" t="s">
        <v>3876</v>
      </c>
      <c r="B4435" s="5" t="s">
        <v>95</v>
      </c>
      <c r="C4435" s="5" t="s">
        <v>4912</v>
      </c>
      <c r="D4435" s="3">
        <f>VLOOKUP(A4435,airports!A:H,7,FALSE)</f>
        <v>37.858305559999998</v>
      </c>
      <c r="E4435" s="3">
        <f>VLOOKUP(A4435,airports!A:H,8,FALSE)</f>
        <v>-80.399472220000007</v>
      </c>
      <c r="F4435" s="3">
        <f>VLOOKUP(B4435,airports!A:H,7,FALSE)</f>
        <v>41.979595000000003</v>
      </c>
      <c r="G4435" s="3">
        <f>VLOOKUP(B4435,airports!A:H,8,FALSE)</f>
        <v>-87.904464169999997</v>
      </c>
      <c r="H4435">
        <f t="shared" si="138"/>
        <v>786.7</v>
      </c>
      <c r="I4435">
        <f t="shared" si="139"/>
        <v>488.8</v>
      </c>
    </row>
    <row r="4436" spans="1:9" ht="30" x14ac:dyDescent="0.25">
      <c r="A4436" s="5" t="s">
        <v>3876</v>
      </c>
      <c r="B4436" s="5" t="s">
        <v>3916</v>
      </c>
      <c r="C4436" s="5" t="s">
        <v>4913</v>
      </c>
      <c r="D4436" s="3">
        <f>VLOOKUP(A4436,airports!A:H,7,FALSE)</f>
        <v>37.858305559999998</v>
      </c>
      <c r="E4436" s="3">
        <f>VLOOKUP(A4436,airports!A:H,8,FALSE)</f>
        <v>-80.399472220000007</v>
      </c>
      <c r="F4436" s="3">
        <f>VLOOKUP(B4436,airports!A:H,7,FALSE)</f>
        <v>38.26384333</v>
      </c>
      <c r="G4436" s="3">
        <f>VLOOKUP(B4436,airports!A:H,8,FALSE)</f>
        <v>-78.896438059999994</v>
      </c>
      <c r="H4436">
        <f t="shared" si="138"/>
        <v>139.1</v>
      </c>
      <c r="I4436">
        <f t="shared" si="139"/>
        <v>86.4</v>
      </c>
    </row>
    <row r="4437" spans="1:9" ht="30" x14ac:dyDescent="0.25">
      <c r="A4437" s="5" t="s">
        <v>1208</v>
      </c>
      <c r="B4437" s="5" t="s">
        <v>22</v>
      </c>
      <c r="C4437" s="5" t="s">
        <v>4914</v>
      </c>
      <c r="D4437" s="3">
        <f>VLOOKUP(A4437,airports!A:H,7,FALSE)</f>
        <v>46.374498060000001</v>
      </c>
      <c r="E4437" s="3">
        <f>VLOOKUP(A4437,airports!A:H,8,FALSE)</f>
        <v>-117.01539440000001</v>
      </c>
      <c r="F4437" s="3">
        <f>VLOOKUP(B4437,airports!A:H,7,FALSE)</f>
        <v>43.564444440000003</v>
      </c>
      <c r="G4437" s="3">
        <f>VLOOKUP(B4437,airports!A:H,8,FALSE)</f>
        <v>-116.2227778</v>
      </c>
      <c r="H4437">
        <f t="shared" si="138"/>
        <v>318.60000000000002</v>
      </c>
      <c r="I4437">
        <f t="shared" si="139"/>
        <v>198</v>
      </c>
    </row>
    <row r="4438" spans="1:9" ht="30" x14ac:dyDescent="0.25">
      <c r="A4438" s="5" t="s">
        <v>1208</v>
      </c>
      <c r="B4438" s="5" t="s">
        <v>47</v>
      </c>
      <c r="C4438" s="5" t="s">
        <v>4915</v>
      </c>
      <c r="D4438" s="3">
        <f>VLOOKUP(A4438,airports!A:H,7,FALSE)</f>
        <v>46.374498060000001</v>
      </c>
      <c r="E4438" s="3">
        <f>VLOOKUP(A4438,airports!A:H,8,FALSE)</f>
        <v>-117.01539440000001</v>
      </c>
      <c r="F4438" s="3">
        <f>VLOOKUP(B4438,airports!A:H,7,FALSE)</f>
        <v>39.858408060000002</v>
      </c>
      <c r="G4438" s="3">
        <f>VLOOKUP(B4438,airports!A:H,8,FALSE)</f>
        <v>-104.6670019</v>
      </c>
      <c r="H4438">
        <f t="shared" si="138"/>
        <v>1234.4000000000001</v>
      </c>
      <c r="I4438">
        <f t="shared" si="139"/>
        <v>767.1</v>
      </c>
    </row>
    <row r="4439" spans="1:9" ht="30" x14ac:dyDescent="0.25">
      <c r="A4439" s="5" t="s">
        <v>1208</v>
      </c>
      <c r="B4439" s="5" t="s">
        <v>128</v>
      </c>
      <c r="C4439" s="5" t="s">
        <v>4916</v>
      </c>
      <c r="D4439" s="3">
        <f>VLOOKUP(A4439,airports!A:H,7,FALSE)</f>
        <v>46.374498060000001</v>
      </c>
      <c r="E4439" s="3">
        <f>VLOOKUP(A4439,airports!A:H,8,FALSE)</f>
        <v>-117.01539440000001</v>
      </c>
      <c r="F4439" s="3">
        <f>VLOOKUP(B4439,airports!A:H,7,FALSE)</f>
        <v>47.448981940000003</v>
      </c>
      <c r="G4439" s="3">
        <f>VLOOKUP(B4439,airports!A:H,8,FALSE)</f>
        <v>-122.3093131</v>
      </c>
      <c r="H4439">
        <f t="shared" si="138"/>
        <v>419.4</v>
      </c>
      <c r="I4439">
        <f t="shared" si="139"/>
        <v>260.60000000000002</v>
      </c>
    </row>
    <row r="4440" spans="1:9" ht="30" x14ac:dyDescent="0.25">
      <c r="A4440" s="5" t="s">
        <v>1208</v>
      </c>
      <c r="B4440" s="5" t="s">
        <v>135</v>
      </c>
      <c r="C4440" s="5" t="s">
        <v>4917</v>
      </c>
      <c r="D4440" s="3">
        <f>VLOOKUP(A4440,airports!A:H,7,FALSE)</f>
        <v>46.374498060000001</v>
      </c>
      <c r="E4440" s="3">
        <f>VLOOKUP(A4440,airports!A:H,8,FALSE)</f>
        <v>-117.01539440000001</v>
      </c>
      <c r="F4440" s="3">
        <f>VLOOKUP(B4440,airports!A:H,7,FALSE)</f>
        <v>40.788387780000001</v>
      </c>
      <c r="G4440" s="3">
        <f>VLOOKUP(B4440,airports!A:H,8,FALSE)</f>
        <v>-111.97777309999999</v>
      </c>
      <c r="H4440">
        <f t="shared" si="138"/>
        <v>741.6</v>
      </c>
      <c r="I4440">
        <f t="shared" si="139"/>
        <v>460.8</v>
      </c>
    </row>
    <row r="4441" spans="1:9" x14ac:dyDescent="0.25">
      <c r="A4441" s="5" t="s">
        <v>1815</v>
      </c>
      <c r="B4441" s="5" t="s">
        <v>40</v>
      </c>
      <c r="C4441" s="5" t="s">
        <v>4918</v>
      </c>
      <c r="D4441" s="3">
        <f>VLOOKUP(A4441,airports!A:H,7,FALSE)</f>
        <v>37.32668528</v>
      </c>
      <c r="E4441" s="3">
        <f>VLOOKUP(A4441,airports!A:H,8,FALSE)</f>
        <v>-79.200430560000001</v>
      </c>
      <c r="F4441" s="3">
        <f>VLOOKUP(B4441,airports!A:H,7,FALSE)</f>
        <v>35.214011110000001</v>
      </c>
      <c r="G4441" s="3">
        <f>VLOOKUP(B4441,airports!A:H,8,FALSE)</f>
        <v>-80.94312583</v>
      </c>
      <c r="H4441">
        <f t="shared" si="138"/>
        <v>282.10000000000002</v>
      </c>
      <c r="I4441">
        <f t="shared" si="139"/>
        <v>175.3</v>
      </c>
    </row>
    <row r="4442" spans="1:9" ht="30" x14ac:dyDescent="0.25">
      <c r="A4442" s="5" t="s">
        <v>744</v>
      </c>
      <c r="B4442" s="5" t="s">
        <v>13</v>
      </c>
      <c r="C4442" s="5" t="s">
        <v>4919</v>
      </c>
      <c r="D4442" s="3">
        <f>VLOOKUP(A4442,airports!A:H,7,FALSE)</f>
        <v>31.942527779999999</v>
      </c>
      <c r="E4442" s="3">
        <f>VLOOKUP(A4442,airports!A:H,8,FALSE)</f>
        <v>-102.20191389999999</v>
      </c>
      <c r="F4442" s="3">
        <f>VLOOKUP(B4442,airports!A:H,7,FALSE)</f>
        <v>30.194532779999999</v>
      </c>
      <c r="G4442" s="3">
        <f>VLOOKUP(B4442,airports!A:H,8,FALSE)</f>
        <v>-97.669871939999993</v>
      </c>
      <c r="H4442">
        <f t="shared" si="138"/>
        <v>473.3</v>
      </c>
      <c r="I4442">
        <f t="shared" si="139"/>
        <v>294.10000000000002</v>
      </c>
    </row>
    <row r="4443" spans="1:9" ht="30" x14ac:dyDescent="0.25">
      <c r="A4443" s="5" t="s">
        <v>744</v>
      </c>
      <c r="B4443" s="5" t="s">
        <v>201</v>
      </c>
      <c r="C4443" s="5" t="s">
        <v>4920</v>
      </c>
      <c r="D4443" s="3">
        <f>VLOOKUP(A4443,airports!A:H,7,FALSE)</f>
        <v>31.942527779999999</v>
      </c>
      <c r="E4443" s="3">
        <f>VLOOKUP(A4443,airports!A:H,8,FALSE)</f>
        <v>-102.20191389999999</v>
      </c>
      <c r="F4443" s="3">
        <f>VLOOKUP(B4443,airports!A:H,7,FALSE)</f>
        <v>32.847113890000003</v>
      </c>
      <c r="G4443" s="3">
        <f>VLOOKUP(B4443,airports!A:H,8,FALSE)</f>
        <v>-96.851772220000001</v>
      </c>
      <c r="H4443">
        <f t="shared" si="138"/>
        <v>512.20000000000005</v>
      </c>
      <c r="I4443">
        <f t="shared" si="139"/>
        <v>318.3</v>
      </c>
    </row>
    <row r="4444" spans="1:9" ht="30" x14ac:dyDescent="0.25">
      <c r="A4444" s="5" t="s">
        <v>744</v>
      </c>
      <c r="B4444" s="5" t="s">
        <v>47</v>
      </c>
      <c r="C4444" s="5" t="s">
        <v>4921</v>
      </c>
      <c r="D4444" s="3">
        <f>VLOOKUP(A4444,airports!A:H,7,FALSE)</f>
        <v>31.942527779999999</v>
      </c>
      <c r="E4444" s="3">
        <f>VLOOKUP(A4444,airports!A:H,8,FALSE)</f>
        <v>-102.20191389999999</v>
      </c>
      <c r="F4444" s="3">
        <f>VLOOKUP(B4444,airports!A:H,7,FALSE)</f>
        <v>39.858408060000002</v>
      </c>
      <c r="G4444" s="3">
        <f>VLOOKUP(B4444,airports!A:H,8,FALSE)</f>
        <v>-104.6670019</v>
      </c>
      <c r="H4444">
        <f t="shared" si="138"/>
        <v>907.7</v>
      </c>
      <c r="I4444">
        <f t="shared" si="139"/>
        <v>564</v>
      </c>
    </row>
    <row r="4445" spans="1:9" ht="30" x14ac:dyDescent="0.25">
      <c r="A4445" s="5" t="s">
        <v>744</v>
      </c>
      <c r="B4445" s="5" t="s">
        <v>49</v>
      </c>
      <c r="C4445" s="5" t="s">
        <v>4922</v>
      </c>
      <c r="D4445" s="3">
        <f>VLOOKUP(A4445,airports!A:H,7,FALSE)</f>
        <v>31.942527779999999</v>
      </c>
      <c r="E4445" s="3">
        <f>VLOOKUP(A4445,airports!A:H,8,FALSE)</f>
        <v>-102.20191389999999</v>
      </c>
      <c r="F4445" s="3">
        <f>VLOOKUP(B4445,airports!A:H,7,FALSE)</f>
        <v>32.895950560000003</v>
      </c>
      <c r="G4445" s="3">
        <f>VLOOKUP(B4445,airports!A:H,8,FALSE)</f>
        <v>-97.037199999999999</v>
      </c>
      <c r="H4445">
        <f t="shared" si="138"/>
        <v>496.2</v>
      </c>
      <c r="I4445">
        <f t="shared" si="139"/>
        <v>308.3</v>
      </c>
    </row>
    <row r="4446" spans="1:9" ht="30" x14ac:dyDescent="0.25">
      <c r="A4446" s="5" t="s">
        <v>744</v>
      </c>
      <c r="B4446" s="5" t="s">
        <v>205</v>
      </c>
      <c r="C4446" s="5" t="s">
        <v>4923</v>
      </c>
      <c r="D4446" s="3">
        <f>VLOOKUP(A4446,airports!A:H,7,FALSE)</f>
        <v>31.942527779999999</v>
      </c>
      <c r="E4446" s="3">
        <f>VLOOKUP(A4446,airports!A:H,8,FALSE)</f>
        <v>-102.20191389999999</v>
      </c>
      <c r="F4446" s="3">
        <f>VLOOKUP(B4446,airports!A:H,7,FALSE)</f>
        <v>29.64541861</v>
      </c>
      <c r="G4446" s="3">
        <f>VLOOKUP(B4446,airports!A:H,8,FALSE)</f>
        <v>-95.278888890000005</v>
      </c>
      <c r="H4446">
        <f t="shared" si="138"/>
        <v>708.7</v>
      </c>
      <c r="I4446">
        <f t="shared" si="139"/>
        <v>440.4</v>
      </c>
    </row>
    <row r="4447" spans="1:9" ht="30" x14ac:dyDescent="0.25">
      <c r="A4447" s="5" t="s">
        <v>744</v>
      </c>
      <c r="B4447" s="5" t="s">
        <v>67</v>
      </c>
      <c r="C4447" s="5" t="s">
        <v>4924</v>
      </c>
      <c r="D4447" s="3">
        <f>VLOOKUP(A4447,airports!A:H,7,FALSE)</f>
        <v>31.942527779999999</v>
      </c>
      <c r="E4447" s="3">
        <f>VLOOKUP(A4447,airports!A:H,8,FALSE)</f>
        <v>-102.20191389999999</v>
      </c>
      <c r="F4447" s="3">
        <f>VLOOKUP(B4447,airports!A:H,7,FALSE)</f>
        <v>29.980472219999999</v>
      </c>
      <c r="G4447" s="3">
        <f>VLOOKUP(B4447,airports!A:H,8,FALSE)</f>
        <v>-95.339722219999999</v>
      </c>
      <c r="H4447">
        <f t="shared" si="138"/>
        <v>689.6</v>
      </c>
      <c r="I4447">
        <f t="shared" si="139"/>
        <v>428.5</v>
      </c>
    </row>
    <row r="4448" spans="1:9" ht="30" x14ac:dyDescent="0.25">
      <c r="A4448" s="5" t="s">
        <v>744</v>
      </c>
      <c r="B4448" s="5" t="s">
        <v>71</v>
      </c>
      <c r="C4448" s="5" t="s">
        <v>4925</v>
      </c>
      <c r="D4448" s="3">
        <f>VLOOKUP(A4448,airports!A:H,7,FALSE)</f>
        <v>31.942527779999999</v>
      </c>
      <c r="E4448" s="3">
        <f>VLOOKUP(A4448,airports!A:H,8,FALSE)</f>
        <v>-102.20191389999999</v>
      </c>
      <c r="F4448" s="3">
        <f>VLOOKUP(B4448,airports!A:H,7,FALSE)</f>
        <v>36.080361109999998</v>
      </c>
      <c r="G4448" s="3">
        <f>VLOOKUP(B4448,airports!A:H,8,FALSE)</f>
        <v>-115.1523333</v>
      </c>
      <c r="H4448">
        <f t="shared" si="138"/>
        <v>1278</v>
      </c>
      <c r="I4448">
        <f t="shared" si="139"/>
        <v>794.1</v>
      </c>
    </row>
    <row r="4449" spans="1:9" ht="30" x14ac:dyDescent="0.25">
      <c r="A4449" s="5" t="s">
        <v>744</v>
      </c>
      <c r="B4449" s="5" t="s">
        <v>104</v>
      </c>
      <c r="C4449" s="5" t="s">
        <v>4926</v>
      </c>
      <c r="D4449" s="3">
        <f>VLOOKUP(A4449,airports!A:H,7,FALSE)</f>
        <v>31.942527779999999</v>
      </c>
      <c r="E4449" s="3">
        <f>VLOOKUP(A4449,airports!A:H,8,FALSE)</f>
        <v>-102.20191389999999</v>
      </c>
      <c r="F4449" s="3">
        <f>VLOOKUP(B4449,airports!A:H,7,FALSE)</f>
        <v>33.434166670000003</v>
      </c>
      <c r="G4449" s="3">
        <f>VLOOKUP(B4449,airports!A:H,8,FALSE)</f>
        <v>-112.00805560000001</v>
      </c>
      <c r="H4449">
        <f t="shared" si="138"/>
        <v>932.2</v>
      </c>
      <c r="I4449">
        <f t="shared" si="139"/>
        <v>579.29999999999995</v>
      </c>
    </row>
    <row r="4450" spans="1:9" ht="30" x14ac:dyDescent="0.25">
      <c r="A4450" s="5" t="s">
        <v>387</v>
      </c>
      <c r="B4450" s="5" t="s">
        <v>385</v>
      </c>
      <c r="C4450" s="5" t="s">
        <v>4927</v>
      </c>
      <c r="D4450" s="3">
        <f>VLOOKUP(A4450,airports!A:H,7,FALSE)</f>
        <v>43.532914720000001</v>
      </c>
      <c r="E4450" s="3">
        <f>VLOOKUP(A4450,airports!A:H,8,FALSE)</f>
        <v>-84.079647219999998</v>
      </c>
      <c r="F4450" s="3">
        <f>VLOOKUP(B4450,airports!A:H,7,FALSE)</f>
        <v>45.078067500000003</v>
      </c>
      <c r="G4450" s="3">
        <f>VLOOKUP(B4450,airports!A:H,8,FALSE)</f>
        <v>-83.560285829999998</v>
      </c>
      <c r="H4450">
        <f t="shared" si="138"/>
        <v>176.7</v>
      </c>
      <c r="I4450">
        <f t="shared" si="139"/>
        <v>109.8</v>
      </c>
    </row>
    <row r="4451" spans="1:9" ht="30" x14ac:dyDescent="0.25">
      <c r="A4451" s="5" t="s">
        <v>387</v>
      </c>
      <c r="B4451" s="5" t="s">
        <v>50</v>
      </c>
      <c r="C4451" s="5" t="s">
        <v>4928</v>
      </c>
      <c r="D4451" s="3">
        <f>VLOOKUP(A4451,airports!A:H,7,FALSE)</f>
        <v>43.532914720000001</v>
      </c>
      <c r="E4451" s="3">
        <f>VLOOKUP(A4451,airports!A:H,8,FALSE)</f>
        <v>-84.079647219999998</v>
      </c>
      <c r="F4451" s="3">
        <f>VLOOKUP(B4451,airports!A:H,7,FALSE)</f>
        <v>42.212058890000002</v>
      </c>
      <c r="G4451" s="3">
        <f>VLOOKUP(B4451,airports!A:H,8,FALSE)</f>
        <v>-83.348835829999999</v>
      </c>
      <c r="H4451">
        <f t="shared" si="138"/>
        <v>158.5</v>
      </c>
      <c r="I4451">
        <f t="shared" si="139"/>
        <v>98.5</v>
      </c>
    </row>
    <row r="4452" spans="1:9" ht="30" x14ac:dyDescent="0.25">
      <c r="A4452" s="5" t="s">
        <v>387</v>
      </c>
      <c r="B4452" s="5" t="s">
        <v>87</v>
      </c>
      <c r="C4452" s="5" t="s">
        <v>4929</v>
      </c>
      <c r="D4452" s="3">
        <f>VLOOKUP(A4452,airports!A:H,7,FALSE)</f>
        <v>43.532914720000001</v>
      </c>
      <c r="E4452" s="3">
        <f>VLOOKUP(A4452,airports!A:H,8,FALSE)</f>
        <v>-84.079647219999998</v>
      </c>
      <c r="F4452" s="3">
        <f>VLOOKUP(B4452,airports!A:H,7,FALSE)</f>
        <v>44.880546940000002</v>
      </c>
      <c r="G4452" s="3">
        <f>VLOOKUP(B4452,airports!A:H,8,FALSE)</f>
        <v>-93.216922499999995</v>
      </c>
      <c r="H4452">
        <f t="shared" si="138"/>
        <v>743.1</v>
      </c>
      <c r="I4452">
        <f t="shared" si="139"/>
        <v>461.8</v>
      </c>
    </row>
    <row r="4453" spans="1:9" ht="30" x14ac:dyDescent="0.25">
      <c r="A4453" s="5" t="s">
        <v>387</v>
      </c>
      <c r="B4453" s="5" t="s">
        <v>95</v>
      </c>
      <c r="C4453" s="5" t="s">
        <v>4930</v>
      </c>
      <c r="D4453" s="3">
        <f>VLOOKUP(A4453,airports!A:H,7,FALSE)</f>
        <v>43.532914720000001</v>
      </c>
      <c r="E4453" s="3">
        <f>VLOOKUP(A4453,airports!A:H,8,FALSE)</f>
        <v>-84.079647219999998</v>
      </c>
      <c r="F4453" s="3">
        <f>VLOOKUP(B4453,airports!A:H,7,FALSE)</f>
        <v>41.979595000000003</v>
      </c>
      <c r="G4453" s="3">
        <f>VLOOKUP(B4453,airports!A:H,8,FALSE)</f>
        <v>-87.904464169999997</v>
      </c>
      <c r="H4453">
        <f t="shared" si="138"/>
        <v>356.8</v>
      </c>
      <c r="I4453">
        <f t="shared" si="139"/>
        <v>221.7</v>
      </c>
    </row>
    <row r="4454" spans="1:9" ht="30" x14ac:dyDescent="0.25">
      <c r="A4454" s="5" t="s">
        <v>80</v>
      </c>
      <c r="B4454" s="5" t="s">
        <v>2</v>
      </c>
      <c r="C4454" s="5" t="s">
        <v>4931</v>
      </c>
      <c r="D4454" s="3">
        <f>VLOOKUP(A4454,airports!A:H,7,FALSE)</f>
        <v>39.297605279999999</v>
      </c>
      <c r="E4454" s="3">
        <f>VLOOKUP(A4454,airports!A:H,8,FALSE)</f>
        <v>-94.713905560000001</v>
      </c>
      <c r="F4454" s="3">
        <f>VLOOKUP(B4454,airports!A:H,7,FALSE)</f>
        <v>35.040222219999997</v>
      </c>
      <c r="G4454" s="3">
        <f>VLOOKUP(B4454,airports!A:H,8,FALSE)</f>
        <v>-106.60919440000001</v>
      </c>
      <c r="H4454">
        <f t="shared" si="138"/>
        <v>1154.2</v>
      </c>
      <c r="I4454">
        <f t="shared" si="139"/>
        <v>717.2</v>
      </c>
    </row>
    <row r="4455" spans="1:9" x14ac:dyDescent="0.25">
      <c r="A4455" s="5" t="s">
        <v>80</v>
      </c>
      <c r="B4455" s="5" t="s">
        <v>10</v>
      </c>
      <c r="C4455" s="5" t="s">
        <v>4932</v>
      </c>
      <c r="D4455" s="3">
        <f>VLOOKUP(A4455,airports!A:H,7,FALSE)</f>
        <v>39.297605279999999</v>
      </c>
      <c r="E4455" s="3">
        <f>VLOOKUP(A4455,airports!A:H,8,FALSE)</f>
        <v>-94.713905560000001</v>
      </c>
      <c r="F4455" s="3">
        <f>VLOOKUP(B4455,airports!A:H,7,FALSE)</f>
        <v>33.640444440000003</v>
      </c>
      <c r="G4455" s="3">
        <f>VLOOKUP(B4455,airports!A:H,8,FALSE)</f>
        <v>-84.42694444</v>
      </c>
      <c r="H4455">
        <f t="shared" si="138"/>
        <v>1113.2</v>
      </c>
      <c r="I4455">
        <f t="shared" si="139"/>
        <v>691.8</v>
      </c>
    </row>
    <row r="4456" spans="1:9" ht="30" x14ac:dyDescent="0.25">
      <c r="A4456" s="5" t="s">
        <v>80</v>
      </c>
      <c r="B4456" s="5" t="s">
        <v>13</v>
      </c>
      <c r="C4456" s="5" t="s">
        <v>4933</v>
      </c>
      <c r="D4456" s="3">
        <f>VLOOKUP(A4456,airports!A:H,7,FALSE)</f>
        <v>39.297605279999999</v>
      </c>
      <c r="E4456" s="3">
        <f>VLOOKUP(A4456,airports!A:H,8,FALSE)</f>
        <v>-94.713905560000001</v>
      </c>
      <c r="F4456" s="3">
        <f>VLOOKUP(B4456,airports!A:H,7,FALSE)</f>
        <v>30.194532779999999</v>
      </c>
      <c r="G4456" s="3">
        <f>VLOOKUP(B4456,airports!A:H,8,FALSE)</f>
        <v>-97.669871939999993</v>
      </c>
      <c r="H4456">
        <f t="shared" si="138"/>
        <v>1047.4000000000001</v>
      </c>
      <c r="I4456">
        <f t="shared" si="139"/>
        <v>650.9</v>
      </c>
    </row>
    <row r="4457" spans="1:9" ht="30" x14ac:dyDescent="0.25">
      <c r="A4457" s="5" t="s">
        <v>80</v>
      </c>
      <c r="B4457" s="5" t="s">
        <v>329</v>
      </c>
      <c r="C4457" s="5" t="s">
        <v>4934</v>
      </c>
      <c r="D4457" s="3">
        <f>VLOOKUP(A4457,airports!A:H,7,FALSE)</f>
        <v>39.297605279999999</v>
      </c>
      <c r="E4457" s="3">
        <f>VLOOKUP(A4457,airports!A:H,8,FALSE)</f>
        <v>-94.713905560000001</v>
      </c>
      <c r="F4457" s="3">
        <f>VLOOKUP(B4457,airports!A:H,7,FALSE)</f>
        <v>33.308999999999997</v>
      </c>
      <c r="G4457" s="3">
        <f>VLOOKUP(B4457,airports!A:H,8,FALSE)</f>
        <v>-111.6559</v>
      </c>
      <c r="H4457">
        <f t="shared" si="138"/>
        <v>1654.4</v>
      </c>
      <c r="I4457">
        <f t="shared" si="139"/>
        <v>1028</v>
      </c>
    </row>
    <row r="4458" spans="1:9" ht="30" x14ac:dyDescent="0.25">
      <c r="A4458" s="5" t="s">
        <v>80</v>
      </c>
      <c r="B4458" s="5" t="s">
        <v>19</v>
      </c>
      <c r="C4458" s="5" t="s">
        <v>4935</v>
      </c>
      <c r="D4458" s="3">
        <f>VLOOKUP(A4458,airports!A:H,7,FALSE)</f>
        <v>39.297605279999999</v>
      </c>
      <c r="E4458" s="3">
        <f>VLOOKUP(A4458,airports!A:H,8,FALSE)</f>
        <v>-94.713905560000001</v>
      </c>
      <c r="F4458" s="3">
        <f>VLOOKUP(B4458,airports!A:H,7,FALSE)</f>
        <v>36.12447667</v>
      </c>
      <c r="G4458" s="3">
        <f>VLOOKUP(B4458,airports!A:H,8,FALSE)</f>
        <v>-86.678182219999997</v>
      </c>
      <c r="H4458">
        <f t="shared" si="138"/>
        <v>789.6</v>
      </c>
      <c r="I4458">
        <f t="shared" si="139"/>
        <v>490.7</v>
      </c>
    </row>
    <row r="4459" spans="1:9" ht="30" x14ac:dyDescent="0.25">
      <c r="A4459" s="5" t="s">
        <v>80</v>
      </c>
      <c r="B4459" s="5" t="s">
        <v>24</v>
      </c>
      <c r="C4459" s="5" t="s">
        <v>4936</v>
      </c>
      <c r="D4459" s="3">
        <f>VLOOKUP(A4459,airports!A:H,7,FALSE)</f>
        <v>39.297605279999999</v>
      </c>
      <c r="E4459" s="3">
        <f>VLOOKUP(A4459,airports!A:H,8,FALSE)</f>
        <v>-94.713905560000001</v>
      </c>
      <c r="F4459" s="3">
        <f>VLOOKUP(B4459,airports!A:H,7,FALSE)</f>
        <v>42.364347500000001</v>
      </c>
      <c r="G4459" s="3">
        <f>VLOOKUP(B4459,airports!A:H,8,FALSE)</f>
        <v>-71.005179170000005</v>
      </c>
      <c r="H4459">
        <f t="shared" si="138"/>
        <v>2016.9</v>
      </c>
      <c r="I4459">
        <f t="shared" si="139"/>
        <v>1253.3</v>
      </c>
    </row>
    <row r="4460" spans="1:9" ht="30" x14ac:dyDescent="0.25">
      <c r="A4460" s="5" t="s">
        <v>80</v>
      </c>
      <c r="B4460" s="5" t="s">
        <v>29</v>
      </c>
      <c r="C4460" s="5" t="s">
        <v>4937</v>
      </c>
      <c r="D4460" s="3">
        <f>VLOOKUP(A4460,airports!A:H,7,FALSE)</f>
        <v>39.297605279999999</v>
      </c>
      <c r="E4460" s="3">
        <f>VLOOKUP(A4460,airports!A:H,8,FALSE)</f>
        <v>-94.713905560000001</v>
      </c>
      <c r="F4460" s="3">
        <f>VLOOKUP(B4460,airports!A:H,7,FALSE)</f>
        <v>42.940524719999999</v>
      </c>
      <c r="G4460" s="3">
        <f>VLOOKUP(B4460,airports!A:H,8,FALSE)</f>
        <v>-78.732166669999998</v>
      </c>
      <c r="H4460">
        <f t="shared" si="138"/>
        <v>1396.2</v>
      </c>
      <c r="I4460">
        <f t="shared" si="139"/>
        <v>867.6</v>
      </c>
    </row>
    <row r="4461" spans="1:9" ht="30" x14ac:dyDescent="0.25">
      <c r="A4461" s="5" t="s">
        <v>80</v>
      </c>
      <c r="B4461" s="5" t="s">
        <v>32</v>
      </c>
      <c r="C4461" s="5" t="s">
        <v>4938</v>
      </c>
      <c r="D4461" s="3">
        <f>VLOOKUP(A4461,airports!A:H,7,FALSE)</f>
        <v>39.297605279999999</v>
      </c>
      <c r="E4461" s="3">
        <f>VLOOKUP(A4461,airports!A:H,8,FALSE)</f>
        <v>-94.713905560000001</v>
      </c>
      <c r="F4461" s="3">
        <f>VLOOKUP(B4461,airports!A:H,7,FALSE)</f>
        <v>39.175401669999999</v>
      </c>
      <c r="G4461" s="3">
        <f>VLOOKUP(B4461,airports!A:H,8,FALSE)</f>
        <v>-76.668198329999996</v>
      </c>
      <c r="H4461">
        <f t="shared" si="138"/>
        <v>1551.7</v>
      </c>
      <c r="I4461">
        <f t="shared" si="139"/>
        <v>964.2</v>
      </c>
    </row>
    <row r="4462" spans="1:9" ht="30" x14ac:dyDescent="0.25">
      <c r="A4462" s="5" t="s">
        <v>80</v>
      </c>
      <c r="B4462" s="5" t="s">
        <v>36</v>
      </c>
      <c r="C4462" s="5" t="s">
        <v>4939</v>
      </c>
      <c r="D4462" s="3">
        <f>VLOOKUP(A4462,airports!A:H,7,FALSE)</f>
        <v>39.297605279999999</v>
      </c>
      <c r="E4462" s="3">
        <f>VLOOKUP(A4462,airports!A:H,8,FALSE)</f>
        <v>-94.713905560000001</v>
      </c>
      <c r="F4462" s="3">
        <f>VLOOKUP(B4462,airports!A:H,7,FALSE)</f>
        <v>32.898646390000003</v>
      </c>
      <c r="G4462" s="3">
        <f>VLOOKUP(B4462,airports!A:H,8,FALSE)</f>
        <v>-80.040505830000001</v>
      </c>
      <c r="H4462">
        <f t="shared" si="138"/>
        <v>1495.4</v>
      </c>
      <c r="I4462">
        <f t="shared" si="139"/>
        <v>929.3</v>
      </c>
    </row>
    <row r="4463" spans="1:9" x14ac:dyDescent="0.25">
      <c r="A4463" s="5" t="s">
        <v>80</v>
      </c>
      <c r="B4463" s="5" t="s">
        <v>40</v>
      </c>
      <c r="C4463" s="5" t="s">
        <v>4940</v>
      </c>
      <c r="D4463" s="3">
        <f>VLOOKUP(A4463,airports!A:H,7,FALSE)</f>
        <v>39.297605279999999</v>
      </c>
      <c r="E4463" s="3">
        <f>VLOOKUP(A4463,airports!A:H,8,FALSE)</f>
        <v>-94.713905560000001</v>
      </c>
      <c r="F4463" s="3">
        <f>VLOOKUP(B4463,airports!A:H,7,FALSE)</f>
        <v>35.214011110000001</v>
      </c>
      <c r="G4463" s="3">
        <f>VLOOKUP(B4463,airports!A:H,8,FALSE)</f>
        <v>-80.94312583</v>
      </c>
      <c r="H4463">
        <f t="shared" si="138"/>
        <v>1298.9000000000001</v>
      </c>
      <c r="I4463">
        <f t="shared" si="139"/>
        <v>807.2</v>
      </c>
    </row>
    <row r="4464" spans="1:9" ht="30" x14ac:dyDescent="0.25">
      <c r="A4464" s="5" t="s">
        <v>80</v>
      </c>
      <c r="B4464" s="5" t="s">
        <v>462</v>
      </c>
      <c r="C4464" s="5" t="s">
        <v>4941</v>
      </c>
      <c r="D4464" s="3">
        <f>VLOOKUP(A4464,airports!A:H,7,FALSE)</f>
        <v>39.297605279999999</v>
      </c>
      <c r="E4464" s="3">
        <f>VLOOKUP(A4464,airports!A:H,8,FALSE)</f>
        <v>-94.713905560000001</v>
      </c>
      <c r="F4464" s="3">
        <f>VLOOKUP(B4464,airports!A:H,7,FALSE)</f>
        <v>39.046142779999997</v>
      </c>
      <c r="G4464" s="3">
        <f>VLOOKUP(B4464,airports!A:H,8,FALSE)</f>
        <v>-84.662172499999997</v>
      </c>
      <c r="H4464">
        <f t="shared" si="138"/>
        <v>866.5</v>
      </c>
      <c r="I4464">
        <f t="shared" si="139"/>
        <v>538.5</v>
      </c>
    </row>
    <row r="4465" spans="1:9" ht="30" x14ac:dyDescent="0.25">
      <c r="A4465" s="5" t="s">
        <v>80</v>
      </c>
      <c r="B4465" s="5" t="s">
        <v>201</v>
      </c>
      <c r="C4465" s="5" t="s">
        <v>4942</v>
      </c>
      <c r="D4465" s="3">
        <f>VLOOKUP(A4465,airports!A:H,7,FALSE)</f>
        <v>39.297605279999999</v>
      </c>
      <c r="E4465" s="3">
        <f>VLOOKUP(A4465,airports!A:H,8,FALSE)</f>
        <v>-94.713905560000001</v>
      </c>
      <c r="F4465" s="3">
        <f>VLOOKUP(B4465,airports!A:H,7,FALSE)</f>
        <v>32.847113890000003</v>
      </c>
      <c r="G4465" s="3">
        <f>VLOOKUP(B4465,airports!A:H,8,FALSE)</f>
        <v>-96.851772220000001</v>
      </c>
      <c r="H4465">
        <f t="shared" si="138"/>
        <v>742.5</v>
      </c>
      <c r="I4465">
        <f t="shared" si="139"/>
        <v>461.4</v>
      </c>
    </row>
    <row r="4466" spans="1:9" ht="30" x14ac:dyDescent="0.25">
      <c r="A4466" s="5" t="s">
        <v>80</v>
      </c>
      <c r="B4466" s="5" t="s">
        <v>45</v>
      </c>
      <c r="C4466" s="5" t="s">
        <v>4943</v>
      </c>
      <c r="D4466" s="3">
        <f>VLOOKUP(A4466,airports!A:H,7,FALSE)</f>
        <v>39.297605279999999</v>
      </c>
      <c r="E4466" s="3">
        <f>VLOOKUP(A4466,airports!A:H,8,FALSE)</f>
        <v>-94.713905560000001</v>
      </c>
      <c r="F4466" s="3">
        <f>VLOOKUP(B4466,airports!A:H,7,FALSE)</f>
        <v>38.852083329999999</v>
      </c>
      <c r="G4466" s="3">
        <f>VLOOKUP(B4466,airports!A:H,8,FALSE)</f>
        <v>-77.037722220000006</v>
      </c>
      <c r="H4466">
        <f t="shared" si="138"/>
        <v>1524.2</v>
      </c>
      <c r="I4466">
        <f t="shared" si="139"/>
        <v>947.2</v>
      </c>
    </row>
    <row r="4467" spans="1:9" ht="30" x14ac:dyDescent="0.25">
      <c r="A4467" s="5" t="s">
        <v>80</v>
      </c>
      <c r="B4467" s="5" t="s">
        <v>47</v>
      </c>
      <c r="C4467" s="5" t="s">
        <v>4944</v>
      </c>
      <c r="D4467" s="3">
        <f>VLOOKUP(A4467,airports!A:H,7,FALSE)</f>
        <v>39.297605279999999</v>
      </c>
      <c r="E4467" s="3">
        <f>VLOOKUP(A4467,airports!A:H,8,FALSE)</f>
        <v>-94.713905560000001</v>
      </c>
      <c r="F4467" s="3">
        <f>VLOOKUP(B4467,airports!A:H,7,FALSE)</f>
        <v>39.858408060000002</v>
      </c>
      <c r="G4467" s="3">
        <f>VLOOKUP(B4467,airports!A:H,8,FALSE)</f>
        <v>-104.6670019</v>
      </c>
      <c r="H4467">
        <f t="shared" si="138"/>
        <v>854.9</v>
      </c>
      <c r="I4467">
        <f t="shared" si="139"/>
        <v>531.20000000000005</v>
      </c>
    </row>
    <row r="4468" spans="1:9" ht="30" x14ac:dyDescent="0.25">
      <c r="A4468" s="5" t="s">
        <v>80</v>
      </c>
      <c r="B4468" s="5" t="s">
        <v>49</v>
      </c>
      <c r="C4468" s="5" t="s">
        <v>4945</v>
      </c>
      <c r="D4468" s="3">
        <f>VLOOKUP(A4468,airports!A:H,7,FALSE)</f>
        <v>39.297605279999999</v>
      </c>
      <c r="E4468" s="3">
        <f>VLOOKUP(A4468,airports!A:H,8,FALSE)</f>
        <v>-94.713905560000001</v>
      </c>
      <c r="F4468" s="3">
        <f>VLOOKUP(B4468,airports!A:H,7,FALSE)</f>
        <v>32.895950560000003</v>
      </c>
      <c r="G4468" s="3">
        <f>VLOOKUP(B4468,airports!A:H,8,FALSE)</f>
        <v>-97.037199999999999</v>
      </c>
      <c r="H4468">
        <f t="shared" si="138"/>
        <v>741.7</v>
      </c>
      <c r="I4468">
        <f t="shared" si="139"/>
        <v>460.9</v>
      </c>
    </row>
    <row r="4469" spans="1:9" ht="30" x14ac:dyDescent="0.25">
      <c r="A4469" s="5" t="s">
        <v>80</v>
      </c>
      <c r="B4469" s="5" t="s">
        <v>50</v>
      </c>
      <c r="C4469" s="5" t="s">
        <v>4946</v>
      </c>
      <c r="D4469" s="3">
        <f>VLOOKUP(A4469,airports!A:H,7,FALSE)</f>
        <v>39.297605279999999</v>
      </c>
      <c r="E4469" s="3">
        <f>VLOOKUP(A4469,airports!A:H,8,FALSE)</f>
        <v>-94.713905560000001</v>
      </c>
      <c r="F4469" s="3">
        <f>VLOOKUP(B4469,airports!A:H,7,FALSE)</f>
        <v>42.212058890000002</v>
      </c>
      <c r="G4469" s="3">
        <f>VLOOKUP(B4469,airports!A:H,8,FALSE)</f>
        <v>-83.348835829999999</v>
      </c>
      <c r="H4469">
        <f t="shared" si="138"/>
        <v>1009.7</v>
      </c>
      <c r="I4469">
        <f t="shared" si="139"/>
        <v>627.4</v>
      </c>
    </row>
    <row r="4470" spans="1:9" ht="30" x14ac:dyDescent="0.25">
      <c r="A4470" s="5" t="s">
        <v>80</v>
      </c>
      <c r="B4470" s="5" t="s">
        <v>477</v>
      </c>
      <c r="C4470" s="5" t="s">
        <v>4947</v>
      </c>
      <c r="D4470" s="3">
        <f>VLOOKUP(A4470,airports!A:H,7,FALSE)</f>
        <v>39.297605279999999</v>
      </c>
      <c r="E4470" s="3">
        <f>VLOOKUP(A4470,airports!A:H,8,FALSE)</f>
        <v>-94.713905560000001</v>
      </c>
      <c r="F4470" s="3">
        <f>VLOOKUP(B4470,airports!A:H,7,FALSE)</f>
        <v>30.357106000000002</v>
      </c>
      <c r="G4470" s="3">
        <f>VLOOKUP(B4470,airports!A:H,8,FALSE)</f>
        <v>-85.795413999999994</v>
      </c>
      <c r="H4470">
        <f t="shared" si="138"/>
        <v>1283.5</v>
      </c>
      <c r="I4470">
        <f t="shared" si="139"/>
        <v>797.6</v>
      </c>
    </row>
    <row r="4471" spans="1:9" ht="30" x14ac:dyDescent="0.25">
      <c r="A4471" s="5" t="s">
        <v>80</v>
      </c>
      <c r="B4471" s="5" t="s">
        <v>52</v>
      </c>
      <c r="C4471" s="5" t="s">
        <v>4948</v>
      </c>
      <c r="D4471" s="3">
        <f>VLOOKUP(A4471,airports!A:H,7,FALSE)</f>
        <v>39.297605279999999</v>
      </c>
      <c r="E4471" s="3">
        <f>VLOOKUP(A4471,airports!A:H,8,FALSE)</f>
        <v>-94.713905560000001</v>
      </c>
      <c r="F4471" s="3">
        <f>VLOOKUP(B4471,airports!A:H,7,FALSE)</f>
        <v>40.69249722</v>
      </c>
      <c r="G4471" s="3">
        <f>VLOOKUP(B4471,airports!A:H,8,FALSE)</f>
        <v>-74.168660560000006</v>
      </c>
      <c r="H4471">
        <f t="shared" si="138"/>
        <v>1753</v>
      </c>
      <c r="I4471">
        <f t="shared" si="139"/>
        <v>1089.3</v>
      </c>
    </row>
    <row r="4472" spans="1:9" x14ac:dyDescent="0.25">
      <c r="A4472" s="5" t="s">
        <v>80</v>
      </c>
      <c r="B4472" s="5" t="s">
        <v>57</v>
      </c>
      <c r="C4472" s="5" t="s">
        <v>4949</v>
      </c>
      <c r="D4472" s="3">
        <f>VLOOKUP(A4472,airports!A:H,7,FALSE)</f>
        <v>39.297605279999999</v>
      </c>
      <c r="E4472" s="3">
        <f>VLOOKUP(A4472,airports!A:H,8,FALSE)</f>
        <v>-94.713905560000001</v>
      </c>
      <c r="F4472" s="3">
        <f>VLOOKUP(B4472,airports!A:H,7,FALSE)</f>
        <v>26.072583330000001</v>
      </c>
      <c r="G4472" s="3">
        <f>VLOOKUP(B4472,airports!A:H,8,FALSE)</f>
        <v>-80.152749999999997</v>
      </c>
      <c r="H4472">
        <f t="shared" si="138"/>
        <v>1999.5</v>
      </c>
      <c r="I4472">
        <f t="shared" si="139"/>
        <v>1242.5</v>
      </c>
    </row>
    <row r="4473" spans="1:9" ht="30" x14ac:dyDescent="0.25">
      <c r="A4473" s="5" t="s">
        <v>80</v>
      </c>
      <c r="B4473" s="5" t="s">
        <v>205</v>
      </c>
      <c r="C4473" s="5" t="s">
        <v>4950</v>
      </c>
      <c r="D4473" s="3">
        <f>VLOOKUP(A4473,airports!A:H,7,FALSE)</f>
        <v>39.297605279999999</v>
      </c>
      <c r="E4473" s="3">
        <f>VLOOKUP(A4473,airports!A:H,8,FALSE)</f>
        <v>-94.713905560000001</v>
      </c>
      <c r="F4473" s="3">
        <f>VLOOKUP(B4473,airports!A:H,7,FALSE)</f>
        <v>29.64541861</v>
      </c>
      <c r="G4473" s="3">
        <f>VLOOKUP(B4473,airports!A:H,8,FALSE)</f>
        <v>-95.278888890000005</v>
      </c>
      <c r="H4473">
        <f t="shared" si="138"/>
        <v>1074.5</v>
      </c>
      <c r="I4473">
        <f t="shared" si="139"/>
        <v>667.7</v>
      </c>
    </row>
    <row r="4474" spans="1:9" x14ac:dyDescent="0.25">
      <c r="A4474" s="5" t="s">
        <v>80</v>
      </c>
      <c r="B4474" s="5" t="s">
        <v>176</v>
      </c>
      <c r="C4474" s="5" t="s">
        <v>4951</v>
      </c>
      <c r="D4474" s="3">
        <f>VLOOKUP(A4474,airports!A:H,7,FALSE)</f>
        <v>39.297605279999999</v>
      </c>
      <c r="E4474" s="3">
        <f>VLOOKUP(A4474,airports!A:H,8,FALSE)</f>
        <v>-94.713905560000001</v>
      </c>
      <c r="F4474" s="3">
        <f>VLOOKUP(B4474,airports!A:H,7,FALSE)</f>
        <v>38.944531939999997</v>
      </c>
      <c r="G4474" s="3">
        <f>VLOOKUP(B4474,airports!A:H,8,FALSE)</f>
        <v>-77.455809720000005</v>
      </c>
      <c r="H4474">
        <f t="shared" si="138"/>
        <v>1487.1</v>
      </c>
      <c r="I4474">
        <f t="shared" si="139"/>
        <v>924.1</v>
      </c>
    </row>
    <row r="4475" spans="1:9" x14ac:dyDescent="0.25">
      <c r="A4475" s="5" t="s">
        <v>80</v>
      </c>
      <c r="B4475" s="5" t="s">
        <v>67</v>
      </c>
      <c r="C4475" s="5" t="s">
        <v>4952</v>
      </c>
      <c r="D4475" s="3">
        <f>VLOOKUP(A4475,airports!A:H,7,FALSE)</f>
        <v>39.297605279999999</v>
      </c>
      <c r="E4475" s="3">
        <f>VLOOKUP(A4475,airports!A:H,8,FALSE)</f>
        <v>-94.713905560000001</v>
      </c>
      <c r="F4475" s="3">
        <f>VLOOKUP(B4475,airports!A:H,7,FALSE)</f>
        <v>29.980472219999999</v>
      </c>
      <c r="G4475" s="3">
        <f>VLOOKUP(B4475,airports!A:H,8,FALSE)</f>
        <v>-95.339722219999999</v>
      </c>
      <c r="H4475">
        <f t="shared" si="138"/>
        <v>1037.5999999999999</v>
      </c>
      <c r="I4475">
        <f t="shared" si="139"/>
        <v>644.79999999999995</v>
      </c>
    </row>
    <row r="4476" spans="1:9" ht="30" x14ac:dyDescent="0.25">
      <c r="A4476" s="5" t="s">
        <v>80</v>
      </c>
      <c r="B4476" s="5" t="s">
        <v>537</v>
      </c>
      <c r="C4476" s="5" t="s">
        <v>4953</v>
      </c>
      <c r="D4476" s="3">
        <f>VLOOKUP(A4476,airports!A:H,7,FALSE)</f>
        <v>39.297605279999999</v>
      </c>
      <c r="E4476" s="3">
        <f>VLOOKUP(A4476,airports!A:H,8,FALSE)</f>
        <v>-94.713905560000001</v>
      </c>
      <c r="F4476" s="3">
        <f>VLOOKUP(B4476,airports!A:H,7,FALSE)</f>
        <v>39.717329169999999</v>
      </c>
      <c r="G4476" s="3">
        <f>VLOOKUP(B4476,airports!A:H,8,FALSE)</f>
        <v>-86.294384170000001</v>
      </c>
      <c r="H4476">
        <f t="shared" si="138"/>
        <v>723.6</v>
      </c>
      <c r="I4476">
        <f t="shared" si="139"/>
        <v>449.6</v>
      </c>
    </row>
    <row r="4477" spans="1:9" x14ac:dyDescent="0.25">
      <c r="A4477" s="5" t="s">
        <v>80</v>
      </c>
      <c r="B4477" s="5" t="s">
        <v>68</v>
      </c>
      <c r="C4477" s="5" t="s">
        <v>4954</v>
      </c>
      <c r="D4477" s="3">
        <f>VLOOKUP(A4477,airports!A:H,7,FALSE)</f>
        <v>39.297605279999999</v>
      </c>
      <c r="E4477" s="3">
        <f>VLOOKUP(A4477,airports!A:H,8,FALSE)</f>
        <v>-94.713905560000001</v>
      </c>
      <c r="F4477" s="3">
        <f>VLOOKUP(B4477,airports!A:H,7,FALSE)</f>
        <v>30.49405556</v>
      </c>
      <c r="G4477" s="3">
        <f>VLOOKUP(B4477,airports!A:H,8,FALSE)</f>
        <v>-81.68786111</v>
      </c>
      <c r="H4477">
        <f t="shared" si="138"/>
        <v>1536.5</v>
      </c>
      <c r="I4477">
        <f t="shared" si="139"/>
        <v>954.8</v>
      </c>
    </row>
    <row r="4478" spans="1:9" x14ac:dyDescent="0.25">
      <c r="A4478" s="5" t="s">
        <v>80</v>
      </c>
      <c r="B4478" s="5" t="s">
        <v>69</v>
      </c>
      <c r="C4478" s="5" t="s">
        <v>4955</v>
      </c>
      <c r="D4478" s="3">
        <f>VLOOKUP(A4478,airports!A:H,7,FALSE)</f>
        <v>39.297605279999999</v>
      </c>
      <c r="E4478" s="3">
        <f>VLOOKUP(A4478,airports!A:H,8,FALSE)</f>
        <v>-94.713905560000001</v>
      </c>
      <c r="F4478" s="3">
        <f>VLOOKUP(B4478,airports!A:H,7,FALSE)</f>
        <v>40.639751109999999</v>
      </c>
      <c r="G4478" s="3">
        <f>VLOOKUP(B4478,airports!A:H,8,FALSE)</f>
        <v>-73.778925560000005</v>
      </c>
      <c r="H4478">
        <f t="shared" si="138"/>
        <v>1786.1</v>
      </c>
      <c r="I4478">
        <f t="shared" si="139"/>
        <v>1109.9000000000001</v>
      </c>
    </row>
    <row r="4479" spans="1:9" x14ac:dyDescent="0.25">
      <c r="A4479" s="5" t="s">
        <v>80</v>
      </c>
      <c r="B4479" s="5" t="s">
        <v>71</v>
      </c>
      <c r="C4479" s="5" t="s">
        <v>4956</v>
      </c>
      <c r="D4479" s="3">
        <f>VLOOKUP(A4479,airports!A:H,7,FALSE)</f>
        <v>39.297605279999999</v>
      </c>
      <c r="E4479" s="3">
        <f>VLOOKUP(A4479,airports!A:H,8,FALSE)</f>
        <v>-94.713905560000001</v>
      </c>
      <c r="F4479" s="3">
        <f>VLOOKUP(B4479,airports!A:H,7,FALSE)</f>
        <v>36.080361109999998</v>
      </c>
      <c r="G4479" s="3">
        <f>VLOOKUP(B4479,airports!A:H,8,FALSE)</f>
        <v>-115.1523333</v>
      </c>
      <c r="H4479">
        <f t="shared" si="138"/>
        <v>1829.5</v>
      </c>
      <c r="I4479">
        <f t="shared" si="139"/>
        <v>1136.9000000000001</v>
      </c>
    </row>
    <row r="4480" spans="1:9" ht="30" x14ac:dyDescent="0.25">
      <c r="A4480" s="5" t="s">
        <v>80</v>
      </c>
      <c r="B4480" s="5" t="s">
        <v>73</v>
      </c>
      <c r="C4480" s="5" t="s">
        <v>4957</v>
      </c>
      <c r="D4480" s="3">
        <f>VLOOKUP(A4480,airports!A:H,7,FALSE)</f>
        <v>39.297605279999999</v>
      </c>
      <c r="E4480" s="3">
        <f>VLOOKUP(A4480,airports!A:H,8,FALSE)</f>
        <v>-94.713905560000001</v>
      </c>
      <c r="F4480" s="3">
        <f>VLOOKUP(B4480,airports!A:H,7,FALSE)</f>
        <v>33.942536109999999</v>
      </c>
      <c r="G4480" s="3">
        <f>VLOOKUP(B4480,airports!A:H,8,FALSE)</f>
        <v>-118.4080744</v>
      </c>
      <c r="H4480">
        <f t="shared" si="138"/>
        <v>2189.6999999999998</v>
      </c>
      <c r="I4480">
        <f t="shared" si="139"/>
        <v>1360.7</v>
      </c>
    </row>
    <row r="4481" spans="1:9" ht="30" x14ac:dyDescent="0.25">
      <c r="A4481" s="5" t="s">
        <v>80</v>
      </c>
      <c r="B4481" s="5" t="s">
        <v>74</v>
      </c>
      <c r="C4481" s="5" t="s">
        <v>4958</v>
      </c>
      <c r="D4481" s="3">
        <f>VLOOKUP(A4481,airports!A:H,7,FALSE)</f>
        <v>39.297605279999999</v>
      </c>
      <c r="E4481" s="3">
        <f>VLOOKUP(A4481,airports!A:H,8,FALSE)</f>
        <v>-94.713905560000001</v>
      </c>
      <c r="F4481" s="3">
        <f>VLOOKUP(B4481,airports!A:H,7,FALSE)</f>
        <v>40.777243060000004</v>
      </c>
      <c r="G4481" s="3">
        <f>VLOOKUP(B4481,airports!A:H,8,FALSE)</f>
        <v>-73.872609170000004</v>
      </c>
      <c r="H4481">
        <f t="shared" si="138"/>
        <v>1777.7</v>
      </c>
      <c r="I4481">
        <f t="shared" si="139"/>
        <v>1104.7</v>
      </c>
    </row>
    <row r="4482" spans="1:9" ht="30" x14ac:dyDescent="0.25">
      <c r="A4482" s="5" t="s">
        <v>80</v>
      </c>
      <c r="B4482" s="5" t="s">
        <v>82</v>
      </c>
      <c r="C4482" s="5" t="s">
        <v>4959</v>
      </c>
      <c r="D4482" s="3">
        <f>VLOOKUP(A4482,airports!A:H,7,FALSE)</f>
        <v>39.297605279999999</v>
      </c>
      <c r="E4482" s="3">
        <f>VLOOKUP(A4482,airports!A:H,8,FALSE)</f>
        <v>-94.713905560000001</v>
      </c>
      <c r="F4482" s="3">
        <f>VLOOKUP(B4482,airports!A:H,7,FALSE)</f>
        <v>28.42888889</v>
      </c>
      <c r="G4482" s="3">
        <f>VLOOKUP(B4482,airports!A:H,8,FALSE)</f>
        <v>-81.316027779999999</v>
      </c>
      <c r="H4482">
        <f t="shared" si="138"/>
        <v>1725.7</v>
      </c>
      <c r="I4482">
        <f t="shared" si="139"/>
        <v>1072.3</v>
      </c>
    </row>
    <row r="4483" spans="1:9" ht="30" x14ac:dyDescent="0.25">
      <c r="A4483" s="5" t="s">
        <v>80</v>
      </c>
      <c r="B4483" s="5" t="s">
        <v>180</v>
      </c>
      <c r="C4483" s="5" t="s">
        <v>4960</v>
      </c>
      <c r="D4483" s="3">
        <f>VLOOKUP(A4483,airports!A:H,7,FALSE)</f>
        <v>39.297605279999999</v>
      </c>
      <c r="E4483" s="3">
        <f>VLOOKUP(A4483,airports!A:H,8,FALSE)</f>
        <v>-94.713905560000001</v>
      </c>
      <c r="F4483" s="3">
        <f>VLOOKUP(B4483,airports!A:H,7,FALSE)</f>
        <v>41.785982500000003</v>
      </c>
      <c r="G4483" s="3">
        <f>VLOOKUP(B4483,airports!A:H,8,FALSE)</f>
        <v>-87.752424439999999</v>
      </c>
      <c r="H4483">
        <f t="shared" si="138"/>
        <v>649.79999999999995</v>
      </c>
      <c r="I4483">
        <f t="shared" si="139"/>
        <v>403.8</v>
      </c>
    </row>
    <row r="4484" spans="1:9" ht="30" x14ac:dyDescent="0.25">
      <c r="A4484" s="5" t="s">
        <v>80</v>
      </c>
      <c r="B4484" s="5" t="s">
        <v>84</v>
      </c>
      <c r="C4484" s="5" t="s">
        <v>4961</v>
      </c>
      <c r="D4484" s="3">
        <f>VLOOKUP(A4484,airports!A:H,7,FALSE)</f>
        <v>39.297605279999999</v>
      </c>
      <c r="E4484" s="3">
        <f>VLOOKUP(A4484,airports!A:H,8,FALSE)</f>
        <v>-94.713905560000001</v>
      </c>
      <c r="F4484" s="3">
        <f>VLOOKUP(B4484,airports!A:H,7,FALSE)</f>
        <v>25.79325</v>
      </c>
      <c r="G4484" s="3">
        <f>VLOOKUP(B4484,airports!A:H,8,FALSE)</f>
        <v>-80.290555560000001</v>
      </c>
      <c r="H4484">
        <f t="shared" ref="H4484:H4547" si="140">ROUND(ACOS(COS(RADIANS(90-D4484)) * COS(RADIANS(90-F4484)) + SIN(RADIANS(90-D4484)) * SIN(RADIANS(90-F4484)) * COS(RADIANS(E4484-G4484))) * 6371,1)</f>
        <v>2015.2</v>
      </c>
      <c r="I4484">
        <f t="shared" ref="I4484:I4547" si="141">ROUND(ACOS(COS(RADIANS(90-D4484)) * COS(RADIANS(90-F4484)) + SIN(RADIANS(90-D4484)) * SIN(RADIANS(90-F4484)) * COS(RADIANS(E4484-G4484))) * 3959,1)</f>
        <v>1252.3</v>
      </c>
    </row>
    <row r="4485" spans="1:9" ht="30" x14ac:dyDescent="0.25">
      <c r="A4485" s="5" t="s">
        <v>80</v>
      </c>
      <c r="B4485" s="5" t="s">
        <v>85</v>
      </c>
      <c r="C4485" s="5" t="s">
        <v>4962</v>
      </c>
      <c r="D4485" s="3">
        <f>VLOOKUP(A4485,airports!A:H,7,FALSE)</f>
        <v>39.297605279999999</v>
      </c>
      <c r="E4485" s="3">
        <f>VLOOKUP(A4485,airports!A:H,8,FALSE)</f>
        <v>-94.713905560000001</v>
      </c>
      <c r="F4485" s="3">
        <f>VLOOKUP(B4485,airports!A:H,7,FALSE)</f>
        <v>42.94722222</v>
      </c>
      <c r="G4485" s="3">
        <f>VLOOKUP(B4485,airports!A:H,8,FALSE)</f>
        <v>-87.896583329999999</v>
      </c>
      <c r="H4485">
        <f t="shared" si="140"/>
        <v>700.2</v>
      </c>
      <c r="I4485">
        <f t="shared" si="141"/>
        <v>435.1</v>
      </c>
    </row>
    <row r="4486" spans="1:9" ht="30" x14ac:dyDescent="0.25">
      <c r="A4486" s="5" t="s">
        <v>80</v>
      </c>
      <c r="B4486" s="5" t="s">
        <v>87</v>
      </c>
      <c r="C4486" s="5" t="s">
        <v>4963</v>
      </c>
      <c r="D4486" s="3">
        <f>VLOOKUP(A4486,airports!A:H,7,FALSE)</f>
        <v>39.297605279999999</v>
      </c>
      <c r="E4486" s="3">
        <f>VLOOKUP(A4486,airports!A:H,8,FALSE)</f>
        <v>-94.713905560000001</v>
      </c>
      <c r="F4486" s="3">
        <f>VLOOKUP(B4486,airports!A:H,7,FALSE)</f>
        <v>44.880546940000002</v>
      </c>
      <c r="G4486" s="3">
        <f>VLOOKUP(B4486,airports!A:H,8,FALSE)</f>
        <v>-93.216922499999995</v>
      </c>
      <c r="H4486">
        <f t="shared" si="140"/>
        <v>632.9</v>
      </c>
      <c r="I4486">
        <f t="shared" si="141"/>
        <v>393.3</v>
      </c>
    </row>
    <row r="4487" spans="1:9" ht="30" x14ac:dyDescent="0.25">
      <c r="A4487" s="5" t="s">
        <v>80</v>
      </c>
      <c r="B4487" s="5" t="s">
        <v>89</v>
      </c>
      <c r="C4487" s="5" t="s">
        <v>4964</v>
      </c>
      <c r="D4487" s="3">
        <f>VLOOKUP(A4487,airports!A:H,7,FALSE)</f>
        <v>39.297605279999999</v>
      </c>
      <c r="E4487" s="3">
        <f>VLOOKUP(A4487,airports!A:H,8,FALSE)</f>
        <v>-94.713905560000001</v>
      </c>
      <c r="F4487" s="3">
        <f>VLOOKUP(B4487,airports!A:H,7,FALSE)</f>
        <v>29.993388889999999</v>
      </c>
      <c r="G4487" s="3">
        <f>VLOOKUP(B4487,airports!A:H,8,FALSE)</f>
        <v>-90.258027780000006</v>
      </c>
      <c r="H4487">
        <f t="shared" si="140"/>
        <v>1111.5999999999999</v>
      </c>
      <c r="I4487">
        <f t="shared" si="141"/>
        <v>690.7</v>
      </c>
    </row>
    <row r="4488" spans="1:9" ht="30" x14ac:dyDescent="0.25">
      <c r="A4488" s="5" t="s">
        <v>80</v>
      </c>
      <c r="B4488" s="5" t="s">
        <v>182</v>
      </c>
      <c r="C4488" s="5" t="s">
        <v>4965</v>
      </c>
      <c r="D4488" s="3">
        <f>VLOOKUP(A4488,airports!A:H,7,FALSE)</f>
        <v>39.297605279999999</v>
      </c>
      <c r="E4488" s="3">
        <f>VLOOKUP(A4488,airports!A:H,8,FALSE)</f>
        <v>-94.713905560000001</v>
      </c>
      <c r="F4488" s="3">
        <f>VLOOKUP(B4488,airports!A:H,7,FALSE)</f>
        <v>33.679749999999999</v>
      </c>
      <c r="G4488" s="3">
        <f>VLOOKUP(B4488,airports!A:H,8,FALSE)</f>
        <v>-78.928333330000001</v>
      </c>
      <c r="H4488">
        <f t="shared" si="140"/>
        <v>1540.5</v>
      </c>
      <c r="I4488">
        <f t="shared" si="141"/>
        <v>957.3</v>
      </c>
    </row>
    <row r="4489" spans="1:9" ht="30" x14ac:dyDescent="0.25">
      <c r="A4489" s="5" t="s">
        <v>80</v>
      </c>
      <c r="B4489" s="5" t="s">
        <v>215</v>
      </c>
      <c r="C4489" s="5" t="s">
        <v>4966</v>
      </c>
      <c r="D4489" s="3">
        <f>VLOOKUP(A4489,airports!A:H,7,FALSE)</f>
        <v>39.297605279999999</v>
      </c>
      <c r="E4489" s="3">
        <f>VLOOKUP(A4489,airports!A:H,8,FALSE)</f>
        <v>-94.713905560000001</v>
      </c>
      <c r="F4489" s="3">
        <f>VLOOKUP(B4489,airports!A:H,7,FALSE)</f>
        <v>37.721290830000001</v>
      </c>
      <c r="G4489" s="3">
        <f>VLOOKUP(B4489,airports!A:H,8,FALSE)</f>
        <v>-122.2207167</v>
      </c>
      <c r="H4489">
        <f t="shared" si="140"/>
        <v>2390.6</v>
      </c>
      <c r="I4489">
        <f t="shared" si="141"/>
        <v>1485.5</v>
      </c>
    </row>
    <row r="4490" spans="1:9" ht="30" x14ac:dyDescent="0.25">
      <c r="A4490" s="5" t="s">
        <v>80</v>
      </c>
      <c r="B4490" s="5" t="s">
        <v>95</v>
      </c>
      <c r="C4490" s="5" t="s">
        <v>4967</v>
      </c>
      <c r="D4490" s="3">
        <f>VLOOKUP(A4490,airports!A:H,7,FALSE)</f>
        <v>39.297605279999999</v>
      </c>
      <c r="E4490" s="3">
        <f>VLOOKUP(A4490,airports!A:H,8,FALSE)</f>
        <v>-94.713905560000001</v>
      </c>
      <c r="F4490" s="3">
        <f>VLOOKUP(B4490,airports!A:H,7,FALSE)</f>
        <v>41.979595000000003</v>
      </c>
      <c r="G4490" s="3">
        <f>VLOOKUP(B4490,airports!A:H,8,FALSE)</f>
        <v>-87.904464169999997</v>
      </c>
      <c r="H4490">
        <f t="shared" si="140"/>
        <v>647.1</v>
      </c>
      <c r="I4490">
        <f t="shared" si="141"/>
        <v>402.1</v>
      </c>
    </row>
    <row r="4491" spans="1:9" ht="30" x14ac:dyDescent="0.25">
      <c r="A4491" s="5" t="s">
        <v>80</v>
      </c>
      <c r="B4491" s="5" t="s">
        <v>100</v>
      </c>
      <c r="C4491" s="5" t="s">
        <v>4968</v>
      </c>
      <c r="D4491" s="3">
        <f>VLOOKUP(A4491,airports!A:H,7,FALSE)</f>
        <v>39.297605279999999</v>
      </c>
      <c r="E4491" s="3">
        <f>VLOOKUP(A4491,airports!A:H,8,FALSE)</f>
        <v>-94.713905560000001</v>
      </c>
      <c r="F4491" s="3">
        <f>VLOOKUP(B4491,airports!A:H,7,FALSE)</f>
        <v>45.588722220000001</v>
      </c>
      <c r="G4491" s="3">
        <f>VLOOKUP(B4491,airports!A:H,8,FALSE)</f>
        <v>-122.5975</v>
      </c>
      <c r="H4491">
        <f t="shared" si="140"/>
        <v>2378.6999999999998</v>
      </c>
      <c r="I4491">
        <f t="shared" si="141"/>
        <v>1478.2</v>
      </c>
    </row>
    <row r="4492" spans="1:9" ht="30" x14ac:dyDescent="0.25">
      <c r="A4492" s="5" t="s">
        <v>80</v>
      </c>
      <c r="B4492" s="5" t="s">
        <v>185</v>
      </c>
      <c r="C4492" s="5" t="s">
        <v>4969</v>
      </c>
      <c r="D4492" s="3">
        <f>VLOOKUP(A4492,airports!A:H,7,FALSE)</f>
        <v>39.297605279999999</v>
      </c>
      <c r="E4492" s="3">
        <f>VLOOKUP(A4492,airports!A:H,8,FALSE)</f>
        <v>-94.713905560000001</v>
      </c>
      <c r="F4492" s="3">
        <f>VLOOKUP(B4492,airports!A:H,7,FALSE)</f>
        <v>26.919699999999999</v>
      </c>
      <c r="G4492" s="3">
        <f>VLOOKUP(B4492,airports!A:H,8,FALSE)</f>
        <v>-81.995999999999995</v>
      </c>
      <c r="H4492">
        <f t="shared" si="140"/>
        <v>1812</v>
      </c>
      <c r="I4492">
        <f t="shared" si="141"/>
        <v>1126</v>
      </c>
    </row>
    <row r="4493" spans="1:9" ht="30" x14ac:dyDescent="0.25">
      <c r="A4493" s="5" t="s">
        <v>80</v>
      </c>
      <c r="B4493" s="5" t="s">
        <v>102</v>
      </c>
      <c r="C4493" s="5" t="s">
        <v>4970</v>
      </c>
      <c r="D4493" s="3">
        <f>VLOOKUP(A4493,airports!A:H,7,FALSE)</f>
        <v>39.297605279999999</v>
      </c>
      <c r="E4493" s="3">
        <f>VLOOKUP(A4493,airports!A:H,8,FALSE)</f>
        <v>-94.713905560000001</v>
      </c>
      <c r="F4493" s="3">
        <f>VLOOKUP(B4493,airports!A:H,7,FALSE)</f>
        <v>39.871952780000001</v>
      </c>
      <c r="G4493" s="3">
        <f>VLOOKUP(B4493,airports!A:H,8,FALSE)</f>
        <v>-75.241140830000006</v>
      </c>
      <c r="H4493">
        <f t="shared" si="140"/>
        <v>1666.7</v>
      </c>
      <c r="I4493">
        <f t="shared" si="141"/>
        <v>1035.7</v>
      </c>
    </row>
    <row r="4494" spans="1:9" ht="30" x14ac:dyDescent="0.25">
      <c r="A4494" s="5" t="s">
        <v>80</v>
      </c>
      <c r="B4494" s="5" t="s">
        <v>104</v>
      </c>
      <c r="C4494" s="5" t="s">
        <v>4971</v>
      </c>
      <c r="D4494" s="3">
        <f>VLOOKUP(A4494,airports!A:H,7,FALSE)</f>
        <v>39.297605279999999</v>
      </c>
      <c r="E4494" s="3">
        <f>VLOOKUP(A4494,airports!A:H,8,FALSE)</f>
        <v>-94.713905560000001</v>
      </c>
      <c r="F4494" s="3">
        <f>VLOOKUP(B4494,airports!A:H,7,FALSE)</f>
        <v>33.434166670000003</v>
      </c>
      <c r="G4494" s="3">
        <f>VLOOKUP(B4494,airports!A:H,8,FALSE)</f>
        <v>-112.00805560000001</v>
      </c>
      <c r="H4494">
        <f t="shared" si="140"/>
        <v>1676.6</v>
      </c>
      <c r="I4494">
        <f t="shared" si="141"/>
        <v>1041.9000000000001</v>
      </c>
    </row>
    <row r="4495" spans="1:9" x14ac:dyDescent="0.25">
      <c r="A4495" s="5" t="s">
        <v>80</v>
      </c>
      <c r="B4495" s="5" t="s">
        <v>188</v>
      </c>
      <c r="C4495" s="5" t="s">
        <v>4972</v>
      </c>
      <c r="D4495" s="3">
        <f>VLOOKUP(A4495,airports!A:H,7,FALSE)</f>
        <v>39.297605279999999</v>
      </c>
      <c r="E4495" s="3">
        <f>VLOOKUP(A4495,airports!A:H,8,FALSE)</f>
        <v>-94.713905560000001</v>
      </c>
      <c r="F4495" s="3">
        <f>VLOOKUP(B4495,airports!A:H,7,FALSE)</f>
        <v>27.910763330000002</v>
      </c>
      <c r="G4495" s="3">
        <f>VLOOKUP(B4495,airports!A:H,8,FALSE)</f>
        <v>-82.687439440000006</v>
      </c>
      <c r="H4495">
        <f t="shared" si="140"/>
        <v>1683.1</v>
      </c>
      <c r="I4495">
        <f t="shared" si="141"/>
        <v>1045.9000000000001</v>
      </c>
    </row>
    <row r="4496" spans="1:9" ht="30" x14ac:dyDescent="0.25">
      <c r="A4496" s="5" t="s">
        <v>80</v>
      </c>
      <c r="B4496" s="5" t="s">
        <v>607</v>
      </c>
      <c r="C4496" s="5" t="s">
        <v>4973</v>
      </c>
      <c r="D4496" s="3">
        <f>VLOOKUP(A4496,airports!A:H,7,FALSE)</f>
        <v>39.297605279999999</v>
      </c>
      <c r="E4496" s="3">
        <f>VLOOKUP(A4496,airports!A:H,8,FALSE)</f>
        <v>-94.713905560000001</v>
      </c>
      <c r="F4496" s="3">
        <f>VLOOKUP(B4496,airports!A:H,7,FALSE)</f>
        <v>30.47330556</v>
      </c>
      <c r="G4496" s="3">
        <f>VLOOKUP(B4496,airports!A:H,8,FALSE)</f>
        <v>-87.187444439999993</v>
      </c>
      <c r="H4496">
        <f t="shared" si="140"/>
        <v>1196.5</v>
      </c>
      <c r="I4496">
        <f t="shared" si="141"/>
        <v>743.5</v>
      </c>
    </row>
    <row r="4497" spans="1:9" ht="30" x14ac:dyDescent="0.25">
      <c r="A4497" s="5" t="s">
        <v>80</v>
      </c>
      <c r="B4497" s="5" t="s">
        <v>119</v>
      </c>
      <c r="C4497" s="5" t="s">
        <v>4974</v>
      </c>
      <c r="D4497" s="3">
        <f>VLOOKUP(A4497,airports!A:H,7,FALSE)</f>
        <v>39.297605279999999</v>
      </c>
      <c r="E4497" s="3">
        <f>VLOOKUP(A4497,airports!A:H,8,FALSE)</f>
        <v>-94.713905560000001</v>
      </c>
      <c r="F4497" s="3">
        <f>VLOOKUP(B4497,airports!A:H,7,FALSE)</f>
        <v>35.87763889</v>
      </c>
      <c r="G4497" s="3">
        <f>VLOOKUP(B4497,airports!A:H,8,FALSE)</f>
        <v>-78.787472219999998</v>
      </c>
      <c r="H4497">
        <f t="shared" si="140"/>
        <v>1451.8</v>
      </c>
      <c r="I4497">
        <f t="shared" si="141"/>
        <v>902.1</v>
      </c>
    </row>
    <row r="4498" spans="1:9" ht="30" x14ac:dyDescent="0.25">
      <c r="A4498" s="5" t="s">
        <v>80</v>
      </c>
      <c r="B4498" s="5" t="s">
        <v>123</v>
      </c>
      <c r="C4498" s="5" t="s">
        <v>4975</v>
      </c>
      <c r="D4498" s="3">
        <f>VLOOKUP(A4498,airports!A:H,7,FALSE)</f>
        <v>39.297605279999999</v>
      </c>
      <c r="E4498" s="3">
        <f>VLOOKUP(A4498,airports!A:H,8,FALSE)</f>
        <v>-94.713905560000001</v>
      </c>
      <c r="F4498" s="3">
        <f>VLOOKUP(B4498,airports!A:H,7,FALSE)</f>
        <v>26.53616667</v>
      </c>
      <c r="G4498" s="3">
        <f>VLOOKUP(B4498,airports!A:H,8,FALSE)</f>
        <v>-81.755166669999994</v>
      </c>
      <c r="H4498">
        <f t="shared" si="140"/>
        <v>1860.4</v>
      </c>
      <c r="I4498">
        <f t="shared" si="141"/>
        <v>1156.0999999999999</v>
      </c>
    </row>
    <row r="4499" spans="1:9" ht="30" x14ac:dyDescent="0.25">
      <c r="A4499" s="5" t="s">
        <v>80</v>
      </c>
      <c r="B4499" s="5" t="s">
        <v>124</v>
      </c>
      <c r="C4499" s="5" t="s">
        <v>4976</v>
      </c>
      <c r="D4499" s="3">
        <f>VLOOKUP(A4499,airports!A:H,7,FALSE)</f>
        <v>39.297605279999999</v>
      </c>
      <c r="E4499" s="3">
        <f>VLOOKUP(A4499,airports!A:H,8,FALSE)</f>
        <v>-94.713905560000001</v>
      </c>
      <c r="F4499" s="3">
        <f>VLOOKUP(B4499,airports!A:H,7,FALSE)</f>
        <v>32.733556110000002</v>
      </c>
      <c r="G4499" s="3">
        <f>VLOOKUP(B4499,airports!A:H,8,FALSE)</f>
        <v>-117.1896567</v>
      </c>
      <c r="H4499">
        <f t="shared" si="140"/>
        <v>2142.3000000000002</v>
      </c>
      <c r="I4499">
        <f t="shared" si="141"/>
        <v>1331.2</v>
      </c>
    </row>
    <row r="4500" spans="1:9" ht="30" x14ac:dyDescent="0.25">
      <c r="A4500" s="5" t="s">
        <v>80</v>
      </c>
      <c r="B4500" s="5" t="s">
        <v>125</v>
      </c>
      <c r="C4500" s="5" t="s">
        <v>4977</v>
      </c>
      <c r="D4500" s="3">
        <f>VLOOKUP(A4500,airports!A:H,7,FALSE)</f>
        <v>39.297605279999999</v>
      </c>
      <c r="E4500" s="3">
        <f>VLOOKUP(A4500,airports!A:H,8,FALSE)</f>
        <v>-94.713905560000001</v>
      </c>
      <c r="F4500" s="3">
        <f>VLOOKUP(B4500,airports!A:H,7,FALSE)</f>
        <v>29.533694440000001</v>
      </c>
      <c r="G4500" s="3">
        <f>VLOOKUP(B4500,airports!A:H,8,FALSE)</f>
        <v>-98.469777780000001</v>
      </c>
      <c r="H4500">
        <f t="shared" si="140"/>
        <v>1138.7</v>
      </c>
      <c r="I4500">
        <f t="shared" si="141"/>
        <v>707.6</v>
      </c>
    </row>
    <row r="4501" spans="1:9" ht="30" x14ac:dyDescent="0.25">
      <c r="A4501" s="5" t="s">
        <v>80</v>
      </c>
      <c r="B4501" s="5" t="s">
        <v>128</v>
      </c>
      <c r="C4501" s="5" t="s">
        <v>4978</v>
      </c>
      <c r="D4501" s="3">
        <f>VLOOKUP(A4501,airports!A:H,7,FALSE)</f>
        <v>39.297605279999999</v>
      </c>
      <c r="E4501" s="3">
        <f>VLOOKUP(A4501,airports!A:H,8,FALSE)</f>
        <v>-94.713905560000001</v>
      </c>
      <c r="F4501" s="3">
        <f>VLOOKUP(B4501,airports!A:H,7,FALSE)</f>
        <v>47.448981940000003</v>
      </c>
      <c r="G4501" s="3">
        <f>VLOOKUP(B4501,airports!A:H,8,FALSE)</f>
        <v>-122.3093131</v>
      </c>
      <c r="H4501">
        <f t="shared" si="140"/>
        <v>2391.6</v>
      </c>
      <c r="I4501">
        <f t="shared" si="141"/>
        <v>1486.2</v>
      </c>
    </row>
    <row r="4502" spans="1:9" x14ac:dyDescent="0.25">
      <c r="A4502" s="5" t="s">
        <v>80</v>
      </c>
      <c r="B4502" s="5" t="s">
        <v>191</v>
      </c>
      <c r="C4502" s="5" t="s">
        <v>4979</v>
      </c>
      <c r="D4502" s="3">
        <f>VLOOKUP(A4502,airports!A:H,7,FALSE)</f>
        <v>39.297605279999999</v>
      </c>
      <c r="E4502" s="3">
        <f>VLOOKUP(A4502,airports!A:H,8,FALSE)</f>
        <v>-94.713905560000001</v>
      </c>
      <c r="F4502" s="3">
        <f>VLOOKUP(B4502,airports!A:H,7,FALSE)</f>
        <v>28.7776</v>
      </c>
      <c r="G4502" s="3">
        <f>VLOOKUP(B4502,airports!A:H,8,FALSE)</f>
        <v>-81.237499999999997</v>
      </c>
      <c r="H4502">
        <f t="shared" si="140"/>
        <v>1702.3</v>
      </c>
      <c r="I4502">
        <f t="shared" si="141"/>
        <v>1057.8</v>
      </c>
    </row>
    <row r="4503" spans="1:9" ht="30" x14ac:dyDescent="0.25">
      <c r="A4503" s="5" t="s">
        <v>80</v>
      </c>
      <c r="B4503" s="5" t="s">
        <v>130</v>
      </c>
      <c r="C4503" s="5" t="s">
        <v>4980</v>
      </c>
      <c r="D4503" s="3">
        <f>VLOOKUP(A4503,airports!A:H,7,FALSE)</f>
        <v>39.297605279999999</v>
      </c>
      <c r="E4503" s="3">
        <f>VLOOKUP(A4503,airports!A:H,8,FALSE)</f>
        <v>-94.713905560000001</v>
      </c>
      <c r="F4503" s="3">
        <f>VLOOKUP(B4503,airports!A:H,7,FALSE)</f>
        <v>37.619001939999997</v>
      </c>
      <c r="G4503" s="3">
        <f>VLOOKUP(B4503,airports!A:H,8,FALSE)</f>
        <v>-122.37484329999999</v>
      </c>
      <c r="H4503">
        <f t="shared" si="140"/>
        <v>2406.3000000000002</v>
      </c>
      <c r="I4503">
        <f t="shared" si="141"/>
        <v>1495.3</v>
      </c>
    </row>
    <row r="4504" spans="1:9" x14ac:dyDescent="0.25">
      <c r="A4504" s="5" t="s">
        <v>80</v>
      </c>
      <c r="B4504" s="5" t="s">
        <v>135</v>
      </c>
      <c r="C4504" s="5" t="s">
        <v>4981</v>
      </c>
      <c r="D4504" s="3">
        <f>VLOOKUP(A4504,airports!A:H,7,FALSE)</f>
        <v>39.297605279999999</v>
      </c>
      <c r="E4504" s="3">
        <f>VLOOKUP(A4504,airports!A:H,8,FALSE)</f>
        <v>-94.713905560000001</v>
      </c>
      <c r="F4504" s="3">
        <f>VLOOKUP(B4504,airports!A:H,7,FALSE)</f>
        <v>40.788387780000001</v>
      </c>
      <c r="G4504" s="3">
        <f>VLOOKUP(B4504,airports!A:H,8,FALSE)</f>
        <v>-111.97777309999999</v>
      </c>
      <c r="H4504">
        <f t="shared" si="140"/>
        <v>1476.5</v>
      </c>
      <c r="I4504">
        <f t="shared" si="141"/>
        <v>917.5</v>
      </c>
    </row>
    <row r="4505" spans="1:9" ht="30" x14ac:dyDescent="0.25">
      <c r="A4505" s="5" t="s">
        <v>80</v>
      </c>
      <c r="B4505" s="5" t="s">
        <v>227</v>
      </c>
      <c r="C4505" s="5" t="s">
        <v>4982</v>
      </c>
      <c r="D4505" s="3">
        <f>VLOOKUP(A4505,airports!A:H,7,FALSE)</f>
        <v>39.297605279999999</v>
      </c>
      <c r="E4505" s="3">
        <f>VLOOKUP(A4505,airports!A:H,8,FALSE)</f>
        <v>-94.713905560000001</v>
      </c>
      <c r="F4505" s="3">
        <f>VLOOKUP(B4505,airports!A:H,7,FALSE)</f>
        <v>33.675658609999999</v>
      </c>
      <c r="G4505" s="3">
        <f>VLOOKUP(B4505,airports!A:H,8,FALSE)</f>
        <v>-117.8682225</v>
      </c>
      <c r="H4505">
        <f t="shared" si="140"/>
        <v>2155.4</v>
      </c>
      <c r="I4505">
        <f t="shared" si="141"/>
        <v>1339.4</v>
      </c>
    </row>
    <row r="4506" spans="1:9" ht="30" x14ac:dyDescent="0.25">
      <c r="A4506" s="5" t="s">
        <v>80</v>
      </c>
      <c r="B4506" s="5" t="s">
        <v>138</v>
      </c>
      <c r="C4506" s="5" t="s">
        <v>4983</v>
      </c>
      <c r="D4506" s="3">
        <f>VLOOKUP(A4506,airports!A:H,7,FALSE)</f>
        <v>39.297605279999999</v>
      </c>
      <c r="E4506" s="3">
        <f>VLOOKUP(A4506,airports!A:H,8,FALSE)</f>
        <v>-94.713905560000001</v>
      </c>
      <c r="F4506" s="3">
        <f>VLOOKUP(B4506,airports!A:H,7,FALSE)</f>
        <v>27.39533333</v>
      </c>
      <c r="G4506" s="3">
        <f>VLOOKUP(B4506,airports!A:H,8,FALSE)</f>
        <v>-82.554111109999994</v>
      </c>
      <c r="H4506">
        <f t="shared" si="140"/>
        <v>1736.5</v>
      </c>
      <c r="I4506">
        <f t="shared" si="141"/>
        <v>1079.0999999999999</v>
      </c>
    </row>
    <row r="4507" spans="1:9" x14ac:dyDescent="0.25">
      <c r="A4507" s="5" t="s">
        <v>80</v>
      </c>
      <c r="B4507" s="5" t="s">
        <v>644</v>
      </c>
      <c r="C4507" s="5" t="s">
        <v>4984</v>
      </c>
      <c r="D4507" s="3">
        <f>VLOOKUP(A4507,airports!A:H,7,FALSE)</f>
        <v>39.297605279999999</v>
      </c>
      <c r="E4507" s="3">
        <f>VLOOKUP(A4507,airports!A:H,8,FALSE)</f>
        <v>-94.713905560000001</v>
      </c>
      <c r="F4507" s="3">
        <f>VLOOKUP(B4507,airports!A:H,7,FALSE)</f>
        <v>38.747686940000001</v>
      </c>
      <c r="G4507" s="3">
        <f>VLOOKUP(B4507,airports!A:H,8,FALSE)</f>
        <v>-90.359989720000002</v>
      </c>
      <c r="H4507">
        <f t="shared" si="140"/>
        <v>381</v>
      </c>
      <c r="I4507">
        <f t="shared" si="141"/>
        <v>236.8</v>
      </c>
    </row>
    <row r="4508" spans="1:9" ht="30" x14ac:dyDescent="0.25">
      <c r="A4508" s="5" t="s">
        <v>80</v>
      </c>
      <c r="B4508" s="5" t="s">
        <v>145</v>
      </c>
      <c r="C4508" s="5" t="s">
        <v>4985</v>
      </c>
      <c r="D4508" s="3">
        <f>VLOOKUP(A4508,airports!A:H,7,FALSE)</f>
        <v>39.297605279999999</v>
      </c>
      <c r="E4508" s="3">
        <f>VLOOKUP(A4508,airports!A:H,8,FALSE)</f>
        <v>-94.713905560000001</v>
      </c>
      <c r="F4508" s="3">
        <f>VLOOKUP(B4508,airports!A:H,7,FALSE)</f>
        <v>27.97547222</v>
      </c>
      <c r="G4508" s="3">
        <f>VLOOKUP(B4508,airports!A:H,8,FALSE)</f>
        <v>-82.533249999999995</v>
      </c>
      <c r="H4508">
        <f t="shared" si="140"/>
        <v>1686.8</v>
      </c>
      <c r="I4508">
        <f t="shared" si="141"/>
        <v>1048.2</v>
      </c>
    </row>
    <row r="4509" spans="1:9" ht="30" x14ac:dyDescent="0.25">
      <c r="A4509" s="5" t="s">
        <v>80</v>
      </c>
      <c r="B4509" s="5" t="s">
        <v>668</v>
      </c>
      <c r="C4509" s="5" t="s">
        <v>4986</v>
      </c>
      <c r="D4509" s="3">
        <f>VLOOKUP(A4509,airports!A:H,7,FALSE)</f>
        <v>39.297605279999999</v>
      </c>
      <c r="E4509" s="3">
        <f>VLOOKUP(A4509,airports!A:H,8,FALSE)</f>
        <v>-94.713905560000001</v>
      </c>
      <c r="F4509" s="3">
        <f>VLOOKUP(B4509,airports!A:H,7,FALSE)</f>
        <v>30.483250000000002</v>
      </c>
      <c r="G4509" s="3">
        <f>VLOOKUP(B4509,airports!A:H,8,FALSE)</f>
        <v>-86.525400000000005</v>
      </c>
      <c r="H4509">
        <f t="shared" si="140"/>
        <v>1231</v>
      </c>
      <c r="I4509">
        <f t="shared" si="141"/>
        <v>765</v>
      </c>
    </row>
    <row r="4510" spans="1:9" ht="30" x14ac:dyDescent="0.25">
      <c r="A4510" s="5" t="s">
        <v>82</v>
      </c>
      <c r="B4510" s="5" t="s">
        <v>2</v>
      </c>
      <c r="C4510" s="5" t="s">
        <v>4987</v>
      </c>
      <c r="D4510" s="3">
        <f>VLOOKUP(A4510,airports!A:H,7,FALSE)</f>
        <v>28.42888889</v>
      </c>
      <c r="E4510" s="3">
        <f>VLOOKUP(A4510,airports!A:H,8,FALSE)</f>
        <v>-81.316027779999999</v>
      </c>
      <c r="F4510" s="3">
        <f>VLOOKUP(B4510,airports!A:H,7,FALSE)</f>
        <v>35.040222219999997</v>
      </c>
      <c r="G4510" s="3">
        <f>VLOOKUP(B4510,airports!A:H,8,FALSE)</f>
        <v>-106.60919440000001</v>
      </c>
      <c r="H4510">
        <f t="shared" si="140"/>
        <v>2494.5</v>
      </c>
      <c r="I4510">
        <f t="shared" si="141"/>
        <v>1550.1</v>
      </c>
    </row>
    <row r="4511" spans="1:9" ht="30" x14ac:dyDescent="0.25">
      <c r="A4511" s="5" t="s">
        <v>82</v>
      </c>
      <c r="B4511" s="5" t="s">
        <v>252</v>
      </c>
      <c r="C4511" s="5" t="s">
        <v>4988</v>
      </c>
      <c r="D4511" s="3">
        <f>VLOOKUP(A4511,airports!A:H,7,FALSE)</f>
        <v>28.42888889</v>
      </c>
      <c r="E4511" s="3">
        <f>VLOOKUP(A4511,airports!A:H,8,FALSE)</f>
        <v>-81.316027779999999</v>
      </c>
      <c r="F4511" s="3">
        <f>VLOOKUP(B4511,airports!A:H,7,FALSE)</f>
        <v>39.457583329999999</v>
      </c>
      <c r="G4511" s="3">
        <f>VLOOKUP(B4511,airports!A:H,8,FALSE)</f>
        <v>-74.577166669999997</v>
      </c>
      <c r="H4511">
        <f t="shared" si="140"/>
        <v>1373.8</v>
      </c>
      <c r="I4511">
        <f t="shared" si="141"/>
        <v>853.7</v>
      </c>
    </row>
    <row r="4512" spans="1:9" ht="30" x14ac:dyDescent="0.25">
      <c r="A4512" s="5" t="s">
        <v>82</v>
      </c>
      <c r="B4512" s="5" t="s">
        <v>7</v>
      </c>
      <c r="C4512" s="5" t="s">
        <v>4989</v>
      </c>
      <c r="D4512" s="3">
        <f>VLOOKUP(A4512,airports!A:H,7,FALSE)</f>
        <v>28.42888889</v>
      </c>
      <c r="E4512" s="3">
        <f>VLOOKUP(A4512,airports!A:H,8,FALSE)</f>
        <v>-81.316027779999999</v>
      </c>
      <c r="F4512" s="3">
        <f>VLOOKUP(B4512,airports!A:H,7,FALSE)</f>
        <v>42.748119440000004</v>
      </c>
      <c r="G4512" s="3">
        <f>VLOOKUP(B4512,airports!A:H,8,FALSE)</f>
        <v>-73.802978609999997</v>
      </c>
      <c r="H4512">
        <f t="shared" si="140"/>
        <v>1729.3</v>
      </c>
      <c r="I4512">
        <f t="shared" si="141"/>
        <v>1074.5999999999999</v>
      </c>
    </row>
    <row r="4513" spans="1:9" ht="30" x14ac:dyDescent="0.25">
      <c r="A4513" s="5" t="s">
        <v>82</v>
      </c>
      <c r="B4513" s="5" t="s">
        <v>10</v>
      </c>
      <c r="C4513" s="5" t="s">
        <v>4990</v>
      </c>
      <c r="D4513" s="3">
        <f>VLOOKUP(A4513,airports!A:H,7,FALSE)</f>
        <v>28.42888889</v>
      </c>
      <c r="E4513" s="3">
        <f>VLOOKUP(A4513,airports!A:H,8,FALSE)</f>
        <v>-81.316027779999999</v>
      </c>
      <c r="F4513" s="3">
        <f>VLOOKUP(B4513,airports!A:H,7,FALSE)</f>
        <v>33.640444440000003</v>
      </c>
      <c r="G4513" s="3">
        <f>VLOOKUP(B4513,airports!A:H,8,FALSE)</f>
        <v>-84.42694444</v>
      </c>
      <c r="H4513">
        <f t="shared" si="140"/>
        <v>650.79999999999995</v>
      </c>
      <c r="I4513">
        <f t="shared" si="141"/>
        <v>404.4</v>
      </c>
    </row>
    <row r="4514" spans="1:9" ht="30" x14ac:dyDescent="0.25">
      <c r="A4514" s="5" t="s">
        <v>82</v>
      </c>
      <c r="B4514" s="5" t="s">
        <v>13</v>
      </c>
      <c r="C4514" s="5" t="s">
        <v>4991</v>
      </c>
      <c r="D4514" s="3">
        <f>VLOOKUP(A4514,airports!A:H,7,FALSE)</f>
        <v>28.42888889</v>
      </c>
      <c r="E4514" s="3">
        <f>VLOOKUP(A4514,airports!A:H,8,FALSE)</f>
        <v>-81.316027779999999</v>
      </c>
      <c r="F4514" s="3">
        <f>VLOOKUP(B4514,airports!A:H,7,FALSE)</f>
        <v>30.194532779999999</v>
      </c>
      <c r="G4514" s="3">
        <f>VLOOKUP(B4514,airports!A:H,8,FALSE)</f>
        <v>-97.669871939999993</v>
      </c>
      <c r="H4514">
        <f t="shared" si="140"/>
        <v>1596.3</v>
      </c>
      <c r="I4514">
        <f t="shared" si="141"/>
        <v>992</v>
      </c>
    </row>
    <row r="4515" spans="1:9" ht="30" x14ac:dyDescent="0.25">
      <c r="A4515" s="5" t="s">
        <v>82</v>
      </c>
      <c r="B4515" s="5" t="s">
        <v>419</v>
      </c>
      <c r="C4515" s="5" t="s">
        <v>4992</v>
      </c>
      <c r="D4515" s="3">
        <f>VLOOKUP(A4515,airports!A:H,7,FALSE)</f>
        <v>28.42888889</v>
      </c>
      <c r="E4515" s="3">
        <f>VLOOKUP(A4515,airports!A:H,8,FALSE)</f>
        <v>-81.316027779999999</v>
      </c>
      <c r="F4515" s="3">
        <f>VLOOKUP(B4515,airports!A:H,7,FALSE)</f>
        <v>35.436194440000001</v>
      </c>
      <c r="G4515" s="3">
        <f>VLOOKUP(B4515,airports!A:H,8,FALSE)</f>
        <v>-82.54180556</v>
      </c>
      <c r="H4515">
        <f t="shared" si="140"/>
        <v>787.7</v>
      </c>
      <c r="I4515">
        <f t="shared" si="141"/>
        <v>489.5</v>
      </c>
    </row>
    <row r="4516" spans="1:9" ht="30" x14ac:dyDescent="0.25">
      <c r="A4516" s="5" t="s">
        <v>82</v>
      </c>
      <c r="B4516" s="5" t="s">
        <v>16</v>
      </c>
      <c r="C4516" s="5" t="s">
        <v>4993</v>
      </c>
      <c r="D4516" s="3">
        <f>VLOOKUP(A4516,airports!A:H,7,FALSE)</f>
        <v>28.42888889</v>
      </c>
      <c r="E4516" s="3">
        <f>VLOOKUP(A4516,airports!A:H,8,FALSE)</f>
        <v>-81.316027779999999</v>
      </c>
      <c r="F4516" s="3">
        <f>VLOOKUP(B4516,airports!A:H,7,FALSE)</f>
        <v>41.938874169999998</v>
      </c>
      <c r="G4516" s="3">
        <f>VLOOKUP(B4516,airports!A:H,8,FALSE)</f>
        <v>-72.683228330000006</v>
      </c>
      <c r="H4516">
        <f t="shared" si="140"/>
        <v>1692.6</v>
      </c>
      <c r="I4516">
        <f t="shared" si="141"/>
        <v>1051.8</v>
      </c>
    </row>
    <row r="4517" spans="1:9" ht="30" x14ac:dyDescent="0.25">
      <c r="A4517" s="5" t="s">
        <v>82</v>
      </c>
      <c r="B4517" s="5" t="s">
        <v>970</v>
      </c>
      <c r="C4517" s="5" t="s">
        <v>4994</v>
      </c>
      <c r="D4517" s="3">
        <f>VLOOKUP(A4517,airports!A:H,7,FALSE)</f>
        <v>28.42888889</v>
      </c>
      <c r="E4517" s="3">
        <f>VLOOKUP(A4517,airports!A:H,8,FALSE)</f>
        <v>-81.316027779999999</v>
      </c>
      <c r="F4517" s="3">
        <f>VLOOKUP(B4517,airports!A:H,7,FALSE)</f>
        <v>30.6371</v>
      </c>
      <c r="G4517" s="3">
        <f>VLOOKUP(B4517,airports!A:H,8,FALSE)</f>
        <v>-88.078800000000001</v>
      </c>
      <c r="H4517">
        <f t="shared" si="140"/>
        <v>698.7</v>
      </c>
      <c r="I4517">
        <f t="shared" si="141"/>
        <v>434.2</v>
      </c>
    </row>
    <row r="4518" spans="1:9" ht="30" x14ac:dyDescent="0.25">
      <c r="A4518" s="5" t="s">
        <v>82</v>
      </c>
      <c r="B4518" s="5" t="s">
        <v>425</v>
      </c>
      <c r="C4518" s="5" t="s">
        <v>4995</v>
      </c>
      <c r="D4518" s="3">
        <f>VLOOKUP(A4518,airports!A:H,7,FALSE)</f>
        <v>28.42888889</v>
      </c>
      <c r="E4518" s="3">
        <f>VLOOKUP(A4518,airports!A:H,8,FALSE)</f>
        <v>-81.316027779999999</v>
      </c>
      <c r="F4518" s="3">
        <f>VLOOKUP(B4518,airports!A:H,7,FALSE)</f>
        <v>33.562943060000002</v>
      </c>
      <c r="G4518" s="3">
        <f>VLOOKUP(B4518,airports!A:H,8,FALSE)</f>
        <v>-86.753549719999995</v>
      </c>
      <c r="H4518">
        <f t="shared" si="140"/>
        <v>770.8</v>
      </c>
      <c r="I4518">
        <f t="shared" si="141"/>
        <v>479</v>
      </c>
    </row>
    <row r="4519" spans="1:9" ht="30" x14ac:dyDescent="0.25">
      <c r="A4519" s="5" t="s">
        <v>82</v>
      </c>
      <c r="B4519" s="5" t="s">
        <v>427</v>
      </c>
      <c r="C4519" s="5" t="s">
        <v>4996</v>
      </c>
      <c r="D4519" s="3">
        <f>VLOOKUP(A4519,airports!A:H,7,FALSE)</f>
        <v>28.42888889</v>
      </c>
      <c r="E4519" s="3">
        <f>VLOOKUP(A4519,airports!A:H,8,FALSE)</f>
        <v>-81.316027779999999</v>
      </c>
      <c r="F4519" s="3">
        <f>VLOOKUP(B4519,airports!A:H,7,FALSE)</f>
        <v>40.47798556</v>
      </c>
      <c r="G4519" s="3">
        <f>VLOOKUP(B4519,airports!A:H,8,FALSE)</f>
        <v>-88.915952779999998</v>
      </c>
      <c r="H4519">
        <f t="shared" si="140"/>
        <v>1508.7</v>
      </c>
      <c r="I4519">
        <f t="shared" si="141"/>
        <v>937.5</v>
      </c>
    </row>
    <row r="4520" spans="1:9" ht="30" x14ac:dyDescent="0.25">
      <c r="A4520" s="5" t="s">
        <v>82</v>
      </c>
      <c r="B4520" s="5" t="s">
        <v>19</v>
      </c>
      <c r="C4520" s="5" t="s">
        <v>4997</v>
      </c>
      <c r="D4520" s="3">
        <f>VLOOKUP(A4520,airports!A:H,7,FALSE)</f>
        <v>28.42888889</v>
      </c>
      <c r="E4520" s="3">
        <f>VLOOKUP(A4520,airports!A:H,8,FALSE)</f>
        <v>-81.316027779999999</v>
      </c>
      <c r="F4520" s="3">
        <f>VLOOKUP(B4520,airports!A:H,7,FALSE)</f>
        <v>36.12447667</v>
      </c>
      <c r="G4520" s="3">
        <f>VLOOKUP(B4520,airports!A:H,8,FALSE)</f>
        <v>-86.678182219999997</v>
      </c>
      <c r="H4520">
        <f t="shared" si="140"/>
        <v>992.7</v>
      </c>
      <c r="I4520">
        <f t="shared" si="141"/>
        <v>616.9</v>
      </c>
    </row>
    <row r="4521" spans="1:9" ht="30" x14ac:dyDescent="0.25">
      <c r="A4521" s="5" t="s">
        <v>82</v>
      </c>
      <c r="B4521" s="5" t="s">
        <v>24</v>
      </c>
      <c r="C4521" s="5" t="s">
        <v>4998</v>
      </c>
      <c r="D4521" s="3">
        <f>VLOOKUP(A4521,airports!A:H,7,FALSE)</f>
        <v>28.42888889</v>
      </c>
      <c r="E4521" s="3">
        <f>VLOOKUP(A4521,airports!A:H,8,FALSE)</f>
        <v>-81.316027779999999</v>
      </c>
      <c r="F4521" s="3">
        <f>VLOOKUP(B4521,airports!A:H,7,FALSE)</f>
        <v>42.364347500000001</v>
      </c>
      <c r="G4521" s="3">
        <f>VLOOKUP(B4521,airports!A:H,8,FALSE)</f>
        <v>-71.005179170000005</v>
      </c>
      <c r="H4521">
        <f t="shared" si="140"/>
        <v>1806.4</v>
      </c>
      <c r="I4521">
        <f t="shared" si="141"/>
        <v>1122.5</v>
      </c>
    </row>
    <row r="4522" spans="1:9" ht="30" x14ac:dyDescent="0.25">
      <c r="A4522" s="5" t="s">
        <v>82</v>
      </c>
      <c r="B4522" s="5" t="s">
        <v>25</v>
      </c>
      <c r="C4522" s="5" t="s">
        <v>4999</v>
      </c>
      <c r="D4522" s="3">
        <f>VLOOKUP(A4522,airports!A:H,7,FALSE)</f>
        <v>28.42888889</v>
      </c>
      <c r="E4522" s="3">
        <f>VLOOKUP(A4522,airports!A:H,8,FALSE)</f>
        <v>-81.316027779999999</v>
      </c>
      <c r="F4522" s="3">
        <f>VLOOKUP(B4522,airports!A:H,7,FALSE)</f>
        <v>18.494861109999999</v>
      </c>
      <c r="G4522" s="3">
        <f>VLOOKUP(B4522,airports!A:H,8,FALSE)</f>
        <v>-67.12944444</v>
      </c>
      <c r="H4522">
        <f t="shared" si="140"/>
        <v>1817.7</v>
      </c>
      <c r="I4522">
        <f t="shared" si="141"/>
        <v>1129.5999999999999</v>
      </c>
    </row>
    <row r="4523" spans="1:9" ht="30" x14ac:dyDescent="0.25">
      <c r="A4523" s="5" t="s">
        <v>82</v>
      </c>
      <c r="B4523" s="5" t="s">
        <v>27</v>
      </c>
      <c r="C4523" s="5" t="s">
        <v>5000</v>
      </c>
      <c r="D4523" s="3">
        <f>VLOOKUP(A4523,airports!A:H,7,FALSE)</f>
        <v>28.42888889</v>
      </c>
      <c r="E4523" s="3">
        <f>VLOOKUP(A4523,airports!A:H,8,FALSE)</f>
        <v>-81.316027779999999</v>
      </c>
      <c r="F4523" s="3">
        <f>VLOOKUP(B4523,airports!A:H,7,FALSE)</f>
        <v>44.473003609999999</v>
      </c>
      <c r="G4523" s="3">
        <f>VLOOKUP(B4523,airports!A:H,8,FALSE)</f>
        <v>-73.150312499999998</v>
      </c>
      <c r="H4523">
        <f t="shared" si="140"/>
        <v>1925.3</v>
      </c>
      <c r="I4523">
        <f t="shared" si="141"/>
        <v>1196.4000000000001</v>
      </c>
    </row>
    <row r="4524" spans="1:9" ht="30" x14ac:dyDescent="0.25">
      <c r="A4524" s="5" t="s">
        <v>82</v>
      </c>
      <c r="B4524" s="5" t="s">
        <v>29</v>
      </c>
      <c r="C4524" s="5" t="s">
        <v>5001</v>
      </c>
      <c r="D4524" s="3">
        <f>VLOOKUP(A4524,airports!A:H,7,FALSE)</f>
        <v>28.42888889</v>
      </c>
      <c r="E4524" s="3">
        <f>VLOOKUP(A4524,airports!A:H,8,FALSE)</f>
        <v>-81.316027779999999</v>
      </c>
      <c r="F4524" s="3">
        <f>VLOOKUP(B4524,airports!A:H,7,FALSE)</f>
        <v>42.940524719999999</v>
      </c>
      <c r="G4524" s="3">
        <f>VLOOKUP(B4524,airports!A:H,8,FALSE)</f>
        <v>-78.732166669999998</v>
      </c>
      <c r="H4524">
        <f t="shared" si="140"/>
        <v>1630.2</v>
      </c>
      <c r="I4524">
        <f t="shared" si="141"/>
        <v>1013</v>
      </c>
    </row>
    <row r="4525" spans="1:9" ht="30" x14ac:dyDescent="0.25">
      <c r="A4525" s="5" t="s">
        <v>82</v>
      </c>
      <c r="B4525" s="5" t="s">
        <v>32</v>
      </c>
      <c r="C4525" s="5" t="s">
        <v>5002</v>
      </c>
      <c r="D4525" s="3">
        <f>VLOOKUP(A4525,airports!A:H,7,FALSE)</f>
        <v>28.42888889</v>
      </c>
      <c r="E4525" s="3">
        <f>VLOOKUP(A4525,airports!A:H,8,FALSE)</f>
        <v>-81.316027779999999</v>
      </c>
      <c r="F4525" s="3">
        <f>VLOOKUP(B4525,airports!A:H,7,FALSE)</f>
        <v>39.175401669999999</v>
      </c>
      <c r="G4525" s="3">
        <f>VLOOKUP(B4525,airports!A:H,8,FALSE)</f>
        <v>-76.668198329999996</v>
      </c>
      <c r="H4525">
        <f t="shared" si="140"/>
        <v>1269.3</v>
      </c>
      <c r="I4525">
        <f t="shared" si="141"/>
        <v>788.7</v>
      </c>
    </row>
    <row r="4526" spans="1:9" ht="30" x14ac:dyDescent="0.25">
      <c r="A4526" s="5" t="s">
        <v>82</v>
      </c>
      <c r="B4526" s="5" t="s">
        <v>443</v>
      </c>
      <c r="C4526" s="5" t="s">
        <v>5003</v>
      </c>
      <c r="D4526" s="3">
        <f>VLOOKUP(A4526,airports!A:H,7,FALSE)</f>
        <v>28.42888889</v>
      </c>
      <c r="E4526" s="3">
        <f>VLOOKUP(A4526,airports!A:H,8,FALSE)</f>
        <v>-81.316027779999999</v>
      </c>
      <c r="F4526" s="3">
        <f>VLOOKUP(B4526,airports!A:H,7,FALSE)</f>
        <v>40.91631194</v>
      </c>
      <c r="G4526" s="3">
        <f>VLOOKUP(B4526,airports!A:H,8,FALSE)</f>
        <v>-81.442465560000002</v>
      </c>
      <c r="H4526">
        <f t="shared" si="140"/>
        <v>1388.6</v>
      </c>
      <c r="I4526">
        <f t="shared" si="141"/>
        <v>862.9</v>
      </c>
    </row>
    <row r="4527" spans="1:9" ht="30" x14ac:dyDescent="0.25">
      <c r="A4527" s="5" t="s">
        <v>82</v>
      </c>
      <c r="B4527" s="5" t="s">
        <v>450</v>
      </c>
      <c r="C4527" s="5" t="s">
        <v>5004</v>
      </c>
      <c r="D4527" s="3">
        <f>VLOOKUP(A4527,airports!A:H,7,FALSE)</f>
        <v>28.42888889</v>
      </c>
      <c r="E4527" s="3">
        <f>VLOOKUP(A4527,airports!A:H,8,FALSE)</f>
        <v>-81.316027779999999</v>
      </c>
      <c r="F4527" s="3">
        <f>VLOOKUP(B4527,airports!A:H,7,FALSE)</f>
        <v>41.88458833</v>
      </c>
      <c r="G4527" s="3">
        <f>VLOOKUP(B4527,airports!A:H,8,FALSE)</f>
        <v>-91.710872219999999</v>
      </c>
      <c r="H4527">
        <f t="shared" si="140"/>
        <v>1766.5</v>
      </c>
      <c r="I4527">
        <f t="shared" si="141"/>
        <v>1097.7</v>
      </c>
    </row>
    <row r="4528" spans="1:9" ht="30" x14ac:dyDescent="0.25">
      <c r="A4528" s="5" t="s">
        <v>82</v>
      </c>
      <c r="B4528" s="5" t="s">
        <v>38</v>
      </c>
      <c r="C4528" s="5" t="s">
        <v>5005</v>
      </c>
      <c r="D4528" s="3">
        <f>VLOOKUP(A4528,airports!A:H,7,FALSE)</f>
        <v>28.42888889</v>
      </c>
      <c r="E4528" s="3">
        <f>VLOOKUP(A4528,airports!A:H,8,FALSE)</f>
        <v>-81.316027779999999</v>
      </c>
      <c r="F4528" s="3">
        <f>VLOOKUP(B4528,airports!A:H,7,FALSE)</f>
        <v>41.410894169999999</v>
      </c>
      <c r="G4528" s="3">
        <f>VLOOKUP(B4528,airports!A:H,8,FALSE)</f>
        <v>-81.849396670000004</v>
      </c>
      <c r="H4528">
        <f t="shared" si="140"/>
        <v>1444.3</v>
      </c>
      <c r="I4528">
        <f t="shared" si="141"/>
        <v>897.5</v>
      </c>
    </row>
    <row r="4529" spans="1:9" ht="30" x14ac:dyDescent="0.25">
      <c r="A4529" s="5" t="s">
        <v>82</v>
      </c>
      <c r="B4529" s="5" t="s">
        <v>40</v>
      </c>
      <c r="C4529" s="5" t="s">
        <v>5006</v>
      </c>
      <c r="D4529" s="3">
        <f>VLOOKUP(A4529,airports!A:H,7,FALSE)</f>
        <v>28.42888889</v>
      </c>
      <c r="E4529" s="3">
        <f>VLOOKUP(A4529,airports!A:H,8,FALSE)</f>
        <v>-81.316027779999999</v>
      </c>
      <c r="F4529" s="3">
        <f>VLOOKUP(B4529,airports!A:H,7,FALSE)</f>
        <v>35.214011110000001</v>
      </c>
      <c r="G4529" s="3">
        <f>VLOOKUP(B4529,airports!A:H,8,FALSE)</f>
        <v>-80.94312583</v>
      </c>
      <c r="H4529">
        <f t="shared" si="140"/>
        <v>755.3</v>
      </c>
      <c r="I4529">
        <f t="shared" si="141"/>
        <v>469.3</v>
      </c>
    </row>
    <row r="4530" spans="1:9" ht="30" x14ac:dyDescent="0.25">
      <c r="A4530" s="5" t="s">
        <v>82</v>
      </c>
      <c r="B4530" s="5" t="s">
        <v>454</v>
      </c>
      <c r="C4530" s="5" t="s">
        <v>5007</v>
      </c>
      <c r="D4530" s="3">
        <f>VLOOKUP(A4530,airports!A:H,7,FALSE)</f>
        <v>28.42888889</v>
      </c>
      <c r="E4530" s="3">
        <f>VLOOKUP(A4530,airports!A:H,8,FALSE)</f>
        <v>-81.316027779999999</v>
      </c>
      <c r="F4530" s="3">
        <f>VLOOKUP(B4530,airports!A:H,7,FALSE)</f>
        <v>39.997985280000002</v>
      </c>
      <c r="G4530" s="3">
        <f>VLOOKUP(B4530,airports!A:H,8,FALSE)</f>
        <v>-82.891882780000003</v>
      </c>
      <c r="H4530">
        <f t="shared" si="140"/>
        <v>1294.5</v>
      </c>
      <c r="I4530">
        <f t="shared" si="141"/>
        <v>804.4</v>
      </c>
    </row>
    <row r="4531" spans="1:9" ht="30" x14ac:dyDescent="0.25">
      <c r="A4531" s="5" t="s">
        <v>82</v>
      </c>
      <c r="B4531" s="5" t="s">
        <v>456</v>
      </c>
      <c r="C4531" s="5" t="s">
        <v>5008</v>
      </c>
      <c r="D4531" s="3">
        <f>VLOOKUP(A4531,airports!A:H,7,FALSE)</f>
        <v>28.42888889</v>
      </c>
      <c r="E4531" s="3">
        <f>VLOOKUP(A4531,airports!A:H,8,FALSE)</f>
        <v>-81.316027779999999</v>
      </c>
      <c r="F4531" s="3">
        <f>VLOOKUP(B4531,airports!A:H,7,FALSE)</f>
        <v>38.805805560000003</v>
      </c>
      <c r="G4531" s="3">
        <f>VLOOKUP(B4531,airports!A:H,8,FALSE)</f>
        <v>-104.70025</v>
      </c>
      <c r="H4531">
        <f t="shared" si="140"/>
        <v>2443.4</v>
      </c>
      <c r="I4531">
        <f t="shared" si="141"/>
        <v>1518.3</v>
      </c>
    </row>
    <row r="4532" spans="1:9" ht="30" x14ac:dyDescent="0.25">
      <c r="A4532" s="5" t="s">
        <v>82</v>
      </c>
      <c r="B4532" s="5" t="s">
        <v>458</v>
      </c>
      <c r="C4532" s="5" t="s">
        <v>5009</v>
      </c>
      <c r="D4532" s="3">
        <f>VLOOKUP(A4532,airports!A:H,7,FALSE)</f>
        <v>28.42888889</v>
      </c>
      <c r="E4532" s="3">
        <f>VLOOKUP(A4532,airports!A:H,8,FALSE)</f>
        <v>-81.316027779999999</v>
      </c>
      <c r="F4532" s="3">
        <f>VLOOKUP(B4532,airports!A:H,7,FALSE)</f>
        <v>38.37315083</v>
      </c>
      <c r="G4532" s="3">
        <f>VLOOKUP(B4532,airports!A:H,8,FALSE)</f>
        <v>-81.593189719999998</v>
      </c>
      <c r="H4532">
        <f t="shared" si="140"/>
        <v>1106</v>
      </c>
      <c r="I4532">
        <f t="shared" si="141"/>
        <v>687.3</v>
      </c>
    </row>
    <row r="4533" spans="1:9" ht="30" x14ac:dyDescent="0.25">
      <c r="A4533" s="5" t="s">
        <v>82</v>
      </c>
      <c r="B4533" s="5" t="s">
        <v>462</v>
      </c>
      <c r="C4533" s="5" t="s">
        <v>5010</v>
      </c>
      <c r="D4533" s="3">
        <f>VLOOKUP(A4533,airports!A:H,7,FALSE)</f>
        <v>28.42888889</v>
      </c>
      <c r="E4533" s="3">
        <f>VLOOKUP(A4533,airports!A:H,8,FALSE)</f>
        <v>-81.316027779999999</v>
      </c>
      <c r="F4533" s="3">
        <f>VLOOKUP(B4533,airports!A:H,7,FALSE)</f>
        <v>39.046142779999997</v>
      </c>
      <c r="G4533" s="3">
        <f>VLOOKUP(B4533,airports!A:H,8,FALSE)</f>
        <v>-84.662172499999997</v>
      </c>
      <c r="H4533">
        <f t="shared" si="140"/>
        <v>1220.2</v>
      </c>
      <c r="I4533">
        <f t="shared" si="141"/>
        <v>758.2</v>
      </c>
    </row>
    <row r="4534" spans="1:9" ht="30" x14ac:dyDescent="0.25">
      <c r="A4534" s="5" t="s">
        <v>82</v>
      </c>
      <c r="B4534" s="5" t="s">
        <v>201</v>
      </c>
      <c r="C4534" s="5" t="s">
        <v>5011</v>
      </c>
      <c r="D4534" s="3">
        <f>VLOOKUP(A4534,airports!A:H,7,FALSE)</f>
        <v>28.42888889</v>
      </c>
      <c r="E4534" s="3">
        <f>VLOOKUP(A4534,airports!A:H,8,FALSE)</f>
        <v>-81.316027779999999</v>
      </c>
      <c r="F4534" s="3">
        <f>VLOOKUP(B4534,airports!A:H,7,FALSE)</f>
        <v>32.847113890000003</v>
      </c>
      <c r="G4534" s="3">
        <f>VLOOKUP(B4534,airports!A:H,8,FALSE)</f>
        <v>-96.851772220000001</v>
      </c>
      <c r="H4534">
        <f t="shared" si="140"/>
        <v>1563.6</v>
      </c>
      <c r="I4534">
        <f t="shared" si="141"/>
        <v>971.6</v>
      </c>
    </row>
    <row r="4535" spans="1:9" ht="30" x14ac:dyDescent="0.25">
      <c r="A4535" s="5" t="s">
        <v>82</v>
      </c>
      <c r="B4535" s="5" t="s">
        <v>467</v>
      </c>
      <c r="C4535" s="5" t="s">
        <v>5012</v>
      </c>
      <c r="D4535" s="3">
        <f>VLOOKUP(A4535,airports!A:H,7,FALSE)</f>
        <v>28.42888889</v>
      </c>
      <c r="E4535" s="3">
        <f>VLOOKUP(A4535,airports!A:H,8,FALSE)</f>
        <v>-81.316027779999999</v>
      </c>
      <c r="F4535" s="3">
        <f>VLOOKUP(B4535,airports!A:H,7,FALSE)</f>
        <v>39.902375829999997</v>
      </c>
      <c r="G4535" s="3">
        <f>VLOOKUP(B4535,airports!A:H,8,FALSE)</f>
        <v>-84.219374999999999</v>
      </c>
      <c r="H4535">
        <f t="shared" si="140"/>
        <v>1303.2</v>
      </c>
      <c r="I4535">
        <f t="shared" si="141"/>
        <v>809.8</v>
      </c>
    </row>
    <row r="4536" spans="1:9" ht="30" x14ac:dyDescent="0.25">
      <c r="A4536" s="5" t="s">
        <v>82</v>
      </c>
      <c r="B4536" s="5" t="s">
        <v>45</v>
      </c>
      <c r="C4536" s="5" t="s">
        <v>5013</v>
      </c>
      <c r="D4536" s="3">
        <f>VLOOKUP(A4536,airports!A:H,7,FALSE)</f>
        <v>28.42888889</v>
      </c>
      <c r="E4536" s="3">
        <f>VLOOKUP(A4536,airports!A:H,8,FALSE)</f>
        <v>-81.316027779999999</v>
      </c>
      <c r="F4536" s="3">
        <f>VLOOKUP(B4536,airports!A:H,7,FALSE)</f>
        <v>38.852083329999999</v>
      </c>
      <c r="G4536" s="3">
        <f>VLOOKUP(B4536,airports!A:H,8,FALSE)</f>
        <v>-77.037722220000006</v>
      </c>
      <c r="H4536">
        <f t="shared" si="140"/>
        <v>1224.4000000000001</v>
      </c>
      <c r="I4536">
        <f t="shared" si="141"/>
        <v>760.8</v>
      </c>
    </row>
    <row r="4537" spans="1:9" ht="30" x14ac:dyDescent="0.25">
      <c r="A4537" s="5" t="s">
        <v>82</v>
      </c>
      <c r="B4537" s="5" t="s">
        <v>47</v>
      </c>
      <c r="C4537" s="5" t="s">
        <v>5014</v>
      </c>
      <c r="D4537" s="3">
        <f>VLOOKUP(A4537,airports!A:H,7,FALSE)</f>
        <v>28.42888889</v>
      </c>
      <c r="E4537" s="3">
        <f>VLOOKUP(A4537,airports!A:H,8,FALSE)</f>
        <v>-81.316027779999999</v>
      </c>
      <c r="F4537" s="3">
        <f>VLOOKUP(B4537,airports!A:H,7,FALSE)</f>
        <v>39.858408060000002</v>
      </c>
      <c r="G4537" s="3">
        <f>VLOOKUP(B4537,airports!A:H,8,FALSE)</f>
        <v>-104.6670019</v>
      </c>
      <c r="H4537">
        <f t="shared" si="140"/>
        <v>2485.1999999999998</v>
      </c>
      <c r="I4537">
        <f t="shared" si="141"/>
        <v>1544.3</v>
      </c>
    </row>
    <row r="4538" spans="1:9" ht="30" x14ac:dyDescent="0.25">
      <c r="A4538" s="5" t="s">
        <v>82</v>
      </c>
      <c r="B4538" s="5" t="s">
        <v>49</v>
      </c>
      <c r="C4538" s="5" t="s">
        <v>5015</v>
      </c>
      <c r="D4538" s="3">
        <f>VLOOKUP(A4538,airports!A:H,7,FALSE)</f>
        <v>28.42888889</v>
      </c>
      <c r="E4538" s="3">
        <f>VLOOKUP(A4538,airports!A:H,8,FALSE)</f>
        <v>-81.316027779999999</v>
      </c>
      <c r="F4538" s="3">
        <f>VLOOKUP(B4538,airports!A:H,7,FALSE)</f>
        <v>32.895950560000003</v>
      </c>
      <c r="G4538" s="3">
        <f>VLOOKUP(B4538,airports!A:H,8,FALSE)</f>
        <v>-97.037199999999999</v>
      </c>
      <c r="H4538">
        <f t="shared" si="140"/>
        <v>1581.7</v>
      </c>
      <c r="I4538">
        <f t="shared" si="141"/>
        <v>982.9</v>
      </c>
    </row>
    <row r="4539" spans="1:9" ht="30" x14ac:dyDescent="0.25">
      <c r="A4539" s="5" t="s">
        <v>82</v>
      </c>
      <c r="B4539" s="5" t="s">
        <v>474</v>
      </c>
      <c r="C4539" s="5" t="s">
        <v>5016</v>
      </c>
      <c r="D4539" s="3">
        <f>VLOOKUP(A4539,airports!A:H,7,FALSE)</f>
        <v>28.42888889</v>
      </c>
      <c r="E4539" s="3">
        <f>VLOOKUP(A4539,airports!A:H,8,FALSE)</f>
        <v>-81.316027779999999</v>
      </c>
      <c r="F4539" s="3">
        <f>VLOOKUP(B4539,airports!A:H,7,FALSE)</f>
        <v>41.53493306</v>
      </c>
      <c r="G4539" s="3">
        <f>VLOOKUP(B4539,airports!A:H,8,FALSE)</f>
        <v>-93.660682219999998</v>
      </c>
      <c r="H4539">
        <f t="shared" si="140"/>
        <v>1836.7</v>
      </c>
      <c r="I4539">
        <f t="shared" si="141"/>
        <v>1141.3</v>
      </c>
    </row>
    <row r="4540" spans="1:9" ht="30" x14ac:dyDescent="0.25">
      <c r="A4540" s="5" t="s">
        <v>82</v>
      </c>
      <c r="B4540" s="5" t="s">
        <v>50</v>
      </c>
      <c r="C4540" s="5" t="s">
        <v>5017</v>
      </c>
      <c r="D4540" s="3">
        <f>VLOOKUP(A4540,airports!A:H,7,FALSE)</f>
        <v>28.42888889</v>
      </c>
      <c r="E4540" s="3">
        <f>VLOOKUP(A4540,airports!A:H,8,FALSE)</f>
        <v>-81.316027779999999</v>
      </c>
      <c r="F4540" s="3">
        <f>VLOOKUP(B4540,airports!A:H,7,FALSE)</f>
        <v>42.212058890000002</v>
      </c>
      <c r="G4540" s="3">
        <f>VLOOKUP(B4540,airports!A:H,8,FALSE)</f>
        <v>-83.348835829999999</v>
      </c>
      <c r="H4540">
        <f t="shared" si="140"/>
        <v>1543.5</v>
      </c>
      <c r="I4540">
        <f t="shared" si="141"/>
        <v>959.2</v>
      </c>
    </row>
    <row r="4541" spans="1:9" ht="30" x14ac:dyDescent="0.25">
      <c r="A4541" s="5" t="s">
        <v>82</v>
      </c>
      <c r="B4541" s="5" t="s">
        <v>483</v>
      </c>
      <c r="C4541" s="5" t="s">
        <v>5018</v>
      </c>
      <c r="D4541" s="3">
        <f>VLOOKUP(A4541,airports!A:H,7,FALSE)</f>
        <v>28.42888889</v>
      </c>
      <c r="E4541" s="3">
        <f>VLOOKUP(A4541,airports!A:H,8,FALSE)</f>
        <v>-81.316027779999999</v>
      </c>
      <c r="F4541" s="3">
        <f>VLOOKUP(B4541,airports!A:H,7,FALSE)</f>
        <v>31.806666669999998</v>
      </c>
      <c r="G4541" s="3">
        <f>VLOOKUP(B4541,airports!A:H,8,FALSE)</f>
        <v>-106.3778056</v>
      </c>
      <c r="H4541">
        <f t="shared" si="140"/>
        <v>2434.1</v>
      </c>
      <c r="I4541">
        <f t="shared" si="141"/>
        <v>1512.5</v>
      </c>
    </row>
    <row r="4542" spans="1:9" ht="30" x14ac:dyDescent="0.25">
      <c r="A4542" s="5" t="s">
        <v>82</v>
      </c>
      <c r="B4542" s="5" t="s">
        <v>52</v>
      </c>
      <c r="C4542" s="5" t="s">
        <v>5019</v>
      </c>
      <c r="D4542" s="3">
        <f>VLOOKUP(A4542,airports!A:H,7,FALSE)</f>
        <v>28.42888889</v>
      </c>
      <c r="E4542" s="3">
        <f>VLOOKUP(A4542,airports!A:H,8,FALSE)</f>
        <v>-81.316027779999999</v>
      </c>
      <c r="F4542" s="3">
        <f>VLOOKUP(B4542,airports!A:H,7,FALSE)</f>
        <v>40.69249722</v>
      </c>
      <c r="G4542" s="3">
        <f>VLOOKUP(B4542,airports!A:H,8,FALSE)</f>
        <v>-74.168660560000006</v>
      </c>
      <c r="H4542">
        <f t="shared" si="140"/>
        <v>1511.2</v>
      </c>
      <c r="I4542">
        <f t="shared" si="141"/>
        <v>939.1</v>
      </c>
    </row>
    <row r="4543" spans="1:9" ht="30" x14ac:dyDescent="0.25">
      <c r="A4543" s="5" t="s">
        <v>82</v>
      </c>
      <c r="B4543" s="5" t="s">
        <v>54</v>
      </c>
      <c r="C4543" s="5" t="s">
        <v>5020</v>
      </c>
      <c r="D4543" s="3">
        <f>VLOOKUP(A4543,airports!A:H,7,FALSE)</f>
        <v>28.42888889</v>
      </c>
      <c r="E4543" s="3">
        <f>VLOOKUP(A4543,airports!A:H,8,FALSE)</f>
        <v>-81.316027779999999</v>
      </c>
      <c r="F4543" s="3">
        <f>VLOOKUP(B4543,airports!A:H,7,FALSE)</f>
        <v>24.55611111</v>
      </c>
      <c r="G4543" s="3">
        <f>VLOOKUP(B4543,airports!A:H,8,FALSE)</f>
        <v>-81.759555559999995</v>
      </c>
      <c r="H4543">
        <f t="shared" si="140"/>
        <v>432.9</v>
      </c>
      <c r="I4543">
        <f t="shared" si="141"/>
        <v>269</v>
      </c>
    </row>
    <row r="4544" spans="1:9" ht="30" x14ac:dyDescent="0.25">
      <c r="A4544" s="5" t="s">
        <v>82</v>
      </c>
      <c r="B4544" s="5" t="s">
        <v>491</v>
      </c>
      <c r="C4544" s="5" t="s">
        <v>5021</v>
      </c>
      <c r="D4544" s="3">
        <f>VLOOKUP(A4544,airports!A:H,7,FALSE)</f>
        <v>28.42888889</v>
      </c>
      <c r="E4544" s="3">
        <f>VLOOKUP(A4544,airports!A:H,8,FALSE)</f>
        <v>-81.316027779999999</v>
      </c>
      <c r="F4544" s="3">
        <f>VLOOKUP(B4544,airports!A:H,7,FALSE)</f>
        <v>46.919348890000002</v>
      </c>
      <c r="G4544" s="3">
        <f>VLOOKUP(B4544,airports!A:H,8,FALSE)</f>
        <v>-96.814988889999995</v>
      </c>
      <c r="H4544">
        <f t="shared" si="140"/>
        <v>2457.3000000000002</v>
      </c>
      <c r="I4544">
        <f t="shared" si="141"/>
        <v>1527</v>
      </c>
    </row>
    <row r="4545" spans="1:9" ht="30" x14ac:dyDescent="0.25">
      <c r="A4545" s="5" t="s">
        <v>82</v>
      </c>
      <c r="B4545" s="5" t="s">
        <v>57</v>
      </c>
      <c r="C4545" s="5" t="s">
        <v>5022</v>
      </c>
      <c r="D4545" s="3">
        <f>VLOOKUP(A4545,airports!A:H,7,FALSE)</f>
        <v>28.42888889</v>
      </c>
      <c r="E4545" s="3">
        <f>VLOOKUP(A4545,airports!A:H,8,FALSE)</f>
        <v>-81.316027779999999</v>
      </c>
      <c r="F4545" s="3">
        <f>VLOOKUP(B4545,airports!A:H,7,FALSE)</f>
        <v>26.072583330000001</v>
      </c>
      <c r="G4545" s="3">
        <f>VLOOKUP(B4545,airports!A:H,8,FALSE)</f>
        <v>-80.152749999999997</v>
      </c>
      <c r="H4545">
        <f t="shared" si="140"/>
        <v>286.10000000000002</v>
      </c>
      <c r="I4545">
        <f t="shared" si="141"/>
        <v>177.8</v>
      </c>
    </row>
    <row r="4546" spans="1:9" ht="30" x14ac:dyDescent="0.25">
      <c r="A4546" s="5" t="s">
        <v>82</v>
      </c>
      <c r="B4546" s="5" t="s">
        <v>497</v>
      </c>
      <c r="C4546" s="5" t="s">
        <v>5023</v>
      </c>
      <c r="D4546" s="3">
        <f>VLOOKUP(A4546,airports!A:H,7,FALSE)</f>
        <v>28.42888889</v>
      </c>
      <c r="E4546" s="3">
        <f>VLOOKUP(A4546,airports!A:H,8,FALSE)</f>
        <v>-81.316027779999999</v>
      </c>
      <c r="F4546" s="3">
        <f>VLOOKUP(B4546,airports!A:H,7,FALSE)</f>
        <v>42.965503329999997</v>
      </c>
      <c r="G4546" s="3">
        <f>VLOOKUP(B4546,airports!A:H,8,FALSE)</f>
        <v>-83.743456390000006</v>
      </c>
      <c r="H4546">
        <f t="shared" si="140"/>
        <v>1631</v>
      </c>
      <c r="I4546">
        <f t="shared" si="141"/>
        <v>1013.5</v>
      </c>
    </row>
    <row r="4547" spans="1:9" ht="30" x14ac:dyDescent="0.25">
      <c r="A4547" s="5" t="s">
        <v>82</v>
      </c>
      <c r="B4547" s="5" t="s">
        <v>499</v>
      </c>
      <c r="C4547" s="5" t="s">
        <v>5024</v>
      </c>
      <c r="D4547" s="3">
        <f>VLOOKUP(A4547,airports!A:H,7,FALSE)</f>
        <v>28.42888889</v>
      </c>
      <c r="E4547" s="3">
        <f>VLOOKUP(A4547,airports!A:H,8,FALSE)</f>
        <v>-81.316027779999999</v>
      </c>
      <c r="F4547" s="3">
        <f>VLOOKUP(B4547,airports!A:H,7,FALSE)</f>
        <v>43.58135111</v>
      </c>
      <c r="G4547" s="3">
        <f>VLOOKUP(B4547,airports!A:H,8,FALSE)</f>
        <v>-96.741700280000003</v>
      </c>
      <c r="H4547">
        <f t="shared" si="140"/>
        <v>2175.1</v>
      </c>
      <c r="I4547">
        <f t="shared" si="141"/>
        <v>1351.6</v>
      </c>
    </row>
    <row r="4548" spans="1:9" ht="30" x14ac:dyDescent="0.25">
      <c r="A4548" s="5" t="s">
        <v>82</v>
      </c>
      <c r="B4548" s="5" t="s">
        <v>511</v>
      </c>
      <c r="C4548" s="5" t="s">
        <v>5025</v>
      </c>
      <c r="D4548" s="3">
        <f>VLOOKUP(A4548,airports!A:H,7,FALSE)</f>
        <v>28.42888889</v>
      </c>
      <c r="E4548" s="3">
        <f>VLOOKUP(A4548,airports!A:H,8,FALSE)</f>
        <v>-81.316027779999999</v>
      </c>
      <c r="F4548" s="3">
        <f>VLOOKUP(B4548,airports!A:H,7,FALSE)</f>
        <v>44.485073329999999</v>
      </c>
      <c r="G4548" s="3">
        <f>VLOOKUP(B4548,airports!A:H,8,FALSE)</f>
        <v>-88.129589999999993</v>
      </c>
      <c r="H4548">
        <f t="shared" ref="H4548:H4611" si="142">ROUND(ACOS(COS(RADIANS(90-D4548)) * COS(RADIANS(90-F4548)) + SIN(RADIANS(90-D4548)) * SIN(RADIANS(90-F4548)) * COS(RADIANS(E4548-G4548))) * 6371,1)</f>
        <v>1884.7</v>
      </c>
      <c r="I4548">
        <f t="shared" ref="I4548:I4611" si="143">ROUND(ACOS(COS(RADIANS(90-D4548)) * COS(RADIANS(90-F4548)) + SIN(RADIANS(90-D4548)) * SIN(RADIANS(90-F4548)) * COS(RADIANS(E4548-G4548))) * 3959,1)</f>
        <v>1171.2</v>
      </c>
    </row>
    <row r="4549" spans="1:9" ht="30" x14ac:dyDescent="0.25">
      <c r="A4549" s="5" t="s">
        <v>82</v>
      </c>
      <c r="B4549" s="5" t="s">
        <v>515</v>
      </c>
      <c r="C4549" s="5" t="s">
        <v>5026</v>
      </c>
      <c r="D4549" s="3">
        <f>VLOOKUP(A4549,airports!A:H,7,FALSE)</f>
        <v>28.42888889</v>
      </c>
      <c r="E4549" s="3">
        <f>VLOOKUP(A4549,airports!A:H,8,FALSE)</f>
        <v>-81.316027779999999</v>
      </c>
      <c r="F4549" s="3">
        <f>VLOOKUP(B4549,airports!A:H,7,FALSE)</f>
        <v>42.880819719999998</v>
      </c>
      <c r="G4549" s="3">
        <f>VLOOKUP(B4549,airports!A:H,8,FALSE)</f>
        <v>-85.522767779999995</v>
      </c>
      <c r="H4549">
        <f t="shared" si="142"/>
        <v>1650.7</v>
      </c>
      <c r="I4549">
        <f t="shared" si="143"/>
        <v>1025.8</v>
      </c>
    </row>
    <row r="4550" spans="1:9" ht="30" x14ac:dyDescent="0.25">
      <c r="A4550" s="5" t="s">
        <v>82</v>
      </c>
      <c r="B4550" s="5" t="s">
        <v>517</v>
      </c>
      <c r="C4550" s="5" t="s">
        <v>5027</v>
      </c>
      <c r="D4550" s="3">
        <f>VLOOKUP(A4550,airports!A:H,7,FALSE)</f>
        <v>28.42888889</v>
      </c>
      <c r="E4550" s="3">
        <f>VLOOKUP(A4550,airports!A:H,8,FALSE)</f>
        <v>-81.316027779999999</v>
      </c>
      <c r="F4550" s="3">
        <f>VLOOKUP(B4550,airports!A:H,7,FALSE)</f>
        <v>36.09774694</v>
      </c>
      <c r="G4550" s="3">
        <f>VLOOKUP(B4550,airports!A:H,8,FALSE)</f>
        <v>-79.9372975</v>
      </c>
      <c r="H4550">
        <f t="shared" si="142"/>
        <v>862.5</v>
      </c>
      <c r="I4550">
        <f t="shared" si="143"/>
        <v>536</v>
      </c>
    </row>
    <row r="4551" spans="1:9" ht="30" x14ac:dyDescent="0.25">
      <c r="A4551" s="5" t="s">
        <v>82</v>
      </c>
      <c r="B4551" s="5" t="s">
        <v>519</v>
      </c>
      <c r="C4551" s="5" t="s">
        <v>5028</v>
      </c>
      <c r="D4551" s="3">
        <f>VLOOKUP(A4551,airports!A:H,7,FALSE)</f>
        <v>28.42888889</v>
      </c>
      <c r="E4551" s="3">
        <f>VLOOKUP(A4551,airports!A:H,8,FALSE)</f>
        <v>-81.316027779999999</v>
      </c>
      <c r="F4551" s="3">
        <f>VLOOKUP(B4551,airports!A:H,7,FALSE)</f>
        <v>34.89566722</v>
      </c>
      <c r="G4551" s="3">
        <f>VLOOKUP(B4551,airports!A:H,8,FALSE)</f>
        <v>-82.218858330000003</v>
      </c>
      <c r="H4551">
        <f t="shared" si="142"/>
        <v>724.1</v>
      </c>
      <c r="I4551">
        <f t="shared" si="143"/>
        <v>450</v>
      </c>
    </row>
    <row r="4552" spans="1:9" ht="30" x14ac:dyDescent="0.25">
      <c r="A4552" s="5" t="s">
        <v>82</v>
      </c>
      <c r="B4552" s="5" t="s">
        <v>360</v>
      </c>
      <c r="C4552" s="5" t="s">
        <v>5029</v>
      </c>
      <c r="D4552" s="3">
        <f>VLOOKUP(A4552,airports!A:H,7,FALSE)</f>
        <v>28.42888889</v>
      </c>
      <c r="E4552" s="3">
        <f>VLOOKUP(A4552,airports!A:H,8,FALSE)</f>
        <v>-81.316027779999999</v>
      </c>
      <c r="F4552" s="3">
        <f>VLOOKUP(B4552,airports!A:H,7,FALSE)</f>
        <v>21.31869111</v>
      </c>
      <c r="G4552" s="3">
        <f>VLOOKUP(B4552,airports!A:H,8,FALSE)</f>
        <v>-157.92240720000001</v>
      </c>
      <c r="H4552">
        <f t="shared" si="142"/>
        <v>7641.9</v>
      </c>
      <c r="I4552">
        <f t="shared" si="143"/>
        <v>4748.7</v>
      </c>
    </row>
    <row r="4553" spans="1:9" ht="30" x14ac:dyDescent="0.25">
      <c r="A4553" s="5" t="s">
        <v>82</v>
      </c>
      <c r="B4553" s="5" t="s">
        <v>205</v>
      </c>
      <c r="C4553" s="5" t="s">
        <v>5030</v>
      </c>
      <c r="D4553" s="3">
        <f>VLOOKUP(A4553,airports!A:H,7,FALSE)</f>
        <v>28.42888889</v>
      </c>
      <c r="E4553" s="3">
        <f>VLOOKUP(A4553,airports!A:H,8,FALSE)</f>
        <v>-81.316027779999999</v>
      </c>
      <c r="F4553" s="3">
        <f>VLOOKUP(B4553,airports!A:H,7,FALSE)</f>
        <v>29.64541861</v>
      </c>
      <c r="G4553" s="3">
        <f>VLOOKUP(B4553,airports!A:H,8,FALSE)</f>
        <v>-95.278888890000005</v>
      </c>
      <c r="H4553">
        <f t="shared" si="142"/>
        <v>1363.3</v>
      </c>
      <c r="I4553">
        <f t="shared" si="143"/>
        <v>847.2</v>
      </c>
    </row>
    <row r="4554" spans="1:9" ht="30" x14ac:dyDescent="0.25">
      <c r="A4554" s="5" t="s">
        <v>82</v>
      </c>
      <c r="B4554" s="5" t="s">
        <v>65</v>
      </c>
      <c r="C4554" s="5" t="s">
        <v>5031</v>
      </c>
      <c r="D4554" s="3">
        <f>VLOOKUP(A4554,airports!A:H,7,FALSE)</f>
        <v>28.42888889</v>
      </c>
      <c r="E4554" s="3">
        <f>VLOOKUP(A4554,airports!A:H,8,FALSE)</f>
        <v>-81.316027779999999</v>
      </c>
      <c r="F4554" s="3">
        <f>VLOOKUP(B4554,airports!A:H,7,FALSE)</f>
        <v>41.066957780000003</v>
      </c>
      <c r="G4554" s="3">
        <f>VLOOKUP(B4554,airports!A:H,8,FALSE)</f>
        <v>-73.707574440000002</v>
      </c>
      <c r="H4554">
        <f t="shared" si="142"/>
        <v>1566.2</v>
      </c>
      <c r="I4554">
        <f t="shared" si="143"/>
        <v>973.3</v>
      </c>
    </row>
    <row r="4555" spans="1:9" ht="30" x14ac:dyDescent="0.25">
      <c r="A4555" s="5" t="s">
        <v>82</v>
      </c>
      <c r="B4555" s="5" t="s">
        <v>729</v>
      </c>
      <c r="C4555" s="5" t="s">
        <v>5032</v>
      </c>
      <c r="D4555" s="3">
        <f>VLOOKUP(A4555,airports!A:H,7,FALSE)</f>
        <v>28.42888889</v>
      </c>
      <c r="E4555" s="3">
        <f>VLOOKUP(A4555,airports!A:H,8,FALSE)</f>
        <v>-81.316027779999999</v>
      </c>
      <c r="F4555" s="3">
        <f>VLOOKUP(B4555,airports!A:H,7,FALSE)</f>
        <v>26.228506110000001</v>
      </c>
      <c r="G4555" s="3">
        <f>VLOOKUP(B4555,airports!A:H,8,FALSE)</f>
        <v>-97.654393889999994</v>
      </c>
      <c r="H4555">
        <f t="shared" si="142"/>
        <v>1631.1</v>
      </c>
      <c r="I4555">
        <f t="shared" si="143"/>
        <v>1013.6</v>
      </c>
    </row>
    <row r="4556" spans="1:9" ht="30" x14ac:dyDescent="0.25">
      <c r="A4556" s="5" t="s">
        <v>82</v>
      </c>
      <c r="B4556" s="5" t="s">
        <v>529</v>
      </c>
      <c r="C4556" s="5" t="s">
        <v>5033</v>
      </c>
      <c r="D4556" s="3">
        <f>VLOOKUP(A4556,airports!A:H,7,FALSE)</f>
        <v>28.42888889</v>
      </c>
      <c r="E4556" s="3">
        <f>VLOOKUP(A4556,airports!A:H,8,FALSE)</f>
        <v>-81.316027779999999</v>
      </c>
      <c r="F4556" s="3">
        <f>VLOOKUP(B4556,airports!A:H,7,FALSE)</f>
        <v>34.640447500000001</v>
      </c>
      <c r="G4556" s="3">
        <f>VLOOKUP(B4556,airports!A:H,8,FALSE)</f>
        <v>-86.773109439999999</v>
      </c>
      <c r="H4556">
        <f t="shared" si="142"/>
        <v>862.5</v>
      </c>
      <c r="I4556">
        <f t="shared" si="143"/>
        <v>536</v>
      </c>
    </row>
    <row r="4557" spans="1:9" ht="30" x14ac:dyDescent="0.25">
      <c r="A4557" s="5" t="s">
        <v>82</v>
      </c>
      <c r="B4557" s="5" t="s">
        <v>176</v>
      </c>
      <c r="C4557" s="5" t="s">
        <v>5034</v>
      </c>
      <c r="D4557" s="3">
        <f>VLOOKUP(A4557,airports!A:H,7,FALSE)</f>
        <v>28.42888889</v>
      </c>
      <c r="E4557" s="3">
        <f>VLOOKUP(A4557,airports!A:H,8,FALSE)</f>
        <v>-81.316027779999999</v>
      </c>
      <c r="F4557" s="3">
        <f>VLOOKUP(B4557,airports!A:H,7,FALSE)</f>
        <v>38.944531939999997</v>
      </c>
      <c r="G4557" s="3">
        <f>VLOOKUP(B4557,airports!A:H,8,FALSE)</f>
        <v>-77.455809720000005</v>
      </c>
      <c r="H4557">
        <f t="shared" si="142"/>
        <v>1222.3</v>
      </c>
      <c r="I4557">
        <f t="shared" si="143"/>
        <v>759.5</v>
      </c>
    </row>
    <row r="4558" spans="1:9" ht="30" x14ac:dyDescent="0.25">
      <c r="A4558" s="5" t="s">
        <v>82</v>
      </c>
      <c r="B4558" s="5" t="s">
        <v>67</v>
      </c>
      <c r="C4558" s="5" t="s">
        <v>5035</v>
      </c>
      <c r="D4558" s="3">
        <f>VLOOKUP(A4558,airports!A:H,7,FALSE)</f>
        <v>28.42888889</v>
      </c>
      <c r="E4558" s="3">
        <f>VLOOKUP(A4558,airports!A:H,8,FALSE)</f>
        <v>-81.316027779999999</v>
      </c>
      <c r="F4558" s="3">
        <f>VLOOKUP(B4558,airports!A:H,7,FALSE)</f>
        <v>29.980472219999999</v>
      </c>
      <c r="G4558" s="3">
        <f>VLOOKUP(B4558,airports!A:H,8,FALSE)</f>
        <v>-95.339722219999999</v>
      </c>
      <c r="H4558">
        <f t="shared" si="142"/>
        <v>1371.1</v>
      </c>
      <c r="I4558">
        <f t="shared" si="143"/>
        <v>852</v>
      </c>
    </row>
    <row r="4559" spans="1:9" ht="30" x14ac:dyDescent="0.25">
      <c r="A4559" s="5" t="s">
        <v>82</v>
      </c>
      <c r="B4559" s="5" t="s">
        <v>4110</v>
      </c>
      <c r="C4559" s="5" t="s">
        <v>5036</v>
      </c>
      <c r="D4559" s="3">
        <f>VLOOKUP(A4559,airports!A:H,7,FALSE)</f>
        <v>28.42888889</v>
      </c>
      <c r="E4559" s="3">
        <f>VLOOKUP(A4559,airports!A:H,8,FALSE)</f>
        <v>-81.316027779999999</v>
      </c>
      <c r="F4559" s="3">
        <f>VLOOKUP(B4559,airports!A:H,7,FALSE)</f>
        <v>39.678722219999997</v>
      </c>
      <c r="G4559" s="3">
        <f>VLOOKUP(B4559,airports!A:H,8,FALSE)</f>
        <v>-75.606527779999993</v>
      </c>
      <c r="H4559">
        <f t="shared" si="142"/>
        <v>1356.2</v>
      </c>
      <c r="I4559">
        <f t="shared" si="143"/>
        <v>842.8</v>
      </c>
    </row>
    <row r="4560" spans="1:9" ht="30" x14ac:dyDescent="0.25">
      <c r="A4560" s="5" t="s">
        <v>82</v>
      </c>
      <c r="B4560" s="5" t="s">
        <v>537</v>
      </c>
      <c r="C4560" s="5" t="s">
        <v>5037</v>
      </c>
      <c r="D4560" s="3">
        <f>VLOOKUP(A4560,airports!A:H,7,FALSE)</f>
        <v>28.42888889</v>
      </c>
      <c r="E4560" s="3">
        <f>VLOOKUP(A4560,airports!A:H,8,FALSE)</f>
        <v>-81.316027779999999</v>
      </c>
      <c r="F4560" s="3">
        <f>VLOOKUP(B4560,airports!A:H,7,FALSE)</f>
        <v>39.717329169999999</v>
      </c>
      <c r="G4560" s="3">
        <f>VLOOKUP(B4560,airports!A:H,8,FALSE)</f>
        <v>-86.294384170000001</v>
      </c>
      <c r="H4560">
        <f t="shared" si="142"/>
        <v>1335.7</v>
      </c>
      <c r="I4560">
        <f t="shared" si="143"/>
        <v>830</v>
      </c>
    </row>
    <row r="4561" spans="1:9" ht="30" x14ac:dyDescent="0.25">
      <c r="A4561" s="5" t="s">
        <v>82</v>
      </c>
      <c r="B4561" s="5" t="s">
        <v>539</v>
      </c>
      <c r="C4561" s="5" t="s">
        <v>5038</v>
      </c>
      <c r="D4561" s="3">
        <f>VLOOKUP(A4561,airports!A:H,7,FALSE)</f>
        <v>28.42888889</v>
      </c>
      <c r="E4561" s="3">
        <f>VLOOKUP(A4561,airports!A:H,8,FALSE)</f>
        <v>-81.316027779999999</v>
      </c>
      <c r="F4561" s="3">
        <f>VLOOKUP(B4561,airports!A:H,7,FALSE)</f>
        <v>40.795242500000001</v>
      </c>
      <c r="G4561" s="3">
        <f>VLOOKUP(B4561,airports!A:H,8,FALSE)</f>
        <v>-73.100211939999994</v>
      </c>
      <c r="H4561">
        <f t="shared" si="142"/>
        <v>1565.4</v>
      </c>
      <c r="I4561">
        <f t="shared" si="143"/>
        <v>972.8</v>
      </c>
    </row>
    <row r="4562" spans="1:9" ht="30" x14ac:dyDescent="0.25">
      <c r="A4562" s="5" t="s">
        <v>82</v>
      </c>
      <c r="B4562" s="5" t="s">
        <v>543</v>
      </c>
      <c r="C4562" s="5" t="s">
        <v>5039</v>
      </c>
      <c r="D4562" s="3">
        <f>VLOOKUP(A4562,airports!A:H,7,FALSE)</f>
        <v>28.42888889</v>
      </c>
      <c r="E4562" s="3">
        <f>VLOOKUP(A4562,airports!A:H,8,FALSE)</f>
        <v>-81.316027779999999</v>
      </c>
      <c r="F4562" s="3">
        <f>VLOOKUP(B4562,airports!A:H,7,FALSE)</f>
        <v>32.311166669999999</v>
      </c>
      <c r="G4562" s="3">
        <f>VLOOKUP(B4562,airports!A:H,8,FALSE)</f>
        <v>-90.075888890000002</v>
      </c>
      <c r="H4562">
        <f t="shared" si="142"/>
        <v>944.3</v>
      </c>
      <c r="I4562">
        <f t="shared" si="143"/>
        <v>586.79999999999995</v>
      </c>
    </row>
    <row r="4563" spans="1:9" ht="30" x14ac:dyDescent="0.25">
      <c r="A4563" s="5" t="s">
        <v>82</v>
      </c>
      <c r="B4563" s="5" t="s">
        <v>68</v>
      </c>
      <c r="C4563" s="5" t="s">
        <v>5040</v>
      </c>
      <c r="D4563" s="3">
        <f>VLOOKUP(A4563,airports!A:H,7,FALSE)</f>
        <v>28.42888889</v>
      </c>
      <c r="E4563" s="3">
        <f>VLOOKUP(A4563,airports!A:H,8,FALSE)</f>
        <v>-81.316027779999999</v>
      </c>
      <c r="F4563" s="3">
        <f>VLOOKUP(B4563,airports!A:H,7,FALSE)</f>
        <v>30.49405556</v>
      </c>
      <c r="G4563" s="3">
        <f>VLOOKUP(B4563,airports!A:H,8,FALSE)</f>
        <v>-81.68786111</v>
      </c>
      <c r="H4563">
        <f t="shared" si="142"/>
        <v>232.4</v>
      </c>
      <c r="I4563">
        <f t="shared" si="143"/>
        <v>144.4</v>
      </c>
    </row>
    <row r="4564" spans="1:9" ht="30" x14ac:dyDescent="0.25">
      <c r="A4564" s="5" t="s">
        <v>82</v>
      </c>
      <c r="B4564" s="5" t="s">
        <v>69</v>
      </c>
      <c r="C4564" s="5" t="s">
        <v>5041</v>
      </c>
      <c r="D4564" s="3">
        <f>VLOOKUP(A4564,airports!A:H,7,FALSE)</f>
        <v>28.42888889</v>
      </c>
      <c r="E4564" s="3">
        <f>VLOOKUP(A4564,airports!A:H,8,FALSE)</f>
        <v>-81.316027779999999</v>
      </c>
      <c r="F4564" s="3">
        <f>VLOOKUP(B4564,airports!A:H,7,FALSE)</f>
        <v>40.639751109999999</v>
      </c>
      <c r="G4564" s="3">
        <f>VLOOKUP(B4564,airports!A:H,8,FALSE)</f>
        <v>-73.778925560000005</v>
      </c>
      <c r="H4564">
        <f t="shared" si="142"/>
        <v>1521.7</v>
      </c>
      <c r="I4564">
        <f t="shared" si="143"/>
        <v>945.6</v>
      </c>
    </row>
    <row r="4565" spans="1:9" ht="30" x14ac:dyDescent="0.25">
      <c r="A4565" s="5" t="s">
        <v>82</v>
      </c>
      <c r="B4565" s="5" t="s">
        <v>71</v>
      </c>
      <c r="C4565" s="5" t="s">
        <v>5042</v>
      </c>
      <c r="D4565" s="3">
        <f>VLOOKUP(A4565,airports!A:H,7,FALSE)</f>
        <v>28.42888889</v>
      </c>
      <c r="E4565" s="3">
        <f>VLOOKUP(A4565,airports!A:H,8,FALSE)</f>
        <v>-81.316027779999999</v>
      </c>
      <c r="F4565" s="3">
        <f>VLOOKUP(B4565,airports!A:H,7,FALSE)</f>
        <v>36.080361109999998</v>
      </c>
      <c r="G4565" s="3">
        <f>VLOOKUP(B4565,airports!A:H,8,FALSE)</f>
        <v>-115.1523333</v>
      </c>
      <c r="H4565">
        <f t="shared" si="142"/>
        <v>3275.5</v>
      </c>
      <c r="I4565">
        <f t="shared" si="143"/>
        <v>2035.4</v>
      </c>
    </row>
    <row r="4566" spans="1:9" ht="30" x14ac:dyDescent="0.25">
      <c r="A4566" s="5" t="s">
        <v>82</v>
      </c>
      <c r="B4566" s="5" t="s">
        <v>73</v>
      </c>
      <c r="C4566" s="5" t="s">
        <v>5043</v>
      </c>
      <c r="D4566" s="3">
        <f>VLOOKUP(A4566,airports!A:H,7,FALSE)</f>
        <v>28.42888889</v>
      </c>
      <c r="E4566" s="3">
        <f>VLOOKUP(A4566,airports!A:H,8,FALSE)</f>
        <v>-81.316027779999999</v>
      </c>
      <c r="F4566" s="3">
        <f>VLOOKUP(B4566,airports!A:H,7,FALSE)</f>
        <v>33.942536109999999</v>
      </c>
      <c r="G4566" s="3">
        <f>VLOOKUP(B4566,airports!A:H,8,FALSE)</f>
        <v>-118.4080744</v>
      </c>
      <c r="H4566">
        <f t="shared" si="142"/>
        <v>3561.7</v>
      </c>
      <c r="I4566">
        <f t="shared" si="143"/>
        <v>2213.3000000000002</v>
      </c>
    </row>
    <row r="4567" spans="1:9" ht="30" x14ac:dyDescent="0.25">
      <c r="A4567" s="5" t="s">
        <v>82</v>
      </c>
      <c r="B4567" s="5" t="s">
        <v>3295</v>
      </c>
      <c r="C4567" s="5" t="s">
        <v>5044</v>
      </c>
      <c r="D4567" s="3">
        <f>VLOOKUP(A4567,airports!A:H,7,FALSE)</f>
        <v>28.42888889</v>
      </c>
      <c r="E4567" s="3">
        <f>VLOOKUP(A4567,airports!A:H,8,FALSE)</f>
        <v>-81.316027779999999</v>
      </c>
      <c r="F4567" s="3">
        <f>VLOOKUP(B4567,airports!A:H,7,FALSE)</f>
        <v>40.275902000000002</v>
      </c>
      <c r="G4567" s="3">
        <f>VLOOKUP(B4567,airports!A:H,8,FALSE)</f>
        <v>-79.404799999999994</v>
      </c>
      <c r="H4567">
        <f t="shared" si="142"/>
        <v>1328.9</v>
      </c>
      <c r="I4567">
        <f t="shared" si="143"/>
        <v>825.8</v>
      </c>
    </row>
    <row r="4568" spans="1:9" ht="30" x14ac:dyDescent="0.25">
      <c r="A4568" s="5" t="s">
        <v>82</v>
      </c>
      <c r="B4568" s="5" t="s">
        <v>551</v>
      </c>
      <c r="C4568" s="5" t="s">
        <v>5045</v>
      </c>
      <c r="D4568" s="3">
        <f>VLOOKUP(A4568,airports!A:H,7,FALSE)</f>
        <v>28.42888889</v>
      </c>
      <c r="E4568" s="3">
        <f>VLOOKUP(A4568,airports!A:H,8,FALSE)</f>
        <v>-81.316027779999999</v>
      </c>
      <c r="F4568" s="3">
        <f>VLOOKUP(B4568,airports!A:H,7,FALSE)</f>
        <v>30.20527972</v>
      </c>
      <c r="G4568" s="3">
        <f>VLOOKUP(B4568,airports!A:H,8,FALSE)</f>
        <v>-91.987655000000004</v>
      </c>
      <c r="H4568">
        <f t="shared" si="142"/>
        <v>1052.9000000000001</v>
      </c>
      <c r="I4568">
        <f t="shared" si="143"/>
        <v>654.29999999999995</v>
      </c>
    </row>
    <row r="4569" spans="1:9" ht="30" x14ac:dyDescent="0.25">
      <c r="A4569" s="5" t="s">
        <v>82</v>
      </c>
      <c r="B4569" s="5" t="s">
        <v>74</v>
      </c>
      <c r="C4569" s="5" t="s">
        <v>5046</v>
      </c>
      <c r="D4569" s="3">
        <f>VLOOKUP(A4569,airports!A:H,7,FALSE)</f>
        <v>28.42888889</v>
      </c>
      <c r="E4569" s="3">
        <f>VLOOKUP(A4569,airports!A:H,8,FALSE)</f>
        <v>-81.316027779999999</v>
      </c>
      <c r="F4569" s="3">
        <f>VLOOKUP(B4569,airports!A:H,7,FALSE)</f>
        <v>40.777243060000004</v>
      </c>
      <c r="G4569" s="3">
        <f>VLOOKUP(B4569,airports!A:H,8,FALSE)</f>
        <v>-73.872609170000004</v>
      </c>
      <c r="H4569">
        <f t="shared" si="142"/>
        <v>1531.3</v>
      </c>
      <c r="I4569">
        <f t="shared" si="143"/>
        <v>951.6</v>
      </c>
    </row>
    <row r="4570" spans="1:9" ht="30" x14ac:dyDescent="0.25">
      <c r="A4570" s="5" t="s">
        <v>82</v>
      </c>
      <c r="B4570" s="5" t="s">
        <v>554</v>
      </c>
      <c r="C4570" s="5" t="s">
        <v>5047</v>
      </c>
      <c r="D4570" s="3">
        <f>VLOOKUP(A4570,airports!A:H,7,FALSE)</f>
        <v>28.42888889</v>
      </c>
      <c r="E4570" s="3">
        <f>VLOOKUP(A4570,airports!A:H,8,FALSE)</f>
        <v>-81.316027779999999</v>
      </c>
      <c r="F4570" s="3">
        <f>VLOOKUP(B4570,airports!A:H,7,FALSE)</f>
        <v>34.729396110000003</v>
      </c>
      <c r="G4570" s="3">
        <f>VLOOKUP(B4570,airports!A:H,8,FALSE)</f>
        <v>-92.22424556</v>
      </c>
      <c r="H4570">
        <f t="shared" si="142"/>
        <v>1247.2</v>
      </c>
      <c r="I4570">
        <f t="shared" si="143"/>
        <v>775</v>
      </c>
    </row>
    <row r="4571" spans="1:9" ht="30" x14ac:dyDescent="0.25">
      <c r="A4571" s="5" t="s">
        <v>82</v>
      </c>
      <c r="B4571" s="5" t="s">
        <v>80</v>
      </c>
      <c r="C4571" s="5" t="s">
        <v>5048</v>
      </c>
      <c r="D4571" s="3">
        <f>VLOOKUP(A4571,airports!A:H,7,FALSE)</f>
        <v>28.42888889</v>
      </c>
      <c r="E4571" s="3">
        <f>VLOOKUP(A4571,airports!A:H,8,FALSE)</f>
        <v>-81.316027779999999</v>
      </c>
      <c r="F4571" s="3">
        <f>VLOOKUP(B4571,airports!A:H,7,FALSE)</f>
        <v>39.297605279999999</v>
      </c>
      <c r="G4571" s="3">
        <f>VLOOKUP(B4571,airports!A:H,8,FALSE)</f>
        <v>-94.713905560000001</v>
      </c>
      <c r="H4571">
        <f t="shared" si="142"/>
        <v>1725.7</v>
      </c>
      <c r="I4571">
        <f t="shared" si="143"/>
        <v>1072.3</v>
      </c>
    </row>
    <row r="4572" spans="1:9" ht="30" x14ac:dyDescent="0.25">
      <c r="A4572" s="5" t="s">
        <v>82</v>
      </c>
      <c r="B4572" s="5" t="s">
        <v>178</v>
      </c>
      <c r="C4572" s="5" t="s">
        <v>5049</v>
      </c>
      <c r="D4572" s="3">
        <f>VLOOKUP(A4572,airports!A:H,7,FALSE)</f>
        <v>28.42888889</v>
      </c>
      <c r="E4572" s="3">
        <f>VLOOKUP(A4572,airports!A:H,8,FALSE)</f>
        <v>-81.316027779999999</v>
      </c>
      <c r="F4572" s="3">
        <f>VLOOKUP(B4572,airports!A:H,7,FALSE)</f>
        <v>40.19349528</v>
      </c>
      <c r="G4572" s="3">
        <f>VLOOKUP(B4572,airports!A:H,8,FALSE)</f>
        <v>-76.763403609999997</v>
      </c>
      <c r="H4572">
        <f t="shared" si="142"/>
        <v>1372.8</v>
      </c>
      <c r="I4572">
        <f t="shared" si="143"/>
        <v>853.1</v>
      </c>
    </row>
    <row r="4573" spans="1:9" ht="30" x14ac:dyDescent="0.25">
      <c r="A4573" s="5" t="s">
        <v>82</v>
      </c>
      <c r="B4573" s="5" t="s">
        <v>180</v>
      </c>
      <c r="C4573" s="5" t="s">
        <v>5050</v>
      </c>
      <c r="D4573" s="3">
        <f>VLOOKUP(A4573,airports!A:H,7,FALSE)</f>
        <v>28.42888889</v>
      </c>
      <c r="E4573" s="3">
        <f>VLOOKUP(A4573,airports!A:H,8,FALSE)</f>
        <v>-81.316027779999999</v>
      </c>
      <c r="F4573" s="3">
        <f>VLOOKUP(B4573,airports!A:H,7,FALSE)</f>
        <v>41.785982500000003</v>
      </c>
      <c r="G4573" s="3">
        <f>VLOOKUP(B4573,airports!A:H,8,FALSE)</f>
        <v>-87.752424439999999</v>
      </c>
      <c r="H4573">
        <f t="shared" si="142"/>
        <v>1595.2</v>
      </c>
      <c r="I4573">
        <f t="shared" si="143"/>
        <v>991.3</v>
      </c>
    </row>
    <row r="4574" spans="1:9" ht="30" x14ac:dyDescent="0.25">
      <c r="A4574" s="5" t="s">
        <v>82</v>
      </c>
      <c r="B4574" s="5" t="s">
        <v>563</v>
      </c>
      <c r="C4574" s="5" t="s">
        <v>5051</v>
      </c>
      <c r="D4574" s="3">
        <f>VLOOKUP(A4574,airports!A:H,7,FALSE)</f>
        <v>28.42888889</v>
      </c>
      <c r="E4574" s="3">
        <f>VLOOKUP(A4574,airports!A:H,8,FALSE)</f>
        <v>-81.316027779999999</v>
      </c>
      <c r="F4574" s="3">
        <f>VLOOKUP(B4574,airports!A:H,7,FALSE)</f>
        <v>35.042416670000001</v>
      </c>
      <c r="G4574" s="3">
        <f>VLOOKUP(B4574,airports!A:H,8,FALSE)</f>
        <v>-89.97666667</v>
      </c>
      <c r="H4574">
        <f t="shared" si="142"/>
        <v>1099.8</v>
      </c>
      <c r="I4574">
        <f t="shared" si="143"/>
        <v>683.5</v>
      </c>
    </row>
    <row r="4575" spans="1:9" ht="30" x14ac:dyDescent="0.25">
      <c r="A4575" s="5" t="s">
        <v>82</v>
      </c>
      <c r="B4575" s="5" t="s">
        <v>567</v>
      </c>
      <c r="C4575" s="5" t="s">
        <v>5052</v>
      </c>
      <c r="D4575" s="3">
        <f>VLOOKUP(A4575,airports!A:H,7,FALSE)</f>
        <v>28.42888889</v>
      </c>
      <c r="E4575" s="3">
        <f>VLOOKUP(A4575,airports!A:H,8,FALSE)</f>
        <v>-81.316027779999999</v>
      </c>
      <c r="F4575" s="3">
        <f>VLOOKUP(B4575,airports!A:H,7,FALSE)</f>
        <v>42.934516389999999</v>
      </c>
      <c r="G4575" s="3">
        <f>VLOOKUP(B4575,airports!A:H,8,FALSE)</f>
        <v>-71.437055830000006</v>
      </c>
      <c r="H4575">
        <f t="shared" si="142"/>
        <v>1840.2</v>
      </c>
      <c r="I4575">
        <f t="shared" si="143"/>
        <v>1143.5</v>
      </c>
    </row>
    <row r="4576" spans="1:9" ht="30" x14ac:dyDescent="0.25">
      <c r="A4576" s="5" t="s">
        <v>82</v>
      </c>
      <c r="B4576" s="5" t="s">
        <v>84</v>
      </c>
      <c r="C4576" s="5" t="s">
        <v>5053</v>
      </c>
      <c r="D4576" s="3">
        <f>VLOOKUP(A4576,airports!A:H,7,FALSE)</f>
        <v>28.42888889</v>
      </c>
      <c r="E4576" s="3">
        <f>VLOOKUP(A4576,airports!A:H,8,FALSE)</f>
        <v>-81.316027779999999</v>
      </c>
      <c r="F4576" s="3">
        <f>VLOOKUP(B4576,airports!A:H,7,FALSE)</f>
        <v>25.79325</v>
      </c>
      <c r="G4576" s="3">
        <f>VLOOKUP(B4576,airports!A:H,8,FALSE)</f>
        <v>-80.290555560000001</v>
      </c>
      <c r="H4576">
        <f t="shared" si="142"/>
        <v>310.10000000000002</v>
      </c>
      <c r="I4576">
        <f t="shared" si="143"/>
        <v>192.7</v>
      </c>
    </row>
    <row r="4577" spans="1:9" ht="30" x14ac:dyDescent="0.25">
      <c r="A4577" s="5" t="s">
        <v>82</v>
      </c>
      <c r="B4577" s="5" t="s">
        <v>85</v>
      </c>
      <c r="C4577" s="5" t="s">
        <v>5054</v>
      </c>
      <c r="D4577" s="3">
        <f>VLOOKUP(A4577,airports!A:H,7,FALSE)</f>
        <v>28.42888889</v>
      </c>
      <c r="E4577" s="3">
        <f>VLOOKUP(A4577,airports!A:H,8,FALSE)</f>
        <v>-81.316027779999999</v>
      </c>
      <c r="F4577" s="3">
        <f>VLOOKUP(B4577,airports!A:H,7,FALSE)</f>
        <v>42.94722222</v>
      </c>
      <c r="G4577" s="3">
        <f>VLOOKUP(B4577,airports!A:H,8,FALSE)</f>
        <v>-87.896583329999999</v>
      </c>
      <c r="H4577">
        <f t="shared" si="142"/>
        <v>1718.8</v>
      </c>
      <c r="I4577">
        <f t="shared" si="143"/>
        <v>1068.0999999999999</v>
      </c>
    </row>
    <row r="4578" spans="1:9" ht="30" x14ac:dyDescent="0.25">
      <c r="A4578" s="5" t="s">
        <v>82</v>
      </c>
      <c r="B4578" s="5" t="s">
        <v>579</v>
      </c>
      <c r="C4578" s="5" t="s">
        <v>5055</v>
      </c>
      <c r="D4578" s="3">
        <f>VLOOKUP(A4578,airports!A:H,7,FALSE)</f>
        <v>28.42888889</v>
      </c>
      <c r="E4578" s="3">
        <f>VLOOKUP(A4578,airports!A:H,8,FALSE)</f>
        <v>-81.316027779999999</v>
      </c>
      <c r="F4578" s="3">
        <f>VLOOKUP(B4578,airports!A:H,7,FALSE)</f>
        <v>43.13985778</v>
      </c>
      <c r="G4578" s="3">
        <f>VLOOKUP(B4578,airports!A:H,8,FALSE)</f>
        <v>-89.337513610000002</v>
      </c>
      <c r="H4578">
        <f t="shared" si="142"/>
        <v>1786.5</v>
      </c>
      <c r="I4578">
        <f t="shared" si="143"/>
        <v>1110.2</v>
      </c>
    </row>
    <row r="4579" spans="1:9" ht="30" x14ac:dyDescent="0.25">
      <c r="A4579" s="5" t="s">
        <v>82</v>
      </c>
      <c r="B4579" s="5" t="s">
        <v>87</v>
      </c>
      <c r="C4579" s="5" t="s">
        <v>5056</v>
      </c>
      <c r="D4579" s="3">
        <f>VLOOKUP(A4579,airports!A:H,7,FALSE)</f>
        <v>28.42888889</v>
      </c>
      <c r="E4579" s="3">
        <f>VLOOKUP(A4579,airports!A:H,8,FALSE)</f>
        <v>-81.316027779999999</v>
      </c>
      <c r="F4579" s="3">
        <f>VLOOKUP(B4579,airports!A:H,7,FALSE)</f>
        <v>44.880546940000002</v>
      </c>
      <c r="G4579" s="3">
        <f>VLOOKUP(B4579,airports!A:H,8,FALSE)</f>
        <v>-93.216922499999995</v>
      </c>
      <c r="H4579">
        <f t="shared" si="142"/>
        <v>2109.8000000000002</v>
      </c>
      <c r="I4579">
        <f t="shared" si="143"/>
        <v>1311.1</v>
      </c>
    </row>
    <row r="4580" spans="1:9" ht="30" x14ac:dyDescent="0.25">
      <c r="A4580" s="5" t="s">
        <v>82</v>
      </c>
      <c r="B4580" s="5" t="s">
        <v>89</v>
      </c>
      <c r="C4580" s="5" t="s">
        <v>5057</v>
      </c>
      <c r="D4580" s="3">
        <f>VLOOKUP(A4580,airports!A:H,7,FALSE)</f>
        <v>28.42888889</v>
      </c>
      <c r="E4580" s="3">
        <f>VLOOKUP(A4580,airports!A:H,8,FALSE)</f>
        <v>-81.316027779999999</v>
      </c>
      <c r="F4580" s="3">
        <f>VLOOKUP(B4580,airports!A:H,7,FALSE)</f>
        <v>29.993388889999999</v>
      </c>
      <c r="G4580" s="3">
        <f>VLOOKUP(B4580,airports!A:H,8,FALSE)</f>
        <v>-90.258027780000006</v>
      </c>
      <c r="H4580">
        <f t="shared" si="142"/>
        <v>884.9</v>
      </c>
      <c r="I4580">
        <f t="shared" si="143"/>
        <v>549.9</v>
      </c>
    </row>
    <row r="4581" spans="1:9" ht="30" x14ac:dyDescent="0.25">
      <c r="A4581" s="5" t="s">
        <v>82</v>
      </c>
      <c r="B4581" s="5" t="s">
        <v>182</v>
      </c>
      <c r="C4581" s="5" t="s">
        <v>5058</v>
      </c>
      <c r="D4581" s="3">
        <f>VLOOKUP(A4581,airports!A:H,7,FALSE)</f>
        <v>28.42888889</v>
      </c>
      <c r="E4581" s="3">
        <f>VLOOKUP(A4581,airports!A:H,8,FALSE)</f>
        <v>-81.316027779999999</v>
      </c>
      <c r="F4581" s="3">
        <f>VLOOKUP(B4581,airports!A:H,7,FALSE)</f>
        <v>33.679749999999999</v>
      </c>
      <c r="G4581" s="3">
        <f>VLOOKUP(B4581,airports!A:H,8,FALSE)</f>
        <v>-78.928333330000001</v>
      </c>
      <c r="H4581">
        <f t="shared" si="142"/>
        <v>626.5</v>
      </c>
      <c r="I4581">
        <f t="shared" si="143"/>
        <v>389.3</v>
      </c>
    </row>
    <row r="4582" spans="1:9" ht="30" x14ac:dyDescent="0.25">
      <c r="A4582" s="5" t="s">
        <v>82</v>
      </c>
      <c r="B4582" s="5" t="s">
        <v>215</v>
      </c>
      <c r="C4582" s="5" t="s">
        <v>5059</v>
      </c>
      <c r="D4582" s="3">
        <f>VLOOKUP(A4582,airports!A:H,7,FALSE)</f>
        <v>28.42888889</v>
      </c>
      <c r="E4582" s="3">
        <f>VLOOKUP(A4582,airports!A:H,8,FALSE)</f>
        <v>-81.316027779999999</v>
      </c>
      <c r="F4582" s="3">
        <f>VLOOKUP(B4582,airports!A:H,7,FALSE)</f>
        <v>37.721290830000001</v>
      </c>
      <c r="G4582" s="3">
        <f>VLOOKUP(B4582,airports!A:H,8,FALSE)</f>
        <v>-122.2207167</v>
      </c>
      <c r="H4582">
        <f t="shared" si="142"/>
        <v>3915.6</v>
      </c>
      <c r="I4582">
        <f t="shared" si="143"/>
        <v>2433.1999999999998</v>
      </c>
    </row>
    <row r="4583" spans="1:9" ht="30" x14ac:dyDescent="0.25">
      <c r="A4583" s="5" t="s">
        <v>82</v>
      </c>
      <c r="B4583" s="5" t="s">
        <v>590</v>
      </c>
      <c r="C4583" s="5" t="s">
        <v>5060</v>
      </c>
      <c r="D4583" s="3">
        <f>VLOOKUP(A4583,airports!A:H,7,FALSE)</f>
        <v>28.42888889</v>
      </c>
      <c r="E4583" s="3">
        <f>VLOOKUP(A4583,airports!A:H,8,FALSE)</f>
        <v>-81.316027779999999</v>
      </c>
      <c r="F4583" s="3">
        <f>VLOOKUP(B4583,airports!A:H,7,FALSE)</f>
        <v>35.393088329999998</v>
      </c>
      <c r="G4583" s="3">
        <f>VLOOKUP(B4583,airports!A:H,8,FALSE)</f>
        <v>-97.600733890000001</v>
      </c>
      <c r="H4583">
        <f t="shared" si="142"/>
        <v>1718</v>
      </c>
      <c r="I4583">
        <f t="shared" si="143"/>
        <v>1067.5999999999999</v>
      </c>
    </row>
    <row r="4584" spans="1:9" ht="30" x14ac:dyDescent="0.25">
      <c r="A4584" s="5" t="s">
        <v>82</v>
      </c>
      <c r="B4584" s="5" t="s">
        <v>592</v>
      </c>
      <c r="C4584" s="5" t="s">
        <v>5061</v>
      </c>
      <c r="D4584" s="3">
        <f>VLOOKUP(A4584,airports!A:H,7,FALSE)</f>
        <v>28.42888889</v>
      </c>
      <c r="E4584" s="3">
        <f>VLOOKUP(A4584,airports!A:H,8,FALSE)</f>
        <v>-81.316027779999999</v>
      </c>
      <c r="F4584" s="3">
        <f>VLOOKUP(B4584,airports!A:H,7,FALSE)</f>
        <v>41.30251861</v>
      </c>
      <c r="G4584" s="3">
        <f>VLOOKUP(B4584,airports!A:H,8,FALSE)</f>
        <v>-95.89417306</v>
      </c>
      <c r="H4584">
        <f t="shared" si="142"/>
        <v>1948.5</v>
      </c>
      <c r="I4584">
        <f t="shared" si="143"/>
        <v>1210.8</v>
      </c>
    </row>
    <row r="4585" spans="1:9" ht="30" x14ac:dyDescent="0.25">
      <c r="A4585" s="5" t="s">
        <v>82</v>
      </c>
      <c r="B4585" s="5" t="s">
        <v>94</v>
      </c>
      <c r="C4585" s="5" t="s">
        <v>5062</v>
      </c>
      <c r="D4585" s="3">
        <f>VLOOKUP(A4585,airports!A:H,7,FALSE)</f>
        <v>28.42888889</v>
      </c>
      <c r="E4585" s="3">
        <f>VLOOKUP(A4585,airports!A:H,8,FALSE)</f>
        <v>-81.316027779999999</v>
      </c>
      <c r="F4585" s="3">
        <f>VLOOKUP(B4585,airports!A:H,7,FALSE)</f>
        <v>34.055999999999997</v>
      </c>
      <c r="G4585" s="3">
        <f>VLOOKUP(B4585,airports!A:H,8,FALSE)</f>
        <v>-117.6011944</v>
      </c>
      <c r="H4585">
        <f t="shared" si="142"/>
        <v>3487.3</v>
      </c>
      <c r="I4585">
        <f t="shared" si="143"/>
        <v>2167</v>
      </c>
    </row>
    <row r="4586" spans="1:9" ht="30" x14ac:dyDescent="0.25">
      <c r="A4586" s="5" t="s">
        <v>82</v>
      </c>
      <c r="B4586" s="5" t="s">
        <v>95</v>
      </c>
      <c r="C4586" s="5" t="s">
        <v>5063</v>
      </c>
      <c r="D4586" s="3">
        <f>VLOOKUP(A4586,airports!A:H,7,FALSE)</f>
        <v>28.42888889</v>
      </c>
      <c r="E4586" s="3">
        <f>VLOOKUP(A4586,airports!A:H,8,FALSE)</f>
        <v>-81.316027779999999</v>
      </c>
      <c r="F4586" s="3">
        <f>VLOOKUP(B4586,airports!A:H,7,FALSE)</f>
        <v>41.979595000000003</v>
      </c>
      <c r="G4586" s="3">
        <f>VLOOKUP(B4586,airports!A:H,8,FALSE)</f>
        <v>-87.904464169999997</v>
      </c>
      <c r="H4586">
        <f t="shared" si="142"/>
        <v>1620</v>
      </c>
      <c r="I4586">
        <f t="shared" si="143"/>
        <v>1006.7</v>
      </c>
    </row>
    <row r="4587" spans="1:9" ht="30" x14ac:dyDescent="0.25">
      <c r="A4587" s="5" t="s">
        <v>82</v>
      </c>
      <c r="B4587" s="5" t="s">
        <v>596</v>
      </c>
      <c r="C4587" s="5" t="s">
        <v>5064</v>
      </c>
      <c r="D4587" s="3">
        <f>VLOOKUP(A4587,airports!A:H,7,FALSE)</f>
        <v>28.42888889</v>
      </c>
      <c r="E4587" s="3">
        <f>VLOOKUP(A4587,airports!A:H,8,FALSE)</f>
        <v>-81.316027779999999</v>
      </c>
      <c r="F4587" s="3">
        <f>VLOOKUP(B4587,airports!A:H,7,FALSE)</f>
        <v>36.89461111</v>
      </c>
      <c r="G4587" s="3">
        <f>VLOOKUP(B4587,airports!A:H,8,FALSE)</f>
        <v>-76.201222220000005</v>
      </c>
      <c r="H4587">
        <f t="shared" si="142"/>
        <v>1055.7</v>
      </c>
      <c r="I4587">
        <f t="shared" si="143"/>
        <v>656</v>
      </c>
    </row>
    <row r="4588" spans="1:9" ht="30" x14ac:dyDescent="0.25">
      <c r="A4588" s="5" t="s">
        <v>82</v>
      </c>
      <c r="B4588" s="5" t="s">
        <v>97</v>
      </c>
      <c r="C4588" s="5" t="s">
        <v>5065</v>
      </c>
      <c r="D4588" s="3">
        <f>VLOOKUP(A4588,airports!A:H,7,FALSE)</f>
        <v>28.42888889</v>
      </c>
      <c r="E4588" s="3">
        <f>VLOOKUP(A4588,airports!A:H,8,FALSE)</f>
        <v>-81.316027779999999</v>
      </c>
      <c r="F4588" s="3">
        <f>VLOOKUP(B4588,airports!A:H,7,FALSE)</f>
        <v>42.267339440000001</v>
      </c>
      <c r="G4588" s="3">
        <f>VLOOKUP(B4588,airports!A:H,8,FALSE)</f>
        <v>-71.875709439999994</v>
      </c>
      <c r="H4588">
        <f t="shared" si="142"/>
        <v>1758.2</v>
      </c>
      <c r="I4588">
        <f t="shared" si="143"/>
        <v>1092.5999999999999</v>
      </c>
    </row>
    <row r="4589" spans="1:9" ht="30" x14ac:dyDescent="0.25">
      <c r="A4589" s="5" t="s">
        <v>82</v>
      </c>
      <c r="B4589" s="5" t="s">
        <v>100</v>
      </c>
      <c r="C4589" s="5" t="s">
        <v>5066</v>
      </c>
      <c r="D4589" s="3">
        <f>VLOOKUP(A4589,airports!A:H,7,FALSE)</f>
        <v>28.42888889</v>
      </c>
      <c r="E4589" s="3">
        <f>VLOOKUP(A4589,airports!A:H,8,FALSE)</f>
        <v>-81.316027779999999</v>
      </c>
      <c r="F4589" s="3">
        <f>VLOOKUP(B4589,airports!A:H,7,FALSE)</f>
        <v>45.588722220000001</v>
      </c>
      <c r="G4589" s="3">
        <f>VLOOKUP(B4589,airports!A:H,8,FALSE)</f>
        <v>-122.5975</v>
      </c>
      <c r="H4589">
        <f t="shared" si="142"/>
        <v>4072.7</v>
      </c>
      <c r="I4589">
        <f t="shared" si="143"/>
        <v>2530.8000000000002</v>
      </c>
    </row>
    <row r="4590" spans="1:9" ht="30" x14ac:dyDescent="0.25">
      <c r="A4590" s="5" t="s">
        <v>82</v>
      </c>
      <c r="B4590" s="5" t="s">
        <v>102</v>
      </c>
      <c r="C4590" s="5" t="s">
        <v>5067</v>
      </c>
      <c r="D4590" s="3">
        <f>VLOOKUP(A4590,airports!A:H,7,FALSE)</f>
        <v>28.42888889</v>
      </c>
      <c r="E4590" s="3">
        <f>VLOOKUP(A4590,airports!A:H,8,FALSE)</f>
        <v>-81.316027779999999</v>
      </c>
      <c r="F4590" s="3">
        <f>VLOOKUP(B4590,airports!A:H,7,FALSE)</f>
        <v>39.871952780000001</v>
      </c>
      <c r="G4590" s="3">
        <f>VLOOKUP(B4590,airports!A:H,8,FALSE)</f>
        <v>-75.241140830000006</v>
      </c>
      <c r="H4590">
        <f t="shared" si="142"/>
        <v>1388.9</v>
      </c>
      <c r="I4590">
        <f t="shared" si="143"/>
        <v>863.1</v>
      </c>
    </row>
    <row r="4591" spans="1:9" ht="30" x14ac:dyDescent="0.25">
      <c r="A4591" s="5" t="s">
        <v>82</v>
      </c>
      <c r="B4591" s="5" t="s">
        <v>104</v>
      </c>
      <c r="C4591" s="5" t="s">
        <v>5068</v>
      </c>
      <c r="D4591" s="3">
        <f>VLOOKUP(A4591,airports!A:H,7,FALSE)</f>
        <v>28.42888889</v>
      </c>
      <c r="E4591" s="3">
        <f>VLOOKUP(A4591,airports!A:H,8,FALSE)</f>
        <v>-81.316027779999999</v>
      </c>
      <c r="F4591" s="3">
        <f>VLOOKUP(B4591,airports!A:H,7,FALSE)</f>
        <v>33.434166670000003</v>
      </c>
      <c r="G4591" s="3">
        <f>VLOOKUP(B4591,airports!A:H,8,FALSE)</f>
        <v>-112.00805560000001</v>
      </c>
      <c r="H4591">
        <f t="shared" si="142"/>
        <v>2968.7</v>
      </c>
      <c r="I4591">
        <f t="shared" si="143"/>
        <v>1844.8</v>
      </c>
    </row>
    <row r="4592" spans="1:9" ht="30" x14ac:dyDescent="0.25">
      <c r="A4592" s="5" t="s">
        <v>82</v>
      </c>
      <c r="B4592" s="5" t="s">
        <v>106</v>
      </c>
      <c r="C4592" s="5" t="s">
        <v>5069</v>
      </c>
      <c r="D4592" s="3">
        <f>VLOOKUP(A4592,airports!A:H,7,FALSE)</f>
        <v>28.42888889</v>
      </c>
      <c r="E4592" s="3">
        <f>VLOOKUP(A4592,airports!A:H,8,FALSE)</f>
        <v>-81.316027779999999</v>
      </c>
      <c r="F4592" s="3">
        <f>VLOOKUP(B4592,airports!A:H,7,FALSE)</f>
        <v>40.491465830000003</v>
      </c>
      <c r="G4592" s="3">
        <f>VLOOKUP(B4592,airports!A:H,8,FALSE)</f>
        <v>-80.232870829999996</v>
      </c>
      <c r="H4592">
        <f t="shared" si="142"/>
        <v>1344.9</v>
      </c>
      <c r="I4592">
        <f t="shared" si="143"/>
        <v>835.8</v>
      </c>
    </row>
    <row r="4593" spans="1:9" ht="30" x14ac:dyDescent="0.25">
      <c r="A4593" s="5" t="s">
        <v>82</v>
      </c>
      <c r="B4593" s="5" t="s">
        <v>607</v>
      </c>
      <c r="C4593" s="5" t="s">
        <v>5070</v>
      </c>
      <c r="D4593" s="3">
        <f>VLOOKUP(A4593,airports!A:H,7,FALSE)</f>
        <v>28.42888889</v>
      </c>
      <c r="E4593" s="3">
        <f>VLOOKUP(A4593,airports!A:H,8,FALSE)</f>
        <v>-81.316027779999999</v>
      </c>
      <c r="F4593" s="3">
        <f>VLOOKUP(B4593,airports!A:H,7,FALSE)</f>
        <v>30.47330556</v>
      </c>
      <c r="G4593" s="3">
        <f>VLOOKUP(B4593,airports!A:H,8,FALSE)</f>
        <v>-87.187444439999993</v>
      </c>
      <c r="H4593">
        <f t="shared" si="142"/>
        <v>612.20000000000005</v>
      </c>
      <c r="I4593">
        <f t="shared" si="143"/>
        <v>380.4</v>
      </c>
    </row>
    <row r="4594" spans="1:9" ht="30" x14ac:dyDescent="0.25">
      <c r="A4594" s="5" t="s">
        <v>82</v>
      </c>
      <c r="B4594" s="5" t="s">
        <v>110</v>
      </c>
      <c r="C4594" s="5" t="s">
        <v>5071</v>
      </c>
      <c r="D4594" s="3">
        <f>VLOOKUP(A4594,airports!A:H,7,FALSE)</f>
        <v>28.42888889</v>
      </c>
      <c r="E4594" s="3">
        <f>VLOOKUP(A4594,airports!A:H,8,FALSE)</f>
        <v>-81.316027779999999</v>
      </c>
      <c r="F4594" s="3">
        <f>VLOOKUP(B4594,airports!A:H,7,FALSE)</f>
        <v>18.008302780000001</v>
      </c>
      <c r="G4594" s="3">
        <f>VLOOKUP(B4594,airports!A:H,8,FALSE)</f>
        <v>-66.563011939999996</v>
      </c>
      <c r="H4594">
        <f t="shared" si="142"/>
        <v>1898.4</v>
      </c>
      <c r="I4594">
        <f t="shared" si="143"/>
        <v>1179.7</v>
      </c>
    </row>
    <row r="4595" spans="1:9" ht="30" x14ac:dyDescent="0.25">
      <c r="A4595" s="5" t="s">
        <v>82</v>
      </c>
      <c r="B4595" s="5" t="s">
        <v>1164</v>
      </c>
      <c r="C4595" s="5" t="s">
        <v>5072</v>
      </c>
      <c r="D4595" s="3">
        <f>VLOOKUP(A4595,airports!A:H,7,FALSE)</f>
        <v>28.42888889</v>
      </c>
      <c r="E4595" s="3">
        <f>VLOOKUP(A4595,airports!A:H,8,FALSE)</f>
        <v>-81.316027779999999</v>
      </c>
      <c r="F4595" s="3">
        <f>VLOOKUP(B4595,airports!A:H,7,FALSE)</f>
        <v>43.079099999999997</v>
      </c>
      <c r="G4595" s="3">
        <f>VLOOKUP(B4595,airports!A:H,8,FALSE)</f>
        <v>-70.823300000000003</v>
      </c>
      <c r="H4595">
        <f t="shared" si="142"/>
        <v>1880.7</v>
      </c>
      <c r="I4595">
        <f t="shared" si="143"/>
        <v>1168.7</v>
      </c>
    </row>
    <row r="4596" spans="1:9" ht="30" x14ac:dyDescent="0.25">
      <c r="A4596" s="5" t="s">
        <v>82</v>
      </c>
      <c r="B4596" s="5" t="s">
        <v>114</v>
      </c>
      <c r="C4596" s="5" t="s">
        <v>5073</v>
      </c>
      <c r="D4596" s="3">
        <f>VLOOKUP(A4596,airports!A:H,7,FALSE)</f>
        <v>28.42888889</v>
      </c>
      <c r="E4596" s="3">
        <f>VLOOKUP(A4596,airports!A:H,8,FALSE)</f>
        <v>-81.316027779999999</v>
      </c>
      <c r="F4596" s="3">
        <f>VLOOKUP(B4596,airports!A:H,7,FALSE)</f>
        <v>41.723999169999999</v>
      </c>
      <c r="G4596" s="3">
        <f>VLOOKUP(B4596,airports!A:H,8,FALSE)</f>
        <v>-71.428221109999996</v>
      </c>
      <c r="H4596">
        <f t="shared" si="142"/>
        <v>1727.8</v>
      </c>
      <c r="I4596">
        <f t="shared" si="143"/>
        <v>1073.7</v>
      </c>
    </row>
    <row r="4597" spans="1:9" ht="30" x14ac:dyDescent="0.25">
      <c r="A4597" s="5" t="s">
        <v>82</v>
      </c>
      <c r="B4597" s="5" t="s">
        <v>117</v>
      </c>
      <c r="C4597" s="5" t="s">
        <v>5074</v>
      </c>
      <c r="D4597" s="3">
        <f>VLOOKUP(A4597,airports!A:H,7,FALSE)</f>
        <v>28.42888889</v>
      </c>
      <c r="E4597" s="3">
        <f>VLOOKUP(A4597,airports!A:H,8,FALSE)</f>
        <v>-81.316027779999999</v>
      </c>
      <c r="F4597" s="3">
        <f>VLOOKUP(B4597,airports!A:H,7,FALSE)</f>
        <v>43.646166669999999</v>
      </c>
      <c r="G4597" s="3">
        <f>VLOOKUP(B4597,airports!A:H,8,FALSE)</f>
        <v>-70.308750000000003</v>
      </c>
      <c r="H4597">
        <f t="shared" si="142"/>
        <v>1956.2</v>
      </c>
      <c r="I4597">
        <f t="shared" si="143"/>
        <v>1215.5999999999999</v>
      </c>
    </row>
    <row r="4598" spans="1:9" ht="30" x14ac:dyDescent="0.25">
      <c r="A4598" s="5" t="s">
        <v>82</v>
      </c>
      <c r="B4598" s="5" t="s">
        <v>119</v>
      </c>
      <c r="C4598" s="5" t="s">
        <v>5075</v>
      </c>
      <c r="D4598" s="3">
        <f>VLOOKUP(A4598,airports!A:H,7,FALSE)</f>
        <v>28.42888889</v>
      </c>
      <c r="E4598" s="3">
        <f>VLOOKUP(A4598,airports!A:H,8,FALSE)</f>
        <v>-81.316027779999999</v>
      </c>
      <c r="F4598" s="3">
        <f>VLOOKUP(B4598,airports!A:H,7,FALSE)</f>
        <v>35.87763889</v>
      </c>
      <c r="G4598" s="3">
        <f>VLOOKUP(B4598,airports!A:H,8,FALSE)</f>
        <v>-78.787472219999998</v>
      </c>
      <c r="H4598">
        <f t="shared" si="142"/>
        <v>861.7</v>
      </c>
      <c r="I4598">
        <f t="shared" si="143"/>
        <v>535.5</v>
      </c>
    </row>
    <row r="4599" spans="1:9" ht="30" x14ac:dyDescent="0.25">
      <c r="A4599" s="5" t="s">
        <v>82</v>
      </c>
      <c r="B4599" s="5" t="s">
        <v>120</v>
      </c>
      <c r="C4599" s="5" t="s">
        <v>5076</v>
      </c>
      <c r="D4599" s="3">
        <f>VLOOKUP(A4599,airports!A:H,7,FALSE)</f>
        <v>28.42888889</v>
      </c>
      <c r="E4599" s="3">
        <f>VLOOKUP(A4599,airports!A:H,8,FALSE)</f>
        <v>-81.316027779999999</v>
      </c>
      <c r="F4599" s="3">
        <f>VLOOKUP(B4599,airports!A:H,7,FALSE)</f>
        <v>37.505166670000001</v>
      </c>
      <c r="G4599" s="3">
        <f>VLOOKUP(B4599,airports!A:H,8,FALSE)</f>
        <v>-77.319666670000004</v>
      </c>
      <c r="H4599">
        <f t="shared" si="142"/>
        <v>1075.5999999999999</v>
      </c>
      <c r="I4599">
        <f t="shared" si="143"/>
        <v>668.4</v>
      </c>
    </row>
    <row r="4600" spans="1:9" ht="30" x14ac:dyDescent="0.25">
      <c r="A4600" s="5" t="s">
        <v>82</v>
      </c>
      <c r="B4600" s="5" t="s">
        <v>122</v>
      </c>
      <c r="C4600" s="5" t="s">
        <v>5077</v>
      </c>
      <c r="D4600" s="3">
        <f>VLOOKUP(A4600,airports!A:H,7,FALSE)</f>
        <v>28.42888889</v>
      </c>
      <c r="E4600" s="3">
        <f>VLOOKUP(A4600,airports!A:H,8,FALSE)</f>
        <v>-81.316027779999999</v>
      </c>
      <c r="F4600" s="3">
        <f>VLOOKUP(B4600,airports!A:H,7,FALSE)</f>
        <v>43.118866109999999</v>
      </c>
      <c r="G4600" s="3">
        <f>VLOOKUP(B4600,airports!A:H,8,FALSE)</f>
        <v>-77.672383890000006</v>
      </c>
      <c r="H4600">
        <f t="shared" si="142"/>
        <v>1665.7</v>
      </c>
      <c r="I4600">
        <f t="shared" si="143"/>
        <v>1035.0999999999999</v>
      </c>
    </row>
    <row r="4601" spans="1:9" ht="30" x14ac:dyDescent="0.25">
      <c r="A4601" s="5" t="s">
        <v>82</v>
      </c>
      <c r="B4601" s="5" t="s">
        <v>123</v>
      </c>
      <c r="C4601" s="5" t="s">
        <v>5078</v>
      </c>
      <c r="D4601" s="3">
        <f>VLOOKUP(A4601,airports!A:H,7,FALSE)</f>
        <v>28.42888889</v>
      </c>
      <c r="E4601" s="3">
        <f>VLOOKUP(A4601,airports!A:H,8,FALSE)</f>
        <v>-81.316027779999999</v>
      </c>
      <c r="F4601" s="3">
        <f>VLOOKUP(B4601,airports!A:H,7,FALSE)</f>
        <v>26.53616667</v>
      </c>
      <c r="G4601" s="3">
        <f>VLOOKUP(B4601,airports!A:H,8,FALSE)</f>
        <v>-81.755166669999994</v>
      </c>
      <c r="H4601">
        <f t="shared" si="142"/>
        <v>214.9</v>
      </c>
      <c r="I4601">
        <f t="shared" si="143"/>
        <v>133.5</v>
      </c>
    </row>
    <row r="4602" spans="1:9" ht="30" x14ac:dyDescent="0.25">
      <c r="A4602" s="5" t="s">
        <v>82</v>
      </c>
      <c r="B4602" s="5" t="s">
        <v>124</v>
      </c>
      <c r="C4602" s="5" t="s">
        <v>5079</v>
      </c>
      <c r="D4602" s="3">
        <f>VLOOKUP(A4602,airports!A:H,7,FALSE)</f>
        <v>28.42888889</v>
      </c>
      <c r="E4602" s="3">
        <f>VLOOKUP(A4602,airports!A:H,8,FALSE)</f>
        <v>-81.316027779999999</v>
      </c>
      <c r="F4602" s="3">
        <f>VLOOKUP(B4602,airports!A:H,7,FALSE)</f>
        <v>32.733556110000002</v>
      </c>
      <c r="G4602" s="3">
        <f>VLOOKUP(B4602,airports!A:H,8,FALSE)</f>
        <v>-117.1896567</v>
      </c>
      <c r="H4602">
        <f t="shared" si="142"/>
        <v>3450.9</v>
      </c>
      <c r="I4602">
        <f t="shared" si="143"/>
        <v>2144.4</v>
      </c>
    </row>
    <row r="4603" spans="1:9" ht="30" x14ac:dyDescent="0.25">
      <c r="A4603" s="5" t="s">
        <v>82</v>
      </c>
      <c r="B4603" s="5" t="s">
        <v>125</v>
      </c>
      <c r="C4603" s="5" t="s">
        <v>5080</v>
      </c>
      <c r="D4603" s="3">
        <f>VLOOKUP(A4603,airports!A:H,7,FALSE)</f>
        <v>28.42888889</v>
      </c>
      <c r="E4603" s="3">
        <f>VLOOKUP(A4603,airports!A:H,8,FALSE)</f>
        <v>-81.316027779999999</v>
      </c>
      <c r="F4603" s="3">
        <f>VLOOKUP(B4603,airports!A:H,7,FALSE)</f>
        <v>29.533694440000001</v>
      </c>
      <c r="G4603" s="3">
        <f>VLOOKUP(B4603,airports!A:H,8,FALSE)</f>
        <v>-98.469777780000001</v>
      </c>
      <c r="H4603">
        <f t="shared" si="142"/>
        <v>1671.6</v>
      </c>
      <c r="I4603">
        <f t="shared" si="143"/>
        <v>1038.7</v>
      </c>
    </row>
    <row r="4604" spans="1:9" ht="30" x14ac:dyDescent="0.25">
      <c r="A4604" s="5" t="s">
        <v>82</v>
      </c>
      <c r="B4604" s="5" t="s">
        <v>630</v>
      </c>
      <c r="C4604" s="5" t="s">
        <v>5081</v>
      </c>
      <c r="D4604" s="3">
        <f>VLOOKUP(A4604,airports!A:H,7,FALSE)</f>
        <v>28.42888889</v>
      </c>
      <c r="E4604" s="3">
        <f>VLOOKUP(A4604,airports!A:H,8,FALSE)</f>
        <v>-81.316027779999999</v>
      </c>
      <c r="F4604" s="3">
        <f>VLOOKUP(B4604,airports!A:H,7,FALSE)</f>
        <v>38.174388890000003</v>
      </c>
      <c r="G4604" s="3">
        <f>VLOOKUP(B4604,airports!A:H,8,FALSE)</f>
        <v>-85.736000000000004</v>
      </c>
      <c r="H4604">
        <f t="shared" si="142"/>
        <v>1158.5</v>
      </c>
      <c r="I4604">
        <f t="shared" si="143"/>
        <v>719.9</v>
      </c>
    </row>
    <row r="4605" spans="1:9" ht="30" x14ac:dyDescent="0.25">
      <c r="A4605" s="5" t="s">
        <v>82</v>
      </c>
      <c r="B4605" s="5" t="s">
        <v>128</v>
      </c>
      <c r="C4605" s="5" t="s">
        <v>5082</v>
      </c>
      <c r="D4605" s="3">
        <f>VLOOKUP(A4605,airports!A:H,7,FALSE)</f>
        <v>28.42888889</v>
      </c>
      <c r="E4605" s="3">
        <f>VLOOKUP(A4605,airports!A:H,8,FALSE)</f>
        <v>-81.316027779999999</v>
      </c>
      <c r="F4605" s="3">
        <f>VLOOKUP(B4605,airports!A:H,7,FALSE)</f>
        <v>47.448981940000003</v>
      </c>
      <c r="G4605" s="3">
        <f>VLOOKUP(B4605,airports!A:H,8,FALSE)</f>
        <v>-122.3093131</v>
      </c>
      <c r="H4605">
        <f t="shared" si="142"/>
        <v>4104.2</v>
      </c>
      <c r="I4605">
        <f t="shared" si="143"/>
        <v>2550.4</v>
      </c>
    </row>
    <row r="4606" spans="1:9" ht="30" x14ac:dyDescent="0.25">
      <c r="A4606" s="5" t="s">
        <v>82</v>
      </c>
      <c r="B4606" s="5" t="s">
        <v>130</v>
      </c>
      <c r="C4606" s="5" t="s">
        <v>5083</v>
      </c>
      <c r="D4606" s="3">
        <f>VLOOKUP(A4606,airports!A:H,7,FALSE)</f>
        <v>28.42888889</v>
      </c>
      <c r="E4606" s="3">
        <f>VLOOKUP(A4606,airports!A:H,8,FALSE)</f>
        <v>-81.316027779999999</v>
      </c>
      <c r="F4606" s="3">
        <f>VLOOKUP(B4606,airports!A:H,7,FALSE)</f>
        <v>37.619001939999997</v>
      </c>
      <c r="G4606" s="3">
        <f>VLOOKUP(B4606,airports!A:H,8,FALSE)</f>
        <v>-122.37484329999999</v>
      </c>
      <c r="H4606">
        <f t="shared" si="142"/>
        <v>3928.5</v>
      </c>
      <c r="I4606">
        <f t="shared" si="143"/>
        <v>2441.1999999999998</v>
      </c>
    </row>
    <row r="4607" spans="1:9" ht="30" x14ac:dyDescent="0.25">
      <c r="A4607" s="5" t="s">
        <v>82</v>
      </c>
      <c r="B4607" s="5" t="s">
        <v>131</v>
      </c>
      <c r="C4607" s="5" t="s">
        <v>5084</v>
      </c>
      <c r="D4607" s="3">
        <f>VLOOKUP(A4607,airports!A:H,7,FALSE)</f>
        <v>28.42888889</v>
      </c>
      <c r="E4607" s="3">
        <f>VLOOKUP(A4607,airports!A:H,8,FALSE)</f>
        <v>-81.316027779999999</v>
      </c>
      <c r="F4607" s="3">
        <f>VLOOKUP(B4607,airports!A:H,7,FALSE)</f>
        <v>37.361861939999997</v>
      </c>
      <c r="G4607" s="3">
        <f>VLOOKUP(B4607,airports!A:H,8,FALSE)</f>
        <v>-121.9290089</v>
      </c>
      <c r="H4607">
        <f t="shared" si="142"/>
        <v>3887.9</v>
      </c>
      <c r="I4607">
        <f t="shared" si="143"/>
        <v>2416</v>
      </c>
    </row>
    <row r="4608" spans="1:9" ht="30" x14ac:dyDescent="0.25">
      <c r="A4608" s="5" t="s">
        <v>82</v>
      </c>
      <c r="B4608" s="5" t="s">
        <v>134</v>
      </c>
      <c r="C4608" s="5" t="s">
        <v>5085</v>
      </c>
      <c r="D4608" s="3">
        <f>VLOOKUP(A4608,airports!A:H,7,FALSE)</f>
        <v>28.42888889</v>
      </c>
      <c r="E4608" s="3">
        <f>VLOOKUP(A4608,airports!A:H,8,FALSE)</f>
        <v>-81.316027779999999</v>
      </c>
      <c r="F4608" s="3">
        <f>VLOOKUP(B4608,airports!A:H,7,FALSE)</f>
        <v>18.43941667</v>
      </c>
      <c r="G4608" s="3">
        <f>VLOOKUP(B4608,airports!A:H,8,FALSE)</f>
        <v>-66.001833329999997</v>
      </c>
      <c r="H4608">
        <f t="shared" si="142"/>
        <v>1913.9</v>
      </c>
      <c r="I4608">
        <f t="shared" si="143"/>
        <v>1189.3</v>
      </c>
    </row>
    <row r="4609" spans="1:9" ht="30" x14ac:dyDescent="0.25">
      <c r="A4609" s="5" t="s">
        <v>82</v>
      </c>
      <c r="B4609" s="5" t="s">
        <v>135</v>
      </c>
      <c r="C4609" s="5" t="s">
        <v>5086</v>
      </c>
      <c r="D4609" s="3">
        <f>VLOOKUP(A4609,airports!A:H,7,FALSE)</f>
        <v>28.42888889</v>
      </c>
      <c r="E4609" s="3">
        <f>VLOOKUP(A4609,airports!A:H,8,FALSE)</f>
        <v>-81.316027779999999</v>
      </c>
      <c r="F4609" s="3">
        <f>VLOOKUP(B4609,airports!A:H,7,FALSE)</f>
        <v>40.788387780000001</v>
      </c>
      <c r="G4609" s="3">
        <f>VLOOKUP(B4609,airports!A:H,8,FALSE)</f>
        <v>-111.97777309999999</v>
      </c>
      <c r="H4609">
        <f t="shared" si="142"/>
        <v>3102.7</v>
      </c>
      <c r="I4609">
        <f t="shared" si="143"/>
        <v>1928.1</v>
      </c>
    </row>
    <row r="4610" spans="1:9" ht="30" x14ac:dyDescent="0.25">
      <c r="A4610" s="5" t="s">
        <v>82</v>
      </c>
      <c r="B4610" s="5" t="s">
        <v>137</v>
      </c>
      <c r="C4610" s="5" t="s">
        <v>5087</v>
      </c>
      <c r="D4610" s="3">
        <f>VLOOKUP(A4610,airports!A:H,7,FALSE)</f>
        <v>28.42888889</v>
      </c>
      <c r="E4610" s="3">
        <f>VLOOKUP(A4610,airports!A:H,8,FALSE)</f>
        <v>-81.316027779999999</v>
      </c>
      <c r="F4610" s="3">
        <f>VLOOKUP(B4610,airports!A:H,7,FALSE)</f>
        <v>38.695421670000002</v>
      </c>
      <c r="G4610" s="3">
        <f>VLOOKUP(B4610,airports!A:H,8,FALSE)</f>
        <v>-121.59076690000001</v>
      </c>
      <c r="H4610">
        <f t="shared" si="142"/>
        <v>3868</v>
      </c>
      <c r="I4610">
        <f t="shared" si="143"/>
        <v>2403.6</v>
      </c>
    </row>
    <row r="4611" spans="1:9" ht="30" x14ac:dyDescent="0.25">
      <c r="A4611" s="5" t="s">
        <v>82</v>
      </c>
      <c r="B4611" s="5" t="s">
        <v>138</v>
      </c>
      <c r="C4611" s="5" t="s">
        <v>5088</v>
      </c>
      <c r="D4611" s="3">
        <f>VLOOKUP(A4611,airports!A:H,7,FALSE)</f>
        <v>28.42888889</v>
      </c>
      <c r="E4611" s="3">
        <f>VLOOKUP(A4611,airports!A:H,8,FALSE)</f>
        <v>-81.316027779999999</v>
      </c>
      <c r="F4611" s="3">
        <f>VLOOKUP(B4611,airports!A:H,7,FALSE)</f>
        <v>27.39533333</v>
      </c>
      <c r="G4611" s="3">
        <f>VLOOKUP(B4611,airports!A:H,8,FALSE)</f>
        <v>-82.554111109999994</v>
      </c>
      <c r="H4611">
        <f t="shared" si="142"/>
        <v>167.4</v>
      </c>
      <c r="I4611">
        <f t="shared" si="143"/>
        <v>104</v>
      </c>
    </row>
    <row r="4612" spans="1:9" ht="30" x14ac:dyDescent="0.25">
      <c r="A4612" s="5" t="s">
        <v>82</v>
      </c>
      <c r="B4612" s="5" t="s">
        <v>644</v>
      </c>
      <c r="C4612" s="5" t="s">
        <v>5089</v>
      </c>
      <c r="D4612" s="3">
        <f>VLOOKUP(A4612,airports!A:H,7,FALSE)</f>
        <v>28.42888889</v>
      </c>
      <c r="E4612" s="3">
        <f>VLOOKUP(A4612,airports!A:H,8,FALSE)</f>
        <v>-81.316027779999999</v>
      </c>
      <c r="F4612" s="3">
        <f>VLOOKUP(B4612,airports!A:H,7,FALSE)</f>
        <v>38.747686940000001</v>
      </c>
      <c r="G4612" s="3">
        <f>VLOOKUP(B4612,airports!A:H,8,FALSE)</f>
        <v>-90.359989720000002</v>
      </c>
      <c r="H4612">
        <f t="shared" ref="H4612:H4675" si="144">ROUND(ACOS(COS(RADIANS(90-D4612)) * COS(RADIANS(90-F4612)) + SIN(RADIANS(90-D4612)) * SIN(RADIANS(90-F4612)) * COS(RADIANS(E4612-G4612))) * 6371,1)</f>
        <v>1419</v>
      </c>
      <c r="I4612">
        <f t="shared" ref="I4612:I4675" si="145">ROUND(ACOS(COS(RADIANS(90-D4612)) * COS(RADIANS(90-F4612)) + SIN(RADIANS(90-D4612)) * SIN(RADIANS(90-F4612)) * COS(RADIANS(E4612-G4612))) * 3959,1)</f>
        <v>881.8</v>
      </c>
    </row>
    <row r="4613" spans="1:9" ht="30" x14ac:dyDescent="0.25">
      <c r="A4613" s="5" t="s">
        <v>82</v>
      </c>
      <c r="B4613" s="5" t="s">
        <v>140</v>
      </c>
      <c r="C4613" s="5" t="s">
        <v>5090</v>
      </c>
      <c r="D4613" s="3">
        <f>VLOOKUP(A4613,airports!A:H,7,FALSE)</f>
        <v>28.42888889</v>
      </c>
      <c r="E4613" s="3">
        <f>VLOOKUP(A4613,airports!A:H,8,FALSE)</f>
        <v>-81.316027779999999</v>
      </c>
      <c r="F4613" s="3">
        <f>VLOOKUP(B4613,airports!A:H,7,FALSE)</f>
        <v>18.337305560000001</v>
      </c>
      <c r="G4613" s="3">
        <f>VLOOKUP(B4613,airports!A:H,8,FALSE)</f>
        <v>-64.973361109999999</v>
      </c>
      <c r="H4613">
        <f t="shared" si="144"/>
        <v>2006.8</v>
      </c>
      <c r="I4613">
        <f t="shared" si="145"/>
        <v>1247</v>
      </c>
    </row>
    <row r="4614" spans="1:9" ht="30" x14ac:dyDescent="0.25">
      <c r="A4614" s="5" t="s">
        <v>82</v>
      </c>
      <c r="B4614" s="5" t="s">
        <v>142</v>
      </c>
      <c r="C4614" s="5" t="s">
        <v>5091</v>
      </c>
      <c r="D4614" s="3">
        <f>VLOOKUP(A4614,airports!A:H,7,FALSE)</f>
        <v>28.42888889</v>
      </c>
      <c r="E4614" s="3">
        <f>VLOOKUP(A4614,airports!A:H,8,FALSE)</f>
        <v>-81.316027779999999</v>
      </c>
      <c r="F4614" s="3">
        <f>VLOOKUP(B4614,airports!A:H,7,FALSE)</f>
        <v>41.504093609999998</v>
      </c>
      <c r="G4614" s="3">
        <f>VLOOKUP(B4614,airports!A:H,8,FALSE)</f>
        <v>-74.104838330000007</v>
      </c>
      <c r="H4614">
        <f t="shared" si="144"/>
        <v>1594</v>
      </c>
      <c r="I4614">
        <f t="shared" si="145"/>
        <v>990.5</v>
      </c>
    </row>
    <row r="4615" spans="1:9" ht="30" x14ac:dyDescent="0.25">
      <c r="A4615" s="5" t="s">
        <v>82</v>
      </c>
      <c r="B4615" s="5" t="s">
        <v>144</v>
      </c>
      <c r="C4615" s="5" t="s">
        <v>5092</v>
      </c>
      <c r="D4615" s="3">
        <f>VLOOKUP(A4615,airports!A:H,7,FALSE)</f>
        <v>28.42888889</v>
      </c>
      <c r="E4615" s="3">
        <f>VLOOKUP(A4615,airports!A:H,8,FALSE)</f>
        <v>-81.316027779999999</v>
      </c>
      <c r="F4615" s="3">
        <f>VLOOKUP(B4615,airports!A:H,7,FALSE)</f>
        <v>43.111186940000003</v>
      </c>
      <c r="G4615" s="3">
        <f>VLOOKUP(B4615,airports!A:H,8,FALSE)</f>
        <v>-76.106310559999997</v>
      </c>
      <c r="H4615">
        <f t="shared" si="144"/>
        <v>1698</v>
      </c>
      <c r="I4615">
        <f t="shared" si="145"/>
        <v>1055.0999999999999</v>
      </c>
    </row>
    <row r="4616" spans="1:9" ht="30" x14ac:dyDescent="0.25">
      <c r="A4616" s="5" t="s">
        <v>82</v>
      </c>
      <c r="B4616" s="5" t="s">
        <v>656</v>
      </c>
      <c r="C4616" s="5" t="s">
        <v>5093</v>
      </c>
      <c r="D4616" s="3">
        <f>VLOOKUP(A4616,airports!A:H,7,FALSE)</f>
        <v>28.42888889</v>
      </c>
      <c r="E4616" s="3">
        <f>VLOOKUP(A4616,airports!A:H,8,FALSE)</f>
        <v>-81.316027779999999</v>
      </c>
      <c r="F4616" s="3">
        <f>VLOOKUP(B4616,airports!A:H,7,FALSE)</f>
        <v>40.276691110000002</v>
      </c>
      <c r="G4616" s="3">
        <f>VLOOKUP(B4616,airports!A:H,8,FALSE)</f>
        <v>-74.813468330000006</v>
      </c>
      <c r="H4616">
        <f t="shared" si="144"/>
        <v>1445.2</v>
      </c>
      <c r="I4616">
        <f t="shared" si="145"/>
        <v>898.1</v>
      </c>
    </row>
    <row r="4617" spans="1:9" ht="30" x14ac:dyDescent="0.25">
      <c r="A4617" s="5" t="s">
        <v>82</v>
      </c>
      <c r="B4617" s="5" t="s">
        <v>658</v>
      </c>
      <c r="C4617" s="5" t="s">
        <v>5094</v>
      </c>
      <c r="D4617" s="3">
        <f>VLOOKUP(A4617,airports!A:H,7,FALSE)</f>
        <v>28.42888889</v>
      </c>
      <c r="E4617" s="3">
        <f>VLOOKUP(A4617,airports!A:H,8,FALSE)</f>
        <v>-81.316027779999999</v>
      </c>
      <c r="F4617" s="3">
        <f>VLOOKUP(B4617,airports!A:H,7,FALSE)</f>
        <v>36.198372220000003</v>
      </c>
      <c r="G4617" s="3">
        <f>VLOOKUP(B4617,airports!A:H,8,FALSE)</f>
        <v>-95.888241669999999</v>
      </c>
      <c r="H4617">
        <f t="shared" si="144"/>
        <v>1616.3</v>
      </c>
      <c r="I4617">
        <f t="shared" si="145"/>
        <v>1004.4</v>
      </c>
    </row>
    <row r="4618" spans="1:9" ht="30" x14ac:dyDescent="0.25">
      <c r="A4618" s="5" t="s">
        <v>82</v>
      </c>
      <c r="B4618" s="5" t="s">
        <v>664</v>
      </c>
      <c r="C4618" s="5" t="s">
        <v>5095</v>
      </c>
      <c r="D4618" s="3">
        <f>VLOOKUP(A4618,airports!A:H,7,FALSE)</f>
        <v>28.42888889</v>
      </c>
      <c r="E4618" s="3">
        <f>VLOOKUP(A4618,airports!A:H,8,FALSE)</f>
        <v>-81.316027779999999</v>
      </c>
      <c r="F4618" s="3">
        <f>VLOOKUP(B4618,airports!A:H,7,FALSE)</f>
        <v>35.812487220000001</v>
      </c>
      <c r="G4618" s="3">
        <f>VLOOKUP(B4618,airports!A:H,8,FALSE)</f>
        <v>-83.992855829999996</v>
      </c>
      <c r="H4618">
        <f t="shared" si="144"/>
        <v>858.7</v>
      </c>
      <c r="I4618">
        <f t="shared" si="145"/>
        <v>533.6</v>
      </c>
    </row>
    <row r="4619" spans="1:9" ht="30" x14ac:dyDescent="0.25">
      <c r="A4619" s="5" t="s">
        <v>82</v>
      </c>
      <c r="B4619" s="5" t="s">
        <v>670</v>
      </c>
      <c r="C4619" s="5" t="s">
        <v>5096</v>
      </c>
      <c r="D4619" s="3">
        <f>VLOOKUP(A4619,airports!A:H,7,FALSE)</f>
        <v>28.42888889</v>
      </c>
      <c r="E4619" s="3">
        <f>VLOOKUP(A4619,airports!A:H,8,FALSE)</f>
        <v>-81.316027779999999</v>
      </c>
      <c r="F4619" s="3">
        <f>VLOOKUP(B4619,airports!A:H,7,FALSE)</f>
        <v>36.281869440000001</v>
      </c>
      <c r="G4619" s="3">
        <f>VLOOKUP(B4619,airports!A:H,8,FALSE)</f>
        <v>-94.306811109999998</v>
      </c>
      <c r="H4619">
        <f t="shared" si="144"/>
        <v>1498.2</v>
      </c>
      <c r="I4619">
        <f t="shared" si="145"/>
        <v>931</v>
      </c>
    </row>
    <row r="4620" spans="1:9" ht="30" x14ac:dyDescent="0.25">
      <c r="A4620" s="5" t="s">
        <v>3369</v>
      </c>
      <c r="B4620" s="5" t="s">
        <v>2371</v>
      </c>
      <c r="C4620" s="5" t="s">
        <v>5097</v>
      </c>
      <c r="D4620" s="3">
        <f>VLOOKUP(A4620,airports!A:H,7,FALSE)</f>
        <v>43.157798999999997</v>
      </c>
      <c r="E4620" s="3">
        <f>VLOOKUP(A4620,airports!A:H,8,FALSE)</f>
        <v>-93.331299000000001</v>
      </c>
      <c r="F4620" s="3">
        <f>VLOOKUP(B4620,airports!A:H,7,FALSE)</f>
        <v>42.551498410000001</v>
      </c>
      <c r="G4620" s="3">
        <f>VLOOKUP(B4620,airports!A:H,8,FALSE)</f>
        <v>-94.192596440000003</v>
      </c>
      <c r="H4620">
        <f t="shared" si="144"/>
        <v>97.3</v>
      </c>
      <c r="I4620">
        <f t="shared" si="145"/>
        <v>60.5</v>
      </c>
    </row>
    <row r="4621" spans="1:9" ht="30" x14ac:dyDescent="0.25">
      <c r="A4621" s="5" t="s">
        <v>3369</v>
      </c>
      <c r="B4621" s="5" t="s">
        <v>95</v>
      </c>
      <c r="C4621" s="5" t="s">
        <v>5098</v>
      </c>
      <c r="D4621" s="3">
        <f>VLOOKUP(A4621,airports!A:H,7,FALSE)</f>
        <v>43.157798999999997</v>
      </c>
      <c r="E4621" s="3">
        <f>VLOOKUP(A4621,airports!A:H,8,FALSE)</f>
        <v>-93.331299000000001</v>
      </c>
      <c r="F4621" s="3">
        <f>VLOOKUP(B4621,airports!A:H,7,FALSE)</f>
        <v>41.979595000000003</v>
      </c>
      <c r="G4621" s="3">
        <f>VLOOKUP(B4621,airports!A:H,8,FALSE)</f>
        <v>-87.904464169999997</v>
      </c>
      <c r="H4621">
        <f t="shared" si="144"/>
        <v>463.2</v>
      </c>
      <c r="I4621">
        <f t="shared" si="145"/>
        <v>287.8</v>
      </c>
    </row>
    <row r="4622" spans="1:9" ht="30" x14ac:dyDescent="0.25">
      <c r="A4622" s="5" t="s">
        <v>178</v>
      </c>
      <c r="B4622" s="5" t="s">
        <v>10</v>
      </c>
      <c r="C4622" s="5" t="s">
        <v>5099</v>
      </c>
      <c r="D4622" s="3">
        <f>VLOOKUP(A4622,airports!A:H,7,FALSE)</f>
        <v>40.19349528</v>
      </c>
      <c r="E4622" s="3">
        <f>VLOOKUP(A4622,airports!A:H,8,FALSE)</f>
        <v>-76.763403609999997</v>
      </c>
      <c r="F4622" s="3">
        <f>VLOOKUP(B4622,airports!A:H,7,FALSE)</f>
        <v>33.640444440000003</v>
      </c>
      <c r="G4622" s="3">
        <f>VLOOKUP(B4622,airports!A:H,8,FALSE)</f>
        <v>-84.42694444</v>
      </c>
      <c r="H4622">
        <f t="shared" si="144"/>
        <v>996.7</v>
      </c>
      <c r="I4622">
        <f t="shared" si="145"/>
        <v>619.4</v>
      </c>
    </row>
    <row r="4623" spans="1:9" ht="30" x14ac:dyDescent="0.25">
      <c r="A4623" s="5" t="s">
        <v>178</v>
      </c>
      <c r="B4623" s="5" t="s">
        <v>19</v>
      </c>
      <c r="C4623" s="5" t="s">
        <v>5100</v>
      </c>
      <c r="D4623" s="3">
        <f>VLOOKUP(A4623,airports!A:H,7,FALSE)</f>
        <v>40.19349528</v>
      </c>
      <c r="E4623" s="3">
        <f>VLOOKUP(A4623,airports!A:H,8,FALSE)</f>
        <v>-76.763403609999997</v>
      </c>
      <c r="F4623" s="3">
        <f>VLOOKUP(B4623,airports!A:H,7,FALSE)</f>
        <v>36.12447667</v>
      </c>
      <c r="G4623" s="3">
        <f>VLOOKUP(B4623,airports!A:H,8,FALSE)</f>
        <v>-86.678182219999997</v>
      </c>
      <c r="H4623">
        <f t="shared" si="144"/>
        <v>977</v>
      </c>
      <c r="I4623">
        <f t="shared" si="145"/>
        <v>607.1</v>
      </c>
    </row>
    <row r="4624" spans="1:9" ht="30" x14ac:dyDescent="0.25">
      <c r="A4624" s="5" t="s">
        <v>178</v>
      </c>
      <c r="B4624" s="5" t="s">
        <v>24</v>
      </c>
      <c r="C4624" s="5" t="s">
        <v>5101</v>
      </c>
      <c r="D4624" s="3">
        <f>VLOOKUP(A4624,airports!A:H,7,FALSE)</f>
        <v>40.19349528</v>
      </c>
      <c r="E4624" s="3">
        <f>VLOOKUP(A4624,airports!A:H,8,FALSE)</f>
        <v>-76.763403609999997</v>
      </c>
      <c r="F4624" s="3">
        <f>VLOOKUP(B4624,airports!A:H,7,FALSE)</f>
        <v>42.364347500000001</v>
      </c>
      <c r="G4624" s="3">
        <f>VLOOKUP(B4624,airports!A:H,8,FALSE)</f>
        <v>-71.005179170000005</v>
      </c>
      <c r="H4624">
        <f t="shared" si="144"/>
        <v>538.20000000000005</v>
      </c>
      <c r="I4624">
        <f t="shared" si="145"/>
        <v>334.4</v>
      </c>
    </row>
    <row r="4625" spans="1:9" ht="30" x14ac:dyDescent="0.25">
      <c r="A4625" s="5" t="s">
        <v>178</v>
      </c>
      <c r="B4625" s="5" t="s">
        <v>40</v>
      </c>
      <c r="C4625" s="5" t="s">
        <v>5102</v>
      </c>
      <c r="D4625" s="3">
        <f>VLOOKUP(A4625,airports!A:H,7,FALSE)</f>
        <v>40.19349528</v>
      </c>
      <c r="E4625" s="3">
        <f>VLOOKUP(A4625,airports!A:H,8,FALSE)</f>
        <v>-76.763403609999997</v>
      </c>
      <c r="F4625" s="3">
        <f>VLOOKUP(B4625,airports!A:H,7,FALSE)</f>
        <v>35.214011110000001</v>
      </c>
      <c r="G4625" s="3">
        <f>VLOOKUP(B4625,airports!A:H,8,FALSE)</f>
        <v>-80.94312583</v>
      </c>
      <c r="H4625">
        <f t="shared" si="144"/>
        <v>664.5</v>
      </c>
      <c r="I4625">
        <f t="shared" si="145"/>
        <v>412.9</v>
      </c>
    </row>
    <row r="4626" spans="1:9" ht="30" x14ac:dyDescent="0.25">
      <c r="A4626" s="5" t="s">
        <v>178</v>
      </c>
      <c r="B4626" s="5" t="s">
        <v>47</v>
      </c>
      <c r="C4626" s="5" t="s">
        <v>5103</v>
      </c>
      <c r="D4626" s="3">
        <f>VLOOKUP(A4626,airports!A:H,7,FALSE)</f>
        <v>40.19349528</v>
      </c>
      <c r="E4626" s="3">
        <f>VLOOKUP(A4626,airports!A:H,8,FALSE)</f>
        <v>-76.763403609999997</v>
      </c>
      <c r="F4626" s="3">
        <f>VLOOKUP(B4626,airports!A:H,7,FALSE)</f>
        <v>39.858408060000002</v>
      </c>
      <c r="G4626" s="3">
        <f>VLOOKUP(B4626,airports!A:H,8,FALSE)</f>
        <v>-104.6670019</v>
      </c>
      <c r="H4626">
        <f t="shared" si="144"/>
        <v>2366.4</v>
      </c>
      <c r="I4626">
        <f t="shared" si="145"/>
        <v>1470.5</v>
      </c>
    </row>
    <row r="4627" spans="1:9" ht="30" x14ac:dyDescent="0.25">
      <c r="A4627" s="5" t="s">
        <v>178</v>
      </c>
      <c r="B4627" s="5" t="s">
        <v>49</v>
      </c>
      <c r="C4627" s="5" t="s">
        <v>5104</v>
      </c>
      <c r="D4627" s="3">
        <f>VLOOKUP(A4627,airports!A:H,7,FALSE)</f>
        <v>40.19349528</v>
      </c>
      <c r="E4627" s="3">
        <f>VLOOKUP(A4627,airports!A:H,8,FALSE)</f>
        <v>-76.763403609999997</v>
      </c>
      <c r="F4627" s="3">
        <f>VLOOKUP(B4627,airports!A:H,7,FALSE)</f>
        <v>32.895950560000003</v>
      </c>
      <c r="G4627" s="3">
        <f>VLOOKUP(B4627,airports!A:H,8,FALSE)</f>
        <v>-97.037199999999999</v>
      </c>
      <c r="H4627">
        <f t="shared" si="144"/>
        <v>1978.5</v>
      </c>
      <c r="I4627">
        <f t="shared" si="145"/>
        <v>1229.5</v>
      </c>
    </row>
    <row r="4628" spans="1:9" ht="30" x14ac:dyDescent="0.25">
      <c r="A4628" s="5" t="s">
        <v>178</v>
      </c>
      <c r="B4628" s="5" t="s">
        <v>50</v>
      </c>
      <c r="C4628" s="5" t="s">
        <v>5105</v>
      </c>
      <c r="D4628" s="3">
        <f>VLOOKUP(A4628,airports!A:H,7,FALSE)</f>
        <v>40.19349528</v>
      </c>
      <c r="E4628" s="3">
        <f>VLOOKUP(A4628,airports!A:H,8,FALSE)</f>
        <v>-76.763403609999997</v>
      </c>
      <c r="F4628" s="3">
        <f>VLOOKUP(B4628,airports!A:H,7,FALSE)</f>
        <v>42.212058890000002</v>
      </c>
      <c r="G4628" s="3">
        <f>VLOOKUP(B4628,airports!A:H,8,FALSE)</f>
        <v>-83.348835829999999</v>
      </c>
      <c r="H4628">
        <f t="shared" si="144"/>
        <v>594.70000000000005</v>
      </c>
      <c r="I4628">
        <f t="shared" si="145"/>
        <v>369.6</v>
      </c>
    </row>
    <row r="4629" spans="1:9" ht="30" x14ac:dyDescent="0.25">
      <c r="A4629" s="5" t="s">
        <v>178</v>
      </c>
      <c r="B4629" s="5" t="s">
        <v>52</v>
      </c>
      <c r="C4629" s="5" t="s">
        <v>5106</v>
      </c>
      <c r="D4629" s="3">
        <f>VLOOKUP(A4629,airports!A:H,7,FALSE)</f>
        <v>40.19349528</v>
      </c>
      <c r="E4629" s="3">
        <f>VLOOKUP(A4629,airports!A:H,8,FALSE)</f>
        <v>-76.763403609999997</v>
      </c>
      <c r="F4629" s="3">
        <f>VLOOKUP(B4629,airports!A:H,7,FALSE)</f>
        <v>40.69249722</v>
      </c>
      <c r="G4629" s="3">
        <f>VLOOKUP(B4629,airports!A:H,8,FALSE)</f>
        <v>-74.168660560000006</v>
      </c>
      <c r="H4629">
        <f t="shared" si="144"/>
        <v>226.5</v>
      </c>
      <c r="I4629">
        <f t="shared" si="145"/>
        <v>140.69999999999999</v>
      </c>
    </row>
    <row r="4630" spans="1:9" ht="30" x14ac:dyDescent="0.25">
      <c r="A4630" s="5" t="s">
        <v>178</v>
      </c>
      <c r="B4630" s="5" t="s">
        <v>57</v>
      </c>
      <c r="C4630" s="5" t="s">
        <v>5107</v>
      </c>
      <c r="D4630" s="3">
        <f>VLOOKUP(A4630,airports!A:H,7,FALSE)</f>
        <v>40.19349528</v>
      </c>
      <c r="E4630" s="3">
        <f>VLOOKUP(A4630,airports!A:H,8,FALSE)</f>
        <v>-76.763403609999997</v>
      </c>
      <c r="F4630" s="3">
        <f>VLOOKUP(B4630,airports!A:H,7,FALSE)</f>
        <v>26.072583330000001</v>
      </c>
      <c r="G4630" s="3">
        <f>VLOOKUP(B4630,airports!A:H,8,FALSE)</f>
        <v>-80.152749999999997</v>
      </c>
      <c r="H4630">
        <f t="shared" si="144"/>
        <v>1601.2</v>
      </c>
      <c r="I4630">
        <f t="shared" si="145"/>
        <v>995</v>
      </c>
    </row>
    <row r="4631" spans="1:9" ht="30" x14ac:dyDescent="0.25">
      <c r="A4631" s="5" t="s">
        <v>178</v>
      </c>
      <c r="B4631" s="5" t="s">
        <v>65</v>
      </c>
      <c r="C4631" s="5" t="s">
        <v>5108</v>
      </c>
      <c r="D4631" s="3">
        <f>VLOOKUP(A4631,airports!A:H,7,FALSE)</f>
        <v>40.19349528</v>
      </c>
      <c r="E4631" s="3">
        <f>VLOOKUP(A4631,airports!A:H,8,FALSE)</f>
        <v>-76.763403609999997</v>
      </c>
      <c r="F4631" s="3">
        <f>VLOOKUP(B4631,airports!A:H,7,FALSE)</f>
        <v>41.066957780000003</v>
      </c>
      <c r="G4631" s="3">
        <f>VLOOKUP(B4631,airports!A:H,8,FALSE)</f>
        <v>-73.707574440000002</v>
      </c>
      <c r="H4631">
        <f t="shared" si="144"/>
        <v>275.5</v>
      </c>
      <c r="I4631">
        <f t="shared" si="145"/>
        <v>171.2</v>
      </c>
    </row>
    <row r="4632" spans="1:9" ht="30" x14ac:dyDescent="0.25">
      <c r="A4632" s="5" t="s">
        <v>178</v>
      </c>
      <c r="B4632" s="5" t="s">
        <v>176</v>
      </c>
      <c r="C4632" s="5" t="s">
        <v>5109</v>
      </c>
      <c r="D4632" s="3">
        <f>VLOOKUP(A4632,airports!A:H,7,FALSE)</f>
        <v>40.19349528</v>
      </c>
      <c r="E4632" s="3">
        <f>VLOOKUP(A4632,airports!A:H,8,FALSE)</f>
        <v>-76.763403609999997</v>
      </c>
      <c r="F4632" s="3">
        <f>VLOOKUP(B4632,airports!A:H,7,FALSE)</f>
        <v>38.944531939999997</v>
      </c>
      <c r="G4632" s="3">
        <f>VLOOKUP(B4632,airports!A:H,8,FALSE)</f>
        <v>-77.455809720000005</v>
      </c>
      <c r="H4632">
        <f t="shared" si="144"/>
        <v>151</v>
      </c>
      <c r="I4632">
        <f t="shared" si="145"/>
        <v>93.8</v>
      </c>
    </row>
    <row r="4633" spans="1:9" ht="30" x14ac:dyDescent="0.25">
      <c r="A4633" s="5" t="s">
        <v>178</v>
      </c>
      <c r="B4633" s="5" t="s">
        <v>82</v>
      </c>
      <c r="C4633" s="5" t="s">
        <v>5110</v>
      </c>
      <c r="D4633" s="3">
        <f>VLOOKUP(A4633,airports!A:H,7,FALSE)</f>
        <v>40.19349528</v>
      </c>
      <c r="E4633" s="3">
        <f>VLOOKUP(A4633,airports!A:H,8,FALSE)</f>
        <v>-76.763403609999997</v>
      </c>
      <c r="F4633" s="3">
        <f>VLOOKUP(B4633,airports!A:H,7,FALSE)</f>
        <v>28.42888889</v>
      </c>
      <c r="G4633" s="3">
        <f>VLOOKUP(B4633,airports!A:H,8,FALSE)</f>
        <v>-81.316027779999999</v>
      </c>
      <c r="H4633">
        <f t="shared" si="144"/>
        <v>1372.8</v>
      </c>
      <c r="I4633">
        <f t="shared" si="145"/>
        <v>853.1</v>
      </c>
    </row>
    <row r="4634" spans="1:9" ht="30" x14ac:dyDescent="0.25">
      <c r="A4634" s="5" t="s">
        <v>178</v>
      </c>
      <c r="B4634" s="5" t="s">
        <v>182</v>
      </c>
      <c r="C4634" s="5" t="s">
        <v>5111</v>
      </c>
      <c r="D4634" s="3">
        <f>VLOOKUP(A4634,airports!A:H,7,FALSE)</f>
        <v>40.19349528</v>
      </c>
      <c r="E4634" s="3">
        <f>VLOOKUP(A4634,airports!A:H,8,FALSE)</f>
        <v>-76.763403609999997</v>
      </c>
      <c r="F4634" s="3">
        <f>VLOOKUP(B4634,airports!A:H,7,FALSE)</f>
        <v>33.679749999999999</v>
      </c>
      <c r="G4634" s="3">
        <f>VLOOKUP(B4634,airports!A:H,8,FALSE)</f>
        <v>-78.928333330000001</v>
      </c>
      <c r="H4634">
        <f t="shared" si="144"/>
        <v>749.3</v>
      </c>
      <c r="I4634">
        <f t="shared" si="145"/>
        <v>465.7</v>
      </c>
    </row>
    <row r="4635" spans="1:9" ht="30" x14ac:dyDescent="0.25">
      <c r="A4635" s="5" t="s">
        <v>178</v>
      </c>
      <c r="B4635" s="5" t="s">
        <v>95</v>
      </c>
      <c r="C4635" s="5" t="s">
        <v>5112</v>
      </c>
      <c r="D4635" s="3">
        <f>VLOOKUP(A4635,airports!A:H,7,FALSE)</f>
        <v>40.19349528</v>
      </c>
      <c r="E4635" s="3">
        <f>VLOOKUP(A4635,airports!A:H,8,FALSE)</f>
        <v>-76.763403609999997</v>
      </c>
      <c r="F4635" s="3">
        <f>VLOOKUP(B4635,airports!A:H,7,FALSE)</f>
        <v>41.979595000000003</v>
      </c>
      <c r="G4635" s="3">
        <f>VLOOKUP(B4635,airports!A:H,8,FALSE)</f>
        <v>-87.904464169999997</v>
      </c>
      <c r="H4635">
        <f t="shared" si="144"/>
        <v>953.9</v>
      </c>
      <c r="I4635">
        <f t="shared" si="145"/>
        <v>592.70000000000005</v>
      </c>
    </row>
    <row r="4636" spans="1:9" ht="30" x14ac:dyDescent="0.25">
      <c r="A4636" s="5" t="s">
        <v>178</v>
      </c>
      <c r="B4636" s="5" t="s">
        <v>185</v>
      </c>
      <c r="C4636" s="5" t="s">
        <v>5113</v>
      </c>
      <c r="D4636" s="3">
        <f>VLOOKUP(A4636,airports!A:H,7,FALSE)</f>
        <v>40.19349528</v>
      </c>
      <c r="E4636" s="3">
        <f>VLOOKUP(A4636,airports!A:H,8,FALSE)</f>
        <v>-76.763403609999997</v>
      </c>
      <c r="F4636" s="3">
        <f>VLOOKUP(B4636,airports!A:H,7,FALSE)</f>
        <v>26.919699999999999</v>
      </c>
      <c r="G4636" s="3">
        <f>VLOOKUP(B4636,airports!A:H,8,FALSE)</f>
        <v>-81.995999999999995</v>
      </c>
      <c r="H4636">
        <f t="shared" si="144"/>
        <v>1552.8</v>
      </c>
      <c r="I4636">
        <f t="shared" si="145"/>
        <v>964.9</v>
      </c>
    </row>
    <row r="4637" spans="1:9" ht="30" x14ac:dyDescent="0.25">
      <c r="A4637" s="5" t="s">
        <v>178</v>
      </c>
      <c r="B4637" s="5" t="s">
        <v>102</v>
      </c>
      <c r="C4637" s="5" t="s">
        <v>5114</v>
      </c>
      <c r="D4637" s="3">
        <f>VLOOKUP(A4637,airports!A:H,7,FALSE)</f>
        <v>40.19349528</v>
      </c>
      <c r="E4637" s="3">
        <f>VLOOKUP(A4637,airports!A:H,8,FALSE)</f>
        <v>-76.763403609999997</v>
      </c>
      <c r="F4637" s="3">
        <f>VLOOKUP(B4637,airports!A:H,7,FALSE)</f>
        <v>39.871952780000001</v>
      </c>
      <c r="G4637" s="3">
        <f>VLOOKUP(B4637,airports!A:H,8,FALSE)</f>
        <v>-75.241140830000006</v>
      </c>
      <c r="H4637">
        <f t="shared" si="144"/>
        <v>134.4</v>
      </c>
      <c r="I4637">
        <f t="shared" si="145"/>
        <v>83.5</v>
      </c>
    </row>
    <row r="4638" spans="1:9" ht="30" x14ac:dyDescent="0.25">
      <c r="A4638" s="5" t="s">
        <v>178</v>
      </c>
      <c r="B4638" s="5" t="s">
        <v>188</v>
      </c>
      <c r="C4638" s="5" t="s">
        <v>5115</v>
      </c>
      <c r="D4638" s="3">
        <f>VLOOKUP(A4638,airports!A:H,7,FALSE)</f>
        <v>40.19349528</v>
      </c>
      <c r="E4638" s="3">
        <f>VLOOKUP(A4638,airports!A:H,8,FALSE)</f>
        <v>-76.763403609999997</v>
      </c>
      <c r="F4638" s="3">
        <f>VLOOKUP(B4638,airports!A:H,7,FALSE)</f>
        <v>27.910763330000002</v>
      </c>
      <c r="G4638" s="3">
        <f>VLOOKUP(B4638,airports!A:H,8,FALSE)</f>
        <v>-82.687439440000006</v>
      </c>
      <c r="H4638">
        <f t="shared" si="144"/>
        <v>1469.8</v>
      </c>
      <c r="I4638">
        <f t="shared" si="145"/>
        <v>913.4</v>
      </c>
    </row>
    <row r="4639" spans="1:9" ht="30" x14ac:dyDescent="0.25">
      <c r="A4639" s="5" t="s">
        <v>178</v>
      </c>
      <c r="B4639" s="5" t="s">
        <v>119</v>
      </c>
      <c r="C4639" s="5" t="s">
        <v>5116</v>
      </c>
      <c r="D4639" s="3">
        <f>VLOOKUP(A4639,airports!A:H,7,FALSE)</f>
        <v>40.19349528</v>
      </c>
      <c r="E4639" s="3">
        <f>VLOOKUP(A4639,airports!A:H,8,FALSE)</f>
        <v>-76.763403609999997</v>
      </c>
      <c r="F4639" s="3">
        <f>VLOOKUP(B4639,airports!A:H,7,FALSE)</f>
        <v>35.87763889</v>
      </c>
      <c r="G4639" s="3">
        <f>VLOOKUP(B4639,airports!A:H,8,FALSE)</f>
        <v>-78.787472219999998</v>
      </c>
      <c r="H4639">
        <f t="shared" si="144"/>
        <v>511.6</v>
      </c>
      <c r="I4639">
        <f t="shared" si="145"/>
        <v>317.89999999999998</v>
      </c>
    </row>
    <row r="4640" spans="1:9" ht="30" x14ac:dyDescent="0.25">
      <c r="A4640" s="5" t="s">
        <v>178</v>
      </c>
      <c r="B4640" s="5" t="s">
        <v>191</v>
      </c>
      <c r="C4640" s="5" t="s">
        <v>5117</v>
      </c>
      <c r="D4640" s="3">
        <f>VLOOKUP(A4640,airports!A:H,7,FALSE)</f>
        <v>40.19349528</v>
      </c>
      <c r="E4640" s="3">
        <f>VLOOKUP(A4640,airports!A:H,8,FALSE)</f>
        <v>-76.763403609999997</v>
      </c>
      <c r="F4640" s="3">
        <f>VLOOKUP(B4640,airports!A:H,7,FALSE)</f>
        <v>28.7776</v>
      </c>
      <c r="G4640" s="3">
        <f>VLOOKUP(B4640,airports!A:H,8,FALSE)</f>
        <v>-81.237499999999997</v>
      </c>
      <c r="H4640">
        <f t="shared" si="144"/>
        <v>1333.5</v>
      </c>
      <c r="I4640">
        <f t="shared" si="145"/>
        <v>828.6</v>
      </c>
    </row>
    <row r="4641" spans="1:9" ht="30" x14ac:dyDescent="0.25">
      <c r="A4641" s="5" t="s">
        <v>178</v>
      </c>
      <c r="B4641" s="5" t="s">
        <v>138</v>
      </c>
      <c r="C4641" s="5" t="s">
        <v>5118</v>
      </c>
      <c r="D4641" s="3">
        <f>VLOOKUP(A4641,airports!A:H,7,FALSE)</f>
        <v>40.19349528</v>
      </c>
      <c r="E4641" s="3">
        <f>VLOOKUP(A4641,airports!A:H,8,FALSE)</f>
        <v>-76.763403609999997</v>
      </c>
      <c r="F4641" s="3">
        <f>VLOOKUP(B4641,airports!A:H,7,FALSE)</f>
        <v>27.39533333</v>
      </c>
      <c r="G4641" s="3">
        <f>VLOOKUP(B4641,airports!A:H,8,FALSE)</f>
        <v>-82.554111109999994</v>
      </c>
      <c r="H4641">
        <f t="shared" si="144"/>
        <v>1519.4</v>
      </c>
      <c r="I4641">
        <f t="shared" si="145"/>
        <v>944.2</v>
      </c>
    </row>
    <row r="4642" spans="1:9" ht="30" x14ac:dyDescent="0.25">
      <c r="A4642" s="5" t="s">
        <v>180</v>
      </c>
      <c r="B4642" s="5" t="s">
        <v>170</v>
      </c>
      <c r="C4642" s="5" t="s">
        <v>5119</v>
      </c>
      <c r="D4642" s="3">
        <f>VLOOKUP(A4642,airports!A:H,7,FALSE)</f>
        <v>41.785982500000003</v>
      </c>
      <c r="E4642" s="3">
        <f>VLOOKUP(A4642,airports!A:H,8,FALSE)</f>
        <v>-87.752424439999999</v>
      </c>
      <c r="F4642" s="3">
        <f>VLOOKUP(B4642,airports!A:H,7,FALSE)</f>
        <v>40.652362779999997</v>
      </c>
      <c r="G4642" s="3">
        <f>VLOOKUP(B4642,airports!A:H,8,FALSE)</f>
        <v>-75.44040167</v>
      </c>
      <c r="H4642">
        <f t="shared" si="144"/>
        <v>1036.5999999999999</v>
      </c>
      <c r="I4642">
        <f t="shared" si="145"/>
        <v>644.1</v>
      </c>
    </row>
    <row r="4643" spans="1:9" ht="30" x14ac:dyDescent="0.25">
      <c r="A4643" s="5" t="s">
        <v>180</v>
      </c>
      <c r="B4643" s="5" t="s">
        <v>2</v>
      </c>
      <c r="C4643" s="5" t="s">
        <v>5120</v>
      </c>
      <c r="D4643" s="3">
        <f>VLOOKUP(A4643,airports!A:H,7,FALSE)</f>
        <v>41.785982500000003</v>
      </c>
      <c r="E4643" s="3">
        <f>VLOOKUP(A4643,airports!A:H,8,FALSE)</f>
        <v>-87.752424439999999</v>
      </c>
      <c r="F4643" s="3">
        <f>VLOOKUP(B4643,airports!A:H,7,FALSE)</f>
        <v>35.040222219999997</v>
      </c>
      <c r="G4643" s="3">
        <f>VLOOKUP(B4643,airports!A:H,8,FALSE)</f>
        <v>-106.60919440000001</v>
      </c>
      <c r="H4643">
        <f t="shared" si="144"/>
        <v>1800.9</v>
      </c>
      <c r="I4643">
        <f t="shared" si="145"/>
        <v>1119.0999999999999</v>
      </c>
    </row>
    <row r="4644" spans="1:9" ht="30" x14ac:dyDescent="0.25">
      <c r="A4644" s="5" t="s">
        <v>180</v>
      </c>
      <c r="B4644" s="5" t="s">
        <v>7</v>
      </c>
      <c r="C4644" s="5" t="s">
        <v>5121</v>
      </c>
      <c r="D4644" s="3">
        <f>VLOOKUP(A4644,airports!A:H,7,FALSE)</f>
        <v>41.785982500000003</v>
      </c>
      <c r="E4644" s="3">
        <f>VLOOKUP(A4644,airports!A:H,8,FALSE)</f>
        <v>-87.752424439999999</v>
      </c>
      <c r="F4644" s="3">
        <f>VLOOKUP(B4644,airports!A:H,7,FALSE)</f>
        <v>42.748119440000004</v>
      </c>
      <c r="G4644" s="3">
        <f>VLOOKUP(B4644,airports!A:H,8,FALSE)</f>
        <v>-73.802978609999997</v>
      </c>
      <c r="H4644">
        <f t="shared" si="144"/>
        <v>1151.5</v>
      </c>
      <c r="I4644">
        <f t="shared" si="145"/>
        <v>715.6</v>
      </c>
    </row>
    <row r="4645" spans="1:9" ht="30" x14ac:dyDescent="0.25">
      <c r="A4645" s="5" t="s">
        <v>180</v>
      </c>
      <c r="B4645" s="5" t="s">
        <v>10</v>
      </c>
      <c r="C4645" s="5" t="s">
        <v>5122</v>
      </c>
      <c r="D4645" s="3">
        <f>VLOOKUP(A4645,airports!A:H,7,FALSE)</f>
        <v>41.785982500000003</v>
      </c>
      <c r="E4645" s="3">
        <f>VLOOKUP(A4645,airports!A:H,8,FALSE)</f>
        <v>-87.752424439999999</v>
      </c>
      <c r="F4645" s="3">
        <f>VLOOKUP(B4645,airports!A:H,7,FALSE)</f>
        <v>33.640444440000003</v>
      </c>
      <c r="G4645" s="3">
        <f>VLOOKUP(B4645,airports!A:H,8,FALSE)</f>
        <v>-84.42694444</v>
      </c>
      <c r="H4645">
        <f t="shared" si="144"/>
        <v>951.6</v>
      </c>
      <c r="I4645">
        <f t="shared" si="145"/>
        <v>591.29999999999995</v>
      </c>
    </row>
    <row r="4646" spans="1:9" ht="30" x14ac:dyDescent="0.25">
      <c r="A4646" s="5" t="s">
        <v>180</v>
      </c>
      <c r="B4646" s="5" t="s">
        <v>13</v>
      </c>
      <c r="C4646" s="5" t="s">
        <v>5123</v>
      </c>
      <c r="D4646" s="3">
        <f>VLOOKUP(A4646,airports!A:H,7,FALSE)</f>
        <v>41.785982500000003</v>
      </c>
      <c r="E4646" s="3">
        <f>VLOOKUP(A4646,airports!A:H,8,FALSE)</f>
        <v>-87.752424439999999</v>
      </c>
      <c r="F4646" s="3">
        <f>VLOOKUP(B4646,airports!A:H,7,FALSE)</f>
        <v>30.194532779999999</v>
      </c>
      <c r="G4646" s="3">
        <f>VLOOKUP(B4646,airports!A:H,8,FALSE)</f>
        <v>-97.669871939999993</v>
      </c>
      <c r="H4646">
        <f t="shared" si="144"/>
        <v>1565.2</v>
      </c>
      <c r="I4646">
        <f t="shared" si="145"/>
        <v>972.6</v>
      </c>
    </row>
    <row r="4647" spans="1:9" ht="30" x14ac:dyDescent="0.25">
      <c r="A4647" s="5" t="s">
        <v>180</v>
      </c>
      <c r="B4647" s="5" t="s">
        <v>419</v>
      </c>
      <c r="C4647" s="5" t="s">
        <v>5124</v>
      </c>
      <c r="D4647" s="3">
        <f>VLOOKUP(A4647,airports!A:H,7,FALSE)</f>
        <v>41.785982500000003</v>
      </c>
      <c r="E4647" s="3">
        <f>VLOOKUP(A4647,airports!A:H,8,FALSE)</f>
        <v>-87.752424439999999</v>
      </c>
      <c r="F4647" s="3">
        <f>VLOOKUP(B4647,airports!A:H,7,FALSE)</f>
        <v>35.436194440000001</v>
      </c>
      <c r="G4647" s="3">
        <f>VLOOKUP(B4647,airports!A:H,8,FALSE)</f>
        <v>-82.54180556</v>
      </c>
      <c r="H4647">
        <f t="shared" si="144"/>
        <v>838.4</v>
      </c>
      <c r="I4647">
        <f t="shared" si="145"/>
        <v>521</v>
      </c>
    </row>
    <row r="4648" spans="1:9" ht="30" x14ac:dyDescent="0.25">
      <c r="A4648" s="5" t="s">
        <v>180</v>
      </c>
      <c r="B4648" s="5" t="s">
        <v>16</v>
      </c>
      <c r="C4648" s="5" t="s">
        <v>5125</v>
      </c>
      <c r="D4648" s="3">
        <f>VLOOKUP(A4648,airports!A:H,7,FALSE)</f>
        <v>41.785982500000003</v>
      </c>
      <c r="E4648" s="3">
        <f>VLOOKUP(A4648,airports!A:H,8,FALSE)</f>
        <v>-87.752424439999999</v>
      </c>
      <c r="F4648" s="3">
        <f>VLOOKUP(B4648,airports!A:H,7,FALSE)</f>
        <v>41.938874169999998</v>
      </c>
      <c r="G4648" s="3">
        <f>VLOOKUP(B4648,airports!A:H,8,FALSE)</f>
        <v>-72.683228330000006</v>
      </c>
      <c r="H4648">
        <f t="shared" si="144"/>
        <v>1246.4000000000001</v>
      </c>
      <c r="I4648">
        <f t="shared" si="145"/>
        <v>774.5</v>
      </c>
    </row>
    <row r="4649" spans="1:9" ht="30" x14ac:dyDescent="0.25">
      <c r="A4649" s="5" t="s">
        <v>180</v>
      </c>
      <c r="B4649" s="5" t="s">
        <v>425</v>
      </c>
      <c r="C4649" s="5" t="s">
        <v>5126</v>
      </c>
      <c r="D4649" s="3">
        <f>VLOOKUP(A4649,airports!A:H,7,FALSE)</f>
        <v>41.785982500000003</v>
      </c>
      <c r="E4649" s="3">
        <f>VLOOKUP(A4649,airports!A:H,8,FALSE)</f>
        <v>-87.752424439999999</v>
      </c>
      <c r="F4649" s="3">
        <f>VLOOKUP(B4649,airports!A:H,7,FALSE)</f>
        <v>33.562943060000002</v>
      </c>
      <c r="G4649" s="3">
        <f>VLOOKUP(B4649,airports!A:H,8,FALSE)</f>
        <v>-86.753549719999995</v>
      </c>
      <c r="H4649">
        <f t="shared" si="144"/>
        <v>918.6</v>
      </c>
      <c r="I4649">
        <f t="shared" si="145"/>
        <v>570.79999999999995</v>
      </c>
    </row>
    <row r="4650" spans="1:9" ht="30" x14ac:dyDescent="0.25">
      <c r="A4650" s="5" t="s">
        <v>180</v>
      </c>
      <c r="B4650" s="5" t="s">
        <v>19</v>
      </c>
      <c r="C4650" s="5" t="s">
        <v>5127</v>
      </c>
      <c r="D4650" s="3">
        <f>VLOOKUP(A4650,airports!A:H,7,FALSE)</f>
        <v>41.785982500000003</v>
      </c>
      <c r="E4650" s="3">
        <f>VLOOKUP(A4650,airports!A:H,8,FALSE)</f>
        <v>-87.752424439999999</v>
      </c>
      <c r="F4650" s="3">
        <f>VLOOKUP(B4650,airports!A:H,7,FALSE)</f>
        <v>36.12447667</v>
      </c>
      <c r="G4650" s="3">
        <f>VLOOKUP(B4650,airports!A:H,8,FALSE)</f>
        <v>-86.678182219999997</v>
      </c>
      <c r="H4650">
        <f t="shared" si="144"/>
        <v>636.29999999999995</v>
      </c>
      <c r="I4650">
        <f t="shared" si="145"/>
        <v>395.4</v>
      </c>
    </row>
    <row r="4651" spans="1:9" ht="30" x14ac:dyDescent="0.25">
      <c r="A4651" s="5" t="s">
        <v>180</v>
      </c>
      <c r="B4651" s="5" t="s">
        <v>22</v>
      </c>
      <c r="C4651" s="5" t="s">
        <v>5128</v>
      </c>
      <c r="D4651" s="3">
        <f>VLOOKUP(A4651,airports!A:H,7,FALSE)</f>
        <v>41.785982500000003</v>
      </c>
      <c r="E4651" s="3">
        <f>VLOOKUP(A4651,airports!A:H,8,FALSE)</f>
        <v>-87.752424439999999</v>
      </c>
      <c r="F4651" s="3">
        <f>VLOOKUP(B4651,airports!A:H,7,FALSE)</f>
        <v>43.564444440000003</v>
      </c>
      <c r="G4651" s="3">
        <f>VLOOKUP(B4651,airports!A:H,8,FALSE)</f>
        <v>-116.2227778</v>
      </c>
      <c r="H4651">
        <f t="shared" si="144"/>
        <v>2324.5</v>
      </c>
      <c r="I4651">
        <f t="shared" si="145"/>
        <v>1444.4</v>
      </c>
    </row>
    <row r="4652" spans="1:9" ht="30" x14ac:dyDescent="0.25">
      <c r="A4652" s="5" t="s">
        <v>180</v>
      </c>
      <c r="B4652" s="5" t="s">
        <v>24</v>
      </c>
      <c r="C4652" s="5" t="s">
        <v>5129</v>
      </c>
      <c r="D4652" s="3">
        <f>VLOOKUP(A4652,airports!A:H,7,FALSE)</f>
        <v>41.785982500000003</v>
      </c>
      <c r="E4652" s="3">
        <f>VLOOKUP(A4652,airports!A:H,8,FALSE)</f>
        <v>-87.752424439999999</v>
      </c>
      <c r="F4652" s="3">
        <f>VLOOKUP(B4652,airports!A:H,7,FALSE)</f>
        <v>42.364347500000001</v>
      </c>
      <c r="G4652" s="3">
        <f>VLOOKUP(B4652,airports!A:H,8,FALSE)</f>
        <v>-71.005179170000005</v>
      </c>
      <c r="H4652">
        <f t="shared" si="144"/>
        <v>1381.5</v>
      </c>
      <c r="I4652">
        <f t="shared" si="145"/>
        <v>858.5</v>
      </c>
    </row>
    <row r="4653" spans="1:9" ht="30" x14ac:dyDescent="0.25">
      <c r="A4653" s="5" t="s">
        <v>180</v>
      </c>
      <c r="B4653" s="5" t="s">
        <v>29</v>
      </c>
      <c r="C4653" s="5" t="s">
        <v>5130</v>
      </c>
      <c r="D4653" s="3">
        <f>VLOOKUP(A4653,airports!A:H,7,FALSE)</f>
        <v>41.785982500000003</v>
      </c>
      <c r="E4653" s="3">
        <f>VLOOKUP(A4653,airports!A:H,8,FALSE)</f>
        <v>-87.752424439999999</v>
      </c>
      <c r="F4653" s="3">
        <f>VLOOKUP(B4653,airports!A:H,7,FALSE)</f>
        <v>42.940524719999999</v>
      </c>
      <c r="G4653" s="3">
        <f>VLOOKUP(B4653,airports!A:H,8,FALSE)</f>
        <v>-78.732166669999998</v>
      </c>
      <c r="H4653">
        <f t="shared" si="144"/>
        <v>751.8</v>
      </c>
      <c r="I4653">
        <f t="shared" si="145"/>
        <v>467.2</v>
      </c>
    </row>
    <row r="4654" spans="1:9" ht="30" x14ac:dyDescent="0.25">
      <c r="A4654" s="5" t="s">
        <v>180</v>
      </c>
      <c r="B4654" s="5" t="s">
        <v>30</v>
      </c>
      <c r="C4654" s="5" t="s">
        <v>5131</v>
      </c>
      <c r="D4654" s="3">
        <f>VLOOKUP(A4654,airports!A:H,7,FALSE)</f>
        <v>41.785982500000003</v>
      </c>
      <c r="E4654" s="3">
        <f>VLOOKUP(A4654,airports!A:H,8,FALSE)</f>
        <v>-87.752424439999999</v>
      </c>
      <c r="F4654" s="3">
        <f>VLOOKUP(B4654,airports!A:H,7,FALSE)</f>
        <v>34.200619170000003</v>
      </c>
      <c r="G4654" s="3">
        <f>VLOOKUP(B4654,airports!A:H,8,FALSE)</f>
        <v>-118.35849690000001</v>
      </c>
      <c r="H4654">
        <f t="shared" si="144"/>
        <v>2794.5</v>
      </c>
      <c r="I4654">
        <f t="shared" si="145"/>
        <v>1736.5</v>
      </c>
    </row>
    <row r="4655" spans="1:9" ht="30" x14ac:dyDescent="0.25">
      <c r="A4655" s="5" t="s">
        <v>180</v>
      </c>
      <c r="B4655" s="5" t="s">
        <v>32</v>
      </c>
      <c r="C4655" s="5" t="s">
        <v>5132</v>
      </c>
      <c r="D4655" s="3">
        <f>VLOOKUP(A4655,airports!A:H,7,FALSE)</f>
        <v>41.785982500000003</v>
      </c>
      <c r="E4655" s="3">
        <f>VLOOKUP(A4655,airports!A:H,8,FALSE)</f>
        <v>-87.752424439999999</v>
      </c>
      <c r="F4655" s="3">
        <f>VLOOKUP(B4655,airports!A:H,7,FALSE)</f>
        <v>39.175401669999999</v>
      </c>
      <c r="G4655" s="3">
        <f>VLOOKUP(B4655,airports!A:H,8,FALSE)</f>
        <v>-76.668198329999996</v>
      </c>
      <c r="H4655">
        <f t="shared" si="144"/>
        <v>980.6</v>
      </c>
      <c r="I4655">
        <f t="shared" si="145"/>
        <v>609.29999999999995</v>
      </c>
    </row>
    <row r="4656" spans="1:9" ht="30" x14ac:dyDescent="0.25">
      <c r="A4656" s="5" t="s">
        <v>180</v>
      </c>
      <c r="B4656" s="5" t="s">
        <v>34</v>
      </c>
      <c r="C4656" s="5" t="s">
        <v>5133</v>
      </c>
      <c r="D4656" s="3">
        <f>VLOOKUP(A4656,airports!A:H,7,FALSE)</f>
        <v>41.785982500000003</v>
      </c>
      <c r="E4656" s="3">
        <f>VLOOKUP(A4656,airports!A:H,8,FALSE)</f>
        <v>-87.752424439999999</v>
      </c>
      <c r="F4656" s="3">
        <f>VLOOKUP(B4656,airports!A:H,7,FALSE)</f>
        <v>45.776901389999999</v>
      </c>
      <c r="G4656" s="3">
        <f>VLOOKUP(B4656,airports!A:H,8,FALSE)</f>
        <v>-111.1530072</v>
      </c>
      <c r="H4656">
        <f t="shared" si="144"/>
        <v>1922.8</v>
      </c>
      <c r="I4656">
        <f t="shared" si="145"/>
        <v>1194.8</v>
      </c>
    </row>
    <row r="4657" spans="1:9" ht="30" x14ac:dyDescent="0.25">
      <c r="A4657" s="5" t="s">
        <v>180</v>
      </c>
      <c r="B4657" s="5" t="s">
        <v>36</v>
      </c>
      <c r="C4657" s="5" t="s">
        <v>5134</v>
      </c>
      <c r="D4657" s="3">
        <f>VLOOKUP(A4657,airports!A:H,7,FALSE)</f>
        <v>41.785982500000003</v>
      </c>
      <c r="E4657" s="3">
        <f>VLOOKUP(A4657,airports!A:H,8,FALSE)</f>
        <v>-87.752424439999999</v>
      </c>
      <c r="F4657" s="3">
        <f>VLOOKUP(B4657,airports!A:H,7,FALSE)</f>
        <v>32.898646390000003</v>
      </c>
      <c r="G4657" s="3">
        <f>VLOOKUP(B4657,airports!A:H,8,FALSE)</f>
        <v>-80.040505830000001</v>
      </c>
      <c r="H4657">
        <f t="shared" si="144"/>
        <v>1199.4000000000001</v>
      </c>
      <c r="I4657">
        <f t="shared" si="145"/>
        <v>745.3</v>
      </c>
    </row>
    <row r="4658" spans="1:9" ht="30" x14ac:dyDescent="0.25">
      <c r="A4658" s="5" t="s">
        <v>180</v>
      </c>
      <c r="B4658" s="5" t="s">
        <v>38</v>
      </c>
      <c r="C4658" s="5" t="s">
        <v>5135</v>
      </c>
      <c r="D4658" s="3">
        <f>VLOOKUP(A4658,airports!A:H,7,FALSE)</f>
        <v>41.785982500000003</v>
      </c>
      <c r="E4658" s="3">
        <f>VLOOKUP(A4658,airports!A:H,8,FALSE)</f>
        <v>-87.752424439999999</v>
      </c>
      <c r="F4658" s="3">
        <f>VLOOKUP(B4658,airports!A:H,7,FALSE)</f>
        <v>41.410894169999999</v>
      </c>
      <c r="G4658" s="3">
        <f>VLOOKUP(B4658,airports!A:H,8,FALSE)</f>
        <v>-81.849396670000004</v>
      </c>
      <c r="H4658">
        <f t="shared" si="144"/>
        <v>492.5</v>
      </c>
      <c r="I4658">
        <f t="shared" si="145"/>
        <v>306.10000000000002</v>
      </c>
    </row>
    <row r="4659" spans="1:9" ht="30" x14ac:dyDescent="0.25">
      <c r="A4659" s="5" t="s">
        <v>180</v>
      </c>
      <c r="B4659" s="5" t="s">
        <v>40</v>
      </c>
      <c r="C4659" s="5" t="s">
        <v>5136</v>
      </c>
      <c r="D4659" s="3">
        <f>VLOOKUP(A4659,airports!A:H,7,FALSE)</f>
        <v>41.785982500000003</v>
      </c>
      <c r="E4659" s="3">
        <f>VLOOKUP(A4659,airports!A:H,8,FALSE)</f>
        <v>-87.752424439999999</v>
      </c>
      <c r="F4659" s="3">
        <f>VLOOKUP(B4659,airports!A:H,7,FALSE)</f>
        <v>35.214011110000001</v>
      </c>
      <c r="G4659" s="3">
        <f>VLOOKUP(B4659,airports!A:H,8,FALSE)</f>
        <v>-80.94312583</v>
      </c>
      <c r="H4659">
        <f t="shared" si="144"/>
        <v>940.1</v>
      </c>
      <c r="I4659">
        <f t="shared" si="145"/>
        <v>584.20000000000005</v>
      </c>
    </row>
    <row r="4660" spans="1:9" ht="30" x14ac:dyDescent="0.25">
      <c r="A4660" s="5" t="s">
        <v>180</v>
      </c>
      <c r="B4660" s="5" t="s">
        <v>454</v>
      </c>
      <c r="C4660" s="5" t="s">
        <v>5137</v>
      </c>
      <c r="D4660" s="3">
        <f>VLOOKUP(A4660,airports!A:H,7,FALSE)</f>
        <v>41.785982500000003</v>
      </c>
      <c r="E4660" s="3">
        <f>VLOOKUP(A4660,airports!A:H,8,FALSE)</f>
        <v>-87.752424439999999</v>
      </c>
      <c r="F4660" s="3">
        <f>VLOOKUP(B4660,airports!A:H,7,FALSE)</f>
        <v>39.997985280000002</v>
      </c>
      <c r="G4660" s="3">
        <f>VLOOKUP(B4660,airports!A:H,8,FALSE)</f>
        <v>-82.891882780000003</v>
      </c>
      <c r="H4660">
        <f t="shared" si="144"/>
        <v>454.3</v>
      </c>
      <c r="I4660">
        <f t="shared" si="145"/>
        <v>282.3</v>
      </c>
    </row>
    <row r="4661" spans="1:9" ht="30" x14ac:dyDescent="0.25">
      <c r="A4661" s="5" t="s">
        <v>180</v>
      </c>
      <c r="B4661" s="5" t="s">
        <v>456</v>
      </c>
      <c r="C4661" s="5" t="s">
        <v>5138</v>
      </c>
      <c r="D4661" s="3">
        <f>VLOOKUP(A4661,airports!A:H,7,FALSE)</f>
        <v>41.785982500000003</v>
      </c>
      <c r="E4661" s="3">
        <f>VLOOKUP(A4661,airports!A:H,8,FALSE)</f>
        <v>-87.752424439999999</v>
      </c>
      <c r="F4661" s="3">
        <f>VLOOKUP(B4661,airports!A:H,7,FALSE)</f>
        <v>38.805805560000003</v>
      </c>
      <c r="G4661" s="3">
        <f>VLOOKUP(B4661,airports!A:H,8,FALSE)</f>
        <v>-104.70025</v>
      </c>
      <c r="H4661">
        <f t="shared" si="144"/>
        <v>1472.4</v>
      </c>
      <c r="I4661">
        <f t="shared" si="145"/>
        <v>915</v>
      </c>
    </row>
    <row r="4662" spans="1:9" ht="30" x14ac:dyDescent="0.25">
      <c r="A4662" s="5" t="s">
        <v>180</v>
      </c>
      <c r="B4662" s="5" t="s">
        <v>462</v>
      </c>
      <c r="C4662" s="5" t="s">
        <v>5139</v>
      </c>
      <c r="D4662" s="3">
        <f>VLOOKUP(A4662,airports!A:H,7,FALSE)</f>
        <v>41.785982500000003</v>
      </c>
      <c r="E4662" s="3">
        <f>VLOOKUP(A4662,airports!A:H,8,FALSE)</f>
        <v>-87.752424439999999</v>
      </c>
      <c r="F4662" s="3">
        <f>VLOOKUP(B4662,airports!A:H,7,FALSE)</f>
        <v>39.046142779999997</v>
      </c>
      <c r="G4662" s="3">
        <f>VLOOKUP(B4662,airports!A:H,8,FALSE)</f>
        <v>-84.662172499999997</v>
      </c>
      <c r="H4662">
        <f t="shared" si="144"/>
        <v>401.5</v>
      </c>
      <c r="I4662">
        <f t="shared" si="145"/>
        <v>249.5</v>
      </c>
    </row>
    <row r="4663" spans="1:9" ht="30" x14ac:dyDescent="0.25">
      <c r="A4663" s="5" t="s">
        <v>180</v>
      </c>
      <c r="B4663" s="5" t="s">
        <v>201</v>
      </c>
      <c r="C4663" s="5" t="s">
        <v>5140</v>
      </c>
      <c r="D4663" s="3">
        <f>VLOOKUP(A4663,airports!A:H,7,FALSE)</f>
        <v>41.785982500000003</v>
      </c>
      <c r="E4663" s="3">
        <f>VLOOKUP(A4663,airports!A:H,8,FALSE)</f>
        <v>-87.752424439999999</v>
      </c>
      <c r="F4663" s="3">
        <f>VLOOKUP(B4663,airports!A:H,7,FALSE)</f>
        <v>32.847113890000003</v>
      </c>
      <c r="G4663" s="3">
        <f>VLOOKUP(B4663,airports!A:H,8,FALSE)</f>
        <v>-96.851772220000001</v>
      </c>
      <c r="H4663">
        <f t="shared" si="144"/>
        <v>1277.2</v>
      </c>
      <c r="I4663">
        <f t="shared" si="145"/>
        <v>793.7</v>
      </c>
    </row>
    <row r="4664" spans="1:9" ht="30" x14ac:dyDescent="0.25">
      <c r="A4664" s="5" t="s">
        <v>180</v>
      </c>
      <c r="B4664" s="5" t="s">
        <v>45</v>
      </c>
      <c r="C4664" s="5" t="s">
        <v>5141</v>
      </c>
      <c r="D4664" s="3">
        <f>VLOOKUP(A4664,airports!A:H,7,FALSE)</f>
        <v>41.785982500000003</v>
      </c>
      <c r="E4664" s="3">
        <f>VLOOKUP(A4664,airports!A:H,8,FALSE)</f>
        <v>-87.752424439999999</v>
      </c>
      <c r="F4664" s="3">
        <f>VLOOKUP(B4664,airports!A:H,7,FALSE)</f>
        <v>38.852083329999999</v>
      </c>
      <c r="G4664" s="3">
        <f>VLOOKUP(B4664,airports!A:H,8,FALSE)</f>
        <v>-77.037722220000006</v>
      </c>
      <c r="H4664">
        <f t="shared" si="144"/>
        <v>964.4</v>
      </c>
      <c r="I4664">
        <f t="shared" si="145"/>
        <v>599.29999999999995</v>
      </c>
    </row>
    <row r="4665" spans="1:9" ht="30" x14ac:dyDescent="0.25">
      <c r="A4665" s="5" t="s">
        <v>180</v>
      </c>
      <c r="B4665" s="5" t="s">
        <v>47</v>
      </c>
      <c r="C4665" s="5" t="s">
        <v>5142</v>
      </c>
      <c r="D4665" s="3">
        <f>VLOOKUP(A4665,airports!A:H,7,FALSE)</f>
        <v>41.785982500000003</v>
      </c>
      <c r="E4665" s="3">
        <f>VLOOKUP(A4665,airports!A:H,8,FALSE)</f>
        <v>-87.752424439999999</v>
      </c>
      <c r="F4665" s="3">
        <f>VLOOKUP(B4665,airports!A:H,7,FALSE)</f>
        <v>39.858408060000002</v>
      </c>
      <c r="G4665" s="3">
        <f>VLOOKUP(B4665,airports!A:H,8,FALSE)</f>
        <v>-104.6670019</v>
      </c>
      <c r="H4665">
        <f t="shared" si="144"/>
        <v>1436.9</v>
      </c>
      <c r="I4665">
        <f t="shared" si="145"/>
        <v>892.9</v>
      </c>
    </row>
    <row r="4666" spans="1:9" ht="30" x14ac:dyDescent="0.25">
      <c r="A4666" s="5" t="s">
        <v>180</v>
      </c>
      <c r="B4666" s="5" t="s">
        <v>49</v>
      </c>
      <c r="C4666" s="5" t="s">
        <v>5143</v>
      </c>
      <c r="D4666" s="3">
        <f>VLOOKUP(A4666,airports!A:H,7,FALSE)</f>
        <v>41.785982500000003</v>
      </c>
      <c r="E4666" s="3">
        <f>VLOOKUP(A4666,airports!A:H,8,FALSE)</f>
        <v>-87.752424439999999</v>
      </c>
      <c r="F4666" s="3">
        <f>VLOOKUP(B4666,airports!A:H,7,FALSE)</f>
        <v>32.895950560000003</v>
      </c>
      <c r="G4666" s="3">
        <f>VLOOKUP(B4666,airports!A:H,8,FALSE)</f>
        <v>-97.037199999999999</v>
      </c>
      <c r="H4666">
        <f t="shared" si="144"/>
        <v>1283.2</v>
      </c>
      <c r="I4666">
        <f t="shared" si="145"/>
        <v>797.4</v>
      </c>
    </row>
    <row r="4667" spans="1:9" ht="30" x14ac:dyDescent="0.25">
      <c r="A4667" s="5" t="s">
        <v>180</v>
      </c>
      <c r="B4667" s="5" t="s">
        <v>474</v>
      </c>
      <c r="C4667" s="5" t="s">
        <v>5144</v>
      </c>
      <c r="D4667" s="3">
        <f>VLOOKUP(A4667,airports!A:H,7,FALSE)</f>
        <v>41.785982500000003</v>
      </c>
      <c r="E4667" s="3">
        <f>VLOOKUP(A4667,airports!A:H,8,FALSE)</f>
        <v>-87.752424439999999</v>
      </c>
      <c r="F4667" s="3">
        <f>VLOOKUP(B4667,airports!A:H,7,FALSE)</f>
        <v>41.53493306</v>
      </c>
      <c r="G4667" s="3">
        <f>VLOOKUP(B4667,airports!A:H,8,FALSE)</f>
        <v>-93.660682219999998</v>
      </c>
      <c r="H4667">
        <f t="shared" si="144"/>
        <v>491.5</v>
      </c>
      <c r="I4667">
        <f t="shared" si="145"/>
        <v>305.39999999999998</v>
      </c>
    </row>
    <row r="4668" spans="1:9" ht="30" x14ac:dyDescent="0.25">
      <c r="A4668" s="5" t="s">
        <v>180</v>
      </c>
      <c r="B4668" s="5" t="s">
        <v>50</v>
      </c>
      <c r="C4668" s="5" t="s">
        <v>5145</v>
      </c>
      <c r="D4668" s="3">
        <f>VLOOKUP(A4668,airports!A:H,7,FALSE)</f>
        <v>41.785982500000003</v>
      </c>
      <c r="E4668" s="3">
        <f>VLOOKUP(A4668,airports!A:H,8,FALSE)</f>
        <v>-87.752424439999999</v>
      </c>
      <c r="F4668" s="3">
        <f>VLOOKUP(B4668,airports!A:H,7,FALSE)</f>
        <v>42.212058890000002</v>
      </c>
      <c r="G4668" s="3">
        <f>VLOOKUP(B4668,airports!A:H,8,FALSE)</f>
        <v>-83.348835829999999</v>
      </c>
      <c r="H4668">
        <f t="shared" si="144"/>
        <v>366.9</v>
      </c>
      <c r="I4668">
        <f t="shared" si="145"/>
        <v>228</v>
      </c>
    </row>
    <row r="4669" spans="1:9" ht="30" x14ac:dyDescent="0.25">
      <c r="A4669" s="5" t="s">
        <v>180</v>
      </c>
      <c r="B4669" s="5" t="s">
        <v>477</v>
      </c>
      <c r="C4669" s="5" t="s">
        <v>5146</v>
      </c>
      <c r="D4669" s="3">
        <f>VLOOKUP(A4669,airports!A:H,7,FALSE)</f>
        <v>41.785982500000003</v>
      </c>
      <c r="E4669" s="3">
        <f>VLOOKUP(A4669,airports!A:H,8,FALSE)</f>
        <v>-87.752424439999999</v>
      </c>
      <c r="F4669" s="3">
        <f>VLOOKUP(B4669,airports!A:H,7,FALSE)</f>
        <v>30.357106000000002</v>
      </c>
      <c r="G4669" s="3">
        <f>VLOOKUP(B4669,airports!A:H,8,FALSE)</f>
        <v>-85.795413999999994</v>
      </c>
      <c r="H4669">
        <f t="shared" si="144"/>
        <v>1282.8</v>
      </c>
      <c r="I4669">
        <f t="shared" si="145"/>
        <v>797.2</v>
      </c>
    </row>
    <row r="4670" spans="1:9" ht="30" x14ac:dyDescent="0.25">
      <c r="A4670" s="5" t="s">
        <v>180</v>
      </c>
      <c r="B4670" s="5" t="s">
        <v>52</v>
      </c>
      <c r="C4670" s="5" t="s">
        <v>5147</v>
      </c>
      <c r="D4670" s="3">
        <f>VLOOKUP(A4670,airports!A:H,7,FALSE)</f>
        <v>41.785982500000003</v>
      </c>
      <c r="E4670" s="3">
        <f>VLOOKUP(A4670,airports!A:H,8,FALSE)</f>
        <v>-87.752424439999999</v>
      </c>
      <c r="F4670" s="3">
        <f>VLOOKUP(B4670,airports!A:H,7,FALSE)</f>
        <v>40.69249722</v>
      </c>
      <c r="G4670" s="3">
        <f>VLOOKUP(B4670,airports!A:H,8,FALSE)</f>
        <v>-74.168660560000006</v>
      </c>
      <c r="H4670">
        <f t="shared" si="144"/>
        <v>1141.0999999999999</v>
      </c>
      <c r="I4670">
        <f t="shared" si="145"/>
        <v>709.1</v>
      </c>
    </row>
    <row r="4671" spans="1:9" ht="30" x14ac:dyDescent="0.25">
      <c r="A4671" s="5" t="s">
        <v>180</v>
      </c>
      <c r="B4671" s="5" t="s">
        <v>57</v>
      </c>
      <c r="C4671" s="5" t="s">
        <v>5148</v>
      </c>
      <c r="D4671" s="3">
        <f>VLOOKUP(A4671,airports!A:H,7,FALSE)</f>
        <v>41.785982500000003</v>
      </c>
      <c r="E4671" s="3">
        <f>VLOOKUP(A4671,airports!A:H,8,FALSE)</f>
        <v>-87.752424439999999</v>
      </c>
      <c r="F4671" s="3">
        <f>VLOOKUP(B4671,airports!A:H,7,FALSE)</f>
        <v>26.072583330000001</v>
      </c>
      <c r="G4671" s="3">
        <f>VLOOKUP(B4671,airports!A:H,8,FALSE)</f>
        <v>-80.152749999999997</v>
      </c>
      <c r="H4671">
        <f t="shared" si="144"/>
        <v>1880.7</v>
      </c>
      <c r="I4671">
        <f t="shared" si="145"/>
        <v>1168.7</v>
      </c>
    </row>
    <row r="4672" spans="1:9" ht="30" x14ac:dyDescent="0.25">
      <c r="A4672" s="5" t="s">
        <v>180</v>
      </c>
      <c r="B4672" s="5" t="s">
        <v>497</v>
      </c>
      <c r="C4672" s="5" t="s">
        <v>5149</v>
      </c>
      <c r="D4672" s="3">
        <f>VLOOKUP(A4672,airports!A:H,7,FALSE)</f>
        <v>41.785982500000003</v>
      </c>
      <c r="E4672" s="3">
        <f>VLOOKUP(A4672,airports!A:H,8,FALSE)</f>
        <v>-87.752424439999999</v>
      </c>
      <c r="F4672" s="3">
        <f>VLOOKUP(B4672,airports!A:H,7,FALSE)</f>
        <v>42.965503329999997</v>
      </c>
      <c r="G4672" s="3">
        <f>VLOOKUP(B4672,airports!A:H,8,FALSE)</f>
        <v>-83.743456390000006</v>
      </c>
      <c r="H4672">
        <f t="shared" si="144"/>
        <v>354.4</v>
      </c>
      <c r="I4672">
        <f t="shared" si="145"/>
        <v>220.2</v>
      </c>
    </row>
    <row r="4673" spans="1:9" ht="30" x14ac:dyDescent="0.25">
      <c r="A4673" s="5" t="s">
        <v>180</v>
      </c>
      <c r="B4673" s="5" t="s">
        <v>505</v>
      </c>
      <c r="C4673" s="5" t="s">
        <v>5150</v>
      </c>
      <c r="D4673" s="3">
        <f>VLOOKUP(A4673,airports!A:H,7,FALSE)</f>
        <v>41.785982500000003</v>
      </c>
      <c r="E4673" s="3">
        <f>VLOOKUP(A4673,airports!A:H,8,FALSE)</f>
        <v>-87.752424439999999</v>
      </c>
      <c r="F4673" s="3">
        <f>VLOOKUP(B4673,airports!A:H,7,FALSE)</f>
        <v>47.619855559999998</v>
      </c>
      <c r="G4673" s="3">
        <f>VLOOKUP(B4673,airports!A:H,8,FALSE)</f>
        <v>-117.53384250000001</v>
      </c>
      <c r="H4673">
        <f t="shared" si="144"/>
        <v>2424.8000000000002</v>
      </c>
      <c r="I4673">
        <f t="shared" si="145"/>
        <v>1506.8</v>
      </c>
    </row>
    <row r="4674" spans="1:9" ht="30" x14ac:dyDescent="0.25">
      <c r="A4674" s="5" t="s">
        <v>180</v>
      </c>
      <c r="B4674" s="5" t="s">
        <v>515</v>
      </c>
      <c r="C4674" s="5" t="s">
        <v>5151</v>
      </c>
      <c r="D4674" s="3">
        <f>VLOOKUP(A4674,airports!A:H,7,FALSE)</f>
        <v>41.785982500000003</v>
      </c>
      <c r="E4674" s="3">
        <f>VLOOKUP(A4674,airports!A:H,8,FALSE)</f>
        <v>-87.752424439999999</v>
      </c>
      <c r="F4674" s="3">
        <f>VLOOKUP(B4674,airports!A:H,7,FALSE)</f>
        <v>42.880819719999998</v>
      </c>
      <c r="G4674" s="3">
        <f>VLOOKUP(B4674,airports!A:H,8,FALSE)</f>
        <v>-85.522767779999995</v>
      </c>
      <c r="H4674">
        <f t="shared" si="144"/>
        <v>220</v>
      </c>
      <c r="I4674">
        <f t="shared" si="145"/>
        <v>136.69999999999999</v>
      </c>
    </row>
    <row r="4675" spans="1:9" ht="30" x14ac:dyDescent="0.25">
      <c r="A4675" s="5" t="s">
        <v>180</v>
      </c>
      <c r="B4675" s="5" t="s">
        <v>205</v>
      </c>
      <c r="C4675" s="5" t="s">
        <v>5152</v>
      </c>
      <c r="D4675" s="3">
        <f>VLOOKUP(A4675,airports!A:H,7,FALSE)</f>
        <v>41.785982500000003</v>
      </c>
      <c r="E4675" s="3">
        <f>VLOOKUP(A4675,airports!A:H,8,FALSE)</f>
        <v>-87.752424439999999</v>
      </c>
      <c r="F4675" s="3">
        <f>VLOOKUP(B4675,airports!A:H,7,FALSE)</f>
        <v>29.64541861</v>
      </c>
      <c r="G4675" s="3">
        <f>VLOOKUP(B4675,airports!A:H,8,FALSE)</f>
        <v>-95.278888890000005</v>
      </c>
      <c r="H4675">
        <f t="shared" si="144"/>
        <v>1509.8</v>
      </c>
      <c r="I4675">
        <f t="shared" si="145"/>
        <v>938.2</v>
      </c>
    </row>
    <row r="4676" spans="1:9" ht="30" x14ac:dyDescent="0.25">
      <c r="A4676" s="5" t="s">
        <v>180</v>
      </c>
      <c r="B4676" s="5" t="s">
        <v>176</v>
      </c>
      <c r="C4676" s="5" t="s">
        <v>5153</v>
      </c>
      <c r="D4676" s="3">
        <f>VLOOKUP(A4676,airports!A:H,7,FALSE)</f>
        <v>41.785982500000003</v>
      </c>
      <c r="E4676" s="3">
        <f>VLOOKUP(A4676,airports!A:H,8,FALSE)</f>
        <v>-87.752424439999999</v>
      </c>
      <c r="F4676" s="3">
        <f>VLOOKUP(B4676,airports!A:H,7,FALSE)</f>
        <v>38.944531939999997</v>
      </c>
      <c r="G4676" s="3">
        <f>VLOOKUP(B4676,airports!A:H,8,FALSE)</f>
        <v>-77.455809720000005</v>
      </c>
      <c r="H4676">
        <f t="shared" ref="H4676:H4739" si="146">ROUND(ACOS(COS(RADIANS(90-D4676)) * COS(RADIANS(90-F4676)) + SIN(RADIANS(90-D4676)) * SIN(RADIANS(90-F4676)) * COS(RADIANS(E4676-G4676))) * 6371,1)</f>
        <v>927.1</v>
      </c>
      <c r="I4676">
        <f t="shared" ref="I4676:I4739" si="147">ROUND(ACOS(COS(RADIANS(90-D4676)) * COS(RADIANS(90-F4676)) + SIN(RADIANS(90-D4676)) * SIN(RADIANS(90-F4676)) * COS(RADIANS(E4676-G4676))) * 3959,1)</f>
        <v>576.1</v>
      </c>
    </row>
    <row r="4677" spans="1:9" ht="30" x14ac:dyDescent="0.25">
      <c r="A4677" s="5" t="s">
        <v>180</v>
      </c>
      <c r="B4677" s="5" t="s">
        <v>67</v>
      </c>
      <c r="C4677" s="5" t="s">
        <v>5154</v>
      </c>
      <c r="D4677" s="3">
        <f>VLOOKUP(A4677,airports!A:H,7,FALSE)</f>
        <v>41.785982500000003</v>
      </c>
      <c r="E4677" s="3">
        <f>VLOOKUP(A4677,airports!A:H,8,FALSE)</f>
        <v>-87.752424439999999</v>
      </c>
      <c r="F4677" s="3">
        <f>VLOOKUP(B4677,airports!A:H,7,FALSE)</f>
        <v>29.980472219999999</v>
      </c>
      <c r="G4677" s="3">
        <f>VLOOKUP(B4677,airports!A:H,8,FALSE)</f>
        <v>-95.339722219999999</v>
      </c>
      <c r="H4677">
        <f t="shared" si="146"/>
        <v>1478.5</v>
      </c>
      <c r="I4677">
        <f t="shared" si="147"/>
        <v>918.8</v>
      </c>
    </row>
    <row r="4678" spans="1:9" ht="30" x14ac:dyDescent="0.25">
      <c r="A4678" s="5" t="s">
        <v>180</v>
      </c>
      <c r="B4678" s="5" t="s">
        <v>537</v>
      </c>
      <c r="C4678" s="5" t="s">
        <v>5155</v>
      </c>
      <c r="D4678" s="3">
        <f>VLOOKUP(A4678,airports!A:H,7,FALSE)</f>
        <v>41.785982500000003</v>
      </c>
      <c r="E4678" s="3">
        <f>VLOOKUP(A4678,airports!A:H,8,FALSE)</f>
        <v>-87.752424439999999</v>
      </c>
      <c r="F4678" s="3">
        <f>VLOOKUP(B4678,airports!A:H,7,FALSE)</f>
        <v>39.717329169999999</v>
      </c>
      <c r="G4678" s="3">
        <f>VLOOKUP(B4678,airports!A:H,8,FALSE)</f>
        <v>-86.294384170000001</v>
      </c>
      <c r="H4678">
        <f t="shared" si="146"/>
        <v>260.7</v>
      </c>
      <c r="I4678">
        <f t="shared" si="147"/>
        <v>162</v>
      </c>
    </row>
    <row r="4679" spans="1:9" ht="30" x14ac:dyDescent="0.25">
      <c r="A4679" s="5" t="s">
        <v>180</v>
      </c>
      <c r="B4679" s="5" t="s">
        <v>68</v>
      </c>
      <c r="C4679" s="5" t="s">
        <v>5156</v>
      </c>
      <c r="D4679" s="3">
        <f>VLOOKUP(A4679,airports!A:H,7,FALSE)</f>
        <v>41.785982500000003</v>
      </c>
      <c r="E4679" s="3">
        <f>VLOOKUP(A4679,airports!A:H,8,FALSE)</f>
        <v>-87.752424439999999</v>
      </c>
      <c r="F4679" s="3">
        <f>VLOOKUP(B4679,airports!A:H,7,FALSE)</f>
        <v>30.49405556</v>
      </c>
      <c r="G4679" s="3">
        <f>VLOOKUP(B4679,airports!A:H,8,FALSE)</f>
        <v>-81.68786111</v>
      </c>
      <c r="H4679">
        <f t="shared" si="146"/>
        <v>1367.7</v>
      </c>
      <c r="I4679">
        <f t="shared" si="147"/>
        <v>849.9</v>
      </c>
    </row>
    <row r="4680" spans="1:9" ht="30" x14ac:dyDescent="0.25">
      <c r="A4680" s="5" t="s">
        <v>180</v>
      </c>
      <c r="B4680" s="5" t="s">
        <v>71</v>
      </c>
      <c r="C4680" s="5" t="s">
        <v>5157</v>
      </c>
      <c r="D4680" s="3">
        <f>VLOOKUP(A4680,airports!A:H,7,FALSE)</f>
        <v>41.785982500000003</v>
      </c>
      <c r="E4680" s="3">
        <f>VLOOKUP(A4680,airports!A:H,8,FALSE)</f>
        <v>-87.752424439999999</v>
      </c>
      <c r="F4680" s="3">
        <f>VLOOKUP(B4680,airports!A:H,7,FALSE)</f>
        <v>36.080361109999998</v>
      </c>
      <c r="G4680" s="3">
        <f>VLOOKUP(B4680,airports!A:H,8,FALSE)</f>
        <v>-115.1523333</v>
      </c>
      <c r="H4680">
        <f t="shared" si="146"/>
        <v>2441.9</v>
      </c>
      <c r="I4680">
        <f t="shared" si="147"/>
        <v>1517.4</v>
      </c>
    </row>
    <row r="4681" spans="1:9" ht="30" x14ac:dyDescent="0.25">
      <c r="A4681" s="5" t="s">
        <v>180</v>
      </c>
      <c r="B4681" s="5" t="s">
        <v>73</v>
      </c>
      <c r="C4681" s="5" t="s">
        <v>5158</v>
      </c>
      <c r="D4681" s="3">
        <f>VLOOKUP(A4681,airports!A:H,7,FALSE)</f>
        <v>41.785982500000003</v>
      </c>
      <c r="E4681" s="3">
        <f>VLOOKUP(A4681,airports!A:H,8,FALSE)</f>
        <v>-87.752424439999999</v>
      </c>
      <c r="F4681" s="3">
        <f>VLOOKUP(B4681,airports!A:H,7,FALSE)</f>
        <v>33.942536109999999</v>
      </c>
      <c r="G4681" s="3">
        <f>VLOOKUP(B4681,airports!A:H,8,FALSE)</f>
        <v>-118.4080744</v>
      </c>
      <c r="H4681">
        <f t="shared" si="146"/>
        <v>2811.5</v>
      </c>
      <c r="I4681">
        <f t="shared" si="147"/>
        <v>1747.1</v>
      </c>
    </row>
    <row r="4682" spans="1:9" ht="30" x14ac:dyDescent="0.25">
      <c r="A4682" s="5" t="s">
        <v>180</v>
      </c>
      <c r="B4682" s="5" t="s">
        <v>74</v>
      </c>
      <c r="C4682" s="5" t="s">
        <v>5159</v>
      </c>
      <c r="D4682" s="3">
        <f>VLOOKUP(A4682,airports!A:H,7,FALSE)</f>
        <v>41.785982500000003</v>
      </c>
      <c r="E4682" s="3">
        <f>VLOOKUP(A4682,airports!A:H,8,FALSE)</f>
        <v>-87.752424439999999</v>
      </c>
      <c r="F4682" s="3">
        <f>VLOOKUP(B4682,airports!A:H,7,FALSE)</f>
        <v>40.777243060000004</v>
      </c>
      <c r="G4682" s="3">
        <f>VLOOKUP(B4682,airports!A:H,8,FALSE)</f>
        <v>-73.872609170000004</v>
      </c>
      <c r="H4682">
        <f t="shared" si="146"/>
        <v>1163.9000000000001</v>
      </c>
      <c r="I4682">
        <f t="shared" si="147"/>
        <v>723.3</v>
      </c>
    </row>
    <row r="4683" spans="1:9" ht="30" x14ac:dyDescent="0.25">
      <c r="A4683" s="5" t="s">
        <v>180</v>
      </c>
      <c r="B4683" s="5" t="s">
        <v>742</v>
      </c>
      <c r="C4683" s="5" t="s">
        <v>5160</v>
      </c>
      <c r="D4683" s="3">
        <f>VLOOKUP(A4683,airports!A:H,7,FALSE)</f>
        <v>41.785982500000003</v>
      </c>
      <c r="E4683" s="3">
        <f>VLOOKUP(A4683,airports!A:H,8,FALSE)</f>
        <v>-87.752424439999999</v>
      </c>
      <c r="F4683" s="3">
        <f>VLOOKUP(B4683,airports!A:H,7,FALSE)</f>
        <v>33.81772222</v>
      </c>
      <c r="G4683" s="3">
        <f>VLOOKUP(B4683,airports!A:H,8,FALSE)</f>
        <v>-118.1516111</v>
      </c>
      <c r="H4683">
        <f t="shared" si="146"/>
        <v>2796.8</v>
      </c>
      <c r="I4683">
        <f t="shared" si="147"/>
        <v>1738</v>
      </c>
    </row>
    <row r="4684" spans="1:9" ht="30" x14ac:dyDescent="0.25">
      <c r="A4684" s="5" t="s">
        <v>180</v>
      </c>
      <c r="B4684" s="5" t="s">
        <v>80</v>
      </c>
      <c r="C4684" s="5" t="s">
        <v>5161</v>
      </c>
      <c r="D4684" s="3">
        <f>VLOOKUP(A4684,airports!A:H,7,FALSE)</f>
        <v>41.785982500000003</v>
      </c>
      <c r="E4684" s="3">
        <f>VLOOKUP(A4684,airports!A:H,8,FALSE)</f>
        <v>-87.752424439999999</v>
      </c>
      <c r="F4684" s="3">
        <f>VLOOKUP(B4684,airports!A:H,7,FALSE)</f>
        <v>39.297605279999999</v>
      </c>
      <c r="G4684" s="3">
        <f>VLOOKUP(B4684,airports!A:H,8,FALSE)</f>
        <v>-94.713905560000001</v>
      </c>
      <c r="H4684">
        <f t="shared" si="146"/>
        <v>649.79999999999995</v>
      </c>
      <c r="I4684">
        <f t="shared" si="147"/>
        <v>403.8</v>
      </c>
    </row>
    <row r="4685" spans="1:9" ht="30" x14ac:dyDescent="0.25">
      <c r="A4685" s="5" t="s">
        <v>180</v>
      </c>
      <c r="B4685" s="5" t="s">
        <v>82</v>
      </c>
      <c r="C4685" s="5" t="s">
        <v>5162</v>
      </c>
      <c r="D4685" s="3">
        <f>VLOOKUP(A4685,airports!A:H,7,FALSE)</f>
        <v>41.785982500000003</v>
      </c>
      <c r="E4685" s="3">
        <f>VLOOKUP(A4685,airports!A:H,8,FALSE)</f>
        <v>-87.752424439999999</v>
      </c>
      <c r="F4685" s="3">
        <f>VLOOKUP(B4685,airports!A:H,7,FALSE)</f>
        <v>28.42888889</v>
      </c>
      <c r="G4685" s="3">
        <f>VLOOKUP(B4685,airports!A:H,8,FALSE)</f>
        <v>-81.316027779999999</v>
      </c>
      <c r="H4685">
        <f t="shared" si="146"/>
        <v>1595.2</v>
      </c>
      <c r="I4685">
        <f t="shared" si="147"/>
        <v>991.3</v>
      </c>
    </row>
    <row r="4686" spans="1:9" ht="30" x14ac:dyDescent="0.25">
      <c r="A4686" s="5" t="s">
        <v>180</v>
      </c>
      <c r="B4686" s="5" t="s">
        <v>563</v>
      </c>
      <c r="C4686" s="5" t="s">
        <v>5163</v>
      </c>
      <c r="D4686" s="3">
        <f>VLOOKUP(A4686,airports!A:H,7,FALSE)</f>
        <v>41.785982500000003</v>
      </c>
      <c r="E4686" s="3">
        <f>VLOOKUP(A4686,airports!A:H,8,FALSE)</f>
        <v>-87.752424439999999</v>
      </c>
      <c r="F4686" s="3">
        <f>VLOOKUP(B4686,airports!A:H,7,FALSE)</f>
        <v>35.042416670000001</v>
      </c>
      <c r="G4686" s="3">
        <f>VLOOKUP(B4686,airports!A:H,8,FALSE)</f>
        <v>-89.97666667</v>
      </c>
      <c r="H4686">
        <f t="shared" si="146"/>
        <v>774.4</v>
      </c>
      <c r="I4686">
        <f t="shared" si="147"/>
        <v>481.2</v>
      </c>
    </row>
    <row r="4687" spans="1:9" ht="30" x14ac:dyDescent="0.25">
      <c r="A4687" s="5" t="s">
        <v>180</v>
      </c>
      <c r="B4687" s="5" t="s">
        <v>567</v>
      </c>
      <c r="C4687" s="5" t="s">
        <v>5164</v>
      </c>
      <c r="D4687" s="3">
        <f>VLOOKUP(A4687,airports!A:H,7,FALSE)</f>
        <v>41.785982500000003</v>
      </c>
      <c r="E4687" s="3">
        <f>VLOOKUP(A4687,airports!A:H,8,FALSE)</f>
        <v>-87.752424439999999</v>
      </c>
      <c r="F4687" s="3">
        <f>VLOOKUP(B4687,airports!A:H,7,FALSE)</f>
        <v>42.934516389999999</v>
      </c>
      <c r="G4687" s="3">
        <f>VLOOKUP(B4687,airports!A:H,8,FALSE)</f>
        <v>-71.437055830000006</v>
      </c>
      <c r="H4687">
        <f t="shared" si="146"/>
        <v>1344.5</v>
      </c>
      <c r="I4687">
        <f t="shared" si="147"/>
        <v>835.5</v>
      </c>
    </row>
    <row r="4688" spans="1:9" ht="30" x14ac:dyDescent="0.25">
      <c r="A4688" s="5" t="s">
        <v>180</v>
      </c>
      <c r="B4688" s="5" t="s">
        <v>84</v>
      </c>
      <c r="C4688" s="5" t="s">
        <v>5165</v>
      </c>
      <c r="D4688" s="3">
        <f>VLOOKUP(A4688,airports!A:H,7,FALSE)</f>
        <v>41.785982500000003</v>
      </c>
      <c r="E4688" s="3">
        <f>VLOOKUP(A4688,airports!A:H,8,FALSE)</f>
        <v>-87.752424439999999</v>
      </c>
      <c r="F4688" s="3">
        <f>VLOOKUP(B4688,airports!A:H,7,FALSE)</f>
        <v>25.79325</v>
      </c>
      <c r="G4688" s="3">
        <f>VLOOKUP(B4688,airports!A:H,8,FALSE)</f>
        <v>-80.290555560000001</v>
      </c>
      <c r="H4688">
        <f t="shared" si="146"/>
        <v>1905.4</v>
      </c>
      <c r="I4688">
        <f t="shared" si="147"/>
        <v>1184</v>
      </c>
    </row>
    <row r="4689" spans="1:9" ht="30" x14ac:dyDescent="0.25">
      <c r="A4689" s="5" t="s">
        <v>180</v>
      </c>
      <c r="B4689" s="5" t="s">
        <v>87</v>
      </c>
      <c r="C4689" s="5" t="s">
        <v>5166</v>
      </c>
      <c r="D4689" s="3">
        <f>VLOOKUP(A4689,airports!A:H,7,FALSE)</f>
        <v>41.785982500000003</v>
      </c>
      <c r="E4689" s="3">
        <f>VLOOKUP(A4689,airports!A:H,8,FALSE)</f>
        <v>-87.752424439999999</v>
      </c>
      <c r="F4689" s="3">
        <f>VLOOKUP(B4689,airports!A:H,7,FALSE)</f>
        <v>44.880546940000002</v>
      </c>
      <c r="G4689" s="3">
        <f>VLOOKUP(B4689,airports!A:H,8,FALSE)</f>
        <v>-93.216922499999995</v>
      </c>
      <c r="H4689">
        <f t="shared" si="146"/>
        <v>559.9</v>
      </c>
      <c r="I4689">
        <f t="shared" si="147"/>
        <v>347.9</v>
      </c>
    </row>
    <row r="4690" spans="1:9" ht="30" x14ac:dyDescent="0.25">
      <c r="A4690" s="5" t="s">
        <v>180</v>
      </c>
      <c r="B4690" s="5" t="s">
        <v>89</v>
      </c>
      <c r="C4690" s="5" t="s">
        <v>5167</v>
      </c>
      <c r="D4690" s="3">
        <f>VLOOKUP(A4690,airports!A:H,7,FALSE)</f>
        <v>41.785982500000003</v>
      </c>
      <c r="E4690" s="3">
        <f>VLOOKUP(A4690,airports!A:H,8,FALSE)</f>
        <v>-87.752424439999999</v>
      </c>
      <c r="F4690" s="3">
        <f>VLOOKUP(B4690,airports!A:H,7,FALSE)</f>
        <v>29.993388889999999</v>
      </c>
      <c r="G4690" s="3">
        <f>VLOOKUP(B4690,airports!A:H,8,FALSE)</f>
        <v>-90.258027780000006</v>
      </c>
      <c r="H4690">
        <f t="shared" si="146"/>
        <v>1330.4</v>
      </c>
      <c r="I4690">
        <f t="shared" si="147"/>
        <v>826.7</v>
      </c>
    </row>
    <row r="4691" spans="1:9" ht="30" x14ac:dyDescent="0.25">
      <c r="A4691" s="5" t="s">
        <v>180</v>
      </c>
      <c r="B4691" s="5" t="s">
        <v>182</v>
      </c>
      <c r="C4691" s="5" t="s">
        <v>5168</v>
      </c>
      <c r="D4691" s="3">
        <f>VLOOKUP(A4691,airports!A:H,7,FALSE)</f>
        <v>41.785982500000003</v>
      </c>
      <c r="E4691" s="3">
        <f>VLOOKUP(A4691,airports!A:H,8,FALSE)</f>
        <v>-87.752424439999999</v>
      </c>
      <c r="F4691" s="3">
        <f>VLOOKUP(B4691,airports!A:H,7,FALSE)</f>
        <v>33.679749999999999</v>
      </c>
      <c r="G4691" s="3">
        <f>VLOOKUP(B4691,airports!A:H,8,FALSE)</f>
        <v>-78.928333330000001</v>
      </c>
      <c r="H4691">
        <f t="shared" si="146"/>
        <v>1188</v>
      </c>
      <c r="I4691">
        <f t="shared" si="147"/>
        <v>738.2</v>
      </c>
    </row>
    <row r="4692" spans="1:9" ht="30" x14ac:dyDescent="0.25">
      <c r="A4692" s="5" t="s">
        <v>180</v>
      </c>
      <c r="B4692" s="5" t="s">
        <v>215</v>
      </c>
      <c r="C4692" s="5" t="s">
        <v>5169</v>
      </c>
      <c r="D4692" s="3">
        <f>VLOOKUP(A4692,airports!A:H,7,FALSE)</f>
        <v>41.785982500000003</v>
      </c>
      <c r="E4692" s="3">
        <f>VLOOKUP(A4692,airports!A:H,8,FALSE)</f>
        <v>-87.752424439999999</v>
      </c>
      <c r="F4692" s="3">
        <f>VLOOKUP(B4692,airports!A:H,7,FALSE)</f>
        <v>37.721290830000001</v>
      </c>
      <c r="G4692" s="3">
        <f>VLOOKUP(B4692,airports!A:H,8,FALSE)</f>
        <v>-122.2207167</v>
      </c>
      <c r="H4692">
        <f t="shared" si="146"/>
        <v>2960.8</v>
      </c>
      <c r="I4692">
        <f t="shared" si="147"/>
        <v>1839.9</v>
      </c>
    </row>
    <row r="4693" spans="1:9" ht="30" x14ac:dyDescent="0.25">
      <c r="A4693" s="5" t="s">
        <v>180</v>
      </c>
      <c r="B4693" s="5" t="s">
        <v>590</v>
      </c>
      <c r="C4693" s="5" t="s">
        <v>5170</v>
      </c>
      <c r="D4693" s="3">
        <f>VLOOKUP(A4693,airports!A:H,7,FALSE)</f>
        <v>41.785982500000003</v>
      </c>
      <c r="E4693" s="3">
        <f>VLOOKUP(A4693,airports!A:H,8,FALSE)</f>
        <v>-87.752424439999999</v>
      </c>
      <c r="F4693" s="3">
        <f>VLOOKUP(B4693,airports!A:H,7,FALSE)</f>
        <v>35.393088329999998</v>
      </c>
      <c r="G4693" s="3">
        <f>VLOOKUP(B4693,airports!A:H,8,FALSE)</f>
        <v>-97.600733890000001</v>
      </c>
      <c r="H4693">
        <f t="shared" si="146"/>
        <v>1111.3</v>
      </c>
      <c r="I4693">
        <f t="shared" si="147"/>
        <v>690.6</v>
      </c>
    </row>
    <row r="4694" spans="1:9" ht="30" x14ac:dyDescent="0.25">
      <c r="A4694" s="5" t="s">
        <v>180</v>
      </c>
      <c r="B4694" s="5" t="s">
        <v>592</v>
      </c>
      <c r="C4694" s="5" t="s">
        <v>5171</v>
      </c>
      <c r="D4694" s="3">
        <f>VLOOKUP(A4694,airports!A:H,7,FALSE)</f>
        <v>41.785982500000003</v>
      </c>
      <c r="E4694" s="3">
        <f>VLOOKUP(A4694,airports!A:H,8,FALSE)</f>
        <v>-87.752424439999999</v>
      </c>
      <c r="F4694" s="3">
        <f>VLOOKUP(B4694,airports!A:H,7,FALSE)</f>
        <v>41.30251861</v>
      </c>
      <c r="G4694" s="3">
        <f>VLOOKUP(B4694,airports!A:H,8,FALSE)</f>
        <v>-95.89417306</v>
      </c>
      <c r="H4694">
        <f t="shared" si="146"/>
        <v>679.5</v>
      </c>
      <c r="I4694">
        <f t="shared" si="147"/>
        <v>422.2</v>
      </c>
    </row>
    <row r="4695" spans="1:9" ht="30" x14ac:dyDescent="0.25">
      <c r="A4695" s="5" t="s">
        <v>180</v>
      </c>
      <c r="B4695" s="5" t="s">
        <v>94</v>
      </c>
      <c r="C4695" s="5" t="s">
        <v>5172</v>
      </c>
      <c r="D4695" s="3">
        <f>VLOOKUP(A4695,airports!A:H,7,FALSE)</f>
        <v>41.785982500000003</v>
      </c>
      <c r="E4695" s="3">
        <f>VLOOKUP(A4695,airports!A:H,8,FALSE)</f>
        <v>-87.752424439999999</v>
      </c>
      <c r="F4695" s="3">
        <f>VLOOKUP(B4695,airports!A:H,7,FALSE)</f>
        <v>34.055999999999997</v>
      </c>
      <c r="G4695" s="3">
        <f>VLOOKUP(B4695,airports!A:H,8,FALSE)</f>
        <v>-117.6011944</v>
      </c>
      <c r="H4695">
        <f t="shared" si="146"/>
        <v>2739.6</v>
      </c>
      <c r="I4695">
        <f t="shared" si="147"/>
        <v>1702.4</v>
      </c>
    </row>
    <row r="4696" spans="1:9" ht="30" x14ac:dyDescent="0.25">
      <c r="A4696" s="5" t="s">
        <v>180</v>
      </c>
      <c r="B4696" s="5" t="s">
        <v>596</v>
      </c>
      <c r="C4696" s="5" t="s">
        <v>5173</v>
      </c>
      <c r="D4696" s="3">
        <f>VLOOKUP(A4696,airports!A:H,7,FALSE)</f>
        <v>41.785982500000003</v>
      </c>
      <c r="E4696" s="3">
        <f>VLOOKUP(A4696,airports!A:H,8,FALSE)</f>
        <v>-87.752424439999999</v>
      </c>
      <c r="F4696" s="3">
        <f>VLOOKUP(B4696,airports!A:H,7,FALSE)</f>
        <v>36.89461111</v>
      </c>
      <c r="G4696" s="3">
        <f>VLOOKUP(B4696,airports!A:H,8,FALSE)</f>
        <v>-76.201222220000005</v>
      </c>
      <c r="H4696">
        <f t="shared" si="146"/>
        <v>1131.0999999999999</v>
      </c>
      <c r="I4696">
        <f t="shared" si="147"/>
        <v>702.9</v>
      </c>
    </row>
    <row r="4697" spans="1:9" ht="30" x14ac:dyDescent="0.25">
      <c r="A4697" s="5" t="s">
        <v>180</v>
      </c>
      <c r="B4697" s="5" t="s">
        <v>99</v>
      </c>
      <c r="C4697" s="5" t="s">
        <v>5174</v>
      </c>
      <c r="D4697" s="3">
        <f>VLOOKUP(A4697,airports!A:H,7,FALSE)</f>
        <v>41.785982500000003</v>
      </c>
      <c r="E4697" s="3">
        <f>VLOOKUP(A4697,airports!A:H,8,FALSE)</f>
        <v>-87.752424439999999</v>
      </c>
      <c r="F4697" s="3">
        <f>VLOOKUP(B4697,airports!A:H,7,FALSE)</f>
        <v>26.683161940000002</v>
      </c>
      <c r="G4697" s="3">
        <f>VLOOKUP(B4697,airports!A:H,8,FALSE)</f>
        <v>-80.095594169999998</v>
      </c>
      <c r="H4697">
        <f t="shared" si="146"/>
        <v>1819</v>
      </c>
      <c r="I4697">
        <f t="shared" si="147"/>
        <v>1130.3</v>
      </c>
    </row>
    <row r="4698" spans="1:9" ht="30" x14ac:dyDescent="0.25">
      <c r="A4698" s="5" t="s">
        <v>180</v>
      </c>
      <c r="B4698" s="5" t="s">
        <v>100</v>
      </c>
      <c r="C4698" s="5" t="s">
        <v>5175</v>
      </c>
      <c r="D4698" s="3">
        <f>VLOOKUP(A4698,airports!A:H,7,FALSE)</f>
        <v>41.785982500000003</v>
      </c>
      <c r="E4698" s="3">
        <f>VLOOKUP(A4698,airports!A:H,8,FALSE)</f>
        <v>-87.752424439999999</v>
      </c>
      <c r="F4698" s="3">
        <f>VLOOKUP(B4698,airports!A:H,7,FALSE)</f>
        <v>45.588722220000001</v>
      </c>
      <c r="G4698" s="3">
        <f>VLOOKUP(B4698,airports!A:H,8,FALSE)</f>
        <v>-122.5975</v>
      </c>
      <c r="H4698">
        <f t="shared" si="146"/>
        <v>2810.9</v>
      </c>
      <c r="I4698">
        <f t="shared" si="147"/>
        <v>1746.7</v>
      </c>
    </row>
    <row r="4699" spans="1:9" ht="30" x14ac:dyDescent="0.25">
      <c r="A4699" s="5" t="s">
        <v>180</v>
      </c>
      <c r="B4699" s="5" t="s">
        <v>185</v>
      </c>
      <c r="C4699" s="5" t="s">
        <v>5176</v>
      </c>
      <c r="D4699" s="3">
        <f>VLOOKUP(A4699,airports!A:H,7,FALSE)</f>
        <v>41.785982500000003</v>
      </c>
      <c r="E4699" s="3">
        <f>VLOOKUP(A4699,airports!A:H,8,FALSE)</f>
        <v>-87.752424439999999</v>
      </c>
      <c r="F4699" s="3">
        <f>VLOOKUP(B4699,airports!A:H,7,FALSE)</f>
        <v>26.919699999999999</v>
      </c>
      <c r="G4699" s="3">
        <f>VLOOKUP(B4699,airports!A:H,8,FALSE)</f>
        <v>-81.995999999999995</v>
      </c>
      <c r="H4699">
        <f t="shared" si="146"/>
        <v>1734.4</v>
      </c>
      <c r="I4699">
        <f t="shared" si="147"/>
        <v>1077.7</v>
      </c>
    </row>
    <row r="4700" spans="1:9" ht="30" x14ac:dyDescent="0.25">
      <c r="A4700" s="5" t="s">
        <v>180</v>
      </c>
      <c r="B4700" s="5" t="s">
        <v>102</v>
      </c>
      <c r="C4700" s="5" t="s">
        <v>5177</v>
      </c>
      <c r="D4700" s="3">
        <f>VLOOKUP(A4700,airports!A:H,7,FALSE)</f>
        <v>41.785982500000003</v>
      </c>
      <c r="E4700" s="3">
        <f>VLOOKUP(A4700,airports!A:H,8,FALSE)</f>
        <v>-87.752424439999999</v>
      </c>
      <c r="F4700" s="3">
        <f>VLOOKUP(B4700,airports!A:H,7,FALSE)</f>
        <v>39.871952780000001</v>
      </c>
      <c r="G4700" s="3">
        <f>VLOOKUP(B4700,airports!A:H,8,FALSE)</f>
        <v>-75.241140830000006</v>
      </c>
      <c r="H4700">
        <f t="shared" si="146"/>
        <v>1072.9000000000001</v>
      </c>
      <c r="I4700">
        <f t="shared" si="147"/>
        <v>666.7</v>
      </c>
    </row>
    <row r="4701" spans="1:9" ht="30" x14ac:dyDescent="0.25">
      <c r="A4701" s="5" t="s">
        <v>180</v>
      </c>
      <c r="B4701" s="5" t="s">
        <v>104</v>
      </c>
      <c r="C4701" s="5" t="s">
        <v>5178</v>
      </c>
      <c r="D4701" s="3">
        <f>VLOOKUP(A4701,airports!A:H,7,FALSE)</f>
        <v>41.785982500000003</v>
      </c>
      <c r="E4701" s="3">
        <f>VLOOKUP(A4701,airports!A:H,8,FALSE)</f>
        <v>-87.752424439999999</v>
      </c>
      <c r="F4701" s="3">
        <f>VLOOKUP(B4701,airports!A:H,7,FALSE)</f>
        <v>33.434166670000003</v>
      </c>
      <c r="G4701" s="3">
        <f>VLOOKUP(B4701,airports!A:H,8,FALSE)</f>
        <v>-112.00805560000001</v>
      </c>
      <c r="H4701">
        <f t="shared" si="146"/>
        <v>2319.3000000000002</v>
      </c>
      <c r="I4701">
        <f t="shared" si="147"/>
        <v>1441.3</v>
      </c>
    </row>
    <row r="4702" spans="1:9" ht="30" x14ac:dyDescent="0.25">
      <c r="A4702" s="5" t="s">
        <v>180</v>
      </c>
      <c r="B4702" s="5" t="s">
        <v>106</v>
      </c>
      <c r="C4702" s="5" t="s">
        <v>5179</v>
      </c>
      <c r="D4702" s="3">
        <f>VLOOKUP(A4702,airports!A:H,7,FALSE)</f>
        <v>41.785982500000003</v>
      </c>
      <c r="E4702" s="3">
        <f>VLOOKUP(A4702,airports!A:H,8,FALSE)</f>
        <v>-87.752424439999999</v>
      </c>
      <c r="F4702" s="3">
        <f>VLOOKUP(B4702,airports!A:H,7,FALSE)</f>
        <v>40.491465830000003</v>
      </c>
      <c r="G4702" s="3">
        <f>VLOOKUP(B4702,airports!A:H,8,FALSE)</f>
        <v>-80.232870829999996</v>
      </c>
      <c r="H4702">
        <f t="shared" si="146"/>
        <v>645.70000000000005</v>
      </c>
      <c r="I4702">
        <f t="shared" si="147"/>
        <v>401.3</v>
      </c>
    </row>
    <row r="4703" spans="1:9" ht="30" x14ac:dyDescent="0.25">
      <c r="A4703" s="5" t="s">
        <v>180</v>
      </c>
      <c r="B4703" s="5" t="s">
        <v>607</v>
      </c>
      <c r="C4703" s="5" t="s">
        <v>5180</v>
      </c>
      <c r="D4703" s="3">
        <f>VLOOKUP(A4703,airports!A:H,7,FALSE)</f>
        <v>41.785982500000003</v>
      </c>
      <c r="E4703" s="3">
        <f>VLOOKUP(A4703,airports!A:H,8,FALSE)</f>
        <v>-87.752424439999999</v>
      </c>
      <c r="F4703" s="3">
        <f>VLOOKUP(B4703,airports!A:H,7,FALSE)</f>
        <v>30.47330556</v>
      </c>
      <c r="G4703" s="3">
        <f>VLOOKUP(B4703,airports!A:H,8,FALSE)</f>
        <v>-87.187444439999993</v>
      </c>
      <c r="H4703">
        <f t="shared" si="146"/>
        <v>1258.9000000000001</v>
      </c>
      <c r="I4703">
        <f t="shared" si="147"/>
        <v>782.3</v>
      </c>
    </row>
    <row r="4704" spans="1:9" ht="30" x14ac:dyDescent="0.25">
      <c r="A4704" s="5" t="s">
        <v>180</v>
      </c>
      <c r="B4704" s="5" t="s">
        <v>111</v>
      </c>
      <c r="C4704" s="5" t="s">
        <v>5181</v>
      </c>
      <c r="D4704" s="3">
        <f>VLOOKUP(A4704,airports!A:H,7,FALSE)</f>
        <v>41.785982500000003</v>
      </c>
      <c r="E4704" s="3">
        <f>VLOOKUP(A4704,airports!A:H,8,FALSE)</f>
        <v>-87.752424439999999</v>
      </c>
      <c r="F4704" s="3">
        <f>VLOOKUP(B4704,airports!A:H,7,FALSE)</f>
        <v>33.829215560000002</v>
      </c>
      <c r="G4704" s="3">
        <f>VLOOKUP(B4704,airports!A:H,8,FALSE)</f>
        <v>-116.5062531</v>
      </c>
      <c r="H4704">
        <f t="shared" si="146"/>
        <v>2661.6</v>
      </c>
      <c r="I4704">
        <f t="shared" si="147"/>
        <v>1653.9</v>
      </c>
    </row>
    <row r="4705" spans="1:9" ht="30" x14ac:dyDescent="0.25">
      <c r="A4705" s="5" t="s">
        <v>180</v>
      </c>
      <c r="B4705" s="5" t="s">
        <v>114</v>
      </c>
      <c r="C4705" s="5" t="s">
        <v>5182</v>
      </c>
      <c r="D4705" s="3">
        <f>VLOOKUP(A4705,airports!A:H,7,FALSE)</f>
        <v>41.785982500000003</v>
      </c>
      <c r="E4705" s="3">
        <f>VLOOKUP(A4705,airports!A:H,8,FALSE)</f>
        <v>-87.752424439999999</v>
      </c>
      <c r="F4705" s="3">
        <f>VLOOKUP(B4705,airports!A:H,7,FALSE)</f>
        <v>41.723999169999999</v>
      </c>
      <c r="G4705" s="3">
        <f>VLOOKUP(B4705,airports!A:H,8,FALSE)</f>
        <v>-71.428221109999996</v>
      </c>
      <c r="H4705">
        <f t="shared" si="146"/>
        <v>1352.1</v>
      </c>
      <c r="I4705">
        <f t="shared" si="147"/>
        <v>840.2</v>
      </c>
    </row>
    <row r="4706" spans="1:9" ht="30" x14ac:dyDescent="0.25">
      <c r="A4706" s="5" t="s">
        <v>180</v>
      </c>
      <c r="B4706" s="5" t="s">
        <v>117</v>
      </c>
      <c r="C4706" s="5" t="s">
        <v>5183</v>
      </c>
      <c r="D4706" s="3">
        <f>VLOOKUP(A4706,airports!A:H,7,FALSE)</f>
        <v>41.785982500000003</v>
      </c>
      <c r="E4706" s="3">
        <f>VLOOKUP(A4706,airports!A:H,8,FALSE)</f>
        <v>-87.752424439999999</v>
      </c>
      <c r="F4706" s="3">
        <f>VLOOKUP(B4706,airports!A:H,7,FALSE)</f>
        <v>43.646166669999999</v>
      </c>
      <c r="G4706" s="3">
        <f>VLOOKUP(B4706,airports!A:H,8,FALSE)</f>
        <v>-70.308750000000003</v>
      </c>
      <c r="H4706">
        <f t="shared" si="146"/>
        <v>1437.3</v>
      </c>
      <c r="I4706">
        <f t="shared" si="147"/>
        <v>893.2</v>
      </c>
    </row>
    <row r="4707" spans="1:9" ht="30" x14ac:dyDescent="0.25">
      <c r="A4707" s="5" t="s">
        <v>180</v>
      </c>
      <c r="B4707" s="5" t="s">
        <v>119</v>
      </c>
      <c r="C4707" s="5" t="s">
        <v>5184</v>
      </c>
      <c r="D4707" s="3">
        <f>VLOOKUP(A4707,airports!A:H,7,FALSE)</f>
        <v>41.785982500000003</v>
      </c>
      <c r="E4707" s="3">
        <f>VLOOKUP(A4707,airports!A:H,8,FALSE)</f>
        <v>-87.752424439999999</v>
      </c>
      <c r="F4707" s="3">
        <f>VLOOKUP(B4707,airports!A:H,7,FALSE)</f>
        <v>35.87763889</v>
      </c>
      <c r="G4707" s="3">
        <f>VLOOKUP(B4707,airports!A:H,8,FALSE)</f>
        <v>-78.787472219999998</v>
      </c>
      <c r="H4707">
        <f t="shared" si="146"/>
        <v>1016.2</v>
      </c>
      <c r="I4707">
        <f t="shared" si="147"/>
        <v>631.5</v>
      </c>
    </row>
    <row r="4708" spans="1:9" ht="30" x14ac:dyDescent="0.25">
      <c r="A4708" s="5" t="s">
        <v>180</v>
      </c>
      <c r="B4708" s="5" t="s">
        <v>120</v>
      </c>
      <c r="C4708" s="5" t="s">
        <v>5185</v>
      </c>
      <c r="D4708" s="3">
        <f>VLOOKUP(A4708,airports!A:H,7,FALSE)</f>
        <v>41.785982500000003</v>
      </c>
      <c r="E4708" s="3">
        <f>VLOOKUP(A4708,airports!A:H,8,FALSE)</f>
        <v>-87.752424439999999</v>
      </c>
      <c r="F4708" s="3">
        <f>VLOOKUP(B4708,airports!A:H,7,FALSE)</f>
        <v>37.505166670000001</v>
      </c>
      <c r="G4708" s="3">
        <f>VLOOKUP(B4708,airports!A:H,8,FALSE)</f>
        <v>-77.319666670000004</v>
      </c>
      <c r="H4708">
        <f t="shared" si="146"/>
        <v>1011.2</v>
      </c>
      <c r="I4708">
        <f t="shared" si="147"/>
        <v>628.29999999999995</v>
      </c>
    </row>
    <row r="4709" spans="1:9" ht="30" x14ac:dyDescent="0.25">
      <c r="A4709" s="5" t="s">
        <v>180</v>
      </c>
      <c r="B4709" s="5" t="s">
        <v>121</v>
      </c>
      <c r="C4709" s="5" t="s">
        <v>5186</v>
      </c>
      <c r="D4709" s="3">
        <f>VLOOKUP(A4709,airports!A:H,7,FALSE)</f>
        <v>41.785982500000003</v>
      </c>
      <c r="E4709" s="3">
        <f>VLOOKUP(A4709,airports!A:H,8,FALSE)</f>
        <v>-87.752424439999999</v>
      </c>
      <c r="F4709" s="3">
        <f>VLOOKUP(B4709,airports!A:H,7,FALSE)</f>
        <v>39.498576110000002</v>
      </c>
      <c r="G4709" s="3">
        <f>VLOOKUP(B4709,airports!A:H,8,FALSE)</f>
        <v>-119.7680647</v>
      </c>
      <c r="H4709">
        <f t="shared" si="146"/>
        <v>2697.6</v>
      </c>
      <c r="I4709">
        <f t="shared" si="147"/>
        <v>1676.3</v>
      </c>
    </row>
    <row r="4710" spans="1:9" ht="30" x14ac:dyDescent="0.25">
      <c r="A4710" s="5" t="s">
        <v>180</v>
      </c>
      <c r="B4710" s="5" t="s">
        <v>122</v>
      </c>
      <c r="C4710" s="5" t="s">
        <v>5187</v>
      </c>
      <c r="D4710" s="3">
        <f>VLOOKUP(A4710,airports!A:H,7,FALSE)</f>
        <v>41.785982500000003</v>
      </c>
      <c r="E4710" s="3">
        <f>VLOOKUP(A4710,airports!A:H,8,FALSE)</f>
        <v>-87.752424439999999</v>
      </c>
      <c r="F4710" s="3">
        <f>VLOOKUP(B4710,airports!A:H,7,FALSE)</f>
        <v>43.118866109999999</v>
      </c>
      <c r="G4710" s="3">
        <f>VLOOKUP(B4710,airports!A:H,8,FALSE)</f>
        <v>-77.672383890000006</v>
      </c>
      <c r="H4710">
        <f t="shared" si="146"/>
        <v>839.6</v>
      </c>
      <c r="I4710">
        <f t="shared" si="147"/>
        <v>521.79999999999995</v>
      </c>
    </row>
    <row r="4711" spans="1:9" ht="30" x14ac:dyDescent="0.25">
      <c r="A4711" s="5" t="s">
        <v>180</v>
      </c>
      <c r="B4711" s="5" t="s">
        <v>123</v>
      </c>
      <c r="C4711" s="5" t="s">
        <v>5188</v>
      </c>
      <c r="D4711" s="3">
        <f>VLOOKUP(A4711,airports!A:H,7,FALSE)</f>
        <v>41.785982500000003</v>
      </c>
      <c r="E4711" s="3">
        <f>VLOOKUP(A4711,airports!A:H,8,FALSE)</f>
        <v>-87.752424439999999</v>
      </c>
      <c r="F4711" s="3">
        <f>VLOOKUP(B4711,airports!A:H,7,FALSE)</f>
        <v>26.53616667</v>
      </c>
      <c r="G4711" s="3">
        <f>VLOOKUP(B4711,airports!A:H,8,FALSE)</f>
        <v>-81.755166669999994</v>
      </c>
      <c r="H4711">
        <f t="shared" si="146"/>
        <v>1782</v>
      </c>
      <c r="I4711">
        <f t="shared" si="147"/>
        <v>1107.3</v>
      </c>
    </row>
    <row r="4712" spans="1:9" ht="30" x14ac:dyDescent="0.25">
      <c r="A4712" s="5" t="s">
        <v>180</v>
      </c>
      <c r="B4712" s="5" t="s">
        <v>124</v>
      </c>
      <c r="C4712" s="5" t="s">
        <v>5189</v>
      </c>
      <c r="D4712" s="3">
        <f>VLOOKUP(A4712,airports!A:H,7,FALSE)</f>
        <v>41.785982500000003</v>
      </c>
      <c r="E4712" s="3">
        <f>VLOOKUP(A4712,airports!A:H,8,FALSE)</f>
        <v>-87.752424439999999</v>
      </c>
      <c r="F4712" s="3">
        <f>VLOOKUP(B4712,airports!A:H,7,FALSE)</f>
        <v>32.733556110000002</v>
      </c>
      <c r="G4712" s="3">
        <f>VLOOKUP(B4712,airports!A:H,8,FALSE)</f>
        <v>-117.1896567</v>
      </c>
      <c r="H4712">
        <f t="shared" si="146"/>
        <v>2776</v>
      </c>
      <c r="I4712">
        <f t="shared" si="147"/>
        <v>1725</v>
      </c>
    </row>
    <row r="4713" spans="1:9" ht="30" x14ac:dyDescent="0.25">
      <c r="A4713" s="5" t="s">
        <v>180</v>
      </c>
      <c r="B4713" s="5" t="s">
        <v>125</v>
      </c>
      <c r="C4713" s="5" t="s">
        <v>5190</v>
      </c>
      <c r="D4713" s="3">
        <f>VLOOKUP(A4713,airports!A:H,7,FALSE)</f>
        <v>41.785982500000003</v>
      </c>
      <c r="E4713" s="3">
        <f>VLOOKUP(A4713,airports!A:H,8,FALSE)</f>
        <v>-87.752424439999999</v>
      </c>
      <c r="F4713" s="3">
        <f>VLOOKUP(B4713,airports!A:H,7,FALSE)</f>
        <v>29.533694440000001</v>
      </c>
      <c r="G4713" s="3">
        <f>VLOOKUP(B4713,airports!A:H,8,FALSE)</f>
        <v>-98.469777780000001</v>
      </c>
      <c r="H4713">
        <f t="shared" si="146"/>
        <v>1668.4</v>
      </c>
      <c r="I4713">
        <f t="shared" si="147"/>
        <v>1036.8</v>
      </c>
    </row>
    <row r="4714" spans="1:9" ht="30" x14ac:dyDescent="0.25">
      <c r="A4714" s="5" t="s">
        <v>180</v>
      </c>
      <c r="B4714" s="5" t="s">
        <v>126</v>
      </c>
      <c r="C4714" s="5" t="s">
        <v>5191</v>
      </c>
      <c r="D4714" s="3">
        <f>VLOOKUP(A4714,airports!A:H,7,FALSE)</f>
        <v>41.785982500000003</v>
      </c>
      <c r="E4714" s="3">
        <f>VLOOKUP(A4714,airports!A:H,8,FALSE)</f>
        <v>-87.752424439999999</v>
      </c>
      <c r="F4714" s="3">
        <f>VLOOKUP(B4714,airports!A:H,7,FALSE)</f>
        <v>32.12758333</v>
      </c>
      <c r="G4714" s="3">
        <f>VLOOKUP(B4714,airports!A:H,8,FALSE)</f>
        <v>-81.202138890000001</v>
      </c>
      <c r="H4714">
        <f t="shared" si="146"/>
        <v>1220.5999999999999</v>
      </c>
      <c r="I4714">
        <f t="shared" si="147"/>
        <v>758.5</v>
      </c>
    </row>
    <row r="4715" spans="1:9" ht="30" x14ac:dyDescent="0.25">
      <c r="A4715" s="5" t="s">
        <v>180</v>
      </c>
      <c r="B4715" s="5" t="s">
        <v>630</v>
      </c>
      <c r="C4715" s="5" t="s">
        <v>5192</v>
      </c>
      <c r="D4715" s="3">
        <f>VLOOKUP(A4715,airports!A:H,7,FALSE)</f>
        <v>41.785982500000003</v>
      </c>
      <c r="E4715" s="3">
        <f>VLOOKUP(A4715,airports!A:H,8,FALSE)</f>
        <v>-87.752424439999999</v>
      </c>
      <c r="F4715" s="3">
        <f>VLOOKUP(B4715,airports!A:H,7,FALSE)</f>
        <v>38.174388890000003</v>
      </c>
      <c r="G4715" s="3">
        <f>VLOOKUP(B4715,airports!A:H,8,FALSE)</f>
        <v>-85.736000000000004</v>
      </c>
      <c r="H4715">
        <f t="shared" si="146"/>
        <v>436.8</v>
      </c>
      <c r="I4715">
        <f t="shared" si="147"/>
        <v>271.39999999999998</v>
      </c>
    </row>
    <row r="4716" spans="1:9" ht="30" x14ac:dyDescent="0.25">
      <c r="A4716" s="5" t="s">
        <v>180</v>
      </c>
      <c r="B4716" s="5" t="s">
        <v>128</v>
      </c>
      <c r="C4716" s="5" t="s">
        <v>5193</v>
      </c>
      <c r="D4716" s="3">
        <f>VLOOKUP(A4716,airports!A:H,7,FALSE)</f>
        <v>41.785982500000003</v>
      </c>
      <c r="E4716" s="3">
        <f>VLOOKUP(A4716,airports!A:H,8,FALSE)</f>
        <v>-87.752424439999999</v>
      </c>
      <c r="F4716" s="3">
        <f>VLOOKUP(B4716,airports!A:H,7,FALSE)</f>
        <v>47.448981940000003</v>
      </c>
      <c r="G4716" s="3">
        <f>VLOOKUP(B4716,airports!A:H,8,FALSE)</f>
        <v>-122.3093131</v>
      </c>
      <c r="H4716">
        <f t="shared" si="146"/>
        <v>2782.2</v>
      </c>
      <c r="I4716">
        <f t="shared" si="147"/>
        <v>1728.9</v>
      </c>
    </row>
    <row r="4717" spans="1:9" ht="30" x14ac:dyDescent="0.25">
      <c r="A4717" s="5" t="s">
        <v>180</v>
      </c>
      <c r="B4717" s="5" t="s">
        <v>130</v>
      </c>
      <c r="C4717" s="5" t="s">
        <v>5194</v>
      </c>
      <c r="D4717" s="3">
        <f>VLOOKUP(A4717,airports!A:H,7,FALSE)</f>
        <v>41.785982500000003</v>
      </c>
      <c r="E4717" s="3">
        <f>VLOOKUP(A4717,airports!A:H,8,FALSE)</f>
        <v>-87.752424439999999</v>
      </c>
      <c r="F4717" s="3">
        <f>VLOOKUP(B4717,airports!A:H,7,FALSE)</f>
        <v>37.619001939999997</v>
      </c>
      <c r="G4717" s="3">
        <f>VLOOKUP(B4717,airports!A:H,8,FALSE)</f>
        <v>-122.37484329999999</v>
      </c>
      <c r="H4717">
        <f t="shared" si="146"/>
        <v>2977.5</v>
      </c>
      <c r="I4717">
        <f t="shared" si="147"/>
        <v>1850.2</v>
      </c>
    </row>
    <row r="4718" spans="1:9" ht="30" x14ac:dyDescent="0.25">
      <c r="A4718" s="5" t="s">
        <v>180</v>
      </c>
      <c r="B4718" s="5" t="s">
        <v>131</v>
      </c>
      <c r="C4718" s="5" t="s">
        <v>5195</v>
      </c>
      <c r="D4718" s="3">
        <f>VLOOKUP(A4718,airports!A:H,7,FALSE)</f>
        <v>41.785982500000003</v>
      </c>
      <c r="E4718" s="3">
        <f>VLOOKUP(A4718,airports!A:H,8,FALSE)</f>
        <v>-87.752424439999999</v>
      </c>
      <c r="F4718" s="3">
        <f>VLOOKUP(B4718,airports!A:H,7,FALSE)</f>
        <v>37.361861939999997</v>
      </c>
      <c r="G4718" s="3">
        <f>VLOOKUP(B4718,airports!A:H,8,FALSE)</f>
        <v>-121.9290089</v>
      </c>
      <c r="H4718">
        <f t="shared" si="146"/>
        <v>2950.4</v>
      </c>
      <c r="I4718">
        <f t="shared" si="147"/>
        <v>1833.4</v>
      </c>
    </row>
    <row r="4719" spans="1:9" ht="30" x14ac:dyDescent="0.25">
      <c r="A4719" s="5" t="s">
        <v>180</v>
      </c>
      <c r="B4719" s="5" t="s">
        <v>134</v>
      </c>
      <c r="C4719" s="5" t="s">
        <v>5196</v>
      </c>
      <c r="D4719" s="3">
        <f>VLOOKUP(A4719,airports!A:H,7,FALSE)</f>
        <v>41.785982500000003</v>
      </c>
      <c r="E4719" s="3">
        <f>VLOOKUP(A4719,airports!A:H,8,FALSE)</f>
        <v>-87.752424439999999</v>
      </c>
      <c r="F4719" s="3">
        <f>VLOOKUP(B4719,airports!A:H,7,FALSE)</f>
        <v>18.43941667</v>
      </c>
      <c r="G4719" s="3">
        <f>VLOOKUP(B4719,airports!A:H,8,FALSE)</f>
        <v>-66.001833329999997</v>
      </c>
      <c r="H4719">
        <f t="shared" si="146"/>
        <v>3313.6</v>
      </c>
      <c r="I4719">
        <f t="shared" si="147"/>
        <v>2059.1</v>
      </c>
    </row>
    <row r="4720" spans="1:9" ht="30" x14ac:dyDescent="0.25">
      <c r="A4720" s="5" t="s">
        <v>180</v>
      </c>
      <c r="B4720" s="5" t="s">
        <v>135</v>
      </c>
      <c r="C4720" s="5" t="s">
        <v>5197</v>
      </c>
      <c r="D4720" s="3">
        <f>VLOOKUP(A4720,airports!A:H,7,FALSE)</f>
        <v>41.785982500000003</v>
      </c>
      <c r="E4720" s="3">
        <f>VLOOKUP(A4720,airports!A:H,8,FALSE)</f>
        <v>-87.752424439999999</v>
      </c>
      <c r="F4720" s="3">
        <f>VLOOKUP(B4720,airports!A:H,7,FALSE)</f>
        <v>40.788387780000001</v>
      </c>
      <c r="G4720" s="3">
        <f>VLOOKUP(B4720,airports!A:H,8,FALSE)</f>
        <v>-111.97777309999999</v>
      </c>
      <c r="H4720">
        <f t="shared" si="146"/>
        <v>2020.4</v>
      </c>
      <c r="I4720">
        <f t="shared" si="147"/>
        <v>1255.5</v>
      </c>
    </row>
    <row r="4721" spans="1:9" ht="30" x14ac:dyDescent="0.25">
      <c r="A4721" s="5" t="s">
        <v>180</v>
      </c>
      <c r="B4721" s="5" t="s">
        <v>137</v>
      </c>
      <c r="C4721" s="5" t="s">
        <v>5198</v>
      </c>
      <c r="D4721" s="3">
        <f>VLOOKUP(A4721,airports!A:H,7,FALSE)</f>
        <v>41.785982500000003</v>
      </c>
      <c r="E4721" s="3">
        <f>VLOOKUP(A4721,airports!A:H,8,FALSE)</f>
        <v>-87.752424439999999</v>
      </c>
      <c r="F4721" s="3">
        <f>VLOOKUP(B4721,airports!A:H,7,FALSE)</f>
        <v>38.695421670000002</v>
      </c>
      <c r="G4721" s="3">
        <f>VLOOKUP(B4721,airports!A:H,8,FALSE)</f>
        <v>-121.59076690000001</v>
      </c>
      <c r="H4721">
        <f t="shared" si="146"/>
        <v>2873.9</v>
      </c>
      <c r="I4721">
        <f t="shared" si="147"/>
        <v>1785.9</v>
      </c>
    </row>
    <row r="4722" spans="1:9" ht="30" x14ac:dyDescent="0.25">
      <c r="A4722" s="5" t="s">
        <v>180</v>
      </c>
      <c r="B4722" s="5" t="s">
        <v>227</v>
      </c>
      <c r="C4722" s="5" t="s">
        <v>5199</v>
      </c>
      <c r="D4722" s="3">
        <f>VLOOKUP(A4722,airports!A:H,7,FALSE)</f>
        <v>41.785982500000003</v>
      </c>
      <c r="E4722" s="3">
        <f>VLOOKUP(A4722,airports!A:H,8,FALSE)</f>
        <v>-87.752424439999999</v>
      </c>
      <c r="F4722" s="3">
        <f>VLOOKUP(B4722,airports!A:H,7,FALSE)</f>
        <v>33.675658609999999</v>
      </c>
      <c r="G4722" s="3">
        <f>VLOOKUP(B4722,airports!A:H,8,FALSE)</f>
        <v>-117.8682225</v>
      </c>
      <c r="H4722">
        <f t="shared" si="146"/>
        <v>2780.9</v>
      </c>
      <c r="I4722">
        <f t="shared" si="147"/>
        <v>1728.1</v>
      </c>
    </row>
    <row r="4723" spans="1:9" ht="30" x14ac:dyDescent="0.25">
      <c r="A4723" s="5" t="s">
        <v>180</v>
      </c>
      <c r="B4723" s="5" t="s">
        <v>138</v>
      </c>
      <c r="C4723" s="5" t="s">
        <v>5200</v>
      </c>
      <c r="D4723" s="3">
        <f>VLOOKUP(A4723,airports!A:H,7,FALSE)</f>
        <v>41.785982500000003</v>
      </c>
      <c r="E4723" s="3">
        <f>VLOOKUP(A4723,airports!A:H,8,FALSE)</f>
        <v>-87.752424439999999</v>
      </c>
      <c r="F4723" s="3">
        <f>VLOOKUP(B4723,airports!A:H,7,FALSE)</f>
        <v>27.39533333</v>
      </c>
      <c r="G4723" s="3">
        <f>VLOOKUP(B4723,airports!A:H,8,FALSE)</f>
        <v>-82.554111109999994</v>
      </c>
      <c r="H4723">
        <f t="shared" si="146"/>
        <v>1668.5</v>
      </c>
      <c r="I4723">
        <f t="shared" si="147"/>
        <v>1036.8</v>
      </c>
    </row>
    <row r="4724" spans="1:9" ht="30" x14ac:dyDescent="0.25">
      <c r="A4724" s="5" t="s">
        <v>180</v>
      </c>
      <c r="B4724" s="5" t="s">
        <v>644</v>
      </c>
      <c r="C4724" s="5" t="s">
        <v>5201</v>
      </c>
      <c r="D4724" s="3">
        <f>VLOOKUP(A4724,airports!A:H,7,FALSE)</f>
        <v>41.785982500000003</v>
      </c>
      <c r="E4724" s="3">
        <f>VLOOKUP(A4724,airports!A:H,8,FALSE)</f>
        <v>-87.752424439999999</v>
      </c>
      <c r="F4724" s="3">
        <f>VLOOKUP(B4724,airports!A:H,7,FALSE)</f>
        <v>38.747686940000001</v>
      </c>
      <c r="G4724" s="3">
        <f>VLOOKUP(B4724,airports!A:H,8,FALSE)</f>
        <v>-90.359989720000002</v>
      </c>
      <c r="H4724">
        <f t="shared" si="146"/>
        <v>403.8</v>
      </c>
      <c r="I4724">
        <f t="shared" si="147"/>
        <v>250.9</v>
      </c>
    </row>
    <row r="4725" spans="1:9" ht="30" x14ac:dyDescent="0.25">
      <c r="A4725" s="5" t="s">
        <v>180</v>
      </c>
      <c r="B4725" s="5" t="s">
        <v>145</v>
      </c>
      <c r="C4725" s="5" t="s">
        <v>5202</v>
      </c>
      <c r="D4725" s="3">
        <f>VLOOKUP(A4725,airports!A:H,7,FALSE)</f>
        <v>41.785982500000003</v>
      </c>
      <c r="E4725" s="3">
        <f>VLOOKUP(A4725,airports!A:H,8,FALSE)</f>
        <v>-87.752424439999999</v>
      </c>
      <c r="F4725" s="3">
        <f>VLOOKUP(B4725,airports!A:H,7,FALSE)</f>
        <v>27.97547222</v>
      </c>
      <c r="G4725" s="3">
        <f>VLOOKUP(B4725,airports!A:H,8,FALSE)</f>
        <v>-82.533249999999995</v>
      </c>
      <c r="H4725">
        <f t="shared" si="146"/>
        <v>1606.9</v>
      </c>
      <c r="I4725">
        <f t="shared" si="147"/>
        <v>998.5</v>
      </c>
    </row>
    <row r="4726" spans="1:9" ht="30" x14ac:dyDescent="0.25">
      <c r="A4726" s="5" t="s">
        <v>180</v>
      </c>
      <c r="B4726" s="5" t="s">
        <v>656</v>
      </c>
      <c r="C4726" s="5" t="s">
        <v>5203</v>
      </c>
      <c r="D4726" s="3">
        <f>VLOOKUP(A4726,airports!A:H,7,FALSE)</f>
        <v>41.785982500000003</v>
      </c>
      <c r="E4726" s="3">
        <f>VLOOKUP(A4726,airports!A:H,8,FALSE)</f>
        <v>-87.752424439999999</v>
      </c>
      <c r="F4726" s="3">
        <f>VLOOKUP(B4726,airports!A:H,7,FALSE)</f>
        <v>40.276691110000002</v>
      </c>
      <c r="G4726" s="3">
        <f>VLOOKUP(B4726,airports!A:H,8,FALSE)</f>
        <v>-74.813468330000006</v>
      </c>
      <c r="H4726">
        <f t="shared" si="146"/>
        <v>1097.0999999999999</v>
      </c>
      <c r="I4726">
        <f t="shared" si="147"/>
        <v>681.8</v>
      </c>
    </row>
    <row r="4727" spans="1:9" ht="30" x14ac:dyDescent="0.25">
      <c r="A4727" s="5" t="s">
        <v>180</v>
      </c>
      <c r="B4727" s="5" t="s">
        <v>658</v>
      </c>
      <c r="C4727" s="5" t="s">
        <v>5204</v>
      </c>
      <c r="D4727" s="3">
        <f>VLOOKUP(A4727,airports!A:H,7,FALSE)</f>
        <v>41.785982500000003</v>
      </c>
      <c r="E4727" s="3">
        <f>VLOOKUP(A4727,airports!A:H,8,FALSE)</f>
        <v>-87.752424439999999</v>
      </c>
      <c r="F4727" s="3">
        <f>VLOOKUP(B4727,airports!A:H,7,FALSE)</f>
        <v>36.198372220000003</v>
      </c>
      <c r="G4727" s="3">
        <f>VLOOKUP(B4727,airports!A:H,8,FALSE)</f>
        <v>-95.888241669999999</v>
      </c>
      <c r="H4727">
        <f t="shared" si="146"/>
        <v>937.5</v>
      </c>
      <c r="I4727">
        <f t="shared" si="147"/>
        <v>582.6</v>
      </c>
    </row>
    <row r="4728" spans="1:9" ht="30" x14ac:dyDescent="0.25">
      <c r="A4728" s="5" t="s">
        <v>180</v>
      </c>
      <c r="B4728" s="5" t="s">
        <v>660</v>
      </c>
      <c r="C4728" s="5" t="s">
        <v>5205</v>
      </c>
      <c r="D4728" s="3">
        <f>VLOOKUP(A4728,airports!A:H,7,FALSE)</f>
        <v>41.785982500000003</v>
      </c>
      <c r="E4728" s="3">
        <f>VLOOKUP(A4728,airports!A:H,8,FALSE)</f>
        <v>-87.752424439999999</v>
      </c>
      <c r="F4728" s="3">
        <f>VLOOKUP(B4728,airports!A:H,7,FALSE)</f>
        <v>32.116083330000002</v>
      </c>
      <c r="G4728" s="3">
        <f>VLOOKUP(B4728,airports!A:H,8,FALSE)</f>
        <v>-110.9410278</v>
      </c>
      <c r="H4728">
        <f t="shared" si="146"/>
        <v>2313.8000000000002</v>
      </c>
      <c r="I4728">
        <f t="shared" si="147"/>
        <v>1437.8</v>
      </c>
    </row>
    <row r="4729" spans="1:9" ht="30" x14ac:dyDescent="0.25">
      <c r="A4729" s="5" t="s">
        <v>180</v>
      </c>
      <c r="B4729" s="5" t="s">
        <v>664</v>
      </c>
      <c r="C4729" s="5" t="s">
        <v>5206</v>
      </c>
      <c r="D4729" s="3">
        <f>VLOOKUP(A4729,airports!A:H,7,FALSE)</f>
        <v>41.785982500000003</v>
      </c>
      <c r="E4729" s="3">
        <f>VLOOKUP(A4729,airports!A:H,8,FALSE)</f>
        <v>-87.752424439999999</v>
      </c>
      <c r="F4729" s="3">
        <f>VLOOKUP(B4729,airports!A:H,7,FALSE)</f>
        <v>35.812487220000001</v>
      </c>
      <c r="G4729" s="3">
        <f>VLOOKUP(B4729,airports!A:H,8,FALSE)</f>
        <v>-83.992855829999996</v>
      </c>
      <c r="H4729">
        <f t="shared" si="146"/>
        <v>739.6</v>
      </c>
      <c r="I4729">
        <f t="shared" si="147"/>
        <v>459.6</v>
      </c>
    </row>
    <row r="4730" spans="1:9" ht="30" x14ac:dyDescent="0.25">
      <c r="A4730" s="5" t="s">
        <v>180</v>
      </c>
      <c r="B4730" s="5" t="s">
        <v>668</v>
      </c>
      <c r="C4730" s="5" t="s">
        <v>5207</v>
      </c>
      <c r="D4730" s="3">
        <f>VLOOKUP(A4730,airports!A:H,7,FALSE)</f>
        <v>41.785982500000003</v>
      </c>
      <c r="E4730" s="3">
        <f>VLOOKUP(A4730,airports!A:H,8,FALSE)</f>
        <v>-87.752424439999999</v>
      </c>
      <c r="F4730" s="3">
        <f>VLOOKUP(B4730,airports!A:H,7,FALSE)</f>
        <v>30.483250000000002</v>
      </c>
      <c r="G4730" s="3">
        <f>VLOOKUP(B4730,airports!A:H,8,FALSE)</f>
        <v>-86.525400000000005</v>
      </c>
      <c r="H4730">
        <f t="shared" si="146"/>
        <v>1261.5999999999999</v>
      </c>
      <c r="I4730">
        <f t="shared" si="147"/>
        <v>784</v>
      </c>
    </row>
    <row r="4731" spans="1:9" ht="30" x14ac:dyDescent="0.25">
      <c r="A4731" s="5" t="s">
        <v>2656</v>
      </c>
      <c r="B4731" s="5" t="s">
        <v>49</v>
      </c>
      <c r="C4731" s="5" t="s">
        <v>5208</v>
      </c>
      <c r="D4731" s="3">
        <f>VLOOKUP(A4731,airports!A:H,7,FALSE)</f>
        <v>32.333133330000003</v>
      </c>
      <c r="E4731" s="3">
        <f>VLOOKUP(A4731,airports!A:H,8,FALSE)</f>
        <v>-88.751205560000002</v>
      </c>
      <c r="F4731" s="3">
        <f>VLOOKUP(B4731,airports!A:H,7,FALSE)</f>
        <v>32.895950560000003</v>
      </c>
      <c r="G4731" s="3">
        <f>VLOOKUP(B4731,airports!A:H,8,FALSE)</f>
        <v>-97.037199999999999</v>
      </c>
      <c r="H4731">
        <f t="shared" si="146"/>
        <v>778.4</v>
      </c>
      <c r="I4731">
        <f t="shared" si="147"/>
        <v>483.7</v>
      </c>
    </row>
    <row r="4732" spans="1:9" x14ac:dyDescent="0.25">
      <c r="A4732" s="5" t="s">
        <v>2656</v>
      </c>
      <c r="B4732" s="5" t="s">
        <v>67</v>
      </c>
      <c r="C4732" s="5" t="s">
        <v>5209</v>
      </c>
      <c r="D4732" s="3">
        <f>VLOOKUP(A4732,airports!A:H,7,FALSE)</f>
        <v>32.333133330000003</v>
      </c>
      <c r="E4732" s="3">
        <f>VLOOKUP(A4732,airports!A:H,8,FALSE)</f>
        <v>-88.751205560000002</v>
      </c>
      <c r="F4732" s="3">
        <f>VLOOKUP(B4732,airports!A:H,7,FALSE)</f>
        <v>29.980472219999999</v>
      </c>
      <c r="G4732" s="3">
        <f>VLOOKUP(B4732,airports!A:H,8,FALSE)</f>
        <v>-95.339722219999999</v>
      </c>
      <c r="H4732">
        <f t="shared" si="146"/>
        <v>679.2</v>
      </c>
      <c r="I4732">
        <f t="shared" si="147"/>
        <v>422</v>
      </c>
    </row>
    <row r="4733" spans="1:9" ht="30" x14ac:dyDescent="0.25">
      <c r="A4733" s="5" t="s">
        <v>2656</v>
      </c>
      <c r="B4733" s="5" t="s">
        <v>95</v>
      </c>
      <c r="C4733" s="5" t="s">
        <v>5210</v>
      </c>
      <c r="D4733" s="3">
        <f>VLOOKUP(A4733,airports!A:H,7,FALSE)</f>
        <v>32.333133330000003</v>
      </c>
      <c r="E4733" s="3">
        <f>VLOOKUP(A4733,airports!A:H,8,FALSE)</f>
        <v>-88.751205560000002</v>
      </c>
      <c r="F4733" s="3">
        <f>VLOOKUP(B4733,airports!A:H,7,FALSE)</f>
        <v>41.979595000000003</v>
      </c>
      <c r="G4733" s="3">
        <f>VLOOKUP(B4733,airports!A:H,8,FALSE)</f>
        <v>-87.904464169999997</v>
      </c>
      <c r="H4733">
        <f t="shared" si="146"/>
        <v>1075.2</v>
      </c>
      <c r="I4733">
        <f t="shared" si="147"/>
        <v>668.2</v>
      </c>
    </row>
    <row r="4734" spans="1:9" x14ac:dyDescent="0.25">
      <c r="A4734" s="5" t="s">
        <v>2656</v>
      </c>
      <c r="B4734" s="5" t="s">
        <v>2688</v>
      </c>
      <c r="C4734" s="5" t="s">
        <v>5211</v>
      </c>
      <c r="D4734" s="3">
        <f>VLOOKUP(A4734,airports!A:H,7,FALSE)</f>
        <v>32.333133330000003</v>
      </c>
      <c r="E4734" s="3">
        <f>VLOOKUP(A4734,airports!A:H,8,FALSE)</f>
        <v>-88.751205560000002</v>
      </c>
      <c r="F4734" s="3">
        <f>VLOOKUP(B4734,airports!A:H,7,FALSE)</f>
        <v>31.46714944</v>
      </c>
      <c r="G4734" s="3">
        <f>VLOOKUP(B4734,airports!A:H,8,FALSE)</f>
        <v>-89.337057779999995</v>
      </c>
      <c r="H4734">
        <f t="shared" si="146"/>
        <v>111</v>
      </c>
      <c r="I4734">
        <f t="shared" si="147"/>
        <v>69</v>
      </c>
    </row>
    <row r="4735" spans="1:9" ht="30" x14ac:dyDescent="0.25">
      <c r="A4735" s="5" t="s">
        <v>563</v>
      </c>
      <c r="B4735" s="5" t="s">
        <v>10</v>
      </c>
      <c r="C4735" s="5" t="s">
        <v>5212</v>
      </c>
      <c r="D4735" s="3">
        <f>VLOOKUP(A4735,airports!A:H,7,FALSE)</f>
        <v>35.042416670000001</v>
      </c>
      <c r="E4735" s="3">
        <f>VLOOKUP(A4735,airports!A:H,8,FALSE)</f>
        <v>-89.97666667</v>
      </c>
      <c r="F4735" s="3">
        <f>VLOOKUP(B4735,airports!A:H,7,FALSE)</f>
        <v>33.640444440000003</v>
      </c>
      <c r="G4735" s="3">
        <f>VLOOKUP(B4735,airports!A:H,8,FALSE)</f>
        <v>-84.42694444</v>
      </c>
      <c r="H4735">
        <f t="shared" si="146"/>
        <v>532.79999999999995</v>
      </c>
      <c r="I4735">
        <f t="shared" si="147"/>
        <v>331.1</v>
      </c>
    </row>
    <row r="4736" spans="1:9" ht="30" x14ac:dyDescent="0.25">
      <c r="A4736" s="5" t="s">
        <v>563</v>
      </c>
      <c r="B4736" s="5" t="s">
        <v>13</v>
      </c>
      <c r="C4736" s="5" t="s">
        <v>5213</v>
      </c>
      <c r="D4736" s="3">
        <f>VLOOKUP(A4736,airports!A:H,7,FALSE)</f>
        <v>35.042416670000001</v>
      </c>
      <c r="E4736" s="3">
        <f>VLOOKUP(A4736,airports!A:H,8,FALSE)</f>
        <v>-89.97666667</v>
      </c>
      <c r="F4736" s="3">
        <f>VLOOKUP(B4736,airports!A:H,7,FALSE)</f>
        <v>30.194532779999999</v>
      </c>
      <c r="G4736" s="3">
        <f>VLOOKUP(B4736,airports!A:H,8,FALSE)</f>
        <v>-97.669871939999993</v>
      </c>
      <c r="H4736">
        <f t="shared" si="146"/>
        <v>899.3</v>
      </c>
      <c r="I4736">
        <f t="shared" si="147"/>
        <v>558.9</v>
      </c>
    </row>
    <row r="4737" spans="1:9" ht="30" x14ac:dyDescent="0.25">
      <c r="A4737" s="5" t="s">
        <v>563</v>
      </c>
      <c r="B4737" s="5" t="s">
        <v>329</v>
      </c>
      <c r="C4737" s="5" t="s">
        <v>5214</v>
      </c>
      <c r="D4737" s="3">
        <f>VLOOKUP(A4737,airports!A:H,7,FALSE)</f>
        <v>35.042416670000001</v>
      </c>
      <c r="E4737" s="3">
        <f>VLOOKUP(A4737,airports!A:H,8,FALSE)</f>
        <v>-89.97666667</v>
      </c>
      <c r="F4737" s="3">
        <f>VLOOKUP(B4737,airports!A:H,7,FALSE)</f>
        <v>33.308999999999997</v>
      </c>
      <c r="G4737" s="3">
        <f>VLOOKUP(B4737,airports!A:H,8,FALSE)</f>
        <v>-111.6559</v>
      </c>
      <c r="H4737">
        <f t="shared" si="146"/>
        <v>1999.7</v>
      </c>
      <c r="I4737">
        <f t="shared" si="147"/>
        <v>1242.5999999999999</v>
      </c>
    </row>
    <row r="4738" spans="1:9" ht="30" x14ac:dyDescent="0.25">
      <c r="A4738" s="5" t="s">
        <v>563</v>
      </c>
      <c r="B4738" s="5" t="s">
        <v>24</v>
      </c>
      <c r="C4738" s="5" t="s">
        <v>5215</v>
      </c>
      <c r="D4738" s="3">
        <f>VLOOKUP(A4738,airports!A:H,7,FALSE)</f>
        <v>35.042416670000001</v>
      </c>
      <c r="E4738" s="3">
        <f>VLOOKUP(A4738,airports!A:H,8,FALSE)</f>
        <v>-89.97666667</v>
      </c>
      <c r="F4738" s="3">
        <f>VLOOKUP(B4738,airports!A:H,7,FALSE)</f>
        <v>42.364347500000001</v>
      </c>
      <c r="G4738" s="3">
        <f>VLOOKUP(B4738,airports!A:H,8,FALSE)</f>
        <v>-71.005179170000005</v>
      </c>
      <c r="H4738">
        <f t="shared" si="146"/>
        <v>1831</v>
      </c>
      <c r="I4738">
        <f t="shared" si="147"/>
        <v>1137.8</v>
      </c>
    </row>
    <row r="4739" spans="1:9" ht="30" x14ac:dyDescent="0.25">
      <c r="A4739" s="5" t="s">
        <v>563</v>
      </c>
      <c r="B4739" s="5" t="s">
        <v>32</v>
      </c>
      <c r="C4739" s="5" t="s">
        <v>5216</v>
      </c>
      <c r="D4739" s="3">
        <f>VLOOKUP(A4739,airports!A:H,7,FALSE)</f>
        <v>35.042416670000001</v>
      </c>
      <c r="E4739" s="3">
        <f>VLOOKUP(A4739,airports!A:H,8,FALSE)</f>
        <v>-89.97666667</v>
      </c>
      <c r="F4739" s="3">
        <f>VLOOKUP(B4739,airports!A:H,7,FALSE)</f>
        <v>39.175401669999999</v>
      </c>
      <c r="G4739" s="3">
        <f>VLOOKUP(B4739,airports!A:H,8,FALSE)</f>
        <v>-76.668198329999996</v>
      </c>
      <c r="H4739">
        <f t="shared" si="146"/>
        <v>1264.9000000000001</v>
      </c>
      <c r="I4739">
        <f t="shared" si="147"/>
        <v>786</v>
      </c>
    </row>
    <row r="4740" spans="1:9" ht="30" x14ac:dyDescent="0.25">
      <c r="A4740" s="5" t="s">
        <v>563</v>
      </c>
      <c r="B4740" s="5" t="s">
        <v>40</v>
      </c>
      <c r="C4740" s="5" t="s">
        <v>5217</v>
      </c>
      <c r="D4740" s="3">
        <f>VLOOKUP(A4740,airports!A:H,7,FALSE)</f>
        <v>35.042416670000001</v>
      </c>
      <c r="E4740" s="3">
        <f>VLOOKUP(A4740,airports!A:H,8,FALSE)</f>
        <v>-89.97666667</v>
      </c>
      <c r="F4740" s="3">
        <f>VLOOKUP(B4740,airports!A:H,7,FALSE)</f>
        <v>35.214011110000001</v>
      </c>
      <c r="G4740" s="3">
        <f>VLOOKUP(B4740,airports!A:H,8,FALSE)</f>
        <v>-80.94312583</v>
      </c>
      <c r="H4740">
        <f t="shared" ref="H4740:H4803" si="148">ROUND(ACOS(COS(RADIANS(90-D4740)) * COS(RADIANS(90-F4740)) + SIN(RADIANS(90-D4740)) * SIN(RADIANS(90-F4740)) * COS(RADIANS(E4740-G4740))) * 6371,1)</f>
        <v>821.5</v>
      </c>
      <c r="I4740">
        <f t="shared" ref="I4740:I4803" si="149">ROUND(ACOS(COS(RADIANS(90-D4740)) * COS(RADIANS(90-F4740)) + SIN(RADIANS(90-D4740)) * SIN(RADIANS(90-F4740)) * COS(RADIANS(E4740-G4740))) * 3959,1)</f>
        <v>510.5</v>
      </c>
    </row>
    <row r="4741" spans="1:9" ht="30" x14ac:dyDescent="0.25">
      <c r="A4741" s="5" t="s">
        <v>563</v>
      </c>
      <c r="B4741" s="5" t="s">
        <v>462</v>
      </c>
      <c r="C4741" s="5" t="s">
        <v>5218</v>
      </c>
      <c r="D4741" s="3">
        <f>VLOOKUP(A4741,airports!A:H,7,FALSE)</f>
        <v>35.042416670000001</v>
      </c>
      <c r="E4741" s="3">
        <f>VLOOKUP(A4741,airports!A:H,8,FALSE)</f>
        <v>-89.97666667</v>
      </c>
      <c r="F4741" s="3">
        <f>VLOOKUP(B4741,airports!A:H,7,FALSE)</f>
        <v>39.046142779999997</v>
      </c>
      <c r="G4741" s="3">
        <f>VLOOKUP(B4741,airports!A:H,8,FALSE)</f>
        <v>-84.662172499999997</v>
      </c>
      <c r="H4741">
        <f t="shared" si="148"/>
        <v>648.4</v>
      </c>
      <c r="I4741">
        <f t="shared" si="149"/>
        <v>402.9</v>
      </c>
    </row>
    <row r="4742" spans="1:9" ht="30" x14ac:dyDescent="0.25">
      <c r="A4742" s="5" t="s">
        <v>563</v>
      </c>
      <c r="B4742" s="5" t="s">
        <v>201</v>
      </c>
      <c r="C4742" s="5" t="s">
        <v>5219</v>
      </c>
      <c r="D4742" s="3">
        <f>VLOOKUP(A4742,airports!A:H,7,FALSE)</f>
        <v>35.042416670000001</v>
      </c>
      <c r="E4742" s="3">
        <f>VLOOKUP(A4742,airports!A:H,8,FALSE)</f>
        <v>-89.97666667</v>
      </c>
      <c r="F4742" s="3">
        <f>VLOOKUP(B4742,airports!A:H,7,FALSE)</f>
        <v>32.847113890000003</v>
      </c>
      <c r="G4742" s="3">
        <f>VLOOKUP(B4742,airports!A:H,8,FALSE)</f>
        <v>-96.851772220000001</v>
      </c>
      <c r="H4742">
        <f t="shared" si="148"/>
        <v>679.4</v>
      </c>
      <c r="I4742">
        <f t="shared" si="149"/>
        <v>422.2</v>
      </c>
    </row>
    <row r="4743" spans="1:9" ht="30" x14ac:dyDescent="0.25">
      <c r="A4743" s="5" t="s">
        <v>563</v>
      </c>
      <c r="B4743" s="5" t="s">
        <v>45</v>
      </c>
      <c r="C4743" s="5" t="s">
        <v>5220</v>
      </c>
      <c r="D4743" s="3">
        <f>VLOOKUP(A4743,airports!A:H,7,FALSE)</f>
        <v>35.042416670000001</v>
      </c>
      <c r="E4743" s="3">
        <f>VLOOKUP(A4743,airports!A:H,8,FALSE)</f>
        <v>-89.97666667</v>
      </c>
      <c r="F4743" s="3">
        <f>VLOOKUP(B4743,airports!A:H,7,FALSE)</f>
        <v>38.852083329999999</v>
      </c>
      <c r="G4743" s="3">
        <f>VLOOKUP(B4743,airports!A:H,8,FALSE)</f>
        <v>-77.037722220000006</v>
      </c>
      <c r="H4743">
        <f t="shared" si="148"/>
        <v>1224</v>
      </c>
      <c r="I4743">
        <f t="shared" si="149"/>
        <v>760.6</v>
      </c>
    </row>
    <row r="4744" spans="1:9" ht="30" x14ac:dyDescent="0.25">
      <c r="A4744" s="5" t="s">
        <v>563</v>
      </c>
      <c r="B4744" s="5" t="s">
        <v>47</v>
      </c>
      <c r="C4744" s="5" t="s">
        <v>5221</v>
      </c>
      <c r="D4744" s="3">
        <f>VLOOKUP(A4744,airports!A:H,7,FALSE)</f>
        <v>35.042416670000001</v>
      </c>
      <c r="E4744" s="3">
        <f>VLOOKUP(A4744,airports!A:H,8,FALSE)</f>
        <v>-89.97666667</v>
      </c>
      <c r="F4744" s="3">
        <f>VLOOKUP(B4744,airports!A:H,7,FALSE)</f>
        <v>39.858408060000002</v>
      </c>
      <c r="G4744" s="3">
        <f>VLOOKUP(B4744,airports!A:H,8,FALSE)</f>
        <v>-104.6670019</v>
      </c>
      <c r="H4744">
        <f t="shared" si="148"/>
        <v>1400.8</v>
      </c>
      <c r="I4744">
        <f t="shared" si="149"/>
        <v>870.5</v>
      </c>
    </row>
    <row r="4745" spans="1:9" ht="30" x14ac:dyDescent="0.25">
      <c r="A4745" s="5" t="s">
        <v>563</v>
      </c>
      <c r="B4745" s="5" t="s">
        <v>49</v>
      </c>
      <c r="C4745" s="5" t="s">
        <v>5222</v>
      </c>
      <c r="D4745" s="3">
        <f>VLOOKUP(A4745,airports!A:H,7,FALSE)</f>
        <v>35.042416670000001</v>
      </c>
      <c r="E4745" s="3">
        <f>VLOOKUP(A4745,airports!A:H,8,FALSE)</f>
        <v>-89.97666667</v>
      </c>
      <c r="F4745" s="3">
        <f>VLOOKUP(B4745,airports!A:H,7,FALSE)</f>
        <v>32.895950560000003</v>
      </c>
      <c r="G4745" s="3">
        <f>VLOOKUP(B4745,airports!A:H,8,FALSE)</f>
        <v>-97.037199999999999</v>
      </c>
      <c r="H4745">
        <f t="shared" si="148"/>
        <v>693.3</v>
      </c>
      <c r="I4745">
        <f t="shared" si="149"/>
        <v>430.8</v>
      </c>
    </row>
    <row r="4746" spans="1:9" ht="30" x14ac:dyDescent="0.25">
      <c r="A4746" s="5" t="s">
        <v>563</v>
      </c>
      <c r="B4746" s="5" t="s">
        <v>474</v>
      </c>
      <c r="C4746" s="5" t="s">
        <v>5223</v>
      </c>
      <c r="D4746" s="3">
        <f>VLOOKUP(A4746,airports!A:H,7,FALSE)</f>
        <v>35.042416670000001</v>
      </c>
      <c r="E4746" s="3">
        <f>VLOOKUP(A4746,airports!A:H,8,FALSE)</f>
        <v>-89.97666667</v>
      </c>
      <c r="F4746" s="3">
        <f>VLOOKUP(B4746,airports!A:H,7,FALSE)</f>
        <v>41.53493306</v>
      </c>
      <c r="G4746" s="3">
        <f>VLOOKUP(B4746,airports!A:H,8,FALSE)</f>
        <v>-93.660682219999998</v>
      </c>
      <c r="H4746">
        <f t="shared" si="148"/>
        <v>790.1</v>
      </c>
      <c r="I4746">
        <f t="shared" si="149"/>
        <v>491</v>
      </c>
    </row>
    <row r="4747" spans="1:9" ht="30" x14ac:dyDescent="0.25">
      <c r="A4747" s="5" t="s">
        <v>563</v>
      </c>
      <c r="B4747" s="5" t="s">
        <v>50</v>
      </c>
      <c r="C4747" s="5" t="s">
        <v>5224</v>
      </c>
      <c r="D4747" s="3">
        <f>VLOOKUP(A4747,airports!A:H,7,FALSE)</f>
        <v>35.042416670000001</v>
      </c>
      <c r="E4747" s="3">
        <f>VLOOKUP(A4747,airports!A:H,8,FALSE)</f>
        <v>-89.97666667</v>
      </c>
      <c r="F4747" s="3">
        <f>VLOOKUP(B4747,airports!A:H,7,FALSE)</f>
        <v>42.212058890000002</v>
      </c>
      <c r="G4747" s="3">
        <f>VLOOKUP(B4747,airports!A:H,8,FALSE)</f>
        <v>-83.348835829999999</v>
      </c>
      <c r="H4747">
        <f t="shared" si="148"/>
        <v>982.7</v>
      </c>
      <c r="I4747">
        <f t="shared" si="149"/>
        <v>610.6</v>
      </c>
    </row>
    <row r="4748" spans="1:9" ht="30" x14ac:dyDescent="0.25">
      <c r="A4748" s="5" t="s">
        <v>563</v>
      </c>
      <c r="B4748" s="5" t="s">
        <v>52</v>
      </c>
      <c r="C4748" s="5" t="s">
        <v>5225</v>
      </c>
      <c r="D4748" s="3">
        <f>VLOOKUP(A4748,airports!A:H,7,FALSE)</f>
        <v>35.042416670000001</v>
      </c>
      <c r="E4748" s="3">
        <f>VLOOKUP(A4748,airports!A:H,8,FALSE)</f>
        <v>-89.97666667</v>
      </c>
      <c r="F4748" s="3">
        <f>VLOOKUP(B4748,airports!A:H,7,FALSE)</f>
        <v>40.69249722</v>
      </c>
      <c r="G4748" s="3">
        <f>VLOOKUP(B4748,airports!A:H,8,FALSE)</f>
        <v>-74.168660560000006</v>
      </c>
      <c r="H4748">
        <f t="shared" si="148"/>
        <v>1520.3</v>
      </c>
      <c r="I4748">
        <f t="shared" si="149"/>
        <v>944.7</v>
      </c>
    </row>
    <row r="4749" spans="1:9" ht="30" x14ac:dyDescent="0.25">
      <c r="A4749" s="5" t="s">
        <v>563</v>
      </c>
      <c r="B4749" s="5" t="s">
        <v>57</v>
      </c>
      <c r="C4749" s="5" t="s">
        <v>5226</v>
      </c>
      <c r="D4749" s="3">
        <f>VLOOKUP(A4749,airports!A:H,7,FALSE)</f>
        <v>35.042416670000001</v>
      </c>
      <c r="E4749" s="3">
        <f>VLOOKUP(A4749,airports!A:H,8,FALSE)</f>
        <v>-89.97666667</v>
      </c>
      <c r="F4749" s="3">
        <f>VLOOKUP(B4749,airports!A:H,7,FALSE)</f>
        <v>26.072583330000001</v>
      </c>
      <c r="G4749" s="3">
        <f>VLOOKUP(B4749,airports!A:H,8,FALSE)</f>
        <v>-80.152749999999997</v>
      </c>
      <c r="H4749">
        <f t="shared" si="148"/>
        <v>1369.4</v>
      </c>
      <c r="I4749">
        <f t="shared" si="149"/>
        <v>851</v>
      </c>
    </row>
    <row r="4750" spans="1:9" ht="30" x14ac:dyDescent="0.25">
      <c r="A4750" s="5" t="s">
        <v>563</v>
      </c>
      <c r="B4750" s="5" t="s">
        <v>205</v>
      </c>
      <c r="C4750" s="5" t="s">
        <v>5227</v>
      </c>
      <c r="D4750" s="3">
        <f>VLOOKUP(A4750,airports!A:H,7,FALSE)</f>
        <v>35.042416670000001</v>
      </c>
      <c r="E4750" s="3">
        <f>VLOOKUP(A4750,airports!A:H,8,FALSE)</f>
        <v>-89.97666667</v>
      </c>
      <c r="F4750" s="3">
        <f>VLOOKUP(B4750,airports!A:H,7,FALSE)</f>
        <v>29.64541861</v>
      </c>
      <c r="G4750" s="3">
        <f>VLOOKUP(B4750,airports!A:H,8,FALSE)</f>
        <v>-95.278888890000005</v>
      </c>
      <c r="H4750">
        <f t="shared" si="148"/>
        <v>779.6</v>
      </c>
      <c r="I4750">
        <f t="shared" si="149"/>
        <v>484.5</v>
      </c>
    </row>
    <row r="4751" spans="1:9" ht="30" x14ac:dyDescent="0.25">
      <c r="A4751" s="5" t="s">
        <v>563</v>
      </c>
      <c r="B4751" s="5" t="s">
        <v>67</v>
      </c>
      <c r="C4751" s="5" t="s">
        <v>5228</v>
      </c>
      <c r="D4751" s="3">
        <f>VLOOKUP(A4751,airports!A:H,7,FALSE)</f>
        <v>35.042416670000001</v>
      </c>
      <c r="E4751" s="3">
        <f>VLOOKUP(A4751,airports!A:H,8,FALSE)</f>
        <v>-89.97666667</v>
      </c>
      <c r="F4751" s="3">
        <f>VLOOKUP(B4751,airports!A:H,7,FALSE)</f>
        <v>29.980472219999999</v>
      </c>
      <c r="G4751" s="3">
        <f>VLOOKUP(B4751,airports!A:H,8,FALSE)</f>
        <v>-95.339722219999999</v>
      </c>
      <c r="H4751">
        <f t="shared" si="148"/>
        <v>754.5</v>
      </c>
      <c r="I4751">
        <f t="shared" si="149"/>
        <v>468.9</v>
      </c>
    </row>
    <row r="4752" spans="1:9" ht="30" x14ac:dyDescent="0.25">
      <c r="A4752" s="5" t="s">
        <v>563</v>
      </c>
      <c r="B4752" s="5" t="s">
        <v>537</v>
      </c>
      <c r="C4752" s="5" t="s">
        <v>5229</v>
      </c>
      <c r="D4752" s="3">
        <f>VLOOKUP(A4752,airports!A:H,7,FALSE)</f>
        <v>35.042416670000001</v>
      </c>
      <c r="E4752" s="3">
        <f>VLOOKUP(A4752,airports!A:H,8,FALSE)</f>
        <v>-89.97666667</v>
      </c>
      <c r="F4752" s="3">
        <f>VLOOKUP(B4752,airports!A:H,7,FALSE)</f>
        <v>39.717329169999999</v>
      </c>
      <c r="G4752" s="3">
        <f>VLOOKUP(B4752,airports!A:H,8,FALSE)</f>
        <v>-86.294384170000001</v>
      </c>
      <c r="H4752">
        <f t="shared" si="148"/>
        <v>613.1</v>
      </c>
      <c r="I4752">
        <f t="shared" si="149"/>
        <v>381</v>
      </c>
    </row>
    <row r="4753" spans="1:9" ht="30" x14ac:dyDescent="0.25">
      <c r="A4753" s="5" t="s">
        <v>563</v>
      </c>
      <c r="B4753" s="5" t="s">
        <v>71</v>
      </c>
      <c r="C4753" s="5" t="s">
        <v>5230</v>
      </c>
      <c r="D4753" s="3">
        <f>VLOOKUP(A4753,airports!A:H,7,FALSE)</f>
        <v>35.042416670000001</v>
      </c>
      <c r="E4753" s="3">
        <f>VLOOKUP(A4753,airports!A:H,8,FALSE)</f>
        <v>-89.97666667</v>
      </c>
      <c r="F4753" s="3">
        <f>VLOOKUP(B4753,airports!A:H,7,FALSE)</f>
        <v>36.080361109999998</v>
      </c>
      <c r="G4753" s="3">
        <f>VLOOKUP(B4753,airports!A:H,8,FALSE)</f>
        <v>-115.1523333</v>
      </c>
      <c r="H4753">
        <f t="shared" si="148"/>
        <v>2273.9</v>
      </c>
      <c r="I4753">
        <f t="shared" si="149"/>
        <v>1413</v>
      </c>
    </row>
    <row r="4754" spans="1:9" ht="30" x14ac:dyDescent="0.25">
      <c r="A4754" s="5" t="s">
        <v>563</v>
      </c>
      <c r="B4754" s="5" t="s">
        <v>73</v>
      </c>
      <c r="C4754" s="5" t="s">
        <v>5231</v>
      </c>
      <c r="D4754" s="3">
        <f>VLOOKUP(A4754,airports!A:H,7,FALSE)</f>
        <v>35.042416670000001</v>
      </c>
      <c r="E4754" s="3">
        <f>VLOOKUP(A4754,airports!A:H,8,FALSE)</f>
        <v>-89.97666667</v>
      </c>
      <c r="F4754" s="3">
        <f>VLOOKUP(B4754,airports!A:H,7,FALSE)</f>
        <v>33.942536109999999</v>
      </c>
      <c r="G4754" s="3">
        <f>VLOOKUP(B4754,airports!A:H,8,FALSE)</f>
        <v>-118.4080744</v>
      </c>
      <c r="H4754">
        <f t="shared" si="148"/>
        <v>2599.6999999999998</v>
      </c>
      <c r="I4754">
        <f t="shared" si="149"/>
        <v>1615.5</v>
      </c>
    </row>
    <row r="4755" spans="1:9" ht="30" x14ac:dyDescent="0.25">
      <c r="A4755" s="5" t="s">
        <v>563</v>
      </c>
      <c r="B4755" s="5" t="s">
        <v>74</v>
      </c>
      <c r="C4755" s="5" t="s">
        <v>5232</v>
      </c>
      <c r="D4755" s="3">
        <f>VLOOKUP(A4755,airports!A:H,7,FALSE)</f>
        <v>35.042416670000001</v>
      </c>
      <c r="E4755" s="3">
        <f>VLOOKUP(A4755,airports!A:H,8,FALSE)</f>
        <v>-89.97666667</v>
      </c>
      <c r="F4755" s="3">
        <f>VLOOKUP(B4755,airports!A:H,7,FALSE)</f>
        <v>40.777243060000004</v>
      </c>
      <c r="G4755" s="3">
        <f>VLOOKUP(B4755,airports!A:H,8,FALSE)</f>
        <v>-73.872609170000004</v>
      </c>
      <c r="H4755">
        <f t="shared" si="148"/>
        <v>1546.9</v>
      </c>
      <c r="I4755">
        <f t="shared" si="149"/>
        <v>961.3</v>
      </c>
    </row>
    <row r="4756" spans="1:9" ht="30" x14ac:dyDescent="0.25">
      <c r="A4756" s="5" t="s">
        <v>563</v>
      </c>
      <c r="B4756" s="5" t="s">
        <v>82</v>
      </c>
      <c r="C4756" s="5" t="s">
        <v>5233</v>
      </c>
      <c r="D4756" s="3">
        <f>VLOOKUP(A4756,airports!A:H,7,FALSE)</f>
        <v>35.042416670000001</v>
      </c>
      <c r="E4756" s="3">
        <f>VLOOKUP(A4756,airports!A:H,8,FALSE)</f>
        <v>-89.97666667</v>
      </c>
      <c r="F4756" s="3">
        <f>VLOOKUP(B4756,airports!A:H,7,FALSE)</f>
        <v>28.42888889</v>
      </c>
      <c r="G4756" s="3">
        <f>VLOOKUP(B4756,airports!A:H,8,FALSE)</f>
        <v>-81.316027779999999</v>
      </c>
      <c r="H4756">
        <f t="shared" si="148"/>
        <v>1099.8</v>
      </c>
      <c r="I4756">
        <f t="shared" si="149"/>
        <v>683.5</v>
      </c>
    </row>
    <row r="4757" spans="1:9" ht="30" x14ac:dyDescent="0.25">
      <c r="A4757" s="5" t="s">
        <v>563</v>
      </c>
      <c r="B4757" s="5" t="s">
        <v>180</v>
      </c>
      <c r="C4757" s="5" t="s">
        <v>5234</v>
      </c>
      <c r="D4757" s="3">
        <f>VLOOKUP(A4757,airports!A:H,7,FALSE)</f>
        <v>35.042416670000001</v>
      </c>
      <c r="E4757" s="3">
        <f>VLOOKUP(A4757,airports!A:H,8,FALSE)</f>
        <v>-89.97666667</v>
      </c>
      <c r="F4757" s="3">
        <f>VLOOKUP(B4757,airports!A:H,7,FALSE)</f>
        <v>41.785982500000003</v>
      </c>
      <c r="G4757" s="3">
        <f>VLOOKUP(B4757,airports!A:H,8,FALSE)</f>
        <v>-87.752424439999999</v>
      </c>
      <c r="H4757">
        <f t="shared" si="148"/>
        <v>774.4</v>
      </c>
      <c r="I4757">
        <f t="shared" si="149"/>
        <v>481.2</v>
      </c>
    </row>
    <row r="4758" spans="1:9" ht="30" x14ac:dyDescent="0.25">
      <c r="A4758" s="5" t="s">
        <v>563</v>
      </c>
      <c r="B4758" s="5" t="s">
        <v>84</v>
      </c>
      <c r="C4758" s="5" t="s">
        <v>5235</v>
      </c>
      <c r="D4758" s="3">
        <f>VLOOKUP(A4758,airports!A:H,7,FALSE)</f>
        <v>35.042416670000001</v>
      </c>
      <c r="E4758" s="3">
        <f>VLOOKUP(A4758,airports!A:H,8,FALSE)</f>
        <v>-89.97666667</v>
      </c>
      <c r="F4758" s="3">
        <f>VLOOKUP(B4758,airports!A:H,7,FALSE)</f>
        <v>25.79325</v>
      </c>
      <c r="G4758" s="3">
        <f>VLOOKUP(B4758,airports!A:H,8,FALSE)</f>
        <v>-80.290555560000001</v>
      </c>
      <c r="H4758">
        <f t="shared" si="148"/>
        <v>1384.2</v>
      </c>
      <c r="I4758">
        <f t="shared" si="149"/>
        <v>860.2</v>
      </c>
    </row>
    <row r="4759" spans="1:9" ht="30" x14ac:dyDescent="0.25">
      <c r="A4759" s="5" t="s">
        <v>563</v>
      </c>
      <c r="B4759" s="5" t="s">
        <v>87</v>
      </c>
      <c r="C4759" s="5" t="s">
        <v>5236</v>
      </c>
      <c r="D4759" s="3">
        <f>VLOOKUP(A4759,airports!A:H,7,FALSE)</f>
        <v>35.042416670000001</v>
      </c>
      <c r="E4759" s="3">
        <f>VLOOKUP(A4759,airports!A:H,8,FALSE)</f>
        <v>-89.97666667</v>
      </c>
      <c r="F4759" s="3">
        <f>VLOOKUP(B4759,airports!A:H,7,FALSE)</f>
        <v>44.880546940000002</v>
      </c>
      <c r="G4759" s="3">
        <f>VLOOKUP(B4759,airports!A:H,8,FALSE)</f>
        <v>-93.216922499999995</v>
      </c>
      <c r="H4759">
        <f t="shared" si="148"/>
        <v>1128</v>
      </c>
      <c r="I4759">
        <f t="shared" si="149"/>
        <v>701</v>
      </c>
    </row>
    <row r="4760" spans="1:9" ht="30" x14ac:dyDescent="0.25">
      <c r="A4760" s="5" t="s">
        <v>563</v>
      </c>
      <c r="B4760" s="5" t="s">
        <v>215</v>
      </c>
      <c r="C4760" s="5" t="s">
        <v>5237</v>
      </c>
      <c r="D4760" s="3">
        <f>VLOOKUP(A4760,airports!A:H,7,FALSE)</f>
        <v>35.042416670000001</v>
      </c>
      <c r="E4760" s="3">
        <f>VLOOKUP(A4760,airports!A:H,8,FALSE)</f>
        <v>-89.97666667</v>
      </c>
      <c r="F4760" s="3">
        <f>VLOOKUP(B4760,airports!A:H,7,FALSE)</f>
        <v>37.721290830000001</v>
      </c>
      <c r="G4760" s="3">
        <f>VLOOKUP(B4760,airports!A:H,8,FALSE)</f>
        <v>-122.2207167</v>
      </c>
      <c r="H4760">
        <f t="shared" si="148"/>
        <v>2887.6</v>
      </c>
      <c r="I4760">
        <f t="shared" si="149"/>
        <v>1794.4</v>
      </c>
    </row>
    <row r="4761" spans="1:9" ht="30" x14ac:dyDescent="0.25">
      <c r="A4761" s="5" t="s">
        <v>563</v>
      </c>
      <c r="B4761" s="5" t="s">
        <v>95</v>
      </c>
      <c r="C4761" s="5" t="s">
        <v>5238</v>
      </c>
      <c r="D4761" s="3">
        <f>VLOOKUP(A4761,airports!A:H,7,FALSE)</f>
        <v>35.042416670000001</v>
      </c>
      <c r="E4761" s="3">
        <f>VLOOKUP(A4761,airports!A:H,8,FALSE)</f>
        <v>-89.97666667</v>
      </c>
      <c r="F4761" s="3">
        <f>VLOOKUP(B4761,airports!A:H,7,FALSE)</f>
        <v>41.979595000000003</v>
      </c>
      <c r="G4761" s="3">
        <f>VLOOKUP(B4761,airports!A:H,8,FALSE)</f>
        <v>-87.904464169999997</v>
      </c>
      <c r="H4761">
        <f t="shared" si="148"/>
        <v>792.1</v>
      </c>
      <c r="I4761">
        <f t="shared" si="149"/>
        <v>492.2</v>
      </c>
    </row>
    <row r="4762" spans="1:9" ht="30" x14ac:dyDescent="0.25">
      <c r="A4762" s="5" t="s">
        <v>563</v>
      </c>
      <c r="B4762" s="5" t="s">
        <v>99</v>
      </c>
      <c r="C4762" s="5" t="s">
        <v>5239</v>
      </c>
      <c r="D4762" s="3">
        <f>VLOOKUP(A4762,airports!A:H,7,FALSE)</f>
        <v>35.042416670000001</v>
      </c>
      <c r="E4762" s="3">
        <f>VLOOKUP(A4762,airports!A:H,8,FALSE)</f>
        <v>-89.97666667</v>
      </c>
      <c r="F4762" s="3">
        <f>VLOOKUP(B4762,airports!A:H,7,FALSE)</f>
        <v>26.683161940000002</v>
      </c>
      <c r="G4762" s="3">
        <f>VLOOKUP(B4762,airports!A:H,8,FALSE)</f>
        <v>-80.095594169999998</v>
      </c>
      <c r="H4762">
        <f t="shared" si="148"/>
        <v>1322.7</v>
      </c>
      <c r="I4762">
        <f t="shared" si="149"/>
        <v>822</v>
      </c>
    </row>
    <row r="4763" spans="1:9" ht="30" x14ac:dyDescent="0.25">
      <c r="A4763" s="5" t="s">
        <v>563</v>
      </c>
      <c r="B4763" s="5" t="s">
        <v>185</v>
      </c>
      <c r="C4763" s="5" t="s">
        <v>5240</v>
      </c>
      <c r="D4763" s="3">
        <f>VLOOKUP(A4763,airports!A:H,7,FALSE)</f>
        <v>35.042416670000001</v>
      </c>
      <c r="E4763" s="3">
        <f>VLOOKUP(A4763,airports!A:H,8,FALSE)</f>
        <v>-89.97666667</v>
      </c>
      <c r="F4763" s="3">
        <f>VLOOKUP(B4763,airports!A:H,7,FALSE)</f>
        <v>26.919699999999999</v>
      </c>
      <c r="G4763" s="3">
        <f>VLOOKUP(B4763,airports!A:H,8,FALSE)</f>
        <v>-81.995999999999995</v>
      </c>
      <c r="H4763">
        <f t="shared" si="148"/>
        <v>1180</v>
      </c>
      <c r="I4763">
        <f t="shared" si="149"/>
        <v>733.2</v>
      </c>
    </row>
    <row r="4764" spans="1:9" ht="30" x14ac:dyDescent="0.25">
      <c r="A4764" s="5" t="s">
        <v>563</v>
      </c>
      <c r="B4764" s="5" t="s">
        <v>102</v>
      </c>
      <c r="C4764" s="5" t="s">
        <v>5241</v>
      </c>
      <c r="D4764" s="3">
        <f>VLOOKUP(A4764,airports!A:H,7,FALSE)</f>
        <v>35.042416670000001</v>
      </c>
      <c r="E4764" s="3">
        <f>VLOOKUP(A4764,airports!A:H,8,FALSE)</f>
        <v>-89.97666667</v>
      </c>
      <c r="F4764" s="3">
        <f>VLOOKUP(B4764,airports!A:H,7,FALSE)</f>
        <v>39.871952780000001</v>
      </c>
      <c r="G4764" s="3">
        <f>VLOOKUP(B4764,airports!A:H,8,FALSE)</f>
        <v>-75.241140830000006</v>
      </c>
      <c r="H4764">
        <f t="shared" si="148"/>
        <v>1405</v>
      </c>
      <c r="I4764">
        <f t="shared" si="149"/>
        <v>873.1</v>
      </c>
    </row>
    <row r="4765" spans="1:9" ht="30" x14ac:dyDescent="0.25">
      <c r="A4765" s="5" t="s">
        <v>563</v>
      </c>
      <c r="B4765" s="5" t="s">
        <v>104</v>
      </c>
      <c r="C4765" s="5" t="s">
        <v>5242</v>
      </c>
      <c r="D4765" s="3">
        <f>VLOOKUP(A4765,airports!A:H,7,FALSE)</f>
        <v>35.042416670000001</v>
      </c>
      <c r="E4765" s="3">
        <f>VLOOKUP(A4765,airports!A:H,8,FALSE)</f>
        <v>-89.97666667</v>
      </c>
      <c r="F4765" s="3">
        <f>VLOOKUP(B4765,airports!A:H,7,FALSE)</f>
        <v>33.434166670000003</v>
      </c>
      <c r="G4765" s="3">
        <f>VLOOKUP(B4765,airports!A:H,8,FALSE)</f>
        <v>-112.00805560000001</v>
      </c>
      <c r="H4765">
        <f t="shared" si="148"/>
        <v>2029</v>
      </c>
      <c r="I4765">
        <f t="shared" si="149"/>
        <v>1260.8</v>
      </c>
    </row>
    <row r="4766" spans="1:9" ht="30" x14ac:dyDescent="0.25">
      <c r="A4766" s="5" t="s">
        <v>563</v>
      </c>
      <c r="B4766" s="5" t="s">
        <v>188</v>
      </c>
      <c r="C4766" s="5" t="s">
        <v>5243</v>
      </c>
      <c r="D4766" s="3">
        <f>VLOOKUP(A4766,airports!A:H,7,FALSE)</f>
        <v>35.042416670000001</v>
      </c>
      <c r="E4766" s="3">
        <f>VLOOKUP(A4766,airports!A:H,8,FALSE)</f>
        <v>-89.97666667</v>
      </c>
      <c r="F4766" s="3">
        <f>VLOOKUP(B4766,airports!A:H,7,FALSE)</f>
        <v>27.910763330000002</v>
      </c>
      <c r="G4766" s="3">
        <f>VLOOKUP(B4766,airports!A:H,8,FALSE)</f>
        <v>-82.687439440000006</v>
      </c>
      <c r="H4766">
        <f t="shared" si="148"/>
        <v>1051.3</v>
      </c>
      <c r="I4766">
        <f t="shared" si="149"/>
        <v>653.29999999999995</v>
      </c>
    </row>
    <row r="4767" spans="1:9" ht="30" x14ac:dyDescent="0.25">
      <c r="A4767" s="5" t="s">
        <v>563</v>
      </c>
      <c r="B4767" s="5" t="s">
        <v>106</v>
      </c>
      <c r="C4767" s="5" t="s">
        <v>5244</v>
      </c>
      <c r="D4767" s="3">
        <f>VLOOKUP(A4767,airports!A:H,7,FALSE)</f>
        <v>35.042416670000001</v>
      </c>
      <c r="E4767" s="3">
        <f>VLOOKUP(A4767,airports!A:H,8,FALSE)</f>
        <v>-89.97666667</v>
      </c>
      <c r="F4767" s="3">
        <f>VLOOKUP(B4767,airports!A:H,7,FALSE)</f>
        <v>40.491465830000003</v>
      </c>
      <c r="G4767" s="3">
        <f>VLOOKUP(B4767,airports!A:H,8,FALSE)</f>
        <v>-80.232870829999996</v>
      </c>
      <c r="H4767">
        <f t="shared" si="148"/>
        <v>1048.0999999999999</v>
      </c>
      <c r="I4767">
        <f t="shared" si="149"/>
        <v>651.29999999999995</v>
      </c>
    </row>
    <row r="4768" spans="1:9" ht="30" x14ac:dyDescent="0.25">
      <c r="A4768" s="5" t="s">
        <v>563</v>
      </c>
      <c r="B4768" s="5" t="s">
        <v>125</v>
      </c>
      <c r="C4768" s="5" t="s">
        <v>5245</v>
      </c>
      <c r="D4768" s="3">
        <f>VLOOKUP(A4768,airports!A:H,7,FALSE)</f>
        <v>35.042416670000001</v>
      </c>
      <c r="E4768" s="3">
        <f>VLOOKUP(A4768,airports!A:H,8,FALSE)</f>
        <v>-89.97666667</v>
      </c>
      <c r="F4768" s="3">
        <f>VLOOKUP(B4768,airports!A:H,7,FALSE)</f>
        <v>29.533694440000001</v>
      </c>
      <c r="G4768" s="3">
        <f>VLOOKUP(B4768,airports!A:H,8,FALSE)</f>
        <v>-98.469777780000001</v>
      </c>
      <c r="H4768">
        <f t="shared" si="148"/>
        <v>1005.6</v>
      </c>
      <c r="I4768">
        <f t="shared" si="149"/>
        <v>624.9</v>
      </c>
    </row>
    <row r="4769" spans="1:9" ht="30" x14ac:dyDescent="0.25">
      <c r="A4769" s="5" t="s">
        <v>563</v>
      </c>
      <c r="B4769" s="5" t="s">
        <v>191</v>
      </c>
      <c r="C4769" s="5" t="s">
        <v>5246</v>
      </c>
      <c r="D4769" s="3">
        <f>VLOOKUP(A4769,airports!A:H,7,FALSE)</f>
        <v>35.042416670000001</v>
      </c>
      <c r="E4769" s="3">
        <f>VLOOKUP(A4769,airports!A:H,8,FALSE)</f>
        <v>-89.97666667</v>
      </c>
      <c r="F4769" s="3">
        <f>VLOOKUP(B4769,airports!A:H,7,FALSE)</f>
        <v>28.7776</v>
      </c>
      <c r="G4769" s="3">
        <f>VLOOKUP(B4769,airports!A:H,8,FALSE)</f>
        <v>-81.237499999999997</v>
      </c>
      <c r="H4769">
        <f t="shared" si="148"/>
        <v>1078.8</v>
      </c>
      <c r="I4769">
        <f t="shared" si="149"/>
        <v>670.4</v>
      </c>
    </row>
    <row r="4770" spans="1:9" ht="30" x14ac:dyDescent="0.25">
      <c r="A4770" s="5" t="s">
        <v>563</v>
      </c>
      <c r="B4770" s="5" t="s">
        <v>135</v>
      </c>
      <c r="C4770" s="5" t="s">
        <v>5247</v>
      </c>
      <c r="D4770" s="3">
        <f>VLOOKUP(A4770,airports!A:H,7,FALSE)</f>
        <v>35.042416670000001</v>
      </c>
      <c r="E4770" s="3">
        <f>VLOOKUP(A4770,airports!A:H,8,FALSE)</f>
        <v>-89.97666667</v>
      </c>
      <c r="F4770" s="3">
        <f>VLOOKUP(B4770,airports!A:H,7,FALSE)</f>
        <v>40.788387780000001</v>
      </c>
      <c r="G4770" s="3">
        <f>VLOOKUP(B4770,airports!A:H,8,FALSE)</f>
        <v>-111.97777309999999</v>
      </c>
      <c r="H4770">
        <f t="shared" si="148"/>
        <v>2026.6</v>
      </c>
      <c r="I4770">
        <f t="shared" si="149"/>
        <v>1259.3</v>
      </c>
    </row>
    <row r="4771" spans="1:9" ht="30" x14ac:dyDescent="0.25">
      <c r="A4771" s="5" t="s">
        <v>563</v>
      </c>
      <c r="B4771" s="5" t="s">
        <v>145</v>
      </c>
      <c r="C4771" s="5" t="s">
        <v>5248</v>
      </c>
      <c r="D4771" s="3">
        <f>VLOOKUP(A4771,airports!A:H,7,FALSE)</f>
        <v>35.042416670000001</v>
      </c>
      <c r="E4771" s="3">
        <f>VLOOKUP(A4771,airports!A:H,8,FALSE)</f>
        <v>-89.97666667</v>
      </c>
      <c r="F4771" s="3">
        <f>VLOOKUP(B4771,airports!A:H,7,FALSE)</f>
        <v>27.97547222</v>
      </c>
      <c r="G4771" s="3">
        <f>VLOOKUP(B4771,airports!A:H,8,FALSE)</f>
        <v>-82.533249999999995</v>
      </c>
      <c r="H4771">
        <f t="shared" si="148"/>
        <v>1055.4000000000001</v>
      </c>
      <c r="I4771">
        <f t="shared" si="149"/>
        <v>655.8</v>
      </c>
    </row>
    <row r="4772" spans="1:9" ht="30" x14ac:dyDescent="0.25">
      <c r="A4772" s="5" t="s">
        <v>563</v>
      </c>
      <c r="B4772" s="5" t="s">
        <v>668</v>
      </c>
      <c r="C4772" s="5" t="s">
        <v>5249</v>
      </c>
      <c r="D4772" s="3">
        <f>VLOOKUP(A4772,airports!A:H,7,FALSE)</f>
        <v>35.042416670000001</v>
      </c>
      <c r="E4772" s="3">
        <f>VLOOKUP(A4772,airports!A:H,8,FALSE)</f>
        <v>-89.97666667</v>
      </c>
      <c r="F4772" s="3">
        <f>VLOOKUP(B4772,airports!A:H,7,FALSE)</f>
        <v>30.483250000000002</v>
      </c>
      <c r="G4772" s="3">
        <f>VLOOKUP(B4772,airports!A:H,8,FALSE)</f>
        <v>-86.525400000000005</v>
      </c>
      <c r="H4772">
        <f t="shared" si="148"/>
        <v>600.79999999999995</v>
      </c>
      <c r="I4772">
        <f t="shared" si="149"/>
        <v>373.4</v>
      </c>
    </row>
    <row r="4773" spans="1:9" ht="30" x14ac:dyDescent="0.25">
      <c r="A4773" s="5" t="s">
        <v>750</v>
      </c>
      <c r="B4773" s="5" t="s">
        <v>329</v>
      </c>
      <c r="C4773" s="5" t="s">
        <v>5250</v>
      </c>
      <c r="D4773" s="3">
        <f>VLOOKUP(A4773,airports!A:H,7,FALSE)</f>
        <v>26.17583333</v>
      </c>
      <c r="E4773" s="3">
        <f>VLOOKUP(A4773,airports!A:H,8,FALSE)</f>
        <v>-98.238611109999994</v>
      </c>
      <c r="F4773" s="3">
        <f>VLOOKUP(B4773,airports!A:H,7,FALSE)</f>
        <v>33.308999999999997</v>
      </c>
      <c r="G4773" s="3">
        <f>VLOOKUP(B4773,airports!A:H,8,FALSE)</f>
        <v>-111.6559</v>
      </c>
      <c r="H4773">
        <f t="shared" si="148"/>
        <v>1516.9</v>
      </c>
      <c r="I4773">
        <f t="shared" si="149"/>
        <v>942.6</v>
      </c>
    </row>
    <row r="4774" spans="1:9" ht="30" x14ac:dyDescent="0.25">
      <c r="A4774" s="5" t="s">
        <v>750</v>
      </c>
      <c r="B4774" s="5" t="s">
        <v>19</v>
      </c>
      <c r="C4774" s="5" t="s">
        <v>5251</v>
      </c>
      <c r="D4774" s="3">
        <f>VLOOKUP(A4774,airports!A:H,7,FALSE)</f>
        <v>26.17583333</v>
      </c>
      <c r="E4774" s="3">
        <f>VLOOKUP(A4774,airports!A:H,8,FALSE)</f>
        <v>-98.238611109999994</v>
      </c>
      <c r="F4774" s="3">
        <f>VLOOKUP(B4774,airports!A:H,7,FALSE)</f>
        <v>36.12447667</v>
      </c>
      <c r="G4774" s="3">
        <f>VLOOKUP(B4774,airports!A:H,8,FALSE)</f>
        <v>-86.678182219999997</v>
      </c>
      <c r="H4774">
        <f t="shared" si="148"/>
        <v>1557.7</v>
      </c>
      <c r="I4774">
        <f t="shared" si="149"/>
        <v>968</v>
      </c>
    </row>
    <row r="4775" spans="1:9" ht="30" x14ac:dyDescent="0.25">
      <c r="A4775" s="5" t="s">
        <v>750</v>
      </c>
      <c r="B4775" s="5" t="s">
        <v>1327</v>
      </c>
      <c r="C4775" s="5" t="s">
        <v>5252</v>
      </c>
      <c r="D4775" s="3">
        <f>VLOOKUP(A4775,airports!A:H,7,FALSE)</f>
        <v>26.17583333</v>
      </c>
      <c r="E4775" s="3">
        <f>VLOOKUP(A4775,airports!A:H,8,FALSE)</f>
        <v>-98.238611109999994</v>
      </c>
      <c r="F4775" s="3">
        <f>VLOOKUP(B4775,airports!A:H,7,FALSE)</f>
        <v>25.906833330000001</v>
      </c>
      <c r="G4775" s="3">
        <f>VLOOKUP(B4775,airports!A:H,8,FALSE)</f>
        <v>-97.42586111</v>
      </c>
      <c r="H4775">
        <f t="shared" si="148"/>
        <v>86.5</v>
      </c>
      <c r="I4775">
        <f t="shared" si="149"/>
        <v>53.8</v>
      </c>
    </row>
    <row r="4776" spans="1:9" ht="30" x14ac:dyDescent="0.25">
      <c r="A4776" s="5" t="s">
        <v>750</v>
      </c>
      <c r="B4776" s="5" t="s">
        <v>49</v>
      </c>
      <c r="C4776" s="5" t="s">
        <v>5253</v>
      </c>
      <c r="D4776" s="3">
        <f>VLOOKUP(A4776,airports!A:H,7,FALSE)</f>
        <v>26.17583333</v>
      </c>
      <c r="E4776" s="3">
        <f>VLOOKUP(A4776,airports!A:H,8,FALSE)</f>
        <v>-98.238611109999994</v>
      </c>
      <c r="F4776" s="3">
        <f>VLOOKUP(B4776,airports!A:H,7,FALSE)</f>
        <v>32.895950560000003</v>
      </c>
      <c r="G4776" s="3">
        <f>VLOOKUP(B4776,airports!A:H,8,FALSE)</f>
        <v>-97.037199999999999</v>
      </c>
      <c r="H4776">
        <f t="shared" si="148"/>
        <v>756.2</v>
      </c>
      <c r="I4776">
        <f t="shared" si="149"/>
        <v>469.9</v>
      </c>
    </row>
    <row r="4777" spans="1:9" ht="30" x14ac:dyDescent="0.25">
      <c r="A4777" s="5" t="s">
        <v>750</v>
      </c>
      <c r="B4777" s="5" t="s">
        <v>67</v>
      </c>
      <c r="C4777" s="5" t="s">
        <v>5254</v>
      </c>
      <c r="D4777" s="3">
        <f>VLOOKUP(A4777,airports!A:H,7,FALSE)</f>
        <v>26.17583333</v>
      </c>
      <c r="E4777" s="3">
        <f>VLOOKUP(A4777,airports!A:H,8,FALSE)</f>
        <v>-98.238611109999994</v>
      </c>
      <c r="F4777" s="3">
        <f>VLOOKUP(B4777,airports!A:H,7,FALSE)</f>
        <v>29.980472219999999</v>
      </c>
      <c r="G4777" s="3">
        <f>VLOOKUP(B4777,airports!A:H,8,FALSE)</f>
        <v>-95.339722219999999</v>
      </c>
      <c r="H4777">
        <f t="shared" si="148"/>
        <v>509.7</v>
      </c>
      <c r="I4777">
        <f t="shared" si="149"/>
        <v>316.7</v>
      </c>
    </row>
    <row r="4778" spans="1:9" ht="30" x14ac:dyDescent="0.25">
      <c r="A4778" s="5" t="s">
        <v>750</v>
      </c>
      <c r="B4778" s="5" t="s">
        <v>71</v>
      </c>
      <c r="C4778" s="5" t="s">
        <v>5255</v>
      </c>
      <c r="D4778" s="3">
        <f>VLOOKUP(A4778,airports!A:H,7,FALSE)</f>
        <v>26.17583333</v>
      </c>
      <c r="E4778" s="3">
        <f>VLOOKUP(A4778,airports!A:H,8,FALSE)</f>
        <v>-98.238611109999994</v>
      </c>
      <c r="F4778" s="3">
        <f>VLOOKUP(B4778,airports!A:H,7,FALSE)</f>
        <v>36.080361109999998</v>
      </c>
      <c r="G4778" s="3">
        <f>VLOOKUP(B4778,airports!A:H,8,FALSE)</f>
        <v>-115.1523333</v>
      </c>
      <c r="H4778">
        <f t="shared" si="148"/>
        <v>1945.8</v>
      </c>
      <c r="I4778">
        <f t="shared" si="149"/>
        <v>1209.0999999999999</v>
      </c>
    </row>
    <row r="4779" spans="1:9" ht="30" x14ac:dyDescent="0.25">
      <c r="A4779" s="5" t="s">
        <v>750</v>
      </c>
      <c r="B4779" s="5" t="s">
        <v>73</v>
      </c>
      <c r="C4779" s="5" t="s">
        <v>5256</v>
      </c>
      <c r="D4779" s="3">
        <f>VLOOKUP(A4779,airports!A:H,7,FALSE)</f>
        <v>26.17583333</v>
      </c>
      <c r="E4779" s="3">
        <f>VLOOKUP(A4779,airports!A:H,8,FALSE)</f>
        <v>-98.238611109999994</v>
      </c>
      <c r="F4779" s="3">
        <f>VLOOKUP(B4779,airports!A:H,7,FALSE)</f>
        <v>33.942536109999999</v>
      </c>
      <c r="G4779" s="3">
        <f>VLOOKUP(B4779,airports!A:H,8,FALSE)</f>
        <v>-118.4080744</v>
      </c>
      <c r="H4779">
        <f t="shared" si="148"/>
        <v>2119.5</v>
      </c>
      <c r="I4779">
        <f t="shared" si="149"/>
        <v>1317.1</v>
      </c>
    </row>
    <row r="4780" spans="1:9" ht="30" x14ac:dyDescent="0.25">
      <c r="A4780" s="5" t="s">
        <v>750</v>
      </c>
      <c r="B4780" s="5" t="s">
        <v>191</v>
      </c>
      <c r="C4780" s="5" t="s">
        <v>5257</v>
      </c>
      <c r="D4780" s="3">
        <f>VLOOKUP(A4780,airports!A:H,7,FALSE)</f>
        <v>26.17583333</v>
      </c>
      <c r="E4780" s="3">
        <f>VLOOKUP(A4780,airports!A:H,8,FALSE)</f>
        <v>-98.238611109999994</v>
      </c>
      <c r="F4780" s="3">
        <f>VLOOKUP(B4780,airports!A:H,7,FALSE)</f>
        <v>28.7776</v>
      </c>
      <c r="G4780" s="3">
        <f>VLOOKUP(B4780,airports!A:H,8,FALSE)</f>
        <v>-81.237499999999997</v>
      </c>
      <c r="H4780">
        <f t="shared" si="148"/>
        <v>1700.4</v>
      </c>
      <c r="I4780">
        <f t="shared" si="149"/>
        <v>1056.5999999999999</v>
      </c>
    </row>
    <row r="4781" spans="1:9" ht="30" x14ac:dyDescent="0.25">
      <c r="A4781" s="5" t="s">
        <v>875</v>
      </c>
      <c r="B4781" s="5" t="s">
        <v>247</v>
      </c>
      <c r="C4781" s="5" t="s">
        <v>5258</v>
      </c>
      <c r="D4781" s="3">
        <f>VLOOKUP(A4781,airports!A:H,7,FALSE)</f>
        <v>42.374227779999998</v>
      </c>
      <c r="E4781" s="3">
        <f>VLOOKUP(A4781,airports!A:H,8,FALSE)</f>
        <v>-122.8734978</v>
      </c>
      <c r="F4781" s="3">
        <f>VLOOKUP(B4781,airports!A:H,7,FALSE)</f>
        <v>40.978115279999997</v>
      </c>
      <c r="G4781" s="3">
        <f>VLOOKUP(B4781,airports!A:H,8,FALSE)</f>
        <v>-124.1086189</v>
      </c>
      <c r="H4781">
        <f t="shared" si="148"/>
        <v>186.1</v>
      </c>
      <c r="I4781">
        <f t="shared" si="149"/>
        <v>115.6</v>
      </c>
    </row>
    <row r="4782" spans="1:9" ht="30" x14ac:dyDescent="0.25">
      <c r="A4782" s="5" t="s">
        <v>875</v>
      </c>
      <c r="B4782" s="5" t="s">
        <v>329</v>
      </c>
      <c r="C4782" s="5" t="s">
        <v>5259</v>
      </c>
      <c r="D4782" s="3">
        <f>VLOOKUP(A4782,airports!A:H,7,FALSE)</f>
        <v>42.374227779999998</v>
      </c>
      <c r="E4782" s="3">
        <f>VLOOKUP(A4782,airports!A:H,8,FALSE)</f>
        <v>-122.8734978</v>
      </c>
      <c r="F4782" s="3">
        <f>VLOOKUP(B4782,airports!A:H,7,FALSE)</f>
        <v>33.308999999999997</v>
      </c>
      <c r="G4782" s="3">
        <f>VLOOKUP(B4782,airports!A:H,8,FALSE)</f>
        <v>-111.6559</v>
      </c>
      <c r="H4782">
        <f t="shared" si="148"/>
        <v>1407</v>
      </c>
      <c r="I4782">
        <f t="shared" si="149"/>
        <v>874.3</v>
      </c>
    </row>
    <row r="4783" spans="1:9" ht="30" x14ac:dyDescent="0.25">
      <c r="A4783" s="5" t="s">
        <v>875</v>
      </c>
      <c r="B4783" s="5" t="s">
        <v>47</v>
      </c>
      <c r="C4783" s="5" t="s">
        <v>5260</v>
      </c>
      <c r="D4783" s="3">
        <f>VLOOKUP(A4783,airports!A:H,7,FALSE)</f>
        <v>42.374227779999998</v>
      </c>
      <c r="E4783" s="3">
        <f>VLOOKUP(A4783,airports!A:H,8,FALSE)</f>
        <v>-122.8734978</v>
      </c>
      <c r="F4783" s="3">
        <f>VLOOKUP(B4783,airports!A:H,7,FALSE)</f>
        <v>39.858408060000002</v>
      </c>
      <c r="G4783" s="3">
        <f>VLOOKUP(B4783,airports!A:H,8,FALSE)</f>
        <v>-104.6670019</v>
      </c>
      <c r="H4783">
        <f t="shared" si="148"/>
        <v>1547.5</v>
      </c>
      <c r="I4783">
        <f t="shared" si="149"/>
        <v>961.6</v>
      </c>
    </row>
    <row r="4784" spans="1:9" ht="30" x14ac:dyDescent="0.25">
      <c r="A4784" s="5" t="s">
        <v>875</v>
      </c>
      <c r="B4784" s="5" t="s">
        <v>71</v>
      </c>
      <c r="C4784" s="5" t="s">
        <v>5261</v>
      </c>
      <c r="D4784" s="3">
        <f>VLOOKUP(A4784,airports!A:H,7,FALSE)</f>
        <v>42.374227779999998</v>
      </c>
      <c r="E4784" s="3">
        <f>VLOOKUP(A4784,airports!A:H,8,FALSE)</f>
        <v>-122.8734978</v>
      </c>
      <c r="F4784" s="3">
        <f>VLOOKUP(B4784,airports!A:H,7,FALSE)</f>
        <v>36.080361109999998</v>
      </c>
      <c r="G4784" s="3">
        <f>VLOOKUP(B4784,airports!A:H,8,FALSE)</f>
        <v>-115.1523333</v>
      </c>
      <c r="H4784">
        <f t="shared" si="148"/>
        <v>964.6</v>
      </c>
      <c r="I4784">
        <f t="shared" si="149"/>
        <v>599.4</v>
      </c>
    </row>
    <row r="4785" spans="1:9" ht="30" x14ac:dyDescent="0.25">
      <c r="A4785" s="5" t="s">
        <v>875</v>
      </c>
      <c r="B4785" s="5" t="s">
        <v>73</v>
      </c>
      <c r="C4785" s="5" t="s">
        <v>5262</v>
      </c>
      <c r="D4785" s="3">
        <f>VLOOKUP(A4785,airports!A:H,7,FALSE)</f>
        <v>42.374227779999998</v>
      </c>
      <c r="E4785" s="3">
        <f>VLOOKUP(A4785,airports!A:H,8,FALSE)</f>
        <v>-122.8734978</v>
      </c>
      <c r="F4785" s="3">
        <f>VLOOKUP(B4785,airports!A:H,7,FALSE)</f>
        <v>33.942536109999999</v>
      </c>
      <c r="G4785" s="3">
        <f>VLOOKUP(B4785,airports!A:H,8,FALSE)</f>
        <v>-118.4080744</v>
      </c>
      <c r="H4785">
        <f t="shared" si="148"/>
        <v>1015.2</v>
      </c>
      <c r="I4785">
        <f t="shared" si="149"/>
        <v>630.9</v>
      </c>
    </row>
    <row r="4786" spans="1:9" ht="30" x14ac:dyDescent="0.25">
      <c r="A4786" s="5" t="s">
        <v>875</v>
      </c>
      <c r="B4786" s="5" t="s">
        <v>100</v>
      </c>
      <c r="C4786" s="5" t="s">
        <v>5263</v>
      </c>
      <c r="D4786" s="3">
        <f>VLOOKUP(A4786,airports!A:H,7,FALSE)</f>
        <v>42.374227779999998</v>
      </c>
      <c r="E4786" s="3">
        <f>VLOOKUP(A4786,airports!A:H,8,FALSE)</f>
        <v>-122.8734978</v>
      </c>
      <c r="F4786" s="3">
        <f>VLOOKUP(B4786,airports!A:H,7,FALSE)</f>
        <v>45.588722220000001</v>
      </c>
      <c r="G4786" s="3">
        <f>VLOOKUP(B4786,airports!A:H,8,FALSE)</f>
        <v>-122.5975</v>
      </c>
      <c r="H4786">
        <f t="shared" si="148"/>
        <v>358.1</v>
      </c>
      <c r="I4786">
        <f t="shared" si="149"/>
        <v>222.5</v>
      </c>
    </row>
    <row r="4787" spans="1:9" ht="30" x14ac:dyDescent="0.25">
      <c r="A4787" s="5" t="s">
        <v>875</v>
      </c>
      <c r="B4787" s="5" t="s">
        <v>104</v>
      </c>
      <c r="C4787" s="5" t="s">
        <v>5264</v>
      </c>
      <c r="D4787" s="3">
        <f>VLOOKUP(A4787,airports!A:H,7,FALSE)</f>
        <v>42.374227779999998</v>
      </c>
      <c r="E4787" s="3">
        <f>VLOOKUP(A4787,airports!A:H,8,FALSE)</f>
        <v>-122.8734978</v>
      </c>
      <c r="F4787" s="3">
        <f>VLOOKUP(B4787,airports!A:H,7,FALSE)</f>
        <v>33.434166670000003</v>
      </c>
      <c r="G4787" s="3">
        <f>VLOOKUP(B4787,airports!A:H,8,FALSE)</f>
        <v>-112.00805560000001</v>
      </c>
      <c r="H4787">
        <f t="shared" si="148"/>
        <v>1375.1</v>
      </c>
      <c r="I4787">
        <f t="shared" si="149"/>
        <v>854.5</v>
      </c>
    </row>
    <row r="4788" spans="1:9" ht="30" x14ac:dyDescent="0.25">
      <c r="A4788" s="5" t="s">
        <v>875</v>
      </c>
      <c r="B4788" s="5" t="s">
        <v>124</v>
      </c>
      <c r="C4788" s="5" t="s">
        <v>5265</v>
      </c>
      <c r="D4788" s="3">
        <f>VLOOKUP(A4788,airports!A:H,7,FALSE)</f>
        <v>42.374227779999998</v>
      </c>
      <c r="E4788" s="3">
        <f>VLOOKUP(A4788,airports!A:H,8,FALSE)</f>
        <v>-122.8734978</v>
      </c>
      <c r="F4788" s="3">
        <f>VLOOKUP(B4788,airports!A:H,7,FALSE)</f>
        <v>32.733556110000002</v>
      </c>
      <c r="G4788" s="3">
        <f>VLOOKUP(B4788,airports!A:H,8,FALSE)</f>
        <v>-117.1896567</v>
      </c>
      <c r="H4788">
        <f t="shared" si="148"/>
        <v>1182.5999999999999</v>
      </c>
      <c r="I4788">
        <f t="shared" si="149"/>
        <v>734.9</v>
      </c>
    </row>
    <row r="4789" spans="1:9" ht="30" x14ac:dyDescent="0.25">
      <c r="A4789" s="5" t="s">
        <v>875</v>
      </c>
      <c r="B4789" s="5" t="s">
        <v>128</v>
      </c>
      <c r="C4789" s="5" t="s">
        <v>5266</v>
      </c>
      <c r="D4789" s="3">
        <f>VLOOKUP(A4789,airports!A:H,7,FALSE)</f>
        <v>42.374227779999998</v>
      </c>
      <c r="E4789" s="3">
        <f>VLOOKUP(A4789,airports!A:H,8,FALSE)</f>
        <v>-122.8734978</v>
      </c>
      <c r="F4789" s="3">
        <f>VLOOKUP(B4789,airports!A:H,7,FALSE)</f>
        <v>47.448981940000003</v>
      </c>
      <c r="G4789" s="3">
        <f>VLOOKUP(B4789,airports!A:H,8,FALSE)</f>
        <v>-122.3093131</v>
      </c>
      <c r="H4789">
        <f t="shared" si="148"/>
        <v>566</v>
      </c>
      <c r="I4789">
        <f t="shared" si="149"/>
        <v>351.7</v>
      </c>
    </row>
    <row r="4790" spans="1:9" ht="30" x14ac:dyDescent="0.25">
      <c r="A4790" s="5" t="s">
        <v>875</v>
      </c>
      <c r="B4790" s="5" t="s">
        <v>130</v>
      </c>
      <c r="C4790" s="5" t="s">
        <v>5267</v>
      </c>
      <c r="D4790" s="3">
        <f>VLOOKUP(A4790,airports!A:H,7,FALSE)</f>
        <v>42.374227779999998</v>
      </c>
      <c r="E4790" s="3">
        <f>VLOOKUP(A4790,airports!A:H,8,FALSE)</f>
        <v>-122.8734978</v>
      </c>
      <c r="F4790" s="3">
        <f>VLOOKUP(B4790,airports!A:H,7,FALSE)</f>
        <v>37.619001939999997</v>
      </c>
      <c r="G4790" s="3">
        <f>VLOOKUP(B4790,airports!A:H,8,FALSE)</f>
        <v>-122.37484329999999</v>
      </c>
      <c r="H4790">
        <f t="shared" si="148"/>
        <v>530.5</v>
      </c>
      <c r="I4790">
        <f t="shared" si="149"/>
        <v>329.6</v>
      </c>
    </row>
    <row r="4791" spans="1:9" ht="30" x14ac:dyDescent="0.25">
      <c r="A4791" s="5" t="s">
        <v>875</v>
      </c>
      <c r="B4791" s="5" t="s">
        <v>135</v>
      </c>
      <c r="C4791" s="5" t="s">
        <v>5268</v>
      </c>
      <c r="D4791" s="3">
        <f>VLOOKUP(A4791,airports!A:H,7,FALSE)</f>
        <v>42.374227779999998</v>
      </c>
      <c r="E4791" s="3">
        <f>VLOOKUP(A4791,airports!A:H,8,FALSE)</f>
        <v>-122.8734978</v>
      </c>
      <c r="F4791" s="3">
        <f>VLOOKUP(B4791,airports!A:H,7,FALSE)</f>
        <v>40.788387780000001</v>
      </c>
      <c r="G4791" s="3">
        <f>VLOOKUP(B4791,airports!A:H,8,FALSE)</f>
        <v>-111.97777309999999</v>
      </c>
      <c r="H4791">
        <f t="shared" si="148"/>
        <v>922.6</v>
      </c>
      <c r="I4791">
        <f t="shared" si="149"/>
        <v>573.29999999999995</v>
      </c>
    </row>
    <row r="4792" spans="1:9" ht="30" x14ac:dyDescent="0.25">
      <c r="A4792" s="5" t="s">
        <v>875</v>
      </c>
      <c r="B4792" s="5" t="s">
        <v>227</v>
      </c>
      <c r="C4792" s="5" t="s">
        <v>5269</v>
      </c>
      <c r="D4792" s="3">
        <f>VLOOKUP(A4792,airports!A:H,7,FALSE)</f>
        <v>42.374227779999998</v>
      </c>
      <c r="E4792" s="3">
        <f>VLOOKUP(A4792,airports!A:H,8,FALSE)</f>
        <v>-122.8734978</v>
      </c>
      <c r="F4792" s="3">
        <f>VLOOKUP(B4792,airports!A:H,7,FALSE)</f>
        <v>33.675658609999999</v>
      </c>
      <c r="G4792" s="3">
        <f>VLOOKUP(B4792,airports!A:H,8,FALSE)</f>
        <v>-117.8682225</v>
      </c>
      <c r="H4792">
        <f t="shared" si="148"/>
        <v>1061.4000000000001</v>
      </c>
      <c r="I4792">
        <f t="shared" si="149"/>
        <v>659.6</v>
      </c>
    </row>
    <row r="4793" spans="1:9" ht="30" x14ac:dyDescent="0.25">
      <c r="A4793" s="5" t="s">
        <v>565</v>
      </c>
      <c r="B4793" s="5" t="s">
        <v>10</v>
      </c>
      <c r="C4793" s="5" t="s">
        <v>5270</v>
      </c>
      <c r="D4793" s="3">
        <f>VLOOKUP(A4793,airports!A:H,7,FALSE)</f>
        <v>32.300644169999998</v>
      </c>
      <c r="E4793" s="3">
        <f>VLOOKUP(A4793,airports!A:H,8,FALSE)</f>
        <v>-86.393976109999997</v>
      </c>
      <c r="F4793" s="3">
        <f>VLOOKUP(B4793,airports!A:H,7,FALSE)</f>
        <v>33.640444440000003</v>
      </c>
      <c r="G4793" s="3">
        <f>VLOOKUP(B4793,airports!A:H,8,FALSE)</f>
        <v>-84.42694444</v>
      </c>
      <c r="H4793">
        <f t="shared" si="148"/>
        <v>236.4</v>
      </c>
      <c r="I4793">
        <f t="shared" si="149"/>
        <v>146.9</v>
      </c>
    </row>
    <row r="4794" spans="1:9" ht="30" x14ac:dyDescent="0.25">
      <c r="A4794" s="5" t="s">
        <v>565</v>
      </c>
      <c r="B4794" s="5" t="s">
        <v>40</v>
      </c>
      <c r="C4794" s="5" t="s">
        <v>5271</v>
      </c>
      <c r="D4794" s="3">
        <f>VLOOKUP(A4794,airports!A:H,7,FALSE)</f>
        <v>32.300644169999998</v>
      </c>
      <c r="E4794" s="3">
        <f>VLOOKUP(A4794,airports!A:H,8,FALSE)</f>
        <v>-86.393976109999997</v>
      </c>
      <c r="F4794" s="3">
        <f>VLOOKUP(B4794,airports!A:H,7,FALSE)</f>
        <v>35.214011110000001</v>
      </c>
      <c r="G4794" s="3">
        <f>VLOOKUP(B4794,airports!A:H,8,FALSE)</f>
        <v>-80.94312583</v>
      </c>
      <c r="H4794">
        <f t="shared" si="148"/>
        <v>598.9</v>
      </c>
      <c r="I4794">
        <f t="shared" si="149"/>
        <v>372.2</v>
      </c>
    </row>
    <row r="4795" spans="1:9" ht="30" x14ac:dyDescent="0.25">
      <c r="A4795" s="5" t="s">
        <v>565</v>
      </c>
      <c r="B4795" s="5" t="s">
        <v>45</v>
      </c>
      <c r="C4795" s="5" t="s">
        <v>5272</v>
      </c>
      <c r="D4795" s="3">
        <f>VLOOKUP(A4795,airports!A:H,7,FALSE)</f>
        <v>32.300644169999998</v>
      </c>
      <c r="E4795" s="3">
        <f>VLOOKUP(A4795,airports!A:H,8,FALSE)</f>
        <v>-86.393976109999997</v>
      </c>
      <c r="F4795" s="3">
        <f>VLOOKUP(B4795,airports!A:H,7,FALSE)</f>
        <v>38.852083329999999</v>
      </c>
      <c r="G4795" s="3">
        <f>VLOOKUP(B4795,airports!A:H,8,FALSE)</f>
        <v>-77.037722220000006</v>
      </c>
      <c r="H4795">
        <f t="shared" si="148"/>
        <v>1115.4000000000001</v>
      </c>
      <c r="I4795">
        <f t="shared" si="149"/>
        <v>693.1</v>
      </c>
    </row>
    <row r="4796" spans="1:9" ht="30" x14ac:dyDescent="0.25">
      <c r="A4796" s="5" t="s">
        <v>565</v>
      </c>
      <c r="B4796" s="5" t="s">
        <v>49</v>
      </c>
      <c r="C4796" s="5" t="s">
        <v>5273</v>
      </c>
      <c r="D4796" s="3">
        <f>VLOOKUP(A4796,airports!A:H,7,FALSE)</f>
        <v>32.300644169999998</v>
      </c>
      <c r="E4796" s="3">
        <f>VLOOKUP(A4796,airports!A:H,8,FALSE)</f>
        <v>-86.393976109999997</v>
      </c>
      <c r="F4796" s="3">
        <f>VLOOKUP(B4796,airports!A:H,7,FALSE)</f>
        <v>32.895950560000003</v>
      </c>
      <c r="G4796" s="3">
        <f>VLOOKUP(B4796,airports!A:H,8,FALSE)</f>
        <v>-97.037199999999999</v>
      </c>
      <c r="H4796">
        <f t="shared" si="148"/>
        <v>998.8</v>
      </c>
      <c r="I4796">
        <f t="shared" si="149"/>
        <v>620.70000000000005</v>
      </c>
    </row>
    <row r="4797" spans="1:9" ht="30" x14ac:dyDescent="0.25">
      <c r="A4797" s="5" t="s">
        <v>2661</v>
      </c>
      <c r="B4797" s="5" t="s">
        <v>49</v>
      </c>
      <c r="C4797" s="5" t="s">
        <v>5274</v>
      </c>
      <c r="D4797" s="3">
        <f>VLOOKUP(A4797,airports!A:H,7,FALSE)</f>
        <v>39.14096722</v>
      </c>
      <c r="E4797" s="3">
        <f>VLOOKUP(A4797,airports!A:H,8,FALSE)</f>
        <v>-96.670832779999998</v>
      </c>
      <c r="F4797" s="3">
        <f>VLOOKUP(B4797,airports!A:H,7,FALSE)</f>
        <v>32.895950560000003</v>
      </c>
      <c r="G4797" s="3">
        <f>VLOOKUP(B4797,airports!A:H,8,FALSE)</f>
        <v>-97.037199999999999</v>
      </c>
      <c r="H4797">
        <f t="shared" si="148"/>
        <v>695.2</v>
      </c>
      <c r="I4797">
        <f t="shared" si="149"/>
        <v>432</v>
      </c>
    </row>
    <row r="4798" spans="1:9" ht="30" x14ac:dyDescent="0.25">
      <c r="A4798" s="5" t="s">
        <v>2661</v>
      </c>
      <c r="B4798" s="5" t="s">
        <v>95</v>
      </c>
      <c r="C4798" s="5" t="s">
        <v>5275</v>
      </c>
      <c r="D4798" s="3">
        <f>VLOOKUP(A4798,airports!A:H,7,FALSE)</f>
        <v>39.14096722</v>
      </c>
      <c r="E4798" s="3">
        <f>VLOOKUP(A4798,airports!A:H,8,FALSE)</f>
        <v>-96.670832779999998</v>
      </c>
      <c r="F4798" s="3">
        <f>VLOOKUP(B4798,airports!A:H,7,FALSE)</f>
        <v>41.979595000000003</v>
      </c>
      <c r="G4798" s="3">
        <f>VLOOKUP(B4798,airports!A:H,8,FALSE)</f>
        <v>-87.904464169999997</v>
      </c>
      <c r="H4798">
        <f t="shared" si="148"/>
        <v>804.5</v>
      </c>
      <c r="I4798">
        <f t="shared" si="149"/>
        <v>499.9</v>
      </c>
    </row>
    <row r="4799" spans="1:9" ht="30" x14ac:dyDescent="0.25">
      <c r="A4799" s="5" t="s">
        <v>567</v>
      </c>
      <c r="B4799" s="5" t="s">
        <v>10</v>
      </c>
      <c r="C4799" s="5" t="s">
        <v>5276</v>
      </c>
      <c r="D4799" s="3">
        <f>VLOOKUP(A4799,airports!A:H,7,FALSE)</f>
        <v>42.934516389999999</v>
      </c>
      <c r="E4799" s="3">
        <f>VLOOKUP(A4799,airports!A:H,8,FALSE)</f>
        <v>-71.437055830000006</v>
      </c>
      <c r="F4799" s="3">
        <f>VLOOKUP(B4799,airports!A:H,7,FALSE)</f>
        <v>33.640444440000003</v>
      </c>
      <c r="G4799" s="3">
        <f>VLOOKUP(B4799,airports!A:H,8,FALSE)</f>
        <v>-84.42694444</v>
      </c>
      <c r="H4799">
        <f t="shared" si="148"/>
        <v>1530.7</v>
      </c>
      <c r="I4799">
        <f t="shared" si="149"/>
        <v>951.2</v>
      </c>
    </row>
    <row r="4800" spans="1:9" ht="30" x14ac:dyDescent="0.25">
      <c r="A4800" s="5" t="s">
        <v>567</v>
      </c>
      <c r="B4800" s="5" t="s">
        <v>32</v>
      </c>
      <c r="C4800" s="5" t="s">
        <v>5277</v>
      </c>
      <c r="D4800" s="3">
        <f>VLOOKUP(A4800,airports!A:H,7,FALSE)</f>
        <v>42.934516389999999</v>
      </c>
      <c r="E4800" s="3">
        <f>VLOOKUP(A4800,airports!A:H,8,FALSE)</f>
        <v>-71.437055830000006</v>
      </c>
      <c r="F4800" s="3">
        <f>VLOOKUP(B4800,airports!A:H,7,FALSE)</f>
        <v>39.175401669999999</v>
      </c>
      <c r="G4800" s="3">
        <f>VLOOKUP(B4800,airports!A:H,8,FALSE)</f>
        <v>-76.668198329999996</v>
      </c>
      <c r="H4800">
        <f t="shared" si="148"/>
        <v>605.70000000000005</v>
      </c>
      <c r="I4800">
        <f t="shared" si="149"/>
        <v>376.4</v>
      </c>
    </row>
    <row r="4801" spans="1:9" ht="30" x14ac:dyDescent="0.25">
      <c r="A4801" s="5" t="s">
        <v>567</v>
      </c>
      <c r="B4801" s="5" t="s">
        <v>40</v>
      </c>
      <c r="C4801" s="5" t="s">
        <v>5278</v>
      </c>
      <c r="D4801" s="3">
        <f>VLOOKUP(A4801,airports!A:H,7,FALSE)</f>
        <v>42.934516389999999</v>
      </c>
      <c r="E4801" s="3">
        <f>VLOOKUP(A4801,airports!A:H,8,FALSE)</f>
        <v>-71.437055830000006</v>
      </c>
      <c r="F4801" s="3">
        <f>VLOOKUP(B4801,airports!A:H,7,FALSE)</f>
        <v>35.214011110000001</v>
      </c>
      <c r="G4801" s="3">
        <f>VLOOKUP(B4801,airports!A:H,8,FALSE)</f>
        <v>-80.94312583</v>
      </c>
      <c r="H4801">
        <f t="shared" si="148"/>
        <v>1186.0999999999999</v>
      </c>
      <c r="I4801">
        <f t="shared" si="149"/>
        <v>737</v>
      </c>
    </row>
    <row r="4802" spans="1:9" ht="30" x14ac:dyDescent="0.25">
      <c r="A4802" s="5" t="s">
        <v>567</v>
      </c>
      <c r="B4802" s="5" t="s">
        <v>45</v>
      </c>
      <c r="C4802" s="5" t="s">
        <v>5279</v>
      </c>
      <c r="D4802" s="3">
        <f>VLOOKUP(A4802,airports!A:H,7,FALSE)</f>
        <v>42.934516389999999</v>
      </c>
      <c r="E4802" s="3">
        <f>VLOOKUP(A4802,airports!A:H,8,FALSE)</f>
        <v>-71.437055830000006</v>
      </c>
      <c r="F4802" s="3">
        <f>VLOOKUP(B4802,airports!A:H,7,FALSE)</f>
        <v>38.852083329999999</v>
      </c>
      <c r="G4802" s="3">
        <f>VLOOKUP(B4802,airports!A:H,8,FALSE)</f>
        <v>-77.037722220000006</v>
      </c>
      <c r="H4802">
        <f t="shared" si="148"/>
        <v>653.70000000000005</v>
      </c>
      <c r="I4802">
        <f t="shared" si="149"/>
        <v>406.2</v>
      </c>
    </row>
    <row r="4803" spans="1:9" ht="30" x14ac:dyDescent="0.25">
      <c r="A4803" s="5" t="s">
        <v>567</v>
      </c>
      <c r="B4803" s="5" t="s">
        <v>50</v>
      </c>
      <c r="C4803" s="5" t="s">
        <v>5280</v>
      </c>
      <c r="D4803" s="3">
        <f>VLOOKUP(A4803,airports!A:H,7,FALSE)</f>
        <v>42.934516389999999</v>
      </c>
      <c r="E4803" s="3">
        <f>VLOOKUP(A4803,airports!A:H,8,FALSE)</f>
        <v>-71.437055830000006</v>
      </c>
      <c r="F4803" s="3">
        <f>VLOOKUP(B4803,airports!A:H,7,FALSE)</f>
        <v>42.212058890000002</v>
      </c>
      <c r="G4803" s="3">
        <f>VLOOKUP(B4803,airports!A:H,8,FALSE)</f>
        <v>-83.348835829999999</v>
      </c>
      <c r="H4803">
        <f t="shared" si="148"/>
        <v>977.9</v>
      </c>
      <c r="I4803">
        <f t="shared" si="149"/>
        <v>607.70000000000005</v>
      </c>
    </row>
    <row r="4804" spans="1:9" ht="30" x14ac:dyDescent="0.25">
      <c r="A4804" s="5" t="s">
        <v>567</v>
      </c>
      <c r="B4804" s="5" t="s">
        <v>52</v>
      </c>
      <c r="C4804" s="5" t="s">
        <v>5281</v>
      </c>
      <c r="D4804" s="3">
        <f>VLOOKUP(A4804,airports!A:H,7,FALSE)</f>
        <v>42.934516389999999</v>
      </c>
      <c r="E4804" s="3">
        <f>VLOOKUP(A4804,airports!A:H,8,FALSE)</f>
        <v>-71.437055830000006</v>
      </c>
      <c r="F4804" s="3">
        <f>VLOOKUP(B4804,airports!A:H,7,FALSE)</f>
        <v>40.69249722</v>
      </c>
      <c r="G4804" s="3">
        <f>VLOOKUP(B4804,airports!A:H,8,FALSE)</f>
        <v>-74.168660560000006</v>
      </c>
      <c r="H4804">
        <f t="shared" ref="H4804:H4867" si="150">ROUND(ACOS(COS(RADIANS(90-D4804)) * COS(RADIANS(90-F4804)) + SIN(RADIANS(90-D4804)) * SIN(RADIANS(90-F4804)) * COS(RADIANS(E4804-G4804))) * 6371,1)</f>
        <v>336.7</v>
      </c>
      <c r="I4804">
        <f t="shared" ref="I4804:I4867" si="151">ROUND(ACOS(COS(RADIANS(90-D4804)) * COS(RADIANS(90-F4804)) + SIN(RADIANS(90-D4804)) * SIN(RADIANS(90-F4804)) * COS(RADIANS(E4804-G4804))) * 3959,1)</f>
        <v>209.2</v>
      </c>
    </row>
    <row r="4805" spans="1:9" ht="30" x14ac:dyDescent="0.25">
      <c r="A4805" s="5" t="s">
        <v>567</v>
      </c>
      <c r="B4805" s="5" t="s">
        <v>57</v>
      </c>
      <c r="C4805" s="5" t="s">
        <v>5282</v>
      </c>
      <c r="D4805" s="3">
        <f>VLOOKUP(A4805,airports!A:H,7,FALSE)</f>
        <v>42.934516389999999</v>
      </c>
      <c r="E4805" s="3">
        <f>VLOOKUP(A4805,airports!A:H,8,FALSE)</f>
        <v>-71.437055830000006</v>
      </c>
      <c r="F4805" s="3">
        <f>VLOOKUP(B4805,airports!A:H,7,FALSE)</f>
        <v>26.072583330000001</v>
      </c>
      <c r="G4805" s="3">
        <f>VLOOKUP(B4805,airports!A:H,8,FALSE)</f>
        <v>-80.152749999999997</v>
      </c>
      <c r="H4805">
        <f t="shared" si="150"/>
        <v>2035.1</v>
      </c>
      <c r="I4805">
        <f t="shared" si="151"/>
        <v>1264.5999999999999</v>
      </c>
    </row>
    <row r="4806" spans="1:9" ht="30" x14ac:dyDescent="0.25">
      <c r="A4806" s="5" t="s">
        <v>567</v>
      </c>
      <c r="B4806" s="5" t="s">
        <v>176</v>
      </c>
      <c r="C4806" s="5" t="s">
        <v>5283</v>
      </c>
      <c r="D4806" s="3">
        <f>VLOOKUP(A4806,airports!A:H,7,FALSE)</f>
        <v>42.934516389999999</v>
      </c>
      <c r="E4806" s="3">
        <f>VLOOKUP(A4806,airports!A:H,8,FALSE)</f>
        <v>-71.437055830000006</v>
      </c>
      <c r="F4806" s="3">
        <f>VLOOKUP(B4806,airports!A:H,7,FALSE)</f>
        <v>38.944531939999997</v>
      </c>
      <c r="G4806" s="3">
        <f>VLOOKUP(B4806,airports!A:H,8,FALSE)</f>
        <v>-77.455809720000005</v>
      </c>
      <c r="H4806">
        <f t="shared" si="150"/>
        <v>672.3</v>
      </c>
      <c r="I4806">
        <f t="shared" si="151"/>
        <v>417.8</v>
      </c>
    </row>
    <row r="4807" spans="1:9" ht="30" x14ac:dyDescent="0.25">
      <c r="A4807" s="5" t="s">
        <v>567</v>
      </c>
      <c r="B4807" s="5" t="s">
        <v>74</v>
      </c>
      <c r="C4807" s="5" t="s">
        <v>5284</v>
      </c>
      <c r="D4807" s="3">
        <f>VLOOKUP(A4807,airports!A:H,7,FALSE)</f>
        <v>42.934516389999999</v>
      </c>
      <c r="E4807" s="3">
        <f>VLOOKUP(A4807,airports!A:H,8,FALSE)</f>
        <v>-71.437055830000006</v>
      </c>
      <c r="F4807" s="3">
        <f>VLOOKUP(B4807,airports!A:H,7,FALSE)</f>
        <v>40.777243060000004</v>
      </c>
      <c r="G4807" s="3">
        <f>VLOOKUP(B4807,airports!A:H,8,FALSE)</f>
        <v>-73.872609170000004</v>
      </c>
      <c r="H4807">
        <f t="shared" si="150"/>
        <v>313.39999999999998</v>
      </c>
      <c r="I4807">
        <f t="shared" si="151"/>
        <v>194.7</v>
      </c>
    </row>
    <row r="4808" spans="1:9" ht="30" x14ac:dyDescent="0.25">
      <c r="A4808" s="5" t="s">
        <v>567</v>
      </c>
      <c r="B4808" s="5" t="s">
        <v>82</v>
      </c>
      <c r="C4808" s="5" t="s">
        <v>5285</v>
      </c>
      <c r="D4808" s="3">
        <f>VLOOKUP(A4808,airports!A:H,7,FALSE)</f>
        <v>42.934516389999999</v>
      </c>
      <c r="E4808" s="3">
        <f>VLOOKUP(A4808,airports!A:H,8,FALSE)</f>
        <v>-71.437055830000006</v>
      </c>
      <c r="F4808" s="3">
        <f>VLOOKUP(B4808,airports!A:H,7,FALSE)</f>
        <v>28.42888889</v>
      </c>
      <c r="G4808" s="3">
        <f>VLOOKUP(B4808,airports!A:H,8,FALSE)</f>
        <v>-81.316027779999999</v>
      </c>
      <c r="H4808">
        <f t="shared" si="150"/>
        <v>1840.2</v>
      </c>
      <c r="I4808">
        <f t="shared" si="151"/>
        <v>1143.5</v>
      </c>
    </row>
    <row r="4809" spans="1:9" ht="30" x14ac:dyDescent="0.25">
      <c r="A4809" s="5" t="s">
        <v>567</v>
      </c>
      <c r="B4809" s="5" t="s">
        <v>180</v>
      </c>
      <c r="C4809" s="5" t="s">
        <v>5286</v>
      </c>
      <c r="D4809" s="3">
        <f>VLOOKUP(A4809,airports!A:H,7,FALSE)</f>
        <v>42.934516389999999</v>
      </c>
      <c r="E4809" s="3">
        <f>VLOOKUP(A4809,airports!A:H,8,FALSE)</f>
        <v>-71.437055830000006</v>
      </c>
      <c r="F4809" s="3">
        <f>VLOOKUP(B4809,airports!A:H,7,FALSE)</f>
        <v>41.785982500000003</v>
      </c>
      <c r="G4809" s="3">
        <f>VLOOKUP(B4809,airports!A:H,8,FALSE)</f>
        <v>-87.752424439999999</v>
      </c>
      <c r="H4809">
        <f t="shared" si="150"/>
        <v>1344.5</v>
      </c>
      <c r="I4809">
        <f t="shared" si="151"/>
        <v>835.5</v>
      </c>
    </row>
    <row r="4810" spans="1:9" ht="30" x14ac:dyDescent="0.25">
      <c r="A4810" s="5" t="s">
        <v>567</v>
      </c>
      <c r="B4810" s="5" t="s">
        <v>182</v>
      </c>
      <c r="C4810" s="5" t="s">
        <v>5287</v>
      </c>
      <c r="D4810" s="3">
        <f>VLOOKUP(A4810,airports!A:H,7,FALSE)</f>
        <v>42.934516389999999</v>
      </c>
      <c r="E4810" s="3">
        <f>VLOOKUP(A4810,airports!A:H,8,FALSE)</f>
        <v>-71.437055830000006</v>
      </c>
      <c r="F4810" s="3">
        <f>VLOOKUP(B4810,airports!A:H,7,FALSE)</f>
        <v>33.679749999999999</v>
      </c>
      <c r="G4810" s="3">
        <f>VLOOKUP(B4810,airports!A:H,8,FALSE)</f>
        <v>-78.928333330000001</v>
      </c>
      <c r="H4810">
        <f t="shared" si="150"/>
        <v>1217.9000000000001</v>
      </c>
      <c r="I4810">
        <f t="shared" si="151"/>
        <v>756.8</v>
      </c>
    </row>
    <row r="4811" spans="1:9" ht="30" x14ac:dyDescent="0.25">
      <c r="A4811" s="5" t="s">
        <v>567</v>
      </c>
      <c r="B4811" s="5" t="s">
        <v>95</v>
      </c>
      <c r="C4811" s="5" t="s">
        <v>5288</v>
      </c>
      <c r="D4811" s="3">
        <f>VLOOKUP(A4811,airports!A:H,7,FALSE)</f>
        <v>42.934516389999999</v>
      </c>
      <c r="E4811" s="3">
        <f>VLOOKUP(A4811,airports!A:H,8,FALSE)</f>
        <v>-71.437055830000006</v>
      </c>
      <c r="F4811" s="3">
        <f>VLOOKUP(B4811,airports!A:H,7,FALSE)</f>
        <v>41.979595000000003</v>
      </c>
      <c r="G4811" s="3">
        <f>VLOOKUP(B4811,airports!A:H,8,FALSE)</f>
        <v>-87.904464169999997</v>
      </c>
      <c r="H4811">
        <f t="shared" si="150"/>
        <v>1352.9</v>
      </c>
      <c r="I4811">
        <f t="shared" si="151"/>
        <v>840.7</v>
      </c>
    </row>
    <row r="4812" spans="1:9" ht="30" x14ac:dyDescent="0.25">
      <c r="A4812" s="5" t="s">
        <v>567</v>
      </c>
      <c r="B4812" s="5" t="s">
        <v>102</v>
      </c>
      <c r="C4812" s="5" t="s">
        <v>5289</v>
      </c>
      <c r="D4812" s="3">
        <f>VLOOKUP(A4812,airports!A:H,7,FALSE)</f>
        <v>42.934516389999999</v>
      </c>
      <c r="E4812" s="3">
        <f>VLOOKUP(A4812,airports!A:H,8,FALSE)</f>
        <v>-71.437055830000006</v>
      </c>
      <c r="F4812" s="3">
        <f>VLOOKUP(B4812,airports!A:H,7,FALSE)</f>
        <v>39.871952780000001</v>
      </c>
      <c r="G4812" s="3">
        <f>VLOOKUP(B4812,airports!A:H,8,FALSE)</f>
        <v>-75.241140830000006</v>
      </c>
      <c r="H4812">
        <f t="shared" si="150"/>
        <v>465.3</v>
      </c>
      <c r="I4812">
        <f t="shared" si="151"/>
        <v>289.2</v>
      </c>
    </row>
    <row r="4813" spans="1:9" ht="30" x14ac:dyDescent="0.25">
      <c r="A4813" s="5" t="s">
        <v>567</v>
      </c>
      <c r="B4813" s="5" t="s">
        <v>123</v>
      </c>
      <c r="C4813" s="5" t="s">
        <v>5290</v>
      </c>
      <c r="D4813" s="3">
        <f>VLOOKUP(A4813,airports!A:H,7,FALSE)</f>
        <v>42.934516389999999</v>
      </c>
      <c r="E4813" s="3">
        <f>VLOOKUP(A4813,airports!A:H,8,FALSE)</f>
        <v>-71.437055830000006</v>
      </c>
      <c r="F4813" s="3">
        <f>VLOOKUP(B4813,airports!A:H,7,FALSE)</f>
        <v>26.53616667</v>
      </c>
      <c r="G4813" s="3">
        <f>VLOOKUP(B4813,airports!A:H,8,FALSE)</f>
        <v>-81.755166669999994</v>
      </c>
      <c r="H4813">
        <f t="shared" si="150"/>
        <v>2048.9</v>
      </c>
      <c r="I4813">
        <f t="shared" si="151"/>
        <v>1273.2</v>
      </c>
    </row>
    <row r="4814" spans="1:9" ht="30" x14ac:dyDescent="0.25">
      <c r="A4814" s="5" t="s">
        <v>567</v>
      </c>
      <c r="B4814" s="5" t="s">
        <v>145</v>
      </c>
      <c r="C4814" s="5" t="s">
        <v>5291</v>
      </c>
      <c r="D4814" s="3">
        <f>VLOOKUP(A4814,airports!A:H,7,FALSE)</f>
        <v>42.934516389999999</v>
      </c>
      <c r="E4814" s="3">
        <f>VLOOKUP(A4814,airports!A:H,8,FALSE)</f>
        <v>-71.437055830000006</v>
      </c>
      <c r="F4814" s="3">
        <f>VLOOKUP(B4814,airports!A:H,7,FALSE)</f>
        <v>27.97547222</v>
      </c>
      <c r="G4814" s="3">
        <f>VLOOKUP(B4814,airports!A:H,8,FALSE)</f>
        <v>-82.533249999999995</v>
      </c>
      <c r="H4814">
        <f t="shared" si="150"/>
        <v>1939.4</v>
      </c>
      <c r="I4814">
        <f t="shared" si="151"/>
        <v>1205.2</v>
      </c>
    </row>
    <row r="4815" spans="1:9" ht="30" x14ac:dyDescent="0.25">
      <c r="A4815" s="5" t="s">
        <v>84</v>
      </c>
      <c r="B4815" s="5" t="s">
        <v>252</v>
      </c>
      <c r="C4815" s="5" t="s">
        <v>5292</v>
      </c>
      <c r="D4815" s="3">
        <f>VLOOKUP(A4815,airports!A:H,7,FALSE)</f>
        <v>25.79325</v>
      </c>
      <c r="E4815" s="3">
        <f>VLOOKUP(A4815,airports!A:H,8,FALSE)</f>
        <v>-80.290555560000001</v>
      </c>
      <c r="F4815" s="3">
        <f>VLOOKUP(B4815,airports!A:H,7,FALSE)</f>
        <v>39.457583329999999</v>
      </c>
      <c r="G4815" s="3">
        <f>VLOOKUP(B4815,airports!A:H,8,FALSE)</f>
        <v>-74.577166669999997</v>
      </c>
      <c r="H4815">
        <f t="shared" si="150"/>
        <v>1609.9</v>
      </c>
      <c r="I4815">
        <f t="shared" si="151"/>
        <v>1000.4</v>
      </c>
    </row>
    <row r="4816" spans="1:9" ht="30" x14ac:dyDescent="0.25">
      <c r="A4816" s="5" t="s">
        <v>84</v>
      </c>
      <c r="B4816" s="5" t="s">
        <v>276</v>
      </c>
      <c r="C4816" s="5" t="s">
        <v>5293</v>
      </c>
      <c r="D4816" s="3">
        <f>VLOOKUP(A4816,airports!A:H,7,FALSE)</f>
        <v>25.79325</v>
      </c>
      <c r="E4816" s="3">
        <f>VLOOKUP(A4816,airports!A:H,8,FALSE)</f>
        <v>-80.290555560000001</v>
      </c>
      <c r="F4816" s="3">
        <f>VLOOKUP(B4816,airports!A:H,7,FALSE)</f>
        <v>33.369954999999997</v>
      </c>
      <c r="G4816" s="3">
        <f>VLOOKUP(B4816,airports!A:H,8,FALSE)</f>
        <v>-81.964496109999999</v>
      </c>
      <c r="H4816">
        <f t="shared" si="150"/>
        <v>857.9</v>
      </c>
      <c r="I4816">
        <f t="shared" si="151"/>
        <v>533.1</v>
      </c>
    </row>
    <row r="4817" spans="1:9" ht="30" x14ac:dyDescent="0.25">
      <c r="A4817" s="5" t="s">
        <v>84</v>
      </c>
      <c r="B4817" s="5" t="s">
        <v>7</v>
      </c>
      <c r="C4817" s="5" t="s">
        <v>5294</v>
      </c>
      <c r="D4817" s="3">
        <f>VLOOKUP(A4817,airports!A:H,7,FALSE)</f>
        <v>25.79325</v>
      </c>
      <c r="E4817" s="3">
        <f>VLOOKUP(A4817,airports!A:H,8,FALSE)</f>
        <v>-80.290555560000001</v>
      </c>
      <c r="F4817" s="3">
        <f>VLOOKUP(B4817,airports!A:H,7,FALSE)</f>
        <v>42.748119440000004</v>
      </c>
      <c r="G4817" s="3">
        <f>VLOOKUP(B4817,airports!A:H,8,FALSE)</f>
        <v>-73.802978609999997</v>
      </c>
      <c r="H4817">
        <f t="shared" si="150"/>
        <v>1975.7</v>
      </c>
      <c r="I4817">
        <f t="shared" si="151"/>
        <v>1227.7</v>
      </c>
    </row>
    <row r="4818" spans="1:9" ht="30" x14ac:dyDescent="0.25">
      <c r="A4818" s="5" t="s">
        <v>84</v>
      </c>
      <c r="B4818" s="5" t="s">
        <v>10</v>
      </c>
      <c r="C4818" s="5" t="s">
        <v>5295</v>
      </c>
      <c r="D4818" s="3">
        <f>VLOOKUP(A4818,airports!A:H,7,FALSE)</f>
        <v>25.79325</v>
      </c>
      <c r="E4818" s="3">
        <f>VLOOKUP(A4818,airports!A:H,8,FALSE)</f>
        <v>-80.290555560000001</v>
      </c>
      <c r="F4818" s="3">
        <f>VLOOKUP(B4818,airports!A:H,7,FALSE)</f>
        <v>33.640444440000003</v>
      </c>
      <c r="G4818" s="3">
        <f>VLOOKUP(B4818,airports!A:H,8,FALSE)</f>
        <v>-84.42694444</v>
      </c>
      <c r="H4818">
        <f t="shared" si="150"/>
        <v>959.4</v>
      </c>
      <c r="I4818">
        <f t="shared" si="151"/>
        <v>596.20000000000005</v>
      </c>
    </row>
    <row r="4819" spans="1:9" ht="30" x14ac:dyDescent="0.25">
      <c r="A4819" s="5" t="s">
        <v>84</v>
      </c>
      <c r="B4819" s="5" t="s">
        <v>13</v>
      </c>
      <c r="C4819" s="5" t="s">
        <v>5296</v>
      </c>
      <c r="D4819" s="3">
        <f>VLOOKUP(A4819,airports!A:H,7,FALSE)</f>
        <v>25.79325</v>
      </c>
      <c r="E4819" s="3">
        <f>VLOOKUP(A4819,airports!A:H,8,FALSE)</f>
        <v>-80.290555560000001</v>
      </c>
      <c r="F4819" s="3">
        <f>VLOOKUP(B4819,airports!A:H,7,FALSE)</f>
        <v>30.194532779999999</v>
      </c>
      <c r="G4819" s="3">
        <f>VLOOKUP(B4819,airports!A:H,8,FALSE)</f>
        <v>-97.669871939999993</v>
      </c>
      <c r="H4819">
        <f t="shared" si="150"/>
        <v>1773</v>
      </c>
      <c r="I4819">
        <f t="shared" si="151"/>
        <v>1101.8</v>
      </c>
    </row>
    <row r="4820" spans="1:9" ht="30" x14ac:dyDescent="0.25">
      <c r="A4820" s="5" t="s">
        <v>84</v>
      </c>
      <c r="B4820" s="5" t="s">
        <v>419</v>
      </c>
      <c r="C4820" s="5" t="s">
        <v>5297</v>
      </c>
      <c r="D4820" s="3">
        <f>VLOOKUP(A4820,airports!A:H,7,FALSE)</f>
        <v>25.79325</v>
      </c>
      <c r="E4820" s="3">
        <f>VLOOKUP(A4820,airports!A:H,8,FALSE)</f>
        <v>-80.290555560000001</v>
      </c>
      <c r="F4820" s="3">
        <f>VLOOKUP(B4820,airports!A:H,7,FALSE)</f>
        <v>35.436194440000001</v>
      </c>
      <c r="G4820" s="3">
        <f>VLOOKUP(B4820,airports!A:H,8,FALSE)</f>
        <v>-82.54180556</v>
      </c>
      <c r="H4820">
        <f t="shared" si="150"/>
        <v>1093.5999999999999</v>
      </c>
      <c r="I4820">
        <f t="shared" si="151"/>
        <v>679.6</v>
      </c>
    </row>
    <row r="4821" spans="1:9" ht="30" x14ac:dyDescent="0.25">
      <c r="A4821" s="5" t="s">
        <v>84</v>
      </c>
      <c r="B4821" s="5" t="s">
        <v>16</v>
      </c>
      <c r="C4821" s="5" t="s">
        <v>5298</v>
      </c>
      <c r="D4821" s="3">
        <f>VLOOKUP(A4821,airports!A:H,7,FALSE)</f>
        <v>25.79325</v>
      </c>
      <c r="E4821" s="3">
        <f>VLOOKUP(A4821,airports!A:H,8,FALSE)</f>
        <v>-80.290555560000001</v>
      </c>
      <c r="F4821" s="3">
        <f>VLOOKUP(B4821,airports!A:H,7,FALSE)</f>
        <v>41.938874169999998</v>
      </c>
      <c r="G4821" s="3">
        <f>VLOOKUP(B4821,airports!A:H,8,FALSE)</f>
        <v>-72.683228330000006</v>
      </c>
      <c r="H4821">
        <f t="shared" si="150"/>
        <v>1925.8</v>
      </c>
      <c r="I4821">
        <f t="shared" si="151"/>
        <v>1196.7</v>
      </c>
    </row>
    <row r="4822" spans="1:9" ht="30" x14ac:dyDescent="0.25">
      <c r="A4822" s="5" t="s">
        <v>84</v>
      </c>
      <c r="B4822" s="5" t="s">
        <v>233</v>
      </c>
      <c r="C4822" s="5" t="s">
        <v>5299</v>
      </c>
      <c r="D4822" s="3">
        <f>VLOOKUP(A4822,airports!A:H,7,FALSE)</f>
        <v>25.79325</v>
      </c>
      <c r="E4822" s="3">
        <f>VLOOKUP(A4822,airports!A:H,8,FALSE)</f>
        <v>-80.290555560000001</v>
      </c>
      <c r="F4822" s="3">
        <f>VLOOKUP(B4822,airports!A:H,7,FALSE)</f>
        <v>44.807444439999998</v>
      </c>
      <c r="G4822" s="3">
        <f>VLOOKUP(B4822,airports!A:H,8,FALSE)</f>
        <v>-68.828138890000005</v>
      </c>
      <c r="H4822">
        <f t="shared" si="150"/>
        <v>2350.6999999999998</v>
      </c>
      <c r="I4822">
        <f t="shared" si="151"/>
        <v>1460.8</v>
      </c>
    </row>
    <row r="4823" spans="1:9" ht="30" x14ac:dyDescent="0.25">
      <c r="A4823" s="5" t="s">
        <v>84</v>
      </c>
      <c r="B4823" s="5" t="s">
        <v>425</v>
      </c>
      <c r="C4823" s="5" t="s">
        <v>5300</v>
      </c>
      <c r="D4823" s="3">
        <f>VLOOKUP(A4823,airports!A:H,7,FALSE)</f>
        <v>25.79325</v>
      </c>
      <c r="E4823" s="3">
        <f>VLOOKUP(A4823,airports!A:H,8,FALSE)</f>
        <v>-80.290555560000001</v>
      </c>
      <c r="F4823" s="3">
        <f>VLOOKUP(B4823,airports!A:H,7,FALSE)</f>
        <v>33.562943060000002</v>
      </c>
      <c r="G4823" s="3">
        <f>VLOOKUP(B4823,airports!A:H,8,FALSE)</f>
        <v>-86.753549719999995</v>
      </c>
      <c r="H4823">
        <f t="shared" si="150"/>
        <v>1065.4000000000001</v>
      </c>
      <c r="I4823">
        <f t="shared" si="151"/>
        <v>662</v>
      </c>
    </row>
    <row r="4824" spans="1:9" ht="30" x14ac:dyDescent="0.25">
      <c r="A4824" s="5" t="s">
        <v>84</v>
      </c>
      <c r="B4824" s="5" t="s">
        <v>19</v>
      </c>
      <c r="C4824" s="5" t="s">
        <v>5301</v>
      </c>
      <c r="D4824" s="3">
        <f>VLOOKUP(A4824,airports!A:H,7,FALSE)</f>
        <v>25.79325</v>
      </c>
      <c r="E4824" s="3">
        <f>VLOOKUP(A4824,airports!A:H,8,FALSE)</f>
        <v>-80.290555560000001</v>
      </c>
      <c r="F4824" s="3">
        <f>VLOOKUP(B4824,airports!A:H,7,FALSE)</f>
        <v>36.12447667</v>
      </c>
      <c r="G4824" s="3">
        <f>VLOOKUP(B4824,airports!A:H,8,FALSE)</f>
        <v>-86.678182219999997</v>
      </c>
      <c r="H4824">
        <f t="shared" si="150"/>
        <v>1299.4000000000001</v>
      </c>
      <c r="I4824">
        <f t="shared" si="151"/>
        <v>807.5</v>
      </c>
    </row>
    <row r="4825" spans="1:9" ht="30" x14ac:dyDescent="0.25">
      <c r="A4825" s="5" t="s">
        <v>84</v>
      </c>
      <c r="B4825" s="5" t="s">
        <v>24</v>
      </c>
      <c r="C4825" s="5" t="s">
        <v>5302</v>
      </c>
      <c r="D4825" s="3">
        <f>VLOOKUP(A4825,airports!A:H,7,FALSE)</f>
        <v>25.79325</v>
      </c>
      <c r="E4825" s="3">
        <f>VLOOKUP(A4825,airports!A:H,8,FALSE)</f>
        <v>-80.290555560000001</v>
      </c>
      <c r="F4825" s="3">
        <f>VLOOKUP(B4825,airports!A:H,7,FALSE)</f>
        <v>42.364347500000001</v>
      </c>
      <c r="G4825" s="3">
        <f>VLOOKUP(B4825,airports!A:H,8,FALSE)</f>
        <v>-71.005179170000005</v>
      </c>
      <c r="H4825">
        <f t="shared" si="150"/>
        <v>2028.3</v>
      </c>
      <c r="I4825">
        <f t="shared" si="151"/>
        <v>1260.4000000000001</v>
      </c>
    </row>
    <row r="4826" spans="1:9" ht="30" x14ac:dyDescent="0.25">
      <c r="A4826" s="5" t="s">
        <v>84</v>
      </c>
      <c r="B4826" s="5" t="s">
        <v>27</v>
      </c>
      <c r="C4826" s="5" t="s">
        <v>5303</v>
      </c>
      <c r="D4826" s="3">
        <f>VLOOKUP(A4826,airports!A:H,7,FALSE)</f>
        <v>25.79325</v>
      </c>
      <c r="E4826" s="3">
        <f>VLOOKUP(A4826,airports!A:H,8,FALSE)</f>
        <v>-80.290555560000001</v>
      </c>
      <c r="F4826" s="3">
        <f>VLOOKUP(B4826,airports!A:H,7,FALSE)</f>
        <v>44.473003609999999</v>
      </c>
      <c r="G4826" s="3">
        <f>VLOOKUP(B4826,airports!A:H,8,FALSE)</f>
        <v>-73.150312499999998</v>
      </c>
      <c r="H4826">
        <f t="shared" si="150"/>
        <v>2174</v>
      </c>
      <c r="I4826">
        <f t="shared" si="151"/>
        <v>1351</v>
      </c>
    </row>
    <row r="4827" spans="1:9" ht="30" x14ac:dyDescent="0.25">
      <c r="A4827" s="5" t="s">
        <v>84</v>
      </c>
      <c r="B4827" s="5" t="s">
        <v>29</v>
      </c>
      <c r="C4827" s="5" t="s">
        <v>5304</v>
      </c>
      <c r="D4827" s="3">
        <f>VLOOKUP(A4827,airports!A:H,7,FALSE)</f>
        <v>25.79325</v>
      </c>
      <c r="E4827" s="3">
        <f>VLOOKUP(A4827,airports!A:H,8,FALSE)</f>
        <v>-80.290555560000001</v>
      </c>
      <c r="F4827" s="3">
        <f>VLOOKUP(B4827,airports!A:H,7,FALSE)</f>
        <v>42.940524719999999</v>
      </c>
      <c r="G4827" s="3">
        <f>VLOOKUP(B4827,airports!A:H,8,FALSE)</f>
        <v>-78.732166669999998</v>
      </c>
      <c r="H4827">
        <f t="shared" si="150"/>
        <v>1912</v>
      </c>
      <c r="I4827">
        <f t="shared" si="151"/>
        <v>1188.0999999999999</v>
      </c>
    </row>
    <row r="4828" spans="1:9" ht="30" x14ac:dyDescent="0.25">
      <c r="A4828" s="5" t="s">
        <v>84</v>
      </c>
      <c r="B4828" s="5" t="s">
        <v>32</v>
      </c>
      <c r="C4828" s="5" t="s">
        <v>5305</v>
      </c>
      <c r="D4828" s="3">
        <f>VLOOKUP(A4828,airports!A:H,7,FALSE)</f>
        <v>25.79325</v>
      </c>
      <c r="E4828" s="3">
        <f>VLOOKUP(A4828,airports!A:H,8,FALSE)</f>
        <v>-80.290555560000001</v>
      </c>
      <c r="F4828" s="3">
        <f>VLOOKUP(B4828,airports!A:H,7,FALSE)</f>
        <v>39.175401669999999</v>
      </c>
      <c r="G4828" s="3">
        <f>VLOOKUP(B4828,airports!A:H,8,FALSE)</f>
        <v>-76.668198329999996</v>
      </c>
      <c r="H4828">
        <f t="shared" si="150"/>
        <v>1525.9</v>
      </c>
      <c r="I4828">
        <f t="shared" si="151"/>
        <v>948.2</v>
      </c>
    </row>
    <row r="4829" spans="1:9" ht="30" x14ac:dyDescent="0.25">
      <c r="A4829" s="5" t="s">
        <v>84</v>
      </c>
      <c r="B4829" s="5" t="s">
        <v>441</v>
      </c>
      <c r="C4829" s="5" t="s">
        <v>5306</v>
      </c>
      <c r="D4829" s="3">
        <f>VLOOKUP(A4829,airports!A:H,7,FALSE)</f>
        <v>25.79325</v>
      </c>
      <c r="E4829" s="3">
        <f>VLOOKUP(A4829,airports!A:H,8,FALSE)</f>
        <v>-80.290555560000001</v>
      </c>
      <c r="F4829" s="3">
        <f>VLOOKUP(B4829,airports!A:H,7,FALSE)</f>
        <v>33.938839999999999</v>
      </c>
      <c r="G4829" s="3">
        <f>VLOOKUP(B4829,airports!A:H,8,FALSE)</f>
        <v>-81.119539439999997</v>
      </c>
      <c r="H4829">
        <f t="shared" si="150"/>
        <v>909.3</v>
      </c>
      <c r="I4829">
        <f t="shared" si="151"/>
        <v>565</v>
      </c>
    </row>
    <row r="4830" spans="1:9" ht="30" x14ac:dyDescent="0.25">
      <c r="A4830" s="5" t="s">
        <v>84</v>
      </c>
      <c r="B4830" s="5" t="s">
        <v>445</v>
      </c>
      <c r="C4830" s="5" t="s">
        <v>5307</v>
      </c>
      <c r="D4830" s="3">
        <f>VLOOKUP(A4830,airports!A:H,7,FALSE)</f>
        <v>25.79325</v>
      </c>
      <c r="E4830" s="3">
        <f>VLOOKUP(A4830,airports!A:H,8,FALSE)</f>
        <v>-80.290555560000001</v>
      </c>
      <c r="F4830" s="3">
        <f>VLOOKUP(B4830,airports!A:H,7,FALSE)</f>
        <v>35.035268330000001</v>
      </c>
      <c r="G4830" s="3">
        <f>VLOOKUP(B4830,airports!A:H,8,FALSE)</f>
        <v>-85.203787779999999</v>
      </c>
      <c r="H4830">
        <f t="shared" si="150"/>
        <v>1130.0999999999999</v>
      </c>
      <c r="I4830">
        <f t="shared" si="151"/>
        <v>702.2</v>
      </c>
    </row>
    <row r="4831" spans="1:9" ht="30" x14ac:dyDescent="0.25">
      <c r="A4831" s="5" t="s">
        <v>84</v>
      </c>
      <c r="B4831" s="5" t="s">
        <v>36</v>
      </c>
      <c r="C4831" s="5" t="s">
        <v>5308</v>
      </c>
      <c r="D4831" s="3">
        <f>VLOOKUP(A4831,airports!A:H,7,FALSE)</f>
        <v>25.79325</v>
      </c>
      <c r="E4831" s="3">
        <f>VLOOKUP(A4831,airports!A:H,8,FALSE)</f>
        <v>-80.290555560000001</v>
      </c>
      <c r="F4831" s="3">
        <f>VLOOKUP(B4831,airports!A:H,7,FALSE)</f>
        <v>32.898646390000003</v>
      </c>
      <c r="G4831" s="3">
        <f>VLOOKUP(B4831,airports!A:H,8,FALSE)</f>
        <v>-80.040505830000001</v>
      </c>
      <c r="H4831">
        <f t="shared" si="150"/>
        <v>790.5</v>
      </c>
      <c r="I4831">
        <f t="shared" si="151"/>
        <v>491.2</v>
      </c>
    </row>
    <row r="4832" spans="1:9" x14ac:dyDescent="0.25">
      <c r="A4832" s="5" t="s">
        <v>84</v>
      </c>
      <c r="B4832" s="5" t="s">
        <v>38</v>
      </c>
      <c r="C4832" s="5" t="s">
        <v>5309</v>
      </c>
      <c r="D4832" s="3">
        <f>VLOOKUP(A4832,airports!A:H,7,FALSE)</f>
        <v>25.79325</v>
      </c>
      <c r="E4832" s="3">
        <f>VLOOKUP(A4832,airports!A:H,8,FALSE)</f>
        <v>-80.290555560000001</v>
      </c>
      <c r="F4832" s="3">
        <f>VLOOKUP(B4832,airports!A:H,7,FALSE)</f>
        <v>41.410894169999999</v>
      </c>
      <c r="G4832" s="3">
        <f>VLOOKUP(B4832,airports!A:H,8,FALSE)</f>
        <v>-81.849396670000004</v>
      </c>
      <c r="H4832">
        <f t="shared" si="150"/>
        <v>1742.5</v>
      </c>
      <c r="I4832">
        <f t="shared" si="151"/>
        <v>1082.8</v>
      </c>
    </row>
    <row r="4833" spans="1:9" x14ac:dyDescent="0.25">
      <c r="A4833" s="5" t="s">
        <v>84</v>
      </c>
      <c r="B4833" s="5" t="s">
        <v>40</v>
      </c>
      <c r="C4833" s="5" t="s">
        <v>5310</v>
      </c>
      <c r="D4833" s="3">
        <f>VLOOKUP(A4833,airports!A:H,7,FALSE)</f>
        <v>25.79325</v>
      </c>
      <c r="E4833" s="3">
        <f>VLOOKUP(A4833,airports!A:H,8,FALSE)</f>
        <v>-80.290555560000001</v>
      </c>
      <c r="F4833" s="3">
        <f>VLOOKUP(B4833,airports!A:H,7,FALSE)</f>
        <v>35.214011110000001</v>
      </c>
      <c r="G4833" s="3">
        <f>VLOOKUP(B4833,airports!A:H,8,FALSE)</f>
        <v>-80.94312583</v>
      </c>
      <c r="H4833">
        <f t="shared" si="150"/>
        <v>1049.4000000000001</v>
      </c>
      <c r="I4833">
        <f t="shared" si="151"/>
        <v>652.1</v>
      </c>
    </row>
    <row r="4834" spans="1:9" ht="30" x14ac:dyDescent="0.25">
      <c r="A4834" s="5" t="s">
        <v>84</v>
      </c>
      <c r="B4834" s="5" t="s">
        <v>454</v>
      </c>
      <c r="C4834" s="5" t="s">
        <v>5311</v>
      </c>
      <c r="D4834" s="3">
        <f>VLOOKUP(A4834,airports!A:H,7,FALSE)</f>
        <v>25.79325</v>
      </c>
      <c r="E4834" s="3">
        <f>VLOOKUP(A4834,airports!A:H,8,FALSE)</f>
        <v>-80.290555560000001</v>
      </c>
      <c r="F4834" s="3">
        <f>VLOOKUP(B4834,airports!A:H,7,FALSE)</f>
        <v>39.997985280000002</v>
      </c>
      <c r="G4834" s="3">
        <f>VLOOKUP(B4834,airports!A:H,8,FALSE)</f>
        <v>-82.891882780000003</v>
      </c>
      <c r="H4834">
        <f t="shared" si="150"/>
        <v>1597.8</v>
      </c>
      <c r="I4834">
        <f t="shared" si="151"/>
        <v>992.9</v>
      </c>
    </row>
    <row r="4835" spans="1:9" ht="30" x14ac:dyDescent="0.25">
      <c r="A4835" s="5" t="s">
        <v>84</v>
      </c>
      <c r="B4835" s="5" t="s">
        <v>462</v>
      </c>
      <c r="C4835" s="5" t="s">
        <v>5312</v>
      </c>
      <c r="D4835" s="3">
        <f>VLOOKUP(A4835,airports!A:H,7,FALSE)</f>
        <v>25.79325</v>
      </c>
      <c r="E4835" s="3">
        <f>VLOOKUP(A4835,airports!A:H,8,FALSE)</f>
        <v>-80.290555560000001</v>
      </c>
      <c r="F4835" s="3">
        <f>VLOOKUP(B4835,airports!A:H,7,FALSE)</f>
        <v>39.046142779999997</v>
      </c>
      <c r="G4835" s="3">
        <f>VLOOKUP(B4835,airports!A:H,8,FALSE)</f>
        <v>-84.662172499999997</v>
      </c>
      <c r="H4835">
        <f t="shared" si="150"/>
        <v>1529.2</v>
      </c>
      <c r="I4835">
        <f t="shared" si="151"/>
        <v>950.2</v>
      </c>
    </row>
    <row r="4836" spans="1:9" ht="30" x14ac:dyDescent="0.25">
      <c r="A4836" s="5" t="s">
        <v>84</v>
      </c>
      <c r="B4836" s="5" t="s">
        <v>201</v>
      </c>
      <c r="C4836" s="5" t="s">
        <v>5313</v>
      </c>
      <c r="D4836" s="3">
        <f>VLOOKUP(A4836,airports!A:H,7,FALSE)</f>
        <v>25.79325</v>
      </c>
      <c r="E4836" s="3">
        <f>VLOOKUP(A4836,airports!A:H,8,FALSE)</f>
        <v>-80.290555560000001</v>
      </c>
      <c r="F4836" s="3">
        <f>VLOOKUP(B4836,airports!A:H,7,FALSE)</f>
        <v>32.847113890000003</v>
      </c>
      <c r="G4836" s="3">
        <f>VLOOKUP(B4836,airports!A:H,8,FALSE)</f>
        <v>-96.851772220000001</v>
      </c>
      <c r="H4836">
        <f t="shared" si="150"/>
        <v>1784</v>
      </c>
      <c r="I4836">
        <f t="shared" si="151"/>
        <v>1108.5999999999999</v>
      </c>
    </row>
    <row r="4837" spans="1:9" ht="30" x14ac:dyDescent="0.25">
      <c r="A4837" s="5" t="s">
        <v>84</v>
      </c>
      <c r="B4837" s="5" t="s">
        <v>467</v>
      </c>
      <c r="C4837" s="5" t="s">
        <v>5314</v>
      </c>
      <c r="D4837" s="3">
        <f>VLOOKUP(A4837,airports!A:H,7,FALSE)</f>
        <v>25.79325</v>
      </c>
      <c r="E4837" s="3">
        <f>VLOOKUP(A4837,airports!A:H,8,FALSE)</f>
        <v>-80.290555560000001</v>
      </c>
      <c r="F4837" s="3">
        <f>VLOOKUP(B4837,airports!A:H,7,FALSE)</f>
        <v>39.902375829999997</v>
      </c>
      <c r="G4837" s="3">
        <f>VLOOKUP(B4837,airports!A:H,8,FALSE)</f>
        <v>-84.219374999999999</v>
      </c>
      <c r="H4837">
        <f t="shared" si="150"/>
        <v>1610.7</v>
      </c>
      <c r="I4837">
        <f t="shared" si="151"/>
        <v>1000.9</v>
      </c>
    </row>
    <row r="4838" spans="1:9" ht="30" x14ac:dyDescent="0.25">
      <c r="A4838" s="5" t="s">
        <v>84</v>
      </c>
      <c r="B4838" s="5" t="s">
        <v>45</v>
      </c>
      <c r="C4838" s="5" t="s">
        <v>5315</v>
      </c>
      <c r="D4838" s="3">
        <f>VLOOKUP(A4838,airports!A:H,7,FALSE)</f>
        <v>25.79325</v>
      </c>
      <c r="E4838" s="3">
        <f>VLOOKUP(A4838,airports!A:H,8,FALSE)</f>
        <v>-80.290555560000001</v>
      </c>
      <c r="F4838" s="3">
        <f>VLOOKUP(B4838,airports!A:H,7,FALSE)</f>
        <v>38.852083329999999</v>
      </c>
      <c r="G4838" s="3">
        <f>VLOOKUP(B4838,airports!A:H,8,FALSE)</f>
        <v>-77.037722220000006</v>
      </c>
      <c r="H4838">
        <f t="shared" si="150"/>
        <v>1483.6</v>
      </c>
      <c r="I4838">
        <f t="shared" si="151"/>
        <v>921.9</v>
      </c>
    </row>
    <row r="4839" spans="1:9" ht="30" x14ac:dyDescent="0.25">
      <c r="A4839" s="5" t="s">
        <v>84</v>
      </c>
      <c r="B4839" s="5" t="s">
        <v>47</v>
      </c>
      <c r="C4839" s="5" t="s">
        <v>5316</v>
      </c>
      <c r="D4839" s="3">
        <f>VLOOKUP(A4839,airports!A:H,7,FALSE)</f>
        <v>25.79325</v>
      </c>
      <c r="E4839" s="3">
        <f>VLOOKUP(A4839,airports!A:H,8,FALSE)</f>
        <v>-80.290555560000001</v>
      </c>
      <c r="F4839" s="3">
        <f>VLOOKUP(B4839,airports!A:H,7,FALSE)</f>
        <v>39.858408060000002</v>
      </c>
      <c r="G4839" s="3">
        <f>VLOOKUP(B4839,airports!A:H,8,FALSE)</f>
        <v>-104.6670019</v>
      </c>
      <c r="H4839">
        <f t="shared" si="150"/>
        <v>2748.1</v>
      </c>
      <c r="I4839">
        <f t="shared" si="151"/>
        <v>1707.7</v>
      </c>
    </row>
    <row r="4840" spans="1:9" ht="30" x14ac:dyDescent="0.25">
      <c r="A4840" s="5" t="s">
        <v>84</v>
      </c>
      <c r="B4840" s="5" t="s">
        <v>49</v>
      </c>
      <c r="C4840" s="5" t="s">
        <v>5317</v>
      </c>
      <c r="D4840" s="3">
        <f>VLOOKUP(A4840,airports!A:H,7,FALSE)</f>
        <v>25.79325</v>
      </c>
      <c r="E4840" s="3">
        <f>VLOOKUP(A4840,airports!A:H,8,FALSE)</f>
        <v>-80.290555560000001</v>
      </c>
      <c r="F4840" s="3">
        <f>VLOOKUP(B4840,airports!A:H,7,FALSE)</f>
        <v>32.895950560000003</v>
      </c>
      <c r="G4840" s="3">
        <f>VLOOKUP(B4840,airports!A:H,8,FALSE)</f>
        <v>-97.037199999999999</v>
      </c>
      <c r="H4840">
        <f t="shared" si="150"/>
        <v>1802.1</v>
      </c>
      <c r="I4840">
        <f t="shared" si="151"/>
        <v>1119.8</v>
      </c>
    </row>
    <row r="4841" spans="1:9" ht="30" x14ac:dyDescent="0.25">
      <c r="A4841" s="5" t="s">
        <v>84</v>
      </c>
      <c r="B4841" s="5" t="s">
        <v>474</v>
      </c>
      <c r="C4841" s="5" t="s">
        <v>5318</v>
      </c>
      <c r="D4841" s="3">
        <f>VLOOKUP(A4841,airports!A:H,7,FALSE)</f>
        <v>25.79325</v>
      </c>
      <c r="E4841" s="3">
        <f>VLOOKUP(A4841,airports!A:H,8,FALSE)</f>
        <v>-80.290555560000001</v>
      </c>
      <c r="F4841" s="3">
        <f>VLOOKUP(B4841,airports!A:H,7,FALSE)</f>
        <v>41.53493306</v>
      </c>
      <c r="G4841" s="3">
        <f>VLOOKUP(B4841,airports!A:H,8,FALSE)</f>
        <v>-93.660682219999998</v>
      </c>
      <c r="H4841">
        <f t="shared" si="150"/>
        <v>2137.8000000000002</v>
      </c>
      <c r="I4841">
        <f t="shared" si="151"/>
        <v>1328.5</v>
      </c>
    </row>
    <row r="4842" spans="1:9" ht="30" x14ac:dyDescent="0.25">
      <c r="A4842" s="5" t="s">
        <v>84</v>
      </c>
      <c r="B4842" s="5" t="s">
        <v>50</v>
      </c>
      <c r="C4842" s="5" t="s">
        <v>5319</v>
      </c>
      <c r="D4842" s="3">
        <f>VLOOKUP(A4842,airports!A:H,7,FALSE)</f>
        <v>25.79325</v>
      </c>
      <c r="E4842" s="3">
        <f>VLOOKUP(A4842,airports!A:H,8,FALSE)</f>
        <v>-80.290555560000001</v>
      </c>
      <c r="F4842" s="3">
        <f>VLOOKUP(B4842,airports!A:H,7,FALSE)</f>
        <v>42.212058890000002</v>
      </c>
      <c r="G4842" s="3">
        <f>VLOOKUP(B4842,airports!A:H,8,FALSE)</f>
        <v>-83.348835829999999</v>
      </c>
      <c r="H4842">
        <f t="shared" si="150"/>
        <v>1847</v>
      </c>
      <c r="I4842">
        <f t="shared" si="151"/>
        <v>1147.7</v>
      </c>
    </row>
    <row r="4843" spans="1:9" ht="30" x14ac:dyDescent="0.25">
      <c r="A4843" s="5" t="s">
        <v>84</v>
      </c>
      <c r="B4843" s="5" t="s">
        <v>479</v>
      </c>
      <c r="C4843" s="5" t="s">
        <v>5320</v>
      </c>
      <c r="D4843" s="3">
        <f>VLOOKUP(A4843,airports!A:H,7,FALSE)</f>
        <v>25.79325</v>
      </c>
      <c r="E4843" s="3">
        <f>VLOOKUP(A4843,airports!A:H,8,FALSE)</f>
        <v>-80.290555560000001</v>
      </c>
      <c r="F4843" s="3">
        <f>VLOOKUP(B4843,airports!A:H,7,FALSE)</f>
        <v>39.64256778</v>
      </c>
      <c r="G4843" s="3">
        <f>VLOOKUP(B4843,airports!A:H,8,FALSE)</f>
        <v>-106.91769530000001</v>
      </c>
      <c r="H4843">
        <f t="shared" si="150"/>
        <v>2911.3</v>
      </c>
      <c r="I4843">
        <f t="shared" si="151"/>
        <v>1809.1</v>
      </c>
    </row>
    <row r="4844" spans="1:9" ht="30" x14ac:dyDescent="0.25">
      <c r="A4844" s="5" t="s">
        <v>84</v>
      </c>
      <c r="B4844" s="5" t="s">
        <v>52</v>
      </c>
      <c r="C4844" s="5" t="s">
        <v>5321</v>
      </c>
      <c r="D4844" s="3">
        <f>VLOOKUP(A4844,airports!A:H,7,FALSE)</f>
        <v>25.79325</v>
      </c>
      <c r="E4844" s="3">
        <f>VLOOKUP(A4844,airports!A:H,8,FALSE)</f>
        <v>-80.290555560000001</v>
      </c>
      <c r="F4844" s="3">
        <f>VLOOKUP(B4844,airports!A:H,7,FALSE)</f>
        <v>40.69249722</v>
      </c>
      <c r="G4844" s="3">
        <f>VLOOKUP(B4844,airports!A:H,8,FALSE)</f>
        <v>-74.168660560000006</v>
      </c>
      <c r="H4844">
        <f t="shared" si="150"/>
        <v>1750.6</v>
      </c>
      <c r="I4844">
        <f t="shared" si="151"/>
        <v>1087.8</v>
      </c>
    </row>
    <row r="4845" spans="1:9" ht="30" x14ac:dyDescent="0.25">
      <c r="A4845" s="5" t="s">
        <v>84</v>
      </c>
      <c r="B4845" s="5" t="s">
        <v>54</v>
      </c>
      <c r="C4845" s="5" t="s">
        <v>5322</v>
      </c>
      <c r="D4845" s="3">
        <f>VLOOKUP(A4845,airports!A:H,7,FALSE)</f>
        <v>25.79325</v>
      </c>
      <c r="E4845" s="3">
        <f>VLOOKUP(A4845,airports!A:H,8,FALSE)</f>
        <v>-80.290555560000001</v>
      </c>
      <c r="F4845" s="3">
        <f>VLOOKUP(B4845,airports!A:H,7,FALSE)</f>
        <v>24.55611111</v>
      </c>
      <c r="G4845" s="3">
        <f>VLOOKUP(B4845,airports!A:H,8,FALSE)</f>
        <v>-81.759555559999995</v>
      </c>
      <c r="H4845">
        <f t="shared" si="150"/>
        <v>201.9</v>
      </c>
      <c r="I4845">
        <f t="shared" si="151"/>
        <v>125.5</v>
      </c>
    </row>
    <row r="4846" spans="1:9" ht="30" x14ac:dyDescent="0.25">
      <c r="A4846" s="5" t="s">
        <v>84</v>
      </c>
      <c r="B4846" s="5" t="s">
        <v>507</v>
      </c>
      <c r="C4846" s="5" t="s">
        <v>5323</v>
      </c>
      <c r="D4846" s="3">
        <f>VLOOKUP(A4846,airports!A:H,7,FALSE)</f>
        <v>25.79325</v>
      </c>
      <c r="E4846" s="3">
        <f>VLOOKUP(A4846,airports!A:H,8,FALSE)</f>
        <v>-80.290555560000001</v>
      </c>
      <c r="F4846" s="3">
        <f>VLOOKUP(B4846,airports!A:H,7,FALSE)</f>
        <v>29.690055560000001</v>
      </c>
      <c r="G4846" s="3">
        <f>VLOOKUP(B4846,airports!A:H,8,FALSE)</f>
        <v>-82.271777779999994</v>
      </c>
      <c r="H4846">
        <f t="shared" si="150"/>
        <v>475.1</v>
      </c>
      <c r="I4846">
        <f t="shared" si="151"/>
        <v>295.2</v>
      </c>
    </row>
    <row r="4847" spans="1:9" ht="30" x14ac:dyDescent="0.25">
      <c r="A4847" s="5" t="s">
        <v>84</v>
      </c>
      <c r="B4847" s="5" t="s">
        <v>515</v>
      </c>
      <c r="C4847" s="5" t="s">
        <v>5324</v>
      </c>
      <c r="D4847" s="3">
        <f>VLOOKUP(A4847,airports!A:H,7,FALSE)</f>
        <v>25.79325</v>
      </c>
      <c r="E4847" s="3">
        <f>VLOOKUP(A4847,airports!A:H,8,FALSE)</f>
        <v>-80.290555560000001</v>
      </c>
      <c r="F4847" s="3">
        <f>VLOOKUP(B4847,airports!A:H,7,FALSE)</f>
        <v>42.880819719999998</v>
      </c>
      <c r="G4847" s="3">
        <f>VLOOKUP(B4847,airports!A:H,8,FALSE)</f>
        <v>-85.522767779999995</v>
      </c>
      <c r="H4847">
        <f t="shared" si="150"/>
        <v>1958.8</v>
      </c>
      <c r="I4847">
        <f t="shared" si="151"/>
        <v>1217.2</v>
      </c>
    </row>
    <row r="4848" spans="1:9" ht="30" x14ac:dyDescent="0.25">
      <c r="A4848" s="5" t="s">
        <v>84</v>
      </c>
      <c r="B4848" s="5" t="s">
        <v>517</v>
      </c>
      <c r="C4848" s="5" t="s">
        <v>5325</v>
      </c>
      <c r="D4848" s="3">
        <f>VLOOKUP(A4848,airports!A:H,7,FALSE)</f>
        <v>25.79325</v>
      </c>
      <c r="E4848" s="3">
        <f>VLOOKUP(A4848,airports!A:H,8,FALSE)</f>
        <v>-80.290555560000001</v>
      </c>
      <c r="F4848" s="3">
        <f>VLOOKUP(B4848,airports!A:H,7,FALSE)</f>
        <v>36.09774694</v>
      </c>
      <c r="G4848" s="3">
        <f>VLOOKUP(B4848,airports!A:H,8,FALSE)</f>
        <v>-79.9372975</v>
      </c>
      <c r="H4848">
        <f t="shared" si="150"/>
        <v>1146.3</v>
      </c>
      <c r="I4848">
        <f t="shared" si="151"/>
        <v>712.3</v>
      </c>
    </row>
    <row r="4849" spans="1:9" ht="30" x14ac:dyDescent="0.25">
      <c r="A4849" s="5" t="s">
        <v>84</v>
      </c>
      <c r="B4849" s="5" t="s">
        <v>519</v>
      </c>
      <c r="C4849" s="5" t="s">
        <v>5326</v>
      </c>
      <c r="D4849" s="3">
        <f>VLOOKUP(A4849,airports!A:H,7,FALSE)</f>
        <v>25.79325</v>
      </c>
      <c r="E4849" s="3">
        <f>VLOOKUP(A4849,airports!A:H,8,FALSE)</f>
        <v>-80.290555560000001</v>
      </c>
      <c r="F4849" s="3">
        <f>VLOOKUP(B4849,airports!A:H,7,FALSE)</f>
        <v>34.89566722</v>
      </c>
      <c r="G4849" s="3">
        <f>VLOOKUP(B4849,airports!A:H,8,FALSE)</f>
        <v>-82.218858330000003</v>
      </c>
      <c r="H4849">
        <f t="shared" si="150"/>
        <v>1028.8</v>
      </c>
      <c r="I4849">
        <f t="shared" si="151"/>
        <v>639.29999999999995</v>
      </c>
    </row>
    <row r="4850" spans="1:9" ht="30" x14ac:dyDescent="0.25">
      <c r="A4850" s="5" t="s">
        <v>84</v>
      </c>
      <c r="B4850" s="5" t="s">
        <v>205</v>
      </c>
      <c r="C4850" s="5" t="s">
        <v>5327</v>
      </c>
      <c r="D4850" s="3">
        <f>VLOOKUP(A4850,airports!A:H,7,FALSE)</f>
        <v>25.79325</v>
      </c>
      <c r="E4850" s="3">
        <f>VLOOKUP(A4850,airports!A:H,8,FALSE)</f>
        <v>-80.290555560000001</v>
      </c>
      <c r="F4850" s="3">
        <f>VLOOKUP(B4850,airports!A:H,7,FALSE)</f>
        <v>29.64541861</v>
      </c>
      <c r="G4850" s="3">
        <f>VLOOKUP(B4850,airports!A:H,8,FALSE)</f>
        <v>-95.278888890000005</v>
      </c>
      <c r="H4850">
        <f t="shared" si="150"/>
        <v>1534.9</v>
      </c>
      <c r="I4850">
        <f t="shared" si="151"/>
        <v>953.8</v>
      </c>
    </row>
    <row r="4851" spans="1:9" ht="30" x14ac:dyDescent="0.25">
      <c r="A4851" s="5" t="s">
        <v>84</v>
      </c>
      <c r="B4851" s="5" t="s">
        <v>529</v>
      </c>
      <c r="C4851" s="5" t="s">
        <v>5328</v>
      </c>
      <c r="D4851" s="3">
        <f>VLOOKUP(A4851,airports!A:H,7,FALSE)</f>
        <v>25.79325</v>
      </c>
      <c r="E4851" s="3">
        <f>VLOOKUP(A4851,airports!A:H,8,FALSE)</f>
        <v>-80.290555560000001</v>
      </c>
      <c r="F4851" s="3">
        <f>VLOOKUP(B4851,airports!A:H,7,FALSE)</f>
        <v>34.640447500000001</v>
      </c>
      <c r="G4851" s="3">
        <f>VLOOKUP(B4851,airports!A:H,8,FALSE)</f>
        <v>-86.773109439999999</v>
      </c>
      <c r="H4851">
        <f t="shared" si="150"/>
        <v>1163.7</v>
      </c>
      <c r="I4851">
        <f t="shared" si="151"/>
        <v>723.1</v>
      </c>
    </row>
    <row r="4852" spans="1:9" ht="30" x14ac:dyDescent="0.25">
      <c r="A4852" s="5" t="s">
        <v>84</v>
      </c>
      <c r="B4852" s="5" t="s">
        <v>176</v>
      </c>
      <c r="C4852" s="5" t="s">
        <v>5329</v>
      </c>
      <c r="D4852" s="3">
        <f>VLOOKUP(A4852,airports!A:H,7,FALSE)</f>
        <v>25.79325</v>
      </c>
      <c r="E4852" s="3">
        <f>VLOOKUP(A4852,airports!A:H,8,FALSE)</f>
        <v>-80.290555560000001</v>
      </c>
      <c r="F4852" s="3">
        <f>VLOOKUP(B4852,airports!A:H,7,FALSE)</f>
        <v>38.944531939999997</v>
      </c>
      <c r="G4852" s="3">
        <f>VLOOKUP(B4852,airports!A:H,8,FALSE)</f>
        <v>-77.455809720000005</v>
      </c>
      <c r="H4852">
        <f t="shared" si="150"/>
        <v>1486.2</v>
      </c>
      <c r="I4852">
        <f t="shared" si="151"/>
        <v>923.5</v>
      </c>
    </row>
    <row r="4853" spans="1:9" ht="30" x14ac:dyDescent="0.25">
      <c r="A4853" s="5" t="s">
        <v>84</v>
      </c>
      <c r="B4853" s="5" t="s">
        <v>67</v>
      </c>
      <c r="C4853" s="5" t="s">
        <v>5330</v>
      </c>
      <c r="D4853" s="3">
        <f>VLOOKUP(A4853,airports!A:H,7,FALSE)</f>
        <v>25.79325</v>
      </c>
      <c r="E4853" s="3">
        <f>VLOOKUP(A4853,airports!A:H,8,FALSE)</f>
        <v>-80.290555560000001</v>
      </c>
      <c r="F4853" s="3">
        <f>VLOOKUP(B4853,airports!A:H,7,FALSE)</f>
        <v>29.980472219999999</v>
      </c>
      <c r="G4853" s="3">
        <f>VLOOKUP(B4853,airports!A:H,8,FALSE)</f>
        <v>-95.339722219999999</v>
      </c>
      <c r="H4853">
        <f t="shared" si="150"/>
        <v>1549.1</v>
      </c>
      <c r="I4853">
        <f t="shared" si="151"/>
        <v>962.7</v>
      </c>
    </row>
    <row r="4854" spans="1:9" ht="30" x14ac:dyDescent="0.25">
      <c r="A4854" s="5" t="s">
        <v>84</v>
      </c>
      <c r="B4854" s="5" t="s">
        <v>537</v>
      </c>
      <c r="C4854" s="5" t="s">
        <v>5331</v>
      </c>
      <c r="D4854" s="3">
        <f>VLOOKUP(A4854,airports!A:H,7,FALSE)</f>
        <v>25.79325</v>
      </c>
      <c r="E4854" s="3">
        <f>VLOOKUP(A4854,airports!A:H,8,FALSE)</f>
        <v>-80.290555560000001</v>
      </c>
      <c r="F4854" s="3">
        <f>VLOOKUP(B4854,airports!A:H,7,FALSE)</f>
        <v>39.717329169999999</v>
      </c>
      <c r="G4854" s="3">
        <f>VLOOKUP(B4854,airports!A:H,8,FALSE)</f>
        <v>-86.294384170000001</v>
      </c>
      <c r="H4854">
        <f t="shared" si="150"/>
        <v>1645.9</v>
      </c>
      <c r="I4854">
        <f t="shared" si="151"/>
        <v>1022.7</v>
      </c>
    </row>
    <row r="4855" spans="1:9" x14ac:dyDescent="0.25">
      <c r="A4855" s="5" t="s">
        <v>84</v>
      </c>
      <c r="B4855" s="5" t="s">
        <v>539</v>
      </c>
      <c r="C4855" s="5" t="s">
        <v>5332</v>
      </c>
      <c r="D4855" s="3">
        <f>VLOOKUP(A4855,airports!A:H,7,FALSE)</f>
        <v>25.79325</v>
      </c>
      <c r="E4855" s="3">
        <f>VLOOKUP(A4855,airports!A:H,8,FALSE)</f>
        <v>-80.290555560000001</v>
      </c>
      <c r="F4855" s="3">
        <f>VLOOKUP(B4855,airports!A:H,7,FALSE)</f>
        <v>40.795242500000001</v>
      </c>
      <c r="G4855" s="3">
        <f>VLOOKUP(B4855,airports!A:H,8,FALSE)</f>
        <v>-73.100211939999994</v>
      </c>
      <c r="H4855">
        <f t="shared" si="150"/>
        <v>1795.3</v>
      </c>
      <c r="I4855">
        <f t="shared" si="151"/>
        <v>1115.5999999999999</v>
      </c>
    </row>
    <row r="4856" spans="1:9" ht="30" x14ac:dyDescent="0.25">
      <c r="A4856" s="5" t="s">
        <v>84</v>
      </c>
      <c r="B4856" s="5" t="s">
        <v>543</v>
      </c>
      <c r="C4856" s="5" t="s">
        <v>5333</v>
      </c>
      <c r="D4856" s="3">
        <f>VLOOKUP(A4856,airports!A:H,7,FALSE)</f>
        <v>25.79325</v>
      </c>
      <c r="E4856" s="3">
        <f>VLOOKUP(A4856,airports!A:H,8,FALSE)</f>
        <v>-80.290555560000001</v>
      </c>
      <c r="F4856" s="3">
        <f>VLOOKUP(B4856,airports!A:H,7,FALSE)</f>
        <v>32.311166669999999</v>
      </c>
      <c r="G4856" s="3">
        <f>VLOOKUP(B4856,airports!A:H,8,FALSE)</f>
        <v>-90.075888890000002</v>
      </c>
      <c r="H4856">
        <f t="shared" si="150"/>
        <v>1194.8</v>
      </c>
      <c r="I4856">
        <f t="shared" si="151"/>
        <v>742.5</v>
      </c>
    </row>
    <row r="4857" spans="1:9" ht="30" x14ac:dyDescent="0.25">
      <c r="A4857" s="5" t="s">
        <v>84</v>
      </c>
      <c r="B4857" s="5" t="s">
        <v>68</v>
      </c>
      <c r="C4857" s="5" t="s">
        <v>5334</v>
      </c>
      <c r="D4857" s="3">
        <f>VLOOKUP(A4857,airports!A:H,7,FALSE)</f>
        <v>25.79325</v>
      </c>
      <c r="E4857" s="3">
        <f>VLOOKUP(A4857,airports!A:H,8,FALSE)</f>
        <v>-80.290555560000001</v>
      </c>
      <c r="F4857" s="3">
        <f>VLOOKUP(B4857,airports!A:H,7,FALSE)</f>
        <v>30.49405556</v>
      </c>
      <c r="G4857" s="3">
        <f>VLOOKUP(B4857,airports!A:H,8,FALSE)</f>
        <v>-81.68786111</v>
      </c>
      <c r="H4857">
        <f t="shared" si="150"/>
        <v>540.29999999999995</v>
      </c>
      <c r="I4857">
        <f t="shared" si="151"/>
        <v>335.8</v>
      </c>
    </row>
    <row r="4858" spans="1:9" x14ac:dyDescent="0.25">
      <c r="A4858" s="5" t="s">
        <v>84</v>
      </c>
      <c r="B4858" s="5" t="s">
        <v>69</v>
      </c>
      <c r="C4858" s="5" t="s">
        <v>5335</v>
      </c>
      <c r="D4858" s="3">
        <f>VLOOKUP(A4858,airports!A:H,7,FALSE)</f>
        <v>25.79325</v>
      </c>
      <c r="E4858" s="3">
        <f>VLOOKUP(A4858,airports!A:H,8,FALSE)</f>
        <v>-80.290555560000001</v>
      </c>
      <c r="F4858" s="3">
        <f>VLOOKUP(B4858,airports!A:H,7,FALSE)</f>
        <v>40.639751109999999</v>
      </c>
      <c r="G4858" s="3">
        <f>VLOOKUP(B4858,airports!A:H,8,FALSE)</f>
        <v>-73.778925560000005</v>
      </c>
      <c r="H4858">
        <f t="shared" si="150"/>
        <v>1757.1</v>
      </c>
      <c r="I4858">
        <f t="shared" si="151"/>
        <v>1091.9000000000001</v>
      </c>
    </row>
    <row r="4859" spans="1:9" ht="30" x14ac:dyDescent="0.25">
      <c r="A4859" s="5" t="s">
        <v>84</v>
      </c>
      <c r="B4859" s="5" t="s">
        <v>71</v>
      </c>
      <c r="C4859" s="5" t="s">
        <v>5336</v>
      </c>
      <c r="D4859" s="3">
        <f>VLOOKUP(A4859,airports!A:H,7,FALSE)</f>
        <v>25.79325</v>
      </c>
      <c r="E4859" s="3">
        <f>VLOOKUP(A4859,airports!A:H,8,FALSE)</f>
        <v>-80.290555560000001</v>
      </c>
      <c r="F4859" s="3">
        <f>VLOOKUP(B4859,airports!A:H,7,FALSE)</f>
        <v>36.080361109999998</v>
      </c>
      <c r="G4859" s="3">
        <f>VLOOKUP(B4859,airports!A:H,8,FALSE)</f>
        <v>-115.1523333</v>
      </c>
      <c r="H4859">
        <f t="shared" si="150"/>
        <v>3494.2</v>
      </c>
      <c r="I4859">
        <f t="shared" si="151"/>
        <v>2171.3000000000002</v>
      </c>
    </row>
    <row r="4860" spans="1:9" ht="30" x14ac:dyDescent="0.25">
      <c r="A4860" s="5" t="s">
        <v>84</v>
      </c>
      <c r="B4860" s="5" t="s">
        <v>73</v>
      </c>
      <c r="C4860" s="5" t="s">
        <v>5337</v>
      </c>
      <c r="D4860" s="3">
        <f>VLOOKUP(A4860,airports!A:H,7,FALSE)</f>
        <v>25.79325</v>
      </c>
      <c r="E4860" s="3">
        <f>VLOOKUP(A4860,airports!A:H,8,FALSE)</f>
        <v>-80.290555560000001</v>
      </c>
      <c r="F4860" s="3">
        <f>VLOOKUP(B4860,airports!A:H,7,FALSE)</f>
        <v>33.942536109999999</v>
      </c>
      <c r="G4860" s="3">
        <f>VLOOKUP(B4860,airports!A:H,8,FALSE)</f>
        <v>-118.4080744</v>
      </c>
      <c r="H4860">
        <f t="shared" si="150"/>
        <v>3762.6</v>
      </c>
      <c r="I4860">
        <f t="shared" si="151"/>
        <v>2338.1</v>
      </c>
    </row>
    <row r="4861" spans="1:9" x14ac:dyDescent="0.25">
      <c r="A4861" s="5" t="s">
        <v>84</v>
      </c>
      <c r="B4861" s="5" t="s">
        <v>549</v>
      </c>
      <c r="C4861" s="5" t="s">
        <v>5338</v>
      </c>
      <c r="D4861" s="3">
        <f>VLOOKUP(A4861,airports!A:H,7,FALSE)</f>
        <v>25.79325</v>
      </c>
      <c r="E4861" s="3">
        <f>VLOOKUP(A4861,airports!A:H,8,FALSE)</f>
        <v>-80.290555560000001</v>
      </c>
      <c r="F4861" s="3">
        <f>VLOOKUP(B4861,airports!A:H,7,FALSE)</f>
        <v>38.036972220000003</v>
      </c>
      <c r="G4861" s="3">
        <f>VLOOKUP(B4861,airports!A:H,8,FALSE)</f>
        <v>-84.60538889</v>
      </c>
      <c r="H4861">
        <f t="shared" si="150"/>
        <v>1420.6</v>
      </c>
      <c r="I4861">
        <f t="shared" si="151"/>
        <v>882.7</v>
      </c>
    </row>
    <row r="4862" spans="1:9" ht="30" x14ac:dyDescent="0.25">
      <c r="A4862" s="5" t="s">
        <v>84</v>
      </c>
      <c r="B4862" s="5" t="s">
        <v>74</v>
      </c>
      <c r="C4862" s="5" t="s">
        <v>5339</v>
      </c>
      <c r="D4862" s="3">
        <f>VLOOKUP(A4862,airports!A:H,7,FALSE)</f>
        <v>25.79325</v>
      </c>
      <c r="E4862" s="3">
        <f>VLOOKUP(A4862,airports!A:H,8,FALSE)</f>
        <v>-80.290555560000001</v>
      </c>
      <c r="F4862" s="3">
        <f>VLOOKUP(B4862,airports!A:H,7,FALSE)</f>
        <v>40.777243060000004</v>
      </c>
      <c r="G4862" s="3">
        <f>VLOOKUP(B4862,airports!A:H,8,FALSE)</f>
        <v>-73.872609170000004</v>
      </c>
      <c r="H4862">
        <f t="shared" si="150"/>
        <v>1768.4</v>
      </c>
      <c r="I4862">
        <f t="shared" si="151"/>
        <v>1098.9000000000001</v>
      </c>
    </row>
    <row r="4863" spans="1:9" x14ac:dyDescent="0.25">
      <c r="A4863" s="5" t="s">
        <v>84</v>
      </c>
      <c r="B4863" s="5" t="s">
        <v>554</v>
      </c>
      <c r="C4863" s="5" t="s">
        <v>5340</v>
      </c>
      <c r="D4863" s="3">
        <f>VLOOKUP(A4863,airports!A:H,7,FALSE)</f>
        <v>25.79325</v>
      </c>
      <c r="E4863" s="3">
        <f>VLOOKUP(A4863,airports!A:H,8,FALSE)</f>
        <v>-80.290555560000001</v>
      </c>
      <c r="F4863" s="3">
        <f>VLOOKUP(B4863,airports!A:H,7,FALSE)</f>
        <v>34.729396110000003</v>
      </c>
      <c r="G4863" s="3">
        <f>VLOOKUP(B4863,airports!A:H,8,FALSE)</f>
        <v>-92.22424556</v>
      </c>
      <c r="H4863">
        <f t="shared" si="150"/>
        <v>1514.7</v>
      </c>
      <c r="I4863">
        <f t="shared" si="151"/>
        <v>941.3</v>
      </c>
    </row>
    <row r="4864" spans="1:9" ht="30" x14ac:dyDescent="0.25">
      <c r="A4864" s="5" t="s">
        <v>84</v>
      </c>
      <c r="B4864" s="5" t="s">
        <v>80</v>
      </c>
      <c r="C4864" s="5" t="s">
        <v>5341</v>
      </c>
      <c r="D4864" s="3">
        <f>VLOOKUP(A4864,airports!A:H,7,FALSE)</f>
        <v>25.79325</v>
      </c>
      <c r="E4864" s="3">
        <f>VLOOKUP(A4864,airports!A:H,8,FALSE)</f>
        <v>-80.290555560000001</v>
      </c>
      <c r="F4864" s="3">
        <f>VLOOKUP(B4864,airports!A:H,7,FALSE)</f>
        <v>39.297605279999999</v>
      </c>
      <c r="G4864" s="3">
        <f>VLOOKUP(B4864,airports!A:H,8,FALSE)</f>
        <v>-94.713905560000001</v>
      </c>
      <c r="H4864">
        <f t="shared" si="150"/>
        <v>2015.2</v>
      </c>
      <c r="I4864">
        <f t="shared" si="151"/>
        <v>1252.3</v>
      </c>
    </row>
    <row r="4865" spans="1:9" ht="30" x14ac:dyDescent="0.25">
      <c r="A4865" s="5" t="s">
        <v>84</v>
      </c>
      <c r="B4865" s="5" t="s">
        <v>82</v>
      </c>
      <c r="C4865" s="5" t="s">
        <v>5342</v>
      </c>
      <c r="D4865" s="3">
        <f>VLOOKUP(A4865,airports!A:H,7,FALSE)</f>
        <v>25.79325</v>
      </c>
      <c r="E4865" s="3">
        <f>VLOOKUP(A4865,airports!A:H,8,FALSE)</f>
        <v>-80.290555560000001</v>
      </c>
      <c r="F4865" s="3">
        <f>VLOOKUP(B4865,airports!A:H,7,FALSE)</f>
        <v>28.42888889</v>
      </c>
      <c r="G4865" s="3">
        <f>VLOOKUP(B4865,airports!A:H,8,FALSE)</f>
        <v>-81.316027779999999</v>
      </c>
      <c r="H4865">
        <f t="shared" si="150"/>
        <v>310.10000000000002</v>
      </c>
      <c r="I4865">
        <f t="shared" si="151"/>
        <v>192.7</v>
      </c>
    </row>
    <row r="4866" spans="1:9" ht="30" x14ac:dyDescent="0.25">
      <c r="A4866" s="5" t="s">
        <v>84</v>
      </c>
      <c r="B4866" s="5" t="s">
        <v>180</v>
      </c>
      <c r="C4866" s="5" t="s">
        <v>5343</v>
      </c>
      <c r="D4866" s="3">
        <f>VLOOKUP(A4866,airports!A:H,7,FALSE)</f>
        <v>25.79325</v>
      </c>
      <c r="E4866" s="3">
        <f>VLOOKUP(A4866,airports!A:H,8,FALSE)</f>
        <v>-80.290555560000001</v>
      </c>
      <c r="F4866" s="3">
        <f>VLOOKUP(B4866,airports!A:H,7,FALSE)</f>
        <v>41.785982500000003</v>
      </c>
      <c r="G4866" s="3">
        <f>VLOOKUP(B4866,airports!A:H,8,FALSE)</f>
        <v>-87.752424439999999</v>
      </c>
      <c r="H4866">
        <f t="shared" si="150"/>
        <v>1905.4</v>
      </c>
      <c r="I4866">
        <f t="shared" si="151"/>
        <v>1184</v>
      </c>
    </row>
    <row r="4867" spans="1:9" ht="30" x14ac:dyDescent="0.25">
      <c r="A4867" s="5" t="s">
        <v>84</v>
      </c>
      <c r="B4867" s="5" t="s">
        <v>563</v>
      </c>
      <c r="C4867" s="5" t="s">
        <v>5344</v>
      </c>
      <c r="D4867" s="3">
        <f>VLOOKUP(A4867,airports!A:H,7,FALSE)</f>
        <v>25.79325</v>
      </c>
      <c r="E4867" s="3">
        <f>VLOOKUP(A4867,airports!A:H,8,FALSE)</f>
        <v>-80.290555560000001</v>
      </c>
      <c r="F4867" s="3">
        <f>VLOOKUP(B4867,airports!A:H,7,FALSE)</f>
        <v>35.042416670000001</v>
      </c>
      <c r="G4867" s="3">
        <f>VLOOKUP(B4867,airports!A:H,8,FALSE)</f>
        <v>-89.97666667</v>
      </c>
      <c r="H4867">
        <f t="shared" si="150"/>
        <v>1384.2</v>
      </c>
      <c r="I4867">
        <f t="shared" si="151"/>
        <v>860.2</v>
      </c>
    </row>
    <row r="4868" spans="1:9" ht="30" x14ac:dyDescent="0.25">
      <c r="A4868" s="5" t="s">
        <v>84</v>
      </c>
      <c r="B4868" s="5" t="s">
        <v>85</v>
      </c>
      <c r="C4868" s="5" t="s">
        <v>5345</v>
      </c>
      <c r="D4868" s="3">
        <f>VLOOKUP(A4868,airports!A:H,7,FALSE)</f>
        <v>25.79325</v>
      </c>
      <c r="E4868" s="3">
        <f>VLOOKUP(A4868,airports!A:H,8,FALSE)</f>
        <v>-80.290555560000001</v>
      </c>
      <c r="F4868" s="3">
        <f>VLOOKUP(B4868,airports!A:H,7,FALSE)</f>
        <v>42.94722222</v>
      </c>
      <c r="G4868" s="3">
        <f>VLOOKUP(B4868,airports!A:H,8,FALSE)</f>
        <v>-87.896583329999999</v>
      </c>
      <c r="H4868">
        <f t="shared" ref="H4868:H4931" si="152">ROUND(ACOS(COS(RADIANS(90-D4868)) * COS(RADIANS(90-F4868)) + SIN(RADIANS(90-D4868)) * SIN(RADIANS(90-F4868)) * COS(RADIANS(E4868-G4868))) * 6371,1)</f>
        <v>2028.9</v>
      </c>
      <c r="I4868">
        <f t="shared" ref="I4868:I4931" si="153">ROUND(ACOS(COS(RADIANS(90-D4868)) * COS(RADIANS(90-F4868)) + SIN(RADIANS(90-D4868)) * SIN(RADIANS(90-F4868)) * COS(RADIANS(E4868-G4868))) * 3959,1)</f>
        <v>1260.8</v>
      </c>
    </row>
    <row r="4869" spans="1:9" ht="30" x14ac:dyDescent="0.25">
      <c r="A4869" s="5" t="s">
        <v>84</v>
      </c>
      <c r="B4869" s="5" t="s">
        <v>579</v>
      </c>
      <c r="C4869" s="5" t="s">
        <v>5346</v>
      </c>
      <c r="D4869" s="3">
        <f>VLOOKUP(A4869,airports!A:H,7,FALSE)</f>
        <v>25.79325</v>
      </c>
      <c r="E4869" s="3">
        <f>VLOOKUP(A4869,airports!A:H,8,FALSE)</f>
        <v>-80.290555560000001</v>
      </c>
      <c r="F4869" s="3">
        <f>VLOOKUP(B4869,airports!A:H,7,FALSE)</f>
        <v>43.13985778</v>
      </c>
      <c r="G4869" s="3">
        <f>VLOOKUP(B4869,airports!A:H,8,FALSE)</f>
        <v>-89.337513610000002</v>
      </c>
      <c r="H4869">
        <f t="shared" si="152"/>
        <v>2096.5</v>
      </c>
      <c r="I4869">
        <f t="shared" si="153"/>
        <v>1302.8</v>
      </c>
    </row>
    <row r="4870" spans="1:9" ht="30" x14ac:dyDescent="0.25">
      <c r="A4870" s="5" t="s">
        <v>84</v>
      </c>
      <c r="B4870" s="5" t="s">
        <v>87</v>
      </c>
      <c r="C4870" s="5" t="s">
        <v>5347</v>
      </c>
      <c r="D4870" s="3">
        <f>VLOOKUP(A4870,airports!A:H,7,FALSE)</f>
        <v>25.79325</v>
      </c>
      <c r="E4870" s="3">
        <f>VLOOKUP(A4870,airports!A:H,8,FALSE)</f>
        <v>-80.290555560000001</v>
      </c>
      <c r="F4870" s="3">
        <f>VLOOKUP(B4870,airports!A:H,7,FALSE)</f>
        <v>44.880546940000002</v>
      </c>
      <c r="G4870" s="3">
        <f>VLOOKUP(B4870,airports!A:H,8,FALSE)</f>
        <v>-93.216922499999995</v>
      </c>
      <c r="H4870">
        <f t="shared" si="152"/>
        <v>2417.6999999999998</v>
      </c>
      <c r="I4870">
        <f t="shared" si="153"/>
        <v>1502.4</v>
      </c>
    </row>
    <row r="4871" spans="1:9" ht="30" x14ac:dyDescent="0.25">
      <c r="A4871" s="5" t="s">
        <v>84</v>
      </c>
      <c r="B4871" s="5" t="s">
        <v>89</v>
      </c>
      <c r="C4871" s="5" t="s">
        <v>5348</v>
      </c>
      <c r="D4871" s="3">
        <f>VLOOKUP(A4871,airports!A:H,7,FALSE)</f>
        <v>25.79325</v>
      </c>
      <c r="E4871" s="3">
        <f>VLOOKUP(A4871,airports!A:H,8,FALSE)</f>
        <v>-80.290555560000001</v>
      </c>
      <c r="F4871" s="3">
        <f>VLOOKUP(B4871,airports!A:H,7,FALSE)</f>
        <v>29.993388889999999</v>
      </c>
      <c r="G4871" s="3">
        <f>VLOOKUP(B4871,airports!A:H,8,FALSE)</f>
        <v>-90.258027780000006</v>
      </c>
      <c r="H4871">
        <f t="shared" si="152"/>
        <v>1084.5999999999999</v>
      </c>
      <c r="I4871">
        <f t="shared" si="153"/>
        <v>674</v>
      </c>
    </row>
    <row r="4872" spans="1:9" ht="30" x14ac:dyDescent="0.25">
      <c r="A4872" s="5" t="s">
        <v>84</v>
      </c>
      <c r="B4872" s="5" t="s">
        <v>182</v>
      </c>
      <c r="C4872" s="5" t="s">
        <v>5349</v>
      </c>
      <c r="D4872" s="3">
        <f>VLOOKUP(A4872,airports!A:H,7,FALSE)</f>
        <v>25.79325</v>
      </c>
      <c r="E4872" s="3">
        <f>VLOOKUP(A4872,airports!A:H,8,FALSE)</f>
        <v>-80.290555560000001</v>
      </c>
      <c r="F4872" s="3">
        <f>VLOOKUP(B4872,airports!A:H,7,FALSE)</f>
        <v>33.679749999999999</v>
      </c>
      <c r="G4872" s="3">
        <f>VLOOKUP(B4872,airports!A:H,8,FALSE)</f>
        <v>-78.928333330000001</v>
      </c>
      <c r="H4872">
        <f t="shared" si="152"/>
        <v>886.7</v>
      </c>
      <c r="I4872">
        <f t="shared" si="153"/>
        <v>551</v>
      </c>
    </row>
    <row r="4873" spans="1:9" ht="30" x14ac:dyDescent="0.25">
      <c r="A4873" s="5" t="s">
        <v>84</v>
      </c>
      <c r="B4873" s="5" t="s">
        <v>590</v>
      </c>
      <c r="C4873" s="5" t="s">
        <v>5350</v>
      </c>
      <c r="D4873" s="3">
        <f>VLOOKUP(A4873,airports!A:H,7,FALSE)</f>
        <v>25.79325</v>
      </c>
      <c r="E4873" s="3">
        <f>VLOOKUP(A4873,airports!A:H,8,FALSE)</f>
        <v>-80.290555560000001</v>
      </c>
      <c r="F4873" s="3">
        <f>VLOOKUP(B4873,airports!A:H,7,FALSE)</f>
        <v>35.393088329999998</v>
      </c>
      <c r="G4873" s="3">
        <f>VLOOKUP(B4873,airports!A:H,8,FALSE)</f>
        <v>-97.600733890000001</v>
      </c>
      <c r="H4873">
        <f t="shared" si="152"/>
        <v>1966.2</v>
      </c>
      <c r="I4873">
        <f t="shared" si="153"/>
        <v>1221.8</v>
      </c>
    </row>
    <row r="4874" spans="1:9" ht="30" x14ac:dyDescent="0.25">
      <c r="A4874" s="5" t="s">
        <v>84</v>
      </c>
      <c r="B4874" s="5" t="s">
        <v>592</v>
      </c>
      <c r="C4874" s="5" t="s">
        <v>5351</v>
      </c>
      <c r="D4874" s="3">
        <f>VLOOKUP(A4874,airports!A:H,7,FALSE)</f>
        <v>25.79325</v>
      </c>
      <c r="E4874" s="3">
        <f>VLOOKUP(A4874,airports!A:H,8,FALSE)</f>
        <v>-80.290555560000001</v>
      </c>
      <c r="F4874" s="3">
        <f>VLOOKUP(B4874,airports!A:H,7,FALSE)</f>
        <v>41.30251861</v>
      </c>
      <c r="G4874" s="3">
        <f>VLOOKUP(B4874,airports!A:H,8,FALSE)</f>
        <v>-95.89417306</v>
      </c>
      <c r="H4874">
        <f t="shared" si="152"/>
        <v>2243.1</v>
      </c>
      <c r="I4874">
        <f t="shared" si="153"/>
        <v>1393.9</v>
      </c>
    </row>
    <row r="4875" spans="1:9" ht="30" x14ac:dyDescent="0.25">
      <c r="A4875" s="5" t="s">
        <v>84</v>
      </c>
      <c r="B4875" s="5" t="s">
        <v>95</v>
      </c>
      <c r="C4875" s="5" t="s">
        <v>5352</v>
      </c>
      <c r="D4875" s="3">
        <f>VLOOKUP(A4875,airports!A:H,7,FALSE)</f>
        <v>25.79325</v>
      </c>
      <c r="E4875" s="3">
        <f>VLOOKUP(A4875,airports!A:H,8,FALSE)</f>
        <v>-80.290555560000001</v>
      </c>
      <c r="F4875" s="3">
        <f>VLOOKUP(B4875,airports!A:H,7,FALSE)</f>
        <v>41.979595000000003</v>
      </c>
      <c r="G4875" s="3">
        <f>VLOOKUP(B4875,airports!A:H,8,FALSE)</f>
        <v>-87.904464169999997</v>
      </c>
      <c r="H4875">
        <f t="shared" si="152"/>
        <v>1930.1</v>
      </c>
      <c r="I4875">
        <f t="shared" si="153"/>
        <v>1199.4000000000001</v>
      </c>
    </row>
    <row r="4876" spans="1:9" ht="30" x14ac:dyDescent="0.25">
      <c r="A4876" s="5" t="s">
        <v>84</v>
      </c>
      <c r="B4876" s="5" t="s">
        <v>596</v>
      </c>
      <c r="C4876" s="5" t="s">
        <v>5353</v>
      </c>
      <c r="D4876" s="3">
        <f>VLOOKUP(A4876,airports!A:H,7,FALSE)</f>
        <v>25.79325</v>
      </c>
      <c r="E4876" s="3">
        <f>VLOOKUP(A4876,airports!A:H,8,FALSE)</f>
        <v>-80.290555560000001</v>
      </c>
      <c r="F4876" s="3">
        <f>VLOOKUP(B4876,airports!A:H,7,FALSE)</f>
        <v>36.89461111</v>
      </c>
      <c r="G4876" s="3">
        <f>VLOOKUP(B4876,airports!A:H,8,FALSE)</f>
        <v>-76.201222220000005</v>
      </c>
      <c r="H4876">
        <f t="shared" si="152"/>
        <v>1293.7</v>
      </c>
      <c r="I4876">
        <f t="shared" si="153"/>
        <v>803.9</v>
      </c>
    </row>
    <row r="4877" spans="1:9" x14ac:dyDescent="0.25">
      <c r="A4877" s="5" t="s">
        <v>84</v>
      </c>
      <c r="B4877" s="5" t="s">
        <v>99</v>
      </c>
      <c r="C4877" s="5" t="s">
        <v>5354</v>
      </c>
      <c r="D4877" s="3">
        <f>VLOOKUP(A4877,airports!A:H,7,FALSE)</f>
        <v>25.79325</v>
      </c>
      <c r="E4877" s="3">
        <f>VLOOKUP(A4877,airports!A:H,8,FALSE)</f>
        <v>-80.290555560000001</v>
      </c>
      <c r="F4877" s="3">
        <f>VLOOKUP(B4877,airports!A:H,7,FALSE)</f>
        <v>26.683161940000002</v>
      </c>
      <c r="G4877" s="3">
        <f>VLOOKUP(B4877,airports!A:H,8,FALSE)</f>
        <v>-80.095594169999998</v>
      </c>
      <c r="H4877">
        <f t="shared" si="152"/>
        <v>100.8</v>
      </c>
      <c r="I4877">
        <f t="shared" si="153"/>
        <v>62.7</v>
      </c>
    </row>
    <row r="4878" spans="1:9" ht="30" x14ac:dyDescent="0.25">
      <c r="A4878" s="5" t="s">
        <v>84</v>
      </c>
      <c r="B4878" s="5" t="s">
        <v>102</v>
      </c>
      <c r="C4878" s="5" t="s">
        <v>5355</v>
      </c>
      <c r="D4878" s="3">
        <f>VLOOKUP(A4878,airports!A:H,7,FALSE)</f>
        <v>25.79325</v>
      </c>
      <c r="E4878" s="3">
        <f>VLOOKUP(A4878,airports!A:H,8,FALSE)</f>
        <v>-80.290555560000001</v>
      </c>
      <c r="F4878" s="3">
        <f>VLOOKUP(B4878,airports!A:H,7,FALSE)</f>
        <v>39.871952780000001</v>
      </c>
      <c r="G4878" s="3">
        <f>VLOOKUP(B4878,airports!A:H,8,FALSE)</f>
        <v>-75.241140830000006</v>
      </c>
      <c r="H4878">
        <f t="shared" si="152"/>
        <v>1634.2</v>
      </c>
      <c r="I4878">
        <f t="shared" si="153"/>
        <v>1015.5</v>
      </c>
    </row>
    <row r="4879" spans="1:9" ht="30" x14ac:dyDescent="0.25">
      <c r="A4879" s="5" t="s">
        <v>84</v>
      </c>
      <c r="B4879" s="5" t="s">
        <v>104</v>
      </c>
      <c r="C4879" s="5" t="s">
        <v>5356</v>
      </c>
      <c r="D4879" s="3">
        <f>VLOOKUP(A4879,airports!A:H,7,FALSE)</f>
        <v>25.79325</v>
      </c>
      <c r="E4879" s="3">
        <f>VLOOKUP(A4879,airports!A:H,8,FALSE)</f>
        <v>-80.290555560000001</v>
      </c>
      <c r="F4879" s="3">
        <f>VLOOKUP(B4879,airports!A:H,7,FALSE)</f>
        <v>33.434166670000003</v>
      </c>
      <c r="G4879" s="3">
        <f>VLOOKUP(B4879,airports!A:H,8,FALSE)</f>
        <v>-112.00805560000001</v>
      </c>
      <c r="H4879">
        <f t="shared" si="152"/>
        <v>3167.9</v>
      </c>
      <c r="I4879">
        <f t="shared" si="153"/>
        <v>1968.6</v>
      </c>
    </row>
    <row r="4880" spans="1:9" x14ac:dyDescent="0.25">
      <c r="A4880" s="5" t="s">
        <v>84</v>
      </c>
      <c r="B4880" s="5" t="s">
        <v>106</v>
      </c>
      <c r="C4880" s="5" t="s">
        <v>5357</v>
      </c>
      <c r="D4880" s="3">
        <f>VLOOKUP(A4880,airports!A:H,7,FALSE)</f>
        <v>25.79325</v>
      </c>
      <c r="E4880" s="3">
        <f>VLOOKUP(A4880,airports!A:H,8,FALSE)</f>
        <v>-80.290555560000001</v>
      </c>
      <c r="F4880" s="3">
        <f>VLOOKUP(B4880,airports!A:H,7,FALSE)</f>
        <v>40.491465830000003</v>
      </c>
      <c r="G4880" s="3">
        <f>VLOOKUP(B4880,airports!A:H,8,FALSE)</f>
        <v>-80.232870829999996</v>
      </c>
      <c r="H4880">
        <f t="shared" si="152"/>
        <v>1634.4</v>
      </c>
      <c r="I4880">
        <f t="shared" si="153"/>
        <v>1015.6</v>
      </c>
    </row>
    <row r="4881" spans="1:9" ht="30" x14ac:dyDescent="0.25">
      <c r="A4881" s="5" t="s">
        <v>84</v>
      </c>
      <c r="B4881" s="5" t="s">
        <v>607</v>
      </c>
      <c r="C4881" s="5" t="s">
        <v>5358</v>
      </c>
      <c r="D4881" s="3">
        <f>VLOOKUP(A4881,airports!A:H,7,FALSE)</f>
        <v>25.79325</v>
      </c>
      <c r="E4881" s="3">
        <f>VLOOKUP(A4881,airports!A:H,8,FALSE)</f>
        <v>-80.290555560000001</v>
      </c>
      <c r="F4881" s="3">
        <f>VLOOKUP(B4881,airports!A:H,7,FALSE)</f>
        <v>30.47330556</v>
      </c>
      <c r="G4881" s="3">
        <f>VLOOKUP(B4881,airports!A:H,8,FALSE)</f>
        <v>-87.187444439999993</v>
      </c>
      <c r="H4881">
        <f t="shared" si="152"/>
        <v>853</v>
      </c>
      <c r="I4881">
        <f t="shared" si="153"/>
        <v>530.1</v>
      </c>
    </row>
    <row r="4882" spans="1:9" ht="30" x14ac:dyDescent="0.25">
      <c r="A4882" s="5" t="s">
        <v>84</v>
      </c>
      <c r="B4882" s="5" t="s">
        <v>114</v>
      </c>
      <c r="C4882" s="5" t="s">
        <v>5359</v>
      </c>
      <c r="D4882" s="3">
        <f>VLOOKUP(A4882,airports!A:H,7,FALSE)</f>
        <v>25.79325</v>
      </c>
      <c r="E4882" s="3">
        <f>VLOOKUP(A4882,airports!A:H,8,FALSE)</f>
        <v>-80.290555560000001</v>
      </c>
      <c r="F4882" s="3">
        <f>VLOOKUP(B4882,airports!A:H,7,FALSE)</f>
        <v>41.723999169999999</v>
      </c>
      <c r="G4882" s="3">
        <f>VLOOKUP(B4882,airports!A:H,8,FALSE)</f>
        <v>-71.428221109999996</v>
      </c>
      <c r="H4882">
        <f t="shared" si="152"/>
        <v>1949</v>
      </c>
      <c r="I4882">
        <f t="shared" si="153"/>
        <v>1211.0999999999999</v>
      </c>
    </row>
    <row r="4883" spans="1:9" ht="30" x14ac:dyDescent="0.25">
      <c r="A4883" s="5" t="s">
        <v>84</v>
      </c>
      <c r="B4883" s="5" t="s">
        <v>117</v>
      </c>
      <c r="C4883" s="5" t="s">
        <v>5360</v>
      </c>
      <c r="D4883" s="3">
        <f>VLOOKUP(A4883,airports!A:H,7,FALSE)</f>
        <v>25.79325</v>
      </c>
      <c r="E4883" s="3">
        <f>VLOOKUP(A4883,airports!A:H,8,FALSE)</f>
        <v>-80.290555560000001</v>
      </c>
      <c r="F4883" s="3">
        <f>VLOOKUP(B4883,airports!A:H,7,FALSE)</f>
        <v>43.646166669999999</v>
      </c>
      <c r="G4883" s="3">
        <f>VLOOKUP(B4883,airports!A:H,8,FALSE)</f>
        <v>-70.308750000000003</v>
      </c>
      <c r="H4883">
        <f t="shared" si="152"/>
        <v>2180.8000000000002</v>
      </c>
      <c r="I4883">
        <f t="shared" si="153"/>
        <v>1355.2</v>
      </c>
    </row>
    <row r="4884" spans="1:9" ht="30" x14ac:dyDescent="0.25">
      <c r="A4884" s="5" t="s">
        <v>84</v>
      </c>
      <c r="B4884" s="5" t="s">
        <v>119</v>
      </c>
      <c r="C4884" s="5" t="s">
        <v>5361</v>
      </c>
      <c r="D4884" s="3">
        <f>VLOOKUP(A4884,airports!A:H,7,FALSE)</f>
        <v>25.79325</v>
      </c>
      <c r="E4884" s="3">
        <f>VLOOKUP(A4884,airports!A:H,8,FALSE)</f>
        <v>-80.290555560000001</v>
      </c>
      <c r="F4884" s="3">
        <f>VLOOKUP(B4884,airports!A:H,7,FALSE)</f>
        <v>35.87763889</v>
      </c>
      <c r="G4884" s="3">
        <f>VLOOKUP(B4884,airports!A:H,8,FALSE)</f>
        <v>-78.787472219999998</v>
      </c>
      <c r="H4884">
        <f t="shared" si="152"/>
        <v>1130.4000000000001</v>
      </c>
      <c r="I4884">
        <f t="shared" si="153"/>
        <v>702.5</v>
      </c>
    </row>
    <row r="4885" spans="1:9" x14ac:dyDescent="0.25">
      <c r="A4885" s="5" t="s">
        <v>84</v>
      </c>
      <c r="B4885" s="5" t="s">
        <v>120</v>
      </c>
      <c r="C4885" s="5" t="s">
        <v>5362</v>
      </c>
      <c r="D4885" s="3">
        <f>VLOOKUP(A4885,airports!A:H,7,FALSE)</f>
        <v>25.79325</v>
      </c>
      <c r="E4885" s="3">
        <f>VLOOKUP(A4885,airports!A:H,8,FALSE)</f>
        <v>-80.290555560000001</v>
      </c>
      <c r="F4885" s="3">
        <f>VLOOKUP(B4885,airports!A:H,7,FALSE)</f>
        <v>37.505166670000001</v>
      </c>
      <c r="G4885" s="3">
        <f>VLOOKUP(B4885,airports!A:H,8,FALSE)</f>
        <v>-77.319666670000004</v>
      </c>
      <c r="H4885">
        <f t="shared" si="152"/>
        <v>1332.1</v>
      </c>
      <c r="I4885">
        <f t="shared" si="153"/>
        <v>827.8</v>
      </c>
    </row>
    <row r="4886" spans="1:9" ht="30" x14ac:dyDescent="0.25">
      <c r="A4886" s="5" t="s">
        <v>84</v>
      </c>
      <c r="B4886" s="5" t="s">
        <v>122</v>
      </c>
      <c r="C4886" s="5" t="s">
        <v>5363</v>
      </c>
      <c r="D4886" s="3">
        <f>VLOOKUP(A4886,airports!A:H,7,FALSE)</f>
        <v>25.79325</v>
      </c>
      <c r="E4886" s="3">
        <f>VLOOKUP(A4886,airports!A:H,8,FALSE)</f>
        <v>-80.290555560000001</v>
      </c>
      <c r="F4886" s="3">
        <f>VLOOKUP(B4886,airports!A:H,7,FALSE)</f>
        <v>43.118866109999999</v>
      </c>
      <c r="G4886" s="3">
        <f>VLOOKUP(B4886,airports!A:H,8,FALSE)</f>
        <v>-77.672383890000006</v>
      </c>
      <c r="H4886">
        <f t="shared" si="152"/>
        <v>1941.1</v>
      </c>
      <c r="I4886">
        <f t="shared" si="153"/>
        <v>1206.2</v>
      </c>
    </row>
    <row r="4887" spans="1:9" ht="30" x14ac:dyDescent="0.25">
      <c r="A4887" s="5" t="s">
        <v>84</v>
      </c>
      <c r="B4887" s="5" t="s">
        <v>123</v>
      </c>
      <c r="C4887" s="5" t="s">
        <v>5364</v>
      </c>
      <c r="D4887" s="3">
        <f>VLOOKUP(A4887,airports!A:H,7,FALSE)</f>
        <v>25.79325</v>
      </c>
      <c r="E4887" s="3">
        <f>VLOOKUP(A4887,airports!A:H,8,FALSE)</f>
        <v>-80.290555560000001</v>
      </c>
      <c r="F4887" s="3">
        <f>VLOOKUP(B4887,airports!A:H,7,FALSE)</f>
        <v>26.53616667</v>
      </c>
      <c r="G4887" s="3">
        <f>VLOOKUP(B4887,airports!A:H,8,FALSE)</f>
        <v>-81.755166669999994</v>
      </c>
      <c r="H4887">
        <f t="shared" si="152"/>
        <v>167.9</v>
      </c>
      <c r="I4887">
        <f t="shared" si="153"/>
        <v>104.3</v>
      </c>
    </row>
    <row r="4888" spans="1:9" ht="30" x14ac:dyDescent="0.25">
      <c r="A4888" s="5" t="s">
        <v>84</v>
      </c>
      <c r="B4888" s="5" t="s">
        <v>124</v>
      </c>
      <c r="C4888" s="5" t="s">
        <v>5365</v>
      </c>
      <c r="D4888" s="3">
        <f>VLOOKUP(A4888,airports!A:H,7,FALSE)</f>
        <v>25.79325</v>
      </c>
      <c r="E4888" s="3">
        <f>VLOOKUP(A4888,airports!A:H,8,FALSE)</f>
        <v>-80.290555560000001</v>
      </c>
      <c r="F4888" s="3">
        <f>VLOOKUP(B4888,airports!A:H,7,FALSE)</f>
        <v>32.733556110000002</v>
      </c>
      <c r="G4888" s="3">
        <f>VLOOKUP(B4888,airports!A:H,8,FALSE)</f>
        <v>-117.1896567</v>
      </c>
      <c r="H4888">
        <f t="shared" si="152"/>
        <v>3642.5</v>
      </c>
      <c r="I4888">
        <f t="shared" si="153"/>
        <v>2263.5</v>
      </c>
    </row>
    <row r="4889" spans="1:9" ht="30" x14ac:dyDescent="0.25">
      <c r="A4889" s="5" t="s">
        <v>84</v>
      </c>
      <c r="B4889" s="5" t="s">
        <v>125</v>
      </c>
      <c r="C4889" s="5" t="s">
        <v>5366</v>
      </c>
      <c r="D4889" s="3">
        <f>VLOOKUP(A4889,airports!A:H,7,FALSE)</f>
        <v>25.79325</v>
      </c>
      <c r="E4889" s="3">
        <f>VLOOKUP(A4889,airports!A:H,8,FALSE)</f>
        <v>-80.290555560000001</v>
      </c>
      <c r="F4889" s="3">
        <f>VLOOKUP(B4889,airports!A:H,7,FALSE)</f>
        <v>29.533694440000001</v>
      </c>
      <c r="G4889" s="3">
        <f>VLOOKUP(B4889,airports!A:H,8,FALSE)</f>
        <v>-98.469777780000001</v>
      </c>
      <c r="H4889">
        <f t="shared" si="152"/>
        <v>1835.9</v>
      </c>
      <c r="I4889">
        <f t="shared" si="153"/>
        <v>1140.8</v>
      </c>
    </row>
    <row r="4890" spans="1:9" ht="30" x14ac:dyDescent="0.25">
      <c r="A4890" s="5" t="s">
        <v>84</v>
      </c>
      <c r="B4890" s="5" t="s">
        <v>126</v>
      </c>
      <c r="C4890" s="5" t="s">
        <v>5367</v>
      </c>
      <c r="D4890" s="3">
        <f>VLOOKUP(A4890,airports!A:H,7,FALSE)</f>
        <v>25.79325</v>
      </c>
      <c r="E4890" s="3">
        <f>VLOOKUP(A4890,airports!A:H,8,FALSE)</f>
        <v>-80.290555560000001</v>
      </c>
      <c r="F4890" s="3">
        <f>VLOOKUP(B4890,airports!A:H,7,FALSE)</f>
        <v>32.12758333</v>
      </c>
      <c r="G4890" s="3">
        <f>VLOOKUP(B4890,airports!A:H,8,FALSE)</f>
        <v>-81.202138890000001</v>
      </c>
      <c r="H4890">
        <f t="shared" si="152"/>
        <v>709.9</v>
      </c>
      <c r="I4890">
        <f t="shared" si="153"/>
        <v>441.1</v>
      </c>
    </row>
    <row r="4891" spans="1:9" ht="30" x14ac:dyDescent="0.25">
      <c r="A4891" s="5" t="s">
        <v>84</v>
      </c>
      <c r="B4891" s="5" t="s">
        <v>630</v>
      </c>
      <c r="C4891" s="5" t="s">
        <v>5368</v>
      </c>
      <c r="D4891" s="3">
        <f>VLOOKUP(A4891,airports!A:H,7,FALSE)</f>
        <v>25.79325</v>
      </c>
      <c r="E4891" s="3">
        <f>VLOOKUP(A4891,airports!A:H,8,FALSE)</f>
        <v>-80.290555560000001</v>
      </c>
      <c r="F4891" s="3">
        <f>VLOOKUP(B4891,airports!A:H,7,FALSE)</f>
        <v>38.174388890000003</v>
      </c>
      <c r="G4891" s="3">
        <f>VLOOKUP(B4891,airports!A:H,8,FALSE)</f>
        <v>-85.736000000000004</v>
      </c>
      <c r="H4891">
        <f t="shared" si="152"/>
        <v>1468.6</v>
      </c>
      <c r="I4891">
        <f t="shared" si="153"/>
        <v>912.6</v>
      </c>
    </row>
    <row r="4892" spans="1:9" ht="30" x14ac:dyDescent="0.25">
      <c r="A4892" s="5" t="s">
        <v>84</v>
      </c>
      <c r="B4892" s="5" t="s">
        <v>128</v>
      </c>
      <c r="C4892" s="5" t="s">
        <v>5369</v>
      </c>
      <c r="D4892" s="3">
        <f>VLOOKUP(A4892,airports!A:H,7,FALSE)</f>
        <v>25.79325</v>
      </c>
      <c r="E4892" s="3">
        <f>VLOOKUP(A4892,airports!A:H,8,FALSE)</f>
        <v>-80.290555560000001</v>
      </c>
      <c r="F4892" s="3">
        <f>VLOOKUP(B4892,airports!A:H,7,FALSE)</f>
        <v>47.448981940000003</v>
      </c>
      <c r="G4892" s="3">
        <f>VLOOKUP(B4892,airports!A:H,8,FALSE)</f>
        <v>-122.3093131</v>
      </c>
      <c r="H4892">
        <f t="shared" si="152"/>
        <v>4379.5</v>
      </c>
      <c r="I4892">
        <f t="shared" si="153"/>
        <v>2721.5</v>
      </c>
    </row>
    <row r="4893" spans="1:9" ht="30" x14ac:dyDescent="0.25">
      <c r="A4893" s="5" t="s">
        <v>84</v>
      </c>
      <c r="B4893" s="5" t="s">
        <v>130</v>
      </c>
      <c r="C4893" s="5" t="s">
        <v>5370</v>
      </c>
      <c r="D4893" s="3">
        <f>VLOOKUP(A4893,airports!A:H,7,FALSE)</f>
        <v>25.79325</v>
      </c>
      <c r="E4893" s="3">
        <f>VLOOKUP(A4893,airports!A:H,8,FALSE)</f>
        <v>-80.290555560000001</v>
      </c>
      <c r="F4893" s="3">
        <f>VLOOKUP(B4893,airports!A:H,7,FALSE)</f>
        <v>37.619001939999997</v>
      </c>
      <c r="G4893" s="3">
        <f>VLOOKUP(B4893,airports!A:H,8,FALSE)</f>
        <v>-122.37484329999999</v>
      </c>
      <c r="H4893">
        <f t="shared" si="152"/>
        <v>4153.7</v>
      </c>
      <c r="I4893">
        <f t="shared" si="153"/>
        <v>2581.1</v>
      </c>
    </row>
    <row r="4894" spans="1:9" x14ac:dyDescent="0.25">
      <c r="A4894" s="5" t="s">
        <v>84</v>
      </c>
      <c r="B4894" s="5" t="s">
        <v>131</v>
      </c>
      <c r="C4894" s="5" t="s">
        <v>5371</v>
      </c>
      <c r="D4894" s="3">
        <f>VLOOKUP(A4894,airports!A:H,7,FALSE)</f>
        <v>25.79325</v>
      </c>
      <c r="E4894" s="3">
        <f>VLOOKUP(A4894,airports!A:H,8,FALSE)</f>
        <v>-80.290555560000001</v>
      </c>
      <c r="F4894" s="3">
        <f>VLOOKUP(B4894,airports!A:H,7,FALSE)</f>
        <v>37.361861939999997</v>
      </c>
      <c r="G4894" s="3">
        <f>VLOOKUP(B4894,airports!A:H,8,FALSE)</f>
        <v>-121.9290089</v>
      </c>
      <c r="H4894">
        <f t="shared" si="152"/>
        <v>4111.6000000000004</v>
      </c>
      <c r="I4894">
        <f t="shared" si="153"/>
        <v>2555</v>
      </c>
    </row>
    <row r="4895" spans="1:9" x14ac:dyDescent="0.25">
      <c r="A4895" s="5" t="s">
        <v>84</v>
      </c>
      <c r="B4895" s="5" t="s">
        <v>134</v>
      </c>
      <c r="C4895" s="5" t="s">
        <v>5372</v>
      </c>
      <c r="D4895" s="3">
        <f>VLOOKUP(A4895,airports!A:H,7,FALSE)</f>
        <v>25.79325</v>
      </c>
      <c r="E4895" s="3">
        <f>VLOOKUP(A4895,airports!A:H,8,FALSE)</f>
        <v>-80.290555560000001</v>
      </c>
      <c r="F4895" s="3">
        <f>VLOOKUP(B4895,airports!A:H,7,FALSE)</f>
        <v>18.43941667</v>
      </c>
      <c r="G4895" s="3">
        <f>VLOOKUP(B4895,airports!A:H,8,FALSE)</f>
        <v>-66.001833329999997</v>
      </c>
      <c r="H4895">
        <f t="shared" si="152"/>
        <v>1682</v>
      </c>
      <c r="I4895">
        <f t="shared" si="153"/>
        <v>1045.2</v>
      </c>
    </row>
    <row r="4896" spans="1:9" x14ac:dyDescent="0.25">
      <c r="A4896" s="5" t="s">
        <v>84</v>
      </c>
      <c r="B4896" s="5" t="s">
        <v>135</v>
      </c>
      <c r="C4896" s="5" t="s">
        <v>5373</v>
      </c>
      <c r="D4896" s="3">
        <f>VLOOKUP(A4896,airports!A:H,7,FALSE)</f>
        <v>25.79325</v>
      </c>
      <c r="E4896" s="3">
        <f>VLOOKUP(A4896,airports!A:H,8,FALSE)</f>
        <v>-80.290555560000001</v>
      </c>
      <c r="F4896" s="3">
        <f>VLOOKUP(B4896,airports!A:H,7,FALSE)</f>
        <v>40.788387780000001</v>
      </c>
      <c r="G4896" s="3">
        <f>VLOOKUP(B4896,airports!A:H,8,FALSE)</f>
        <v>-111.97777309999999</v>
      </c>
      <c r="H4896">
        <f t="shared" si="152"/>
        <v>3357.4</v>
      </c>
      <c r="I4896">
        <f t="shared" si="153"/>
        <v>2086.3000000000002</v>
      </c>
    </row>
    <row r="4897" spans="1:9" x14ac:dyDescent="0.25">
      <c r="A4897" s="5" t="s">
        <v>84</v>
      </c>
      <c r="B4897" s="5" t="s">
        <v>644</v>
      </c>
      <c r="C4897" s="5" t="s">
        <v>5374</v>
      </c>
      <c r="D4897" s="3">
        <f>VLOOKUP(A4897,airports!A:H,7,FALSE)</f>
        <v>25.79325</v>
      </c>
      <c r="E4897" s="3">
        <f>VLOOKUP(A4897,airports!A:H,8,FALSE)</f>
        <v>-80.290555560000001</v>
      </c>
      <c r="F4897" s="3">
        <f>VLOOKUP(B4897,airports!A:H,7,FALSE)</f>
        <v>38.747686940000001</v>
      </c>
      <c r="G4897" s="3">
        <f>VLOOKUP(B4897,airports!A:H,8,FALSE)</f>
        <v>-90.359989720000002</v>
      </c>
      <c r="H4897">
        <f t="shared" si="152"/>
        <v>1721.1</v>
      </c>
      <c r="I4897">
        <f t="shared" si="153"/>
        <v>1069.5</v>
      </c>
    </row>
    <row r="4898" spans="1:9" x14ac:dyDescent="0.25">
      <c r="A4898" s="5" t="s">
        <v>84</v>
      </c>
      <c r="B4898" s="5" t="s">
        <v>140</v>
      </c>
      <c r="C4898" s="5" t="s">
        <v>5375</v>
      </c>
      <c r="D4898" s="3">
        <f>VLOOKUP(A4898,airports!A:H,7,FALSE)</f>
        <v>25.79325</v>
      </c>
      <c r="E4898" s="3">
        <f>VLOOKUP(A4898,airports!A:H,8,FALSE)</f>
        <v>-80.290555560000001</v>
      </c>
      <c r="F4898" s="3">
        <f>VLOOKUP(B4898,airports!A:H,7,FALSE)</f>
        <v>18.337305560000001</v>
      </c>
      <c r="G4898" s="3">
        <f>VLOOKUP(B4898,airports!A:H,8,FALSE)</f>
        <v>-64.973361109999999</v>
      </c>
      <c r="H4898">
        <f t="shared" si="152"/>
        <v>1780.9</v>
      </c>
      <c r="I4898">
        <f t="shared" si="153"/>
        <v>1106.5999999999999</v>
      </c>
    </row>
    <row r="4899" spans="1:9" ht="30" x14ac:dyDescent="0.25">
      <c r="A4899" s="5" t="s">
        <v>84</v>
      </c>
      <c r="B4899" s="5" t="s">
        <v>647</v>
      </c>
      <c r="C4899" s="5" t="s">
        <v>5376</v>
      </c>
      <c r="D4899" s="3">
        <f>VLOOKUP(A4899,airports!A:H,7,FALSE)</f>
        <v>25.79325</v>
      </c>
      <c r="E4899" s="3">
        <f>VLOOKUP(A4899,airports!A:H,8,FALSE)</f>
        <v>-80.290555560000001</v>
      </c>
      <c r="F4899" s="3">
        <f>VLOOKUP(B4899,airports!A:H,7,FALSE)</f>
        <v>17.701888889999999</v>
      </c>
      <c r="G4899" s="3">
        <f>VLOOKUP(B4899,airports!A:H,8,FALSE)</f>
        <v>-64.798555559999997</v>
      </c>
      <c r="H4899">
        <f t="shared" si="152"/>
        <v>1833.3</v>
      </c>
      <c r="I4899">
        <f t="shared" si="153"/>
        <v>1139.3</v>
      </c>
    </row>
    <row r="4900" spans="1:9" ht="30" x14ac:dyDescent="0.25">
      <c r="A4900" s="5" t="s">
        <v>84</v>
      </c>
      <c r="B4900" s="5" t="s">
        <v>142</v>
      </c>
      <c r="C4900" s="5" t="s">
        <v>5377</v>
      </c>
      <c r="D4900" s="3">
        <f>VLOOKUP(A4900,airports!A:H,7,FALSE)</f>
        <v>25.79325</v>
      </c>
      <c r="E4900" s="3">
        <f>VLOOKUP(A4900,airports!A:H,8,FALSE)</f>
        <v>-80.290555560000001</v>
      </c>
      <c r="F4900" s="3">
        <f>VLOOKUP(B4900,airports!A:H,7,FALSE)</f>
        <v>41.504093609999998</v>
      </c>
      <c r="G4900" s="3">
        <f>VLOOKUP(B4900,airports!A:H,8,FALSE)</f>
        <v>-74.104838330000007</v>
      </c>
      <c r="H4900">
        <f t="shared" si="152"/>
        <v>1837.1</v>
      </c>
      <c r="I4900">
        <f t="shared" si="153"/>
        <v>1141.5999999999999</v>
      </c>
    </row>
    <row r="4901" spans="1:9" ht="30" x14ac:dyDescent="0.25">
      <c r="A4901" s="5" t="s">
        <v>84</v>
      </c>
      <c r="B4901" s="5" t="s">
        <v>144</v>
      </c>
      <c r="C4901" s="5" t="s">
        <v>5378</v>
      </c>
      <c r="D4901" s="3">
        <f>VLOOKUP(A4901,airports!A:H,7,FALSE)</f>
        <v>25.79325</v>
      </c>
      <c r="E4901" s="3">
        <f>VLOOKUP(A4901,airports!A:H,8,FALSE)</f>
        <v>-80.290555560000001</v>
      </c>
      <c r="F4901" s="3">
        <f>VLOOKUP(B4901,airports!A:H,7,FALSE)</f>
        <v>43.111186940000003</v>
      </c>
      <c r="G4901" s="3">
        <f>VLOOKUP(B4901,airports!A:H,8,FALSE)</f>
        <v>-76.106310559999997</v>
      </c>
      <c r="H4901">
        <f t="shared" si="152"/>
        <v>1962.8</v>
      </c>
      <c r="I4901">
        <f t="shared" si="153"/>
        <v>1219.7</v>
      </c>
    </row>
    <row r="4902" spans="1:9" ht="30" x14ac:dyDescent="0.25">
      <c r="A4902" s="5" t="s">
        <v>84</v>
      </c>
      <c r="B4902" s="5" t="s">
        <v>651</v>
      </c>
      <c r="C4902" s="5" t="s">
        <v>5379</v>
      </c>
      <c r="D4902" s="3">
        <f>VLOOKUP(A4902,airports!A:H,7,FALSE)</f>
        <v>25.79325</v>
      </c>
      <c r="E4902" s="3">
        <f>VLOOKUP(A4902,airports!A:H,8,FALSE)</f>
        <v>-80.290555560000001</v>
      </c>
      <c r="F4902" s="3">
        <f>VLOOKUP(B4902,airports!A:H,7,FALSE)</f>
        <v>30.39652778</v>
      </c>
      <c r="G4902" s="3">
        <f>VLOOKUP(B4902,airports!A:H,8,FALSE)</f>
        <v>-84.350333329999998</v>
      </c>
      <c r="H4902">
        <f t="shared" si="152"/>
        <v>648.4</v>
      </c>
      <c r="I4902">
        <f t="shared" si="153"/>
        <v>402.9</v>
      </c>
    </row>
    <row r="4903" spans="1:9" ht="30" x14ac:dyDescent="0.25">
      <c r="A4903" s="5" t="s">
        <v>84</v>
      </c>
      <c r="B4903" s="5" t="s">
        <v>145</v>
      </c>
      <c r="C4903" s="5" t="s">
        <v>5380</v>
      </c>
      <c r="D4903" s="3">
        <f>VLOOKUP(A4903,airports!A:H,7,FALSE)</f>
        <v>25.79325</v>
      </c>
      <c r="E4903" s="3">
        <f>VLOOKUP(A4903,airports!A:H,8,FALSE)</f>
        <v>-80.290555560000001</v>
      </c>
      <c r="F4903" s="3">
        <f>VLOOKUP(B4903,airports!A:H,7,FALSE)</f>
        <v>27.97547222</v>
      </c>
      <c r="G4903" s="3">
        <f>VLOOKUP(B4903,airports!A:H,8,FALSE)</f>
        <v>-82.533249999999995</v>
      </c>
      <c r="H4903">
        <f t="shared" si="152"/>
        <v>329.2</v>
      </c>
      <c r="I4903">
        <f t="shared" si="153"/>
        <v>204.5</v>
      </c>
    </row>
    <row r="4904" spans="1:9" ht="30" x14ac:dyDescent="0.25">
      <c r="A4904" s="5" t="s">
        <v>84</v>
      </c>
      <c r="B4904" s="5" t="s">
        <v>656</v>
      </c>
      <c r="C4904" s="5" t="s">
        <v>5381</v>
      </c>
      <c r="D4904" s="3">
        <f>VLOOKUP(A4904,airports!A:H,7,FALSE)</f>
        <v>25.79325</v>
      </c>
      <c r="E4904" s="3">
        <f>VLOOKUP(A4904,airports!A:H,8,FALSE)</f>
        <v>-80.290555560000001</v>
      </c>
      <c r="F4904" s="3">
        <f>VLOOKUP(B4904,airports!A:H,7,FALSE)</f>
        <v>40.276691110000002</v>
      </c>
      <c r="G4904" s="3">
        <f>VLOOKUP(B4904,airports!A:H,8,FALSE)</f>
        <v>-74.813468330000006</v>
      </c>
      <c r="H4904">
        <f t="shared" si="152"/>
        <v>1688.5</v>
      </c>
      <c r="I4904">
        <f t="shared" si="153"/>
        <v>1049.3</v>
      </c>
    </row>
    <row r="4905" spans="1:9" ht="30" x14ac:dyDescent="0.25">
      <c r="A4905" s="5" t="s">
        <v>84</v>
      </c>
      <c r="B4905" s="5" t="s">
        <v>658</v>
      </c>
      <c r="C4905" s="5" t="s">
        <v>5382</v>
      </c>
      <c r="D4905" s="3">
        <f>VLOOKUP(A4905,airports!A:H,7,FALSE)</f>
        <v>25.79325</v>
      </c>
      <c r="E4905" s="3">
        <f>VLOOKUP(A4905,airports!A:H,8,FALSE)</f>
        <v>-80.290555560000001</v>
      </c>
      <c r="F4905" s="3">
        <f>VLOOKUP(B4905,airports!A:H,7,FALSE)</f>
        <v>36.198372220000003</v>
      </c>
      <c r="G4905" s="3">
        <f>VLOOKUP(B4905,airports!A:H,8,FALSE)</f>
        <v>-95.888241669999999</v>
      </c>
      <c r="H4905">
        <f t="shared" si="152"/>
        <v>1879.5</v>
      </c>
      <c r="I4905">
        <f t="shared" si="153"/>
        <v>1168</v>
      </c>
    </row>
    <row r="4906" spans="1:9" x14ac:dyDescent="0.25">
      <c r="A4906" s="5" t="s">
        <v>84</v>
      </c>
      <c r="B4906" s="5" t="s">
        <v>664</v>
      </c>
      <c r="C4906" s="5" t="s">
        <v>5383</v>
      </c>
      <c r="D4906" s="3">
        <f>VLOOKUP(A4906,airports!A:H,7,FALSE)</f>
        <v>25.79325</v>
      </c>
      <c r="E4906" s="3">
        <f>VLOOKUP(A4906,airports!A:H,8,FALSE)</f>
        <v>-80.290555560000001</v>
      </c>
      <c r="F4906" s="3">
        <f>VLOOKUP(B4906,airports!A:H,7,FALSE)</f>
        <v>35.812487220000001</v>
      </c>
      <c r="G4906" s="3">
        <f>VLOOKUP(B4906,airports!A:H,8,FALSE)</f>
        <v>-83.992855829999996</v>
      </c>
      <c r="H4906">
        <f t="shared" si="152"/>
        <v>1168.5999999999999</v>
      </c>
      <c r="I4906">
        <f t="shared" si="153"/>
        <v>726.2</v>
      </c>
    </row>
    <row r="4907" spans="1:9" ht="30" x14ac:dyDescent="0.25">
      <c r="A4907" s="5" t="s">
        <v>84</v>
      </c>
      <c r="B4907" s="5" t="s">
        <v>670</v>
      </c>
      <c r="C4907" s="5" t="s">
        <v>5384</v>
      </c>
      <c r="D4907" s="3">
        <f>VLOOKUP(A4907,airports!A:H,7,FALSE)</f>
        <v>25.79325</v>
      </c>
      <c r="E4907" s="3">
        <f>VLOOKUP(A4907,airports!A:H,8,FALSE)</f>
        <v>-80.290555560000001</v>
      </c>
      <c r="F4907" s="3">
        <f>VLOOKUP(B4907,airports!A:H,7,FALSE)</f>
        <v>36.281869440000001</v>
      </c>
      <c r="G4907" s="3">
        <f>VLOOKUP(B4907,airports!A:H,8,FALSE)</f>
        <v>-94.306811109999998</v>
      </c>
      <c r="H4907">
        <f t="shared" si="152"/>
        <v>1769.4</v>
      </c>
      <c r="I4907">
        <f t="shared" si="153"/>
        <v>1099.5</v>
      </c>
    </row>
    <row r="4908" spans="1:9" ht="30" x14ac:dyDescent="0.25">
      <c r="A4908" s="5" t="s">
        <v>85</v>
      </c>
      <c r="B4908" s="5" t="s">
        <v>10</v>
      </c>
      <c r="C4908" s="5" t="s">
        <v>5385</v>
      </c>
      <c r="D4908" s="3">
        <f>VLOOKUP(A4908,airports!A:H,7,FALSE)</f>
        <v>42.94722222</v>
      </c>
      <c r="E4908" s="3">
        <f>VLOOKUP(A4908,airports!A:H,8,FALSE)</f>
        <v>-87.896583329999999</v>
      </c>
      <c r="F4908" s="3">
        <f>VLOOKUP(B4908,airports!A:H,7,FALSE)</f>
        <v>33.640444440000003</v>
      </c>
      <c r="G4908" s="3">
        <f>VLOOKUP(B4908,airports!A:H,8,FALSE)</f>
        <v>-84.42694444</v>
      </c>
      <c r="H4908">
        <f t="shared" si="152"/>
        <v>1078</v>
      </c>
      <c r="I4908">
        <f t="shared" si="153"/>
        <v>669.9</v>
      </c>
    </row>
    <row r="4909" spans="1:9" ht="30" x14ac:dyDescent="0.25">
      <c r="A4909" s="5" t="s">
        <v>85</v>
      </c>
      <c r="B4909" s="5" t="s">
        <v>416</v>
      </c>
      <c r="C4909" s="5" t="s">
        <v>5386</v>
      </c>
      <c r="D4909" s="3">
        <f>VLOOKUP(A4909,airports!A:H,7,FALSE)</f>
        <v>42.94722222</v>
      </c>
      <c r="E4909" s="3">
        <f>VLOOKUP(A4909,airports!A:H,8,FALSE)</f>
        <v>-87.896583329999999</v>
      </c>
      <c r="F4909" s="3">
        <f>VLOOKUP(B4909,airports!A:H,7,FALSE)</f>
        <v>44.257408060000003</v>
      </c>
      <c r="G4909" s="3">
        <f>VLOOKUP(B4909,airports!A:H,8,FALSE)</f>
        <v>-88.519475560000004</v>
      </c>
      <c r="H4909">
        <f t="shared" si="152"/>
        <v>154.1</v>
      </c>
      <c r="I4909">
        <f t="shared" si="153"/>
        <v>95.7</v>
      </c>
    </row>
    <row r="4910" spans="1:9" ht="30" x14ac:dyDescent="0.25">
      <c r="A4910" s="5" t="s">
        <v>85</v>
      </c>
      <c r="B4910" s="5" t="s">
        <v>13</v>
      </c>
      <c r="C4910" s="5" t="s">
        <v>5387</v>
      </c>
      <c r="D4910" s="3">
        <f>VLOOKUP(A4910,airports!A:H,7,FALSE)</f>
        <v>42.94722222</v>
      </c>
      <c r="E4910" s="3">
        <f>VLOOKUP(A4910,airports!A:H,8,FALSE)</f>
        <v>-87.896583329999999</v>
      </c>
      <c r="F4910" s="3">
        <f>VLOOKUP(B4910,airports!A:H,7,FALSE)</f>
        <v>30.194532779999999</v>
      </c>
      <c r="G4910" s="3">
        <f>VLOOKUP(B4910,airports!A:H,8,FALSE)</f>
        <v>-97.669871939999993</v>
      </c>
      <c r="H4910">
        <f t="shared" si="152"/>
        <v>1662.4</v>
      </c>
      <c r="I4910">
        <f t="shared" si="153"/>
        <v>1033</v>
      </c>
    </row>
    <row r="4911" spans="1:9" ht="30" x14ac:dyDescent="0.25">
      <c r="A4911" s="5" t="s">
        <v>85</v>
      </c>
      <c r="B4911" s="5" t="s">
        <v>329</v>
      </c>
      <c r="C4911" s="5" t="s">
        <v>5388</v>
      </c>
      <c r="D4911" s="3">
        <f>VLOOKUP(A4911,airports!A:H,7,FALSE)</f>
        <v>42.94722222</v>
      </c>
      <c r="E4911" s="3">
        <f>VLOOKUP(A4911,airports!A:H,8,FALSE)</f>
        <v>-87.896583329999999</v>
      </c>
      <c r="F4911" s="3">
        <f>VLOOKUP(B4911,airports!A:H,7,FALSE)</f>
        <v>33.308999999999997</v>
      </c>
      <c r="G4911" s="3">
        <f>VLOOKUP(B4911,airports!A:H,8,FALSE)</f>
        <v>-111.6559</v>
      </c>
      <c r="H4911">
        <f t="shared" si="152"/>
        <v>2326.9</v>
      </c>
      <c r="I4911">
        <f t="shared" si="153"/>
        <v>1446</v>
      </c>
    </row>
    <row r="4912" spans="1:9" ht="30" x14ac:dyDescent="0.25">
      <c r="A4912" s="5" t="s">
        <v>85</v>
      </c>
      <c r="B4912" s="5" t="s">
        <v>19</v>
      </c>
      <c r="C4912" s="5" t="s">
        <v>5389</v>
      </c>
      <c r="D4912" s="3">
        <f>VLOOKUP(A4912,airports!A:H,7,FALSE)</f>
        <v>42.94722222</v>
      </c>
      <c r="E4912" s="3">
        <f>VLOOKUP(A4912,airports!A:H,8,FALSE)</f>
        <v>-87.896583329999999</v>
      </c>
      <c r="F4912" s="3">
        <f>VLOOKUP(B4912,airports!A:H,7,FALSE)</f>
        <v>36.12447667</v>
      </c>
      <c r="G4912" s="3">
        <f>VLOOKUP(B4912,airports!A:H,8,FALSE)</f>
        <v>-86.678182219999997</v>
      </c>
      <c r="H4912">
        <f t="shared" si="152"/>
        <v>765.8</v>
      </c>
      <c r="I4912">
        <f t="shared" si="153"/>
        <v>475.9</v>
      </c>
    </row>
    <row r="4913" spans="1:9" ht="30" x14ac:dyDescent="0.25">
      <c r="A4913" s="5" t="s">
        <v>85</v>
      </c>
      <c r="B4913" s="5" t="s">
        <v>24</v>
      </c>
      <c r="C4913" s="5" t="s">
        <v>5390</v>
      </c>
      <c r="D4913" s="3">
        <f>VLOOKUP(A4913,airports!A:H,7,FALSE)</f>
        <v>42.94722222</v>
      </c>
      <c r="E4913" s="3">
        <f>VLOOKUP(A4913,airports!A:H,8,FALSE)</f>
        <v>-87.896583329999999</v>
      </c>
      <c r="F4913" s="3">
        <f>VLOOKUP(B4913,airports!A:H,7,FALSE)</f>
        <v>42.364347500000001</v>
      </c>
      <c r="G4913" s="3">
        <f>VLOOKUP(B4913,airports!A:H,8,FALSE)</f>
        <v>-71.005179170000005</v>
      </c>
      <c r="H4913">
        <f t="shared" si="152"/>
        <v>1380.5</v>
      </c>
      <c r="I4913">
        <f t="shared" si="153"/>
        <v>857.9</v>
      </c>
    </row>
    <row r="4914" spans="1:9" ht="30" x14ac:dyDescent="0.25">
      <c r="A4914" s="5" t="s">
        <v>85</v>
      </c>
      <c r="B4914" s="5" t="s">
        <v>32</v>
      </c>
      <c r="C4914" s="5" t="s">
        <v>5391</v>
      </c>
      <c r="D4914" s="3">
        <f>VLOOKUP(A4914,airports!A:H,7,FALSE)</f>
        <v>42.94722222</v>
      </c>
      <c r="E4914" s="3">
        <f>VLOOKUP(A4914,airports!A:H,8,FALSE)</f>
        <v>-87.896583329999999</v>
      </c>
      <c r="F4914" s="3">
        <f>VLOOKUP(B4914,airports!A:H,7,FALSE)</f>
        <v>39.175401669999999</v>
      </c>
      <c r="G4914" s="3">
        <f>VLOOKUP(B4914,airports!A:H,8,FALSE)</f>
        <v>-76.668198329999996</v>
      </c>
      <c r="H4914">
        <f t="shared" si="152"/>
        <v>1029.5</v>
      </c>
      <c r="I4914">
        <f t="shared" si="153"/>
        <v>639.70000000000005</v>
      </c>
    </row>
    <row r="4915" spans="1:9" ht="30" x14ac:dyDescent="0.25">
      <c r="A4915" s="5" t="s">
        <v>85</v>
      </c>
      <c r="B4915" s="5" t="s">
        <v>36</v>
      </c>
      <c r="C4915" s="5" t="s">
        <v>5392</v>
      </c>
      <c r="D4915" s="3">
        <f>VLOOKUP(A4915,airports!A:H,7,FALSE)</f>
        <v>42.94722222</v>
      </c>
      <c r="E4915" s="3">
        <f>VLOOKUP(A4915,airports!A:H,8,FALSE)</f>
        <v>-87.896583329999999</v>
      </c>
      <c r="F4915" s="3">
        <f>VLOOKUP(B4915,airports!A:H,7,FALSE)</f>
        <v>32.898646390000003</v>
      </c>
      <c r="G4915" s="3">
        <f>VLOOKUP(B4915,airports!A:H,8,FALSE)</f>
        <v>-80.040505830000001</v>
      </c>
      <c r="H4915">
        <f t="shared" si="152"/>
        <v>1311.3</v>
      </c>
      <c r="I4915">
        <f t="shared" si="153"/>
        <v>814.9</v>
      </c>
    </row>
    <row r="4916" spans="1:9" ht="30" x14ac:dyDescent="0.25">
      <c r="A4916" s="5" t="s">
        <v>85</v>
      </c>
      <c r="B4916" s="5" t="s">
        <v>38</v>
      </c>
      <c r="C4916" s="5" t="s">
        <v>5393</v>
      </c>
      <c r="D4916" s="3">
        <f>VLOOKUP(A4916,airports!A:H,7,FALSE)</f>
        <v>42.94722222</v>
      </c>
      <c r="E4916" s="3">
        <f>VLOOKUP(A4916,airports!A:H,8,FALSE)</f>
        <v>-87.896583329999999</v>
      </c>
      <c r="F4916" s="3">
        <f>VLOOKUP(B4916,airports!A:H,7,FALSE)</f>
        <v>41.410894169999999</v>
      </c>
      <c r="G4916" s="3">
        <f>VLOOKUP(B4916,airports!A:H,8,FALSE)</f>
        <v>-81.849396670000004</v>
      </c>
      <c r="H4916">
        <f t="shared" si="152"/>
        <v>526.6</v>
      </c>
      <c r="I4916">
        <f t="shared" si="153"/>
        <v>327.2</v>
      </c>
    </row>
    <row r="4917" spans="1:9" ht="30" x14ac:dyDescent="0.25">
      <c r="A4917" s="5" t="s">
        <v>85</v>
      </c>
      <c r="B4917" s="5" t="s">
        <v>40</v>
      </c>
      <c r="C4917" s="5" t="s">
        <v>5394</v>
      </c>
      <c r="D4917" s="3">
        <f>VLOOKUP(A4917,airports!A:H,7,FALSE)</f>
        <v>42.94722222</v>
      </c>
      <c r="E4917" s="3">
        <f>VLOOKUP(A4917,airports!A:H,8,FALSE)</f>
        <v>-87.896583329999999</v>
      </c>
      <c r="F4917" s="3">
        <f>VLOOKUP(B4917,airports!A:H,7,FALSE)</f>
        <v>35.214011110000001</v>
      </c>
      <c r="G4917" s="3">
        <f>VLOOKUP(B4917,airports!A:H,8,FALSE)</f>
        <v>-80.94312583</v>
      </c>
      <c r="H4917">
        <f t="shared" si="152"/>
        <v>1047.8</v>
      </c>
      <c r="I4917">
        <f t="shared" si="153"/>
        <v>651.1</v>
      </c>
    </row>
    <row r="4918" spans="1:9" ht="30" x14ac:dyDescent="0.25">
      <c r="A4918" s="5" t="s">
        <v>85</v>
      </c>
      <c r="B4918" s="5" t="s">
        <v>462</v>
      </c>
      <c r="C4918" s="5" t="s">
        <v>5395</v>
      </c>
      <c r="D4918" s="3">
        <f>VLOOKUP(A4918,airports!A:H,7,FALSE)</f>
        <v>42.94722222</v>
      </c>
      <c r="E4918" s="3">
        <f>VLOOKUP(A4918,airports!A:H,8,FALSE)</f>
        <v>-87.896583329999999</v>
      </c>
      <c r="F4918" s="3">
        <f>VLOOKUP(B4918,airports!A:H,7,FALSE)</f>
        <v>39.046142779999997</v>
      </c>
      <c r="G4918" s="3">
        <f>VLOOKUP(B4918,airports!A:H,8,FALSE)</f>
        <v>-84.662172499999997</v>
      </c>
      <c r="H4918">
        <f t="shared" si="152"/>
        <v>511.6</v>
      </c>
      <c r="I4918">
        <f t="shared" si="153"/>
        <v>317.89999999999998</v>
      </c>
    </row>
    <row r="4919" spans="1:9" ht="30" x14ac:dyDescent="0.25">
      <c r="A4919" s="5" t="s">
        <v>85</v>
      </c>
      <c r="B4919" s="5" t="s">
        <v>201</v>
      </c>
      <c r="C4919" s="5" t="s">
        <v>5396</v>
      </c>
      <c r="D4919" s="3">
        <f>VLOOKUP(A4919,airports!A:H,7,FALSE)</f>
        <v>42.94722222</v>
      </c>
      <c r="E4919" s="3">
        <f>VLOOKUP(A4919,airports!A:H,8,FALSE)</f>
        <v>-87.896583329999999</v>
      </c>
      <c r="F4919" s="3">
        <f>VLOOKUP(B4919,airports!A:H,7,FALSE)</f>
        <v>32.847113890000003</v>
      </c>
      <c r="G4919" s="3">
        <f>VLOOKUP(B4919,airports!A:H,8,FALSE)</f>
        <v>-96.851772220000001</v>
      </c>
      <c r="H4919">
        <f t="shared" si="152"/>
        <v>1368.9</v>
      </c>
      <c r="I4919">
        <f t="shared" si="153"/>
        <v>850.6</v>
      </c>
    </row>
    <row r="4920" spans="1:9" ht="30" x14ac:dyDescent="0.25">
      <c r="A4920" s="5" t="s">
        <v>85</v>
      </c>
      <c r="B4920" s="5" t="s">
        <v>45</v>
      </c>
      <c r="C4920" s="5" t="s">
        <v>5397</v>
      </c>
      <c r="D4920" s="3">
        <f>VLOOKUP(A4920,airports!A:H,7,FALSE)</f>
        <v>42.94722222</v>
      </c>
      <c r="E4920" s="3">
        <f>VLOOKUP(A4920,airports!A:H,8,FALSE)</f>
        <v>-87.896583329999999</v>
      </c>
      <c r="F4920" s="3">
        <f>VLOOKUP(B4920,airports!A:H,7,FALSE)</f>
        <v>38.852083329999999</v>
      </c>
      <c r="G4920" s="3">
        <f>VLOOKUP(B4920,airports!A:H,8,FALSE)</f>
        <v>-77.037722220000006</v>
      </c>
      <c r="H4920">
        <f t="shared" si="152"/>
        <v>1018.9</v>
      </c>
      <c r="I4920">
        <f t="shared" si="153"/>
        <v>633.1</v>
      </c>
    </row>
    <row r="4921" spans="1:9" ht="30" x14ac:dyDescent="0.25">
      <c r="A4921" s="5" t="s">
        <v>85</v>
      </c>
      <c r="B4921" s="5" t="s">
        <v>47</v>
      </c>
      <c r="C4921" s="5" t="s">
        <v>5398</v>
      </c>
      <c r="D4921" s="3">
        <f>VLOOKUP(A4921,airports!A:H,7,FALSE)</f>
        <v>42.94722222</v>
      </c>
      <c r="E4921" s="3">
        <f>VLOOKUP(A4921,airports!A:H,8,FALSE)</f>
        <v>-87.896583329999999</v>
      </c>
      <c r="F4921" s="3">
        <f>VLOOKUP(B4921,airports!A:H,7,FALSE)</f>
        <v>39.858408060000002</v>
      </c>
      <c r="G4921" s="3">
        <f>VLOOKUP(B4921,airports!A:H,8,FALSE)</f>
        <v>-104.6670019</v>
      </c>
      <c r="H4921">
        <f t="shared" si="152"/>
        <v>1437.6</v>
      </c>
      <c r="I4921">
        <f t="shared" si="153"/>
        <v>893.3</v>
      </c>
    </row>
    <row r="4922" spans="1:9" ht="30" x14ac:dyDescent="0.25">
      <c r="A4922" s="5" t="s">
        <v>85</v>
      </c>
      <c r="B4922" s="5" t="s">
        <v>49</v>
      </c>
      <c r="C4922" s="5" t="s">
        <v>5399</v>
      </c>
      <c r="D4922" s="3">
        <f>VLOOKUP(A4922,airports!A:H,7,FALSE)</f>
        <v>42.94722222</v>
      </c>
      <c r="E4922" s="3">
        <f>VLOOKUP(A4922,airports!A:H,8,FALSE)</f>
        <v>-87.896583329999999</v>
      </c>
      <c r="F4922" s="3">
        <f>VLOOKUP(B4922,airports!A:H,7,FALSE)</f>
        <v>32.895950560000003</v>
      </c>
      <c r="G4922" s="3">
        <f>VLOOKUP(B4922,airports!A:H,8,FALSE)</f>
        <v>-97.037199999999999</v>
      </c>
      <c r="H4922">
        <f t="shared" si="152"/>
        <v>1373.6</v>
      </c>
      <c r="I4922">
        <f t="shared" si="153"/>
        <v>853.6</v>
      </c>
    </row>
    <row r="4923" spans="1:9" ht="30" x14ac:dyDescent="0.25">
      <c r="A4923" s="5" t="s">
        <v>85</v>
      </c>
      <c r="B4923" s="5" t="s">
        <v>50</v>
      </c>
      <c r="C4923" s="5" t="s">
        <v>5400</v>
      </c>
      <c r="D4923" s="3">
        <f>VLOOKUP(A4923,airports!A:H,7,FALSE)</f>
        <v>42.94722222</v>
      </c>
      <c r="E4923" s="3">
        <f>VLOOKUP(A4923,airports!A:H,8,FALSE)</f>
        <v>-87.896583329999999</v>
      </c>
      <c r="F4923" s="3">
        <f>VLOOKUP(B4923,airports!A:H,7,FALSE)</f>
        <v>42.212058890000002</v>
      </c>
      <c r="G4923" s="3">
        <f>VLOOKUP(B4923,airports!A:H,8,FALSE)</f>
        <v>-83.348835829999999</v>
      </c>
      <c r="H4923">
        <f t="shared" si="152"/>
        <v>381.2</v>
      </c>
      <c r="I4923">
        <f t="shared" si="153"/>
        <v>236.9</v>
      </c>
    </row>
    <row r="4924" spans="1:9" ht="30" x14ac:dyDescent="0.25">
      <c r="A4924" s="5" t="s">
        <v>85</v>
      </c>
      <c r="B4924" s="5" t="s">
        <v>2843</v>
      </c>
      <c r="C4924" s="5" t="s">
        <v>5401</v>
      </c>
      <c r="D4924" s="3">
        <f>VLOOKUP(A4924,airports!A:H,7,FALSE)</f>
        <v>42.94722222</v>
      </c>
      <c r="E4924" s="3">
        <f>VLOOKUP(A4924,airports!A:H,8,FALSE)</f>
        <v>-87.896583329999999</v>
      </c>
      <c r="F4924" s="3">
        <f>VLOOKUP(B4924,airports!A:H,7,FALSE)</f>
        <v>45.722669719999999</v>
      </c>
      <c r="G4924" s="3">
        <f>VLOOKUP(B4924,airports!A:H,8,FALSE)</f>
        <v>-87.093731390000002</v>
      </c>
      <c r="H4924">
        <f t="shared" si="152"/>
        <v>315.10000000000002</v>
      </c>
      <c r="I4924">
        <f t="shared" si="153"/>
        <v>195.8</v>
      </c>
    </row>
    <row r="4925" spans="1:9" ht="30" x14ac:dyDescent="0.25">
      <c r="A4925" s="5" t="s">
        <v>85</v>
      </c>
      <c r="B4925" s="5" t="s">
        <v>52</v>
      </c>
      <c r="C4925" s="5" t="s">
        <v>5402</v>
      </c>
      <c r="D4925" s="3">
        <f>VLOOKUP(A4925,airports!A:H,7,FALSE)</f>
        <v>42.94722222</v>
      </c>
      <c r="E4925" s="3">
        <f>VLOOKUP(A4925,airports!A:H,8,FALSE)</f>
        <v>-87.896583329999999</v>
      </c>
      <c r="F4925" s="3">
        <f>VLOOKUP(B4925,airports!A:H,7,FALSE)</f>
        <v>40.69249722</v>
      </c>
      <c r="G4925" s="3">
        <f>VLOOKUP(B4925,airports!A:H,8,FALSE)</f>
        <v>-74.168660560000006</v>
      </c>
      <c r="H4925">
        <f t="shared" si="152"/>
        <v>1163.5</v>
      </c>
      <c r="I4925">
        <f t="shared" si="153"/>
        <v>723</v>
      </c>
    </row>
    <row r="4926" spans="1:9" x14ac:dyDescent="0.25">
      <c r="A4926" s="5" t="s">
        <v>85</v>
      </c>
      <c r="B4926" s="5" t="s">
        <v>57</v>
      </c>
      <c r="C4926" s="5" t="s">
        <v>5403</v>
      </c>
      <c r="D4926" s="3">
        <f>VLOOKUP(A4926,airports!A:H,7,FALSE)</f>
        <v>42.94722222</v>
      </c>
      <c r="E4926" s="3">
        <f>VLOOKUP(A4926,airports!A:H,8,FALSE)</f>
        <v>-87.896583329999999</v>
      </c>
      <c r="F4926" s="3">
        <f>VLOOKUP(B4926,airports!A:H,7,FALSE)</f>
        <v>26.072583330000001</v>
      </c>
      <c r="G4926" s="3">
        <f>VLOOKUP(B4926,airports!A:H,8,FALSE)</f>
        <v>-80.152749999999997</v>
      </c>
      <c r="H4926">
        <f t="shared" si="152"/>
        <v>2003.8</v>
      </c>
      <c r="I4926">
        <f t="shared" si="153"/>
        <v>1245.2</v>
      </c>
    </row>
    <row r="4927" spans="1:9" ht="30" x14ac:dyDescent="0.25">
      <c r="A4927" s="5" t="s">
        <v>85</v>
      </c>
      <c r="B4927" s="5" t="s">
        <v>205</v>
      </c>
      <c r="C4927" s="5" t="s">
        <v>5404</v>
      </c>
      <c r="D4927" s="3">
        <f>VLOOKUP(A4927,airports!A:H,7,FALSE)</f>
        <v>42.94722222</v>
      </c>
      <c r="E4927" s="3">
        <f>VLOOKUP(A4927,airports!A:H,8,FALSE)</f>
        <v>-87.896583329999999</v>
      </c>
      <c r="F4927" s="3">
        <f>VLOOKUP(B4927,airports!A:H,7,FALSE)</f>
        <v>29.64541861</v>
      </c>
      <c r="G4927" s="3">
        <f>VLOOKUP(B4927,airports!A:H,8,FALSE)</f>
        <v>-95.278888890000005</v>
      </c>
      <c r="H4927">
        <f t="shared" si="152"/>
        <v>1618.7</v>
      </c>
      <c r="I4927">
        <f t="shared" si="153"/>
        <v>1005.8</v>
      </c>
    </row>
    <row r="4928" spans="1:9" ht="30" x14ac:dyDescent="0.25">
      <c r="A4928" s="5" t="s">
        <v>85</v>
      </c>
      <c r="B4928" s="5" t="s">
        <v>176</v>
      </c>
      <c r="C4928" s="5" t="s">
        <v>5405</v>
      </c>
      <c r="D4928" s="3">
        <f>VLOOKUP(A4928,airports!A:H,7,FALSE)</f>
        <v>42.94722222</v>
      </c>
      <c r="E4928" s="3">
        <f>VLOOKUP(A4928,airports!A:H,8,FALSE)</f>
        <v>-87.896583329999999</v>
      </c>
      <c r="F4928" s="3">
        <f>VLOOKUP(B4928,airports!A:H,7,FALSE)</f>
        <v>38.944531939999997</v>
      </c>
      <c r="G4928" s="3">
        <f>VLOOKUP(B4928,airports!A:H,8,FALSE)</f>
        <v>-77.455809720000005</v>
      </c>
      <c r="H4928">
        <f t="shared" si="152"/>
        <v>982.4</v>
      </c>
      <c r="I4928">
        <f t="shared" si="153"/>
        <v>610.5</v>
      </c>
    </row>
    <row r="4929" spans="1:9" ht="30" x14ac:dyDescent="0.25">
      <c r="A4929" s="5" t="s">
        <v>85</v>
      </c>
      <c r="B4929" s="5" t="s">
        <v>67</v>
      </c>
      <c r="C4929" s="5" t="s">
        <v>5406</v>
      </c>
      <c r="D4929" s="3">
        <f>VLOOKUP(A4929,airports!A:H,7,FALSE)</f>
        <v>42.94722222</v>
      </c>
      <c r="E4929" s="3">
        <f>VLOOKUP(A4929,airports!A:H,8,FALSE)</f>
        <v>-87.896583329999999</v>
      </c>
      <c r="F4929" s="3">
        <f>VLOOKUP(B4929,airports!A:H,7,FALSE)</f>
        <v>29.980472219999999</v>
      </c>
      <c r="G4929" s="3">
        <f>VLOOKUP(B4929,airports!A:H,8,FALSE)</f>
        <v>-95.339722219999999</v>
      </c>
      <c r="H4929">
        <f t="shared" si="152"/>
        <v>1586.4</v>
      </c>
      <c r="I4929">
        <f t="shared" si="153"/>
        <v>985.8</v>
      </c>
    </row>
    <row r="4930" spans="1:9" ht="30" x14ac:dyDescent="0.25">
      <c r="A4930" s="5" t="s">
        <v>85</v>
      </c>
      <c r="B4930" s="5" t="s">
        <v>68</v>
      </c>
      <c r="C4930" s="5" t="s">
        <v>5407</v>
      </c>
      <c r="D4930" s="3">
        <f>VLOOKUP(A4930,airports!A:H,7,FALSE)</f>
        <v>42.94722222</v>
      </c>
      <c r="E4930" s="3">
        <f>VLOOKUP(A4930,airports!A:H,8,FALSE)</f>
        <v>-87.896583329999999</v>
      </c>
      <c r="F4930" s="3">
        <f>VLOOKUP(B4930,airports!A:H,7,FALSE)</f>
        <v>30.49405556</v>
      </c>
      <c r="G4930" s="3">
        <f>VLOOKUP(B4930,airports!A:H,8,FALSE)</f>
        <v>-81.68786111</v>
      </c>
      <c r="H4930">
        <f t="shared" si="152"/>
        <v>1490.1</v>
      </c>
      <c r="I4930">
        <f t="shared" si="153"/>
        <v>926</v>
      </c>
    </row>
    <row r="4931" spans="1:9" ht="30" x14ac:dyDescent="0.25">
      <c r="A4931" s="5" t="s">
        <v>85</v>
      </c>
      <c r="B4931" s="5" t="s">
        <v>69</v>
      </c>
      <c r="C4931" s="5" t="s">
        <v>5408</v>
      </c>
      <c r="D4931" s="3">
        <f>VLOOKUP(A4931,airports!A:H,7,FALSE)</f>
        <v>42.94722222</v>
      </c>
      <c r="E4931" s="3">
        <f>VLOOKUP(A4931,airports!A:H,8,FALSE)</f>
        <v>-87.896583329999999</v>
      </c>
      <c r="F4931" s="3">
        <f>VLOOKUP(B4931,airports!A:H,7,FALSE)</f>
        <v>40.639751109999999</v>
      </c>
      <c r="G4931" s="3">
        <f>VLOOKUP(B4931,airports!A:H,8,FALSE)</f>
        <v>-73.778925560000005</v>
      </c>
      <c r="H4931">
        <f t="shared" si="152"/>
        <v>1196.5999999999999</v>
      </c>
      <c r="I4931">
        <f t="shared" si="153"/>
        <v>743.6</v>
      </c>
    </row>
    <row r="4932" spans="1:9" ht="30" x14ac:dyDescent="0.25">
      <c r="A4932" s="5" t="s">
        <v>85</v>
      </c>
      <c r="B4932" s="5" t="s">
        <v>71</v>
      </c>
      <c r="C4932" s="5" t="s">
        <v>5409</v>
      </c>
      <c r="D4932" s="3">
        <f>VLOOKUP(A4932,airports!A:H,7,FALSE)</f>
        <v>42.94722222</v>
      </c>
      <c r="E4932" s="3">
        <f>VLOOKUP(A4932,airports!A:H,8,FALSE)</f>
        <v>-87.896583329999999</v>
      </c>
      <c r="F4932" s="3">
        <f>VLOOKUP(B4932,airports!A:H,7,FALSE)</f>
        <v>36.080361109999998</v>
      </c>
      <c r="G4932" s="3">
        <f>VLOOKUP(B4932,airports!A:H,8,FALSE)</f>
        <v>-115.1523333</v>
      </c>
      <c r="H4932">
        <f t="shared" ref="H4932:H4995" si="154">ROUND(ACOS(COS(RADIANS(90-D4932)) * COS(RADIANS(90-F4932)) + SIN(RADIANS(90-D4932)) * SIN(RADIANS(90-F4932)) * COS(RADIANS(E4932-G4932))) * 6371,1)</f>
        <v>2447</v>
      </c>
      <c r="I4932">
        <f t="shared" ref="I4932:I4995" si="155">ROUND(ACOS(COS(RADIANS(90-D4932)) * COS(RADIANS(90-F4932)) + SIN(RADIANS(90-D4932)) * SIN(RADIANS(90-F4932)) * COS(RADIANS(E4932-G4932))) * 3959,1)</f>
        <v>1520.6</v>
      </c>
    </row>
    <row r="4933" spans="1:9" ht="30" x14ac:dyDescent="0.25">
      <c r="A4933" s="5" t="s">
        <v>85</v>
      </c>
      <c r="B4933" s="5" t="s">
        <v>73</v>
      </c>
      <c r="C4933" s="5" t="s">
        <v>5410</v>
      </c>
      <c r="D4933" s="3">
        <f>VLOOKUP(A4933,airports!A:H,7,FALSE)</f>
        <v>42.94722222</v>
      </c>
      <c r="E4933" s="3">
        <f>VLOOKUP(A4933,airports!A:H,8,FALSE)</f>
        <v>-87.896583329999999</v>
      </c>
      <c r="F4933" s="3">
        <f>VLOOKUP(B4933,airports!A:H,7,FALSE)</f>
        <v>33.942536109999999</v>
      </c>
      <c r="G4933" s="3">
        <f>VLOOKUP(B4933,airports!A:H,8,FALSE)</f>
        <v>-118.4080744</v>
      </c>
      <c r="H4933">
        <f t="shared" si="154"/>
        <v>2820.6</v>
      </c>
      <c r="I4933">
        <f t="shared" si="155"/>
        <v>1752.7</v>
      </c>
    </row>
    <row r="4934" spans="1:9" ht="30" x14ac:dyDescent="0.25">
      <c r="A4934" s="5" t="s">
        <v>85</v>
      </c>
      <c r="B4934" s="5" t="s">
        <v>74</v>
      </c>
      <c r="C4934" s="5" t="s">
        <v>5411</v>
      </c>
      <c r="D4934" s="3">
        <f>VLOOKUP(A4934,airports!A:H,7,FALSE)</f>
        <v>42.94722222</v>
      </c>
      <c r="E4934" s="3">
        <f>VLOOKUP(A4934,airports!A:H,8,FALSE)</f>
        <v>-87.896583329999999</v>
      </c>
      <c r="F4934" s="3">
        <f>VLOOKUP(B4934,airports!A:H,7,FALSE)</f>
        <v>40.777243060000004</v>
      </c>
      <c r="G4934" s="3">
        <f>VLOOKUP(B4934,airports!A:H,8,FALSE)</f>
        <v>-73.872609170000004</v>
      </c>
      <c r="H4934">
        <f t="shared" si="154"/>
        <v>1184.7</v>
      </c>
      <c r="I4934">
        <f t="shared" si="155"/>
        <v>736.2</v>
      </c>
    </row>
    <row r="4935" spans="1:9" ht="30" x14ac:dyDescent="0.25">
      <c r="A4935" s="5" t="s">
        <v>85</v>
      </c>
      <c r="B4935" s="5" t="s">
        <v>80</v>
      </c>
      <c r="C4935" s="5" t="s">
        <v>5412</v>
      </c>
      <c r="D4935" s="3">
        <f>VLOOKUP(A4935,airports!A:H,7,FALSE)</f>
        <v>42.94722222</v>
      </c>
      <c r="E4935" s="3">
        <f>VLOOKUP(A4935,airports!A:H,8,FALSE)</f>
        <v>-87.896583329999999</v>
      </c>
      <c r="F4935" s="3">
        <f>VLOOKUP(B4935,airports!A:H,7,FALSE)</f>
        <v>39.297605279999999</v>
      </c>
      <c r="G4935" s="3">
        <f>VLOOKUP(B4935,airports!A:H,8,FALSE)</f>
        <v>-94.713905560000001</v>
      </c>
      <c r="H4935">
        <f t="shared" si="154"/>
        <v>700.2</v>
      </c>
      <c r="I4935">
        <f t="shared" si="155"/>
        <v>435.1</v>
      </c>
    </row>
    <row r="4936" spans="1:9" ht="30" x14ac:dyDescent="0.25">
      <c r="A4936" s="5" t="s">
        <v>85</v>
      </c>
      <c r="B4936" s="5" t="s">
        <v>82</v>
      </c>
      <c r="C4936" s="5" t="s">
        <v>5413</v>
      </c>
      <c r="D4936" s="3">
        <f>VLOOKUP(A4936,airports!A:H,7,FALSE)</f>
        <v>42.94722222</v>
      </c>
      <c r="E4936" s="3">
        <f>VLOOKUP(A4936,airports!A:H,8,FALSE)</f>
        <v>-87.896583329999999</v>
      </c>
      <c r="F4936" s="3">
        <f>VLOOKUP(B4936,airports!A:H,7,FALSE)</f>
        <v>28.42888889</v>
      </c>
      <c r="G4936" s="3">
        <f>VLOOKUP(B4936,airports!A:H,8,FALSE)</f>
        <v>-81.316027779999999</v>
      </c>
      <c r="H4936">
        <f t="shared" si="154"/>
        <v>1718.8</v>
      </c>
      <c r="I4936">
        <f t="shared" si="155"/>
        <v>1068.0999999999999</v>
      </c>
    </row>
    <row r="4937" spans="1:9" ht="30" x14ac:dyDescent="0.25">
      <c r="A4937" s="5" t="s">
        <v>85</v>
      </c>
      <c r="B4937" s="5" t="s">
        <v>84</v>
      </c>
      <c r="C4937" s="5" t="s">
        <v>5414</v>
      </c>
      <c r="D4937" s="3">
        <f>VLOOKUP(A4937,airports!A:H,7,FALSE)</f>
        <v>42.94722222</v>
      </c>
      <c r="E4937" s="3">
        <f>VLOOKUP(A4937,airports!A:H,8,FALSE)</f>
        <v>-87.896583329999999</v>
      </c>
      <c r="F4937" s="3">
        <f>VLOOKUP(B4937,airports!A:H,7,FALSE)</f>
        <v>25.79325</v>
      </c>
      <c r="G4937" s="3">
        <f>VLOOKUP(B4937,airports!A:H,8,FALSE)</f>
        <v>-80.290555560000001</v>
      </c>
      <c r="H4937">
        <f t="shared" si="154"/>
        <v>2028.9</v>
      </c>
      <c r="I4937">
        <f t="shared" si="155"/>
        <v>1260.8</v>
      </c>
    </row>
    <row r="4938" spans="1:9" ht="30" x14ac:dyDescent="0.25">
      <c r="A4938" s="5" t="s">
        <v>85</v>
      </c>
      <c r="B4938" s="5" t="s">
        <v>2886</v>
      </c>
      <c r="C4938" s="5" t="s">
        <v>5415</v>
      </c>
      <c r="D4938" s="3">
        <f>VLOOKUP(A4938,airports!A:H,7,FALSE)</f>
        <v>42.94722222</v>
      </c>
      <c r="E4938" s="3">
        <f>VLOOKUP(A4938,airports!A:H,8,FALSE)</f>
        <v>-87.896583329999999</v>
      </c>
      <c r="F4938" s="3">
        <f>VLOOKUP(B4938,airports!A:H,7,FALSE)</f>
        <v>46.353639000000001</v>
      </c>
      <c r="G4938" s="3">
        <f>VLOOKUP(B4938,airports!A:H,8,FALSE)</f>
        <v>-87.395360999999994</v>
      </c>
      <c r="H4938">
        <f t="shared" si="154"/>
        <v>380.8</v>
      </c>
      <c r="I4938">
        <f t="shared" si="155"/>
        <v>236.7</v>
      </c>
    </row>
    <row r="4939" spans="1:9" ht="30" x14ac:dyDescent="0.25">
      <c r="A4939" s="5" t="s">
        <v>85</v>
      </c>
      <c r="B4939" s="5" t="s">
        <v>87</v>
      </c>
      <c r="C4939" s="5" t="s">
        <v>5416</v>
      </c>
      <c r="D4939" s="3">
        <f>VLOOKUP(A4939,airports!A:H,7,FALSE)</f>
        <v>42.94722222</v>
      </c>
      <c r="E4939" s="3">
        <f>VLOOKUP(A4939,airports!A:H,8,FALSE)</f>
        <v>-87.896583329999999</v>
      </c>
      <c r="F4939" s="3">
        <f>VLOOKUP(B4939,airports!A:H,7,FALSE)</f>
        <v>44.880546940000002</v>
      </c>
      <c r="G4939" s="3">
        <f>VLOOKUP(B4939,airports!A:H,8,FALSE)</f>
        <v>-93.216922499999995</v>
      </c>
      <c r="H4939">
        <f t="shared" si="154"/>
        <v>477.2</v>
      </c>
      <c r="I4939">
        <f t="shared" si="155"/>
        <v>296.5</v>
      </c>
    </row>
    <row r="4940" spans="1:9" ht="30" x14ac:dyDescent="0.25">
      <c r="A4940" s="5" t="s">
        <v>85</v>
      </c>
      <c r="B4940" s="5" t="s">
        <v>182</v>
      </c>
      <c r="C4940" s="5" t="s">
        <v>5417</v>
      </c>
      <c r="D4940" s="3">
        <f>VLOOKUP(A4940,airports!A:H,7,FALSE)</f>
        <v>42.94722222</v>
      </c>
      <c r="E4940" s="3">
        <f>VLOOKUP(A4940,airports!A:H,8,FALSE)</f>
        <v>-87.896583329999999</v>
      </c>
      <c r="F4940" s="3">
        <f>VLOOKUP(B4940,airports!A:H,7,FALSE)</f>
        <v>33.679749999999999</v>
      </c>
      <c r="G4940" s="3">
        <f>VLOOKUP(B4940,airports!A:H,8,FALSE)</f>
        <v>-78.928333330000001</v>
      </c>
      <c r="H4940">
        <f t="shared" si="154"/>
        <v>1292.2</v>
      </c>
      <c r="I4940">
        <f t="shared" si="155"/>
        <v>803</v>
      </c>
    </row>
    <row r="4941" spans="1:9" ht="30" x14ac:dyDescent="0.25">
      <c r="A4941" s="5" t="s">
        <v>85</v>
      </c>
      <c r="B4941" s="5" t="s">
        <v>95</v>
      </c>
      <c r="C4941" s="5" t="s">
        <v>5418</v>
      </c>
      <c r="D4941" s="3">
        <f>VLOOKUP(A4941,airports!A:H,7,FALSE)</f>
        <v>42.94722222</v>
      </c>
      <c r="E4941" s="3">
        <f>VLOOKUP(A4941,airports!A:H,8,FALSE)</f>
        <v>-87.896583329999999</v>
      </c>
      <c r="F4941" s="3">
        <f>VLOOKUP(B4941,airports!A:H,7,FALSE)</f>
        <v>41.979595000000003</v>
      </c>
      <c r="G4941" s="3">
        <f>VLOOKUP(B4941,airports!A:H,8,FALSE)</f>
        <v>-87.904464169999997</v>
      </c>
      <c r="H4941">
        <f t="shared" si="154"/>
        <v>107.6</v>
      </c>
      <c r="I4941">
        <f t="shared" si="155"/>
        <v>66.900000000000006</v>
      </c>
    </row>
    <row r="4942" spans="1:9" ht="30" x14ac:dyDescent="0.25">
      <c r="A4942" s="5" t="s">
        <v>85</v>
      </c>
      <c r="B4942" s="5" t="s">
        <v>100</v>
      </c>
      <c r="C4942" s="5" t="s">
        <v>5419</v>
      </c>
      <c r="D4942" s="3">
        <f>VLOOKUP(A4942,airports!A:H,7,FALSE)</f>
        <v>42.94722222</v>
      </c>
      <c r="E4942" s="3">
        <f>VLOOKUP(A4942,airports!A:H,8,FALSE)</f>
        <v>-87.896583329999999</v>
      </c>
      <c r="F4942" s="3">
        <f>VLOOKUP(B4942,airports!A:H,7,FALSE)</f>
        <v>45.588722220000001</v>
      </c>
      <c r="G4942" s="3">
        <f>VLOOKUP(B4942,airports!A:H,8,FALSE)</f>
        <v>-122.5975</v>
      </c>
      <c r="H4942">
        <f t="shared" si="154"/>
        <v>2756.9</v>
      </c>
      <c r="I4942">
        <f t="shared" si="155"/>
        <v>1713.2</v>
      </c>
    </row>
    <row r="4943" spans="1:9" ht="30" x14ac:dyDescent="0.25">
      <c r="A4943" s="5" t="s">
        <v>85</v>
      </c>
      <c r="B4943" s="5" t="s">
        <v>185</v>
      </c>
      <c r="C4943" s="5" t="s">
        <v>5420</v>
      </c>
      <c r="D4943" s="3">
        <f>VLOOKUP(A4943,airports!A:H,7,FALSE)</f>
        <v>42.94722222</v>
      </c>
      <c r="E4943" s="3">
        <f>VLOOKUP(A4943,airports!A:H,8,FALSE)</f>
        <v>-87.896583329999999</v>
      </c>
      <c r="F4943" s="3">
        <f>VLOOKUP(B4943,airports!A:H,7,FALSE)</f>
        <v>26.919699999999999</v>
      </c>
      <c r="G4943" s="3">
        <f>VLOOKUP(B4943,airports!A:H,8,FALSE)</f>
        <v>-81.995999999999995</v>
      </c>
      <c r="H4943">
        <f t="shared" si="154"/>
        <v>1860.3</v>
      </c>
      <c r="I4943">
        <f t="shared" si="155"/>
        <v>1156</v>
      </c>
    </row>
    <row r="4944" spans="1:9" ht="30" x14ac:dyDescent="0.25">
      <c r="A4944" s="5" t="s">
        <v>85</v>
      </c>
      <c r="B4944" s="5" t="s">
        <v>102</v>
      </c>
      <c r="C4944" s="5" t="s">
        <v>5421</v>
      </c>
      <c r="D4944" s="3">
        <f>VLOOKUP(A4944,airports!A:H,7,FALSE)</f>
        <v>42.94722222</v>
      </c>
      <c r="E4944" s="3">
        <f>VLOOKUP(A4944,airports!A:H,8,FALSE)</f>
        <v>-87.896583329999999</v>
      </c>
      <c r="F4944" s="3">
        <f>VLOOKUP(B4944,airports!A:H,7,FALSE)</f>
        <v>39.871952780000001</v>
      </c>
      <c r="G4944" s="3">
        <f>VLOOKUP(B4944,airports!A:H,8,FALSE)</f>
        <v>-75.241140830000006</v>
      </c>
      <c r="H4944">
        <f t="shared" si="154"/>
        <v>1108.0999999999999</v>
      </c>
      <c r="I4944">
        <f t="shared" si="155"/>
        <v>688.6</v>
      </c>
    </row>
    <row r="4945" spans="1:9" ht="30" x14ac:dyDescent="0.25">
      <c r="A4945" s="5" t="s">
        <v>85</v>
      </c>
      <c r="B4945" s="5" t="s">
        <v>104</v>
      </c>
      <c r="C4945" s="5" t="s">
        <v>5422</v>
      </c>
      <c r="D4945" s="3">
        <f>VLOOKUP(A4945,airports!A:H,7,FALSE)</f>
        <v>42.94722222</v>
      </c>
      <c r="E4945" s="3">
        <f>VLOOKUP(A4945,airports!A:H,8,FALSE)</f>
        <v>-87.896583329999999</v>
      </c>
      <c r="F4945" s="3">
        <f>VLOOKUP(B4945,airports!A:H,7,FALSE)</f>
        <v>33.434166670000003</v>
      </c>
      <c r="G4945" s="3">
        <f>VLOOKUP(B4945,airports!A:H,8,FALSE)</f>
        <v>-112.00805560000001</v>
      </c>
      <c r="H4945">
        <f t="shared" si="154"/>
        <v>2346.1999999999998</v>
      </c>
      <c r="I4945">
        <f t="shared" si="155"/>
        <v>1458</v>
      </c>
    </row>
    <row r="4946" spans="1:9" x14ac:dyDescent="0.25">
      <c r="A4946" s="5" t="s">
        <v>85</v>
      </c>
      <c r="B4946" s="5" t="s">
        <v>188</v>
      </c>
      <c r="C4946" s="5" t="s">
        <v>5423</v>
      </c>
      <c r="D4946" s="3">
        <f>VLOOKUP(A4946,airports!A:H,7,FALSE)</f>
        <v>42.94722222</v>
      </c>
      <c r="E4946" s="3">
        <f>VLOOKUP(A4946,airports!A:H,8,FALSE)</f>
        <v>-87.896583329999999</v>
      </c>
      <c r="F4946" s="3">
        <f>VLOOKUP(B4946,airports!A:H,7,FALSE)</f>
        <v>27.910763330000002</v>
      </c>
      <c r="G4946" s="3">
        <f>VLOOKUP(B4946,airports!A:H,8,FALSE)</f>
        <v>-82.687439440000006</v>
      </c>
      <c r="H4946">
        <f t="shared" si="154"/>
        <v>1736.4</v>
      </c>
      <c r="I4946">
        <f t="shared" si="155"/>
        <v>1079</v>
      </c>
    </row>
    <row r="4947" spans="1:9" ht="30" x14ac:dyDescent="0.25">
      <c r="A4947" s="5" t="s">
        <v>85</v>
      </c>
      <c r="B4947" s="5" t="s">
        <v>607</v>
      </c>
      <c r="C4947" s="5" t="s">
        <v>5424</v>
      </c>
      <c r="D4947" s="3">
        <f>VLOOKUP(A4947,airports!A:H,7,FALSE)</f>
        <v>42.94722222</v>
      </c>
      <c r="E4947" s="3">
        <f>VLOOKUP(A4947,airports!A:H,8,FALSE)</f>
        <v>-87.896583329999999</v>
      </c>
      <c r="F4947" s="3">
        <f>VLOOKUP(B4947,airports!A:H,7,FALSE)</f>
        <v>30.47330556</v>
      </c>
      <c r="G4947" s="3">
        <f>VLOOKUP(B4947,airports!A:H,8,FALSE)</f>
        <v>-87.187444439999993</v>
      </c>
      <c r="H4947">
        <f t="shared" si="154"/>
        <v>1388.5</v>
      </c>
      <c r="I4947">
        <f t="shared" si="155"/>
        <v>862.8</v>
      </c>
    </row>
    <row r="4948" spans="1:9" ht="30" x14ac:dyDescent="0.25">
      <c r="A4948" s="5" t="s">
        <v>85</v>
      </c>
      <c r="B4948" s="5" t="s">
        <v>117</v>
      </c>
      <c r="C4948" s="5" t="s">
        <v>5425</v>
      </c>
      <c r="D4948" s="3">
        <f>VLOOKUP(A4948,airports!A:H,7,FALSE)</f>
        <v>42.94722222</v>
      </c>
      <c r="E4948" s="3">
        <f>VLOOKUP(A4948,airports!A:H,8,FALSE)</f>
        <v>-87.896583329999999</v>
      </c>
      <c r="F4948" s="3">
        <f>VLOOKUP(B4948,airports!A:H,7,FALSE)</f>
        <v>43.646166669999999</v>
      </c>
      <c r="G4948" s="3">
        <f>VLOOKUP(B4948,airports!A:H,8,FALSE)</f>
        <v>-70.308750000000003</v>
      </c>
      <c r="H4948">
        <f t="shared" si="154"/>
        <v>1422.8</v>
      </c>
      <c r="I4948">
        <f t="shared" si="155"/>
        <v>884.2</v>
      </c>
    </row>
    <row r="4949" spans="1:9" ht="30" x14ac:dyDescent="0.25">
      <c r="A4949" s="5" t="s">
        <v>85</v>
      </c>
      <c r="B4949" s="5" t="s">
        <v>119</v>
      </c>
      <c r="C4949" s="5" t="s">
        <v>5426</v>
      </c>
      <c r="D4949" s="3">
        <f>VLOOKUP(A4949,airports!A:H,7,FALSE)</f>
        <v>42.94722222</v>
      </c>
      <c r="E4949" s="3">
        <f>VLOOKUP(A4949,airports!A:H,8,FALSE)</f>
        <v>-87.896583329999999</v>
      </c>
      <c r="F4949" s="3">
        <f>VLOOKUP(B4949,airports!A:H,7,FALSE)</f>
        <v>35.87763889</v>
      </c>
      <c r="G4949" s="3">
        <f>VLOOKUP(B4949,airports!A:H,8,FALSE)</f>
        <v>-78.787472219999998</v>
      </c>
      <c r="H4949">
        <f t="shared" si="154"/>
        <v>1107.9000000000001</v>
      </c>
      <c r="I4949">
        <f t="shared" si="155"/>
        <v>688.5</v>
      </c>
    </row>
    <row r="4950" spans="1:9" ht="30" x14ac:dyDescent="0.25">
      <c r="A4950" s="5" t="s">
        <v>85</v>
      </c>
      <c r="B4950" s="5" t="s">
        <v>123</v>
      </c>
      <c r="C4950" s="5" t="s">
        <v>5427</v>
      </c>
      <c r="D4950" s="3">
        <f>VLOOKUP(A4950,airports!A:H,7,FALSE)</f>
        <v>42.94722222</v>
      </c>
      <c r="E4950" s="3">
        <f>VLOOKUP(A4950,airports!A:H,8,FALSE)</f>
        <v>-87.896583329999999</v>
      </c>
      <c r="F4950" s="3">
        <f>VLOOKUP(B4950,airports!A:H,7,FALSE)</f>
        <v>26.53616667</v>
      </c>
      <c r="G4950" s="3">
        <f>VLOOKUP(B4950,airports!A:H,8,FALSE)</f>
        <v>-81.755166669999994</v>
      </c>
      <c r="H4950">
        <f t="shared" si="154"/>
        <v>1907.7</v>
      </c>
      <c r="I4950">
        <f t="shared" si="155"/>
        <v>1185.5</v>
      </c>
    </row>
    <row r="4951" spans="1:9" ht="30" x14ac:dyDescent="0.25">
      <c r="A4951" s="5" t="s">
        <v>85</v>
      </c>
      <c r="B4951" s="5" t="s">
        <v>124</v>
      </c>
      <c r="C4951" s="5" t="s">
        <v>5428</v>
      </c>
      <c r="D4951" s="3">
        <f>VLOOKUP(A4951,airports!A:H,7,FALSE)</f>
        <v>42.94722222</v>
      </c>
      <c r="E4951" s="3">
        <f>VLOOKUP(A4951,airports!A:H,8,FALSE)</f>
        <v>-87.896583329999999</v>
      </c>
      <c r="F4951" s="3">
        <f>VLOOKUP(B4951,airports!A:H,7,FALSE)</f>
        <v>32.733556110000002</v>
      </c>
      <c r="G4951" s="3">
        <f>VLOOKUP(B4951,airports!A:H,8,FALSE)</f>
        <v>-117.1896567</v>
      </c>
      <c r="H4951">
        <f t="shared" si="154"/>
        <v>2793.3</v>
      </c>
      <c r="I4951">
        <f t="shared" si="155"/>
        <v>1735.8</v>
      </c>
    </row>
    <row r="4952" spans="1:9" ht="30" x14ac:dyDescent="0.25">
      <c r="A4952" s="5" t="s">
        <v>85</v>
      </c>
      <c r="B4952" s="5" t="s">
        <v>126</v>
      </c>
      <c r="C4952" s="5" t="s">
        <v>5429</v>
      </c>
      <c r="D4952" s="3">
        <f>VLOOKUP(A4952,airports!A:H,7,FALSE)</f>
        <v>42.94722222</v>
      </c>
      <c r="E4952" s="3">
        <f>VLOOKUP(A4952,airports!A:H,8,FALSE)</f>
        <v>-87.896583329999999</v>
      </c>
      <c r="F4952" s="3">
        <f>VLOOKUP(B4952,airports!A:H,7,FALSE)</f>
        <v>32.12758333</v>
      </c>
      <c r="G4952" s="3">
        <f>VLOOKUP(B4952,airports!A:H,8,FALSE)</f>
        <v>-81.202138890000001</v>
      </c>
      <c r="H4952">
        <f t="shared" si="154"/>
        <v>1339</v>
      </c>
      <c r="I4952">
        <f t="shared" si="155"/>
        <v>832</v>
      </c>
    </row>
    <row r="4953" spans="1:9" ht="30" x14ac:dyDescent="0.25">
      <c r="A4953" s="5" t="s">
        <v>85</v>
      </c>
      <c r="B4953" s="5" t="s">
        <v>128</v>
      </c>
      <c r="C4953" s="5" t="s">
        <v>5430</v>
      </c>
      <c r="D4953" s="3">
        <f>VLOOKUP(A4953,airports!A:H,7,FALSE)</f>
        <v>42.94722222</v>
      </c>
      <c r="E4953" s="3">
        <f>VLOOKUP(A4953,airports!A:H,8,FALSE)</f>
        <v>-87.896583329999999</v>
      </c>
      <c r="F4953" s="3">
        <f>VLOOKUP(B4953,airports!A:H,7,FALSE)</f>
        <v>47.448981940000003</v>
      </c>
      <c r="G4953" s="3">
        <f>VLOOKUP(B4953,airports!A:H,8,FALSE)</f>
        <v>-122.3093131</v>
      </c>
      <c r="H4953">
        <f t="shared" si="154"/>
        <v>2719.3</v>
      </c>
      <c r="I4953">
        <f t="shared" si="155"/>
        <v>1689.8</v>
      </c>
    </row>
    <row r="4954" spans="1:9" ht="30" x14ac:dyDescent="0.25">
      <c r="A4954" s="5" t="s">
        <v>85</v>
      </c>
      <c r="B4954" s="5" t="s">
        <v>191</v>
      </c>
      <c r="C4954" s="5" t="s">
        <v>5431</v>
      </c>
      <c r="D4954" s="3">
        <f>VLOOKUP(A4954,airports!A:H,7,FALSE)</f>
        <v>42.94722222</v>
      </c>
      <c r="E4954" s="3">
        <f>VLOOKUP(A4954,airports!A:H,8,FALSE)</f>
        <v>-87.896583329999999</v>
      </c>
      <c r="F4954" s="3">
        <f>VLOOKUP(B4954,airports!A:H,7,FALSE)</f>
        <v>28.7776</v>
      </c>
      <c r="G4954" s="3">
        <f>VLOOKUP(B4954,airports!A:H,8,FALSE)</f>
        <v>-81.237499999999997</v>
      </c>
      <c r="H4954">
        <f t="shared" si="154"/>
        <v>1684.6</v>
      </c>
      <c r="I4954">
        <f t="shared" si="155"/>
        <v>1046.8</v>
      </c>
    </row>
    <row r="4955" spans="1:9" ht="30" x14ac:dyDescent="0.25">
      <c r="A4955" s="5" t="s">
        <v>85</v>
      </c>
      <c r="B4955" s="5" t="s">
        <v>130</v>
      </c>
      <c r="C4955" s="5" t="s">
        <v>5432</v>
      </c>
      <c r="D4955" s="3">
        <f>VLOOKUP(A4955,airports!A:H,7,FALSE)</f>
        <v>42.94722222</v>
      </c>
      <c r="E4955" s="3">
        <f>VLOOKUP(A4955,airports!A:H,8,FALSE)</f>
        <v>-87.896583329999999</v>
      </c>
      <c r="F4955" s="3">
        <f>VLOOKUP(B4955,airports!A:H,7,FALSE)</f>
        <v>37.619001939999997</v>
      </c>
      <c r="G4955" s="3">
        <f>VLOOKUP(B4955,airports!A:H,8,FALSE)</f>
        <v>-122.37484329999999</v>
      </c>
      <c r="H4955">
        <f t="shared" si="154"/>
        <v>2962.3</v>
      </c>
      <c r="I4955">
        <f t="shared" si="155"/>
        <v>1840.8</v>
      </c>
    </row>
    <row r="4956" spans="1:9" ht="30" x14ac:dyDescent="0.25">
      <c r="A4956" s="5" t="s">
        <v>85</v>
      </c>
      <c r="B4956" s="5" t="s">
        <v>135</v>
      </c>
      <c r="C4956" s="5" t="s">
        <v>5433</v>
      </c>
      <c r="D4956" s="3">
        <f>VLOOKUP(A4956,airports!A:H,7,FALSE)</f>
        <v>42.94722222</v>
      </c>
      <c r="E4956" s="3">
        <f>VLOOKUP(A4956,airports!A:H,8,FALSE)</f>
        <v>-87.896583329999999</v>
      </c>
      <c r="F4956" s="3">
        <f>VLOOKUP(B4956,airports!A:H,7,FALSE)</f>
        <v>40.788387780000001</v>
      </c>
      <c r="G4956" s="3">
        <f>VLOOKUP(B4956,airports!A:H,8,FALSE)</f>
        <v>-111.97777309999999</v>
      </c>
      <c r="H4956">
        <f t="shared" si="154"/>
        <v>2001.5</v>
      </c>
      <c r="I4956">
        <f t="shared" si="155"/>
        <v>1243.8</v>
      </c>
    </row>
    <row r="4957" spans="1:9" ht="30" x14ac:dyDescent="0.25">
      <c r="A4957" s="5" t="s">
        <v>85</v>
      </c>
      <c r="B4957" s="5" t="s">
        <v>138</v>
      </c>
      <c r="C4957" s="5" t="s">
        <v>5434</v>
      </c>
      <c r="D4957" s="3">
        <f>VLOOKUP(A4957,airports!A:H,7,FALSE)</f>
        <v>42.94722222</v>
      </c>
      <c r="E4957" s="3">
        <f>VLOOKUP(A4957,airports!A:H,8,FALSE)</f>
        <v>-87.896583329999999</v>
      </c>
      <c r="F4957" s="3">
        <f>VLOOKUP(B4957,airports!A:H,7,FALSE)</f>
        <v>27.39533333</v>
      </c>
      <c r="G4957" s="3">
        <f>VLOOKUP(B4957,airports!A:H,8,FALSE)</f>
        <v>-82.554111109999994</v>
      </c>
      <c r="H4957">
        <f t="shared" si="154"/>
        <v>1795.2</v>
      </c>
      <c r="I4957">
        <f t="shared" si="155"/>
        <v>1115.5</v>
      </c>
    </row>
    <row r="4958" spans="1:9" ht="30" x14ac:dyDescent="0.25">
      <c r="A4958" s="5" t="s">
        <v>85</v>
      </c>
      <c r="B4958" s="5" t="s">
        <v>644</v>
      </c>
      <c r="C4958" s="5" t="s">
        <v>5435</v>
      </c>
      <c r="D4958" s="3">
        <f>VLOOKUP(A4958,airports!A:H,7,FALSE)</f>
        <v>42.94722222</v>
      </c>
      <c r="E4958" s="3">
        <f>VLOOKUP(A4958,airports!A:H,8,FALSE)</f>
        <v>-87.896583329999999</v>
      </c>
      <c r="F4958" s="3">
        <f>VLOOKUP(B4958,airports!A:H,7,FALSE)</f>
        <v>38.747686940000001</v>
      </c>
      <c r="G4958" s="3">
        <f>VLOOKUP(B4958,airports!A:H,8,FALSE)</f>
        <v>-90.359989720000002</v>
      </c>
      <c r="H4958">
        <f t="shared" si="154"/>
        <v>510.8</v>
      </c>
      <c r="I4958">
        <f t="shared" si="155"/>
        <v>317.39999999999998</v>
      </c>
    </row>
    <row r="4959" spans="1:9" ht="30" x14ac:dyDescent="0.25">
      <c r="A4959" s="5" t="s">
        <v>85</v>
      </c>
      <c r="B4959" s="5" t="s">
        <v>145</v>
      </c>
      <c r="C4959" s="5" t="s">
        <v>5436</v>
      </c>
      <c r="D4959" s="3">
        <f>VLOOKUP(A4959,airports!A:H,7,FALSE)</f>
        <v>42.94722222</v>
      </c>
      <c r="E4959" s="3">
        <f>VLOOKUP(A4959,airports!A:H,8,FALSE)</f>
        <v>-87.896583329999999</v>
      </c>
      <c r="F4959" s="3">
        <f>VLOOKUP(B4959,airports!A:H,7,FALSE)</f>
        <v>27.97547222</v>
      </c>
      <c r="G4959" s="3">
        <f>VLOOKUP(B4959,airports!A:H,8,FALSE)</f>
        <v>-82.533249999999995</v>
      </c>
      <c r="H4959">
        <f t="shared" si="154"/>
        <v>1733.2</v>
      </c>
      <c r="I4959">
        <f t="shared" si="155"/>
        <v>1077</v>
      </c>
    </row>
    <row r="4960" spans="1:9" ht="30" x14ac:dyDescent="0.25">
      <c r="A4960" s="5" t="s">
        <v>85</v>
      </c>
      <c r="B4960" s="5" t="s">
        <v>668</v>
      </c>
      <c r="C4960" s="5" t="s">
        <v>5437</v>
      </c>
      <c r="D4960" s="3">
        <f>VLOOKUP(A4960,airports!A:H,7,FALSE)</f>
        <v>42.94722222</v>
      </c>
      <c r="E4960" s="3">
        <f>VLOOKUP(A4960,airports!A:H,8,FALSE)</f>
        <v>-87.896583329999999</v>
      </c>
      <c r="F4960" s="3">
        <f>VLOOKUP(B4960,airports!A:H,7,FALSE)</f>
        <v>30.483250000000002</v>
      </c>
      <c r="G4960" s="3">
        <f>VLOOKUP(B4960,airports!A:H,8,FALSE)</f>
        <v>-86.525400000000005</v>
      </c>
      <c r="H4960">
        <f t="shared" si="154"/>
        <v>1391.3</v>
      </c>
      <c r="I4960">
        <f t="shared" si="155"/>
        <v>864.5</v>
      </c>
    </row>
    <row r="4961" spans="1:9" ht="30" x14ac:dyDescent="0.25">
      <c r="A4961" s="5" t="s">
        <v>5438</v>
      </c>
      <c r="B4961" s="5" t="s">
        <v>387</v>
      </c>
      <c r="C4961" s="5" t="s">
        <v>5439</v>
      </c>
      <c r="D4961" s="3">
        <f>VLOOKUP(A4961,airports!A:H,7,FALSE)</f>
        <v>43.169488059999999</v>
      </c>
      <c r="E4961" s="3">
        <f>VLOOKUP(A4961,airports!A:H,8,FALSE)</f>
        <v>-86.238223059999996</v>
      </c>
      <c r="F4961" s="3">
        <f>VLOOKUP(B4961,airports!A:H,7,FALSE)</f>
        <v>43.532914720000001</v>
      </c>
      <c r="G4961" s="3">
        <f>VLOOKUP(B4961,airports!A:H,8,FALSE)</f>
        <v>-84.079647219999998</v>
      </c>
      <c r="H4961">
        <f t="shared" si="154"/>
        <v>179.1</v>
      </c>
      <c r="I4961">
        <f t="shared" si="155"/>
        <v>111.3</v>
      </c>
    </row>
    <row r="4962" spans="1:9" ht="30" x14ac:dyDescent="0.25">
      <c r="A4962" s="5" t="s">
        <v>5438</v>
      </c>
      <c r="B4962" s="5" t="s">
        <v>95</v>
      </c>
      <c r="C4962" s="5" t="s">
        <v>5440</v>
      </c>
      <c r="D4962" s="3">
        <f>VLOOKUP(A4962,airports!A:H,7,FALSE)</f>
        <v>43.169488059999999</v>
      </c>
      <c r="E4962" s="3">
        <f>VLOOKUP(A4962,airports!A:H,8,FALSE)</f>
        <v>-86.238223059999996</v>
      </c>
      <c r="F4962" s="3">
        <f>VLOOKUP(B4962,airports!A:H,7,FALSE)</f>
        <v>41.979595000000003</v>
      </c>
      <c r="G4962" s="3">
        <f>VLOOKUP(B4962,airports!A:H,8,FALSE)</f>
        <v>-87.904464169999997</v>
      </c>
      <c r="H4962">
        <f t="shared" si="154"/>
        <v>190</v>
      </c>
      <c r="I4962">
        <f t="shared" si="155"/>
        <v>118.1</v>
      </c>
    </row>
    <row r="4963" spans="1:9" ht="30" x14ac:dyDescent="0.25">
      <c r="A4963" s="5" t="s">
        <v>3666</v>
      </c>
      <c r="B4963" s="5" t="s">
        <v>360</v>
      </c>
      <c r="C4963" s="5" t="s">
        <v>5441</v>
      </c>
      <c r="D4963" s="3">
        <f>VLOOKUP(A4963,airports!A:H,7,FALSE)</f>
        <v>21.152901</v>
      </c>
      <c r="E4963" s="3">
        <f>VLOOKUP(A4963,airports!A:H,8,FALSE)</f>
        <v>-157.09599299999999</v>
      </c>
      <c r="F4963" s="3">
        <f>VLOOKUP(B4963,airports!A:H,7,FALSE)</f>
        <v>21.31869111</v>
      </c>
      <c r="G4963" s="3">
        <f>VLOOKUP(B4963,airports!A:H,8,FALSE)</f>
        <v>-157.92240720000001</v>
      </c>
      <c r="H4963">
        <f t="shared" si="154"/>
        <v>87.6</v>
      </c>
      <c r="I4963">
        <f t="shared" si="155"/>
        <v>54.4</v>
      </c>
    </row>
    <row r="4964" spans="1:9" ht="30" x14ac:dyDescent="0.25">
      <c r="A4964" s="5" t="s">
        <v>3666</v>
      </c>
      <c r="B4964" s="5" t="s">
        <v>371</v>
      </c>
      <c r="C4964" s="5" t="s">
        <v>5442</v>
      </c>
      <c r="D4964" s="3">
        <f>VLOOKUP(A4964,airports!A:H,7,FALSE)</f>
        <v>21.152901</v>
      </c>
      <c r="E4964" s="3">
        <f>VLOOKUP(A4964,airports!A:H,8,FALSE)</f>
        <v>-157.09599299999999</v>
      </c>
      <c r="F4964" s="3">
        <f>VLOOKUP(B4964,airports!A:H,7,FALSE)</f>
        <v>20.898649720000002</v>
      </c>
      <c r="G4964" s="3">
        <f>VLOOKUP(B4964,airports!A:H,8,FALSE)</f>
        <v>-156.4304578</v>
      </c>
      <c r="H4964">
        <f t="shared" si="154"/>
        <v>74.599999999999994</v>
      </c>
      <c r="I4964">
        <f t="shared" si="155"/>
        <v>46.4</v>
      </c>
    </row>
    <row r="4965" spans="1:9" ht="30" x14ac:dyDescent="0.25">
      <c r="A4965" s="5" t="s">
        <v>571</v>
      </c>
      <c r="B4965" s="5" t="s">
        <v>10</v>
      </c>
      <c r="C4965" s="5" t="s">
        <v>5443</v>
      </c>
      <c r="D4965" s="3">
        <f>VLOOKUP(A4965,airports!A:H,7,FALSE)</f>
        <v>28.10275</v>
      </c>
      <c r="E4965" s="3">
        <f>VLOOKUP(A4965,airports!A:H,8,FALSE)</f>
        <v>-80.645805559999999</v>
      </c>
      <c r="F4965" s="3">
        <f>VLOOKUP(B4965,airports!A:H,7,FALSE)</f>
        <v>33.640444440000003</v>
      </c>
      <c r="G4965" s="3">
        <f>VLOOKUP(B4965,airports!A:H,8,FALSE)</f>
        <v>-84.42694444</v>
      </c>
      <c r="H4965">
        <f t="shared" si="154"/>
        <v>713.6</v>
      </c>
      <c r="I4965">
        <f t="shared" si="155"/>
        <v>443.4</v>
      </c>
    </row>
    <row r="4966" spans="1:9" ht="30" x14ac:dyDescent="0.25">
      <c r="A4966" s="5" t="s">
        <v>571</v>
      </c>
      <c r="B4966" s="5" t="s">
        <v>19</v>
      </c>
      <c r="C4966" s="5" t="s">
        <v>5444</v>
      </c>
      <c r="D4966" s="3">
        <f>VLOOKUP(A4966,airports!A:H,7,FALSE)</f>
        <v>28.10275</v>
      </c>
      <c r="E4966" s="3">
        <f>VLOOKUP(A4966,airports!A:H,8,FALSE)</f>
        <v>-80.645805559999999</v>
      </c>
      <c r="F4966" s="3">
        <f>VLOOKUP(B4966,airports!A:H,7,FALSE)</f>
        <v>36.12447667</v>
      </c>
      <c r="G4966" s="3">
        <f>VLOOKUP(B4966,airports!A:H,8,FALSE)</f>
        <v>-86.678182219999997</v>
      </c>
      <c r="H4966">
        <f t="shared" si="154"/>
        <v>1057</v>
      </c>
      <c r="I4966">
        <f t="shared" si="155"/>
        <v>656.8</v>
      </c>
    </row>
    <row r="4967" spans="1:9" ht="30" x14ac:dyDescent="0.25">
      <c r="A4967" s="5" t="s">
        <v>571</v>
      </c>
      <c r="B4967" s="5" t="s">
        <v>40</v>
      </c>
      <c r="C4967" s="5" t="s">
        <v>5445</v>
      </c>
      <c r="D4967" s="3">
        <f>VLOOKUP(A4967,airports!A:H,7,FALSE)</f>
        <v>28.10275</v>
      </c>
      <c r="E4967" s="3">
        <f>VLOOKUP(A4967,airports!A:H,8,FALSE)</f>
        <v>-80.645805559999999</v>
      </c>
      <c r="F4967" s="3">
        <f>VLOOKUP(B4967,airports!A:H,7,FALSE)</f>
        <v>35.214011110000001</v>
      </c>
      <c r="G4967" s="3">
        <f>VLOOKUP(B4967,airports!A:H,8,FALSE)</f>
        <v>-80.94312583</v>
      </c>
      <c r="H4967">
        <f t="shared" si="154"/>
        <v>791.2</v>
      </c>
      <c r="I4967">
        <f t="shared" si="155"/>
        <v>491.7</v>
      </c>
    </row>
    <row r="4968" spans="1:9" ht="30" x14ac:dyDescent="0.25">
      <c r="A4968" s="5" t="s">
        <v>571</v>
      </c>
      <c r="B4968" s="5" t="s">
        <v>45</v>
      </c>
      <c r="C4968" s="5" t="s">
        <v>5446</v>
      </c>
      <c r="D4968" s="3">
        <f>VLOOKUP(A4968,airports!A:H,7,FALSE)</f>
        <v>28.10275</v>
      </c>
      <c r="E4968" s="3">
        <f>VLOOKUP(A4968,airports!A:H,8,FALSE)</f>
        <v>-80.645805559999999</v>
      </c>
      <c r="F4968" s="3">
        <f>VLOOKUP(B4968,airports!A:H,7,FALSE)</f>
        <v>38.852083329999999</v>
      </c>
      <c r="G4968" s="3">
        <f>VLOOKUP(B4968,airports!A:H,8,FALSE)</f>
        <v>-77.037722220000006</v>
      </c>
      <c r="H4968">
        <f t="shared" si="154"/>
        <v>1240.9000000000001</v>
      </c>
      <c r="I4968">
        <f t="shared" si="155"/>
        <v>771.1</v>
      </c>
    </row>
    <row r="4969" spans="1:9" ht="30" x14ac:dyDescent="0.25">
      <c r="A4969" s="5" t="s">
        <v>571</v>
      </c>
      <c r="B4969" s="5" t="s">
        <v>49</v>
      </c>
      <c r="C4969" s="5" t="s">
        <v>5447</v>
      </c>
      <c r="D4969" s="3">
        <f>VLOOKUP(A4969,airports!A:H,7,FALSE)</f>
        <v>28.10275</v>
      </c>
      <c r="E4969" s="3">
        <f>VLOOKUP(A4969,airports!A:H,8,FALSE)</f>
        <v>-80.645805559999999</v>
      </c>
      <c r="F4969" s="3">
        <f>VLOOKUP(B4969,airports!A:H,7,FALSE)</f>
        <v>32.895950560000003</v>
      </c>
      <c r="G4969" s="3">
        <f>VLOOKUP(B4969,airports!A:H,8,FALSE)</f>
        <v>-97.037199999999999</v>
      </c>
      <c r="H4969">
        <f t="shared" si="154"/>
        <v>1656.2</v>
      </c>
      <c r="I4969">
        <f t="shared" si="155"/>
        <v>1029.2</v>
      </c>
    </row>
    <row r="4970" spans="1:9" ht="30" x14ac:dyDescent="0.25">
      <c r="A4970" s="5" t="s">
        <v>571</v>
      </c>
      <c r="B4970" s="5" t="s">
        <v>50</v>
      </c>
      <c r="C4970" s="5" t="s">
        <v>5448</v>
      </c>
      <c r="D4970" s="3">
        <f>VLOOKUP(A4970,airports!A:H,7,FALSE)</f>
        <v>28.10275</v>
      </c>
      <c r="E4970" s="3">
        <f>VLOOKUP(A4970,airports!A:H,8,FALSE)</f>
        <v>-80.645805559999999</v>
      </c>
      <c r="F4970" s="3">
        <f>VLOOKUP(B4970,airports!A:H,7,FALSE)</f>
        <v>42.212058890000002</v>
      </c>
      <c r="G4970" s="3">
        <f>VLOOKUP(B4970,airports!A:H,8,FALSE)</f>
        <v>-83.348835829999999</v>
      </c>
      <c r="H4970">
        <f t="shared" si="154"/>
        <v>1587.8</v>
      </c>
      <c r="I4970">
        <f t="shared" si="155"/>
        <v>986.7</v>
      </c>
    </row>
    <row r="4971" spans="1:9" ht="30" x14ac:dyDescent="0.25">
      <c r="A4971" s="5" t="s">
        <v>571</v>
      </c>
      <c r="B4971" s="5" t="s">
        <v>102</v>
      </c>
      <c r="C4971" s="5" t="s">
        <v>5449</v>
      </c>
      <c r="D4971" s="3">
        <f>VLOOKUP(A4971,airports!A:H,7,FALSE)</f>
        <v>28.10275</v>
      </c>
      <c r="E4971" s="3">
        <f>VLOOKUP(A4971,airports!A:H,8,FALSE)</f>
        <v>-80.645805559999999</v>
      </c>
      <c r="F4971" s="3">
        <f>VLOOKUP(B4971,airports!A:H,7,FALSE)</f>
        <v>39.871952780000001</v>
      </c>
      <c r="G4971" s="3">
        <f>VLOOKUP(B4971,airports!A:H,8,FALSE)</f>
        <v>-75.241140830000006</v>
      </c>
      <c r="H4971">
        <f t="shared" si="154"/>
        <v>1399.6</v>
      </c>
      <c r="I4971">
        <f t="shared" si="155"/>
        <v>869.7</v>
      </c>
    </row>
    <row r="4972" spans="1:9" x14ac:dyDescent="0.25">
      <c r="A4972" s="5" t="s">
        <v>571</v>
      </c>
      <c r="B4972" s="5" t="s">
        <v>106</v>
      </c>
      <c r="C4972" s="5" t="s">
        <v>5450</v>
      </c>
      <c r="D4972" s="3">
        <f>VLOOKUP(A4972,airports!A:H,7,FALSE)</f>
        <v>28.10275</v>
      </c>
      <c r="E4972" s="3">
        <f>VLOOKUP(A4972,airports!A:H,8,FALSE)</f>
        <v>-80.645805559999999</v>
      </c>
      <c r="F4972" s="3">
        <f>VLOOKUP(B4972,airports!A:H,7,FALSE)</f>
        <v>40.491465830000003</v>
      </c>
      <c r="G4972" s="3">
        <f>VLOOKUP(B4972,airports!A:H,8,FALSE)</f>
        <v>-80.232870829999996</v>
      </c>
      <c r="H4972">
        <f t="shared" si="154"/>
        <v>1378.1</v>
      </c>
      <c r="I4972">
        <f t="shared" si="155"/>
        <v>856.4</v>
      </c>
    </row>
    <row r="4973" spans="1:9" ht="30" x14ac:dyDescent="0.25">
      <c r="A4973" s="5" t="s">
        <v>571</v>
      </c>
      <c r="B4973" s="5" t="s">
        <v>4</v>
      </c>
      <c r="C4973" s="5" t="s">
        <v>5451</v>
      </c>
      <c r="D4973" s="3">
        <f>VLOOKUP(A4973,airports!A:H,7,FALSE)</f>
        <v>28.10275</v>
      </c>
      <c r="E4973" s="3">
        <f>VLOOKUP(A4973,airports!A:H,8,FALSE)</f>
        <v>-80.645805559999999</v>
      </c>
      <c r="F4973" s="3">
        <f>VLOOKUP(B4973,airports!A:H,7,FALSE)</f>
        <v>35.387797999999997</v>
      </c>
      <c r="G4973" s="3">
        <f>VLOOKUP(B4973,airports!A:H,8,FALSE)</f>
        <v>-80.709098999999995</v>
      </c>
      <c r="H4973">
        <f t="shared" si="154"/>
        <v>810.1</v>
      </c>
      <c r="I4973">
        <f t="shared" si="155"/>
        <v>503.4</v>
      </c>
    </row>
    <row r="4974" spans="1:9" x14ac:dyDescent="0.25">
      <c r="A4974" s="5" t="s">
        <v>573</v>
      </c>
      <c r="B4974" s="5" t="s">
        <v>10</v>
      </c>
      <c r="C4974" s="5" t="s">
        <v>5452</v>
      </c>
      <c r="D4974" s="3">
        <f>VLOOKUP(A4974,airports!A:H,7,FALSE)</f>
        <v>41.448526389999998</v>
      </c>
      <c r="E4974" s="3">
        <f>VLOOKUP(A4974,airports!A:H,8,FALSE)</f>
        <v>-90.507539170000001</v>
      </c>
      <c r="F4974" s="3">
        <f>VLOOKUP(B4974,airports!A:H,7,FALSE)</f>
        <v>33.640444440000003</v>
      </c>
      <c r="G4974" s="3">
        <f>VLOOKUP(B4974,airports!A:H,8,FALSE)</f>
        <v>-84.42694444</v>
      </c>
      <c r="H4974">
        <f t="shared" si="154"/>
        <v>1019.7</v>
      </c>
      <c r="I4974">
        <f t="shared" si="155"/>
        <v>633.70000000000005</v>
      </c>
    </row>
    <row r="4975" spans="1:9" ht="30" x14ac:dyDescent="0.25">
      <c r="A4975" s="5" t="s">
        <v>573</v>
      </c>
      <c r="B4975" s="5" t="s">
        <v>329</v>
      </c>
      <c r="C4975" s="5" t="s">
        <v>5453</v>
      </c>
      <c r="D4975" s="3">
        <f>VLOOKUP(A4975,airports!A:H,7,FALSE)</f>
        <v>41.448526389999998</v>
      </c>
      <c r="E4975" s="3">
        <f>VLOOKUP(A4975,airports!A:H,8,FALSE)</f>
        <v>-90.507539170000001</v>
      </c>
      <c r="F4975" s="3">
        <f>VLOOKUP(B4975,airports!A:H,7,FALSE)</f>
        <v>33.308999999999997</v>
      </c>
      <c r="G4975" s="3">
        <f>VLOOKUP(B4975,airports!A:H,8,FALSE)</f>
        <v>-111.6559</v>
      </c>
      <c r="H4975">
        <f t="shared" si="154"/>
        <v>2068.9</v>
      </c>
      <c r="I4975">
        <f t="shared" si="155"/>
        <v>1285.5999999999999</v>
      </c>
    </row>
    <row r="4976" spans="1:9" ht="30" x14ac:dyDescent="0.25">
      <c r="A4976" s="5" t="s">
        <v>573</v>
      </c>
      <c r="B4976" s="5" t="s">
        <v>47</v>
      </c>
      <c r="C4976" s="5" t="s">
        <v>5454</v>
      </c>
      <c r="D4976" s="3">
        <f>VLOOKUP(A4976,airports!A:H,7,FALSE)</f>
        <v>41.448526389999998</v>
      </c>
      <c r="E4976" s="3">
        <f>VLOOKUP(A4976,airports!A:H,8,FALSE)</f>
        <v>-90.507539170000001</v>
      </c>
      <c r="F4976" s="3">
        <f>VLOOKUP(B4976,airports!A:H,7,FALSE)</f>
        <v>39.858408060000002</v>
      </c>
      <c r="G4976" s="3">
        <f>VLOOKUP(B4976,airports!A:H,8,FALSE)</f>
        <v>-104.6670019</v>
      </c>
      <c r="H4976">
        <f t="shared" si="154"/>
        <v>1206.0999999999999</v>
      </c>
      <c r="I4976">
        <f t="shared" si="155"/>
        <v>749.5</v>
      </c>
    </row>
    <row r="4977" spans="1:9" ht="30" x14ac:dyDescent="0.25">
      <c r="A4977" s="5" t="s">
        <v>573</v>
      </c>
      <c r="B4977" s="5" t="s">
        <v>49</v>
      </c>
      <c r="C4977" s="5" t="s">
        <v>5455</v>
      </c>
      <c r="D4977" s="3">
        <f>VLOOKUP(A4977,airports!A:H,7,FALSE)</f>
        <v>41.448526389999998</v>
      </c>
      <c r="E4977" s="3">
        <f>VLOOKUP(A4977,airports!A:H,8,FALSE)</f>
        <v>-90.507539170000001</v>
      </c>
      <c r="F4977" s="3">
        <f>VLOOKUP(B4977,airports!A:H,7,FALSE)</f>
        <v>32.895950560000003</v>
      </c>
      <c r="G4977" s="3">
        <f>VLOOKUP(B4977,airports!A:H,8,FALSE)</f>
        <v>-97.037199999999999</v>
      </c>
      <c r="H4977">
        <f t="shared" si="154"/>
        <v>1112.3</v>
      </c>
      <c r="I4977">
        <f t="shared" si="155"/>
        <v>691.2</v>
      </c>
    </row>
    <row r="4978" spans="1:9" ht="30" x14ac:dyDescent="0.25">
      <c r="A4978" s="5" t="s">
        <v>573</v>
      </c>
      <c r="B4978" s="5" t="s">
        <v>50</v>
      </c>
      <c r="C4978" s="5" t="s">
        <v>5456</v>
      </c>
      <c r="D4978" s="3">
        <f>VLOOKUP(A4978,airports!A:H,7,FALSE)</f>
        <v>41.448526389999998</v>
      </c>
      <c r="E4978" s="3">
        <f>VLOOKUP(A4978,airports!A:H,8,FALSE)</f>
        <v>-90.507539170000001</v>
      </c>
      <c r="F4978" s="3">
        <f>VLOOKUP(B4978,airports!A:H,7,FALSE)</f>
        <v>42.212058890000002</v>
      </c>
      <c r="G4978" s="3">
        <f>VLOOKUP(B4978,airports!A:H,8,FALSE)</f>
        <v>-83.348835829999999</v>
      </c>
      <c r="H4978">
        <f t="shared" si="154"/>
        <v>599</v>
      </c>
      <c r="I4978">
        <f t="shared" si="155"/>
        <v>372.2</v>
      </c>
    </row>
    <row r="4979" spans="1:9" x14ac:dyDescent="0.25">
      <c r="A4979" s="5" t="s">
        <v>573</v>
      </c>
      <c r="B4979" s="5" t="s">
        <v>71</v>
      </c>
      <c r="C4979" s="5" t="s">
        <v>5457</v>
      </c>
      <c r="D4979" s="3">
        <f>VLOOKUP(A4979,airports!A:H,7,FALSE)</f>
        <v>41.448526389999998</v>
      </c>
      <c r="E4979" s="3">
        <f>VLOOKUP(A4979,airports!A:H,8,FALSE)</f>
        <v>-90.507539170000001</v>
      </c>
      <c r="F4979" s="3">
        <f>VLOOKUP(B4979,airports!A:H,7,FALSE)</f>
        <v>36.080361109999998</v>
      </c>
      <c r="G4979" s="3">
        <f>VLOOKUP(B4979,airports!A:H,8,FALSE)</f>
        <v>-115.1523333</v>
      </c>
      <c r="H4979">
        <f t="shared" si="154"/>
        <v>2210.1</v>
      </c>
      <c r="I4979">
        <f t="shared" si="155"/>
        <v>1373.3</v>
      </c>
    </row>
    <row r="4980" spans="1:9" ht="30" x14ac:dyDescent="0.25">
      <c r="A4980" s="5" t="s">
        <v>573</v>
      </c>
      <c r="B4980" s="5" t="s">
        <v>87</v>
      </c>
      <c r="C4980" s="5" t="s">
        <v>5458</v>
      </c>
      <c r="D4980" s="3">
        <f>VLOOKUP(A4980,airports!A:H,7,FALSE)</f>
        <v>41.448526389999998</v>
      </c>
      <c r="E4980" s="3">
        <f>VLOOKUP(A4980,airports!A:H,8,FALSE)</f>
        <v>-90.507539170000001</v>
      </c>
      <c r="F4980" s="3">
        <f>VLOOKUP(B4980,airports!A:H,7,FALSE)</f>
        <v>44.880546940000002</v>
      </c>
      <c r="G4980" s="3">
        <f>VLOOKUP(B4980,airports!A:H,8,FALSE)</f>
        <v>-93.216922499999995</v>
      </c>
      <c r="H4980">
        <f t="shared" si="154"/>
        <v>440.3</v>
      </c>
      <c r="I4980">
        <f t="shared" si="155"/>
        <v>273.60000000000002</v>
      </c>
    </row>
    <row r="4981" spans="1:9" ht="30" x14ac:dyDescent="0.25">
      <c r="A4981" s="5" t="s">
        <v>573</v>
      </c>
      <c r="B4981" s="5" t="s">
        <v>95</v>
      </c>
      <c r="C4981" s="5" t="s">
        <v>5459</v>
      </c>
      <c r="D4981" s="3">
        <f>VLOOKUP(A4981,airports!A:H,7,FALSE)</f>
        <v>41.448526389999998</v>
      </c>
      <c r="E4981" s="3">
        <f>VLOOKUP(A4981,airports!A:H,8,FALSE)</f>
        <v>-90.507539170000001</v>
      </c>
      <c r="F4981" s="3">
        <f>VLOOKUP(B4981,airports!A:H,7,FALSE)</f>
        <v>41.979595000000003</v>
      </c>
      <c r="G4981" s="3">
        <f>VLOOKUP(B4981,airports!A:H,8,FALSE)</f>
        <v>-87.904464169999997</v>
      </c>
      <c r="H4981">
        <f t="shared" si="154"/>
        <v>224</v>
      </c>
      <c r="I4981">
        <f t="shared" si="155"/>
        <v>139.19999999999999</v>
      </c>
    </row>
    <row r="4982" spans="1:9" ht="30" x14ac:dyDescent="0.25">
      <c r="A4982" s="5" t="s">
        <v>573</v>
      </c>
      <c r="B4982" s="5" t="s">
        <v>185</v>
      </c>
      <c r="C4982" s="5" t="s">
        <v>5460</v>
      </c>
      <c r="D4982" s="3">
        <f>VLOOKUP(A4982,airports!A:H,7,FALSE)</f>
        <v>41.448526389999998</v>
      </c>
      <c r="E4982" s="3">
        <f>VLOOKUP(A4982,airports!A:H,8,FALSE)</f>
        <v>-90.507539170000001</v>
      </c>
      <c r="F4982" s="3">
        <f>VLOOKUP(B4982,airports!A:H,7,FALSE)</f>
        <v>26.919699999999999</v>
      </c>
      <c r="G4982" s="3">
        <f>VLOOKUP(B4982,airports!A:H,8,FALSE)</f>
        <v>-81.995999999999995</v>
      </c>
      <c r="H4982">
        <f t="shared" si="154"/>
        <v>1793</v>
      </c>
      <c r="I4982">
        <f t="shared" si="155"/>
        <v>1114.2</v>
      </c>
    </row>
    <row r="4983" spans="1:9" x14ac:dyDescent="0.25">
      <c r="A4983" s="5" t="s">
        <v>573</v>
      </c>
      <c r="B4983" s="5" t="s">
        <v>188</v>
      </c>
      <c r="C4983" s="5" t="s">
        <v>5461</v>
      </c>
      <c r="D4983" s="3">
        <f>VLOOKUP(A4983,airports!A:H,7,FALSE)</f>
        <v>41.448526389999998</v>
      </c>
      <c r="E4983" s="3">
        <f>VLOOKUP(A4983,airports!A:H,8,FALSE)</f>
        <v>-90.507539170000001</v>
      </c>
      <c r="F4983" s="3">
        <f>VLOOKUP(B4983,airports!A:H,7,FALSE)</f>
        <v>27.910763330000002</v>
      </c>
      <c r="G4983" s="3">
        <f>VLOOKUP(B4983,airports!A:H,8,FALSE)</f>
        <v>-82.687439440000006</v>
      </c>
      <c r="H4983">
        <f t="shared" si="154"/>
        <v>1664.7</v>
      </c>
      <c r="I4983">
        <f t="shared" si="155"/>
        <v>1034.5</v>
      </c>
    </row>
    <row r="4984" spans="1:9" x14ac:dyDescent="0.25">
      <c r="A4984" s="5" t="s">
        <v>573</v>
      </c>
      <c r="B4984" s="5" t="s">
        <v>191</v>
      </c>
      <c r="C4984" s="5" t="s">
        <v>5462</v>
      </c>
      <c r="D4984" s="3">
        <f>VLOOKUP(A4984,airports!A:H,7,FALSE)</f>
        <v>41.448526389999998</v>
      </c>
      <c r="E4984" s="3">
        <f>VLOOKUP(A4984,airports!A:H,8,FALSE)</f>
        <v>-90.507539170000001</v>
      </c>
      <c r="F4984" s="3">
        <f>VLOOKUP(B4984,airports!A:H,7,FALSE)</f>
        <v>28.7776</v>
      </c>
      <c r="G4984" s="3">
        <f>VLOOKUP(B4984,airports!A:H,8,FALSE)</f>
        <v>-81.237499999999997</v>
      </c>
      <c r="H4984">
        <f t="shared" si="154"/>
        <v>1639.6</v>
      </c>
      <c r="I4984">
        <f t="shared" si="155"/>
        <v>1018.9</v>
      </c>
    </row>
    <row r="4985" spans="1:9" ht="30" x14ac:dyDescent="0.25">
      <c r="A4985" s="5" t="s">
        <v>575</v>
      </c>
      <c r="B4985" s="5" t="s">
        <v>10</v>
      </c>
      <c r="C4985" s="5" t="s">
        <v>5463</v>
      </c>
      <c r="D4985" s="3">
        <f>VLOOKUP(A4985,airports!A:H,7,FALSE)</f>
        <v>32.510865559999999</v>
      </c>
      <c r="E4985" s="3">
        <f>VLOOKUP(A4985,airports!A:H,8,FALSE)</f>
        <v>-92.037687779999999</v>
      </c>
      <c r="F4985" s="3">
        <f>VLOOKUP(B4985,airports!A:H,7,FALSE)</f>
        <v>33.640444440000003</v>
      </c>
      <c r="G4985" s="3">
        <f>VLOOKUP(B4985,airports!A:H,8,FALSE)</f>
        <v>-84.42694444</v>
      </c>
      <c r="H4985">
        <f t="shared" si="154"/>
        <v>720</v>
      </c>
      <c r="I4985">
        <f t="shared" si="155"/>
        <v>447.4</v>
      </c>
    </row>
    <row r="4986" spans="1:9" ht="30" x14ac:dyDescent="0.25">
      <c r="A4986" s="5" t="s">
        <v>575</v>
      </c>
      <c r="B4986" s="5" t="s">
        <v>49</v>
      </c>
      <c r="C4986" s="5" t="s">
        <v>5464</v>
      </c>
      <c r="D4986" s="3">
        <f>VLOOKUP(A4986,airports!A:H,7,FALSE)</f>
        <v>32.510865559999999</v>
      </c>
      <c r="E4986" s="3">
        <f>VLOOKUP(A4986,airports!A:H,8,FALSE)</f>
        <v>-92.037687779999999</v>
      </c>
      <c r="F4986" s="3">
        <f>VLOOKUP(B4986,airports!A:H,7,FALSE)</f>
        <v>32.895950560000003</v>
      </c>
      <c r="G4986" s="3">
        <f>VLOOKUP(B4986,airports!A:H,8,FALSE)</f>
        <v>-97.037199999999999</v>
      </c>
      <c r="H4986">
        <f t="shared" si="154"/>
        <v>469.7</v>
      </c>
      <c r="I4986">
        <f t="shared" si="155"/>
        <v>291.89999999999998</v>
      </c>
    </row>
    <row r="4987" spans="1:9" ht="30" x14ac:dyDescent="0.25">
      <c r="A4987" s="5" t="s">
        <v>575</v>
      </c>
      <c r="B4987" s="5" t="s">
        <v>67</v>
      </c>
      <c r="C4987" s="5" t="s">
        <v>5465</v>
      </c>
      <c r="D4987" s="3">
        <f>VLOOKUP(A4987,airports!A:H,7,FALSE)</f>
        <v>32.510865559999999</v>
      </c>
      <c r="E4987" s="3">
        <f>VLOOKUP(A4987,airports!A:H,8,FALSE)</f>
        <v>-92.037687779999999</v>
      </c>
      <c r="F4987" s="3">
        <f>VLOOKUP(B4987,airports!A:H,7,FALSE)</f>
        <v>29.980472219999999</v>
      </c>
      <c r="G4987" s="3">
        <f>VLOOKUP(B4987,airports!A:H,8,FALSE)</f>
        <v>-95.339722219999999</v>
      </c>
      <c r="H4987">
        <f t="shared" si="154"/>
        <v>421.5</v>
      </c>
      <c r="I4987">
        <f t="shared" si="155"/>
        <v>261.89999999999998</v>
      </c>
    </row>
    <row r="4988" spans="1:9" ht="30" x14ac:dyDescent="0.25">
      <c r="A4988" s="5" t="s">
        <v>2436</v>
      </c>
      <c r="B4988" s="5" t="s">
        <v>47</v>
      </c>
      <c r="C4988" s="5" t="s">
        <v>5466</v>
      </c>
      <c r="D4988" s="3">
        <f>VLOOKUP(A4988,airports!A:H,7,FALSE)</f>
        <v>37.624048610000003</v>
      </c>
      <c r="E4988" s="3">
        <f>VLOOKUP(A4988,airports!A:H,8,FALSE)</f>
        <v>-118.8377722</v>
      </c>
      <c r="F4988" s="3">
        <f>VLOOKUP(B4988,airports!A:H,7,FALSE)</f>
        <v>39.858408060000002</v>
      </c>
      <c r="G4988" s="3">
        <f>VLOOKUP(B4988,airports!A:H,8,FALSE)</f>
        <v>-104.6670019</v>
      </c>
      <c r="H4988">
        <f t="shared" si="154"/>
        <v>1252.5</v>
      </c>
      <c r="I4988">
        <f t="shared" si="155"/>
        <v>778.3</v>
      </c>
    </row>
    <row r="4989" spans="1:9" ht="30" x14ac:dyDescent="0.25">
      <c r="A4989" s="5" t="s">
        <v>2436</v>
      </c>
      <c r="B4989" s="5" t="s">
        <v>73</v>
      </c>
      <c r="C4989" s="5" t="s">
        <v>5467</v>
      </c>
      <c r="D4989" s="3">
        <f>VLOOKUP(A4989,airports!A:H,7,FALSE)</f>
        <v>37.624048610000003</v>
      </c>
      <c r="E4989" s="3">
        <f>VLOOKUP(A4989,airports!A:H,8,FALSE)</f>
        <v>-118.8377722</v>
      </c>
      <c r="F4989" s="3">
        <f>VLOOKUP(B4989,airports!A:H,7,FALSE)</f>
        <v>33.942536109999999</v>
      </c>
      <c r="G4989" s="3">
        <f>VLOOKUP(B4989,airports!A:H,8,FALSE)</f>
        <v>-118.4080744</v>
      </c>
      <c r="H4989">
        <f t="shared" si="154"/>
        <v>411.2</v>
      </c>
      <c r="I4989">
        <f t="shared" si="155"/>
        <v>255.5</v>
      </c>
    </row>
    <row r="4990" spans="1:9" ht="30" x14ac:dyDescent="0.25">
      <c r="A4990" s="5" t="s">
        <v>2436</v>
      </c>
      <c r="B4990" s="5" t="s">
        <v>124</v>
      </c>
      <c r="C4990" s="5" t="s">
        <v>5468</v>
      </c>
      <c r="D4990" s="3">
        <f>VLOOKUP(A4990,airports!A:H,7,FALSE)</f>
        <v>37.624048610000003</v>
      </c>
      <c r="E4990" s="3">
        <f>VLOOKUP(A4990,airports!A:H,8,FALSE)</f>
        <v>-118.8377722</v>
      </c>
      <c r="F4990" s="3">
        <f>VLOOKUP(B4990,airports!A:H,7,FALSE)</f>
        <v>32.733556110000002</v>
      </c>
      <c r="G4990" s="3">
        <f>VLOOKUP(B4990,airports!A:H,8,FALSE)</f>
        <v>-117.1896567</v>
      </c>
      <c r="H4990">
        <f t="shared" si="154"/>
        <v>564</v>
      </c>
      <c r="I4990">
        <f t="shared" si="155"/>
        <v>350.5</v>
      </c>
    </row>
    <row r="4991" spans="1:9" ht="30" x14ac:dyDescent="0.25">
      <c r="A4991" s="5" t="s">
        <v>2436</v>
      </c>
      <c r="B4991" s="5" t="s">
        <v>130</v>
      </c>
      <c r="C4991" s="5" t="s">
        <v>5469</v>
      </c>
      <c r="D4991" s="3">
        <f>VLOOKUP(A4991,airports!A:H,7,FALSE)</f>
        <v>37.624048610000003</v>
      </c>
      <c r="E4991" s="3">
        <f>VLOOKUP(A4991,airports!A:H,8,FALSE)</f>
        <v>-118.8377722</v>
      </c>
      <c r="F4991" s="3">
        <f>VLOOKUP(B4991,airports!A:H,7,FALSE)</f>
        <v>37.619001939999997</v>
      </c>
      <c r="G4991" s="3">
        <f>VLOOKUP(B4991,airports!A:H,8,FALSE)</f>
        <v>-122.37484329999999</v>
      </c>
      <c r="H4991">
        <f t="shared" si="154"/>
        <v>311.5</v>
      </c>
      <c r="I4991">
        <f t="shared" si="155"/>
        <v>193.6</v>
      </c>
    </row>
    <row r="4992" spans="1:9" ht="30" x14ac:dyDescent="0.25">
      <c r="A4992" s="5" t="s">
        <v>577</v>
      </c>
      <c r="B4992" s="5" t="s">
        <v>10</v>
      </c>
      <c r="C4992" s="5" t="s">
        <v>5470</v>
      </c>
      <c r="D4992" s="3">
        <f>VLOOKUP(A4992,airports!A:H,7,FALSE)</f>
        <v>30.691416669999999</v>
      </c>
      <c r="E4992" s="3">
        <f>VLOOKUP(A4992,airports!A:H,8,FALSE)</f>
        <v>-88.242833329999996</v>
      </c>
      <c r="F4992" s="3">
        <f>VLOOKUP(B4992,airports!A:H,7,FALSE)</f>
        <v>33.640444440000003</v>
      </c>
      <c r="G4992" s="3">
        <f>VLOOKUP(B4992,airports!A:H,8,FALSE)</f>
        <v>-84.42694444</v>
      </c>
      <c r="H4992">
        <f t="shared" si="154"/>
        <v>486.3</v>
      </c>
      <c r="I4992">
        <f t="shared" si="155"/>
        <v>302.2</v>
      </c>
    </row>
    <row r="4993" spans="1:9" ht="30" x14ac:dyDescent="0.25">
      <c r="A4993" s="5" t="s">
        <v>577</v>
      </c>
      <c r="B4993" s="5" t="s">
        <v>40</v>
      </c>
      <c r="C4993" s="5" t="s">
        <v>5471</v>
      </c>
      <c r="D4993" s="3">
        <f>VLOOKUP(A4993,airports!A:H,7,FALSE)</f>
        <v>30.691416669999999</v>
      </c>
      <c r="E4993" s="3">
        <f>VLOOKUP(A4993,airports!A:H,8,FALSE)</f>
        <v>-88.242833329999996</v>
      </c>
      <c r="F4993" s="3">
        <f>VLOOKUP(B4993,airports!A:H,7,FALSE)</f>
        <v>35.214011110000001</v>
      </c>
      <c r="G4993" s="3">
        <f>VLOOKUP(B4993,airports!A:H,8,FALSE)</f>
        <v>-80.94312583</v>
      </c>
      <c r="H4993">
        <f t="shared" si="154"/>
        <v>846.2</v>
      </c>
      <c r="I4993">
        <f t="shared" si="155"/>
        <v>525.79999999999995</v>
      </c>
    </row>
    <row r="4994" spans="1:9" ht="30" x14ac:dyDescent="0.25">
      <c r="A4994" s="5" t="s">
        <v>577</v>
      </c>
      <c r="B4994" s="5" t="s">
        <v>49</v>
      </c>
      <c r="C4994" s="5" t="s">
        <v>5472</v>
      </c>
      <c r="D4994" s="3">
        <f>VLOOKUP(A4994,airports!A:H,7,FALSE)</f>
        <v>30.691416669999999</v>
      </c>
      <c r="E4994" s="3">
        <f>VLOOKUP(A4994,airports!A:H,8,FALSE)</f>
        <v>-88.242833329999996</v>
      </c>
      <c r="F4994" s="3">
        <f>VLOOKUP(B4994,airports!A:H,7,FALSE)</f>
        <v>32.895950560000003</v>
      </c>
      <c r="G4994" s="3">
        <f>VLOOKUP(B4994,airports!A:H,8,FALSE)</f>
        <v>-97.037199999999999</v>
      </c>
      <c r="H4994">
        <f t="shared" si="154"/>
        <v>866.2</v>
      </c>
      <c r="I4994">
        <f t="shared" si="155"/>
        <v>538.29999999999995</v>
      </c>
    </row>
    <row r="4995" spans="1:9" ht="30" x14ac:dyDescent="0.25">
      <c r="A4995" s="5" t="s">
        <v>577</v>
      </c>
      <c r="B4995" s="5" t="s">
        <v>67</v>
      </c>
      <c r="C4995" s="5" t="s">
        <v>5473</v>
      </c>
      <c r="D4995" s="3">
        <f>VLOOKUP(A4995,airports!A:H,7,FALSE)</f>
        <v>30.691416669999999</v>
      </c>
      <c r="E4995" s="3">
        <f>VLOOKUP(A4995,airports!A:H,8,FALSE)</f>
        <v>-88.242833329999996</v>
      </c>
      <c r="F4995" s="3">
        <f>VLOOKUP(B4995,airports!A:H,7,FALSE)</f>
        <v>29.980472219999999</v>
      </c>
      <c r="G4995" s="3">
        <f>VLOOKUP(B4995,airports!A:H,8,FALSE)</f>
        <v>-95.339722219999999</v>
      </c>
      <c r="H4995">
        <f t="shared" si="154"/>
        <v>685.5</v>
      </c>
      <c r="I4995">
        <f t="shared" si="155"/>
        <v>426</v>
      </c>
    </row>
    <row r="4996" spans="1:9" ht="30" x14ac:dyDescent="0.25">
      <c r="A4996" s="5" t="s">
        <v>577</v>
      </c>
      <c r="B4996" s="5" t="s">
        <v>95</v>
      </c>
      <c r="C4996" s="5" t="s">
        <v>5474</v>
      </c>
      <c r="D4996" s="3">
        <f>VLOOKUP(A4996,airports!A:H,7,FALSE)</f>
        <v>30.691416669999999</v>
      </c>
      <c r="E4996" s="3">
        <f>VLOOKUP(A4996,airports!A:H,8,FALSE)</f>
        <v>-88.242833329999996</v>
      </c>
      <c r="F4996" s="3">
        <f>VLOOKUP(B4996,airports!A:H,7,FALSE)</f>
        <v>41.979595000000003</v>
      </c>
      <c r="G4996" s="3">
        <f>VLOOKUP(B4996,airports!A:H,8,FALSE)</f>
        <v>-87.904464169999997</v>
      </c>
      <c r="H4996">
        <f t="shared" ref="H4996:H5059" si="156">ROUND(ACOS(COS(RADIANS(90-D4996)) * COS(RADIANS(90-F4996)) + SIN(RADIANS(90-D4996)) * SIN(RADIANS(90-F4996)) * COS(RADIANS(E4996-G4996))) * 6371,1)</f>
        <v>1255.5999999999999</v>
      </c>
      <c r="I4996">
        <f t="shared" ref="I4996:I5059" si="157">ROUND(ACOS(COS(RADIANS(90-D4996)) * COS(RADIANS(90-F4996)) + SIN(RADIANS(90-D4996)) * SIN(RADIANS(90-F4996)) * COS(RADIANS(E4996-G4996))) * 3959,1)</f>
        <v>780.2</v>
      </c>
    </row>
    <row r="4997" spans="1:9" ht="30" x14ac:dyDescent="0.25">
      <c r="A4997" s="5" t="s">
        <v>879</v>
      </c>
      <c r="B4997" s="5" t="s">
        <v>229</v>
      </c>
      <c r="C4997" s="5" t="s">
        <v>5475</v>
      </c>
      <c r="D4997" s="3">
        <f>VLOOKUP(A4997,airports!A:H,7,FALSE)</f>
        <v>48.259377780000001</v>
      </c>
      <c r="E4997" s="3">
        <f>VLOOKUP(A4997,airports!A:H,8,FALSE)</f>
        <v>-101.2803339</v>
      </c>
      <c r="F4997" s="3">
        <f>VLOOKUP(B4997,airports!A:H,7,FALSE)</f>
        <v>45.449055559999998</v>
      </c>
      <c r="G4997" s="3">
        <f>VLOOKUP(B4997,airports!A:H,8,FALSE)</f>
        <v>-98.421833329999998</v>
      </c>
      <c r="H4997">
        <f t="shared" si="156"/>
        <v>380.6</v>
      </c>
      <c r="I4997">
        <f t="shared" si="157"/>
        <v>236.5</v>
      </c>
    </row>
    <row r="4998" spans="1:9" ht="30" x14ac:dyDescent="0.25">
      <c r="A4998" s="5" t="s">
        <v>879</v>
      </c>
      <c r="B4998" s="5" t="s">
        <v>329</v>
      </c>
      <c r="C4998" s="5" t="s">
        <v>5476</v>
      </c>
      <c r="D4998" s="3">
        <f>VLOOKUP(A4998,airports!A:H,7,FALSE)</f>
        <v>48.259377780000001</v>
      </c>
      <c r="E4998" s="3">
        <f>VLOOKUP(A4998,airports!A:H,8,FALSE)</f>
        <v>-101.2803339</v>
      </c>
      <c r="F4998" s="3">
        <f>VLOOKUP(B4998,airports!A:H,7,FALSE)</f>
        <v>33.308999999999997</v>
      </c>
      <c r="G4998" s="3">
        <f>VLOOKUP(B4998,airports!A:H,8,FALSE)</f>
        <v>-111.6559</v>
      </c>
      <c r="H4998">
        <f t="shared" si="156"/>
        <v>1874</v>
      </c>
      <c r="I4998">
        <f t="shared" si="157"/>
        <v>1164.5</v>
      </c>
    </row>
    <row r="4999" spans="1:9" ht="30" x14ac:dyDescent="0.25">
      <c r="A4999" s="5" t="s">
        <v>879</v>
      </c>
      <c r="B4999" s="5" t="s">
        <v>47</v>
      </c>
      <c r="C4999" s="5" t="s">
        <v>5477</v>
      </c>
      <c r="D4999" s="3">
        <f>VLOOKUP(A4999,airports!A:H,7,FALSE)</f>
        <v>48.259377780000001</v>
      </c>
      <c r="E4999" s="3">
        <f>VLOOKUP(A4999,airports!A:H,8,FALSE)</f>
        <v>-101.2803339</v>
      </c>
      <c r="F4999" s="3">
        <f>VLOOKUP(B4999,airports!A:H,7,FALSE)</f>
        <v>39.858408060000002</v>
      </c>
      <c r="G4999" s="3">
        <f>VLOOKUP(B4999,airports!A:H,8,FALSE)</f>
        <v>-104.6670019</v>
      </c>
      <c r="H4999">
        <f t="shared" si="156"/>
        <v>972.3</v>
      </c>
      <c r="I4999">
        <f t="shared" si="157"/>
        <v>604.20000000000005</v>
      </c>
    </row>
    <row r="5000" spans="1:9" ht="30" x14ac:dyDescent="0.25">
      <c r="A5000" s="5" t="s">
        <v>879</v>
      </c>
      <c r="B5000" s="5" t="s">
        <v>2409</v>
      </c>
      <c r="C5000" s="5" t="s">
        <v>5478</v>
      </c>
      <c r="D5000" s="3">
        <f>VLOOKUP(A5000,airports!A:H,7,FALSE)</f>
        <v>48.259377780000001</v>
      </c>
      <c r="E5000" s="3">
        <f>VLOOKUP(A5000,airports!A:H,8,FALSE)</f>
        <v>-101.2803339</v>
      </c>
      <c r="F5000" s="3">
        <f>VLOOKUP(B5000,airports!A:H,7,FALSE)</f>
        <v>46.92971944</v>
      </c>
      <c r="G5000" s="3">
        <f>VLOOKUP(B5000,airports!A:H,8,FALSE)</f>
        <v>-98.678195279999997</v>
      </c>
      <c r="H5000">
        <f t="shared" si="156"/>
        <v>244.8</v>
      </c>
      <c r="I5000">
        <f t="shared" si="157"/>
        <v>152.1</v>
      </c>
    </row>
    <row r="5001" spans="1:9" ht="30" x14ac:dyDescent="0.25">
      <c r="A5001" s="5" t="s">
        <v>879</v>
      </c>
      <c r="B5001" s="5" t="s">
        <v>71</v>
      </c>
      <c r="C5001" s="5" t="s">
        <v>5479</v>
      </c>
      <c r="D5001" s="3">
        <f>VLOOKUP(A5001,airports!A:H,7,FALSE)</f>
        <v>48.259377780000001</v>
      </c>
      <c r="E5001" s="3">
        <f>VLOOKUP(A5001,airports!A:H,8,FALSE)</f>
        <v>-101.2803339</v>
      </c>
      <c r="F5001" s="3">
        <f>VLOOKUP(B5001,airports!A:H,7,FALSE)</f>
        <v>36.080361109999998</v>
      </c>
      <c r="G5001" s="3">
        <f>VLOOKUP(B5001,airports!A:H,8,FALSE)</f>
        <v>-115.1523333</v>
      </c>
      <c r="H5001">
        <f t="shared" si="156"/>
        <v>1766.6</v>
      </c>
      <c r="I5001">
        <f t="shared" si="157"/>
        <v>1097.8</v>
      </c>
    </row>
    <row r="5002" spans="1:9" ht="30" x14ac:dyDescent="0.25">
      <c r="A5002" s="5" t="s">
        <v>879</v>
      </c>
      <c r="B5002" s="5" t="s">
        <v>87</v>
      </c>
      <c r="C5002" s="5" t="s">
        <v>5480</v>
      </c>
      <c r="D5002" s="3">
        <f>VLOOKUP(A5002,airports!A:H,7,FALSE)</f>
        <v>48.259377780000001</v>
      </c>
      <c r="E5002" s="3">
        <f>VLOOKUP(A5002,airports!A:H,8,FALSE)</f>
        <v>-101.2803339</v>
      </c>
      <c r="F5002" s="3">
        <f>VLOOKUP(B5002,airports!A:H,7,FALSE)</f>
        <v>44.880546940000002</v>
      </c>
      <c r="G5002" s="3">
        <f>VLOOKUP(B5002,airports!A:H,8,FALSE)</f>
        <v>-93.216922499999995</v>
      </c>
      <c r="H5002">
        <f t="shared" si="156"/>
        <v>721.3</v>
      </c>
      <c r="I5002">
        <f t="shared" si="157"/>
        <v>448.2</v>
      </c>
    </row>
    <row r="5003" spans="1:9" ht="30" x14ac:dyDescent="0.25">
      <c r="A5003" s="5" t="s">
        <v>2886</v>
      </c>
      <c r="B5003" s="5" t="s">
        <v>50</v>
      </c>
      <c r="C5003" s="5" t="s">
        <v>5481</v>
      </c>
      <c r="D5003" s="3">
        <f>VLOOKUP(A5003,airports!A:H,7,FALSE)</f>
        <v>46.353639000000001</v>
      </c>
      <c r="E5003" s="3">
        <f>VLOOKUP(A5003,airports!A:H,8,FALSE)</f>
        <v>-87.395360999999994</v>
      </c>
      <c r="F5003" s="3">
        <f>VLOOKUP(B5003,airports!A:H,7,FALSE)</f>
        <v>42.212058890000002</v>
      </c>
      <c r="G5003" s="3">
        <f>VLOOKUP(B5003,airports!A:H,8,FALSE)</f>
        <v>-83.348835829999999</v>
      </c>
      <c r="H5003">
        <f t="shared" si="156"/>
        <v>561.79999999999995</v>
      </c>
      <c r="I5003">
        <f t="shared" si="157"/>
        <v>349.1</v>
      </c>
    </row>
    <row r="5004" spans="1:9" ht="30" x14ac:dyDescent="0.25">
      <c r="A5004" s="5" t="s">
        <v>2886</v>
      </c>
      <c r="B5004" s="5" t="s">
        <v>87</v>
      </c>
      <c r="C5004" s="5" t="s">
        <v>5482</v>
      </c>
      <c r="D5004" s="3">
        <f>VLOOKUP(A5004,airports!A:H,7,FALSE)</f>
        <v>46.353639000000001</v>
      </c>
      <c r="E5004" s="3">
        <f>VLOOKUP(A5004,airports!A:H,8,FALSE)</f>
        <v>-87.395360999999994</v>
      </c>
      <c r="F5004" s="3">
        <f>VLOOKUP(B5004,airports!A:H,7,FALSE)</f>
        <v>44.880546940000002</v>
      </c>
      <c r="G5004" s="3">
        <f>VLOOKUP(B5004,airports!A:H,8,FALSE)</f>
        <v>-93.216922499999995</v>
      </c>
      <c r="H5004">
        <f t="shared" si="156"/>
        <v>481.4</v>
      </c>
      <c r="I5004">
        <f t="shared" si="157"/>
        <v>299.10000000000002</v>
      </c>
    </row>
    <row r="5005" spans="1:9" ht="30" x14ac:dyDescent="0.25">
      <c r="A5005" s="5" t="s">
        <v>2886</v>
      </c>
      <c r="B5005" s="5" t="s">
        <v>95</v>
      </c>
      <c r="C5005" s="5" t="s">
        <v>5483</v>
      </c>
      <c r="D5005" s="3">
        <f>VLOOKUP(A5005,airports!A:H,7,FALSE)</f>
        <v>46.353639000000001</v>
      </c>
      <c r="E5005" s="3">
        <f>VLOOKUP(A5005,airports!A:H,8,FALSE)</f>
        <v>-87.395360999999994</v>
      </c>
      <c r="F5005" s="3">
        <f>VLOOKUP(B5005,airports!A:H,7,FALSE)</f>
        <v>41.979595000000003</v>
      </c>
      <c r="G5005" s="3">
        <f>VLOOKUP(B5005,airports!A:H,8,FALSE)</f>
        <v>-87.904464169999997</v>
      </c>
      <c r="H5005">
        <f t="shared" si="156"/>
        <v>488.1</v>
      </c>
      <c r="I5005">
        <f t="shared" si="157"/>
        <v>303.3</v>
      </c>
    </row>
    <row r="5006" spans="1:9" ht="30" x14ac:dyDescent="0.25">
      <c r="A5006" s="5" t="s">
        <v>2439</v>
      </c>
      <c r="B5006" s="5" t="s">
        <v>47</v>
      </c>
      <c r="C5006" s="5" t="s">
        <v>5484</v>
      </c>
      <c r="D5006" s="3">
        <f>VLOOKUP(A5006,airports!A:H,7,FALSE)</f>
        <v>36.586982499999998</v>
      </c>
      <c r="E5006" s="3">
        <f>VLOOKUP(A5006,airports!A:H,8,FALSE)</f>
        <v>-121.8429478</v>
      </c>
      <c r="F5006" s="3">
        <f>VLOOKUP(B5006,airports!A:H,7,FALSE)</f>
        <v>39.858408060000002</v>
      </c>
      <c r="G5006" s="3">
        <f>VLOOKUP(B5006,airports!A:H,8,FALSE)</f>
        <v>-104.6670019</v>
      </c>
      <c r="H5006">
        <f t="shared" si="156"/>
        <v>1541.2</v>
      </c>
      <c r="I5006">
        <f t="shared" si="157"/>
        <v>957.7</v>
      </c>
    </row>
    <row r="5007" spans="1:9" ht="30" x14ac:dyDescent="0.25">
      <c r="A5007" s="5" t="s">
        <v>2439</v>
      </c>
      <c r="B5007" s="5" t="s">
        <v>49</v>
      </c>
      <c r="C5007" s="5" t="s">
        <v>5485</v>
      </c>
      <c r="D5007" s="3">
        <f>VLOOKUP(A5007,airports!A:H,7,FALSE)</f>
        <v>36.586982499999998</v>
      </c>
      <c r="E5007" s="3">
        <f>VLOOKUP(A5007,airports!A:H,8,FALSE)</f>
        <v>-121.8429478</v>
      </c>
      <c r="F5007" s="3">
        <f>VLOOKUP(B5007,airports!A:H,7,FALSE)</f>
        <v>32.895950560000003</v>
      </c>
      <c r="G5007" s="3">
        <f>VLOOKUP(B5007,airports!A:H,8,FALSE)</f>
        <v>-97.037199999999999</v>
      </c>
      <c r="H5007">
        <f t="shared" si="156"/>
        <v>2296.6999999999998</v>
      </c>
      <c r="I5007">
        <f t="shared" si="157"/>
        <v>1427.2</v>
      </c>
    </row>
    <row r="5008" spans="1:9" ht="30" x14ac:dyDescent="0.25">
      <c r="A5008" s="5" t="s">
        <v>2439</v>
      </c>
      <c r="B5008" s="5" t="s">
        <v>71</v>
      </c>
      <c r="C5008" s="5" t="s">
        <v>5486</v>
      </c>
      <c r="D5008" s="3">
        <f>VLOOKUP(A5008,airports!A:H,7,FALSE)</f>
        <v>36.586982499999998</v>
      </c>
      <c r="E5008" s="3">
        <f>VLOOKUP(A5008,airports!A:H,8,FALSE)</f>
        <v>-121.8429478</v>
      </c>
      <c r="F5008" s="3">
        <f>VLOOKUP(B5008,airports!A:H,7,FALSE)</f>
        <v>36.080361109999998</v>
      </c>
      <c r="G5008" s="3">
        <f>VLOOKUP(B5008,airports!A:H,8,FALSE)</f>
        <v>-115.1523333</v>
      </c>
      <c r="H5008">
        <f t="shared" si="156"/>
        <v>601.79999999999995</v>
      </c>
      <c r="I5008">
        <f t="shared" si="157"/>
        <v>374</v>
      </c>
    </row>
    <row r="5009" spans="1:9" ht="30" x14ac:dyDescent="0.25">
      <c r="A5009" s="5" t="s">
        <v>2439</v>
      </c>
      <c r="B5009" s="5" t="s">
        <v>73</v>
      </c>
      <c r="C5009" s="5" t="s">
        <v>5487</v>
      </c>
      <c r="D5009" s="3">
        <f>VLOOKUP(A5009,airports!A:H,7,FALSE)</f>
        <v>36.586982499999998</v>
      </c>
      <c r="E5009" s="3">
        <f>VLOOKUP(A5009,airports!A:H,8,FALSE)</f>
        <v>-121.8429478</v>
      </c>
      <c r="F5009" s="3">
        <f>VLOOKUP(B5009,airports!A:H,7,FALSE)</f>
        <v>33.942536109999999</v>
      </c>
      <c r="G5009" s="3">
        <f>VLOOKUP(B5009,airports!A:H,8,FALSE)</f>
        <v>-118.4080744</v>
      </c>
      <c r="H5009">
        <f t="shared" si="156"/>
        <v>428.6</v>
      </c>
      <c r="I5009">
        <f t="shared" si="157"/>
        <v>266.3</v>
      </c>
    </row>
    <row r="5010" spans="1:9" ht="30" x14ac:dyDescent="0.25">
      <c r="A5010" s="5" t="s">
        <v>2439</v>
      </c>
      <c r="B5010" s="5" t="s">
        <v>100</v>
      </c>
      <c r="C5010" s="5" t="s">
        <v>5488</v>
      </c>
      <c r="D5010" s="3">
        <f>VLOOKUP(A5010,airports!A:H,7,FALSE)</f>
        <v>36.586982499999998</v>
      </c>
      <c r="E5010" s="3">
        <f>VLOOKUP(A5010,airports!A:H,8,FALSE)</f>
        <v>-121.8429478</v>
      </c>
      <c r="F5010" s="3">
        <f>VLOOKUP(B5010,airports!A:H,7,FALSE)</f>
        <v>45.588722220000001</v>
      </c>
      <c r="G5010" s="3">
        <f>VLOOKUP(B5010,airports!A:H,8,FALSE)</f>
        <v>-122.5975</v>
      </c>
      <c r="H5010">
        <f t="shared" si="156"/>
        <v>1002.9</v>
      </c>
      <c r="I5010">
        <f t="shared" si="157"/>
        <v>623.20000000000005</v>
      </c>
    </row>
    <row r="5011" spans="1:9" ht="30" x14ac:dyDescent="0.25">
      <c r="A5011" s="5" t="s">
        <v>2439</v>
      </c>
      <c r="B5011" s="5" t="s">
        <v>104</v>
      </c>
      <c r="C5011" s="5" t="s">
        <v>5489</v>
      </c>
      <c r="D5011" s="3">
        <f>VLOOKUP(A5011,airports!A:H,7,FALSE)</f>
        <v>36.586982499999998</v>
      </c>
      <c r="E5011" s="3">
        <f>VLOOKUP(A5011,airports!A:H,8,FALSE)</f>
        <v>-121.8429478</v>
      </c>
      <c r="F5011" s="3">
        <f>VLOOKUP(B5011,airports!A:H,7,FALSE)</f>
        <v>33.434166670000003</v>
      </c>
      <c r="G5011" s="3">
        <f>VLOOKUP(B5011,airports!A:H,8,FALSE)</f>
        <v>-112.00805560000001</v>
      </c>
      <c r="H5011">
        <f t="shared" si="156"/>
        <v>961.3</v>
      </c>
      <c r="I5011">
        <f t="shared" si="157"/>
        <v>597.29999999999995</v>
      </c>
    </row>
    <row r="5012" spans="1:9" ht="30" x14ac:dyDescent="0.25">
      <c r="A5012" s="5" t="s">
        <v>2439</v>
      </c>
      <c r="B5012" s="5" t="s">
        <v>124</v>
      </c>
      <c r="C5012" s="5" t="s">
        <v>5490</v>
      </c>
      <c r="D5012" s="3">
        <f>VLOOKUP(A5012,airports!A:H,7,FALSE)</f>
        <v>36.586982499999998</v>
      </c>
      <c r="E5012" s="3">
        <f>VLOOKUP(A5012,airports!A:H,8,FALSE)</f>
        <v>-121.8429478</v>
      </c>
      <c r="F5012" s="3">
        <f>VLOOKUP(B5012,airports!A:H,7,FALSE)</f>
        <v>32.733556110000002</v>
      </c>
      <c r="G5012" s="3">
        <f>VLOOKUP(B5012,airports!A:H,8,FALSE)</f>
        <v>-117.1896567</v>
      </c>
      <c r="H5012">
        <f t="shared" si="156"/>
        <v>603.79999999999995</v>
      </c>
      <c r="I5012">
        <f t="shared" si="157"/>
        <v>375.2</v>
      </c>
    </row>
    <row r="5013" spans="1:9" ht="30" x14ac:dyDescent="0.25">
      <c r="A5013" s="5" t="s">
        <v>2439</v>
      </c>
      <c r="B5013" s="5" t="s">
        <v>128</v>
      </c>
      <c r="C5013" s="5" t="s">
        <v>5491</v>
      </c>
      <c r="D5013" s="3">
        <f>VLOOKUP(A5013,airports!A:H,7,FALSE)</f>
        <v>36.586982499999998</v>
      </c>
      <c r="E5013" s="3">
        <f>VLOOKUP(A5013,airports!A:H,8,FALSE)</f>
        <v>-121.8429478</v>
      </c>
      <c r="F5013" s="3">
        <f>VLOOKUP(B5013,airports!A:H,7,FALSE)</f>
        <v>47.448981940000003</v>
      </c>
      <c r="G5013" s="3">
        <f>VLOOKUP(B5013,airports!A:H,8,FALSE)</f>
        <v>-122.3093131</v>
      </c>
      <c r="H5013">
        <f t="shared" si="156"/>
        <v>1208.4000000000001</v>
      </c>
      <c r="I5013">
        <f t="shared" si="157"/>
        <v>750.9</v>
      </c>
    </row>
    <row r="5014" spans="1:9" ht="30" x14ac:dyDescent="0.25">
      <c r="A5014" s="5" t="s">
        <v>2439</v>
      </c>
      <c r="B5014" s="5" t="s">
        <v>130</v>
      </c>
      <c r="C5014" s="5" t="s">
        <v>5492</v>
      </c>
      <c r="D5014" s="3">
        <f>VLOOKUP(A5014,airports!A:H,7,FALSE)</f>
        <v>36.586982499999998</v>
      </c>
      <c r="E5014" s="3">
        <f>VLOOKUP(A5014,airports!A:H,8,FALSE)</f>
        <v>-121.8429478</v>
      </c>
      <c r="F5014" s="3">
        <f>VLOOKUP(B5014,airports!A:H,7,FALSE)</f>
        <v>37.619001939999997</v>
      </c>
      <c r="G5014" s="3">
        <f>VLOOKUP(B5014,airports!A:H,8,FALSE)</f>
        <v>-122.37484329999999</v>
      </c>
      <c r="H5014">
        <f t="shared" si="156"/>
        <v>124.1</v>
      </c>
      <c r="I5014">
        <f t="shared" si="157"/>
        <v>77.099999999999994</v>
      </c>
    </row>
    <row r="5015" spans="1:9" ht="30" x14ac:dyDescent="0.25">
      <c r="A5015" s="5" t="s">
        <v>579</v>
      </c>
      <c r="B5015" s="5" t="s">
        <v>10</v>
      </c>
      <c r="C5015" s="5" t="s">
        <v>5493</v>
      </c>
      <c r="D5015" s="3">
        <f>VLOOKUP(A5015,airports!A:H,7,FALSE)</f>
        <v>43.13985778</v>
      </c>
      <c r="E5015" s="3">
        <f>VLOOKUP(A5015,airports!A:H,8,FALSE)</f>
        <v>-89.337513610000002</v>
      </c>
      <c r="F5015" s="3">
        <f>VLOOKUP(B5015,airports!A:H,7,FALSE)</f>
        <v>33.640444440000003</v>
      </c>
      <c r="G5015" s="3">
        <f>VLOOKUP(B5015,airports!A:H,8,FALSE)</f>
        <v>-84.42694444</v>
      </c>
      <c r="H5015">
        <f t="shared" si="156"/>
        <v>1139.0999999999999</v>
      </c>
      <c r="I5015">
        <f t="shared" si="157"/>
        <v>707.9</v>
      </c>
    </row>
    <row r="5016" spans="1:9" ht="30" x14ac:dyDescent="0.25">
      <c r="A5016" s="5" t="s">
        <v>579</v>
      </c>
      <c r="B5016" s="5" t="s">
        <v>13</v>
      </c>
      <c r="C5016" s="5" t="s">
        <v>5494</v>
      </c>
      <c r="D5016" s="3">
        <f>VLOOKUP(A5016,airports!A:H,7,FALSE)</f>
        <v>43.13985778</v>
      </c>
      <c r="E5016" s="3">
        <f>VLOOKUP(A5016,airports!A:H,8,FALSE)</f>
        <v>-89.337513610000002</v>
      </c>
      <c r="F5016" s="3">
        <f>VLOOKUP(B5016,airports!A:H,7,FALSE)</f>
        <v>30.194532779999999</v>
      </c>
      <c r="G5016" s="3">
        <f>VLOOKUP(B5016,airports!A:H,8,FALSE)</f>
        <v>-97.669871939999993</v>
      </c>
      <c r="H5016">
        <f t="shared" si="156"/>
        <v>1617.9</v>
      </c>
      <c r="I5016">
        <f t="shared" si="157"/>
        <v>1005.4</v>
      </c>
    </row>
    <row r="5017" spans="1:9" ht="30" x14ac:dyDescent="0.25">
      <c r="A5017" s="5" t="s">
        <v>579</v>
      </c>
      <c r="B5017" s="5" t="s">
        <v>19</v>
      </c>
      <c r="C5017" s="5" t="s">
        <v>5495</v>
      </c>
      <c r="D5017" s="3">
        <f>VLOOKUP(A5017,airports!A:H,7,FALSE)</f>
        <v>43.13985778</v>
      </c>
      <c r="E5017" s="3">
        <f>VLOOKUP(A5017,airports!A:H,8,FALSE)</f>
        <v>-89.337513610000002</v>
      </c>
      <c r="F5017" s="3">
        <f>VLOOKUP(B5017,airports!A:H,7,FALSE)</f>
        <v>36.12447667</v>
      </c>
      <c r="G5017" s="3">
        <f>VLOOKUP(B5017,airports!A:H,8,FALSE)</f>
        <v>-86.678182219999997</v>
      </c>
      <c r="H5017">
        <f t="shared" si="156"/>
        <v>812.5</v>
      </c>
      <c r="I5017">
        <f t="shared" si="157"/>
        <v>504.9</v>
      </c>
    </row>
    <row r="5018" spans="1:9" ht="30" x14ac:dyDescent="0.25">
      <c r="A5018" s="5" t="s">
        <v>579</v>
      </c>
      <c r="B5018" s="5" t="s">
        <v>24</v>
      </c>
      <c r="C5018" s="5" t="s">
        <v>5496</v>
      </c>
      <c r="D5018" s="3">
        <f>VLOOKUP(A5018,airports!A:H,7,FALSE)</f>
        <v>43.13985778</v>
      </c>
      <c r="E5018" s="3">
        <f>VLOOKUP(A5018,airports!A:H,8,FALSE)</f>
        <v>-89.337513610000002</v>
      </c>
      <c r="F5018" s="3">
        <f>VLOOKUP(B5018,airports!A:H,7,FALSE)</f>
        <v>42.364347500000001</v>
      </c>
      <c r="G5018" s="3">
        <f>VLOOKUP(B5018,airports!A:H,8,FALSE)</f>
        <v>-71.005179170000005</v>
      </c>
      <c r="H5018">
        <f t="shared" si="156"/>
        <v>1496.3</v>
      </c>
      <c r="I5018">
        <f t="shared" si="157"/>
        <v>929.8</v>
      </c>
    </row>
    <row r="5019" spans="1:9" ht="30" x14ac:dyDescent="0.25">
      <c r="A5019" s="5" t="s">
        <v>579</v>
      </c>
      <c r="B5019" s="5" t="s">
        <v>38</v>
      </c>
      <c r="C5019" s="5" t="s">
        <v>5497</v>
      </c>
      <c r="D5019" s="3">
        <f>VLOOKUP(A5019,airports!A:H,7,FALSE)</f>
        <v>43.13985778</v>
      </c>
      <c r="E5019" s="3">
        <f>VLOOKUP(A5019,airports!A:H,8,FALSE)</f>
        <v>-89.337513610000002</v>
      </c>
      <c r="F5019" s="3">
        <f>VLOOKUP(B5019,airports!A:H,7,FALSE)</f>
        <v>41.410894169999999</v>
      </c>
      <c r="G5019" s="3">
        <f>VLOOKUP(B5019,airports!A:H,8,FALSE)</f>
        <v>-81.849396670000004</v>
      </c>
      <c r="H5019">
        <f t="shared" si="156"/>
        <v>645.1</v>
      </c>
      <c r="I5019">
        <f t="shared" si="157"/>
        <v>400.9</v>
      </c>
    </row>
    <row r="5020" spans="1:9" ht="30" x14ac:dyDescent="0.25">
      <c r="A5020" s="5" t="s">
        <v>579</v>
      </c>
      <c r="B5020" s="5" t="s">
        <v>40</v>
      </c>
      <c r="C5020" s="5" t="s">
        <v>5498</v>
      </c>
      <c r="D5020" s="3">
        <f>VLOOKUP(A5020,airports!A:H,7,FALSE)</f>
        <v>43.13985778</v>
      </c>
      <c r="E5020" s="3">
        <f>VLOOKUP(A5020,airports!A:H,8,FALSE)</f>
        <v>-89.337513610000002</v>
      </c>
      <c r="F5020" s="3">
        <f>VLOOKUP(B5020,airports!A:H,7,FALSE)</f>
        <v>35.214011110000001</v>
      </c>
      <c r="G5020" s="3">
        <f>VLOOKUP(B5020,airports!A:H,8,FALSE)</f>
        <v>-80.94312583</v>
      </c>
      <c r="H5020">
        <f t="shared" si="156"/>
        <v>1139</v>
      </c>
      <c r="I5020">
        <f t="shared" si="157"/>
        <v>707.8</v>
      </c>
    </row>
    <row r="5021" spans="1:9" ht="30" x14ac:dyDescent="0.25">
      <c r="A5021" s="5" t="s">
        <v>579</v>
      </c>
      <c r="B5021" s="5" t="s">
        <v>454</v>
      </c>
      <c r="C5021" s="5" t="s">
        <v>5499</v>
      </c>
      <c r="D5021" s="3">
        <f>VLOOKUP(A5021,airports!A:H,7,FALSE)</f>
        <v>43.13985778</v>
      </c>
      <c r="E5021" s="3">
        <f>VLOOKUP(A5021,airports!A:H,8,FALSE)</f>
        <v>-89.337513610000002</v>
      </c>
      <c r="F5021" s="3">
        <f>VLOOKUP(B5021,airports!A:H,7,FALSE)</f>
        <v>39.997985280000002</v>
      </c>
      <c r="G5021" s="3">
        <f>VLOOKUP(B5021,airports!A:H,8,FALSE)</f>
        <v>-82.891882780000003</v>
      </c>
      <c r="H5021">
        <f t="shared" si="156"/>
        <v>639.70000000000005</v>
      </c>
      <c r="I5021">
        <f t="shared" si="157"/>
        <v>397.5</v>
      </c>
    </row>
    <row r="5022" spans="1:9" ht="30" x14ac:dyDescent="0.25">
      <c r="A5022" s="5" t="s">
        <v>579</v>
      </c>
      <c r="B5022" s="5" t="s">
        <v>462</v>
      </c>
      <c r="C5022" s="5" t="s">
        <v>5500</v>
      </c>
      <c r="D5022" s="3">
        <f>VLOOKUP(A5022,airports!A:H,7,FALSE)</f>
        <v>43.13985778</v>
      </c>
      <c r="E5022" s="3">
        <f>VLOOKUP(A5022,airports!A:H,8,FALSE)</f>
        <v>-89.337513610000002</v>
      </c>
      <c r="F5022" s="3">
        <f>VLOOKUP(B5022,airports!A:H,7,FALSE)</f>
        <v>39.046142779999997</v>
      </c>
      <c r="G5022" s="3">
        <f>VLOOKUP(B5022,airports!A:H,8,FALSE)</f>
        <v>-84.662172499999997</v>
      </c>
      <c r="H5022">
        <f t="shared" si="156"/>
        <v>600.4</v>
      </c>
      <c r="I5022">
        <f t="shared" si="157"/>
        <v>373.1</v>
      </c>
    </row>
    <row r="5023" spans="1:9" ht="30" x14ac:dyDescent="0.25">
      <c r="A5023" s="5" t="s">
        <v>579</v>
      </c>
      <c r="B5023" s="5" t="s">
        <v>45</v>
      </c>
      <c r="C5023" s="5" t="s">
        <v>5501</v>
      </c>
      <c r="D5023" s="3">
        <f>VLOOKUP(A5023,airports!A:H,7,FALSE)</f>
        <v>43.13985778</v>
      </c>
      <c r="E5023" s="3">
        <f>VLOOKUP(A5023,airports!A:H,8,FALSE)</f>
        <v>-89.337513610000002</v>
      </c>
      <c r="F5023" s="3">
        <f>VLOOKUP(B5023,airports!A:H,7,FALSE)</f>
        <v>38.852083329999999</v>
      </c>
      <c r="G5023" s="3">
        <f>VLOOKUP(B5023,airports!A:H,8,FALSE)</f>
        <v>-77.037722220000006</v>
      </c>
      <c r="H5023">
        <f t="shared" si="156"/>
        <v>1135.5999999999999</v>
      </c>
      <c r="I5023">
        <f t="shared" si="157"/>
        <v>705.6</v>
      </c>
    </row>
    <row r="5024" spans="1:9" ht="30" x14ac:dyDescent="0.25">
      <c r="A5024" s="5" t="s">
        <v>579</v>
      </c>
      <c r="B5024" s="5" t="s">
        <v>47</v>
      </c>
      <c r="C5024" s="5" t="s">
        <v>5502</v>
      </c>
      <c r="D5024" s="3">
        <f>VLOOKUP(A5024,airports!A:H,7,FALSE)</f>
        <v>43.13985778</v>
      </c>
      <c r="E5024" s="3">
        <f>VLOOKUP(A5024,airports!A:H,8,FALSE)</f>
        <v>-89.337513610000002</v>
      </c>
      <c r="F5024" s="3">
        <f>VLOOKUP(B5024,airports!A:H,7,FALSE)</f>
        <v>39.858408060000002</v>
      </c>
      <c r="G5024" s="3">
        <f>VLOOKUP(B5024,airports!A:H,8,FALSE)</f>
        <v>-104.6670019</v>
      </c>
      <c r="H5024">
        <f t="shared" si="156"/>
        <v>1325.6</v>
      </c>
      <c r="I5024">
        <f t="shared" si="157"/>
        <v>823.7</v>
      </c>
    </row>
    <row r="5025" spans="1:9" ht="30" x14ac:dyDescent="0.25">
      <c r="A5025" s="5" t="s">
        <v>579</v>
      </c>
      <c r="B5025" s="5" t="s">
        <v>49</v>
      </c>
      <c r="C5025" s="5" t="s">
        <v>5503</v>
      </c>
      <c r="D5025" s="3">
        <f>VLOOKUP(A5025,airports!A:H,7,FALSE)</f>
        <v>43.13985778</v>
      </c>
      <c r="E5025" s="3">
        <f>VLOOKUP(A5025,airports!A:H,8,FALSE)</f>
        <v>-89.337513610000002</v>
      </c>
      <c r="F5025" s="3">
        <f>VLOOKUP(B5025,airports!A:H,7,FALSE)</f>
        <v>32.895950560000003</v>
      </c>
      <c r="G5025" s="3">
        <f>VLOOKUP(B5025,airports!A:H,8,FALSE)</f>
        <v>-97.037199999999999</v>
      </c>
      <c r="H5025">
        <f t="shared" si="156"/>
        <v>1322.4</v>
      </c>
      <c r="I5025">
        <f t="shared" si="157"/>
        <v>821.8</v>
      </c>
    </row>
    <row r="5026" spans="1:9" ht="30" x14ac:dyDescent="0.25">
      <c r="A5026" s="5" t="s">
        <v>579</v>
      </c>
      <c r="B5026" s="5" t="s">
        <v>50</v>
      </c>
      <c r="C5026" s="5" t="s">
        <v>5504</v>
      </c>
      <c r="D5026" s="3">
        <f>VLOOKUP(A5026,airports!A:H,7,FALSE)</f>
        <v>43.13985778</v>
      </c>
      <c r="E5026" s="3">
        <f>VLOOKUP(A5026,airports!A:H,8,FALSE)</f>
        <v>-89.337513610000002</v>
      </c>
      <c r="F5026" s="3">
        <f>VLOOKUP(B5026,airports!A:H,7,FALSE)</f>
        <v>42.212058890000002</v>
      </c>
      <c r="G5026" s="3">
        <f>VLOOKUP(B5026,airports!A:H,8,FALSE)</f>
        <v>-83.348835829999999</v>
      </c>
      <c r="H5026">
        <f t="shared" si="156"/>
        <v>500.2</v>
      </c>
      <c r="I5026">
        <f t="shared" si="157"/>
        <v>310.8</v>
      </c>
    </row>
    <row r="5027" spans="1:9" ht="30" x14ac:dyDescent="0.25">
      <c r="A5027" s="5" t="s">
        <v>579</v>
      </c>
      <c r="B5027" s="5" t="s">
        <v>52</v>
      </c>
      <c r="C5027" s="5" t="s">
        <v>5505</v>
      </c>
      <c r="D5027" s="3">
        <f>VLOOKUP(A5027,airports!A:H,7,FALSE)</f>
        <v>43.13985778</v>
      </c>
      <c r="E5027" s="3">
        <f>VLOOKUP(A5027,airports!A:H,8,FALSE)</f>
        <v>-89.337513610000002</v>
      </c>
      <c r="F5027" s="3">
        <f>VLOOKUP(B5027,airports!A:H,7,FALSE)</f>
        <v>40.69249722</v>
      </c>
      <c r="G5027" s="3">
        <f>VLOOKUP(B5027,airports!A:H,8,FALSE)</f>
        <v>-74.168660560000006</v>
      </c>
      <c r="H5027">
        <f t="shared" si="156"/>
        <v>1282.4000000000001</v>
      </c>
      <c r="I5027">
        <f t="shared" si="157"/>
        <v>796.9</v>
      </c>
    </row>
    <row r="5028" spans="1:9" ht="30" x14ac:dyDescent="0.25">
      <c r="A5028" s="5" t="s">
        <v>579</v>
      </c>
      <c r="B5028" s="5" t="s">
        <v>176</v>
      </c>
      <c r="C5028" s="5" t="s">
        <v>5506</v>
      </c>
      <c r="D5028" s="3">
        <f>VLOOKUP(A5028,airports!A:H,7,FALSE)</f>
        <v>43.13985778</v>
      </c>
      <c r="E5028" s="3">
        <f>VLOOKUP(A5028,airports!A:H,8,FALSE)</f>
        <v>-89.337513610000002</v>
      </c>
      <c r="F5028" s="3">
        <f>VLOOKUP(B5028,airports!A:H,7,FALSE)</f>
        <v>38.944531939999997</v>
      </c>
      <c r="G5028" s="3">
        <f>VLOOKUP(B5028,airports!A:H,8,FALSE)</f>
        <v>-77.455809720000005</v>
      </c>
      <c r="H5028">
        <f t="shared" si="156"/>
        <v>1098.9000000000001</v>
      </c>
      <c r="I5028">
        <f t="shared" si="157"/>
        <v>682.9</v>
      </c>
    </row>
    <row r="5029" spans="1:9" ht="30" x14ac:dyDescent="0.25">
      <c r="A5029" s="5" t="s">
        <v>579</v>
      </c>
      <c r="B5029" s="5" t="s">
        <v>67</v>
      </c>
      <c r="C5029" s="5" t="s">
        <v>5507</v>
      </c>
      <c r="D5029" s="3">
        <f>VLOOKUP(A5029,airports!A:H,7,FALSE)</f>
        <v>43.13985778</v>
      </c>
      <c r="E5029" s="3">
        <f>VLOOKUP(A5029,airports!A:H,8,FALSE)</f>
        <v>-89.337513610000002</v>
      </c>
      <c r="F5029" s="3">
        <f>VLOOKUP(B5029,airports!A:H,7,FALSE)</f>
        <v>29.980472219999999</v>
      </c>
      <c r="G5029" s="3">
        <f>VLOOKUP(B5029,airports!A:H,8,FALSE)</f>
        <v>-95.339722219999999</v>
      </c>
      <c r="H5029">
        <f t="shared" si="156"/>
        <v>1557.3</v>
      </c>
      <c r="I5029">
        <f t="shared" si="157"/>
        <v>967.7</v>
      </c>
    </row>
    <row r="5030" spans="1:9" ht="30" x14ac:dyDescent="0.25">
      <c r="A5030" s="5" t="s">
        <v>579</v>
      </c>
      <c r="B5030" s="5" t="s">
        <v>71</v>
      </c>
      <c r="C5030" s="5" t="s">
        <v>5508</v>
      </c>
      <c r="D5030" s="3">
        <f>VLOOKUP(A5030,airports!A:H,7,FALSE)</f>
        <v>43.13985778</v>
      </c>
      <c r="E5030" s="3">
        <f>VLOOKUP(A5030,airports!A:H,8,FALSE)</f>
        <v>-89.337513610000002</v>
      </c>
      <c r="F5030" s="3">
        <f>VLOOKUP(B5030,airports!A:H,7,FALSE)</f>
        <v>36.080361109999998</v>
      </c>
      <c r="G5030" s="3">
        <f>VLOOKUP(B5030,airports!A:H,8,FALSE)</f>
        <v>-115.1523333</v>
      </c>
      <c r="H5030">
        <f t="shared" si="156"/>
        <v>2335.3000000000002</v>
      </c>
      <c r="I5030">
        <f t="shared" si="157"/>
        <v>1451.2</v>
      </c>
    </row>
    <row r="5031" spans="1:9" ht="30" x14ac:dyDescent="0.25">
      <c r="A5031" s="5" t="s">
        <v>579</v>
      </c>
      <c r="B5031" s="5" t="s">
        <v>73</v>
      </c>
      <c r="C5031" s="5" t="s">
        <v>5509</v>
      </c>
      <c r="D5031" s="3">
        <f>VLOOKUP(A5031,airports!A:H,7,FALSE)</f>
        <v>43.13985778</v>
      </c>
      <c r="E5031" s="3">
        <f>VLOOKUP(A5031,airports!A:H,8,FALSE)</f>
        <v>-89.337513610000002</v>
      </c>
      <c r="F5031" s="3">
        <f>VLOOKUP(B5031,airports!A:H,7,FALSE)</f>
        <v>33.942536109999999</v>
      </c>
      <c r="G5031" s="3">
        <f>VLOOKUP(B5031,airports!A:H,8,FALSE)</f>
        <v>-118.4080744</v>
      </c>
      <c r="H5031">
        <f t="shared" si="156"/>
        <v>2710.1</v>
      </c>
      <c r="I5031">
        <f t="shared" si="157"/>
        <v>1684.1</v>
      </c>
    </row>
    <row r="5032" spans="1:9" ht="30" x14ac:dyDescent="0.25">
      <c r="A5032" s="5" t="s">
        <v>579</v>
      </c>
      <c r="B5032" s="5" t="s">
        <v>74</v>
      </c>
      <c r="C5032" s="5" t="s">
        <v>5510</v>
      </c>
      <c r="D5032" s="3">
        <f>VLOOKUP(A5032,airports!A:H,7,FALSE)</f>
        <v>43.13985778</v>
      </c>
      <c r="E5032" s="3">
        <f>VLOOKUP(A5032,airports!A:H,8,FALSE)</f>
        <v>-89.337513610000002</v>
      </c>
      <c r="F5032" s="3">
        <f>VLOOKUP(B5032,airports!A:H,7,FALSE)</f>
        <v>40.777243060000004</v>
      </c>
      <c r="G5032" s="3">
        <f>VLOOKUP(B5032,airports!A:H,8,FALSE)</f>
        <v>-73.872609170000004</v>
      </c>
      <c r="H5032">
        <f t="shared" si="156"/>
        <v>1303.5</v>
      </c>
      <c r="I5032">
        <f t="shared" si="157"/>
        <v>810</v>
      </c>
    </row>
    <row r="5033" spans="1:9" ht="30" x14ac:dyDescent="0.25">
      <c r="A5033" s="5" t="s">
        <v>579</v>
      </c>
      <c r="B5033" s="5" t="s">
        <v>82</v>
      </c>
      <c r="C5033" s="5" t="s">
        <v>5511</v>
      </c>
      <c r="D5033" s="3">
        <f>VLOOKUP(A5033,airports!A:H,7,FALSE)</f>
        <v>43.13985778</v>
      </c>
      <c r="E5033" s="3">
        <f>VLOOKUP(A5033,airports!A:H,8,FALSE)</f>
        <v>-89.337513610000002</v>
      </c>
      <c r="F5033" s="3">
        <f>VLOOKUP(B5033,airports!A:H,7,FALSE)</f>
        <v>28.42888889</v>
      </c>
      <c r="G5033" s="3">
        <f>VLOOKUP(B5033,airports!A:H,8,FALSE)</f>
        <v>-81.316027779999999</v>
      </c>
      <c r="H5033">
        <f t="shared" si="156"/>
        <v>1786.5</v>
      </c>
      <c r="I5033">
        <f t="shared" si="157"/>
        <v>1110.2</v>
      </c>
    </row>
    <row r="5034" spans="1:9" ht="30" x14ac:dyDescent="0.25">
      <c r="A5034" s="5" t="s">
        <v>579</v>
      </c>
      <c r="B5034" s="5" t="s">
        <v>84</v>
      </c>
      <c r="C5034" s="5" t="s">
        <v>5512</v>
      </c>
      <c r="D5034" s="3">
        <f>VLOOKUP(A5034,airports!A:H,7,FALSE)</f>
        <v>43.13985778</v>
      </c>
      <c r="E5034" s="3">
        <f>VLOOKUP(A5034,airports!A:H,8,FALSE)</f>
        <v>-89.337513610000002</v>
      </c>
      <c r="F5034" s="3">
        <f>VLOOKUP(B5034,airports!A:H,7,FALSE)</f>
        <v>25.79325</v>
      </c>
      <c r="G5034" s="3">
        <f>VLOOKUP(B5034,airports!A:H,8,FALSE)</f>
        <v>-80.290555560000001</v>
      </c>
      <c r="H5034">
        <f t="shared" si="156"/>
        <v>2096.5</v>
      </c>
      <c r="I5034">
        <f t="shared" si="157"/>
        <v>1302.8</v>
      </c>
    </row>
    <row r="5035" spans="1:9" ht="30" x14ac:dyDescent="0.25">
      <c r="A5035" s="5" t="s">
        <v>579</v>
      </c>
      <c r="B5035" s="5" t="s">
        <v>85</v>
      </c>
      <c r="C5035" s="5" t="s">
        <v>5513</v>
      </c>
      <c r="D5035" s="3">
        <f>VLOOKUP(A5035,airports!A:H,7,FALSE)</f>
        <v>43.13985778</v>
      </c>
      <c r="E5035" s="3">
        <f>VLOOKUP(A5035,airports!A:H,8,FALSE)</f>
        <v>-89.337513610000002</v>
      </c>
      <c r="F5035" s="3">
        <f>VLOOKUP(B5035,airports!A:H,7,FALSE)</f>
        <v>42.94722222</v>
      </c>
      <c r="G5035" s="3">
        <f>VLOOKUP(B5035,airports!A:H,8,FALSE)</f>
        <v>-87.896583329999999</v>
      </c>
      <c r="H5035">
        <f t="shared" si="156"/>
        <v>119</v>
      </c>
      <c r="I5035">
        <f t="shared" si="157"/>
        <v>74</v>
      </c>
    </row>
    <row r="5036" spans="1:9" ht="30" x14ac:dyDescent="0.25">
      <c r="A5036" s="5" t="s">
        <v>579</v>
      </c>
      <c r="B5036" s="5" t="s">
        <v>87</v>
      </c>
      <c r="C5036" s="5" t="s">
        <v>5514</v>
      </c>
      <c r="D5036" s="3">
        <f>VLOOKUP(A5036,airports!A:H,7,FALSE)</f>
        <v>43.13985778</v>
      </c>
      <c r="E5036" s="3">
        <f>VLOOKUP(A5036,airports!A:H,8,FALSE)</f>
        <v>-89.337513610000002</v>
      </c>
      <c r="F5036" s="3">
        <f>VLOOKUP(B5036,airports!A:H,7,FALSE)</f>
        <v>44.880546940000002</v>
      </c>
      <c r="G5036" s="3">
        <f>VLOOKUP(B5036,airports!A:H,8,FALSE)</f>
        <v>-93.216922499999995</v>
      </c>
      <c r="H5036">
        <f t="shared" si="156"/>
        <v>365.6</v>
      </c>
      <c r="I5036">
        <f t="shared" si="157"/>
        <v>227.2</v>
      </c>
    </row>
    <row r="5037" spans="1:9" ht="30" x14ac:dyDescent="0.25">
      <c r="A5037" s="5" t="s">
        <v>579</v>
      </c>
      <c r="B5037" s="5" t="s">
        <v>95</v>
      </c>
      <c r="C5037" s="5" t="s">
        <v>5515</v>
      </c>
      <c r="D5037" s="3">
        <f>VLOOKUP(A5037,airports!A:H,7,FALSE)</f>
        <v>43.13985778</v>
      </c>
      <c r="E5037" s="3">
        <f>VLOOKUP(A5037,airports!A:H,8,FALSE)</f>
        <v>-89.337513610000002</v>
      </c>
      <c r="F5037" s="3">
        <f>VLOOKUP(B5037,airports!A:H,7,FALSE)</f>
        <v>41.979595000000003</v>
      </c>
      <c r="G5037" s="3">
        <f>VLOOKUP(B5037,airports!A:H,8,FALSE)</f>
        <v>-87.904464169999997</v>
      </c>
      <c r="H5037">
        <f t="shared" si="156"/>
        <v>174.4</v>
      </c>
      <c r="I5037">
        <f t="shared" si="157"/>
        <v>108.4</v>
      </c>
    </row>
    <row r="5038" spans="1:9" ht="30" x14ac:dyDescent="0.25">
      <c r="A5038" s="5" t="s">
        <v>579</v>
      </c>
      <c r="B5038" s="5" t="s">
        <v>102</v>
      </c>
      <c r="C5038" s="5" t="s">
        <v>5516</v>
      </c>
      <c r="D5038" s="3">
        <f>VLOOKUP(A5038,airports!A:H,7,FALSE)</f>
        <v>43.13985778</v>
      </c>
      <c r="E5038" s="3">
        <f>VLOOKUP(A5038,airports!A:H,8,FALSE)</f>
        <v>-89.337513610000002</v>
      </c>
      <c r="F5038" s="3">
        <f>VLOOKUP(B5038,airports!A:H,7,FALSE)</f>
        <v>39.871952780000001</v>
      </c>
      <c r="G5038" s="3">
        <f>VLOOKUP(B5038,airports!A:H,8,FALSE)</f>
        <v>-75.241140830000006</v>
      </c>
      <c r="H5038">
        <f t="shared" si="156"/>
        <v>1227</v>
      </c>
      <c r="I5038">
        <f t="shared" si="157"/>
        <v>762.5</v>
      </c>
    </row>
    <row r="5039" spans="1:9" ht="30" x14ac:dyDescent="0.25">
      <c r="A5039" s="5" t="s">
        <v>579</v>
      </c>
      <c r="B5039" s="5" t="s">
        <v>104</v>
      </c>
      <c r="C5039" s="5" t="s">
        <v>5517</v>
      </c>
      <c r="D5039" s="3">
        <f>VLOOKUP(A5039,airports!A:H,7,FALSE)</f>
        <v>43.13985778</v>
      </c>
      <c r="E5039" s="3">
        <f>VLOOKUP(A5039,airports!A:H,8,FALSE)</f>
        <v>-89.337513610000002</v>
      </c>
      <c r="F5039" s="3">
        <f>VLOOKUP(B5039,airports!A:H,7,FALSE)</f>
        <v>33.434166670000003</v>
      </c>
      <c r="G5039" s="3">
        <f>VLOOKUP(B5039,airports!A:H,8,FALSE)</f>
        <v>-112.00805560000001</v>
      </c>
      <c r="H5039">
        <f t="shared" si="156"/>
        <v>2243.5</v>
      </c>
      <c r="I5039">
        <f t="shared" si="157"/>
        <v>1394.1</v>
      </c>
    </row>
    <row r="5040" spans="1:9" ht="30" x14ac:dyDescent="0.25">
      <c r="A5040" s="5" t="s">
        <v>579</v>
      </c>
      <c r="B5040" s="5" t="s">
        <v>119</v>
      </c>
      <c r="C5040" s="5" t="s">
        <v>5518</v>
      </c>
      <c r="D5040" s="3">
        <f>VLOOKUP(A5040,airports!A:H,7,FALSE)</f>
        <v>43.13985778</v>
      </c>
      <c r="E5040" s="3">
        <f>VLOOKUP(A5040,airports!A:H,8,FALSE)</f>
        <v>-89.337513610000002</v>
      </c>
      <c r="F5040" s="3">
        <f>VLOOKUP(B5040,airports!A:H,7,FALSE)</f>
        <v>35.87763889</v>
      </c>
      <c r="G5040" s="3">
        <f>VLOOKUP(B5040,airports!A:H,8,FALSE)</f>
        <v>-78.787472219999998</v>
      </c>
      <c r="H5040">
        <f t="shared" si="156"/>
        <v>1211.2</v>
      </c>
      <c r="I5040">
        <f t="shared" si="157"/>
        <v>752.6</v>
      </c>
    </row>
    <row r="5041" spans="1:9" ht="30" x14ac:dyDescent="0.25">
      <c r="A5041" s="5" t="s">
        <v>579</v>
      </c>
      <c r="B5041" s="5" t="s">
        <v>128</v>
      </c>
      <c r="C5041" s="5" t="s">
        <v>5519</v>
      </c>
      <c r="D5041" s="3">
        <f>VLOOKUP(A5041,airports!A:H,7,FALSE)</f>
        <v>43.13985778</v>
      </c>
      <c r="E5041" s="3">
        <f>VLOOKUP(A5041,airports!A:H,8,FALSE)</f>
        <v>-89.337513610000002</v>
      </c>
      <c r="F5041" s="3">
        <f>VLOOKUP(B5041,airports!A:H,7,FALSE)</f>
        <v>47.448981940000003</v>
      </c>
      <c r="G5041" s="3">
        <f>VLOOKUP(B5041,airports!A:H,8,FALSE)</f>
        <v>-122.3093131</v>
      </c>
      <c r="H5041">
        <f t="shared" si="156"/>
        <v>2602.9</v>
      </c>
      <c r="I5041">
        <f t="shared" si="157"/>
        <v>1617.5</v>
      </c>
    </row>
    <row r="5042" spans="1:9" ht="30" x14ac:dyDescent="0.25">
      <c r="A5042" s="5" t="s">
        <v>579</v>
      </c>
      <c r="B5042" s="5" t="s">
        <v>130</v>
      </c>
      <c r="C5042" s="5" t="s">
        <v>5520</v>
      </c>
      <c r="D5042" s="3">
        <f>VLOOKUP(A5042,airports!A:H,7,FALSE)</f>
        <v>43.13985778</v>
      </c>
      <c r="E5042" s="3">
        <f>VLOOKUP(A5042,airports!A:H,8,FALSE)</f>
        <v>-89.337513610000002</v>
      </c>
      <c r="F5042" s="3">
        <f>VLOOKUP(B5042,airports!A:H,7,FALSE)</f>
        <v>37.619001939999997</v>
      </c>
      <c r="G5042" s="3">
        <f>VLOOKUP(B5042,airports!A:H,8,FALSE)</f>
        <v>-122.37484329999999</v>
      </c>
      <c r="H5042">
        <f t="shared" si="156"/>
        <v>2845.4</v>
      </c>
      <c r="I5042">
        <f t="shared" si="157"/>
        <v>1768.2</v>
      </c>
    </row>
    <row r="5043" spans="1:9" ht="30" x14ac:dyDescent="0.25">
      <c r="A5043" s="5" t="s">
        <v>579</v>
      </c>
      <c r="B5043" s="5" t="s">
        <v>135</v>
      </c>
      <c r="C5043" s="5" t="s">
        <v>5521</v>
      </c>
      <c r="D5043" s="3">
        <f>VLOOKUP(A5043,airports!A:H,7,FALSE)</f>
        <v>43.13985778</v>
      </c>
      <c r="E5043" s="3">
        <f>VLOOKUP(A5043,airports!A:H,8,FALSE)</f>
        <v>-89.337513610000002</v>
      </c>
      <c r="F5043" s="3">
        <f>VLOOKUP(B5043,airports!A:H,7,FALSE)</f>
        <v>40.788387780000001</v>
      </c>
      <c r="G5043" s="3">
        <f>VLOOKUP(B5043,airports!A:H,8,FALSE)</f>
        <v>-111.97777309999999</v>
      </c>
      <c r="H5043">
        <f t="shared" si="156"/>
        <v>1884.2</v>
      </c>
      <c r="I5043">
        <f t="shared" si="157"/>
        <v>1170.9000000000001</v>
      </c>
    </row>
    <row r="5044" spans="1:9" ht="30" x14ac:dyDescent="0.25">
      <c r="A5044" s="5" t="s">
        <v>579</v>
      </c>
      <c r="B5044" s="5" t="s">
        <v>644</v>
      </c>
      <c r="C5044" s="5" t="s">
        <v>5522</v>
      </c>
      <c r="D5044" s="3">
        <f>VLOOKUP(A5044,airports!A:H,7,FALSE)</f>
        <v>43.13985778</v>
      </c>
      <c r="E5044" s="3">
        <f>VLOOKUP(A5044,airports!A:H,8,FALSE)</f>
        <v>-89.337513610000002</v>
      </c>
      <c r="F5044" s="3">
        <f>VLOOKUP(B5044,airports!A:H,7,FALSE)</f>
        <v>38.747686940000001</v>
      </c>
      <c r="G5044" s="3">
        <f>VLOOKUP(B5044,airports!A:H,8,FALSE)</f>
        <v>-90.359989720000002</v>
      </c>
      <c r="H5044">
        <f t="shared" si="156"/>
        <v>495.9</v>
      </c>
      <c r="I5044">
        <f t="shared" si="157"/>
        <v>308.10000000000002</v>
      </c>
    </row>
    <row r="5045" spans="1:9" ht="30" x14ac:dyDescent="0.25">
      <c r="A5045" s="5" t="s">
        <v>581</v>
      </c>
      <c r="B5045" s="5" t="s">
        <v>10</v>
      </c>
      <c r="C5045" s="5" t="s">
        <v>5523</v>
      </c>
      <c r="D5045" s="3">
        <f>VLOOKUP(A5045,airports!A:H,7,FALSE)</f>
        <v>46.916305559999998</v>
      </c>
      <c r="E5045" s="3">
        <f>VLOOKUP(A5045,airports!A:H,8,FALSE)</f>
        <v>-114.0905556</v>
      </c>
      <c r="F5045" s="3">
        <f>VLOOKUP(B5045,airports!A:H,7,FALSE)</f>
        <v>33.640444440000003</v>
      </c>
      <c r="G5045" s="3">
        <f>VLOOKUP(B5045,airports!A:H,8,FALSE)</f>
        <v>-84.42694444</v>
      </c>
      <c r="H5045">
        <f t="shared" si="156"/>
        <v>2891.7</v>
      </c>
      <c r="I5045">
        <f t="shared" si="157"/>
        <v>1796.9</v>
      </c>
    </row>
    <row r="5046" spans="1:9" ht="30" x14ac:dyDescent="0.25">
      <c r="A5046" s="5" t="s">
        <v>581</v>
      </c>
      <c r="B5046" s="5" t="s">
        <v>329</v>
      </c>
      <c r="C5046" s="5" t="s">
        <v>5524</v>
      </c>
      <c r="D5046" s="3">
        <f>VLOOKUP(A5046,airports!A:H,7,FALSE)</f>
        <v>46.916305559999998</v>
      </c>
      <c r="E5046" s="3">
        <f>VLOOKUP(A5046,airports!A:H,8,FALSE)</f>
        <v>-114.0905556</v>
      </c>
      <c r="F5046" s="3">
        <f>VLOOKUP(B5046,airports!A:H,7,FALSE)</f>
        <v>33.308999999999997</v>
      </c>
      <c r="G5046" s="3">
        <f>VLOOKUP(B5046,airports!A:H,8,FALSE)</f>
        <v>-111.6559</v>
      </c>
      <c r="H5046">
        <f t="shared" si="156"/>
        <v>1527</v>
      </c>
      <c r="I5046">
        <f t="shared" si="157"/>
        <v>948.9</v>
      </c>
    </row>
    <row r="5047" spans="1:9" ht="30" x14ac:dyDescent="0.25">
      <c r="A5047" s="5" t="s">
        <v>581</v>
      </c>
      <c r="B5047" s="5" t="s">
        <v>34</v>
      </c>
      <c r="C5047" s="5" t="s">
        <v>5525</v>
      </c>
      <c r="D5047" s="3">
        <f>VLOOKUP(A5047,airports!A:H,7,FALSE)</f>
        <v>46.916305559999998</v>
      </c>
      <c r="E5047" s="3">
        <f>VLOOKUP(A5047,airports!A:H,8,FALSE)</f>
        <v>-114.0905556</v>
      </c>
      <c r="F5047" s="3">
        <f>VLOOKUP(B5047,airports!A:H,7,FALSE)</f>
        <v>45.776901389999999</v>
      </c>
      <c r="G5047" s="3">
        <f>VLOOKUP(B5047,airports!A:H,8,FALSE)</f>
        <v>-111.1530072</v>
      </c>
      <c r="H5047">
        <f t="shared" si="156"/>
        <v>258.60000000000002</v>
      </c>
      <c r="I5047">
        <f t="shared" si="157"/>
        <v>160.69999999999999</v>
      </c>
    </row>
    <row r="5048" spans="1:9" ht="30" x14ac:dyDescent="0.25">
      <c r="A5048" s="5" t="s">
        <v>581</v>
      </c>
      <c r="B5048" s="5" t="s">
        <v>47</v>
      </c>
      <c r="C5048" s="5" t="s">
        <v>5526</v>
      </c>
      <c r="D5048" s="3">
        <f>VLOOKUP(A5048,airports!A:H,7,FALSE)</f>
        <v>46.916305559999998</v>
      </c>
      <c r="E5048" s="3">
        <f>VLOOKUP(A5048,airports!A:H,8,FALSE)</f>
        <v>-114.0905556</v>
      </c>
      <c r="F5048" s="3">
        <f>VLOOKUP(B5048,airports!A:H,7,FALSE)</f>
        <v>39.858408060000002</v>
      </c>
      <c r="G5048" s="3">
        <f>VLOOKUP(B5048,airports!A:H,8,FALSE)</f>
        <v>-104.6670019</v>
      </c>
      <c r="H5048">
        <f t="shared" si="156"/>
        <v>1092</v>
      </c>
      <c r="I5048">
        <f t="shared" si="157"/>
        <v>678.6</v>
      </c>
    </row>
    <row r="5049" spans="1:9" ht="30" x14ac:dyDescent="0.25">
      <c r="A5049" s="5" t="s">
        <v>581</v>
      </c>
      <c r="B5049" s="5" t="s">
        <v>49</v>
      </c>
      <c r="C5049" s="5" t="s">
        <v>5527</v>
      </c>
      <c r="D5049" s="3">
        <f>VLOOKUP(A5049,airports!A:H,7,FALSE)</f>
        <v>46.916305559999998</v>
      </c>
      <c r="E5049" s="3">
        <f>VLOOKUP(A5049,airports!A:H,8,FALSE)</f>
        <v>-114.0905556</v>
      </c>
      <c r="F5049" s="3">
        <f>VLOOKUP(B5049,airports!A:H,7,FALSE)</f>
        <v>32.895950560000003</v>
      </c>
      <c r="G5049" s="3">
        <f>VLOOKUP(B5049,airports!A:H,8,FALSE)</f>
        <v>-97.037199999999999</v>
      </c>
      <c r="H5049">
        <f t="shared" si="156"/>
        <v>2123</v>
      </c>
      <c r="I5049">
        <f t="shared" si="157"/>
        <v>1319.2</v>
      </c>
    </row>
    <row r="5050" spans="1:9" ht="30" x14ac:dyDescent="0.25">
      <c r="A5050" s="5" t="s">
        <v>581</v>
      </c>
      <c r="B5050" s="5" t="s">
        <v>71</v>
      </c>
      <c r="C5050" s="5" t="s">
        <v>5528</v>
      </c>
      <c r="D5050" s="3">
        <f>VLOOKUP(A5050,airports!A:H,7,FALSE)</f>
        <v>46.916305559999998</v>
      </c>
      <c r="E5050" s="3">
        <f>VLOOKUP(A5050,airports!A:H,8,FALSE)</f>
        <v>-114.0905556</v>
      </c>
      <c r="F5050" s="3">
        <f>VLOOKUP(B5050,airports!A:H,7,FALSE)</f>
        <v>36.080361109999998</v>
      </c>
      <c r="G5050" s="3">
        <f>VLOOKUP(B5050,airports!A:H,8,FALSE)</f>
        <v>-115.1523333</v>
      </c>
      <c r="H5050">
        <f t="shared" si="156"/>
        <v>1208.0999999999999</v>
      </c>
      <c r="I5050">
        <f t="shared" si="157"/>
        <v>750.7</v>
      </c>
    </row>
    <row r="5051" spans="1:9" ht="30" x14ac:dyDescent="0.25">
      <c r="A5051" s="5" t="s">
        <v>581</v>
      </c>
      <c r="B5051" s="5" t="s">
        <v>73</v>
      </c>
      <c r="C5051" s="5" t="s">
        <v>5529</v>
      </c>
      <c r="D5051" s="3">
        <f>VLOOKUP(A5051,airports!A:H,7,FALSE)</f>
        <v>46.916305559999998</v>
      </c>
      <c r="E5051" s="3">
        <f>VLOOKUP(A5051,airports!A:H,8,FALSE)</f>
        <v>-114.0905556</v>
      </c>
      <c r="F5051" s="3">
        <f>VLOOKUP(B5051,airports!A:H,7,FALSE)</f>
        <v>33.942536109999999</v>
      </c>
      <c r="G5051" s="3">
        <f>VLOOKUP(B5051,airports!A:H,8,FALSE)</f>
        <v>-118.4080744</v>
      </c>
      <c r="H5051">
        <f t="shared" si="156"/>
        <v>1487.6</v>
      </c>
      <c r="I5051">
        <f t="shared" si="157"/>
        <v>924.4</v>
      </c>
    </row>
    <row r="5052" spans="1:9" ht="30" x14ac:dyDescent="0.25">
      <c r="A5052" s="5" t="s">
        <v>581</v>
      </c>
      <c r="B5052" s="5" t="s">
        <v>87</v>
      </c>
      <c r="C5052" s="5" t="s">
        <v>5530</v>
      </c>
      <c r="D5052" s="3">
        <f>VLOOKUP(A5052,airports!A:H,7,FALSE)</f>
        <v>46.916305559999998</v>
      </c>
      <c r="E5052" s="3">
        <f>VLOOKUP(A5052,airports!A:H,8,FALSE)</f>
        <v>-114.0905556</v>
      </c>
      <c r="F5052" s="3">
        <f>VLOOKUP(B5052,airports!A:H,7,FALSE)</f>
        <v>44.880546940000002</v>
      </c>
      <c r="G5052" s="3">
        <f>VLOOKUP(B5052,airports!A:H,8,FALSE)</f>
        <v>-93.216922499999995</v>
      </c>
      <c r="H5052">
        <f t="shared" si="156"/>
        <v>1626.1</v>
      </c>
      <c r="I5052">
        <f t="shared" si="157"/>
        <v>1010.5</v>
      </c>
    </row>
    <row r="5053" spans="1:9" ht="30" x14ac:dyDescent="0.25">
      <c r="A5053" s="5" t="s">
        <v>581</v>
      </c>
      <c r="B5053" s="5" t="s">
        <v>215</v>
      </c>
      <c r="C5053" s="5" t="s">
        <v>5531</v>
      </c>
      <c r="D5053" s="3">
        <f>VLOOKUP(A5053,airports!A:H,7,FALSE)</f>
        <v>46.916305559999998</v>
      </c>
      <c r="E5053" s="3">
        <f>VLOOKUP(A5053,airports!A:H,8,FALSE)</f>
        <v>-114.0905556</v>
      </c>
      <c r="F5053" s="3">
        <f>VLOOKUP(B5053,airports!A:H,7,FALSE)</f>
        <v>37.721290830000001</v>
      </c>
      <c r="G5053" s="3">
        <f>VLOOKUP(B5053,airports!A:H,8,FALSE)</f>
        <v>-122.2207167</v>
      </c>
      <c r="H5053">
        <f t="shared" si="156"/>
        <v>1220</v>
      </c>
      <c r="I5053">
        <f t="shared" si="157"/>
        <v>758.1</v>
      </c>
    </row>
    <row r="5054" spans="1:9" ht="30" x14ac:dyDescent="0.25">
      <c r="A5054" s="5" t="s">
        <v>581</v>
      </c>
      <c r="B5054" s="5" t="s">
        <v>95</v>
      </c>
      <c r="C5054" s="5" t="s">
        <v>5532</v>
      </c>
      <c r="D5054" s="3">
        <f>VLOOKUP(A5054,airports!A:H,7,FALSE)</f>
        <v>46.916305559999998</v>
      </c>
      <c r="E5054" s="3">
        <f>VLOOKUP(A5054,airports!A:H,8,FALSE)</f>
        <v>-114.0905556</v>
      </c>
      <c r="F5054" s="3">
        <f>VLOOKUP(B5054,airports!A:H,7,FALSE)</f>
        <v>41.979595000000003</v>
      </c>
      <c r="G5054" s="3">
        <f>VLOOKUP(B5054,airports!A:H,8,FALSE)</f>
        <v>-87.904464169999997</v>
      </c>
      <c r="H5054">
        <f t="shared" si="156"/>
        <v>2138.8000000000002</v>
      </c>
      <c r="I5054">
        <f t="shared" si="157"/>
        <v>1329.1</v>
      </c>
    </row>
    <row r="5055" spans="1:9" ht="30" x14ac:dyDescent="0.25">
      <c r="A5055" s="5" t="s">
        <v>581</v>
      </c>
      <c r="B5055" s="5" t="s">
        <v>100</v>
      </c>
      <c r="C5055" s="5" t="s">
        <v>5533</v>
      </c>
      <c r="D5055" s="3">
        <f>VLOOKUP(A5055,airports!A:H,7,FALSE)</f>
        <v>46.916305559999998</v>
      </c>
      <c r="E5055" s="3">
        <f>VLOOKUP(A5055,airports!A:H,8,FALSE)</f>
        <v>-114.0905556</v>
      </c>
      <c r="F5055" s="3">
        <f>VLOOKUP(B5055,airports!A:H,7,FALSE)</f>
        <v>45.588722220000001</v>
      </c>
      <c r="G5055" s="3">
        <f>VLOOKUP(B5055,airports!A:H,8,FALSE)</f>
        <v>-122.5975</v>
      </c>
      <c r="H5055">
        <f t="shared" si="156"/>
        <v>670.2</v>
      </c>
      <c r="I5055">
        <f t="shared" si="157"/>
        <v>416.5</v>
      </c>
    </row>
    <row r="5056" spans="1:9" ht="30" x14ac:dyDescent="0.25">
      <c r="A5056" s="5" t="s">
        <v>581</v>
      </c>
      <c r="B5056" s="5" t="s">
        <v>124</v>
      </c>
      <c r="C5056" s="5" t="s">
        <v>5534</v>
      </c>
      <c r="D5056" s="3">
        <f>VLOOKUP(A5056,airports!A:H,7,FALSE)</f>
        <v>46.916305559999998</v>
      </c>
      <c r="E5056" s="3">
        <f>VLOOKUP(A5056,airports!A:H,8,FALSE)</f>
        <v>-114.0905556</v>
      </c>
      <c r="F5056" s="3">
        <f>VLOOKUP(B5056,airports!A:H,7,FALSE)</f>
        <v>32.733556110000002</v>
      </c>
      <c r="G5056" s="3">
        <f>VLOOKUP(B5056,airports!A:H,8,FALSE)</f>
        <v>-117.1896567</v>
      </c>
      <c r="H5056">
        <f t="shared" si="156"/>
        <v>1598.8</v>
      </c>
      <c r="I5056">
        <f t="shared" si="157"/>
        <v>993.5</v>
      </c>
    </row>
    <row r="5057" spans="1:9" ht="30" x14ac:dyDescent="0.25">
      <c r="A5057" s="5" t="s">
        <v>581</v>
      </c>
      <c r="B5057" s="5" t="s">
        <v>128</v>
      </c>
      <c r="C5057" s="5" t="s">
        <v>5535</v>
      </c>
      <c r="D5057" s="3">
        <f>VLOOKUP(A5057,airports!A:H,7,FALSE)</f>
        <v>46.916305559999998</v>
      </c>
      <c r="E5057" s="3">
        <f>VLOOKUP(A5057,airports!A:H,8,FALSE)</f>
        <v>-114.0905556</v>
      </c>
      <c r="F5057" s="3">
        <f>VLOOKUP(B5057,airports!A:H,7,FALSE)</f>
        <v>47.448981940000003</v>
      </c>
      <c r="G5057" s="3">
        <f>VLOOKUP(B5057,airports!A:H,8,FALSE)</f>
        <v>-122.3093131</v>
      </c>
      <c r="H5057">
        <f t="shared" si="156"/>
        <v>623.70000000000005</v>
      </c>
      <c r="I5057">
        <f t="shared" si="157"/>
        <v>387.5</v>
      </c>
    </row>
    <row r="5058" spans="1:9" ht="30" x14ac:dyDescent="0.25">
      <c r="A5058" s="5" t="s">
        <v>581</v>
      </c>
      <c r="B5058" s="5" t="s">
        <v>130</v>
      </c>
      <c r="C5058" s="5" t="s">
        <v>5536</v>
      </c>
      <c r="D5058" s="3">
        <f>VLOOKUP(A5058,airports!A:H,7,FALSE)</f>
        <v>46.916305559999998</v>
      </c>
      <c r="E5058" s="3">
        <f>VLOOKUP(A5058,airports!A:H,8,FALSE)</f>
        <v>-114.0905556</v>
      </c>
      <c r="F5058" s="3">
        <f>VLOOKUP(B5058,airports!A:H,7,FALSE)</f>
        <v>37.619001939999997</v>
      </c>
      <c r="G5058" s="3">
        <f>VLOOKUP(B5058,airports!A:H,8,FALSE)</f>
        <v>-122.37484329999999</v>
      </c>
      <c r="H5058">
        <f t="shared" si="156"/>
        <v>1236.7</v>
      </c>
      <c r="I5058">
        <f t="shared" si="157"/>
        <v>768.5</v>
      </c>
    </row>
    <row r="5059" spans="1:9" ht="30" x14ac:dyDescent="0.25">
      <c r="A5059" s="5" t="s">
        <v>581</v>
      </c>
      <c r="B5059" s="5" t="s">
        <v>131</v>
      </c>
      <c r="C5059" s="5" t="s">
        <v>5537</v>
      </c>
      <c r="D5059" s="3">
        <f>VLOOKUP(A5059,airports!A:H,7,FALSE)</f>
        <v>46.916305559999998</v>
      </c>
      <c r="E5059" s="3">
        <f>VLOOKUP(A5059,airports!A:H,8,FALSE)</f>
        <v>-114.0905556</v>
      </c>
      <c r="F5059" s="3">
        <f>VLOOKUP(B5059,airports!A:H,7,FALSE)</f>
        <v>37.361861939999997</v>
      </c>
      <c r="G5059" s="3">
        <f>VLOOKUP(B5059,airports!A:H,8,FALSE)</f>
        <v>-121.9290089</v>
      </c>
      <c r="H5059">
        <f t="shared" si="156"/>
        <v>1242.0999999999999</v>
      </c>
      <c r="I5059">
        <f t="shared" si="157"/>
        <v>771.8</v>
      </c>
    </row>
    <row r="5060" spans="1:9" ht="30" x14ac:dyDescent="0.25">
      <c r="A5060" s="5" t="s">
        <v>581</v>
      </c>
      <c r="B5060" s="5" t="s">
        <v>135</v>
      </c>
      <c r="C5060" s="5" t="s">
        <v>5538</v>
      </c>
      <c r="D5060" s="3">
        <f>VLOOKUP(A5060,airports!A:H,7,FALSE)</f>
        <v>46.916305559999998</v>
      </c>
      <c r="E5060" s="3">
        <f>VLOOKUP(A5060,airports!A:H,8,FALSE)</f>
        <v>-114.0905556</v>
      </c>
      <c r="F5060" s="3">
        <f>VLOOKUP(B5060,airports!A:H,7,FALSE)</f>
        <v>40.788387780000001</v>
      </c>
      <c r="G5060" s="3">
        <f>VLOOKUP(B5060,airports!A:H,8,FALSE)</f>
        <v>-111.97777309999999</v>
      </c>
      <c r="H5060">
        <f t="shared" ref="H5060:H5123" si="158">ROUND(ACOS(COS(RADIANS(90-D5060)) * COS(RADIANS(90-F5060)) + SIN(RADIANS(90-D5060)) * SIN(RADIANS(90-F5060)) * COS(RADIANS(E5060-G5060))) * 6371,1)</f>
        <v>702.1</v>
      </c>
      <c r="I5060">
        <f t="shared" ref="I5060:I5123" si="159">ROUND(ACOS(COS(RADIANS(90-D5060)) * COS(RADIANS(90-F5060)) + SIN(RADIANS(90-D5060)) * SIN(RADIANS(90-F5060)) * COS(RADIANS(E5060-G5060))) * 3959,1)</f>
        <v>436.3</v>
      </c>
    </row>
    <row r="5061" spans="1:9" ht="30" x14ac:dyDescent="0.25">
      <c r="A5061" s="5" t="s">
        <v>581</v>
      </c>
      <c r="B5061" s="5" t="s">
        <v>227</v>
      </c>
      <c r="C5061" s="5" t="s">
        <v>5539</v>
      </c>
      <c r="D5061" s="3">
        <f>VLOOKUP(A5061,airports!A:H,7,FALSE)</f>
        <v>46.916305559999998</v>
      </c>
      <c r="E5061" s="3">
        <f>VLOOKUP(A5061,airports!A:H,8,FALSE)</f>
        <v>-114.0905556</v>
      </c>
      <c r="F5061" s="3">
        <f>VLOOKUP(B5061,airports!A:H,7,FALSE)</f>
        <v>33.675658609999999</v>
      </c>
      <c r="G5061" s="3">
        <f>VLOOKUP(B5061,airports!A:H,8,FALSE)</f>
        <v>-117.8682225</v>
      </c>
      <c r="H5061">
        <f t="shared" si="158"/>
        <v>1506.3</v>
      </c>
      <c r="I5061">
        <f t="shared" si="159"/>
        <v>936</v>
      </c>
    </row>
    <row r="5062" spans="1:9" ht="30" x14ac:dyDescent="0.25">
      <c r="A5062" s="5" t="s">
        <v>87</v>
      </c>
      <c r="B5062" s="5" t="s">
        <v>2</v>
      </c>
      <c r="C5062" s="5" t="s">
        <v>5540</v>
      </c>
      <c r="D5062" s="3">
        <f>VLOOKUP(A5062,airports!A:H,7,FALSE)</f>
        <v>44.880546940000002</v>
      </c>
      <c r="E5062" s="3">
        <f>VLOOKUP(A5062,airports!A:H,8,FALSE)</f>
        <v>-93.216922499999995</v>
      </c>
      <c r="F5062" s="3">
        <f>VLOOKUP(B5062,airports!A:H,7,FALSE)</f>
        <v>35.040222219999997</v>
      </c>
      <c r="G5062" s="3">
        <f>VLOOKUP(B5062,airports!A:H,8,FALSE)</f>
        <v>-106.60919440000001</v>
      </c>
      <c r="H5062">
        <f t="shared" si="158"/>
        <v>1577.2</v>
      </c>
      <c r="I5062">
        <f t="shared" si="159"/>
        <v>980.1</v>
      </c>
    </row>
    <row r="5063" spans="1:9" ht="30" x14ac:dyDescent="0.25">
      <c r="A5063" s="5" t="s">
        <v>87</v>
      </c>
      <c r="B5063" s="5" t="s">
        <v>229</v>
      </c>
      <c r="C5063" s="5" t="s">
        <v>5541</v>
      </c>
      <c r="D5063" s="3">
        <f>VLOOKUP(A5063,airports!A:H,7,FALSE)</f>
        <v>44.880546940000002</v>
      </c>
      <c r="E5063" s="3">
        <f>VLOOKUP(A5063,airports!A:H,8,FALSE)</f>
        <v>-93.216922499999995</v>
      </c>
      <c r="F5063" s="3">
        <f>VLOOKUP(B5063,airports!A:H,7,FALSE)</f>
        <v>45.449055559999998</v>
      </c>
      <c r="G5063" s="3">
        <f>VLOOKUP(B5063,airports!A:H,8,FALSE)</f>
        <v>-98.421833329999998</v>
      </c>
      <c r="H5063">
        <f t="shared" si="158"/>
        <v>412.9</v>
      </c>
      <c r="I5063">
        <f t="shared" si="159"/>
        <v>256.60000000000002</v>
      </c>
    </row>
    <row r="5064" spans="1:9" ht="30" x14ac:dyDescent="0.25">
      <c r="A5064" s="5" t="s">
        <v>87</v>
      </c>
      <c r="B5064" s="5" t="s">
        <v>7</v>
      </c>
      <c r="C5064" s="5" t="s">
        <v>5542</v>
      </c>
      <c r="D5064" s="3">
        <f>VLOOKUP(A5064,airports!A:H,7,FALSE)</f>
        <v>44.880546940000002</v>
      </c>
      <c r="E5064" s="3">
        <f>VLOOKUP(A5064,airports!A:H,8,FALSE)</f>
        <v>-93.216922499999995</v>
      </c>
      <c r="F5064" s="3">
        <f>VLOOKUP(B5064,airports!A:H,7,FALSE)</f>
        <v>42.748119440000004</v>
      </c>
      <c r="G5064" s="3">
        <f>VLOOKUP(B5064,airports!A:H,8,FALSE)</f>
        <v>-73.802978609999997</v>
      </c>
      <c r="H5064">
        <f t="shared" si="158"/>
        <v>1571.8</v>
      </c>
      <c r="I5064">
        <f t="shared" si="159"/>
        <v>976.7</v>
      </c>
    </row>
    <row r="5065" spans="1:9" ht="30" x14ac:dyDescent="0.25">
      <c r="A5065" s="5" t="s">
        <v>87</v>
      </c>
      <c r="B5065" s="5" t="s">
        <v>265</v>
      </c>
      <c r="C5065" s="5" t="s">
        <v>5543</v>
      </c>
      <c r="D5065" s="3">
        <f>VLOOKUP(A5065,airports!A:H,7,FALSE)</f>
        <v>44.880546940000002</v>
      </c>
      <c r="E5065" s="3">
        <f>VLOOKUP(A5065,airports!A:H,8,FALSE)</f>
        <v>-93.216922499999995</v>
      </c>
      <c r="F5065" s="3">
        <f>VLOOKUP(B5065,airports!A:H,7,FALSE)</f>
        <v>61.174320280000003</v>
      </c>
      <c r="G5065" s="3">
        <f>VLOOKUP(B5065,airports!A:H,8,FALSE)</f>
        <v>-149.99618559999999</v>
      </c>
      <c r="H5065">
        <f t="shared" si="158"/>
        <v>4042.4</v>
      </c>
      <c r="I5065">
        <f t="shared" si="159"/>
        <v>2512</v>
      </c>
    </row>
    <row r="5066" spans="1:9" ht="30" x14ac:dyDescent="0.25">
      <c r="A5066" s="5" t="s">
        <v>87</v>
      </c>
      <c r="B5066" s="5" t="s">
        <v>393</v>
      </c>
      <c r="C5066" s="5" t="s">
        <v>5544</v>
      </c>
      <c r="D5066" s="3">
        <f>VLOOKUP(A5066,airports!A:H,7,FALSE)</f>
        <v>44.880546940000002</v>
      </c>
      <c r="E5066" s="3">
        <f>VLOOKUP(A5066,airports!A:H,8,FALSE)</f>
        <v>-93.216922499999995</v>
      </c>
      <c r="F5066" s="3">
        <f>VLOOKUP(B5066,airports!A:H,7,FALSE)</f>
        <v>39.22316</v>
      </c>
      <c r="G5066" s="3">
        <f>VLOOKUP(B5066,airports!A:H,8,FALSE)</f>
        <v>-106.86884499999999</v>
      </c>
      <c r="H5066">
        <f t="shared" si="158"/>
        <v>1288.4000000000001</v>
      </c>
      <c r="I5066">
        <f t="shared" si="159"/>
        <v>800.6</v>
      </c>
    </row>
    <row r="5067" spans="1:9" ht="30" x14ac:dyDescent="0.25">
      <c r="A5067" s="5" t="s">
        <v>87</v>
      </c>
      <c r="B5067" s="5" t="s">
        <v>10</v>
      </c>
      <c r="C5067" s="5" t="s">
        <v>5545</v>
      </c>
      <c r="D5067" s="3">
        <f>VLOOKUP(A5067,airports!A:H,7,FALSE)</f>
        <v>44.880546940000002</v>
      </c>
      <c r="E5067" s="3">
        <f>VLOOKUP(A5067,airports!A:H,8,FALSE)</f>
        <v>-93.216922499999995</v>
      </c>
      <c r="F5067" s="3">
        <f>VLOOKUP(B5067,airports!A:H,7,FALSE)</f>
        <v>33.640444440000003</v>
      </c>
      <c r="G5067" s="3">
        <f>VLOOKUP(B5067,airports!A:H,8,FALSE)</f>
        <v>-84.42694444</v>
      </c>
      <c r="H5067">
        <f t="shared" si="158"/>
        <v>1459.1</v>
      </c>
      <c r="I5067">
        <f t="shared" si="159"/>
        <v>906.7</v>
      </c>
    </row>
    <row r="5068" spans="1:9" ht="30" x14ac:dyDescent="0.25">
      <c r="A5068" s="5" t="s">
        <v>87</v>
      </c>
      <c r="B5068" s="5" t="s">
        <v>416</v>
      </c>
      <c r="C5068" s="5" t="s">
        <v>5546</v>
      </c>
      <c r="D5068" s="3">
        <f>VLOOKUP(A5068,airports!A:H,7,FALSE)</f>
        <v>44.880546940000002</v>
      </c>
      <c r="E5068" s="3">
        <f>VLOOKUP(A5068,airports!A:H,8,FALSE)</f>
        <v>-93.216922499999995</v>
      </c>
      <c r="F5068" s="3">
        <f>VLOOKUP(B5068,airports!A:H,7,FALSE)</f>
        <v>44.257408060000003</v>
      </c>
      <c r="G5068" s="3">
        <f>VLOOKUP(B5068,airports!A:H,8,FALSE)</f>
        <v>-88.519475560000004</v>
      </c>
      <c r="H5068">
        <f t="shared" si="158"/>
        <v>378.5</v>
      </c>
      <c r="I5068">
        <f t="shared" si="159"/>
        <v>235.2</v>
      </c>
    </row>
    <row r="5069" spans="1:9" ht="30" x14ac:dyDescent="0.25">
      <c r="A5069" s="5" t="s">
        <v>87</v>
      </c>
      <c r="B5069" s="5" t="s">
        <v>13</v>
      </c>
      <c r="C5069" s="5" t="s">
        <v>5547</v>
      </c>
      <c r="D5069" s="3">
        <f>VLOOKUP(A5069,airports!A:H,7,FALSE)</f>
        <v>44.880546940000002</v>
      </c>
      <c r="E5069" s="3">
        <f>VLOOKUP(A5069,airports!A:H,8,FALSE)</f>
        <v>-93.216922499999995</v>
      </c>
      <c r="F5069" s="3">
        <f>VLOOKUP(B5069,airports!A:H,7,FALSE)</f>
        <v>30.194532779999999</v>
      </c>
      <c r="G5069" s="3">
        <f>VLOOKUP(B5069,airports!A:H,8,FALSE)</f>
        <v>-97.669871939999993</v>
      </c>
      <c r="H5069">
        <f t="shared" si="158"/>
        <v>1678.8</v>
      </c>
      <c r="I5069">
        <f t="shared" si="159"/>
        <v>1043.2</v>
      </c>
    </row>
    <row r="5070" spans="1:9" ht="30" x14ac:dyDescent="0.25">
      <c r="A5070" s="5" t="s">
        <v>87</v>
      </c>
      <c r="B5070" s="5" t="s">
        <v>419</v>
      </c>
      <c r="C5070" s="5" t="s">
        <v>5548</v>
      </c>
      <c r="D5070" s="3">
        <f>VLOOKUP(A5070,airports!A:H,7,FALSE)</f>
        <v>44.880546940000002</v>
      </c>
      <c r="E5070" s="3">
        <f>VLOOKUP(A5070,airports!A:H,8,FALSE)</f>
        <v>-93.216922499999995</v>
      </c>
      <c r="F5070" s="3">
        <f>VLOOKUP(B5070,airports!A:H,7,FALSE)</f>
        <v>35.436194440000001</v>
      </c>
      <c r="G5070" s="3">
        <f>VLOOKUP(B5070,airports!A:H,8,FALSE)</f>
        <v>-82.54180556</v>
      </c>
      <c r="H5070">
        <f t="shared" si="158"/>
        <v>1385.3</v>
      </c>
      <c r="I5070">
        <f t="shared" si="159"/>
        <v>860.8</v>
      </c>
    </row>
    <row r="5071" spans="1:9" ht="30" x14ac:dyDescent="0.25">
      <c r="A5071" s="5" t="s">
        <v>87</v>
      </c>
      <c r="B5071" s="5" t="s">
        <v>329</v>
      </c>
      <c r="C5071" s="5" t="s">
        <v>5549</v>
      </c>
      <c r="D5071" s="3">
        <f>VLOOKUP(A5071,airports!A:H,7,FALSE)</f>
        <v>44.880546940000002</v>
      </c>
      <c r="E5071" s="3">
        <f>VLOOKUP(A5071,airports!A:H,8,FALSE)</f>
        <v>-93.216922499999995</v>
      </c>
      <c r="F5071" s="3">
        <f>VLOOKUP(B5071,airports!A:H,7,FALSE)</f>
        <v>33.308999999999997</v>
      </c>
      <c r="G5071" s="3">
        <f>VLOOKUP(B5071,airports!A:H,8,FALSE)</f>
        <v>-111.6559</v>
      </c>
      <c r="H5071">
        <f t="shared" si="158"/>
        <v>2038</v>
      </c>
      <c r="I5071">
        <f t="shared" si="159"/>
        <v>1266.4000000000001</v>
      </c>
    </row>
    <row r="5072" spans="1:9" ht="30" x14ac:dyDescent="0.25">
      <c r="A5072" s="5" t="s">
        <v>87</v>
      </c>
      <c r="B5072" s="5" t="s">
        <v>919</v>
      </c>
      <c r="C5072" s="5" t="s">
        <v>5550</v>
      </c>
      <c r="D5072" s="3">
        <f>VLOOKUP(A5072,airports!A:H,7,FALSE)</f>
        <v>44.880546940000002</v>
      </c>
      <c r="E5072" s="3">
        <f>VLOOKUP(A5072,airports!A:H,8,FALSE)</f>
        <v>-93.216922499999995</v>
      </c>
      <c r="F5072" s="3">
        <f>VLOOKUP(B5072,airports!A:H,7,FALSE)</f>
        <v>42.234875000000002</v>
      </c>
      <c r="G5072" s="3">
        <f>VLOOKUP(B5072,airports!A:H,8,FALSE)</f>
        <v>-85.552057500000004</v>
      </c>
      <c r="H5072">
        <f t="shared" si="158"/>
        <v>683.7</v>
      </c>
      <c r="I5072">
        <f t="shared" si="159"/>
        <v>424.9</v>
      </c>
    </row>
    <row r="5073" spans="1:9" ht="30" x14ac:dyDescent="0.25">
      <c r="A5073" s="5" t="s">
        <v>87</v>
      </c>
      <c r="B5073" s="5" t="s">
        <v>16</v>
      </c>
      <c r="C5073" s="5" t="s">
        <v>5551</v>
      </c>
      <c r="D5073" s="3">
        <f>VLOOKUP(A5073,airports!A:H,7,FALSE)</f>
        <v>44.880546940000002</v>
      </c>
      <c r="E5073" s="3">
        <f>VLOOKUP(A5073,airports!A:H,8,FALSE)</f>
        <v>-93.216922499999995</v>
      </c>
      <c r="F5073" s="3">
        <f>VLOOKUP(B5073,airports!A:H,7,FALSE)</f>
        <v>41.938874169999998</v>
      </c>
      <c r="G5073" s="3">
        <f>VLOOKUP(B5073,airports!A:H,8,FALSE)</f>
        <v>-72.683228330000006</v>
      </c>
      <c r="H5073">
        <f t="shared" si="158"/>
        <v>1685.8</v>
      </c>
      <c r="I5073">
        <f t="shared" si="159"/>
        <v>1047.5999999999999</v>
      </c>
    </row>
    <row r="5074" spans="1:9" x14ac:dyDescent="0.25">
      <c r="A5074" s="5" t="s">
        <v>87</v>
      </c>
      <c r="B5074" s="5" t="s">
        <v>836</v>
      </c>
      <c r="C5074" s="5" t="s">
        <v>5552</v>
      </c>
      <c r="D5074" s="3">
        <f>VLOOKUP(A5074,airports!A:H,7,FALSE)</f>
        <v>44.880546940000002</v>
      </c>
      <c r="E5074" s="3">
        <f>VLOOKUP(A5074,airports!A:H,8,FALSE)</f>
        <v>-93.216922499999995</v>
      </c>
      <c r="F5074" s="3">
        <f>VLOOKUP(B5074,airports!A:H,7,FALSE)</f>
        <v>45.807662499999999</v>
      </c>
      <c r="G5074" s="3">
        <f>VLOOKUP(B5074,airports!A:H,8,FALSE)</f>
        <v>-108.5428611</v>
      </c>
      <c r="H5074">
        <f t="shared" si="158"/>
        <v>1200.3</v>
      </c>
      <c r="I5074">
        <f t="shared" si="159"/>
        <v>745.9</v>
      </c>
    </row>
    <row r="5075" spans="1:9" x14ac:dyDescent="0.25">
      <c r="A5075" s="5" t="s">
        <v>87</v>
      </c>
      <c r="B5075" s="5" t="s">
        <v>838</v>
      </c>
      <c r="C5075" s="5" t="s">
        <v>5553</v>
      </c>
      <c r="D5075" s="3">
        <f>VLOOKUP(A5075,airports!A:H,7,FALSE)</f>
        <v>44.880546940000002</v>
      </c>
      <c r="E5075" s="3">
        <f>VLOOKUP(A5075,airports!A:H,8,FALSE)</f>
        <v>-93.216922499999995</v>
      </c>
      <c r="F5075" s="3">
        <f>VLOOKUP(B5075,airports!A:H,7,FALSE)</f>
        <v>46.77411111</v>
      </c>
      <c r="G5075" s="3">
        <f>VLOOKUP(B5075,airports!A:H,8,FALSE)</f>
        <v>-100.74672219999999</v>
      </c>
      <c r="H5075">
        <f t="shared" si="158"/>
        <v>620</v>
      </c>
      <c r="I5075">
        <f t="shared" si="159"/>
        <v>385.2</v>
      </c>
    </row>
    <row r="5076" spans="1:9" x14ac:dyDescent="0.25">
      <c r="A5076" s="5" t="s">
        <v>87</v>
      </c>
      <c r="B5076" s="5" t="s">
        <v>1052</v>
      </c>
      <c r="C5076" s="5" t="s">
        <v>5554</v>
      </c>
      <c r="D5076" s="3">
        <f>VLOOKUP(A5076,airports!A:H,7,FALSE)</f>
        <v>44.880546940000002</v>
      </c>
      <c r="E5076" s="3">
        <f>VLOOKUP(A5076,airports!A:H,8,FALSE)</f>
        <v>-93.216922499999995</v>
      </c>
      <c r="F5076" s="3">
        <f>VLOOKUP(B5076,airports!A:H,7,FALSE)</f>
        <v>47.509424170000003</v>
      </c>
      <c r="G5076" s="3">
        <f>VLOOKUP(B5076,airports!A:H,8,FALSE)</f>
        <v>-94.933723330000007</v>
      </c>
      <c r="H5076">
        <f t="shared" si="158"/>
        <v>320.8</v>
      </c>
      <c r="I5076">
        <f t="shared" si="159"/>
        <v>199.3</v>
      </c>
    </row>
    <row r="5077" spans="1:9" ht="30" x14ac:dyDescent="0.25">
      <c r="A5077" s="5" t="s">
        <v>87</v>
      </c>
      <c r="B5077" s="5" t="s">
        <v>427</v>
      </c>
      <c r="C5077" s="5" t="s">
        <v>5555</v>
      </c>
      <c r="D5077" s="3">
        <f>VLOOKUP(A5077,airports!A:H,7,FALSE)</f>
        <v>44.880546940000002</v>
      </c>
      <c r="E5077" s="3">
        <f>VLOOKUP(A5077,airports!A:H,8,FALSE)</f>
        <v>-93.216922499999995</v>
      </c>
      <c r="F5077" s="3">
        <f>VLOOKUP(B5077,airports!A:H,7,FALSE)</f>
        <v>40.47798556</v>
      </c>
      <c r="G5077" s="3">
        <f>VLOOKUP(B5077,airports!A:H,8,FALSE)</f>
        <v>-88.915952779999998</v>
      </c>
      <c r="H5077">
        <f t="shared" si="158"/>
        <v>602.5</v>
      </c>
      <c r="I5077">
        <f t="shared" si="159"/>
        <v>374.4</v>
      </c>
    </row>
    <row r="5078" spans="1:9" ht="30" x14ac:dyDescent="0.25">
      <c r="A5078" s="5" t="s">
        <v>87</v>
      </c>
      <c r="B5078" s="5" t="s">
        <v>19</v>
      </c>
      <c r="C5078" s="5" t="s">
        <v>5556</v>
      </c>
      <c r="D5078" s="3">
        <f>VLOOKUP(A5078,airports!A:H,7,FALSE)</f>
        <v>44.880546940000002</v>
      </c>
      <c r="E5078" s="3">
        <f>VLOOKUP(A5078,airports!A:H,8,FALSE)</f>
        <v>-93.216922499999995</v>
      </c>
      <c r="F5078" s="3">
        <f>VLOOKUP(B5078,airports!A:H,7,FALSE)</f>
        <v>36.12447667</v>
      </c>
      <c r="G5078" s="3">
        <f>VLOOKUP(B5078,airports!A:H,8,FALSE)</f>
        <v>-86.678182219999997</v>
      </c>
      <c r="H5078">
        <f t="shared" si="158"/>
        <v>1118.7</v>
      </c>
      <c r="I5078">
        <f t="shared" si="159"/>
        <v>695.2</v>
      </c>
    </row>
    <row r="5079" spans="1:9" ht="30" x14ac:dyDescent="0.25">
      <c r="A5079" s="5" t="s">
        <v>87</v>
      </c>
      <c r="B5079" s="5" t="s">
        <v>22</v>
      </c>
      <c r="C5079" s="5" t="s">
        <v>5557</v>
      </c>
      <c r="D5079" s="3">
        <f>VLOOKUP(A5079,airports!A:H,7,FALSE)</f>
        <v>44.880546940000002</v>
      </c>
      <c r="E5079" s="3">
        <f>VLOOKUP(A5079,airports!A:H,8,FALSE)</f>
        <v>-93.216922499999995</v>
      </c>
      <c r="F5079" s="3">
        <f>VLOOKUP(B5079,airports!A:H,7,FALSE)</f>
        <v>43.564444440000003</v>
      </c>
      <c r="G5079" s="3">
        <f>VLOOKUP(B5079,airports!A:H,8,FALSE)</f>
        <v>-116.2227778</v>
      </c>
      <c r="H5079">
        <f t="shared" si="158"/>
        <v>1832.9</v>
      </c>
      <c r="I5079">
        <f t="shared" si="159"/>
        <v>1139</v>
      </c>
    </row>
    <row r="5080" spans="1:9" ht="30" x14ac:dyDescent="0.25">
      <c r="A5080" s="5" t="s">
        <v>87</v>
      </c>
      <c r="B5080" s="5" t="s">
        <v>24</v>
      </c>
      <c r="C5080" s="5" t="s">
        <v>5558</v>
      </c>
      <c r="D5080" s="3">
        <f>VLOOKUP(A5080,airports!A:H,7,FALSE)</f>
        <v>44.880546940000002</v>
      </c>
      <c r="E5080" s="3">
        <f>VLOOKUP(A5080,airports!A:H,8,FALSE)</f>
        <v>-93.216922499999995</v>
      </c>
      <c r="F5080" s="3">
        <f>VLOOKUP(B5080,airports!A:H,7,FALSE)</f>
        <v>42.364347500000001</v>
      </c>
      <c r="G5080" s="3">
        <f>VLOOKUP(B5080,airports!A:H,8,FALSE)</f>
        <v>-71.005179170000005</v>
      </c>
      <c r="H5080">
        <f t="shared" si="158"/>
        <v>1803.8</v>
      </c>
      <c r="I5080">
        <f t="shared" si="159"/>
        <v>1120.9000000000001</v>
      </c>
    </row>
    <row r="5081" spans="1:9" ht="30" x14ac:dyDescent="0.25">
      <c r="A5081" s="5" t="s">
        <v>87</v>
      </c>
      <c r="B5081" s="5" t="s">
        <v>1325</v>
      </c>
      <c r="C5081" s="5" t="s">
        <v>5559</v>
      </c>
      <c r="D5081" s="3">
        <f>VLOOKUP(A5081,airports!A:H,7,FALSE)</f>
        <v>44.880546940000002</v>
      </c>
      <c r="E5081" s="3">
        <f>VLOOKUP(A5081,airports!A:H,8,FALSE)</f>
        <v>-93.216922499999995</v>
      </c>
      <c r="F5081" s="3">
        <f>VLOOKUP(B5081,airports!A:H,7,FALSE)</f>
        <v>46.397858059999997</v>
      </c>
      <c r="G5081" s="3">
        <f>VLOOKUP(B5081,airports!A:H,8,FALSE)</f>
        <v>-94.137227499999995</v>
      </c>
      <c r="H5081">
        <f t="shared" si="158"/>
        <v>183.3</v>
      </c>
      <c r="I5081">
        <f t="shared" si="159"/>
        <v>113.9</v>
      </c>
    </row>
    <row r="5082" spans="1:9" ht="30" x14ac:dyDescent="0.25">
      <c r="A5082" s="5" t="s">
        <v>87</v>
      </c>
      <c r="B5082" s="5" t="s">
        <v>27</v>
      </c>
      <c r="C5082" s="5" t="s">
        <v>5560</v>
      </c>
      <c r="D5082" s="3">
        <f>VLOOKUP(A5082,airports!A:H,7,FALSE)</f>
        <v>44.880546940000002</v>
      </c>
      <c r="E5082" s="3">
        <f>VLOOKUP(A5082,airports!A:H,8,FALSE)</f>
        <v>-93.216922499999995</v>
      </c>
      <c r="F5082" s="3">
        <f>VLOOKUP(B5082,airports!A:H,7,FALSE)</f>
        <v>44.473003609999999</v>
      </c>
      <c r="G5082" s="3">
        <f>VLOOKUP(B5082,airports!A:H,8,FALSE)</f>
        <v>-73.150312499999998</v>
      </c>
      <c r="H5082">
        <f t="shared" si="158"/>
        <v>1583.3</v>
      </c>
      <c r="I5082">
        <f t="shared" si="159"/>
        <v>983.8</v>
      </c>
    </row>
    <row r="5083" spans="1:9" ht="30" x14ac:dyDescent="0.25">
      <c r="A5083" s="5" t="s">
        <v>87</v>
      </c>
      <c r="B5083" s="5" t="s">
        <v>29</v>
      </c>
      <c r="C5083" s="5" t="s">
        <v>5561</v>
      </c>
      <c r="D5083" s="3">
        <f>VLOOKUP(A5083,airports!A:H,7,FALSE)</f>
        <v>44.880546940000002</v>
      </c>
      <c r="E5083" s="3">
        <f>VLOOKUP(A5083,airports!A:H,8,FALSE)</f>
        <v>-93.216922499999995</v>
      </c>
      <c r="F5083" s="3">
        <f>VLOOKUP(B5083,airports!A:H,7,FALSE)</f>
        <v>42.940524719999999</v>
      </c>
      <c r="G5083" s="3">
        <f>VLOOKUP(B5083,airports!A:H,8,FALSE)</f>
        <v>-78.732166669999998</v>
      </c>
      <c r="H5083">
        <f t="shared" si="158"/>
        <v>1178.5</v>
      </c>
      <c r="I5083">
        <f t="shared" si="159"/>
        <v>732.4</v>
      </c>
    </row>
    <row r="5084" spans="1:9" ht="30" x14ac:dyDescent="0.25">
      <c r="A5084" s="5" t="s">
        <v>87</v>
      </c>
      <c r="B5084" s="5" t="s">
        <v>32</v>
      </c>
      <c r="C5084" s="5" t="s">
        <v>5562</v>
      </c>
      <c r="D5084" s="3">
        <f>VLOOKUP(A5084,airports!A:H,7,FALSE)</f>
        <v>44.880546940000002</v>
      </c>
      <c r="E5084" s="3">
        <f>VLOOKUP(A5084,airports!A:H,8,FALSE)</f>
        <v>-93.216922499999995</v>
      </c>
      <c r="F5084" s="3">
        <f>VLOOKUP(B5084,airports!A:H,7,FALSE)</f>
        <v>39.175401669999999</v>
      </c>
      <c r="G5084" s="3">
        <f>VLOOKUP(B5084,airports!A:H,8,FALSE)</f>
        <v>-76.668198329999996</v>
      </c>
      <c r="H5084">
        <f t="shared" si="158"/>
        <v>1503.2</v>
      </c>
      <c r="I5084">
        <f t="shared" si="159"/>
        <v>934.1</v>
      </c>
    </row>
    <row r="5085" spans="1:9" ht="30" x14ac:dyDescent="0.25">
      <c r="A5085" s="5" t="s">
        <v>87</v>
      </c>
      <c r="B5085" s="5" t="s">
        <v>34</v>
      </c>
      <c r="C5085" s="5" t="s">
        <v>5563</v>
      </c>
      <c r="D5085" s="3">
        <f>VLOOKUP(A5085,airports!A:H,7,FALSE)</f>
        <v>44.880546940000002</v>
      </c>
      <c r="E5085" s="3">
        <f>VLOOKUP(A5085,airports!A:H,8,FALSE)</f>
        <v>-93.216922499999995</v>
      </c>
      <c r="F5085" s="3">
        <f>VLOOKUP(B5085,airports!A:H,7,FALSE)</f>
        <v>45.776901389999999</v>
      </c>
      <c r="G5085" s="3">
        <f>VLOOKUP(B5085,airports!A:H,8,FALSE)</f>
        <v>-111.1530072</v>
      </c>
      <c r="H5085">
        <f t="shared" si="158"/>
        <v>1402.7</v>
      </c>
      <c r="I5085">
        <f t="shared" si="159"/>
        <v>871.7</v>
      </c>
    </row>
    <row r="5086" spans="1:9" ht="30" x14ac:dyDescent="0.25">
      <c r="A5086" s="5" t="s">
        <v>87</v>
      </c>
      <c r="B5086" s="5" t="s">
        <v>445</v>
      </c>
      <c r="C5086" s="5" t="s">
        <v>5564</v>
      </c>
      <c r="D5086" s="3">
        <f>VLOOKUP(A5086,airports!A:H,7,FALSE)</f>
        <v>44.880546940000002</v>
      </c>
      <c r="E5086" s="3">
        <f>VLOOKUP(A5086,airports!A:H,8,FALSE)</f>
        <v>-93.216922499999995</v>
      </c>
      <c r="F5086" s="3">
        <f>VLOOKUP(B5086,airports!A:H,7,FALSE)</f>
        <v>35.035268330000001</v>
      </c>
      <c r="G5086" s="3">
        <f>VLOOKUP(B5086,airports!A:H,8,FALSE)</f>
        <v>-85.203787779999999</v>
      </c>
      <c r="H5086">
        <f t="shared" si="158"/>
        <v>1288.8</v>
      </c>
      <c r="I5086">
        <f t="shared" si="159"/>
        <v>800.9</v>
      </c>
    </row>
    <row r="5087" spans="1:9" ht="30" x14ac:dyDescent="0.25">
      <c r="A5087" s="5" t="s">
        <v>87</v>
      </c>
      <c r="B5087" s="5" t="s">
        <v>36</v>
      </c>
      <c r="C5087" s="5" t="s">
        <v>5565</v>
      </c>
      <c r="D5087" s="3">
        <f>VLOOKUP(A5087,airports!A:H,7,FALSE)</f>
        <v>44.880546940000002</v>
      </c>
      <c r="E5087" s="3">
        <f>VLOOKUP(A5087,airports!A:H,8,FALSE)</f>
        <v>-93.216922499999995</v>
      </c>
      <c r="F5087" s="3">
        <f>VLOOKUP(B5087,airports!A:H,7,FALSE)</f>
        <v>32.898646390000003</v>
      </c>
      <c r="G5087" s="3">
        <f>VLOOKUP(B5087,airports!A:H,8,FALSE)</f>
        <v>-80.040505830000001</v>
      </c>
      <c r="H5087">
        <f t="shared" si="158"/>
        <v>1749.1</v>
      </c>
      <c r="I5087">
        <f t="shared" si="159"/>
        <v>1086.9000000000001</v>
      </c>
    </row>
    <row r="5088" spans="1:9" ht="30" x14ac:dyDescent="0.25">
      <c r="A5088" s="5" t="s">
        <v>87</v>
      </c>
      <c r="B5088" s="5" t="s">
        <v>450</v>
      </c>
      <c r="C5088" s="5" t="s">
        <v>5566</v>
      </c>
      <c r="D5088" s="3">
        <f>VLOOKUP(A5088,airports!A:H,7,FALSE)</f>
        <v>44.880546940000002</v>
      </c>
      <c r="E5088" s="3">
        <f>VLOOKUP(A5088,airports!A:H,8,FALSE)</f>
        <v>-93.216922499999995</v>
      </c>
      <c r="F5088" s="3">
        <f>VLOOKUP(B5088,airports!A:H,7,FALSE)</f>
        <v>41.88458833</v>
      </c>
      <c r="G5088" s="3">
        <f>VLOOKUP(B5088,airports!A:H,8,FALSE)</f>
        <v>-91.710872219999999</v>
      </c>
      <c r="H5088">
        <f t="shared" si="158"/>
        <v>354.7</v>
      </c>
      <c r="I5088">
        <f t="shared" si="159"/>
        <v>220.4</v>
      </c>
    </row>
    <row r="5089" spans="1:9" ht="30" x14ac:dyDescent="0.25">
      <c r="A5089" s="5" t="s">
        <v>87</v>
      </c>
      <c r="B5089" s="5" t="s">
        <v>1652</v>
      </c>
      <c r="C5089" s="5" t="s">
        <v>5567</v>
      </c>
      <c r="D5089" s="3">
        <f>VLOOKUP(A5089,airports!A:H,7,FALSE)</f>
        <v>44.880546940000002</v>
      </c>
      <c r="E5089" s="3">
        <f>VLOOKUP(A5089,airports!A:H,8,FALSE)</f>
        <v>-93.216922499999995</v>
      </c>
      <c r="F5089" s="3">
        <f>VLOOKUP(B5089,airports!A:H,7,FALSE)</f>
        <v>46.250751940000001</v>
      </c>
      <c r="G5089" s="3">
        <f>VLOOKUP(B5089,airports!A:H,8,FALSE)</f>
        <v>-84.472385279999997</v>
      </c>
      <c r="H5089">
        <f t="shared" si="158"/>
        <v>697.2</v>
      </c>
      <c r="I5089">
        <f t="shared" si="159"/>
        <v>433.2</v>
      </c>
    </row>
    <row r="5090" spans="1:9" ht="30" x14ac:dyDescent="0.25">
      <c r="A5090" s="5" t="s">
        <v>87</v>
      </c>
      <c r="B5090" s="5" t="s">
        <v>38</v>
      </c>
      <c r="C5090" s="5" t="s">
        <v>5568</v>
      </c>
      <c r="D5090" s="3">
        <f>VLOOKUP(A5090,airports!A:H,7,FALSE)</f>
        <v>44.880546940000002</v>
      </c>
      <c r="E5090" s="3">
        <f>VLOOKUP(A5090,airports!A:H,8,FALSE)</f>
        <v>-93.216922499999995</v>
      </c>
      <c r="F5090" s="3">
        <f>VLOOKUP(B5090,airports!A:H,7,FALSE)</f>
        <v>41.410894169999999</v>
      </c>
      <c r="G5090" s="3">
        <f>VLOOKUP(B5090,airports!A:H,8,FALSE)</f>
        <v>-81.849396670000004</v>
      </c>
      <c r="H5090">
        <f t="shared" si="158"/>
        <v>998.6</v>
      </c>
      <c r="I5090">
        <f t="shared" si="159"/>
        <v>620.5</v>
      </c>
    </row>
    <row r="5091" spans="1:9" ht="30" x14ac:dyDescent="0.25">
      <c r="A5091" s="5" t="s">
        <v>87</v>
      </c>
      <c r="B5091" s="5" t="s">
        <v>40</v>
      </c>
      <c r="C5091" s="5" t="s">
        <v>5569</v>
      </c>
      <c r="D5091" s="3">
        <f>VLOOKUP(A5091,airports!A:H,7,FALSE)</f>
        <v>44.880546940000002</v>
      </c>
      <c r="E5091" s="3">
        <f>VLOOKUP(A5091,airports!A:H,8,FALSE)</f>
        <v>-93.216922499999995</v>
      </c>
      <c r="F5091" s="3">
        <f>VLOOKUP(B5091,airports!A:H,7,FALSE)</f>
        <v>35.214011110000001</v>
      </c>
      <c r="G5091" s="3">
        <f>VLOOKUP(B5091,airports!A:H,8,FALSE)</f>
        <v>-80.94312583</v>
      </c>
      <c r="H5091">
        <f t="shared" si="158"/>
        <v>1495.7</v>
      </c>
      <c r="I5091">
        <f t="shared" si="159"/>
        <v>929.4</v>
      </c>
    </row>
    <row r="5092" spans="1:9" ht="30" x14ac:dyDescent="0.25">
      <c r="A5092" s="5" t="s">
        <v>87</v>
      </c>
      <c r="B5092" s="5" t="s">
        <v>454</v>
      </c>
      <c r="C5092" s="5" t="s">
        <v>5570</v>
      </c>
      <c r="D5092" s="3">
        <f>VLOOKUP(A5092,airports!A:H,7,FALSE)</f>
        <v>44.880546940000002</v>
      </c>
      <c r="E5092" s="3">
        <f>VLOOKUP(A5092,airports!A:H,8,FALSE)</f>
        <v>-93.216922499999995</v>
      </c>
      <c r="F5092" s="3">
        <f>VLOOKUP(B5092,airports!A:H,7,FALSE)</f>
        <v>39.997985280000002</v>
      </c>
      <c r="G5092" s="3">
        <f>VLOOKUP(B5092,airports!A:H,8,FALSE)</f>
        <v>-82.891882780000003</v>
      </c>
      <c r="H5092">
        <f t="shared" si="158"/>
        <v>1005.1</v>
      </c>
      <c r="I5092">
        <f t="shared" si="159"/>
        <v>624.6</v>
      </c>
    </row>
    <row r="5093" spans="1:9" ht="30" x14ac:dyDescent="0.25">
      <c r="A5093" s="5" t="s">
        <v>87</v>
      </c>
      <c r="B5093" s="5" t="s">
        <v>456</v>
      </c>
      <c r="C5093" s="5" t="s">
        <v>5571</v>
      </c>
      <c r="D5093" s="3">
        <f>VLOOKUP(A5093,airports!A:H,7,FALSE)</f>
        <v>44.880546940000002</v>
      </c>
      <c r="E5093" s="3">
        <f>VLOOKUP(A5093,airports!A:H,8,FALSE)</f>
        <v>-93.216922499999995</v>
      </c>
      <c r="F5093" s="3">
        <f>VLOOKUP(B5093,airports!A:H,7,FALSE)</f>
        <v>38.805805560000003</v>
      </c>
      <c r="G5093" s="3">
        <f>VLOOKUP(B5093,airports!A:H,8,FALSE)</f>
        <v>-104.70025</v>
      </c>
      <c r="H5093">
        <f t="shared" si="158"/>
        <v>1164.9000000000001</v>
      </c>
      <c r="I5093">
        <f t="shared" si="159"/>
        <v>723.9</v>
      </c>
    </row>
    <row r="5094" spans="1:9" ht="30" x14ac:dyDescent="0.25">
      <c r="A5094" s="5" t="s">
        <v>87</v>
      </c>
      <c r="B5094" s="5" t="s">
        <v>462</v>
      </c>
      <c r="C5094" s="5" t="s">
        <v>5572</v>
      </c>
      <c r="D5094" s="3">
        <f>VLOOKUP(A5094,airports!A:H,7,FALSE)</f>
        <v>44.880546940000002</v>
      </c>
      <c r="E5094" s="3">
        <f>VLOOKUP(A5094,airports!A:H,8,FALSE)</f>
        <v>-93.216922499999995</v>
      </c>
      <c r="F5094" s="3">
        <f>VLOOKUP(B5094,airports!A:H,7,FALSE)</f>
        <v>39.046142779999997</v>
      </c>
      <c r="G5094" s="3">
        <f>VLOOKUP(B5094,airports!A:H,8,FALSE)</f>
        <v>-84.662172499999997</v>
      </c>
      <c r="H5094">
        <f t="shared" si="158"/>
        <v>958.8</v>
      </c>
      <c r="I5094">
        <f t="shared" si="159"/>
        <v>595.79999999999995</v>
      </c>
    </row>
    <row r="5095" spans="1:9" ht="30" x14ac:dyDescent="0.25">
      <c r="A5095" s="5" t="s">
        <v>87</v>
      </c>
      <c r="B5095" s="5" t="s">
        <v>2072</v>
      </c>
      <c r="C5095" s="5" t="s">
        <v>5573</v>
      </c>
      <c r="D5095" s="3">
        <f>VLOOKUP(A5095,airports!A:H,7,FALSE)</f>
        <v>44.880546940000002</v>
      </c>
      <c r="E5095" s="3">
        <f>VLOOKUP(A5095,airports!A:H,8,FALSE)</f>
        <v>-93.216922499999995</v>
      </c>
      <c r="F5095" s="3">
        <f>VLOOKUP(B5095,airports!A:H,7,FALSE)</f>
        <v>44.777619170000001</v>
      </c>
      <c r="G5095" s="3">
        <f>VLOOKUP(B5095,airports!A:H,8,FALSE)</f>
        <v>-89.666779439999999</v>
      </c>
      <c r="H5095">
        <f t="shared" si="158"/>
        <v>280.2</v>
      </c>
      <c r="I5095">
        <f t="shared" si="159"/>
        <v>174.1</v>
      </c>
    </row>
    <row r="5096" spans="1:9" ht="30" x14ac:dyDescent="0.25">
      <c r="A5096" s="5" t="s">
        <v>87</v>
      </c>
      <c r="B5096" s="5" t="s">
        <v>201</v>
      </c>
      <c r="C5096" s="5" t="s">
        <v>5574</v>
      </c>
      <c r="D5096" s="3">
        <f>VLOOKUP(A5096,airports!A:H,7,FALSE)</f>
        <v>44.880546940000002</v>
      </c>
      <c r="E5096" s="3">
        <f>VLOOKUP(A5096,airports!A:H,8,FALSE)</f>
        <v>-93.216922499999995</v>
      </c>
      <c r="F5096" s="3">
        <f>VLOOKUP(B5096,airports!A:H,7,FALSE)</f>
        <v>32.847113890000003</v>
      </c>
      <c r="G5096" s="3">
        <f>VLOOKUP(B5096,airports!A:H,8,FALSE)</f>
        <v>-96.851772220000001</v>
      </c>
      <c r="H5096">
        <f t="shared" si="158"/>
        <v>1374.2</v>
      </c>
      <c r="I5096">
        <f t="shared" si="159"/>
        <v>853.9</v>
      </c>
    </row>
    <row r="5097" spans="1:9" ht="30" x14ac:dyDescent="0.25">
      <c r="A5097" s="5" t="s">
        <v>87</v>
      </c>
      <c r="B5097" s="5" t="s">
        <v>467</v>
      </c>
      <c r="C5097" s="5" t="s">
        <v>5575</v>
      </c>
      <c r="D5097" s="3">
        <f>VLOOKUP(A5097,airports!A:H,7,FALSE)</f>
        <v>44.880546940000002</v>
      </c>
      <c r="E5097" s="3">
        <f>VLOOKUP(A5097,airports!A:H,8,FALSE)</f>
        <v>-93.216922499999995</v>
      </c>
      <c r="F5097" s="3">
        <f>VLOOKUP(B5097,airports!A:H,7,FALSE)</f>
        <v>39.902375829999997</v>
      </c>
      <c r="G5097" s="3">
        <f>VLOOKUP(B5097,airports!A:H,8,FALSE)</f>
        <v>-84.219374999999999</v>
      </c>
      <c r="H5097">
        <f t="shared" si="158"/>
        <v>922.3</v>
      </c>
      <c r="I5097">
        <f t="shared" si="159"/>
        <v>573.1</v>
      </c>
    </row>
    <row r="5098" spans="1:9" ht="30" x14ac:dyDescent="0.25">
      <c r="A5098" s="5" t="s">
        <v>87</v>
      </c>
      <c r="B5098" s="5" t="s">
        <v>45</v>
      </c>
      <c r="C5098" s="5" t="s">
        <v>5576</v>
      </c>
      <c r="D5098" s="3">
        <f>VLOOKUP(A5098,airports!A:H,7,FALSE)</f>
        <v>44.880546940000002</v>
      </c>
      <c r="E5098" s="3">
        <f>VLOOKUP(A5098,airports!A:H,8,FALSE)</f>
        <v>-93.216922499999995</v>
      </c>
      <c r="F5098" s="3">
        <f>VLOOKUP(B5098,airports!A:H,7,FALSE)</f>
        <v>38.852083329999999</v>
      </c>
      <c r="G5098" s="3">
        <f>VLOOKUP(B5098,airports!A:H,8,FALSE)</f>
        <v>-77.037722220000006</v>
      </c>
      <c r="H5098">
        <f t="shared" si="158"/>
        <v>1494.4</v>
      </c>
      <c r="I5098">
        <f t="shared" si="159"/>
        <v>928.7</v>
      </c>
    </row>
    <row r="5099" spans="1:9" ht="30" x14ac:dyDescent="0.25">
      <c r="A5099" s="5" t="s">
        <v>87</v>
      </c>
      <c r="B5099" s="5" t="s">
        <v>47</v>
      </c>
      <c r="C5099" s="5" t="s">
        <v>5577</v>
      </c>
      <c r="D5099" s="3">
        <f>VLOOKUP(A5099,airports!A:H,7,FALSE)</f>
        <v>44.880546940000002</v>
      </c>
      <c r="E5099" s="3">
        <f>VLOOKUP(A5099,airports!A:H,8,FALSE)</f>
        <v>-93.216922499999995</v>
      </c>
      <c r="F5099" s="3">
        <f>VLOOKUP(B5099,airports!A:H,7,FALSE)</f>
        <v>39.858408060000002</v>
      </c>
      <c r="G5099" s="3">
        <f>VLOOKUP(B5099,airports!A:H,8,FALSE)</f>
        <v>-104.6670019</v>
      </c>
      <c r="H5099">
        <f t="shared" si="158"/>
        <v>1092.4000000000001</v>
      </c>
      <c r="I5099">
        <f t="shared" si="159"/>
        <v>678.8</v>
      </c>
    </row>
    <row r="5100" spans="1:9" ht="30" x14ac:dyDescent="0.25">
      <c r="A5100" s="5" t="s">
        <v>87</v>
      </c>
      <c r="B5100" s="5" t="s">
        <v>49</v>
      </c>
      <c r="C5100" s="5" t="s">
        <v>5578</v>
      </c>
      <c r="D5100" s="3">
        <f>VLOOKUP(A5100,airports!A:H,7,FALSE)</f>
        <v>44.880546940000002</v>
      </c>
      <c r="E5100" s="3">
        <f>VLOOKUP(A5100,airports!A:H,8,FALSE)</f>
        <v>-93.216922499999995</v>
      </c>
      <c r="F5100" s="3">
        <f>VLOOKUP(B5100,airports!A:H,7,FALSE)</f>
        <v>32.895950560000003</v>
      </c>
      <c r="G5100" s="3">
        <f>VLOOKUP(B5100,airports!A:H,8,FALSE)</f>
        <v>-97.037199999999999</v>
      </c>
      <c r="H5100">
        <f t="shared" si="158"/>
        <v>1372.6</v>
      </c>
      <c r="I5100">
        <f t="shared" si="159"/>
        <v>852.9</v>
      </c>
    </row>
    <row r="5101" spans="1:9" ht="30" x14ac:dyDescent="0.25">
      <c r="A5101" s="5" t="s">
        <v>87</v>
      </c>
      <c r="B5101" s="5" t="s">
        <v>1944</v>
      </c>
      <c r="C5101" s="5" t="s">
        <v>5579</v>
      </c>
      <c r="D5101" s="3">
        <f>VLOOKUP(A5101,airports!A:H,7,FALSE)</f>
        <v>44.880546940000002</v>
      </c>
      <c r="E5101" s="3">
        <f>VLOOKUP(A5101,airports!A:H,8,FALSE)</f>
        <v>-93.216922499999995</v>
      </c>
      <c r="F5101" s="3">
        <f>VLOOKUP(B5101,airports!A:H,7,FALSE)</f>
        <v>46.842090280000001</v>
      </c>
      <c r="G5101" s="3">
        <f>VLOOKUP(B5101,airports!A:H,8,FALSE)</f>
        <v>-92.193648609999997</v>
      </c>
      <c r="H5101">
        <f t="shared" si="158"/>
        <v>232.1</v>
      </c>
      <c r="I5101">
        <f t="shared" si="159"/>
        <v>144.19999999999999</v>
      </c>
    </row>
    <row r="5102" spans="1:9" ht="30" x14ac:dyDescent="0.25">
      <c r="A5102" s="5" t="s">
        <v>87</v>
      </c>
      <c r="B5102" s="5" t="s">
        <v>474</v>
      </c>
      <c r="C5102" s="5" t="s">
        <v>5580</v>
      </c>
      <c r="D5102" s="3">
        <f>VLOOKUP(A5102,airports!A:H,7,FALSE)</f>
        <v>44.880546940000002</v>
      </c>
      <c r="E5102" s="3">
        <f>VLOOKUP(A5102,airports!A:H,8,FALSE)</f>
        <v>-93.216922499999995</v>
      </c>
      <c r="F5102" s="3">
        <f>VLOOKUP(B5102,airports!A:H,7,FALSE)</f>
        <v>41.53493306</v>
      </c>
      <c r="G5102" s="3">
        <f>VLOOKUP(B5102,airports!A:H,8,FALSE)</f>
        <v>-93.660682219999998</v>
      </c>
      <c r="H5102">
        <f t="shared" si="158"/>
        <v>373.7</v>
      </c>
      <c r="I5102">
        <f t="shared" si="159"/>
        <v>232.3</v>
      </c>
    </row>
    <row r="5103" spans="1:9" ht="30" x14ac:dyDescent="0.25">
      <c r="A5103" s="5" t="s">
        <v>87</v>
      </c>
      <c r="B5103" s="5" t="s">
        <v>50</v>
      </c>
      <c r="C5103" s="5" t="s">
        <v>5581</v>
      </c>
      <c r="D5103" s="3">
        <f>VLOOKUP(A5103,airports!A:H,7,FALSE)</f>
        <v>44.880546940000002</v>
      </c>
      <c r="E5103" s="3">
        <f>VLOOKUP(A5103,airports!A:H,8,FALSE)</f>
        <v>-93.216922499999995</v>
      </c>
      <c r="F5103" s="3">
        <f>VLOOKUP(B5103,airports!A:H,7,FALSE)</f>
        <v>42.212058890000002</v>
      </c>
      <c r="G5103" s="3">
        <f>VLOOKUP(B5103,airports!A:H,8,FALSE)</f>
        <v>-83.348835829999999</v>
      </c>
      <c r="H5103">
        <f t="shared" si="158"/>
        <v>848.2</v>
      </c>
      <c r="I5103">
        <f t="shared" si="159"/>
        <v>527.1</v>
      </c>
    </row>
    <row r="5104" spans="1:9" ht="30" x14ac:dyDescent="0.25">
      <c r="A5104" s="5" t="s">
        <v>87</v>
      </c>
      <c r="B5104" s="5" t="s">
        <v>2843</v>
      </c>
      <c r="C5104" s="5" t="s">
        <v>5582</v>
      </c>
      <c r="D5104" s="3">
        <f>VLOOKUP(A5104,airports!A:H,7,FALSE)</f>
        <v>44.880546940000002</v>
      </c>
      <c r="E5104" s="3">
        <f>VLOOKUP(A5104,airports!A:H,8,FALSE)</f>
        <v>-93.216922499999995</v>
      </c>
      <c r="F5104" s="3">
        <f>VLOOKUP(B5104,airports!A:H,7,FALSE)</f>
        <v>45.722669719999999</v>
      </c>
      <c r="G5104" s="3">
        <f>VLOOKUP(B5104,airports!A:H,8,FALSE)</f>
        <v>-87.093731390000002</v>
      </c>
      <c r="H5104">
        <f t="shared" si="158"/>
        <v>487.8</v>
      </c>
      <c r="I5104">
        <f t="shared" si="159"/>
        <v>303.2</v>
      </c>
    </row>
    <row r="5105" spans="1:9" ht="30" x14ac:dyDescent="0.25">
      <c r="A5105" s="5" t="s">
        <v>87</v>
      </c>
      <c r="B5105" s="5" t="s">
        <v>52</v>
      </c>
      <c r="C5105" s="5" t="s">
        <v>5583</v>
      </c>
      <c r="D5105" s="3">
        <f>VLOOKUP(A5105,airports!A:H,7,FALSE)</f>
        <v>44.880546940000002</v>
      </c>
      <c r="E5105" s="3">
        <f>VLOOKUP(A5105,airports!A:H,8,FALSE)</f>
        <v>-93.216922499999995</v>
      </c>
      <c r="F5105" s="3">
        <f>VLOOKUP(B5105,airports!A:H,7,FALSE)</f>
        <v>40.69249722</v>
      </c>
      <c r="G5105" s="3">
        <f>VLOOKUP(B5105,airports!A:H,8,FALSE)</f>
        <v>-74.168660560000006</v>
      </c>
      <c r="H5105">
        <f t="shared" si="158"/>
        <v>1618.3</v>
      </c>
      <c r="I5105">
        <f t="shared" si="159"/>
        <v>1005.6</v>
      </c>
    </row>
    <row r="5106" spans="1:9" ht="30" x14ac:dyDescent="0.25">
      <c r="A5106" s="5" t="s">
        <v>87</v>
      </c>
      <c r="B5106" s="5" t="s">
        <v>358</v>
      </c>
      <c r="C5106" s="5" t="s">
        <v>5584</v>
      </c>
      <c r="D5106" s="3">
        <f>VLOOKUP(A5106,airports!A:H,7,FALSE)</f>
        <v>44.880546940000002</v>
      </c>
      <c r="E5106" s="3">
        <f>VLOOKUP(A5106,airports!A:H,8,FALSE)</f>
        <v>-93.216922499999995</v>
      </c>
      <c r="F5106" s="3">
        <f>VLOOKUP(B5106,airports!A:H,7,FALSE)</f>
        <v>64.813677499999997</v>
      </c>
      <c r="G5106" s="3">
        <f>VLOOKUP(B5106,airports!A:H,8,FALSE)</f>
        <v>-147.8596694</v>
      </c>
      <c r="H5106">
        <f t="shared" si="158"/>
        <v>3959.2</v>
      </c>
      <c r="I5106">
        <f t="shared" si="159"/>
        <v>2460.3000000000002</v>
      </c>
    </row>
    <row r="5107" spans="1:9" ht="30" x14ac:dyDescent="0.25">
      <c r="A5107" s="5" t="s">
        <v>87</v>
      </c>
      <c r="B5107" s="5" t="s">
        <v>491</v>
      </c>
      <c r="C5107" s="5" t="s">
        <v>5585</v>
      </c>
      <c r="D5107" s="3">
        <f>VLOOKUP(A5107,airports!A:H,7,FALSE)</f>
        <v>44.880546940000002</v>
      </c>
      <c r="E5107" s="3">
        <f>VLOOKUP(A5107,airports!A:H,8,FALSE)</f>
        <v>-93.216922499999995</v>
      </c>
      <c r="F5107" s="3">
        <f>VLOOKUP(B5107,airports!A:H,7,FALSE)</f>
        <v>46.919348890000002</v>
      </c>
      <c r="G5107" s="3">
        <f>VLOOKUP(B5107,airports!A:H,8,FALSE)</f>
        <v>-96.814988889999995</v>
      </c>
      <c r="H5107">
        <f t="shared" si="158"/>
        <v>359</v>
      </c>
      <c r="I5107">
        <f t="shared" si="159"/>
        <v>223.1</v>
      </c>
    </row>
    <row r="5108" spans="1:9" ht="30" x14ac:dyDescent="0.25">
      <c r="A5108" s="5" t="s">
        <v>87</v>
      </c>
      <c r="B5108" s="5" t="s">
        <v>56</v>
      </c>
      <c r="C5108" s="5" t="s">
        <v>5586</v>
      </c>
      <c r="D5108" s="3">
        <f>VLOOKUP(A5108,airports!A:H,7,FALSE)</f>
        <v>44.880546940000002</v>
      </c>
      <c r="E5108" s="3">
        <f>VLOOKUP(A5108,airports!A:H,8,FALSE)</f>
        <v>-93.216922499999995</v>
      </c>
      <c r="F5108" s="3">
        <f>VLOOKUP(B5108,airports!A:H,7,FALSE)</f>
        <v>48.311404719999999</v>
      </c>
      <c r="G5108" s="3">
        <f>VLOOKUP(B5108,airports!A:H,8,FALSE)</f>
        <v>-114.2550694</v>
      </c>
      <c r="H5108">
        <f t="shared" si="158"/>
        <v>1646.4</v>
      </c>
      <c r="I5108">
        <f t="shared" si="159"/>
        <v>1023.1</v>
      </c>
    </row>
    <row r="5109" spans="1:9" x14ac:dyDescent="0.25">
      <c r="A5109" s="5" t="s">
        <v>87</v>
      </c>
      <c r="B5109" s="5" t="s">
        <v>57</v>
      </c>
      <c r="C5109" s="5" t="s">
        <v>5587</v>
      </c>
      <c r="D5109" s="3">
        <f>VLOOKUP(A5109,airports!A:H,7,FALSE)</f>
        <v>44.880546940000002</v>
      </c>
      <c r="E5109" s="3">
        <f>VLOOKUP(A5109,airports!A:H,8,FALSE)</f>
        <v>-93.216922499999995</v>
      </c>
      <c r="F5109" s="3">
        <f>VLOOKUP(B5109,airports!A:H,7,FALSE)</f>
        <v>26.072583330000001</v>
      </c>
      <c r="G5109" s="3">
        <f>VLOOKUP(B5109,airports!A:H,8,FALSE)</f>
        <v>-80.152749999999997</v>
      </c>
      <c r="H5109">
        <f t="shared" si="158"/>
        <v>2395.6999999999998</v>
      </c>
      <c r="I5109">
        <f t="shared" si="159"/>
        <v>1488.7</v>
      </c>
    </row>
    <row r="5110" spans="1:9" ht="30" x14ac:dyDescent="0.25">
      <c r="A5110" s="5" t="s">
        <v>87</v>
      </c>
      <c r="B5110" s="5" t="s">
        <v>497</v>
      </c>
      <c r="C5110" s="5" t="s">
        <v>5588</v>
      </c>
      <c r="D5110" s="3">
        <f>VLOOKUP(A5110,airports!A:H,7,FALSE)</f>
        <v>44.880546940000002</v>
      </c>
      <c r="E5110" s="3">
        <f>VLOOKUP(A5110,airports!A:H,8,FALSE)</f>
        <v>-93.216922499999995</v>
      </c>
      <c r="F5110" s="3">
        <f>VLOOKUP(B5110,airports!A:H,7,FALSE)</f>
        <v>42.965503329999997</v>
      </c>
      <c r="G5110" s="3">
        <f>VLOOKUP(B5110,airports!A:H,8,FALSE)</f>
        <v>-83.743456390000006</v>
      </c>
      <c r="H5110">
        <f t="shared" si="158"/>
        <v>787.5</v>
      </c>
      <c r="I5110">
        <f t="shared" si="159"/>
        <v>489.4</v>
      </c>
    </row>
    <row r="5111" spans="1:9" ht="30" x14ac:dyDescent="0.25">
      <c r="A5111" s="5" t="s">
        <v>87</v>
      </c>
      <c r="B5111" s="5" t="s">
        <v>499</v>
      </c>
      <c r="C5111" s="5" t="s">
        <v>5589</v>
      </c>
      <c r="D5111" s="3">
        <f>VLOOKUP(A5111,airports!A:H,7,FALSE)</f>
        <v>44.880546940000002</v>
      </c>
      <c r="E5111" s="3">
        <f>VLOOKUP(A5111,airports!A:H,8,FALSE)</f>
        <v>-93.216922499999995</v>
      </c>
      <c r="F5111" s="3">
        <f>VLOOKUP(B5111,airports!A:H,7,FALSE)</f>
        <v>43.58135111</v>
      </c>
      <c r="G5111" s="3">
        <f>VLOOKUP(B5111,airports!A:H,8,FALSE)</f>
        <v>-96.741700280000003</v>
      </c>
      <c r="H5111">
        <f t="shared" si="158"/>
        <v>315.8</v>
      </c>
      <c r="I5111">
        <f t="shared" si="159"/>
        <v>196.2</v>
      </c>
    </row>
    <row r="5112" spans="1:9" ht="30" x14ac:dyDescent="0.25">
      <c r="A5112" s="5" t="s">
        <v>87</v>
      </c>
      <c r="B5112" s="5" t="s">
        <v>503</v>
      </c>
      <c r="C5112" s="5" t="s">
        <v>5590</v>
      </c>
      <c r="D5112" s="3">
        <f>VLOOKUP(A5112,airports!A:H,7,FALSE)</f>
        <v>44.880546940000002</v>
      </c>
      <c r="E5112" s="3">
        <f>VLOOKUP(A5112,airports!A:H,8,FALSE)</f>
        <v>-93.216922499999995</v>
      </c>
      <c r="F5112" s="3">
        <f>VLOOKUP(B5112,airports!A:H,7,FALSE)</f>
        <v>40.978465829999998</v>
      </c>
      <c r="G5112" s="3">
        <f>VLOOKUP(B5112,airports!A:H,8,FALSE)</f>
        <v>-85.195146390000005</v>
      </c>
      <c r="H5112">
        <f t="shared" si="158"/>
        <v>783.5</v>
      </c>
      <c r="I5112">
        <f t="shared" si="159"/>
        <v>486.9</v>
      </c>
    </row>
    <row r="5113" spans="1:9" ht="30" x14ac:dyDescent="0.25">
      <c r="A5113" s="5" t="s">
        <v>87</v>
      </c>
      <c r="B5113" s="5" t="s">
        <v>505</v>
      </c>
      <c r="C5113" s="5" t="s">
        <v>5591</v>
      </c>
      <c r="D5113" s="3">
        <f>VLOOKUP(A5113,airports!A:H,7,FALSE)</f>
        <v>44.880546940000002</v>
      </c>
      <c r="E5113" s="3">
        <f>VLOOKUP(A5113,airports!A:H,8,FALSE)</f>
        <v>-93.216922499999995</v>
      </c>
      <c r="F5113" s="3">
        <f>VLOOKUP(B5113,airports!A:H,7,FALSE)</f>
        <v>47.619855559999998</v>
      </c>
      <c r="G5113" s="3">
        <f>VLOOKUP(B5113,airports!A:H,8,FALSE)</f>
        <v>-117.53384250000001</v>
      </c>
      <c r="H5113">
        <f t="shared" si="158"/>
        <v>1886.4</v>
      </c>
      <c r="I5113">
        <f t="shared" si="159"/>
        <v>1172.2</v>
      </c>
    </row>
    <row r="5114" spans="1:9" ht="30" x14ac:dyDescent="0.25">
      <c r="A5114" s="5" t="s">
        <v>87</v>
      </c>
      <c r="B5114" s="5" t="s">
        <v>856</v>
      </c>
      <c r="C5114" s="5" t="s">
        <v>5592</v>
      </c>
      <c r="D5114" s="3">
        <f>VLOOKUP(A5114,airports!A:H,7,FALSE)</f>
        <v>44.880546940000002</v>
      </c>
      <c r="E5114" s="3">
        <f>VLOOKUP(A5114,airports!A:H,8,FALSE)</f>
        <v>-93.216922499999995</v>
      </c>
      <c r="F5114" s="3">
        <f>VLOOKUP(B5114,airports!A:H,7,FALSE)</f>
        <v>47.949255000000001</v>
      </c>
      <c r="G5114" s="3">
        <f>VLOOKUP(B5114,airports!A:H,8,FALSE)</f>
        <v>-97.176111109999994</v>
      </c>
      <c r="H5114">
        <f t="shared" si="158"/>
        <v>456.6</v>
      </c>
      <c r="I5114">
        <f t="shared" si="159"/>
        <v>283.7</v>
      </c>
    </row>
    <row r="5115" spans="1:9" ht="30" x14ac:dyDescent="0.25">
      <c r="A5115" s="5" t="s">
        <v>87</v>
      </c>
      <c r="B5115" s="5" t="s">
        <v>511</v>
      </c>
      <c r="C5115" s="5" t="s">
        <v>5593</v>
      </c>
      <c r="D5115" s="3">
        <f>VLOOKUP(A5115,airports!A:H,7,FALSE)</f>
        <v>44.880546940000002</v>
      </c>
      <c r="E5115" s="3">
        <f>VLOOKUP(A5115,airports!A:H,8,FALSE)</f>
        <v>-93.216922499999995</v>
      </c>
      <c r="F5115" s="3">
        <f>VLOOKUP(B5115,airports!A:H,7,FALSE)</f>
        <v>44.485073329999999</v>
      </c>
      <c r="G5115" s="3">
        <f>VLOOKUP(B5115,airports!A:H,8,FALSE)</f>
        <v>-88.129589999999993</v>
      </c>
      <c r="H5115">
        <f t="shared" si="158"/>
        <v>404.5</v>
      </c>
      <c r="I5115">
        <f t="shared" si="159"/>
        <v>251.4</v>
      </c>
    </row>
    <row r="5116" spans="1:9" ht="30" x14ac:dyDescent="0.25">
      <c r="A5116" s="5" t="s">
        <v>87</v>
      </c>
      <c r="B5116" s="5" t="s">
        <v>515</v>
      </c>
      <c r="C5116" s="5" t="s">
        <v>5594</v>
      </c>
      <c r="D5116" s="3">
        <f>VLOOKUP(A5116,airports!A:H,7,FALSE)</f>
        <v>44.880546940000002</v>
      </c>
      <c r="E5116" s="3">
        <f>VLOOKUP(A5116,airports!A:H,8,FALSE)</f>
        <v>-93.216922499999995</v>
      </c>
      <c r="F5116" s="3">
        <f>VLOOKUP(B5116,airports!A:H,7,FALSE)</f>
        <v>42.880819719999998</v>
      </c>
      <c r="G5116" s="3">
        <f>VLOOKUP(B5116,airports!A:H,8,FALSE)</f>
        <v>-85.522767779999995</v>
      </c>
      <c r="H5116">
        <f t="shared" si="158"/>
        <v>655.20000000000005</v>
      </c>
      <c r="I5116">
        <f t="shared" si="159"/>
        <v>407.2</v>
      </c>
    </row>
    <row r="5117" spans="1:9" ht="30" x14ac:dyDescent="0.25">
      <c r="A5117" s="5" t="s">
        <v>87</v>
      </c>
      <c r="B5117" s="5" t="s">
        <v>863</v>
      </c>
      <c r="C5117" s="5" t="s">
        <v>5595</v>
      </c>
      <c r="D5117" s="3">
        <f>VLOOKUP(A5117,airports!A:H,7,FALSE)</f>
        <v>44.880546940000002</v>
      </c>
      <c r="E5117" s="3">
        <f>VLOOKUP(A5117,airports!A:H,8,FALSE)</f>
        <v>-93.216922499999995</v>
      </c>
      <c r="F5117" s="3">
        <f>VLOOKUP(B5117,airports!A:H,7,FALSE)</f>
        <v>47.482001940000004</v>
      </c>
      <c r="G5117" s="3">
        <f>VLOOKUP(B5117,airports!A:H,8,FALSE)</f>
        <v>-111.37068530000001</v>
      </c>
      <c r="H5117">
        <f t="shared" si="158"/>
        <v>1423.8</v>
      </c>
      <c r="I5117">
        <f t="shared" si="159"/>
        <v>884.7</v>
      </c>
    </row>
    <row r="5118" spans="1:9" ht="30" x14ac:dyDescent="0.25">
      <c r="A5118" s="5" t="s">
        <v>87</v>
      </c>
      <c r="B5118" s="5" t="s">
        <v>64</v>
      </c>
      <c r="C5118" s="5" t="s">
        <v>5596</v>
      </c>
      <c r="D5118" s="3">
        <f>VLOOKUP(A5118,airports!A:H,7,FALSE)</f>
        <v>44.880546940000002</v>
      </c>
      <c r="E5118" s="3">
        <f>VLOOKUP(A5118,airports!A:H,8,FALSE)</f>
        <v>-93.216922499999995</v>
      </c>
      <c r="F5118" s="3">
        <f>VLOOKUP(B5118,airports!A:H,7,FALSE)</f>
        <v>40.481180279999997</v>
      </c>
      <c r="G5118" s="3">
        <f>VLOOKUP(B5118,airports!A:H,8,FALSE)</f>
        <v>-107.2176597</v>
      </c>
      <c r="H5118">
        <f t="shared" si="158"/>
        <v>1242.5</v>
      </c>
      <c r="I5118">
        <f t="shared" si="159"/>
        <v>772.1</v>
      </c>
    </row>
    <row r="5119" spans="1:9" ht="30" x14ac:dyDescent="0.25">
      <c r="A5119" s="5" t="s">
        <v>87</v>
      </c>
      <c r="B5119" s="5" t="s">
        <v>3633</v>
      </c>
      <c r="C5119" s="5" t="s">
        <v>5597</v>
      </c>
      <c r="D5119" s="3">
        <f>VLOOKUP(A5119,airports!A:H,7,FALSE)</f>
        <v>44.880546940000002</v>
      </c>
      <c r="E5119" s="3">
        <f>VLOOKUP(A5119,airports!A:H,8,FALSE)</f>
        <v>-93.216922499999995</v>
      </c>
      <c r="F5119" s="3">
        <f>VLOOKUP(B5119,airports!A:H,7,FALSE)</f>
        <v>47.386599169999997</v>
      </c>
      <c r="G5119" s="3">
        <f>VLOOKUP(B5119,airports!A:H,8,FALSE)</f>
        <v>-92.838993329999994</v>
      </c>
      <c r="H5119">
        <f t="shared" si="158"/>
        <v>280.2</v>
      </c>
      <c r="I5119">
        <f t="shared" si="159"/>
        <v>174.1</v>
      </c>
    </row>
    <row r="5120" spans="1:9" ht="30" x14ac:dyDescent="0.25">
      <c r="A5120" s="5" t="s">
        <v>87</v>
      </c>
      <c r="B5120" s="5" t="s">
        <v>2386</v>
      </c>
      <c r="C5120" s="5" t="s">
        <v>5598</v>
      </c>
      <c r="D5120" s="3">
        <f>VLOOKUP(A5120,airports!A:H,7,FALSE)</f>
        <v>44.880546940000002</v>
      </c>
      <c r="E5120" s="3">
        <f>VLOOKUP(A5120,airports!A:H,8,FALSE)</f>
        <v>-93.216922499999995</v>
      </c>
      <c r="F5120" s="3">
        <f>VLOOKUP(B5120,airports!A:H,7,FALSE)</f>
        <v>46.606818060000002</v>
      </c>
      <c r="G5120" s="3">
        <f>VLOOKUP(B5120,airports!A:H,8,FALSE)</f>
        <v>-111.98275030000001</v>
      </c>
      <c r="H5120">
        <f t="shared" si="158"/>
        <v>1465.3</v>
      </c>
      <c r="I5120">
        <f t="shared" si="159"/>
        <v>910.5</v>
      </c>
    </row>
    <row r="5121" spans="1:9" ht="30" x14ac:dyDescent="0.25">
      <c r="A5121" s="5" t="s">
        <v>87</v>
      </c>
      <c r="B5121" s="5" t="s">
        <v>360</v>
      </c>
      <c r="C5121" s="5" t="s">
        <v>5599</v>
      </c>
      <c r="D5121" s="3">
        <f>VLOOKUP(A5121,airports!A:H,7,FALSE)</f>
        <v>44.880546940000002</v>
      </c>
      <c r="E5121" s="3">
        <f>VLOOKUP(A5121,airports!A:H,8,FALSE)</f>
        <v>-93.216922499999995</v>
      </c>
      <c r="F5121" s="3">
        <f>VLOOKUP(B5121,airports!A:H,7,FALSE)</f>
        <v>21.31869111</v>
      </c>
      <c r="G5121" s="3">
        <f>VLOOKUP(B5121,airports!A:H,8,FALSE)</f>
        <v>-157.92240720000001</v>
      </c>
      <c r="H5121">
        <f t="shared" si="158"/>
        <v>6384.1</v>
      </c>
      <c r="I5121">
        <f t="shared" si="159"/>
        <v>3967.1</v>
      </c>
    </row>
    <row r="5122" spans="1:9" ht="30" x14ac:dyDescent="0.25">
      <c r="A5122" s="5" t="s">
        <v>87</v>
      </c>
      <c r="B5122" s="5" t="s">
        <v>205</v>
      </c>
      <c r="C5122" s="5" t="s">
        <v>5600</v>
      </c>
      <c r="D5122" s="3">
        <f>VLOOKUP(A5122,airports!A:H,7,FALSE)</f>
        <v>44.880546940000002</v>
      </c>
      <c r="E5122" s="3">
        <f>VLOOKUP(A5122,airports!A:H,8,FALSE)</f>
        <v>-93.216922499999995</v>
      </c>
      <c r="F5122" s="3">
        <f>VLOOKUP(B5122,airports!A:H,7,FALSE)</f>
        <v>29.64541861</v>
      </c>
      <c r="G5122" s="3">
        <f>VLOOKUP(B5122,airports!A:H,8,FALSE)</f>
        <v>-95.278888890000005</v>
      </c>
      <c r="H5122">
        <f t="shared" si="158"/>
        <v>1703.7</v>
      </c>
      <c r="I5122">
        <f t="shared" si="159"/>
        <v>1058.7</v>
      </c>
    </row>
    <row r="5123" spans="1:9" ht="30" x14ac:dyDescent="0.25">
      <c r="A5123" s="5" t="s">
        <v>87</v>
      </c>
      <c r="B5123" s="5" t="s">
        <v>729</v>
      </c>
      <c r="C5123" s="5" t="s">
        <v>5601</v>
      </c>
      <c r="D5123" s="3">
        <f>VLOOKUP(A5123,airports!A:H,7,FALSE)</f>
        <v>44.880546940000002</v>
      </c>
      <c r="E5123" s="3">
        <f>VLOOKUP(A5123,airports!A:H,8,FALSE)</f>
        <v>-93.216922499999995</v>
      </c>
      <c r="F5123" s="3">
        <f>VLOOKUP(B5123,airports!A:H,7,FALSE)</f>
        <v>26.228506110000001</v>
      </c>
      <c r="G5123" s="3">
        <f>VLOOKUP(B5123,airports!A:H,8,FALSE)</f>
        <v>-97.654393889999994</v>
      </c>
      <c r="H5123">
        <f t="shared" si="158"/>
        <v>2111.6</v>
      </c>
      <c r="I5123">
        <f t="shared" si="159"/>
        <v>1312.2</v>
      </c>
    </row>
    <row r="5124" spans="1:9" ht="30" x14ac:dyDescent="0.25">
      <c r="A5124" s="5" t="s">
        <v>87</v>
      </c>
      <c r="B5124" s="5" t="s">
        <v>529</v>
      </c>
      <c r="C5124" s="5" t="s">
        <v>5602</v>
      </c>
      <c r="D5124" s="3">
        <f>VLOOKUP(A5124,airports!A:H,7,FALSE)</f>
        <v>44.880546940000002</v>
      </c>
      <c r="E5124" s="3">
        <f>VLOOKUP(A5124,airports!A:H,8,FALSE)</f>
        <v>-93.216922499999995</v>
      </c>
      <c r="F5124" s="3">
        <f>VLOOKUP(B5124,airports!A:H,7,FALSE)</f>
        <v>34.640447500000001</v>
      </c>
      <c r="G5124" s="3">
        <f>VLOOKUP(B5124,airports!A:H,8,FALSE)</f>
        <v>-86.773109439999999</v>
      </c>
      <c r="H5124">
        <f t="shared" ref="H5124:H5187" si="160">ROUND(ACOS(COS(RADIANS(90-D5124)) * COS(RADIANS(90-F5124)) + SIN(RADIANS(90-D5124)) * SIN(RADIANS(90-F5124)) * COS(RADIANS(E5124-G5124))) * 6371,1)</f>
        <v>1263.8</v>
      </c>
      <c r="I5124">
        <f t="shared" ref="I5124:I5187" si="161">ROUND(ACOS(COS(RADIANS(90-D5124)) * COS(RADIANS(90-F5124)) + SIN(RADIANS(90-D5124)) * SIN(RADIANS(90-F5124)) * COS(RADIANS(E5124-G5124))) * 3959,1)</f>
        <v>785.4</v>
      </c>
    </row>
    <row r="5125" spans="1:9" ht="30" x14ac:dyDescent="0.25">
      <c r="A5125" s="5" t="s">
        <v>87</v>
      </c>
      <c r="B5125" s="5" t="s">
        <v>176</v>
      </c>
      <c r="C5125" s="5" t="s">
        <v>5603</v>
      </c>
      <c r="D5125" s="3">
        <f>VLOOKUP(A5125,airports!A:H,7,FALSE)</f>
        <v>44.880546940000002</v>
      </c>
      <c r="E5125" s="3">
        <f>VLOOKUP(A5125,airports!A:H,8,FALSE)</f>
        <v>-93.216922499999995</v>
      </c>
      <c r="F5125" s="3">
        <f>VLOOKUP(B5125,airports!A:H,7,FALSE)</f>
        <v>38.944531939999997</v>
      </c>
      <c r="G5125" s="3">
        <f>VLOOKUP(B5125,airports!A:H,8,FALSE)</f>
        <v>-77.455809720000005</v>
      </c>
      <c r="H5125">
        <f t="shared" si="160"/>
        <v>1458.3</v>
      </c>
      <c r="I5125">
        <f t="shared" si="161"/>
        <v>906.2</v>
      </c>
    </row>
    <row r="5126" spans="1:9" ht="30" x14ac:dyDescent="0.25">
      <c r="A5126" s="5" t="s">
        <v>87</v>
      </c>
      <c r="B5126" s="5" t="s">
        <v>67</v>
      </c>
      <c r="C5126" s="5" t="s">
        <v>5604</v>
      </c>
      <c r="D5126" s="3">
        <f>VLOOKUP(A5126,airports!A:H,7,FALSE)</f>
        <v>44.880546940000002</v>
      </c>
      <c r="E5126" s="3">
        <f>VLOOKUP(A5126,airports!A:H,8,FALSE)</f>
        <v>-93.216922499999995</v>
      </c>
      <c r="F5126" s="3">
        <f>VLOOKUP(B5126,airports!A:H,7,FALSE)</f>
        <v>29.980472219999999</v>
      </c>
      <c r="G5126" s="3">
        <f>VLOOKUP(B5126,airports!A:H,8,FALSE)</f>
        <v>-95.339722219999999</v>
      </c>
      <c r="H5126">
        <f t="shared" si="160"/>
        <v>1667.2</v>
      </c>
      <c r="I5126">
        <f t="shared" si="161"/>
        <v>1036</v>
      </c>
    </row>
    <row r="5127" spans="1:9" x14ac:dyDescent="0.25">
      <c r="A5127" s="5" t="s">
        <v>87</v>
      </c>
      <c r="B5127" s="5" t="s">
        <v>533</v>
      </c>
      <c r="C5127" s="5" t="s">
        <v>5605</v>
      </c>
      <c r="D5127" s="3">
        <f>VLOOKUP(A5127,airports!A:H,7,FALSE)</f>
        <v>44.880546940000002</v>
      </c>
      <c r="E5127" s="3">
        <f>VLOOKUP(A5127,airports!A:H,8,FALSE)</f>
        <v>-93.216922499999995</v>
      </c>
      <c r="F5127" s="3">
        <f>VLOOKUP(B5127,airports!A:H,7,FALSE)</f>
        <v>37.649958890000001</v>
      </c>
      <c r="G5127" s="3">
        <f>VLOOKUP(B5127,airports!A:H,8,FALSE)</f>
        <v>-97.433045829999998</v>
      </c>
      <c r="H5127">
        <f t="shared" si="160"/>
        <v>877.5</v>
      </c>
      <c r="I5127">
        <f t="shared" si="161"/>
        <v>545.29999999999995</v>
      </c>
    </row>
    <row r="5128" spans="1:9" ht="30" x14ac:dyDescent="0.25">
      <c r="A5128" s="5" t="s">
        <v>87</v>
      </c>
      <c r="B5128" s="5" t="s">
        <v>867</v>
      </c>
      <c r="C5128" s="5" t="s">
        <v>5606</v>
      </c>
      <c r="D5128" s="3">
        <f>VLOOKUP(A5128,airports!A:H,7,FALSE)</f>
        <v>44.880546940000002</v>
      </c>
      <c r="E5128" s="3">
        <f>VLOOKUP(A5128,airports!A:H,8,FALSE)</f>
        <v>-93.216922499999995</v>
      </c>
      <c r="F5128" s="3">
        <f>VLOOKUP(B5128,airports!A:H,7,FALSE)</f>
        <v>43.514555559999998</v>
      </c>
      <c r="G5128" s="3">
        <f>VLOOKUP(B5128,airports!A:H,8,FALSE)</f>
        <v>-112.0701667</v>
      </c>
      <c r="H5128">
        <f t="shared" si="160"/>
        <v>1507.2</v>
      </c>
      <c r="I5128">
        <f t="shared" si="161"/>
        <v>936.6</v>
      </c>
    </row>
    <row r="5129" spans="1:9" ht="30" x14ac:dyDescent="0.25">
      <c r="A5129" s="5" t="s">
        <v>87</v>
      </c>
      <c r="B5129" s="5" t="s">
        <v>2859</v>
      </c>
      <c r="C5129" s="5" t="s">
        <v>5607</v>
      </c>
      <c r="D5129" s="3">
        <f>VLOOKUP(A5129,airports!A:H,7,FALSE)</f>
        <v>44.880546940000002</v>
      </c>
      <c r="E5129" s="3">
        <f>VLOOKUP(A5129,airports!A:H,8,FALSE)</f>
        <v>-93.216922499999995</v>
      </c>
      <c r="F5129" s="3">
        <f>VLOOKUP(B5129,airports!A:H,7,FALSE)</f>
        <v>45.818354169999999</v>
      </c>
      <c r="G5129" s="3">
        <f>VLOOKUP(B5129,airports!A:H,8,FALSE)</f>
        <v>-88.114542499999999</v>
      </c>
      <c r="H5129">
        <f t="shared" si="160"/>
        <v>412.1</v>
      </c>
      <c r="I5129">
        <f t="shared" si="161"/>
        <v>256.10000000000002</v>
      </c>
    </row>
    <row r="5130" spans="1:9" ht="30" x14ac:dyDescent="0.25">
      <c r="A5130" s="5" t="s">
        <v>87</v>
      </c>
      <c r="B5130" s="5" t="s">
        <v>537</v>
      </c>
      <c r="C5130" s="5" t="s">
        <v>5608</v>
      </c>
      <c r="D5130" s="3">
        <f>VLOOKUP(A5130,airports!A:H,7,FALSE)</f>
        <v>44.880546940000002</v>
      </c>
      <c r="E5130" s="3">
        <f>VLOOKUP(A5130,airports!A:H,8,FALSE)</f>
        <v>-93.216922499999995</v>
      </c>
      <c r="F5130" s="3">
        <f>VLOOKUP(B5130,airports!A:H,7,FALSE)</f>
        <v>39.717329169999999</v>
      </c>
      <c r="G5130" s="3">
        <f>VLOOKUP(B5130,airports!A:H,8,FALSE)</f>
        <v>-86.294384170000001</v>
      </c>
      <c r="H5130">
        <f t="shared" si="160"/>
        <v>808</v>
      </c>
      <c r="I5130">
        <f t="shared" si="161"/>
        <v>502.1</v>
      </c>
    </row>
    <row r="5131" spans="1:9" ht="30" x14ac:dyDescent="0.25">
      <c r="A5131" s="5" t="s">
        <v>87</v>
      </c>
      <c r="B5131" s="5" t="s">
        <v>3197</v>
      </c>
      <c r="C5131" s="5" t="s">
        <v>5609</v>
      </c>
      <c r="D5131" s="3">
        <f>VLOOKUP(A5131,airports!A:H,7,FALSE)</f>
        <v>44.880546940000002</v>
      </c>
      <c r="E5131" s="3">
        <f>VLOOKUP(A5131,airports!A:H,8,FALSE)</f>
        <v>-93.216922499999995</v>
      </c>
      <c r="F5131" s="3">
        <f>VLOOKUP(B5131,airports!A:H,7,FALSE)</f>
        <v>48.566187220000003</v>
      </c>
      <c r="G5131" s="3">
        <f>VLOOKUP(B5131,airports!A:H,8,FALSE)</f>
        <v>-93.403066670000001</v>
      </c>
      <c r="H5131">
        <f t="shared" si="160"/>
        <v>410.1</v>
      </c>
      <c r="I5131">
        <f t="shared" si="161"/>
        <v>254.8</v>
      </c>
    </row>
    <row r="5132" spans="1:9" ht="30" x14ac:dyDescent="0.25">
      <c r="A5132" s="5" t="s">
        <v>87</v>
      </c>
      <c r="B5132" s="5" t="s">
        <v>2401</v>
      </c>
      <c r="C5132" s="5" t="s">
        <v>5610</v>
      </c>
      <c r="D5132" s="3">
        <f>VLOOKUP(A5132,airports!A:H,7,FALSE)</f>
        <v>44.880546940000002</v>
      </c>
      <c r="E5132" s="3">
        <f>VLOOKUP(A5132,airports!A:H,8,FALSE)</f>
        <v>-93.216922499999995</v>
      </c>
      <c r="F5132" s="3">
        <f>VLOOKUP(B5132,airports!A:H,7,FALSE)</f>
        <v>48.177938609999998</v>
      </c>
      <c r="G5132" s="3">
        <f>VLOOKUP(B5132,airports!A:H,8,FALSE)</f>
        <v>-103.6423467</v>
      </c>
      <c r="H5132">
        <f t="shared" si="160"/>
        <v>876.8</v>
      </c>
      <c r="I5132">
        <f t="shared" si="161"/>
        <v>544.9</v>
      </c>
    </row>
    <row r="5133" spans="1:9" x14ac:dyDescent="0.25">
      <c r="A5133" s="5" t="s">
        <v>87</v>
      </c>
      <c r="B5133" s="5" t="s">
        <v>539</v>
      </c>
      <c r="C5133" s="5" t="s">
        <v>5611</v>
      </c>
      <c r="D5133" s="3">
        <f>VLOOKUP(A5133,airports!A:H,7,FALSE)</f>
        <v>44.880546940000002</v>
      </c>
      <c r="E5133" s="3">
        <f>VLOOKUP(A5133,airports!A:H,8,FALSE)</f>
        <v>-93.216922499999995</v>
      </c>
      <c r="F5133" s="3">
        <f>VLOOKUP(B5133,airports!A:H,7,FALSE)</f>
        <v>40.795242500000001</v>
      </c>
      <c r="G5133" s="3">
        <f>VLOOKUP(B5133,airports!A:H,8,FALSE)</f>
        <v>-73.100211939999994</v>
      </c>
      <c r="H5133">
        <f t="shared" si="160"/>
        <v>1697</v>
      </c>
      <c r="I5133">
        <f t="shared" si="161"/>
        <v>1054.5</v>
      </c>
    </row>
    <row r="5134" spans="1:9" ht="30" x14ac:dyDescent="0.25">
      <c r="A5134" s="5" t="s">
        <v>87</v>
      </c>
      <c r="B5134" s="5" t="s">
        <v>541</v>
      </c>
      <c r="C5134" s="5" t="s">
        <v>5612</v>
      </c>
      <c r="D5134" s="3">
        <f>VLOOKUP(A5134,airports!A:H,7,FALSE)</f>
        <v>44.880546940000002</v>
      </c>
      <c r="E5134" s="3">
        <f>VLOOKUP(A5134,airports!A:H,8,FALSE)</f>
        <v>-93.216922499999995</v>
      </c>
      <c r="F5134" s="3">
        <f>VLOOKUP(B5134,airports!A:H,7,FALSE)</f>
        <v>43.607324169999998</v>
      </c>
      <c r="G5134" s="3">
        <f>VLOOKUP(B5134,airports!A:H,8,FALSE)</f>
        <v>-110.7377389</v>
      </c>
      <c r="H5134">
        <f t="shared" si="160"/>
        <v>1400.1</v>
      </c>
      <c r="I5134">
        <f t="shared" si="161"/>
        <v>870</v>
      </c>
    </row>
    <row r="5135" spans="1:9" ht="30" x14ac:dyDescent="0.25">
      <c r="A5135" s="5" t="s">
        <v>87</v>
      </c>
      <c r="B5135" s="5" t="s">
        <v>68</v>
      </c>
      <c r="C5135" s="5" t="s">
        <v>5613</v>
      </c>
      <c r="D5135" s="3">
        <f>VLOOKUP(A5135,airports!A:H,7,FALSE)</f>
        <v>44.880546940000002</v>
      </c>
      <c r="E5135" s="3">
        <f>VLOOKUP(A5135,airports!A:H,8,FALSE)</f>
        <v>-93.216922499999995</v>
      </c>
      <c r="F5135" s="3">
        <f>VLOOKUP(B5135,airports!A:H,7,FALSE)</f>
        <v>30.49405556</v>
      </c>
      <c r="G5135" s="3">
        <f>VLOOKUP(B5135,airports!A:H,8,FALSE)</f>
        <v>-81.68786111</v>
      </c>
      <c r="H5135">
        <f t="shared" si="160"/>
        <v>1889.9</v>
      </c>
      <c r="I5135">
        <f t="shared" si="161"/>
        <v>1174.4000000000001</v>
      </c>
    </row>
    <row r="5136" spans="1:9" ht="30" x14ac:dyDescent="0.25">
      <c r="A5136" s="5" t="s">
        <v>87</v>
      </c>
      <c r="B5136" s="5" t="s">
        <v>69</v>
      </c>
      <c r="C5136" s="5" t="s">
        <v>5614</v>
      </c>
      <c r="D5136" s="3">
        <f>VLOOKUP(A5136,airports!A:H,7,FALSE)</f>
        <v>44.880546940000002</v>
      </c>
      <c r="E5136" s="3">
        <f>VLOOKUP(A5136,airports!A:H,8,FALSE)</f>
        <v>-93.216922499999995</v>
      </c>
      <c r="F5136" s="3">
        <f>VLOOKUP(B5136,airports!A:H,7,FALSE)</f>
        <v>40.639751109999999</v>
      </c>
      <c r="G5136" s="3">
        <f>VLOOKUP(B5136,airports!A:H,8,FALSE)</f>
        <v>-73.778925560000005</v>
      </c>
      <c r="H5136">
        <f t="shared" si="160"/>
        <v>1650.9</v>
      </c>
      <c r="I5136">
        <f t="shared" si="161"/>
        <v>1025.9000000000001</v>
      </c>
    </row>
    <row r="5137" spans="1:9" ht="30" x14ac:dyDescent="0.25">
      <c r="A5137" s="5" t="s">
        <v>87</v>
      </c>
      <c r="B5137" s="5" t="s">
        <v>2236</v>
      </c>
      <c r="C5137" s="5" t="s">
        <v>5615</v>
      </c>
      <c r="D5137" s="3">
        <f>VLOOKUP(A5137,airports!A:H,7,FALSE)</f>
        <v>44.880546940000002</v>
      </c>
      <c r="E5137" s="3">
        <f>VLOOKUP(A5137,airports!A:H,8,FALSE)</f>
        <v>-93.216922499999995</v>
      </c>
      <c r="F5137" s="3">
        <f>VLOOKUP(B5137,airports!A:H,7,FALSE)</f>
        <v>42.778700000000001</v>
      </c>
      <c r="G5137" s="3">
        <f>VLOOKUP(B5137,airports!A:H,8,FALSE)</f>
        <v>-84.58735806</v>
      </c>
      <c r="H5137">
        <f t="shared" si="160"/>
        <v>730.2</v>
      </c>
      <c r="I5137">
        <f t="shared" si="161"/>
        <v>453.7</v>
      </c>
    </row>
    <row r="5138" spans="1:9" ht="30" x14ac:dyDescent="0.25">
      <c r="A5138" s="5" t="s">
        <v>87</v>
      </c>
      <c r="B5138" s="5" t="s">
        <v>71</v>
      </c>
      <c r="C5138" s="5" t="s">
        <v>5616</v>
      </c>
      <c r="D5138" s="3">
        <f>VLOOKUP(A5138,airports!A:H,7,FALSE)</f>
        <v>44.880546940000002</v>
      </c>
      <c r="E5138" s="3">
        <f>VLOOKUP(A5138,airports!A:H,8,FALSE)</f>
        <v>-93.216922499999995</v>
      </c>
      <c r="F5138" s="3">
        <f>VLOOKUP(B5138,airports!A:H,7,FALSE)</f>
        <v>36.080361109999998</v>
      </c>
      <c r="G5138" s="3">
        <f>VLOOKUP(B5138,airports!A:H,8,FALSE)</f>
        <v>-115.1523333</v>
      </c>
      <c r="H5138">
        <f t="shared" si="160"/>
        <v>2088.1</v>
      </c>
      <c r="I5138">
        <f t="shared" si="161"/>
        <v>1297.5999999999999</v>
      </c>
    </row>
    <row r="5139" spans="1:9" ht="30" x14ac:dyDescent="0.25">
      <c r="A5139" s="5" t="s">
        <v>87</v>
      </c>
      <c r="B5139" s="5" t="s">
        <v>73</v>
      </c>
      <c r="C5139" s="5" t="s">
        <v>5617</v>
      </c>
      <c r="D5139" s="3">
        <f>VLOOKUP(A5139,airports!A:H,7,FALSE)</f>
        <v>44.880546940000002</v>
      </c>
      <c r="E5139" s="3">
        <f>VLOOKUP(A5139,airports!A:H,8,FALSE)</f>
        <v>-93.216922499999995</v>
      </c>
      <c r="F5139" s="3">
        <f>VLOOKUP(B5139,airports!A:H,7,FALSE)</f>
        <v>33.942536109999999</v>
      </c>
      <c r="G5139" s="3">
        <f>VLOOKUP(B5139,airports!A:H,8,FALSE)</f>
        <v>-118.4080744</v>
      </c>
      <c r="H5139">
        <f t="shared" si="160"/>
        <v>2467.6</v>
      </c>
      <c r="I5139">
        <f t="shared" si="161"/>
        <v>1533.4</v>
      </c>
    </row>
    <row r="5140" spans="1:9" ht="30" x14ac:dyDescent="0.25">
      <c r="A5140" s="5" t="s">
        <v>87</v>
      </c>
      <c r="B5140" s="5" t="s">
        <v>549</v>
      </c>
      <c r="C5140" s="5" t="s">
        <v>5618</v>
      </c>
      <c r="D5140" s="3">
        <f>VLOOKUP(A5140,airports!A:H,7,FALSE)</f>
        <v>44.880546940000002</v>
      </c>
      <c r="E5140" s="3">
        <f>VLOOKUP(A5140,airports!A:H,8,FALSE)</f>
        <v>-93.216922499999995</v>
      </c>
      <c r="F5140" s="3">
        <f>VLOOKUP(B5140,airports!A:H,7,FALSE)</f>
        <v>38.036972220000003</v>
      </c>
      <c r="G5140" s="3">
        <f>VLOOKUP(B5140,airports!A:H,8,FALSE)</f>
        <v>-84.60538889</v>
      </c>
      <c r="H5140">
        <f t="shared" si="160"/>
        <v>1044.8</v>
      </c>
      <c r="I5140">
        <f t="shared" si="161"/>
        <v>649.20000000000005</v>
      </c>
    </row>
    <row r="5141" spans="1:9" ht="30" x14ac:dyDescent="0.25">
      <c r="A5141" s="5" t="s">
        <v>87</v>
      </c>
      <c r="B5141" s="5" t="s">
        <v>74</v>
      </c>
      <c r="C5141" s="5" t="s">
        <v>5619</v>
      </c>
      <c r="D5141" s="3">
        <f>VLOOKUP(A5141,airports!A:H,7,FALSE)</f>
        <v>44.880546940000002</v>
      </c>
      <c r="E5141" s="3">
        <f>VLOOKUP(A5141,airports!A:H,8,FALSE)</f>
        <v>-93.216922499999995</v>
      </c>
      <c r="F5141" s="3">
        <f>VLOOKUP(B5141,airports!A:H,7,FALSE)</f>
        <v>40.777243060000004</v>
      </c>
      <c r="G5141" s="3">
        <f>VLOOKUP(B5141,airports!A:H,8,FALSE)</f>
        <v>-73.872609170000004</v>
      </c>
      <c r="H5141">
        <f t="shared" si="160"/>
        <v>1637.7</v>
      </c>
      <c r="I5141">
        <f t="shared" si="161"/>
        <v>1017.7</v>
      </c>
    </row>
    <row r="5142" spans="1:9" ht="30" x14ac:dyDescent="0.25">
      <c r="A5142" s="5" t="s">
        <v>87</v>
      </c>
      <c r="B5142" s="5" t="s">
        <v>556</v>
      </c>
      <c r="C5142" s="5" t="s">
        <v>5620</v>
      </c>
      <c r="D5142" s="3">
        <f>VLOOKUP(A5142,airports!A:H,7,FALSE)</f>
        <v>44.880546940000002</v>
      </c>
      <c r="E5142" s="3">
        <f>VLOOKUP(A5142,airports!A:H,8,FALSE)</f>
        <v>-93.216922499999995</v>
      </c>
      <c r="F5142" s="3">
        <f>VLOOKUP(B5142,airports!A:H,7,FALSE)</f>
        <v>40.850972220000003</v>
      </c>
      <c r="G5142" s="3">
        <f>VLOOKUP(B5142,airports!A:H,8,FALSE)</f>
        <v>-96.759249999999994</v>
      </c>
      <c r="H5142">
        <f t="shared" si="160"/>
        <v>532.9</v>
      </c>
      <c r="I5142">
        <f t="shared" si="161"/>
        <v>331.1</v>
      </c>
    </row>
    <row r="5143" spans="1:9" ht="30" x14ac:dyDescent="0.25">
      <c r="A5143" s="5" t="s">
        <v>87</v>
      </c>
      <c r="B5143" s="5" t="s">
        <v>2874</v>
      </c>
      <c r="C5143" s="5" t="s">
        <v>5621</v>
      </c>
      <c r="D5143" s="3">
        <f>VLOOKUP(A5143,airports!A:H,7,FALSE)</f>
        <v>44.880546940000002</v>
      </c>
      <c r="E5143" s="3">
        <f>VLOOKUP(A5143,airports!A:H,8,FALSE)</f>
        <v>-93.216922499999995</v>
      </c>
      <c r="F5143" s="3">
        <f>VLOOKUP(B5143,airports!A:H,7,FALSE)</f>
        <v>43.879379720000003</v>
      </c>
      <c r="G5143" s="3">
        <f>VLOOKUP(B5143,airports!A:H,8,FALSE)</f>
        <v>-91.256537780000002</v>
      </c>
      <c r="H5143">
        <f t="shared" si="160"/>
        <v>191.5</v>
      </c>
      <c r="I5143">
        <f t="shared" si="161"/>
        <v>119</v>
      </c>
    </row>
    <row r="5144" spans="1:9" ht="30" x14ac:dyDescent="0.25">
      <c r="A5144" s="5" t="s">
        <v>87</v>
      </c>
      <c r="B5144" s="5" t="s">
        <v>387</v>
      </c>
      <c r="C5144" s="5" t="s">
        <v>5622</v>
      </c>
      <c r="D5144" s="3">
        <f>VLOOKUP(A5144,airports!A:H,7,FALSE)</f>
        <v>44.880546940000002</v>
      </c>
      <c r="E5144" s="3">
        <f>VLOOKUP(A5144,airports!A:H,8,FALSE)</f>
        <v>-93.216922499999995</v>
      </c>
      <c r="F5144" s="3">
        <f>VLOOKUP(B5144,airports!A:H,7,FALSE)</f>
        <v>43.532914720000001</v>
      </c>
      <c r="G5144" s="3">
        <f>VLOOKUP(B5144,airports!A:H,8,FALSE)</f>
        <v>-84.079647219999998</v>
      </c>
      <c r="H5144">
        <f t="shared" si="160"/>
        <v>743.1</v>
      </c>
      <c r="I5144">
        <f t="shared" si="161"/>
        <v>461.8</v>
      </c>
    </row>
    <row r="5145" spans="1:9" ht="30" x14ac:dyDescent="0.25">
      <c r="A5145" s="5" t="s">
        <v>87</v>
      </c>
      <c r="B5145" s="5" t="s">
        <v>80</v>
      </c>
      <c r="C5145" s="5" t="s">
        <v>5623</v>
      </c>
      <c r="D5145" s="3">
        <f>VLOOKUP(A5145,airports!A:H,7,FALSE)</f>
        <v>44.880546940000002</v>
      </c>
      <c r="E5145" s="3">
        <f>VLOOKUP(A5145,airports!A:H,8,FALSE)</f>
        <v>-93.216922499999995</v>
      </c>
      <c r="F5145" s="3">
        <f>VLOOKUP(B5145,airports!A:H,7,FALSE)</f>
        <v>39.297605279999999</v>
      </c>
      <c r="G5145" s="3">
        <f>VLOOKUP(B5145,airports!A:H,8,FALSE)</f>
        <v>-94.713905560000001</v>
      </c>
      <c r="H5145">
        <f t="shared" si="160"/>
        <v>632.9</v>
      </c>
      <c r="I5145">
        <f t="shared" si="161"/>
        <v>393.3</v>
      </c>
    </row>
    <row r="5146" spans="1:9" ht="30" x14ac:dyDescent="0.25">
      <c r="A5146" s="5" t="s">
        <v>87</v>
      </c>
      <c r="B5146" s="5" t="s">
        <v>82</v>
      </c>
      <c r="C5146" s="5" t="s">
        <v>5624</v>
      </c>
      <c r="D5146" s="3">
        <f>VLOOKUP(A5146,airports!A:H,7,FALSE)</f>
        <v>44.880546940000002</v>
      </c>
      <c r="E5146" s="3">
        <f>VLOOKUP(A5146,airports!A:H,8,FALSE)</f>
        <v>-93.216922499999995</v>
      </c>
      <c r="F5146" s="3">
        <f>VLOOKUP(B5146,airports!A:H,7,FALSE)</f>
        <v>28.42888889</v>
      </c>
      <c r="G5146" s="3">
        <f>VLOOKUP(B5146,airports!A:H,8,FALSE)</f>
        <v>-81.316027779999999</v>
      </c>
      <c r="H5146">
        <f t="shared" si="160"/>
        <v>2109.8000000000002</v>
      </c>
      <c r="I5146">
        <f t="shared" si="161"/>
        <v>1311.1</v>
      </c>
    </row>
    <row r="5147" spans="1:9" ht="30" x14ac:dyDescent="0.25">
      <c r="A5147" s="5" t="s">
        <v>87</v>
      </c>
      <c r="B5147" s="5" t="s">
        <v>180</v>
      </c>
      <c r="C5147" s="5" t="s">
        <v>5625</v>
      </c>
      <c r="D5147" s="3">
        <f>VLOOKUP(A5147,airports!A:H,7,FALSE)</f>
        <v>44.880546940000002</v>
      </c>
      <c r="E5147" s="3">
        <f>VLOOKUP(A5147,airports!A:H,8,FALSE)</f>
        <v>-93.216922499999995</v>
      </c>
      <c r="F5147" s="3">
        <f>VLOOKUP(B5147,airports!A:H,7,FALSE)</f>
        <v>41.785982500000003</v>
      </c>
      <c r="G5147" s="3">
        <f>VLOOKUP(B5147,airports!A:H,8,FALSE)</f>
        <v>-87.752424439999999</v>
      </c>
      <c r="H5147">
        <f t="shared" si="160"/>
        <v>559.9</v>
      </c>
      <c r="I5147">
        <f t="shared" si="161"/>
        <v>347.9</v>
      </c>
    </row>
    <row r="5148" spans="1:9" ht="30" x14ac:dyDescent="0.25">
      <c r="A5148" s="5" t="s">
        <v>87</v>
      </c>
      <c r="B5148" s="5" t="s">
        <v>563</v>
      </c>
      <c r="C5148" s="5" t="s">
        <v>5626</v>
      </c>
      <c r="D5148" s="3">
        <f>VLOOKUP(A5148,airports!A:H,7,FALSE)</f>
        <v>44.880546940000002</v>
      </c>
      <c r="E5148" s="3">
        <f>VLOOKUP(A5148,airports!A:H,8,FALSE)</f>
        <v>-93.216922499999995</v>
      </c>
      <c r="F5148" s="3">
        <f>VLOOKUP(B5148,airports!A:H,7,FALSE)</f>
        <v>35.042416670000001</v>
      </c>
      <c r="G5148" s="3">
        <f>VLOOKUP(B5148,airports!A:H,8,FALSE)</f>
        <v>-89.97666667</v>
      </c>
      <c r="H5148">
        <f t="shared" si="160"/>
        <v>1128</v>
      </c>
      <c r="I5148">
        <f t="shared" si="161"/>
        <v>701</v>
      </c>
    </row>
    <row r="5149" spans="1:9" ht="30" x14ac:dyDescent="0.25">
      <c r="A5149" s="5" t="s">
        <v>87</v>
      </c>
      <c r="B5149" s="5" t="s">
        <v>84</v>
      </c>
      <c r="C5149" s="5" t="s">
        <v>5627</v>
      </c>
      <c r="D5149" s="3">
        <f>VLOOKUP(A5149,airports!A:H,7,FALSE)</f>
        <v>44.880546940000002</v>
      </c>
      <c r="E5149" s="3">
        <f>VLOOKUP(A5149,airports!A:H,8,FALSE)</f>
        <v>-93.216922499999995</v>
      </c>
      <c r="F5149" s="3">
        <f>VLOOKUP(B5149,airports!A:H,7,FALSE)</f>
        <v>25.79325</v>
      </c>
      <c r="G5149" s="3">
        <f>VLOOKUP(B5149,airports!A:H,8,FALSE)</f>
        <v>-80.290555560000001</v>
      </c>
      <c r="H5149">
        <f t="shared" si="160"/>
        <v>2417.6999999999998</v>
      </c>
      <c r="I5149">
        <f t="shared" si="161"/>
        <v>1502.4</v>
      </c>
    </row>
    <row r="5150" spans="1:9" ht="30" x14ac:dyDescent="0.25">
      <c r="A5150" s="5" t="s">
        <v>87</v>
      </c>
      <c r="B5150" s="5" t="s">
        <v>85</v>
      </c>
      <c r="C5150" s="5" t="s">
        <v>5628</v>
      </c>
      <c r="D5150" s="3">
        <f>VLOOKUP(A5150,airports!A:H,7,FALSE)</f>
        <v>44.880546940000002</v>
      </c>
      <c r="E5150" s="3">
        <f>VLOOKUP(A5150,airports!A:H,8,FALSE)</f>
        <v>-93.216922499999995</v>
      </c>
      <c r="F5150" s="3">
        <f>VLOOKUP(B5150,airports!A:H,7,FALSE)</f>
        <v>42.94722222</v>
      </c>
      <c r="G5150" s="3">
        <f>VLOOKUP(B5150,airports!A:H,8,FALSE)</f>
        <v>-87.896583329999999</v>
      </c>
      <c r="H5150">
        <f t="shared" si="160"/>
        <v>477.2</v>
      </c>
      <c r="I5150">
        <f t="shared" si="161"/>
        <v>296.5</v>
      </c>
    </row>
    <row r="5151" spans="1:9" ht="30" x14ac:dyDescent="0.25">
      <c r="A5151" s="5" t="s">
        <v>87</v>
      </c>
      <c r="B5151" s="5" t="s">
        <v>573</v>
      </c>
      <c r="C5151" s="5" t="s">
        <v>5629</v>
      </c>
      <c r="D5151" s="3">
        <f>VLOOKUP(A5151,airports!A:H,7,FALSE)</f>
        <v>44.880546940000002</v>
      </c>
      <c r="E5151" s="3">
        <f>VLOOKUP(A5151,airports!A:H,8,FALSE)</f>
        <v>-93.216922499999995</v>
      </c>
      <c r="F5151" s="3">
        <f>VLOOKUP(B5151,airports!A:H,7,FALSE)</f>
        <v>41.448526389999998</v>
      </c>
      <c r="G5151" s="3">
        <f>VLOOKUP(B5151,airports!A:H,8,FALSE)</f>
        <v>-90.507539170000001</v>
      </c>
      <c r="H5151">
        <f t="shared" si="160"/>
        <v>440.3</v>
      </c>
      <c r="I5151">
        <f t="shared" si="161"/>
        <v>273.60000000000002</v>
      </c>
    </row>
    <row r="5152" spans="1:9" ht="30" x14ac:dyDescent="0.25">
      <c r="A5152" s="5" t="s">
        <v>87</v>
      </c>
      <c r="B5152" s="5" t="s">
        <v>879</v>
      </c>
      <c r="C5152" s="5" t="s">
        <v>5630</v>
      </c>
      <c r="D5152" s="3">
        <f>VLOOKUP(A5152,airports!A:H,7,FALSE)</f>
        <v>44.880546940000002</v>
      </c>
      <c r="E5152" s="3">
        <f>VLOOKUP(A5152,airports!A:H,8,FALSE)</f>
        <v>-93.216922499999995</v>
      </c>
      <c r="F5152" s="3">
        <f>VLOOKUP(B5152,airports!A:H,7,FALSE)</f>
        <v>48.259377780000001</v>
      </c>
      <c r="G5152" s="3">
        <f>VLOOKUP(B5152,airports!A:H,8,FALSE)</f>
        <v>-101.2803339</v>
      </c>
      <c r="H5152">
        <f t="shared" si="160"/>
        <v>721.3</v>
      </c>
      <c r="I5152">
        <f t="shared" si="161"/>
        <v>448.2</v>
      </c>
    </row>
    <row r="5153" spans="1:9" ht="30" x14ac:dyDescent="0.25">
      <c r="A5153" s="5" t="s">
        <v>87</v>
      </c>
      <c r="B5153" s="5" t="s">
        <v>2886</v>
      </c>
      <c r="C5153" s="5" t="s">
        <v>5631</v>
      </c>
      <c r="D5153" s="3">
        <f>VLOOKUP(A5153,airports!A:H,7,FALSE)</f>
        <v>44.880546940000002</v>
      </c>
      <c r="E5153" s="3">
        <f>VLOOKUP(A5153,airports!A:H,8,FALSE)</f>
        <v>-93.216922499999995</v>
      </c>
      <c r="F5153" s="3">
        <f>VLOOKUP(B5153,airports!A:H,7,FALSE)</f>
        <v>46.353639000000001</v>
      </c>
      <c r="G5153" s="3">
        <f>VLOOKUP(B5153,airports!A:H,8,FALSE)</f>
        <v>-87.395360999999994</v>
      </c>
      <c r="H5153">
        <f t="shared" si="160"/>
        <v>481.4</v>
      </c>
      <c r="I5153">
        <f t="shared" si="161"/>
        <v>299.10000000000002</v>
      </c>
    </row>
    <row r="5154" spans="1:9" ht="30" x14ac:dyDescent="0.25">
      <c r="A5154" s="5" t="s">
        <v>87</v>
      </c>
      <c r="B5154" s="5" t="s">
        <v>579</v>
      </c>
      <c r="C5154" s="5" t="s">
        <v>5632</v>
      </c>
      <c r="D5154" s="3">
        <f>VLOOKUP(A5154,airports!A:H,7,FALSE)</f>
        <v>44.880546940000002</v>
      </c>
      <c r="E5154" s="3">
        <f>VLOOKUP(A5154,airports!A:H,8,FALSE)</f>
        <v>-93.216922499999995</v>
      </c>
      <c r="F5154" s="3">
        <f>VLOOKUP(B5154,airports!A:H,7,FALSE)</f>
        <v>43.13985778</v>
      </c>
      <c r="G5154" s="3">
        <f>VLOOKUP(B5154,airports!A:H,8,FALSE)</f>
        <v>-89.337513610000002</v>
      </c>
      <c r="H5154">
        <f t="shared" si="160"/>
        <v>365.6</v>
      </c>
      <c r="I5154">
        <f t="shared" si="161"/>
        <v>227.2</v>
      </c>
    </row>
    <row r="5155" spans="1:9" ht="30" x14ac:dyDescent="0.25">
      <c r="A5155" s="5" t="s">
        <v>87</v>
      </c>
      <c r="B5155" s="5" t="s">
        <v>581</v>
      </c>
      <c r="C5155" s="5" t="s">
        <v>5633</v>
      </c>
      <c r="D5155" s="3">
        <f>VLOOKUP(A5155,airports!A:H,7,FALSE)</f>
        <v>44.880546940000002</v>
      </c>
      <c r="E5155" s="3">
        <f>VLOOKUP(A5155,airports!A:H,8,FALSE)</f>
        <v>-93.216922499999995</v>
      </c>
      <c r="F5155" s="3">
        <f>VLOOKUP(B5155,airports!A:H,7,FALSE)</f>
        <v>46.916305559999998</v>
      </c>
      <c r="G5155" s="3">
        <f>VLOOKUP(B5155,airports!A:H,8,FALSE)</f>
        <v>-114.0905556</v>
      </c>
      <c r="H5155">
        <f t="shared" si="160"/>
        <v>1626.1</v>
      </c>
      <c r="I5155">
        <f t="shared" si="161"/>
        <v>1010.5</v>
      </c>
    </row>
    <row r="5156" spans="1:9" ht="30" x14ac:dyDescent="0.25">
      <c r="A5156" s="5" t="s">
        <v>87</v>
      </c>
      <c r="B5156" s="5" t="s">
        <v>89</v>
      </c>
      <c r="C5156" s="5" t="s">
        <v>5634</v>
      </c>
      <c r="D5156" s="3">
        <f>VLOOKUP(A5156,airports!A:H,7,FALSE)</f>
        <v>44.880546940000002</v>
      </c>
      <c r="E5156" s="3">
        <f>VLOOKUP(A5156,airports!A:H,8,FALSE)</f>
        <v>-93.216922499999995</v>
      </c>
      <c r="F5156" s="3">
        <f>VLOOKUP(B5156,airports!A:H,7,FALSE)</f>
        <v>29.993388889999999</v>
      </c>
      <c r="G5156" s="3">
        <f>VLOOKUP(B5156,airports!A:H,8,FALSE)</f>
        <v>-90.258027780000006</v>
      </c>
      <c r="H5156">
        <f t="shared" si="160"/>
        <v>1675.5</v>
      </c>
      <c r="I5156">
        <f t="shared" si="161"/>
        <v>1041.2</v>
      </c>
    </row>
    <row r="5157" spans="1:9" ht="30" x14ac:dyDescent="0.25">
      <c r="A5157" s="5" t="s">
        <v>87</v>
      </c>
      <c r="B5157" s="5" t="s">
        <v>182</v>
      </c>
      <c r="C5157" s="5" t="s">
        <v>5635</v>
      </c>
      <c r="D5157" s="3">
        <f>VLOOKUP(A5157,airports!A:H,7,FALSE)</f>
        <v>44.880546940000002</v>
      </c>
      <c r="E5157" s="3">
        <f>VLOOKUP(A5157,airports!A:H,8,FALSE)</f>
        <v>-93.216922499999995</v>
      </c>
      <c r="F5157" s="3">
        <f>VLOOKUP(B5157,airports!A:H,7,FALSE)</f>
        <v>33.679749999999999</v>
      </c>
      <c r="G5157" s="3">
        <f>VLOOKUP(B5157,airports!A:H,8,FALSE)</f>
        <v>-78.928333330000001</v>
      </c>
      <c r="H5157">
        <f t="shared" si="160"/>
        <v>1745.3</v>
      </c>
      <c r="I5157">
        <f t="shared" si="161"/>
        <v>1084.5</v>
      </c>
    </row>
    <row r="5158" spans="1:9" ht="30" x14ac:dyDescent="0.25">
      <c r="A5158" s="5" t="s">
        <v>87</v>
      </c>
      <c r="B5158" s="5" t="s">
        <v>215</v>
      </c>
      <c r="C5158" s="5" t="s">
        <v>5636</v>
      </c>
      <c r="D5158" s="3">
        <f>VLOOKUP(A5158,airports!A:H,7,FALSE)</f>
        <v>44.880546940000002</v>
      </c>
      <c r="E5158" s="3">
        <f>VLOOKUP(A5158,airports!A:H,8,FALSE)</f>
        <v>-93.216922499999995</v>
      </c>
      <c r="F5158" s="3">
        <f>VLOOKUP(B5158,airports!A:H,7,FALSE)</f>
        <v>37.721290830000001</v>
      </c>
      <c r="G5158" s="3">
        <f>VLOOKUP(B5158,airports!A:H,8,FALSE)</f>
        <v>-122.2207167</v>
      </c>
      <c r="H5158">
        <f t="shared" si="160"/>
        <v>2534.4</v>
      </c>
      <c r="I5158">
        <f t="shared" si="161"/>
        <v>1574.9</v>
      </c>
    </row>
    <row r="5159" spans="1:9" ht="30" x14ac:dyDescent="0.25">
      <c r="A5159" s="5" t="s">
        <v>87</v>
      </c>
      <c r="B5159" s="5" t="s">
        <v>590</v>
      </c>
      <c r="C5159" s="5" t="s">
        <v>5637</v>
      </c>
      <c r="D5159" s="3">
        <f>VLOOKUP(A5159,airports!A:H,7,FALSE)</f>
        <v>44.880546940000002</v>
      </c>
      <c r="E5159" s="3">
        <f>VLOOKUP(A5159,airports!A:H,8,FALSE)</f>
        <v>-93.216922499999995</v>
      </c>
      <c r="F5159" s="3">
        <f>VLOOKUP(B5159,airports!A:H,7,FALSE)</f>
        <v>35.393088329999998</v>
      </c>
      <c r="G5159" s="3">
        <f>VLOOKUP(B5159,airports!A:H,8,FALSE)</f>
        <v>-97.600733890000001</v>
      </c>
      <c r="H5159">
        <f t="shared" si="160"/>
        <v>1118.4000000000001</v>
      </c>
      <c r="I5159">
        <f t="shared" si="161"/>
        <v>695</v>
      </c>
    </row>
    <row r="5160" spans="1:9" ht="30" x14ac:dyDescent="0.25">
      <c r="A5160" s="5" t="s">
        <v>87</v>
      </c>
      <c r="B5160" s="5" t="s">
        <v>592</v>
      </c>
      <c r="C5160" s="5" t="s">
        <v>5638</v>
      </c>
      <c r="D5160" s="3">
        <f>VLOOKUP(A5160,airports!A:H,7,FALSE)</f>
        <v>44.880546940000002</v>
      </c>
      <c r="E5160" s="3">
        <f>VLOOKUP(A5160,airports!A:H,8,FALSE)</f>
        <v>-93.216922499999995</v>
      </c>
      <c r="F5160" s="3">
        <f>VLOOKUP(B5160,airports!A:H,7,FALSE)</f>
        <v>41.30251861</v>
      </c>
      <c r="G5160" s="3">
        <f>VLOOKUP(B5160,airports!A:H,8,FALSE)</f>
        <v>-95.89417306</v>
      </c>
      <c r="H5160">
        <f t="shared" si="160"/>
        <v>453.3</v>
      </c>
      <c r="I5160">
        <f t="shared" si="161"/>
        <v>281.7</v>
      </c>
    </row>
    <row r="5161" spans="1:9" ht="30" x14ac:dyDescent="0.25">
      <c r="A5161" s="5" t="s">
        <v>87</v>
      </c>
      <c r="B5161" s="5" t="s">
        <v>95</v>
      </c>
      <c r="C5161" s="5" t="s">
        <v>5639</v>
      </c>
      <c r="D5161" s="3">
        <f>VLOOKUP(A5161,airports!A:H,7,FALSE)</f>
        <v>44.880546940000002</v>
      </c>
      <c r="E5161" s="3">
        <f>VLOOKUP(A5161,airports!A:H,8,FALSE)</f>
        <v>-93.216922499999995</v>
      </c>
      <c r="F5161" s="3">
        <f>VLOOKUP(B5161,airports!A:H,7,FALSE)</f>
        <v>41.979595000000003</v>
      </c>
      <c r="G5161" s="3">
        <f>VLOOKUP(B5161,airports!A:H,8,FALSE)</f>
        <v>-87.904464169999997</v>
      </c>
      <c r="H5161">
        <f t="shared" si="160"/>
        <v>536.5</v>
      </c>
      <c r="I5161">
        <f t="shared" si="161"/>
        <v>333.4</v>
      </c>
    </row>
    <row r="5162" spans="1:9" ht="30" x14ac:dyDescent="0.25">
      <c r="A5162" s="5" t="s">
        <v>87</v>
      </c>
      <c r="B5162" s="5" t="s">
        <v>596</v>
      </c>
      <c r="C5162" s="5" t="s">
        <v>5640</v>
      </c>
      <c r="D5162" s="3">
        <f>VLOOKUP(A5162,airports!A:H,7,FALSE)</f>
        <v>44.880546940000002</v>
      </c>
      <c r="E5162" s="3">
        <f>VLOOKUP(A5162,airports!A:H,8,FALSE)</f>
        <v>-93.216922499999995</v>
      </c>
      <c r="F5162" s="3">
        <f>VLOOKUP(B5162,airports!A:H,7,FALSE)</f>
        <v>36.89461111</v>
      </c>
      <c r="G5162" s="3">
        <f>VLOOKUP(B5162,airports!A:H,8,FALSE)</f>
        <v>-76.201222220000005</v>
      </c>
      <c r="H5162">
        <f t="shared" si="160"/>
        <v>1678.5</v>
      </c>
      <c r="I5162">
        <f t="shared" si="161"/>
        <v>1043</v>
      </c>
    </row>
    <row r="5163" spans="1:9" ht="30" x14ac:dyDescent="0.25">
      <c r="A5163" s="5" t="s">
        <v>87</v>
      </c>
      <c r="B5163" s="5" t="s">
        <v>99</v>
      </c>
      <c r="C5163" s="5" t="s">
        <v>5641</v>
      </c>
      <c r="D5163" s="3">
        <f>VLOOKUP(A5163,airports!A:H,7,FALSE)</f>
        <v>44.880546940000002</v>
      </c>
      <c r="E5163" s="3">
        <f>VLOOKUP(A5163,airports!A:H,8,FALSE)</f>
        <v>-93.216922499999995</v>
      </c>
      <c r="F5163" s="3">
        <f>VLOOKUP(B5163,airports!A:H,7,FALSE)</f>
        <v>26.683161940000002</v>
      </c>
      <c r="G5163" s="3">
        <f>VLOOKUP(B5163,airports!A:H,8,FALSE)</f>
        <v>-80.095594169999998</v>
      </c>
      <c r="H5163">
        <f t="shared" si="160"/>
        <v>2337.3000000000002</v>
      </c>
      <c r="I5163">
        <f t="shared" si="161"/>
        <v>1452.4</v>
      </c>
    </row>
    <row r="5164" spans="1:9" ht="30" x14ac:dyDescent="0.25">
      <c r="A5164" s="5" t="s">
        <v>87</v>
      </c>
      <c r="B5164" s="5" t="s">
        <v>100</v>
      </c>
      <c r="C5164" s="5" t="s">
        <v>5642</v>
      </c>
      <c r="D5164" s="3">
        <f>VLOOKUP(A5164,airports!A:H,7,FALSE)</f>
        <v>44.880546940000002</v>
      </c>
      <c r="E5164" s="3">
        <f>VLOOKUP(A5164,airports!A:H,8,FALSE)</f>
        <v>-93.216922499999995</v>
      </c>
      <c r="F5164" s="3">
        <f>VLOOKUP(B5164,airports!A:H,7,FALSE)</f>
        <v>45.588722220000001</v>
      </c>
      <c r="G5164" s="3">
        <f>VLOOKUP(B5164,airports!A:H,8,FALSE)</f>
        <v>-122.5975</v>
      </c>
      <c r="H5164">
        <f t="shared" si="160"/>
        <v>2289.1</v>
      </c>
      <c r="I5164">
        <f t="shared" si="161"/>
        <v>1422.4</v>
      </c>
    </row>
    <row r="5165" spans="1:9" ht="30" x14ac:dyDescent="0.25">
      <c r="A5165" s="5" t="s">
        <v>87</v>
      </c>
      <c r="B5165" s="5" t="s">
        <v>185</v>
      </c>
      <c r="C5165" s="5" t="s">
        <v>5643</v>
      </c>
      <c r="D5165" s="3">
        <f>VLOOKUP(A5165,airports!A:H,7,FALSE)</f>
        <v>44.880546940000002</v>
      </c>
      <c r="E5165" s="3">
        <f>VLOOKUP(A5165,airports!A:H,8,FALSE)</f>
        <v>-93.216922499999995</v>
      </c>
      <c r="F5165" s="3">
        <f>VLOOKUP(B5165,airports!A:H,7,FALSE)</f>
        <v>26.919699999999999</v>
      </c>
      <c r="G5165" s="3">
        <f>VLOOKUP(B5165,airports!A:H,8,FALSE)</f>
        <v>-81.995999999999995</v>
      </c>
      <c r="H5165">
        <f t="shared" si="160"/>
        <v>2233.1999999999998</v>
      </c>
      <c r="I5165">
        <f t="shared" si="161"/>
        <v>1387.8</v>
      </c>
    </row>
    <row r="5166" spans="1:9" ht="30" x14ac:dyDescent="0.25">
      <c r="A5166" s="5" t="s">
        <v>87</v>
      </c>
      <c r="B5166" s="5" t="s">
        <v>102</v>
      </c>
      <c r="C5166" s="5" t="s">
        <v>5644</v>
      </c>
      <c r="D5166" s="3">
        <f>VLOOKUP(A5166,airports!A:H,7,FALSE)</f>
        <v>44.880546940000002</v>
      </c>
      <c r="E5166" s="3">
        <f>VLOOKUP(A5166,airports!A:H,8,FALSE)</f>
        <v>-93.216922499999995</v>
      </c>
      <c r="F5166" s="3">
        <f>VLOOKUP(B5166,airports!A:H,7,FALSE)</f>
        <v>39.871952780000001</v>
      </c>
      <c r="G5166" s="3">
        <f>VLOOKUP(B5166,airports!A:H,8,FALSE)</f>
        <v>-75.241140830000006</v>
      </c>
      <c r="H5166">
        <f t="shared" si="160"/>
        <v>1574</v>
      </c>
      <c r="I5166">
        <f t="shared" si="161"/>
        <v>978.1</v>
      </c>
    </row>
    <row r="5167" spans="1:9" ht="30" x14ac:dyDescent="0.25">
      <c r="A5167" s="5" t="s">
        <v>87</v>
      </c>
      <c r="B5167" s="5" t="s">
        <v>104</v>
      </c>
      <c r="C5167" s="5" t="s">
        <v>5645</v>
      </c>
      <c r="D5167" s="3">
        <f>VLOOKUP(A5167,airports!A:H,7,FALSE)</f>
        <v>44.880546940000002</v>
      </c>
      <c r="E5167" s="3">
        <f>VLOOKUP(A5167,airports!A:H,8,FALSE)</f>
        <v>-93.216922499999995</v>
      </c>
      <c r="F5167" s="3">
        <f>VLOOKUP(B5167,airports!A:H,7,FALSE)</f>
        <v>33.434166670000003</v>
      </c>
      <c r="G5167" s="3">
        <f>VLOOKUP(B5167,airports!A:H,8,FALSE)</f>
        <v>-112.00805560000001</v>
      </c>
      <c r="H5167">
        <f t="shared" si="160"/>
        <v>2051.6999999999998</v>
      </c>
      <c r="I5167">
        <f t="shared" si="161"/>
        <v>1274.9000000000001</v>
      </c>
    </row>
    <row r="5168" spans="1:9" ht="30" x14ac:dyDescent="0.25">
      <c r="A5168" s="5" t="s">
        <v>87</v>
      </c>
      <c r="B5168" s="5" t="s">
        <v>604</v>
      </c>
      <c r="C5168" s="5" t="s">
        <v>5646</v>
      </c>
      <c r="D5168" s="3">
        <f>VLOOKUP(A5168,airports!A:H,7,FALSE)</f>
        <v>44.880546940000002</v>
      </c>
      <c r="E5168" s="3">
        <f>VLOOKUP(A5168,airports!A:H,8,FALSE)</f>
        <v>-93.216922499999995</v>
      </c>
      <c r="F5168" s="3">
        <f>VLOOKUP(B5168,airports!A:H,7,FALSE)</f>
        <v>40.664243329999998</v>
      </c>
      <c r="G5168" s="3">
        <f>VLOOKUP(B5168,airports!A:H,8,FALSE)</f>
        <v>-89.693305559999999</v>
      </c>
      <c r="H5168">
        <f t="shared" si="160"/>
        <v>549.9</v>
      </c>
      <c r="I5168">
        <f t="shared" si="161"/>
        <v>341.7</v>
      </c>
    </row>
    <row r="5169" spans="1:9" ht="30" x14ac:dyDescent="0.25">
      <c r="A5169" s="5" t="s">
        <v>87</v>
      </c>
      <c r="B5169" s="5" t="s">
        <v>693</v>
      </c>
      <c r="C5169" s="5" t="s">
        <v>5647</v>
      </c>
      <c r="D5169" s="3">
        <f>VLOOKUP(A5169,airports!A:H,7,FALSE)</f>
        <v>44.880546940000002</v>
      </c>
      <c r="E5169" s="3">
        <f>VLOOKUP(A5169,airports!A:H,8,FALSE)</f>
        <v>-93.216922499999995</v>
      </c>
      <c r="F5169" s="3">
        <f>VLOOKUP(B5169,airports!A:H,7,FALSE)</f>
        <v>44.382676940000003</v>
      </c>
      <c r="G5169" s="3">
        <f>VLOOKUP(B5169,airports!A:H,8,FALSE)</f>
        <v>-100.285965</v>
      </c>
      <c r="H5169">
        <f t="shared" si="160"/>
        <v>561.9</v>
      </c>
      <c r="I5169">
        <f t="shared" si="161"/>
        <v>349.2</v>
      </c>
    </row>
    <row r="5170" spans="1:9" x14ac:dyDescent="0.25">
      <c r="A5170" s="5" t="s">
        <v>87</v>
      </c>
      <c r="B5170" s="5" t="s">
        <v>106</v>
      </c>
      <c r="C5170" s="5" t="s">
        <v>5648</v>
      </c>
      <c r="D5170" s="3">
        <f>VLOOKUP(A5170,airports!A:H,7,FALSE)</f>
        <v>44.880546940000002</v>
      </c>
      <c r="E5170" s="3">
        <f>VLOOKUP(A5170,airports!A:H,8,FALSE)</f>
        <v>-93.216922499999995</v>
      </c>
      <c r="F5170" s="3">
        <f>VLOOKUP(B5170,airports!A:H,7,FALSE)</f>
        <v>40.491465830000003</v>
      </c>
      <c r="G5170" s="3">
        <f>VLOOKUP(B5170,airports!A:H,8,FALSE)</f>
        <v>-80.232870829999996</v>
      </c>
      <c r="H5170">
        <f t="shared" si="160"/>
        <v>1166.3</v>
      </c>
      <c r="I5170">
        <f t="shared" si="161"/>
        <v>724.8</v>
      </c>
    </row>
    <row r="5171" spans="1:9" ht="30" x14ac:dyDescent="0.25">
      <c r="A5171" s="5" t="s">
        <v>87</v>
      </c>
      <c r="B5171" s="5" t="s">
        <v>890</v>
      </c>
      <c r="C5171" s="5" t="s">
        <v>5649</v>
      </c>
      <c r="D5171" s="3">
        <f>VLOOKUP(A5171,airports!A:H,7,FALSE)</f>
        <v>44.880546940000002</v>
      </c>
      <c r="E5171" s="3">
        <f>VLOOKUP(A5171,airports!A:H,8,FALSE)</f>
        <v>-93.216922499999995</v>
      </c>
      <c r="F5171" s="3">
        <f>VLOOKUP(B5171,airports!A:H,7,FALSE)</f>
        <v>46.26468028</v>
      </c>
      <c r="G5171" s="3">
        <f>VLOOKUP(B5171,airports!A:H,8,FALSE)</f>
        <v>-119.1190292</v>
      </c>
      <c r="H5171">
        <f t="shared" si="160"/>
        <v>2013</v>
      </c>
      <c r="I5171">
        <f t="shared" si="161"/>
        <v>1250.9000000000001</v>
      </c>
    </row>
    <row r="5172" spans="1:9" ht="30" x14ac:dyDescent="0.25">
      <c r="A5172" s="5" t="s">
        <v>87</v>
      </c>
      <c r="B5172" s="5" t="s">
        <v>111</v>
      </c>
      <c r="C5172" s="5" t="s">
        <v>5650</v>
      </c>
      <c r="D5172" s="3">
        <f>VLOOKUP(A5172,airports!A:H,7,FALSE)</f>
        <v>44.880546940000002</v>
      </c>
      <c r="E5172" s="3">
        <f>VLOOKUP(A5172,airports!A:H,8,FALSE)</f>
        <v>-93.216922499999995</v>
      </c>
      <c r="F5172" s="3">
        <f>VLOOKUP(B5172,airports!A:H,7,FALSE)</f>
        <v>33.829215560000002</v>
      </c>
      <c r="G5172" s="3">
        <f>VLOOKUP(B5172,airports!A:H,8,FALSE)</f>
        <v>-116.5062531</v>
      </c>
      <c r="H5172">
        <f t="shared" si="160"/>
        <v>2336.6</v>
      </c>
      <c r="I5172">
        <f t="shared" si="161"/>
        <v>1452</v>
      </c>
    </row>
    <row r="5173" spans="1:9" ht="30" x14ac:dyDescent="0.25">
      <c r="A5173" s="5" t="s">
        <v>87</v>
      </c>
      <c r="B5173" s="5" t="s">
        <v>114</v>
      </c>
      <c r="C5173" s="5" t="s">
        <v>5651</v>
      </c>
      <c r="D5173" s="3">
        <f>VLOOKUP(A5173,airports!A:H,7,FALSE)</f>
        <v>44.880546940000002</v>
      </c>
      <c r="E5173" s="3">
        <f>VLOOKUP(A5173,airports!A:H,8,FALSE)</f>
        <v>-93.216922499999995</v>
      </c>
      <c r="F5173" s="3">
        <f>VLOOKUP(B5173,airports!A:H,7,FALSE)</f>
        <v>41.723999169999999</v>
      </c>
      <c r="G5173" s="3">
        <f>VLOOKUP(B5173,airports!A:H,8,FALSE)</f>
        <v>-71.428221109999996</v>
      </c>
      <c r="H5173">
        <f t="shared" si="160"/>
        <v>1792</v>
      </c>
      <c r="I5173">
        <f t="shared" si="161"/>
        <v>1113.5999999999999</v>
      </c>
    </row>
    <row r="5174" spans="1:9" ht="30" x14ac:dyDescent="0.25">
      <c r="A5174" s="5" t="s">
        <v>87</v>
      </c>
      <c r="B5174" s="5" t="s">
        <v>117</v>
      </c>
      <c r="C5174" s="5" t="s">
        <v>5652</v>
      </c>
      <c r="D5174" s="3">
        <f>VLOOKUP(A5174,airports!A:H,7,FALSE)</f>
        <v>44.880546940000002</v>
      </c>
      <c r="E5174" s="3">
        <f>VLOOKUP(A5174,airports!A:H,8,FALSE)</f>
        <v>-93.216922499999995</v>
      </c>
      <c r="F5174" s="3">
        <f>VLOOKUP(B5174,airports!A:H,7,FALSE)</f>
        <v>43.646166669999999</v>
      </c>
      <c r="G5174" s="3">
        <f>VLOOKUP(B5174,airports!A:H,8,FALSE)</f>
        <v>-70.308750000000003</v>
      </c>
      <c r="H5174">
        <f t="shared" si="160"/>
        <v>1823.3</v>
      </c>
      <c r="I5174">
        <f t="shared" si="161"/>
        <v>1133</v>
      </c>
    </row>
    <row r="5175" spans="1:9" ht="30" x14ac:dyDescent="0.25">
      <c r="A5175" s="5" t="s">
        <v>87</v>
      </c>
      <c r="B5175" s="5" t="s">
        <v>612</v>
      </c>
      <c r="C5175" s="5" t="s">
        <v>5653</v>
      </c>
      <c r="D5175" s="3">
        <f>VLOOKUP(A5175,airports!A:H,7,FALSE)</f>
        <v>44.880546940000002</v>
      </c>
      <c r="E5175" s="3">
        <f>VLOOKUP(A5175,airports!A:H,8,FALSE)</f>
        <v>-93.216922499999995</v>
      </c>
      <c r="F5175" s="3">
        <f>VLOOKUP(B5175,airports!A:H,7,FALSE)</f>
        <v>44.045321389999998</v>
      </c>
      <c r="G5175" s="3">
        <f>VLOOKUP(B5175,airports!A:H,8,FALSE)</f>
        <v>-103.0573708</v>
      </c>
      <c r="H5175">
        <f t="shared" si="160"/>
        <v>785.9</v>
      </c>
      <c r="I5175">
        <f t="shared" si="161"/>
        <v>488.4</v>
      </c>
    </row>
    <row r="5176" spans="1:9" ht="30" x14ac:dyDescent="0.25">
      <c r="A5176" s="5" t="s">
        <v>87</v>
      </c>
      <c r="B5176" s="5" t="s">
        <v>119</v>
      </c>
      <c r="C5176" s="5" t="s">
        <v>5654</v>
      </c>
      <c r="D5176" s="3">
        <f>VLOOKUP(A5176,airports!A:H,7,FALSE)</f>
        <v>44.880546940000002</v>
      </c>
      <c r="E5176" s="3">
        <f>VLOOKUP(A5176,airports!A:H,8,FALSE)</f>
        <v>-93.216922499999995</v>
      </c>
      <c r="F5176" s="3">
        <f>VLOOKUP(B5176,airports!A:H,7,FALSE)</f>
        <v>35.87763889</v>
      </c>
      <c r="G5176" s="3">
        <f>VLOOKUP(B5176,airports!A:H,8,FALSE)</f>
        <v>-78.787472219999998</v>
      </c>
      <c r="H5176">
        <f t="shared" si="160"/>
        <v>1575.7</v>
      </c>
      <c r="I5176">
        <f t="shared" si="161"/>
        <v>979.2</v>
      </c>
    </row>
    <row r="5177" spans="1:9" ht="30" x14ac:dyDescent="0.25">
      <c r="A5177" s="5" t="s">
        <v>87</v>
      </c>
      <c r="B5177" s="5" t="s">
        <v>5655</v>
      </c>
      <c r="C5177" s="5" t="s">
        <v>5656</v>
      </c>
      <c r="D5177" s="3">
        <f>VLOOKUP(A5177,airports!A:H,7,FALSE)</f>
        <v>44.880546940000002</v>
      </c>
      <c r="E5177" s="3">
        <f>VLOOKUP(A5177,airports!A:H,8,FALSE)</f>
        <v>-93.216922499999995</v>
      </c>
      <c r="F5177" s="3">
        <f>VLOOKUP(B5177,airports!A:H,7,FALSE)</f>
        <v>45.631193060000001</v>
      </c>
      <c r="G5177" s="3">
        <f>VLOOKUP(B5177,airports!A:H,8,FALSE)</f>
        <v>-89.467453610000007</v>
      </c>
      <c r="H5177">
        <f t="shared" si="160"/>
        <v>305.10000000000002</v>
      </c>
      <c r="I5177">
        <f t="shared" si="161"/>
        <v>189.6</v>
      </c>
    </row>
    <row r="5178" spans="1:9" ht="30" x14ac:dyDescent="0.25">
      <c r="A5178" s="5" t="s">
        <v>87</v>
      </c>
      <c r="B5178" s="5" t="s">
        <v>120</v>
      </c>
      <c r="C5178" s="5" t="s">
        <v>5657</v>
      </c>
      <c r="D5178" s="3">
        <f>VLOOKUP(A5178,airports!A:H,7,FALSE)</f>
        <v>44.880546940000002</v>
      </c>
      <c r="E5178" s="3">
        <f>VLOOKUP(A5178,airports!A:H,8,FALSE)</f>
        <v>-93.216922499999995</v>
      </c>
      <c r="F5178" s="3">
        <f>VLOOKUP(B5178,airports!A:H,7,FALSE)</f>
        <v>37.505166670000001</v>
      </c>
      <c r="G5178" s="3">
        <f>VLOOKUP(B5178,airports!A:H,8,FALSE)</f>
        <v>-77.319666670000004</v>
      </c>
      <c r="H5178">
        <f t="shared" si="160"/>
        <v>1558.5</v>
      </c>
      <c r="I5178">
        <f t="shared" si="161"/>
        <v>968.5</v>
      </c>
    </row>
    <row r="5179" spans="1:9" ht="30" x14ac:dyDescent="0.25">
      <c r="A5179" s="5" t="s">
        <v>87</v>
      </c>
      <c r="B5179" s="5" t="s">
        <v>121</v>
      </c>
      <c r="C5179" s="5" t="s">
        <v>5658</v>
      </c>
      <c r="D5179" s="3">
        <f>VLOOKUP(A5179,airports!A:H,7,FALSE)</f>
        <v>44.880546940000002</v>
      </c>
      <c r="E5179" s="3">
        <f>VLOOKUP(A5179,airports!A:H,8,FALSE)</f>
        <v>-93.216922499999995</v>
      </c>
      <c r="F5179" s="3">
        <f>VLOOKUP(B5179,airports!A:H,7,FALSE)</f>
        <v>39.498576110000002</v>
      </c>
      <c r="G5179" s="3">
        <f>VLOOKUP(B5179,airports!A:H,8,FALSE)</f>
        <v>-119.7680647</v>
      </c>
      <c r="H5179">
        <f t="shared" si="160"/>
        <v>2256.6</v>
      </c>
      <c r="I5179">
        <f t="shared" si="161"/>
        <v>1402.2</v>
      </c>
    </row>
    <row r="5180" spans="1:9" ht="30" x14ac:dyDescent="0.25">
      <c r="A5180" s="5" t="s">
        <v>87</v>
      </c>
      <c r="B5180" s="5" t="s">
        <v>122</v>
      </c>
      <c r="C5180" s="5" t="s">
        <v>5659</v>
      </c>
      <c r="D5180" s="3">
        <f>VLOOKUP(A5180,airports!A:H,7,FALSE)</f>
        <v>44.880546940000002</v>
      </c>
      <c r="E5180" s="3">
        <f>VLOOKUP(A5180,airports!A:H,8,FALSE)</f>
        <v>-93.216922499999995</v>
      </c>
      <c r="F5180" s="3">
        <f>VLOOKUP(B5180,airports!A:H,7,FALSE)</f>
        <v>43.118866109999999</v>
      </c>
      <c r="G5180" s="3">
        <f>VLOOKUP(B5180,airports!A:H,8,FALSE)</f>
        <v>-77.672383890000006</v>
      </c>
      <c r="H5180">
        <f t="shared" si="160"/>
        <v>1256.7</v>
      </c>
      <c r="I5180">
        <f t="shared" si="161"/>
        <v>780.9</v>
      </c>
    </row>
    <row r="5181" spans="1:9" ht="30" x14ac:dyDescent="0.25">
      <c r="A5181" s="5" t="s">
        <v>87</v>
      </c>
      <c r="B5181" s="5" t="s">
        <v>620</v>
      </c>
      <c r="C5181" s="5" t="s">
        <v>5660</v>
      </c>
      <c r="D5181" s="3">
        <f>VLOOKUP(A5181,airports!A:H,7,FALSE)</f>
        <v>44.880546940000002</v>
      </c>
      <c r="E5181" s="3">
        <f>VLOOKUP(A5181,airports!A:H,8,FALSE)</f>
        <v>-93.216922499999995</v>
      </c>
      <c r="F5181" s="3">
        <f>VLOOKUP(B5181,airports!A:H,7,FALSE)</f>
        <v>43.908826390000002</v>
      </c>
      <c r="G5181" s="3">
        <f>VLOOKUP(B5181,airports!A:H,8,FALSE)</f>
        <v>-92.497987219999999</v>
      </c>
      <c r="H5181">
        <f t="shared" si="160"/>
        <v>122.2</v>
      </c>
      <c r="I5181">
        <f t="shared" si="161"/>
        <v>75.900000000000006</v>
      </c>
    </row>
    <row r="5182" spans="1:9" ht="30" x14ac:dyDescent="0.25">
      <c r="A5182" s="5" t="s">
        <v>87</v>
      </c>
      <c r="B5182" s="5" t="s">
        <v>123</v>
      </c>
      <c r="C5182" s="5" t="s">
        <v>5661</v>
      </c>
      <c r="D5182" s="3">
        <f>VLOOKUP(A5182,airports!A:H,7,FALSE)</f>
        <v>44.880546940000002</v>
      </c>
      <c r="E5182" s="3">
        <f>VLOOKUP(A5182,airports!A:H,8,FALSE)</f>
        <v>-93.216922499999995</v>
      </c>
      <c r="F5182" s="3">
        <f>VLOOKUP(B5182,airports!A:H,7,FALSE)</f>
        <v>26.53616667</v>
      </c>
      <c r="G5182" s="3">
        <f>VLOOKUP(B5182,airports!A:H,8,FALSE)</f>
        <v>-81.755166669999994</v>
      </c>
      <c r="H5182">
        <f t="shared" si="160"/>
        <v>2281.9</v>
      </c>
      <c r="I5182">
        <f t="shared" si="161"/>
        <v>1418</v>
      </c>
    </row>
    <row r="5183" spans="1:9" ht="30" x14ac:dyDescent="0.25">
      <c r="A5183" s="5" t="s">
        <v>87</v>
      </c>
      <c r="B5183" s="5" t="s">
        <v>124</v>
      </c>
      <c r="C5183" s="5" t="s">
        <v>5662</v>
      </c>
      <c r="D5183" s="3">
        <f>VLOOKUP(A5183,airports!A:H,7,FALSE)</f>
        <v>44.880546940000002</v>
      </c>
      <c r="E5183" s="3">
        <f>VLOOKUP(A5183,airports!A:H,8,FALSE)</f>
        <v>-93.216922499999995</v>
      </c>
      <c r="F5183" s="3">
        <f>VLOOKUP(B5183,airports!A:H,7,FALSE)</f>
        <v>32.733556110000002</v>
      </c>
      <c r="G5183" s="3">
        <f>VLOOKUP(B5183,airports!A:H,8,FALSE)</f>
        <v>-117.1896567</v>
      </c>
      <c r="H5183">
        <f t="shared" si="160"/>
        <v>2463.1</v>
      </c>
      <c r="I5183">
        <f t="shared" si="161"/>
        <v>1530.6</v>
      </c>
    </row>
    <row r="5184" spans="1:9" ht="30" x14ac:dyDescent="0.25">
      <c r="A5184" s="5" t="s">
        <v>87</v>
      </c>
      <c r="B5184" s="5" t="s">
        <v>125</v>
      </c>
      <c r="C5184" s="5" t="s">
        <v>5663</v>
      </c>
      <c r="D5184" s="3">
        <f>VLOOKUP(A5184,airports!A:H,7,FALSE)</f>
        <v>44.880546940000002</v>
      </c>
      <c r="E5184" s="3">
        <f>VLOOKUP(A5184,airports!A:H,8,FALSE)</f>
        <v>-93.216922499999995</v>
      </c>
      <c r="F5184" s="3">
        <f>VLOOKUP(B5184,airports!A:H,7,FALSE)</f>
        <v>29.533694440000001</v>
      </c>
      <c r="G5184" s="3">
        <f>VLOOKUP(B5184,airports!A:H,8,FALSE)</f>
        <v>-98.469777780000001</v>
      </c>
      <c r="H5184">
        <f t="shared" si="160"/>
        <v>1767.7</v>
      </c>
      <c r="I5184">
        <f t="shared" si="161"/>
        <v>1098.5</v>
      </c>
    </row>
    <row r="5185" spans="1:9" ht="30" x14ac:dyDescent="0.25">
      <c r="A5185" s="5" t="s">
        <v>87</v>
      </c>
      <c r="B5185" s="5" t="s">
        <v>126</v>
      </c>
      <c r="C5185" s="5" t="s">
        <v>5664</v>
      </c>
      <c r="D5185" s="3">
        <f>VLOOKUP(A5185,airports!A:H,7,FALSE)</f>
        <v>44.880546940000002</v>
      </c>
      <c r="E5185" s="3">
        <f>VLOOKUP(A5185,airports!A:H,8,FALSE)</f>
        <v>-93.216922499999995</v>
      </c>
      <c r="F5185" s="3">
        <f>VLOOKUP(B5185,airports!A:H,7,FALSE)</f>
        <v>32.12758333</v>
      </c>
      <c r="G5185" s="3">
        <f>VLOOKUP(B5185,airports!A:H,8,FALSE)</f>
        <v>-81.202138890000001</v>
      </c>
      <c r="H5185">
        <f t="shared" si="160"/>
        <v>1757.6</v>
      </c>
      <c r="I5185">
        <f t="shared" si="161"/>
        <v>1092.2</v>
      </c>
    </row>
    <row r="5186" spans="1:9" ht="30" x14ac:dyDescent="0.25">
      <c r="A5186" s="5" t="s">
        <v>87</v>
      </c>
      <c r="B5186" s="5" t="s">
        <v>626</v>
      </c>
      <c r="C5186" s="5" t="s">
        <v>5665</v>
      </c>
      <c r="D5186" s="3">
        <f>VLOOKUP(A5186,airports!A:H,7,FALSE)</f>
        <v>44.880546940000002</v>
      </c>
      <c r="E5186" s="3">
        <f>VLOOKUP(A5186,airports!A:H,8,FALSE)</f>
        <v>-93.216922499999995</v>
      </c>
      <c r="F5186" s="3">
        <f>VLOOKUP(B5186,airports!A:H,7,FALSE)</f>
        <v>41.708953610000002</v>
      </c>
      <c r="G5186" s="3">
        <f>VLOOKUP(B5186,airports!A:H,8,FALSE)</f>
        <v>-86.318474170000002</v>
      </c>
      <c r="H5186">
        <f t="shared" si="160"/>
        <v>660</v>
      </c>
      <c r="I5186">
        <f t="shared" si="161"/>
        <v>410.1</v>
      </c>
    </row>
    <row r="5187" spans="1:9" ht="30" x14ac:dyDescent="0.25">
      <c r="A5187" s="5" t="s">
        <v>87</v>
      </c>
      <c r="B5187" s="5" t="s">
        <v>630</v>
      </c>
      <c r="C5187" s="5" t="s">
        <v>5666</v>
      </c>
      <c r="D5187" s="3">
        <f>VLOOKUP(A5187,airports!A:H,7,FALSE)</f>
        <v>44.880546940000002</v>
      </c>
      <c r="E5187" s="3">
        <f>VLOOKUP(A5187,airports!A:H,8,FALSE)</f>
        <v>-93.216922499999995</v>
      </c>
      <c r="F5187" s="3">
        <f>VLOOKUP(B5187,airports!A:H,7,FALSE)</f>
        <v>38.174388890000003</v>
      </c>
      <c r="G5187" s="3">
        <f>VLOOKUP(B5187,airports!A:H,8,FALSE)</f>
        <v>-85.736000000000004</v>
      </c>
      <c r="H5187">
        <f t="shared" si="160"/>
        <v>970.6</v>
      </c>
      <c r="I5187">
        <f t="shared" si="161"/>
        <v>603.20000000000005</v>
      </c>
    </row>
    <row r="5188" spans="1:9" ht="30" x14ac:dyDescent="0.25">
      <c r="A5188" s="5" t="s">
        <v>87</v>
      </c>
      <c r="B5188" s="5" t="s">
        <v>128</v>
      </c>
      <c r="C5188" s="5" t="s">
        <v>5667</v>
      </c>
      <c r="D5188" s="3">
        <f>VLOOKUP(A5188,airports!A:H,7,FALSE)</f>
        <v>44.880546940000002</v>
      </c>
      <c r="E5188" s="3">
        <f>VLOOKUP(A5188,airports!A:H,8,FALSE)</f>
        <v>-93.216922499999995</v>
      </c>
      <c r="F5188" s="3">
        <f>VLOOKUP(B5188,airports!A:H,7,FALSE)</f>
        <v>47.448981940000003</v>
      </c>
      <c r="G5188" s="3">
        <f>VLOOKUP(B5188,airports!A:H,8,FALSE)</f>
        <v>-122.3093131</v>
      </c>
      <c r="H5188">
        <f t="shared" ref="H5188:H5251" si="162">ROUND(ACOS(COS(RADIANS(90-D5188)) * COS(RADIANS(90-F5188)) + SIN(RADIANS(90-D5188)) * SIN(RADIANS(90-F5188)) * COS(RADIANS(E5188-G5188))) * 6371,1)</f>
        <v>2245.1999999999998</v>
      </c>
      <c r="I5188">
        <f t="shared" ref="I5188:I5251" si="163">ROUND(ACOS(COS(RADIANS(90-D5188)) * COS(RADIANS(90-F5188)) + SIN(RADIANS(90-D5188)) * SIN(RADIANS(90-F5188)) * COS(RADIANS(E5188-G5188))) * 3959,1)</f>
        <v>1395.2</v>
      </c>
    </row>
    <row r="5189" spans="1:9" ht="30" x14ac:dyDescent="0.25">
      <c r="A5189" s="5" t="s">
        <v>87</v>
      </c>
      <c r="B5189" s="5" t="s">
        <v>130</v>
      </c>
      <c r="C5189" s="5" t="s">
        <v>5668</v>
      </c>
      <c r="D5189" s="3">
        <f>VLOOKUP(A5189,airports!A:H,7,FALSE)</f>
        <v>44.880546940000002</v>
      </c>
      <c r="E5189" s="3">
        <f>VLOOKUP(A5189,airports!A:H,8,FALSE)</f>
        <v>-93.216922499999995</v>
      </c>
      <c r="F5189" s="3">
        <f>VLOOKUP(B5189,airports!A:H,7,FALSE)</f>
        <v>37.619001939999997</v>
      </c>
      <c r="G5189" s="3">
        <f>VLOOKUP(B5189,airports!A:H,8,FALSE)</f>
        <v>-122.37484329999999</v>
      </c>
      <c r="H5189">
        <f t="shared" si="162"/>
        <v>2551.6999999999998</v>
      </c>
      <c r="I5189">
        <f t="shared" si="163"/>
        <v>1585.7</v>
      </c>
    </row>
    <row r="5190" spans="1:9" ht="30" x14ac:dyDescent="0.25">
      <c r="A5190" s="5" t="s">
        <v>87</v>
      </c>
      <c r="B5190" s="5" t="s">
        <v>131</v>
      </c>
      <c r="C5190" s="5" t="s">
        <v>5669</v>
      </c>
      <c r="D5190" s="3">
        <f>VLOOKUP(A5190,airports!A:H,7,FALSE)</f>
        <v>44.880546940000002</v>
      </c>
      <c r="E5190" s="3">
        <f>VLOOKUP(A5190,airports!A:H,8,FALSE)</f>
        <v>-93.216922499999995</v>
      </c>
      <c r="F5190" s="3">
        <f>VLOOKUP(B5190,airports!A:H,7,FALSE)</f>
        <v>37.361861939999997</v>
      </c>
      <c r="G5190" s="3">
        <f>VLOOKUP(B5190,airports!A:H,8,FALSE)</f>
        <v>-121.9290089</v>
      </c>
      <c r="H5190">
        <f t="shared" si="162"/>
        <v>2530.4</v>
      </c>
      <c r="I5190">
        <f t="shared" si="163"/>
        <v>1572.4</v>
      </c>
    </row>
    <row r="5191" spans="1:9" ht="30" x14ac:dyDescent="0.25">
      <c r="A5191" s="5" t="s">
        <v>87</v>
      </c>
      <c r="B5191" s="5" t="s">
        <v>134</v>
      </c>
      <c r="C5191" s="5" t="s">
        <v>5670</v>
      </c>
      <c r="D5191" s="3">
        <f>VLOOKUP(A5191,airports!A:H,7,FALSE)</f>
        <v>44.880546940000002</v>
      </c>
      <c r="E5191" s="3">
        <f>VLOOKUP(A5191,airports!A:H,8,FALSE)</f>
        <v>-93.216922499999995</v>
      </c>
      <c r="F5191" s="3">
        <f>VLOOKUP(B5191,airports!A:H,7,FALSE)</f>
        <v>18.43941667</v>
      </c>
      <c r="G5191" s="3">
        <f>VLOOKUP(B5191,airports!A:H,8,FALSE)</f>
        <v>-66.001833329999997</v>
      </c>
      <c r="H5191">
        <f t="shared" si="162"/>
        <v>3871.5</v>
      </c>
      <c r="I5191">
        <f t="shared" si="163"/>
        <v>2405.8000000000002</v>
      </c>
    </row>
    <row r="5192" spans="1:9" ht="30" x14ac:dyDescent="0.25">
      <c r="A5192" s="5" t="s">
        <v>87</v>
      </c>
      <c r="B5192" s="5" t="s">
        <v>135</v>
      </c>
      <c r="C5192" s="5" t="s">
        <v>5671</v>
      </c>
      <c r="D5192" s="3">
        <f>VLOOKUP(A5192,airports!A:H,7,FALSE)</f>
        <v>44.880546940000002</v>
      </c>
      <c r="E5192" s="3">
        <f>VLOOKUP(A5192,airports!A:H,8,FALSE)</f>
        <v>-93.216922499999995</v>
      </c>
      <c r="F5192" s="3">
        <f>VLOOKUP(B5192,airports!A:H,7,FALSE)</f>
        <v>40.788387780000001</v>
      </c>
      <c r="G5192" s="3">
        <f>VLOOKUP(B5192,airports!A:H,8,FALSE)</f>
        <v>-111.97777309999999</v>
      </c>
      <c r="H5192">
        <f t="shared" si="162"/>
        <v>1591.9</v>
      </c>
      <c r="I5192">
        <f t="shared" si="163"/>
        <v>989.2</v>
      </c>
    </row>
    <row r="5193" spans="1:9" ht="30" x14ac:dyDescent="0.25">
      <c r="A5193" s="5" t="s">
        <v>87</v>
      </c>
      <c r="B5193" s="5" t="s">
        <v>137</v>
      </c>
      <c r="C5193" s="5" t="s">
        <v>5672</v>
      </c>
      <c r="D5193" s="3">
        <f>VLOOKUP(A5193,airports!A:H,7,FALSE)</f>
        <v>44.880546940000002</v>
      </c>
      <c r="E5193" s="3">
        <f>VLOOKUP(A5193,airports!A:H,8,FALSE)</f>
        <v>-93.216922499999995</v>
      </c>
      <c r="F5193" s="3">
        <f>VLOOKUP(B5193,airports!A:H,7,FALSE)</f>
        <v>38.695421670000002</v>
      </c>
      <c r="G5193" s="3">
        <f>VLOOKUP(B5193,airports!A:H,8,FALSE)</f>
        <v>-121.59076690000001</v>
      </c>
      <c r="H5193">
        <f t="shared" si="162"/>
        <v>2436.8000000000002</v>
      </c>
      <c r="I5193">
        <f t="shared" si="163"/>
        <v>1514.3</v>
      </c>
    </row>
    <row r="5194" spans="1:9" ht="30" x14ac:dyDescent="0.25">
      <c r="A5194" s="5" t="s">
        <v>87</v>
      </c>
      <c r="B5194" s="5" t="s">
        <v>227</v>
      </c>
      <c r="C5194" s="5" t="s">
        <v>5673</v>
      </c>
      <c r="D5194" s="3">
        <f>VLOOKUP(A5194,airports!A:H,7,FALSE)</f>
        <v>44.880546940000002</v>
      </c>
      <c r="E5194" s="3">
        <f>VLOOKUP(A5194,airports!A:H,8,FALSE)</f>
        <v>-93.216922499999995</v>
      </c>
      <c r="F5194" s="3">
        <f>VLOOKUP(B5194,airports!A:H,7,FALSE)</f>
        <v>33.675658609999999</v>
      </c>
      <c r="G5194" s="3">
        <f>VLOOKUP(B5194,airports!A:H,8,FALSE)</f>
        <v>-117.8682225</v>
      </c>
      <c r="H5194">
        <f t="shared" si="162"/>
        <v>2446.1</v>
      </c>
      <c r="I5194">
        <f t="shared" si="163"/>
        <v>1520</v>
      </c>
    </row>
    <row r="5195" spans="1:9" ht="30" x14ac:dyDescent="0.25">
      <c r="A5195" s="5" t="s">
        <v>87</v>
      </c>
      <c r="B5195" s="5" t="s">
        <v>138</v>
      </c>
      <c r="C5195" s="5" t="s">
        <v>5674</v>
      </c>
      <c r="D5195" s="3">
        <f>VLOOKUP(A5195,airports!A:H,7,FALSE)</f>
        <v>44.880546940000002</v>
      </c>
      <c r="E5195" s="3">
        <f>VLOOKUP(A5195,airports!A:H,8,FALSE)</f>
        <v>-93.216922499999995</v>
      </c>
      <c r="F5195" s="3">
        <f>VLOOKUP(B5195,airports!A:H,7,FALSE)</f>
        <v>27.39533333</v>
      </c>
      <c r="G5195" s="3">
        <f>VLOOKUP(B5195,airports!A:H,8,FALSE)</f>
        <v>-82.554111109999994</v>
      </c>
      <c r="H5195">
        <f t="shared" si="162"/>
        <v>2162.8000000000002</v>
      </c>
      <c r="I5195">
        <f t="shared" si="163"/>
        <v>1344</v>
      </c>
    </row>
    <row r="5196" spans="1:9" ht="30" x14ac:dyDescent="0.25">
      <c r="A5196" s="5" t="s">
        <v>87</v>
      </c>
      <c r="B5196" s="5" t="s">
        <v>644</v>
      </c>
      <c r="C5196" s="5" t="s">
        <v>5675</v>
      </c>
      <c r="D5196" s="3">
        <f>VLOOKUP(A5196,airports!A:H,7,FALSE)</f>
        <v>44.880546940000002</v>
      </c>
      <c r="E5196" s="3">
        <f>VLOOKUP(A5196,airports!A:H,8,FALSE)</f>
        <v>-93.216922499999995</v>
      </c>
      <c r="F5196" s="3">
        <f>VLOOKUP(B5196,airports!A:H,7,FALSE)</f>
        <v>38.747686940000001</v>
      </c>
      <c r="G5196" s="3">
        <f>VLOOKUP(B5196,airports!A:H,8,FALSE)</f>
        <v>-90.359989720000002</v>
      </c>
      <c r="H5196">
        <f t="shared" si="162"/>
        <v>721.7</v>
      </c>
      <c r="I5196">
        <f t="shared" si="163"/>
        <v>448.5</v>
      </c>
    </row>
    <row r="5197" spans="1:9" ht="30" x14ac:dyDescent="0.25">
      <c r="A5197" s="5" t="s">
        <v>87</v>
      </c>
      <c r="B5197" s="5" t="s">
        <v>140</v>
      </c>
      <c r="C5197" s="5" t="s">
        <v>5676</v>
      </c>
      <c r="D5197" s="3">
        <f>VLOOKUP(A5197,airports!A:H,7,FALSE)</f>
        <v>44.880546940000002</v>
      </c>
      <c r="E5197" s="3">
        <f>VLOOKUP(A5197,airports!A:H,8,FALSE)</f>
        <v>-93.216922499999995</v>
      </c>
      <c r="F5197" s="3">
        <f>VLOOKUP(B5197,airports!A:H,7,FALSE)</f>
        <v>18.337305560000001</v>
      </c>
      <c r="G5197" s="3">
        <f>VLOOKUP(B5197,airports!A:H,8,FALSE)</f>
        <v>-64.973361109999999</v>
      </c>
      <c r="H5197">
        <f t="shared" si="162"/>
        <v>3943</v>
      </c>
      <c r="I5197">
        <f t="shared" si="163"/>
        <v>2450.1999999999998</v>
      </c>
    </row>
    <row r="5198" spans="1:9" ht="30" x14ac:dyDescent="0.25">
      <c r="A5198" s="5" t="s">
        <v>87</v>
      </c>
      <c r="B5198" s="5" t="s">
        <v>144</v>
      </c>
      <c r="C5198" s="5" t="s">
        <v>5677</v>
      </c>
      <c r="D5198" s="3">
        <f>VLOOKUP(A5198,airports!A:H,7,FALSE)</f>
        <v>44.880546940000002</v>
      </c>
      <c r="E5198" s="3">
        <f>VLOOKUP(A5198,airports!A:H,8,FALSE)</f>
        <v>-93.216922499999995</v>
      </c>
      <c r="F5198" s="3">
        <f>VLOOKUP(B5198,airports!A:H,7,FALSE)</f>
        <v>43.111186940000003</v>
      </c>
      <c r="G5198" s="3">
        <f>VLOOKUP(B5198,airports!A:H,8,FALSE)</f>
        <v>-76.106310559999997</v>
      </c>
      <c r="H5198">
        <f t="shared" si="162"/>
        <v>1380.1</v>
      </c>
      <c r="I5198">
        <f t="shared" si="163"/>
        <v>857.6</v>
      </c>
    </row>
    <row r="5199" spans="1:9" ht="30" x14ac:dyDescent="0.25">
      <c r="A5199" s="5" t="s">
        <v>87</v>
      </c>
      <c r="B5199" s="5" t="s">
        <v>145</v>
      </c>
      <c r="C5199" s="5" t="s">
        <v>5678</v>
      </c>
      <c r="D5199" s="3">
        <f>VLOOKUP(A5199,airports!A:H,7,FALSE)</f>
        <v>44.880546940000002</v>
      </c>
      <c r="E5199" s="3">
        <f>VLOOKUP(A5199,airports!A:H,8,FALSE)</f>
        <v>-93.216922499999995</v>
      </c>
      <c r="F5199" s="3">
        <f>VLOOKUP(B5199,airports!A:H,7,FALSE)</f>
        <v>27.97547222</v>
      </c>
      <c r="G5199" s="3">
        <f>VLOOKUP(B5199,airports!A:H,8,FALSE)</f>
        <v>-82.533249999999995</v>
      </c>
      <c r="H5199">
        <f t="shared" si="162"/>
        <v>2104.4</v>
      </c>
      <c r="I5199">
        <f t="shared" si="163"/>
        <v>1307.7</v>
      </c>
    </row>
    <row r="5200" spans="1:9" ht="30" x14ac:dyDescent="0.25">
      <c r="A5200" s="5" t="s">
        <v>87</v>
      </c>
      <c r="B5200" s="5" t="s">
        <v>656</v>
      </c>
      <c r="C5200" s="5" t="s">
        <v>5679</v>
      </c>
      <c r="D5200" s="3">
        <f>VLOOKUP(A5200,airports!A:H,7,FALSE)</f>
        <v>44.880546940000002</v>
      </c>
      <c r="E5200" s="3">
        <f>VLOOKUP(A5200,airports!A:H,8,FALSE)</f>
        <v>-93.216922499999995</v>
      </c>
      <c r="F5200" s="3">
        <f>VLOOKUP(B5200,airports!A:H,7,FALSE)</f>
        <v>40.276691110000002</v>
      </c>
      <c r="G5200" s="3">
        <f>VLOOKUP(B5200,airports!A:H,8,FALSE)</f>
        <v>-74.813468330000006</v>
      </c>
      <c r="H5200">
        <f t="shared" si="162"/>
        <v>1587.2</v>
      </c>
      <c r="I5200">
        <f t="shared" si="163"/>
        <v>986.3</v>
      </c>
    </row>
    <row r="5201" spans="1:9" ht="30" x14ac:dyDescent="0.25">
      <c r="A5201" s="5" t="s">
        <v>87</v>
      </c>
      <c r="B5201" s="5" t="s">
        <v>658</v>
      </c>
      <c r="C5201" s="5" t="s">
        <v>5680</v>
      </c>
      <c r="D5201" s="3">
        <f>VLOOKUP(A5201,airports!A:H,7,FALSE)</f>
        <v>44.880546940000002</v>
      </c>
      <c r="E5201" s="3">
        <f>VLOOKUP(A5201,airports!A:H,8,FALSE)</f>
        <v>-93.216922499999995</v>
      </c>
      <c r="F5201" s="3">
        <f>VLOOKUP(B5201,airports!A:H,7,FALSE)</f>
        <v>36.198372220000003</v>
      </c>
      <c r="G5201" s="3">
        <f>VLOOKUP(B5201,airports!A:H,8,FALSE)</f>
        <v>-95.888241669999999</v>
      </c>
      <c r="H5201">
        <f t="shared" si="162"/>
        <v>991.3</v>
      </c>
      <c r="I5201">
        <f t="shared" si="163"/>
        <v>616</v>
      </c>
    </row>
    <row r="5202" spans="1:9" ht="30" x14ac:dyDescent="0.25">
      <c r="A5202" s="5" t="s">
        <v>87</v>
      </c>
      <c r="B5202" s="5" t="s">
        <v>660</v>
      </c>
      <c r="C5202" s="5" t="s">
        <v>5681</v>
      </c>
      <c r="D5202" s="3">
        <f>VLOOKUP(A5202,airports!A:H,7,FALSE)</f>
        <v>44.880546940000002</v>
      </c>
      <c r="E5202" s="3">
        <f>VLOOKUP(A5202,airports!A:H,8,FALSE)</f>
        <v>-93.216922499999995</v>
      </c>
      <c r="F5202" s="3">
        <f>VLOOKUP(B5202,airports!A:H,7,FALSE)</f>
        <v>32.116083330000002</v>
      </c>
      <c r="G5202" s="3">
        <f>VLOOKUP(B5202,airports!A:H,8,FALSE)</f>
        <v>-110.9410278</v>
      </c>
      <c r="H5202">
        <f t="shared" si="162"/>
        <v>2087.5</v>
      </c>
      <c r="I5202">
        <f t="shared" si="163"/>
        <v>1297.2</v>
      </c>
    </row>
    <row r="5203" spans="1:9" ht="30" x14ac:dyDescent="0.25">
      <c r="A5203" s="5" t="s">
        <v>87</v>
      </c>
      <c r="B5203" s="5" t="s">
        <v>662</v>
      </c>
      <c r="C5203" s="5" t="s">
        <v>5682</v>
      </c>
      <c r="D5203" s="3">
        <f>VLOOKUP(A5203,airports!A:H,7,FALSE)</f>
        <v>44.880546940000002</v>
      </c>
      <c r="E5203" s="3">
        <f>VLOOKUP(A5203,airports!A:H,8,FALSE)</f>
        <v>-93.216922499999995</v>
      </c>
      <c r="F5203" s="3">
        <f>VLOOKUP(B5203,airports!A:H,7,FALSE)</f>
        <v>44.741444719999997</v>
      </c>
      <c r="G5203" s="3">
        <f>VLOOKUP(B5203,airports!A:H,8,FALSE)</f>
        <v>-85.582234999999997</v>
      </c>
      <c r="H5203">
        <f t="shared" si="162"/>
        <v>602.20000000000005</v>
      </c>
      <c r="I5203">
        <f t="shared" si="163"/>
        <v>374.2</v>
      </c>
    </row>
    <row r="5204" spans="1:9" ht="30" x14ac:dyDescent="0.25">
      <c r="A5204" s="5" t="s">
        <v>87</v>
      </c>
      <c r="B5204" s="5" t="s">
        <v>664</v>
      </c>
      <c r="C5204" s="5" t="s">
        <v>5683</v>
      </c>
      <c r="D5204" s="3">
        <f>VLOOKUP(A5204,airports!A:H,7,FALSE)</f>
        <v>44.880546940000002</v>
      </c>
      <c r="E5204" s="3">
        <f>VLOOKUP(A5204,airports!A:H,8,FALSE)</f>
        <v>-93.216922499999995</v>
      </c>
      <c r="F5204" s="3">
        <f>VLOOKUP(B5204,airports!A:H,7,FALSE)</f>
        <v>35.812487220000001</v>
      </c>
      <c r="G5204" s="3">
        <f>VLOOKUP(B5204,airports!A:H,8,FALSE)</f>
        <v>-83.992855829999996</v>
      </c>
      <c r="H5204">
        <f t="shared" si="162"/>
        <v>1274</v>
      </c>
      <c r="I5204">
        <f t="shared" si="163"/>
        <v>791.7</v>
      </c>
    </row>
    <row r="5205" spans="1:9" ht="30" x14ac:dyDescent="0.25">
      <c r="A5205" s="5" t="s">
        <v>87</v>
      </c>
      <c r="B5205" s="5" t="s">
        <v>668</v>
      </c>
      <c r="C5205" s="5" t="s">
        <v>5684</v>
      </c>
      <c r="D5205" s="3">
        <f>VLOOKUP(A5205,airports!A:H,7,FALSE)</f>
        <v>44.880546940000002</v>
      </c>
      <c r="E5205" s="3">
        <f>VLOOKUP(A5205,airports!A:H,8,FALSE)</f>
        <v>-93.216922499999995</v>
      </c>
      <c r="F5205" s="3">
        <f>VLOOKUP(B5205,airports!A:H,7,FALSE)</f>
        <v>30.483250000000002</v>
      </c>
      <c r="G5205" s="3">
        <f>VLOOKUP(B5205,airports!A:H,8,FALSE)</f>
        <v>-86.525400000000005</v>
      </c>
      <c r="H5205">
        <f t="shared" si="162"/>
        <v>1704.2</v>
      </c>
      <c r="I5205">
        <f t="shared" si="163"/>
        <v>1059</v>
      </c>
    </row>
    <row r="5206" spans="1:9" ht="30" x14ac:dyDescent="0.25">
      <c r="A5206" s="5" t="s">
        <v>87</v>
      </c>
      <c r="B5206" s="5" t="s">
        <v>670</v>
      </c>
      <c r="C5206" s="5" t="s">
        <v>5685</v>
      </c>
      <c r="D5206" s="3">
        <f>VLOOKUP(A5206,airports!A:H,7,FALSE)</f>
        <v>44.880546940000002</v>
      </c>
      <c r="E5206" s="3">
        <f>VLOOKUP(A5206,airports!A:H,8,FALSE)</f>
        <v>-93.216922499999995</v>
      </c>
      <c r="F5206" s="3">
        <f>VLOOKUP(B5206,airports!A:H,7,FALSE)</f>
        <v>36.281869440000001</v>
      </c>
      <c r="G5206" s="3">
        <f>VLOOKUP(B5206,airports!A:H,8,FALSE)</f>
        <v>-94.306811109999998</v>
      </c>
      <c r="H5206">
        <f t="shared" si="162"/>
        <v>960.5</v>
      </c>
      <c r="I5206">
        <f t="shared" si="163"/>
        <v>596.9</v>
      </c>
    </row>
    <row r="5207" spans="1:9" ht="30" x14ac:dyDescent="0.25">
      <c r="A5207" s="5" t="s">
        <v>87</v>
      </c>
      <c r="B5207" s="5" t="s">
        <v>2531</v>
      </c>
      <c r="C5207" s="5" t="s">
        <v>5686</v>
      </c>
      <c r="D5207" s="3">
        <f>VLOOKUP(A5207,airports!A:H,7,FALSE)</f>
        <v>44.880546940000002</v>
      </c>
      <c r="E5207" s="3">
        <f>VLOOKUP(A5207,airports!A:H,8,FALSE)</f>
        <v>-93.216922499999995</v>
      </c>
      <c r="F5207" s="3">
        <f>VLOOKUP(B5207,airports!A:H,7,FALSE)</f>
        <v>48.258386999999999</v>
      </c>
      <c r="G5207" s="3">
        <f>VLOOKUP(B5207,airports!A:H,8,FALSE)</f>
        <v>-103.748797</v>
      </c>
      <c r="H5207">
        <f t="shared" si="162"/>
        <v>887.4</v>
      </c>
      <c r="I5207">
        <f t="shared" si="163"/>
        <v>551.4</v>
      </c>
    </row>
    <row r="5208" spans="1:9" ht="30" x14ac:dyDescent="0.25">
      <c r="A5208" s="5" t="s">
        <v>89</v>
      </c>
      <c r="B5208" s="5" t="s">
        <v>252</v>
      </c>
      <c r="C5208" s="5" t="s">
        <v>5687</v>
      </c>
      <c r="D5208" s="3">
        <f>VLOOKUP(A5208,airports!A:H,7,FALSE)</f>
        <v>29.993388889999999</v>
      </c>
      <c r="E5208" s="3">
        <f>VLOOKUP(A5208,airports!A:H,8,FALSE)</f>
        <v>-90.258027780000006</v>
      </c>
      <c r="F5208" s="3">
        <f>VLOOKUP(B5208,airports!A:H,7,FALSE)</f>
        <v>39.457583329999999</v>
      </c>
      <c r="G5208" s="3">
        <f>VLOOKUP(B5208,airports!A:H,8,FALSE)</f>
        <v>-74.577166669999997</v>
      </c>
      <c r="H5208">
        <f t="shared" si="162"/>
        <v>1773.6</v>
      </c>
      <c r="I5208">
        <f t="shared" si="163"/>
        <v>1102.0999999999999</v>
      </c>
    </row>
    <row r="5209" spans="1:9" ht="30" x14ac:dyDescent="0.25">
      <c r="A5209" s="5" t="s">
        <v>89</v>
      </c>
      <c r="B5209" s="5" t="s">
        <v>10</v>
      </c>
      <c r="C5209" s="5" t="s">
        <v>5688</v>
      </c>
      <c r="D5209" s="3">
        <f>VLOOKUP(A5209,airports!A:H,7,FALSE)</f>
        <v>29.993388889999999</v>
      </c>
      <c r="E5209" s="3">
        <f>VLOOKUP(A5209,airports!A:H,8,FALSE)</f>
        <v>-90.258027780000006</v>
      </c>
      <c r="F5209" s="3">
        <f>VLOOKUP(B5209,airports!A:H,7,FALSE)</f>
        <v>33.640444440000003</v>
      </c>
      <c r="G5209" s="3">
        <f>VLOOKUP(B5209,airports!A:H,8,FALSE)</f>
        <v>-84.42694444</v>
      </c>
      <c r="H5209">
        <f t="shared" si="162"/>
        <v>683.9</v>
      </c>
      <c r="I5209">
        <f t="shared" si="163"/>
        <v>425</v>
      </c>
    </row>
    <row r="5210" spans="1:9" ht="30" x14ac:dyDescent="0.25">
      <c r="A5210" s="5" t="s">
        <v>89</v>
      </c>
      <c r="B5210" s="5" t="s">
        <v>13</v>
      </c>
      <c r="C5210" s="5" t="s">
        <v>5689</v>
      </c>
      <c r="D5210" s="3">
        <f>VLOOKUP(A5210,airports!A:H,7,FALSE)</f>
        <v>29.993388889999999</v>
      </c>
      <c r="E5210" s="3">
        <f>VLOOKUP(A5210,airports!A:H,8,FALSE)</f>
        <v>-90.258027780000006</v>
      </c>
      <c r="F5210" s="3">
        <f>VLOOKUP(B5210,airports!A:H,7,FALSE)</f>
        <v>30.194532779999999</v>
      </c>
      <c r="G5210" s="3">
        <f>VLOOKUP(B5210,airports!A:H,8,FALSE)</f>
        <v>-97.669871939999993</v>
      </c>
      <c r="H5210">
        <f t="shared" si="162"/>
        <v>713.3</v>
      </c>
      <c r="I5210">
        <f t="shared" si="163"/>
        <v>443.2</v>
      </c>
    </row>
    <row r="5211" spans="1:9" ht="30" x14ac:dyDescent="0.25">
      <c r="A5211" s="5" t="s">
        <v>89</v>
      </c>
      <c r="B5211" s="5" t="s">
        <v>19</v>
      </c>
      <c r="C5211" s="5" t="s">
        <v>5690</v>
      </c>
      <c r="D5211" s="3">
        <f>VLOOKUP(A5211,airports!A:H,7,FALSE)</f>
        <v>29.993388889999999</v>
      </c>
      <c r="E5211" s="3">
        <f>VLOOKUP(A5211,airports!A:H,8,FALSE)</f>
        <v>-90.258027780000006</v>
      </c>
      <c r="F5211" s="3">
        <f>VLOOKUP(B5211,airports!A:H,7,FALSE)</f>
        <v>36.12447667</v>
      </c>
      <c r="G5211" s="3">
        <f>VLOOKUP(B5211,airports!A:H,8,FALSE)</f>
        <v>-86.678182219999997</v>
      </c>
      <c r="H5211">
        <f t="shared" si="162"/>
        <v>758.8</v>
      </c>
      <c r="I5211">
        <f t="shared" si="163"/>
        <v>471.5</v>
      </c>
    </row>
    <row r="5212" spans="1:9" ht="30" x14ac:dyDescent="0.25">
      <c r="A5212" s="5" t="s">
        <v>89</v>
      </c>
      <c r="B5212" s="5" t="s">
        <v>24</v>
      </c>
      <c r="C5212" s="5" t="s">
        <v>5691</v>
      </c>
      <c r="D5212" s="3">
        <f>VLOOKUP(A5212,airports!A:H,7,FALSE)</f>
        <v>29.993388889999999</v>
      </c>
      <c r="E5212" s="3">
        <f>VLOOKUP(A5212,airports!A:H,8,FALSE)</f>
        <v>-90.258027780000006</v>
      </c>
      <c r="F5212" s="3">
        <f>VLOOKUP(B5212,airports!A:H,7,FALSE)</f>
        <v>42.364347500000001</v>
      </c>
      <c r="G5212" s="3">
        <f>VLOOKUP(B5212,airports!A:H,8,FALSE)</f>
        <v>-71.005179170000005</v>
      </c>
      <c r="H5212">
        <f t="shared" si="162"/>
        <v>2199.6</v>
      </c>
      <c r="I5212">
        <f t="shared" si="163"/>
        <v>1366.8</v>
      </c>
    </row>
    <row r="5213" spans="1:9" ht="30" x14ac:dyDescent="0.25">
      <c r="A5213" s="5" t="s">
        <v>89</v>
      </c>
      <c r="B5213" s="5" t="s">
        <v>32</v>
      </c>
      <c r="C5213" s="5" t="s">
        <v>5692</v>
      </c>
      <c r="D5213" s="3">
        <f>VLOOKUP(A5213,airports!A:H,7,FALSE)</f>
        <v>29.993388889999999</v>
      </c>
      <c r="E5213" s="3">
        <f>VLOOKUP(A5213,airports!A:H,8,FALSE)</f>
        <v>-90.258027780000006</v>
      </c>
      <c r="F5213" s="3">
        <f>VLOOKUP(B5213,airports!A:H,7,FALSE)</f>
        <v>39.175401669999999</v>
      </c>
      <c r="G5213" s="3">
        <f>VLOOKUP(B5213,airports!A:H,8,FALSE)</f>
        <v>-76.668198329999996</v>
      </c>
      <c r="H5213">
        <f t="shared" si="162"/>
        <v>1606.2</v>
      </c>
      <c r="I5213">
        <f t="shared" si="163"/>
        <v>998.1</v>
      </c>
    </row>
    <row r="5214" spans="1:9" ht="30" x14ac:dyDescent="0.25">
      <c r="A5214" s="5" t="s">
        <v>89</v>
      </c>
      <c r="B5214" s="5" t="s">
        <v>38</v>
      </c>
      <c r="C5214" s="5" t="s">
        <v>5693</v>
      </c>
      <c r="D5214" s="3">
        <f>VLOOKUP(A5214,airports!A:H,7,FALSE)</f>
        <v>29.993388889999999</v>
      </c>
      <c r="E5214" s="3">
        <f>VLOOKUP(A5214,airports!A:H,8,FALSE)</f>
        <v>-90.258027780000006</v>
      </c>
      <c r="F5214" s="3">
        <f>VLOOKUP(B5214,airports!A:H,7,FALSE)</f>
        <v>41.410894169999999</v>
      </c>
      <c r="G5214" s="3">
        <f>VLOOKUP(B5214,airports!A:H,8,FALSE)</f>
        <v>-81.849396670000004</v>
      </c>
      <c r="H5214">
        <f t="shared" si="162"/>
        <v>1477.5</v>
      </c>
      <c r="I5214">
        <f t="shared" si="163"/>
        <v>918.1</v>
      </c>
    </row>
    <row r="5215" spans="1:9" ht="30" x14ac:dyDescent="0.25">
      <c r="A5215" s="5" t="s">
        <v>89</v>
      </c>
      <c r="B5215" s="5" t="s">
        <v>40</v>
      </c>
      <c r="C5215" s="5" t="s">
        <v>5694</v>
      </c>
      <c r="D5215" s="3">
        <f>VLOOKUP(A5215,airports!A:H,7,FALSE)</f>
        <v>29.993388889999999</v>
      </c>
      <c r="E5215" s="3">
        <f>VLOOKUP(A5215,airports!A:H,8,FALSE)</f>
        <v>-90.258027780000006</v>
      </c>
      <c r="F5215" s="3">
        <f>VLOOKUP(B5215,airports!A:H,7,FALSE)</f>
        <v>35.214011110000001</v>
      </c>
      <c r="G5215" s="3">
        <f>VLOOKUP(B5215,airports!A:H,8,FALSE)</f>
        <v>-80.94312583</v>
      </c>
      <c r="H5215">
        <f t="shared" si="162"/>
        <v>1047.2</v>
      </c>
      <c r="I5215">
        <f t="shared" si="163"/>
        <v>650.79999999999995</v>
      </c>
    </row>
    <row r="5216" spans="1:9" ht="30" x14ac:dyDescent="0.25">
      <c r="A5216" s="5" t="s">
        <v>89</v>
      </c>
      <c r="B5216" s="5" t="s">
        <v>454</v>
      </c>
      <c r="C5216" s="5" t="s">
        <v>5695</v>
      </c>
      <c r="D5216" s="3">
        <f>VLOOKUP(A5216,airports!A:H,7,FALSE)</f>
        <v>29.993388889999999</v>
      </c>
      <c r="E5216" s="3">
        <f>VLOOKUP(A5216,airports!A:H,8,FALSE)</f>
        <v>-90.258027780000006</v>
      </c>
      <c r="F5216" s="3">
        <f>VLOOKUP(B5216,airports!A:H,7,FALSE)</f>
        <v>39.997985280000002</v>
      </c>
      <c r="G5216" s="3">
        <f>VLOOKUP(B5216,airports!A:H,8,FALSE)</f>
        <v>-82.891882780000003</v>
      </c>
      <c r="H5216">
        <f t="shared" si="162"/>
        <v>1298</v>
      </c>
      <c r="I5216">
        <f t="shared" si="163"/>
        <v>806.6</v>
      </c>
    </row>
    <row r="5217" spans="1:9" ht="30" x14ac:dyDescent="0.25">
      <c r="A5217" s="5" t="s">
        <v>89</v>
      </c>
      <c r="B5217" s="5" t="s">
        <v>462</v>
      </c>
      <c r="C5217" s="5" t="s">
        <v>5696</v>
      </c>
      <c r="D5217" s="3">
        <f>VLOOKUP(A5217,airports!A:H,7,FALSE)</f>
        <v>29.993388889999999</v>
      </c>
      <c r="E5217" s="3">
        <f>VLOOKUP(A5217,airports!A:H,8,FALSE)</f>
        <v>-90.258027780000006</v>
      </c>
      <c r="F5217" s="3">
        <f>VLOOKUP(B5217,airports!A:H,7,FALSE)</f>
        <v>39.046142779999997</v>
      </c>
      <c r="G5217" s="3">
        <f>VLOOKUP(B5217,airports!A:H,8,FALSE)</f>
        <v>-84.662172499999997</v>
      </c>
      <c r="H5217">
        <f t="shared" si="162"/>
        <v>1129</v>
      </c>
      <c r="I5217">
        <f t="shared" si="163"/>
        <v>701.6</v>
      </c>
    </row>
    <row r="5218" spans="1:9" ht="30" x14ac:dyDescent="0.25">
      <c r="A5218" s="5" t="s">
        <v>89</v>
      </c>
      <c r="B5218" s="5" t="s">
        <v>201</v>
      </c>
      <c r="C5218" s="5" t="s">
        <v>5697</v>
      </c>
      <c r="D5218" s="3">
        <f>VLOOKUP(A5218,airports!A:H,7,FALSE)</f>
        <v>29.993388889999999</v>
      </c>
      <c r="E5218" s="3">
        <f>VLOOKUP(A5218,airports!A:H,8,FALSE)</f>
        <v>-90.258027780000006</v>
      </c>
      <c r="F5218" s="3">
        <f>VLOOKUP(B5218,airports!A:H,7,FALSE)</f>
        <v>32.847113890000003</v>
      </c>
      <c r="G5218" s="3">
        <f>VLOOKUP(B5218,airports!A:H,8,FALSE)</f>
        <v>-96.851772220000001</v>
      </c>
      <c r="H5218">
        <f t="shared" si="162"/>
        <v>701.3</v>
      </c>
      <c r="I5218">
        <f t="shared" si="163"/>
        <v>435.8</v>
      </c>
    </row>
    <row r="5219" spans="1:9" ht="30" x14ac:dyDescent="0.25">
      <c r="A5219" s="5" t="s">
        <v>89</v>
      </c>
      <c r="B5219" s="5" t="s">
        <v>45</v>
      </c>
      <c r="C5219" s="5" t="s">
        <v>5698</v>
      </c>
      <c r="D5219" s="3">
        <f>VLOOKUP(A5219,airports!A:H,7,FALSE)</f>
        <v>29.993388889999999</v>
      </c>
      <c r="E5219" s="3">
        <f>VLOOKUP(A5219,airports!A:H,8,FALSE)</f>
        <v>-90.258027780000006</v>
      </c>
      <c r="F5219" s="3">
        <f>VLOOKUP(B5219,airports!A:H,7,FALSE)</f>
        <v>38.852083329999999</v>
      </c>
      <c r="G5219" s="3">
        <f>VLOOKUP(B5219,airports!A:H,8,FALSE)</f>
        <v>-77.037722220000006</v>
      </c>
      <c r="H5219">
        <f t="shared" si="162"/>
        <v>1559.4</v>
      </c>
      <c r="I5219">
        <f t="shared" si="163"/>
        <v>969</v>
      </c>
    </row>
    <row r="5220" spans="1:9" ht="30" x14ac:dyDescent="0.25">
      <c r="A5220" s="5" t="s">
        <v>89</v>
      </c>
      <c r="B5220" s="5" t="s">
        <v>47</v>
      </c>
      <c r="C5220" s="5" t="s">
        <v>5699</v>
      </c>
      <c r="D5220" s="3">
        <f>VLOOKUP(A5220,airports!A:H,7,FALSE)</f>
        <v>29.993388889999999</v>
      </c>
      <c r="E5220" s="3">
        <f>VLOOKUP(A5220,airports!A:H,8,FALSE)</f>
        <v>-90.258027780000006</v>
      </c>
      <c r="F5220" s="3">
        <f>VLOOKUP(B5220,airports!A:H,7,FALSE)</f>
        <v>39.858408060000002</v>
      </c>
      <c r="G5220" s="3">
        <f>VLOOKUP(B5220,airports!A:H,8,FALSE)</f>
        <v>-104.6670019</v>
      </c>
      <c r="H5220">
        <f t="shared" si="162"/>
        <v>1707.5</v>
      </c>
      <c r="I5220">
        <f t="shared" si="163"/>
        <v>1061</v>
      </c>
    </row>
    <row r="5221" spans="1:9" ht="30" x14ac:dyDescent="0.25">
      <c r="A5221" s="5" t="s">
        <v>89</v>
      </c>
      <c r="B5221" s="5" t="s">
        <v>49</v>
      </c>
      <c r="C5221" s="5" t="s">
        <v>5700</v>
      </c>
      <c r="D5221" s="3">
        <f>VLOOKUP(A5221,airports!A:H,7,FALSE)</f>
        <v>29.993388889999999</v>
      </c>
      <c r="E5221" s="3">
        <f>VLOOKUP(A5221,airports!A:H,8,FALSE)</f>
        <v>-90.258027780000006</v>
      </c>
      <c r="F5221" s="3">
        <f>VLOOKUP(B5221,airports!A:H,7,FALSE)</f>
        <v>32.895950560000003</v>
      </c>
      <c r="G5221" s="3">
        <f>VLOOKUP(B5221,airports!A:H,8,FALSE)</f>
        <v>-97.037199999999999</v>
      </c>
      <c r="H5221">
        <f t="shared" si="162"/>
        <v>719.3</v>
      </c>
      <c r="I5221">
        <f t="shared" si="163"/>
        <v>447</v>
      </c>
    </row>
    <row r="5222" spans="1:9" ht="30" x14ac:dyDescent="0.25">
      <c r="A5222" s="5" t="s">
        <v>89</v>
      </c>
      <c r="B5222" s="5" t="s">
        <v>50</v>
      </c>
      <c r="C5222" s="5" t="s">
        <v>5701</v>
      </c>
      <c r="D5222" s="3">
        <f>VLOOKUP(A5222,airports!A:H,7,FALSE)</f>
        <v>29.993388889999999</v>
      </c>
      <c r="E5222" s="3">
        <f>VLOOKUP(A5222,airports!A:H,8,FALSE)</f>
        <v>-90.258027780000006</v>
      </c>
      <c r="F5222" s="3">
        <f>VLOOKUP(B5222,airports!A:H,7,FALSE)</f>
        <v>42.212058890000002</v>
      </c>
      <c r="G5222" s="3">
        <f>VLOOKUP(B5222,airports!A:H,8,FALSE)</f>
        <v>-83.348835829999999</v>
      </c>
      <c r="H5222">
        <f t="shared" si="162"/>
        <v>1492.4</v>
      </c>
      <c r="I5222">
        <f t="shared" si="163"/>
        <v>927.4</v>
      </c>
    </row>
    <row r="5223" spans="1:9" ht="30" x14ac:dyDescent="0.25">
      <c r="A5223" s="5" t="s">
        <v>89</v>
      </c>
      <c r="B5223" s="5" t="s">
        <v>52</v>
      </c>
      <c r="C5223" s="5" t="s">
        <v>5702</v>
      </c>
      <c r="D5223" s="3">
        <f>VLOOKUP(A5223,airports!A:H,7,FALSE)</f>
        <v>29.993388889999999</v>
      </c>
      <c r="E5223" s="3">
        <f>VLOOKUP(A5223,airports!A:H,8,FALSE)</f>
        <v>-90.258027780000006</v>
      </c>
      <c r="F5223" s="3">
        <f>VLOOKUP(B5223,airports!A:H,7,FALSE)</f>
        <v>40.69249722</v>
      </c>
      <c r="G5223" s="3">
        <f>VLOOKUP(B5223,airports!A:H,8,FALSE)</f>
        <v>-74.168660560000006</v>
      </c>
      <c r="H5223">
        <f t="shared" si="162"/>
        <v>1877.4</v>
      </c>
      <c r="I5223">
        <f t="shared" si="163"/>
        <v>1166.7</v>
      </c>
    </row>
    <row r="5224" spans="1:9" x14ac:dyDescent="0.25">
      <c r="A5224" s="5" t="s">
        <v>89</v>
      </c>
      <c r="B5224" s="5" t="s">
        <v>57</v>
      </c>
      <c r="C5224" s="5" t="s">
        <v>5703</v>
      </c>
      <c r="D5224" s="3">
        <f>VLOOKUP(A5224,airports!A:H,7,FALSE)</f>
        <v>29.993388889999999</v>
      </c>
      <c r="E5224" s="3">
        <f>VLOOKUP(A5224,airports!A:H,8,FALSE)</f>
        <v>-90.258027780000006</v>
      </c>
      <c r="F5224" s="3">
        <f>VLOOKUP(B5224,airports!A:H,7,FALSE)</f>
        <v>26.072583330000001</v>
      </c>
      <c r="G5224" s="3">
        <f>VLOOKUP(B5224,airports!A:H,8,FALSE)</f>
        <v>-80.152749999999997</v>
      </c>
      <c r="H5224">
        <f t="shared" si="162"/>
        <v>1082.8</v>
      </c>
      <c r="I5224">
        <f t="shared" si="163"/>
        <v>672.9</v>
      </c>
    </row>
    <row r="5225" spans="1:9" ht="30" x14ac:dyDescent="0.25">
      <c r="A5225" s="5" t="s">
        <v>89</v>
      </c>
      <c r="B5225" s="5" t="s">
        <v>515</v>
      </c>
      <c r="C5225" s="5" t="s">
        <v>5704</v>
      </c>
      <c r="D5225" s="3">
        <f>VLOOKUP(A5225,airports!A:H,7,FALSE)</f>
        <v>29.993388889999999</v>
      </c>
      <c r="E5225" s="3">
        <f>VLOOKUP(A5225,airports!A:H,8,FALSE)</f>
        <v>-90.258027780000006</v>
      </c>
      <c r="F5225" s="3">
        <f>VLOOKUP(B5225,airports!A:H,7,FALSE)</f>
        <v>42.880819719999998</v>
      </c>
      <c r="G5225" s="3">
        <f>VLOOKUP(B5225,airports!A:H,8,FALSE)</f>
        <v>-85.522767779999995</v>
      </c>
      <c r="H5225">
        <f t="shared" si="162"/>
        <v>1493.6</v>
      </c>
      <c r="I5225">
        <f t="shared" si="163"/>
        <v>928.2</v>
      </c>
    </row>
    <row r="5226" spans="1:9" ht="30" x14ac:dyDescent="0.25">
      <c r="A5226" s="5" t="s">
        <v>89</v>
      </c>
      <c r="B5226" s="5" t="s">
        <v>519</v>
      </c>
      <c r="C5226" s="5" t="s">
        <v>5705</v>
      </c>
      <c r="D5226" s="3">
        <f>VLOOKUP(A5226,airports!A:H,7,FALSE)</f>
        <v>29.993388889999999</v>
      </c>
      <c r="E5226" s="3">
        <f>VLOOKUP(A5226,airports!A:H,8,FALSE)</f>
        <v>-90.258027780000006</v>
      </c>
      <c r="F5226" s="3">
        <f>VLOOKUP(B5226,airports!A:H,7,FALSE)</f>
        <v>34.89566722</v>
      </c>
      <c r="G5226" s="3">
        <f>VLOOKUP(B5226,airports!A:H,8,FALSE)</f>
        <v>-82.218858330000003</v>
      </c>
      <c r="H5226">
        <f t="shared" si="162"/>
        <v>930.2</v>
      </c>
      <c r="I5226">
        <f t="shared" si="163"/>
        <v>578</v>
      </c>
    </row>
    <row r="5227" spans="1:9" ht="30" x14ac:dyDescent="0.25">
      <c r="A5227" s="5" t="s">
        <v>89</v>
      </c>
      <c r="B5227" s="5" t="s">
        <v>205</v>
      </c>
      <c r="C5227" s="5" t="s">
        <v>5706</v>
      </c>
      <c r="D5227" s="3">
        <f>VLOOKUP(A5227,airports!A:H,7,FALSE)</f>
        <v>29.993388889999999</v>
      </c>
      <c r="E5227" s="3">
        <f>VLOOKUP(A5227,airports!A:H,8,FALSE)</f>
        <v>-90.258027780000006</v>
      </c>
      <c r="F5227" s="3">
        <f>VLOOKUP(B5227,airports!A:H,7,FALSE)</f>
        <v>29.64541861</v>
      </c>
      <c r="G5227" s="3">
        <f>VLOOKUP(B5227,airports!A:H,8,FALSE)</f>
        <v>-95.278888890000005</v>
      </c>
      <c r="H5227">
        <f t="shared" si="162"/>
        <v>485.9</v>
      </c>
      <c r="I5227">
        <f t="shared" si="163"/>
        <v>301.89999999999998</v>
      </c>
    </row>
    <row r="5228" spans="1:9" ht="30" x14ac:dyDescent="0.25">
      <c r="A5228" s="5" t="s">
        <v>89</v>
      </c>
      <c r="B5228" s="5" t="s">
        <v>176</v>
      </c>
      <c r="C5228" s="5" t="s">
        <v>5707</v>
      </c>
      <c r="D5228" s="3">
        <f>VLOOKUP(A5228,airports!A:H,7,FALSE)</f>
        <v>29.993388889999999</v>
      </c>
      <c r="E5228" s="3">
        <f>VLOOKUP(A5228,airports!A:H,8,FALSE)</f>
        <v>-90.258027780000006</v>
      </c>
      <c r="F5228" s="3">
        <f>VLOOKUP(B5228,airports!A:H,7,FALSE)</f>
        <v>38.944531939999997</v>
      </c>
      <c r="G5228" s="3">
        <f>VLOOKUP(B5228,airports!A:H,8,FALSE)</f>
        <v>-77.455809720000005</v>
      </c>
      <c r="H5228">
        <f t="shared" si="162"/>
        <v>1536</v>
      </c>
      <c r="I5228">
        <f t="shared" si="163"/>
        <v>954.5</v>
      </c>
    </row>
    <row r="5229" spans="1:9" ht="30" x14ac:dyDescent="0.25">
      <c r="A5229" s="5" t="s">
        <v>89</v>
      </c>
      <c r="B5229" s="5" t="s">
        <v>67</v>
      </c>
      <c r="C5229" s="5" t="s">
        <v>5708</v>
      </c>
      <c r="D5229" s="3">
        <f>VLOOKUP(A5229,airports!A:H,7,FALSE)</f>
        <v>29.993388889999999</v>
      </c>
      <c r="E5229" s="3">
        <f>VLOOKUP(A5229,airports!A:H,8,FALSE)</f>
        <v>-90.258027780000006</v>
      </c>
      <c r="F5229" s="3">
        <f>VLOOKUP(B5229,airports!A:H,7,FALSE)</f>
        <v>29.980472219999999</v>
      </c>
      <c r="G5229" s="3">
        <f>VLOOKUP(B5229,airports!A:H,8,FALSE)</f>
        <v>-95.339722219999999</v>
      </c>
      <c r="H5229">
        <f t="shared" si="162"/>
        <v>489.4</v>
      </c>
      <c r="I5229">
        <f t="shared" si="163"/>
        <v>304.10000000000002</v>
      </c>
    </row>
    <row r="5230" spans="1:9" ht="30" x14ac:dyDescent="0.25">
      <c r="A5230" s="5" t="s">
        <v>89</v>
      </c>
      <c r="B5230" s="5" t="s">
        <v>537</v>
      </c>
      <c r="C5230" s="5" t="s">
        <v>5709</v>
      </c>
      <c r="D5230" s="3">
        <f>VLOOKUP(A5230,airports!A:H,7,FALSE)</f>
        <v>29.993388889999999</v>
      </c>
      <c r="E5230" s="3">
        <f>VLOOKUP(A5230,airports!A:H,8,FALSE)</f>
        <v>-90.258027780000006</v>
      </c>
      <c r="F5230" s="3">
        <f>VLOOKUP(B5230,airports!A:H,7,FALSE)</f>
        <v>39.717329169999999</v>
      </c>
      <c r="G5230" s="3">
        <f>VLOOKUP(B5230,airports!A:H,8,FALSE)</f>
        <v>-86.294384170000001</v>
      </c>
      <c r="H5230">
        <f t="shared" si="162"/>
        <v>1139.8</v>
      </c>
      <c r="I5230">
        <f t="shared" si="163"/>
        <v>708.3</v>
      </c>
    </row>
    <row r="5231" spans="1:9" x14ac:dyDescent="0.25">
      <c r="A5231" s="5" t="s">
        <v>89</v>
      </c>
      <c r="B5231" s="5" t="s">
        <v>539</v>
      </c>
      <c r="C5231" s="5" t="s">
        <v>5710</v>
      </c>
      <c r="D5231" s="3">
        <f>VLOOKUP(A5231,airports!A:H,7,FALSE)</f>
        <v>29.993388889999999</v>
      </c>
      <c r="E5231" s="3">
        <f>VLOOKUP(A5231,airports!A:H,8,FALSE)</f>
        <v>-90.258027780000006</v>
      </c>
      <c r="F5231" s="3">
        <f>VLOOKUP(B5231,airports!A:H,7,FALSE)</f>
        <v>40.795242500000001</v>
      </c>
      <c r="G5231" s="3">
        <f>VLOOKUP(B5231,airports!A:H,8,FALSE)</f>
        <v>-73.100211939999994</v>
      </c>
      <c r="H5231">
        <f t="shared" si="162"/>
        <v>1958.9</v>
      </c>
      <c r="I5231">
        <f t="shared" si="163"/>
        <v>1217.3</v>
      </c>
    </row>
    <row r="5232" spans="1:9" x14ac:dyDescent="0.25">
      <c r="A5232" s="5" t="s">
        <v>89</v>
      </c>
      <c r="B5232" s="5" t="s">
        <v>69</v>
      </c>
      <c r="C5232" s="5" t="s">
        <v>5711</v>
      </c>
      <c r="D5232" s="3">
        <f>VLOOKUP(A5232,airports!A:H,7,FALSE)</f>
        <v>29.993388889999999</v>
      </c>
      <c r="E5232" s="3">
        <f>VLOOKUP(A5232,airports!A:H,8,FALSE)</f>
        <v>-90.258027780000006</v>
      </c>
      <c r="F5232" s="3">
        <f>VLOOKUP(B5232,airports!A:H,7,FALSE)</f>
        <v>40.639751109999999</v>
      </c>
      <c r="G5232" s="3">
        <f>VLOOKUP(B5232,airports!A:H,8,FALSE)</f>
        <v>-73.778925560000005</v>
      </c>
      <c r="H5232">
        <f t="shared" si="162"/>
        <v>1901.5</v>
      </c>
      <c r="I5232">
        <f t="shared" si="163"/>
        <v>1181.5999999999999</v>
      </c>
    </row>
    <row r="5233" spans="1:9" ht="30" x14ac:dyDescent="0.25">
      <c r="A5233" s="5" t="s">
        <v>89</v>
      </c>
      <c r="B5233" s="5" t="s">
        <v>71</v>
      </c>
      <c r="C5233" s="5" t="s">
        <v>5712</v>
      </c>
      <c r="D5233" s="3">
        <f>VLOOKUP(A5233,airports!A:H,7,FALSE)</f>
        <v>29.993388889999999</v>
      </c>
      <c r="E5233" s="3">
        <f>VLOOKUP(A5233,airports!A:H,8,FALSE)</f>
        <v>-90.258027780000006</v>
      </c>
      <c r="F5233" s="3">
        <f>VLOOKUP(B5233,airports!A:H,7,FALSE)</f>
        <v>36.080361109999998</v>
      </c>
      <c r="G5233" s="3">
        <f>VLOOKUP(B5233,airports!A:H,8,FALSE)</f>
        <v>-115.1523333</v>
      </c>
      <c r="H5233">
        <f t="shared" si="162"/>
        <v>2409.6</v>
      </c>
      <c r="I5233">
        <f t="shared" si="163"/>
        <v>1497.3</v>
      </c>
    </row>
    <row r="5234" spans="1:9" ht="30" x14ac:dyDescent="0.25">
      <c r="A5234" s="5" t="s">
        <v>89</v>
      </c>
      <c r="B5234" s="5" t="s">
        <v>73</v>
      </c>
      <c r="C5234" s="5" t="s">
        <v>5713</v>
      </c>
      <c r="D5234" s="3">
        <f>VLOOKUP(A5234,airports!A:H,7,FALSE)</f>
        <v>29.993388889999999</v>
      </c>
      <c r="E5234" s="3">
        <f>VLOOKUP(A5234,airports!A:H,8,FALSE)</f>
        <v>-90.258027780000006</v>
      </c>
      <c r="F5234" s="3">
        <f>VLOOKUP(B5234,airports!A:H,7,FALSE)</f>
        <v>33.942536109999999</v>
      </c>
      <c r="G5234" s="3">
        <f>VLOOKUP(B5234,airports!A:H,8,FALSE)</f>
        <v>-118.4080744</v>
      </c>
      <c r="H5234">
        <f t="shared" si="162"/>
        <v>2682.9</v>
      </c>
      <c r="I5234">
        <f t="shared" si="163"/>
        <v>1667.2</v>
      </c>
    </row>
    <row r="5235" spans="1:9" ht="30" x14ac:dyDescent="0.25">
      <c r="A5235" s="5" t="s">
        <v>89</v>
      </c>
      <c r="B5235" s="5" t="s">
        <v>740</v>
      </c>
      <c r="C5235" s="5" t="s">
        <v>5714</v>
      </c>
      <c r="D5235" s="3">
        <f>VLOOKUP(A5235,airports!A:H,7,FALSE)</f>
        <v>29.993388889999999</v>
      </c>
      <c r="E5235" s="3">
        <f>VLOOKUP(A5235,airports!A:H,8,FALSE)</f>
        <v>-90.258027780000006</v>
      </c>
      <c r="F5235" s="3">
        <f>VLOOKUP(B5235,airports!A:H,7,FALSE)</f>
        <v>39.813800999999998</v>
      </c>
      <c r="G5235" s="3">
        <f>VLOOKUP(B5235,airports!A:H,8,FALSE)</f>
        <v>-82.927802999999997</v>
      </c>
      <c r="H5235">
        <f t="shared" si="162"/>
        <v>1279.2</v>
      </c>
      <c r="I5235">
        <f t="shared" si="163"/>
        <v>794.9</v>
      </c>
    </row>
    <row r="5236" spans="1:9" ht="30" x14ac:dyDescent="0.25">
      <c r="A5236" s="5" t="s">
        <v>89</v>
      </c>
      <c r="B5236" s="5" t="s">
        <v>74</v>
      </c>
      <c r="C5236" s="5" t="s">
        <v>5715</v>
      </c>
      <c r="D5236" s="3">
        <f>VLOOKUP(A5236,airports!A:H,7,FALSE)</f>
        <v>29.993388889999999</v>
      </c>
      <c r="E5236" s="3">
        <f>VLOOKUP(A5236,airports!A:H,8,FALSE)</f>
        <v>-90.258027780000006</v>
      </c>
      <c r="F5236" s="3">
        <f>VLOOKUP(B5236,airports!A:H,7,FALSE)</f>
        <v>40.777243060000004</v>
      </c>
      <c r="G5236" s="3">
        <f>VLOOKUP(B5236,airports!A:H,8,FALSE)</f>
        <v>-73.872609170000004</v>
      </c>
      <c r="H5236">
        <f t="shared" si="162"/>
        <v>1903.4</v>
      </c>
      <c r="I5236">
        <f t="shared" si="163"/>
        <v>1182.8</v>
      </c>
    </row>
    <row r="5237" spans="1:9" ht="30" x14ac:dyDescent="0.25">
      <c r="A5237" s="5" t="s">
        <v>89</v>
      </c>
      <c r="B5237" s="5" t="s">
        <v>80</v>
      </c>
      <c r="C5237" s="5" t="s">
        <v>5716</v>
      </c>
      <c r="D5237" s="3">
        <f>VLOOKUP(A5237,airports!A:H,7,FALSE)</f>
        <v>29.993388889999999</v>
      </c>
      <c r="E5237" s="3">
        <f>VLOOKUP(A5237,airports!A:H,8,FALSE)</f>
        <v>-90.258027780000006</v>
      </c>
      <c r="F5237" s="3">
        <f>VLOOKUP(B5237,airports!A:H,7,FALSE)</f>
        <v>39.297605279999999</v>
      </c>
      <c r="G5237" s="3">
        <f>VLOOKUP(B5237,airports!A:H,8,FALSE)</f>
        <v>-94.713905560000001</v>
      </c>
      <c r="H5237">
        <f t="shared" si="162"/>
        <v>1111.5999999999999</v>
      </c>
      <c r="I5237">
        <f t="shared" si="163"/>
        <v>690.7</v>
      </c>
    </row>
    <row r="5238" spans="1:9" ht="30" x14ac:dyDescent="0.25">
      <c r="A5238" s="5" t="s">
        <v>89</v>
      </c>
      <c r="B5238" s="5" t="s">
        <v>82</v>
      </c>
      <c r="C5238" s="5" t="s">
        <v>5717</v>
      </c>
      <c r="D5238" s="3">
        <f>VLOOKUP(A5238,airports!A:H,7,FALSE)</f>
        <v>29.993388889999999</v>
      </c>
      <c r="E5238" s="3">
        <f>VLOOKUP(A5238,airports!A:H,8,FALSE)</f>
        <v>-90.258027780000006</v>
      </c>
      <c r="F5238" s="3">
        <f>VLOOKUP(B5238,airports!A:H,7,FALSE)</f>
        <v>28.42888889</v>
      </c>
      <c r="G5238" s="3">
        <f>VLOOKUP(B5238,airports!A:H,8,FALSE)</f>
        <v>-81.316027779999999</v>
      </c>
      <c r="H5238">
        <f t="shared" si="162"/>
        <v>884.9</v>
      </c>
      <c r="I5238">
        <f t="shared" si="163"/>
        <v>549.9</v>
      </c>
    </row>
    <row r="5239" spans="1:9" ht="30" x14ac:dyDescent="0.25">
      <c r="A5239" s="5" t="s">
        <v>89</v>
      </c>
      <c r="B5239" s="5" t="s">
        <v>180</v>
      </c>
      <c r="C5239" s="5" t="s">
        <v>5718</v>
      </c>
      <c r="D5239" s="3">
        <f>VLOOKUP(A5239,airports!A:H,7,FALSE)</f>
        <v>29.993388889999999</v>
      </c>
      <c r="E5239" s="3">
        <f>VLOOKUP(A5239,airports!A:H,8,FALSE)</f>
        <v>-90.258027780000006</v>
      </c>
      <c r="F5239" s="3">
        <f>VLOOKUP(B5239,airports!A:H,7,FALSE)</f>
        <v>41.785982500000003</v>
      </c>
      <c r="G5239" s="3">
        <f>VLOOKUP(B5239,airports!A:H,8,FALSE)</f>
        <v>-87.752424439999999</v>
      </c>
      <c r="H5239">
        <f t="shared" si="162"/>
        <v>1330.4</v>
      </c>
      <c r="I5239">
        <f t="shared" si="163"/>
        <v>826.7</v>
      </c>
    </row>
    <row r="5240" spans="1:9" ht="30" x14ac:dyDescent="0.25">
      <c r="A5240" s="5" t="s">
        <v>89</v>
      </c>
      <c r="B5240" s="5" t="s">
        <v>84</v>
      </c>
      <c r="C5240" s="5" t="s">
        <v>5719</v>
      </c>
      <c r="D5240" s="3">
        <f>VLOOKUP(A5240,airports!A:H,7,FALSE)</f>
        <v>29.993388889999999</v>
      </c>
      <c r="E5240" s="3">
        <f>VLOOKUP(A5240,airports!A:H,8,FALSE)</f>
        <v>-90.258027780000006</v>
      </c>
      <c r="F5240" s="3">
        <f>VLOOKUP(B5240,airports!A:H,7,FALSE)</f>
        <v>25.79325</v>
      </c>
      <c r="G5240" s="3">
        <f>VLOOKUP(B5240,airports!A:H,8,FALSE)</f>
        <v>-80.290555560000001</v>
      </c>
      <c r="H5240">
        <f t="shared" si="162"/>
        <v>1084.5999999999999</v>
      </c>
      <c r="I5240">
        <f t="shared" si="163"/>
        <v>674</v>
      </c>
    </row>
    <row r="5241" spans="1:9" ht="30" x14ac:dyDescent="0.25">
      <c r="A5241" s="5" t="s">
        <v>89</v>
      </c>
      <c r="B5241" s="5" t="s">
        <v>87</v>
      </c>
      <c r="C5241" s="5" t="s">
        <v>5720</v>
      </c>
      <c r="D5241" s="3">
        <f>VLOOKUP(A5241,airports!A:H,7,FALSE)</f>
        <v>29.993388889999999</v>
      </c>
      <c r="E5241" s="3">
        <f>VLOOKUP(A5241,airports!A:H,8,FALSE)</f>
        <v>-90.258027780000006</v>
      </c>
      <c r="F5241" s="3">
        <f>VLOOKUP(B5241,airports!A:H,7,FALSE)</f>
        <v>44.880546940000002</v>
      </c>
      <c r="G5241" s="3">
        <f>VLOOKUP(B5241,airports!A:H,8,FALSE)</f>
        <v>-93.216922499999995</v>
      </c>
      <c r="H5241">
        <f t="shared" si="162"/>
        <v>1675.5</v>
      </c>
      <c r="I5241">
        <f t="shared" si="163"/>
        <v>1041.2</v>
      </c>
    </row>
    <row r="5242" spans="1:9" ht="30" x14ac:dyDescent="0.25">
      <c r="A5242" s="5" t="s">
        <v>89</v>
      </c>
      <c r="B5242" s="5" t="s">
        <v>215</v>
      </c>
      <c r="C5242" s="5" t="s">
        <v>5721</v>
      </c>
      <c r="D5242" s="3">
        <f>VLOOKUP(A5242,airports!A:H,7,FALSE)</f>
        <v>29.993388889999999</v>
      </c>
      <c r="E5242" s="3">
        <f>VLOOKUP(A5242,airports!A:H,8,FALSE)</f>
        <v>-90.258027780000006</v>
      </c>
      <c r="F5242" s="3">
        <f>VLOOKUP(B5242,airports!A:H,7,FALSE)</f>
        <v>37.721290830000001</v>
      </c>
      <c r="G5242" s="3">
        <f>VLOOKUP(B5242,airports!A:H,8,FALSE)</f>
        <v>-122.2207167</v>
      </c>
      <c r="H5242">
        <f t="shared" si="162"/>
        <v>3057.2</v>
      </c>
      <c r="I5242">
        <f t="shared" si="163"/>
        <v>1899.8</v>
      </c>
    </row>
    <row r="5243" spans="1:9" ht="30" x14ac:dyDescent="0.25">
      <c r="A5243" s="5" t="s">
        <v>89</v>
      </c>
      <c r="B5243" s="5" t="s">
        <v>590</v>
      </c>
      <c r="C5243" s="5" t="s">
        <v>5722</v>
      </c>
      <c r="D5243" s="3">
        <f>VLOOKUP(A5243,airports!A:H,7,FALSE)</f>
        <v>29.993388889999999</v>
      </c>
      <c r="E5243" s="3">
        <f>VLOOKUP(A5243,airports!A:H,8,FALSE)</f>
        <v>-90.258027780000006</v>
      </c>
      <c r="F5243" s="3">
        <f>VLOOKUP(B5243,airports!A:H,7,FALSE)</f>
        <v>35.393088329999998</v>
      </c>
      <c r="G5243" s="3">
        <f>VLOOKUP(B5243,airports!A:H,8,FALSE)</f>
        <v>-97.600733890000001</v>
      </c>
      <c r="H5243">
        <f t="shared" si="162"/>
        <v>912</v>
      </c>
      <c r="I5243">
        <f t="shared" si="163"/>
        <v>566.70000000000005</v>
      </c>
    </row>
    <row r="5244" spans="1:9" ht="30" x14ac:dyDescent="0.25">
      <c r="A5244" s="5" t="s">
        <v>89</v>
      </c>
      <c r="B5244" s="5" t="s">
        <v>95</v>
      </c>
      <c r="C5244" s="5" t="s">
        <v>5723</v>
      </c>
      <c r="D5244" s="3">
        <f>VLOOKUP(A5244,airports!A:H,7,FALSE)</f>
        <v>29.993388889999999</v>
      </c>
      <c r="E5244" s="3">
        <f>VLOOKUP(A5244,airports!A:H,8,FALSE)</f>
        <v>-90.258027780000006</v>
      </c>
      <c r="F5244" s="3">
        <f>VLOOKUP(B5244,airports!A:H,7,FALSE)</f>
        <v>41.979595000000003</v>
      </c>
      <c r="G5244" s="3">
        <f>VLOOKUP(B5244,airports!A:H,8,FALSE)</f>
        <v>-87.904464169999997</v>
      </c>
      <c r="H5244">
        <f t="shared" si="162"/>
        <v>1349.4</v>
      </c>
      <c r="I5244">
        <f t="shared" si="163"/>
        <v>838.5</v>
      </c>
    </row>
    <row r="5245" spans="1:9" ht="30" x14ac:dyDescent="0.25">
      <c r="A5245" s="5" t="s">
        <v>89</v>
      </c>
      <c r="B5245" s="5" t="s">
        <v>102</v>
      </c>
      <c r="C5245" s="5" t="s">
        <v>5724</v>
      </c>
      <c r="D5245" s="3">
        <f>VLOOKUP(A5245,airports!A:H,7,FALSE)</f>
        <v>29.993388889999999</v>
      </c>
      <c r="E5245" s="3">
        <f>VLOOKUP(A5245,airports!A:H,8,FALSE)</f>
        <v>-90.258027780000006</v>
      </c>
      <c r="F5245" s="3">
        <f>VLOOKUP(B5245,airports!A:H,7,FALSE)</f>
        <v>39.871952780000001</v>
      </c>
      <c r="G5245" s="3">
        <f>VLOOKUP(B5245,airports!A:H,8,FALSE)</f>
        <v>-75.241140830000006</v>
      </c>
      <c r="H5245">
        <f t="shared" si="162"/>
        <v>1750.9</v>
      </c>
      <c r="I5245">
        <f t="shared" si="163"/>
        <v>1088</v>
      </c>
    </row>
    <row r="5246" spans="1:9" ht="30" x14ac:dyDescent="0.25">
      <c r="A5246" s="5" t="s">
        <v>89</v>
      </c>
      <c r="B5246" s="5" t="s">
        <v>104</v>
      </c>
      <c r="C5246" s="5" t="s">
        <v>5725</v>
      </c>
      <c r="D5246" s="3">
        <f>VLOOKUP(A5246,airports!A:H,7,FALSE)</f>
        <v>29.993388889999999</v>
      </c>
      <c r="E5246" s="3">
        <f>VLOOKUP(A5246,airports!A:H,8,FALSE)</f>
        <v>-90.258027780000006</v>
      </c>
      <c r="F5246" s="3">
        <f>VLOOKUP(B5246,airports!A:H,7,FALSE)</f>
        <v>33.434166670000003</v>
      </c>
      <c r="G5246" s="3">
        <f>VLOOKUP(B5246,airports!A:H,8,FALSE)</f>
        <v>-112.00805560000001</v>
      </c>
      <c r="H5246">
        <f t="shared" si="162"/>
        <v>2088.6</v>
      </c>
      <c r="I5246">
        <f t="shared" si="163"/>
        <v>1297.9000000000001</v>
      </c>
    </row>
    <row r="5247" spans="1:9" x14ac:dyDescent="0.25">
      <c r="A5247" s="5" t="s">
        <v>89</v>
      </c>
      <c r="B5247" s="5" t="s">
        <v>188</v>
      </c>
      <c r="C5247" s="5" t="s">
        <v>5726</v>
      </c>
      <c r="D5247" s="3">
        <f>VLOOKUP(A5247,airports!A:H,7,FALSE)</f>
        <v>29.993388889999999</v>
      </c>
      <c r="E5247" s="3">
        <f>VLOOKUP(A5247,airports!A:H,8,FALSE)</f>
        <v>-90.258027780000006</v>
      </c>
      <c r="F5247" s="3">
        <f>VLOOKUP(B5247,airports!A:H,7,FALSE)</f>
        <v>27.910763330000002</v>
      </c>
      <c r="G5247" s="3">
        <f>VLOOKUP(B5247,airports!A:H,8,FALSE)</f>
        <v>-82.687439440000006</v>
      </c>
      <c r="H5247">
        <f t="shared" si="162"/>
        <v>772</v>
      </c>
      <c r="I5247">
        <f t="shared" si="163"/>
        <v>479.7</v>
      </c>
    </row>
    <row r="5248" spans="1:9" x14ac:dyDescent="0.25">
      <c r="A5248" s="5" t="s">
        <v>89</v>
      </c>
      <c r="B5248" s="5" t="s">
        <v>106</v>
      </c>
      <c r="C5248" s="5" t="s">
        <v>5727</v>
      </c>
      <c r="D5248" s="3">
        <f>VLOOKUP(A5248,airports!A:H,7,FALSE)</f>
        <v>29.993388889999999</v>
      </c>
      <c r="E5248" s="3">
        <f>VLOOKUP(A5248,airports!A:H,8,FALSE)</f>
        <v>-90.258027780000006</v>
      </c>
      <c r="F5248" s="3">
        <f>VLOOKUP(B5248,airports!A:H,7,FALSE)</f>
        <v>40.491465830000003</v>
      </c>
      <c r="G5248" s="3">
        <f>VLOOKUP(B5248,airports!A:H,8,FALSE)</f>
        <v>-80.232870829999996</v>
      </c>
      <c r="H5248">
        <f t="shared" si="162"/>
        <v>1478.2</v>
      </c>
      <c r="I5248">
        <f t="shared" si="163"/>
        <v>918.6</v>
      </c>
    </row>
    <row r="5249" spans="1:9" ht="30" x14ac:dyDescent="0.25">
      <c r="A5249" s="5" t="s">
        <v>89</v>
      </c>
      <c r="B5249" s="5" t="s">
        <v>607</v>
      </c>
      <c r="C5249" s="5" t="s">
        <v>5728</v>
      </c>
      <c r="D5249" s="3">
        <f>VLOOKUP(A5249,airports!A:H,7,FALSE)</f>
        <v>29.993388889999999</v>
      </c>
      <c r="E5249" s="3">
        <f>VLOOKUP(A5249,airports!A:H,8,FALSE)</f>
        <v>-90.258027780000006</v>
      </c>
      <c r="F5249" s="3">
        <f>VLOOKUP(B5249,airports!A:H,7,FALSE)</f>
        <v>30.47330556</v>
      </c>
      <c r="G5249" s="3">
        <f>VLOOKUP(B5249,airports!A:H,8,FALSE)</f>
        <v>-87.187444439999993</v>
      </c>
      <c r="H5249">
        <f t="shared" si="162"/>
        <v>299.8</v>
      </c>
      <c r="I5249">
        <f t="shared" si="163"/>
        <v>186.3</v>
      </c>
    </row>
    <row r="5250" spans="1:9" ht="30" x14ac:dyDescent="0.25">
      <c r="A5250" s="5" t="s">
        <v>89</v>
      </c>
      <c r="B5250" s="5" t="s">
        <v>114</v>
      </c>
      <c r="C5250" s="5" t="s">
        <v>5729</v>
      </c>
      <c r="D5250" s="3">
        <f>VLOOKUP(A5250,airports!A:H,7,FALSE)</f>
        <v>29.993388889999999</v>
      </c>
      <c r="E5250" s="3">
        <f>VLOOKUP(A5250,airports!A:H,8,FALSE)</f>
        <v>-90.258027780000006</v>
      </c>
      <c r="F5250" s="3">
        <f>VLOOKUP(B5250,airports!A:H,7,FALSE)</f>
        <v>41.723999169999999</v>
      </c>
      <c r="G5250" s="3">
        <f>VLOOKUP(B5250,airports!A:H,8,FALSE)</f>
        <v>-71.428221109999996</v>
      </c>
      <c r="H5250">
        <f t="shared" si="162"/>
        <v>2132.1999999999998</v>
      </c>
      <c r="I5250">
        <f t="shared" si="163"/>
        <v>1324.9</v>
      </c>
    </row>
    <row r="5251" spans="1:9" ht="30" x14ac:dyDescent="0.25">
      <c r="A5251" s="5" t="s">
        <v>89</v>
      </c>
      <c r="B5251" s="5" t="s">
        <v>119</v>
      </c>
      <c r="C5251" s="5" t="s">
        <v>5730</v>
      </c>
      <c r="D5251" s="3">
        <f>VLOOKUP(A5251,airports!A:H,7,FALSE)</f>
        <v>29.993388889999999</v>
      </c>
      <c r="E5251" s="3">
        <f>VLOOKUP(A5251,airports!A:H,8,FALSE)</f>
        <v>-90.258027780000006</v>
      </c>
      <c r="F5251" s="3">
        <f>VLOOKUP(B5251,airports!A:H,7,FALSE)</f>
        <v>35.87763889</v>
      </c>
      <c r="G5251" s="3">
        <f>VLOOKUP(B5251,airports!A:H,8,FALSE)</f>
        <v>-78.787472219999998</v>
      </c>
      <c r="H5251">
        <f t="shared" si="162"/>
        <v>1253.2</v>
      </c>
      <c r="I5251">
        <f t="shared" si="163"/>
        <v>778.8</v>
      </c>
    </row>
    <row r="5252" spans="1:9" ht="30" x14ac:dyDescent="0.25">
      <c r="A5252" s="5" t="s">
        <v>89</v>
      </c>
      <c r="B5252" s="5" t="s">
        <v>124</v>
      </c>
      <c r="C5252" s="5" t="s">
        <v>5731</v>
      </c>
      <c r="D5252" s="3">
        <f>VLOOKUP(A5252,airports!A:H,7,FALSE)</f>
        <v>29.993388889999999</v>
      </c>
      <c r="E5252" s="3">
        <f>VLOOKUP(A5252,airports!A:H,8,FALSE)</f>
        <v>-90.258027780000006</v>
      </c>
      <c r="F5252" s="3">
        <f>VLOOKUP(B5252,airports!A:H,7,FALSE)</f>
        <v>32.733556110000002</v>
      </c>
      <c r="G5252" s="3">
        <f>VLOOKUP(B5252,airports!A:H,8,FALSE)</f>
        <v>-117.1896567</v>
      </c>
      <c r="H5252">
        <f t="shared" ref="H5252:H5315" si="164">ROUND(ACOS(COS(RADIANS(90-D5252)) * COS(RADIANS(90-F5252)) + SIN(RADIANS(90-D5252)) * SIN(RADIANS(90-F5252)) * COS(RADIANS(E5252-G5252))) * 6371,1)</f>
        <v>2568.1999999999998</v>
      </c>
      <c r="I5252">
        <f t="shared" ref="I5252:I5315" si="165">ROUND(ACOS(COS(RADIANS(90-D5252)) * COS(RADIANS(90-F5252)) + SIN(RADIANS(90-D5252)) * SIN(RADIANS(90-F5252)) * COS(RADIANS(E5252-G5252))) * 3959,1)</f>
        <v>1595.9</v>
      </c>
    </row>
    <row r="5253" spans="1:9" ht="30" x14ac:dyDescent="0.25">
      <c r="A5253" s="5" t="s">
        <v>89</v>
      </c>
      <c r="B5253" s="5" t="s">
        <v>125</v>
      </c>
      <c r="C5253" s="5" t="s">
        <v>5732</v>
      </c>
      <c r="D5253" s="3">
        <f>VLOOKUP(A5253,airports!A:H,7,FALSE)</f>
        <v>29.993388889999999</v>
      </c>
      <c r="E5253" s="3">
        <f>VLOOKUP(A5253,airports!A:H,8,FALSE)</f>
        <v>-90.258027780000006</v>
      </c>
      <c r="F5253" s="3">
        <f>VLOOKUP(B5253,airports!A:H,7,FALSE)</f>
        <v>29.533694440000001</v>
      </c>
      <c r="G5253" s="3">
        <f>VLOOKUP(B5253,airports!A:H,8,FALSE)</f>
        <v>-98.469777780000001</v>
      </c>
      <c r="H5253">
        <f t="shared" si="164"/>
        <v>794.1</v>
      </c>
      <c r="I5253">
        <f t="shared" si="165"/>
        <v>493.5</v>
      </c>
    </row>
    <row r="5254" spans="1:9" ht="30" x14ac:dyDescent="0.25">
      <c r="A5254" s="5" t="s">
        <v>89</v>
      </c>
      <c r="B5254" s="5" t="s">
        <v>630</v>
      </c>
      <c r="C5254" s="5" t="s">
        <v>5733</v>
      </c>
      <c r="D5254" s="3">
        <f>VLOOKUP(A5254,airports!A:H,7,FALSE)</f>
        <v>29.993388889999999</v>
      </c>
      <c r="E5254" s="3">
        <f>VLOOKUP(A5254,airports!A:H,8,FALSE)</f>
        <v>-90.258027780000006</v>
      </c>
      <c r="F5254" s="3">
        <f>VLOOKUP(B5254,airports!A:H,7,FALSE)</f>
        <v>38.174388890000003</v>
      </c>
      <c r="G5254" s="3">
        <f>VLOOKUP(B5254,airports!A:H,8,FALSE)</f>
        <v>-85.736000000000004</v>
      </c>
      <c r="H5254">
        <f t="shared" si="164"/>
        <v>1000.1</v>
      </c>
      <c r="I5254">
        <f t="shared" si="165"/>
        <v>621.5</v>
      </c>
    </row>
    <row r="5255" spans="1:9" ht="30" x14ac:dyDescent="0.25">
      <c r="A5255" s="5" t="s">
        <v>89</v>
      </c>
      <c r="B5255" s="5" t="s">
        <v>128</v>
      </c>
      <c r="C5255" s="5" t="s">
        <v>5734</v>
      </c>
      <c r="D5255" s="3">
        <f>VLOOKUP(A5255,airports!A:H,7,FALSE)</f>
        <v>29.993388889999999</v>
      </c>
      <c r="E5255" s="3">
        <f>VLOOKUP(A5255,airports!A:H,8,FALSE)</f>
        <v>-90.258027780000006</v>
      </c>
      <c r="F5255" s="3">
        <f>VLOOKUP(B5255,airports!A:H,7,FALSE)</f>
        <v>47.448981940000003</v>
      </c>
      <c r="G5255" s="3">
        <f>VLOOKUP(B5255,airports!A:H,8,FALSE)</f>
        <v>-122.3093131</v>
      </c>
      <c r="H5255">
        <f t="shared" si="164"/>
        <v>3353</v>
      </c>
      <c r="I5255">
        <f t="shared" si="165"/>
        <v>2083.6</v>
      </c>
    </row>
    <row r="5256" spans="1:9" ht="30" x14ac:dyDescent="0.25">
      <c r="A5256" s="5" t="s">
        <v>89</v>
      </c>
      <c r="B5256" s="5" t="s">
        <v>191</v>
      </c>
      <c r="C5256" s="5" t="s">
        <v>5735</v>
      </c>
      <c r="D5256" s="3">
        <f>VLOOKUP(A5256,airports!A:H,7,FALSE)</f>
        <v>29.993388889999999</v>
      </c>
      <c r="E5256" s="3">
        <f>VLOOKUP(A5256,airports!A:H,8,FALSE)</f>
        <v>-90.258027780000006</v>
      </c>
      <c r="F5256" s="3">
        <f>VLOOKUP(B5256,airports!A:H,7,FALSE)</f>
        <v>28.7776</v>
      </c>
      <c r="G5256" s="3">
        <f>VLOOKUP(B5256,airports!A:H,8,FALSE)</f>
        <v>-81.237499999999997</v>
      </c>
      <c r="H5256">
        <f t="shared" si="164"/>
        <v>884.1</v>
      </c>
      <c r="I5256">
        <f t="shared" si="165"/>
        <v>549.4</v>
      </c>
    </row>
    <row r="5257" spans="1:9" ht="30" x14ac:dyDescent="0.25">
      <c r="A5257" s="5" t="s">
        <v>89</v>
      </c>
      <c r="B5257" s="5" t="s">
        <v>130</v>
      </c>
      <c r="C5257" s="5" t="s">
        <v>5736</v>
      </c>
      <c r="D5257" s="3">
        <f>VLOOKUP(A5257,airports!A:H,7,FALSE)</f>
        <v>29.993388889999999</v>
      </c>
      <c r="E5257" s="3">
        <f>VLOOKUP(A5257,airports!A:H,8,FALSE)</f>
        <v>-90.258027780000006</v>
      </c>
      <c r="F5257" s="3">
        <f>VLOOKUP(B5257,airports!A:H,7,FALSE)</f>
        <v>37.619001939999997</v>
      </c>
      <c r="G5257" s="3">
        <f>VLOOKUP(B5257,airports!A:H,8,FALSE)</f>
        <v>-122.37484329999999</v>
      </c>
      <c r="H5257">
        <f t="shared" si="164"/>
        <v>3069.4</v>
      </c>
      <c r="I5257">
        <f t="shared" si="165"/>
        <v>1907.4</v>
      </c>
    </row>
    <row r="5258" spans="1:9" x14ac:dyDescent="0.25">
      <c r="A5258" s="5" t="s">
        <v>89</v>
      </c>
      <c r="B5258" s="5" t="s">
        <v>131</v>
      </c>
      <c r="C5258" s="5" t="s">
        <v>5737</v>
      </c>
      <c r="D5258" s="3">
        <f>VLOOKUP(A5258,airports!A:H,7,FALSE)</f>
        <v>29.993388889999999</v>
      </c>
      <c r="E5258" s="3">
        <f>VLOOKUP(A5258,airports!A:H,8,FALSE)</f>
        <v>-90.258027780000006</v>
      </c>
      <c r="F5258" s="3">
        <f>VLOOKUP(B5258,airports!A:H,7,FALSE)</f>
        <v>37.361861939999997</v>
      </c>
      <c r="G5258" s="3">
        <f>VLOOKUP(B5258,airports!A:H,8,FALSE)</f>
        <v>-121.9290089</v>
      </c>
      <c r="H5258">
        <f t="shared" si="164"/>
        <v>3027.1</v>
      </c>
      <c r="I5258">
        <f t="shared" si="165"/>
        <v>1881.1</v>
      </c>
    </row>
    <row r="5259" spans="1:9" ht="30" x14ac:dyDescent="0.25">
      <c r="A5259" s="5" t="s">
        <v>89</v>
      </c>
      <c r="B5259" s="5" t="s">
        <v>135</v>
      </c>
      <c r="C5259" s="5" t="s">
        <v>5738</v>
      </c>
      <c r="D5259" s="3">
        <f>VLOOKUP(A5259,airports!A:H,7,FALSE)</f>
        <v>29.993388889999999</v>
      </c>
      <c r="E5259" s="3">
        <f>VLOOKUP(A5259,airports!A:H,8,FALSE)</f>
        <v>-90.258027780000006</v>
      </c>
      <c r="F5259" s="3">
        <f>VLOOKUP(B5259,airports!A:H,7,FALSE)</f>
        <v>40.788387780000001</v>
      </c>
      <c r="G5259" s="3">
        <f>VLOOKUP(B5259,airports!A:H,8,FALSE)</f>
        <v>-111.97777309999999</v>
      </c>
      <c r="H5259">
        <f t="shared" si="164"/>
        <v>2296.1999999999998</v>
      </c>
      <c r="I5259">
        <f t="shared" si="165"/>
        <v>1426.9</v>
      </c>
    </row>
    <row r="5260" spans="1:9" ht="30" x14ac:dyDescent="0.25">
      <c r="A5260" s="5" t="s">
        <v>89</v>
      </c>
      <c r="B5260" s="5" t="s">
        <v>137</v>
      </c>
      <c r="C5260" s="5" t="s">
        <v>5739</v>
      </c>
      <c r="D5260" s="3">
        <f>VLOOKUP(A5260,airports!A:H,7,FALSE)</f>
        <v>29.993388889999999</v>
      </c>
      <c r="E5260" s="3">
        <f>VLOOKUP(A5260,airports!A:H,8,FALSE)</f>
        <v>-90.258027780000006</v>
      </c>
      <c r="F5260" s="3">
        <f>VLOOKUP(B5260,airports!A:H,7,FALSE)</f>
        <v>38.695421670000002</v>
      </c>
      <c r="G5260" s="3">
        <f>VLOOKUP(B5260,airports!A:H,8,FALSE)</f>
        <v>-121.59076690000001</v>
      </c>
      <c r="H5260">
        <f t="shared" si="164"/>
        <v>3017.6</v>
      </c>
      <c r="I5260">
        <f t="shared" si="165"/>
        <v>1875.2</v>
      </c>
    </row>
    <row r="5261" spans="1:9" x14ac:dyDescent="0.25">
      <c r="A5261" s="5" t="s">
        <v>89</v>
      </c>
      <c r="B5261" s="5" t="s">
        <v>644</v>
      </c>
      <c r="C5261" s="5" t="s">
        <v>5740</v>
      </c>
      <c r="D5261" s="3">
        <f>VLOOKUP(A5261,airports!A:H,7,FALSE)</f>
        <v>29.993388889999999</v>
      </c>
      <c r="E5261" s="3">
        <f>VLOOKUP(A5261,airports!A:H,8,FALSE)</f>
        <v>-90.258027780000006</v>
      </c>
      <c r="F5261" s="3">
        <f>VLOOKUP(B5261,airports!A:H,7,FALSE)</f>
        <v>38.747686940000001</v>
      </c>
      <c r="G5261" s="3">
        <f>VLOOKUP(B5261,airports!A:H,8,FALSE)</f>
        <v>-90.359989720000002</v>
      </c>
      <c r="H5261">
        <f t="shared" si="164"/>
        <v>973.5</v>
      </c>
      <c r="I5261">
        <f t="shared" si="165"/>
        <v>604.9</v>
      </c>
    </row>
    <row r="5262" spans="1:9" ht="30" x14ac:dyDescent="0.25">
      <c r="A5262" s="5" t="s">
        <v>89</v>
      </c>
      <c r="B5262" s="5" t="s">
        <v>145</v>
      </c>
      <c r="C5262" s="5" t="s">
        <v>5741</v>
      </c>
      <c r="D5262" s="3">
        <f>VLOOKUP(A5262,airports!A:H,7,FALSE)</f>
        <v>29.993388889999999</v>
      </c>
      <c r="E5262" s="3">
        <f>VLOOKUP(A5262,airports!A:H,8,FALSE)</f>
        <v>-90.258027780000006</v>
      </c>
      <c r="F5262" s="3">
        <f>VLOOKUP(B5262,airports!A:H,7,FALSE)</f>
        <v>27.97547222</v>
      </c>
      <c r="G5262" s="3">
        <f>VLOOKUP(B5262,airports!A:H,8,FALSE)</f>
        <v>-82.533249999999995</v>
      </c>
      <c r="H5262">
        <f t="shared" si="164"/>
        <v>784</v>
      </c>
      <c r="I5262">
        <f t="shared" si="165"/>
        <v>487.2</v>
      </c>
    </row>
    <row r="5263" spans="1:9" ht="30" x14ac:dyDescent="0.25">
      <c r="A5263" s="5" t="s">
        <v>89</v>
      </c>
      <c r="B5263" s="5" t="s">
        <v>4</v>
      </c>
      <c r="C5263" s="5" t="s">
        <v>5742</v>
      </c>
      <c r="D5263" s="3">
        <f>VLOOKUP(A5263,airports!A:H,7,FALSE)</f>
        <v>29.993388889999999</v>
      </c>
      <c r="E5263" s="3">
        <f>VLOOKUP(A5263,airports!A:H,8,FALSE)</f>
        <v>-90.258027780000006</v>
      </c>
      <c r="F5263" s="3">
        <f>VLOOKUP(B5263,airports!A:H,7,FALSE)</f>
        <v>35.387797999999997</v>
      </c>
      <c r="G5263" s="3">
        <f>VLOOKUP(B5263,airports!A:H,8,FALSE)</f>
        <v>-80.709098999999995</v>
      </c>
      <c r="H5263">
        <f t="shared" si="164"/>
        <v>1075.4000000000001</v>
      </c>
      <c r="I5263">
        <f t="shared" si="165"/>
        <v>668.3</v>
      </c>
    </row>
    <row r="5264" spans="1:9" x14ac:dyDescent="0.25">
      <c r="A5264" s="5" t="s">
        <v>91</v>
      </c>
      <c r="B5264" s="5" t="s">
        <v>10</v>
      </c>
      <c r="C5264" s="5" t="s">
        <v>5743</v>
      </c>
      <c r="D5264" s="3">
        <f>VLOOKUP(A5264,airports!A:H,7,FALSE)</f>
        <v>38.508867219999999</v>
      </c>
      <c r="E5264" s="3">
        <f>VLOOKUP(A5264,airports!A:H,8,FALSE)</f>
        <v>-107.8938333</v>
      </c>
      <c r="F5264" s="3">
        <f>VLOOKUP(B5264,airports!A:H,7,FALSE)</f>
        <v>33.640444440000003</v>
      </c>
      <c r="G5264" s="3">
        <f>VLOOKUP(B5264,airports!A:H,8,FALSE)</f>
        <v>-84.42694444</v>
      </c>
      <c r="H5264">
        <f t="shared" si="164"/>
        <v>2170.8000000000002</v>
      </c>
      <c r="I5264">
        <f t="shared" si="165"/>
        <v>1349</v>
      </c>
    </row>
    <row r="5265" spans="1:9" ht="30" x14ac:dyDescent="0.25">
      <c r="A5265" s="5" t="s">
        <v>91</v>
      </c>
      <c r="B5265" s="5" t="s">
        <v>24</v>
      </c>
      <c r="C5265" s="5" t="s">
        <v>5744</v>
      </c>
      <c r="D5265" s="3">
        <f>VLOOKUP(A5265,airports!A:H,7,FALSE)</f>
        <v>38.508867219999999</v>
      </c>
      <c r="E5265" s="3">
        <f>VLOOKUP(A5265,airports!A:H,8,FALSE)</f>
        <v>-107.8938333</v>
      </c>
      <c r="F5265" s="3">
        <f>VLOOKUP(B5265,airports!A:H,7,FALSE)</f>
        <v>42.364347500000001</v>
      </c>
      <c r="G5265" s="3">
        <f>VLOOKUP(B5265,airports!A:H,8,FALSE)</f>
        <v>-71.005179170000005</v>
      </c>
      <c r="H5265">
        <f t="shared" si="164"/>
        <v>3126.5</v>
      </c>
      <c r="I5265">
        <f t="shared" si="165"/>
        <v>1942.8</v>
      </c>
    </row>
    <row r="5266" spans="1:9" x14ac:dyDescent="0.25">
      <c r="A5266" s="5" t="s">
        <v>91</v>
      </c>
      <c r="B5266" s="5" t="s">
        <v>40</v>
      </c>
      <c r="C5266" s="5" t="s">
        <v>5745</v>
      </c>
      <c r="D5266" s="3">
        <f>VLOOKUP(A5266,airports!A:H,7,FALSE)</f>
        <v>38.508867219999999</v>
      </c>
      <c r="E5266" s="3">
        <f>VLOOKUP(A5266,airports!A:H,8,FALSE)</f>
        <v>-107.8938333</v>
      </c>
      <c r="F5266" s="3">
        <f>VLOOKUP(B5266,airports!A:H,7,FALSE)</f>
        <v>35.214011110000001</v>
      </c>
      <c r="G5266" s="3">
        <f>VLOOKUP(B5266,airports!A:H,8,FALSE)</f>
        <v>-80.94312583</v>
      </c>
      <c r="H5266">
        <f t="shared" si="164"/>
        <v>2416.6999999999998</v>
      </c>
      <c r="I5266">
        <f t="shared" si="165"/>
        <v>1501.7</v>
      </c>
    </row>
    <row r="5267" spans="1:9" ht="30" x14ac:dyDescent="0.25">
      <c r="A5267" s="5" t="s">
        <v>91</v>
      </c>
      <c r="B5267" s="5" t="s">
        <v>201</v>
      </c>
      <c r="C5267" s="5" t="s">
        <v>5746</v>
      </c>
      <c r="D5267" s="3">
        <f>VLOOKUP(A5267,airports!A:H,7,FALSE)</f>
        <v>38.508867219999999</v>
      </c>
      <c r="E5267" s="3">
        <f>VLOOKUP(A5267,airports!A:H,8,FALSE)</f>
        <v>-107.8938333</v>
      </c>
      <c r="F5267" s="3">
        <f>VLOOKUP(B5267,airports!A:H,7,FALSE)</f>
        <v>32.847113890000003</v>
      </c>
      <c r="G5267" s="3">
        <f>VLOOKUP(B5267,airports!A:H,8,FALSE)</f>
        <v>-96.851772220000001</v>
      </c>
      <c r="H5267">
        <f t="shared" si="164"/>
        <v>1178.0999999999999</v>
      </c>
      <c r="I5267">
        <f t="shared" si="165"/>
        <v>732.1</v>
      </c>
    </row>
    <row r="5268" spans="1:9" ht="30" x14ac:dyDescent="0.25">
      <c r="A5268" s="5" t="s">
        <v>91</v>
      </c>
      <c r="B5268" s="5" t="s">
        <v>47</v>
      </c>
      <c r="C5268" s="5" t="s">
        <v>5747</v>
      </c>
      <c r="D5268" s="3">
        <f>VLOOKUP(A5268,airports!A:H,7,FALSE)</f>
        <v>38.508867219999999</v>
      </c>
      <c r="E5268" s="3">
        <f>VLOOKUP(A5268,airports!A:H,8,FALSE)</f>
        <v>-107.8938333</v>
      </c>
      <c r="F5268" s="3">
        <f>VLOOKUP(B5268,airports!A:H,7,FALSE)</f>
        <v>39.858408060000002</v>
      </c>
      <c r="G5268" s="3">
        <f>VLOOKUP(B5268,airports!A:H,8,FALSE)</f>
        <v>-104.6670019</v>
      </c>
      <c r="H5268">
        <f t="shared" si="164"/>
        <v>316</v>
      </c>
      <c r="I5268">
        <f t="shared" si="165"/>
        <v>196.4</v>
      </c>
    </row>
    <row r="5269" spans="1:9" ht="30" x14ac:dyDescent="0.25">
      <c r="A5269" s="5" t="s">
        <v>91</v>
      </c>
      <c r="B5269" s="5" t="s">
        <v>49</v>
      </c>
      <c r="C5269" s="5" t="s">
        <v>5748</v>
      </c>
      <c r="D5269" s="3">
        <f>VLOOKUP(A5269,airports!A:H,7,FALSE)</f>
        <v>38.508867219999999</v>
      </c>
      <c r="E5269" s="3">
        <f>VLOOKUP(A5269,airports!A:H,8,FALSE)</f>
        <v>-107.8938333</v>
      </c>
      <c r="F5269" s="3">
        <f>VLOOKUP(B5269,airports!A:H,7,FALSE)</f>
        <v>32.895950560000003</v>
      </c>
      <c r="G5269" s="3">
        <f>VLOOKUP(B5269,airports!A:H,8,FALSE)</f>
        <v>-97.037199999999999</v>
      </c>
      <c r="H5269">
        <f t="shared" si="164"/>
        <v>1160.9000000000001</v>
      </c>
      <c r="I5269">
        <f t="shared" si="165"/>
        <v>721.4</v>
      </c>
    </row>
    <row r="5270" spans="1:9" ht="30" x14ac:dyDescent="0.25">
      <c r="A5270" s="5" t="s">
        <v>91</v>
      </c>
      <c r="B5270" s="5" t="s">
        <v>52</v>
      </c>
      <c r="C5270" s="5" t="s">
        <v>5749</v>
      </c>
      <c r="D5270" s="3">
        <f>VLOOKUP(A5270,airports!A:H,7,FALSE)</f>
        <v>38.508867219999999</v>
      </c>
      <c r="E5270" s="3">
        <f>VLOOKUP(A5270,airports!A:H,8,FALSE)</f>
        <v>-107.8938333</v>
      </c>
      <c r="F5270" s="3">
        <f>VLOOKUP(B5270,airports!A:H,7,FALSE)</f>
        <v>40.69249722</v>
      </c>
      <c r="G5270" s="3">
        <f>VLOOKUP(B5270,airports!A:H,8,FALSE)</f>
        <v>-74.168660560000006</v>
      </c>
      <c r="H5270">
        <f t="shared" si="164"/>
        <v>2881.9</v>
      </c>
      <c r="I5270">
        <f t="shared" si="165"/>
        <v>1790.8</v>
      </c>
    </row>
    <row r="5271" spans="1:9" x14ac:dyDescent="0.25">
      <c r="A5271" s="5" t="s">
        <v>91</v>
      </c>
      <c r="B5271" s="5" t="s">
        <v>858</v>
      </c>
      <c r="C5271" s="5" t="s">
        <v>5750</v>
      </c>
      <c r="D5271" s="3">
        <f>VLOOKUP(A5271,airports!A:H,7,FALSE)</f>
        <v>38.508867219999999</v>
      </c>
      <c r="E5271" s="3">
        <f>VLOOKUP(A5271,airports!A:H,8,FALSE)</f>
        <v>-107.8938333</v>
      </c>
      <c r="F5271" s="3">
        <f>VLOOKUP(B5271,airports!A:H,7,FALSE)</f>
        <v>39.122412500000003</v>
      </c>
      <c r="G5271" s="3">
        <f>VLOOKUP(B5271,airports!A:H,8,FALSE)</f>
        <v>-108.52673470000001</v>
      </c>
      <c r="H5271">
        <f t="shared" si="164"/>
        <v>87.5</v>
      </c>
      <c r="I5271">
        <f t="shared" si="165"/>
        <v>54.4</v>
      </c>
    </row>
    <row r="5272" spans="1:9" ht="30" x14ac:dyDescent="0.25">
      <c r="A5272" s="5" t="s">
        <v>91</v>
      </c>
      <c r="B5272" s="5" t="s">
        <v>205</v>
      </c>
      <c r="C5272" s="5" t="s">
        <v>5751</v>
      </c>
      <c r="D5272" s="3">
        <f>VLOOKUP(A5272,airports!A:H,7,FALSE)</f>
        <v>38.508867219999999</v>
      </c>
      <c r="E5272" s="3">
        <f>VLOOKUP(A5272,airports!A:H,8,FALSE)</f>
        <v>-107.8938333</v>
      </c>
      <c r="F5272" s="3">
        <f>VLOOKUP(B5272,airports!A:H,7,FALSE)</f>
        <v>29.64541861</v>
      </c>
      <c r="G5272" s="3">
        <f>VLOOKUP(B5272,airports!A:H,8,FALSE)</f>
        <v>-95.278888890000005</v>
      </c>
      <c r="H5272">
        <f t="shared" si="164"/>
        <v>1520.9</v>
      </c>
      <c r="I5272">
        <f t="shared" si="165"/>
        <v>945.1</v>
      </c>
    </row>
    <row r="5273" spans="1:9" x14ac:dyDescent="0.25">
      <c r="A5273" s="5" t="s">
        <v>91</v>
      </c>
      <c r="B5273" s="5" t="s">
        <v>67</v>
      </c>
      <c r="C5273" s="5" t="s">
        <v>5752</v>
      </c>
      <c r="D5273" s="3">
        <f>VLOOKUP(A5273,airports!A:H,7,FALSE)</f>
        <v>38.508867219999999</v>
      </c>
      <c r="E5273" s="3">
        <f>VLOOKUP(A5273,airports!A:H,8,FALSE)</f>
        <v>-107.8938333</v>
      </c>
      <c r="F5273" s="3">
        <f>VLOOKUP(B5273,airports!A:H,7,FALSE)</f>
        <v>29.980472219999999</v>
      </c>
      <c r="G5273" s="3">
        <f>VLOOKUP(B5273,airports!A:H,8,FALSE)</f>
        <v>-95.339722219999999</v>
      </c>
      <c r="H5273">
        <f t="shared" si="164"/>
        <v>1491.1</v>
      </c>
      <c r="I5273">
        <f t="shared" si="165"/>
        <v>926.6</v>
      </c>
    </row>
    <row r="5274" spans="1:9" ht="30" x14ac:dyDescent="0.25">
      <c r="A5274" s="5" t="s">
        <v>91</v>
      </c>
      <c r="B5274" s="5" t="s">
        <v>73</v>
      </c>
      <c r="C5274" s="5" t="s">
        <v>5753</v>
      </c>
      <c r="D5274" s="3">
        <f>VLOOKUP(A5274,airports!A:H,7,FALSE)</f>
        <v>38.508867219999999</v>
      </c>
      <c r="E5274" s="3">
        <f>VLOOKUP(A5274,airports!A:H,8,FALSE)</f>
        <v>-107.8938333</v>
      </c>
      <c r="F5274" s="3">
        <f>VLOOKUP(B5274,airports!A:H,7,FALSE)</f>
        <v>33.942536109999999</v>
      </c>
      <c r="G5274" s="3">
        <f>VLOOKUP(B5274,airports!A:H,8,FALSE)</f>
        <v>-118.4080744</v>
      </c>
      <c r="H5274">
        <f t="shared" si="164"/>
        <v>1070.0999999999999</v>
      </c>
      <c r="I5274">
        <f t="shared" si="165"/>
        <v>665</v>
      </c>
    </row>
    <row r="5275" spans="1:9" ht="30" x14ac:dyDescent="0.25">
      <c r="A5275" s="5" t="s">
        <v>91</v>
      </c>
      <c r="B5275" s="5" t="s">
        <v>74</v>
      </c>
      <c r="C5275" s="5" t="s">
        <v>5754</v>
      </c>
      <c r="D5275" s="3">
        <f>VLOOKUP(A5275,airports!A:H,7,FALSE)</f>
        <v>38.508867219999999</v>
      </c>
      <c r="E5275" s="3">
        <f>VLOOKUP(A5275,airports!A:H,8,FALSE)</f>
        <v>-107.8938333</v>
      </c>
      <c r="F5275" s="3">
        <f>VLOOKUP(B5275,airports!A:H,7,FALSE)</f>
        <v>40.777243060000004</v>
      </c>
      <c r="G5275" s="3">
        <f>VLOOKUP(B5275,airports!A:H,8,FALSE)</f>
        <v>-73.872609170000004</v>
      </c>
      <c r="H5275">
        <f t="shared" si="164"/>
        <v>2905.7</v>
      </c>
      <c r="I5275">
        <f t="shared" si="165"/>
        <v>1805.6</v>
      </c>
    </row>
    <row r="5276" spans="1:9" ht="30" x14ac:dyDescent="0.25">
      <c r="A5276" s="5" t="s">
        <v>91</v>
      </c>
      <c r="B5276" s="5" t="s">
        <v>95</v>
      </c>
      <c r="C5276" s="5" t="s">
        <v>5755</v>
      </c>
      <c r="D5276" s="3">
        <f>VLOOKUP(A5276,airports!A:H,7,FALSE)</f>
        <v>38.508867219999999</v>
      </c>
      <c r="E5276" s="3">
        <f>VLOOKUP(A5276,airports!A:H,8,FALSE)</f>
        <v>-107.8938333</v>
      </c>
      <c r="F5276" s="3">
        <f>VLOOKUP(B5276,airports!A:H,7,FALSE)</f>
        <v>41.979595000000003</v>
      </c>
      <c r="G5276" s="3">
        <f>VLOOKUP(B5276,airports!A:H,8,FALSE)</f>
        <v>-87.904464169999997</v>
      </c>
      <c r="H5276">
        <f t="shared" si="164"/>
        <v>1735.6</v>
      </c>
      <c r="I5276">
        <f t="shared" si="165"/>
        <v>1078.5</v>
      </c>
    </row>
    <row r="5277" spans="1:9" ht="30" x14ac:dyDescent="0.25">
      <c r="A5277" s="5" t="s">
        <v>91</v>
      </c>
      <c r="B5277" s="5" t="s">
        <v>104</v>
      </c>
      <c r="C5277" s="5" t="s">
        <v>5756</v>
      </c>
      <c r="D5277" s="3">
        <f>VLOOKUP(A5277,airports!A:H,7,FALSE)</f>
        <v>38.508867219999999</v>
      </c>
      <c r="E5277" s="3">
        <f>VLOOKUP(A5277,airports!A:H,8,FALSE)</f>
        <v>-107.8938333</v>
      </c>
      <c r="F5277" s="3">
        <f>VLOOKUP(B5277,airports!A:H,7,FALSE)</f>
        <v>33.434166670000003</v>
      </c>
      <c r="G5277" s="3">
        <f>VLOOKUP(B5277,airports!A:H,8,FALSE)</f>
        <v>-112.00805560000001</v>
      </c>
      <c r="H5277">
        <f t="shared" si="164"/>
        <v>674.7</v>
      </c>
      <c r="I5277">
        <f t="shared" si="165"/>
        <v>419.3</v>
      </c>
    </row>
    <row r="5278" spans="1:9" ht="30" x14ac:dyDescent="0.25">
      <c r="A5278" s="5" t="s">
        <v>91</v>
      </c>
      <c r="B5278" s="5" t="s">
        <v>130</v>
      </c>
      <c r="C5278" s="5" t="s">
        <v>5757</v>
      </c>
      <c r="D5278" s="3">
        <f>VLOOKUP(A5278,airports!A:H,7,FALSE)</f>
        <v>38.508867219999999</v>
      </c>
      <c r="E5278" s="3">
        <f>VLOOKUP(A5278,airports!A:H,8,FALSE)</f>
        <v>-107.8938333</v>
      </c>
      <c r="F5278" s="3">
        <f>VLOOKUP(B5278,airports!A:H,7,FALSE)</f>
        <v>37.619001939999997</v>
      </c>
      <c r="G5278" s="3">
        <f>VLOOKUP(B5278,airports!A:H,8,FALSE)</f>
        <v>-122.37484329999999</v>
      </c>
      <c r="H5278">
        <f t="shared" si="164"/>
        <v>1270.3</v>
      </c>
      <c r="I5278">
        <f t="shared" si="165"/>
        <v>789.4</v>
      </c>
    </row>
    <row r="5279" spans="1:9" x14ac:dyDescent="0.25">
      <c r="A5279" s="5" t="s">
        <v>91</v>
      </c>
      <c r="B5279" s="5" t="s">
        <v>135</v>
      </c>
      <c r="C5279" s="5" t="s">
        <v>5758</v>
      </c>
      <c r="D5279" s="3">
        <f>VLOOKUP(A5279,airports!A:H,7,FALSE)</f>
        <v>38.508867219999999</v>
      </c>
      <c r="E5279" s="3">
        <f>VLOOKUP(A5279,airports!A:H,8,FALSE)</f>
        <v>-107.8938333</v>
      </c>
      <c r="F5279" s="3">
        <f>VLOOKUP(B5279,airports!A:H,7,FALSE)</f>
        <v>40.788387780000001</v>
      </c>
      <c r="G5279" s="3">
        <f>VLOOKUP(B5279,airports!A:H,8,FALSE)</f>
        <v>-111.97777309999999</v>
      </c>
      <c r="H5279">
        <f t="shared" si="164"/>
        <v>431.8</v>
      </c>
      <c r="I5279">
        <f t="shared" si="165"/>
        <v>268.3</v>
      </c>
    </row>
    <row r="5280" spans="1:9" ht="30" x14ac:dyDescent="0.25">
      <c r="A5280" s="5" t="s">
        <v>92</v>
      </c>
      <c r="B5280" s="5" t="s">
        <v>24</v>
      </c>
      <c r="C5280" s="5" t="s">
        <v>5759</v>
      </c>
      <c r="D5280" s="3">
        <f>VLOOKUP(A5280,airports!A:H,7,FALSE)</f>
        <v>41.393025829999999</v>
      </c>
      <c r="E5280" s="3">
        <f>VLOOKUP(A5280,airports!A:H,8,FALSE)</f>
        <v>-70.614332500000003</v>
      </c>
      <c r="F5280" s="3">
        <f>VLOOKUP(B5280,airports!A:H,7,FALSE)</f>
        <v>42.364347500000001</v>
      </c>
      <c r="G5280" s="3">
        <f>VLOOKUP(B5280,airports!A:H,8,FALSE)</f>
        <v>-71.005179170000005</v>
      </c>
      <c r="H5280">
        <f t="shared" si="164"/>
        <v>112.7</v>
      </c>
      <c r="I5280">
        <f t="shared" si="165"/>
        <v>70.099999999999994</v>
      </c>
    </row>
    <row r="5281" spans="1:9" ht="30" x14ac:dyDescent="0.25">
      <c r="A5281" s="5" t="s">
        <v>92</v>
      </c>
      <c r="B5281" s="5" t="s">
        <v>40</v>
      </c>
      <c r="C5281" s="5" t="s">
        <v>5760</v>
      </c>
      <c r="D5281" s="3">
        <f>VLOOKUP(A5281,airports!A:H,7,FALSE)</f>
        <v>41.393025829999999</v>
      </c>
      <c r="E5281" s="3">
        <f>VLOOKUP(A5281,airports!A:H,8,FALSE)</f>
        <v>-70.614332500000003</v>
      </c>
      <c r="F5281" s="3">
        <f>VLOOKUP(B5281,airports!A:H,7,FALSE)</f>
        <v>35.214011110000001</v>
      </c>
      <c r="G5281" s="3">
        <f>VLOOKUP(B5281,airports!A:H,8,FALSE)</f>
        <v>-80.94312583</v>
      </c>
      <c r="H5281">
        <f t="shared" si="164"/>
        <v>1131.9000000000001</v>
      </c>
      <c r="I5281">
        <f t="shared" si="165"/>
        <v>703.4</v>
      </c>
    </row>
    <row r="5282" spans="1:9" ht="30" x14ac:dyDescent="0.25">
      <c r="A5282" s="5" t="s">
        <v>92</v>
      </c>
      <c r="B5282" s="5" t="s">
        <v>45</v>
      </c>
      <c r="C5282" s="5" t="s">
        <v>5761</v>
      </c>
      <c r="D5282" s="3">
        <f>VLOOKUP(A5282,airports!A:H,7,FALSE)</f>
        <v>41.393025829999999</v>
      </c>
      <c r="E5282" s="3">
        <f>VLOOKUP(A5282,airports!A:H,8,FALSE)</f>
        <v>-70.614332500000003</v>
      </c>
      <c r="F5282" s="3">
        <f>VLOOKUP(B5282,airports!A:H,7,FALSE)</f>
        <v>38.852083329999999</v>
      </c>
      <c r="G5282" s="3">
        <f>VLOOKUP(B5282,airports!A:H,8,FALSE)</f>
        <v>-77.037722220000006</v>
      </c>
      <c r="H5282">
        <f t="shared" si="164"/>
        <v>614.70000000000005</v>
      </c>
      <c r="I5282">
        <f t="shared" si="165"/>
        <v>382</v>
      </c>
    </row>
    <row r="5283" spans="1:9" ht="30" x14ac:dyDescent="0.25">
      <c r="A5283" s="5" t="s">
        <v>92</v>
      </c>
      <c r="B5283" s="5" t="s">
        <v>52</v>
      </c>
      <c r="C5283" s="5" t="s">
        <v>5762</v>
      </c>
      <c r="D5283" s="3">
        <f>VLOOKUP(A5283,airports!A:H,7,FALSE)</f>
        <v>41.393025829999999</v>
      </c>
      <c r="E5283" s="3">
        <f>VLOOKUP(A5283,airports!A:H,8,FALSE)</f>
        <v>-70.614332500000003</v>
      </c>
      <c r="F5283" s="3">
        <f>VLOOKUP(B5283,airports!A:H,7,FALSE)</f>
        <v>40.69249722</v>
      </c>
      <c r="G5283" s="3">
        <f>VLOOKUP(B5283,airports!A:H,8,FALSE)</f>
        <v>-74.168660560000006</v>
      </c>
      <c r="H5283">
        <f t="shared" si="164"/>
        <v>308.10000000000002</v>
      </c>
      <c r="I5283">
        <f t="shared" si="165"/>
        <v>191.4</v>
      </c>
    </row>
    <row r="5284" spans="1:9" ht="30" x14ac:dyDescent="0.25">
      <c r="A5284" s="5" t="s">
        <v>92</v>
      </c>
      <c r="B5284" s="5" t="s">
        <v>69</v>
      </c>
      <c r="C5284" s="5" t="s">
        <v>5763</v>
      </c>
      <c r="D5284" s="3">
        <f>VLOOKUP(A5284,airports!A:H,7,FALSE)</f>
        <v>41.393025829999999</v>
      </c>
      <c r="E5284" s="3">
        <f>VLOOKUP(A5284,airports!A:H,8,FALSE)</f>
        <v>-70.614332500000003</v>
      </c>
      <c r="F5284" s="3">
        <f>VLOOKUP(B5284,airports!A:H,7,FALSE)</f>
        <v>40.639751109999999</v>
      </c>
      <c r="G5284" s="3">
        <f>VLOOKUP(B5284,airports!A:H,8,FALSE)</f>
        <v>-73.778925560000005</v>
      </c>
      <c r="H5284">
        <f t="shared" si="164"/>
        <v>278.39999999999998</v>
      </c>
      <c r="I5284">
        <f t="shared" si="165"/>
        <v>173</v>
      </c>
    </row>
    <row r="5285" spans="1:9" ht="30" x14ac:dyDescent="0.25">
      <c r="A5285" s="5" t="s">
        <v>92</v>
      </c>
      <c r="B5285" s="5" t="s">
        <v>74</v>
      </c>
      <c r="C5285" s="5" t="s">
        <v>5764</v>
      </c>
      <c r="D5285" s="3">
        <f>VLOOKUP(A5285,airports!A:H,7,FALSE)</f>
        <v>41.393025829999999</v>
      </c>
      <c r="E5285" s="3">
        <f>VLOOKUP(A5285,airports!A:H,8,FALSE)</f>
        <v>-70.614332500000003</v>
      </c>
      <c r="F5285" s="3">
        <f>VLOOKUP(B5285,airports!A:H,7,FALSE)</f>
        <v>40.777243060000004</v>
      </c>
      <c r="G5285" s="3">
        <f>VLOOKUP(B5285,airports!A:H,8,FALSE)</f>
        <v>-73.872609170000004</v>
      </c>
      <c r="H5285">
        <f t="shared" si="164"/>
        <v>281.5</v>
      </c>
      <c r="I5285">
        <f t="shared" si="165"/>
        <v>174.9</v>
      </c>
    </row>
    <row r="5286" spans="1:9" ht="30" x14ac:dyDescent="0.25">
      <c r="A5286" s="5" t="s">
        <v>92</v>
      </c>
      <c r="B5286" s="5" t="s">
        <v>95</v>
      </c>
      <c r="C5286" s="5" t="s">
        <v>5765</v>
      </c>
      <c r="D5286" s="3">
        <f>VLOOKUP(A5286,airports!A:H,7,FALSE)</f>
        <v>41.393025829999999</v>
      </c>
      <c r="E5286" s="3">
        <f>VLOOKUP(A5286,airports!A:H,8,FALSE)</f>
        <v>-70.614332500000003</v>
      </c>
      <c r="F5286" s="3">
        <f>VLOOKUP(B5286,airports!A:H,7,FALSE)</f>
        <v>41.979595000000003</v>
      </c>
      <c r="G5286" s="3">
        <f>VLOOKUP(B5286,airports!A:H,8,FALSE)</f>
        <v>-87.904464169999997</v>
      </c>
      <c r="H5286">
        <f t="shared" si="164"/>
        <v>1434.8</v>
      </c>
      <c r="I5286">
        <f t="shared" si="165"/>
        <v>891.6</v>
      </c>
    </row>
    <row r="5287" spans="1:9" ht="30" x14ac:dyDescent="0.25">
      <c r="A5287" s="5" t="s">
        <v>92</v>
      </c>
      <c r="B5287" s="5" t="s">
        <v>102</v>
      </c>
      <c r="C5287" s="5" t="s">
        <v>5766</v>
      </c>
      <c r="D5287" s="3">
        <f>VLOOKUP(A5287,airports!A:H,7,FALSE)</f>
        <v>41.393025829999999</v>
      </c>
      <c r="E5287" s="3">
        <f>VLOOKUP(A5287,airports!A:H,8,FALSE)</f>
        <v>-70.614332500000003</v>
      </c>
      <c r="F5287" s="3">
        <f>VLOOKUP(B5287,airports!A:H,7,FALSE)</f>
        <v>39.871952780000001</v>
      </c>
      <c r="G5287" s="3">
        <f>VLOOKUP(B5287,airports!A:H,8,FALSE)</f>
        <v>-75.241140830000006</v>
      </c>
      <c r="H5287">
        <f t="shared" si="164"/>
        <v>425.4</v>
      </c>
      <c r="I5287">
        <f t="shared" si="165"/>
        <v>264.39999999999998</v>
      </c>
    </row>
    <row r="5288" spans="1:9" ht="30" x14ac:dyDescent="0.25">
      <c r="A5288" s="5" t="s">
        <v>182</v>
      </c>
      <c r="B5288" s="5" t="s">
        <v>170</v>
      </c>
      <c r="C5288" s="5" t="s">
        <v>5767</v>
      </c>
      <c r="D5288" s="3">
        <f>VLOOKUP(A5288,airports!A:H,7,FALSE)</f>
        <v>33.679749999999999</v>
      </c>
      <c r="E5288" s="3">
        <f>VLOOKUP(A5288,airports!A:H,8,FALSE)</f>
        <v>-78.928333330000001</v>
      </c>
      <c r="F5288" s="3">
        <f>VLOOKUP(B5288,airports!A:H,7,FALSE)</f>
        <v>40.652362779999997</v>
      </c>
      <c r="G5288" s="3">
        <f>VLOOKUP(B5288,airports!A:H,8,FALSE)</f>
        <v>-75.44040167</v>
      </c>
      <c r="H5288">
        <f t="shared" si="164"/>
        <v>834.5</v>
      </c>
      <c r="I5288">
        <f t="shared" si="165"/>
        <v>518.5</v>
      </c>
    </row>
    <row r="5289" spans="1:9" ht="30" x14ac:dyDescent="0.25">
      <c r="A5289" s="5" t="s">
        <v>182</v>
      </c>
      <c r="B5289" s="5" t="s">
        <v>252</v>
      </c>
      <c r="C5289" s="5" t="s">
        <v>5768</v>
      </c>
      <c r="D5289" s="3">
        <f>VLOOKUP(A5289,airports!A:H,7,FALSE)</f>
        <v>33.679749999999999</v>
      </c>
      <c r="E5289" s="3">
        <f>VLOOKUP(A5289,airports!A:H,8,FALSE)</f>
        <v>-78.928333330000001</v>
      </c>
      <c r="F5289" s="3">
        <f>VLOOKUP(B5289,airports!A:H,7,FALSE)</f>
        <v>39.457583329999999</v>
      </c>
      <c r="G5289" s="3">
        <f>VLOOKUP(B5289,airports!A:H,8,FALSE)</f>
        <v>-74.577166669999997</v>
      </c>
      <c r="H5289">
        <f t="shared" si="164"/>
        <v>750.6</v>
      </c>
      <c r="I5289">
        <f t="shared" si="165"/>
        <v>466.4</v>
      </c>
    </row>
    <row r="5290" spans="1:9" ht="30" x14ac:dyDescent="0.25">
      <c r="A5290" s="5" t="s">
        <v>182</v>
      </c>
      <c r="B5290" s="5" t="s">
        <v>7</v>
      </c>
      <c r="C5290" s="5" t="s">
        <v>5769</v>
      </c>
      <c r="D5290" s="3">
        <f>VLOOKUP(A5290,airports!A:H,7,FALSE)</f>
        <v>33.679749999999999</v>
      </c>
      <c r="E5290" s="3">
        <f>VLOOKUP(A5290,airports!A:H,8,FALSE)</f>
        <v>-78.928333330000001</v>
      </c>
      <c r="F5290" s="3">
        <f>VLOOKUP(B5290,airports!A:H,7,FALSE)</f>
        <v>42.748119440000004</v>
      </c>
      <c r="G5290" s="3">
        <f>VLOOKUP(B5290,airports!A:H,8,FALSE)</f>
        <v>-73.802978609999997</v>
      </c>
      <c r="H5290">
        <f t="shared" si="164"/>
        <v>1102.7</v>
      </c>
      <c r="I5290">
        <f t="shared" si="165"/>
        <v>685.3</v>
      </c>
    </row>
    <row r="5291" spans="1:9" ht="30" x14ac:dyDescent="0.25">
      <c r="A5291" s="5" t="s">
        <v>182</v>
      </c>
      <c r="B5291" s="5" t="s">
        <v>10</v>
      </c>
      <c r="C5291" s="5" t="s">
        <v>5770</v>
      </c>
      <c r="D5291" s="3">
        <f>VLOOKUP(A5291,airports!A:H,7,FALSE)</f>
        <v>33.679749999999999</v>
      </c>
      <c r="E5291" s="3">
        <f>VLOOKUP(A5291,airports!A:H,8,FALSE)</f>
        <v>-78.928333330000001</v>
      </c>
      <c r="F5291" s="3">
        <f>VLOOKUP(B5291,airports!A:H,7,FALSE)</f>
        <v>33.640444440000003</v>
      </c>
      <c r="G5291" s="3">
        <f>VLOOKUP(B5291,airports!A:H,8,FALSE)</f>
        <v>-84.42694444</v>
      </c>
      <c r="H5291">
        <f t="shared" si="164"/>
        <v>508.9</v>
      </c>
      <c r="I5291">
        <f t="shared" si="165"/>
        <v>316.2</v>
      </c>
    </row>
    <row r="5292" spans="1:9" ht="30" x14ac:dyDescent="0.25">
      <c r="A5292" s="5" t="s">
        <v>182</v>
      </c>
      <c r="B5292" s="5" t="s">
        <v>16</v>
      </c>
      <c r="C5292" s="5" t="s">
        <v>5771</v>
      </c>
      <c r="D5292" s="3">
        <f>VLOOKUP(A5292,airports!A:H,7,FALSE)</f>
        <v>33.679749999999999</v>
      </c>
      <c r="E5292" s="3">
        <f>VLOOKUP(A5292,airports!A:H,8,FALSE)</f>
        <v>-78.928333330000001</v>
      </c>
      <c r="F5292" s="3">
        <f>VLOOKUP(B5292,airports!A:H,7,FALSE)</f>
        <v>41.938874169999998</v>
      </c>
      <c r="G5292" s="3">
        <f>VLOOKUP(B5292,airports!A:H,8,FALSE)</f>
        <v>-72.683228330000006</v>
      </c>
      <c r="H5292">
        <f t="shared" si="164"/>
        <v>1069</v>
      </c>
      <c r="I5292">
        <f t="shared" si="165"/>
        <v>664.3</v>
      </c>
    </row>
    <row r="5293" spans="1:9" ht="30" x14ac:dyDescent="0.25">
      <c r="A5293" s="5" t="s">
        <v>182</v>
      </c>
      <c r="B5293" s="5" t="s">
        <v>841</v>
      </c>
      <c r="C5293" s="5" t="s">
        <v>5772</v>
      </c>
      <c r="D5293" s="3">
        <f>VLOOKUP(A5293,airports!A:H,7,FALSE)</f>
        <v>33.679749999999999</v>
      </c>
      <c r="E5293" s="3">
        <f>VLOOKUP(A5293,airports!A:H,8,FALSE)</f>
        <v>-78.928333330000001</v>
      </c>
      <c r="F5293" s="3">
        <f>VLOOKUP(B5293,airports!A:H,7,FALSE)</f>
        <v>38.547699999999999</v>
      </c>
      <c r="G5293" s="3">
        <f>VLOOKUP(B5293,airports!A:H,8,FALSE)</f>
        <v>-89.815700000000007</v>
      </c>
      <c r="H5293">
        <f t="shared" si="164"/>
        <v>1116.7</v>
      </c>
      <c r="I5293">
        <f t="shared" si="165"/>
        <v>693.9</v>
      </c>
    </row>
    <row r="5294" spans="1:9" ht="30" x14ac:dyDescent="0.25">
      <c r="A5294" s="5" t="s">
        <v>182</v>
      </c>
      <c r="B5294" s="5" t="s">
        <v>19</v>
      </c>
      <c r="C5294" s="5" t="s">
        <v>5773</v>
      </c>
      <c r="D5294" s="3">
        <f>VLOOKUP(A5294,airports!A:H,7,FALSE)</f>
        <v>33.679749999999999</v>
      </c>
      <c r="E5294" s="3">
        <f>VLOOKUP(A5294,airports!A:H,8,FALSE)</f>
        <v>-78.928333330000001</v>
      </c>
      <c r="F5294" s="3">
        <f>VLOOKUP(B5294,airports!A:H,7,FALSE)</f>
        <v>36.12447667</v>
      </c>
      <c r="G5294" s="3">
        <f>VLOOKUP(B5294,airports!A:H,8,FALSE)</f>
        <v>-86.678182219999997</v>
      </c>
      <c r="H5294">
        <f t="shared" si="164"/>
        <v>756.9</v>
      </c>
      <c r="I5294">
        <f t="shared" si="165"/>
        <v>470.4</v>
      </c>
    </row>
    <row r="5295" spans="1:9" ht="30" x14ac:dyDescent="0.25">
      <c r="A5295" s="5" t="s">
        <v>182</v>
      </c>
      <c r="B5295" s="5" t="s">
        <v>24</v>
      </c>
      <c r="C5295" s="5" t="s">
        <v>5774</v>
      </c>
      <c r="D5295" s="3">
        <f>VLOOKUP(A5295,airports!A:H,7,FALSE)</f>
        <v>33.679749999999999</v>
      </c>
      <c r="E5295" s="3">
        <f>VLOOKUP(A5295,airports!A:H,8,FALSE)</f>
        <v>-78.928333330000001</v>
      </c>
      <c r="F5295" s="3">
        <f>VLOOKUP(B5295,airports!A:H,7,FALSE)</f>
        <v>42.364347500000001</v>
      </c>
      <c r="G5295" s="3">
        <f>VLOOKUP(B5295,airports!A:H,8,FALSE)</f>
        <v>-71.005179170000005</v>
      </c>
      <c r="H5295">
        <f t="shared" si="164"/>
        <v>1188</v>
      </c>
      <c r="I5295">
        <f t="shared" si="165"/>
        <v>738.2</v>
      </c>
    </row>
    <row r="5296" spans="1:9" ht="30" x14ac:dyDescent="0.25">
      <c r="A5296" s="5" t="s">
        <v>182</v>
      </c>
      <c r="B5296" s="5" t="s">
        <v>29</v>
      </c>
      <c r="C5296" s="5" t="s">
        <v>5775</v>
      </c>
      <c r="D5296" s="3">
        <f>VLOOKUP(A5296,airports!A:H,7,FALSE)</f>
        <v>33.679749999999999</v>
      </c>
      <c r="E5296" s="3">
        <f>VLOOKUP(A5296,airports!A:H,8,FALSE)</f>
        <v>-78.928333330000001</v>
      </c>
      <c r="F5296" s="3">
        <f>VLOOKUP(B5296,airports!A:H,7,FALSE)</f>
        <v>42.940524719999999</v>
      </c>
      <c r="G5296" s="3">
        <f>VLOOKUP(B5296,airports!A:H,8,FALSE)</f>
        <v>-78.732166669999998</v>
      </c>
      <c r="H5296">
        <f t="shared" si="164"/>
        <v>1029.9000000000001</v>
      </c>
      <c r="I5296">
        <f t="shared" si="165"/>
        <v>640</v>
      </c>
    </row>
    <row r="5297" spans="1:9" ht="30" x14ac:dyDescent="0.25">
      <c r="A5297" s="5" t="s">
        <v>182</v>
      </c>
      <c r="B5297" s="5" t="s">
        <v>32</v>
      </c>
      <c r="C5297" s="5" t="s">
        <v>5776</v>
      </c>
      <c r="D5297" s="3">
        <f>VLOOKUP(A5297,airports!A:H,7,FALSE)</f>
        <v>33.679749999999999</v>
      </c>
      <c r="E5297" s="3">
        <f>VLOOKUP(A5297,airports!A:H,8,FALSE)</f>
        <v>-78.928333330000001</v>
      </c>
      <c r="F5297" s="3">
        <f>VLOOKUP(B5297,airports!A:H,7,FALSE)</f>
        <v>39.175401669999999</v>
      </c>
      <c r="G5297" s="3">
        <f>VLOOKUP(B5297,airports!A:H,8,FALSE)</f>
        <v>-76.668198329999996</v>
      </c>
      <c r="H5297">
        <f t="shared" si="164"/>
        <v>643.6</v>
      </c>
      <c r="I5297">
        <f t="shared" si="165"/>
        <v>399.9</v>
      </c>
    </row>
    <row r="5298" spans="1:9" ht="30" x14ac:dyDescent="0.25">
      <c r="A5298" s="5" t="s">
        <v>182</v>
      </c>
      <c r="B5298" s="5" t="s">
        <v>443</v>
      </c>
      <c r="C5298" s="5" t="s">
        <v>5777</v>
      </c>
      <c r="D5298" s="3">
        <f>VLOOKUP(A5298,airports!A:H,7,FALSE)</f>
        <v>33.679749999999999</v>
      </c>
      <c r="E5298" s="3">
        <f>VLOOKUP(A5298,airports!A:H,8,FALSE)</f>
        <v>-78.928333330000001</v>
      </c>
      <c r="F5298" s="3">
        <f>VLOOKUP(B5298,airports!A:H,7,FALSE)</f>
        <v>40.91631194</v>
      </c>
      <c r="G5298" s="3">
        <f>VLOOKUP(B5298,airports!A:H,8,FALSE)</f>
        <v>-81.442465560000002</v>
      </c>
      <c r="H5298">
        <f t="shared" si="164"/>
        <v>834.7</v>
      </c>
      <c r="I5298">
        <f t="shared" si="165"/>
        <v>518.70000000000005</v>
      </c>
    </row>
    <row r="5299" spans="1:9" ht="30" x14ac:dyDescent="0.25">
      <c r="A5299" s="5" t="s">
        <v>182</v>
      </c>
      <c r="B5299" s="5" t="s">
        <v>1655</v>
      </c>
      <c r="C5299" s="5" t="s">
        <v>5778</v>
      </c>
      <c r="D5299" s="3">
        <f>VLOOKUP(A5299,airports!A:H,7,FALSE)</f>
        <v>33.679749999999999</v>
      </c>
      <c r="E5299" s="3">
        <f>VLOOKUP(A5299,airports!A:H,8,FALSE)</f>
        <v>-78.928333330000001</v>
      </c>
      <c r="F5299" s="3">
        <f>VLOOKUP(B5299,airports!A:H,7,FALSE)</f>
        <v>39.296599999999998</v>
      </c>
      <c r="G5299" s="3">
        <f>VLOOKUP(B5299,airports!A:H,8,FALSE)</f>
        <v>-80.228104000000002</v>
      </c>
      <c r="H5299">
        <f t="shared" si="164"/>
        <v>635.29999999999995</v>
      </c>
      <c r="I5299">
        <f t="shared" si="165"/>
        <v>394.8</v>
      </c>
    </row>
    <row r="5300" spans="1:9" ht="30" x14ac:dyDescent="0.25">
      <c r="A5300" s="5" t="s">
        <v>182</v>
      </c>
      <c r="B5300" s="5" t="s">
        <v>38</v>
      </c>
      <c r="C5300" s="5" t="s">
        <v>5779</v>
      </c>
      <c r="D5300" s="3">
        <f>VLOOKUP(A5300,airports!A:H,7,FALSE)</f>
        <v>33.679749999999999</v>
      </c>
      <c r="E5300" s="3">
        <f>VLOOKUP(A5300,airports!A:H,8,FALSE)</f>
        <v>-78.928333330000001</v>
      </c>
      <c r="F5300" s="3">
        <f>VLOOKUP(B5300,airports!A:H,7,FALSE)</f>
        <v>41.410894169999999</v>
      </c>
      <c r="G5300" s="3">
        <f>VLOOKUP(B5300,airports!A:H,8,FALSE)</f>
        <v>-81.849396670000004</v>
      </c>
      <c r="H5300">
        <f t="shared" si="164"/>
        <v>897.3</v>
      </c>
      <c r="I5300">
        <f t="shared" si="165"/>
        <v>557.6</v>
      </c>
    </row>
    <row r="5301" spans="1:9" ht="30" x14ac:dyDescent="0.25">
      <c r="A5301" s="5" t="s">
        <v>182</v>
      </c>
      <c r="B5301" s="5" t="s">
        <v>40</v>
      </c>
      <c r="C5301" s="5" t="s">
        <v>5780</v>
      </c>
      <c r="D5301" s="3">
        <f>VLOOKUP(A5301,airports!A:H,7,FALSE)</f>
        <v>33.679749999999999</v>
      </c>
      <c r="E5301" s="3">
        <f>VLOOKUP(A5301,airports!A:H,8,FALSE)</f>
        <v>-78.928333330000001</v>
      </c>
      <c r="F5301" s="3">
        <f>VLOOKUP(B5301,airports!A:H,7,FALSE)</f>
        <v>35.214011110000001</v>
      </c>
      <c r="G5301" s="3">
        <f>VLOOKUP(B5301,airports!A:H,8,FALSE)</f>
        <v>-80.94312583</v>
      </c>
      <c r="H5301">
        <f t="shared" si="164"/>
        <v>251.5</v>
      </c>
      <c r="I5301">
        <f t="shared" si="165"/>
        <v>156.30000000000001</v>
      </c>
    </row>
    <row r="5302" spans="1:9" ht="30" x14ac:dyDescent="0.25">
      <c r="A5302" s="5" t="s">
        <v>182</v>
      </c>
      <c r="B5302" s="5" t="s">
        <v>454</v>
      </c>
      <c r="C5302" s="5" t="s">
        <v>5781</v>
      </c>
      <c r="D5302" s="3">
        <f>VLOOKUP(A5302,airports!A:H,7,FALSE)</f>
        <v>33.679749999999999</v>
      </c>
      <c r="E5302" s="3">
        <f>VLOOKUP(A5302,airports!A:H,8,FALSE)</f>
        <v>-78.928333330000001</v>
      </c>
      <c r="F5302" s="3">
        <f>VLOOKUP(B5302,airports!A:H,7,FALSE)</f>
        <v>39.997985280000002</v>
      </c>
      <c r="G5302" s="3">
        <f>VLOOKUP(B5302,airports!A:H,8,FALSE)</f>
        <v>-82.891882780000003</v>
      </c>
      <c r="H5302">
        <f t="shared" si="164"/>
        <v>785.9</v>
      </c>
      <c r="I5302">
        <f t="shared" si="165"/>
        <v>488.4</v>
      </c>
    </row>
    <row r="5303" spans="1:9" ht="30" x14ac:dyDescent="0.25">
      <c r="A5303" s="5" t="s">
        <v>182</v>
      </c>
      <c r="B5303" s="5" t="s">
        <v>458</v>
      </c>
      <c r="C5303" s="5" t="s">
        <v>5782</v>
      </c>
      <c r="D5303" s="3">
        <f>VLOOKUP(A5303,airports!A:H,7,FALSE)</f>
        <v>33.679749999999999</v>
      </c>
      <c r="E5303" s="3">
        <f>VLOOKUP(A5303,airports!A:H,8,FALSE)</f>
        <v>-78.928333330000001</v>
      </c>
      <c r="F5303" s="3">
        <f>VLOOKUP(B5303,airports!A:H,7,FALSE)</f>
        <v>38.37315083</v>
      </c>
      <c r="G5303" s="3">
        <f>VLOOKUP(B5303,airports!A:H,8,FALSE)</f>
        <v>-81.593189719999998</v>
      </c>
      <c r="H5303">
        <f t="shared" si="164"/>
        <v>574.20000000000005</v>
      </c>
      <c r="I5303">
        <f t="shared" si="165"/>
        <v>356.8</v>
      </c>
    </row>
    <row r="5304" spans="1:9" ht="30" x14ac:dyDescent="0.25">
      <c r="A5304" s="5" t="s">
        <v>182</v>
      </c>
      <c r="B5304" s="5" t="s">
        <v>462</v>
      </c>
      <c r="C5304" s="5" t="s">
        <v>5783</v>
      </c>
      <c r="D5304" s="3">
        <f>VLOOKUP(A5304,airports!A:H,7,FALSE)</f>
        <v>33.679749999999999</v>
      </c>
      <c r="E5304" s="3">
        <f>VLOOKUP(A5304,airports!A:H,8,FALSE)</f>
        <v>-78.928333330000001</v>
      </c>
      <c r="F5304" s="3">
        <f>VLOOKUP(B5304,airports!A:H,7,FALSE)</f>
        <v>39.046142779999997</v>
      </c>
      <c r="G5304" s="3">
        <f>VLOOKUP(B5304,airports!A:H,8,FALSE)</f>
        <v>-84.662172499999997</v>
      </c>
      <c r="H5304">
        <f t="shared" si="164"/>
        <v>786.8</v>
      </c>
      <c r="I5304">
        <f t="shared" si="165"/>
        <v>488.9</v>
      </c>
    </row>
    <row r="5305" spans="1:9" ht="30" x14ac:dyDescent="0.25">
      <c r="A5305" s="5" t="s">
        <v>182</v>
      </c>
      <c r="B5305" s="5" t="s">
        <v>201</v>
      </c>
      <c r="C5305" s="5" t="s">
        <v>5784</v>
      </c>
      <c r="D5305" s="3">
        <f>VLOOKUP(A5305,airports!A:H,7,FALSE)</f>
        <v>33.679749999999999</v>
      </c>
      <c r="E5305" s="3">
        <f>VLOOKUP(A5305,airports!A:H,8,FALSE)</f>
        <v>-78.928333330000001</v>
      </c>
      <c r="F5305" s="3">
        <f>VLOOKUP(B5305,airports!A:H,7,FALSE)</f>
        <v>32.847113890000003</v>
      </c>
      <c r="G5305" s="3">
        <f>VLOOKUP(B5305,airports!A:H,8,FALSE)</f>
        <v>-96.851772220000001</v>
      </c>
      <c r="H5305">
        <f t="shared" si="164"/>
        <v>1666.9</v>
      </c>
      <c r="I5305">
        <f t="shared" si="165"/>
        <v>1035.9000000000001</v>
      </c>
    </row>
    <row r="5306" spans="1:9" ht="30" x14ac:dyDescent="0.25">
      <c r="A5306" s="5" t="s">
        <v>182</v>
      </c>
      <c r="B5306" s="5" t="s">
        <v>467</v>
      </c>
      <c r="C5306" s="5" t="s">
        <v>5785</v>
      </c>
      <c r="D5306" s="3">
        <f>VLOOKUP(A5306,airports!A:H,7,FALSE)</f>
        <v>33.679749999999999</v>
      </c>
      <c r="E5306" s="3">
        <f>VLOOKUP(A5306,airports!A:H,8,FALSE)</f>
        <v>-78.928333330000001</v>
      </c>
      <c r="F5306" s="3">
        <f>VLOOKUP(B5306,airports!A:H,7,FALSE)</f>
        <v>39.902375829999997</v>
      </c>
      <c r="G5306" s="3">
        <f>VLOOKUP(B5306,airports!A:H,8,FALSE)</f>
        <v>-84.219374999999999</v>
      </c>
      <c r="H5306">
        <f t="shared" si="164"/>
        <v>836.7</v>
      </c>
      <c r="I5306">
        <f t="shared" si="165"/>
        <v>519.9</v>
      </c>
    </row>
    <row r="5307" spans="1:9" ht="30" x14ac:dyDescent="0.25">
      <c r="A5307" s="5" t="s">
        <v>182</v>
      </c>
      <c r="B5307" s="5" t="s">
        <v>45</v>
      </c>
      <c r="C5307" s="5" t="s">
        <v>5786</v>
      </c>
      <c r="D5307" s="3">
        <f>VLOOKUP(A5307,airports!A:H,7,FALSE)</f>
        <v>33.679749999999999</v>
      </c>
      <c r="E5307" s="3">
        <f>VLOOKUP(A5307,airports!A:H,8,FALSE)</f>
        <v>-78.928333330000001</v>
      </c>
      <c r="F5307" s="3">
        <f>VLOOKUP(B5307,airports!A:H,7,FALSE)</f>
        <v>38.852083329999999</v>
      </c>
      <c r="G5307" s="3">
        <f>VLOOKUP(B5307,airports!A:H,8,FALSE)</f>
        <v>-77.037722220000006</v>
      </c>
      <c r="H5307">
        <f t="shared" si="164"/>
        <v>599.6</v>
      </c>
      <c r="I5307">
        <f t="shared" si="165"/>
        <v>372.6</v>
      </c>
    </row>
    <row r="5308" spans="1:9" ht="30" x14ac:dyDescent="0.25">
      <c r="A5308" s="5" t="s">
        <v>182</v>
      </c>
      <c r="B5308" s="5" t="s">
        <v>47</v>
      </c>
      <c r="C5308" s="5" t="s">
        <v>5787</v>
      </c>
      <c r="D5308" s="3">
        <f>VLOOKUP(A5308,airports!A:H,7,FALSE)</f>
        <v>33.679749999999999</v>
      </c>
      <c r="E5308" s="3">
        <f>VLOOKUP(A5308,airports!A:H,8,FALSE)</f>
        <v>-78.928333330000001</v>
      </c>
      <c r="F5308" s="3">
        <f>VLOOKUP(B5308,airports!A:H,7,FALSE)</f>
        <v>39.858408060000002</v>
      </c>
      <c r="G5308" s="3">
        <f>VLOOKUP(B5308,airports!A:H,8,FALSE)</f>
        <v>-104.6670019</v>
      </c>
      <c r="H5308">
        <f t="shared" si="164"/>
        <v>2383.8000000000002</v>
      </c>
      <c r="I5308">
        <f t="shared" si="165"/>
        <v>1481.3</v>
      </c>
    </row>
    <row r="5309" spans="1:9" ht="30" x14ac:dyDescent="0.25">
      <c r="A5309" s="5" t="s">
        <v>182</v>
      </c>
      <c r="B5309" s="5" t="s">
        <v>49</v>
      </c>
      <c r="C5309" s="5" t="s">
        <v>5788</v>
      </c>
      <c r="D5309" s="3">
        <f>VLOOKUP(A5309,airports!A:H,7,FALSE)</f>
        <v>33.679749999999999</v>
      </c>
      <c r="E5309" s="3">
        <f>VLOOKUP(A5309,airports!A:H,8,FALSE)</f>
        <v>-78.928333330000001</v>
      </c>
      <c r="F5309" s="3">
        <f>VLOOKUP(B5309,airports!A:H,7,FALSE)</f>
        <v>32.895950560000003</v>
      </c>
      <c r="G5309" s="3">
        <f>VLOOKUP(B5309,airports!A:H,8,FALSE)</f>
        <v>-97.037199999999999</v>
      </c>
      <c r="H5309">
        <f t="shared" si="164"/>
        <v>1683.3</v>
      </c>
      <c r="I5309">
        <f t="shared" si="165"/>
        <v>1046</v>
      </c>
    </row>
    <row r="5310" spans="1:9" ht="30" x14ac:dyDescent="0.25">
      <c r="A5310" s="5" t="s">
        <v>182</v>
      </c>
      <c r="B5310" s="5" t="s">
        <v>50</v>
      </c>
      <c r="C5310" s="5" t="s">
        <v>5789</v>
      </c>
      <c r="D5310" s="3">
        <f>VLOOKUP(A5310,airports!A:H,7,FALSE)</f>
        <v>33.679749999999999</v>
      </c>
      <c r="E5310" s="3">
        <f>VLOOKUP(A5310,airports!A:H,8,FALSE)</f>
        <v>-78.928333330000001</v>
      </c>
      <c r="F5310" s="3">
        <f>VLOOKUP(B5310,airports!A:H,7,FALSE)</f>
        <v>42.212058890000002</v>
      </c>
      <c r="G5310" s="3">
        <f>VLOOKUP(B5310,airports!A:H,8,FALSE)</f>
        <v>-83.348835829999999</v>
      </c>
      <c r="H5310">
        <f t="shared" si="164"/>
        <v>1024.5</v>
      </c>
      <c r="I5310">
        <f t="shared" si="165"/>
        <v>636.6</v>
      </c>
    </row>
    <row r="5311" spans="1:9" ht="30" x14ac:dyDescent="0.25">
      <c r="A5311" s="5" t="s">
        <v>182</v>
      </c>
      <c r="B5311" s="5" t="s">
        <v>52</v>
      </c>
      <c r="C5311" s="5" t="s">
        <v>5790</v>
      </c>
      <c r="D5311" s="3">
        <f>VLOOKUP(A5311,airports!A:H,7,FALSE)</f>
        <v>33.679749999999999</v>
      </c>
      <c r="E5311" s="3">
        <f>VLOOKUP(A5311,airports!A:H,8,FALSE)</f>
        <v>-78.928333330000001</v>
      </c>
      <c r="F5311" s="3">
        <f>VLOOKUP(B5311,airports!A:H,7,FALSE)</f>
        <v>40.69249722</v>
      </c>
      <c r="G5311" s="3">
        <f>VLOOKUP(B5311,airports!A:H,8,FALSE)</f>
        <v>-74.168660560000006</v>
      </c>
      <c r="H5311">
        <f t="shared" si="164"/>
        <v>886.1</v>
      </c>
      <c r="I5311">
        <f t="shared" si="165"/>
        <v>550.6</v>
      </c>
    </row>
    <row r="5312" spans="1:9" x14ac:dyDescent="0.25">
      <c r="A5312" s="5" t="s">
        <v>182</v>
      </c>
      <c r="B5312" s="5" t="s">
        <v>57</v>
      </c>
      <c r="C5312" s="5" t="s">
        <v>5791</v>
      </c>
      <c r="D5312" s="3">
        <f>VLOOKUP(A5312,airports!A:H,7,FALSE)</f>
        <v>33.679749999999999</v>
      </c>
      <c r="E5312" s="3">
        <f>VLOOKUP(A5312,airports!A:H,8,FALSE)</f>
        <v>-78.928333330000001</v>
      </c>
      <c r="F5312" s="3">
        <f>VLOOKUP(B5312,airports!A:H,7,FALSE)</f>
        <v>26.072583330000001</v>
      </c>
      <c r="G5312" s="3">
        <f>VLOOKUP(B5312,airports!A:H,8,FALSE)</f>
        <v>-80.152749999999997</v>
      </c>
      <c r="H5312">
        <f t="shared" si="164"/>
        <v>854.1</v>
      </c>
      <c r="I5312">
        <f t="shared" si="165"/>
        <v>530.70000000000005</v>
      </c>
    </row>
    <row r="5313" spans="1:9" ht="30" x14ac:dyDescent="0.25">
      <c r="A5313" s="5" t="s">
        <v>182</v>
      </c>
      <c r="B5313" s="5" t="s">
        <v>497</v>
      </c>
      <c r="C5313" s="5" t="s">
        <v>5792</v>
      </c>
      <c r="D5313" s="3">
        <f>VLOOKUP(A5313,airports!A:H,7,FALSE)</f>
        <v>33.679749999999999</v>
      </c>
      <c r="E5313" s="3">
        <f>VLOOKUP(A5313,airports!A:H,8,FALSE)</f>
        <v>-78.928333330000001</v>
      </c>
      <c r="F5313" s="3">
        <f>VLOOKUP(B5313,airports!A:H,7,FALSE)</f>
        <v>42.965503329999997</v>
      </c>
      <c r="G5313" s="3">
        <f>VLOOKUP(B5313,airports!A:H,8,FALSE)</f>
        <v>-83.743456390000006</v>
      </c>
      <c r="H5313">
        <f t="shared" si="164"/>
        <v>1114.2</v>
      </c>
      <c r="I5313">
        <f t="shared" si="165"/>
        <v>692.4</v>
      </c>
    </row>
    <row r="5314" spans="1:9" ht="30" x14ac:dyDescent="0.25">
      <c r="A5314" s="5" t="s">
        <v>182</v>
      </c>
      <c r="B5314" s="5" t="s">
        <v>503</v>
      </c>
      <c r="C5314" s="5" t="s">
        <v>5793</v>
      </c>
      <c r="D5314" s="3">
        <f>VLOOKUP(A5314,airports!A:H,7,FALSE)</f>
        <v>33.679749999999999</v>
      </c>
      <c r="E5314" s="3">
        <f>VLOOKUP(A5314,airports!A:H,8,FALSE)</f>
        <v>-78.928333330000001</v>
      </c>
      <c r="F5314" s="3">
        <f>VLOOKUP(B5314,airports!A:H,7,FALSE)</f>
        <v>40.978465829999998</v>
      </c>
      <c r="G5314" s="3">
        <f>VLOOKUP(B5314,airports!A:H,8,FALSE)</f>
        <v>-85.195146390000005</v>
      </c>
      <c r="H5314">
        <f t="shared" si="164"/>
        <v>982.1</v>
      </c>
      <c r="I5314">
        <f t="shared" si="165"/>
        <v>610.29999999999995</v>
      </c>
    </row>
    <row r="5315" spans="1:9" ht="30" x14ac:dyDescent="0.25">
      <c r="A5315" s="5" t="s">
        <v>182</v>
      </c>
      <c r="B5315" s="5" t="s">
        <v>3612</v>
      </c>
      <c r="C5315" s="5" t="s">
        <v>5794</v>
      </c>
      <c r="D5315" s="3">
        <f>VLOOKUP(A5315,airports!A:H,7,FALSE)</f>
        <v>33.679749999999999</v>
      </c>
      <c r="E5315" s="3">
        <f>VLOOKUP(A5315,airports!A:H,8,FALSE)</f>
        <v>-78.928333330000001</v>
      </c>
      <c r="F5315" s="3">
        <f>VLOOKUP(B5315,airports!A:H,7,FALSE)</f>
        <v>39.707901</v>
      </c>
      <c r="G5315" s="3">
        <f>VLOOKUP(B5315,airports!A:H,8,FALSE)</f>
        <v>-77.729499820000001</v>
      </c>
      <c r="H5315">
        <f t="shared" si="164"/>
        <v>678.7</v>
      </c>
      <c r="I5315">
        <f t="shared" si="165"/>
        <v>421.8</v>
      </c>
    </row>
    <row r="5316" spans="1:9" ht="30" x14ac:dyDescent="0.25">
      <c r="A5316" s="5" t="s">
        <v>182</v>
      </c>
      <c r="B5316" s="5" t="s">
        <v>1793</v>
      </c>
      <c r="C5316" s="5" t="s">
        <v>5795</v>
      </c>
      <c r="D5316" s="3">
        <f>VLOOKUP(A5316,airports!A:H,7,FALSE)</f>
        <v>33.679749999999999</v>
      </c>
      <c r="E5316" s="3">
        <f>VLOOKUP(A5316,airports!A:H,8,FALSE)</f>
        <v>-78.928333330000001</v>
      </c>
      <c r="F5316" s="3">
        <f>VLOOKUP(B5316,airports!A:H,7,FALSE)</f>
        <v>38.366666670000001</v>
      </c>
      <c r="G5316" s="3">
        <f>VLOOKUP(B5316,airports!A:H,8,FALSE)</f>
        <v>-82.558027780000003</v>
      </c>
      <c r="H5316">
        <f t="shared" ref="H5316:H5379" si="166">ROUND(ACOS(COS(RADIANS(90-D5316)) * COS(RADIANS(90-F5316)) + SIN(RADIANS(90-D5316)) * SIN(RADIANS(90-F5316)) * COS(RADIANS(E5316-G5316))) * 6371,1)</f>
        <v>614.79999999999995</v>
      </c>
      <c r="I5316">
        <f t="shared" ref="I5316:I5379" si="167">ROUND(ACOS(COS(RADIANS(90-D5316)) * COS(RADIANS(90-F5316)) + SIN(RADIANS(90-D5316)) * SIN(RADIANS(90-F5316)) * COS(RADIANS(E5316-G5316))) * 3959,1)</f>
        <v>382.1</v>
      </c>
    </row>
    <row r="5317" spans="1:9" ht="30" x14ac:dyDescent="0.25">
      <c r="A5317" s="5" t="s">
        <v>182</v>
      </c>
      <c r="B5317" s="5" t="s">
        <v>176</v>
      </c>
      <c r="C5317" s="5" t="s">
        <v>5796</v>
      </c>
      <c r="D5317" s="3">
        <f>VLOOKUP(A5317,airports!A:H,7,FALSE)</f>
        <v>33.679749999999999</v>
      </c>
      <c r="E5317" s="3">
        <f>VLOOKUP(A5317,airports!A:H,8,FALSE)</f>
        <v>-78.928333330000001</v>
      </c>
      <c r="F5317" s="3">
        <f>VLOOKUP(B5317,airports!A:H,7,FALSE)</f>
        <v>38.944531939999997</v>
      </c>
      <c r="G5317" s="3">
        <f>VLOOKUP(B5317,airports!A:H,8,FALSE)</f>
        <v>-77.455809720000005</v>
      </c>
      <c r="H5317">
        <f t="shared" si="166"/>
        <v>600.1</v>
      </c>
      <c r="I5317">
        <f t="shared" si="167"/>
        <v>372.9</v>
      </c>
    </row>
    <row r="5318" spans="1:9" ht="30" x14ac:dyDescent="0.25">
      <c r="A5318" s="5" t="s">
        <v>182</v>
      </c>
      <c r="B5318" s="5" t="s">
        <v>2988</v>
      </c>
      <c r="C5318" s="5" t="s">
        <v>5797</v>
      </c>
      <c r="D5318" s="3">
        <f>VLOOKUP(A5318,airports!A:H,7,FALSE)</f>
        <v>33.679749999999999</v>
      </c>
      <c r="E5318" s="3">
        <f>VLOOKUP(A5318,airports!A:H,8,FALSE)</f>
        <v>-78.928333330000001</v>
      </c>
      <c r="F5318" s="3">
        <f>VLOOKUP(B5318,airports!A:H,7,FALSE)</f>
        <v>43.107300000000002</v>
      </c>
      <c r="G5318" s="3">
        <f>VLOOKUP(B5318,airports!A:H,8,FALSE)</f>
        <v>-78.946197999999995</v>
      </c>
      <c r="H5318">
        <f t="shared" si="166"/>
        <v>1048.3</v>
      </c>
      <c r="I5318">
        <f t="shared" si="167"/>
        <v>651.4</v>
      </c>
    </row>
    <row r="5319" spans="1:9" ht="30" x14ac:dyDescent="0.25">
      <c r="A5319" s="5" t="s">
        <v>182</v>
      </c>
      <c r="B5319" s="5" t="s">
        <v>67</v>
      </c>
      <c r="C5319" s="5" t="s">
        <v>5798</v>
      </c>
      <c r="D5319" s="3">
        <f>VLOOKUP(A5319,airports!A:H,7,FALSE)</f>
        <v>33.679749999999999</v>
      </c>
      <c r="E5319" s="3">
        <f>VLOOKUP(A5319,airports!A:H,8,FALSE)</f>
        <v>-78.928333330000001</v>
      </c>
      <c r="F5319" s="3">
        <f>VLOOKUP(B5319,airports!A:H,7,FALSE)</f>
        <v>29.980472219999999</v>
      </c>
      <c r="G5319" s="3">
        <f>VLOOKUP(B5319,airports!A:H,8,FALSE)</f>
        <v>-95.339722219999999</v>
      </c>
      <c r="H5319">
        <f t="shared" si="166"/>
        <v>1602.1</v>
      </c>
      <c r="I5319">
        <f t="shared" si="167"/>
        <v>995.5</v>
      </c>
    </row>
    <row r="5320" spans="1:9" ht="30" x14ac:dyDescent="0.25">
      <c r="A5320" s="5" t="s">
        <v>182</v>
      </c>
      <c r="B5320" s="5" t="s">
        <v>537</v>
      </c>
      <c r="C5320" s="5" t="s">
        <v>5799</v>
      </c>
      <c r="D5320" s="3">
        <f>VLOOKUP(A5320,airports!A:H,7,FALSE)</f>
        <v>33.679749999999999</v>
      </c>
      <c r="E5320" s="3">
        <f>VLOOKUP(A5320,airports!A:H,8,FALSE)</f>
        <v>-78.928333330000001</v>
      </c>
      <c r="F5320" s="3">
        <f>VLOOKUP(B5320,airports!A:H,7,FALSE)</f>
        <v>39.717329169999999</v>
      </c>
      <c r="G5320" s="3">
        <f>VLOOKUP(B5320,airports!A:H,8,FALSE)</f>
        <v>-86.294384170000001</v>
      </c>
      <c r="H5320">
        <f t="shared" si="166"/>
        <v>938.5</v>
      </c>
      <c r="I5320">
        <f t="shared" si="167"/>
        <v>583.20000000000005</v>
      </c>
    </row>
    <row r="5321" spans="1:9" x14ac:dyDescent="0.25">
      <c r="A5321" s="5" t="s">
        <v>182</v>
      </c>
      <c r="B5321" s="5" t="s">
        <v>539</v>
      </c>
      <c r="C5321" s="5" t="s">
        <v>5800</v>
      </c>
      <c r="D5321" s="3">
        <f>VLOOKUP(A5321,airports!A:H,7,FALSE)</f>
        <v>33.679749999999999</v>
      </c>
      <c r="E5321" s="3">
        <f>VLOOKUP(A5321,airports!A:H,8,FALSE)</f>
        <v>-78.928333330000001</v>
      </c>
      <c r="F5321" s="3">
        <f>VLOOKUP(B5321,airports!A:H,7,FALSE)</f>
        <v>40.795242500000001</v>
      </c>
      <c r="G5321" s="3">
        <f>VLOOKUP(B5321,airports!A:H,8,FALSE)</f>
        <v>-73.100211939999994</v>
      </c>
      <c r="H5321">
        <f t="shared" si="166"/>
        <v>944</v>
      </c>
      <c r="I5321">
        <f t="shared" si="167"/>
        <v>586.6</v>
      </c>
    </row>
    <row r="5322" spans="1:9" ht="30" x14ac:dyDescent="0.25">
      <c r="A5322" s="5" t="s">
        <v>182</v>
      </c>
      <c r="B5322" s="5" t="s">
        <v>3295</v>
      </c>
      <c r="C5322" s="5" t="s">
        <v>5801</v>
      </c>
      <c r="D5322" s="3">
        <f>VLOOKUP(A5322,airports!A:H,7,FALSE)</f>
        <v>33.679749999999999</v>
      </c>
      <c r="E5322" s="3">
        <f>VLOOKUP(A5322,airports!A:H,8,FALSE)</f>
        <v>-78.928333330000001</v>
      </c>
      <c r="F5322" s="3">
        <f>VLOOKUP(B5322,airports!A:H,7,FALSE)</f>
        <v>40.275902000000002</v>
      </c>
      <c r="G5322" s="3">
        <f>VLOOKUP(B5322,airports!A:H,8,FALSE)</f>
        <v>-79.404799999999994</v>
      </c>
      <c r="H5322">
        <f t="shared" si="166"/>
        <v>734.7</v>
      </c>
      <c r="I5322">
        <f t="shared" si="167"/>
        <v>456.5</v>
      </c>
    </row>
    <row r="5323" spans="1:9" ht="30" x14ac:dyDescent="0.25">
      <c r="A5323" s="5" t="s">
        <v>182</v>
      </c>
      <c r="B5323" s="5" t="s">
        <v>740</v>
      </c>
      <c r="C5323" s="5" t="s">
        <v>5802</v>
      </c>
      <c r="D5323" s="3">
        <f>VLOOKUP(A5323,airports!A:H,7,FALSE)</f>
        <v>33.679749999999999</v>
      </c>
      <c r="E5323" s="3">
        <f>VLOOKUP(A5323,airports!A:H,8,FALSE)</f>
        <v>-78.928333330000001</v>
      </c>
      <c r="F5323" s="3">
        <f>VLOOKUP(B5323,airports!A:H,7,FALSE)</f>
        <v>39.813800999999998</v>
      </c>
      <c r="G5323" s="3">
        <f>VLOOKUP(B5323,airports!A:H,8,FALSE)</f>
        <v>-82.927802999999997</v>
      </c>
      <c r="H5323">
        <f t="shared" si="166"/>
        <v>769.3</v>
      </c>
      <c r="I5323">
        <f t="shared" si="167"/>
        <v>478.1</v>
      </c>
    </row>
    <row r="5324" spans="1:9" ht="30" x14ac:dyDescent="0.25">
      <c r="A5324" s="5" t="s">
        <v>182</v>
      </c>
      <c r="B5324" s="5" t="s">
        <v>549</v>
      </c>
      <c r="C5324" s="5" t="s">
        <v>5803</v>
      </c>
      <c r="D5324" s="3">
        <f>VLOOKUP(A5324,airports!A:H,7,FALSE)</f>
        <v>33.679749999999999</v>
      </c>
      <c r="E5324" s="3">
        <f>VLOOKUP(A5324,airports!A:H,8,FALSE)</f>
        <v>-78.928333330000001</v>
      </c>
      <c r="F5324" s="3">
        <f>VLOOKUP(B5324,airports!A:H,7,FALSE)</f>
        <v>38.036972220000003</v>
      </c>
      <c r="G5324" s="3">
        <f>VLOOKUP(B5324,airports!A:H,8,FALSE)</f>
        <v>-84.60538889</v>
      </c>
      <c r="H5324">
        <f t="shared" si="166"/>
        <v>704.3</v>
      </c>
      <c r="I5324">
        <f t="shared" si="167"/>
        <v>437.7</v>
      </c>
    </row>
    <row r="5325" spans="1:9" ht="30" x14ac:dyDescent="0.25">
      <c r="A5325" s="5" t="s">
        <v>182</v>
      </c>
      <c r="B5325" s="5" t="s">
        <v>74</v>
      </c>
      <c r="C5325" s="5" t="s">
        <v>5804</v>
      </c>
      <c r="D5325" s="3">
        <f>VLOOKUP(A5325,airports!A:H,7,FALSE)</f>
        <v>33.679749999999999</v>
      </c>
      <c r="E5325" s="3">
        <f>VLOOKUP(A5325,airports!A:H,8,FALSE)</f>
        <v>-78.928333330000001</v>
      </c>
      <c r="F5325" s="3">
        <f>VLOOKUP(B5325,airports!A:H,7,FALSE)</f>
        <v>40.777243060000004</v>
      </c>
      <c r="G5325" s="3">
        <f>VLOOKUP(B5325,airports!A:H,8,FALSE)</f>
        <v>-73.872609170000004</v>
      </c>
      <c r="H5325">
        <f t="shared" si="166"/>
        <v>906.9</v>
      </c>
      <c r="I5325">
        <f t="shared" si="167"/>
        <v>563.6</v>
      </c>
    </row>
    <row r="5326" spans="1:9" ht="30" x14ac:dyDescent="0.25">
      <c r="A5326" s="5" t="s">
        <v>182</v>
      </c>
      <c r="B5326" s="5" t="s">
        <v>80</v>
      </c>
      <c r="C5326" s="5" t="s">
        <v>5805</v>
      </c>
      <c r="D5326" s="3">
        <f>VLOOKUP(A5326,airports!A:H,7,FALSE)</f>
        <v>33.679749999999999</v>
      </c>
      <c r="E5326" s="3">
        <f>VLOOKUP(A5326,airports!A:H,8,FALSE)</f>
        <v>-78.928333330000001</v>
      </c>
      <c r="F5326" s="3">
        <f>VLOOKUP(B5326,airports!A:H,7,FALSE)</f>
        <v>39.297605279999999</v>
      </c>
      <c r="G5326" s="3">
        <f>VLOOKUP(B5326,airports!A:H,8,FALSE)</f>
        <v>-94.713905560000001</v>
      </c>
      <c r="H5326">
        <f t="shared" si="166"/>
        <v>1540.5</v>
      </c>
      <c r="I5326">
        <f t="shared" si="167"/>
        <v>957.3</v>
      </c>
    </row>
    <row r="5327" spans="1:9" ht="30" x14ac:dyDescent="0.25">
      <c r="A5327" s="5" t="s">
        <v>182</v>
      </c>
      <c r="B5327" s="5" t="s">
        <v>82</v>
      </c>
      <c r="C5327" s="5" t="s">
        <v>5806</v>
      </c>
      <c r="D5327" s="3">
        <f>VLOOKUP(A5327,airports!A:H,7,FALSE)</f>
        <v>33.679749999999999</v>
      </c>
      <c r="E5327" s="3">
        <f>VLOOKUP(A5327,airports!A:H,8,FALSE)</f>
        <v>-78.928333330000001</v>
      </c>
      <c r="F5327" s="3">
        <f>VLOOKUP(B5327,airports!A:H,7,FALSE)</f>
        <v>28.42888889</v>
      </c>
      <c r="G5327" s="3">
        <f>VLOOKUP(B5327,airports!A:H,8,FALSE)</f>
        <v>-81.316027779999999</v>
      </c>
      <c r="H5327">
        <f t="shared" si="166"/>
        <v>626.5</v>
      </c>
      <c r="I5327">
        <f t="shared" si="167"/>
        <v>389.3</v>
      </c>
    </row>
    <row r="5328" spans="1:9" ht="30" x14ac:dyDescent="0.25">
      <c r="A5328" s="5" t="s">
        <v>182</v>
      </c>
      <c r="B5328" s="5" t="s">
        <v>178</v>
      </c>
      <c r="C5328" s="5" t="s">
        <v>5807</v>
      </c>
      <c r="D5328" s="3">
        <f>VLOOKUP(A5328,airports!A:H,7,FALSE)</f>
        <v>33.679749999999999</v>
      </c>
      <c r="E5328" s="3">
        <f>VLOOKUP(A5328,airports!A:H,8,FALSE)</f>
        <v>-78.928333330000001</v>
      </c>
      <c r="F5328" s="3">
        <f>VLOOKUP(B5328,airports!A:H,7,FALSE)</f>
        <v>40.19349528</v>
      </c>
      <c r="G5328" s="3">
        <f>VLOOKUP(B5328,airports!A:H,8,FALSE)</f>
        <v>-76.763403609999997</v>
      </c>
      <c r="H5328">
        <f t="shared" si="166"/>
        <v>749.3</v>
      </c>
      <c r="I5328">
        <f t="shared" si="167"/>
        <v>465.7</v>
      </c>
    </row>
    <row r="5329" spans="1:9" ht="30" x14ac:dyDescent="0.25">
      <c r="A5329" s="5" t="s">
        <v>182</v>
      </c>
      <c r="B5329" s="5" t="s">
        <v>180</v>
      </c>
      <c r="C5329" s="5" t="s">
        <v>5808</v>
      </c>
      <c r="D5329" s="3">
        <f>VLOOKUP(A5329,airports!A:H,7,FALSE)</f>
        <v>33.679749999999999</v>
      </c>
      <c r="E5329" s="3">
        <f>VLOOKUP(A5329,airports!A:H,8,FALSE)</f>
        <v>-78.928333330000001</v>
      </c>
      <c r="F5329" s="3">
        <f>VLOOKUP(B5329,airports!A:H,7,FALSE)</f>
        <v>41.785982500000003</v>
      </c>
      <c r="G5329" s="3">
        <f>VLOOKUP(B5329,airports!A:H,8,FALSE)</f>
        <v>-87.752424439999999</v>
      </c>
      <c r="H5329">
        <f t="shared" si="166"/>
        <v>1188</v>
      </c>
      <c r="I5329">
        <f t="shared" si="167"/>
        <v>738.2</v>
      </c>
    </row>
    <row r="5330" spans="1:9" ht="30" x14ac:dyDescent="0.25">
      <c r="A5330" s="5" t="s">
        <v>182</v>
      </c>
      <c r="B5330" s="5" t="s">
        <v>567</v>
      </c>
      <c r="C5330" s="5" t="s">
        <v>5809</v>
      </c>
      <c r="D5330" s="3">
        <f>VLOOKUP(A5330,airports!A:H,7,FALSE)</f>
        <v>33.679749999999999</v>
      </c>
      <c r="E5330" s="3">
        <f>VLOOKUP(A5330,airports!A:H,8,FALSE)</f>
        <v>-78.928333330000001</v>
      </c>
      <c r="F5330" s="3">
        <f>VLOOKUP(B5330,airports!A:H,7,FALSE)</f>
        <v>42.934516389999999</v>
      </c>
      <c r="G5330" s="3">
        <f>VLOOKUP(B5330,airports!A:H,8,FALSE)</f>
        <v>-71.437055830000006</v>
      </c>
      <c r="H5330">
        <f t="shared" si="166"/>
        <v>1217.9000000000001</v>
      </c>
      <c r="I5330">
        <f t="shared" si="167"/>
        <v>756.8</v>
      </c>
    </row>
    <row r="5331" spans="1:9" ht="30" x14ac:dyDescent="0.25">
      <c r="A5331" s="5" t="s">
        <v>182</v>
      </c>
      <c r="B5331" s="5" t="s">
        <v>84</v>
      </c>
      <c r="C5331" s="5" t="s">
        <v>5810</v>
      </c>
      <c r="D5331" s="3">
        <f>VLOOKUP(A5331,airports!A:H,7,FALSE)</f>
        <v>33.679749999999999</v>
      </c>
      <c r="E5331" s="3">
        <f>VLOOKUP(A5331,airports!A:H,8,FALSE)</f>
        <v>-78.928333330000001</v>
      </c>
      <c r="F5331" s="3">
        <f>VLOOKUP(B5331,airports!A:H,7,FALSE)</f>
        <v>25.79325</v>
      </c>
      <c r="G5331" s="3">
        <f>VLOOKUP(B5331,airports!A:H,8,FALSE)</f>
        <v>-80.290555560000001</v>
      </c>
      <c r="H5331">
        <f t="shared" si="166"/>
        <v>886.7</v>
      </c>
      <c r="I5331">
        <f t="shared" si="167"/>
        <v>551</v>
      </c>
    </row>
    <row r="5332" spans="1:9" ht="30" x14ac:dyDescent="0.25">
      <c r="A5332" s="5" t="s">
        <v>182</v>
      </c>
      <c r="B5332" s="5" t="s">
        <v>85</v>
      </c>
      <c r="C5332" s="5" t="s">
        <v>5811</v>
      </c>
      <c r="D5332" s="3">
        <f>VLOOKUP(A5332,airports!A:H,7,FALSE)</f>
        <v>33.679749999999999</v>
      </c>
      <c r="E5332" s="3">
        <f>VLOOKUP(A5332,airports!A:H,8,FALSE)</f>
        <v>-78.928333330000001</v>
      </c>
      <c r="F5332" s="3">
        <f>VLOOKUP(B5332,airports!A:H,7,FALSE)</f>
        <v>42.94722222</v>
      </c>
      <c r="G5332" s="3">
        <f>VLOOKUP(B5332,airports!A:H,8,FALSE)</f>
        <v>-87.896583329999999</v>
      </c>
      <c r="H5332">
        <f t="shared" si="166"/>
        <v>1292.2</v>
      </c>
      <c r="I5332">
        <f t="shared" si="167"/>
        <v>803</v>
      </c>
    </row>
    <row r="5333" spans="1:9" ht="30" x14ac:dyDescent="0.25">
      <c r="A5333" s="5" t="s">
        <v>182</v>
      </c>
      <c r="B5333" s="5" t="s">
        <v>87</v>
      </c>
      <c r="C5333" s="5" t="s">
        <v>5812</v>
      </c>
      <c r="D5333" s="3">
        <f>VLOOKUP(A5333,airports!A:H,7,FALSE)</f>
        <v>33.679749999999999</v>
      </c>
      <c r="E5333" s="3">
        <f>VLOOKUP(A5333,airports!A:H,8,FALSE)</f>
        <v>-78.928333330000001</v>
      </c>
      <c r="F5333" s="3">
        <f>VLOOKUP(B5333,airports!A:H,7,FALSE)</f>
        <v>44.880546940000002</v>
      </c>
      <c r="G5333" s="3">
        <f>VLOOKUP(B5333,airports!A:H,8,FALSE)</f>
        <v>-93.216922499999995</v>
      </c>
      <c r="H5333">
        <f t="shared" si="166"/>
        <v>1745.3</v>
      </c>
      <c r="I5333">
        <f t="shared" si="167"/>
        <v>1084.5</v>
      </c>
    </row>
    <row r="5334" spans="1:9" ht="30" x14ac:dyDescent="0.25">
      <c r="A5334" s="5" t="s">
        <v>182</v>
      </c>
      <c r="B5334" s="5" t="s">
        <v>95</v>
      </c>
      <c r="C5334" s="5" t="s">
        <v>5813</v>
      </c>
      <c r="D5334" s="3">
        <f>VLOOKUP(A5334,airports!A:H,7,FALSE)</f>
        <v>33.679749999999999</v>
      </c>
      <c r="E5334" s="3">
        <f>VLOOKUP(A5334,airports!A:H,8,FALSE)</f>
        <v>-78.928333330000001</v>
      </c>
      <c r="F5334" s="3">
        <f>VLOOKUP(B5334,airports!A:H,7,FALSE)</f>
        <v>41.979595000000003</v>
      </c>
      <c r="G5334" s="3">
        <f>VLOOKUP(B5334,airports!A:H,8,FALSE)</f>
        <v>-87.904464169999997</v>
      </c>
      <c r="H5334">
        <f t="shared" si="166"/>
        <v>1212.3</v>
      </c>
      <c r="I5334">
        <f t="shared" si="167"/>
        <v>753.3</v>
      </c>
    </row>
    <row r="5335" spans="1:9" ht="30" x14ac:dyDescent="0.25">
      <c r="A5335" s="5" t="s">
        <v>182</v>
      </c>
      <c r="B5335" s="5" t="s">
        <v>3316</v>
      </c>
      <c r="C5335" s="5" t="s">
        <v>5814</v>
      </c>
      <c r="D5335" s="3">
        <f>VLOOKUP(A5335,airports!A:H,7,FALSE)</f>
        <v>33.679749999999999</v>
      </c>
      <c r="E5335" s="3">
        <f>VLOOKUP(A5335,airports!A:H,8,FALSE)</f>
        <v>-78.928333330000001</v>
      </c>
      <c r="F5335" s="3">
        <f>VLOOKUP(B5335,airports!A:H,7,FALSE)</f>
        <v>44.650901794433501</v>
      </c>
      <c r="G5335" s="3">
        <f>VLOOKUP(B5335,airports!A:H,8,FALSE)</f>
        <v>-73.468101501464801</v>
      </c>
      <c r="H5335">
        <f t="shared" si="166"/>
        <v>1306.8</v>
      </c>
      <c r="I5335">
        <f t="shared" si="167"/>
        <v>812.1</v>
      </c>
    </row>
    <row r="5336" spans="1:9" ht="30" x14ac:dyDescent="0.25">
      <c r="A5336" s="5" t="s">
        <v>182</v>
      </c>
      <c r="B5336" s="5" t="s">
        <v>102</v>
      </c>
      <c r="C5336" s="5" t="s">
        <v>5815</v>
      </c>
      <c r="D5336" s="3">
        <f>VLOOKUP(A5336,airports!A:H,7,FALSE)</f>
        <v>33.679749999999999</v>
      </c>
      <c r="E5336" s="3">
        <f>VLOOKUP(A5336,airports!A:H,8,FALSE)</f>
        <v>-78.928333330000001</v>
      </c>
      <c r="F5336" s="3">
        <f>VLOOKUP(B5336,airports!A:H,7,FALSE)</f>
        <v>39.871952780000001</v>
      </c>
      <c r="G5336" s="3">
        <f>VLOOKUP(B5336,airports!A:H,8,FALSE)</f>
        <v>-75.241140830000006</v>
      </c>
      <c r="H5336">
        <f t="shared" si="166"/>
        <v>762.7</v>
      </c>
      <c r="I5336">
        <f t="shared" si="167"/>
        <v>473.9</v>
      </c>
    </row>
    <row r="5337" spans="1:9" x14ac:dyDescent="0.25">
      <c r="A5337" s="5" t="s">
        <v>182</v>
      </c>
      <c r="B5337" s="5" t="s">
        <v>106</v>
      </c>
      <c r="C5337" s="5" t="s">
        <v>5816</v>
      </c>
      <c r="D5337" s="3">
        <f>VLOOKUP(A5337,airports!A:H,7,FALSE)</f>
        <v>33.679749999999999</v>
      </c>
      <c r="E5337" s="3">
        <f>VLOOKUP(A5337,airports!A:H,8,FALSE)</f>
        <v>-78.928333330000001</v>
      </c>
      <c r="F5337" s="3">
        <f>VLOOKUP(B5337,airports!A:H,7,FALSE)</f>
        <v>40.491465830000003</v>
      </c>
      <c r="G5337" s="3">
        <f>VLOOKUP(B5337,airports!A:H,8,FALSE)</f>
        <v>-80.232870829999996</v>
      </c>
      <c r="H5337">
        <f t="shared" si="166"/>
        <v>766.2</v>
      </c>
      <c r="I5337">
        <f t="shared" si="167"/>
        <v>476.1</v>
      </c>
    </row>
    <row r="5338" spans="1:9" ht="30" x14ac:dyDescent="0.25">
      <c r="A5338" s="5" t="s">
        <v>182</v>
      </c>
      <c r="B5338" s="5" t="s">
        <v>1164</v>
      </c>
      <c r="C5338" s="5" t="s">
        <v>5817</v>
      </c>
      <c r="D5338" s="3">
        <f>VLOOKUP(A5338,airports!A:H,7,FALSE)</f>
        <v>33.679749999999999</v>
      </c>
      <c r="E5338" s="3">
        <f>VLOOKUP(A5338,airports!A:H,8,FALSE)</f>
        <v>-78.928333330000001</v>
      </c>
      <c r="F5338" s="3">
        <f>VLOOKUP(B5338,airports!A:H,7,FALSE)</f>
        <v>43.079099999999997</v>
      </c>
      <c r="G5338" s="3">
        <f>VLOOKUP(B5338,airports!A:H,8,FALSE)</f>
        <v>-70.823300000000003</v>
      </c>
      <c r="H5338">
        <f t="shared" si="166"/>
        <v>1260.0999999999999</v>
      </c>
      <c r="I5338">
        <f t="shared" si="167"/>
        <v>783.1</v>
      </c>
    </row>
    <row r="5339" spans="1:9" ht="30" x14ac:dyDescent="0.25">
      <c r="A5339" s="5" t="s">
        <v>182</v>
      </c>
      <c r="B5339" s="5" t="s">
        <v>114</v>
      </c>
      <c r="C5339" s="5" t="s">
        <v>5818</v>
      </c>
      <c r="D5339" s="3">
        <f>VLOOKUP(A5339,airports!A:H,7,FALSE)</f>
        <v>33.679749999999999</v>
      </c>
      <c r="E5339" s="3">
        <f>VLOOKUP(A5339,airports!A:H,8,FALSE)</f>
        <v>-78.928333330000001</v>
      </c>
      <c r="F5339" s="3">
        <f>VLOOKUP(B5339,airports!A:H,7,FALSE)</f>
        <v>41.723999169999999</v>
      </c>
      <c r="G5339" s="3">
        <f>VLOOKUP(B5339,airports!A:H,8,FALSE)</f>
        <v>-71.428221109999996</v>
      </c>
      <c r="H5339">
        <f t="shared" si="166"/>
        <v>1110.5</v>
      </c>
      <c r="I5339">
        <f t="shared" si="167"/>
        <v>690.1</v>
      </c>
    </row>
    <row r="5340" spans="1:9" ht="30" x14ac:dyDescent="0.25">
      <c r="A5340" s="5" t="s">
        <v>182</v>
      </c>
      <c r="B5340" s="5" t="s">
        <v>117</v>
      </c>
      <c r="C5340" s="5" t="s">
        <v>5819</v>
      </c>
      <c r="D5340" s="3">
        <f>VLOOKUP(A5340,airports!A:H,7,FALSE)</f>
        <v>33.679749999999999</v>
      </c>
      <c r="E5340" s="3">
        <f>VLOOKUP(A5340,airports!A:H,8,FALSE)</f>
        <v>-78.928333330000001</v>
      </c>
      <c r="F5340" s="3">
        <f>VLOOKUP(B5340,airports!A:H,7,FALSE)</f>
        <v>43.646166669999999</v>
      </c>
      <c r="G5340" s="3">
        <f>VLOOKUP(B5340,airports!A:H,8,FALSE)</f>
        <v>-70.308750000000003</v>
      </c>
      <c r="H5340">
        <f t="shared" si="166"/>
        <v>1335.5</v>
      </c>
      <c r="I5340">
        <f t="shared" si="167"/>
        <v>829.9</v>
      </c>
    </row>
    <row r="5341" spans="1:9" ht="30" x14ac:dyDescent="0.25">
      <c r="A5341" s="5" t="s">
        <v>182</v>
      </c>
      <c r="B5341" s="5" t="s">
        <v>630</v>
      </c>
      <c r="C5341" s="5" t="s">
        <v>5820</v>
      </c>
      <c r="D5341" s="3">
        <f>VLOOKUP(A5341,airports!A:H,7,FALSE)</f>
        <v>33.679749999999999</v>
      </c>
      <c r="E5341" s="3">
        <f>VLOOKUP(A5341,airports!A:H,8,FALSE)</f>
        <v>-78.928333330000001</v>
      </c>
      <c r="F5341" s="3">
        <f>VLOOKUP(B5341,airports!A:H,7,FALSE)</f>
        <v>38.174388890000003</v>
      </c>
      <c r="G5341" s="3">
        <f>VLOOKUP(B5341,airports!A:H,8,FALSE)</f>
        <v>-85.736000000000004</v>
      </c>
      <c r="H5341">
        <f t="shared" si="166"/>
        <v>790.5</v>
      </c>
      <c r="I5341">
        <f t="shared" si="167"/>
        <v>491.2</v>
      </c>
    </row>
    <row r="5342" spans="1:9" ht="30" x14ac:dyDescent="0.25">
      <c r="A5342" s="5" t="s">
        <v>182</v>
      </c>
      <c r="B5342" s="5" t="s">
        <v>644</v>
      </c>
      <c r="C5342" s="5" t="s">
        <v>5821</v>
      </c>
      <c r="D5342" s="3">
        <f>VLOOKUP(A5342,airports!A:H,7,FALSE)</f>
        <v>33.679749999999999</v>
      </c>
      <c r="E5342" s="3">
        <f>VLOOKUP(A5342,airports!A:H,8,FALSE)</f>
        <v>-78.928333330000001</v>
      </c>
      <c r="F5342" s="3">
        <f>VLOOKUP(B5342,airports!A:H,7,FALSE)</f>
        <v>38.747686940000001</v>
      </c>
      <c r="G5342" s="3">
        <f>VLOOKUP(B5342,airports!A:H,8,FALSE)</f>
        <v>-90.359989720000002</v>
      </c>
      <c r="H5342">
        <f t="shared" si="166"/>
        <v>1168.9000000000001</v>
      </c>
      <c r="I5342">
        <f t="shared" si="167"/>
        <v>726.4</v>
      </c>
    </row>
    <row r="5343" spans="1:9" ht="30" x14ac:dyDescent="0.25">
      <c r="A5343" s="5" t="s">
        <v>182</v>
      </c>
      <c r="B5343" s="5" t="s">
        <v>142</v>
      </c>
      <c r="C5343" s="5" t="s">
        <v>5822</v>
      </c>
      <c r="D5343" s="3">
        <f>VLOOKUP(A5343,airports!A:H,7,FALSE)</f>
        <v>33.679749999999999</v>
      </c>
      <c r="E5343" s="3">
        <f>VLOOKUP(A5343,airports!A:H,8,FALSE)</f>
        <v>-78.928333330000001</v>
      </c>
      <c r="F5343" s="3">
        <f>VLOOKUP(B5343,airports!A:H,7,FALSE)</f>
        <v>41.504093609999998</v>
      </c>
      <c r="G5343" s="3">
        <f>VLOOKUP(B5343,airports!A:H,8,FALSE)</f>
        <v>-74.104838330000007</v>
      </c>
      <c r="H5343">
        <f t="shared" si="166"/>
        <v>967.9</v>
      </c>
      <c r="I5343">
        <f t="shared" si="167"/>
        <v>601.4</v>
      </c>
    </row>
    <row r="5344" spans="1:9" ht="30" x14ac:dyDescent="0.25">
      <c r="A5344" s="5" t="s">
        <v>182</v>
      </c>
      <c r="B5344" s="5" t="s">
        <v>144</v>
      </c>
      <c r="C5344" s="5" t="s">
        <v>5823</v>
      </c>
      <c r="D5344" s="3">
        <f>VLOOKUP(A5344,airports!A:H,7,FALSE)</f>
        <v>33.679749999999999</v>
      </c>
      <c r="E5344" s="3">
        <f>VLOOKUP(A5344,airports!A:H,8,FALSE)</f>
        <v>-78.928333330000001</v>
      </c>
      <c r="F5344" s="3">
        <f>VLOOKUP(B5344,airports!A:H,7,FALSE)</f>
        <v>43.111186940000003</v>
      </c>
      <c r="G5344" s="3">
        <f>VLOOKUP(B5344,airports!A:H,8,FALSE)</f>
        <v>-76.106310559999997</v>
      </c>
      <c r="H5344">
        <f t="shared" si="166"/>
        <v>1077</v>
      </c>
      <c r="I5344">
        <f t="shared" si="167"/>
        <v>669.3</v>
      </c>
    </row>
    <row r="5345" spans="1:9" ht="30" x14ac:dyDescent="0.25">
      <c r="A5345" s="5" t="s">
        <v>182</v>
      </c>
      <c r="B5345" s="5" t="s">
        <v>656</v>
      </c>
      <c r="C5345" s="5" t="s">
        <v>5824</v>
      </c>
      <c r="D5345" s="3">
        <f>VLOOKUP(A5345,airports!A:H,7,FALSE)</f>
        <v>33.679749999999999</v>
      </c>
      <c r="E5345" s="3">
        <f>VLOOKUP(A5345,airports!A:H,8,FALSE)</f>
        <v>-78.928333330000001</v>
      </c>
      <c r="F5345" s="3">
        <f>VLOOKUP(B5345,airports!A:H,7,FALSE)</f>
        <v>40.276691110000002</v>
      </c>
      <c r="G5345" s="3">
        <f>VLOOKUP(B5345,airports!A:H,8,FALSE)</f>
        <v>-74.813468330000006</v>
      </c>
      <c r="H5345">
        <f t="shared" si="166"/>
        <v>819.3</v>
      </c>
      <c r="I5345">
        <f t="shared" si="167"/>
        <v>509.1</v>
      </c>
    </row>
    <row r="5346" spans="1:9" ht="30" x14ac:dyDescent="0.25">
      <c r="A5346" s="5" t="s">
        <v>182</v>
      </c>
      <c r="B5346" s="5" t="s">
        <v>664</v>
      </c>
      <c r="C5346" s="5" t="s">
        <v>5825</v>
      </c>
      <c r="D5346" s="3">
        <f>VLOOKUP(A5346,airports!A:H,7,FALSE)</f>
        <v>33.679749999999999</v>
      </c>
      <c r="E5346" s="3">
        <f>VLOOKUP(A5346,airports!A:H,8,FALSE)</f>
        <v>-78.928333330000001</v>
      </c>
      <c r="F5346" s="3">
        <f>VLOOKUP(B5346,airports!A:H,7,FALSE)</f>
        <v>35.812487220000001</v>
      </c>
      <c r="G5346" s="3">
        <f>VLOOKUP(B5346,airports!A:H,8,FALSE)</f>
        <v>-83.992855829999996</v>
      </c>
      <c r="H5346">
        <f t="shared" si="166"/>
        <v>519.9</v>
      </c>
      <c r="I5346">
        <f t="shared" si="167"/>
        <v>323</v>
      </c>
    </row>
    <row r="5347" spans="1:9" x14ac:dyDescent="0.25">
      <c r="A5347" s="5" t="s">
        <v>587</v>
      </c>
      <c r="B5347" s="5" t="s">
        <v>10</v>
      </c>
      <c r="C5347" s="5" t="s">
        <v>5826</v>
      </c>
      <c r="D5347" s="3">
        <f>VLOOKUP(A5347,airports!A:H,7,FALSE)</f>
        <v>34.82916444</v>
      </c>
      <c r="E5347" s="3">
        <f>VLOOKUP(A5347,airports!A:H,8,FALSE)</f>
        <v>-77.612137779999998</v>
      </c>
      <c r="F5347" s="3">
        <f>VLOOKUP(B5347,airports!A:H,7,FALSE)</f>
        <v>33.640444440000003</v>
      </c>
      <c r="G5347" s="3">
        <f>VLOOKUP(B5347,airports!A:H,8,FALSE)</f>
        <v>-84.42694444</v>
      </c>
      <c r="H5347">
        <f t="shared" si="166"/>
        <v>640.1</v>
      </c>
      <c r="I5347">
        <f t="shared" si="167"/>
        <v>397.8</v>
      </c>
    </row>
    <row r="5348" spans="1:9" x14ac:dyDescent="0.25">
      <c r="A5348" s="5" t="s">
        <v>587</v>
      </c>
      <c r="B5348" s="5" t="s">
        <v>40</v>
      </c>
      <c r="C5348" s="5" t="s">
        <v>5827</v>
      </c>
      <c r="D5348" s="3">
        <f>VLOOKUP(A5348,airports!A:H,7,FALSE)</f>
        <v>34.82916444</v>
      </c>
      <c r="E5348" s="3">
        <f>VLOOKUP(A5348,airports!A:H,8,FALSE)</f>
        <v>-77.612137779999998</v>
      </c>
      <c r="F5348" s="3">
        <f>VLOOKUP(B5348,airports!A:H,7,FALSE)</f>
        <v>35.214011110000001</v>
      </c>
      <c r="G5348" s="3">
        <f>VLOOKUP(B5348,airports!A:H,8,FALSE)</f>
        <v>-80.94312583</v>
      </c>
      <c r="H5348">
        <f t="shared" si="166"/>
        <v>306.3</v>
      </c>
      <c r="I5348">
        <f t="shared" si="167"/>
        <v>190.3</v>
      </c>
    </row>
    <row r="5349" spans="1:9" ht="30" x14ac:dyDescent="0.25">
      <c r="A5349" s="5" t="s">
        <v>215</v>
      </c>
      <c r="B5349" s="5" t="s">
        <v>2</v>
      </c>
      <c r="C5349" s="5" t="s">
        <v>5828</v>
      </c>
      <c r="D5349" s="3">
        <f>VLOOKUP(A5349,airports!A:H,7,FALSE)</f>
        <v>37.721290830000001</v>
      </c>
      <c r="E5349" s="3">
        <f>VLOOKUP(A5349,airports!A:H,8,FALSE)</f>
        <v>-122.2207167</v>
      </c>
      <c r="F5349" s="3">
        <f>VLOOKUP(B5349,airports!A:H,7,FALSE)</f>
        <v>35.040222219999997</v>
      </c>
      <c r="G5349" s="3">
        <f>VLOOKUP(B5349,airports!A:H,8,FALSE)</f>
        <v>-106.60919440000001</v>
      </c>
      <c r="H5349">
        <f t="shared" si="166"/>
        <v>1427.2</v>
      </c>
      <c r="I5349">
        <f t="shared" si="167"/>
        <v>886.9</v>
      </c>
    </row>
    <row r="5350" spans="1:9" ht="30" x14ac:dyDescent="0.25">
      <c r="A5350" s="5" t="s">
        <v>215</v>
      </c>
      <c r="B5350" s="5" t="s">
        <v>10</v>
      </c>
      <c r="C5350" s="5" t="s">
        <v>5829</v>
      </c>
      <c r="D5350" s="3">
        <f>VLOOKUP(A5350,airports!A:H,7,FALSE)</f>
        <v>37.721290830000001</v>
      </c>
      <c r="E5350" s="3">
        <f>VLOOKUP(A5350,airports!A:H,8,FALSE)</f>
        <v>-122.2207167</v>
      </c>
      <c r="F5350" s="3">
        <f>VLOOKUP(B5350,airports!A:H,7,FALSE)</f>
        <v>33.640444440000003</v>
      </c>
      <c r="G5350" s="3">
        <f>VLOOKUP(B5350,airports!A:H,8,FALSE)</f>
        <v>-84.42694444</v>
      </c>
      <c r="H5350">
        <f t="shared" si="166"/>
        <v>3420.3</v>
      </c>
      <c r="I5350">
        <f t="shared" si="167"/>
        <v>2125.4</v>
      </c>
    </row>
    <row r="5351" spans="1:9" ht="30" x14ac:dyDescent="0.25">
      <c r="A5351" s="5" t="s">
        <v>215</v>
      </c>
      <c r="B5351" s="5" t="s">
        <v>13</v>
      </c>
      <c r="C5351" s="5" t="s">
        <v>5830</v>
      </c>
      <c r="D5351" s="3">
        <f>VLOOKUP(A5351,airports!A:H,7,FALSE)</f>
        <v>37.721290830000001</v>
      </c>
      <c r="E5351" s="3">
        <f>VLOOKUP(A5351,airports!A:H,8,FALSE)</f>
        <v>-122.2207167</v>
      </c>
      <c r="F5351" s="3">
        <f>VLOOKUP(B5351,airports!A:H,7,FALSE)</f>
        <v>30.194532779999999</v>
      </c>
      <c r="G5351" s="3">
        <f>VLOOKUP(B5351,airports!A:H,8,FALSE)</f>
        <v>-97.669871939999993</v>
      </c>
      <c r="H5351">
        <f t="shared" si="166"/>
        <v>2405.3000000000002</v>
      </c>
      <c r="I5351">
        <f t="shared" si="167"/>
        <v>1494.7</v>
      </c>
    </row>
    <row r="5352" spans="1:9" ht="30" x14ac:dyDescent="0.25">
      <c r="A5352" s="5" t="s">
        <v>215</v>
      </c>
      <c r="B5352" s="5" t="s">
        <v>329</v>
      </c>
      <c r="C5352" s="5" t="s">
        <v>5831</v>
      </c>
      <c r="D5352" s="3">
        <f>VLOOKUP(A5352,airports!A:H,7,FALSE)</f>
        <v>37.721290830000001</v>
      </c>
      <c r="E5352" s="3">
        <f>VLOOKUP(A5352,airports!A:H,8,FALSE)</f>
        <v>-122.2207167</v>
      </c>
      <c r="F5352" s="3">
        <f>VLOOKUP(B5352,airports!A:H,7,FALSE)</f>
        <v>33.308999999999997</v>
      </c>
      <c r="G5352" s="3">
        <f>VLOOKUP(B5352,airports!A:H,8,FALSE)</f>
        <v>-111.6559</v>
      </c>
      <c r="H5352">
        <f t="shared" si="166"/>
        <v>1073.8</v>
      </c>
      <c r="I5352">
        <f t="shared" si="167"/>
        <v>667.3</v>
      </c>
    </row>
    <row r="5353" spans="1:9" x14ac:dyDescent="0.25">
      <c r="A5353" s="5" t="s">
        <v>215</v>
      </c>
      <c r="B5353" s="5" t="s">
        <v>344</v>
      </c>
      <c r="C5353" s="5" t="s">
        <v>5832</v>
      </c>
      <c r="D5353" s="3">
        <f>VLOOKUP(A5353,airports!A:H,7,FALSE)</f>
        <v>37.721290830000001</v>
      </c>
      <c r="E5353" s="3">
        <f>VLOOKUP(A5353,airports!A:H,8,FALSE)</f>
        <v>-122.2207167</v>
      </c>
      <c r="F5353" s="3">
        <f>VLOOKUP(B5353,airports!A:H,7,FALSE)</f>
        <v>48.792749999999998</v>
      </c>
      <c r="G5353" s="3">
        <f>VLOOKUP(B5353,airports!A:H,8,FALSE)</f>
        <v>-122.53752780000001</v>
      </c>
      <c r="H5353">
        <f t="shared" si="166"/>
        <v>1231.4000000000001</v>
      </c>
      <c r="I5353">
        <f t="shared" si="167"/>
        <v>765.2</v>
      </c>
    </row>
    <row r="5354" spans="1:9" ht="30" x14ac:dyDescent="0.25">
      <c r="A5354" s="5" t="s">
        <v>215</v>
      </c>
      <c r="B5354" s="5" t="s">
        <v>19</v>
      </c>
      <c r="C5354" s="5" t="s">
        <v>5833</v>
      </c>
      <c r="D5354" s="3">
        <f>VLOOKUP(A5354,airports!A:H,7,FALSE)</f>
        <v>37.721290830000001</v>
      </c>
      <c r="E5354" s="3">
        <f>VLOOKUP(A5354,airports!A:H,8,FALSE)</f>
        <v>-122.2207167</v>
      </c>
      <c r="F5354" s="3">
        <f>VLOOKUP(B5354,airports!A:H,7,FALSE)</f>
        <v>36.12447667</v>
      </c>
      <c r="G5354" s="3">
        <f>VLOOKUP(B5354,airports!A:H,8,FALSE)</f>
        <v>-86.678182219999997</v>
      </c>
      <c r="H5354">
        <f t="shared" si="166"/>
        <v>3145.6</v>
      </c>
      <c r="I5354">
        <f t="shared" si="167"/>
        <v>1954.7</v>
      </c>
    </row>
    <row r="5355" spans="1:9" ht="30" x14ac:dyDescent="0.25">
      <c r="A5355" s="5" t="s">
        <v>215</v>
      </c>
      <c r="B5355" s="5" t="s">
        <v>22</v>
      </c>
      <c r="C5355" s="5" t="s">
        <v>5834</v>
      </c>
      <c r="D5355" s="3">
        <f>VLOOKUP(A5355,airports!A:H,7,FALSE)</f>
        <v>37.721290830000001</v>
      </c>
      <c r="E5355" s="3">
        <f>VLOOKUP(A5355,airports!A:H,8,FALSE)</f>
        <v>-122.2207167</v>
      </c>
      <c r="F5355" s="3">
        <f>VLOOKUP(B5355,airports!A:H,7,FALSE)</f>
        <v>43.564444440000003</v>
      </c>
      <c r="G5355" s="3">
        <f>VLOOKUP(B5355,airports!A:H,8,FALSE)</f>
        <v>-116.2227778</v>
      </c>
      <c r="H5355">
        <f t="shared" si="166"/>
        <v>823.1</v>
      </c>
      <c r="I5355">
        <f t="shared" si="167"/>
        <v>511.5</v>
      </c>
    </row>
    <row r="5356" spans="1:9" ht="30" x14ac:dyDescent="0.25">
      <c r="A5356" s="5" t="s">
        <v>215</v>
      </c>
      <c r="B5356" s="5" t="s">
        <v>24</v>
      </c>
      <c r="C5356" s="5" t="s">
        <v>5835</v>
      </c>
      <c r="D5356" s="3">
        <f>VLOOKUP(A5356,airports!A:H,7,FALSE)</f>
        <v>37.721290830000001</v>
      </c>
      <c r="E5356" s="3">
        <f>VLOOKUP(A5356,airports!A:H,8,FALSE)</f>
        <v>-122.2207167</v>
      </c>
      <c r="F5356" s="3">
        <f>VLOOKUP(B5356,airports!A:H,7,FALSE)</f>
        <v>42.364347500000001</v>
      </c>
      <c r="G5356" s="3">
        <f>VLOOKUP(B5356,airports!A:H,8,FALSE)</f>
        <v>-71.005179170000005</v>
      </c>
      <c r="H5356">
        <f t="shared" si="166"/>
        <v>4324.3</v>
      </c>
      <c r="I5356">
        <f t="shared" si="167"/>
        <v>2687.1</v>
      </c>
    </row>
    <row r="5357" spans="1:9" ht="30" x14ac:dyDescent="0.25">
      <c r="A5357" s="5" t="s">
        <v>215</v>
      </c>
      <c r="B5357" s="5" t="s">
        <v>30</v>
      </c>
      <c r="C5357" s="5" t="s">
        <v>5836</v>
      </c>
      <c r="D5357" s="3">
        <f>VLOOKUP(A5357,airports!A:H,7,FALSE)</f>
        <v>37.721290830000001</v>
      </c>
      <c r="E5357" s="3">
        <f>VLOOKUP(A5357,airports!A:H,8,FALSE)</f>
        <v>-122.2207167</v>
      </c>
      <c r="F5357" s="3">
        <f>VLOOKUP(B5357,airports!A:H,7,FALSE)</f>
        <v>34.200619170000003</v>
      </c>
      <c r="G5357" s="3">
        <f>VLOOKUP(B5357,airports!A:H,8,FALSE)</f>
        <v>-118.35849690000001</v>
      </c>
      <c r="H5357">
        <f t="shared" si="166"/>
        <v>523.4</v>
      </c>
      <c r="I5357">
        <f t="shared" si="167"/>
        <v>325.3</v>
      </c>
    </row>
    <row r="5358" spans="1:9" ht="30" x14ac:dyDescent="0.25">
      <c r="A5358" s="5" t="s">
        <v>215</v>
      </c>
      <c r="B5358" s="5" t="s">
        <v>32</v>
      </c>
      <c r="C5358" s="5" t="s">
        <v>5837</v>
      </c>
      <c r="D5358" s="3">
        <f>VLOOKUP(A5358,airports!A:H,7,FALSE)</f>
        <v>37.721290830000001</v>
      </c>
      <c r="E5358" s="3">
        <f>VLOOKUP(A5358,airports!A:H,8,FALSE)</f>
        <v>-122.2207167</v>
      </c>
      <c r="F5358" s="3">
        <f>VLOOKUP(B5358,airports!A:H,7,FALSE)</f>
        <v>39.175401669999999</v>
      </c>
      <c r="G5358" s="3">
        <f>VLOOKUP(B5358,airports!A:H,8,FALSE)</f>
        <v>-76.668198329999996</v>
      </c>
      <c r="H5358">
        <f t="shared" si="166"/>
        <v>3928.1</v>
      </c>
      <c r="I5358">
        <f t="shared" si="167"/>
        <v>2440.9</v>
      </c>
    </row>
    <row r="5359" spans="1:9" ht="30" x14ac:dyDescent="0.25">
      <c r="A5359" s="5" t="s">
        <v>215</v>
      </c>
      <c r="B5359" s="5" t="s">
        <v>34</v>
      </c>
      <c r="C5359" s="5" t="s">
        <v>5838</v>
      </c>
      <c r="D5359" s="3">
        <f>VLOOKUP(A5359,airports!A:H,7,FALSE)</f>
        <v>37.721290830000001</v>
      </c>
      <c r="E5359" s="3">
        <f>VLOOKUP(A5359,airports!A:H,8,FALSE)</f>
        <v>-122.2207167</v>
      </c>
      <c r="F5359" s="3">
        <f>VLOOKUP(B5359,airports!A:H,7,FALSE)</f>
        <v>45.776901389999999</v>
      </c>
      <c r="G5359" s="3">
        <f>VLOOKUP(B5359,airports!A:H,8,FALSE)</f>
        <v>-111.1530072</v>
      </c>
      <c r="H5359">
        <f t="shared" si="166"/>
        <v>1280.4000000000001</v>
      </c>
      <c r="I5359">
        <f t="shared" si="167"/>
        <v>795.7</v>
      </c>
    </row>
    <row r="5360" spans="1:9" ht="30" x14ac:dyDescent="0.25">
      <c r="A5360" s="5" t="s">
        <v>215</v>
      </c>
      <c r="B5360" s="5" t="s">
        <v>454</v>
      </c>
      <c r="C5360" s="5" t="s">
        <v>5839</v>
      </c>
      <c r="D5360" s="3">
        <f>VLOOKUP(A5360,airports!A:H,7,FALSE)</f>
        <v>37.721290830000001</v>
      </c>
      <c r="E5360" s="3">
        <f>VLOOKUP(A5360,airports!A:H,8,FALSE)</f>
        <v>-122.2207167</v>
      </c>
      <c r="F5360" s="3">
        <f>VLOOKUP(B5360,airports!A:H,7,FALSE)</f>
        <v>39.997985280000002</v>
      </c>
      <c r="G5360" s="3">
        <f>VLOOKUP(B5360,airports!A:H,8,FALSE)</f>
        <v>-82.891882780000003</v>
      </c>
      <c r="H5360">
        <f t="shared" si="166"/>
        <v>3387.1</v>
      </c>
      <c r="I5360">
        <f t="shared" si="167"/>
        <v>2104.8000000000002</v>
      </c>
    </row>
    <row r="5361" spans="1:9" ht="30" x14ac:dyDescent="0.25">
      <c r="A5361" s="5" t="s">
        <v>215</v>
      </c>
      <c r="B5361" s="5" t="s">
        <v>201</v>
      </c>
      <c r="C5361" s="5" t="s">
        <v>5840</v>
      </c>
      <c r="D5361" s="3">
        <f>VLOOKUP(A5361,airports!A:H,7,FALSE)</f>
        <v>37.721290830000001</v>
      </c>
      <c r="E5361" s="3">
        <f>VLOOKUP(A5361,airports!A:H,8,FALSE)</f>
        <v>-122.2207167</v>
      </c>
      <c r="F5361" s="3">
        <f>VLOOKUP(B5361,airports!A:H,7,FALSE)</f>
        <v>32.847113890000003</v>
      </c>
      <c r="G5361" s="3">
        <f>VLOOKUP(B5361,airports!A:H,8,FALSE)</f>
        <v>-96.851772220000001</v>
      </c>
      <c r="H5361">
        <f t="shared" si="166"/>
        <v>2357.6999999999998</v>
      </c>
      <c r="I5361">
        <f t="shared" si="167"/>
        <v>1465.1</v>
      </c>
    </row>
    <row r="5362" spans="1:9" ht="30" x14ac:dyDescent="0.25">
      <c r="A5362" s="5" t="s">
        <v>215</v>
      </c>
      <c r="B5362" s="5" t="s">
        <v>47</v>
      </c>
      <c r="C5362" s="5" t="s">
        <v>5841</v>
      </c>
      <c r="D5362" s="3">
        <f>VLOOKUP(A5362,airports!A:H,7,FALSE)</f>
        <v>37.721290830000001</v>
      </c>
      <c r="E5362" s="3">
        <f>VLOOKUP(A5362,airports!A:H,8,FALSE)</f>
        <v>-122.2207167</v>
      </c>
      <c r="F5362" s="3">
        <f>VLOOKUP(B5362,airports!A:H,7,FALSE)</f>
        <v>39.858408060000002</v>
      </c>
      <c r="G5362" s="3">
        <f>VLOOKUP(B5362,airports!A:H,8,FALSE)</f>
        <v>-104.6670019</v>
      </c>
      <c r="H5362">
        <f t="shared" si="166"/>
        <v>1537.3</v>
      </c>
      <c r="I5362">
        <f t="shared" si="167"/>
        <v>955.3</v>
      </c>
    </row>
    <row r="5363" spans="1:9" ht="30" x14ac:dyDescent="0.25">
      <c r="A5363" s="5" t="s">
        <v>215</v>
      </c>
      <c r="B5363" s="5" t="s">
        <v>49</v>
      </c>
      <c r="C5363" s="5" t="s">
        <v>5842</v>
      </c>
      <c r="D5363" s="3">
        <f>VLOOKUP(A5363,airports!A:H,7,FALSE)</f>
        <v>37.721290830000001</v>
      </c>
      <c r="E5363" s="3">
        <f>VLOOKUP(A5363,airports!A:H,8,FALSE)</f>
        <v>-122.2207167</v>
      </c>
      <c r="F5363" s="3">
        <f>VLOOKUP(B5363,airports!A:H,7,FALSE)</f>
        <v>32.895950560000003</v>
      </c>
      <c r="G5363" s="3">
        <f>VLOOKUP(B5363,airports!A:H,8,FALSE)</f>
        <v>-97.037199999999999</v>
      </c>
      <c r="H5363">
        <f t="shared" si="166"/>
        <v>2339.6</v>
      </c>
      <c r="I5363">
        <f t="shared" si="167"/>
        <v>1453.9</v>
      </c>
    </row>
    <row r="5364" spans="1:9" ht="30" x14ac:dyDescent="0.25">
      <c r="A5364" s="5" t="s">
        <v>215</v>
      </c>
      <c r="B5364" s="5" t="s">
        <v>50</v>
      </c>
      <c r="C5364" s="5" t="s">
        <v>5843</v>
      </c>
      <c r="D5364" s="3">
        <f>VLOOKUP(A5364,airports!A:H,7,FALSE)</f>
        <v>37.721290830000001</v>
      </c>
      <c r="E5364" s="3">
        <f>VLOOKUP(A5364,airports!A:H,8,FALSE)</f>
        <v>-122.2207167</v>
      </c>
      <c r="F5364" s="3">
        <f>VLOOKUP(B5364,airports!A:H,7,FALSE)</f>
        <v>42.212058890000002</v>
      </c>
      <c r="G5364" s="3">
        <f>VLOOKUP(B5364,airports!A:H,8,FALSE)</f>
        <v>-83.348835829999999</v>
      </c>
      <c r="H5364">
        <f t="shared" si="166"/>
        <v>3321</v>
      </c>
      <c r="I5364">
        <f t="shared" si="167"/>
        <v>2063.6999999999998</v>
      </c>
    </row>
    <row r="5365" spans="1:9" ht="30" x14ac:dyDescent="0.25">
      <c r="A5365" s="5" t="s">
        <v>215</v>
      </c>
      <c r="B5365" s="5" t="s">
        <v>848</v>
      </c>
      <c r="C5365" s="5" t="s">
        <v>5844</v>
      </c>
      <c r="D5365" s="3">
        <f>VLOOKUP(A5365,airports!A:H,7,FALSE)</f>
        <v>37.721290830000001</v>
      </c>
      <c r="E5365" s="3">
        <f>VLOOKUP(A5365,airports!A:H,8,FALSE)</f>
        <v>-122.2207167</v>
      </c>
      <c r="F5365" s="3">
        <f>VLOOKUP(B5365,airports!A:H,7,FALSE)</f>
        <v>44.123260000000002</v>
      </c>
      <c r="G5365" s="3">
        <f>VLOOKUP(B5365,airports!A:H,8,FALSE)</f>
        <v>-123.2186856</v>
      </c>
      <c r="H5365">
        <f t="shared" si="166"/>
        <v>716.8</v>
      </c>
      <c r="I5365">
        <f t="shared" si="167"/>
        <v>445.4</v>
      </c>
    </row>
    <row r="5366" spans="1:9" ht="30" x14ac:dyDescent="0.25">
      <c r="A5366" s="5" t="s">
        <v>215</v>
      </c>
      <c r="B5366" s="5" t="s">
        <v>52</v>
      </c>
      <c r="C5366" s="5" t="s">
        <v>5845</v>
      </c>
      <c r="D5366" s="3">
        <f>VLOOKUP(A5366,airports!A:H,7,FALSE)</f>
        <v>37.721290830000001</v>
      </c>
      <c r="E5366" s="3">
        <f>VLOOKUP(A5366,airports!A:H,8,FALSE)</f>
        <v>-122.2207167</v>
      </c>
      <c r="F5366" s="3">
        <f>VLOOKUP(B5366,airports!A:H,7,FALSE)</f>
        <v>40.69249722</v>
      </c>
      <c r="G5366" s="3">
        <f>VLOOKUP(B5366,airports!A:H,8,FALSE)</f>
        <v>-74.168660560000006</v>
      </c>
      <c r="H5366">
        <f t="shared" si="166"/>
        <v>4101.7</v>
      </c>
      <c r="I5366">
        <f t="shared" si="167"/>
        <v>2548.9</v>
      </c>
    </row>
    <row r="5367" spans="1:9" ht="30" x14ac:dyDescent="0.25">
      <c r="A5367" s="5" t="s">
        <v>215</v>
      </c>
      <c r="B5367" s="5" t="s">
        <v>56</v>
      </c>
      <c r="C5367" s="5" t="s">
        <v>5846</v>
      </c>
      <c r="D5367" s="3">
        <f>VLOOKUP(A5367,airports!A:H,7,FALSE)</f>
        <v>37.721290830000001</v>
      </c>
      <c r="E5367" s="3">
        <f>VLOOKUP(A5367,airports!A:H,8,FALSE)</f>
        <v>-122.2207167</v>
      </c>
      <c r="F5367" s="3">
        <f>VLOOKUP(B5367,airports!A:H,7,FALSE)</f>
        <v>48.311404719999999</v>
      </c>
      <c r="G5367" s="3">
        <f>VLOOKUP(B5367,airports!A:H,8,FALSE)</f>
        <v>-114.2550694</v>
      </c>
      <c r="H5367">
        <f t="shared" si="166"/>
        <v>1342.2</v>
      </c>
      <c r="I5367">
        <f t="shared" si="167"/>
        <v>834</v>
      </c>
    </row>
    <row r="5368" spans="1:9" x14ac:dyDescent="0.25">
      <c r="A5368" s="5" t="s">
        <v>215</v>
      </c>
      <c r="B5368" s="5" t="s">
        <v>57</v>
      </c>
      <c r="C5368" s="5" t="s">
        <v>5847</v>
      </c>
      <c r="D5368" s="3">
        <f>VLOOKUP(A5368,airports!A:H,7,FALSE)</f>
        <v>37.721290830000001</v>
      </c>
      <c r="E5368" s="3">
        <f>VLOOKUP(A5368,airports!A:H,8,FALSE)</f>
        <v>-122.2207167</v>
      </c>
      <c r="F5368" s="3">
        <f>VLOOKUP(B5368,airports!A:H,7,FALSE)</f>
        <v>26.072583330000001</v>
      </c>
      <c r="G5368" s="3">
        <f>VLOOKUP(B5368,airports!A:H,8,FALSE)</f>
        <v>-80.152749999999997</v>
      </c>
      <c r="H5368">
        <f t="shared" si="166"/>
        <v>4138.3999999999996</v>
      </c>
      <c r="I5368">
        <f t="shared" si="167"/>
        <v>2571.6999999999998</v>
      </c>
    </row>
    <row r="5369" spans="1:9" ht="30" x14ac:dyDescent="0.25">
      <c r="A5369" s="5" t="s">
        <v>215</v>
      </c>
      <c r="B5369" s="5" t="s">
        <v>505</v>
      </c>
      <c r="C5369" s="5" t="s">
        <v>5848</v>
      </c>
      <c r="D5369" s="3">
        <f>VLOOKUP(A5369,airports!A:H,7,FALSE)</f>
        <v>37.721290830000001</v>
      </c>
      <c r="E5369" s="3">
        <f>VLOOKUP(A5369,airports!A:H,8,FALSE)</f>
        <v>-122.2207167</v>
      </c>
      <c r="F5369" s="3">
        <f>VLOOKUP(B5369,airports!A:H,7,FALSE)</f>
        <v>47.619855559999998</v>
      </c>
      <c r="G5369" s="3">
        <f>VLOOKUP(B5369,airports!A:H,8,FALSE)</f>
        <v>-117.53384250000001</v>
      </c>
      <c r="H5369">
        <f t="shared" si="166"/>
        <v>1164.9000000000001</v>
      </c>
      <c r="I5369">
        <f t="shared" si="167"/>
        <v>723.9</v>
      </c>
    </row>
    <row r="5370" spans="1:9" ht="30" x14ac:dyDescent="0.25">
      <c r="A5370" s="5" t="s">
        <v>215</v>
      </c>
      <c r="B5370" s="5" t="s">
        <v>360</v>
      </c>
      <c r="C5370" s="5" t="s">
        <v>5849</v>
      </c>
      <c r="D5370" s="3">
        <f>VLOOKUP(A5370,airports!A:H,7,FALSE)</f>
        <v>37.721290830000001</v>
      </c>
      <c r="E5370" s="3">
        <f>VLOOKUP(A5370,airports!A:H,8,FALSE)</f>
        <v>-122.2207167</v>
      </c>
      <c r="F5370" s="3">
        <f>VLOOKUP(B5370,airports!A:H,7,FALSE)</f>
        <v>21.31869111</v>
      </c>
      <c r="G5370" s="3">
        <f>VLOOKUP(B5370,airports!A:H,8,FALSE)</f>
        <v>-157.92240720000001</v>
      </c>
      <c r="H5370">
        <f t="shared" si="166"/>
        <v>3873.3</v>
      </c>
      <c r="I5370">
        <f t="shared" si="167"/>
        <v>2406.9</v>
      </c>
    </row>
    <row r="5371" spans="1:9" ht="30" x14ac:dyDescent="0.25">
      <c r="A5371" s="5" t="s">
        <v>215</v>
      </c>
      <c r="B5371" s="5" t="s">
        <v>205</v>
      </c>
      <c r="C5371" s="5" t="s">
        <v>5850</v>
      </c>
      <c r="D5371" s="3">
        <f>VLOOKUP(A5371,airports!A:H,7,FALSE)</f>
        <v>37.721290830000001</v>
      </c>
      <c r="E5371" s="3">
        <f>VLOOKUP(A5371,airports!A:H,8,FALSE)</f>
        <v>-122.2207167</v>
      </c>
      <c r="F5371" s="3">
        <f>VLOOKUP(B5371,airports!A:H,7,FALSE)</f>
        <v>29.64541861</v>
      </c>
      <c r="G5371" s="3">
        <f>VLOOKUP(B5371,airports!A:H,8,FALSE)</f>
        <v>-95.278888890000005</v>
      </c>
      <c r="H5371">
        <f t="shared" si="166"/>
        <v>2638.4</v>
      </c>
      <c r="I5371">
        <f t="shared" si="167"/>
        <v>1639.5</v>
      </c>
    </row>
    <row r="5372" spans="1:9" ht="30" x14ac:dyDescent="0.25">
      <c r="A5372" s="5" t="s">
        <v>215</v>
      </c>
      <c r="B5372" s="5" t="s">
        <v>67</v>
      </c>
      <c r="C5372" s="5" t="s">
        <v>5851</v>
      </c>
      <c r="D5372" s="3">
        <f>VLOOKUP(A5372,airports!A:H,7,FALSE)</f>
        <v>37.721290830000001</v>
      </c>
      <c r="E5372" s="3">
        <f>VLOOKUP(A5372,airports!A:H,8,FALSE)</f>
        <v>-122.2207167</v>
      </c>
      <c r="F5372" s="3">
        <f>VLOOKUP(B5372,airports!A:H,7,FALSE)</f>
        <v>29.980472219999999</v>
      </c>
      <c r="G5372" s="3">
        <f>VLOOKUP(B5372,airports!A:H,8,FALSE)</f>
        <v>-95.339722219999999</v>
      </c>
      <c r="H5372">
        <f t="shared" si="166"/>
        <v>2616.4</v>
      </c>
      <c r="I5372">
        <f t="shared" si="167"/>
        <v>1625.8</v>
      </c>
    </row>
    <row r="5373" spans="1:9" ht="30" x14ac:dyDescent="0.25">
      <c r="A5373" s="5" t="s">
        <v>215</v>
      </c>
      <c r="B5373" s="5" t="s">
        <v>867</v>
      </c>
      <c r="C5373" s="5" t="s">
        <v>5852</v>
      </c>
      <c r="D5373" s="3">
        <f>VLOOKUP(A5373,airports!A:H,7,FALSE)</f>
        <v>37.721290830000001</v>
      </c>
      <c r="E5373" s="3">
        <f>VLOOKUP(A5373,airports!A:H,8,FALSE)</f>
        <v>-122.2207167</v>
      </c>
      <c r="F5373" s="3">
        <f>VLOOKUP(B5373,airports!A:H,7,FALSE)</f>
        <v>43.514555559999998</v>
      </c>
      <c r="G5373" s="3">
        <f>VLOOKUP(B5373,airports!A:H,8,FALSE)</f>
        <v>-112.0701667</v>
      </c>
      <c r="H5373">
        <f t="shared" si="166"/>
        <v>1070.5999999999999</v>
      </c>
      <c r="I5373">
        <f t="shared" si="167"/>
        <v>665.3</v>
      </c>
    </row>
    <row r="5374" spans="1:9" ht="30" x14ac:dyDescent="0.25">
      <c r="A5374" s="5" t="s">
        <v>215</v>
      </c>
      <c r="B5374" s="5" t="s">
        <v>537</v>
      </c>
      <c r="C5374" s="5" t="s">
        <v>5853</v>
      </c>
      <c r="D5374" s="3">
        <f>VLOOKUP(A5374,airports!A:H,7,FALSE)</f>
        <v>37.721290830000001</v>
      </c>
      <c r="E5374" s="3">
        <f>VLOOKUP(A5374,airports!A:H,8,FALSE)</f>
        <v>-122.2207167</v>
      </c>
      <c r="F5374" s="3">
        <f>VLOOKUP(B5374,airports!A:H,7,FALSE)</f>
        <v>39.717329169999999</v>
      </c>
      <c r="G5374" s="3">
        <f>VLOOKUP(B5374,airports!A:H,8,FALSE)</f>
        <v>-86.294384170000001</v>
      </c>
      <c r="H5374">
        <f t="shared" si="166"/>
        <v>3103.9</v>
      </c>
      <c r="I5374">
        <f t="shared" si="167"/>
        <v>1928.8</v>
      </c>
    </row>
    <row r="5375" spans="1:9" ht="30" x14ac:dyDescent="0.25">
      <c r="A5375" s="5" t="s">
        <v>215</v>
      </c>
      <c r="B5375" s="5" t="s">
        <v>69</v>
      </c>
      <c r="C5375" s="5" t="s">
        <v>5854</v>
      </c>
      <c r="D5375" s="3">
        <f>VLOOKUP(A5375,airports!A:H,7,FALSE)</f>
        <v>37.721290830000001</v>
      </c>
      <c r="E5375" s="3">
        <f>VLOOKUP(A5375,airports!A:H,8,FALSE)</f>
        <v>-122.2207167</v>
      </c>
      <c r="F5375" s="3">
        <f>VLOOKUP(B5375,airports!A:H,7,FALSE)</f>
        <v>40.639751109999999</v>
      </c>
      <c r="G5375" s="3">
        <f>VLOOKUP(B5375,airports!A:H,8,FALSE)</f>
        <v>-73.778925560000005</v>
      </c>
      <c r="H5375">
        <f t="shared" si="166"/>
        <v>4135.1000000000004</v>
      </c>
      <c r="I5375">
        <f t="shared" si="167"/>
        <v>2569.6</v>
      </c>
    </row>
    <row r="5376" spans="1:9" ht="30" x14ac:dyDescent="0.25">
      <c r="A5376" s="5" t="s">
        <v>215</v>
      </c>
      <c r="B5376" s="5" t="s">
        <v>366</v>
      </c>
      <c r="C5376" s="5" t="s">
        <v>5855</v>
      </c>
      <c r="D5376" s="3">
        <f>VLOOKUP(A5376,airports!A:H,7,FALSE)</f>
        <v>37.721290830000001</v>
      </c>
      <c r="E5376" s="3">
        <f>VLOOKUP(A5376,airports!A:H,8,FALSE)</f>
        <v>-122.2207167</v>
      </c>
      <c r="F5376" s="3">
        <f>VLOOKUP(B5376,airports!A:H,7,FALSE)</f>
        <v>19.738765829999998</v>
      </c>
      <c r="G5376" s="3">
        <f>VLOOKUP(B5376,airports!A:H,8,FALSE)</f>
        <v>-156.04563139999999</v>
      </c>
      <c r="H5376">
        <f t="shared" si="166"/>
        <v>3824.9</v>
      </c>
      <c r="I5376">
        <f t="shared" si="167"/>
        <v>2376.8000000000002</v>
      </c>
    </row>
    <row r="5377" spans="1:9" ht="30" x14ac:dyDescent="0.25">
      <c r="A5377" s="5" t="s">
        <v>215</v>
      </c>
      <c r="B5377" s="5" t="s">
        <v>71</v>
      </c>
      <c r="C5377" s="5" t="s">
        <v>5856</v>
      </c>
      <c r="D5377" s="3">
        <f>VLOOKUP(A5377,airports!A:H,7,FALSE)</f>
        <v>37.721290830000001</v>
      </c>
      <c r="E5377" s="3">
        <f>VLOOKUP(A5377,airports!A:H,8,FALSE)</f>
        <v>-122.2207167</v>
      </c>
      <c r="F5377" s="3">
        <f>VLOOKUP(B5377,airports!A:H,7,FALSE)</f>
        <v>36.080361109999998</v>
      </c>
      <c r="G5377" s="3">
        <f>VLOOKUP(B5377,airports!A:H,8,FALSE)</f>
        <v>-115.1523333</v>
      </c>
      <c r="H5377">
        <f t="shared" si="166"/>
        <v>654.29999999999995</v>
      </c>
      <c r="I5377">
        <f t="shared" si="167"/>
        <v>406.6</v>
      </c>
    </row>
    <row r="5378" spans="1:9" ht="30" x14ac:dyDescent="0.25">
      <c r="A5378" s="5" t="s">
        <v>215</v>
      </c>
      <c r="B5378" s="5" t="s">
        <v>73</v>
      </c>
      <c r="C5378" s="5" t="s">
        <v>5857</v>
      </c>
      <c r="D5378" s="3">
        <f>VLOOKUP(A5378,airports!A:H,7,FALSE)</f>
        <v>37.721290830000001</v>
      </c>
      <c r="E5378" s="3">
        <f>VLOOKUP(A5378,airports!A:H,8,FALSE)</f>
        <v>-122.2207167</v>
      </c>
      <c r="F5378" s="3">
        <f>VLOOKUP(B5378,airports!A:H,7,FALSE)</f>
        <v>33.942536109999999</v>
      </c>
      <c r="G5378" s="3">
        <f>VLOOKUP(B5378,airports!A:H,8,FALSE)</f>
        <v>-118.4080744</v>
      </c>
      <c r="H5378">
        <f t="shared" si="166"/>
        <v>542.70000000000005</v>
      </c>
      <c r="I5378">
        <f t="shared" si="167"/>
        <v>337.3</v>
      </c>
    </row>
    <row r="5379" spans="1:9" ht="30" x14ac:dyDescent="0.25">
      <c r="A5379" s="5" t="s">
        <v>215</v>
      </c>
      <c r="B5379" s="5" t="s">
        <v>742</v>
      </c>
      <c r="C5379" s="5" t="s">
        <v>5858</v>
      </c>
      <c r="D5379" s="3">
        <f>VLOOKUP(A5379,airports!A:H,7,FALSE)</f>
        <v>37.721290830000001</v>
      </c>
      <c r="E5379" s="3">
        <f>VLOOKUP(A5379,airports!A:H,8,FALSE)</f>
        <v>-122.2207167</v>
      </c>
      <c r="F5379" s="3">
        <f>VLOOKUP(B5379,airports!A:H,7,FALSE)</f>
        <v>33.81772222</v>
      </c>
      <c r="G5379" s="3">
        <f>VLOOKUP(B5379,airports!A:H,8,FALSE)</f>
        <v>-118.1516111</v>
      </c>
      <c r="H5379">
        <f t="shared" si="166"/>
        <v>568.4</v>
      </c>
      <c r="I5379">
        <f t="shared" si="167"/>
        <v>353.2</v>
      </c>
    </row>
    <row r="5380" spans="1:9" x14ac:dyDescent="0.25">
      <c r="A5380" s="5" t="s">
        <v>215</v>
      </c>
      <c r="B5380" s="5" t="s">
        <v>2421</v>
      </c>
      <c r="C5380" s="5" t="s">
        <v>5859</v>
      </c>
      <c r="D5380" s="3">
        <f>VLOOKUP(A5380,airports!A:H,7,FALSE)</f>
        <v>37.721290830000001</v>
      </c>
      <c r="E5380" s="3">
        <f>VLOOKUP(A5380,airports!A:H,8,FALSE)</f>
        <v>-122.2207167</v>
      </c>
      <c r="F5380" s="3">
        <f>VLOOKUP(B5380,airports!A:H,7,FALSE)</f>
        <v>21.975983060000001</v>
      </c>
      <c r="G5380" s="3">
        <f>VLOOKUP(B5380,airports!A:H,8,FALSE)</f>
        <v>-159.33895810000001</v>
      </c>
      <c r="H5380">
        <f t="shared" ref="H5380:H5443" si="168">ROUND(ACOS(COS(RADIANS(90-D5380)) * COS(RADIANS(90-F5380)) + SIN(RADIANS(90-D5380)) * SIN(RADIANS(90-F5380)) * COS(RADIANS(E5380-G5380))) * 6371,1)</f>
        <v>3950.2</v>
      </c>
      <c r="I5380">
        <f t="shared" ref="I5380:I5443" si="169">ROUND(ACOS(COS(RADIANS(90-D5380)) * COS(RADIANS(90-F5380)) + SIN(RADIANS(90-D5380)) * SIN(RADIANS(90-F5380)) * COS(RADIANS(E5380-G5380))) * 3959,1)</f>
        <v>2454.6999999999998</v>
      </c>
    </row>
    <row r="5381" spans="1:9" ht="30" x14ac:dyDescent="0.25">
      <c r="A5381" s="5" t="s">
        <v>215</v>
      </c>
      <c r="B5381" s="5" t="s">
        <v>80</v>
      </c>
      <c r="C5381" s="5" t="s">
        <v>5860</v>
      </c>
      <c r="D5381" s="3">
        <f>VLOOKUP(A5381,airports!A:H,7,FALSE)</f>
        <v>37.721290830000001</v>
      </c>
      <c r="E5381" s="3">
        <f>VLOOKUP(A5381,airports!A:H,8,FALSE)</f>
        <v>-122.2207167</v>
      </c>
      <c r="F5381" s="3">
        <f>VLOOKUP(B5381,airports!A:H,7,FALSE)</f>
        <v>39.297605279999999</v>
      </c>
      <c r="G5381" s="3">
        <f>VLOOKUP(B5381,airports!A:H,8,FALSE)</f>
        <v>-94.713905560000001</v>
      </c>
      <c r="H5381">
        <f t="shared" si="168"/>
        <v>2390.6</v>
      </c>
      <c r="I5381">
        <f t="shared" si="169"/>
        <v>1485.5</v>
      </c>
    </row>
    <row r="5382" spans="1:9" ht="30" x14ac:dyDescent="0.25">
      <c r="A5382" s="5" t="s">
        <v>215</v>
      </c>
      <c r="B5382" s="5" t="s">
        <v>82</v>
      </c>
      <c r="C5382" s="5" t="s">
        <v>5861</v>
      </c>
      <c r="D5382" s="3">
        <f>VLOOKUP(A5382,airports!A:H,7,FALSE)</f>
        <v>37.721290830000001</v>
      </c>
      <c r="E5382" s="3">
        <f>VLOOKUP(A5382,airports!A:H,8,FALSE)</f>
        <v>-122.2207167</v>
      </c>
      <c r="F5382" s="3">
        <f>VLOOKUP(B5382,airports!A:H,7,FALSE)</f>
        <v>28.42888889</v>
      </c>
      <c r="G5382" s="3">
        <f>VLOOKUP(B5382,airports!A:H,8,FALSE)</f>
        <v>-81.316027779999999</v>
      </c>
      <c r="H5382">
        <f t="shared" si="168"/>
        <v>3915.6</v>
      </c>
      <c r="I5382">
        <f t="shared" si="169"/>
        <v>2433.1999999999998</v>
      </c>
    </row>
    <row r="5383" spans="1:9" ht="30" x14ac:dyDescent="0.25">
      <c r="A5383" s="5" t="s">
        <v>215</v>
      </c>
      <c r="B5383" s="5" t="s">
        <v>180</v>
      </c>
      <c r="C5383" s="5" t="s">
        <v>5862</v>
      </c>
      <c r="D5383" s="3">
        <f>VLOOKUP(A5383,airports!A:H,7,FALSE)</f>
        <v>37.721290830000001</v>
      </c>
      <c r="E5383" s="3">
        <f>VLOOKUP(A5383,airports!A:H,8,FALSE)</f>
        <v>-122.2207167</v>
      </c>
      <c r="F5383" s="3">
        <f>VLOOKUP(B5383,airports!A:H,7,FALSE)</f>
        <v>41.785982500000003</v>
      </c>
      <c r="G5383" s="3">
        <f>VLOOKUP(B5383,airports!A:H,8,FALSE)</f>
        <v>-87.752424439999999</v>
      </c>
      <c r="H5383">
        <f t="shared" si="168"/>
        <v>2960.8</v>
      </c>
      <c r="I5383">
        <f t="shared" si="169"/>
        <v>1839.9</v>
      </c>
    </row>
    <row r="5384" spans="1:9" ht="30" x14ac:dyDescent="0.25">
      <c r="A5384" s="5" t="s">
        <v>215</v>
      </c>
      <c r="B5384" s="5" t="s">
        <v>563</v>
      </c>
      <c r="C5384" s="5" t="s">
        <v>5863</v>
      </c>
      <c r="D5384" s="3">
        <f>VLOOKUP(A5384,airports!A:H,7,FALSE)</f>
        <v>37.721290830000001</v>
      </c>
      <c r="E5384" s="3">
        <f>VLOOKUP(A5384,airports!A:H,8,FALSE)</f>
        <v>-122.2207167</v>
      </c>
      <c r="F5384" s="3">
        <f>VLOOKUP(B5384,airports!A:H,7,FALSE)</f>
        <v>35.042416670000001</v>
      </c>
      <c r="G5384" s="3">
        <f>VLOOKUP(B5384,airports!A:H,8,FALSE)</f>
        <v>-89.97666667</v>
      </c>
      <c r="H5384">
        <f t="shared" si="168"/>
        <v>2887.6</v>
      </c>
      <c r="I5384">
        <f t="shared" si="169"/>
        <v>1794.4</v>
      </c>
    </row>
    <row r="5385" spans="1:9" ht="30" x14ac:dyDescent="0.25">
      <c r="A5385" s="5" t="s">
        <v>215</v>
      </c>
      <c r="B5385" s="5" t="s">
        <v>581</v>
      </c>
      <c r="C5385" s="5" t="s">
        <v>5864</v>
      </c>
      <c r="D5385" s="3">
        <f>VLOOKUP(A5385,airports!A:H,7,FALSE)</f>
        <v>37.721290830000001</v>
      </c>
      <c r="E5385" s="3">
        <f>VLOOKUP(A5385,airports!A:H,8,FALSE)</f>
        <v>-122.2207167</v>
      </c>
      <c r="F5385" s="3">
        <f>VLOOKUP(B5385,airports!A:H,7,FALSE)</f>
        <v>46.916305559999998</v>
      </c>
      <c r="G5385" s="3">
        <f>VLOOKUP(B5385,airports!A:H,8,FALSE)</f>
        <v>-114.0905556</v>
      </c>
      <c r="H5385">
        <f t="shared" si="168"/>
        <v>1220</v>
      </c>
      <c r="I5385">
        <f t="shared" si="169"/>
        <v>758.1</v>
      </c>
    </row>
    <row r="5386" spans="1:9" ht="30" x14ac:dyDescent="0.25">
      <c r="A5386" s="5" t="s">
        <v>215</v>
      </c>
      <c r="B5386" s="5" t="s">
        <v>87</v>
      </c>
      <c r="C5386" s="5" t="s">
        <v>5865</v>
      </c>
      <c r="D5386" s="3">
        <f>VLOOKUP(A5386,airports!A:H,7,FALSE)</f>
        <v>37.721290830000001</v>
      </c>
      <c r="E5386" s="3">
        <f>VLOOKUP(A5386,airports!A:H,8,FALSE)</f>
        <v>-122.2207167</v>
      </c>
      <c r="F5386" s="3">
        <f>VLOOKUP(B5386,airports!A:H,7,FALSE)</f>
        <v>44.880546940000002</v>
      </c>
      <c r="G5386" s="3">
        <f>VLOOKUP(B5386,airports!A:H,8,FALSE)</f>
        <v>-93.216922499999995</v>
      </c>
      <c r="H5386">
        <f t="shared" si="168"/>
        <v>2534.4</v>
      </c>
      <c r="I5386">
        <f t="shared" si="169"/>
        <v>1574.9</v>
      </c>
    </row>
    <row r="5387" spans="1:9" ht="30" x14ac:dyDescent="0.25">
      <c r="A5387" s="5" t="s">
        <v>215</v>
      </c>
      <c r="B5387" s="5" t="s">
        <v>89</v>
      </c>
      <c r="C5387" s="5" t="s">
        <v>5866</v>
      </c>
      <c r="D5387" s="3">
        <f>VLOOKUP(A5387,airports!A:H,7,FALSE)</f>
        <v>37.721290830000001</v>
      </c>
      <c r="E5387" s="3">
        <f>VLOOKUP(A5387,airports!A:H,8,FALSE)</f>
        <v>-122.2207167</v>
      </c>
      <c r="F5387" s="3">
        <f>VLOOKUP(B5387,airports!A:H,7,FALSE)</f>
        <v>29.993388889999999</v>
      </c>
      <c r="G5387" s="3">
        <f>VLOOKUP(B5387,airports!A:H,8,FALSE)</f>
        <v>-90.258027780000006</v>
      </c>
      <c r="H5387">
        <f t="shared" si="168"/>
        <v>3057.2</v>
      </c>
      <c r="I5387">
        <f t="shared" si="169"/>
        <v>1899.8</v>
      </c>
    </row>
    <row r="5388" spans="1:9" ht="30" x14ac:dyDescent="0.25">
      <c r="A5388" s="5" t="s">
        <v>215</v>
      </c>
      <c r="B5388" s="5" t="s">
        <v>371</v>
      </c>
      <c r="C5388" s="5" t="s">
        <v>5867</v>
      </c>
      <c r="D5388" s="3">
        <f>VLOOKUP(A5388,airports!A:H,7,FALSE)</f>
        <v>37.721290830000001</v>
      </c>
      <c r="E5388" s="3">
        <f>VLOOKUP(A5388,airports!A:H,8,FALSE)</f>
        <v>-122.2207167</v>
      </c>
      <c r="F5388" s="3">
        <f>VLOOKUP(B5388,airports!A:H,7,FALSE)</f>
        <v>20.898649720000002</v>
      </c>
      <c r="G5388" s="3">
        <f>VLOOKUP(B5388,airports!A:H,8,FALSE)</f>
        <v>-156.4304578</v>
      </c>
      <c r="H5388">
        <f t="shared" si="168"/>
        <v>3777</v>
      </c>
      <c r="I5388">
        <f t="shared" si="169"/>
        <v>2347.1</v>
      </c>
    </row>
    <row r="5389" spans="1:9" ht="30" x14ac:dyDescent="0.25">
      <c r="A5389" s="5" t="s">
        <v>215</v>
      </c>
      <c r="B5389" s="5" t="s">
        <v>94</v>
      </c>
      <c r="C5389" s="5" t="s">
        <v>5868</v>
      </c>
      <c r="D5389" s="3">
        <f>VLOOKUP(A5389,airports!A:H,7,FALSE)</f>
        <v>37.721290830000001</v>
      </c>
      <c r="E5389" s="3">
        <f>VLOOKUP(A5389,airports!A:H,8,FALSE)</f>
        <v>-122.2207167</v>
      </c>
      <c r="F5389" s="3">
        <f>VLOOKUP(B5389,airports!A:H,7,FALSE)</f>
        <v>34.055999999999997</v>
      </c>
      <c r="G5389" s="3">
        <f>VLOOKUP(B5389,airports!A:H,8,FALSE)</f>
        <v>-117.6011944</v>
      </c>
      <c r="H5389">
        <f t="shared" si="168"/>
        <v>582.29999999999995</v>
      </c>
      <c r="I5389">
        <f t="shared" si="169"/>
        <v>361.9</v>
      </c>
    </row>
    <row r="5390" spans="1:9" ht="30" x14ac:dyDescent="0.25">
      <c r="A5390" s="5" t="s">
        <v>215</v>
      </c>
      <c r="B5390" s="5" t="s">
        <v>95</v>
      </c>
      <c r="C5390" s="5" t="s">
        <v>5869</v>
      </c>
      <c r="D5390" s="3">
        <f>VLOOKUP(A5390,airports!A:H,7,FALSE)</f>
        <v>37.721290830000001</v>
      </c>
      <c r="E5390" s="3">
        <f>VLOOKUP(A5390,airports!A:H,8,FALSE)</f>
        <v>-122.2207167</v>
      </c>
      <c r="F5390" s="3">
        <f>VLOOKUP(B5390,airports!A:H,7,FALSE)</f>
        <v>41.979595000000003</v>
      </c>
      <c r="G5390" s="3">
        <f>VLOOKUP(B5390,airports!A:H,8,FALSE)</f>
        <v>-87.904464169999997</v>
      </c>
      <c r="H5390">
        <f t="shared" si="168"/>
        <v>2947.3</v>
      </c>
      <c r="I5390">
        <f t="shared" si="169"/>
        <v>1831.5</v>
      </c>
    </row>
    <row r="5391" spans="1:9" ht="30" x14ac:dyDescent="0.25">
      <c r="A5391" s="5" t="s">
        <v>215</v>
      </c>
      <c r="B5391" s="5" t="s">
        <v>100</v>
      </c>
      <c r="C5391" s="5" t="s">
        <v>5870</v>
      </c>
      <c r="D5391" s="3">
        <f>VLOOKUP(A5391,airports!A:H,7,FALSE)</f>
        <v>37.721290830000001</v>
      </c>
      <c r="E5391" s="3">
        <f>VLOOKUP(A5391,airports!A:H,8,FALSE)</f>
        <v>-122.2207167</v>
      </c>
      <c r="F5391" s="3">
        <f>VLOOKUP(B5391,airports!A:H,7,FALSE)</f>
        <v>45.588722220000001</v>
      </c>
      <c r="G5391" s="3">
        <f>VLOOKUP(B5391,airports!A:H,8,FALSE)</f>
        <v>-122.5975</v>
      </c>
      <c r="H5391">
        <f t="shared" si="168"/>
        <v>875.4</v>
      </c>
      <c r="I5391">
        <f t="shared" si="169"/>
        <v>544</v>
      </c>
    </row>
    <row r="5392" spans="1:9" ht="30" x14ac:dyDescent="0.25">
      <c r="A5392" s="5" t="s">
        <v>215</v>
      </c>
      <c r="B5392" s="5" t="s">
        <v>102</v>
      </c>
      <c r="C5392" s="5" t="s">
        <v>5871</v>
      </c>
      <c r="D5392" s="3">
        <f>VLOOKUP(A5392,airports!A:H,7,FALSE)</f>
        <v>37.721290830000001</v>
      </c>
      <c r="E5392" s="3">
        <f>VLOOKUP(A5392,airports!A:H,8,FALSE)</f>
        <v>-122.2207167</v>
      </c>
      <c r="F5392" s="3">
        <f>VLOOKUP(B5392,airports!A:H,7,FALSE)</f>
        <v>39.871952780000001</v>
      </c>
      <c r="G5392" s="3">
        <f>VLOOKUP(B5392,airports!A:H,8,FALSE)</f>
        <v>-75.241140830000006</v>
      </c>
      <c r="H5392">
        <f t="shared" si="168"/>
        <v>4031.3</v>
      </c>
      <c r="I5392">
        <f t="shared" si="169"/>
        <v>2505.1</v>
      </c>
    </row>
    <row r="5393" spans="1:9" ht="30" x14ac:dyDescent="0.25">
      <c r="A5393" s="5" t="s">
        <v>215</v>
      </c>
      <c r="B5393" s="5" t="s">
        <v>104</v>
      </c>
      <c r="C5393" s="5" t="s">
        <v>5872</v>
      </c>
      <c r="D5393" s="3">
        <f>VLOOKUP(A5393,airports!A:H,7,FALSE)</f>
        <v>37.721290830000001</v>
      </c>
      <c r="E5393" s="3">
        <f>VLOOKUP(A5393,airports!A:H,8,FALSE)</f>
        <v>-122.2207167</v>
      </c>
      <c r="F5393" s="3">
        <f>VLOOKUP(B5393,airports!A:H,7,FALSE)</f>
        <v>33.434166670000003</v>
      </c>
      <c r="G5393" s="3">
        <f>VLOOKUP(B5393,airports!A:H,8,FALSE)</f>
        <v>-112.00805560000001</v>
      </c>
      <c r="H5393">
        <f t="shared" si="168"/>
        <v>1038.5</v>
      </c>
      <c r="I5393">
        <f t="shared" si="169"/>
        <v>645.29999999999995</v>
      </c>
    </row>
    <row r="5394" spans="1:9" ht="30" x14ac:dyDescent="0.25">
      <c r="A5394" s="5" t="s">
        <v>215</v>
      </c>
      <c r="B5394" s="5" t="s">
        <v>111</v>
      </c>
      <c r="C5394" s="5" t="s">
        <v>5873</v>
      </c>
      <c r="D5394" s="3">
        <f>VLOOKUP(A5394,airports!A:H,7,FALSE)</f>
        <v>37.721290830000001</v>
      </c>
      <c r="E5394" s="3">
        <f>VLOOKUP(A5394,airports!A:H,8,FALSE)</f>
        <v>-122.2207167</v>
      </c>
      <c r="F5394" s="3">
        <f>VLOOKUP(B5394,airports!A:H,7,FALSE)</f>
        <v>33.829215560000002</v>
      </c>
      <c r="G5394" s="3">
        <f>VLOOKUP(B5394,airports!A:H,8,FALSE)</f>
        <v>-116.5062531</v>
      </c>
      <c r="H5394">
        <f t="shared" si="168"/>
        <v>672.9</v>
      </c>
      <c r="I5394">
        <f t="shared" si="169"/>
        <v>418.1</v>
      </c>
    </row>
    <row r="5395" spans="1:9" ht="30" x14ac:dyDescent="0.25">
      <c r="A5395" s="5" t="s">
        <v>215</v>
      </c>
      <c r="B5395" s="5" t="s">
        <v>772</v>
      </c>
      <c r="C5395" s="5" t="s">
        <v>5874</v>
      </c>
      <c r="D5395" s="3">
        <f>VLOOKUP(A5395,airports!A:H,7,FALSE)</f>
        <v>37.721290830000001</v>
      </c>
      <c r="E5395" s="3">
        <f>VLOOKUP(A5395,airports!A:H,8,FALSE)</f>
        <v>-122.2207167</v>
      </c>
      <c r="F5395" s="3">
        <f>VLOOKUP(B5395,airports!A:H,7,FALSE)</f>
        <v>40.219200000000001</v>
      </c>
      <c r="G5395" s="3">
        <f>VLOOKUP(B5395,airports!A:H,8,FALSE)</f>
        <v>-111.723</v>
      </c>
      <c r="H5395">
        <f t="shared" si="168"/>
        <v>948.4</v>
      </c>
      <c r="I5395">
        <f t="shared" si="169"/>
        <v>589.29999999999995</v>
      </c>
    </row>
    <row r="5396" spans="1:9" ht="30" x14ac:dyDescent="0.25">
      <c r="A5396" s="5" t="s">
        <v>215</v>
      </c>
      <c r="B5396" s="5" t="s">
        <v>121</v>
      </c>
      <c r="C5396" s="5" t="s">
        <v>5875</v>
      </c>
      <c r="D5396" s="3">
        <f>VLOOKUP(A5396,airports!A:H,7,FALSE)</f>
        <v>37.721290830000001</v>
      </c>
      <c r="E5396" s="3">
        <f>VLOOKUP(A5396,airports!A:H,8,FALSE)</f>
        <v>-122.2207167</v>
      </c>
      <c r="F5396" s="3">
        <f>VLOOKUP(B5396,airports!A:H,7,FALSE)</f>
        <v>39.498576110000002</v>
      </c>
      <c r="G5396" s="3">
        <f>VLOOKUP(B5396,airports!A:H,8,FALSE)</f>
        <v>-119.7680647</v>
      </c>
      <c r="H5396">
        <f t="shared" si="168"/>
        <v>290.60000000000002</v>
      </c>
      <c r="I5396">
        <f t="shared" si="169"/>
        <v>180.6</v>
      </c>
    </row>
    <row r="5397" spans="1:9" ht="30" x14ac:dyDescent="0.25">
      <c r="A5397" s="5" t="s">
        <v>215</v>
      </c>
      <c r="B5397" s="5" t="s">
        <v>124</v>
      </c>
      <c r="C5397" s="5" t="s">
        <v>5876</v>
      </c>
      <c r="D5397" s="3">
        <f>VLOOKUP(A5397,airports!A:H,7,FALSE)</f>
        <v>37.721290830000001</v>
      </c>
      <c r="E5397" s="3">
        <f>VLOOKUP(A5397,airports!A:H,8,FALSE)</f>
        <v>-122.2207167</v>
      </c>
      <c r="F5397" s="3">
        <f>VLOOKUP(B5397,airports!A:H,7,FALSE)</f>
        <v>32.733556110000002</v>
      </c>
      <c r="G5397" s="3">
        <f>VLOOKUP(B5397,airports!A:H,8,FALSE)</f>
        <v>-117.1896567</v>
      </c>
      <c r="H5397">
        <f t="shared" si="168"/>
        <v>718.4</v>
      </c>
      <c r="I5397">
        <f t="shared" si="169"/>
        <v>446.4</v>
      </c>
    </row>
    <row r="5398" spans="1:9" ht="30" x14ac:dyDescent="0.25">
      <c r="A5398" s="5" t="s">
        <v>215</v>
      </c>
      <c r="B5398" s="5" t="s">
        <v>125</v>
      </c>
      <c r="C5398" s="5" t="s">
        <v>5877</v>
      </c>
      <c r="D5398" s="3">
        <f>VLOOKUP(A5398,airports!A:H,7,FALSE)</f>
        <v>37.721290830000001</v>
      </c>
      <c r="E5398" s="3">
        <f>VLOOKUP(A5398,airports!A:H,8,FALSE)</f>
        <v>-122.2207167</v>
      </c>
      <c r="F5398" s="3">
        <f>VLOOKUP(B5398,airports!A:H,7,FALSE)</f>
        <v>29.533694440000001</v>
      </c>
      <c r="G5398" s="3">
        <f>VLOOKUP(B5398,airports!A:H,8,FALSE)</f>
        <v>-98.469777780000001</v>
      </c>
      <c r="H5398">
        <f t="shared" si="168"/>
        <v>2371.5</v>
      </c>
      <c r="I5398">
        <f t="shared" si="169"/>
        <v>1473.7</v>
      </c>
    </row>
    <row r="5399" spans="1:9" ht="30" x14ac:dyDescent="0.25">
      <c r="A5399" s="5" t="s">
        <v>215</v>
      </c>
      <c r="B5399" s="5" t="s">
        <v>967</v>
      </c>
      <c r="C5399" s="5" t="s">
        <v>5878</v>
      </c>
      <c r="D5399" s="3">
        <f>VLOOKUP(A5399,airports!A:H,7,FALSE)</f>
        <v>37.721290830000001</v>
      </c>
      <c r="E5399" s="3">
        <f>VLOOKUP(A5399,airports!A:H,8,FALSE)</f>
        <v>-122.2207167</v>
      </c>
      <c r="F5399" s="3">
        <f>VLOOKUP(B5399,airports!A:H,7,FALSE)</f>
        <v>34.426211940000002</v>
      </c>
      <c r="G5399" s="3">
        <f>VLOOKUP(B5399,airports!A:H,8,FALSE)</f>
        <v>-119.8403733</v>
      </c>
      <c r="H5399">
        <f t="shared" si="168"/>
        <v>424.2</v>
      </c>
      <c r="I5399">
        <f t="shared" si="169"/>
        <v>263.60000000000002</v>
      </c>
    </row>
    <row r="5400" spans="1:9" ht="30" x14ac:dyDescent="0.25">
      <c r="A5400" s="5" t="s">
        <v>215</v>
      </c>
      <c r="B5400" s="5" t="s">
        <v>128</v>
      </c>
      <c r="C5400" s="5" t="s">
        <v>5879</v>
      </c>
      <c r="D5400" s="3">
        <f>VLOOKUP(A5400,airports!A:H,7,FALSE)</f>
        <v>37.721290830000001</v>
      </c>
      <c r="E5400" s="3">
        <f>VLOOKUP(A5400,airports!A:H,8,FALSE)</f>
        <v>-122.2207167</v>
      </c>
      <c r="F5400" s="3">
        <f>VLOOKUP(B5400,airports!A:H,7,FALSE)</f>
        <v>47.448981940000003</v>
      </c>
      <c r="G5400" s="3">
        <f>VLOOKUP(B5400,airports!A:H,8,FALSE)</f>
        <v>-122.3093131</v>
      </c>
      <c r="H5400">
        <f t="shared" si="168"/>
        <v>1081.7</v>
      </c>
      <c r="I5400">
        <f t="shared" si="169"/>
        <v>672.2</v>
      </c>
    </row>
    <row r="5401" spans="1:9" ht="30" x14ac:dyDescent="0.25">
      <c r="A5401" s="5" t="s">
        <v>215</v>
      </c>
      <c r="B5401" s="5" t="s">
        <v>135</v>
      </c>
      <c r="C5401" s="5" t="s">
        <v>5880</v>
      </c>
      <c r="D5401" s="3">
        <f>VLOOKUP(A5401,airports!A:H,7,FALSE)</f>
        <v>37.721290830000001</v>
      </c>
      <c r="E5401" s="3">
        <f>VLOOKUP(A5401,airports!A:H,8,FALSE)</f>
        <v>-122.2207167</v>
      </c>
      <c r="F5401" s="3">
        <f>VLOOKUP(B5401,airports!A:H,7,FALSE)</f>
        <v>40.788387780000001</v>
      </c>
      <c r="G5401" s="3">
        <f>VLOOKUP(B5401,airports!A:H,8,FALSE)</f>
        <v>-111.97777309999999</v>
      </c>
      <c r="H5401">
        <f t="shared" si="168"/>
        <v>944.9</v>
      </c>
      <c r="I5401">
        <f t="shared" si="169"/>
        <v>587.1</v>
      </c>
    </row>
    <row r="5402" spans="1:9" ht="30" x14ac:dyDescent="0.25">
      <c r="A5402" s="5" t="s">
        <v>215</v>
      </c>
      <c r="B5402" s="5" t="s">
        <v>137</v>
      </c>
      <c r="C5402" s="5" t="s">
        <v>5881</v>
      </c>
      <c r="D5402" s="3">
        <f>VLOOKUP(A5402,airports!A:H,7,FALSE)</f>
        <v>37.721290830000001</v>
      </c>
      <c r="E5402" s="3">
        <f>VLOOKUP(A5402,airports!A:H,8,FALSE)</f>
        <v>-122.2207167</v>
      </c>
      <c r="F5402" s="3">
        <f>VLOOKUP(B5402,airports!A:H,7,FALSE)</f>
        <v>38.695421670000002</v>
      </c>
      <c r="G5402" s="3">
        <f>VLOOKUP(B5402,airports!A:H,8,FALSE)</f>
        <v>-121.59076690000001</v>
      </c>
      <c r="H5402">
        <f t="shared" si="168"/>
        <v>121.5</v>
      </c>
      <c r="I5402">
        <f t="shared" si="169"/>
        <v>75.5</v>
      </c>
    </row>
    <row r="5403" spans="1:9" ht="30" x14ac:dyDescent="0.25">
      <c r="A5403" s="5" t="s">
        <v>215</v>
      </c>
      <c r="B5403" s="5" t="s">
        <v>227</v>
      </c>
      <c r="C5403" s="5" t="s">
        <v>5882</v>
      </c>
      <c r="D5403" s="3">
        <f>VLOOKUP(A5403,airports!A:H,7,FALSE)</f>
        <v>37.721290830000001</v>
      </c>
      <c r="E5403" s="3">
        <f>VLOOKUP(A5403,airports!A:H,8,FALSE)</f>
        <v>-122.2207167</v>
      </c>
      <c r="F5403" s="3">
        <f>VLOOKUP(B5403,airports!A:H,7,FALSE)</f>
        <v>33.675658609999999</v>
      </c>
      <c r="G5403" s="3">
        <f>VLOOKUP(B5403,airports!A:H,8,FALSE)</f>
        <v>-117.8682225</v>
      </c>
      <c r="H5403">
        <f t="shared" si="168"/>
        <v>597.20000000000005</v>
      </c>
      <c r="I5403">
        <f t="shared" si="169"/>
        <v>371.1</v>
      </c>
    </row>
    <row r="5404" spans="1:9" ht="30" x14ac:dyDescent="0.25">
      <c r="A5404" s="5" t="s">
        <v>215</v>
      </c>
      <c r="B5404" s="5" t="s">
        <v>644</v>
      </c>
      <c r="C5404" s="5" t="s">
        <v>5883</v>
      </c>
      <c r="D5404" s="3">
        <f>VLOOKUP(A5404,airports!A:H,7,FALSE)</f>
        <v>37.721290830000001</v>
      </c>
      <c r="E5404" s="3">
        <f>VLOOKUP(A5404,airports!A:H,8,FALSE)</f>
        <v>-122.2207167</v>
      </c>
      <c r="F5404" s="3">
        <f>VLOOKUP(B5404,airports!A:H,7,FALSE)</f>
        <v>38.747686940000001</v>
      </c>
      <c r="G5404" s="3">
        <f>VLOOKUP(B5404,airports!A:H,8,FALSE)</f>
        <v>-90.359989720000002</v>
      </c>
      <c r="H5404">
        <f t="shared" si="168"/>
        <v>2771</v>
      </c>
      <c r="I5404">
        <f t="shared" si="169"/>
        <v>1722</v>
      </c>
    </row>
    <row r="5405" spans="1:9" ht="30" x14ac:dyDescent="0.25">
      <c r="A5405" s="5" t="s">
        <v>215</v>
      </c>
      <c r="B5405" s="5" t="s">
        <v>660</v>
      </c>
      <c r="C5405" s="5" t="s">
        <v>5884</v>
      </c>
      <c r="D5405" s="3">
        <f>VLOOKUP(A5405,airports!A:H,7,FALSE)</f>
        <v>37.721290830000001</v>
      </c>
      <c r="E5405" s="3">
        <f>VLOOKUP(A5405,airports!A:H,8,FALSE)</f>
        <v>-122.2207167</v>
      </c>
      <c r="F5405" s="3">
        <f>VLOOKUP(B5405,airports!A:H,7,FALSE)</f>
        <v>32.116083330000002</v>
      </c>
      <c r="G5405" s="3">
        <f>VLOOKUP(B5405,airports!A:H,8,FALSE)</f>
        <v>-110.9410278</v>
      </c>
      <c r="H5405">
        <f t="shared" si="168"/>
        <v>1201.2</v>
      </c>
      <c r="I5405">
        <f t="shared" si="169"/>
        <v>746.5</v>
      </c>
    </row>
    <row r="5406" spans="1:9" ht="30" x14ac:dyDescent="0.25">
      <c r="A5406" s="5" t="s">
        <v>884</v>
      </c>
      <c r="B5406" s="5" t="s">
        <v>329</v>
      </c>
      <c r="C5406" s="5" t="s">
        <v>5885</v>
      </c>
      <c r="D5406" s="3">
        <f>VLOOKUP(A5406,airports!A:H,7,FALSE)</f>
        <v>41.195899963378999</v>
      </c>
      <c r="E5406" s="3">
        <f>VLOOKUP(A5406,airports!A:H,8,FALSE)</f>
        <v>-112.0120010376</v>
      </c>
      <c r="F5406" s="3">
        <f>VLOOKUP(B5406,airports!A:H,7,FALSE)</f>
        <v>33.308999999999997</v>
      </c>
      <c r="G5406" s="3">
        <f>VLOOKUP(B5406,airports!A:H,8,FALSE)</f>
        <v>-111.6559</v>
      </c>
      <c r="H5406">
        <f t="shared" si="168"/>
        <v>877.5</v>
      </c>
      <c r="I5406">
        <f t="shared" si="169"/>
        <v>545.29999999999995</v>
      </c>
    </row>
    <row r="5407" spans="1:9" ht="30" x14ac:dyDescent="0.25">
      <c r="A5407" s="5" t="s">
        <v>884</v>
      </c>
      <c r="B5407" s="5" t="s">
        <v>71</v>
      </c>
      <c r="C5407" s="5" t="s">
        <v>5886</v>
      </c>
      <c r="D5407" s="3">
        <f>VLOOKUP(A5407,airports!A:H,7,FALSE)</f>
        <v>41.195899963378999</v>
      </c>
      <c r="E5407" s="3">
        <f>VLOOKUP(A5407,airports!A:H,8,FALSE)</f>
        <v>-112.0120010376</v>
      </c>
      <c r="F5407" s="3">
        <f>VLOOKUP(B5407,airports!A:H,7,FALSE)</f>
        <v>36.080361109999998</v>
      </c>
      <c r="G5407" s="3">
        <f>VLOOKUP(B5407,airports!A:H,8,FALSE)</f>
        <v>-115.1523333</v>
      </c>
      <c r="H5407">
        <f t="shared" si="168"/>
        <v>630.70000000000005</v>
      </c>
      <c r="I5407">
        <f t="shared" si="169"/>
        <v>391.9</v>
      </c>
    </row>
    <row r="5408" spans="1:9" ht="30" x14ac:dyDescent="0.25">
      <c r="A5408" s="5" t="s">
        <v>884</v>
      </c>
      <c r="B5408" s="5" t="s">
        <v>73</v>
      </c>
      <c r="C5408" s="5" t="s">
        <v>5887</v>
      </c>
      <c r="D5408" s="3">
        <f>VLOOKUP(A5408,airports!A:H,7,FALSE)</f>
        <v>41.195899963378999</v>
      </c>
      <c r="E5408" s="3">
        <f>VLOOKUP(A5408,airports!A:H,8,FALSE)</f>
        <v>-112.0120010376</v>
      </c>
      <c r="F5408" s="3">
        <f>VLOOKUP(B5408,airports!A:H,7,FALSE)</f>
        <v>33.942536109999999</v>
      </c>
      <c r="G5408" s="3">
        <f>VLOOKUP(B5408,airports!A:H,8,FALSE)</f>
        <v>-118.4080744</v>
      </c>
      <c r="H5408">
        <f t="shared" si="168"/>
        <v>983.4</v>
      </c>
      <c r="I5408">
        <f t="shared" si="169"/>
        <v>611.1</v>
      </c>
    </row>
    <row r="5409" spans="1:9" ht="30" x14ac:dyDescent="0.25">
      <c r="A5409" s="5" t="s">
        <v>371</v>
      </c>
      <c r="B5409" s="5" t="s">
        <v>265</v>
      </c>
      <c r="C5409" s="5" t="s">
        <v>5888</v>
      </c>
      <c r="D5409" s="3">
        <f>VLOOKUP(A5409,airports!A:H,7,FALSE)</f>
        <v>20.898649720000002</v>
      </c>
      <c r="E5409" s="3">
        <f>VLOOKUP(A5409,airports!A:H,8,FALSE)</f>
        <v>-156.4304578</v>
      </c>
      <c r="F5409" s="3">
        <f>VLOOKUP(B5409,airports!A:H,7,FALSE)</f>
        <v>61.174320280000003</v>
      </c>
      <c r="G5409" s="3">
        <f>VLOOKUP(B5409,airports!A:H,8,FALSE)</f>
        <v>-149.99618559999999</v>
      </c>
      <c r="H5409">
        <f t="shared" si="168"/>
        <v>4506.3</v>
      </c>
      <c r="I5409">
        <f t="shared" si="169"/>
        <v>2800.3</v>
      </c>
    </row>
    <row r="5410" spans="1:9" x14ac:dyDescent="0.25">
      <c r="A5410" s="5" t="s">
        <v>371</v>
      </c>
      <c r="B5410" s="5" t="s">
        <v>344</v>
      </c>
      <c r="C5410" s="5" t="s">
        <v>5889</v>
      </c>
      <c r="D5410" s="3">
        <f>VLOOKUP(A5410,airports!A:H,7,FALSE)</f>
        <v>20.898649720000002</v>
      </c>
      <c r="E5410" s="3">
        <f>VLOOKUP(A5410,airports!A:H,8,FALSE)</f>
        <v>-156.4304578</v>
      </c>
      <c r="F5410" s="3">
        <f>VLOOKUP(B5410,airports!A:H,7,FALSE)</f>
        <v>48.792749999999998</v>
      </c>
      <c r="G5410" s="3">
        <f>VLOOKUP(B5410,airports!A:H,8,FALSE)</f>
        <v>-122.53752780000001</v>
      </c>
      <c r="H5410">
        <f t="shared" si="168"/>
        <v>4315.3999999999996</v>
      </c>
      <c r="I5410">
        <f t="shared" si="169"/>
        <v>2681.6</v>
      </c>
    </row>
    <row r="5411" spans="1:9" ht="30" x14ac:dyDescent="0.25">
      <c r="A5411" s="5" t="s">
        <v>371</v>
      </c>
      <c r="B5411" s="5" t="s">
        <v>47</v>
      </c>
      <c r="C5411" s="5" t="s">
        <v>5890</v>
      </c>
      <c r="D5411" s="3">
        <f>VLOOKUP(A5411,airports!A:H,7,FALSE)</f>
        <v>20.898649720000002</v>
      </c>
      <c r="E5411" s="3">
        <f>VLOOKUP(A5411,airports!A:H,8,FALSE)</f>
        <v>-156.4304578</v>
      </c>
      <c r="F5411" s="3">
        <f>VLOOKUP(B5411,airports!A:H,7,FALSE)</f>
        <v>39.858408060000002</v>
      </c>
      <c r="G5411" s="3">
        <f>VLOOKUP(B5411,airports!A:H,8,FALSE)</f>
        <v>-104.6670019</v>
      </c>
      <c r="H5411">
        <f t="shared" si="168"/>
        <v>5308.8</v>
      </c>
      <c r="I5411">
        <f t="shared" si="169"/>
        <v>3298.9</v>
      </c>
    </row>
    <row r="5412" spans="1:9" ht="30" x14ac:dyDescent="0.25">
      <c r="A5412" s="5" t="s">
        <v>371</v>
      </c>
      <c r="B5412" s="5" t="s">
        <v>49</v>
      </c>
      <c r="C5412" s="5" t="s">
        <v>5891</v>
      </c>
      <c r="D5412" s="3">
        <f>VLOOKUP(A5412,airports!A:H,7,FALSE)</f>
        <v>20.898649720000002</v>
      </c>
      <c r="E5412" s="3">
        <f>VLOOKUP(A5412,airports!A:H,8,FALSE)</f>
        <v>-156.4304578</v>
      </c>
      <c r="F5412" s="3">
        <f>VLOOKUP(B5412,airports!A:H,7,FALSE)</f>
        <v>32.895950560000003</v>
      </c>
      <c r="G5412" s="3">
        <f>VLOOKUP(B5412,airports!A:H,8,FALSE)</f>
        <v>-97.037199999999999</v>
      </c>
      <c r="H5412">
        <f t="shared" si="168"/>
        <v>5962.4</v>
      </c>
      <c r="I5412">
        <f t="shared" si="169"/>
        <v>3705.1</v>
      </c>
    </row>
    <row r="5413" spans="1:9" ht="30" x14ac:dyDescent="0.25">
      <c r="A5413" s="5" t="s">
        <v>371</v>
      </c>
      <c r="B5413" s="5" t="s">
        <v>52</v>
      </c>
      <c r="C5413" s="5" t="s">
        <v>5892</v>
      </c>
      <c r="D5413" s="3">
        <f>VLOOKUP(A5413,airports!A:H,7,FALSE)</f>
        <v>20.898649720000002</v>
      </c>
      <c r="E5413" s="3">
        <f>VLOOKUP(A5413,airports!A:H,8,FALSE)</f>
        <v>-156.4304578</v>
      </c>
      <c r="F5413" s="3">
        <f>VLOOKUP(B5413,airports!A:H,7,FALSE)</f>
        <v>40.69249722</v>
      </c>
      <c r="G5413" s="3">
        <f>VLOOKUP(B5413,airports!A:H,8,FALSE)</f>
        <v>-74.168660560000006</v>
      </c>
      <c r="H5413">
        <f t="shared" si="168"/>
        <v>7878.8</v>
      </c>
      <c r="I5413">
        <f t="shared" si="169"/>
        <v>4895.8999999999996</v>
      </c>
    </row>
    <row r="5414" spans="1:9" ht="30" x14ac:dyDescent="0.25">
      <c r="A5414" s="5" t="s">
        <v>371</v>
      </c>
      <c r="B5414" s="5" t="s">
        <v>360</v>
      </c>
      <c r="C5414" s="5" t="s">
        <v>5893</v>
      </c>
      <c r="D5414" s="3">
        <f>VLOOKUP(A5414,airports!A:H,7,FALSE)</f>
        <v>20.898649720000002</v>
      </c>
      <c r="E5414" s="3">
        <f>VLOOKUP(A5414,airports!A:H,8,FALSE)</f>
        <v>-156.4304578</v>
      </c>
      <c r="F5414" s="3">
        <f>VLOOKUP(B5414,airports!A:H,7,FALSE)</f>
        <v>21.31869111</v>
      </c>
      <c r="G5414" s="3">
        <f>VLOOKUP(B5414,airports!A:H,8,FALSE)</f>
        <v>-157.92240720000001</v>
      </c>
      <c r="H5414">
        <f t="shared" si="168"/>
        <v>161.69999999999999</v>
      </c>
      <c r="I5414">
        <f t="shared" si="169"/>
        <v>100.5</v>
      </c>
    </row>
    <row r="5415" spans="1:9" ht="30" x14ac:dyDescent="0.25">
      <c r="A5415" s="5" t="s">
        <v>371</v>
      </c>
      <c r="B5415" s="5" t="s">
        <v>3653</v>
      </c>
      <c r="C5415" s="5" t="s">
        <v>5894</v>
      </c>
      <c r="D5415" s="3">
        <f>VLOOKUP(A5415,airports!A:H,7,FALSE)</f>
        <v>20.898649720000002</v>
      </c>
      <c r="E5415" s="3">
        <f>VLOOKUP(A5415,airports!A:H,8,FALSE)</f>
        <v>-156.4304578</v>
      </c>
      <c r="F5415" s="3">
        <f>VLOOKUP(B5415,airports!A:H,7,FALSE)</f>
        <v>19.720263060000001</v>
      </c>
      <c r="G5415" s="3">
        <f>VLOOKUP(B5415,airports!A:H,8,FALSE)</f>
        <v>-155.04847029999999</v>
      </c>
      <c r="H5415">
        <f t="shared" si="168"/>
        <v>194.8</v>
      </c>
      <c r="I5415">
        <f t="shared" si="169"/>
        <v>121</v>
      </c>
    </row>
    <row r="5416" spans="1:9" ht="30" x14ac:dyDescent="0.25">
      <c r="A5416" s="5" t="s">
        <v>371</v>
      </c>
      <c r="B5416" s="5" t="s">
        <v>3656</v>
      </c>
      <c r="C5416" s="5" t="s">
        <v>5895</v>
      </c>
      <c r="D5416" s="3">
        <f>VLOOKUP(A5416,airports!A:H,7,FALSE)</f>
        <v>20.898649720000002</v>
      </c>
      <c r="E5416" s="3">
        <f>VLOOKUP(A5416,airports!A:H,8,FALSE)</f>
        <v>-156.4304578</v>
      </c>
      <c r="F5416" s="3">
        <f>VLOOKUP(B5416,airports!A:H,7,FALSE)</f>
        <v>20.962900000000001</v>
      </c>
      <c r="G5416" s="3">
        <f>VLOOKUP(B5416,airports!A:H,8,FALSE)</f>
        <v>-156.67300399999999</v>
      </c>
      <c r="H5416">
        <f t="shared" si="168"/>
        <v>26.2</v>
      </c>
      <c r="I5416">
        <f t="shared" si="169"/>
        <v>16.3</v>
      </c>
    </row>
    <row r="5417" spans="1:9" ht="30" x14ac:dyDescent="0.25">
      <c r="A5417" s="5" t="s">
        <v>371</v>
      </c>
      <c r="B5417" s="5" t="s">
        <v>366</v>
      </c>
      <c r="C5417" s="5" t="s">
        <v>5896</v>
      </c>
      <c r="D5417" s="3">
        <f>VLOOKUP(A5417,airports!A:H,7,FALSE)</f>
        <v>20.898649720000002</v>
      </c>
      <c r="E5417" s="3">
        <f>VLOOKUP(A5417,airports!A:H,8,FALSE)</f>
        <v>-156.4304578</v>
      </c>
      <c r="F5417" s="3">
        <f>VLOOKUP(B5417,airports!A:H,7,FALSE)</f>
        <v>19.738765829999998</v>
      </c>
      <c r="G5417" s="3">
        <f>VLOOKUP(B5417,airports!A:H,8,FALSE)</f>
        <v>-156.04563139999999</v>
      </c>
      <c r="H5417">
        <f t="shared" si="168"/>
        <v>135.1</v>
      </c>
      <c r="I5417">
        <f t="shared" si="169"/>
        <v>83.9</v>
      </c>
    </row>
    <row r="5418" spans="1:9" ht="30" x14ac:dyDescent="0.25">
      <c r="A5418" s="5" t="s">
        <v>371</v>
      </c>
      <c r="B5418" s="5" t="s">
        <v>71</v>
      </c>
      <c r="C5418" s="5" t="s">
        <v>5897</v>
      </c>
      <c r="D5418" s="3">
        <f>VLOOKUP(A5418,airports!A:H,7,FALSE)</f>
        <v>20.898649720000002</v>
      </c>
      <c r="E5418" s="3">
        <f>VLOOKUP(A5418,airports!A:H,8,FALSE)</f>
        <v>-156.4304578</v>
      </c>
      <c r="F5418" s="3">
        <f>VLOOKUP(B5418,airports!A:H,7,FALSE)</f>
        <v>36.080361109999998</v>
      </c>
      <c r="G5418" s="3">
        <f>VLOOKUP(B5418,airports!A:H,8,FALSE)</f>
        <v>-115.1523333</v>
      </c>
      <c r="H5418">
        <f t="shared" si="168"/>
        <v>4333.1000000000004</v>
      </c>
      <c r="I5418">
        <f t="shared" si="169"/>
        <v>2692.6</v>
      </c>
    </row>
    <row r="5419" spans="1:9" ht="30" x14ac:dyDescent="0.25">
      <c r="A5419" s="5" t="s">
        <v>371</v>
      </c>
      <c r="B5419" s="5" t="s">
        <v>73</v>
      </c>
      <c r="C5419" s="5" t="s">
        <v>5898</v>
      </c>
      <c r="D5419" s="3">
        <f>VLOOKUP(A5419,airports!A:H,7,FALSE)</f>
        <v>20.898649720000002</v>
      </c>
      <c r="E5419" s="3">
        <f>VLOOKUP(A5419,airports!A:H,8,FALSE)</f>
        <v>-156.4304578</v>
      </c>
      <c r="F5419" s="3">
        <f>VLOOKUP(B5419,airports!A:H,7,FALSE)</f>
        <v>33.942536109999999</v>
      </c>
      <c r="G5419" s="3">
        <f>VLOOKUP(B5419,airports!A:H,8,FALSE)</f>
        <v>-118.4080744</v>
      </c>
      <c r="H5419">
        <f t="shared" si="168"/>
        <v>3995.4</v>
      </c>
      <c r="I5419">
        <f t="shared" si="169"/>
        <v>2482.8000000000002</v>
      </c>
    </row>
    <row r="5420" spans="1:9" ht="30" x14ac:dyDescent="0.25">
      <c r="A5420" s="5" t="s">
        <v>371</v>
      </c>
      <c r="B5420" s="5" t="s">
        <v>742</v>
      </c>
      <c r="C5420" s="5" t="s">
        <v>5899</v>
      </c>
      <c r="D5420" s="3">
        <f>VLOOKUP(A5420,airports!A:H,7,FALSE)</f>
        <v>20.898649720000002</v>
      </c>
      <c r="E5420" s="3">
        <f>VLOOKUP(A5420,airports!A:H,8,FALSE)</f>
        <v>-156.4304578</v>
      </c>
      <c r="F5420" s="3">
        <f>VLOOKUP(B5420,airports!A:H,7,FALSE)</f>
        <v>33.81772222</v>
      </c>
      <c r="G5420" s="3">
        <f>VLOOKUP(B5420,airports!A:H,8,FALSE)</f>
        <v>-118.1516111</v>
      </c>
      <c r="H5420">
        <f t="shared" si="168"/>
        <v>4016</v>
      </c>
      <c r="I5420">
        <f t="shared" si="169"/>
        <v>2495.6</v>
      </c>
    </row>
    <row r="5421" spans="1:9" ht="30" x14ac:dyDescent="0.25">
      <c r="A5421" s="5" t="s">
        <v>371</v>
      </c>
      <c r="B5421" s="5" t="s">
        <v>2421</v>
      </c>
      <c r="C5421" s="5" t="s">
        <v>5900</v>
      </c>
      <c r="D5421" s="3">
        <f>VLOOKUP(A5421,airports!A:H,7,FALSE)</f>
        <v>20.898649720000002</v>
      </c>
      <c r="E5421" s="3">
        <f>VLOOKUP(A5421,airports!A:H,8,FALSE)</f>
        <v>-156.4304578</v>
      </c>
      <c r="F5421" s="3">
        <f>VLOOKUP(B5421,airports!A:H,7,FALSE)</f>
        <v>21.975983060000001</v>
      </c>
      <c r="G5421" s="3">
        <f>VLOOKUP(B5421,airports!A:H,8,FALSE)</f>
        <v>-159.33895810000001</v>
      </c>
      <c r="H5421">
        <f t="shared" si="168"/>
        <v>324</v>
      </c>
      <c r="I5421">
        <f t="shared" si="169"/>
        <v>201.3</v>
      </c>
    </row>
    <row r="5422" spans="1:9" ht="30" x14ac:dyDescent="0.25">
      <c r="A5422" s="5" t="s">
        <v>371</v>
      </c>
      <c r="B5422" s="5" t="s">
        <v>3666</v>
      </c>
      <c r="C5422" s="5" t="s">
        <v>5901</v>
      </c>
      <c r="D5422" s="3">
        <f>VLOOKUP(A5422,airports!A:H,7,FALSE)</f>
        <v>20.898649720000002</v>
      </c>
      <c r="E5422" s="3">
        <f>VLOOKUP(A5422,airports!A:H,8,FALSE)</f>
        <v>-156.4304578</v>
      </c>
      <c r="F5422" s="3">
        <f>VLOOKUP(B5422,airports!A:H,7,FALSE)</f>
        <v>21.152901</v>
      </c>
      <c r="G5422" s="3">
        <f>VLOOKUP(B5422,airports!A:H,8,FALSE)</f>
        <v>-157.09599299999999</v>
      </c>
      <c r="H5422">
        <f t="shared" si="168"/>
        <v>74.599999999999994</v>
      </c>
      <c r="I5422">
        <f t="shared" si="169"/>
        <v>46.4</v>
      </c>
    </row>
    <row r="5423" spans="1:9" ht="30" x14ac:dyDescent="0.25">
      <c r="A5423" s="5" t="s">
        <v>371</v>
      </c>
      <c r="B5423" s="5" t="s">
        <v>215</v>
      </c>
      <c r="C5423" s="5" t="s">
        <v>5902</v>
      </c>
      <c r="D5423" s="3">
        <f>VLOOKUP(A5423,airports!A:H,7,FALSE)</f>
        <v>20.898649720000002</v>
      </c>
      <c r="E5423" s="3">
        <f>VLOOKUP(A5423,airports!A:H,8,FALSE)</f>
        <v>-156.4304578</v>
      </c>
      <c r="F5423" s="3">
        <f>VLOOKUP(B5423,airports!A:H,7,FALSE)</f>
        <v>37.721290830000001</v>
      </c>
      <c r="G5423" s="3">
        <f>VLOOKUP(B5423,airports!A:H,8,FALSE)</f>
        <v>-122.2207167</v>
      </c>
      <c r="H5423">
        <f t="shared" si="168"/>
        <v>3777</v>
      </c>
      <c r="I5423">
        <f t="shared" si="169"/>
        <v>2347.1</v>
      </c>
    </row>
    <row r="5424" spans="1:9" ht="30" x14ac:dyDescent="0.25">
      <c r="A5424" s="5" t="s">
        <v>371</v>
      </c>
      <c r="B5424" s="5" t="s">
        <v>95</v>
      </c>
      <c r="C5424" s="5" t="s">
        <v>5903</v>
      </c>
      <c r="D5424" s="3">
        <f>VLOOKUP(A5424,airports!A:H,7,FALSE)</f>
        <v>20.898649720000002</v>
      </c>
      <c r="E5424" s="3">
        <f>VLOOKUP(A5424,airports!A:H,8,FALSE)</f>
        <v>-156.4304578</v>
      </c>
      <c r="F5424" s="3">
        <f>VLOOKUP(B5424,airports!A:H,7,FALSE)</f>
        <v>41.979595000000003</v>
      </c>
      <c r="G5424" s="3">
        <f>VLOOKUP(B5424,airports!A:H,8,FALSE)</f>
        <v>-87.904464169999997</v>
      </c>
      <c r="H5424">
        <f t="shared" si="168"/>
        <v>6724.3</v>
      </c>
      <c r="I5424">
        <f t="shared" si="169"/>
        <v>4178.6000000000004</v>
      </c>
    </row>
    <row r="5425" spans="1:9" ht="30" x14ac:dyDescent="0.25">
      <c r="A5425" s="5" t="s">
        <v>371</v>
      </c>
      <c r="B5425" s="5" t="s">
        <v>100</v>
      </c>
      <c r="C5425" s="5" t="s">
        <v>5904</v>
      </c>
      <c r="D5425" s="3">
        <f>VLOOKUP(A5425,airports!A:H,7,FALSE)</f>
        <v>20.898649720000002</v>
      </c>
      <c r="E5425" s="3">
        <f>VLOOKUP(A5425,airports!A:H,8,FALSE)</f>
        <v>-156.4304578</v>
      </c>
      <c r="F5425" s="3">
        <f>VLOOKUP(B5425,airports!A:H,7,FALSE)</f>
        <v>45.588722220000001</v>
      </c>
      <c r="G5425" s="3">
        <f>VLOOKUP(B5425,airports!A:H,8,FALSE)</f>
        <v>-122.5975</v>
      </c>
      <c r="H5425">
        <f t="shared" si="168"/>
        <v>4122.3</v>
      </c>
      <c r="I5425">
        <f t="shared" si="169"/>
        <v>2561.6</v>
      </c>
    </row>
    <row r="5426" spans="1:9" ht="30" x14ac:dyDescent="0.25">
      <c r="A5426" s="5" t="s">
        <v>371</v>
      </c>
      <c r="B5426" s="5" t="s">
        <v>104</v>
      </c>
      <c r="C5426" s="5" t="s">
        <v>5905</v>
      </c>
      <c r="D5426" s="3">
        <f>VLOOKUP(A5426,airports!A:H,7,FALSE)</f>
        <v>20.898649720000002</v>
      </c>
      <c r="E5426" s="3">
        <f>VLOOKUP(A5426,airports!A:H,8,FALSE)</f>
        <v>-156.4304578</v>
      </c>
      <c r="F5426" s="3">
        <f>VLOOKUP(B5426,airports!A:H,7,FALSE)</f>
        <v>33.434166670000003</v>
      </c>
      <c r="G5426" s="3">
        <f>VLOOKUP(B5426,airports!A:H,8,FALSE)</f>
        <v>-112.00805560000001</v>
      </c>
      <c r="H5426">
        <f t="shared" si="168"/>
        <v>4572.2</v>
      </c>
      <c r="I5426">
        <f t="shared" si="169"/>
        <v>2841.2</v>
      </c>
    </row>
    <row r="5427" spans="1:9" ht="30" x14ac:dyDescent="0.25">
      <c r="A5427" s="5" t="s">
        <v>371</v>
      </c>
      <c r="B5427" s="5" t="s">
        <v>124</v>
      </c>
      <c r="C5427" s="5" t="s">
        <v>5906</v>
      </c>
      <c r="D5427" s="3">
        <f>VLOOKUP(A5427,airports!A:H,7,FALSE)</f>
        <v>20.898649720000002</v>
      </c>
      <c r="E5427" s="3">
        <f>VLOOKUP(A5427,airports!A:H,8,FALSE)</f>
        <v>-156.4304578</v>
      </c>
      <c r="F5427" s="3">
        <f>VLOOKUP(B5427,airports!A:H,7,FALSE)</f>
        <v>32.733556110000002</v>
      </c>
      <c r="G5427" s="3">
        <f>VLOOKUP(B5427,airports!A:H,8,FALSE)</f>
        <v>-117.1896567</v>
      </c>
      <c r="H5427">
        <f t="shared" si="168"/>
        <v>4083.5</v>
      </c>
      <c r="I5427">
        <f t="shared" si="169"/>
        <v>2537.5</v>
      </c>
    </row>
    <row r="5428" spans="1:9" ht="30" x14ac:dyDescent="0.25">
      <c r="A5428" s="5" t="s">
        <v>371</v>
      </c>
      <c r="B5428" s="5" t="s">
        <v>128</v>
      </c>
      <c r="C5428" s="5" t="s">
        <v>5907</v>
      </c>
      <c r="D5428" s="3">
        <f>VLOOKUP(A5428,airports!A:H,7,FALSE)</f>
        <v>20.898649720000002</v>
      </c>
      <c r="E5428" s="3">
        <f>VLOOKUP(A5428,airports!A:H,8,FALSE)</f>
        <v>-156.4304578</v>
      </c>
      <c r="F5428" s="3">
        <f>VLOOKUP(B5428,airports!A:H,7,FALSE)</f>
        <v>47.448981940000003</v>
      </c>
      <c r="G5428" s="3">
        <f>VLOOKUP(B5428,airports!A:H,8,FALSE)</f>
        <v>-122.3093131</v>
      </c>
      <c r="H5428">
        <f t="shared" si="168"/>
        <v>4248.3999999999996</v>
      </c>
      <c r="I5428">
        <f t="shared" si="169"/>
        <v>2640</v>
      </c>
    </row>
    <row r="5429" spans="1:9" ht="30" x14ac:dyDescent="0.25">
      <c r="A5429" s="5" t="s">
        <v>371</v>
      </c>
      <c r="B5429" s="5" t="s">
        <v>130</v>
      </c>
      <c r="C5429" s="5" t="s">
        <v>5908</v>
      </c>
      <c r="D5429" s="3">
        <f>VLOOKUP(A5429,airports!A:H,7,FALSE)</f>
        <v>20.898649720000002</v>
      </c>
      <c r="E5429" s="3">
        <f>VLOOKUP(A5429,airports!A:H,8,FALSE)</f>
        <v>-156.4304578</v>
      </c>
      <c r="F5429" s="3">
        <f>VLOOKUP(B5429,airports!A:H,7,FALSE)</f>
        <v>37.619001939999997</v>
      </c>
      <c r="G5429" s="3">
        <f>VLOOKUP(B5429,airports!A:H,8,FALSE)</f>
        <v>-122.37484329999999</v>
      </c>
      <c r="H5429">
        <f t="shared" si="168"/>
        <v>3760.4</v>
      </c>
      <c r="I5429">
        <f t="shared" si="169"/>
        <v>2336.6999999999998</v>
      </c>
    </row>
    <row r="5430" spans="1:9" ht="30" x14ac:dyDescent="0.25">
      <c r="A5430" s="5" t="s">
        <v>371</v>
      </c>
      <c r="B5430" s="5" t="s">
        <v>131</v>
      </c>
      <c r="C5430" s="5" t="s">
        <v>5909</v>
      </c>
      <c r="D5430" s="3">
        <f>VLOOKUP(A5430,airports!A:H,7,FALSE)</f>
        <v>20.898649720000002</v>
      </c>
      <c r="E5430" s="3">
        <f>VLOOKUP(A5430,airports!A:H,8,FALSE)</f>
        <v>-156.4304578</v>
      </c>
      <c r="F5430" s="3">
        <f>VLOOKUP(B5430,airports!A:H,7,FALSE)</f>
        <v>37.361861939999997</v>
      </c>
      <c r="G5430" s="3">
        <f>VLOOKUP(B5430,airports!A:H,8,FALSE)</f>
        <v>-121.9290089</v>
      </c>
      <c r="H5430">
        <f t="shared" si="168"/>
        <v>3787.9</v>
      </c>
      <c r="I5430">
        <f t="shared" si="169"/>
        <v>2353.8000000000002</v>
      </c>
    </row>
    <row r="5431" spans="1:9" ht="30" x14ac:dyDescent="0.25">
      <c r="A5431" s="5" t="s">
        <v>371</v>
      </c>
      <c r="B5431" s="5" t="s">
        <v>135</v>
      </c>
      <c r="C5431" s="5" t="s">
        <v>5910</v>
      </c>
      <c r="D5431" s="3">
        <f>VLOOKUP(A5431,airports!A:H,7,FALSE)</f>
        <v>20.898649720000002</v>
      </c>
      <c r="E5431" s="3">
        <f>VLOOKUP(A5431,airports!A:H,8,FALSE)</f>
        <v>-156.4304578</v>
      </c>
      <c r="F5431" s="3">
        <f>VLOOKUP(B5431,airports!A:H,7,FALSE)</f>
        <v>40.788387780000001</v>
      </c>
      <c r="G5431" s="3">
        <f>VLOOKUP(B5431,airports!A:H,8,FALSE)</f>
        <v>-111.97777309999999</v>
      </c>
      <c r="H5431">
        <f t="shared" si="168"/>
        <v>4719.6000000000004</v>
      </c>
      <c r="I5431">
        <f t="shared" si="169"/>
        <v>2932.8</v>
      </c>
    </row>
    <row r="5432" spans="1:9" ht="30" x14ac:dyDescent="0.25">
      <c r="A5432" s="5" t="s">
        <v>371</v>
      </c>
      <c r="B5432" s="5" t="s">
        <v>137</v>
      </c>
      <c r="C5432" s="5" t="s">
        <v>5911</v>
      </c>
      <c r="D5432" s="3">
        <f>VLOOKUP(A5432,airports!A:H,7,FALSE)</f>
        <v>20.898649720000002</v>
      </c>
      <c r="E5432" s="3">
        <f>VLOOKUP(A5432,airports!A:H,8,FALSE)</f>
        <v>-156.4304578</v>
      </c>
      <c r="F5432" s="3">
        <f>VLOOKUP(B5432,airports!A:H,7,FALSE)</f>
        <v>38.695421670000002</v>
      </c>
      <c r="G5432" s="3">
        <f>VLOOKUP(B5432,airports!A:H,8,FALSE)</f>
        <v>-121.59076690000001</v>
      </c>
      <c r="H5432">
        <f t="shared" si="168"/>
        <v>3866.2</v>
      </c>
      <c r="I5432">
        <f t="shared" si="169"/>
        <v>2402.5</v>
      </c>
    </row>
    <row r="5433" spans="1:9" ht="30" x14ac:dyDescent="0.25">
      <c r="A5433" s="5" t="s">
        <v>3889</v>
      </c>
      <c r="B5433" s="5" t="s">
        <v>176</v>
      </c>
      <c r="C5433" s="5" t="s">
        <v>5912</v>
      </c>
      <c r="D5433" s="3">
        <f>VLOOKUP(A5433,airports!A:H,7,FALSE)</f>
        <v>44.681899999999999</v>
      </c>
      <c r="E5433" s="3">
        <f>VLOOKUP(A5433,airports!A:H,8,FALSE)</f>
        <v>-75.465500000000006</v>
      </c>
      <c r="F5433" s="3">
        <f>VLOOKUP(B5433,airports!A:H,7,FALSE)</f>
        <v>38.944531939999997</v>
      </c>
      <c r="G5433" s="3">
        <f>VLOOKUP(B5433,airports!A:H,8,FALSE)</f>
        <v>-77.455809720000005</v>
      </c>
      <c r="H5433">
        <f t="shared" si="168"/>
        <v>658.9</v>
      </c>
      <c r="I5433">
        <f t="shared" si="169"/>
        <v>409.4</v>
      </c>
    </row>
    <row r="5434" spans="1:9" ht="30" x14ac:dyDescent="0.25">
      <c r="A5434" s="5" t="s">
        <v>3889</v>
      </c>
      <c r="B5434" s="5" t="s">
        <v>95</v>
      </c>
      <c r="C5434" s="5" t="s">
        <v>5913</v>
      </c>
      <c r="D5434" s="3">
        <f>VLOOKUP(A5434,airports!A:H,7,FALSE)</f>
        <v>44.681899999999999</v>
      </c>
      <c r="E5434" s="3">
        <f>VLOOKUP(A5434,airports!A:H,8,FALSE)</f>
        <v>-75.465500000000006</v>
      </c>
      <c r="F5434" s="3">
        <f>VLOOKUP(B5434,airports!A:H,7,FALSE)</f>
        <v>41.979595000000003</v>
      </c>
      <c r="G5434" s="3">
        <f>VLOOKUP(B5434,airports!A:H,8,FALSE)</f>
        <v>-87.904464169999997</v>
      </c>
      <c r="H5434">
        <f t="shared" si="168"/>
        <v>1048.8</v>
      </c>
      <c r="I5434">
        <f t="shared" si="169"/>
        <v>651.70000000000005</v>
      </c>
    </row>
    <row r="5435" spans="1:9" ht="30" x14ac:dyDescent="0.25">
      <c r="A5435" s="5" t="s">
        <v>3889</v>
      </c>
      <c r="B5435" s="5" t="s">
        <v>3316</v>
      </c>
      <c r="C5435" s="5" t="s">
        <v>5914</v>
      </c>
      <c r="D5435" s="3">
        <f>VLOOKUP(A5435,airports!A:H,7,FALSE)</f>
        <v>44.681899999999999</v>
      </c>
      <c r="E5435" s="3">
        <f>VLOOKUP(A5435,airports!A:H,8,FALSE)</f>
        <v>-75.465500000000006</v>
      </c>
      <c r="F5435" s="3">
        <f>VLOOKUP(B5435,airports!A:H,7,FALSE)</f>
        <v>44.650901794433501</v>
      </c>
      <c r="G5435" s="3">
        <f>VLOOKUP(B5435,airports!A:H,8,FALSE)</f>
        <v>-73.468101501464801</v>
      </c>
      <c r="H5435">
        <f t="shared" si="168"/>
        <v>158</v>
      </c>
      <c r="I5435">
        <f t="shared" si="169"/>
        <v>98.2</v>
      </c>
    </row>
    <row r="5436" spans="1:9" x14ac:dyDescent="0.25">
      <c r="A5436" s="5" t="s">
        <v>3889</v>
      </c>
      <c r="B5436" s="5" t="s">
        <v>188</v>
      </c>
      <c r="C5436" s="5" t="s">
        <v>5915</v>
      </c>
      <c r="D5436" s="3">
        <f>VLOOKUP(A5436,airports!A:H,7,FALSE)</f>
        <v>44.681899999999999</v>
      </c>
      <c r="E5436" s="3">
        <f>VLOOKUP(A5436,airports!A:H,8,FALSE)</f>
        <v>-75.465500000000006</v>
      </c>
      <c r="F5436" s="3">
        <f>VLOOKUP(B5436,airports!A:H,7,FALSE)</f>
        <v>27.910763330000002</v>
      </c>
      <c r="G5436" s="3">
        <f>VLOOKUP(B5436,airports!A:H,8,FALSE)</f>
        <v>-82.687439440000006</v>
      </c>
      <c r="H5436">
        <f t="shared" si="168"/>
        <v>1971.9</v>
      </c>
      <c r="I5436">
        <f t="shared" si="169"/>
        <v>1225.4000000000001</v>
      </c>
    </row>
    <row r="5437" spans="1:9" ht="30" x14ac:dyDescent="0.25">
      <c r="A5437" s="5" t="s">
        <v>3889</v>
      </c>
      <c r="B5437" s="5" t="s">
        <v>191</v>
      </c>
      <c r="C5437" s="5" t="s">
        <v>5916</v>
      </c>
      <c r="D5437" s="3">
        <f>VLOOKUP(A5437,airports!A:H,7,FALSE)</f>
        <v>44.681899999999999</v>
      </c>
      <c r="E5437" s="3">
        <f>VLOOKUP(A5437,airports!A:H,8,FALSE)</f>
        <v>-75.465500000000006</v>
      </c>
      <c r="F5437" s="3">
        <f>VLOOKUP(B5437,airports!A:H,7,FALSE)</f>
        <v>28.7776</v>
      </c>
      <c r="G5437" s="3">
        <f>VLOOKUP(B5437,airports!A:H,8,FALSE)</f>
        <v>-81.237499999999997</v>
      </c>
      <c r="H5437">
        <f t="shared" si="168"/>
        <v>1840.5</v>
      </c>
      <c r="I5437">
        <f t="shared" si="169"/>
        <v>1143.7</v>
      </c>
    </row>
    <row r="5438" spans="1:9" ht="30" x14ac:dyDescent="0.25">
      <c r="A5438" s="5" t="s">
        <v>590</v>
      </c>
      <c r="B5438" s="5" t="s">
        <v>393</v>
      </c>
      <c r="C5438" s="5" t="s">
        <v>5917</v>
      </c>
      <c r="D5438" s="3">
        <f>VLOOKUP(A5438,airports!A:H,7,FALSE)</f>
        <v>35.393088329999998</v>
      </c>
      <c r="E5438" s="3">
        <f>VLOOKUP(A5438,airports!A:H,8,FALSE)</f>
        <v>-97.600733890000001</v>
      </c>
      <c r="F5438" s="3">
        <f>VLOOKUP(B5438,airports!A:H,7,FALSE)</f>
        <v>39.22316</v>
      </c>
      <c r="G5438" s="3">
        <f>VLOOKUP(B5438,airports!A:H,8,FALSE)</f>
        <v>-106.86884499999999</v>
      </c>
      <c r="H5438">
        <f t="shared" si="168"/>
        <v>923.1</v>
      </c>
      <c r="I5438">
        <f t="shared" si="169"/>
        <v>573.6</v>
      </c>
    </row>
    <row r="5439" spans="1:9" ht="30" x14ac:dyDescent="0.25">
      <c r="A5439" s="5" t="s">
        <v>590</v>
      </c>
      <c r="B5439" s="5" t="s">
        <v>10</v>
      </c>
      <c r="C5439" s="5" t="s">
        <v>5918</v>
      </c>
      <c r="D5439" s="3">
        <f>VLOOKUP(A5439,airports!A:H,7,FALSE)</f>
        <v>35.393088329999998</v>
      </c>
      <c r="E5439" s="3">
        <f>VLOOKUP(A5439,airports!A:H,8,FALSE)</f>
        <v>-97.600733890000001</v>
      </c>
      <c r="F5439" s="3">
        <f>VLOOKUP(B5439,airports!A:H,7,FALSE)</f>
        <v>33.640444440000003</v>
      </c>
      <c r="G5439" s="3">
        <f>VLOOKUP(B5439,airports!A:H,8,FALSE)</f>
        <v>-84.42694444</v>
      </c>
      <c r="H5439">
        <f t="shared" si="168"/>
        <v>1221.7</v>
      </c>
      <c r="I5439">
        <f t="shared" si="169"/>
        <v>759.2</v>
      </c>
    </row>
    <row r="5440" spans="1:9" ht="30" x14ac:dyDescent="0.25">
      <c r="A5440" s="5" t="s">
        <v>590</v>
      </c>
      <c r="B5440" s="5" t="s">
        <v>13</v>
      </c>
      <c r="C5440" s="5" t="s">
        <v>5919</v>
      </c>
      <c r="D5440" s="3">
        <f>VLOOKUP(A5440,airports!A:H,7,FALSE)</f>
        <v>35.393088329999998</v>
      </c>
      <c r="E5440" s="3">
        <f>VLOOKUP(A5440,airports!A:H,8,FALSE)</f>
        <v>-97.600733890000001</v>
      </c>
      <c r="F5440" s="3">
        <f>VLOOKUP(B5440,airports!A:H,7,FALSE)</f>
        <v>30.194532779999999</v>
      </c>
      <c r="G5440" s="3">
        <f>VLOOKUP(B5440,airports!A:H,8,FALSE)</f>
        <v>-97.669871939999993</v>
      </c>
      <c r="H5440">
        <f t="shared" si="168"/>
        <v>578.1</v>
      </c>
      <c r="I5440">
        <f t="shared" si="169"/>
        <v>359.2</v>
      </c>
    </row>
    <row r="5441" spans="1:9" ht="30" x14ac:dyDescent="0.25">
      <c r="A5441" s="5" t="s">
        <v>590</v>
      </c>
      <c r="B5441" s="5" t="s">
        <v>19</v>
      </c>
      <c r="C5441" s="5" t="s">
        <v>5920</v>
      </c>
      <c r="D5441" s="3">
        <f>VLOOKUP(A5441,airports!A:H,7,FALSE)</f>
        <v>35.393088329999998</v>
      </c>
      <c r="E5441" s="3">
        <f>VLOOKUP(A5441,airports!A:H,8,FALSE)</f>
        <v>-97.600733890000001</v>
      </c>
      <c r="F5441" s="3">
        <f>VLOOKUP(B5441,airports!A:H,7,FALSE)</f>
        <v>36.12447667</v>
      </c>
      <c r="G5441" s="3">
        <f>VLOOKUP(B5441,airports!A:H,8,FALSE)</f>
        <v>-86.678182219999997</v>
      </c>
      <c r="H5441">
        <f t="shared" si="168"/>
        <v>988.4</v>
      </c>
      <c r="I5441">
        <f t="shared" si="169"/>
        <v>614.20000000000005</v>
      </c>
    </row>
    <row r="5442" spans="1:9" ht="30" x14ac:dyDescent="0.25">
      <c r="A5442" s="5" t="s">
        <v>590</v>
      </c>
      <c r="B5442" s="5" t="s">
        <v>32</v>
      </c>
      <c r="C5442" s="5" t="s">
        <v>5921</v>
      </c>
      <c r="D5442" s="3">
        <f>VLOOKUP(A5442,airports!A:H,7,FALSE)</f>
        <v>35.393088329999998</v>
      </c>
      <c r="E5442" s="3">
        <f>VLOOKUP(A5442,airports!A:H,8,FALSE)</f>
        <v>-97.600733890000001</v>
      </c>
      <c r="F5442" s="3">
        <f>VLOOKUP(B5442,airports!A:H,7,FALSE)</f>
        <v>39.175401669999999</v>
      </c>
      <c r="G5442" s="3">
        <f>VLOOKUP(B5442,airports!A:H,8,FALSE)</f>
        <v>-76.668198329999996</v>
      </c>
      <c r="H5442">
        <f t="shared" si="168"/>
        <v>1894.5</v>
      </c>
      <c r="I5442">
        <f t="shared" si="169"/>
        <v>1177.2</v>
      </c>
    </row>
    <row r="5443" spans="1:9" ht="30" x14ac:dyDescent="0.25">
      <c r="A5443" s="5" t="s">
        <v>590</v>
      </c>
      <c r="B5443" s="5" t="s">
        <v>40</v>
      </c>
      <c r="C5443" s="5" t="s">
        <v>5922</v>
      </c>
      <c r="D5443" s="3">
        <f>VLOOKUP(A5443,airports!A:H,7,FALSE)</f>
        <v>35.393088329999998</v>
      </c>
      <c r="E5443" s="3">
        <f>VLOOKUP(A5443,airports!A:H,8,FALSE)</f>
        <v>-97.600733890000001</v>
      </c>
      <c r="F5443" s="3">
        <f>VLOOKUP(B5443,airports!A:H,7,FALSE)</f>
        <v>35.214011110000001</v>
      </c>
      <c r="G5443" s="3">
        <f>VLOOKUP(B5443,airports!A:H,8,FALSE)</f>
        <v>-80.94312583</v>
      </c>
      <c r="H5443">
        <f t="shared" si="168"/>
        <v>1510</v>
      </c>
      <c r="I5443">
        <f t="shared" si="169"/>
        <v>938.3</v>
      </c>
    </row>
    <row r="5444" spans="1:9" ht="30" x14ac:dyDescent="0.25">
      <c r="A5444" s="5" t="s">
        <v>590</v>
      </c>
      <c r="B5444" s="5" t="s">
        <v>201</v>
      </c>
      <c r="C5444" s="5" t="s">
        <v>5923</v>
      </c>
      <c r="D5444" s="3">
        <f>VLOOKUP(A5444,airports!A:H,7,FALSE)</f>
        <v>35.393088329999998</v>
      </c>
      <c r="E5444" s="3">
        <f>VLOOKUP(A5444,airports!A:H,8,FALSE)</f>
        <v>-97.600733890000001</v>
      </c>
      <c r="F5444" s="3">
        <f>VLOOKUP(B5444,airports!A:H,7,FALSE)</f>
        <v>32.847113890000003</v>
      </c>
      <c r="G5444" s="3">
        <f>VLOOKUP(B5444,airports!A:H,8,FALSE)</f>
        <v>-96.851772220000001</v>
      </c>
      <c r="H5444">
        <f t="shared" ref="H5444:H5507" si="170">ROUND(ACOS(COS(RADIANS(90-D5444)) * COS(RADIANS(90-F5444)) + SIN(RADIANS(90-D5444)) * SIN(RADIANS(90-F5444)) * COS(RADIANS(E5444-G5444))) * 6371,1)</f>
        <v>291.39999999999998</v>
      </c>
      <c r="I5444">
        <f t="shared" ref="I5444:I5507" si="171">ROUND(ACOS(COS(RADIANS(90-D5444)) * COS(RADIANS(90-F5444)) + SIN(RADIANS(90-D5444)) * SIN(RADIANS(90-F5444)) * COS(RADIANS(E5444-G5444))) * 3959,1)</f>
        <v>181.1</v>
      </c>
    </row>
    <row r="5445" spans="1:9" ht="30" x14ac:dyDescent="0.25">
      <c r="A5445" s="5" t="s">
        <v>590</v>
      </c>
      <c r="B5445" s="5" t="s">
        <v>45</v>
      </c>
      <c r="C5445" s="5" t="s">
        <v>5924</v>
      </c>
      <c r="D5445" s="3">
        <f>VLOOKUP(A5445,airports!A:H,7,FALSE)</f>
        <v>35.393088329999998</v>
      </c>
      <c r="E5445" s="3">
        <f>VLOOKUP(A5445,airports!A:H,8,FALSE)</f>
        <v>-97.600733890000001</v>
      </c>
      <c r="F5445" s="3">
        <f>VLOOKUP(B5445,airports!A:H,7,FALSE)</f>
        <v>38.852083329999999</v>
      </c>
      <c r="G5445" s="3">
        <f>VLOOKUP(B5445,airports!A:H,8,FALSE)</f>
        <v>-77.037722220000006</v>
      </c>
      <c r="H5445">
        <f t="shared" si="170"/>
        <v>1859</v>
      </c>
      <c r="I5445">
        <f t="shared" si="171"/>
        <v>1155.2</v>
      </c>
    </row>
    <row r="5446" spans="1:9" ht="30" x14ac:dyDescent="0.25">
      <c r="A5446" s="5" t="s">
        <v>590</v>
      </c>
      <c r="B5446" s="5" t="s">
        <v>47</v>
      </c>
      <c r="C5446" s="5" t="s">
        <v>5925</v>
      </c>
      <c r="D5446" s="3">
        <f>VLOOKUP(A5446,airports!A:H,7,FALSE)</f>
        <v>35.393088329999998</v>
      </c>
      <c r="E5446" s="3">
        <f>VLOOKUP(A5446,airports!A:H,8,FALSE)</f>
        <v>-97.600733890000001</v>
      </c>
      <c r="F5446" s="3">
        <f>VLOOKUP(B5446,airports!A:H,7,FALSE)</f>
        <v>39.858408060000002</v>
      </c>
      <c r="G5446" s="3">
        <f>VLOOKUP(B5446,airports!A:H,8,FALSE)</f>
        <v>-104.6670019</v>
      </c>
      <c r="H5446">
        <f t="shared" si="170"/>
        <v>795.7</v>
      </c>
      <c r="I5446">
        <f t="shared" si="171"/>
        <v>494.4</v>
      </c>
    </row>
    <row r="5447" spans="1:9" ht="30" x14ac:dyDescent="0.25">
      <c r="A5447" s="5" t="s">
        <v>590</v>
      </c>
      <c r="B5447" s="5" t="s">
        <v>49</v>
      </c>
      <c r="C5447" s="5" t="s">
        <v>5926</v>
      </c>
      <c r="D5447" s="3">
        <f>VLOOKUP(A5447,airports!A:H,7,FALSE)</f>
        <v>35.393088329999998</v>
      </c>
      <c r="E5447" s="3">
        <f>VLOOKUP(A5447,airports!A:H,8,FALSE)</f>
        <v>-97.600733890000001</v>
      </c>
      <c r="F5447" s="3">
        <f>VLOOKUP(B5447,airports!A:H,7,FALSE)</f>
        <v>32.895950560000003</v>
      </c>
      <c r="G5447" s="3">
        <f>VLOOKUP(B5447,airports!A:H,8,FALSE)</f>
        <v>-97.037199999999999</v>
      </c>
      <c r="H5447">
        <f t="shared" si="170"/>
        <v>282.5</v>
      </c>
      <c r="I5447">
        <f t="shared" si="171"/>
        <v>175.5</v>
      </c>
    </row>
    <row r="5448" spans="1:9" ht="30" x14ac:dyDescent="0.25">
      <c r="A5448" s="5" t="s">
        <v>590</v>
      </c>
      <c r="B5448" s="5" t="s">
        <v>50</v>
      </c>
      <c r="C5448" s="5" t="s">
        <v>5927</v>
      </c>
      <c r="D5448" s="3">
        <f>VLOOKUP(A5448,airports!A:H,7,FALSE)</f>
        <v>35.393088329999998</v>
      </c>
      <c r="E5448" s="3">
        <f>VLOOKUP(A5448,airports!A:H,8,FALSE)</f>
        <v>-97.600733890000001</v>
      </c>
      <c r="F5448" s="3">
        <f>VLOOKUP(B5448,airports!A:H,7,FALSE)</f>
        <v>42.212058890000002</v>
      </c>
      <c r="G5448" s="3">
        <f>VLOOKUP(B5448,airports!A:H,8,FALSE)</f>
        <v>-83.348835829999999</v>
      </c>
      <c r="H5448">
        <f t="shared" si="170"/>
        <v>1446.3</v>
      </c>
      <c r="I5448">
        <f t="shared" si="171"/>
        <v>898.7</v>
      </c>
    </row>
    <row r="5449" spans="1:9" ht="30" x14ac:dyDescent="0.25">
      <c r="A5449" s="5" t="s">
        <v>590</v>
      </c>
      <c r="B5449" s="5" t="s">
        <v>52</v>
      </c>
      <c r="C5449" s="5" t="s">
        <v>5928</v>
      </c>
      <c r="D5449" s="3">
        <f>VLOOKUP(A5449,airports!A:H,7,FALSE)</f>
        <v>35.393088329999998</v>
      </c>
      <c r="E5449" s="3">
        <f>VLOOKUP(A5449,airports!A:H,8,FALSE)</f>
        <v>-97.600733890000001</v>
      </c>
      <c r="F5449" s="3">
        <f>VLOOKUP(B5449,airports!A:H,7,FALSE)</f>
        <v>40.69249722</v>
      </c>
      <c r="G5449" s="3">
        <f>VLOOKUP(B5449,airports!A:H,8,FALSE)</f>
        <v>-74.168660560000006</v>
      </c>
      <c r="H5449">
        <f t="shared" si="170"/>
        <v>2127.6</v>
      </c>
      <c r="I5449">
        <f t="shared" si="171"/>
        <v>1322.1</v>
      </c>
    </row>
    <row r="5450" spans="1:9" x14ac:dyDescent="0.25">
      <c r="A5450" s="5" t="s">
        <v>590</v>
      </c>
      <c r="B5450" s="5" t="s">
        <v>57</v>
      </c>
      <c r="C5450" s="5" t="s">
        <v>5929</v>
      </c>
      <c r="D5450" s="3">
        <f>VLOOKUP(A5450,airports!A:H,7,FALSE)</f>
        <v>35.393088329999998</v>
      </c>
      <c r="E5450" s="3">
        <f>VLOOKUP(A5450,airports!A:H,8,FALSE)</f>
        <v>-97.600733890000001</v>
      </c>
      <c r="F5450" s="3">
        <f>VLOOKUP(B5450,airports!A:H,7,FALSE)</f>
        <v>26.072583330000001</v>
      </c>
      <c r="G5450" s="3">
        <f>VLOOKUP(B5450,airports!A:H,8,FALSE)</f>
        <v>-80.152749999999997</v>
      </c>
      <c r="H5450">
        <f t="shared" si="170"/>
        <v>1958.8</v>
      </c>
      <c r="I5450">
        <f t="shared" si="171"/>
        <v>1217.2</v>
      </c>
    </row>
    <row r="5451" spans="1:9" ht="30" x14ac:dyDescent="0.25">
      <c r="A5451" s="5" t="s">
        <v>590</v>
      </c>
      <c r="B5451" s="5" t="s">
        <v>205</v>
      </c>
      <c r="C5451" s="5" t="s">
        <v>5930</v>
      </c>
      <c r="D5451" s="3">
        <f>VLOOKUP(A5451,airports!A:H,7,FALSE)</f>
        <v>35.393088329999998</v>
      </c>
      <c r="E5451" s="3">
        <f>VLOOKUP(A5451,airports!A:H,8,FALSE)</f>
        <v>-97.600733890000001</v>
      </c>
      <c r="F5451" s="3">
        <f>VLOOKUP(B5451,airports!A:H,7,FALSE)</f>
        <v>29.64541861</v>
      </c>
      <c r="G5451" s="3">
        <f>VLOOKUP(B5451,airports!A:H,8,FALSE)</f>
        <v>-95.278888890000005</v>
      </c>
      <c r="H5451">
        <f t="shared" si="170"/>
        <v>675.1</v>
      </c>
      <c r="I5451">
        <f t="shared" si="171"/>
        <v>419.5</v>
      </c>
    </row>
    <row r="5452" spans="1:9" ht="30" x14ac:dyDescent="0.25">
      <c r="A5452" s="5" t="s">
        <v>590</v>
      </c>
      <c r="B5452" s="5" t="s">
        <v>176</v>
      </c>
      <c r="C5452" s="5" t="s">
        <v>5931</v>
      </c>
      <c r="D5452" s="3">
        <f>VLOOKUP(A5452,airports!A:H,7,FALSE)</f>
        <v>35.393088329999998</v>
      </c>
      <c r="E5452" s="3">
        <f>VLOOKUP(A5452,airports!A:H,8,FALSE)</f>
        <v>-97.600733890000001</v>
      </c>
      <c r="F5452" s="3">
        <f>VLOOKUP(B5452,airports!A:H,7,FALSE)</f>
        <v>38.944531939999997</v>
      </c>
      <c r="G5452" s="3">
        <f>VLOOKUP(B5452,airports!A:H,8,FALSE)</f>
        <v>-77.455809720000005</v>
      </c>
      <c r="H5452">
        <f t="shared" si="170"/>
        <v>1824.1</v>
      </c>
      <c r="I5452">
        <f t="shared" si="171"/>
        <v>1133.5</v>
      </c>
    </row>
    <row r="5453" spans="1:9" ht="30" x14ac:dyDescent="0.25">
      <c r="A5453" s="5" t="s">
        <v>590</v>
      </c>
      <c r="B5453" s="5" t="s">
        <v>67</v>
      </c>
      <c r="C5453" s="5" t="s">
        <v>5932</v>
      </c>
      <c r="D5453" s="3">
        <f>VLOOKUP(A5453,airports!A:H,7,FALSE)</f>
        <v>35.393088329999998</v>
      </c>
      <c r="E5453" s="3">
        <f>VLOOKUP(A5453,airports!A:H,8,FALSE)</f>
        <v>-97.600733890000001</v>
      </c>
      <c r="F5453" s="3">
        <f>VLOOKUP(B5453,airports!A:H,7,FALSE)</f>
        <v>29.980472219999999</v>
      </c>
      <c r="G5453" s="3">
        <f>VLOOKUP(B5453,airports!A:H,8,FALSE)</f>
        <v>-95.339722219999999</v>
      </c>
      <c r="H5453">
        <f t="shared" si="170"/>
        <v>637.9</v>
      </c>
      <c r="I5453">
        <f t="shared" si="171"/>
        <v>396.4</v>
      </c>
    </row>
    <row r="5454" spans="1:9" x14ac:dyDescent="0.25">
      <c r="A5454" s="5" t="s">
        <v>590</v>
      </c>
      <c r="B5454" s="5" t="s">
        <v>533</v>
      </c>
      <c r="C5454" s="5" t="s">
        <v>5933</v>
      </c>
      <c r="D5454" s="3">
        <f>VLOOKUP(A5454,airports!A:H,7,FALSE)</f>
        <v>35.393088329999998</v>
      </c>
      <c r="E5454" s="3">
        <f>VLOOKUP(A5454,airports!A:H,8,FALSE)</f>
        <v>-97.600733890000001</v>
      </c>
      <c r="F5454" s="3">
        <f>VLOOKUP(B5454,airports!A:H,7,FALSE)</f>
        <v>37.649958890000001</v>
      </c>
      <c r="G5454" s="3">
        <f>VLOOKUP(B5454,airports!A:H,8,FALSE)</f>
        <v>-97.433045829999998</v>
      </c>
      <c r="H5454">
        <f t="shared" si="170"/>
        <v>251.4</v>
      </c>
      <c r="I5454">
        <f t="shared" si="171"/>
        <v>156.19999999999999</v>
      </c>
    </row>
    <row r="5455" spans="1:9" ht="30" x14ac:dyDescent="0.25">
      <c r="A5455" s="5" t="s">
        <v>590</v>
      </c>
      <c r="B5455" s="5" t="s">
        <v>71</v>
      </c>
      <c r="C5455" s="5" t="s">
        <v>5934</v>
      </c>
      <c r="D5455" s="3">
        <f>VLOOKUP(A5455,airports!A:H,7,FALSE)</f>
        <v>35.393088329999998</v>
      </c>
      <c r="E5455" s="3">
        <f>VLOOKUP(A5455,airports!A:H,8,FALSE)</f>
        <v>-97.600733890000001</v>
      </c>
      <c r="F5455" s="3">
        <f>VLOOKUP(B5455,airports!A:H,7,FALSE)</f>
        <v>36.080361109999998</v>
      </c>
      <c r="G5455" s="3">
        <f>VLOOKUP(B5455,airports!A:H,8,FALSE)</f>
        <v>-115.1523333</v>
      </c>
      <c r="H5455">
        <f t="shared" si="170"/>
        <v>1583.9</v>
      </c>
      <c r="I5455">
        <f t="shared" si="171"/>
        <v>984.2</v>
      </c>
    </row>
    <row r="5456" spans="1:9" ht="30" x14ac:dyDescent="0.25">
      <c r="A5456" s="5" t="s">
        <v>590</v>
      </c>
      <c r="B5456" s="5" t="s">
        <v>73</v>
      </c>
      <c r="C5456" s="5" t="s">
        <v>5935</v>
      </c>
      <c r="D5456" s="3">
        <f>VLOOKUP(A5456,airports!A:H,7,FALSE)</f>
        <v>35.393088329999998</v>
      </c>
      <c r="E5456" s="3">
        <f>VLOOKUP(A5456,airports!A:H,8,FALSE)</f>
        <v>-97.600733890000001</v>
      </c>
      <c r="F5456" s="3">
        <f>VLOOKUP(B5456,airports!A:H,7,FALSE)</f>
        <v>33.942536109999999</v>
      </c>
      <c r="G5456" s="3">
        <f>VLOOKUP(B5456,airports!A:H,8,FALSE)</f>
        <v>-118.4080744</v>
      </c>
      <c r="H5456">
        <f t="shared" si="170"/>
        <v>1906.2</v>
      </c>
      <c r="I5456">
        <f t="shared" si="171"/>
        <v>1184.5</v>
      </c>
    </row>
    <row r="5457" spans="1:9" ht="30" x14ac:dyDescent="0.25">
      <c r="A5457" s="5" t="s">
        <v>590</v>
      </c>
      <c r="B5457" s="5" t="s">
        <v>74</v>
      </c>
      <c r="C5457" s="5" t="s">
        <v>5936</v>
      </c>
      <c r="D5457" s="3">
        <f>VLOOKUP(A5457,airports!A:H,7,FALSE)</f>
        <v>35.393088329999998</v>
      </c>
      <c r="E5457" s="3">
        <f>VLOOKUP(A5457,airports!A:H,8,FALSE)</f>
        <v>-97.600733890000001</v>
      </c>
      <c r="F5457" s="3">
        <f>VLOOKUP(B5457,airports!A:H,7,FALSE)</f>
        <v>40.777243060000004</v>
      </c>
      <c r="G5457" s="3">
        <f>VLOOKUP(B5457,airports!A:H,8,FALSE)</f>
        <v>-73.872609170000004</v>
      </c>
      <c r="H5457">
        <f t="shared" si="170"/>
        <v>2153.6999999999998</v>
      </c>
      <c r="I5457">
        <f t="shared" si="171"/>
        <v>1338.3</v>
      </c>
    </row>
    <row r="5458" spans="1:9" x14ac:dyDescent="0.25">
      <c r="A5458" s="5" t="s">
        <v>590</v>
      </c>
      <c r="B5458" s="5" t="s">
        <v>554</v>
      </c>
      <c r="C5458" s="5" t="s">
        <v>5937</v>
      </c>
      <c r="D5458" s="3">
        <f>VLOOKUP(A5458,airports!A:H,7,FALSE)</f>
        <v>35.393088329999998</v>
      </c>
      <c r="E5458" s="3">
        <f>VLOOKUP(A5458,airports!A:H,8,FALSE)</f>
        <v>-97.600733890000001</v>
      </c>
      <c r="F5458" s="3">
        <f>VLOOKUP(B5458,airports!A:H,7,FALSE)</f>
        <v>34.729396110000003</v>
      </c>
      <c r="G5458" s="3">
        <f>VLOOKUP(B5458,airports!A:H,8,FALSE)</f>
        <v>-92.22424556</v>
      </c>
      <c r="H5458">
        <f t="shared" si="170"/>
        <v>494.8</v>
      </c>
      <c r="I5458">
        <f t="shared" si="171"/>
        <v>307.5</v>
      </c>
    </row>
    <row r="5459" spans="1:9" ht="30" x14ac:dyDescent="0.25">
      <c r="A5459" s="5" t="s">
        <v>590</v>
      </c>
      <c r="B5459" s="5" t="s">
        <v>82</v>
      </c>
      <c r="C5459" s="5" t="s">
        <v>5938</v>
      </c>
      <c r="D5459" s="3">
        <f>VLOOKUP(A5459,airports!A:H,7,FALSE)</f>
        <v>35.393088329999998</v>
      </c>
      <c r="E5459" s="3">
        <f>VLOOKUP(A5459,airports!A:H,8,FALSE)</f>
        <v>-97.600733890000001</v>
      </c>
      <c r="F5459" s="3">
        <f>VLOOKUP(B5459,airports!A:H,7,FALSE)</f>
        <v>28.42888889</v>
      </c>
      <c r="G5459" s="3">
        <f>VLOOKUP(B5459,airports!A:H,8,FALSE)</f>
        <v>-81.316027779999999</v>
      </c>
      <c r="H5459">
        <f t="shared" si="170"/>
        <v>1718</v>
      </c>
      <c r="I5459">
        <f t="shared" si="171"/>
        <v>1067.5999999999999</v>
      </c>
    </row>
    <row r="5460" spans="1:9" ht="30" x14ac:dyDescent="0.25">
      <c r="A5460" s="5" t="s">
        <v>590</v>
      </c>
      <c r="B5460" s="5" t="s">
        <v>180</v>
      </c>
      <c r="C5460" s="5" t="s">
        <v>5939</v>
      </c>
      <c r="D5460" s="3">
        <f>VLOOKUP(A5460,airports!A:H,7,FALSE)</f>
        <v>35.393088329999998</v>
      </c>
      <c r="E5460" s="3">
        <f>VLOOKUP(A5460,airports!A:H,8,FALSE)</f>
        <v>-97.600733890000001</v>
      </c>
      <c r="F5460" s="3">
        <f>VLOOKUP(B5460,airports!A:H,7,FALSE)</f>
        <v>41.785982500000003</v>
      </c>
      <c r="G5460" s="3">
        <f>VLOOKUP(B5460,airports!A:H,8,FALSE)</f>
        <v>-87.752424439999999</v>
      </c>
      <c r="H5460">
        <f t="shared" si="170"/>
        <v>1111.3</v>
      </c>
      <c r="I5460">
        <f t="shared" si="171"/>
        <v>690.6</v>
      </c>
    </row>
    <row r="5461" spans="1:9" ht="30" x14ac:dyDescent="0.25">
      <c r="A5461" s="5" t="s">
        <v>590</v>
      </c>
      <c r="B5461" s="5" t="s">
        <v>84</v>
      </c>
      <c r="C5461" s="5" t="s">
        <v>5940</v>
      </c>
      <c r="D5461" s="3">
        <f>VLOOKUP(A5461,airports!A:H,7,FALSE)</f>
        <v>35.393088329999998</v>
      </c>
      <c r="E5461" s="3">
        <f>VLOOKUP(A5461,airports!A:H,8,FALSE)</f>
        <v>-97.600733890000001</v>
      </c>
      <c r="F5461" s="3">
        <f>VLOOKUP(B5461,airports!A:H,7,FALSE)</f>
        <v>25.79325</v>
      </c>
      <c r="G5461" s="3">
        <f>VLOOKUP(B5461,airports!A:H,8,FALSE)</f>
        <v>-80.290555560000001</v>
      </c>
      <c r="H5461">
        <f t="shared" si="170"/>
        <v>1966.2</v>
      </c>
      <c r="I5461">
        <f t="shared" si="171"/>
        <v>1221.8</v>
      </c>
    </row>
    <row r="5462" spans="1:9" ht="30" x14ac:dyDescent="0.25">
      <c r="A5462" s="5" t="s">
        <v>590</v>
      </c>
      <c r="B5462" s="5" t="s">
        <v>87</v>
      </c>
      <c r="C5462" s="5" t="s">
        <v>5941</v>
      </c>
      <c r="D5462" s="3">
        <f>VLOOKUP(A5462,airports!A:H,7,FALSE)</f>
        <v>35.393088329999998</v>
      </c>
      <c r="E5462" s="3">
        <f>VLOOKUP(A5462,airports!A:H,8,FALSE)</f>
        <v>-97.600733890000001</v>
      </c>
      <c r="F5462" s="3">
        <f>VLOOKUP(B5462,airports!A:H,7,FALSE)</f>
        <v>44.880546940000002</v>
      </c>
      <c r="G5462" s="3">
        <f>VLOOKUP(B5462,airports!A:H,8,FALSE)</f>
        <v>-93.216922499999995</v>
      </c>
      <c r="H5462">
        <f t="shared" si="170"/>
        <v>1118.4000000000001</v>
      </c>
      <c r="I5462">
        <f t="shared" si="171"/>
        <v>695</v>
      </c>
    </row>
    <row r="5463" spans="1:9" ht="30" x14ac:dyDescent="0.25">
      <c r="A5463" s="5" t="s">
        <v>590</v>
      </c>
      <c r="B5463" s="5" t="s">
        <v>89</v>
      </c>
      <c r="C5463" s="5" t="s">
        <v>5942</v>
      </c>
      <c r="D5463" s="3">
        <f>VLOOKUP(A5463,airports!A:H,7,FALSE)</f>
        <v>35.393088329999998</v>
      </c>
      <c r="E5463" s="3">
        <f>VLOOKUP(A5463,airports!A:H,8,FALSE)</f>
        <v>-97.600733890000001</v>
      </c>
      <c r="F5463" s="3">
        <f>VLOOKUP(B5463,airports!A:H,7,FALSE)</f>
        <v>29.993388889999999</v>
      </c>
      <c r="G5463" s="3">
        <f>VLOOKUP(B5463,airports!A:H,8,FALSE)</f>
        <v>-90.258027780000006</v>
      </c>
      <c r="H5463">
        <f t="shared" si="170"/>
        <v>912</v>
      </c>
      <c r="I5463">
        <f t="shared" si="171"/>
        <v>566.70000000000005</v>
      </c>
    </row>
    <row r="5464" spans="1:9" ht="30" x14ac:dyDescent="0.25">
      <c r="A5464" s="5" t="s">
        <v>590</v>
      </c>
      <c r="B5464" s="5" t="s">
        <v>95</v>
      </c>
      <c r="C5464" s="5" t="s">
        <v>5943</v>
      </c>
      <c r="D5464" s="3">
        <f>VLOOKUP(A5464,airports!A:H,7,FALSE)</f>
        <v>35.393088329999998</v>
      </c>
      <c r="E5464" s="3">
        <f>VLOOKUP(A5464,airports!A:H,8,FALSE)</f>
        <v>-97.600733890000001</v>
      </c>
      <c r="F5464" s="3">
        <f>VLOOKUP(B5464,airports!A:H,7,FALSE)</f>
        <v>41.979595000000003</v>
      </c>
      <c r="G5464" s="3">
        <f>VLOOKUP(B5464,airports!A:H,8,FALSE)</f>
        <v>-87.904464169999997</v>
      </c>
      <c r="H5464">
        <f t="shared" si="170"/>
        <v>1114.3</v>
      </c>
      <c r="I5464">
        <f t="shared" si="171"/>
        <v>692.5</v>
      </c>
    </row>
    <row r="5465" spans="1:9" ht="30" x14ac:dyDescent="0.25">
      <c r="A5465" s="5" t="s">
        <v>590</v>
      </c>
      <c r="B5465" s="5" t="s">
        <v>102</v>
      </c>
      <c r="C5465" s="5" t="s">
        <v>5944</v>
      </c>
      <c r="D5465" s="3">
        <f>VLOOKUP(A5465,airports!A:H,7,FALSE)</f>
        <v>35.393088329999998</v>
      </c>
      <c r="E5465" s="3">
        <f>VLOOKUP(A5465,airports!A:H,8,FALSE)</f>
        <v>-97.600733890000001</v>
      </c>
      <c r="F5465" s="3">
        <f>VLOOKUP(B5465,airports!A:H,7,FALSE)</f>
        <v>39.871952780000001</v>
      </c>
      <c r="G5465" s="3">
        <f>VLOOKUP(B5465,airports!A:H,8,FALSE)</f>
        <v>-75.241140830000006</v>
      </c>
      <c r="H5465">
        <f t="shared" si="170"/>
        <v>2025.1</v>
      </c>
      <c r="I5465">
        <f t="shared" si="171"/>
        <v>1258.4000000000001</v>
      </c>
    </row>
    <row r="5466" spans="1:9" ht="30" x14ac:dyDescent="0.25">
      <c r="A5466" s="5" t="s">
        <v>590</v>
      </c>
      <c r="B5466" s="5" t="s">
        <v>104</v>
      </c>
      <c r="C5466" s="5" t="s">
        <v>5945</v>
      </c>
      <c r="D5466" s="3">
        <f>VLOOKUP(A5466,airports!A:H,7,FALSE)</f>
        <v>35.393088329999998</v>
      </c>
      <c r="E5466" s="3">
        <f>VLOOKUP(A5466,airports!A:H,8,FALSE)</f>
        <v>-97.600733890000001</v>
      </c>
      <c r="F5466" s="3">
        <f>VLOOKUP(B5466,airports!A:H,7,FALSE)</f>
        <v>33.434166670000003</v>
      </c>
      <c r="G5466" s="3">
        <f>VLOOKUP(B5466,airports!A:H,8,FALSE)</f>
        <v>-112.00805560000001</v>
      </c>
      <c r="H5466">
        <f t="shared" si="170"/>
        <v>1338.2</v>
      </c>
      <c r="I5466">
        <f t="shared" si="171"/>
        <v>831.6</v>
      </c>
    </row>
    <row r="5467" spans="1:9" ht="30" x14ac:dyDescent="0.25">
      <c r="A5467" s="5" t="s">
        <v>590</v>
      </c>
      <c r="B5467" s="5" t="s">
        <v>124</v>
      </c>
      <c r="C5467" s="5" t="s">
        <v>5946</v>
      </c>
      <c r="D5467" s="3">
        <f>VLOOKUP(A5467,airports!A:H,7,FALSE)</f>
        <v>35.393088329999998</v>
      </c>
      <c r="E5467" s="3">
        <f>VLOOKUP(A5467,airports!A:H,8,FALSE)</f>
        <v>-97.600733890000001</v>
      </c>
      <c r="F5467" s="3">
        <f>VLOOKUP(B5467,airports!A:H,7,FALSE)</f>
        <v>32.733556110000002</v>
      </c>
      <c r="G5467" s="3">
        <f>VLOOKUP(B5467,airports!A:H,8,FALSE)</f>
        <v>-117.1896567</v>
      </c>
      <c r="H5467">
        <f t="shared" si="170"/>
        <v>1825.4</v>
      </c>
      <c r="I5467">
        <f t="shared" si="171"/>
        <v>1134.3</v>
      </c>
    </row>
    <row r="5468" spans="1:9" ht="30" x14ac:dyDescent="0.25">
      <c r="A5468" s="5" t="s">
        <v>590</v>
      </c>
      <c r="B5468" s="5" t="s">
        <v>125</v>
      </c>
      <c r="C5468" s="5" t="s">
        <v>5947</v>
      </c>
      <c r="D5468" s="3">
        <f>VLOOKUP(A5468,airports!A:H,7,FALSE)</f>
        <v>35.393088329999998</v>
      </c>
      <c r="E5468" s="3">
        <f>VLOOKUP(A5468,airports!A:H,8,FALSE)</f>
        <v>-97.600733890000001</v>
      </c>
      <c r="F5468" s="3">
        <f>VLOOKUP(B5468,airports!A:H,7,FALSE)</f>
        <v>29.533694440000001</v>
      </c>
      <c r="G5468" s="3">
        <f>VLOOKUP(B5468,airports!A:H,8,FALSE)</f>
        <v>-98.469777780000001</v>
      </c>
      <c r="H5468">
        <f t="shared" si="170"/>
        <v>656.6</v>
      </c>
      <c r="I5468">
        <f t="shared" si="171"/>
        <v>408</v>
      </c>
    </row>
    <row r="5469" spans="1:9" ht="30" x14ac:dyDescent="0.25">
      <c r="A5469" s="5" t="s">
        <v>590</v>
      </c>
      <c r="B5469" s="5" t="s">
        <v>128</v>
      </c>
      <c r="C5469" s="5" t="s">
        <v>5948</v>
      </c>
      <c r="D5469" s="3">
        <f>VLOOKUP(A5469,airports!A:H,7,FALSE)</f>
        <v>35.393088329999998</v>
      </c>
      <c r="E5469" s="3">
        <f>VLOOKUP(A5469,airports!A:H,8,FALSE)</f>
        <v>-97.600733890000001</v>
      </c>
      <c r="F5469" s="3">
        <f>VLOOKUP(B5469,airports!A:H,7,FALSE)</f>
        <v>47.448981940000003</v>
      </c>
      <c r="G5469" s="3">
        <f>VLOOKUP(B5469,airports!A:H,8,FALSE)</f>
        <v>-122.3093131</v>
      </c>
      <c r="H5469">
        <f t="shared" si="170"/>
        <v>2441.4</v>
      </c>
      <c r="I5469">
        <f t="shared" si="171"/>
        <v>1517.1</v>
      </c>
    </row>
    <row r="5470" spans="1:9" ht="30" x14ac:dyDescent="0.25">
      <c r="A5470" s="5" t="s">
        <v>590</v>
      </c>
      <c r="B5470" s="5" t="s">
        <v>191</v>
      </c>
      <c r="C5470" s="5" t="s">
        <v>5949</v>
      </c>
      <c r="D5470" s="3">
        <f>VLOOKUP(A5470,airports!A:H,7,FALSE)</f>
        <v>35.393088329999998</v>
      </c>
      <c r="E5470" s="3">
        <f>VLOOKUP(A5470,airports!A:H,8,FALSE)</f>
        <v>-97.600733890000001</v>
      </c>
      <c r="F5470" s="3">
        <f>VLOOKUP(B5470,airports!A:H,7,FALSE)</f>
        <v>28.7776</v>
      </c>
      <c r="G5470" s="3">
        <f>VLOOKUP(B5470,airports!A:H,8,FALSE)</f>
        <v>-81.237499999999997</v>
      </c>
      <c r="H5470">
        <f t="shared" si="170"/>
        <v>1705.1</v>
      </c>
      <c r="I5470">
        <f t="shared" si="171"/>
        <v>1059.5999999999999</v>
      </c>
    </row>
    <row r="5471" spans="1:9" ht="30" x14ac:dyDescent="0.25">
      <c r="A5471" s="5" t="s">
        <v>590</v>
      </c>
      <c r="B5471" s="5" t="s">
        <v>130</v>
      </c>
      <c r="C5471" s="5" t="s">
        <v>5950</v>
      </c>
      <c r="D5471" s="3">
        <f>VLOOKUP(A5471,airports!A:H,7,FALSE)</f>
        <v>35.393088329999998</v>
      </c>
      <c r="E5471" s="3">
        <f>VLOOKUP(A5471,airports!A:H,8,FALSE)</f>
        <v>-97.600733890000001</v>
      </c>
      <c r="F5471" s="3">
        <f>VLOOKUP(B5471,airports!A:H,7,FALSE)</f>
        <v>37.619001939999997</v>
      </c>
      <c r="G5471" s="3">
        <f>VLOOKUP(B5471,airports!A:H,8,FALSE)</f>
        <v>-122.37484329999999</v>
      </c>
      <c r="H5471">
        <f t="shared" si="170"/>
        <v>2221.5</v>
      </c>
      <c r="I5471">
        <f t="shared" si="171"/>
        <v>1380.5</v>
      </c>
    </row>
    <row r="5472" spans="1:9" x14ac:dyDescent="0.25">
      <c r="A5472" s="5" t="s">
        <v>590</v>
      </c>
      <c r="B5472" s="5" t="s">
        <v>131</v>
      </c>
      <c r="C5472" s="5" t="s">
        <v>5951</v>
      </c>
      <c r="D5472" s="3">
        <f>VLOOKUP(A5472,airports!A:H,7,FALSE)</f>
        <v>35.393088329999998</v>
      </c>
      <c r="E5472" s="3">
        <f>VLOOKUP(A5472,airports!A:H,8,FALSE)</f>
        <v>-97.600733890000001</v>
      </c>
      <c r="F5472" s="3">
        <f>VLOOKUP(B5472,airports!A:H,7,FALSE)</f>
        <v>37.361861939999997</v>
      </c>
      <c r="G5472" s="3">
        <f>VLOOKUP(B5472,airports!A:H,8,FALSE)</f>
        <v>-121.9290089</v>
      </c>
      <c r="H5472">
        <f t="shared" si="170"/>
        <v>2182.9</v>
      </c>
      <c r="I5472">
        <f t="shared" si="171"/>
        <v>1356.5</v>
      </c>
    </row>
    <row r="5473" spans="1:9" ht="30" x14ac:dyDescent="0.25">
      <c r="A5473" s="5" t="s">
        <v>590</v>
      </c>
      <c r="B5473" s="5" t="s">
        <v>135</v>
      </c>
      <c r="C5473" s="5" t="s">
        <v>5952</v>
      </c>
      <c r="D5473" s="3">
        <f>VLOOKUP(A5473,airports!A:H,7,FALSE)</f>
        <v>35.393088329999998</v>
      </c>
      <c r="E5473" s="3">
        <f>VLOOKUP(A5473,airports!A:H,8,FALSE)</f>
        <v>-97.600733890000001</v>
      </c>
      <c r="F5473" s="3">
        <f>VLOOKUP(B5473,airports!A:H,7,FALSE)</f>
        <v>40.788387780000001</v>
      </c>
      <c r="G5473" s="3">
        <f>VLOOKUP(B5473,airports!A:H,8,FALSE)</f>
        <v>-111.97777309999999</v>
      </c>
      <c r="H5473">
        <f t="shared" si="170"/>
        <v>1391.6</v>
      </c>
      <c r="I5473">
        <f t="shared" si="171"/>
        <v>864.7</v>
      </c>
    </row>
    <row r="5474" spans="1:9" x14ac:dyDescent="0.25">
      <c r="A5474" s="5" t="s">
        <v>590</v>
      </c>
      <c r="B5474" s="5" t="s">
        <v>644</v>
      </c>
      <c r="C5474" s="5" t="s">
        <v>5953</v>
      </c>
      <c r="D5474" s="3">
        <f>VLOOKUP(A5474,airports!A:H,7,FALSE)</f>
        <v>35.393088329999998</v>
      </c>
      <c r="E5474" s="3">
        <f>VLOOKUP(A5474,airports!A:H,8,FALSE)</f>
        <v>-97.600733890000001</v>
      </c>
      <c r="F5474" s="3">
        <f>VLOOKUP(B5474,airports!A:H,7,FALSE)</f>
        <v>38.747686940000001</v>
      </c>
      <c r="G5474" s="3">
        <f>VLOOKUP(B5474,airports!A:H,8,FALSE)</f>
        <v>-90.359989720000002</v>
      </c>
      <c r="H5474">
        <f t="shared" si="170"/>
        <v>742.5</v>
      </c>
      <c r="I5474">
        <f t="shared" si="171"/>
        <v>461.4</v>
      </c>
    </row>
    <row r="5475" spans="1:9" ht="30" x14ac:dyDescent="0.25">
      <c r="A5475" s="5" t="s">
        <v>590</v>
      </c>
      <c r="B5475" s="5" t="s">
        <v>145</v>
      </c>
      <c r="C5475" s="5" t="s">
        <v>5954</v>
      </c>
      <c r="D5475" s="3">
        <f>VLOOKUP(A5475,airports!A:H,7,FALSE)</f>
        <v>35.393088329999998</v>
      </c>
      <c r="E5475" s="3">
        <f>VLOOKUP(A5475,airports!A:H,8,FALSE)</f>
        <v>-97.600733890000001</v>
      </c>
      <c r="F5475" s="3">
        <f>VLOOKUP(B5475,airports!A:H,7,FALSE)</f>
        <v>27.97547222</v>
      </c>
      <c r="G5475" s="3">
        <f>VLOOKUP(B5475,airports!A:H,8,FALSE)</f>
        <v>-82.533249999999995</v>
      </c>
      <c r="H5475">
        <f t="shared" si="170"/>
        <v>1644.3</v>
      </c>
      <c r="I5475">
        <f t="shared" si="171"/>
        <v>1021.8</v>
      </c>
    </row>
    <row r="5476" spans="1:9" ht="30" x14ac:dyDescent="0.25">
      <c r="A5476" s="5" t="s">
        <v>590</v>
      </c>
      <c r="B5476" s="5" t="s">
        <v>668</v>
      </c>
      <c r="C5476" s="5" t="s">
        <v>5955</v>
      </c>
      <c r="D5476" s="3">
        <f>VLOOKUP(A5476,airports!A:H,7,FALSE)</f>
        <v>35.393088329999998</v>
      </c>
      <c r="E5476" s="3">
        <f>VLOOKUP(A5476,airports!A:H,8,FALSE)</f>
        <v>-97.600733890000001</v>
      </c>
      <c r="F5476" s="3">
        <f>VLOOKUP(B5476,airports!A:H,7,FALSE)</f>
        <v>30.483250000000002</v>
      </c>
      <c r="G5476" s="3">
        <f>VLOOKUP(B5476,airports!A:H,8,FALSE)</f>
        <v>-86.525400000000005</v>
      </c>
      <c r="H5476">
        <f t="shared" si="170"/>
        <v>1167.8</v>
      </c>
      <c r="I5476">
        <f t="shared" si="171"/>
        <v>725.7</v>
      </c>
    </row>
    <row r="5477" spans="1:9" ht="30" x14ac:dyDescent="0.25">
      <c r="A5477" s="5" t="s">
        <v>592</v>
      </c>
      <c r="B5477" s="5" t="s">
        <v>10</v>
      </c>
      <c r="C5477" s="5" t="s">
        <v>5956</v>
      </c>
      <c r="D5477" s="3">
        <f>VLOOKUP(A5477,airports!A:H,7,FALSE)</f>
        <v>41.30251861</v>
      </c>
      <c r="E5477" s="3">
        <f>VLOOKUP(A5477,airports!A:H,8,FALSE)</f>
        <v>-95.89417306</v>
      </c>
      <c r="F5477" s="3">
        <f>VLOOKUP(B5477,airports!A:H,7,FALSE)</f>
        <v>33.640444440000003</v>
      </c>
      <c r="G5477" s="3">
        <f>VLOOKUP(B5477,airports!A:H,8,FALSE)</f>
        <v>-84.42694444</v>
      </c>
      <c r="H5477">
        <f t="shared" si="170"/>
        <v>1320.8</v>
      </c>
      <c r="I5477">
        <f t="shared" si="171"/>
        <v>820.8</v>
      </c>
    </row>
    <row r="5478" spans="1:9" ht="30" x14ac:dyDescent="0.25">
      <c r="A5478" s="5" t="s">
        <v>592</v>
      </c>
      <c r="B5478" s="5" t="s">
        <v>13</v>
      </c>
      <c r="C5478" s="5" t="s">
        <v>5957</v>
      </c>
      <c r="D5478" s="3">
        <f>VLOOKUP(A5478,airports!A:H,7,FALSE)</f>
        <v>41.30251861</v>
      </c>
      <c r="E5478" s="3">
        <f>VLOOKUP(A5478,airports!A:H,8,FALSE)</f>
        <v>-95.89417306</v>
      </c>
      <c r="F5478" s="3">
        <f>VLOOKUP(B5478,airports!A:H,7,FALSE)</f>
        <v>30.194532779999999</v>
      </c>
      <c r="G5478" s="3">
        <f>VLOOKUP(B5478,airports!A:H,8,FALSE)</f>
        <v>-97.669871939999993</v>
      </c>
      <c r="H5478">
        <f t="shared" si="170"/>
        <v>1245.4000000000001</v>
      </c>
      <c r="I5478">
        <f t="shared" si="171"/>
        <v>773.9</v>
      </c>
    </row>
    <row r="5479" spans="1:9" ht="30" x14ac:dyDescent="0.25">
      <c r="A5479" s="5" t="s">
        <v>592</v>
      </c>
      <c r="B5479" s="5" t="s">
        <v>329</v>
      </c>
      <c r="C5479" s="5" t="s">
        <v>5958</v>
      </c>
      <c r="D5479" s="3">
        <f>VLOOKUP(A5479,airports!A:H,7,FALSE)</f>
        <v>41.30251861</v>
      </c>
      <c r="E5479" s="3">
        <f>VLOOKUP(A5479,airports!A:H,8,FALSE)</f>
        <v>-95.89417306</v>
      </c>
      <c r="F5479" s="3">
        <f>VLOOKUP(B5479,airports!A:H,7,FALSE)</f>
        <v>33.308999999999997</v>
      </c>
      <c r="G5479" s="3">
        <f>VLOOKUP(B5479,airports!A:H,8,FALSE)</f>
        <v>-111.6559</v>
      </c>
      <c r="H5479">
        <f t="shared" si="170"/>
        <v>1649.3</v>
      </c>
      <c r="I5479">
        <f t="shared" si="171"/>
        <v>1024.9000000000001</v>
      </c>
    </row>
    <row r="5480" spans="1:9" ht="30" x14ac:dyDescent="0.25">
      <c r="A5480" s="5" t="s">
        <v>592</v>
      </c>
      <c r="B5480" s="5" t="s">
        <v>19</v>
      </c>
      <c r="C5480" s="5" t="s">
        <v>5959</v>
      </c>
      <c r="D5480" s="3">
        <f>VLOOKUP(A5480,airports!A:H,7,FALSE)</f>
        <v>41.30251861</v>
      </c>
      <c r="E5480" s="3">
        <f>VLOOKUP(A5480,airports!A:H,8,FALSE)</f>
        <v>-95.89417306</v>
      </c>
      <c r="F5480" s="3">
        <f>VLOOKUP(B5480,airports!A:H,7,FALSE)</f>
        <v>36.12447667</v>
      </c>
      <c r="G5480" s="3">
        <f>VLOOKUP(B5480,airports!A:H,8,FALSE)</f>
        <v>-86.678182219999997</v>
      </c>
      <c r="H5480">
        <f t="shared" si="170"/>
        <v>984.4</v>
      </c>
      <c r="I5480">
        <f t="shared" si="171"/>
        <v>611.70000000000005</v>
      </c>
    </row>
    <row r="5481" spans="1:9" ht="30" x14ac:dyDescent="0.25">
      <c r="A5481" s="5" t="s">
        <v>592</v>
      </c>
      <c r="B5481" s="5" t="s">
        <v>40</v>
      </c>
      <c r="C5481" s="5" t="s">
        <v>5960</v>
      </c>
      <c r="D5481" s="3">
        <f>VLOOKUP(A5481,airports!A:H,7,FALSE)</f>
        <v>41.30251861</v>
      </c>
      <c r="E5481" s="3">
        <f>VLOOKUP(A5481,airports!A:H,8,FALSE)</f>
        <v>-95.89417306</v>
      </c>
      <c r="F5481" s="3">
        <f>VLOOKUP(B5481,airports!A:H,7,FALSE)</f>
        <v>35.214011110000001</v>
      </c>
      <c r="G5481" s="3">
        <f>VLOOKUP(B5481,airports!A:H,8,FALSE)</f>
        <v>-80.94312583</v>
      </c>
      <c r="H5481">
        <f t="shared" si="170"/>
        <v>1467.7</v>
      </c>
      <c r="I5481">
        <f t="shared" si="171"/>
        <v>912</v>
      </c>
    </row>
    <row r="5482" spans="1:9" ht="30" x14ac:dyDescent="0.25">
      <c r="A5482" s="5" t="s">
        <v>592</v>
      </c>
      <c r="B5482" s="5" t="s">
        <v>201</v>
      </c>
      <c r="C5482" s="5" t="s">
        <v>5961</v>
      </c>
      <c r="D5482" s="3">
        <f>VLOOKUP(A5482,airports!A:H,7,FALSE)</f>
        <v>41.30251861</v>
      </c>
      <c r="E5482" s="3">
        <f>VLOOKUP(A5482,airports!A:H,8,FALSE)</f>
        <v>-95.89417306</v>
      </c>
      <c r="F5482" s="3">
        <f>VLOOKUP(B5482,airports!A:H,7,FALSE)</f>
        <v>32.847113890000003</v>
      </c>
      <c r="G5482" s="3">
        <f>VLOOKUP(B5482,airports!A:H,8,FALSE)</f>
        <v>-96.851772220000001</v>
      </c>
      <c r="H5482">
        <f t="shared" si="170"/>
        <v>944</v>
      </c>
      <c r="I5482">
        <f t="shared" si="171"/>
        <v>586.6</v>
      </c>
    </row>
    <row r="5483" spans="1:9" ht="30" x14ac:dyDescent="0.25">
      <c r="A5483" s="5" t="s">
        <v>592</v>
      </c>
      <c r="B5483" s="5" t="s">
        <v>45</v>
      </c>
      <c r="C5483" s="5" t="s">
        <v>5962</v>
      </c>
      <c r="D5483" s="3">
        <f>VLOOKUP(A5483,airports!A:H,7,FALSE)</f>
        <v>41.30251861</v>
      </c>
      <c r="E5483" s="3">
        <f>VLOOKUP(A5483,airports!A:H,8,FALSE)</f>
        <v>-95.89417306</v>
      </c>
      <c r="F5483" s="3">
        <f>VLOOKUP(B5483,airports!A:H,7,FALSE)</f>
        <v>38.852083329999999</v>
      </c>
      <c r="G5483" s="3">
        <f>VLOOKUP(B5483,airports!A:H,8,FALSE)</f>
        <v>-77.037722220000006</v>
      </c>
      <c r="H5483">
        <f t="shared" si="170"/>
        <v>1624</v>
      </c>
      <c r="I5483">
        <f t="shared" si="171"/>
        <v>1009.2</v>
      </c>
    </row>
    <row r="5484" spans="1:9" ht="30" x14ac:dyDescent="0.25">
      <c r="A5484" s="5" t="s">
        <v>592</v>
      </c>
      <c r="B5484" s="5" t="s">
        <v>47</v>
      </c>
      <c r="C5484" s="5" t="s">
        <v>5963</v>
      </c>
      <c r="D5484" s="3">
        <f>VLOOKUP(A5484,airports!A:H,7,FALSE)</f>
        <v>41.30251861</v>
      </c>
      <c r="E5484" s="3">
        <f>VLOOKUP(A5484,airports!A:H,8,FALSE)</f>
        <v>-95.89417306</v>
      </c>
      <c r="F5484" s="3">
        <f>VLOOKUP(B5484,airports!A:H,7,FALSE)</f>
        <v>39.858408060000002</v>
      </c>
      <c r="G5484" s="3">
        <f>VLOOKUP(B5484,airports!A:H,8,FALSE)</f>
        <v>-104.6670019</v>
      </c>
      <c r="H5484">
        <f t="shared" si="170"/>
        <v>757.7</v>
      </c>
      <c r="I5484">
        <f t="shared" si="171"/>
        <v>470.9</v>
      </c>
    </row>
    <row r="5485" spans="1:9" ht="30" x14ac:dyDescent="0.25">
      <c r="A5485" s="5" t="s">
        <v>592</v>
      </c>
      <c r="B5485" s="5" t="s">
        <v>49</v>
      </c>
      <c r="C5485" s="5" t="s">
        <v>5964</v>
      </c>
      <c r="D5485" s="3">
        <f>VLOOKUP(A5485,airports!A:H,7,FALSE)</f>
        <v>41.30251861</v>
      </c>
      <c r="E5485" s="3">
        <f>VLOOKUP(A5485,airports!A:H,8,FALSE)</f>
        <v>-95.89417306</v>
      </c>
      <c r="F5485" s="3">
        <f>VLOOKUP(B5485,airports!A:H,7,FALSE)</f>
        <v>32.895950560000003</v>
      </c>
      <c r="G5485" s="3">
        <f>VLOOKUP(B5485,airports!A:H,8,FALSE)</f>
        <v>-97.037199999999999</v>
      </c>
      <c r="H5485">
        <f t="shared" si="170"/>
        <v>940.2</v>
      </c>
      <c r="I5485">
        <f t="shared" si="171"/>
        <v>584.29999999999995</v>
      </c>
    </row>
    <row r="5486" spans="1:9" ht="30" x14ac:dyDescent="0.25">
      <c r="A5486" s="5" t="s">
        <v>592</v>
      </c>
      <c r="B5486" s="5" t="s">
        <v>50</v>
      </c>
      <c r="C5486" s="5" t="s">
        <v>5965</v>
      </c>
      <c r="D5486" s="3">
        <f>VLOOKUP(A5486,airports!A:H,7,FALSE)</f>
        <v>41.30251861</v>
      </c>
      <c r="E5486" s="3">
        <f>VLOOKUP(A5486,airports!A:H,8,FALSE)</f>
        <v>-95.89417306</v>
      </c>
      <c r="F5486" s="3">
        <f>VLOOKUP(B5486,airports!A:H,7,FALSE)</f>
        <v>42.212058890000002</v>
      </c>
      <c r="G5486" s="3">
        <f>VLOOKUP(B5486,airports!A:H,8,FALSE)</f>
        <v>-83.348835829999999</v>
      </c>
      <c r="H5486">
        <f t="shared" si="170"/>
        <v>1044.5999999999999</v>
      </c>
      <c r="I5486">
        <f t="shared" si="171"/>
        <v>649.1</v>
      </c>
    </row>
    <row r="5487" spans="1:9" ht="30" x14ac:dyDescent="0.25">
      <c r="A5487" s="5" t="s">
        <v>592</v>
      </c>
      <c r="B5487" s="5" t="s">
        <v>52</v>
      </c>
      <c r="C5487" s="5" t="s">
        <v>5966</v>
      </c>
      <c r="D5487" s="3">
        <f>VLOOKUP(A5487,airports!A:H,7,FALSE)</f>
        <v>41.30251861</v>
      </c>
      <c r="E5487" s="3">
        <f>VLOOKUP(A5487,airports!A:H,8,FALSE)</f>
        <v>-95.89417306</v>
      </c>
      <c r="F5487" s="3">
        <f>VLOOKUP(B5487,airports!A:H,7,FALSE)</f>
        <v>40.69249722</v>
      </c>
      <c r="G5487" s="3">
        <f>VLOOKUP(B5487,airports!A:H,8,FALSE)</f>
        <v>-74.168660560000006</v>
      </c>
      <c r="H5487">
        <f t="shared" si="170"/>
        <v>1819.8</v>
      </c>
      <c r="I5487">
        <f t="shared" si="171"/>
        <v>1130.8</v>
      </c>
    </row>
    <row r="5488" spans="1:9" ht="30" x14ac:dyDescent="0.25">
      <c r="A5488" s="5" t="s">
        <v>592</v>
      </c>
      <c r="B5488" s="5" t="s">
        <v>205</v>
      </c>
      <c r="C5488" s="5" t="s">
        <v>5967</v>
      </c>
      <c r="D5488" s="3">
        <f>VLOOKUP(A5488,airports!A:H,7,FALSE)</f>
        <v>41.30251861</v>
      </c>
      <c r="E5488" s="3">
        <f>VLOOKUP(A5488,airports!A:H,8,FALSE)</f>
        <v>-95.89417306</v>
      </c>
      <c r="F5488" s="3">
        <f>VLOOKUP(B5488,airports!A:H,7,FALSE)</f>
        <v>29.64541861</v>
      </c>
      <c r="G5488" s="3">
        <f>VLOOKUP(B5488,airports!A:H,8,FALSE)</f>
        <v>-95.278888890000005</v>
      </c>
      <c r="H5488">
        <f t="shared" si="170"/>
        <v>1297.4000000000001</v>
      </c>
      <c r="I5488">
        <f t="shared" si="171"/>
        <v>806.2</v>
      </c>
    </row>
    <row r="5489" spans="1:9" ht="30" x14ac:dyDescent="0.25">
      <c r="A5489" s="5" t="s">
        <v>592</v>
      </c>
      <c r="B5489" s="5" t="s">
        <v>67</v>
      </c>
      <c r="C5489" s="5" t="s">
        <v>5968</v>
      </c>
      <c r="D5489" s="3">
        <f>VLOOKUP(A5489,airports!A:H,7,FALSE)</f>
        <v>41.30251861</v>
      </c>
      <c r="E5489" s="3">
        <f>VLOOKUP(A5489,airports!A:H,8,FALSE)</f>
        <v>-95.89417306</v>
      </c>
      <c r="F5489" s="3">
        <f>VLOOKUP(B5489,airports!A:H,7,FALSE)</f>
        <v>29.980472219999999</v>
      </c>
      <c r="G5489" s="3">
        <f>VLOOKUP(B5489,airports!A:H,8,FALSE)</f>
        <v>-95.339722219999999</v>
      </c>
      <c r="H5489">
        <f t="shared" si="170"/>
        <v>1259.9000000000001</v>
      </c>
      <c r="I5489">
        <f t="shared" si="171"/>
        <v>782.9</v>
      </c>
    </row>
    <row r="5490" spans="1:9" ht="30" x14ac:dyDescent="0.25">
      <c r="A5490" s="5" t="s">
        <v>592</v>
      </c>
      <c r="B5490" s="5" t="s">
        <v>71</v>
      </c>
      <c r="C5490" s="5" t="s">
        <v>5969</v>
      </c>
      <c r="D5490" s="3">
        <f>VLOOKUP(A5490,airports!A:H,7,FALSE)</f>
        <v>41.30251861</v>
      </c>
      <c r="E5490" s="3">
        <f>VLOOKUP(A5490,airports!A:H,8,FALSE)</f>
        <v>-95.89417306</v>
      </c>
      <c r="F5490" s="3">
        <f>VLOOKUP(B5490,airports!A:H,7,FALSE)</f>
        <v>36.080361109999998</v>
      </c>
      <c r="G5490" s="3">
        <f>VLOOKUP(B5490,airports!A:H,8,FALSE)</f>
        <v>-115.1523333</v>
      </c>
      <c r="H5490">
        <f t="shared" si="170"/>
        <v>1764.9</v>
      </c>
      <c r="I5490">
        <f t="shared" si="171"/>
        <v>1096.7</v>
      </c>
    </row>
    <row r="5491" spans="1:9" ht="30" x14ac:dyDescent="0.25">
      <c r="A5491" s="5" t="s">
        <v>592</v>
      </c>
      <c r="B5491" s="5" t="s">
        <v>73</v>
      </c>
      <c r="C5491" s="5" t="s">
        <v>5970</v>
      </c>
      <c r="D5491" s="3">
        <f>VLOOKUP(A5491,airports!A:H,7,FALSE)</f>
        <v>41.30251861</v>
      </c>
      <c r="E5491" s="3">
        <f>VLOOKUP(A5491,airports!A:H,8,FALSE)</f>
        <v>-95.89417306</v>
      </c>
      <c r="F5491" s="3">
        <f>VLOOKUP(B5491,airports!A:H,7,FALSE)</f>
        <v>33.942536109999999</v>
      </c>
      <c r="G5491" s="3">
        <f>VLOOKUP(B5491,airports!A:H,8,FALSE)</f>
        <v>-118.4080744</v>
      </c>
      <c r="H5491">
        <f t="shared" si="170"/>
        <v>2137.1</v>
      </c>
      <c r="I5491">
        <f t="shared" si="171"/>
        <v>1328</v>
      </c>
    </row>
    <row r="5492" spans="1:9" ht="30" x14ac:dyDescent="0.25">
      <c r="A5492" s="5" t="s">
        <v>592</v>
      </c>
      <c r="B5492" s="5" t="s">
        <v>74</v>
      </c>
      <c r="C5492" s="5" t="s">
        <v>5971</v>
      </c>
      <c r="D5492" s="3">
        <f>VLOOKUP(A5492,airports!A:H,7,FALSE)</f>
        <v>41.30251861</v>
      </c>
      <c r="E5492" s="3">
        <f>VLOOKUP(A5492,airports!A:H,8,FALSE)</f>
        <v>-95.89417306</v>
      </c>
      <c r="F5492" s="3">
        <f>VLOOKUP(B5492,airports!A:H,7,FALSE)</f>
        <v>40.777243060000004</v>
      </c>
      <c r="G5492" s="3">
        <f>VLOOKUP(B5492,airports!A:H,8,FALSE)</f>
        <v>-73.872609170000004</v>
      </c>
      <c r="H5492">
        <f t="shared" si="170"/>
        <v>1842.9</v>
      </c>
      <c r="I5492">
        <f t="shared" si="171"/>
        <v>1145.2</v>
      </c>
    </row>
    <row r="5493" spans="1:9" ht="30" x14ac:dyDescent="0.25">
      <c r="A5493" s="5" t="s">
        <v>592</v>
      </c>
      <c r="B5493" s="5" t="s">
        <v>82</v>
      </c>
      <c r="C5493" s="5" t="s">
        <v>5972</v>
      </c>
      <c r="D5493" s="3">
        <f>VLOOKUP(A5493,airports!A:H,7,FALSE)</f>
        <v>41.30251861</v>
      </c>
      <c r="E5493" s="3">
        <f>VLOOKUP(A5493,airports!A:H,8,FALSE)</f>
        <v>-95.89417306</v>
      </c>
      <c r="F5493" s="3">
        <f>VLOOKUP(B5493,airports!A:H,7,FALSE)</f>
        <v>28.42888889</v>
      </c>
      <c r="G5493" s="3">
        <f>VLOOKUP(B5493,airports!A:H,8,FALSE)</f>
        <v>-81.316027779999999</v>
      </c>
      <c r="H5493">
        <f t="shared" si="170"/>
        <v>1948.5</v>
      </c>
      <c r="I5493">
        <f t="shared" si="171"/>
        <v>1210.8</v>
      </c>
    </row>
    <row r="5494" spans="1:9" ht="30" x14ac:dyDescent="0.25">
      <c r="A5494" s="5" t="s">
        <v>592</v>
      </c>
      <c r="B5494" s="5" t="s">
        <v>180</v>
      </c>
      <c r="C5494" s="5" t="s">
        <v>5973</v>
      </c>
      <c r="D5494" s="3">
        <f>VLOOKUP(A5494,airports!A:H,7,FALSE)</f>
        <v>41.30251861</v>
      </c>
      <c r="E5494" s="3">
        <f>VLOOKUP(A5494,airports!A:H,8,FALSE)</f>
        <v>-95.89417306</v>
      </c>
      <c r="F5494" s="3">
        <f>VLOOKUP(B5494,airports!A:H,7,FALSE)</f>
        <v>41.785982500000003</v>
      </c>
      <c r="G5494" s="3">
        <f>VLOOKUP(B5494,airports!A:H,8,FALSE)</f>
        <v>-87.752424439999999</v>
      </c>
      <c r="H5494">
        <f t="shared" si="170"/>
        <v>679.5</v>
      </c>
      <c r="I5494">
        <f t="shared" si="171"/>
        <v>422.2</v>
      </c>
    </row>
    <row r="5495" spans="1:9" ht="30" x14ac:dyDescent="0.25">
      <c r="A5495" s="5" t="s">
        <v>592</v>
      </c>
      <c r="B5495" s="5" t="s">
        <v>84</v>
      </c>
      <c r="C5495" s="5" t="s">
        <v>5974</v>
      </c>
      <c r="D5495" s="3">
        <f>VLOOKUP(A5495,airports!A:H,7,FALSE)</f>
        <v>41.30251861</v>
      </c>
      <c r="E5495" s="3">
        <f>VLOOKUP(A5495,airports!A:H,8,FALSE)</f>
        <v>-95.89417306</v>
      </c>
      <c r="F5495" s="3">
        <f>VLOOKUP(B5495,airports!A:H,7,FALSE)</f>
        <v>25.79325</v>
      </c>
      <c r="G5495" s="3">
        <f>VLOOKUP(B5495,airports!A:H,8,FALSE)</f>
        <v>-80.290555560000001</v>
      </c>
      <c r="H5495">
        <f t="shared" si="170"/>
        <v>2243.1</v>
      </c>
      <c r="I5495">
        <f t="shared" si="171"/>
        <v>1393.9</v>
      </c>
    </row>
    <row r="5496" spans="1:9" ht="30" x14ac:dyDescent="0.25">
      <c r="A5496" s="5" t="s">
        <v>592</v>
      </c>
      <c r="B5496" s="5" t="s">
        <v>87</v>
      </c>
      <c r="C5496" s="5" t="s">
        <v>5975</v>
      </c>
      <c r="D5496" s="3">
        <f>VLOOKUP(A5496,airports!A:H,7,FALSE)</f>
        <v>41.30251861</v>
      </c>
      <c r="E5496" s="3">
        <f>VLOOKUP(A5496,airports!A:H,8,FALSE)</f>
        <v>-95.89417306</v>
      </c>
      <c r="F5496" s="3">
        <f>VLOOKUP(B5496,airports!A:H,7,FALSE)</f>
        <v>44.880546940000002</v>
      </c>
      <c r="G5496" s="3">
        <f>VLOOKUP(B5496,airports!A:H,8,FALSE)</f>
        <v>-93.216922499999995</v>
      </c>
      <c r="H5496">
        <f t="shared" si="170"/>
        <v>453.3</v>
      </c>
      <c r="I5496">
        <f t="shared" si="171"/>
        <v>281.7</v>
      </c>
    </row>
    <row r="5497" spans="1:9" ht="30" x14ac:dyDescent="0.25">
      <c r="A5497" s="5" t="s">
        <v>592</v>
      </c>
      <c r="B5497" s="5" t="s">
        <v>95</v>
      </c>
      <c r="C5497" s="5" t="s">
        <v>5976</v>
      </c>
      <c r="D5497" s="3">
        <f>VLOOKUP(A5497,airports!A:H,7,FALSE)</f>
        <v>41.30251861</v>
      </c>
      <c r="E5497" s="3">
        <f>VLOOKUP(A5497,airports!A:H,8,FALSE)</f>
        <v>-95.89417306</v>
      </c>
      <c r="F5497" s="3">
        <f>VLOOKUP(B5497,airports!A:H,7,FALSE)</f>
        <v>41.979595000000003</v>
      </c>
      <c r="G5497" s="3">
        <f>VLOOKUP(B5497,airports!A:H,8,FALSE)</f>
        <v>-87.904464169999997</v>
      </c>
      <c r="H5497">
        <f t="shared" si="170"/>
        <v>667.9</v>
      </c>
      <c r="I5497">
        <f t="shared" si="171"/>
        <v>415.1</v>
      </c>
    </row>
    <row r="5498" spans="1:9" ht="30" x14ac:dyDescent="0.25">
      <c r="A5498" s="5" t="s">
        <v>592</v>
      </c>
      <c r="B5498" s="5" t="s">
        <v>100</v>
      </c>
      <c r="C5498" s="5" t="s">
        <v>5977</v>
      </c>
      <c r="D5498" s="3">
        <f>VLOOKUP(A5498,airports!A:H,7,FALSE)</f>
        <v>41.30251861</v>
      </c>
      <c r="E5498" s="3">
        <f>VLOOKUP(A5498,airports!A:H,8,FALSE)</f>
        <v>-95.89417306</v>
      </c>
      <c r="F5498" s="3">
        <f>VLOOKUP(B5498,airports!A:H,7,FALSE)</f>
        <v>45.588722220000001</v>
      </c>
      <c r="G5498" s="3">
        <f>VLOOKUP(B5498,airports!A:H,8,FALSE)</f>
        <v>-122.5975</v>
      </c>
      <c r="H5498">
        <f t="shared" si="170"/>
        <v>2196.9</v>
      </c>
      <c r="I5498">
        <f t="shared" si="171"/>
        <v>1365.2</v>
      </c>
    </row>
    <row r="5499" spans="1:9" ht="30" x14ac:dyDescent="0.25">
      <c r="A5499" s="5" t="s">
        <v>592</v>
      </c>
      <c r="B5499" s="5" t="s">
        <v>185</v>
      </c>
      <c r="C5499" s="5" t="s">
        <v>5978</v>
      </c>
      <c r="D5499" s="3">
        <f>VLOOKUP(A5499,airports!A:H,7,FALSE)</f>
        <v>41.30251861</v>
      </c>
      <c r="E5499" s="3">
        <f>VLOOKUP(A5499,airports!A:H,8,FALSE)</f>
        <v>-95.89417306</v>
      </c>
      <c r="F5499" s="3">
        <f>VLOOKUP(B5499,airports!A:H,7,FALSE)</f>
        <v>26.919699999999999</v>
      </c>
      <c r="G5499" s="3">
        <f>VLOOKUP(B5499,airports!A:H,8,FALSE)</f>
        <v>-81.995999999999995</v>
      </c>
      <c r="H5499">
        <f t="shared" si="170"/>
        <v>2042.5</v>
      </c>
      <c r="I5499">
        <f t="shared" si="171"/>
        <v>1269.2</v>
      </c>
    </row>
    <row r="5500" spans="1:9" ht="30" x14ac:dyDescent="0.25">
      <c r="A5500" s="5" t="s">
        <v>592</v>
      </c>
      <c r="B5500" s="5" t="s">
        <v>102</v>
      </c>
      <c r="C5500" s="5" t="s">
        <v>5979</v>
      </c>
      <c r="D5500" s="3">
        <f>VLOOKUP(A5500,airports!A:H,7,FALSE)</f>
        <v>41.30251861</v>
      </c>
      <c r="E5500" s="3">
        <f>VLOOKUP(A5500,airports!A:H,8,FALSE)</f>
        <v>-95.89417306</v>
      </c>
      <c r="F5500" s="3">
        <f>VLOOKUP(B5500,airports!A:H,7,FALSE)</f>
        <v>39.871952780000001</v>
      </c>
      <c r="G5500" s="3">
        <f>VLOOKUP(B5500,airports!A:H,8,FALSE)</f>
        <v>-75.241140830000006</v>
      </c>
      <c r="H5500">
        <f t="shared" si="170"/>
        <v>1747.1</v>
      </c>
      <c r="I5500">
        <f t="shared" si="171"/>
        <v>1085.7</v>
      </c>
    </row>
    <row r="5501" spans="1:9" ht="30" x14ac:dyDescent="0.25">
      <c r="A5501" s="5" t="s">
        <v>592</v>
      </c>
      <c r="B5501" s="5" t="s">
        <v>104</v>
      </c>
      <c r="C5501" s="5" t="s">
        <v>5980</v>
      </c>
      <c r="D5501" s="3">
        <f>VLOOKUP(A5501,airports!A:H,7,FALSE)</f>
        <v>41.30251861</v>
      </c>
      <c r="E5501" s="3">
        <f>VLOOKUP(A5501,airports!A:H,8,FALSE)</f>
        <v>-95.89417306</v>
      </c>
      <c r="F5501" s="3">
        <f>VLOOKUP(B5501,airports!A:H,7,FALSE)</f>
        <v>33.434166670000003</v>
      </c>
      <c r="G5501" s="3">
        <f>VLOOKUP(B5501,airports!A:H,8,FALSE)</f>
        <v>-112.00805560000001</v>
      </c>
      <c r="H5501">
        <f t="shared" si="170"/>
        <v>1667.2</v>
      </c>
      <c r="I5501">
        <f t="shared" si="171"/>
        <v>1036</v>
      </c>
    </row>
    <row r="5502" spans="1:9" ht="30" x14ac:dyDescent="0.25">
      <c r="A5502" s="5" t="s">
        <v>592</v>
      </c>
      <c r="B5502" s="5" t="s">
        <v>188</v>
      </c>
      <c r="C5502" s="5" t="s">
        <v>5981</v>
      </c>
      <c r="D5502" s="3">
        <f>VLOOKUP(A5502,airports!A:H,7,FALSE)</f>
        <v>41.30251861</v>
      </c>
      <c r="E5502" s="3">
        <f>VLOOKUP(A5502,airports!A:H,8,FALSE)</f>
        <v>-95.89417306</v>
      </c>
      <c r="F5502" s="3">
        <f>VLOOKUP(B5502,airports!A:H,7,FALSE)</f>
        <v>27.910763330000002</v>
      </c>
      <c r="G5502" s="3">
        <f>VLOOKUP(B5502,airports!A:H,8,FALSE)</f>
        <v>-82.687439440000006</v>
      </c>
      <c r="H5502">
        <f t="shared" si="170"/>
        <v>1913.1</v>
      </c>
      <c r="I5502">
        <f t="shared" si="171"/>
        <v>1188.8</v>
      </c>
    </row>
    <row r="5503" spans="1:9" ht="30" x14ac:dyDescent="0.25">
      <c r="A5503" s="5" t="s">
        <v>592</v>
      </c>
      <c r="B5503" s="5" t="s">
        <v>123</v>
      </c>
      <c r="C5503" s="5" t="s">
        <v>5982</v>
      </c>
      <c r="D5503" s="3">
        <f>VLOOKUP(A5503,airports!A:H,7,FALSE)</f>
        <v>41.30251861</v>
      </c>
      <c r="E5503" s="3">
        <f>VLOOKUP(A5503,airports!A:H,8,FALSE)</f>
        <v>-95.89417306</v>
      </c>
      <c r="F5503" s="3">
        <f>VLOOKUP(B5503,airports!A:H,7,FALSE)</f>
        <v>26.53616667</v>
      </c>
      <c r="G5503" s="3">
        <f>VLOOKUP(B5503,airports!A:H,8,FALSE)</f>
        <v>-81.755166669999994</v>
      </c>
      <c r="H5503">
        <f t="shared" si="170"/>
        <v>2091.1999999999998</v>
      </c>
      <c r="I5503">
        <f t="shared" si="171"/>
        <v>1299.5</v>
      </c>
    </row>
    <row r="5504" spans="1:9" ht="30" x14ac:dyDescent="0.25">
      <c r="A5504" s="5" t="s">
        <v>592</v>
      </c>
      <c r="B5504" s="5" t="s">
        <v>124</v>
      </c>
      <c r="C5504" s="5" t="s">
        <v>5983</v>
      </c>
      <c r="D5504" s="3">
        <f>VLOOKUP(A5504,airports!A:H,7,FALSE)</f>
        <v>41.30251861</v>
      </c>
      <c r="E5504" s="3">
        <f>VLOOKUP(A5504,airports!A:H,8,FALSE)</f>
        <v>-95.89417306</v>
      </c>
      <c r="F5504" s="3">
        <f>VLOOKUP(B5504,airports!A:H,7,FALSE)</f>
        <v>32.733556110000002</v>
      </c>
      <c r="G5504" s="3">
        <f>VLOOKUP(B5504,airports!A:H,8,FALSE)</f>
        <v>-117.1896567</v>
      </c>
      <c r="H5504">
        <f t="shared" si="170"/>
        <v>2109.4</v>
      </c>
      <c r="I5504">
        <f t="shared" si="171"/>
        <v>1310.8</v>
      </c>
    </row>
    <row r="5505" spans="1:9" ht="30" x14ac:dyDescent="0.25">
      <c r="A5505" s="5" t="s">
        <v>592</v>
      </c>
      <c r="B5505" s="5" t="s">
        <v>125</v>
      </c>
      <c r="C5505" s="5" t="s">
        <v>5984</v>
      </c>
      <c r="D5505" s="3">
        <f>VLOOKUP(A5505,airports!A:H,7,FALSE)</f>
        <v>41.30251861</v>
      </c>
      <c r="E5505" s="3">
        <f>VLOOKUP(A5505,airports!A:H,8,FALSE)</f>
        <v>-95.89417306</v>
      </c>
      <c r="F5505" s="3">
        <f>VLOOKUP(B5505,airports!A:H,7,FALSE)</f>
        <v>29.533694440000001</v>
      </c>
      <c r="G5505" s="3">
        <f>VLOOKUP(B5505,airports!A:H,8,FALSE)</f>
        <v>-98.469777780000001</v>
      </c>
      <c r="H5505">
        <f t="shared" si="170"/>
        <v>1329.1</v>
      </c>
      <c r="I5505">
        <f t="shared" si="171"/>
        <v>825.9</v>
      </c>
    </row>
    <row r="5506" spans="1:9" ht="30" x14ac:dyDescent="0.25">
      <c r="A5506" s="5" t="s">
        <v>592</v>
      </c>
      <c r="B5506" s="5" t="s">
        <v>128</v>
      </c>
      <c r="C5506" s="5" t="s">
        <v>5985</v>
      </c>
      <c r="D5506" s="3">
        <f>VLOOKUP(A5506,airports!A:H,7,FALSE)</f>
        <v>41.30251861</v>
      </c>
      <c r="E5506" s="3">
        <f>VLOOKUP(A5506,airports!A:H,8,FALSE)</f>
        <v>-95.89417306</v>
      </c>
      <c r="F5506" s="3">
        <f>VLOOKUP(B5506,airports!A:H,7,FALSE)</f>
        <v>47.448981940000003</v>
      </c>
      <c r="G5506" s="3">
        <f>VLOOKUP(B5506,airports!A:H,8,FALSE)</f>
        <v>-122.3093131</v>
      </c>
      <c r="H5506">
        <f t="shared" si="170"/>
        <v>2195.4</v>
      </c>
      <c r="I5506">
        <f t="shared" si="171"/>
        <v>1364.3</v>
      </c>
    </row>
    <row r="5507" spans="1:9" ht="30" x14ac:dyDescent="0.25">
      <c r="A5507" s="5" t="s">
        <v>592</v>
      </c>
      <c r="B5507" s="5" t="s">
        <v>191</v>
      </c>
      <c r="C5507" s="5" t="s">
        <v>5986</v>
      </c>
      <c r="D5507" s="3">
        <f>VLOOKUP(A5507,airports!A:H,7,FALSE)</f>
        <v>41.30251861</v>
      </c>
      <c r="E5507" s="3">
        <f>VLOOKUP(A5507,airports!A:H,8,FALSE)</f>
        <v>-95.89417306</v>
      </c>
      <c r="F5507" s="3">
        <f>VLOOKUP(B5507,airports!A:H,7,FALSE)</f>
        <v>28.7776</v>
      </c>
      <c r="G5507" s="3">
        <f>VLOOKUP(B5507,airports!A:H,8,FALSE)</f>
        <v>-81.237499999999997</v>
      </c>
      <c r="H5507">
        <f t="shared" si="170"/>
        <v>1923.4</v>
      </c>
      <c r="I5507">
        <f t="shared" si="171"/>
        <v>1195.2</v>
      </c>
    </row>
    <row r="5508" spans="1:9" ht="30" x14ac:dyDescent="0.25">
      <c r="A5508" s="5" t="s">
        <v>592</v>
      </c>
      <c r="B5508" s="5" t="s">
        <v>130</v>
      </c>
      <c r="C5508" s="5" t="s">
        <v>5987</v>
      </c>
      <c r="D5508" s="3">
        <f>VLOOKUP(A5508,airports!A:H,7,FALSE)</f>
        <v>41.30251861</v>
      </c>
      <c r="E5508" s="3">
        <f>VLOOKUP(A5508,airports!A:H,8,FALSE)</f>
        <v>-95.89417306</v>
      </c>
      <c r="F5508" s="3">
        <f>VLOOKUP(B5508,airports!A:H,7,FALSE)</f>
        <v>37.619001939999997</v>
      </c>
      <c r="G5508" s="3">
        <f>VLOOKUP(B5508,airports!A:H,8,FALSE)</f>
        <v>-122.37484329999999</v>
      </c>
      <c r="H5508">
        <f t="shared" ref="H5508:H5571" si="172">ROUND(ACOS(COS(RADIANS(90-D5508)) * COS(RADIANS(90-F5508)) + SIN(RADIANS(90-D5508)) * SIN(RADIANS(90-F5508)) * COS(RADIANS(E5508-G5508))) * 6371,1)</f>
        <v>2300.6</v>
      </c>
      <c r="I5508">
        <f t="shared" ref="I5508:I5571" si="173">ROUND(ACOS(COS(RADIANS(90-D5508)) * COS(RADIANS(90-F5508)) + SIN(RADIANS(90-D5508)) * SIN(RADIANS(90-F5508)) * COS(RADIANS(E5508-G5508))) * 3959,1)</f>
        <v>1429.6</v>
      </c>
    </row>
    <row r="5509" spans="1:9" ht="30" x14ac:dyDescent="0.25">
      <c r="A5509" s="5" t="s">
        <v>592</v>
      </c>
      <c r="B5509" s="5" t="s">
        <v>135</v>
      </c>
      <c r="C5509" s="5" t="s">
        <v>5988</v>
      </c>
      <c r="D5509" s="3">
        <f>VLOOKUP(A5509,airports!A:H,7,FALSE)</f>
        <v>41.30251861</v>
      </c>
      <c r="E5509" s="3">
        <f>VLOOKUP(A5509,airports!A:H,8,FALSE)</f>
        <v>-95.89417306</v>
      </c>
      <c r="F5509" s="3">
        <f>VLOOKUP(B5509,airports!A:H,7,FALSE)</f>
        <v>40.788387780000001</v>
      </c>
      <c r="G5509" s="3">
        <f>VLOOKUP(B5509,airports!A:H,8,FALSE)</f>
        <v>-111.97777309999999</v>
      </c>
      <c r="H5509">
        <f t="shared" si="172"/>
        <v>1348.1</v>
      </c>
      <c r="I5509">
        <f t="shared" si="173"/>
        <v>837.7</v>
      </c>
    </row>
    <row r="5510" spans="1:9" ht="30" x14ac:dyDescent="0.25">
      <c r="A5510" s="5" t="s">
        <v>592</v>
      </c>
      <c r="B5510" s="5" t="s">
        <v>644</v>
      </c>
      <c r="C5510" s="5" t="s">
        <v>5989</v>
      </c>
      <c r="D5510" s="3">
        <f>VLOOKUP(A5510,airports!A:H,7,FALSE)</f>
        <v>41.30251861</v>
      </c>
      <c r="E5510" s="3">
        <f>VLOOKUP(A5510,airports!A:H,8,FALSE)</f>
        <v>-95.89417306</v>
      </c>
      <c r="F5510" s="3">
        <f>VLOOKUP(B5510,airports!A:H,7,FALSE)</f>
        <v>38.747686940000001</v>
      </c>
      <c r="G5510" s="3">
        <f>VLOOKUP(B5510,airports!A:H,8,FALSE)</f>
        <v>-90.359989720000002</v>
      </c>
      <c r="H5510">
        <f t="shared" si="172"/>
        <v>550.1</v>
      </c>
      <c r="I5510">
        <f t="shared" si="173"/>
        <v>341.8</v>
      </c>
    </row>
    <row r="5511" spans="1:9" ht="30" x14ac:dyDescent="0.25">
      <c r="A5511" s="5" t="s">
        <v>592</v>
      </c>
      <c r="B5511" s="5" t="s">
        <v>145</v>
      </c>
      <c r="C5511" s="5" t="s">
        <v>5990</v>
      </c>
      <c r="D5511" s="3">
        <f>VLOOKUP(A5511,airports!A:H,7,FALSE)</f>
        <v>41.30251861</v>
      </c>
      <c r="E5511" s="3">
        <f>VLOOKUP(A5511,airports!A:H,8,FALSE)</f>
        <v>-95.89417306</v>
      </c>
      <c r="F5511" s="3">
        <f>VLOOKUP(B5511,airports!A:H,7,FALSE)</f>
        <v>27.97547222</v>
      </c>
      <c r="G5511" s="3">
        <f>VLOOKUP(B5511,airports!A:H,8,FALSE)</f>
        <v>-82.533249999999995</v>
      </c>
      <c r="H5511">
        <f t="shared" si="172"/>
        <v>1916.1</v>
      </c>
      <c r="I5511">
        <f t="shared" si="173"/>
        <v>1190.7</v>
      </c>
    </row>
    <row r="5512" spans="1:9" ht="30" x14ac:dyDescent="0.25">
      <c r="A5512" s="5" t="s">
        <v>592</v>
      </c>
      <c r="B5512" s="5" t="s">
        <v>668</v>
      </c>
      <c r="C5512" s="5" t="s">
        <v>5991</v>
      </c>
      <c r="D5512" s="3">
        <f>VLOOKUP(A5512,airports!A:H,7,FALSE)</f>
        <v>41.30251861</v>
      </c>
      <c r="E5512" s="3">
        <f>VLOOKUP(A5512,airports!A:H,8,FALSE)</f>
        <v>-95.89417306</v>
      </c>
      <c r="F5512" s="3">
        <f>VLOOKUP(B5512,airports!A:H,7,FALSE)</f>
        <v>30.483250000000002</v>
      </c>
      <c r="G5512" s="3">
        <f>VLOOKUP(B5512,airports!A:H,8,FALSE)</f>
        <v>-86.525400000000005</v>
      </c>
      <c r="H5512">
        <f t="shared" si="172"/>
        <v>1467.5</v>
      </c>
      <c r="I5512">
        <f t="shared" si="173"/>
        <v>911.9</v>
      </c>
    </row>
    <row r="5513" spans="1:9" ht="30" x14ac:dyDescent="0.25">
      <c r="A5513" s="5" t="s">
        <v>373</v>
      </c>
      <c r="B5513" s="5" t="s">
        <v>265</v>
      </c>
      <c r="C5513" s="5" t="s">
        <v>5992</v>
      </c>
      <c r="D5513" s="3">
        <f>VLOOKUP(A5513,airports!A:H,7,FALSE)</f>
        <v>64.512202220000006</v>
      </c>
      <c r="E5513" s="3">
        <f>VLOOKUP(A5513,airports!A:H,8,FALSE)</f>
        <v>-165.44524580000001</v>
      </c>
      <c r="F5513" s="3">
        <f>VLOOKUP(B5513,airports!A:H,7,FALSE)</f>
        <v>61.174320280000003</v>
      </c>
      <c r="G5513" s="3">
        <f>VLOOKUP(B5513,airports!A:H,8,FALSE)</f>
        <v>-149.99618559999999</v>
      </c>
      <c r="H5513">
        <f t="shared" si="172"/>
        <v>864.5</v>
      </c>
      <c r="I5513">
        <f t="shared" si="173"/>
        <v>537.20000000000005</v>
      </c>
    </row>
    <row r="5514" spans="1:9" ht="30" x14ac:dyDescent="0.25">
      <c r="A5514" s="5" t="s">
        <v>373</v>
      </c>
      <c r="B5514" s="5" t="s">
        <v>376</v>
      </c>
      <c r="C5514" s="5" t="s">
        <v>5993</v>
      </c>
      <c r="D5514" s="3">
        <f>VLOOKUP(A5514,airports!A:H,7,FALSE)</f>
        <v>64.512202220000006</v>
      </c>
      <c r="E5514" s="3">
        <f>VLOOKUP(A5514,airports!A:H,8,FALSE)</f>
        <v>-165.44524580000001</v>
      </c>
      <c r="F5514" s="3">
        <f>VLOOKUP(B5514,airports!A:H,7,FALSE)</f>
        <v>66.884676940000006</v>
      </c>
      <c r="G5514" s="3">
        <f>VLOOKUP(B5514,airports!A:H,8,FALSE)</f>
        <v>-162.59854970000001</v>
      </c>
      <c r="H5514">
        <f t="shared" si="172"/>
        <v>294.10000000000002</v>
      </c>
      <c r="I5514">
        <f t="shared" si="173"/>
        <v>182.8</v>
      </c>
    </row>
    <row r="5515" spans="1:9" ht="30" x14ac:dyDescent="0.25">
      <c r="A5515" s="5" t="s">
        <v>94</v>
      </c>
      <c r="B5515" s="5" t="s">
        <v>10</v>
      </c>
      <c r="C5515" s="5" t="s">
        <v>5994</v>
      </c>
      <c r="D5515" s="3">
        <f>VLOOKUP(A5515,airports!A:H,7,FALSE)</f>
        <v>34.055999999999997</v>
      </c>
      <c r="E5515" s="3">
        <f>VLOOKUP(A5515,airports!A:H,8,FALSE)</f>
        <v>-117.6011944</v>
      </c>
      <c r="F5515" s="3">
        <f>VLOOKUP(B5515,airports!A:H,7,FALSE)</f>
        <v>33.640444440000003</v>
      </c>
      <c r="G5515" s="3">
        <f>VLOOKUP(B5515,airports!A:H,8,FALSE)</f>
        <v>-84.42694444</v>
      </c>
      <c r="H5515">
        <f t="shared" si="172"/>
        <v>3050.4</v>
      </c>
      <c r="I5515">
        <f t="shared" si="173"/>
        <v>1895.5</v>
      </c>
    </row>
    <row r="5516" spans="1:9" ht="30" x14ac:dyDescent="0.25">
      <c r="A5516" s="5" t="s">
        <v>94</v>
      </c>
      <c r="B5516" s="5" t="s">
        <v>13</v>
      </c>
      <c r="C5516" s="5" t="s">
        <v>5995</v>
      </c>
      <c r="D5516" s="3">
        <f>VLOOKUP(A5516,airports!A:H,7,FALSE)</f>
        <v>34.055999999999997</v>
      </c>
      <c r="E5516" s="3">
        <f>VLOOKUP(A5516,airports!A:H,8,FALSE)</f>
        <v>-117.6011944</v>
      </c>
      <c r="F5516" s="3">
        <f>VLOOKUP(B5516,airports!A:H,7,FALSE)</f>
        <v>30.194532779999999</v>
      </c>
      <c r="G5516" s="3">
        <f>VLOOKUP(B5516,airports!A:H,8,FALSE)</f>
        <v>-97.669871939999993</v>
      </c>
      <c r="H5516">
        <f t="shared" si="172"/>
        <v>1922</v>
      </c>
      <c r="I5516">
        <f t="shared" si="173"/>
        <v>1194.4000000000001</v>
      </c>
    </row>
    <row r="5517" spans="1:9" ht="30" x14ac:dyDescent="0.25">
      <c r="A5517" s="5" t="s">
        <v>94</v>
      </c>
      <c r="B5517" s="5" t="s">
        <v>30</v>
      </c>
      <c r="C5517" s="5" t="s">
        <v>5996</v>
      </c>
      <c r="D5517" s="3">
        <f>VLOOKUP(A5517,airports!A:H,7,FALSE)</f>
        <v>34.055999999999997</v>
      </c>
      <c r="E5517" s="3">
        <f>VLOOKUP(A5517,airports!A:H,8,FALSE)</f>
        <v>-117.6011944</v>
      </c>
      <c r="F5517" s="3">
        <f>VLOOKUP(B5517,airports!A:H,7,FALSE)</f>
        <v>34.200619170000003</v>
      </c>
      <c r="G5517" s="3">
        <f>VLOOKUP(B5517,airports!A:H,8,FALSE)</f>
        <v>-118.35849690000001</v>
      </c>
      <c r="H5517">
        <f t="shared" si="172"/>
        <v>71.5</v>
      </c>
      <c r="I5517">
        <f t="shared" si="173"/>
        <v>44.5</v>
      </c>
    </row>
    <row r="5518" spans="1:9" ht="30" x14ac:dyDescent="0.25">
      <c r="A5518" s="5" t="s">
        <v>94</v>
      </c>
      <c r="B5518" s="5" t="s">
        <v>40</v>
      </c>
      <c r="C5518" s="5" t="s">
        <v>5997</v>
      </c>
      <c r="D5518" s="3">
        <f>VLOOKUP(A5518,airports!A:H,7,FALSE)</f>
        <v>34.055999999999997</v>
      </c>
      <c r="E5518" s="3">
        <f>VLOOKUP(A5518,airports!A:H,8,FALSE)</f>
        <v>-117.6011944</v>
      </c>
      <c r="F5518" s="3">
        <f>VLOOKUP(B5518,airports!A:H,7,FALSE)</f>
        <v>35.214011110000001</v>
      </c>
      <c r="G5518" s="3">
        <f>VLOOKUP(B5518,airports!A:H,8,FALSE)</f>
        <v>-80.94312583</v>
      </c>
      <c r="H5518">
        <f t="shared" si="172"/>
        <v>3337.2</v>
      </c>
      <c r="I5518">
        <f t="shared" si="173"/>
        <v>2073.8000000000002</v>
      </c>
    </row>
    <row r="5519" spans="1:9" ht="30" x14ac:dyDescent="0.25">
      <c r="A5519" s="5" t="s">
        <v>94</v>
      </c>
      <c r="B5519" s="5" t="s">
        <v>201</v>
      </c>
      <c r="C5519" s="5" t="s">
        <v>5998</v>
      </c>
      <c r="D5519" s="3">
        <f>VLOOKUP(A5519,airports!A:H,7,FALSE)</f>
        <v>34.055999999999997</v>
      </c>
      <c r="E5519" s="3">
        <f>VLOOKUP(A5519,airports!A:H,8,FALSE)</f>
        <v>-117.6011944</v>
      </c>
      <c r="F5519" s="3">
        <f>VLOOKUP(B5519,airports!A:H,7,FALSE)</f>
        <v>32.847113890000003</v>
      </c>
      <c r="G5519" s="3">
        <f>VLOOKUP(B5519,airports!A:H,8,FALSE)</f>
        <v>-96.851772220000001</v>
      </c>
      <c r="H5519">
        <f t="shared" si="172"/>
        <v>1926.4</v>
      </c>
      <c r="I5519">
        <f t="shared" si="173"/>
        <v>1197.0999999999999</v>
      </c>
    </row>
    <row r="5520" spans="1:9" ht="30" x14ac:dyDescent="0.25">
      <c r="A5520" s="5" t="s">
        <v>94</v>
      </c>
      <c r="B5520" s="5" t="s">
        <v>47</v>
      </c>
      <c r="C5520" s="5" t="s">
        <v>5999</v>
      </c>
      <c r="D5520" s="3">
        <f>VLOOKUP(A5520,airports!A:H,7,FALSE)</f>
        <v>34.055999999999997</v>
      </c>
      <c r="E5520" s="3">
        <f>VLOOKUP(A5520,airports!A:H,8,FALSE)</f>
        <v>-117.6011944</v>
      </c>
      <c r="F5520" s="3">
        <f>VLOOKUP(B5520,airports!A:H,7,FALSE)</f>
        <v>39.858408060000002</v>
      </c>
      <c r="G5520" s="3">
        <f>VLOOKUP(B5520,airports!A:H,8,FALSE)</f>
        <v>-104.6670019</v>
      </c>
      <c r="H5520">
        <f t="shared" si="172"/>
        <v>1316.1</v>
      </c>
      <c r="I5520">
        <f t="shared" si="173"/>
        <v>817.8</v>
      </c>
    </row>
    <row r="5521" spans="1:9" ht="30" x14ac:dyDescent="0.25">
      <c r="A5521" s="5" t="s">
        <v>94</v>
      </c>
      <c r="B5521" s="5" t="s">
        <v>49</v>
      </c>
      <c r="C5521" s="5" t="s">
        <v>6000</v>
      </c>
      <c r="D5521" s="3">
        <f>VLOOKUP(A5521,airports!A:H,7,FALSE)</f>
        <v>34.055999999999997</v>
      </c>
      <c r="E5521" s="3">
        <f>VLOOKUP(A5521,airports!A:H,8,FALSE)</f>
        <v>-117.6011944</v>
      </c>
      <c r="F5521" s="3">
        <f>VLOOKUP(B5521,airports!A:H,7,FALSE)</f>
        <v>32.895950560000003</v>
      </c>
      <c r="G5521" s="3">
        <f>VLOOKUP(B5521,airports!A:H,8,FALSE)</f>
        <v>-97.037199999999999</v>
      </c>
      <c r="H5521">
        <f t="shared" si="172"/>
        <v>1908.4</v>
      </c>
      <c r="I5521">
        <f t="shared" si="173"/>
        <v>1185.9000000000001</v>
      </c>
    </row>
    <row r="5522" spans="1:9" ht="30" x14ac:dyDescent="0.25">
      <c r="A5522" s="5" t="s">
        <v>94</v>
      </c>
      <c r="B5522" s="5" t="s">
        <v>360</v>
      </c>
      <c r="C5522" s="5" t="s">
        <v>6001</v>
      </c>
      <c r="D5522" s="3">
        <f>VLOOKUP(A5522,airports!A:H,7,FALSE)</f>
        <v>34.055999999999997</v>
      </c>
      <c r="E5522" s="3">
        <f>VLOOKUP(A5522,airports!A:H,8,FALSE)</f>
        <v>-117.6011944</v>
      </c>
      <c r="F5522" s="3">
        <f>VLOOKUP(B5522,airports!A:H,7,FALSE)</f>
        <v>21.31869111</v>
      </c>
      <c r="G5522" s="3">
        <f>VLOOKUP(B5522,airports!A:H,8,FALSE)</f>
        <v>-157.92240720000001</v>
      </c>
      <c r="H5522">
        <f t="shared" si="172"/>
        <v>4183.6000000000004</v>
      </c>
      <c r="I5522">
        <f t="shared" si="173"/>
        <v>2599.6999999999998</v>
      </c>
    </row>
    <row r="5523" spans="1:9" ht="30" x14ac:dyDescent="0.25">
      <c r="A5523" s="5" t="s">
        <v>94</v>
      </c>
      <c r="B5523" s="5" t="s">
        <v>205</v>
      </c>
      <c r="C5523" s="5" t="s">
        <v>6002</v>
      </c>
      <c r="D5523" s="3">
        <f>VLOOKUP(A5523,airports!A:H,7,FALSE)</f>
        <v>34.055999999999997</v>
      </c>
      <c r="E5523" s="3">
        <f>VLOOKUP(A5523,airports!A:H,8,FALSE)</f>
        <v>-117.6011944</v>
      </c>
      <c r="F5523" s="3">
        <f>VLOOKUP(B5523,airports!A:H,7,FALSE)</f>
        <v>29.64541861</v>
      </c>
      <c r="G5523" s="3">
        <f>VLOOKUP(B5523,airports!A:H,8,FALSE)</f>
        <v>-95.278888890000005</v>
      </c>
      <c r="H5523">
        <f t="shared" si="172"/>
        <v>2159.9</v>
      </c>
      <c r="I5523">
        <f t="shared" si="173"/>
        <v>1342.2</v>
      </c>
    </row>
    <row r="5524" spans="1:9" ht="30" x14ac:dyDescent="0.25">
      <c r="A5524" s="5" t="s">
        <v>94</v>
      </c>
      <c r="B5524" s="5" t="s">
        <v>67</v>
      </c>
      <c r="C5524" s="5" t="s">
        <v>6003</v>
      </c>
      <c r="D5524" s="3">
        <f>VLOOKUP(A5524,airports!A:H,7,FALSE)</f>
        <v>34.055999999999997</v>
      </c>
      <c r="E5524" s="3">
        <f>VLOOKUP(A5524,airports!A:H,8,FALSE)</f>
        <v>-117.6011944</v>
      </c>
      <c r="F5524" s="3">
        <f>VLOOKUP(B5524,airports!A:H,7,FALSE)</f>
        <v>29.980472219999999</v>
      </c>
      <c r="G5524" s="3">
        <f>VLOOKUP(B5524,airports!A:H,8,FALSE)</f>
        <v>-95.339722219999999</v>
      </c>
      <c r="H5524">
        <f t="shared" si="172"/>
        <v>2142.6</v>
      </c>
      <c r="I5524">
        <f t="shared" si="173"/>
        <v>1331.4</v>
      </c>
    </row>
    <row r="5525" spans="1:9" ht="30" x14ac:dyDescent="0.25">
      <c r="A5525" s="5" t="s">
        <v>94</v>
      </c>
      <c r="B5525" s="5" t="s">
        <v>69</v>
      </c>
      <c r="C5525" s="5" t="s">
        <v>6004</v>
      </c>
      <c r="D5525" s="3">
        <f>VLOOKUP(A5525,airports!A:H,7,FALSE)</f>
        <v>34.055999999999997</v>
      </c>
      <c r="E5525" s="3">
        <f>VLOOKUP(A5525,airports!A:H,8,FALSE)</f>
        <v>-117.6011944</v>
      </c>
      <c r="F5525" s="3">
        <f>VLOOKUP(B5525,airports!A:H,7,FALSE)</f>
        <v>40.639751109999999</v>
      </c>
      <c r="G5525" s="3">
        <f>VLOOKUP(B5525,airports!A:H,8,FALSE)</f>
        <v>-73.778925560000005</v>
      </c>
      <c r="H5525">
        <f t="shared" si="172"/>
        <v>3901.1</v>
      </c>
      <c r="I5525">
        <f t="shared" si="173"/>
        <v>2424.1999999999998</v>
      </c>
    </row>
    <row r="5526" spans="1:9" ht="30" x14ac:dyDescent="0.25">
      <c r="A5526" s="5" t="s">
        <v>94</v>
      </c>
      <c r="B5526" s="5" t="s">
        <v>71</v>
      </c>
      <c r="C5526" s="5" t="s">
        <v>6005</v>
      </c>
      <c r="D5526" s="3">
        <f>VLOOKUP(A5526,airports!A:H,7,FALSE)</f>
        <v>34.055999999999997</v>
      </c>
      <c r="E5526" s="3">
        <f>VLOOKUP(A5526,airports!A:H,8,FALSE)</f>
        <v>-117.6011944</v>
      </c>
      <c r="F5526" s="3">
        <f>VLOOKUP(B5526,airports!A:H,7,FALSE)</f>
        <v>36.080361109999998</v>
      </c>
      <c r="G5526" s="3">
        <f>VLOOKUP(B5526,airports!A:H,8,FALSE)</f>
        <v>-115.1523333</v>
      </c>
      <c r="H5526">
        <f t="shared" si="172"/>
        <v>316.7</v>
      </c>
      <c r="I5526">
        <f t="shared" si="173"/>
        <v>196.8</v>
      </c>
    </row>
    <row r="5527" spans="1:9" ht="30" x14ac:dyDescent="0.25">
      <c r="A5527" s="5" t="s">
        <v>94</v>
      </c>
      <c r="B5527" s="5" t="s">
        <v>742</v>
      </c>
      <c r="C5527" s="5" t="s">
        <v>6006</v>
      </c>
      <c r="D5527" s="3">
        <f>VLOOKUP(A5527,airports!A:H,7,FALSE)</f>
        <v>34.055999999999997</v>
      </c>
      <c r="E5527" s="3">
        <f>VLOOKUP(A5527,airports!A:H,8,FALSE)</f>
        <v>-117.6011944</v>
      </c>
      <c r="F5527" s="3">
        <f>VLOOKUP(B5527,airports!A:H,7,FALSE)</f>
        <v>33.81772222</v>
      </c>
      <c r="G5527" s="3">
        <f>VLOOKUP(B5527,airports!A:H,8,FALSE)</f>
        <v>-118.1516111</v>
      </c>
      <c r="H5527">
        <f t="shared" si="172"/>
        <v>57.3</v>
      </c>
      <c r="I5527">
        <f t="shared" si="173"/>
        <v>35.6</v>
      </c>
    </row>
    <row r="5528" spans="1:9" ht="30" x14ac:dyDescent="0.25">
      <c r="A5528" s="5" t="s">
        <v>94</v>
      </c>
      <c r="B5528" s="5" t="s">
        <v>82</v>
      </c>
      <c r="C5528" s="5" t="s">
        <v>6007</v>
      </c>
      <c r="D5528" s="3">
        <f>VLOOKUP(A5528,airports!A:H,7,FALSE)</f>
        <v>34.055999999999997</v>
      </c>
      <c r="E5528" s="3">
        <f>VLOOKUP(A5528,airports!A:H,8,FALSE)</f>
        <v>-117.6011944</v>
      </c>
      <c r="F5528" s="3">
        <f>VLOOKUP(B5528,airports!A:H,7,FALSE)</f>
        <v>28.42888889</v>
      </c>
      <c r="G5528" s="3">
        <f>VLOOKUP(B5528,airports!A:H,8,FALSE)</f>
        <v>-81.316027779999999</v>
      </c>
      <c r="H5528">
        <f t="shared" si="172"/>
        <v>3487.3</v>
      </c>
      <c r="I5528">
        <f t="shared" si="173"/>
        <v>2167</v>
      </c>
    </row>
    <row r="5529" spans="1:9" ht="30" x14ac:dyDescent="0.25">
      <c r="A5529" s="5" t="s">
        <v>94</v>
      </c>
      <c r="B5529" s="5" t="s">
        <v>180</v>
      </c>
      <c r="C5529" s="5" t="s">
        <v>6008</v>
      </c>
      <c r="D5529" s="3">
        <f>VLOOKUP(A5529,airports!A:H,7,FALSE)</f>
        <v>34.055999999999997</v>
      </c>
      <c r="E5529" s="3">
        <f>VLOOKUP(A5529,airports!A:H,8,FALSE)</f>
        <v>-117.6011944</v>
      </c>
      <c r="F5529" s="3">
        <f>VLOOKUP(B5529,airports!A:H,7,FALSE)</f>
        <v>41.785982500000003</v>
      </c>
      <c r="G5529" s="3">
        <f>VLOOKUP(B5529,airports!A:H,8,FALSE)</f>
        <v>-87.752424439999999</v>
      </c>
      <c r="H5529">
        <f t="shared" si="172"/>
        <v>2739.6</v>
      </c>
      <c r="I5529">
        <f t="shared" si="173"/>
        <v>1702.4</v>
      </c>
    </row>
    <row r="5530" spans="1:9" ht="30" x14ac:dyDescent="0.25">
      <c r="A5530" s="5" t="s">
        <v>94</v>
      </c>
      <c r="B5530" s="5" t="s">
        <v>215</v>
      </c>
      <c r="C5530" s="5" t="s">
        <v>6009</v>
      </c>
      <c r="D5530" s="3">
        <f>VLOOKUP(A5530,airports!A:H,7,FALSE)</f>
        <v>34.055999999999997</v>
      </c>
      <c r="E5530" s="3">
        <f>VLOOKUP(A5530,airports!A:H,8,FALSE)</f>
        <v>-117.6011944</v>
      </c>
      <c r="F5530" s="3">
        <f>VLOOKUP(B5530,airports!A:H,7,FALSE)</f>
        <v>37.721290830000001</v>
      </c>
      <c r="G5530" s="3">
        <f>VLOOKUP(B5530,airports!A:H,8,FALSE)</f>
        <v>-122.2207167</v>
      </c>
      <c r="H5530">
        <f t="shared" si="172"/>
        <v>582.29999999999995</v>
      </c>
      <c r="I5530">
        <f t="shared" si="173"/>
        <v>361.9</v>
      </c>
    </row>
    <row r="5531" spans="1:9" ht="30" x14ac:dyDescent="0.25">
      <c r="A5531" s="5" t="s">
        <v>94</v>
      </c>
      <c r="B5531" s="5" t="s">
        <v>95</v>
      </c>
      <c r="C5531" s="5" t="s">
        <v>6010</v>
      </c>
      <c r="D5531" s="3">
        <f>VLOOKUP(A5531,airports!A:H,7,FALSE)</f>
        <v>34.055999999999997</v>
      </c>
      <c r="E5531" s="3">
        <f>VLOOKUP(A5531,airports!A:H,8,FALSE)</f>
        <v>-117.6011944</v>
      </c>
      <c r="F5531" s="3">
        <f>VLOOKUP(B5531,airports!A:H,7,FALSE)</f>
        <v>41.979595000000003</v>
      </c>
      <c r="G5531" s="3">
        <f>VLOOKUP(B5531,airports!A:H,8,FALSE)</f>
        <v>-87.904464169999997</v>
      </c>
      <c r="H5531">
        <f t="shared" si="172"/>
        <v>2730.4</v>
      </c>
      <c r="I5531">
        <f t="shared" si="173"/>
        <v>1696.7</v>
      </c>
    </row>
    <row r="5532" spans="1:9" ht="30" x14ac:dyDescent="0.25">
      <c r="A5532" s="5" t="s">
        <v>94</v>
      </c>
      <c r="B5532" s="5" t="s">
        <v>100</v>
      </c>
      <c r="C5532" s="5" t="s">
        <v>6011</v>
      </c>
      <c r="D5532" s="3">
        <f>VLOOKUP(A5532,airports!A:H,7,FALSE)</f>
        <v>34.055999999999997</v>
      </c>
      <c r="E5532" s="3">
        <f>VLOOKUP(A5532,airports!A:H,8,FALSE)</f>
        <v>-117.6011944</v>
      </c>
      <c r="F5532" s="3">
        <f>VLOOKUP(B5532,airports!A:H,7,FALSE)</f>
        <v>45.588722220000001</v>
      </c>
      <c r="G5532" s="3">
        <f>VLOOKUP(B5532,airports!A:H,8,FALSE)</f>
        <v>-122.5975</v>
      </c>
      <c r="H5532">
        <f t="shared" si="172"/>
        <v>1350.8</v>
      </c>
      <c r="I5532">
        <f t="shared" si="173"/>
        <v>839.4</v>
      </c>
    </row>
    <row r="5533" spans="1:9" ht="30" x14ac:dyDescent="0.25">
      <c r="A5533" s="5" t="s">
        <v>94</v>
      </c>
      <c r="B5533" s="5" t="s">
        <v>104</v>
      </c>
      <c r="C5533" s="5" t="s">
        <v>6012</v>
      </c>
      <c r="D5533" s="3">
        <f>VLOOKUP(A5533,airports!A:H,7,FALSE)</f>
        <v>34.055999999999997</v>
      </c>
      <c r="E5533" s="3">
        <f>VLOOKUP(A5533,airports!A:H,8,FALSE)</f>
        <v>-117.6011944</v>
      </c>
      <c r="F5533" s="3">
        <f>VLOOKUP(B5533,airports!A:H,7,FALSE)</f>
        <v>33.434166670000003</v>
      </c>
      <c r="G5533" s="3">
        <f>VLOOKUP(B5533,airports!A:H,8,FALSE)</f>
        <v>-112.00805560000001</v>
      </c>
      <c r="H5533">
        <f t="shared" si="172"/>
        <v>521.70000000000005</v>
      </c>
      <c r="I5533">
        <f t="shared" si="173"/>
        <v>324.2</v>
      </c>
    </row>
    <row r="5534" spans="1:9" ht="30" x14ac:dyDescent="0.25">
      <c r="A5534" s="5" t="s">
        <v>94</v>
      </c>
      <c r="B5534" s="5" t="s">
        <v>125</v>
      </c>
      <c r="C5534" s="5" t="s">
        <v>6013</v>
      </c>
      <c r="D5534" s="3">
        <f>VLOOKUP(A5534,airports!A:H,7,FALSE)</f>
        <v>34.055999999999997</v>
      </c>
      <c r="E5534" s="3">
        <f>VLOOKUP(A5534,airports!A:H,8,FALSE)</f>
        <v>-117.6011944</v>
      </c>
      <c r="F5534" s="3">
        <f>VLOOKUP(B5534,airports!A:H,7,FALSE)</f>
        <v>29.533694440000001</v>
      </c>
      <c r="G5534" s="3">
        <f>VLOOKUP(B5534,airports!A:H,8,FALSE)</f>
        <v>-98.469777780000001</v>
      </c>
      <c r="H5534">
        <f t="shared" si="172"/>
        <v>1873.5</v>
      </c>
      <c r="I5534">
        <f t="shared" si="173"/>
        <v>1164.2</v>
      </c>
    </row>
    <row r="5535" spans="1:9" ht="30" x14ac:dyDescent="0.25">
      <c r="A5535" s="5" t="s">
        <v>94</v>
      </c>
      <c r="B5535" s="5" t="s">
        <v>128</v>
      </c>
      <c r="C5535" s="5" t="s">
        <v>6014</v>
      </c>
      <c r="D5535" s="3">
        <f>VLOOKUP(A5535,airports!A:H,7,FALSE)</f>
        <v>34.055999999999997</v>
      </c>
      <c r="E5535" s="3">
        <f>VLOOKUP(A5535,airports!A:H,8,FALSE)</f>
        <v>-117.6011944</v>
      </c>
      <c r="F5535" s="3">
        <f>VLOOKUP(B5535,airports!A:H,7,FALSE)</f>
        <v>47.448981940000003</v>
      </c>
      <c r="G5535" s="3">
        <f>VLOOKUP(B5535,airports!A:H,8,FALSE)</f>
        <v>-122.3093131</v>
      </c>
      <c r="H5535">
        <f t="shared" si="172"/>
        <v>1540.4</v>
      </c>
      <c r="I5535">
        <f t="shared" si="173"/>
        <v>957.2</v>
      </c>
    </row>
    <row r="5536" spans="1:9" ht="30" x14ac:dyDescent="0.25">
      <c r="A5536" s="5" t="s">
        <v>94</v>
      </c>
      <c r="B5536" s="5" t="s">
        <v>130</v>
      </c>
      <c r="C5536" s="5" t="s">
        <v>6015</v>
      </c>
      <c r="D5536" s="3">
        <f>VLOOKUP(A5536,airports!A:H,7,FALSE)</f>
        <v>34.055999999999997</v>
      </c>
      <c r="E5536" s="3">
        <f>VLOOKUP(A5536,airports!A:H,8,FALSE)</f>
        <v>-117.6011944</v>
      </c>
      <c r="F5536" s="3">
        <f>VLOOKUP(B5536,airports!A:H,7,FALSE)</f>
        <v>37.619001939999997</v>
      </c>
      <c r="G5536" s="3">
        <f>VLOOKUP(B5536,airports!A:H,8,FALSE)</f>
        <v>-122.37484329999999</v>
      </c>
      <c r="H5536">
        <f t="shared" si="172"/>
        <v>584.79999999999995</v>
      </c>
      <c r="I5536">
        <f t="shared" si="173"/>
        <v>363.4</v>
      </c>
    </row>
    <row r="5537" spans="1:9" ht="30" x14ac:dyDescent="0.25">
      <c r="A5537" s="5" t="s">
        <v>94</v>
      </c>
      <c r="B5537" s="5" t="s">
        <v>131</v>
      </c>
      <c r="C5537" s="5" t="s">
        <v>6016</v>
      </c>
      <c r="D5537" s="3">
        <f>VLOOKUP(A5537,airports!A:H,7,FALSE)</f>
        <v>34.055999999999997</v>
      </c>
      <c r="E5537" s="3">
        <f>VLOOKUP(A5537,airports!A:H,8,FALSE)</f>
        <v>-117.6011944</v>
      </c>
      <c r="F5537" s="3">
        <f>VLOOKUP(B5537,airports!A:H,7,FALSE)</f>
        <v>37.361861939999997</v>
      </c>
      <c r="G5537" s="3">
        <f>VLOOKUP(B5537,airports!A:H,8,FALSE)</f>
        <v>-121.9290089</v>
      </c>
      <c r="H5537">
        <f t="shared" si="172"/>
        <v>536.4</v>
      </c>
      <c r="I5537">
        <f t="shared" si="173"/>
        <v>333.3</v>
      </c>
    </row>
    <row r="5538" spans="1:9" ht="30" x14ac:dyDescent="0.25">
      <c r="A5538" s="5" t="s">
        <v>94</v>
      </c>
      <c r="B5538" s="5" t="s">
        <v>135</v>
      </c>
      <c r="C5538" s="5" t="s">
        <v>6017</v>
      </c>
      <c r="D5538" s="3">
        <f>VLOOKUP(A5538,airports!A:H,7,FALSE)</f>
        <v>34.055999999999997</v>
      </c>
      <c r="E5538" s="3">
        <f>VLOOKUP(A5538,airports!A:H,8,FALSE)</f>
        <v>-117.6011944</v>
      </c>
      <c r="F5538" s="3">
        <f>VLOOKUP(B5538,airports!A:H,7,FALSE)</f>
        <v>40.788387780000001</v>
      </c>
      <c r="G5538" s="3">
        <f>VLOOKUP(B5538,airports!A:H,8,FALSE)</f>
        <v>-111.97777309999999</v>
      </c>
      <c r="H5538">
        <f t="shared" si="172"/>
        <v>897.9</v>
      </c>
      <c r="I5538">
        <f t="shared" si="173"/>
        <v>557.9</v>
      </c>
    </row>
    <row r="5539" spans="1:9" ht="30" x14ac:dyDescent="0.25">
      <c r="A5539" s="5" t="s">
        <v>94</v>
      </c>
      <c r="B5539" s="5" t="s">
        <v>137</v>
      </c>
      <c r="C5539" s="5" t="s">
        <v>6018</v>
      </c>
      <c r="D5539" s="3">
        <f>VLOOKUP(A5539,airports!A:H,7,FALSE)</f>
        <v>34.055999999999997</v>
      </c>
      <c r="E5539" s="3">
        <f>VLOOKUP(A5539,airports!A:H,8,FALSE)</f>
        <v>-117.6011944</v>
      </c>
      <c r="F5539" s="3">
        <f>VLOOKUP(B5539,airports!A:H,7,FALSE)</f>
        <v>38.695421670000002</v>
      </c>
      <c r="G5539" s="3">
        <f>VLOOKUP(B5539,airports!A:H,8,FALSE)</f>
        <v>-121.59076690000001</v>
      </c>
      <c r="H5539">
        <f t="shared" si="172"/>
        <v>627.29999999999995</v>
      </c>
      <c r="I5539">
        <f t="shared" si="173"/>
        <v>389.8</v>
      </c>
    </row>
    <row r="5540" spans="1:9" ht="30" x14ac:dyDescent="0.25">
      <c r="A5540" s="5" t="s">
        <v>95</v>
      </c>
      <c r="B5540" s="5" t="s">
        <v>170</v>
      </c>
      <c r="C5540" s="5" t="s">
        <v>6019</v>
      </c>
      <c r="D5540" s="3">
        <f>VLOOKUP(A5540,airports!A:H,7,FALSE)</f>
        <v>41.979595000000003</v>
      </c>
      <c r="E5540" s="3">
        <f>VLOOKUP(A5540,airports!A:H,8,FALSE)</f>
        <v>-87.904464169999997</v>
      </c>
      <c r="F5540" s="3">
        <f>VLOOKUP(B5540,airports!A:H,7,FALSE)</f>
        <v>40.652362779999997</v>
      </c>
      <c r="G5540" s="3">
        <f>VLOOKUP(B5540,airports!A:H,8,FALSE)</f>
        <v>-75.44040167</v>
      </c>
      <c r="H5540">
        <f t="shared" si="172"/>
        <v>1050.4000000000001</v>
      </c>
      <c r="I5540">
        <f t="shared" si="173"/>
        <v>652.70000000000005</v>
      </c>
    </row>
    <row r="5541" spans="1:9" ht="30" x14ac:dyDescent="0.25">
      <c r="A5541" s="5" t="s">
        <v>95</v>
      </c>
      <c r="B5541" s="5" t="s">
        <v>2</v>
      </c>
      <c r="C5541" s="5" t="s">
        <v>6020</v>
      </c>
      <c r="D5541" s="3">
        <f>VLOOKUP(A5541,airports!A:H,7,FALSE)</f>
        <v>41.979595000000003</v>
      </c>
      <c r="E5541" s="3">
        <f>VLOOKUP(A5541,airports!A:H,8,FALSE)</f>
        <v>-87.904464169999997</v>
      </c>
      <c r="F5541" s="3">
        <f>VLOOKUP(B5541,airports!A:H,7,FALSE)</f>
        <v>35.040222219999997</v>
      </c>
      <c r="G5541" s="3">
        <f>VLOOKUP(B5541,airports!A:H,8,FALSE)</f>
        <v>-106.60919440000001</v>
      </c>
      <c r="H5541">
        <f t="shared" si="172"/>
        <v>1796</v>
      </c>
      <c r="I5541">
        <f t="shared" si="173"/>
        <v>1116</v>
      </c>
    </row>
    <row r="5542" spans="1:9" ht="30" x14ac:dyDescent="0.25">
      <c r="A5542" s="5" t="s">
        <v>95</v>
      </c>
      <c r="B5542" s="5" t="s">
        <v>5</v>
      </c>
      <c r="C5542" s="5" t="s">
        <v>6021</v>
      </c>
      <c r="D5542" s="3">
        <f>VLOOKUP(A5542,airports!A:H,7,FALSE)</f>
        <v>41.979595000000003</v>
      </c>
      <c r="E5542" s="3">
        <f>VLOOKUP(A5542,airports!A:H,8,FALSE)</f>
        <v>-87.904464169999997</v>
      </c>
      <c r="F5542" s="3">
        <f>VLOOKUP(B5542,airports!A:H,7,FALSE)</f>
        <v>41.253051939999999</v>
      </c>
      <c r="G5542" s="3">
        <f>VLOOKUP(B5542,airports!A:H,8,FALSE)</f>
        <v>-70.060181389999997</v>
      </c>
      <c r="H5542">
        <f t="shared" si="172"/>
        <v>1482.9</v>
      </c>
      <c r="I5542">
        <f t="shared" si="173"/>
        <v>921.5</v>
      </c>
    </row>
    <row r="5543" spans="1:9" ht="30" x14ac:dyDescent="0.25">
      <c r="A5543" s="5" t="s">
        <v>95</v>
      </c>
      <c r="B5543" s="5" t="s">
        <v>276</v>
      </c>
      <c r="C5543" s="5" t="s">
        <v>6022</v>
      </c>
      <c r="D5543" s="3">
        <f>VLOOKUP(A5543,airports!A:H,7,FALSE)</f>
        <v>41.979595000000003</v>
      </c>
      <c r="E5543" s="3">
        <f>VLOOKUP(A5543,airports!A:H,8,FALSE)</f>
        <v>-87.904464169999997</v>
      </c>
      <c r="F5543" s="3">
        <f>VLOOKUP(B5543,airports!A:H,7,FALSE)</f>
        <v>33.369954999999997</v>
      </c>
      <c r="G5543" s="3">
        <f>VLOOKUP(B5543,airports!A:H,8,FALSE)</f>
        <v>-81.964496109999999</v>
      </c>
      <c r="H5543">
        <f t="shared" si="172"/>
        <v>1090.0999999999999</v>
      </c>
      <c r="I5543">
        <f t="shared" si="173"/>
        <v>677.4</v>
      </c>
    </row>
    <row r="5544" spans="1:9" ht="30" x14ac:dyDescent="0.25">
      <c r="A5544" s="5" t="s">
        <v>95</v>
      </c>
      <c r="B5544" s="5" t="s">
        <v>7</v>
      </c>
      <c r="C5544" s="5" t="s">
        <v>6023</v>
      </c>
      <c r="D5544" s="3">
        <f>VLOOKUP(A5544,airports!A:H,7,FALSE)</f>
        <v>41.979595000000003</v>
      </c>
      <c r="E5544" s="3">
        <f>VLOOKUP(A5544,airports!A:H,8,FALSE)</f>
        <v>-87.904464169999997</v>
      </c>
      <c r="F5544" s="3">
        <f>VLOOKUP(B5544,airports!A:H,7,FALSE)</f>
        <v>42.748119440000004</v>
      </c>
      <c r="G5544" s="3">
        <f>VLOOKUP(B5544,airports!A:H,8,FALSE)</f>
        <v>-73.802978609999997</v>
      </c>
      <c r="H5544">
        <f t="shared" si="172"/>
        <v>1160.4000000000001</v>
      </c>
      <c r="I5544">
        <f t="shared" si="173"/>
        <v>721.1</v>
      </c>
    </row>
    <row r="5545" spans="1:9" ht="30" x14ac:dyDescent="0.25">
      <c r="A5545" s="5" t="s">
        <v>95</v>
      </c>
      <c r="B5545" s="5" t="s">
        <v>319</v>
      </c>
      <c r="C5545" s="5" t="s">
        <v>6024</v>
      </c>
      <c r="D5545" s="3">
        <f>VLOOKUP(A5545,airports!A:H,7,FALSE)</f>
        <v>41.979595000000003</v>
      </c>
      <c r="E5545" s="3">
        <f>VLOOKUP(A5545,airports!A:H,8,FALSE)</f>
        <v>-87.904464169999997</v>
      </c>
      <c r="F5545" s="3">
        <f>VLOOKUP(B5545,airports!A:H,7,FALSE)</f>
        <v>42.55708139</v>
      </c>
      <c r="G5545" s="3">
        <f>VLOOKUP(B5545,airports!A:H,8,FALSE)</f>
        <v>-92.400343609999993</v>
      </c>
      <c r="H5545">
        <f t="shared" si="172"/>
        <v>375.4</v>
      </c>
      <c r="I5545">
        <f t="shared" si="173"/>
        <v>233.3</v>
      </c>
    </row>
    <row r="5546" spans="1:9" ht="30" x14ac:dyDescent="0.25">
      <c r="A5546" s="5" t="s">
        <v>95</v>
      </c>
      <c r="B5546" s="5" t="s">
        <v>265</v>
      </c>
      <c r="C5546" s="5" t="s">
        <v>6025</v>
      </c>
      <c r="D5546" s="3">
        <f>VLOOKUP(A5546,airports!A:H,7,FALSE)</f>
        <v>41.979595000000003</v>
      </c>
      <c r="E5546" s="3">
        <f>VLOOKUP(A5546,airports!A:H,8,FALSE)</f>
        <v>-87.904464169999997</v>
      </c>
      <c r="F5546" s="3">
        <f>VLOOKUP(B5546,airports!A:H,7,FALSE)</f>
        <v>61.174320280000003</v>
      </c>
      <c r="G5546" s="3">
        <f>VLOOKUP(B5546,airports!A:H,8,FALSE)</f>
        <v>-149.99618559999999</v>
      </c>
      <c r="H5546">
        <f t="shared" si="172"/>
        <v>4568.3</v>
      </c>
      <c r="I5546">
        <f t="shared" si="173"/>
        <v>2838.8</v>
      </c>
    </row>
    <row r="5547" spans="1:9" ht="30" x14ac:dyDescent="0.25">
      <c r="A5547" s="5" t="s">
        <v>95</v>
      </c>
      <c r="B5547" s="5" t="s">
        <v>393</v>
      </c>
      <c r="C5547" s="5" t="s">
        <v>6026</v>
      </c>
      <c r="D5547" s="3">
        <f>VLOOKUP(A5547,airports!A:H,7,FALSE)</f>
        <v>41.979595000000003</v>
      </c>
      <c r="E5547" s="3">
        <f>VLOOKUP(A5547,airports!A:H,8,FALSE)</f>
        <v>-87.904464169999997</v>
      </c>
      <c r="F5547" s="3">
        <f>VLOOKUP(B5547,airports!A:H,7,FALSE)</f>
        <v>39.22316</v>
      </c>
      <c r="G5547" s="3">
        <f>VLOOKUP(B5547,airports!A:H,8,FALSE)</f>
        <v>-106.86884499999999</v>
      </c>
      <c r="H5547">
        <f t="shared" si="172"/>
        <v>1626.6</v>
      </c>
      <c r="I5547">
        <f t="shared" si="173"/>
        <v>1010.8</v>
      </c>
    </row>
    <row r="5548" spans="1:9" ht="30" x14ac:dyDescent="0.25">
      <c r="A5548" s="5" t="s">
        <v>95</v>
      </c>
      <c r="B5548" s="5" t="s">
        <v>10</v>
      </c>
      <c r="C5548" s="5" t="s">
        <v>6027</v>
      </c>
      <c r="D5548" s="3">
        <f>VLOOKUP(A5548,airports!A:H,7,FALSE)</f>
        <v>41.979595000000003</v>
      </c>
      <c r="E5548" s="3">
        <f>VLOOKUP(A5548,airports!A:H,8,FALSE)</f>
        <v>-87.904464169999997</v>
      </c>
      <c r="F5548" s="3">
        <f>VLOOKUP(B5548,airports!A:H,7,FALSE)</f>
        <v>33.640444440000003</v>
      </c>
      <c r="G5548" s="3">
        <f>VLOOKUP(B5548,airports!A:H,8,FALSE)</f>
        <v>-84.42694444</v>
      </c>
      <c r="H5548">
        <f t="shared" si="172"/>
        <v>976.1</v>
      </c>
      <c r="I5548">
        <f t="shared" si="173"/>
        <v>606.5</v>
      </c>
    </row>
    <row r="5549" spans="1:9" ht="30" x14ac:dyDescent="0.25">
      <c r="A5549" s="5" t="s">
        <v>95</v>
      </c>
      <c r="B5549" s="5" t="s">
        <v>416</v>
      </c>
      <c r="C5549" s="5" t="s">
        <v>6028</v>
      </c>
      <c r="D5549" s="3">
        <f>VLOOKUP(A5549,airports!A:H,7,FALSE)</f>
        <v>41.979595000000003</v>
      </c>
      <c r="E5549" s="3">
        <f>VLOOKUP(A5549,airports!A:H,8,FALSE)</f>
        <v>-87.904464169999997</v>
      </c>
      <c r="F5549" s="3">
        <f>VLOOKUP(B5549,airports!A:H,7,FALSE)</f>
        <v>44.257408060000003</v>
      </c>
      <c r="G5549" s="3">
        <f>VLOOKUP(B5549,airports!A:H,8,FALSE)</f>
        <v>-88.519475560000004</v>
      </c>
      <c r="H5549">
        <f t="shared" si="172"/>
        <v>258.2</v>
      </c>
      <c r="I5549">
        <f t="shared" si="173"/>
        <v>160.4</v>
      </c>
    </row>
    <row r="5550" spans="1:9" ht="30" x14ac:dyDescent="0.25">
      <c r="A5550" s="5" t="s">
        <v>95</v>
      </c>
      <c r="B5550" s="5" t="s">
        <v>690</v>
      </c>
      <c r="C5550" s="5" t="s">
        <v>6029</v>
      </c>
      <c r="D5550" s="3">
        <f>VLOOKUP(A5550,airports!A:H,7,FALSE)</f>
        <v>41.979595000000003</v>
      </c>
      <c r="E5550" s="3">
        <f>VLOOKUP(A5550,airports!A:H,8,FALSE)</f>
        <v>-87.904464169999997</v>
      </c>
      <c r="F5550" s="3">
        <f>VLOOKUP(B5550,airports!A:H,7,FALSE)</f>
        <v>44.922400000000003</v>
      </c>
      <c r="G5550" s="3">
        <f>VLOOKUP(B5550,airports!A:H,8,FALSE)</f>
        <v>-97.158000000000001</v>
      </c>
      <c r="H5550">
        <f t="shared" si="172"/>
        <v>814.9</v>
      </c>
      <c r="I5550">
        <f t="shared" si="173"/>
        <v>506.4</v>
      </c>
    </row>
    <row r="5551" spans="1:9" ht="30" x14ac:dyDescent="0.25">
      <c r="A5551" s="5" t="s">
        <v>95</v>
      </c>
      <c r="B5551" s="5" t="s">
        <v>13</v>
      </c>
      <c r="C5551" s="5" t="s">
        <v>6030</v>
      </c>
      <c r="D5551" s="3">
        <f>VLOOKUP(A5551,airports!A:H,7,FALSE)</f>
        <v>41.979595000000003</v>
      </c>
      <c r="E5551" s="3">
        <f>VLOOKUP(A5551,airports!A:H,8,FALSE)</f>
        <v>-87.904464169999997</v>
      </c>
      <c r="F5551" s="3">
        <f>VLOOKUP(B5551,airports!A:H,7,FALSE)</f>
        <v>30.194532779999999</v>
      </c>
      <c r="G5551" s="3">
        <f>VLOOKUP(B5551,airports!A:H,8,FALSE)</f>
        <v>-97.669871939999993</v>
      </c>
      <c r="H5551">
        <f t="shared" si="172"/>
        <v>1574.7</v>
      </c>
      <c r="I5551">
        <f t="shared" si="173"/>
        <v>978.5</v>
      </c>
    </row>
    <row r="5552" spans="1:9" ht="30" x14ac:dyDescent="0.25">
      <c r="A5552" s="5" t="s">
        <v>95</v>
      </c>
      <c r="B5552" s="5" t="s">
        <v>419</v>
      </c>
      <c r="C5552" s="5" t="s">
        <v>6031</v>
      </c>
      <c r="D5552" s="3">
        <f>VLOOKUP(A5552,airports!A:H,7,FALSE)</f>
        <v>41.979595000000003</v>
      </c>
      <c r="E5552" s="3">
        <f>VLOOKUP(A5552,airports!A:H,8,FALSE)</f>
        <v>-87.904464169999997</v>
      </c>
      <c r="F5552" s="3">
        <f>VLOOKUP(B5552,airports!A:H,7,FALSE)</f>
        <v>35.436194440000001</v>
      </c>
      <c r="G5552" s="3">
        <f>VLOOKUP(B5552,airports!A:H,8,FALSE)</f>
        <v>-82.54180556</v>
      </c>
      <c r="H5552">
        <f t="shared" si="172"/>
        <v>863.2</v>
      </c>
      <c r="I5552">
        <f t="shared" si="173"/>
        <v>536.4</v>
      </c>
    </row>
    <row r="5553" spans="1:9" ht="30" x14ac:dyDescent="0.25">
      <c r="A5553" s="5" t="s">
        <v>95</v>
      </c>
      <c r="B5553" s="5" t="s">
        <v>421</v>
      </c>
      <c r="C5553" s="5" t="s">
        <v>6032</v>
      </c>
      <c r="D5553" s="3">
        <f>VLOOKUP(A5553,airports!A:H,7,FALSE)</f>
        <v>41.979595000000003</v>
      </c>
      <c r="E5553" s="3">
        <f>VLOOKUP(A5553,airports!A:H,8,FALSE)</f>
        <v>-87.904464169999997</v>
      </c>
      <c r="F5553" s="3">
        <f>VLOOKUP(B5553,airports!A:H,7,FALSE)</f>
        <v>41.338149440000002</v>
      </c>
      <c r="G5553" s="3">
        <f>VLOOKUP(B5553,airports!A:H,8,FALSE)</f>
        <v>-75.724267499999996</v>
      </c>
      <c r="H5553">
        <f t="shared" si="172"/>
        <v>1013.5</v>
      </c>
      <c r="I5553">
        <f t="shared" si="173"/>
        <v>629.79999999999995</v>
      </c>
    </row>
    <row r="5554" spans="1:9" ht="30" x14ac:dyDescent="0.25">
      <c r="A5554" s="5" t="s">
        <v>95</v>
      </c>
      <c r="B5554" s="5" t="s">
        <v>919</v>
      </c>
      <c r="C5554" s="5" t="s">
        <v>6033</v>
      </c>
      <c r="D5554" s="3">
        <f>VLOOKUP(A5554,airports!A:H,7,FALSE)</f>
        <v>41.979595000000003</v>
      </c>
      <c r="E5554" s="3">
        <f>VLOOKUP(A5554,airports!A:H,8,FALSE)</f>
        <v>-87.904464169999997</v>
      </c>
      <c r="F5554" s="3">
        <f>VLOOKUP(B5554,airports!A:H,7,FALSE)</f>
        <v>42.234875000000002</v>
      </c>
      <c r="G5554" s="3">
        <f>VLOOKUP(B5554,airports!A:H,8,FALSE)</f>
        <v>-85.552057500000004</v>
      </c>
      <c r="H5554">
        <f t="shared" si="172"/>
        <v>196.1</v>
      </c>
      <c r="I5554">
        <f t="shared" si="173"/>
        <v>121.9</v>
      </c>
    </row>
    <row r="5555" spans="1:9" ht="30" x14ac:dyDescent="0.25">
      <c r="A5555" s="5" t="s">
        <v>95</v>
      </c>
      <c r="B5555" s="5" t="s">
        <v>16</v>
      </c>
      <c r="C5555" s="5" t="s">
        <v>6034</v>
      </c>
      <c r="D5555" s="3">
        <f>VLOOKUP(A5555,airports!A:H,7,FALSE)</f>
        <v>41.979595000000003</v>
      </c>
      <c r="E5555" s="3">
        <f>VLOOKUP(A5555,airports!A:H,8,FALSE)</f>
        <v>-87.904464169999997</v>
      </c>
      <c r="F5555" s="3">
        <f>VLOOKUP(B5555,airports!A:H,7,FALSE)</f>
        <v>41.938874169999998</v>
      </c>
      <c r="G5555" s="3">
        <f>VLOOKUP(B5555,airports!A:H,8,FALSE)</f>
        <v>-72.683228330000006</v>
      </c>
      <c r="H5555">
        <f t="shared" si="172"/>
        <v>1256.9000000000001</v>
      </c>
      <c r="I5555">
        <f t="shared" si="173"/>
        <v>781.1</v>
      </c>
    </row>
    <row r="5556" spans="1:9" ht="30" x14ac:dyDescent="0.25">
      <c r="A5556" s="5" t="s">
        <v>95</v>
      </c>
      <c r="B5556" s="5" t="s">
        <v>970</v>
      </c>
      <c r="C5556" s="5" t="s">
        <v>6035</v>
      </c>
      <c r="D5556" s="3">
        <f>VLOOKUP(A5556,airports!A:H,7,FALSE)</f>
        <v>41.979595000000003</v>
      </c>
      <c r="E5556" s="3">
        <f>VLOOKUP(A5556,airports!A:H,8,FALSE)</f>
        <v>-87.904464169999997</v>
      </c>
      <c r="F5556" s="3">
        <f>VLOOKUP(B5556,airports!A:H,7,FALSE)</f>
        <v>30.6371</v>
      </c>
      <c r="G5556" s="3">
        <f>VLOOKUP(B5556,airports!A:H,8,FALSE)</f>
        <v>-88.078800000000001</v>
      </c>
      <c r="H5556">
        <f t="shared" si="172"/>
        <v>1261.3</v>
      </c>
      <c r="I5556">
        <f t="shared" si="173"/>
        <v>783.8</v>
      </c>
    </row>
    <row r="5557" spans="1:9" ht="30" x14ac:dyDescent="0.25">
      <c r="A5557" s="5" t="s">
        <v>95</v>
      </c>
      <c r="B5557" s="5" t="s">
        <v>233</v>
      </c>
      <c r="C5557" s="5" t="s">
        <v>6036</v>
      </c>
      <c r="D5557" s="3">
        <f>VLOOKUP(A5557,airports!A:H,7,FALSE)</f>
        <v>41.979595000000003</v>
      </c>
      <c r="E5557" s="3">
        <f>VLOOKUP(A5557,airports!A:H,8,FALSE)</f>
        <v>-87.904464169999997</v>
      </c>
      <c r="F5557" s="3">
        <f>VLOOKUP(B5557,airports!A:H,7,FALSE)</f>
        <v>44.807444439999998</v>
      </c>
      <c r="G5557" s="3">
        <f>VLOOKUP(B5557,airports!A:H,8,FALSE)</f>
        <v>-68.828138890000005</v>
      </c>
      <c r="H5557">
        <f t="shared" si="172"/>
        <v>1569.2</v>
      </c>
      <c r="I5557">
        <f t="shared" si="173"/>
        <v>975.1</v>
      </c>
    </row>
    <row r="5558" spans="1:9" ht="30" x14ac:dyDescent="0.25">
      <c r="A5558" s="5" t="s">
        <v>95</v>
      </c>
      <c r="B5558" s="5" t="s">
        <v>425</v>
      </c>
      <c r="C5558" s="5" t="s">
        <v>6037</v>
      </c>
      <c r="D5558" s="3">
        <f>VLOOKUP(A5558,airports!A:H,7,FALSE)</f>
        <v>41.979595000000003</v>
      </c>
      <c r="E5558" s="3">
        <f>VLOOKUP(A5558,airports!A:H,8,FALSE)</f>
        <v>-87.904464169999997</v>
      </c>
      <c r="F5558" s="3">
        <f>VLOOKUP(B5558,airports!A:H,7,FALSE)</f>
        <v>33.562943060000002</v>
      </c>
      <c r="G5558" s="3">
        <f>VLOOKUP(B5558,airports!A:H,8,FALSE)</f>
        <v>-86.753549719999995</v>
      </c>
      <c r="H5558">
        <f t="shared" si="172"/>
        <v>941.3</v>
      </c>
      <c r="I5558">
        <f t="shared" si="173"/>
        <v>584.9</v>
      </c>
    </row>
    <row r="5559" spans="1:9" x14ac:dyDescent="0.25">
      <c r="A5559" s="5" t="s">
        <v>95</v>
      </c>
      <c r="B5559" s="5" t="s">
        <v>836</v>
      </c>
      <c r="C5559" s="5" t="s">
        <v>6038</v>
      </c>
      <c r="D5559" s="3">
        <f>VLOOKUP(A5559,airports!A:H,7,FALSE)</f>
        <v>41.979595000000003</v>
      </c>
      <c r="E5559" s="3">
        <f>VLOOKUP(A5559,airports!A:H,8,FALSE)</f>
        <v>-87.904464169999997</v>
      </c>
      <c r="F5559" s="3">
        <f>VLOOKUP(B5559,airports!A:H,7,FALSE)</f>
        <v>45.807662499999999</v>
      </c>
      <c r="G5559" s="3">
        <f>VLOOKUP(B5559,airports!A:H,8,FALSE)</f>
        <v>-108.5428611</v>
      </c>
      <c r="H5559">
        <f t="shared" si="172"/>
        <v>1702.3</v>
      </c>
      <c r="I5559">
        <f t="shared" si="173"/>
        <v>1057.9000000000001</v>
      </c>
    </row>
    <row r="5560" spans="1:9" x14ac:dyDescent="0.25">
      <c r="A5560" s="5" t="s">
        <v>95</v>
      </c>
      <c r="B5560" s="5" t="s">
        <v>838</v>
      </c>
      <c r="C5560" s="5" t="s">
        <v>6039</v>
      </c>
      <c r="D5560" s="3">
        <f>VLOOKUP(A5560,airports!A:H,7,FALSE)</f>
        <v>41.979595000000003</v>
      </c>
      <c r="E5560" s="3">
        <f>VLOOKUP(A5560,airports!A:H,8,FALSE)</f>
        <v>-87.904464169999997</v>
      </c>
      <c r="F5560" s="3">
        <f>VLOOKUP(B5560,airports!A:H,7,FALSE)</f>
        <v>46.77411111</v>
      </c>
      <c r="G5560" s="3">
        <f>VLOOKUP(B5560,airports!A:H,8,FALSE)</f>
        <v>-100.74672219999999</v>
      </c>
      <c r="H5560">
        <f t="shared" si="172"/>
        <v>1149.5999999999999</v>
      </c>
      <c r="I5560">
        <f t="shared" si="173"/>
        <v>714.3</v>
      </c>
    </row>
    <row r="5561" spans="1:9" ht="30" x14ac:dyDescent="0.25">
      <c r="A5561" s="5" t="s">
        <v>95</v>
      </c>
      <c r="B5561" s="5" t="s">
        <v>1054</v>
      </c>
      <c r="C5561" s="5" t="s">
        <v>6040</v>
      </c>
      <c r="D5561" s="3">
        <f>VLOOKUP(A5561,airports!A:H,7,FALSE)</f>
        <v>41.979595000000003</v>
      </c>
      <c r="E5561" s="3">
        <f>VLOOKUP(A5561,airports!A:H,8,FALSE)</f>
        <v>-87.904464169999997</v>
      </c>
      <c r="F5561" s="3">
        <f>VLOOKUP(B5561,airports!A:H,7,FALSE)</f>
        <v>36.532082000000003</v>
      </c>
      <c r="G5561" s="3">
        <f>VLOOKUP(B5561,airports!A:H,8,FALSE)</f>
        <v>-93.200543999999994</v>
      </c>
      <c r="H5561">
        <f t="shared" si="172"/>
        <v>757.8</v>
      </c>
      <c r="I5561">
        <f t="shared" si="173"/>
        <v>470.9</v>
      </c>
    </row>
    <row r="5562" spans="1:9" ht="30" x14ac:dyDescent="0.25">
      <c r="A5562" s="5" t="s">
        <v>95</v>
      </c>
      <c r="B5562" s="5" t="s">
        <v>427</v>
      </c>
      <c r="C5562" s="5" t="s">
        <v>6041</v>
      </c>
      <c r="D5562" s="3">
        <f>VLOOKUP(A5562,airports!A:H,7,FALSE)</f>
        <v>41.979595000000003</v>
      </c>
      <c r="E5562" s="3">
        <f>VLOOKUP(A5562,airports!A:H,8,FALSE)</f>
        <v>-87.904464169999997</v>
      </c>
      <c r="F5562" s="3">
        <f>VLOOKUP(B5562,airports!A:H,7,FALSE)</f>
        <v>40.47798556</v>
      </c>
      <c r="G5562" s="3">
        <f>VLOOKUP(B5562,airports!A:H,8,FALSE)</f>
        <v>-88.915952779999998</v>
      </c>
      <c r="H5562">
        <f t="shared" si="172"/>
        <v>187.2</v>
      </c>
      <c r="I5562">
        <f t="shared" si="173"/>
        <v>116.3</v>
      </c>
    </row>
    <row r="5563" spans="1:9" ht="30" x14ac:dyDescent="0.25">
      <c r="A5563" s="5" t="s">
        <v>95</v>
      </c>
      <c r="B5563" s="5" t="s">
        <v>19</v>
      </c>
      <c r="C5563" s="5" t="s">
        <v>6042</v>
      </c>
      <c r="D5563" s="3">
        <f>VLOOKUP(A5563,airports!A:H,7,FALSE)</f>
        <v>41.979595000000003</v>
      </c>
      <c r="E5563" s="3">
        <f>VLOOKUP(A5563,airports!A:H,8,FALSE)</f>
        <v>-87.904464169999997</v>
      </c>
      <c r="F5563" s="3">
        <f>VLOOKUP(B5563,airports!A:H,7,FALSE)</f>
        <v>36.12447667</v>
      </c>
      <c r="G5563" s="3">
        <f>VLOOKUP(B5563,airports!A:H,8,FALSE)</f>
        <v>-86.678182219999997</v>
      </c>
      <c r="H5563">
        <f t="shared" si="172"/>
        <v>659.6</v>
      </c>
      <c r="I5563">
        <f t="shared" si="173"/>
        <v>409.9</v>
      </c>
    </row>
    <row r="5564" spans="1:9" ht="30" x14ac:dyDescent="0.25">
      <c r="A5564" s="5" t="s">
        <v>95</v>
      </c>
      <c r="B5564" s="5" t="s">
        <v>22</v>
      </c>
      <c r="C5564" s="5" t="s">
        <v>6043</v>
      </c>
      <c r="D5564" s="3">
        <f>VLOOKUP(A5564,airports!A:H,7,FALSE)</f>
        <v>41.979595000000003</v>
      </c>
      <c r="E5564" s="3">
        <f>VLOOKUP(A5564,airports!A:H,8,FALSE)</f>
        <v>-87.904464169999997</v>
      </c>
      <c r="F5564" s="3">
        <f>VLOOKUP(B5564,airports!A:H,7,FALSE)</f>
        <v>43.564444440000003</v>
      </c>
      <c r="G5564" s="3">
        <f>VLOOKUP(B5564,airports!A:H,8,FALSE)</f>
        <v>-116.2227778</v>
      </c>
      <c r="H5564">
        <f t="shared" si="172"/>
        <v>2307</v>
      </c>
      <c r="I5564">
        <f t="shared" si="173"/>
        <v>1433.6</v>
      </c>
    </row>
    <row r="5565" spans="1:9" ht="30" x14ac:dyDescent="0.25">
      <c r="A5565" s="5" t="s">
        <v>95</v>
      </c>
      <c r="B5565" s="5" t="s">
        <v>24</v>
      </c>
      <c r="C5565" s="5" t="s">
        <v>6044</v>
      </c>
      <c r="D5565" s="3">
        <f>VLOOKUP(A5565,airports!A:H,7,FALSE)</f>
        <v>41.979595000000003</v>
      </c>
      <c r="E5565" s="3">
        <f>VLOOKUP(A5565,airports!A:H,8,FALSE)</f>
        <v>-87.904464169999997</v>
      </c>
      <c r="F5565" s="3">
        <f>VLOOKUP(B5565,airports!A:H,7,FALSE)</f>
        <v>42.364347500000001</v>
      </c>
      <c r="G5565" s="3">
        <f>VLOOKUP(B5565,airports!A:H,8,FALSE)</f>
        <v>-71.005179170000005</v>
      </c>
      <c r="H5565">
        <f t="shared" si="172"/>
        <v>1391</v>
      </c>
      <c r="I5565">
        <f t="shared" si="173"/>
        <v>864.4</v>
      </c>
    </row>
    <row r="5566" spans="1:9" ht="30" x14ac:dyDescent="0.25">
      <c r="A5566" s="5" t="s">
        <v>95</v>
      </c>
      <c r="B5566" s="5" t="s">
        <v>1327</v>
      </c>
      <c r="C5566" s="5" t="s">
        <v>6045</v>
      </c>
      <c r="D5566" s="3">
        <f>VLOOKUP(A5566,airports!A:H,7,FALSE)</f>
        <v>41.979595000000003</v>
      </c>
      <c r="E5566" s="3">
        <f>VLOOKUP(A5566,airports!A:H,8,FALSE)</f>
        <v>-87.904464169999997</v>
      </c>
      <c r="F5566" s="3">
        <f>VLOOKUP(B5566,airports!A:H,7,FALSE)</f>
        <v>25.906833330000001</v>
      </c>
      <c r="G5566" s="3">
        <f>VLOOKUP(B5566,airports!A:H,8,FALSE)</f>
        <v>-97.42586111</v>
      </c>
      <c r="H5566">
        <f t="shared" si="172"/>
        <v>1988.2</v>
      </c>
      <c r="I5566">
        <f t="shared" si="173"/>
        <v>1235.5</v>
      </c>
    </row>
    <row r="5567" spans="1:9" ht="30" x14ac:dyDescent="0.25">
      <c r="A5567" s="5" t="s">
        <v>95</v>
      </c>
      <c r="B5567" s="5" t="s">
        <v>27</v>
      </c>
      <c r="C5567" s="5" t="s">
        <v>6046</v>
      </c>
      <c r="D5567" s="3">
        <f>VLOOKUP(A5567,airports!A:H,7,FALSE)</f>
        <v>41.979595000000003</v>
      </c>
      <c r="E5567" s="3">
        <f>VLOOKUP(A5567,airports!A:H,8,FALSE)</f>
        <v>-87.904464169999997</v>
      </c>
      <c r="F5567" s="3">
        <f>VLOOKUP(B5567,airports!A:H,7,FALSE)</f>
        <v>44.473003609999999</v>
      </c>
      <c r="G5567" s="3">
        <f>VLOOKUP(B5567,airports!A:H,8,FALSE)</f>
        <v>-73.150312499999998</v>
      </c>
      <c r="H5567">
        <f t="shared" si="172"/>
        <v>1225.3</v>
      </c>
      <c r="I5567">
        <f t="shared" si="173"/>
        <v>761.4</v>
      </c>
    </row>
    <row r="5568" spans="1:9" ht="30" x14ac:dyDescent="0.25">
      <c r="A5568" s="5" t="s">
        <v>95</v>
      </c>
      <c r="B5568" s="5" t="s">
        <v>29</v>
      </c>
      <c r="C5568" s="5" t="s">
        <v>6047</v>
      </c>
      <c r="D5568" s="3">
        <f>VLOOKUP(A5568,airports!A:H,7,FALSE)</f>
        <v>41.979595000000003</v>
      </c>
      <c r="E5568" s="3">
        <f>VLOOKUP(A5568,airports!A:H,8,FALSE)</f>
        <v>-87.904464169999997</v>
      </c>
      <c r="F5568" s="3">
        <f>VLOOKUP(B5568,airports!A:H,7,FALSE)</f>
        <v>42.940524719999999</v>
      </c>
      <c r="G5568" s="3">
        <f>VLOOKUP(B5568,airports!A:H,8,FALSE)</f>
        <v>-78.732166669999998</v>
      </c>
      <c r="H5568">
        <f t="shared" si="172"/>
        <v>759.6</v>
      </c>
      <c r="I5568">
        <f t="shared" si="173"/>
        <v>472</v>
      </c>
    </row>
    <row r="5569" spans="1:9" ht="30" x14ac:dyDescent="0.25">
      <c r="A5569" s="5" t="s">
        <v>95</v>
      </c>
      <c r="B5569" s="5" t="s">
        <v>32</v>
      </c>
      <c r="C5569" s="5" t="s">
        <v>6048</v>
      </c>
      <c r="D5569" s="3">
        <f>VLOOKUP(A5569,airports!A:H,7,FALSE)</f>
        <v>41.979595000000003</v>
      </c>
      <c r="E5569" s="3">
        <f>VLOOKUP(A5569,airports!A:H,8,FALSE)</f>
        <v>-87.904464169999997</v>
      </c>
      <c r="F5569" s="3">
        <f>VLOOKUP(B5569,airports!A:H,7,FALSE)</f>
        <v>39.175401669999999</v>
      </c>
      <c r="G5569" s="3">
        <f>VLOOKUP(B5569,airports!A:H,8,FALSE)</f>
        <v>-76.668198329999996</v>
      </c>
      <c r="H5569">
        <f t="shared" si="172"/>
        <v>998</v>
      </c>
      <c r="I5569">
        <f t="shared" si="173"/>
        <v>620.20000000000005</v>
      </c>
    </row>
    <row r="5570" spans="1:9" ht="30" x14ac:dyDescent="0.25">
      <c r="A5570" s="5" t="s">
        <v>95</v>
      </c>
      <c r="B5570" s="5" t="s">
        <v>34</v>
      </c>
      <c r="C5570" s="5" t="s">
        <v>6049</v>
      </c>
      <c r="D5570" s="3">
        <f>VLOOKUP(A5570,airports!A:H,7,FALSE)</f>
        <v>41.979595000000003</v>
      </c>
      <c r="E5570" s="3">
        <f>VLOOKUP(A5570,airports!A:H,8,FALSE)</f>
        <v>-87.904464169999997</v>
      </c>
      <c r="F5570" s="3">
        <f>VLOOKUP(B5570,airports!A:H,7,FALSE)</f>
        <v>45.776901389999999</v>
      </c>
      <c r="G5570" s="3">
        <f>VLOOKUP(B5570,airports!A:H,8,FALSE)</f>
        <v>-111.1530072</v>
      </c>
      <c r="H5570">
        <f t="shared" si="172"/>
        <v>1903.3</v>
      </c>
      <c r="I5570">
        <f t="shared" si="173"/>
        <v>1182.8</v>
      </c>
    </row>
    <row r="5571" spans="1:9" ht="30" x14ac:dyDescent="0.25">
      <c r="A5571" s="5" t="s">
        <v>95</v>
      </c>
      <c r="B5571" s="5" t="s">
        <v>441</v>
      </c>
      <c r="C5571" s="5" t="s">
        <v>6050</v>
      </c>
      <c r="D5571" s="3">
        <f>VLOOKUP(A5571,airports!A:H,7,FALSE)</f>
        <v>41.979595000000003</v>
      </c>
      <c r="E5571" s="3">
        <f>VLOOKUP(A5571,airports!A:H,8,FALSE)</f>
        <v>-87.904464169999997</v>
      </c>
      <c r="F5571" s="3">
        <f>VLOOKUP(B5571,airports!A:H,7,FALSE)</f>
        <v>33.938839999999999</v>
      </c>
      <c r="G5571" s="3">
        <f>VLOOKUP(B5571,airports!A:H,8,FALSE)</f>
        <v>-81.119539439999997</v>
      </c>
      <c r="H5571">
        <f t="shared" si="172"/>
        <v>1073.0999999999999</v>
      </c>
      <c r="I5571">
        <f t="shared" si="173"/>
        <v>666.8</v>
      </c>
    </row>
    <row r="5572" spans="1:9" ht="30" x14ac:dyDescent="0.25">
      <c r="A5572" s="5" t="s">
        <v>95</v>
      </c>
      <c r="B5572" s="5" t="s">
        <v>443</v>
      </c>
      <c r="C5572" s="5" t="s">
        <v>6051</v>
      </c>
      <c r="D5572" s="3">
        <f>VLOOKUP(A5572,airports!A:H,7,FALSE)</f>
        <v>41.979595000000003</v>
      </c>
      <c r="E5572" s="3">
        <f>VLOOKUP(A5572,airports!A:H,8,FALSE)</f>
        <v>-87.904464169999997</v>
      </c>
      <c r="F5572" s="3">
        <f>VLOOKUP(B5572,airports!A:H,7,FALSE)</f>
        <v>40.91631194</v>
      </c>
      <c r="G5572" s="3">
        <f>VLOOKUP(B5572,airports!A:H,8,FALSE)</f>
        <v>-81.442465560000002</v>
      </c>
      <c r="H5572">
        <f t="shared" ref="H5572:H5635" si="174">ROUND(ACOS(COS(RADIANS(90-D5572)) * COS(RADIANS(90-F5572)) + SIN(RADIANS(90-D5572)) * SIN(RADIANS(90-F5572)) * COS(RADIANS(E5572-G5572))) * 6371,1)</f>
        <v>551.29999999999995</v>
      </c>
      <c r="I5572">
        <f t="shared" ref="I5572:I5635" si="175">ROUND(ACOS(COS(RADIANS(90-D5572)) * COS(RADIANS(90-F5572)) + SIN(RADIANS(90-D5572)) * SIN(RADIANS(90-F5572)) * COS(RADIANS(E5572-G5572))) * 3959,1)</f>
        <v>342.6</v>
      </c>
    </row>
    <row r="5573" spans="1:9" ht="30" x14ac:dyDescent="0.25">
      <c r="A5573" s="5" t="s">
        <v>95</v>
      </c>
      <c r="B5573" s="5" t="s">
        <v>1561</v>
      </c>
      <c r="C5573" s="5" t="s">
        <v>6052</v>
      </c>
      <c r="D5573" s="3">
        <f>VLOOKUP(A5573,airports!A:H,7,FALSE)</f>
        <v>41.979595000000003</v>
      </c>
      <c r="E5573" s="3">
        <f>VLOOKUP(A5573,airports!A:H,8,FALSE)</f>
        <v>-87.904464169999997</v>
      </c>
      <c r="F5573" s="3">
        <f>VLOOKUP(B5573,airports!A:H,7,FALSE)</f>
        <v>37.225299999999997</v>
      </c>
      <c r="G5573" s="3">
        <f>VLOOKUP(B5573,airports!A:H,8,FALSE)</f>
        <v>-89.570801000000003</v>
      </c>
      <c r="H5573">
        <f t="shared" si="174"/>
        <v>547.6</v>
      </c>
      <c r="I5573">
        <f t="shared" si="175"/>
        <v>340.3</v>
      </c>
    </row>
    <row r="5574" spans="1:9" ht="30" x14ac:dyDescent="0.25">
      <c r="A5574" s="5" t="s">
        <v>95</v>
      </c>
      <c r="B5574" s="5" t="s">
        <v>445</v>
      </c>
      <c r="C5574" s="5" t="s">
        <v>6053</v>
      </c>
      <c r="D5574" s="3">
        <f>VLOOKUP(A5574,airports!A:H,7,FALSE)</f>
        <v>41.979595000000003</v>
      </c>
      <c r="E5574" s="3">
        <f>VLOOKUP(A5574,airports!A:H,8,FALSE)</f>
        <v>-87.904464169999997</v>
      </c>
      <c r="F5574" s="3">
        <f>VLOOKUP(B5574,airports!A:H,7,FALSE)</f>
        <v>35.035268330000001</v>
      </c>
      <c r="G5574" s="3">
        <f>VLOOKUP(B5574,airports!A:H,8,FALSE)</f>
        <v>-85.203787779999999</v>
      </c>
      <c r="H5574">
        <f t="shared" si="174"/>
        <v>807</v>
      </c>
      <c r="I5574">
        <f t="shared" si="175"/>
        <v>501.5</v>
      </c>
    </row>
    <row r="5575" spans="1:9" ht="30" x14ac:dyDescent="0.25">
      <c r="A5575" s="5" t="s">
        <v>95</v>
      </c>
      <c r="B5575" s="5" t="s">
        <v>447</v>
      </c>
      <c r="C5575" s="5" t="s">
        <v>6054</v>
      </c>
      <c r="D5575" s="3">
        <f>VLOOKUP(A5575,airports!A:H,7,FALSE)</f>
        <v>41.979595000000003</v>
      </c>
      <c r="E5575" s="3">
        <f>VLOOKUP(A5575,airports!A:H,8,FALSE)</f>
        <v>-87.904464169999997</v>
      </c>
      <c r="F5575" s="3">
        <f>VLOOKUP(B5575,airports!A:H,7,FALSE)</f>
        <v>38.138638890000003</v>
      </c>
      <c r="G5575" s="3">
        <f>VLOOKUP(B5575,airports!A:H,8,FALSE)</f>
        <v>-78.452861110000001</v>
      </c>
      <c r="H5575">
        <f t="shared" si="174"/>
        <v>910</v>
      </c>
      <c r="I5575">
        <f t="shared" si="175"/>
        <v>565.5</v>
      </c>
    </row>
    <row r="5576" spans="1:9" ht="30" x14ac:dyDescent="0.25">
      <c r="A5576" s="5" t="s">
        <v>95</v>
      </c>
      <c r="B5576" s="5" t="s">
        <v>36</v>
      </c>
      <c r="C5576" s="5" t="s">
        <v>6055</v>
      </c>
      <c r="D5576" s="3">
        <f>VLOOKUP(A5576,airports!A:H,7,FALSE)</f>
        <v>41.979595000000003</v>
      </c>
      <c r="E5576" s="3">
        <f>VLOOKUP(A5576,airports!A:H,8,FALSE)</f>
        <v>-87.904464169999997</v>
      </c>
      <c r="F5576" s="3">
        <f>VLOOKUP(B5576,airports!A:H,7,FALSE)</f>
        <v>32.898646390000003</v>
      </c>
      <c r="G5576" s="3">
        <f>VLOOKUP(B5576,airports!A:H,8,FALSE)</f>
        <v>-80.040505830000001</v>
      </c>
      <c r="H5576">
        <f t="shared" si="174"/>
        <v>1224.2</v>
      </c>
      <c r="I5576">
        <f t="shared" si="175"/>
        <v>760.7</v>
      </c>
    </row>
    <row r="5577" spans="1:9" ht="30" x14ac:dyDescent="0.25">
      <c r="A5577" s="5" t="s">
        <v>95</v>
      </c>
      <c r="B5577" s="5" t="s">
        <v>450</v>
      </c>
      <c r="C5577" s="5" t="s">
        <v>6056</v>
      </c>
      <c r="D5577" s="3">
        <f>VLOOKUP(A5577,airports!A:H,7,FALSE)</f>
        <v>41.979595000000003</v>
      </c>
      <c r="E5577" s="3">
        <f>VLOOKUP(A5577,airports!A:H,8,FALSE)</f>
        <v>-87.904464169999997</v>
      </c>
      <c r="F5577" s="3">
        <f>VLOOKUP(B5577,airports!A:H,7,FALSE)</f>
        <v>41.88458833</v>
      </c>
      <c r="G5577" s="3">
        <f>VLOOKUP(B5577,airports!A:H,8,FALSE)</f>
        <v>-91.710872219999999</v>
      </c>
      <c r="H5577">
        <f t="shared" si="174"/>
        <v>315</v>
      </c>
      <c r="I5577">
        <f t="shared" si="175"/>
        <v>195.8</v>
      </c>
    </row>
    <row r="5578" spans="1:9" ht="30" x14ac:dyDescent="0.25">
      <c r="A5578" s="5" t="s">
        <v>95</v>
      </c>
      <c r="B5578" s="5" t="s">
        <v>1655</v>
      </c>
      <c r="C5578" s="5" t="s">
        <v>6057</v>
      </c>
      <c r="D5578" s="3">
        <f>VLOOKUP(A5578,airports!A:H,7,FALSE)</f>
        <v>41.979595000000003</v>
      </c>
      <c r="E5578" s="3">
        <f>VLOOKUP(A5578,airports!A:H,8,FALSE)</f>
        <v>-87.904464169999997</v>
      </c>
      <c r="F5578" s="3">
        <f>VLOOKUP(B5578,airports!A:H,7,FALSE)</f>
        <v>39.296599999999998</v>
      </c>
      <c r="G5578" s="3">
        <f>VLOOKUP(B5578,airports!A:H,8,FALSE)</f>
        <v>-80.228104000000002</v>
      </c>
      <c r="H5578">
        <f t="shared" si="174"/>
        <v>712.8</v>
      </c>
      <c r="I5578">
        <f t="shared" si="175"/>
        <v>442.9</v>
      </c>
    </row>
    <row r="5579" spans="1:9" ht="30" x14ac:dyDescent="0.25">
      <c r="A5579" s="5" t="s">
        <v>95</v>
      </c>
      <c r="B5579" s="5" t="s">
        <v>38</v>
      </c>
      <c r="C5579" s="5" t="s">
        <v>6058</v>
      </c>
      <c r="D5579" s="3">
        <f>VLOOKUP(A5579,airports!A:H,7,FALSE)</f>
        <v>41.979595000000003</v>
      </c>
      <c r="E5579" s="3">
        <f>VLOOKUP(A5579,airports!A:H,8,FALSE)</f>
        <v>-87.904464169999997</v>
      </c>
      <c r="F5579" s="3">
        <f>VLOOKUP(B5579,airports!A:H,7,FALSE)</f>
        <v>41.410894169999999</v>
      </c>
      <c r="G5579" s="3">
        <f>VLOOKUP(B5579,airports!A:H,8,FALSE)</f>
        <v>-81.849396670000004</v>
      </c>
      <c r="H5579">
        <f t="shared" si="174"/>
        <v>506.6</v>
      </c>
      <c r="I5579">
        <f t="shared" si="175"/>
        <v>314.8</v>
      </c>
    </row>
    <row r="5580" spans="1:9" ht="30" x14ac:dyDescent="0.25">
      <c r="A5580" s="5" t="s">
        <v>95</v>
      </c>
      <c r="B5580" s="5" t="s">
        <v>40</v>
      </c>
      <c r="C5580" s="5" t="s">
        <v>6059</v>
      </c>
      <c r="D5580" s="3">
        <f>VLOOKUP(A5580,airports!A:H,7,FALSE)</f>
        <v>41.979595000000003</v>
      </c>
      <c r="E5580" s="3">
        <f>VLOOKUP(A5580,airports!A:H,8,FALSE)</f>
        <v>-87.904464169999997</v>
      </c>
      <c r="F5580" s="3">
        <f>VLOOKUP(B5580,airports!A:H,7,FALSE)</f>
        <v>35.214011110000001</v>
      </c>
      <c r="G5580" s="3">
        <f>VLOOKUP(B5580,airports!A:H,8,FALSE)</f>
        <v>-80.94312583</v>
      </c>
      <c r="H5580">
        <f t="shared" si="174"/>
        <v>964.6</v>
      </c>
      <c r="I5580">
        <f t="shared" si="175"/>
        <v>599.4</v>
      </c>
    </row>
    <row r="5581" spans="1:9" ht="30" x14ac:dyDescent="0.25">
      <c r="A5581" s="5" t="s">
        <v>95</v>
      </c>
      <c r="B5581" s="5" t="s">
        <v>454</v>
      </c>
      <c r="C5581" s="5" t="s">
        <v>6060</v>
      </c>
      <c r="D5581" s="3">
        <f>VLOOKUP(A5581,airports!A:H,7,FALSE)</f>
        <v>41.979595000000003</v>
      </c>
      <c r="E5581" s="3">
        <f>VLOOKUP(A5581,airports!A:H,8,FALSE)</f>
        <v>-87.904464169999997</v>
      </c>
      <c r="F5581" s="3">
        <f>VLOOKUP(B5581,airports!A:H,7,FALSE)</f>
        <v>39.997985280000002</v>
      </c>
      <c r="G5581" s="3">
        <f>VLOOKUP(B5581,airports!A:H,8,FALSE)</f>
        <v>-82.891882780000003</v>
      </c>
      <c r="H5581">
        <f t="shared" si="174"/>
        <v>474.8</v>
      </c>
      <c r="I5581">
        <f t="shared" si="175"/>
        <v>295.10000000000002</v>
      </c>
    </row>
    <row r="5582" spans="1:9" ht="30" x14ac:dyDescent="0.25">
      <c r="A5582" s="5" t="s">
        <v>95</v>
      </c>
      <c r="B5582" s="5" t="s">
        <v>1754</v>
      </c>
      <c r="C5582" s="5" t="s">
        <v>6061</v>
      </c>
      <c r="D5582" s="3">
        <f>VLOOKUP(A5582,airports!A:H,7,FALSE)</f>
        <v>41.979595000000003</v>
      </c>
      <c r="E5582" s="3">
        <f>VLOOKUP(A5582,airports!A:H,8,FALSE)</f>
        <v>-87.904464169999997</v>
      </c>
      <c r="F5582" s="3">
        <f>VLOOKUP(B5582,airports!A:H,7,FALSE)</f>
        <v>40.039250000000003</v>
      </c>
      <c r="G5582" s="3">
        <f>VLOOKUP(B5582,airports!A:H,8,FALSE)</f>
        <v>-88.278055559999999</v>
      </c>
      <c r="H5582">
        <f t="shared" si="174"/>
        <v>218</v>
      </c>
      <c r="I5582">
        <f t="shared" si="175"/>
        <v>135.5</v>
      </c>
    </row>
    <row r="5583" spans="1:9" ht="30" x14ac:dyDescent="0.25">
      <c r="A5583" s="5" t="s">
        <v>95</v>
      </c>
      <c r="B5583" s="5" t="s">
        <v>1943</v>
      </c>
      <c r="C5583" s="5" t="s">
        <v>6062</v>
      </c>
      <c r="D5583" s="3">
        <f>VLOOKUP(A5583,airports!A:H,7,FALSE)</f>
        <v>41.979595000000003</v>
      </c>
      <c r="E5583" s="3">
        <f>VLOOKUP(A5583,airports!A:H,8,FALSE)</f>
        <v>-87.904464169999997</v>
      </c>
      <c r="F5583" s="3">
        <f>VLOOKUP(B5583,airports!A:H,7,FALSE)</f>
        <v>47.168417220000002</v>
      </c>
      <c r="G5583" s="3">
        <f>VLOOKUP(B5583,airports!A:H,8,FALSE)</f>
        <v>-88.48906083</v>
      </c>
      <c r="H5583">
        <f t="shared" si="174"/>
        <v>578.79999999999995</v>
      </c>
      <c r="I5583">
        <f t="shared" si="175"/>
        <v>359.7</v>
      </c>
    </row>
    <row r="5584" spans="1:9" ht="30" x14ac:dyDescent="0.25">
      <c r="A5584" s="5" t="s">
        <v>95</v>
      </c>
      <c r="B5584" s="5" t="s">
        <v>1027</v>
      </c>
      <c r="C5584" s="5" t="s">
        <v>6063</v>
      </c>
      <c r="D5584" s="3">
        <f>VLOOKUP(A5584,airports!A:H,7,FALSE)</f>
        <v>41.979595000000003</v>
      </c>
      <c r="E5584" s="3">
        <f>VLOOKUP(A5584,airports!A:H,8,FALSE)</f>
        <v>-87.904464169999997</v>
      </c>
      <c r="F5584" s="3">
        <f>VLOOKUP(B5584,airports!A:H,7,FALSE)</f>
        <v>44.520194170000003</v>
      </c>
      <c r="G5584" s="3">
        <f>VLOOKUP(B5584,airports!A:H,8,FALSE)</f>
        <v>-109.0237961</v>
      </c>
      <c r="H5584">
        <f t="shared" si="174"/>
        <v>1728.6</v>
      </c>
      <c r="I5584">
        <f t="shared" si="175"/>
        <v>1074.2</v>
      </c>
    </row>
    <row r="5585" spans="1:9" ht="30" x14ac:dyDescent="0.25">
      <c r="A5585" s="5" t="s">
        <v>95</v>
      </c>
      <c r="B5585" s="5" t="s">
        <v>456</v>
      </c>
      <c r="C5585" s="5" t="s">
        <v>6064</v>
      </c>
      <c r="D5585" s="3">
        <f>VLOOKUP(A5585,airports!A:H,7,FALSE)</f>
        <v>41.979595000000003</v>
      </c>
      <c r="E5585" s="3">
        <f>VLOOKUP(A5585,airports!A:H,8,FALSE)</f>
        <v>-87.904464169999997</v>
      </c>
      <c r="F5585" s="3">
        <f>VLOOKUP(B5585,airports!A:H,7,FALSE)</f>
        <v>38.805805560000003</v>
      </c>
      <c r="G5585" s="3">
        <f>VLOOKUP(B5585,airports!A:H,8,FALSE)</f>
        <v>-104.70025</v>
      </c>
      <c r="H5585">
        <f t="shared" si="174"/>
        <v>1462.9</v>
      </c>
      <c r="I5585">
        <f t="shared" si="175"/>
        <v>909.1</v>
      </c>
    </row>
    <row r="5586" spans="1:9" ht="30" x14ac:dyDescent="0.25">
      <c r="A5586" s="5" t="s">
        <v>95</v>
      </c>
      <c r="B5586" s="5" t="s">
        <v>1977</v>
      </c>
      <c r="C5586" s="5" t="s">
        <v>6065</v>
      </c>
      <c r="D5586" s="3">
        <f>VLOOKUP(A5586,airports!A:H,7,FALSE)</f>
        <v>41.979595000000003</v>
      </c>
      <c r="E5586" s="3">
        <f>VLOOKUP(A5586,airports!A:H,8,FALSE)</f>
        <v>-87.904464169999997</v>
      </c>
      <c r="F5586" s="3">
        <f>VLOOKUP(B5586,airports!A:H,7,FALSE)</f>
        <v>38.818093060000002</v>
      </c>
      <c r="G5586" s="3">
        <f>VLOOKUP(B5586,airports!A:H,8,FALSE)</f>
        <v>-92.219629170000005</v>
      </c>
      <c r="H5586">
        <f t="shared" si="174"/>
        <v>506.9</v>
      </c>
      <c r="I5586">
        <f t="shared" si="175"/>
        <v>315</v>
      </c>
    </row>
    <row r="5587" spans="1:9" ht="30" x14ac:dyDescent="0.25">
      <c r="A5587" s="5" t="s">
        <v>95</v>
      </c>
      <c r="B5587" s="5" t="s">
        <v>458</v>
      </c>
      <c r="C5587" s="5" t="s">
        <v>6066</v>
      </c>
      <c r="D5587" s="3">
        <f>VLOOKUP(A5587,airports!A:H,7,FALSE)</f>
        <v>41.979595000000003</v>
      </c>
      <c r="E5587" s="3">
        <f>VLOOKUP(A5587,airports!A:H,8,FALSE)</f>
        <v>-87.904464169999997</v>
      </c>
      <c r="F5587" s="3">
        <f>VLOOKUP(B5587,airports!A:H,7,FALSE)</f>
        <v>38.37315083</v>
      </c>
      <c r="G5587" s="3">
        <f>VLOOKUP(B5587,airports!A:H,8,FALSE)</f>
        <v>-81.593189719999998</v>
      </c>
      <c r="H5587">
        <f t="shared" si="174"/>
        <v>669.3</v>
      </c>
      <c r="I5587">
        <f t="shared" si="175"/>
        <v>415.9</v>
      </c>
    </row>
    <row r="5588" spans="1:9" ht="30" x14ac:dyDescent="0.25">
      <c r="A5588" s="5" t="s">
        <v>95</v>
      </c>
      <c r="B5588" s="5" t="s">
        <v>462</v>
      </c>
      <c r="C5588" s="5" t="s">
        <v>6067</v>
      </c>
      <c r="D5588" s="3">
        <f>VLOOKUP(A5588,airports!A:H,7,FALSE)</f>
        <v>41.979595000000003</v>
      </c>
      <c r="E5588" s="3">
        <f>VLOOKUP(A5588,airports!A:H,8,FALSE)</f>
        <v>-87.904464169999997</v>
      </c>
      <c r="F5588" s="3">
        <f>VLOOKUP(B5588,airports!A:H,7,FALSE)</f>
        <v>39.046142779999997</v>
      </c>
      <c r="G5588" s="3">
        <f>VLOOKUP(B5588,airports!A:H,8,FALSE)</f>
        <v>-84.662172499999997</v>
      </c>
      <c r="H5588">
        <f t="shared" si="174"/>
        <v>426</v>
      </c>
      <c r="I5588">
        <f t="shared" si="175"/>
        <v>264.7</v>
      </c>
    </row>
    <row r="5589" spans="1:9" ht="30" x14ac:dyDescent="0.25">
      <c r="A5589" s="5" t="s">
        <v>95</v>
      </c>
      <c r="B5589" s="5" t="s">
        <v>2072</v>
      </c>
      <c r="C5589" s="5" t="s">
        <v>6068</v>
      </c>
      <c r="D5589" s="3">
        <f>VLOOKUP(A5589,airports!A:H,7,FALSE)</f>
        <v>41.979595000000003</v>
      </c>
      <c r="E5589" s="3">
        <f>VLOOKUP(A5589,airports!A:H,8,FALSE)</f>
        <v>-87.904464169999997</v>
      </c>
      <c r="F5589" s="3">
        <f>VLOOKUP(B5589,airports!A:H,7,FALSE)</f>
        <v>44.777619170000001</v>
      </c>
      <c r="G5589" s="3">
        <f>VLOOKUP(B5589,airports!A:H,8,FALSE)</f>
        <v>-89.666779439999999</v>
      </c>
      <c r="H5589">
        <f t="shared" si="174"/>
        <v>342.2</v>
      </c>
      <c r="I5589">
        <f t="shared" si="175"/>
        <v>212.6</v>
      </c>
    </row>
    <row r="5590" spans="1:9" ht="30" x14ac:dyDescent="0.25">
      <c r="A5590" s="5" t="s">
        <v>95</v>
      </c>
      <c r="B5590" s="5" t="s">
        <v>201</v>
      </c>
      <c r="C5590" s="5" t="s">
        <v>6069</v>
      </c>
      <c r="D5590" s="3">
        <f>VLOOKUP(A5590,airports!A:H,7,FALSE)</f>
        <v>41.979595000000003</v>
      </c>
      <c r="E5590" s="3">
        <f>VLOOKUP(A5590,airports!A:H,8,FALSE)</f>
        <v>-87.904464169999997</v>
      </c>
      <c r="F5590" s="3">
        <f>VLOOKUP(B5590,airports!A:H,7,FALSE)</f>
        <v>32.847113890000003</v>
      </c>
      <c r="G5590" s="3">
        <f>VLOOKUP(B5590,airports!A:H,8,FALSE)</f>
        <v>-96.851772220000001</v>
      </c>
      <c r="H5590">
        <f t="shared" si="174"/>
        <v>1285.0999999999999</v>
      </c>
      <c r="I5590">
        <f t="shared" si="175"/>
        <v>798.6</v>
      </c>
    </row>
    <row r="5591" spans="1:9" ht="30" x14ac:dyDescent="0.25">
      <c r="A5591" s="5" t="s">
        <v>95</v>
      </c>
      <c r="B5591" s="5" t="s">
        <v>467</v>
      </c>
      <c r="C5591" s="5" t="s">
        <v>6070</v>
      </c>
      <c r="D5591" s="3">
        <f>VLOOKUP(A5591,airports!A:H,7,FALSE)</f>
        <v>41.979595000000003</v>
      </c>
      <c r="E5591" s="3">
        <f>VLOOKUP(A5591,airports!A:H,8,FALSE)</f>
        <v>-87.904464169999997</v>
      </c>
      <c r="F5591" s="3">
        <f>VLOOKUP(B5591,airports!A:H,7,FALSE)</f>
        <v>39.902375829999997</v>
      </c>
      <c r="G5591" s="3">
        <f>VLOOKUP(B5591,airports!A:H,8,FALSE)</f>
        <v>-84.219374999999999</v>
      </c>
      <c r="H5591">
        <f t="shared" si="174"/>
        <v>386.1</v>
      </c>
      <c r="I5591">
        <f t="shared" si="175"/>
        <v>240</v>
      </c>
    </row>
    <row r="5592" spans="1:9" ht="30" x14ac:dyDescent="0.25">
      <c r="A5592" s="5" t="s">
        <v>95</v>
      </c>
      <c r="B5592" s="5" t="s">
        <v>2186</v>
      </c>
      <c r="C5592" s="5" t="s">
        <v>6071</v>
      </c>
      <c r="D5592" s="3">
        <f>VLOOKUP(A5592,airports!A:H,7,FALSE)</f>
        <v>41.979595000000003</v>
      </c>
      <c r="E5592" s="3">
        <f>VLOOKUP(A5592,airports!A:H,8,FALSE)</f>
        <v>-87.904464169999997</v>
      </c>
      <c r="F5592" s="3">
        <f>VLOOKUP(B5592,airports!A:H,7,FALSE)</f>
        <v>42.402959439999997</v>
      </c>
      <c r="G5592" s="3">
        <f>VLOOKUP(B5592,airports!A:H,8,FALSE)</f>
        <v>-90.709167219999998</v>
      </c>
      <c r="H5592">
        <f t="shared" si="174"/>
        <v>235.8</v>
      </c>
      <c r="I5592">
        <f t="shared" si="175"/>
        <v>146.5</v>
      </c>
    </row>
    <row r="5593" spans="1:9" ht="30" x14ac:dyDescent="0.25">
      <c r="A5593" s="5" t="s">
        <v>95</v>
      </c>
      <c r="B5593" s="5" t="s">
        <v>45</v>
      </c>
      <c r="C5593" s="5" t="s">
        <v>6072</v>
      </c>
      <c r="D5593" s="3">
        <f>VLOOKUP(A5593,airports!A:H,7,FALSE)</f>
        <v>41.979595000000003</v>
      </c>
      <c r="E5593" s="3">
        <f>VLOOKUP(A5593,airports!A:H,8,FALSE)</f>
        <v>-87.904464169999997</v>
      </c>
      <c r="F5593" s="3">
        <f>VLOOKUP(B5593,airports!A:H,7,FALSE)</f>
        <v>38.852083329999999</v>
      </c>
      <c r="G5593" s="3">
        <f>VLOOKUP(B5593,airports!A:H,8,FALSE)</f>
        <v>-77.037722220000006</v>
      </c>
      <c r="H5593">
        <f t="shared" si="174"/>
        <v>982.6</v>
      </c>
      <c r="I5593">
        <f t="shared" si="175"/>
        <v>610.6</v>
      </c>
    </row>
    <row r="5594" spans="1:9" ht="30" x14ac:dyDescent="0.25">
      <c r="A5594" s="5" t="s">
        <v>95</v>
      </c>
      <c r="B5594" s="5" t="s">
        <v>1562</v>
      </c>
      <c r="C5594" s="5" t="s">
        <v>6073</v>
      </c>
      <c r="D5594" s="3">
        <f>VLOOKUP(A5594,airports!A:H,7,FALSE)</f>
        <v>41.979595000000003</v>
      </c>
      <c r="E5594" s="3">
        <f>VLOOKUP(A5594,airports!A:H,8,FALSE)</f>
        <v>-87.904464169999997</v>
      </c>
      <c r="F5594" s="3">
        <f>VLOOKUP(B5594,airports!A:H,7,FALSE)</f>
        <v>39.834598541259702</v>
      </c>
      <c r="G5594" s="3">
        <f>VLOOKUP(B5594,airports!A:H,8,FALSE)</f>
        <v>-88.865699768066406</v>
      </c>
      <c r="H5594">
        <f t="shared" si="174"/>
        <v>251.8</v>
      </c>
      <c r="I5594">
        <f t="shared" si="175"/>
        <v>156.5</v>
      </c>
    </row>
    <row r="5595" spans="1:9" ht="30" x14ac:dyDescent="0.25">
      <c r="A5595" s="5" t="s">
        <v>95</v>
      </c>
      <c r="B5595" s="5" t="s">
        <v>47</v>
      </c>
      <c r="C5595" s="5" t="s">
        <v>6074</v>
      </c>
      <c r="D5595" s="3">
        <f>VLOOKUP(A5595,airports!A:H,7,FALSE)</f>
        <v>41.979595000000003</v>
      </c>
      <c r="E5595" s="3">
        <f>VLOOKUP(A5595,airports!A:H,8,FALSE)</f>
        <v>-87.904464169999997</v>
      </c>
      <c r="F5595" s="3">
        <f>VLOOKUP(B5595,airports!A:H,7,FALSE)</f>
        <v>39.858408060000002</v>
      </c>
      <c r="G5595" s="3">
        <f>VLOOKUP(B5595,airports!A:H,8,FALSE)</f>
        <v>-104.6670019</v>
      </c>
      <c r="H5595">
        <f t="shared" si="174"/>
        <v>1425.7</v>
      </c>
      <c r="I5595">
        <f t="shared" si="175"/>
        <v>885.9</v>
      </c>
    </row>
    <row r="5596" spans="1:9" ht="30" x14ac:dyDescent="0.25">
      <c r="A5596" s="5" t="s">
        <v>95</v>
      </c>
      <c r="B5596" s="5" t="s">
        <v>49</v>
      </c>
      <c r="C5596" s="5" t="s">
        <v>6075</v>
      </c>
      <c r="D5596" s="3">
        <f>VLOOKUP(A5596,airports!A:H,7,FALSE)</f>
        <v>41.979595000000003</v>
      </c>
      <c r="E5596" s="3">
        <f>VLOOKUP(A5596,airports!A:H,8,FALSE)</f>
        <v>-87.904464169999997</v>
      </c>
      <c r="F5596" s="3">
        <f>VLOOKUP(B5596,airports!A:H,7,FALSE)</f>
        <v>32.895950560000003</v>
      </c>
      <c r="G5596" s="3">
        <f>VLOOKUP(B5596,airports!A:H,8,FALSE)</f>
        <v>-97.037199999999999</v>
      </c>
      <c r="H5596">
        <f t="shared" si="174"/>
        <v>1290.8</v>
      </c>
      <c r="I5596">
        <f t="shared" si="175"/>
        <v>802.1</v>
      </c>
    </row>
    <row r="5597" spans="1:9" ht="30" x14ac:dyDescent="0.25">
      <c r="A5597" s="5" t="s">
        <v>95</v>
      </c>
      <c r="B5597" s="5" t="s">
        <v>1944</v>
      </c>
      <c r="C5597" s="5" t="s">
        <v>6076</v>
      </c>
      <c r="D5597" s="3">
        <f>VLOOKUP(A5597,airports!A:H,7,FALSE)</f>
        <v>41.979595000000003</v>
      </c>
      <c r="E5597" s="3">
        <f>VLOOKUP(A5597,airports!A:H,8,FALSE)</f>
        <v>-87.904464169999997</v>
      </c>
      <c r="F5597" s="3">
        <f>VLOOKUP(B5597,airports!A:H,7,FALSE)</f>
        <v>46.842090280000001</v>
      </c>
      <c r="G5597" s="3">
        <f>VLOOKUP(B5597,airports!A:H,8,FALSE)</f>
        <v>-92.193648609999997</v>
      </c>
      <c r="H5597">
        <f t="shared" si="174"/>
        <v>638.79999999999995</v>
      </c>
      <c r="I5597">
        <f t="shared" si="175"/>
        <v>397</v>
      </c>
    </row>
    <row r="5598" spans="1:9" ht="30" x14ac:dyDescent="0.25">
      <c r="A5598" s="5" t="s">
        <v>95</v>
      </c>
      <c r="B5598" s="5" t="s">
        <v>2350</v>
      </c>
      <c r="C5598" s="5" t="s">
        <v>6077</v>
      </c>
      <c r="D5598" s="3">
        <f>VLOOKUP(A5598,airports!A:H,7,FALSE)</f>
        <v>41.979595000000003</v>
      </c>
      <c r="E5598" s="3">
        <f>VLOOKUP(A5598,airports!A:H,8,FALSE)</f>
        <v>-87.904464169999997</v>
      </c>
      <c r="F5598" s="3">
        <f>VLOOKUP(B5598,airports!A:H,7,FALSE)</f>
        <v>37.151516669999999</v>
      </c>
      <c r="G5598" s="3">
        <f>VLOOKUP(B5598,airports!A:H,8,FALSE)</f>
        <v>-107.75376919999999</v>
      </c>
      <c r="H5598">
        <f t="shared" si="174"/>
        <v>1779.4</v>
      </c>
      <c r="I5598">
        <f t="shared" si="175"/>
        <v>1105.7</v>
      </c>
    </row>
    <row r="5599" spans="1:9" ht="30" x14ac:dyDescent="0.25">
      <c r="A5599" s="5" t="s">
        <v>95</v>
      </c>
      <c r="B5599" s="5" t="s">
        <v>474</v>
      </c>
      <c r="C5599" s="5" t="s">
        <v>6078</v>
      </c>
      <c r="D5599" s="3">
        <f>VLOOKUP(A5599,airports!A:H,7,FALSE)</f>
        <v>41.979595000000003</v>
      </c>
      <c r="E5599" s="3">
        <f>VLOOKUP(A5599,airports!A:H,8,FALSE)</f>
        <v>-87.904464169999997</v>
      </c>
      <c r="F5599" s="3">
        <f>VLOOKUP(B5599,airports!A:H,7,FALSE)</f>
        <v>41.53493306</v>
      </c>
      <c r="G5599" s="3">
        <f>VLOOKUP(B5599,airports!A:H,8,FALSE)</f>
        <v>-93.660682219999998</v>
      </c>
      <c r="H5599">
        <f t="shared" si="174"/>
        <v>479.9</v>
      </c>
      <c r="I5599">
        <f t="shared" si="175"/>
        <v>298.2</v>
      </c>
    </row>
    <row r="5600" spans="1:9" ht="30" x14ac:dyDescent="0.25">
      <c r="A5600" s="5" t="s">
        <v>95</v>
      </c>
      <c r="B5600" s="5" t="s">
        <v>50</v>
      </c>
      <c r="C5600" s="5" t="s">
        <v>6079</v>
      </c>
      <c r="D5600" s="3">
        <f>VLOOKUP(A5600,airports!A:H,7,FALSE)</f>
        <v>41.979595000000003</v>
      </c>
      <c r="E5600" s="3">
        <f>VLOOKUP(A5600,airports!A:H,8,FALSE)</f>
        <v>-87.904464169999997</v>
      </c>
      <c r="F5600" s="3">
        <f>VLOOKUP(B5600,airports!A:H,7,FALSE)</f>
        <v>42.212058890000002</v>
      </c>
      <c r="G5600" s="3">
        <f>VLOOKUP(B5600,airports!A:H,8,FALSE)</f>
        <v>-83.348835829999999</v>
      </c>
      <c r="H5600">
        <f t="shared" si="174"/>
        <v>376.7</v>
      </c>
      <c r="I5600">
        <f t="shared" si="175"/>
        <v>234.1</v>
      </c>
    </row>
    <row r="5601" spans="1:9" ht="30" x14ac:dyDescent="0.25">
      <c r="A5601" s="5" t="s">
        <v>95</v>
      </c>
      <c r="B5601" s="5" t="s">
        <v>2356</v>
      </c>
      <c r="C5601" s="5" t="s">
        <v>6080</v>
      </c>
      <c r="D5601" s="3">
        <f>VLOOKUP(A5601,airports!A:H,7,FALSE)</f>
        <v>41.979595000000003</v>
      </c>
      <c r="E5601" s="3">
        <f>VLOOKUP(A5601,airports!A:H,8,FALSE)</f>
        <v>-87.904464169999997</v>
      </c>
      <c r="F5601" s="3">
        <f>VLOOKUP(B5601,airports!A:H,7,FALSE)</f>
        <v>40.727001000000001</v>
      </c>
      <c r="G5601" s="3">
        <f>VLOOKUP(B5601,airports!A:H,8,FALSE)</f>
        <v>-99.006798000000003</v>
      </c>
      <c r="H5601">
        <f t="shared" si="174"/>
        <v>936.4</v>
      </c>
      <c r="I5601">
        <f t="shared" si="175"/>
        <v>581.9</v>
      </c>
    </row>
    <row r="5602" spans="1:9" ht="30" x14ac:dyDescent="0.25">
      <c r="A5602" s="5" t="s">
        <v>95</v>
      </c>
      <c r="B5602" s="5" t="s">
        <v>1946</v>
      </c>
      <c r="C5602" s="5" t="s">
        <v>6081</v>
      </c>
      <c r="D5602" s="3">
        <f>VLOOKUP(A5602,airports!A:H,7,FALSE)</f>
        <v>41.979595000000003</v>
      </c>
      <c r="E5602" s="3">
        <f>VLOOKUP(A5602,airports!A:H,8,FALSE)</f>
        <v>-87.904464169999997</v>
      </c>
      <c r="F5602" s="3">
        <f>VLOOKUP(B5602,airports!A:H,7,FALSE)</f>
        <v>44.865257219999997</v>
      </c>
      <c r="G5602" s="3">
        <f>VLOOKUP(B5602,airports!A:H,8,FALSE)</f>
        <v>-91.485071939999997</v>
      </c>
      <c r="H5602">
        <f t="shared" si="174"/>
        <v>431.9</v>
      </c>
      <c r="I5602">
        <f t="shared" si="175"/>
        <v>268.39999999999998</v>
      </c>
    </row>
    <row r="5603" spans="1:9" ht="30" x14ac:dyDescent="0.25">
      <c r="A5603" s="5" t="s">
        <v>95</v>
      </c>
      <c r="B5603" s="5" t="s">
        <v>477</v>
      </c>
      <c r="C5603" s="5" t="s">
        <v>6082</v>
      </c>
      <c r="D5603" s="3">
        <f>VLOOKUP(A5603,airports!A:H,7,FALSE)</f>
        <v>41.979595000000003</v>
      </c>
      <c r="E5603" s="3">
        <f>VLOOKUP(A5603,airports!A:H,8,FALSE)</f>
        <v>-87.904464169999997</v>
      </c>
      <c r="F5603" s="3">
        <f>VLOOKUP(B5603,airports!A:H,7,FALSE)</f>
        <v>30.357106000000002</v>
      </c>
      <c r="G5603" s="3">
        <f>VLOOKUP(B5603,airports!A:H,8,FALSE)</f>
        <v>-85.795413999999994</v>
      </c>
      <c r="H5603">
        <f t="shared" si="174"/>
        <v>1306</v>
      </c>
      <c r="I5603">
        <f t="shared" si="175"/>
        <v>811.6</v>
      </c>
    </row>
    <row r="5604" spans="1:9" ht="30" x14ac:dyDescent="0.25">
      <c r="A5604" s="5" t="s">
        <v>95</v>
      </c>
      <c r="B5604" s="5" t="s">
        <v>479</v>
      </c>
      <c r="C5604" s="5" t="s">
        <v>6083</v>
      </c>
      <c r="D5604" s="3">
        <f>VLOOKUP(A5604,airports!A:H,7,FALSE)</f>
        <v>41.979595000000003</v>
      </c>
      <c r="E5604" s="3">
        <f>VLOOKUP(A5604,airports!A:H,8,FALSE)</f>
        <v>-87.904464169999997</v>
      </c>
      <c r="F5604" s="3">
        <f>VLOOKUP(B5604,airports!A:H,7,FALSE)</f>
        <v>39.64256778</v>
      </c>
      <c r="G5604" s="3">
        <f>VLOOKUP(B5604,airports!A:H,8,FALSE)</f>
        <v>-106.91769530000001</v>
      </c>
      <c r="H5604">
        <f t="shared" si="174"/>
        <v>1617.6</v>
      </c>
      <c r="I5604">
        <f t="shared" si="175"/>
        <v>1005.2</v>
      </c>
    </row>
    <row r="5605" spans="1:9" ht="30" x14ac:dyDescent="0.25">
      <c r="A5605" s="5" t="s">
        <v>95</v>
      </c>
      <c r="B5605" s="5" t="s">
        <v>483</v>
      </c>
      <c r="C5605" s="5" t="s">
        <v>6084</v>
      </c>
      <c r="D5605" s="3">
        <f>VLOOKUP(A5605,airports!A:H,7,FALSE)</f>
        <v>41.979595000000003</v>
      </c>
      <c r="E5605" s="3">
        <f>VLOOKUP(A5605,airports!A:H,8,FALSE)</f>
        <v>-87.904464169999997</v>
      </c>
      <c r="F5605" s="3">
        <f>VLOOKUP(B5605,airports!A:H,7,FALSE)</f>
        <v>31.806666669999998</v>
      </c>
      <c r="G5605" s="3">
        <f>VLOOKUP(B5605,airports!A:H,8,FALSE)</f>
        <v>-106.3778056</v>
      </c>
      <c r="H5605">
        <f t="shared" si="174"/>
        <v>1987.7</v>
      </c>
      <c r="I5605">
        <f t="shared" si="175"/>
        <v>1235.2</v>
      </c>
    </row>
    <row r="5606" spans="1:9" x14ac:dyDescent="0.25">
      <c r="A5606" s="5" t="s">
        <v>95</v>
      </c>
      <c r="B5606" s="5" t="s">
        <v>1769</v>
      </c>
      <c r="C5606" s="5" t="s">
        <v>6085</v>
      </c>
      <c r="D5606" s="3">
        <f>VLOOKUP(A5606,airports!A:H,7,FALSE)</f>
        <v>41.979595000000003</v>
      </c>
      <c r="E5606" s="3">
        <f>VLOOKUP(A5606,airports!A:H,8,FALSE)</f>
        <v>-87.904464169999997</v>
      </c>
      <c r="F5606" s="3">
        <f>VLOOKUP(B5606,airports!A:H,7,FALSE)</f>
        <v>42.082021390000001</v>
      </c>
      <c r="G5606" s="3">
        <f>VLOOKUP(B5606,airports!A:H,8,FALSE)</f>
        <v>-80.176215560000003</v>
      </c>
      <c r="H5606">
        <f t="shared" si="174"/>
        <v>638.20000000000005</v>
      </c>
      <c r="I5606">
        <f t="shared" si="175"/>
        <v>396.6</v>
      </c>
    </row>
    <row r="5607" spans="1:9" ht="30" x14ac:dyDescent="0.25">
      <c r="A5607" s="5" t="s">
        <v>95</v>
      </c>
      <c r="B5607" s="5" t="s">
        <v>848</v>
      </c>
      <c r="C5607" s="5" t="s">
        <v>6086</v>
      </c>
      <c r="D5607" s="3">
        <f>VLOOKUP(A5607,airports!A:H,7,FALSE)</f>
        <v>41.979595000000003</v>
      </c>
      <c r="E5607" s="3">
        <f>VLOOKUP(A5607,airports!A:H,8,FALSE)</f>
        <v>-87.904464169999997</v>
      </c>
      <c r="F5607" s="3">
        <f>VLOOKUP(B5607,airports!A:H,7,FALSE)</f>
        <v>44.123260000000002</v>
      </c>
      <c r="G5607" s="3">
        <f>VLOOKUP(B5607,airports!A:H,8,FALSE)</f>
        <v>-123.2186856</v>
      </c>
      <c r="H5607">
        <f t="shared" si="174"/>
        <v>2857.2</v>
      </c>
      <c r="I5607">
        <f t="shared" si="175"/>
        <v>1775.5</v>
      </c>
    </row>
    <row r="5608" spans="1:9" ht="30" x14ac:dyDescent="0.25">
      <c r="A5608" s="5" t="s">
        <v>95</v>
      </c>
      <c r="B5608" s="5" t="s">
        <v>485</v>
      </c>
      <c r="C5608" s="5" t="s">
        <v>6087</v>
      </c>
      <c r="D5608" s="3">
        <f>VLOOKUP(A5608,airports!A:H,7,FALSE)</f>
        <v>41.979595000000003</v>
      </c>
      <c r="E5608" s="3">
        <f>VLOOKUP(A5608,airports!A:H,8,FALSE)</f>
        <v>-87.904464169999997</v>
      </c>
      <c r="F5608" s="3">
        <f>VLOOKUP(B5608,airports!A:H,7,FALSE)</f>
        <v>38.037991390000002</v>
      </c>
      <c r="G5608" s="3">
        <f>VLOOKUP(B5608,airports!A:H,8,FALSE)</f>
        <v>-87.530626670000004</v>
      </c>
      <c r="H5608">
        <f t="shared" si="174"/>
        <v>439.4</v>
      </c>
      <c r="I5608">
        <f t="shared" si="175"/>
        <v>273.10000000000002</v>
      </c>
    </row>
    <row r="5609" spans="1:9" ht="30" x14ac:dyDescent="0.25">
      <c r="A5609" s="5" t="s">
        <v>95</v>
      </c>
      <c r="B5609" s="5" t="s">
        <v>52</v>
      </c>
      <c r="C5609" s="5" t="s">
        <v>6088</v>
      </c>
      <c r="D5609" s="3">
        <f>VLOOKUP(A5609,airports!A:H,7,FALSE)</f>
        <v>41.979595000000003</v>
      </c>
      <c r="E5609" s="3">
        <f>VLOOKUP(A5609,airports!A:H,8,FALSE)</f>
        <v>-87.904464169999997</v>
      </c>
      <c r="F5609" s="3">
        <f>VLOOKUP(B5609,airports!A:H,7,FALSE)</f>
        <v>40.69249722</v>
      </c>
      <c r="G5609" s="3">
        <f>VLOOKUP(B5609,airports!A:H,8,FALSE)</f>
        <v>-74.168660560000006</v>
      </c>
      <c r="H5609">
        <f t="shared" si="174"/>
        <v>1154.4000000000001</v>
      </c>
      <c r="I5609">
        <f t="shared" si="175"/>
        <v>717.4</v>
      </c>
    </row>
    <row r="5610" spans="1:9" ht="30" x14ac:dyDescent="0.25">
      <c r="A5610" s="5" t="s">
        <v>95</v>
      </c>
      <c r="B5610" s="5" t="s">
        <v>54</v>
      </c>
      <c r="C5610" s="5" t="s">
        <v>6089</v>
      </c>
      <c r="D5610" s="3">
        <f>VLOOKUP(A5610,airports!A:H,7,FALSE)</f>
        <v>41.979595000000003</v>
      </c>
      <c r="E5610" s="3">
        <f>VLOOKUP(A5610,airports!A:H,8,FALSE)</f>
        <v>-87.904464169999997</v>
      </c>
      <c r="F5610" s="3">
        <f>VLOOKUP(B5610,airports!A:H,7,FALSE)</f>
        <v>24.55611111</v>
      </c>
      <c r="G5610" s="3">
        <f>VLOOKUP(B5610,airports!A:H,8,FALSE)</f>
        <v>-81.759555559999995</v>
      </c>
      <c r="H5610">
        <f t="shared" si="174"/>
        <v>2018.4</v>
      </c>
      <c r="I5610">
        <f t="shared" si="175"/>
        <v>1254.3</v>
      </c>
    </row>
    <row r="5611" spans="1:9" ht="30" x14ac:dyDescent="0.25">
      <c r="A5611" s="5" t="s">
        <v>95</v>
      </c>
      <c r="B5611" s="5" t="s">
        <v>358</v>
      </c>
      <c r="C5611" s="5" t="s">
        <v>6090</v>
      </c>
      <c r="D5611" s="3">
        <f>VLOOKUP(A5611,airports!A:H,7,FALSE)</f>
        <v>41.979595000000003</v>
      </c>
      <c r="E5611" s="3">
        <f>VLOOKUP(A5611,airports!A:H,8,FALSE)</f>
        <v>-87.904464169999997</v>
      </c>
      <c r="F5611" s="3">
        <f>VLOOKUP(B5611,airports!A:H,7,FALSE)</f>
        <v>64.813677499999997</v>
      </c>
      <c r="G5611" s="3">
        <f>VLOOKUP(B5611,airports!A:H,8,FALSE)</f>
        <v>-147.8596694</v>
      </c>
      <c r="H5611">
        <f t="shared" si="174"/>
        <v>4471.3</v>
      </c>
      <c r="I5611">
        <f t="shared" si="175"/>
        <v>2778.5</v>
      </c>
    </row>
    <row r="5612" spans="1:9" ht="30" x14ac:dyDescent="0.25">
      <c r="A5612" s="5" t="s">
        <v>95</v>
      </c>
      <c r="B5612" s="5" t="s">
        <v>491</v>
      </c>
      <c r="C5612" s="5" t="s">
        <v>6091</v>
      </c>
      <c r="D5612" s="3">
        <f>VLOOKUP(A5612,airports!A:H,7,FALSE)</f>
        <v>41.979595000000003</v>
      </c>
      <c r="E5612" s="3">
        <f>VLOOKUP(A5612,airports!A:H,8,FALSE)</f>
        <v>-87.904464169999997</v>
      </c>
      <c r="F5612" s="3">
        <f>VLOOKUP(B5612,airports!A:H,7,FALSE)</f>
        <v>46.919348890000002</v>
      </c>
      <c r="G5612" s="3">
        <f>VLOOKUP(B5612,airports!A:H,8,FALSE)</f>
        <v>-96.814988889999995</v>
      </c>
      <c r="H5612">
        <f t="shared" si="174"/>
        <v>894.6</v>
      </c>
      <c r="I5612">
        <f t="shared" si="175"/>
        <v>555.9</v>
      </c>
    </row>
    <row r="5613" spans="1:9" ht="30" x14ac:dyDescent="0.25">
      <c r="A5613" s="5" t="s">
        <v>95</v>
      </c>
      <c r="B5613" s="5" t="s">
        <v>2365</v>
      </c>
      <c r="C5613" s="5" t="s">
        <v>6092</v>
      </c>
      <c r="D5613" s="3">
        <f>VLOOKUP(A5613,airports!A:H,7,FALSE)</f>
        <v>41.979595000000003</v>
      </c>
      <c r="E5613" s="3">
        <f>VLOOKUP(A5613,airports!A:H,8,FALSE)</f>
        <v>-87.904464169999997</v>
      </c>
      <c r="F5613" s="3">
        <f>VLOOKUP(B5613,airports!A:H,7,FALSE)</f>
        <v>36.776194439999998</v>
      </c>
      <c r="G5613" s="3">
        <f>VLOOKUP(B5613,airports!A:H,8,FALSE)</f>
        <v>-119.7181389</v>
      </c>
      <c r="H5613">
        <f t="shared" si="174"/>
        <v>2778.1</v>
      </c>
      <c r="I5613">
        <f t="shared" si="175"/>
        <v>1726.3</v>
      </c>
    </row>
    <row r="5614" spans="1:9" ht="30" x14ac:dyDescent="0.25">
      <c r="A5614" s="5" t="s">
        <v>95</v>
      </c>
      <c r="B5614" s="5" t="s">
        <v>56</v>
      </c>
      <c r="C5614" s="5" t="s">
        <v>6093</v>
      </c>
      <c r="D5614" s="3">
        <f>VLOOKUP(A5614,airports!A:H,7,FALSE)</f>
        <v>41.979595000000003</v>
      </c>
      <c r="E5614" s="3">
        <f>VLOOKUP(A5614,airports!A:H,8,FALSE)</f>
        <v>-87.904464169999997</v>
      </c>
      <c r="F5614" s="3">
        <f>VLOOKUP(B5614,airports!A:H,7,FALSE)</f>
        <v>48.311404719999999</v>
      </c>
      <c r="G5614" s="3">
        <f>VLOOKUP(B5614,airports!A:H,8,FALSE)</f>
        <v>-114.2550694</v>
      </c>
      <c r="H5614">
        <f t="shared" si="174"/>
        <v>2170.5</v>
      </c>
      <c r="I5614">
        <f t="shared" si="175"/>
        <v>1348.7</v>
      </c>
    </row>
    <row r="5615" spans="1:9" x14ac:dyDescent="0.25">
      <c r="A5615" s="5" t="s">
        <v>95</v>
      </c>
      <c r="B5615" s="5" t="s">
        <v>57</v>
      </c>
      <c r="C5615" s="5" t="s">
        <v>6094</v>
      </c>
      <c r="D5615" s="3">
        <f>VLOOKUP(A5615,airports!A:H,7,FALSE)</f>
        <v>41.979595000000003</v>
      </c>
      <c r="E5615" s="3">
        <f>VLOOKUP(A5615,airports!A:H,8,FALSE)</f>
        <v>-87.904464169999997</v>
      </c>
      <c r="F5615" s="3">
        <f>VLOOKUP(B5615,airports!A:H,7,FALSE)</f>
        <v>26.072583330000001</v>
      </c>
      <c r="G5615" s="3">
        <f>VLOOKUP(B5615,airports!A:H,8,FALSE)</f>
        <v>-80.152749999999997</v>
      </c>
      <c r="H5615">
        <f t="shared" si="174"/>
        <v>1905.5</v>
      </c>
      <c r="I5615">
        <f t="shared" si="175"/>
        <v>1184.0999999999999</v>
      </c>
    </row>
    <row r="5616" spans="1:9" ht="30" x14ac:dyDescent="0.25">
      <c r="A5616" s="5" t="s">
        <v>95</v>
      </c>
      <c r="B5616" s="5" t="s">
        <v>497</v>
      </c>
      <c r="C5616" s="5" t="s">
        <v>6095</v>
      </c>
      <c r="D5616" s="3">
        <f>VLOOKUP(A5616,airports!A:H,7,FALSE)</f>
        <v>41.979595000000003</v>
      </c>
      <c r="E5616" s="3">
        <f>VLOOKUP(A5616,airports!A:H,8,FALSE)</f>
        <v>-87.904464169999997</v>
      </c>
      <c r="F5616" s="3">
        <f>VLOOKUP(B5616,airports!A:H,7,FALSE)</f>
        <v>42.965503329999997</v>
      </c>
      <c r="G5616" s="3">
        <f>VLOOKUP(B5616,airports!A:H,8,FALSE)</f>
        <v>-83.743456390000006</v>
      </c>
      <c r="H5616">
        <f t="shared" si="174"/>
        <v>358.4</v>
      </c>
      <c r="I5616">
        <f t="shared" si="175"/>
        <v>222.7</v>
      </c>
    </row>
    <row r="5617" spans="1:9" ht="30" x14ac:dyDescent="0.25">
      <c r="A5617" s="5" t="s">
        <v>95</v>
      </c>
      <c r="B5617" s="5" t="s">
        <v>2371</v>
      </c>
      <c r="C5617" s="5" t="s">
        <v>6096</v>
      </c>
      <c r="D5617" s="3">
        <f>VLOOKUP(A5617,airports!A:H,7,FALSE)</f>
        <v>41.979595000000003</v>
      </c>
      <c r="E5617" s="3">
        <f>VLOOKUP(A5617,airports!A:H,8,FALSE)</f>
        <v>-87.904464169999997</v>
      </c>
      <c r="F5617" s="3">
        <f>VLOOKUP(B5617,airports!A:H,7,FALSE)</f>
        <v>42.551498410000001</v>
      </c>
      <c r="G5617" s="3">
        <f>VLOOKUP(B5617,airports!A:H,8,FALSE)</f>
        <v>-94.192596440000003</v>
      </c>
      <c r="H5617">
        <f t="shared" si="174"/>
        <v>521.20000000000005</v>
      </c>
      <c r="I5617">
        <f t="shared" si="175"/>
        <v>323.89999999999998</v>
      </c>
    </row>
    <row r="5618" spans="1:9" ht="30" x14ac:dyDescent="0.25">
      <c r="A5618" s="5" t="s">
        <v>95</v>
      </c>
      <c r="B5618" s="5" t="s">
        <v>499</v>
      </c>
      <c r="C5618" s="5" t="s">
        <v>6097</v>
      </c>
      <c r="D5618" s="3">
        <f>VLOOKUP(A5618,airports!A:H,7,FALSE)</f>
        <v>41.979595000000003</v>
      </c>
      <c r="E5618" s="3">
        <f>VLOOKUP(A5618,airports!A:H,8,FALSE)</f>
        <v>-87.904464169999997</v>
      </c>
      <c r="F5618" s="3">
        <f>VLOOKUP(B5618,airports!A:H,7,FALSE)</f>
        <v>43.58135111</v>
      </c>
      <c r="G5618" s="3">
        <f>VLOOKUP(B5618,airports!A:H,8,FALSE)</f>
        <v>-96.741700280000003</v>
      </c>
      <c r="H5618">
        <f t="shared" si="174"/>
        <v>742.5</v>
      </c>
      <c r="I5618">
        <f t="shared" si="175"/>
        <v>461.4</v>
      </c>
    </row>
    <row r="5619" spans="1:9" ht="30" x14ac:dyDescent="0.25">
      <c r="A5619" s="5" t="s">
        <v>95</v>
      </c>
      <c r="B5619" s="5" t="s">
        <v>503</v>
      </c>
      <c r="C5619" s="5" t="s">
        <v>6098</v>
      </c>
      <c r="D5619" s="3">
        <f>VLOOKUP(A5619,airports!A:H,7,FALSE)</f>
        <v>41.979595000000003</v>
      </c>
      <c r="E5619" s="3">
        <f>VLOOKUP(A5619,airports!A:H,8,FALSE)</f>
        <v>-87.904464169999997</v>
      </c>
      <c r="F5619" s="3">
        <f>VLOOKUP(B5619,airports!A:H,7,FALSE)</f>
        <v>40.978465829999998</v>
      </c>
      <c r="G5619" s="3">
        <f>VLOOKUP(B5619,airports!A:H,8,FALSE)</f>
        <v>-85.195146390000005</v>
      </c>
      <c r="H5619">
        <f t="shared" si="174"/>
        <v>251.6</v>
      </c>
      <c r="I5619">
        <f t="shared" si="175"/>
        <v>156.4</v>
      </c>
    </row>
    <row r="5620" spans="1:9" ht="30" x14ac:dyDescent="0.25">
      <c r="A5620" s="5" t="s">
        <v>95</v>
      </c>
      <c r="B5620" s="5" t="s">
        <v>505</v>
      </c>
      <c r="C5620" s="5" t="s">
        <v>6099</v>
      </c>
      <c r="D5620" s="3">
        <f>VLOOKUP(A5620,airports!A:H,7,FALSE)</f>
        <v>41.979595000000003</v>
      </c>
      <c r="E5620" s="3">
        <f>VLOOKUP(A5620,airports!A:H,8,FALSE)</f>
        <v>-87.904464169999997</v>
      </c>
      <c r="F5620" s="3">
        <f>VLOOKUP(B5620,airports!A:H,7,FALSE)</f>
        <v>47.619855559999998</v>
      </c>
      <c r="G5620" s="3">
        <f>VLOOKUP(B5620,airports!A:H,8,FALSE)</f>
        <v>-117.53384250000001</v>
      </c>
      <c r="H5620">
        <f t="shared" si="174"/>
        <v>2404.1999999999998</v>
      </c>
      <c r="I5620">
        <f t="shared" si="175"/>
        <v>1494</v>
      </c>
    </row>
    <row r="5621" spans="1:9" ht="30" x14ac:dyDescent="0.25">
      <c r="A5621" s="5" t="s">
        <v>95</v>
      </c>
      <c r="B5621" s="5" t="s">
        <v>858</v>
      </c>
      <c r="C5621" s="5" t="s">
        <v>6100</v>
      </c>
      <c r="D5621" s="3">
        <f>VLOOKUP(A5621,airports!A:H,7,FALSE)</f>
        <v>41.979595000000003</v>
      </c>
      <c r="E5621" s="3">
        <f>VLOOKUP(A5621,airports!A:H,8,FALSE)</f>
        <v>-87.904464169999997</v>
      </c>
      <c r="F5621" s="3">
        <f>VLOOKUP(B5621,airports!A:H,7,FALSE)</f>
        <v>39.122412500000003</v>
      </c>
      <c r="G5621" s="3">
        <f>VLOOKUP(B5621,airports!A:H,8,FALSE)</f>
        <v>-108.52673470000001</v>
      </c>
      <c r="H5621">
        <f t="shared" si="174"/>
        <v>1766.6</v>
      </c>
      <c r="I5621">
        <f t="shared" si="175"/>
        <v>1097.8</v>
      </c>
    </row>
    <row r="5622" spans="1:9" ht="30" x14ac:dyDescent="0.25">
      <c r="A5622" s="5" t="s">
        <v>95</v>
      </c>
      <c r="B5622" s="5" t="s">
        <v>511</v>
      </c>
      <c r="C5622" s="5" t="s">
        <v>6101</v>
      </c>
      <c r="D5622" s="3">
        <f>VLOOKUP(A5622,airports!A:H,7,FALSE)</f>
        <v>41.979595000000003</v>
      </c>
      <c r="E5622" s="3">
        <f>VLOOKUP(A5622,airports!A:H,8,FALSE)</f>
        <v>-87.904464169999997</v>
      </c>
      <c r="F5622" s="3">
        <f>VLOOKUP(B5622,airports!A:H,7,FALSE)</f>
        <v>44.485073329999999</v>
      </c>
      <c r="G5622" s="3">
        <f>VLOOKUP(B5622,airports!A:H,8,FALSE)</f>
        <v>-88.129589999999993</v>
      </c>
      <c r="H5622">
        <f t="shared" si="174"/>
        <v>279.2</v>
      </c>
      <c r="I5622">
        <f t="shared" si="175"/>
        <v>173.5</v>
      </c>
    </row>
    <row r="5623" spans="1:9" ht="30" x14ac:dyDescent="0.25">
      <c r="A5623" s="5" t="s">
        <v>95</v>
      </c>
      <c r="B5623" s="5" t="s">
        <v>515</v>
      </c>
      <c r="C5623" s="5" t="s">
        <v>6102</v>
      </c>
      <c r="D5623" s="3">
        <f>VLOOKUP(A5623,airports!A:H,7,FALSE)</f>
        <v>41.979595000000003</v>
      </c>
      <c r="E5623" s="3">
        <f>VLOOKUP(A5623,airports!A:H,8,FALSE)</f>
        <v>-87.904464169999997</v>
      </c>
      <c r="F5623" s="3">
        <f>VLOOKUP(B5623,airports!A:H,7,FALSE)</f>
        <v>42.880819719999998</v>
      </c>
      <c r="G5623" s="3">
        <f>VLOOKUP(B5623,airports!A:H,8,FALSE)</f>
        <v>-85.522767779999995</v>
      </c>
      <c r="H5623">
        <f t="shared" si="174"/>
        <v>219.7</v>
      </c>
      <c r="I5623">
        <f t="shared" si="175"/>
        <v>136.5</v>
      </c>
    </row>
    <row r="5624" spans="1:9" ht="30" x14ac:dyDescent="0.25">
      <c r="A5624" s="5" t="s">
        <v>95</v>
      </c>
      <c r="B5624" s="5" t="s">
        <v>517</v>
      </c>
      <c r="C5624" s="5" t="s">
        <v>6103</v>
      </c>
      <c r="D5624" s="3">
        <f>VLOOKUP(A5624,airports!A:H,7,FALSE)</f>
        <v>41.979595000000003</v>
      </c>
      <c r="E5624" s="3">
        <f>VLOOKUP(A5624,airports!A:H,8,FALSE)</f>
        <v>-87.904464169999997</v>
      </c>
      <c r="F5624" s="3">
        <f>VLOOKUP(B5624,airports!A:H,7,FALSE)</f>
        <v>36.09774694</v>
      </c>
      <c r="G5624" s="3">
        <f>VLOOKUP(B5624,airports!A:H,8,FALSE)</f>
        <v>-79.9372975</v>
      </c>
      <c r="H5624">
        <f t="shared" si="174"/>
        <v>948.5</v>
      </c>
      <c r="I5624">
        <f t="shared" si="175"/>
        <v>589.4</v>
      </c>
    </row>
    <row r="5625" spans="1:9" ht="30" x14ac:dyDescent="0.25">
      <c r="A5625" s="5" t="s">
        <v>95</v>
      </c>
      <c r="B5625" s="5" t="s">
        <v>519</v>
      </c>
      <c r="C5625" s="5" t="s">
        <v>6104</v>
      </c>
      <c r="D5625" s="3">
        <f>VLOOKUP(A5625,airports!A:H,7,FALSE)</f>
        <v>41.979595000000003</v>
      </c>
      <c r="E5625" s="3">
        <f>VLOOKUP(A5625,airports!A:H,8,FALSE)</f>
        <v>-87.904464169999997</v>
      </c>
      <c r="F5625" s="3">
        <f>VLOOKUP(B5625,airports!A:H,7,FALSE)</f>
        <v>34.89566722</v>
      </c>
      <c r="G5625" s="3">
        <f>VLOOKUP(B5625,airports!A:H,8,FALSE)</f>
        <v>-82.218858330000003</v>
      </c>
      <c r="H5625">
        <f t="shared" si="174"/>
        <v>929.9</v>
      </c>
      <c r="I5625">
        <f t="shared" si="175"/>
        <v>577.79999999999995</v>
      </c>
    </row>
    <row r="5626" spans="1:9" ht="30" x14ac:dyDescent="0.25">
      <c r="A5626" s="5" t="s">
        <v>95</v>
      </c>
      <c r="B5626" s="5" t="s">
        <v>863</v>
      </c>
      <c r="C5626" s="5" t="s">
        <v>6105</v>
      </c>
      <c r="D5626" s="3">
        <f>VLOOKUP(A5626,airports!A:H,7,FALSE)</f>
        <v>41.979595000000003</v>
      </c>
      <c r="E5626" s="3">
        <f>VLOOKUP(A5626,airports!A:H,8,FALSE)</f>
        <v>-87.904464169999997</v>
      </c>
      <c r="F5626" s="3">
        <f>VLOOKUP(B5626,airports!A:H,7,FALSE)</f>
        <v>47.482001940000004</v>
      </c>
      <c r="G5626" s="3">
        <f>VLOOKUP(B5626,airports!A:H,8,FALSE)</f>
        <v>-111.37068530000001</v>
      </c>
      <c r="H5626">
        <f t="shared" si="174"/>
        <v>1943.3</v>
      </c>
      <c r="I5626">
        <f t="shared" si="175"/>
        <v>1207.5999999999999</v>
      </c>
    </row>
    <row r="5627" spans="1:9" ht="30" x14ac:dyDescent="0.25">
      <c r="A5627" s="5" t="s">
        <v>95</v>
      </c>
      <c r="B5627" s="5" t="s">
        <v>64</v>
      </c>
      <c r="C5627" s="5" t="s">
        <v>6106</v>
      </c>
      <c r="D5627" s="3">
        <f>VLOOKUP(A5627,airports!A:H,7,FALSE)</f>
        <v>41.979595000000003</v>
      </c>
      <c r="E5627" s="3">
        <f>VLOOKUP(A5627,airports!A:H,8,FALSE)</f>
        <v>-87.904464169999997</v>
      </c>
      <c r="F5627" s="3">
        <f>VLOOKUP(B5627,airports!A:H,7,FALSE)</f>
        <v>40.481180279999997</v>
      </c>
      <c r="G5627" s="3">
        <f>VLOOKUP(B5627,airports!A:H,8,FALSE)</f>
        <v>-107.2176597</v>
      </c>
      <c r="H5627">
        <f t="shared" si="174"/>
        <v>1620.2</v>
      </c>
      <c r="I5627">
        <f t="shared" si="175"/>
        <v>1006.8</v>
      </c>
    </row>
    <row r="5628" spans="1:9" ht="30" x14ac:dyDescent="0.25">
      <c r="A5628" s="5" t="s">
        <v>95</v>
      </c>
      <c r="B5628" s="5" t="s">
        <v>524</v>
      </c>
      <c r="C5628" s="5" t="s">
        <v>6107</v>
      </c>
      <c r="D5628" s="3">
        <f>VLOOKUP(A5628,airports!A:H,7,FALSE)</f>
        <v>41.979595000000003</v>
      </c>
      <c r="E5628" s="3">
        <f>VLOOKUP(A5628,airports!A:H,8,FALSE)</f>
        <v>-87.904464169999997</v>
      </c>
      <c r="F5628" s="3">
        <f>VLOOKUP(B5628,airports!A:H,7,FALSE)</f>
        <v>32.224399566700001</v>
      </c>
      <c r="G5628" s="3">
        <f>VLOOKUP(B5628,airports!A:H,8,FALSE)</f>
        <v>-80.697502136200001</v>
      </c>
      <c r="H5628">
        <f t="shared" si="174"/>
        <v>1257.9000000000001</v>
      </c>
      <c r="I5628">
        <f t="shared" si="175"/>
        <v>781.7</v>
      </c>
    </row>
    <row r="5629" spans="1:9" ht="30" x14ac:dyDescent="0.25">
      <c r="A5629" s="5" t="s">
        <v>95</v>
      </c>
      <c r="B5629" s="5" t="s">
        <v>360</v>
      </c>
      <c r="C5629" s="5" t="s">
        <v>6108</v>
      </c>
      <c r="D5629" s="3">
        <f>VLOOKUP(A5629,airports!A:H,7,FALSE)</f>
        <v>41.979595000000003</v>
      </c>
      <c r="E5629" s="3">
        <f>VLOOKUP(A5629,airports!A:H,8,FALSE)</f>
        <v>-87.904464169999997</v>
      </c>
      <c r="F5629" s="3">
        <f>VLOOKUP(B5629,airports!A:H,7,FALSE)</f>
        <v>21.31869111</v>
      </c>
      <c r="G5629" s="3">
        <f>VLOOKUP(B5629,airports!A:H,8,FALSE)</f>
        <v>-157.92240720000001</v>
      </c>
      <c r="H5629">
        <f t="shared" si="174"/>
        <v>6819.2</v>
      </c>
      <c r="I5629">
        <f t="shared" si="175"/>
        <v>4237.5</v>
      </c>
    </row>
    <row r="5630" spans="1:9" ht="30" x14ac:dyDescent="0.25">
      <c r="A5630" s="5" t="s">
        <v>95</v>
      </c>
      <c r="B5630" s="5" t="s">
        <v>65</v>
      </c>
      <c r="C5630" s="5" t="s">
        <v>6109</v>
      </c>
      <c r="D5630" s="3">
        <f>VLOOKUP(A5630,airports!A:H,7,FALSE)</f>
        <v>41.979595000000003</v>
      </c>
      <c r="E5630" s="3">
        <f>VLOOKUP(A5630,airports!A:H,8,FALSE)</f>
        <v>-87.904464169999997</v>
      </c>
      <c r="F5630" s="3">
        <f>VLOOKUP(B5630,airports!A:H,7,FALSE)</f>
        <v>41.066957780000003</v>
      </c>
      <c r="G5630" s="3">
        <f>VLOOKUP(B5630,airports!A:H,8,FALSE)</f>
        <v>-73.707574440000002</v>
      </c>
      <c r="H5630">
        <f t="shared" si="174"/>
        <v>1184.9000000000001</v>
      </c>
      <c r="I5630">
        <f t="shared" si="175"/>
        <v>736.3</v>
      </c>
    </row>
    <row r="5631" spans="1:9" ht="30" x14ac:dyDescent="0.25">
      <c r="A5631" s="5" t="s">
        <v>95</v>
      </c>
      <c r="B5631" s="5" t="s">
        <v>729</v>
      </c>
      <c r="C5631" s="5" t="s">
        <v>6110</v>
      </c>
      <c r="D5631" s="3">
        <f>VLOOKUP(A5631,airports!A:H,7,FALSE)</f>
        <v>41.979595000000003</v>
      </c>
      <c r="E5631" s="3">
        <f>VLOOKUP(A5631,airports!A:H,8,FALSE)</f>
        <v>-87.904464169999997</v>
      </c>
      <c r="F5631" s="3">
        <f>VLOOKUP(B5631,airports!A:H,7,FALSE)</f>
        <v>26.228506110000001</v>
      </c>
      <c r="G5631" s="3">
        <f>VLOOKUP(B5631,airports!A:H,8,FALSE)</f>
        <v>-97.654393889999994</v>
      </c>
      <c r="H5631">
        <f t="shared" si="174"/>
        <v>1964.9</v>
      </c>
      <c r="I5631">
        <f t="shared" si="175"/>
        <v>1221</v>
      </c>
    </row>
    <row r="5632" spans="1:9" ht="30" x14ac:dyDescent="0.25">
      <c r="A5632" s="5" t="s">
        <v>95</v>
      </c>
      <c r="B5632" s="5" t="s">
        <v>529</v>
      </c>
      <c r="C5632" s="5" t="s">
        <v>6111</v>
      </c>
      <c r="D5632" s="3">
        <f>VLOOKUP(A5632,airports!A:H,7,FALSE)</f>
        <v>41.979595000000003</v>
      </c>
      <c r="E5632" s="3">
        <f>VLOOKUP(A5632,airports!A:H,8,FALSE)</f>
        <v>-87.904464169999997</v>
      </c>
      <c r="F5632" s="3">
        <f>VLOOKUP(B5632,airports!A:H,7,FALSE)</f>
        <v>34.640447500000001</v>
      </c>
      <c r="G5632" s="3">
        <f>VLOOKUP(B5632,airports!A:H,8,FALSE)</f>
        <v>-86.773109439999999</v>
      </c>
      <c r="H5632">
        <f t="shared" si="174"/>
        <v>822</v>
      </c>
      <c r="I5632">
        <f t="shared" si="175"/>
        <v>510.8</v>
      </c>
    </row>
    <row r="5633" spans="1:9" ht="30" x14ac:dyDescent="0.25">
      <c r="A5633" s="5" t="s">
        <v>95</v>
      </c>
      <c r="B5633" s="5" t="s">
        <v>2394</v>
      </c>
      <c r="C5633" s="5" t="s">
        <v>6112</v>
      </c>
      <c r="D5633" s="3">
        <f>VLOOKUP(A5633,airports!A:H,7,FALSE)</f>
        <v>41.979595000000003</v>
      </c>
      <c r="E5633" s="3">
        <f>VLOOKUP(A5633,airports!A:H,8,FALSE)</f>
        <v>-87.904464169999997</v>
      </c>
      <c r="F5633" s="3">
        <f>VLOOKUP(B5633,airports!A:H,7,FALSE)</f>
        <v>38.844941669999997</v>
      </c>
      <c r="G5633" s="3">
        <f>VLOOKUP(B5633,airports!A:H,8,FALSE)</f>
        <v>-99.274033610000004</v>
      </c>
      <c r="H5633">
        <f t="shared" si="174"/>
        <v>1022.8</v>
      </c>
      <c r="I5633">
        <f t="shared" si="175"/>
        <v>635.6</v>
      </c>
    </row>
    <row r="5634" spans="1:9" ht="30" x14ac:dyDescent="0.25">
      <c r="A5634" s="5" t="s">
        <v>95</v>
      </c>
      <c r="B5634" s="5" t="s">
        <v>176</v>
      </c>
      <c r="C5634" s="5" t="s">
        <v>6113</v>
      </c>
      <c r="D5634" s="3">
        <f>VLOOKUP(A5634,airports!A:H,7,FALSE)</f>
        <v>41.979595000000003</v>
      </c>
      <c r="E5634" s="3">
        <f>VLOOKUP(A5634,airports!A:H,8,FALSE)</f>
        <v>-87.904464169999997</v>
      </c>
      <c r="F5634" s="3">
        <f>VLOOKUP(B5634,airports!A:H,7,FALSE)</f>
        <v>38.944531939999997</v>
      </c>
      <c r="G5634" s="3">
        <f>VLOOKUP(B5634,airports!A:H,8,FALSE)</f>
        <v>-77.455809720000005</v>
      </c>
      <c r="H5634">
        <f t="shared" si="174"/>
        <v>945.4</v>
      </c>
      <c r="I5634">
        <f t="shared" si="175"/>
        <v>587.5</v>
      </c>
    </row>
    <row r="5635" spans="1:9" ht="30" x14ac:dyDescent="0.25">
      <c r="A5635" s="5" t="s">
        <v>95</v>
      </c>
      <c r="B5635" s="5" t="s">
        <v>67</v>
      </c>
      <c r="C5635" s="5" t="s">
        <v>6114</v>
      </c>
      <c r="D5635" s="3">
        <f>VLOOKUP(A5635,airports!A:H,7,FALSE)</f>
        <v>41.979595000000003</v>
      </c>
      <c r="E5635" s="3">
        <f>VLOOKUP(A5635,airports!A:H,8,FALSE)</f>
        <v>-87.904464169999997</v>
      </c>
      <c r="F5635" s="3">
        <f>VLOOKUP(B5635,airports!A:H,7,FALSE)</f>
        <v>29.980472219999999</v>
      </c>
      <c r="G5635" s="3">
        <f>VLOOKUP(B5635,airports!A:H,8,FALSE)</f>
        <v>-95.339722219999999</v>
      </c>
      <c r="H5635">
        <f t="shared" si="174"/>
        <v>1491.1</v>
      </c>
      <c r="I5635">
        <f t="shared" si="175"/>
        <v>926.6</v>
      </c>
    </row>
    <row r="5636" spans="1:9" x14ac:dyDescent="0.25">
      <c r="A5636" s="5" t="s">
        <v>95</v>
      </c>
      <c r="B5636" s="5" t="s">
        <v>533</v>
      </c>
      <c r="C5636" s="5" t="s">
        <v>6115</v>
      </c>
      <c r="D5636" s="3">
        <f>VLOOKUP(A5636,airports!A:H,7,FALSE)</f>
        <v>41.979595000000003</v>
      </c>
      <c r="E5636" s="3">
        <f>VLOOKUP(A5636,airports!A:H,8,FALSE)</f>
        <v>-87.904464169999997</v>
      </c>
      <c r="F5636" s="3">
        <f>VLOOKUP(B5636,airports!A:H,7,FALSE)</f>
        <v>37.649958890000001</v>
      </c>
      <c r="G5636" s="3">
        <f>VLOOKUP(B5636,airports!A:H,8,FALSE)</f>
        <v>-97.433045829999998</v>
      </c>
      <c r="H5636">
        <f t="shared" ref="H5636:H5699" si="176">ROUND(ACOS(COS(RADIANS(90-D5636)) * COS(RADIANS(90-F5636)) + SIN(RADIANS(90-D5636)) * SIN(RADIANS(90-F5636)) * COS(RADIANS(E5636-G5636))) * 6371,1)</f>
        <v>944.7</v>
      </c>
      <c r="I5636">
        <f t="shared" ref="I5636:I5699" si="177">ROUND(ACOS(COS(RADIANS(90-D5636)) * COS(RADIANS(90-F5636)) + SIN(RADIANS(90-D5636)) * SIN(RADIANS(90-F5636)) * COS(RADIANS(E5636-G5636))) * 3959,1)</f>
        <v>587.1</v>
      </c>
    </row>
    <row r="5637" spans="1:9" ht="30" x14ac:dyDescent="0.25">
      <c r="A5637" s="5" t="s">
        <v>95</v>
      </c>
      <c r="B5637" s="5" t="s">
        <v>535</v>
      </c>
      <c r="C5637" s="5" t="s">
        <v>6116</v>
      </c>
      <c r="D5637" s="3">
        <f>VLOOKUP(A5637,airports!A:H,7,FALSE)</f>
        <v>41.979595000000003</v>
      </c>
      <c r="E5637" s="3">
        <f>VLOOKUP(A5637,airports!A:H,8,FALSE)</f>
        <v>-87.904464169999997</v>
      </c>
      <c r="F5637" s="3">
        <f>VLOOKUP(B5637,airports!A:H,7,FALSE)</f>
        <v>34.270611109999997</v>
      </c>
      <c r="G5637" s="3">
        <f>VLOOKUP(B5637,airports!A:H,8,FALSE)</f>
        <v>-77.902555559999996</v>
      </c>
      <c r="H5637">
        <f t="shared" si="176"/>
        <v>1223.2</v>
      </c>
      <c r="I5637">
        <f t="shared" si="177"/>
        <v>760.1</v>
      </c>
    </row>
    <row r="5638" spans="1:9" ht="30" x14ac:dyDescent="0.25">
      <c r="A5638" s="5" t="s">
        <v>95</v>
      </c>
      <c r="B5638" s="5" t="s">
        <v>537</v>
      </c>
      <c r="C5638" s="5" t="s">
        <v>6117</v>
      </c>
      <c r="D5638" s="3">
        <f>VLOOKUP(A5638,airports!A:H,7,FALSE)</f>
        <v>41.979595000000003</v>
      </c>
      <c r="E5638" s="3">
        <f>VLOOKUP(A5638,airports!A:H,8,FALSE)</f>
        <v>-87.904464169999997</v>
      </c>
      <c r="F5638" s="3">
        <f>VLOOKUP(B5638,airports!A:H,7,FALSE)</f>
        <v>39.717329169999999</v>
      </c>
      <c r="G5638" s="3">
        <f>VLOOKUP(B5638,airports!A:H,8,FALSE)</f>
        <v>-86.294384170000001</v>
      </c>
      <c r="H5638">
        <f t="shared" si="176"/>
        <v>285.7</v>
      </c>
      <c r="I5638">
        <f t="shared" si="177"/>
        <v>177.5</v>
      </c>
    </row>
    <row r="5639" spans="1:9" x14ac:dyDescent="0.25">
      <c r="A5639" s="5" t="s">
        <v>95</v>
      </c>
      <c r="B5639" s="5" t="s">
        <v>539</v>
      </c>
      <c r="C5639" s="5" t="s">
        <v>6118</v>
      </c>
      <c r="D5639" s="3">
        <f>VLOOKUP(A5639,airports!A:H,7,FALSE)</f>
        <v>41.979595000000003</v>
      </c>
      <c r="E5639" s="3">
        <f>VLOOKUP(A5639,airports!A:H,8,FALSE)</f>
        <v>-87.904464169999997</v>
      </c>
      <c r="F5639" s="3">
        <f>VLOOKUP(B5639,airports!A:H,7,FALSE)</f>
        <v>40.795242500000001</v>
      </c>
      <c r="G5639" s="3">
        <f>VLOOKUP(B5639,airports!A:H,8,FALSE)</f>
        <v>-73.100211939999994</v>
      </c>
      <c r="H5639">
        <f t="shared" si="176"/>
        <v>1240.5</v>
      </c>
      <c r="I5639">
        <f t="shared" si="177"/>
        <v>770.8</v>
      </c>
    </row>
    <row r="5640" spans="1:9" ht="30" x14ac:dyDescent="0.25">
      <c r="A5640" s="5" t="s">
        <v>95</v>
      </c>
      <c r="B5640" s="5" t="s">
        <v>541</v>
      </c>
      <c r="C5640" s="5" t="s">
        <v>6119</v>
      </c>
      <c r="D5640" s="3">
        <f>VLOOKUP(A5640,airports!A:H,7,FALSE)</f>
        <v>41.979595000000003</v>
      </c>
      <c r="E5640" s="3">
        <f>VLOOKUP(A5640,airports!A:H,8,FALSE)</f>
        <v>-87.904464169999997</v>
      </c>
      <c r="F5640" s="3">
        <f>VLOOKUP(B5640,airports!A:H,7,FALSE)</f>
        <v>43.607324169999998</v>
      </c>
      <c r="G5640" s="3">
        <f>VLOOKUP(B5640,airports!A:H,8,FALSE)</f>
        <v>-110.7377389</v>
      </c>
      <c r="H5640">
        <f t="shared" si="176"/>
        <v>1865.9</v>
      </c>
      <c r="I5640">
        <f t="shared" si="177"/>
        <v>1159.5</v>
      </c>
    </row>
    <row r="5641" spans="1:9" ht="30" x14ac:dyDescent="0.25">
      <c r="A5641" s="5" t="s">
        <v>95</v>
      </c>
      <c r="B5641" s="5" t="s">
        <v>543</v>
      </c>
      <c r="C5641" s="5" t="s">
        <v>6120</v>
      </c>
      <c r="D5641" s="3">
        <f>VLOOKUP(A5641,airports!A:H,7,FALSE)</f>
        <v>41.979595000000003</v>
      </c>
      <c r="E5641" s="3">
        <f>VLOOKUP(A5641,airports!A:H,8,FALSE)</f>
        <v>-87.904464169999997</v>
      </c>
      <c r="F5641" s="3">
        <f>VLOOKUP(B5641,airports!A:H,7,FALSE)</f>
        <v>32.311166669999999</v>
      </c>
      <c r="G5641" s="3">
        <f>VLOOKUP(B5641,airports!A:H,8,FALSE)</f>
        <v>-90.075888890000002</v>
      </c>
      <c r="H5641">
        <f t="shared" si="176"/>
        <v>1092.0999999999999</v>
      </c>
      <c r="I5641">
        <f t="shared" si="177"/>
        <v>678.6</v>
      </c>
    </row>
    <row r="5642" spans="1:9" ht="30" x14ac:dyDescent="0.25">
      <c r="A5642" s="5" t="s">
        <v>95</v>
      </c>
      <c r="B5642" s="5" t="s">
        <v>68</v>
      </c>
      <c r="C5642" s="5" t="s">
        <v>6121</v>
      </c>
      <c r="D5642" s="3">
        <f>VLOOKUP(A5642,airports!A:H,7,FALSE)</f>
        <v>41.979595000000003</v>
      </c>
      <c r="E5642" s="3">
        <f>VLOOKUP(A5642,airports!A:H,8,FALSE)</f>
        <v>-87.904464169999997</v>
      </c>
      <c r="F5642" s="3">
        <f>VLOOKUP(B5642,airports!A:H,7,FALSE)</f>
        <v>30.49405556</v>
      </c>
      <c r="G5642" s="3">
        <f>VLOOKUP(B5642,airports!A:H,8,FALSE)</f>
        <v>-81.68786111</v>
      </c>
      <c r="H5642">
        <f t="shared" si="176"/>
        <v>1392.5</v>
      </c>
      <c r="I5642">
        <f t="shared" si="177"/>
        <v>865.3</v>
      </c>
    </row>
    <row r="5643" spans="1:9" ht="30" x14ac:dyDescent="0.25">
      <c r="A5643" s="5" t="s">
        <v>95</v>
      </c>
      <c r="B5643" s="5" t="s">
        <v>69</v>
      </c>
      <c r="C5643" s="5" t="s">
        <v>6122</v>
      </c>
      <c r="D5643" s="3">
        <f>VLOOKUP(A5643,airports!A:H,7,FALSE)</f>
        <v>41.979595000000003</v>
      </c>
      <c r="E5643" s="3">
        <f>VLOOKUP(A5643,airports!A:H,8,FALSE)</f>
        <v>-87.904464169999997</v>
      </c>
      <c r="F5643" s="3">
        <f>VLOOKUP(B5643,airports!A:H,7,FALSE)</f>
        <v>40.639751109999999</v>
      </c>
      <c r="G5643" s="3">
        <f>VLOOKUP(B5643,airports!A:H,8,FALSE)</f>
        <v>-73.778925560000005</v>
      </c>
      <c r="H5643">
        <f t="shared" si="176"/>
        <v>1187.8</v>
      </c>
      <c r="I5643">
        <f t="shared" si="177"/>
        <v>738.1</v>
      </c>
    </row>
    <row r="5644" spans="1:9" ht="30" x14ac:dyDescent="0.25">
      <c r="A5644" s="5" t="s">
        <v>95</v>
      </c>
      <c r="B5644" s="5" t="s">
        <v>2407</v>
      </c>
      <c r="C5644" s="5" t="s">
        <v>6123</v>
      </c>
      <c r="D5644" s="3">
        <f>VLOOKUP(A5644,airports!A:H,7,FALSE)</f>
        <v>41.979595000000003</v>
      </c>
      <c r="E5644" s="3">
        <f>VLOOKUP(A5644,airports!A:H,8,FALSE)</f>
        <v>-87.904464169999997</v>
      </c>
      <c r="F5644" s="3">
        <f>VLOOKUP(B5644,airports!A:H,7,FALSE)</f>
        <v>37.151813609999998</v>
      </c>
      <c r="G5644" s="3">
        <f>VLOOKUP(B5644,airports!A:H,8,FALSE)</f>
        <v>-94.498268330000002</v>
      </c>
      <c r="H5644">
        <f t="shared" si="176"/>
        <v>779.1</v>
      </c>
      <c r="I5644">
        <f t="shared" si="177"/>
        <v>484.1</v>
      </c>
    </row>
    <row r="5645" spans="1:9" x14ac:dyDescent="0.25">
      <c r="A5645" s="5" t="s">
        <v>95</v>
      </c>
      <c r="B5645" s="5" t="s">
        <v>1658</v>
      </c>
      <c r="C5645" s="5" t="s">
        <v>6124</v>
      </c>
      <c r="D5645" s="3">
        <f>VLOOKUP(A5645,airports!A:H,7,FALSE)</f>
        <v>41.979595000000003</v>
      </c>
      <c r="E5645" s="3">
        <f>VLOOKUP(A5645,airports!A:H,8,FALSE)</f>
        <v>-87.904464169999997</v>
      </c>
      <c r="F5645" s="3">
        <f>VLOOKUP(B5645,airports!A:H,7,FALSE)</f>
        <v>40.3161010742187</v>
      </c>
      <c r="G5645" s="3">
        <f>VLOOKUP(B5645,airports!A:H,8,FALSE)</f>
        <v>-78.833900451660099</v>
      </c>
      <c r="H5645">
        <f t="shared" si="176"/>
        <v>781.3</v>
      </c>
      <c r="I5645">
        <f t="shared" si="177"/>
        <v>485.5</v>
      </c>
    </row>
    <row r="5646" spans="1:9" ht="30" x14ac:dyDescent="0.25">
      <c r="A5646" s="5" t="s">
        <v>95</v>
      </c>
      <c r="B5646" s="5" t="s">
        <v>366</v>
      </c>
      <c r="C5646" s="5" t="s">
        <v>6125</v>
      </c>
      <c r="D5646" s="3">
        <f>VLOOKUP(A5646,airports!A:H,7,FALSE)</f>
        <v>41.979595000000003</v>
      </c>
      <c r="E5646" s="3">
        <f>VLOOKUP(A5646,airports!A:H,8,FALSE)</f>
        <v>-87.904464169999997</v>
      </c>
      <c r="F5646" s="3">
        <f>VLOOKUP(B5646,airports!A:H,7,FALSE)</f>
        <v>19.738765829999998</v>
      </c>
      <c r="G5646" s="3">
        <f>VLOOKUP(B5646,airports!A:H,8,FALSE)</f>
        <v>-156.04563139999999</v>
      </c>
      <c r="H5646">
        <f t="shared" si="176"/>
        <v>6771.2</v>
      </c>
      <c r="I5646">
        <f t="shared" si="177"/>
        <v>4207.7</v>
      </c>
    </row>
    <row r="5647" spans="1:9" ht="30" x14ac:dyDescent="0.25">
      <c r="A5647" s="5" t="s">
        <v>95</v>
      </c>
      <c r="B5647" s="5" t="s">
        <v>2236</v>
      </c>
      <c r="C5647" s="5" t="s">
        <v>6126</v>
      </c>
      <c r="D5647" s="3">
        <f>VLOOKUP(A5647,airports!A:H,7,FALSE)</f>
        <v>41.979595000000003</v>
      </c>
      <c r="E5647" s="3">
        <f>VLOOKUP(A5647,airports!A:H,8,FALSE)</f>
        <v>-87.904464169999997</v>
      </c>
      <c r="F5647" s="3">
        <f>VLOOKUP(B5647,airports!A:H,7,FALSE)</f>
        <v>42.778700000000001</v>
      </c>
      <c r="G5647" s="3">
        <f>VLOOKUP(B5647,airports!A:H,8,FALSE)</f>
        <v>-84.58735806</v>
      </c>
      <c r="H5647">
        <f t="shared" si="176"/>
        <v>286.60000000000002</v>
      </c>
      <c r="I5647">
        <f t="shared" si="177"/>
        <v>178.1</v>
      </c>
    </row>
    <row r="5648" spans="1:9" ht="30" x14ac:dyDescent="0.25">
      <c r="A5648" s="5" t="s">
        <v>95</v>
      </c>
      <c r="B5648" s="5" t="s">
        <v>71</v>
      </c>
      <c r="C5648" s="5" t="s">
        <v>6127</v>
      </c>
      <c r="D5648" s="3">
        <f>VLOOKUP(A5648,airports!A:H,7,FALSE)</f>
        <v>41.979595000000003</v>
      </c>
      <c r="E5648" s="3">
        <f>VLOOKUP(A5648,airports!A:H,8,FALSE)</f>
        <v>-87.904464169999997</v>
      </c>
      <c r="F5648" s="3">
        <f>VLOOKUP(B5648,airports!A:H,7,FALSE)</f>
        <v>36.080361109999998</v>
      </c>
      <c r="G5648" s="3">
        <f>VLOOKUP(B5648,airports!A:H,8,FALSE)</f>
        <v>-115.1523333</v>
      </c>
      <c r="H5648">
        <f t="shared" si="176"/>
        <v>2431.6999999999998</v>
      </c>
      <c r="I5648">
        <f t="shared" si="177"/>
        <v>1511.1</v>
      </c>
    </row>
    <row r="5649" spans="1:9" ht="30" x14ac:dyDescent="0.25">
      <c r="A5649" s="5" t="s">
        <v>95</v>
      </c>
      <c r="B5649" s="5" t="s">
        <v>73</v>
      </c>
      <c r="C5649" s="5" t="s">
        <v>6128</v>
      </c>
      <c r="D5649" s="3">
        <f>VLOOKUP(A5649,airports!A:H,7,FALSE)</f>
        <v>41.979595000000003</v>
      </c>
      <c r="E5649" s="3">
        <f>VLOOKUP(A5649,airports!A:H,8,FALSE)</f>
        <v>-87.904464169999997</v>
      </c>
      <c r="F5649" s="3">
        <f>VLOOKUP(B5649,airports!A:H,7,FALSE)</f>
        <v>33.942536109999999</v>
      </c>
      <c r="G5649" s="3">
        <f>VLOOKUP(B5649,airports!A:H,8,FALSE)</f>
        <v>-118.4080744</v>
      </c>
      <c r="H5649">
        <f t="shared" si="176"/>
        <v>2802.2</v>
      </c>
      <c r="I5649">
        <f t="shared" si="177"/>
        <v>1741.3</v>
      </c>
    </row>
    <row r="5650" spans="1:9" ht="30" x14ac:dyDescent="0.25">
      <c r="A5650" s="5" t="s">
        <v>95</v>
      </c>
      <c r="B5650" s="5" t="s">
        <v>549</v>
      </c>
      <c r="C5650" s="5" t="s">
        <v>6129</v>
      </c>
      <c r="D5650" s="3">
        <f>VLOOKUP(A5650,airports!A:H,7,FALSE)</f>
        <v>41.979595000000003</v>
      </c>
      <c r="E5650" s="3">
        <f>VLOOKUP(A5650,airports!A:H,8,FALSE)</f>
        <v>-87.904464169999997</v>
      </c>
      <c r="F5650" s="3">
        <f>VLOOKUP(B5650,airports!A:H,7,FALSE)</f>
        <v>38.036972220000003</v>
      </c>
      <c r="G5650" s="3">
        <f>VLOOKUP(B5650,airports!A:H,8,FALSE)</f>
        <v>-84.60538889</v>
      </c>
      <c r="H5650">
        <f t="shared" si="176"/>
        <v>520.6</v>
      </c>
      <c r="I5650">
        <f t="shared" si="177"/>
        <v>323.5</v>
      </c>
    </row>
    <row r="5651" spans="1:9" ht="30" x14ac:dyDescent="0.25">
      <c r="A5651" s="5" t="s">
        <v>95</v>
      </c>
      <c r="B5651" s="5" t="s">
        <v>551</v>
      </c>
      <c r="C5651" s="5" t="s">
        <v>6130</v>
      </c>
      <c r="D5651" s="3">
        <f>VLOOKUP(A5651,airports!A:H,7,FALSE)</f>
        <v>41.979595000000003</v>
      </c>
      <c r="E5651" s="3">
        <f>VLOOKUP(A5651,airports!A:H,8,FALSE)</f>
        <v>-87.904464169999997</v>
      </c>
      <c r="F5651" s="3">
        <f>VLOOKUP(B5651,airports!A:H,7,FALSE)</f>
        <v>30.20527972</v>
      </c>
      <c r="G5651" s="3">
        <f>VLOOKUP(B5651,airports!A:H,8,FALSE)</f>
        <v>-91.987655000000004</v>
      </c>
      <c r="H5651">
        <f t="shared" si="176"/>
        <v>1359.2</v>
      </c>
      <c r="I5651">
        <f t="shared" si="177"/>
        <v>844.6</v>
      </c>
    </row>
    <row r="5652" spans="1:9" ht="30" x14ac:dyDescent="0.25">
      <c r="A5652" s="5" t="s">
        <v>95</v>
      </c>
      <c r="B5652" s="5" t="s">
        <v>74</v>
      </c>
      <c r="C5652" s="5" t="s">
        <v>6131</v>
      </c>
      <c r="D5652" s="3">
        <f>VLOOKUP(A5652,airports!A:H,7,FALSE)</f>
        <v>41.979595000000003</v>
      </c>
      <c r="E5652" s="3">
        <f>VLOOKUP(A5652,airports!A:H,8,FALSE)</f>
        <v>-87.904464169999997</v>
      </c>
      <c r="F5652" s="3">
        <f>VLOOKUP(B5652,airports!A:H,7,FALSE)</f>
        <v>40.777243060000004</v>
      </c>
      <c r="G5652" s="3">
        <f>VLOOKUP(B5652,airports!A:H,8,FALSE)</f>
        <v>-73.872609170000004</v>
      </c>
      <c r="H5652">
        <f t="shared" si="176"/>
        <v>1177</v>
      </c>
      <c r="I5652">
        <f t="shared" si="177"/>
        <v>731.4</v>
      </c>
    </row>
    <row r="5653" spans="1:9" x14ac:dyDescent="0.25">
      <c r="A5653" s="5" t="s">
        <v>95</v>
      </c>
      <c r="B5653" s="5" t="s">
        <v>554</v>
      </c>
      <c r="C5653" s="5" t="s">
        <v>6132</v>
      </c>
      <c r="D5653" s="3">
        <f>VLOOKUP(A5653,airports!A:H,7,FALSE)</f>
        <v>41.979595000000003</v>
      </c>
      <c r="E5653" s="3">
        <f>VLOOKUP(A5653,airports!A:H,8,FALSE)</f>
        <v>-87.904464169999997</v>
      </c>
      <c r="F5653" s="3">
        <f>VLOOKUP(B5653,airports!A:H,7,FALSE)</f>
        <v>34.729396110000003</v>
      </c>
      <c r="G5653" s="3">
        <f>VLOOKUP(B5653,airports!A:H,8,FALSE)</f>
        <v>-92.22424556</v>
      </c>
      <c r="H5653">
        <f t="shared" si="176"/>
        <v>889.5</v>
      </c>
      <c r="I5653">
        <f t="shared" si="177"/>
        <v>552.79999999999995</v>
      </c>
    </row>
    <row r="5654" spans="1:9" ht="30" x14ac:dyDescent="0.25">
      <c r="A5654" s="5" t="s">
        <v>95</v>
      </c>
      <c r="B5654" s="5" t="s">
        <v>556</v>
      </c>
      <c r="C5654" s="5" t="s">
        <v>6133</v>
      </c>
      <c r="D5654" s="3">
        <f>VLOOKUP(A5654,airports!A:H,7,FALSE)</f>
        <v>41.979595000000003</v>
      </c>
      <c r="E5654" s="3">
        <f>VLOOKUP(A5654,airports!A:H,8,FALSE)</f>
        <v>-87.904464169999997</v>
      </c>
      <c r="F5654" s="3">
        <f>VLOOKUP(B5654,airports!A:H,7,FALSE)</f>
        <v>40.850972220000003</v>
      </c>
      <c r="G5654" s="3">
        <f>VLOOKUP(B5654,airports!A:H,8,FALSE)</f>
        <v>-96.759249999999994</v>
      </c>
      <c r="H5654">
        <f t="shared" si="176"/>
        <v>748.6</v>
      </c>
      <c r="I5654">
        <f t="shared" si="177"/>
        <v>465.2</v>
      </c>
    </row>
    <row r="5655" spans="1:9" ht="30" x14ac:dyDescent="0.25">
      <c r="A5655" s="5" t="s">
        <v>95</v>
      </c>
      <c r="B5655" s="5" t="s">
        <v>2874</v>
      </c>
      <c r="C5655" s="5" t="s">
        <v>6134</v>
      </c>
      <c r="D5655" s="3">
        <f>VLOOKUP(A5655,airports!A:H,7,FALSE)</f>
        <v>41.979595000000003</v>
      </c>
      <c r="E5655" s="3">
        <f>VLOOKUP(A5655,airports!A:H,8,FALSE)</f>
        <v>-87.904464169999997</v>
      </c>
      <c r="F5655" s="3">
        <f>VLOOKUP(B5655,airports!A:H,7,FALSE)</f>
        <v>43.879379720000003</v>
      </c>
      <c r="G5655" s="3">
        <f>VLOOKUP(B5655,airports!A:H,8,FALSE)</f>
        <v>-91.256537780000002</v>
      </c>
      <c r="H5655">
        <f t="shared" si="176"/>
        <v>345.1</v>
      </c>
      <c r="I5655">
        <f t="shared" si="177"/>
        <v>214.4</v>
      </c>
    </row>
    <row r="5656" spans="1:9" ht="30" x14ac:dyDescent="0.25">
      <c r="A5656" s="5" t="s">
        <v>95</v>
      </c>
      <c r="B5656" s="5" t="s">
        <v>3876</v>
      </c>
      <c r="C5656" s="5" t="s">
        <v>6135</v>
      </c>
      <c r="D5656" s="3">
        <f>VLOOKUP(A5656,airports!A:H,7,FALSE)</f>
        <v>41.979595000000003</v>
      </c>
      <c r="E5656" s="3">
        <f>VLOOKUP(A5656,airports!A:H,8,FALSE)</f>
        <v>-87.904464169999997</v>
      </c>
      <c r="F5656" s="3">
        <f>VLOOKUP(B5656,airports!A:H,7,FALSE)</f>
        <v>37.858305559999998</v>
      </c>
      <c r="G5656" s="3">
        <f>VLOOKUP(B5656,airports!A:H,8,FALSE)</f>
        <v>-80.399472220000007</v>
      </c>
      <c r="H5656">
        <f t="shared" si="176"/>
        <v>786.7</v>
      </c>
      <c r="I5656">
        <f t="shared" si="177"/>
        <v>488.8</v>
      </c>
    </row>
    <row r="5657" spans="1:9" ht="30" x14ac:dyDescent="0.25">
      <c r="A5657" s="5" t="s">
        <v>95</v>
      </c>
      <c r="B5657" s="5" t="s">
        <v>387</v>
      </c>
      <c r="C5657" s="5" t="s">
        <v>6136</v>
      </c>
      <c r="D5657" s="3">
        <f>VLOOKUP(A5657,airports!A:H,7,FALSE)</f>
        <v>41.979595000000003</v>
      </c>
      <c r="E5657" s="3">
        <f>VLOOKUP(A5657,airports!A:H,8,FALSE)</f>
        <v>-87.904464169999997</v>
      </c>
      <c r="F5657" s="3">
        <f>VLOOKUP(B5657,airports!A:H,7,FALSE)</f>
        <v>43.532914720000001</v>
      </c>
      <c r="G5657" s="3">
        <f>VLOOKUP(B5657,airports!A:H,8,FALSE)</f>
        <v>-84.079647219999998</v>
      </c>
      <c r="H5657">
        <f t="shared" si="176"/>
        <v>356.8</v>
      </c>
      <c r="I5657">
        <f t="shared" si="177"/>
        <v>221.7</v>
      </c>
    </row>
    <row r="5658" spans="1:9" ht="30" x14ac:dyDescent="0.25">
      <c r="A5658" s="5" t="s">
        <v>95</v>
      </c>
      <c r="B5658" s="5" t="s">
        <v>80</v>
      </c>
      <c r="C5658" s="5" t="s">
        <v>6137</v>
      </c>
      <c r="D5658" s="3">
        <f>VLOOKUP(A5658,airports!A:H,7,FALSE)</f>
        <v>41.979595000000003</v>
      </c>
      <c r="E5658" s="3">
        <f>VLOOKUP(A5658,airports!A:H,8,FALSE)</f>
        <v>-87.904464169999997</v>
      </c>
      <c r="F5658" s="3">
        <f>VLOOKUP(B5658,airports!A:H,7,FALSE)</f>
        <v>39.297605279999999</v>
      </c>
      <c r="G5658" s="3">
        <f>VLOOKUP(B5658,airports!A:H,8,FALSE)</f>
        <v>-94.713905560000001</v>
      </c>
      <c r="H5658">
        <f t="shared" si="176"/>
        <v>647.1</v>
      </c>
      <c r="I5658">
        <f t="shared" si="177"/>
        <v>402.1</v>
      </c>
    </row>
    <row r="5659" spans="1:9" ht="30" x14ac:dyDescent="0.25">
      <c r="A5659" s="5" t="s">
        <v>95</v>
      </c>
      <c r="B5659" s="5" t="s">
        <v>82</v>
      </c>
      <c r="C5659" s="5" t="s">
        <v>6138</v>
      </c>
      <c r="D5659" s="3">
        <f>VLOOKUP(A5659,airports!A:H,7,FALSE)</f>
        <v>41.979595000000003</v>
      </c>
      <c r="E5659" s="3">
        <f>VLOOKUP(A5659,airports!A:H,8,FALSE)</f>
        <v>-87.904464169999997</v>
      </c>
      <c r="F5659" s="3">
        <f>VLOOKUP(B5659,airports!A:H,7,FALSE)</f>
        <v>28.42888889</v>
      </c>
      <c r="G5659" s="3">
        <f>VLOOKUP(B5659,airports!A:H,8,FALSE)</f>
        <v>-81.316027779999999</v>
      </c>
      <c r="H5659">
        <f t="shared" si="176"/>
        <v>1620</v>
      </c>
      <c r="I5659">
        <f t="shared" si="177"/>
        <v>1006.7</v>
      </c>
    </row>
    <row r="5660" spans="1:9" ht="30" x14ac:dyDescent="0.25">
      <c r="A5660" s="5" t="s">
        <v>95</v>
      </c>
      <c r="B5660" s="5" t="s">
        <v>3369</v>
      </c>
      <c r="C5660" s="5" t="s">
        <v>6139</v>
      </c>
      <c r="D5660" s="3">
        <f>VLOOKUP(A5660,airports!A:H,7,FALSE)</f>
        <v>41.979595000000003</v>
      </c>
      <c r="E5660" s="3">
        <f>VLOOKUP(A5660,airports!A:H,8,FALSE)</f>
        <v>-87.904464169999997</v>
      </c>
      <c r="F5660" s="3">
        <f>VLOOKUP(B5660,airports!A:H,7,FALSE)</f>
        <v>43.157798999999997</v>
      </c>
      <c r="G5660" s="3">
        <f>VLOOKUP(B5660,airports!A:H,8,FALSE)</f>
        <v>-93.331299000000001</v>
      </c>
      <c r="H5660">
        <f t="shared" si="176"/>
        <v>463.2</v>
      </c>
      <c r="I5660">
        <f t="shared" si="177"/>
        <v>287.8</v>
      </c>
    </row>
    <row r="5661" spans="1:9" ht="30" x14ac:dyDescent="0.25">
      <c r="A5661" s="5" t="s">
        <v>95</v>
      </c>
      <c r="B5661" s="5" t="s">
        <v>178</v>
      </c>
      <c r="C5661" s="5" t="s">
        <v>6140</v>
      </c>
      <c r="D5661" s="3">
        <f>VLOOKUP(A5661,airports!A:H,7,FALSE)</f>
        <v>41.979595000000003</v>
      </c>
      <c r="E5661" s="3">
        <f>VLOOKUP(A5661,airports!A:H,8,FALSE)</f>
        <v>-87.904464169999997</v>
      </c>
      <c r="F5661" s="3">
        <f>VLOOKUP(B5661,airports!A:H,7,FALSE)</f>
        <v>40.19349528</v>
      </c>
      <c r="G5661" s="3">
        <f>VLOOKUP(B5661,airports!A:H,8,FALSE)</f>
        <v>-76.763403609999997</v>
      </c>
      <c r="H5661">
        <f t="shared" si="176"/>
        <v>953.9</v>
      </c>
      <c r="I5661">
        <f t="shared" si="177"/>
        <v>592.70000000000005</v>
      </c>
    </row>
    <row r="5662" spans="1:9" ht="30" x14ac:dyDescent="0.25">
      <c r="A5662" s="5" t="s">
        <v>95</v>
      </c>
      <c r="B5662" s="5" t="s">
        <v>2656</v>
      </c>
      <c r="C5662" s="5" t="s">
        <v>6141</v>
      </c>
      <c r="D5662" s="3">
        <f>VLOOKUP(A5662,airports!A:H,7,FALSE)</f>
        <v>41.979595000000003</v>
      </c>
      <c r="E5662" s="3">
        <f>VLOOKUP(A5662,airports!A:H,8,FALSE)</f>
        <v>-87.904464169999997</v>
      </c>
      <c r="F5662" s="3">
        <f>VLOOKUP(B5662,airports!A:H,7,FALSE)</f>
        <v>32.333133330000003</v>
      </c>
      <c r="G5662" s="3">
        <f>VLOOKUP(B5662,airports!A:H,8,FALSE)</f>
        <v>-88.751205560000002</v>
      </c>
      <c r="H5662">
        <f t="shared" si="176"/>
        <v>1075.2</v>
      </c>
      <c r="I5662">
        <f t="shared" si="177"/>
        <v>668.2</v>
      </c>
    </row>
    <row r="5663" spans="1:9" ht="30" x14ac:dyDescent="0.25">
      <c r="A5663" s="5" t="s">
        <v>95</v>
      </c>
      <c r="B5663" s="5" t="s">
        <v>563</v>
      </c>
      <c r="C5663" s="5" t="s">
        <v>6142</v>
      </c>
      <c r="D5663" s="3">
        <f>VLOOKUP(A5663,airports!A:H,7,FALSE)</f>
        <v>41.979595000000003</v>
      </c>
      <c r="E5663" s="3">
        <f>VLOOKUP(A5663,airports!A:H,8,FALSE)</f>
        <v>-87.904464169999997</v>
      </c>
      <c r="F5663" s="3">
        <f>VLOOKUP(B5663,airports!A:H,7,FALSE)</f>
        <v>35.042416670000001</v>
      </c>
      <c r="G5663" s="3">
        <f>VLOOKUP(B5663,airports!A:H,8,FALSE)</f>
        <v>-89.97666667</v>
      </c>
      <c r="H5663">
        <f t="shared" si="176"/>
        <v>792.1</v>
      </c>
      <c r="I5663">
        <f t="shared" si="177"/>
        <v>492.2</v>
      </c>
    </row>
    <row r="5664" spans="1:9" ht="30" x14ac:dyDescent="0.25">
      <c r="A5664" s="5" t="s">
        <v>95</v>
      </c>
      <c r="B5664" s="5" t="s">
        <v>2661</v>
      </c>
      <c r="C5664" s="5" t="s">
        <v>6143</v>
      </c>
      <c r="D5664" s="3">
        <f>VLOOKUP(A5664,airports!A:H,7,FALSE)</f>
        <v>41.979595000000003</v>
      </c>
      <c r="E5664" s="3">
        <f>VLOOKUP(A5664,airports!A:H,8,FALSE)</f>
        <v>-87.904464169999997</v>
      </c>
      <c r="F5664" s="3">
        <f>VLOOKUP(B5664,airports!A:H,7,FALSE)</f>
        <v>39.14096722</v>
      </c>
      <c r="G5664" s="3">
        <f>VLOOKUP(B5664,airports!A:H,8,FALSE)</f>
        <v>-96.670832779999998</v>
      </c>
      <c r="H5664">
        <f t="shared" si="176"/>
        <v>804.5</v>
      </c>
      <c r="I5664">
        <f t="shared" si="177"/>
        <v>499.9</v>
      </c>
    </row>
    <row r="5665" spans="1:9" ht="30" x14ac:dyDescent="0.25">
      <c r="A5665" s="5" t="s">
        <v>95</v>
      </c>
      <c r="B5665" s="5" t="s">
        <v>567</v>
      </c>
      <c r="C5665" s="5" t="s">
        <v>6144</v>
      </c>
      <c r="D5665" s="3">
        <f>VLOOKUP(A5665,airports!A:H,7,FALSE)</f>
        <v>41.979595000000003</v>
      </c>
      <c r="E5665" s="3">
        <f>VLOOKUP(A5665,airports!A:H,8,FALSE)</f>
        <v>-87.904464169999997</v>
      </c>
      <c r="F5665" s="3">
        <f>VLOOKUP(B5665,airports!A:H,7,FALSE)</f>
        <v>42.934516389999999</v>
      </c>
      <c r="G5665" s="3">
        <f>VLOOKUP(B5665,airports!A:H,8,FALSE)</f>
        <v>-71.437055830000006</v>
      </c>
      <c r="H5665">
        <f t="shared" si="176"/>
        <v>1352.9</v>
      </c>
      <c r="I5665">
        <f t="shared" si="177"/>
        <v>840.7</v>
      </c>
    </row>
    <row r="5666" spans="1:9" ht="30" x14ac:dyDescent="0.25">
      <c r="A5666" s="5" t="s">
        <v>95</v>
      </c>
      <c r="B5666" s="5" t="s">
        <v>84</v>
      </c>
      <c r="C5666" s="5" t="s">
        <v>6145</v>
      </c>
      <c r="D5666" s="3">
        <f>VLOOKUP(A5666,airports!A:H,7,FALSE)</f>
        <v>41.979595000000003</v>
      </c>
      <c r="E5666" s="3">
        <f>VLOOKUP(A5666,airports!A:H,8,FALSE)</f>
        <v>-87.904464169999997</v>
      </c>
      <c r="F5666" s="3">
        <f>VLOOKUP(B5666,airports!A:H,7,FALSE)</f>
        <v>25.79325</v>
      </c>
      <c r="G5666" s="3">
        <f>VLOOKUP(B5666,airports!A:H,8,FALSE)</f>
        <v>-80.290555560000001</v>
      </c>
      <c r="H5666">
        <f t="shared" si="176"/>
        <v>1930.1</v>
      </c>
      <c r="I5666">
        <f t="shared" si="177"/>
        <v>1199.4000000000001</v>
      </c>
    </row>
    <row r="5667" spans="1:9" ht="30" x14ac:dyDescent="0.25">
      <c r="A5667" s="5" t="s">
        <v>95</v>
      </c>
      <c r="B5667" s="5" t="s">
        <v>85</v>
      </c>
      <c r="C5667" s="5" t="s">
        <v>6146</v>
      </c>
      <c r="D5667" s="3">
        <f>VLOOKUP(A5667,airports!A:H,7,FALSE)</f>
        <v>41.979595000000003</v>
      </c>
      <c r="E5667" s="3">
        <f>VLOOKUP(A5667,airports!A:H,8,FALSE)</f>
        <v>-87.904464169999997</v>
      </c>
      <c r="F5667" s="3">
        <f>VLOOKUP(B5667,airports!A:H,7,FALSE)</f>
        <v>42.94722222</v>
      </c>
      <c r="G5667" s="3">
        <f>VLOOKUP(B5667,airports!A:H,8,FALSE)</f>
        <v>-87.896583329999999</v>
      </c>
      <c r="H5667">
        <f t="shared" si="176"/>
        <v>107.6</v>
      </c>
      <c r="I5667">
        <f t="shared" si="177"/>
        <v>66.900000000000006</v>
      </c>
    </row>
    <row r="5668" spans="1:9" ht="30" x14ac:dyDescent="0.25">
      <c r="A5668" s="5" t="s">
        <v>95</v>
      </c>
      <c r="B5668" s="5" t="s">
        <v>5438</v>
      </c>
      <c r="C5668" s="5" t="s">
        <v>6147</v>
      </c>
      <c r="D5668" s="3">
        <f>VLOOKUP(A5668,airports!A:H,7,FALSE)</f>
        <v>41.979595000000003</v>
      </c>
      <c r="E5668" s="3">
        <f>VLOOKUP(A5668,airports!A:H,8,FALSE)</f>
        <v>-87.904464169999997</v>
      </c>
      <c r="F5668" s="3">
        <f>VLOOKUP(B5668,airports!A:H,7,FALSE)</f>
        <v>43.169488059999999</v>
      </c>
      <c r="G5668" s="3">
        <f>VLOOKUP(B5668,airports!A:H,8,FALSE)</f>
        <v>-86.238223059999996</v>
      </c>
      <c r="H5668">
        <f t="shared" si="176"/>
        <v>190</v>
      </c>
      <c r="I5668">
        <f t="shared" si="177"/>
        <v>118.1</v>
      </c>
    </row>
    <row r="5669" spans="1:9" ht="30" x14ac:dyDescent="0.25">
      <c r="A5669" s="5" t="s">
        <v>95</v>
      </c>
      <c r="B5669" s="5" t="s">
        <v>573</v>
      </c>
      <c r="C5669" s="5" t="s">
        <v>6148</v>
      </c>
      <c r="D5669" s="3">
        <f>VLOOKUP(A5669,airports!A:H,7,FALSE)</f>
        <v>41.979595000000003</v>
      </c>
      <c r="E5669" s="3">
        <f>VLOOKUP(A5669,airports!A:H,8,FALSE)</f>
        <v>-87.904464169999997</v>
      </c>
      <c r="F5669" s="3">
        <f>VLOOKUP(B5669,airports!A:H,7,FALSE)</f>
        <v>41.448526389999998</v>
      </c>
      <c r="G5669" s="3">
        <f>VLOOKUP(B5669,airports!A:H,8,FALSE)</f>
        <v>-90.507539170000001</v>
      </c>
      <c r="H5669">
        <f t="shared" si="176"/>
        <v>224</v>
      </c>
      <c r="I5669">
        <f t="shared" si="177"/>
        <v>139.19999999999999</v>
      </c>
    </row>
    <row r="5670" spans="1:9" ht="30" x14ac:dyDescent="0.25">
      <c r="A5670" s="5" t="s">
        <v>95</v>
      </c>
      <c r="B5670" s="5" t="s">
        <v>577</v>
      </c>
      <c r="C5670" s="5" t="s">
        <v>6149</v>
      </c>
      <c r="D5670" s="3">
        <f>VLOOKUP(A5670,airports!A:H,7,FALSE)</f>
        <v>41.979595000000003</v>
      </c>
      <c r="E5670" s="3">
        <f>VLOOKUP(A5670,airports!A:H,8,FALSE)</f>
        <v>-87.904464169999997</v>
      </c>
      <c r="F5670" s="3">
        <f>VLOOKUP(B5670,airports!A:H,7,FALSE)</f>
        <v>30.691416669999999</v>
      </c>
      <c r="G5670" s="3">
        <f>VLOOKUP(B5670,airports!A:H,8,FALSE)</f>
        <v>-88.242833329999996</v>
      </c>
      <c r="H5670">
        <f t="shared" si="176"/>
        <v>1255.5999999999999</v>
      </c>
      <c r="I5670">
        <f t="shared" si="177"/>
        <v>780.2</v>
      </c>
    </row>
    <row r="5671" spans="1:9" ht="30" x14ac:dyDescent="0.25">
      <c r="A5671" s="5" t="s">
        <v>95</v>
      </c>
      <c r="B5671" s="5" t="s">
        <v>2886</v>
      </c>
      <c r="C5671" s="5" t="s">
        <v>6150</v>
      </c>
      <c r="D5671" s="3">
        <f>VLOOKUP(A5671,airports!A:H,7,FALSE)</f>
        <v>41.979595000000003</v>
      </c>
      <c r="E5671" s="3">
        <f>VLOOKUP(A5671,airports!A:H,8,FALSE)</f>
        <v>-87.904464169999997</v>
      </c>
      <c r="F5671" s="3">
        <f>VLOOKUP(B5671,airports!A:H,7,FALSE)</f>
        <v>46.353639000000001</v>
      </c>
      <c r="G5671" s="3">
        <f>VLOOKUP(B5671,airports!A:H,8,FALSE)</f>
        <v>-87.395360999999994</v>
      </c>
      <c r="H5671">
        <f t="shared" si="176"/>
        <v>488.1</v>
      </c>
      <c r="I5671">
        <f t="shared" si="177"/>
        <v>303.3</v>
      </c>
    </row>
    <row r="5672" spans="1:9" ht="30" x14ac:dyDescent="0.25">
      <c r="A5672" s="5" t="s">
        <v>95</v>
      </c>
      <c r="B5672" s="5" t="s">
        <v>579</v>
      </c>
      <c r="C5672" s="5" t="s">
        <v>6151</v>
      </c>
      <c r="D5672" s="3">
        <f>VLOOKUP(A5672,airports!A:H,7,FALSE)</f>
        <v>41.979595000000003</v>
      </c>
      <c r="E5672" s="3">
        <f>VLOOKUP(A5672,airports!A:H,8,FALSE)</f>
        <v>-87.904464169999997</v>
      </c>
      <c r="F5672" s="3">
        <f>VLOOKUP(B5672,airports!A:H,7,FALSE)</f>
        <v>43.13985778</v>
      </c>
      <c r="G5672" s="3">
        <f>VLOOKUP(B5672,airports!A:H,8,FALSE)</f>
        <v>-89.337513610000002</v>
      </c>
      <c r="H5672">
        <f t="shared" si="176"/>
        <v>174.4</v>
      </c>
      <c r="I5672">
        <f t="shared" si="177"/>
        <v>108.4</v>
      </c>
    </row>
    <row r="5673" spans="1:9" ht="30" x14ac:dyDescent="0.25">
      <c r="A5673" s="5" t="s">
        <v>95</v>
      </c>
      <c r="B5673" s="5" t="s">
        <v>581</v>
      </c>
      <c r="C5673" s="5" t="s">
        <v>6152</v>
      </c>
      <c r="D5673" s="3">
        <f>VLOOKUP(A5673,airports!A:H,7,FALSE)</f>
        <v>41.979595000000003</v>
      </c>
      <c r="E5673" s="3">
        <f>VLOOKUP(A5673,airports!A:H,8,FALSE)</f>
        <v>-87.904464169999997</v>
      </c>
      <c r="F5673" s="3">
        <f>VLOOKUP(B5673,airports!A:H,7,FALSE)</f>
        <v>46.916305559999998</v>
      </c>
      <c r="G5673" s="3">
        <f>VLOOKUP(B5673,airports!A:H,8,FALSE)</f>
        <v>-114.0905556</v>
      </c>
      <c r="H5673">
        <f t="shared" si="176"/>
        <v>2138.8000000000002</v>
      </c>
      <c r="I5673">
        <f t="shared" si="177"/>
        <v>1329.1</v>
      </c>
    </row>
    <row r="5674" spans="1:9" ht="30" x14ac:dyDescent="0.25">
      <c r="A5674" s="5" t="s">
        <v>95</v>
      </c>
      <c r="B5674" s="5" t="s">
        <v>87</v>
      </c>
      <c r="C5674" s="5" t="s">
        <v>6153</v>
      </c>
      <c r="D5674" s="3">
        <f>VLOOKUP(A5674,airports!A:H,7,FALSE)</f>
        <v>41.979595000000003</v>
      </c>
      <c r="E5674" s="3">
        <f>VLOOKUP(A5674,airports!A:H,8,FALSE)</f>
        <v>-87.904464169999997</v>
      </c>
      <c r="F5674" s="3">
        <f>VLOOKUP(B5674,airports!A:H,7,FALSE)</f>
        <v>44.880546940000002</v>
      </c>
      <c r="G5674" s="3">
        <f>VLOOKUP(B5674,airports!A:H,8,FALSE)</f>
        <v>-93.216922499999995</v>
      </c>
      <c r="H5674">
        <f t="shared" si="176"/>
        <v>536.5</v>
      </c>
      <c r="I5674">
        <f t="shared" si="177"/>
        <v>333.4</v>
      </c>
    </row>
    <row r="5675" spans="1:9" ht="30" x14ac:dyDescent="0.25">
      <c r="A5675" s="5" t="s">
        <v>95</v>
      </c>
      <c r="B5675" s="5" t="s">
        <v>89</v>
      </c>
      <c r="C5675" s="5" t="s">
        <v>6154</v>
      </c>
      <c r="D5675" s="3">
        <f>VLOOKUP(A5675,airports!A:H,7,FALSE)</f>
        <v>41.979595000000003</v>
      </c>
      <c r="E5675" s="3">
        <f>VLOOKUP(A5675,airports!A:H,8,FALSE)</f>
        <v>-87.904464169999997</v>
      </c>
      <c r="F5675" s="3">
        <f>VLOOKUP(B5675,airports!A:H,7,FALSE)</f>
        <v>29.993388889999999</v>
      </c>
      <c r="G5675" s="3">
        <f>VLOOKUP(B5675,airports!A:H,8,FALSE)</f>
        <v>-90.258027780000006</v>
      </c>
      <c r="H5675">
        <f t="shared" si="176"/>
        <v>1349.4</v>
      </c>
      <c r="I5675">
        <f t="shared" si="177"/>
        <v>838.5</v>
      </c>
    </row>
    <row r="5676" spans="1:9" ht="30" x14ac:dyDescent="0.25">
      <c r="A5676" s="5" t="s">
        <v>95</v>
      </c>
      <c r="B5676" s="5" t="s">
        <v>91</v>
      </c>
      <c r="C5676" s="5" t="s">
        <v>6155</v>
      </c>
      <c r="D5676" s="3">
        <f>VLOOKUP(A5676,airports!A:H,7,FALSE)</f>
        <v>41.979595000000003</v>
      </c>
      <c r="E5676" s="3">
        <f>VLOOKUP(A5676,airports!A:H,8,FALSE)</f>
        <v>-87.904464169999997</v>
      </c>
      <c r="F5676" s="3">
        <f>VLOOKUP(B5676,airports!A:H,7,FALSE)</f>
        <v>38.508867219999999</v>
      </c>
      <c r="G5676" s="3">
        <f>VLOOKUP(B5676,airports!A:H,8,FALSE)</f>
        <v>-107.8938333</v>
      </c>
      <c r="H5676">
        <f t="shared" si="176"/>
        <v>1735.6</v>
      </c>
      <c r="I5676">
        <f t="shared" si="177"/>
        <v>1078.5</v>
      </c>
    </row>
    <row r="5677" spans="1:9" ht="30" x14ac:dyDescent="0.25">
      <c r="A5677" s="5" t="s">
        <v>95</v>
      </c>
      <c r="B5677" s="5" t="s">
        <v>92</v>
      </c>
      <c r="C5677" s="5" t="s">
        <v>6156</v>
      </c>
      <c r="D5677" s="3">
        <f>VLOOKUP(A5677,airports!A:H,7,FALSE)</f>
        <v>41.979595000000003</v>
      </c>
      <c r="E5677" s="3">
        <f>VLOOKUP(A5677,airports!A:H,8,FALSE)</f>
        <v>-87.904464169999997</v>
      </c>
      <c r="F5677" s="3">
        <f>VLOOKUP(B5677,airports!A:H,7,FALSE)</f>
        <v>41.393025829999999</v>
      </c>
      <c r="G5677" s="3">
        <f>VLOOKUP(B5677,airports!A:H,8,FALSE)</f>
        <v>-70.614332500000003</v>
      </c>
      <c r="H5677">
        <f t="shared" si="176"/>
        <v>1434.8</v>
      </c>
      <c r="I5677">
        <f t="shared" si="177"/>
        <v>891.6</v>
      </c>
    </row>
    <row r="5678" spans="1:9" ht="30" x14ac:dyDescent="0.25">
      <c r="A5678" s="5" t="s">
        <v>95</v>
      </c>
      <c r="B5678" s="5" t="s">
        <v>182</v>
      </c>
      <c r="C5678" s="5" t="s">
        <v>6157</v>
      </c>
      <c r="D5678" s="3">
        <f>VLOOKUP(A5678,airports!A:H,7,FALSE)</f>
        <v>41.979595000000003</v>
      </c>
      <c r="E5678" s="3">
        <f>VLOOKUP(A5678,airports!A:H,8,FALSE)</f>
        <v>-87.904464169999997</v>
      </c>
      <c r="F5678" s="3">
        <f>VLOOKUP(B5678,airports!A:H,7,FALSE)</f>
        <v>33.679749999999999</v>
      </c>
      <c r="G5678" s="3">
        <f>VLOOKUP(B5678,airports!A:H,8,FALSE)</f>
        <v>-78.928333330000001</v>
      </c>
      <c r="H5678">
        <f t="shared" si="176"/>
        <v>1212.3</v>
      </c>
      <c r="I5678">
        <f t="shared" si="177"/>
        <v>753.3</v>
      </c>
    </row>
    <row r="5679" spans="1:9" ht="30" x14ac:dyDescent="0.25">
      <c r="A5679" s="5" t="s">
        <v>95</v>
      </c>
      <c r="B5679" s="5" t="s">
        <v>215</v>
      </c>
      <c r="C5679" s="5" t="s">
        <v>6158</v>
      </c>
      <c r="D5679" s="3">
        <f>VLOOKUP(A5679,airports!A:H,7,FALSE)</f>
        <v>41.979595000000003</v>
      </c>
      <c r="E5679" s="3">
        <f>VLOOKUP(A5679,airports!A:H,8,FALSE)</f>
        <v>-87.904464169999997</v>
      </c>
      <c r="F5679" s="3">
        <f>VLOOKUP(B5679,airports!A:H,7,FALSE)</f>
        <v>37.721290830000001</v>
      </c>
      <c r="G5679" s="3">
        <f>VLOOKUP(B5679,airports!A:H,8,FALSE)</f>
        <v>-122.2207167</v>
      </c>
      <c r="H5679">
        <f t="shared" si="176"/>
        <v>2947.3</v>
      </c>
      <c r="I5679">
        <f t="shared" si="177"/>
        <v>1831.5</v>
      </c>
    </row>
    <row r="5680" spans="1:9" ht="30" x14ac:dyDescent="0.25">
      <c r="A5680" s="5" t="s">
        <v>95</v>
      </c>
      <c r="B5680" s="5" t="s">
        <v>371</v>
      </c>
      <c r="C5680" s="5" t="s">
        <v>6159</v>
      </c>
      <c r="D5680" s="3">
        <f>VLOOKUP(A5680,airports!A:H,7,FALSE)</f>
        <v>41.979595000000003</v>
      </c>
      <c r="E5680" s="3">
        <f>VLOOKUP(A5680,airports!A:H,8,FALSE)</f>
        <v>-87.904464169999997</v>
      </c>
      <c r="F5680" s="3">
        <f>VLOOKUP(B5680,airports!A:H,7,FALSE)</f>
        <v>20.898649720000002</v>
      </c>
      <c r="G5680" s="3">
        <f>VLOOKUP(B5680,airports!A:H,8,FALSE)</f>
        <v>-156.4304578</v>
      </c>
      <c r="H5680">
        <f t="shared" si="176"/>
        <v>6724.3</v>
      </c>
      <c r="I5680">
        <f t="shared" si="177"/>
        <v>4178.6000000000004</v>
      </c>
    </row>
    <row r="5681" spans="1:9" ht="30" x14ac:dyDescent="0.25">
      <c r="A5681" s="5" t="s">
        <v>95</v>
      </c>
      <c r="B5681" s="5" t="s">
        <v>3889</v>
      </c>
      <c r="C5681" s="5" t="s">
        <v>6160</v>
      </c>
      <c r="D5681" s="3">
        <f>VLOOKUP(A5681,airports!A:H,7,FALSE)</f>
        <v>41.979595000000003</v>
      </c>
      <c r="E5681" s="3">
        <f>VLOOKUP(A5681,airports!A:H,8,FALSE)</f>
        <v>-87.904464169999997</v>
      </c>
      <c r="F5681" s="3">
        <f>VLOOKUP(B5681,airports!A:H,7,FALSE)</f>
        <v>44.681899999999999</v>
      </c>
      <c r="G5681" s="3">
        <f>VLOOKUP(B5681,airports!A:H,8,FALSE)</f>
        <v>-75.465500000000006</v>
      </c>
      <c r="H5681">
        <f t="shared" si="176"/>
        <v>1048.8</v>
      </c>
      <c r="I5681">
        <f t="shared" si="177"/>
        <v>651.70000000000005</v>
      </c>
    </row>
    <row r="5682" spans="1:9" ht="30" x14ac:dyDescent="0.25">
      <c r="A5682" s="5" t="s">
        <v>95</v>
      </c>
      <c r="B5682" s="5" t="s">
        <v>590</v>
      </c>
      <c r="C5682" s="5" t="s">
        <v>6161</v>
      </c>
      <c r="D5682" s="3">
        <f>VLOOKUP(A5682,airports!A:H,7,FALSE)</f>
        <v>41.979595000000003</v>
      </c>
      <c r="E5682" s="3">
        <f>VLOOKUP(A5682,airports!A:H,8,FALSE)</f>
        <v>-87.904464169999997</v>
      </c>
      <c r="F5682" s="3">
        <f>VLOOKUP(B5682,airports!A:H,7,FALSE)</f>
        <v>35.393088329999998</v>
      </c>
      <c r="G5682" s="3">
        <f>VLOOKUP(B5682,airports!A:H,8,FALSE)</f>
        <v>-97.600733890000001</v>
      </c>
      <c r="H5682">
        <f t="shared" si="176"/>
        <v>1114.3</v>
      </c>
      <c r="I5682">
        <f t="shared" si="177"/>
        <v>692.5</v>
      </c>
    </row>
    <row r="5683" spans="1:9" ht="30" x14ac:dyDescent="0.25">
      <c r="A5683" s="5" t="s">
        <v>95</v>
      </c>
      <c r="B5683" s="5" t="s">
        <v>592</v>
      </c>
      <c r="C5683" s="5" t="s">
        <v>6162</v>
      </c>
      <c r="D5683" s="3">
        <f>VLOOKUP(A5683,airports!A:H,7,FALSE)</f>
        <v>41.979595000000003</v>
      </c>
      <c r="E5683" s="3">
        <f>VLOOKUP(A5683,airports!A:H,8,FALSE)</f>
        <v>-87.904464169999997</v>
      </c>
      <c r="F5683" s="3">
        <f>VLOOKUP(B5683,airports!A:H,7,FALSE)</f>
        <v>41.30251861</v>
      </c>
      <c r="G5683" s="3">
        <f>VLOOKUP(B5683,airports!A:H,8,FALSE)</f>
        <v>-95.89417306</v>
      </c>
      <c r="H5683">
        <f t="shared" si="176"/>
        <v>667.9</v>
      </c>
      <c r="I5683">
        <f t="shared" si="177"/>
        <v>415.1</v>
      </c>
    </row>
    <row r="5684" spans="1:9" ht="30" x14ac:dyDescent="0.25">
      <c r="A5684" s="5" t="s">
        <v>95</v>
      </c>
      <c r="B5684" s="5" t="s">
        <v>94</v>
      </c>
      <c r="C5684" s="5" t="s">
        <v>6163</v>
      </c>
      <c r="D5684" s="3">
        <f>VLOOKUP(A5684,airports!A:H,7,FALSE)</f>
        <v>41.979595000000003</v>
      </c>
      <c r="E5684" s="3">
        <f>VLOOKUP(A5684,airports!A:H,8,FALSE)</f>
        <v>-87.904464169999997</v>
      </c>
      <c r="F5684" s="3">
        <f>VLOOKUP(B5684,airports!A:H,7,FALSE)</f>
        <v>34.055999999999997</v>
      </c>
      <c r="G5684" s="3">
        <f>VLOOKUP(B5684,airports!A:H,8,FALSE)</f>
        <v>-117.6011944</v>
      </c>
      <c r="H5684">
        <f t="shared" si="176"/>
        <v>2730.4</v>
      </c>
      <c r="I5684">
        <f t="shared" si="177"/>
        <v>1696.7</v>
      </c>
    </row>
    <row r="5685" spans="1:9" ht="30" x14ac:dyDescent="0.25">
      <c r="A5685" s="5" t="s">
        <v>95</v>
      </c>
      <c r="B5685" s="5" t="s">
        <v>596</v>
      </c>
      <c r="C5685" s="5" t="s">
        <v>6164</v>
      </c>
      <c r="D5685" s="3">
        <f>VLOOKUP(A5685,airports!A:H,7,FALSE)</f>
        <v>41.979595000000003</v>
      </c>
      <c r="E5685" s="3">
        <f>VLOOKUP(A5685,airports!A:H,8,FALSE)</f>
        <v>-87.904464169999997</v>
      </c>
      <c r="F5685" s="3">
        <f>VLOOKUP(B5685,airports!A:H,7,FALSE)</f>
        <v>36.89461111</v>
      </c>
      <c r="G5685" s="3">
        <f>VLOOKUP(B5685,airports!A:H,8,FALSE)</f>
        <v>-76.201222220000005</v>
      </c>
      <c r="H5685">
        <f t="shared" si="176"/>
        <v>1151.7</v>
      </c>
      <c r="I5685">
        <f t="shared" si="177"/>
        <v>715.7</v>
      </c>
    </row>
    <row r="5686" spans="1:9" ht="30" x14ac:dyDescent="0.25">
      <c r="A5686" s="5" t="s">
        <v>95</v>
      </c>
      <c r="B5686" s="5" t="s">
        <v>1566</v>
      </c>
      <c r="C5686" s="5" t="s">
        <v>6165</v>
      </c>
      <c r="D5686" s="3">
        <f>VLOOKUP(A5686,airports!A:H,7,FALSE)</f>
        <v>41.979595000000003</v>
      </c>
      <c r="E5686" s="3">
        <f>VLOOKUP(A5686,airports!A:H,8,FALSE)</f>
        <v>-87.904464169999997</v>
      </c>
      <c r="F5686" s="3">
        <f>VLOOKUP(B5686,airports!A:H,7,FALSE)</f>
        <v>37.060833330000001</v>
      </c>
      <c r="G5686" s="3">
        <f>VLOOKUP(B5686,airports!A:H,8,FALSE)</f>
        <v>-88.773750000000007</v>
      </c>
      <c r="H5686">
        <f t="shared" si="176"/>
        <v>552</v>
      </c>
      <c r="I5686">
        <f t="shared" si="177"/>
        <v>343</v>
      </c>
    </row>
    <row r="5687" spans="1:9" ht="30" x14ac:dyDescent="0.25">
      <c r="A5687" s="5" t="s">
        <v>95</v>
      </c>
      <c r="B5687" s="5" t="s">
        <v>99</v>
      </c>
      <c r="C5687" s="5" t="s">
        <v>6166</v>
      </c>
      <c r="D5687" s="3">
        <f>VLOOKUP(A5687,airports!A:H,7,FALSE)</f>
        <v>41.979595000000003</v>
      </c>
      <c r="E5687" s="3">
        <f>VLOOKUP(A5687,airports!A:H,8,FALSE)</f>
        <v>-87.904464169999997</v>
      </c>
      <c r="F5687" s="3">
        <f>VLOOKUP(B5687,airports!A:H,7,FALSE)</f>
        <v>26.683161940000002</v>
      </c>
      <c r="G5687" s="3">
        <f>VLOOKUP(B5687,airports!A:H,8,FALSE)</f>
        <v>-80.095594169999998</v>
      </c>
      <c r="H5687">
        <f t="shared" si="176"/>
        <v>1843.8</v>
      </c>
      <c r="I5687">
        <f t="shared" si="177"/>
        <v>1145.7</v>
      </c>
    </row>
    <row r="5688" spans="1:9" ht="30" x14ac:dyDescent="0.25">
      <c r="A5688" s="5" t="s">
        <v>95</v>
      </c>
      <c r="B5688" s="5" t="s">
        <v>100</v>
      </c>
      <c r="C5688" s="5" t="s">
        <v>6167</v>
      </c>
      <c r="D5688" s="3">
        <f>VLOOKUP(A5688,airports!A:H,7,FALSE)</f>
        <v>41.979595000000003</v>
      </c>
      <c r="E5688" s="3">
        <f>VLOOKUP(A5688,airports!A:H,8,FALSE)</f>
        <v>-87.904464169999997</v>
      </c>
      <c r="F5688" s="3">
        <f>VLOOKUP(B5688,airports!A:H,7,FALSE)</f>
        <v>45.588722220000001</v>
      </c>
      <c r="G5688" s="3">
        <f>VLOOKUP(B5688,airports!A:H,8,FALSE)</f>
        <v>-122.5975</v>
      </c>
      <c r="H5688">
        <f t="shared" si="176"/>
        <v>2791.6</v>
      </c>
      <c r="I5688">
        <f t="shared" si="177"/>
        <v>1734.7</v>
      </c>
    </row>
    <row r="5689" spans="1:9" ht="30" x14ac:dyDescent="0.25">
      <c r="A5689" s="5" t="s">
        <v>95</v>
      </c>
      <c r="B5689" s="5" t="s">
        <v>102</v>
      </c>
      <c r="C5689" s="5" t="s">
        <v>6168</v>
      </c>
      <c r="D5689" s="3">
        <f>VLOOKUP(A5689,airports!A:H,7,FALSE)</f>
        <v>41.979595000000003</v>
      </c>
      <c r="E5689" s="3">
        <f>VLOOKUP(A5689,airports!A:H,8,FALSE)</f>
        <v>-87.904464169999997</v>
      </c>
      <c r="F5689" s="3">
        <f>VLOOKUP(B5689,airports!A:H,7,FALSE)</f>
        <v>39.871952780000001</v>
      </c>
      <c r="G5689" s="3">
        <f>VLOOKUP(B5689,airports!A:H,8,FALSE)</f>
        <v>-75.241140830000006</v>
      </c>
      <c r="H5689">
        <f t="shared" si="176"/>
        <v>1088.3</v>
      </c>
      <c r="I5689">
        <f t="shared" si="177"/>
        <v>676.3</v>
      </c>
    </row>
    <row r="5690" spans="1:9" ht="30" x14ac:dyDescent="0.25">
      <c r="A5690" s="5" t="s">
        <v>95</v>
      </c>
      <c r="B5690" s="5" t="s">
        <v>104</v>
      </c>
      <c r="C5690" s="5" t="s">
        <v>6169</v>
      </c>
      <c r="D5690" s="3">
        <f>VLOOKUP(A5690,airports!A:H,7,FALSE)</f>
        <v>41.979595000000003</v>
      </c>
      <c r="E5690" s="3">
        <f>VLOOKUP(A5690,airports!A:H,8,FALSE)</f>
        <v>-87.904464169999997</v>
      </c>
      <c r="F5690" s="3">
        <f>VLOOKUP(B5690,airports!A:H,7,FALSE)</f>
        <v>33.434166670000003</v>
      </c>
      <c r="G5690" s="3">
        <f>VLOOKUP(B5690,airports!A:H,8,FALSE)</f>
        <v>-112.00805560000001</v>
      </c>
      <c r="H5690">
        <f t="shared" si="176"/>
        <v>2313.1999999999998</v>
      </c>
      <c r="I5690">
        <f t="shared" si="177"/>
        <v>1437.4</v>
      </c>
    </row>
    <row r="5691" spans="1:9" ht="30" x14ac:dyDescent="0.25">
      <c r="A5691" s="5" t="s">
        <v>95</v>
      </c>
      <c r="B5691" s="5" t="s">
        <v>604</v>
      </c>
      <c r="C5691" s="5" t="s">
        <v>6170</v>
      </c>
      <c r="D5691" s="3">
        <f>VLOOKUP(A5691,airports!A:H,7,FALSE)</f>
        <v>41.979595000000003</v>
      </c>
      <c r="E5691" s="3">
        <f>VLOOKUP(A5691,airports!A:H,8,FALSE)</f>
        <v>-87.904464169999997</v>
      </c>
      <c r="F5691" s="3">
        <f>VLOOKUP(B5691,airports!A:H,7,FALSE)</f>
        <v>40.664243329999998</v>
      </c>
      <c r="G5691" s="3">
        <f>VLOOKUP(B5691,airports!A:H,8,FALSE)</f>
        <v>-89.693305559999999</v>
      </c>
      <c r="H5691">
        <f t="shared" si="176"/>
        <v>209.1</v>
      </c>
      <c r="I5691">
        <f t="shared" si="177"/>
        <v>129.9</v>
      </c>
    </row>
    <row r="5692" spans="1:9" x14ac:dyDescent="0.25">
      <c r="A5692" s="5" t="s">
        <v>95</v>
      </c>
      <c r="B5692" s="5" t="s">
        <v>106</v>
      </c>
      <c r="C5692" s="5" t="s">
        <v>6171</v>
      </c>
      <c r="D5692" s="3">
        <f>VLOOKUP(A5692,airports!A:H,7,FALSE)</f>
        <v>41.979595000000003</v>
      </c>
      <c r="E5692" s="3">
        <f>VLOOKUP(A5692,airports!A:H,8,FALSE)</f>
        <v>-87.904464169999997</v>
      </c>
      <c r="F5692" s="3">
        <f>VLOOKUP(B5692,airports!A:H,7,FALSE)</f>
        <v>40.491465830000003</v>
      </c>
      <c r="G5692" s="3">
        <f>VLOOKUP(B5692,airports!A:H,8,FALSE)</f>
        <v>-80.232870829999996</v>
      </c>
      <c r="H5692">
        <f t="shared" si="176"/>
        <v>662.2</v>
      </c>
      <c r="I5692">
        <f t="shared" si="177"/>
        <v>411.5</v>
      </c>
    </row>
    <row r="5693" spans="1:9" ht="30" x14ac:dyDescent="0.25">
      <c r="A5693" s="5" t="s">
        <v>95</v>
      </c>
      <c r="B5693" s="5" t="s">
        <v>607</v>
      </c>
      <c r="C5693" s="5" t="s">
        <v>6172</v>
      </c>
      <c r="D5693" s="3">
        <f>VLOOKUP(A5693,airports!A:H,7,FALSE)</f>
        <v>41.979595000000003</v>
      </c>
      <c r="E5693" s="3">
        <f>VLOOKUP(A5693,airports!A:H,8,FALSE)</f>
        <v>-87.904464169999997</v>
      </c>
      <c r="F5693" s="3">
        <f>VLOOKUP(B5693,airports!A:H,7,FALSE)</f>
        <v>30.47330556</v>
      </c>
      <c r="G5693" s="3">
        <f>VLOOKUP(B5693,airports!A:H,8,FALSE)</f>
        <v>-87.187444439999993</v>
      </c>
      <c r="H5693">
        <f t="shared" si="176"/>
        <v>1281</v>
      </c>
      <c r="I5693">
        <f t="shared" si="177"/>
        <v>796.1</v>
      </c>
    </row>
    <row r="5694" spans="1:9" ht="30" x14ac:dyDescent="0.25">
      <c r="A5694" s="5" t="s">
        <v>95</v>
      </c>
      <c r="B5694" s="5" t="s">
        <v>111</v>
      </c>
      <c r="C5694" s="5" t="s">
        <v>6173</v>
      </c>
      <c r="D5694" s="3">
        <f>VLOOKUP(A5694,airports!A:H,7,FALSE)</f>
        <v>41.979595000000003</v>
      </c>
      <c r="E5694" s="3">
        <f>VLOOKUP(A5694,airports!A:H,8,FALSE)</f>
        <v>-87.904464169999997</v>
      </c>
      <c r="F5694" s="3">
        <f>VLOOKUP(B5694,airports!A:H,7,FALSE)</f>
        <v>33.829215560000002</v>
      </c>
      <c r="G5694" s="3">
        <f>VLOOKUP(B5694,airports!A:H,8,FALSE)</f>
        <v>-116.5062531</v>
      </c>
      <c r="H5694">
        <f t="shared" si="176"/>
        <v>2653</v>
      </c>
      <c r="I5694">
        <f t="shared" si="177"/>
        <v>1648.6</v>
      </c>
    </row>
    <row r="5695" spans="1:9" ht="30" x14ac:dyDescent="0.25">
      <c r="A5695" s="5" t="s">
        <v>95</v>
      </c>
      <c r="B5695" s="5" t="s">
        <v>114</v>
      </c>
      <c r="C5695" s="5" t="s">
        <v>6174</v>
      </c>
      <c r="D5695" s="3">
        <f>VLOOKUP(A5695,airports!A:H,7,FALSE)</f>
        <v>41.979595000000003</v>
      </c>
      <c r="E5695" s="3">
        <f>VLOOKUP(A5695,airports!A:H,8,FALSE)</f>
        <v>-87.904464169999997</v>
      </c>
      <c r="F5695" s="3">
        <f>VLOOKUP(B5695,airports!A:H,7,FALSE)</f>
        <v>41.723999169999999</v>
      </c>
      <c r="G5695" s="3">
        <f>VLOOKUP(B5695,airports!A:H,8,FALSE)</f>
        <v>-71.428221109999996</v>
      </c>
      <c r="H5695">
        <f t="shared" si="176"/>
        <v>1362.9</v>
      </c>
      <c r="I5695">
        <f t="shared" si="177"/>
        <v>846.9</v>
      </c>
    </row>
    <row r="5696" spans="1:9" ht="30" x14ac:dyDescent="0.25">
      <c r="A5696" s="5" t="s">
        <v>95</v>
      </c>
      <c r="B5696" s="5" t="s">
        <v>117</v>
      </c>
      <c r="C5696" s="5" t="s">
        <v>6175</v>
      </c>
      <c r="D5696" s="3">
        <f>VLOOKUP(A5696,airports!A:H,7,FALSE)</f>
        <v>41.979595000000003</v>
      </c>
      <c r="E5696" s="3">
        <f>VLOOKUP(A5696,airports!A:H,8,FALSE)</f>
        <v>-87.904464169999997</v>
      </c>
      <c r="F5696" s="3">
        <f>VLOOKUP(B5696,airports!A:H,7,FALSE)</f>
        <v>43.646166669999999</v>
      </c>
      <c r="G5696" s="3">
        <f>VLOOKUP(B5696,airports!A:H,8,FALSE)</f>
        <v>-70.308750000000003</v>
      </c>
      <c r="H5696">
        <f t="shared" si="176"/>
        <v>1444.4</v>
      </c>
      <c r="I5696">
        <f t="shared" si="177"/>
        <v>897.6</v>
      </c>
    </row>
    <row r="5697" spans="1:9" ht="30" x14ac:dyDescent="0.25">
      <c r="A5697" s="5" t="s">
        <v>95</v>
      </c>
      <c r="B5697" s="5" t="s">
        <v>612</v>
      </c>
      <c r="C5697" s="5" t="s">
        <v>6176</v>
      </c>
      <c r="D5697" s="3">
        <f>VLOOKUP(A5697,airports!A:H,7,FALSE)</f>
        <v>41.979595000000003</v>
      </c>
      <c r="E5697" s="3">
        <f>VLOOKUP(A5697,airports!A:H,8,FALSE)</f>
        <v>-87.904464169999997</v>
      </c>
      <c r="F5697" s="3">
        <f>VLOOKUP(B5697,airports!A:H,7,FALSE)</f>
        <v>44.045321389999998</v>
      </c>
      <c r="G5697" s="3">
        <f>VLOOKUP(B5697,airports!A:H,8,FALSE)</f>
        <v>-103.0573708</v>
      </c>
      <c r="H5697">
        <f t="shared" si="176"/>
        <v>1251.4000000000001</v>
      </c>
      <c r="I5697">
        <f t="shared" si="177"/>
        <v>777.6</v>
      </c>
    </row>
    <row r="5698" spans="1:9" ht="30" x14ac:dyDescent="0.25">
      <c r="A5698" s="5" t="s">
        <v>95</v>
      </c>
      <c r="B5698" s="5" t="s">
        <v>894</v>
      </c>
      <c r="C5698" s="5" t="s">
        <v>6177</v>
      </c>
      <c r="D5698" s="3">
        <f>VLOOKUP(A5698,airports!A:H,7,FALSE)</f>
        <v>41.979595000000003</v>
      </c>
      <c r="E5698" s="3">
        <f>VLOOKUP(A5698,airports!A:H,8,FALSE)</f>
        <v>-87.904464169999997</v>
      </c>
      <c r="F5698" s="3">
        <f>VLOOKUP(B5698,airports!A:H,7,FALSE)</f>
        <v>44.254067220000003</v>
      </c>
      <c r="G5698" s="3">
        <f>VLOOKUP(B5698,airports!A:H,8,FALSE)</f>
        <v>-121.1499633</v>
      </c>
      <c r="H5698">
        <f t="shared" si="176"/>
        <v>2691.8</v>
      </c>
      <c r="I5698">
        <f t="shared" si="177"/>
        <v>1672.7</v>
      </c>
    </row>
    <row r="5699" spans="1:9" ht="30" x14ac:dyDescent="0.25">
      <c r="A5699" s="5" t="s">
        <v>95</v>
      </c>
      <c r="B5699" s="5" t="s">
        <v>119</v>
      </c>
      <c r="C5699" s="5" t="s">
        <v>6178</v>
      </c>
      <c r="D5699" s="3">
        <f>VLOOKUP(A5699,airports!A:H,7,FALSE)</f>
        <v>41.979595000000003</v>
      </c>
      <c r="E5699" s="3">
        <f>VLOOKUP(A5699,airports!A:H,8,FALSE)</f>
        <v>-87.904464169999997</v>
      </c>
      <c r="F5699" s="3">
        <f>VLOOKUP(B5699,airports!A:H,7,FALSE)</f>
        <v>35.87763889</v>
      </c>
      <c r="G5699" s="3">
        <f>VLOOKUP(B5699,airports!A:H,8,FALSE)</f>
        <v>-78.787472219999998</v>
      </c>
      <c r="H5699">
        <f t="shared" si="176"/>
        <v>1039.3</v>
      </c>
      <c r="I5699">
        <f t="shared" si="177"/>
        <v>645.79999999999995</v>
      </c>
    </row>
    <row r="5700" spans="1:9" ht="30" x14ac:dyDescent="0.25">
      <c r="A5700" s="5" t="s">
        <v>95</v>
      </c>
      <c r="B5700" s="5" t="s">
        <v>5655</v>
      </c>
      <c r="C5700" s="5" t="s">
        <v>6179</v>
      </c>
      <c r="D5700" s="3">
        <f>VLOOKUP(A5700,airports!A:H,7,FALSE)</f>
        <v>41.979595000000003</v>
      </c>
      <c r="E5700" s="3">
        <f>VLOOKUP(A5700,airports!A:H,8,FALSE)</f>
        <v>-87.904464169999997</v>
      </c>
      <c r="F5700" s="3">
        <f>VLOOKUP(B5700,airports!A:H,7,FALSE)</f>
        <v>45.631193060000001</v>
      </c>
      <c r="G5700" s="3">
        <f>VLOOKUP(B5700,airports!A:H,8,FALSE)</f>
        <v>-89.467453610000007</v>
      </c>
      <c r="H5700">
        <f t="shared" ref="H5700:H5763" si="178">ROUND(ACOS(COS(RADIANS(90-D5700)) * COS(RADIANS(90-F5700)) + SIN(RADIANS(90-D5700)) * SIN(RADIANS(90-F5700)) * COS(RADIANS(E5700-G5700))) * 6371,1)</f>
        <v>424.9</v>
      </c>
      <c r="I5700">
        <f t="shared" ref="I5700:I5763" si="179">ROUND(ACOS(COS(RADIANS(90-D5700)) * COS(RADIANS(90-F5700)) + SIN(RADIANS(90-D5700)) * SIN(RADIANS(90-F5700)) * COS(RADIANS(E5700-G5700))) * 3959,1)</f>
        <v>264.10000000000002</v>
      </c>
    </row>
    <row r="5701" spans="1:9" ht="30" x14ac:dyDescent="0.25">
      <c r="A5701" s="5" t="s">
        <v>95</v>
      </c>
      <c r="B5701" s="5" t="s">
        <v>120</v>
      </c>
      <c r="C5701" s="5" t="s">
        <v>6180</v>
      </c>
      <c r="D5701" s="3">
        <f>VLOOKUP(A5701,airports!A:H,7,FALSE)</f>
        <v>41.979595000000003</v>
      </c>
      <c r="E5701" s="3">
        <f>VLOOKUP(A5701,airports!A:H,8,FALSE)</f>
        <v>-87.904464169999997</v>
      </c>
      <c r="F5701" s="3">
        <f>VLOOKUP(B5701,airports!A:H,7,FALSE)</f>
        <v>37.505166670000001</v>
      </c>
      <c r="G5701" s="3">
        <f>VLOOKUP(B5701,airports!A:H,8,FALSE)</f>
        <v>-77.319666670000004</v>
      </c>
      <c r="H5701">
        <f t="shared" si="178"/>
        <v>1031.7</v>
      </c>
      <c r="I5701">
        <f t="shared" si="179"/>
        <v>641.1</v>
      </c>
    </row>
    <row r="5702" spans="1:9" ht="30" x14ac:dyDescent="0.25">
      <c r="A5702" s="5" t="s">
        <v>95</v>
      </c>
      <c r="B5702" s="5" t="s">
        <v>121</v>
      </c>
      <c r="C5702" s="5" t="s">
        <v>6181</v>
      </c>
      <c r="D5702" s="3">
        <f>VLOOKUP(A5702,airports!A:H,7,FALSE)</f>
        <v>41.979595000000003</v>
      </c>
      <c r="E5702" s="3">
        <f>VLOOKUP(A5702,airports!A:H,8,FALSE)</f>
        <v>-87.904464169999997</v>
      </c>
      <c r="F5702" s="3">
        <f>VLOOKUP(B5702,airports!A:H,7,FALSE)</f>
        <v>39.498576110000002</v>
      </c>
      <c r="G5702" s="3">
        <f>VLOOKUP(B5702,airports!A:H,8,FALSE)</f>
        <v>-119.7680647</v>
      </c>
      <c r="H5702">
        <f t="shared" si="178"/>
        <v>2683.1</v>
      </c>
      <c r="I5702">
        <f t="shared" si="179"/>
        <v>1667.3</v>
      </c>
    </row>
    <row r="5703" spans="1:9" ht="30" x14ac:dyDescent="0.25">
      <c r="A5703" s="5" t="s">
        <v>95</v>
      </c>
      <c r="B5703" s="5" t="s">
        <v>617</v>
      </c>
      <c r="C5703" s="5" t="s">
        <v>6182</v>
      </c>
      <c r="D5703" s="3">
        <f>VLOOKUP(A5703,airports!A:H,7,FALSE)</f>
        <v>41.979595000000003</v>
      </c>
      <c r="E5703" s="3">
        <f>VLOOKUP(A5703,airports!A:H,8,FALSE)</f>
        <v>-87.904464169999997</v>
      </c>
      <c r="F5703" s="3">
        <f>VLOOKUP(B5703,airports!A:H,7,FALSE)</f>
        <v>37.32546833</v>
      </c>
      <c r="G5703" s="3">
        <f>VLOOKUP(B5703,airports!A:H,8,FALSE)</f>
        <v>-79.97542833</v>
      </c>
      <c r="H5703">
        <f t="shared" si="178"/>
        <v>853</v>
      </c>
      <c r="I5703">
        <f t="shared" si="179"/>
        <v>530</v>
      </c>
    </row>
    <row r="5704" spans="1:9" ht="30" x14ac:dyDescent="0.25">
      <c r="A5704" s="5" t="s">
        <v>95</v>
      </c>
      <c r="B5704" s="5" t="s">
        <v>122</v>
      </c>
      <c r="C5704" s="5" t="s">
        <v>6183</v>
      </c>
      <c r="D5704" s="3">
        <f>VLOOKUP(A5704,airports!A:H,7,FALSE)</f>
        <v>41.979595000000003</v>
      </c>
      <c r="E5704" s="3">
        <f>VLOOKUP(A5704,airports!A:H,8,FALSE)</f>
        <v>-87.904464169999997</v>
      </c>
      <c r="F5704" s="3">
        <f>VLOOKUP(B5704,airports!A:H,7,FALSE)</f>
        <v>43.118866109999999</v>
      </c>
      <c r="G5704" s="3">
        <f>VLOOKUP(B5704,airports!A:H,8,FALSE)</f>
        <v>-77.672383890000006</v>
      </c>
      <c r="H5704">
        <f t="shared" si="178"/>
        <v>847.1</v>
      </c>
      <c r="I5704">
        <f t="shared" si="179"/>
        <v>526.4</v>
      </c>
    </row>
    <row r="5705" spans="1:9" ht="30" x14ac:dyDescent="0.25">
      <c r="A5705" s="5" t="s">
        <v>95</v>
      </c>
      <c r="B5705" s="5" t="s">
        <v>620</v>
      </c>
      <c r="C5705" s="5" t="s">
        <v>6184</v>
      </c>
      <c r="D5705" s="3">
        <f>VLOOKUP(A5705,airports!A:H,7,FALSE)</f>
        <v>41.979595000000003</v>
      </c>
      <c r="E5705" s="3">
        <f>VLOOKUP(A5705,airports!A:H,8,FALSE)</f>
        <v>-87.904464169999997</v>
      </c>
      <c r="F5705" s="3">
        <f>VLOOKUP(B5705,airports!A:H,7,FALSE)</f>
        <v>43.908826390000002</v>
      </c>
      <c r="G5705" s="3">
        <f>VLOOKUP(B5705,airports!A:H,8,FALSE)</f>
        <v>-92.497987219999999</v>
      </c>
      <c r="H5705">
        <f t="shared" si="178"/>
        <v>431</v>
      </c>
      <c r="I5705">
        <f t="shared" si="179"/>
        <v>267.8</v>
      </c>
    </row>
    <row r="5706" spans="1:9" ht="30" x14ac:dyDescent="0.25">
      <c r="A5706" s="5" t="s">
        <v>95</v>
      </c>
      <c r="B5706" s="5" t="s">
        <v>123</v>
      </c>
      <c r="C5706" s="5" t="s">
        <v>6185</v>
      </c>
      <c r="D5706" s="3">
        <f>VLOOKUP(A5706,airports!A:H,7,FALSE)</f>
        <v>41.979595000000003</v>
      </c>
      <c r="E5706" s="3">
        <f>VLOOKUP(A5706,airports!A:H,8,FALSE)</f>
        <v>-87.904464169999997</v>
      </c>
      <c r="F5706" s="3">
        <f>VLOOKUP(B5706,airports!A:H,7,FALSE)</f>
        <v>26.53616667</v>
      </c>
      <c r="G5706" s="3">
        <f>VLOOKUP(B5706,airports!A:H,8,FALSE)</f>
        <v>-81.755166669999994</v>
      </c>
      <c r="H5706">
        <f t="shared" si="178"/>
        <v>1806.5</v>
      </c>
      <c r="I5706">
        <f t="shared" si="179"/>
        <v>1122.5999999999999</v>
      </c>
    </row>
    <row r="5707" spans="1:9" ht="30" x14ac:dyDescent="0.25">
      <c r="A5707" s="5" t="s">
        <v>95</v>
      </c>
      <c r="B5707" s="5" t="s">
        <v>124</v>
      </c>
      <c r="C5707" s="5" t="s">
        <v>6186</v>
      </c>
      <c r="D5707" s="3">
        <f>VLOOKUP(A5707,airports!A:H,7,FALSE)</f>
        <v>41.979595000000003</v>
      </c>
      <c r="E5707" s="3">
        <f>VLOOKUP(A5707,airports!A:H,8,FALSE)</f>
        <v>-87.904464169999997</v>
      </c>
      <c r="F5707" s="3">
        <f>VLOOKUP(B5707,airports!A:H,7,FALSE)</f>
        <v>32.733556110000002</v>
      </c>
      <c r="G5707" s="3">
        <f>VLOOKUP(B5707,airports!A:H,8,FALSE)</f>
        <v>-117.1896567</v>
      </c>
      <c r="H5707">
        <f t="shared" si="178"/>
        <v>2768.1</v>
      </c>
      <c r="I5707">
        <f t="shared" si="179"/>
        <v>1720.1</v>
      </c>
    </row>
    <row r="5708" spans="1:9" ht="30" x14ac:dyDescent="0.25">
      <c r="A5708" s="5" t="s">
        <v>95</v>
      </c>
      <c r="B5708" s="5" t="s">
        <v>125</v>
      </c>
      <c r="C5708" s="5" t="s">
        <v>6187</v>
      </c>
      <c r="D5708" s="3">
        <f>VLOOKUP(A5708,airports!A:H,7,FALSE)</f>
        <v>41.979595000000003</v>
      </c>
      <c r="E5708" s="3">
        <f>VLOOKUP(A5708,airports!A:H,8,FALSE)</f>
        <v>-87.904464169999997</v>
      </c>
      <c r="F5708" s="3">
        <f>VLOOKUP(B5708,airports!A:H,7,FALSE)</f>
        <v>29.533694440000001</v>
      </c>
      <c r="G5708" s="3">
        <f>VLOOKUP(B5708,airports!A:H,8,FALSE)</f>
        <v>-98.469777780000001</v>
      </c>
      <c r="H5708">
        <f t="shared" si="178"/>
        <v>1677.5</v>
      </c>
      <c r="I5708">
        <f t="shared" si="179"/>
        <v>1042.4000000000001</v>
      </c>
    </row>
    <row r="5709" spans="1:9" ht="30" x14ac:dyDescent="0.25">
      <c r="A5709" s="5" t="s">
        <v>95</v>
      </c>
      <c r="B5709" s="5" t="s">
        <v>126</v>
      </c>
      <c r="C5709" s="5" t="s">
        <v>6188</v>
      </c>
      <c r="D5709" s="3">
        <f>VLOOKUP(A5709,airports!A:H,7,FALSE)</f>
        <v>41.979595000000003</v>
      </c>
      <c r="E5709" s="3">
        <f>VLOOKUP(A5709,airports!A:H,8,FALSE)</f>
        <v>-87.904464169999997</v>
      </c>
      <c r="F5709" s="3">
        <f>VLOOKUP(B5709,airports!A:H,7,FALSE)</f>
        <v>32.12758333</v>
      </c>
      <c r="G5709" s="3">
        <f>VLOOKUP(B5709,airports!A:H,8,FALSE)</f>
        <v>-81.202138890000001</v>
      </c>
      <c r="H5709">
        <f t="shared" si="178"/>
        <v>1245.5</v>
      </c>
      <c r="I5709">
        <f t="shared" si="179"/>
        <v>774</v>
      </c>
    </row>
    <row r="5710" spans="1:9" ht="30" x14ac:dyDescent="0.25">
      <c r="A5710" s="5" t="s">
        <v>95</v>
      </c>
      <c r="B5710" s="5" t="s">
        <v>967</v>
      </c>
      <c r="C5710" s="5" t="s">
        <v>6189</v>
      </c>
      <c r="D5710" s="3">
        <f>VLOOKUP(A5710,airports!A:H,7,FALSE)</f>
        <v>41.979595000000003</v>
      </c>
      <c r="E5710" s="3">
        <f>VLOOKUP(A5710,airports!A:H,8,FALSE)</f>
        <v>-87.904464169999997</v>
      </c>
      <c r="F5710" s="3">
        <f>VLOOKUP(B5710,airports!A:H,7,FALSE)</f>
        <v>34.426211940000002</v>
      </c>
      <c r="G5710" s="3">
        <f>VLOOKUP(B5710,airports!A:H,8,FALSE)</f>
        <v>-119.8403733</v>
      </c>
      <c r="H5710">
        <f t="shared" si="178"/>
        <v>2895.2</v>
      </c>
      <c r="I5710">
        <f t="shared" si="179"/>
        <v>1799.1</v>
      </c>
    </row>
    <row r="5711" spans="1:9" ht="30" x14ac:dyDescent="0.25">
      <c r="A5711" s="5" t="s">
        <v>95</v>
      </c>
      <c r="B5711" s="5" t="s">
        <v>626</v>
      </c>
      <c r="C5711" s="5" t="s">
        <v>6190</v>
      </c>
      <c r="D5711" s="3">
        <f>VLOOKUP(A5711,airports!A:H,7,FALSE)</f>
        <v>41.979595000000003</v>
      </c>
      <c r="E5711" s="3">
        <f>VLOOKUP(A5711,airports!A:H,8,FALSE)</f>
        <v>-87.904464169999997</v>
      </c>
      <c r="F5711" s="3">
        <f>VLOOKUP(B5711,airports!A:H,7,FALSE)</f>
        <v>41.708953610000002</v>
      </c>
      <c r="G5711" s="3">
        <f>VLOOKUP(B5711,airports!A:H,8,FALSE)</f>
        <v>-86.318474170000002</v>
      </c>
      <c r="H5711">
        <f t="shared" si="178"/>
        <v>134.80000000000001</v>
      </c>
      <c r="I5711">
        <f t="shared" si="179"/>
        <v>83.8</v>
      </c>
    </row>
    <row r="5712" spans="1:9" ht="30" x14ac:dyDescent="0.25">
      <c r="A5712" s="5" t="s">
        <v>95</v>
      </c>
      <c r="B5712" s="5" t="s">
        <v>628</v>
      </c>
      <c r="C5712" s="5" t="s">
        <v>6191</v>
      </c>
      <c r="D5712" s="3">
        <f>VLOOKUP(A5712,airports!A:H,7,FALSE)</f>
        <v>41.979595000000003</v>
      </c>
      <c r="E5712" s="3">
        <f>VLOOKUP(A5712,airports!A:H,8,FALSE)</f>
        <v>-87.904464169999997</v>
      </c>
      <c r="F5712" s="3">
        <f>VLOOKUP(B5712,airports!A:H,7,FALSE)</f>
        <v>40.851205999999998</v>
      </c>
      <c r="G5712" s="3">
        <f>VLOOKUP(B5712,airports!A:H,8,FALSE)</f>
        <v>-77.846301999999994</v>
      </c>
      <c r="H5712">
        <f t="shared" si="178"/>
        <v>847.6</v>
      </c>
      <c r="I5712">
        <f t="shared" si="179"/>
        <v>526.70000000000005</v>
      </c>
    </row>
    <row r="5713" spans="1:9" ht="30" x14ac:dyDescent="0.25">
      <c r="A5713" s="5" t="s">
        <v>95</v>
      </c>
      <c r="B5713" s="5" t="s">
        <v>630</v>
      </c>
      <c r="C5713" s="5" t="s">
        <v>6192</v>
      </c>
      <c r="D5713" s="3">
        <f>VLOOKUP(A5713,airports!A:H,7,FALSE)</f>
        <v>41.979595000000003</v>
      </c>
      <c r="E5713" s="3">
        <f>VLOOKUP(A5713,airports!A:H,8,FALSE)</f>
        <v>-87.904464169999997</v>
      </c>
      <c r="F5713" s="3">
        <f>VLOOKUP(B5713,airports!A:H,7,FALSE)</f>
        <v>38.174388890000003</v>
      </c>
      <c r="G5713" s="3">
        <f>VLOOKUP(B5713,airports!A:H,8,FALSE)</f>
        <v>-85.736000000000004</v>
      </c>
      <c r="H5713">
        <f t="shared" si="178"/>
        <v>461.6</v>
      </c>
      <c r="I5713">
        <f t="shared" si="179"/>
        <v>286.8</v>
      </c>
    </row>
    <row r="5714" spans="1:9" ht="30" x14ac:dyDescent="0.25">
      <c r="A5714" s="5" t="s">
        <v>95</v>
      </c>
      <c r="B5714" s="5" t="s">
        <v>128</v>
      </c>
      <c r="C5714" s="5" t="s">
        <v>6193</v>
      </c>
      <c r="D5714" s="3">
        <f>VLOOKUP(A5714,airports!A:H,7,FALSE)</f>
        <v>41.979595000000003</v>
      </c>
      <c r="E5714" s="3">
        <f>VLOOKUP(A5714,airports!A:H,8,FALSE)</f>
        <v>-87.904464169999997</v>
      </c>
      <c r="F5714" s="3">
        <f>VLOOKUP(B5714,airports!A:H,7,FALSE)</f>
        <v>47.448981940000003</v>
      </c>
      <c r="G5714" s="3">
        <f>VLOOKUP(B5714,airports!A:H,8,FALSE)</f>
        <v>-122.3093131</v>
      </c>
      <c r="H5714">
        <f t="shared" si="178"/>
        <v>2761.8</v>
      </c>
      <c r="I5714">
        <f t="shared" si="179"/>
        <v>1716.2</v>
      </c>
    </row>
    <row r="5715" spans="1:9" ht="30" x14ac:dyDescent="0.25">
      <c r="A5715" s="5" t="s">
        <v>95</v>
      </c>
      <c r="B5715" s="5" t="s">
        <v>130</v>
      </c>
      <c r="C5715" s="5" t="s">
        <v>6194</v>
      </c>
      <c r="D5715" s="3">
        <f>VLOOKUP(A5715,airports!A:H,7,FALSE)</f>
        <v>41.979595000000003</v>
      </c>
      <c r="E5715" s="3">
        <f>VLOOKUP(A5715,airports!A:H,8,FALSE)</f>
        <v>-87.904464169999997</v>
      </c>
      <c r="F5715" s="3">
        <f>VLOOKUP(B5715,airports!A:H,7,FALSE)</f>
        <v>37.619001939999997</v>
      </c>
      <c r="G5715" s="3">
        <f>VLOOKUP(B5715,airports!A:H,8,FALSE)</f>
        <v>-122.37484329999999</v>
      </c>
      <c r="H5715">
        <f t="shared" si="178"/>
        <v>2964</v>
      </c>
      <c r="I5715">
        <f t="shared" si="179"/>
        <v>1841.8</v>
      </c>
    </row>
    <row r="5716" spans="1:9" ht="30" x14ac:dyDescent="0.25">
      <c r="A5716" s="5" t="s">
        <v>95</v>
      </c>
      <c r="B5716" s="5" t="s">
        <v>634</v>
      </c>
      <c r="C5716" s="5" t="s">
        <v>6195</v>
      </c>
      <c r="D5716" s="3">
        <f>VLOOKUP(A5716,airports!A:H,7,FALSE)</f>
        <v>41.979595000000003</v>
      </c>
      <c r="E5716" s="3">
        <f>VLOOKUP(A5716,airports!A:H,8,FALSE)</f>
        <v>-87.904464169999997</v>
      </c>
      <c r="F5716" s="3">
        <f>VLOOKUP(B5716,airports!A:H,7,FALSE)</f>
        <v>37.244326110000003</v>
      </c>
      <c r="G5716" s="3">
        <f>VLOOKUP(B5716,airports!A:H,8,FALSE)</f>
        <v>-93.386858059999994</v>
      </c>
      <c r="H5716">
        <f t="shared" si="178"/>
        <v>705.2</v>
      </c>
      <c r="I5716">
        <f t="shared" si="179"/>
        <v>438.2</v>
      </c>
    </row>
    <row r="5717" spans="1:9" ht="30" x14ac:dyDescent="0.25">
      <c r="A5717" s="5" t="s">
        <v>95</v>
      </c>
      <c r="B5717" s="5" t="s">
        <v>3916</v>
      </c>
      <c r="C5717" s="5" t="s">
        <v>6196</v>
      </c>
      <c r="D5717" s="3">
        <f>VLOOKUP(A5717,airports!A:H,7,FALSE)</f>
        <v>41.979595000000003</v>
      </c>
      <c r="E5717" s="3">
        <f>VLOOKUP(A5717,airports!A:H,8,FALSE)</f>
        <v>-87.904464169999997</v>
      </c>
      <c r="F5717" s="3">
        <f>VLOOKUP(B5717,airports!A:H,7,FALSE)</f>
        <v>38.26384333</v>
      </c>
      <c r="G5717" s="3">
        <f>VLOOKUP(B5717,airports!A:H,8,FALSE)</f>
        <v>-78.896438059999994</v>
      </c>
      <c r="H5717">
        <f t="shared" si="178"/>
        <v>869.6</v>
      </c>
      <c r="I5717">
        <f t="shared" si="179"/>
        <v>540.4</v>
      </c>
    </row>
    <row r="5718" spans="1:9" ht="30" x14ac:dyDescent="0.25">
      <c r="A5718" s="5" t="s">
        <v>95</v>
      </c>
      <c r="B5718" s="5" t="s">
        <v>131</v>
      </c>
      <c r="C5718" s="5" t="s">
        <v>6197</v>
      </c>
      <c r="D5718" s="3">
        <f>VLOOKUP(A5718,airports!A:H,7,FALSE)</f>
        <v>41.979595000000003</v>
      </c>
      <c r="E5718" s="3">
        <f>VLOOKUP(A5718,airports!A:H,8,FALSE)</f>
        <v>-87.904464169999997</v>
      </c>
      <c r="F5718" s="3">
        <f>VLOOKUP(B5718,airports!A:H,7,FALSE)</f>
        <v>37.361861939999997</v>
      </c>
      <c r="G5718" s="3">
        <f>VLOOKUP(B5718,airports!A:H,8,FALSE)</f>
        <v>-121.9290089</v>
      </c>
      <c r="H5718">
        <f t="shared" si="178"/>
        <v>2937.2</v>
      </c>
      <c r="I5718">
        <f t="shared" si="179"/>
        <v>1825.2</v>
      </c>
    </row>
    <row r="5719" spans="1:9" ht="30" x14ac:dyDescent="0.25">
      <c r="A5719" s="5" t="s">
        <v>95</v>
      </c>
      <c r="B5719" s="5" t="s">
        <v>134</v>
      </c>
      <c r="C5719" s="5" t="s">
        <v>6198</v>
      </c>
      <c r="D5719" s="3">
        <f>VLOOKUP(A5719,airports!A:H,7,FALSE)</f>
        <v>41.979595000000003</v>
      </c>
      <c r="E5719" s="3">
        <f>VLOOKUP(A5719,airports!A:H,8,FALSE)</f>
        <v>-87.904464169999997</v>
      </c>
      <c r="F5719" s="3">
        <f>VLOOKUP(B5719,airports!A:H,7,FALSE)</f>
        <v>18.43941667</v>
      </c>
      <c r="G5719" s="3">
        <f>VLOOKUP(B5719,airports!A:H,8,FALSE)</f>
        <v>-66.001833329999997</v>
      </c>
      <c r="H5719">
        <f t="shared" si="178"/>
        <v>3337.7</v>
      </c>
      <c r="I5719">
        <f t="shared" si="179"/>
        <v>2074.1</v>
      </c>
    </row>
    <row r="5720" spans="1:9" ht="30" x14ac:dyDescent="0.25">
      <c r="A5720" s="5" t="s">
        <v>95</v>
      </c>
      <c r="B5720" s="5" t="s">
        <v>135</v>
      </c>
      <c r="C5720" s="5" t="s">
        <v>6199</v>
      </c>
      <c r="D5720" s="3">
        <f>VLOOKUP(A5720,airports!A:H,7,FALSE)</f>
        <v>41.979595000000003</v>
      </c>
      <c r="E5720" s="3">
        <f>VLOOKUP(A5720,airports!A:H,8,FALSE)</f>
        <v>-87.904464169999997</v>
      </c>
      <c r="F5720" s="3">
        <f>VLOOKUP(B5720,airports!A:H,7,FALSE)</f>
        <v>40.788387780000001</v>
      </c>
      <c r="G5720" s="3">
        <f>VLOOKUP(B5720,airports!A:H,8,FALSE)</f>
        <v>-111.97777309999999</v>
      </c>
      <c r="H5720">
        <f t="shared" si="178"/>
        <v>2006.2</v>
      </c>
      <c r="I5720">
        <f t="shared" si="179"/>
        <v>1246.5999999999999</v>
      </c>
    </row>
    <row r="5721" spans="1:9" ht="30" x14ac:dyDescent="0.25">
      <c r="A5721" s="5" t="s">
        <v>95</v>
      </c>
      <c r="B5721" s="5" t="s">
        <v>2505</v>
      </c>
      <c r="C5721" s="5" t="s">
        <v>6200</v>
      </c>
      <c r="D5721" s="3">
        <f>VLOOKUP(A5721,airports!A:H,7,FALSE)</f>
        <v>41.979595000000003</v>
      </c>
      <c r="E5721" s="3">
        <f>VLOOKUP(A5721,airports!A:H,8,FALSE)</f>
        <v>-87.904464169999997</v>
      </c>
      <c r="F5721" s="3">
        <f>VLOOKUP(B5721,airports!A:H,7,FALSE)</f>
        <v>38.791000366210902</v>
      </c>
      <c r="G5721" s="3">
        <f>VLOOKUP(B5721,airports!A:H,8,FALSE)</f>
        <v>-97.652198791503906</v>
      </c>
      <c r="H5721">
        <f t="shared" si="178"/>
        <v>897.8</v>
      </c>
      <c r="I5721">
        <f t="shared" si="179"/>
        <v>557.9</v>
      </c>
    </row>
    <row r="5722" spans="1:9" ht="30" x14ac:dyDescent="0.25">
      <c r="A5722" s="5" t="s">
        <v>95</v>
      </c>
      <c r="B5722" s="5" t="s">
        <v>137</v>
      </c>
      <c r="C5722" s="5" t="s">
        <v>6201</v>
      </c>
      <c r="D5722" s="3">
        <f>VLOOKUP(A5722,airports!A:H,7,FALSE)</f>
        <v>41.979595000000003</v>
      </c>
      <c r="E5722" s="3">
        <f>VLOOKUP(A5722,airports!A:H,8,FALSE)</f>
        <v>-87.904464169999997</v>
      </c>
      <c r="F5722" s="3">
        <f>VLOOKUP(B5722,airports!A:H,7,FALSE)</f>
        <v>38.695421670000002</v>
      </c>
      <c r="G5722" s="3">
        <f>VLOOKUP(B5722,airports!A:H,8,FALSE)</f>
        <v>-121.59076690000001</v>
      </c>
      <c r="H5722">
        <f t="shared" si="178"/>
        <v>2859.8</v>
      </c>
      <c r="I5722">
        <f t="shared" si="179"/>
        <v>1777.1</v>
      </c>
    </row>
    <row r="5723" spans="1:9" ht="30" x14ac:dyDescent="0.25">
      <c r="A5723" s="5" t="s">
        <v>95</v>
      </c>
      <c r="B5723" s="5" t="s">
        <v>227</v>
      </c>
      <c r="C5723" s="5" t="s">
        <v>6202</v>
      </c>
      <c r="D5723" s="3">
        <f>VLOOKUP(A5723,airports!A:H,7,FALSE)</f>
        <v>41.979595000000003</v>
      </c>
      <c r="E5723" s="3">
        <f>VLOOKUP(A5723,airports!A:H,8,FALSE)</f>
        <v>-87.904464169999997</v>
      </c>
      <c r="F5723" s="3">
        <f>VLOOKUP(B5723,airports!A:H,7,FALSE)</f>
        <v>33.675658609999999</v>
      </c>
      <c r="G5723" s="3">
        <f>VLOOKUP(B5723,airports!A:H,8,FALSE)</f>
        <v>-117.8682225</v>
      </c>
      <c r="H5723">
        <f t="shared" si="178"/>
        <v>2772</v>
      </c>
      <c r="I5723">
        <f t="shared" si="179"/>
        <v>1722.5</v>
      </c>
    </row>
    <row r="5724" spans="1:9" x14ac:dyDescent="0.25">
      <c r="A5724" s="5" t="s">
        <v>95</v>
      </c>
      <c r="B5724" s="5" t="s">
        <v>909</v>
      </c>
      <c r="C5724" s="5" t="s">
        <v>6203</v>
      </c>
      <c r="D5724" s="3">
        <f>VLOOKUP(A5724,airports!A:H,7,FALSE)</f>
        <v>41.979595000000003</v>
      </c>
      <c r="E5724" s="3">
        <f>VLOOKUP(A5724,airports!A:H,8,FALSE)</f>
        <v>-87.904464169999997</v>
      </c>
      <c r="F5724" s="3">
        <f>VLOOKUP(B5724,airports!A:H,7,FALSE)</f>
        <v>39.843951939999997</v>
      </c>
      <c r="G5724" s="3">
        <f>VLOOKUP(B5724,airports!A:H,8,FALSE)</f>
        <v>-89.677618609999996</v>
      </c>
      <c r="H5724">
        <f t="shared" si="178"/>
        <v>280.3</v>
      </c>
      <c r="I5724">
        <f t="shared" si="179"/>
        <v>174.2</v>
      </c>
    </row>
    <row r="5725" spans="1:9" ht="30" x14ac:dyDescent="0.25">
      <c r="A5725" s="5" t="s">
        <v>95</v>
      </c>
      <c r="B5725" s="5" t="s">
        <v>138</v>
      </c>
      <c r="C5725" s="5" t="s">
        <v>6204</v>
      </c>
      <c r="D5725" s="3">
        <f>VLOOKUP(A5725,airports!A:H,7,FALSE)</f>
        <v>41.979595000000003</v>
      </c>
      <c r="E5725" s="3">
        <f>VLOOKUP(A5725,airports!A:H,8,FALSE)</f>
        <v>-87.904464169999997</v>
      </c>
      <c r="F5725" s="3">
        <f>VLOOKUP(B5725,airports!A:H,7,FALSE)</f>
        <v>27.39533333</v>
      </c>
      <c r="G5725" s="3">
        <f>VLOOKUP(B5725,airports!A:H,8,FALSE)</f>
        <v>-82.554111109999994</v>
      </c>
      <c r="H5725">
        <f t="shared" si="178"/>
        <v>1692.9</v>
      </c>
      <c r="I5725">
        <f t="shared" si="179"/>
        <v>1052</v>
      </c>
    </row>
    <row r="5726" spans="1:9" ht="30" x14ac:dyDescent="0.25">
      <c r="A5726" s="5" t="s">
        <v>95</v>
      </c>
      <c r="B5726" s="5" t="s">
        <v>644</v>
      </c>
      <c r="C5726" s="5" t="s">
        <v>6205</v>
      </c>
      <c r="D5726" s="3">
        <f>VLOOKUP(A5726,airports!A:H,7,FALSE)</f>
        <v>41.979595000000003</v>
      </c>
      <c r="E5726" s="3">
        <f>VLOOKUP(A5726,airports!A:H,8,FALSE)</f>
        <v>-87.904464169999997</v>
      </c>
      <c r="F5726" s="3">
        <f>VLOOKUP(B5726,airports!A:H,7,FALSE)</f>
        <v>38.747686940000001</v>
      </c>
      <c r="G5726" s="3">
        <f>VLOOKUP(B5726,airports!A:H,8,FALSE)</f>
        <v>-90.359989720000002</v>
      </c>
      <c r="H5726">
        <f t="shared" si="178"/>
        <v>415.2</v>
      </c>
      <c r="I5726">
        <f t="shared" si="179"/>
        <v>258</v>
      </c>
    </row>
    <row r="5727" spans="1:9" ht="30" x14ac:dyDescent="0.25">
      <c r="A5727" s="5" t="s">
        <v>95</v>
      </c>
      <c r="B5727" s="5" t="s">
        <v>140</v>
      </c>
      <c r="C5727" s="5" t="s">
        <v>6206</v>
      </c>
      <c r="D5727" s="3">
        <f>VLOOKUP(A5727,airports!A:H,7,FALSE)</f>
        <v>41.979595000000003</v>
      </c>
      <c r="E5727" s="3">
        <f>VLOOKUP(A5727,airports!A:H,8,FALSE)</f>
        <v>-87.904464169999997</v>
      </c>
      <c r="F5727" s="3">
        <f>VLOOKUP(B5727,airports!A:H,7,FALSE)</f>
        <v>18.337305560000001</v>
      </c>
      <c r="G5727" s="3">
        <f>VLOOKUP(B5727,airports!A:H,8,FALSE)</f>
        <v>-64.973361109999999</v>
      </c>
      <c r="H5727">
        <f t="shared" si="178"/>
        <v>3408</v>
      </c>
      <c r="I5727">
        <f t="shared" si="179"/>
        <v>2117.8000000000002</v>
      </c>
    </row>
    <row r="5728" spans="1:9" ht="30" x14ac:dyDescent="0.25">
      <c r="A5728" s="5" t="s">
        <v>95</v>
      </c>
      <c r="B5728" s="5" t="s">
        <v>2512</v>
      </c>
      <c r="C5728" s="5" t="s">
        <v>6207</v>
      </c>
      <c r="D5728" s="3">
        <f>VLOOKUP(A5728,airports!A:H,7,FALSE)</f>
        <v>41.979595000000003</v>
      </c>
      <c r="E5728" s="3">
        <f>VLOOKUP(A5728,airports!A:H,8,FALSE)</f>
        <v>-87.904464169999997</v>
      </c>
      <c r="F5728" s="3">
        <f>VLOOKUP(B5728,airports!A:H,7,FALSE)</f>
        <v>43.504841390000003</v>
      </c>
      <c r="G5728" s="3">
        <f>VLOOKUP(B5728,airports!A:H,8,FALSE)</f>
        <v>-114.29659030000001</v>
      </c>
      <c r="H5728">
        <f t="shared" si="178"/>
        <v>2152.9</v>
      </c>
      <c r="I5728">
        <f t="shared" si="179"/>
        <v>1337.8</v>
      </c>
    </row>
    <row r="5729" spans="1:9" ht="30" x14ac:dyDescent="0.25">
      <c r="A5729" s="5" t="s">
        <v>95</v>
      </c>
      <c r="B5729" s="5" t="s">
        <v>2514</v>
      </c>
      <c r="C5729" s="5" t="s">
        <v>6208</v>
      </c>
      <c r="D5729" s="3">
        <f>VLOOKUP(A5729,airports!A:H,7,FALSE)</f>
        <v>41.979595000000003</v>
      </c>
      <c r="E5729" s="3">
        <f>VLOOKUP(A5729,airports!A:H,8,FALSE)</f>
        <v>-87.904464169999997</v>
      </c>
      <c r="F5729" s="3">
        <f>VLOOKUP(B5729,airports!A:H,7,FALSE)</f>
        <v>42.402603329999998</v>
      </c>
      <c r="G5729" s="3">
        <f>VLOOKUP(B5729,airports!A:H,8,FALSE)</f>
        <v>-96.384366940000007</v>
      </c>
      <c r="H5729">
        <f t="shared" si="178"/>
        <v>699.9</v>
      </c>
      <c r="I5729">
        <f t="shared" si="179"/>
        <v>434.9</v>
      </c>
    </row>
    <row r="5730" spans="1:9" ht="30" x14ac:dyDescent="0.25">
      <c r="A5730" s="5" t="s">
        <v>95</v>
      </c>
      <c r="B5730" s="5" t="s">
        <v>144</v>
      </c>
      <c r="C5730" s="5" t="s">
        <v>6209</v>
      </c>
      <c r="D5730" s="3">
        <f>VLOOKUP(A5730,airports!A:H,7,FALSE)</f>
        <v>41.979595000000003</v>
      </c>
      <c r="E5730" s="3">
        <f>VLOOKUP(A5730,airports!A:H,8,FALSE)</f>
        <v>-87.904464169999997</v>
      </c>
      <c r="F5730" s="3">
        <f>VLOOKUP(B5730,airports!A:H,7,FALSE)</f>
        <v>43.111186940000003</v>
      </c>
      <c r="G5730" s="3">
        <f>VLOOKUP(B5730,airports!A:H,8,FALSE)</f>
        <v>-76.106310559999997</v>
      </c>
      <c r="H5730">
        <f t="shared" si="178"/>
        <v>973.9</v>
      </c>
      <c r="I5730">
        <f t="shared" si="179"/>
        <v>605.20000000000005</v>
      </c>
    </row>
    <row r="5731" spans="1:9" ht="30" x14ac:dyDescent="0.25">
      <c r="A5731" s="5" t="s">
        <v>95</v>
      </c>
      <c r="B5731" s="5" t="s">
        <v>2296</v>
      </c>
      <c r="C5731" s="5" t="s">
        <v>6210</v>
      </c>
      <c r="D5731" s="3">
        <f>VLOOKUP(A5731,airports!A:H,7,FALSE)</f>
        <v>41.979595000000003</v>
      </c>
      <c r="E5731" s="3">
        <f>VLOOKUP(A5731,airports!A:H,8,FALSE)</f>
        <v>-87.904464169999997</v>
      </c>
      <c r="F5731" s="3">
        <f>VLOOKUP(B5731,airports!A:H,7,FALSE)</f>
        <v>37.741600040000002</v>
      </c>
      <c r="G5731" s="3">
        <f>VLOOKUP(B5731,airports!A:H,8,FALSE)</f>
        <v>-92.140701289999996</v>
      </c>
      <c r="H5731">
        <f t="shared" si="178"/>
        <v>593.79999999999995</v>
      </c>
      <c r="I5731">
        <f t="shared" si="179"/>
        <v>369</v>
      </c>
    </row>
    <row r="5732" spans="1:9" ht="30" x14ac:dyDescent="0.25">
      <c r="A5732" s="5" t="s">
        <v>95</v>
      </c>
      <c r="B5732" s="5" t="s">
        <v>913</v>
      </c>
      <c r="C5732" s="5" t="s">
        <v>6211</v>
      </c>
      <c r="D5732" s="3">
        <f>VLOOKUP(A5732,airports!A:H,7,FALSE)</f>
        <v>41.979595000000003</v>
      </c>
      <c r="E5732" s="3">
        <f>VLOOKUP(A5732,airports!A:H,8,FALSE)</f>
        <v>-87.904464169999997</v>
      </c>
      <c r="F5732" s="3">
        <f>VLOOKUP(B5732,airports!A:H,7,FALSE)</f>
        <v>41.586805560000002</v>
      </c>
      <c r="G5732" s="3">
        <f>VLOOKUP(B5732,airports!A:H,8,FALSE)</f>
        <v>-83.807833329999994</v>
      </c>
      <c r="H5732">
        <f t="shared" si="178"/>
        <v>342.4</v>
      </c>
      <c r="I5732">
        <f t="shared" si="179"/>
        <v>212.8</v>
      </c>
    </row>
    <row r="5733" spans="1:9" ht="30" x14ac:dyDescent="0.25">
      <c r="A5733" s="5" t="s">
        <v>95</v>
      </c>
      <c r="B5733" s="5" t="s">
        <v>145</v>
      </c>
      <c r="C5733" s="5" t="s">
        <v>6212</v>
      </c>
      <c r="D5733" s="3">
        <f>VLOOKUP(A5733,airports!A:H,7,FALSE)</f>
        <v>41.979595000000003</v>
      </c>
      <c r="E5733" s="3">
        <f>VLOOKUP(A5733,airports!A:H,8,FALSE)</f>
        <v>-87.904464169999997</v>
      </c>
      <c r="F5733" s="3">
        <f>VLOOKUP(B5733,airports!A:H,7,FALSE)</f>
        <v>27.97547222</v>
      </c>
      <c r="G5733" s="3">
        <f>VLOOKUP(B5733,airports!A:H,8,FALSE)</f>
        <v>-82.533249999999995</v>
      </c>
      <c r="H5733">
        <f t="shared" si="178"/>
        <v>1631.4</v>
      </c>
      <c r="I5733">
        <f t="shared" si="179"/>
        <v>1013.7</v>
      </c>
    </row>
    <row r="5734" spans="1:9" ht="30" x14ac:dyDescent="0.25">
      <c r="A5734" s="5" t="s">
        <v>95</v>
      </c>
      <c r="B5734" s="5" t="s">
        <v>656</v>
      </c>
      <c r="C5734" s="5" t="s">
        <v>6213</v>
      </c>
      <c r="D5734" s="3">
        <f>VLOOKUP(A5734,airports!A:H,7,FALSE)</f>
        <v>41.979595000000003</v>
      </c>
      <c r="E5734" s="3">
        <f>VLOOKUP(A5734,airports!A:H,8,FALSE)</f>
        <v>-87.904464169999997</v>
      </c>
      <c r="F5734" s="3">
        <f>VLOOKUP(B5734,airports!A:H,7,FALSE)</f>
        <v>40.276691110000002</v>
      </c>
      <c r="G5734" s="3">
        <f>VLOOKUP(B5734,airports!A:H,8,FALSE)</f>
        <v>-74.813468330000006</v>
      </c>
      <c r="H5734">
        <f t="shared" si="178"/>
        <v>1111.5</v>
      </c>
      <c r="I5734">
        <f t="shared" si="179"/>
        <v>690.7</v>
      </c>
    </row>
    <row r="5735" spans="1:9" ht="30" x14ac:dyDescent="0.25">
      <c r="A5735" s="5" t="s">
        <v>95</v>
      </c>
      <c r="B5735" s="5" t="s">
        <v>658</v>
      </c>
      <c r="C5735" s="5" t="s">
        <v>6214</v>
      </c>
      <c r="D5735" s="3">
        <f>VLOOKUP(A5735,airports!A:H,7,FALSE)</f>
        <v>41.979595000000003</v>
      </c>
      <c r="E5735" s="3">
        <f>VLOOKUP(A5735,airports!A:H,8,FALSE)</f>
        <v>-87.904464169999997</v>
      </c>
      <c r="F5735" s="3">
        <f>VLOOKUP(B5735,airports!A:H,7,FALSE)</f>
        <v>36.198372220000003</v>
      </c>
      <c r="G5735" s="3">
        <f>VLOOKUP(B5735,airports!A:H,8,FALSE)</f>
        <v>-95.888241669999999</v>
      </c>
      <c r="H5735">
        <f t="shared" si="178"/>
        <v>941.6</v>
      </c>
      <c r="I5735">
        <f t="shared" si="179"/>
        <v>585.1</v>
      </c>
    </row>
    <row r="5736" spans="1:9" ht="30" x14ac:dyDescent="0.25">
      <c r="A5736" s="5" t="s">
        <v>95</v>
      </c>
      <c r="B5736" s="5" t="s">
        <v>660</v>
      </c>
      <c r="C5736" s="5" t="s">
        <v>6215</v>
      </c>
      <c r="D5736" s="3">
        <f>VLOOKUP(A5736,airports!A:H,7,FALSE)</f>
        <v>41.979595000000003</v>
      </c>
      <c r="E5736" s="3">
        <f>VLOOKUP(A5736,airports!A:H,8,FALSE)</f>
        <v>-87.904464169999997</v>
      </c>
      <c r="F5736" s="3">
        <f>VLOOKUP(B5736,airports!A:H,7,FALSE)</f>
        <v>32.116083330000002</v>
      </c>
      <c r="G5736" s="3">
        <f>VLOOKUP(B5736,airports!A:H,8,FALSE)</f>
        <v>-110.9410278</v>
      </c>
      <c r="H5736">
        <f t="shared" si="178"/>
        <v>2309.6</v>
      </c>
      <c r="I5736">
        <f t="shared" si="179"/>
        <v>1435.2</v>
      </c>
    </row>
    <row r="5737" spans="1:9" ht="30" x14ac:dyDescent="0.25">
      <c r="A5737" s="5" t="s">
        <v>95</v>
      </c>
      <c r="B5737" s="5" t="s">
        <v>662</v>
      </c>
      <c r="C5737" s="5" t="s">
        <v>6216</v>
      </c>
      <c r="D5737" s="3">
        <f>VLOOKUP(A5737,airports!A:H,7,FALSE)</f>
        <v>41.979595000000003</v>
      </c>
      <c r="E5737" s="3">
        <f>VLOOKUP(A5737,airports!A:H,8,FALSE)</f>
        <v>-87.904464169999997</v>
      </c>
      <c r="F5737" s="3">
        <f>VLOOKUP(B5737,airports!A:H,7,FALSE)</f>
        <v>44.741444719999997</v>
      </c>
      <c r="G5737" s="3">
        <f>VLOOKUP(B5737,airports!A:H,8,FALSE)</f>
        <v>-85.582234999999997</v>
      </c>
      <c r="H5737">
        <f t="shared" si="178"/>
        <v>359.9</v>
      </c>
      <c r="I5737">
        <f t="shared" si="179"/>
        <v>223.6</v>
      </c>
    </row>
    <row r="5738" spans="1:9" ht="30" x14ac:dyDescent="0.25">
      <c r="A5738" s="5" t="s">
        <v>95</v>
      </c>
      <c r="B5738" s="5" t="s">
        <v>664</v>
      </c>
      <c r="C5738" s="5" t="s">
        <v>6217</v>
      </c>
      <c r="D5738" s="3">
        <f>VLOOKUP(A5738,airports!A:H,7,FALSE)</f>
        <v>41.979595000000003</v>
      </c>
      <c r="E5738" s="3">
        <f>VLOOKUP(A5738,airports!A:H,8,FALSE)</f>
        <v>-87.904464169999997</v>
      </c>
      <c r="F5738" s="3">
        <f>VLOOKUP(B5738,airports!A:H,7,FALSE)</f>
        <v>35.812487220000001</v>
      </c>
      <c r="G5738" s="3">
        <f>VLOOKUP(B5738,airports!A:H,8,FALSE)</f>
        <v>-83.992855829999996</v>
      </c>
      <c r="H5738">
        <f t="shared" si="178"/>
        <v>764.5</v>
      </c>
      <c r="I5738">
        <f t="shared" si="179"/>
        <v>475.1</v>
      </c>
    </row>
    <row r="5739" spans="1:9" ht="30" x14ac:dyDescent="0.25">
      <c r="A5739" s="5" t="s">
        <v>95</v>
      </c>
      <c r="B5739" s="5" t="s">
        <v>1568</v>
      </c>
      <c r="C5739" s="5" t="s">
        <v>6218</v>
      </c>
      <c r="D5739" s="3">
        <f>VLOOKUP(A5739,airports!A:H,7,FALSE)</f>
        <v>41.979595000000003</v>
      </c>
      <c r="E5739" s="3">
        <f>VLOOKUP(A5739,airports!A:H,8,FALSE)</f>
        <v>-87.904464169999997</v>
      </c>
      <c r="F5739" s="3">
        <f>VLOOKUP(B5739,airports!A:H,7,FALSE)</f>
        <v>39.942699429999998</v>
      </c>
      <c r="G5739" s="3">
        <f>VLOOKUP(B5739,airports!A:H,8,FALSE)</f>
        <v>-91.194602970000005</v>
      </c>
      <c r="H5739">
        <f t="shared" si="178"/>
        <v>357.2</v>
      </c>
      <c r="I5739">
        <f t="shared" si="179"/>
        <v>222</v>
      </c>
    </row>
    <row r="5740" spans="1:9" ht="30" x14ac:dyDescent="0.25">
      <c r="A5740" s="5" t="s">
        <v>95</v>
      </c>
      <c r="B5740" s="5" t="s">
        <v>668</v>
      </c>
      <c r="C5740" s="5" t="s">
        <v>6219</v>
      </c>
      <c r="D5740" s="3">
        <f>VLOOKUP(A5740,airports!A:H,7,FALSE)</f>
        <v>41.979595000000003</v>
      </c>
      <c r="E5740" s="3">
        <f>VLOOKUP(A5740,airports!A:H,8,FALSE)</f>
        <v>-87.904464169999997</v>
      </c>
      <c r="F5740" s="3">
        <f>VLOOKUP(B5740,airports!A:H,7,FALSE)</f>
        <v>30.483250000000002</v>
      </c>
      <c r="G5740" s="3">
        <f>VLOOKUP(B5740,airports!A:H,8,FALSE)</f>
        <v>-86.525400000000005</v>
      </c>
      <c r="H5740">
        <f t="shared" si="178"/>
        <v>1284.3</v>
      </c>
      <c r="I5740">
        <f t="shared" si="179"/>
        <v>798</v>
      </c>
    </row>
    <row r="5741" spans="1:9" ht="30" x14ac:dyDescent="0.25">
      <c r="A5741" s="5" t="s">
        <v>95</v>
      </c>
      <c r="B5741" s="5" t="s">
        <v>670</v>
      </c>
      <c r="C5741" s="5" t="s">
        <v>6220</v>
      </c>
      <c r="D5741" s="3">
        <f>VLOOKUP(A5741,airports!A:H,7,FALSE)</f>
        <v>41.979595000000003</v>
      </c>
      <c r="E5741" s="3">
        <f>VLOOKUP(A5741,airports!A:H,8,FALSE)</f>
        <v>-87.904464169999997</v>
      </c>
      <c r="F5741" s="3">
        <f>VLOOKUP(B5741,airports!A:H,7,FALSE)</f>
        <v>36.281869440000001</v>
      </c>
      <c r="G5741" s="3">
        <f>VLOOKUP(B5741,airports!A:H,8,FALSE)</f>
        <v>-94.306811109999998</v>
      </c>
      <c r="H5741">
        <f t="shared" si="178"/>
        <v>839.9</v>
      </c>
      <c r="I5741">
        <f t="shared" si="179"/>
        <v>521.9</v>
      </c>
    </row>
    <row r="5742" spans="1:9" ht="30" x14ac:dyDescent="0.25">
      <c r="A5742" s="5" t="s">
        <v>596</v>
      </c>
      <c r="B5742" s="5" t="s">
        <v>10</v>
      </c>
      <c r="C5742" s="5" t="s">
        <v>6221</v>
      </c>
      <c r="D5742" s="3">
        <f>VLOOKUP(A5742,airports!A:H,7,FALSE)</f>
        <v>36.89461111</v>
      </c>
      <c r="E5742" s="3">
        <f>VLOOKUP(A5742,airports!A:H,8,FALSE)</f>
        <v>-76.201222220000005</v>
      </c>
      <c r="F5742" s="3">
        <f>VLOOKUP(B5742,airports!A:H,7,FALSE)</f>
        <v>33.640444440000003</v>
      </c>
      <c r="G5742" s="3">
        <f>VLOOKUP(B5742,airports!A:H,8,FALSE)</f>
        <v>-84.42694444</v>
      </c>
      <c r="H5742">
        <f t="shared" si="178"/>
        <v>829.4</v>
      </c>
      <c r="I5742">
        <f t="shared" si="179"/>
        <v>515.4</v>
      </c>
    </row>
    <row r="5743" spans="1:9" ht="30" x14ac:dyDescent="0.25">
      <c r="A5743" s="5" t="s">
        <v>596</v>
      </c>
      <c r="B5743" s="5" t="s">
        <v>19</v>
      </c>
      <c r="C5743" s="5" t="s">
        <v>6222</v>
      </c>
      <c r="D5743" s="3">
        <f>VLOOKUP(A5743,airports!A:H,7,FALSE)</f>
        <v>36.89461111</v>
      </c>
      <c r="E5743" s="3">
        <f>VLOOKUP(A5743,airports!A:H,8,FALSE)</f>
        <v>-76.201222220000005</v>
      </c>
      <c r="F5743" s="3">
        <f>VLOOKUP(B5743,airports!A:H,7,FALSE)</f>
        <v>36.12447667</v>
      </c>
      <c r="G5743" s="3">
        <f>VLOOKUP(B5743,airports!A:H,8,FALSE)</f>
        <v>-86.678182219999997</v>
      </c>
      <c r="H5743">
        <f t="shared" si="178"/>
        <v>939.8</v>
      </c>
      <c r="I5743">
        <f t="shared" si="179"/>
        <v>584</v>
      </c>
    </row>
    <row r="5744" spans="1:9" ht="30" x14ac:dyDescent="0.25">
      <c r="A5744" s="5" t="s">
        <v>596</v>
      </c>
      <c r="B5744" s="5" t="s">
        <v>24</v>
      </c>
      <c r="C5744" s="5" t="s">
        <v>6223</v>
      </c>
      <c r="D5744" s="3">
        <f>VLOOKUP(A5744,airports!A:H,7,FALSE)</f>
        <v>36.89461111</v>
      </c>
      <c r="E5744" s="3">
        <f>VLOOKUP(A5744,airports!A:H,8,FALSE)</f>
        <v>-76.201222220000005</v>
      </c>
      <c r="F5744" s="3">
        <f>VLOOKUP(B5744,airports!A:H,7,FALSE)</f>
        <v>42.364347500000001</v>
      </c>
      <c r="G5744" s="3">
        <f>VLOOKUP(B5744,airports!A:H,8,FALSE)</f>
        <v>-71.005179170000005</v>
      </c>
      <c r="H5744">
        <f t="shared" si="178"/>
        <v>753.3</v>
      </c>
      <c r="I5744">
        <f t="shared" si="179"/>
        <v>468.1</v>
      </c>
    </row>
    <row r="5745" spans="1:9" ht="30" x14ac:dyDescent="0.25">
      <c r="A5745" s="5" t="s">
        <v>596</v>
      </c>
      <c r="B5745" s="5" t="s">
        <v>32</v>
      </c>
      <c r="C5745" s="5" t="s">
        <v>6224</v>
      </c>
      <c r="D5745" s="3">
        <f>VLOOKUP(A5745,airports!A:H,7,FALSE)</f>
        <v>36.89461111</v>
      </c>
      <c r="E5745" s="3">
        <f>VLOOKUP(A5745,airports!A:H,8,FALSE)</f>
        <v>-76.201222220000005</v>
      </c>
      <c r="F5745" s="3">
        <f>VLOOKUP(B5745,airports!A:H,7,FALSE)</f>
        <v>39.175401669999999</v>
      </c>
      <c r="G5745" s="3">
        <f>VLOOKUP(B5745,airports!A:H,8,FALSE)</f>
        <v>-76.668198329999996</v>
      </c>
      <c r="H5745">
        <f t="shared" si="178"/>
        <v>256.89999999999998</v>
      </c>
      <c r="I5745">
        <f t="shared" si="179"/>
        <v>159.6</v>
      </c>
    </row>
    <row r="5746" spans="1:9" x14ac:dyDescent="0.25">
      <c r="A5746" s="5" t="s">
        <v>596</v>
      </c>
      <c r="B5746" s="5" t="s">
        <v>38</v>
      </c>
      <c r="C5746" s="5" t="s">
        <v>6225</v>
      </c>
      <c r="D5746" s="3">
        <f>VLOOKUP(A5746,airports!A:H,7,FALSE)</f>
        <v>36.89461111</v>
      </c>
      <c r="E5746" s="3">
        <f>VLOOKUP(A5746,airports!A:H,8,FALSE)</f>
        <v>-76.201222220000005</v>
      </c>
      <c r="F5746" s="3">
        <f>VLOOKUP(B5746,airports!A:H,7,FALSE)</f>
        <v>41.410894169999999</v>
      </c>
      <c r="G5746" s="3">
        <f>VLOOKUP(B5746,airports!A:H,8,FALSE)</f>
        <v>-81.849396670000004</v>
      </c>
      <c r="H5746">
        <f t="shared" si="178"/>
        <v>699.2</v>
      </c>
      <c r="I5746">
        <f t="shared" si="179"/>
        <v>434.5</v>
      </c>
    </row>
    <row r="5747" spans="1:9" x14ac:dyDescent="0.25">
      <c r="A5747" s="5" t="s">
        <v>596</v>
      </c>
      <c r="B5747" s="5" t="s">
        <v>40</v>
      </c>
      <c r="C5747" s="5" t="s">
        <v>6226</v>
      </c>
      <c r="D5747" s="3">
        <f>VLOOKUP(A5747,airports!A:H,7,FALSE)</f>
        <v>36.89461111</v>
      </c>
      <c r="E5747" s="3">
        <f>VLOOKUP(A5747,airports!A:H,8,FALSE)</f>
        <v>-76.201222220000005</v>
      </c>
      <c r="F5747" s="3">
        <f>VLOOKUP(B5747,airports!A:H,7,FALSE)</f>
        <v>35.214011110000001</v>
      </c>
      <c r="G5747" s="3">
        <f>VLOOKUP(B5747,airports!A:H,8,FALSE)</f>
        <v>-80.94312583</v>
      </c>
      <c r="H5747">
        <f t="shared" si="178"/>
        <v>465.4</v>
      </c>
      <c r="I5747">
        <f t="shared" si="179"/>
        <v>289.2</v>
      </c>
    </row>
    <row r="5748" spans="1:9" ht="30" x14ac:dyDescent="0.25">
      <c r="A5748" s="5" t="s">
        <v>596</v>
      </c>
      <c r="B5748" s="5" t="s">
        <v>462</v>
      </c>
      <c r="C5748" s="5" t="s">
        <v>6227</v>
      </c>
      <c r="D5748" s="3">
        <f>VLOOKUP(A5748,airports!A:H,7,FALSE)</f>
        <v>36.89461111</v>
      </c>
      <c r="E5748" s="3">
        <f>VLOOKUP(A5748,airports!A:H,8,FALSE)</f>
        <v>-76.201222220000005</v>
      </c>
      <c r="F5748" s="3">
        <f>VLOOKUP(B5748,airports!A:H,7,FALSE)</f>
        <v>39.046142779999997</v>
      </c>
      <c r="G5748" s="3">
        <f>VLOOKUP(B5748,airports!A:H,8,FALSE)</f>
        <v>-84.662172499999997</v>
      </c>
      <c r="H5748">
        <f t="shared" si="178"/>
        <v>778.9</v>
      </c>
      <c r="I5748">
        <f t="shared" si="179"/>
        <v>484</v>
      </c>
    </row>
    <row r="5749" spans="1:9" ht="30" x14ac:dyDescent="0.25">
      <c r="A5749" s="5" t="s">
        <v>596</v>
      </c>
      <c r="B5749" s="5" t="s">
        <v>201</v>
      </c>
      <c r="C5749" s="5" t="s">
        <v>6228</v>
      </c>
      <c r="D5749" s="3">
        <f>VLOOKUP(A5749,airports!A:H,7,FALSE)</f>
        <v>36.89461111</v>
      </c>
      <c r="E5749" s="3">
        <f>VLOOKUP(A5749,airports!A:H,8,FALSE)</f>
        <v>-76.201222220000005</v>
      </c>
      <c r="F5749" s="3">
        <f>VLOOKUP(B5749,airports!A:H,7,FALSE)</f>
        <v>32.847113890000003</v>
      </c>
      <c r="G5749" s="3">
        <f>VLOOKUP(B5749,airports!A:H,8,FALSE)</f>
        <v>-96.851772220000001</v>
      </c>
      <c r="H5749">
        <f t="shared" si="178"/>
        <v>1932.7</v>
      </c>
      <c r="I5749">
        <f t="shared" si="179"/>
        <v>1201</v>
      </c>
    </row>
    <row r="5750" spans="1:9" ht="30" x14ac:dyDescent="0.25">
      <c r="A5750" s="5" t="s">
        <v>596</v>
      </c>
      <c r="B5750" s="5" t="s">
        <v>45</v>
      </c>
      <c r="C5750" s="5" t="s">
        <v>6229</v>
      </c>
      <c r="D5750" s="3">
        <f>VLOOKUP(A5750,airports!A:H,7,FALSE)</f>
        <v>36.89461111</v>
      </c>
      <c r="E5750" s="3">
        <f>VLOOKUP(A5750,airports!A:H,8,FALSE)</f>
        <v>-76.201222220000005</v>
      </c>
      <c r="F5750" s="3">
        <f>VLOOKUP(B5750,airports!A:H,7,FALSE)</f>
        <v>38.852083329999999</v>
      </c>
      <c r="G5750" s="3">
        <f>VLOOKUP(B5750,airports!A:H,8,FALSE)</f>
        <v>-77.037722220000006</v>
      </c>
      <c r="H5750">
        <f t="shared" si="178"/>
        <v>229.7</v>
      </c>
      <c r="I5750">
        <f t="shared" si="179"/>
        <v>142.69999999999999</v>
      </c>
    </row>
    <row r="5751" spans="1:9" ht="30" x14ac:dyDescent="0.25">
      <c r="A5751" s="5" t="s">
        <v>596</v>
      </c>
      <c r="B5751" s="5" t="s">
        <v>47</v>
      </c>
      <c r="C5751" s="5" t="s">
        <v>6230</v>
      </c>
      <c r="D5751" s="3">
        <f>VLOOKUP(A5751,airports!A:H,7,FALSE)</f>
        <v>36.89461111</v>
      </c>
      <c r="E5751" s="3">
        <f>VLOOKUP(A5751,airports!A:H,8,FALSE)</f>
        <v>-76.201222220000005</v>
      </c>
      <c r="F5751" s="3">
        <f>VLOOKUP(B5751,airports!A:H,7,FALSE)</f>
        <v>39.858408060000002</v>
      </c>
      <c r="G5751" s="3">
        <f>VLOOKUP(B5751,airports!A:H,8,FALSE)</f>
        <v>-104.6670019</v>
      </c>
      <c r="H5751">
        <f t="shared" si="178"/>
        <v>2492.5</v>
      </c>
      <c r="I5751">
        <f t="shared" si="179"/>
        <v>1548.9</v>
      </c>
    </row>
    <row r="5752" spans="1:9" ht="30" x14ac:dyDescent="0.25">
      <c r="A5752" s="5" t="s">
        <v>596</v>
      </c>
      <c r="B5752" s="5" t="s">
        <v>49</v>
      </c>
      <c r="C5752" s="5" t="s">
        <v>6231</v>
      </c>
      <c r="D5752" s="3">
        <f>VLOOKUP(A5752,airports!A:H,7,FALSE)</f>
        <v>36.89461111</v>
      </c>
      <c r="E5752" s="3">
        <f>VLOOKUP(A5752,airports!A:H,8,FALSE)</f>
        <v>-76.201222220000005</v>
      </c>
      <c r="F5752" s="3">
        <f>VLOOKUP(B5752,airports!A:H,7,FALSE)</f>
        <v>32.895950560000003</v>
      </c>
      <c r="G5752" s="3">
        <f>VLOOKUP(B5752,airports!A:H,8,FALSE)</f>
        <v>-97.037199999999999</v>
      </c>
      <c r="H5752">
        <f t="shared" si="178"/>
        <v>1947.3</v>
      </c>
      <c r="I5752">
        <f t="shared" si="179"/>
        <v>1210.0999999999999</v>
      </c>
    </row>
    <row r="5753" spans="1:9" ht="30" x14ac:dyDescent="0.25">
      <c r="A5753" s="5" t="s">
        <v>596</v>
      </c>
      <c r="B5753" s="5" t="s">
        <v>50</v>
      </c>
      <c r="C5753" s="5" t="s">
        <v>6232</v>
      </c>
      <c r="D5753" s="3">
        <f>VLOOKUP(A5753,airports!A:H,7,FALSE)</f>
        <v>36.89461111</v>
      </c>
      <c r="E5753" s="3">
        <f>VLOOKUP(A5753,airports!A:H,8,FALSE)</f>
        <v>-76.201222220000005</v>
      </c>
      <c r="F5753" s="3">
        <f>VLOOKUP(B5753,airports!A:H,7,FALSE)</f>
        <v>42.212058890000002</v>
      </c>
      <c r="G5753" s="3">
        <f>VLOOKUP(B5753,airports!A:H,8,FALSE)</f>
        <v>-83.348835829999999</v>
      </c>
      <c r="H5753">
        <f t="shared" si="178"/>
        <v>850.9</v>
      </c>
      <c r="I5753">
        <f t="shared" si="179"/>
        <v>528.79999999999995</v>
      </c>
    </row>
    <row r="5754" spans="1:9" ht="30" x14ac:dyDescent="0.25">
      <c r="A5754" s="5" t="s">
        <v>596</v>
      </c>
      <c r="B5754" s="5" t="s">
        <v>52</v>
      </c>
      <c r="C5754" s="5" t="s">
        <v>6233</v>
      </c>
      <c r="D5754" s="3">
        <f>VLOOKUP(A5754,airports!A:H,7,FALSE)</f>
        <v>36.89461111</v>
      </c>
      <c r="E5754" s="3">
        <f>VLOOKUP(A5754,airports!A:H,8,FALSE)</f>
        <v>-76.201222220000005</v>
      </c>
      <c r="F5754" s="3">
        <f>VLOOKUP(B5754,airports!A:H,7,FALSE)</f>
        <v>40.69249722</v>
      </c>
      <c r="G5754" s="3">
        <f>VLOOKUP(B5754,airports!A:H,8,FALSE)</f>
        <v>-74.168660560000006</v>
      </c>
      <c r="H5754">
        <f t="shared" si="178"/>
        <v>457.5</v>
      </c>
      <c r="I5754">
        <f t="shared" si="179"/>
        <v>284.3</v>
      </c>
    </row>
    <row r="5755" spans="1:9" x14ac:dyDescent="0.25">
      <c r="A5755" s="5" t="s">
        <v>596</v>
      </c>
      <c r="B5755" s="5" t="s">
        <v>57</v>
      </c>
      <c r="C5755" s="5" t="s">
        <v>6234</v>
      </c>
      <c r="D5755" s="3">
        <f>VLOOKUP(A5755,airports!A:H,7,FALSE)</f>
        <v>36.89461111</v>
      </c>
      <c r="E5755" s="3">
        <f>VLOOKUP(A5755,airports!A:H,8,FALSE)</f>
        <v>-76.201222220000005</v>
      </c>
      <c r="F5755" s="3">
        <f>VLOOKUP(B5755,airports!A:H,7,FALSE)</f>
        <v>26.072583330000001</v>
      </c>
      <c r="G5755" s="3">
        <f>VLOOKUP(B5755,airports!A:H,8,FALSE)</f>
        <v>-80.152749999999997</v>
      </c>
      <c r="H5755">
        <f t="shared" si="178"/>
        <v>1260</v>
      </c>
      <c r="I5755">
        <f t="shared" si="179"/>
        <v>783</v>
      </c>
    </row>
    <row r="5756" spans="1:9" ht="30" x14ac:dyDescent="0.25">
      <c r="A5756" s="5" t="s">
        <v>596</v>
      </c>
      <c r="B5756" s="5" t="s">
        <v>176</v>
      </c>
      <c r="C5756" s="5" t="s">
        <v>6235</v>
      </c>
      <c r="D5756" s="3">
        <f>VLOOKUP(A5756,airports!A:H,7,FALSE)</f>
        <v>36.89461111</v>
      </c>
      <c r="E5756" s="3">
        <f>VLOOKUP(A5756,airports!A:H,8,FALSE)</f>
        <v>-76.201222220000005</v>
      </c>
      <c r="F5756" s="3">
        <f>VLOOKUP(B5756,airports!A:H,7,FALSE)</f>
        <v>38.944531939999997</v>
      </c>
      <c r="G5756" s="3">
        <f>VLOOKUP(B5756,airports!A:H,8,FALSE)</f>
        <v>-77.455809720000005</v>
      </c>
      <c r="H5756">
        <f t="shared" si="178"/>
        <v>253.1</v>
      </c>
      <c r="I5756">
        <f t="shared" si="179"/>
        <v>157.30000000000001</v>
      </c>
    </row>
    <row r="5757" spans="1:9" ht="30" x14ac:dyDescent="0.25">
      <c r="A5757" s="5" t="s">
        <v>596</v>
      </c>
      <c r="B5757" s="5" t="s">
        <v>67</v>
      </c>
      <c r="C5757" s="5" t="s">
        <v>6236</v>
      </c>
      <c r="D5757" s="3">
        <f>VLOOKUP(A5757,airports!A:H,7,FALSE)</f>
        <v>36.89461111</v>
      </c>
      <c r="E5757" s="3">
        <f>VLOOKUP(A5757,airports!A:H,8,FALSE)</f>
        <v>-76.201222220000005</v>
      </c>
      <c r="F5757" s="3">
        <f>VLOOKUP(B5757,airports!A:H,7,FALSE)</f>
        <v>29.980472219999999</v>
      </c>
      <c r="G5757" s="3">
        <f>VLOOKUP(B5757,airports!A:H,8,FALSE)</f>
        <v>-95.339722219999999</v>
      </c>
      <c r="H5757">
        <f t="shared" si="178"/>
        <v>1930.5</v>
      </c>
      <c r="I5757">
        <f t="shared" si="179"/>
        <v>1199.7</v>
      </c>
    </row>
    <row r="5758" spans="1:9" ht="30" x14ac:dyDescent="0.25">
      <c r="A5758" s="5" t="s">
        <v>596</v>
      </c>
      <c r="B5758" s="5" t="s">
        <v>68</v>
      </c>
      <c r="C5758" s="5" t="s">
        <v>6237</v>
      </c>
      <c r="D5758" s="3">
        <f>VLOOKUP(A5758,airports!A:H,7,FALSE)</f>
        <v>36.89461111</v>
      </c>
      <c r="E5758" s="3">
        <f>VLOOKUP(A5758,airports!A:H,8,FALSE)</f>
        <v>-76.201222220000005</v>
      </c>
      <c r="F5758" s="3">
        <f>VLOOKUP(B5758,airports!A:H,7,FALSE)</f>
        <v>30.49405556</v>
      </c>
      <c r="G5758" s="3">
        <f>VLOOKUP(B5758,airports!A:H,8,FALSE)</f>
        <v>-81.68786111</v>
      </c>
      <c r="H5758">
        <f t="shared" si="178"/>
        <v>873.8</v>
      </c>
      <c r="I5758">
        <f t="shared" si="179"/>
        <v>543</v>
      </c>
    </row>
    <row r="5759" spans="1:9" x14ac:dyDescent="0.25">
      <c r="A5759" s="5" t="s">
        <v>596</v>
      </c>
      <c r="B5759" s="5" t="s">
        <v>69</v>
      </c>
      <c r="C5759" s="5" t="s">
        <v>6238</v>
      </c>
      <c r="D5759" s="3">
        <f>VLOOKUP(A5759,airports!A:H,7,FALSE)</f>
        <v>36.89461111</v>
      </c>
      <c r="E5759" s="3">
        <f>VLOOKUP(A5759,airports!A:H,8,FALSE)</f>
        <v>-76.201222220000005</v>
      </c>
      <c r="F5759" s="3">
        <f>VLOOKUP(B5759,airports!A:H,7,FALSE)</f>
        <v>40.639751109999999</v>
      </c>
      <c r="G5759" s="3">
        <f>VLOOKUP(B5759,airports!A:H,8,FALSE)</f>
        <v>-73.778925560000005</v>
      </c>
      <c r="H5759">
        <f t="shared" si="178"/>
        <v>466.3</v>
      </c>
      <c r="I5759">
        <f t="shared" si="179"/>
        <v>289.8</v>
      </c>
    </row>
    <row r="5760" spans="1:9" ht="30" x14ac:dyDescent="0.25">
      <c r="A5760" s="5" t="s">
        <v>596</v>
      </c>
      <c r="B5760" s="5" t="s">
        <v>71</v>
      </c>
      <c r="C5760" s="5" t="s">
        <v>6239</v>
      </c>
      <c r="D5760" s="3">
        <f>VLOOKUP(A5760,airports!A:H,7,FALSE)</f>
        <v>36.89461111</v>
      </c>
      <c r="E5760" s="3">
        <f>VLOOKUP(A5760,airports!A:H,8,FALSE)</f>
        <v>-76.201222220000005</v>
      </c>
      <c r="F5760" s="3">
        <f>VLOOKUP(B5760,airports!A:H,7,FALSE)</f>
        <v>36.080361109999998</v>
      </c>
      <c r="G5760" s="3">
        <f>VLOOKUP(B5760,airports!A:H,8,FALSE)</f>
        <v>-115.1523333</v>
      </c>
      <c r="H5760">
        <f t="shared" si="178"/>
        <v>3458.9</v>
      </c>
      <c r="I5760">
        <f t="shared" si="179"/>
        <v>2149.4</v>
      </c>
    </row>
    <row r="5761" spans="1:9" ht="30" x14ac:dyDescent="0.25">
      <c r="A5761" s="5" t="s">
        <v>596</v>
      </c>
      <c r="B5761" s="5" t="s">
        <v>740</v>
      </c>
      <c r="C5761" s="5" t="s">
        <v>6240</v>
      </c>
      <c r="D5761" s="3">
        <f>VLOOKUP(A5761,airports!A:H,7,FALSE)</f>
        <v>36.89461111</v>
      </c>
      <c r="E5761" s="3">
        <f>VLOOKUP(A5761,airports!A:H,8,FALSE)</f>
        <v>-76.201222220000005</v>
      </c>
      <c r="F5761" s="3">
        <f>VLOOKUP(B5761,airports!A:H,7,FALSE)</f>
        <v>39.813800999999998</v>
      </c>
      <c r="G5761" s="3">
        <f>VLOOKUP(B5761,airports!A:H,8,FALSE)</f>
        <v>-82.927802999999997</v>
      </c>
      <c r="H5761">
        <f t="shared" si="178"/>
        <v>670.1</v>
      </c>
      <c r="I5761">
        <f t="shared" si="179"/>
        <v>416.4</v>
      </c>
    </row>
    <row r="5762" spans="1:9" ht="30" x14ac:dyDescent="0.25">
      <c r="A5762" s="5" t="s">
        <v>596</v>
      </c>
      <c r="B5762" s="5" t="s">
        <v>74</v>
      </c>
      <c r="C5762" s="5" t="s">
        <v>6241</v>
      </c>
      <c r="D5762" s="3">
        <f>VLOOKUP(A5762,airports!A:H,7,FALSE)</f>
        <v>36.89461111</v>
      </c>
      <c r="E5762" s="3">
        <f>VLOOKUP(A5762,airports!A:H,8,FALSE)</f>
        <v>-76.201222220000005</v>
      </c>
      <c r="F5762" s="3">
        <f>VLOOKUP(B5762,airports!A:H,7,FALSE)</f>
        <v>40.777243060000004</v>
      </c>
      <c r="G5762" s="3">
        <f>VLOOKUP(B5762,airports!A:H,8,FALSE)</f>
        <v>-73.872609170000004</v>
      </c>
      <c r="H5762">
        <f t="shared" si="178"/>
        <v>476.5</v>
      </c>
      <c r="I5762">
        <f t="shared" si="179"/>
        <v>296.10000000000002</v>
      </c>
    </row>
    <row r="5763" spans="1:9" ht="30" x14ac:dyDescent="0.25">
      <c r="A5763" s="5" t="s">
        <v>596</v>
      </c>
      <c r="B5763" s="5" t="s">
        <v>82</v>
      </c>
      <c r="C5763" s="5" t="s">
        <v>6242</v>
      </c>
      <c r="D5763" s="3">
        <f>VLOOKUP(A5763,airports!A:H,7,FALSE)</f>
        <v>36.89461111</v>
      </c>
      <c r="E5763" s="3">
        <f>VLOOKUP(A5763,airports!A:H,8,FALSE)</f>
        <v>-76.201222220000005</v>
      </c>
      <c r="F5763" s="3">
        <f>VLOOKUP(B5763,airports!A:H,7,FALSE)</f>
        <v>28.42888889</v>
      </c>
      <c r="G5763" s="3">
        <f>VLOOKUP(B5763,airports!A:H,8,FALSE)</f>
        <v>-81.316027779999999</v>
      </c>
      <c r="H5763">
        <f t="shared" si="178"/>
        <v>1055.7</v>
      </c>
      <c r="I5763">
        <f t="shared" si="179"/>
        <v>656</v>
      </c>
    </row>
    <row r="5764" spans="1:9" ht="30" x14ac:dyDescent="0.25">
      <c r="A5764" s="5" t="s">
        <v>596</v>
      </c>
      <c r="B5764" s="5" t="s">
        <v>180</v>
      </c>
      <c r="C5764" s="5" t="s">
        <v>6243</v>
      </c>
      <c r="D5764" s="3">
        <f>VLOOKUP(A5764,airports!A:H,7,FALSE)</f>
        <v>36.89461111</v>
      </c>
      <c r="E5764" s="3">
        <f>VLOOKUP(A5764,airports!A:H,8,FALSE)</f>
        <v>-76.201222220000005</v>
      </c>
      <c r="F5764" s="3">
        <f>VLOOKUP(B5764,airports!A:H,7,FALSE)</f>
        <v>41.785982500000003</v>
      </c>
      <c r="G5764" s="3">
        <f>VLOOKUP(B5764,airports!A:H,8,FALSE)</f>
        <v>-87.752424439999999</v>
      </c>
      <c r="H5764">
        <f t="shared" ref="H5764:H5827" si="180">ROUND(ACOS(COS(RADIANS(90-D5764)) * COS(RADIANS(90-F5764)) + SIN(RADIANS(90-D5764)) * SIN(RADIANS(90-F5764)) * COS(RADIANS(E5764-G5764))) * 6371,1)</f>
        <v>1131.0999999999999</v>
      </c>
      <c r="I5764">
        <f t="shared" ref="I5764:I5827" si="181">ROUND(ACOS(COS(RADIANS(90-D5764)) * COS(RADIANS(90-F5764)) + SIN(RADIANS(90-D5764)) * SIN(RADIANS(90-F5764)) * COS(RADIANS(E5764-G5764))) * 3959,1)</f>
        <v>702.9</v>
      </c>
    </row>
    <row r="5765" spans="1:9" ht="30" x14ac:dyDescent="0.25">
      <c r="A5765" s="5" t="s">
        <v>596</v>
      </c>
      <c r="B5765" s="5" t="s">
        <v>84</v>
      </c>
      <c r="C5765" s="5" t="s">
        <v>6244</v>
      </c>
      <c r="D5765" s="3">
        <f>VLOOKUP(A5765,airports!A:H,7,FALSE)</f>
        <v>36.89461111</v>
      </c>
      <c r="E5765" s="3">
        <f>VLOOKUP(A5765,airports!A:H,8,FALSE)</f>
        <v>-76.201222220000005</v>
      </c>
      <c r="F5765" s="3">
        <f>VLOOKUP(B5765,airports!A:H,7,FALSE)</f>
        <v>25.79325</v>
      </c>
      <c r="G5765" s="3">
        <f>VLOOKUP(B5765,airports!A:H,8,FALSE)</f>
        <v>-80.290555560000001</v>
      </c>
      <c r="H5765">
        <f t="shared" si="180"/>
        <v>1293.7</v>
      </c>
      <c r="I5765">
        <f t="shared" si="181"/>
        <v>803.9</v>
      </c>
    </row>
    <row r="5766" spans="1:9" ht="30" x14ac:dyDescent="0.25">
      <c r="A5766" s="5" t="s">
        <v>596</v>
      </c>
      <c r="B5766" s="5" t="s">
        <v>87</v>
      </c>
      <c r="C5766" s="5" t="s">
        <v>6245</v>
      </c>
      <c r="D5766" s="3">
        <f>VLOOKUP(A5766,airports!A:H,7,FALSE)</f>
        <v>36.89461111</v>
      </c>
      <c r="E5766" s="3">
        <f>VLOOKUP(A5766,airports!A:H,8,FALSE)</f>
        <v>-76.201222220000005</v>
      </c>
      <c r="F5766" s="3">
        <f>VLOOKUP(B5766,airports!A:H,7,FALSE)</f>
        <v>44.880546940000002</v>
      </c>
      <c r="G5766" s="3">
        <f>VLOOKUP(B5766,airports!A:H,8,FALSE)</f>
        <v>-93.216922499999995</v>
      </c>
      <c r="H5766">
        <f t="shared" si="180"/>
        <v>1678.5</v>
      </c>
      <c r="I5766">
        <f t="shared" si="181"/>
        <v>1043</v>
      </c>
    </row>
    <row r="5767" spans="1:9" ht="30" x14ac:dyDescent="0.25">
      <c r="A5767" s="5" t="s">
        <v>596</v>
      </c>
      <c r="B5767" s="5" t="s">
        <v>95</v>
      </c>
      <c r="C5767" s="5" t="s">
        <v>6246</v>
      </c>
      <c r="D5767" s="3">
        <f>VLOOKUP(A5767,airports!A:H,7,FALSE)</f>
        <v>36.89461111</v>
      </c>
      <c r="E5767" s="3">
        <f>VLOOKUP(A5767,airports!A:H,8,FALSE)</f>
        <v>-76.201222220000005</v>
      </c>
      <c r="F5767" s="3">
        <f>VLOOKUP(B5767,airports!A:H,7,FALSE)</f>
        <v>41.979595000000003</v>
      </c>
      <c r="G5767" s="3">
        <f>VLOOKUP(B5767,airports!A:H,8,FALSE)</f>
        <v>-87.904464169999997</v>
      </c>
      <c r="H5767">
        <f t="shared" si="180"/>
        <v>1151.7</v>
      </c>
      <c r="I5767">
        <f t="shared" si="181"/>
        <v>715.7</v>
      </c>
    </row>
    <row r="5768" spans="1:9" ht="30" x14ac:dyDescent="0.25">
      <c r="A5768" s="5" t="s">
        <v>596</v>
      </c>
      <c r="B5768" s="5" t="s">
        <v>185</v>
      </c>
      <c r="C5768" s="5" t="s">
        <v>6247</v>
      </c>
      <c r="D5768" s="3">
        <f>VLOOKUP(A5768,airports!A:H,7,FALSE)</f>
        <v>36.89461111</v>
      </c>
      <c r="E5768" s="3">
        <f>VLOOKUP(A5768,airports!A:H,8,FALSE)</f>
        <v>-76.201222220000005</v>
      </c>
      <c r="F5768" s="3">
        <f>VLOOKUP(B5768,airports!A:H,7,FALSE)</f>
        <v>26.919699999999999</v>
      </c>
      <c r="G5768" s="3">
        <f>VLOOKUP(B5768,airports!A:H,8,FALSE)</f>
        <v>-81.995999999999995</v>
      </c>
      <c r="H5768">
        <f t="shared" si="180"/>
        <v>1236</v>
      </c>
      <c r="I5768">
        <f t="shared" si="181"/>
        <v>768.1</v>
      </c>
    </row>
    <row r="5769" spans="1:9" ht="30" x14ac:dyDescent="0.25">
      <c r="A5769" s="5" t="s">
        <v>596</v>
      </c>
      <c r="B5769" s="5" t="s">
        <v>102</v>
      </c>
      <c r="C5769" s="5" t="s">
        <v>6248</v>
      </c>
      <c r="D5769" s="3">
        <f>VLOOKUP(A5769,airports!A:H,7,FALSE)</f>
        <v>36.89461111</v>
      </c>
      <c r="E5769" s="3">
        <f>VLOOKUP(A5769,airports!A:H,8,FALSE)</f>
        <v>-76.201222220000005</v>
      </c>
      <c r="F5769" s="3">
        <f>VLOOKUP(B5769,airports!A:H,7,FALSE)</f>
        <v>39.871952780000001</v>
      </c>
      <c r="G5769" s="3">
        <f>VLOOKUP(B5769,airports!A:H,8,FALSE)</f>
        <v>-75.241140830000006</v>
      </c>
      <c r="H5769">
        <f t="shared" si="180"/>
        <v>341.5</v>
      </c>
      <c r="I5769">
        <f t="shared" si="181"/>
        <v>212.2</v>
      </c>
    </row>
    <row r="5770" spans="1:9" ht="30" x14ac:dyDescent="0.25">
      <c r="A5770" s="5" t="s">
        <v>596</v>
      </c>
      <c r="B5770" s="5" t="s">
        <v>104</v>
      </c>
      <c r="C5770" s="5" t="s">
        <v>6249</v>
      </c>
      <c r="D5770" s="3">
        <f>VLOOKUP(A5770,airports!A:H,7,FALSE)</f>
        <v>36.89461111</v>
      </c>
      <c r="E5770" s="3">
        <f>VLOOKUP(A5770,airports!A:H,8,FALSE)</f>
        <v>-76.201222220000005</v>
      </c>
      <c r="F5770" s="3">
        <f>VLOOKUP(B5770,airports!A:H,7,FALSE)</f>
        <v>33.434166670000003</v>
      </c>
      <c r="G5770" s="3">
        <f>VLOOKUP(B5770,airports!A:H,8,FALSE)</f>
        <v>-112.00805560000001</v>
      </c>
      <c r="H5770">
        <f t="shared" si="180"/>
        <v>3258.5</v>
      </c>
      <c r="I5770">
        <f t="shared" si="181"/>
        <v>2024.8</v>
      </c>
    </row>
    <row r="5771" spans="1:9" x14ac:dyDescent="0.25">
      <c r="A5771" s="5" t="s">
        <v>596</v>
      </c>
      <c r="B5771" s="5" t="s">
        <v>188</v>
      </c>
      <c r="C5771" s="5" t="s">
        <v>6250</v>
      </c>
      <c r="D5771" s="3">
        <f>VLOOKUP(A5771,airports!A:H,7,FALSE)</f>
        <v>36.89461111</v>
      </c>
      <c r="E5771" s="3">
        <f>VLOOKUP(A5771,airports!A:H,8,FALSE)</f>
        <v>-76.201222220000005</v>
      </c>
      <c r="F5771" s="3">
        <f>VLOOKUP(B5771,airports!A:H,7,FALSE)</f>
        <v>27.910763330000002</v>
      </c>
      <c r="G5771" s="3">
        <f>VLOOKUP(B5771,airports!A:H,8,FALSE)</f>
        <v>-82.687439440000006</v>
      </c>
      <c r="H5771">
        <f t="shared" si="180"/>
        <v>1169.2</v>
      </c>
      <c r="I5771">
        <f t="shared" si="181"/>
        <v>726.5</v>
      </c>
    </row>
    <row r="5772" spans="1:9" x14ac:dyDescent="0.25">
      <c r="A5772" s="5" t="s">
        <v>596</v>
      </c>
      <c r="B5772" s="5" t="s">
        <v>106</v>
      </c>
      <c r="C5772" s="5" t="s">
        <v>6251</v>
      </c>
      <c r="D5772" s="3">
        <f>VLOOKUP(A5772,airports!A:H,7,FALSE)</f>
        <v>36.89461111</v>
      </c>
      <c r="E5772" s="3">
        <f>VLOOKUP(A5772,airports!A:H,8,FALSE)</f>
        <v>-76.201222220000005</v>
      </c>
      <c r="F5772" s="3">
        <f>VLOOKUP(B5772,airports!A:H,7,FALSE)</f>
        <v>40.491465830000003</v>
      </c>
      <c r="G5772" s="3">
        <f>VLOOKUP(B5772,airports!A:H,8,FALSE)</f>
        <v>-80.232870829999996</v>
      </c>
      <c r="H5772">
        <f t="shared" si="180"/>
        <v>531.29999999999995</v>
      </c>
      <c r="I5772">
        <f t="shared" si="181"/>
        <v>330.1</v>
      </c>
    </row>
    <row r="5773" spans="1:9" ht="30" x14ac:dyDescent="0.25">
      <c r="A5773" s="5" t="s">
        <v>596</v>
      </c>
      <c r="B5773" s="5" t="s">
        <v>119</v>
      </c>
      <c r="C5773" s="5" t="s">
        <v>6252</v>
      </c>
      <c r="D5773" s="3">
        <f>VLOOKUP(A5773,airports!A:H,7,FALSE)</f>
        <v>36.89461111</v>
      </c>
      <c r="E5773" s="3">
        <f>VLOOKUP(A5773,airports!A:H,8,FALSE)</f>
        <v>-76.201222220000005</v>
      </c>
      <c r="F5773" s="3">
        <f>VLOOKUP(B5773,airports!A:H,7,FALSE)</f>
        <v>35.87763889</v>
      </c>
      <c r="G5773" s="3">
        <f>VLOOKUP(B5773,airports!A:H,8,FALSE)</f>
        <v>-78.787472219999998</v>
      </c>
      <c r="H5773">
        <f t="shared" si="180"/>
        <v>257.60000000000002</v>
      </c>
      <c r="I5773">
        <f t="shared" si="181"/>
        <v>160.1</v>
      </c>
    </row>
    <row r="5774" spans="1:9" ht="30" x14ac:dyDescent="0.25">
      <c r="A5774" s="5" t="s">
        <v>596</v>
      </c>
      <c r="B5774" s="5" t="s">
        <v>124</v>
      </c>
      <c r="C5774" s="5" t="s">
        <v>6253</v>
      </c>
      <c r="D5774" s="3">
        <f>VLOOKUP(A5774,airports!A:H,7,FALSE)</f>
        <v>36.89461111</v>
      </c>
      <c r="E5774" s="3">
        <f>VLOOKUP(A5774,airports!A:H,8,FALSE)</f>
        <v>-76.201222220000005</v>
      </c>
      <c r="F5774" s="3">
        <f>VLOOKUP(B5774,airports!A:H,7,FALSE)</f>
        <v>32.733556110000002</v>
      </c>
      <c r="G5774" s="3">
        <f>VLOOKUP(B5774,airports!A:H,8,FALSE)</f>
        <v>-117.1896567</v>
      </c>
      <c r="H5774">
        <f t="shared" si="180"/>
        <v>3741.7</v>
      </c>
      <c r="I5774">
        <f t="shared" si="181"/>
        <v>2325.1</v>
      </c>
    </row>
    <row r="5775" spans="1:9" ht="30" x14ac:dyDescent="0.25">
      <c r="A5775" s="5" t="s">
        <v>596</v>
      </c>
      <c r="B5775" s="5" t="s">
        <v>191</v>
      </c>
      <c r="C5775" s="5" t="s">
        <v>6254</v>
      </c>
      <c r="D5775" s="3">
        <f>VLOOKUP(A5775,airports!A:H,7,FALSE)</f>
        <v>36.89461111</v>
      </c>
      <c r="E5775" s="3">
        <f>VLOOKUP(A5775,airports!A:H,8,FALSE)</f>
        <v>-76.201222220000005</v>
      </c>
      <c r="F5775" s="3">
        <f>VLOOKUP(B5775,airports!A:H,7,FALSE)</f>
        <v>28.7776</v>
      </c>
      <c r="G5775" s="3">
        <f>VLOOKUP(B5775,airports!A:H,8,FALSE)</f>
        <v>-81.237499999999997</v>
      </c>
      <c r="H5775">
        <f t="shared" si="180"/>
        <v>1017.4</v>
      </c>
      <c r="I5775">
        <f t="shared" si="181"/>
        <v>632.20000000000005</v>
      </c>
    </row>
    <row r="5776" spans="1:9" x14ac:dyDescent="0.25">
      <c r="A5776" s="5" t="s">
        <v>596</v>
      </c>
      <c r="B5776" s="5" t="s">
        <v>644</v>
      </c>
      <c r="C5776" s="5" t="s">
        <v>6255</v>
      </c>
      <c r="D5776" s="3">
        <f>VLOOKUP(A5776,airports!A:H,7,FALSE)</f>
        <v>36.89461111</v>
      </c>
      <c r="E5776" s="3">
        <f>VLOOKUP(A5776,airports!A:H,8,FALSE)</f>
        <v>-76.201222220000005</v>
      </c>
      <c r="F5776" s="3">
        <f>VLOOKUP(B5776,airports!A:H,7,FALSE)</f>
        <v>38.747686940000001</v>
      </c>
      <c r="G5776" s="3">
        <f>VLOOKUP(B5776,airports!A:H,8,FALSE)</f>
        <v>-90.359989720000002</v>
      </c>
      <c r="H5776">
        <f t="shared" si="180"/>
        <v>1259.3</v>
      </c>
      <c r="I5776">
        <f t="shared" si="181"/>
        <v>782.5</v>
      </c>
    </row>
    <row r="5777" spans="1:9" ht="30" x14ac:dyDescent="0.25">
      <c r="A5777" s="5" t="s">
        <v>596</v>
      </c>
      <c r="B5777" s="5" t="s">
        <v>145</v>
      </c>
      <c r="C5777" s="5" t="s">
        <v>6256</v>
      </c>
      <c r="D5777" s="3">
        <f>VLOOKUP(A5777,airports!A:H,7,FALSE)</f>
        <v>36.89461111</v>
      </c>
      <c r="E5777" s="3">
        <f>VLOOKUP(A5777,airports!A:H,8,FALSE)</f>
        <v>-76.201222220000005</v>
      </c>
      <c r="F5777" s="3">
        <f>VLOOKUP(B5777,airports!A:H,7,FALSE)</f>
        <v>27.97547222</v>
      </c>
      <c r="G5777" s="3">
        <f>VLOOKUP(B5777,airports!A:H,8,FALSE)</f>
        <v>-82.533249999999995</v>
      </c>
      <c r="H5777">
        <f t="shared" si="180"/>
        <v>1155.4000000000001</v>
      </c>
      <c r="I5777">
        <f t="shared" si="181"/>
        <v>718</v>
      </c>
    </row>
    <row r="5778" spans="1:9" ht="30" x14ac:dyDescent="0.25">
      <c r="A5778" s="5" t="s">
        <v>97</v>
      </c>
      <c r="B5778" s="5" t="s">
        <v>50</v>
      </c>
      <c r="C5778" s="5" t="s">
        <v>6257</v>
      </c>
      <c r="D5778" s="3">
        <f>VLOOKUP(A5778,airports!A:H,7,FALSE)</f>
        <v>42.267339440000001</v>
      </c>
      <c r="E5778" s="3">
        <f>VLOOKUP(A5778,airports!A:H,8,FALSE)</f>
        <v>-71.875709439999994</v>
      </c>
      <c r="F5778" s="3">
        <f>VLOOKUP(B5778,airports!A:H,7,FALSE)</f>
        <v>42.212058890000002</v>
      </c>
      <c r="G5778" s="3">
        <f>VLOOKUP(B5778,airports!A:H,8,FALSE)</f>
        <v>-83.348835829999999</v>
      </c>
      <c r="H5778">
        <f t="shared" si="180"/>
        <v>943.8</v>
      </c>
      <c r="I5778">
        <f t="shared" si="181"/>
        <v>586.5</v>
      </c>
    </row>
    <row r="5779" spans="1:9" x14ac:dyDescent="0.25">
      <c r="A5779" s="5" t="s">
        <v>97</v>
      </c>
      <c r="B5779" s="5" t="s">
        <v>57</v>
      </c>
      <c r="C5779" s="5" t="s">
        <v>6258</v>
      </c>
      <c r="D5779" s="3">
        <f>VLOOKUP(A5779,airports!A:H,7,FALSE)</f>
        <v>42.267339440000001</v>
      </c>
      <c r="E5779" s="3">
        <f>VLOOKUP(A5779,airports!A:H,8,FALSE)</f>
        <v>-71.875709439999994</v>
      </c>
      <c r="F5779" s="3">
        <f>VLOOKUP(B5779,airports!A:H,7,FALSE)</f>
        <v>26.072583330000001</v>
      </c>
      <c r="G5779" s="3">
        <f>VLOOKUP(B5779,airports!A:H,8,FALSE)</f>
        <v>-80.152749999999997</v>
      </c>
      <c r="H5779">
        <f t="shared" si="180"/>
        <v>1952.7</v>
      </c>
      <c r="I5779">
        <f t="shared" si="181"/>
        <v>1213.4000000000001</v>
      </c>
    </row>
    <row r="5780" spans="1:9" ht="30" x14ac:dyDescent="0.25">
      <c r="A5780" s="5" t="s">
        <v>97</v>
      </c>
      <c r="B5780" s="5" t="s">
        <v>69</v>
      </c>
      <c r="C5780" s="5" t="s">
        <v>6259</v>
      </c>
      <c r="D5780" s="3">
        <f>VLOOKUP(A5780,airports!A:H,7,FALSE)</f>
        <v>42.267339440000001</v>
      </c>
      <c r="E5780" s="3">
        <f>VLOOKUP(A5780,airports!A:H,8,FALSE)</f>
        <v>-71.875709439999994</v>
      </c>
      <c r="F5780" s="3">
        <f>VLOOKUP(B5780,airports!A:H,7,FALSE)</f>
        <v>40.639751109999999</v>
      </c>
      <c r="G5780" s="3">
        <f>VLOOKUP(B5780,airports!A:H,8,FALSE)</f>
        <v>-73.778925560000005</v>
      </c>
      <c r="H5780">
        <f t="shared" si="180"/>
        <v>240.6</v>
      </c>
      <c r="I5780">
        <f t="shared" si="181"/>
        <v>149.5</v>
      </c>
    </row>
    <row r="5781" spans="1:9" ht="30" x14ac:dyDescent="0.25">
      <c r="A5781" s="5" t="s">
        <v>97</v>
      </c>
      <c r="B5781" s="5" t="s">
        <v>74</v>
      </c>
      <c r="C5781" s="5" t="s">
        <v>6260</v>
      </c>
      <c r="D5781" s="3">
        <f>VLOOKUP(A5781,airports!A:H,7,FALSE)</f>
        <v>42.267339440000001</v>
      </c>
      <c r="E5781" s="3">
        <f>VLOOKUP(A5781,airports!A:H,8,FALSE)</f>
        <v>-71.875709439999994</v>
      </c>
      <c r="F5781" s="3">
        <f>VLOOKUP(B5781,airports!A:H,7,FALSE)</f>
        <v>40.777243060000004</v>
      </c>
      <c r="G5781" s="3">
        <f>VLOOKUP(B5781,airports!A:H,8,FALSE)</f>
        <v>-73.872609170000004</v>
      </c>
      <c r="H5781">
        <f t="shared" si="180"/>
        <v>234.7</v>
      </c>
      <c r="I5781">
        <f t="shared" si="181"/>
        <v>145.80000000000001</v>
      </c>
    </row>
    <row r="5782" spans="1:9" ht="30" x14ac:dyDescent="0.25">
      <c r="A5782" s="5" t="s">
        <v>97</v>
      </c>
      <c r="B5782" s="5" t="s">
        <v>82</v>
      </c>
      <c r="C5782" s="5" t="s">
        <v>6261</v>
      </c>
      <c r="D5782" s="3">
        <f>VLOOKUP(A5782,airports!A:H,7,FALSE)</f>
        <v>42.267339440000001</v>
      </c>
      <c r="E5782" s="3">
        <f>VLOOKUP(A5782,airports!A:H,8,FALSE)</f>
        <v>-71.875709439999994</v>
      </c>
      <c r="F5782" s="3">
        <f>VLOOKUP(B5782,airports!A:H,7,FALSE)</f>
        <v>28.42888889</v>
      </c>
      <c r="G5782" s="3">
        <f>VLOOKUP(B5782,airports!A:H,8,FALSE)</f>
        <v>-81.316027779999999</v>
      </c>
      <c r="H5782">
        <f t="shared" si="180"/>
        <v>1758.2</v>
      </c>
      <c r="I5782">
        <f t="shared" si="181"/>
        <v>1092.5999999999999</v>
      </c>
    </row>
    <row r="5783" spans="1:9" ht="30" x14ac:dyDescent="0.25">
      <c r="A5783" s="5" t="s">
        <v>97</v>
      </c>
      <c r="B5783" s="5" t="s">
        <v>99</v>
      </c>
      <c r="C5783" s="5" t="s">
        <v>6262</v>
      </c>
      <c r="D5783" s="3">
        <f>VLOOKUP(A5783,airports!A:H,7,FALSE)</f>
        <v>42.267339440000001</v>
      </c>
      <c r="E5783" s="3">
        <f>VLOOKUP(A5783,airports!A:H,8,FALSE)</f>
        <v>-71.875709439999994</v>
      </c>
      <c r="F5783" s="3">
        <f>VLOOKUP(B5783,airports!A:H,7,FALSE)</f>
        <v>26.683161940000002</v>
      </c>
      <c r="G5783" s="3">
        <f>VLOOKUP(B5783,airports!A:H,8,FALSE)</f>
        <v>-80.095594169999998</v>
      </c>
      <c r="H5783">
        <f t="shared" si="180"/>
        <v>1887.3</v>
      </c>
      <c r="I5783">
        <f t="shared" si="181"/>
        <v>1172.8</v>
      </c>
    </row>
    <row r="5784" spans="1:9" ht="30" x14ac:dyDescent="0.25">
      <c r="A5784" s="5" t="s">
        <v>97</v>
      </c>
      <c r="B5784" s="5" t="s">
        <v>102</v>
      </c>
      <c r="C5784" s="5" t="s">
        <v>6263</v>
      </c>
      <c r="D5784" s="3">
        <f>VLOOKUP(A5784,airports!A:H,7,FALSE)</f>
        <v>42.267339440000001</v>
      </c>
      <c r="E5784" s="3">
        <f>VLOOKUP(A5784,airports!A:H,8,FALSE)</f>
        <v>-71.875709439999994</v>
      </c>
      <c r="F5784" s="3">
        <f>VLOOKUP(B5784,airports!A:H,7,FALSE)</f>
        <v>39.871952780000001</v>
      </c>
      <c r="G5784" s="3">
        <f>VLOOKUP(B5784,airports!A:H,8,FALSE)</f>
        <v>-75.241140830000006</v>
      </c>
      <c r="H5784">
        <f t="shared" si="180"/>
        <v>387.9</v>
      </c>
      <c r="I5784">
        <f t="shared" si="181"/>
        <v>241.1</v>
      </c>
    </row>
    <row r="5785" spans="1:9" ht="30" x14ac:dyDescent="0.25">
      <c r="A5785" s="5" t="s">
        <v>2454</v>
      </c>
      <c r="B5785" s="5" t="s">
        <v>47</v>
      </c>
      <c r="C5785" s="5" t="s">
        <v>6264</v>
      </c>
      <c r="D5785" s="3">
        <f>VLOOKUP(A5785,airports!A:H,7,FALSE)</f>
        <v>43.417138889999997</v>
      </c>
      <c r="E5785" s="3">
        <f>VLOOKUP(A5785,airports!A:H,8,FALSE)</f>
        <v>-124.24602779999999</v>
      </c>
      <c r="F5785" s="3">
        <f>VLOOKUP(B5785,airports!A:H,7,FALSE)</f>
        <v>39.858408060000002</v>
      </c>
      <c r="G5785" s="3">
        <f>VLOOKUP(B5785,airports!A:H,8,FALSE)</f>
        <v>-104.6670019</v>
      </c>
      <c r="H5785">
        <f t="shared" si="180"/>
        <v>1670.2</v>
      </c>
      <c r="I5785">
        <f t="shared" si="181"/>
        <v>1037.9000000000001</v>
      </c>
    </row>
    <row r="5786" spans="1:9" ht="30" x14ac:dyDescent="0.25">
      <c r="A5786" s="5" t="s">
        <v>2454</v>
      </c>
      <c r="B5786" s="5" t="s">
        <v>130</v>
      </c>
      <c r="C5786" s="5" t="s">
        <v>6265</v>
      </c>
      <c r="D5786" s="3">
        <f>VLOOKUP(A5786,airports!A:H,7,FALSE)</f>
        <v>43.417138889999997</v>
      </c>
      <c r="E5786" s="3">
        <f>VLOOKUP(A5786,airports!A:H,8,FALSE)</f>
        <v>-124.24602779999999</v>
      </c>
      <c r="F5786" s="3">
        <f>VLOOKUP(B5786,airports!A:H,7,FALSE)</f>
        <v>37.619001939999997</v>
      </c>
      <c r="G5786" s="3">
        <f>VLOOKUP(B5786,airports!A:H,8,FALSE)</f>
        <v>-122.37484329999999</v>
      </c>
      <c r="H5786">
        <f t="shared" si="180"/>
        <v>663.8</v>
      </c>
      <c r="I5786">
        <f t="shared" si="181"/>
        <v>412.5</v>
      </c>
    </row>
    <row r="5787" spans="1:9" ht="30" x14ac:dyDescent="0.25">
      <c r="A5787" s="5" t="s">
        <v>376</v>
      </c>
      <c r="B5787" s="5" t="s">
        <v>265</v>
      </c>
      <c r="C5787" s="5" t="s">
        <v>6266</v>
      </c>
      <c r="D5787" s="3">
        <f>VLOOKUP(A5787,airports!A:H,7,FALSE)</f>
        <v>66.884676940000006</v>
      </c>
      <c r="E5787" s="3">
        <f>VLOOKUP(A5787,airports!A:H,8,FALSE)</f>
        <v>-162.59854970000001</v>
      </c>
      <c r="F5787" s="3">
        <f>VLOOKUP(B5787,airports!A:H,7,FALSE)</f>
        <v>61.174320280000003</v>
      </c>
      <c r="G5787" s="3">
        <f>VLOOKUP(B5787,airports!A:H,8,FALSE)</f>
        <v>-149.99618559999999</v>
      </c>
      <c r="H5787">
        <f t="shared" si="180"/>
        <v>879.9</v>
      </c>
      <c r="I5787">
        <f t="shared" si="181"/>
        <v>546.79999999999995</v>
      </c>
    </row>
    <row r="5788" spans="1:9" ht="30" x14ac:dyDescent="0.25">
      <c r="A5788" s="5" t="s">
        <v>376</v>
      </c>
      <c r="B5788" s="5" t="s">
        <v>373</v>
      </c>
      <c r="C5788" s="5" t="s">
        <v>6267</v>
      </c>
      <c r="D5788" s="3">
        <f>VLOOKUP(A5788,airports!A:H,7,FALSE)</f>
        <v>66.884676940000006</v>
      </c>
      <c r="E5788" s="3">
        <f>VLOOKUP(A5788,airports!A:H,8,FALSE)</f>
        <v>-162.59854970000001</v>
      </c>
      <c r="F5788" s="3">
        <f>VLOOKUP(B5788,airports!A:H,7,FALSE)</f>
        <v>64.512202220000006</v>
      </c>
      <c r="G5788" s="3">
        <f>VLOOKUP(B5788,airports!A:H,8,FALSE)</f>
        <v>-165.44524580000001</v>
      </c>
      <c r="H5788">
        <f t="shared" si="180"/>
        <v>294.10000000000002</v>
      </c>
      <c r="I5788">
        <f t="shared" si="181"/>
        <v>182.8</v>
      </c>
    </row>
    <row r="5789" spans="1:9" ht="30" x14ac:dyDescent="0.25">
      <c r="A5789" s="5" t="s">
        <v>6268</v>
      </c>
      <c r="B5789" s="5" t="s">
        <v>191</v>
      </c>
      <c r="C5789" s="5" t="s">
        <v>6269</v>
      </c>
      <c r="D5789" s="3">
        <f>VLOOKUP(A5789,airports!A:H,7,FALSE)</f>
        <v>37.740100859999998</v>
      </c>
      <c r="E5789" s="3">
        <f>VLOOKUP(A5789,airports!A:H,8,FALSE)</f>
        <v>-87.166801449999994</v>
      </c>
      <c r="F5789" s="3">
        <f>VLOOKUP(B5789,airports!A:H,7,FALSE)</f>
        <v>28.7776</v>
      </c>
      <c r="G5789" s="3">
        <f>VLOOKUP(B5789,airports!A:H,8,FALSE)</f>
        <v>-81.237499999999997</v>
      </c>
      <c r="H5789">
        <f t="shared" si="180"/>
        <v>1138.3</v>
      </c>
      <c r="I5789">
        <f t="shared" si="181"/>
        <v>707.3</v>
      </c>
    </row>
    <row r="5790" spans="1:9" x14ac:dyDescent="0.25">
      <c r="A5790" s="5" t="s">
        <v>1214</v>
      </c>
      <c r="B5790" s="5" t="s">
        <v>22</v>
      </c>
      <c r="C5790" s="5" t="s">
        <v>6270</v>
      </c>
      <c r="D5790" s="3">
        <f>VLOOKUP(A5790,airports!A:H,7,FALSE)</f>
        <v>47.906300000000002</v>
      </c>
      <c r="E5790" s="3">
        <f>VLOOKUP(A5790,airports!A:H,8,FALSE)</f>
        <v>-122.281998</v>
      </c>
      <c r="F5790" s="3">
        <f>VLOOKUP(B5790,airports!A:H,7,FALSE)</f>
        <v>43.564444440000003</v>
      </c>
      <c r="G5790" s="3">
        <f>VLOOKUP(B5790,airports!A:H,8,FALSE)</f>
        <v>-116.2227778</v>
      </c>
      <c r="H5790">
        <f t="shared" si="180"/>
        <v>673.6</v>
      </c>
      <c r="I5790">
        <f t="shared" si="181"/>
        <v>418.6</v>
      </c>
    </row>
    <row r="5791" spans="1:9" ht="30" x14ac:dyDescent="0.25">
      <c r="A5791" s="5" t="s">
        <v>1214</v>
      </c>
      <c r="B5791" s="5" t="s">
        <v>47</v>
      </c>
      <c r="C5791" s="5" t="s">
        <v>6271</v>
      </c>
      <c r="D5791" s="3">
        <f>VLOOKUP(A5791,airports!A:H,7,FALSE)</f>
        <v>47.906300000000002</v>
      </c>
      <c r="E5791" s="3">
        <f>VLOOKUP(A5791,airports!A:H,8,FALSE)</f>
        <v>-122.281998</v>
      </c>
      <c r="F5791" s="3">
        <f>VLOOKUP(B5791,airports!A:H,7,FALSE)</f>
        <v>39.858408060000002</v>
      </c>
      <c r="G5791" s="3">
        <f>VLOOKUP(B5791,airports!A:H,8,FALSE)</f>
        <v>-104.6670019</v>
      </c>
      <c r="H5791">
        <f t="shared" si="180"/>
        <v>1665.5</v>
      </c>
      <c r="I5791">
        <f t="shared" si="181"/>
        <v>1035</v>
      </c>
    </row>
    <row r="5792" spans="1:9" ht="30" x14ac:dyDescent="0.25">
      <c r="A5792" s="5" t="s">
        <v>1214</v>
      </c>
      <c r="B5792" s="5" t="s">
        <v>505</v>
      </c>
      <c r="C5792" s="5" t="s">
        <v>6272</v>
      </c>
      <c r="D5792" s="3">
        <f>VLOOKUP(A5792,airports!A:H,7,FALSE)</f>
        <v>47.906300000000002</v>
      </c>
      <c r="E5792" s="3">
        <f>VLOOKUP(A5792,airports!A:H,8,FALSE)</f>
        <v>-122.281998</v>
      </c>
      <c r="F5792" s="3">
        <f>VLOOKUP(B5792,airports!A:H,7,FALSE)</f>
        <v>47.619855559999998</v>
      </c>
      <c r="G5792" s="3">
        <f>VLOOKUP(B5792,airports!A:H,8,FALSE)</f>
        <v>-117.53384250000001</v>
      </c>
      <c r="H5792">
        <f t="shared" si="180"/>
        <v>356.3</v>
      </c>
      <c r="I5792">
        <f t="shared" si="181"/>
        <v>221.4</v>
      </c>
    </row>
    <row r="5793" spans="1:9" x14ac:dyDescent="0.25">
      <c r="A5793" s="5" t="s">
        <v>1214</v>
      </c>
      <c r="B5793" s="5" t="s">
        <v>71</v>
      </c>
      <c r="C5793" s="5" t="s">
        <v>6273</v>
      </c>
      <c r="D5793" s="3">
        <f>VLOOKUP(A5793,airports!A:H,7,FALSE)</f>
        <v>47.906300000000002</v>
      </c>
      <c r="E5793" s="3">
        <f>VLOOKUP(A5793,airports!A:H,8,FALSE)</f>
        <v>-122.281998</v>
      </c>
      <c r="F5793" s="3">
        <f>VLOOKUP(B5793,airports!A:H,7,FALSE)</f>
        <v>36.080361109999998</v>
      </c>
      <c r="G5793" s="3">
        <f>VLOOKUP(B5793,airports!A:H,8,FALSE)</f>
        <v>-115.1523333</v>
      </c>
      <c r="H5793">
        <f t="shared" si="180"/>
        <v>1439.4</v>
      </c>
      <c r="I5793">
        <f t="shared" si="181"/>
        <v>894.5</v>
      </c>
    </row>
    <row r="5794" spans="1:9" ht="30" x14ac:dyDescent="0.25">
      <c r="A5794" s="5" t="s">
        <v>1214</v>
      </c>
      <c r="B5794" s="5" t="s">
        <v>73</v>
      </c>
      <c r="C5794" s="5" t="s">
        <v>6274</v>
      </c>
      <c r="D5794" s="3">
        <f>VLOOKUP(A5794,airports!A:H,7,FALSE)</f>
        <v>47.906300000000002</v>
      </c>
      <c r="E5794" s="3">
        <f>VLOOKUP(A5794,airports!A:H,8,FALSE)</f>
        <v>-122.281998</v>
      </c>
      <c r="F5794" s="3">
        <f>VLOOKUP(B5794,airports!A:H,7,FALSE)</f>
        <v>33.942536109999999</v>
      </c>
      <c r="G5794" s="3">
        <f>VLOOKUP(B5794,airports!A:H,8,FALSE)</f>
        <v>-118.4080744</v>
      </c>
      <c r="H5794">
        <f t="shared" si="180"/>
        <v>1585.9</v>
      </c>
      <c r="I5794">
        <f t="shared" si="181"/>
        <v>985.5</v>
      </c>
    </row>
    <row r="5795" spans="1:9" ht="30" x14ac:dyDescent="0.25">
      <c r="A5795" s="5" t="s">
        <v>1214</v>
      </c>
      <c r="B5795" s="5" t="s">
        <v>100</v>
      </c>
      <c r="C5795" s="5" t="s">
        <v>6275</v>
      </c>
      <c r="D5795" s="3">
        <f>VLOOKUP(A5795,airports!A:H,7,FALSE)</f>
        <v>47.906300000000002</v>
      </c>
      <c r="E5795" s="3">
        <f>VLOOKUP(A5795,airports!A:H,8,FALSE)</f>
        <v>-122.281998</v>
      </c>
      <c r="F5795" s="3">
        <f>VLOOKUP(B5795,airports!A:H,7,FALSE)</f>
        <v>45.588722220000001</v>
      </c>
      <c r="G5795" s="3">
        <f>VLOOKUP(B5795,airports!A:H,8,FALSE)</f>
        <v>-122.5975</v>
      </c>
      <c r="H5795">
        <f t="shared" si="180"/>
        <v>258.8</v>
      </c>
      <c r="I5795">
        <f t="shared" si="181"/>
        <v>160.80000000000001</v>
      </c>
    </row>
    <row r="5796" spans="1:9" ht="30" x14ac:dyDescent="0.25">
      <c r="A5796" s="5" t="s">
        <v>1214</v>
      </c>
      <c r="B5796" s="5" t="s">
        <v>104</v>
      </c>
      <c r="C5796" s="5" t="s">
        <v>6276</v>
      </c>
      <c r="D5796" s="3">
        <f>VLOOKUP(A5796,airports!A:H,7,FALSE)</f>
        <v>47.906300000000002</v>
      </c>
      <c r="E5796" s="3">
        <f>VLOOKUP(A5796,airports!A:H,8,FALSE)</f>
        <v>-122.281998</v>
      </c>
      <c r="F5796" s="3">
        <f>VLOOKUP(B5796,airports!A:H,7,FALSE)</f>
        <v>33.434166670000003</v>
      </c>
      <c r="G5796" s="3">
        <f>VLOOKUP(B5796,airports!A:H,8,FALSE)</f>
        <v>-112.00805560000001</v>
      </c>
      <c r="H5796">
        <f t="shared" si="180"/>
        <v>1823.9</v>
      </c>
      <c r="I5796">
        <f t="shared" si="181"/>
        <v>1133.4000000000001</v>
      </c>
    </row>
    <row r="5797" spans="1:9" ht="30" x14ac:dyDescent="0.25">
      <c r="A5797" s="5" t="s">
        <v>1214</v>
      </c>
      <c r="B5797" s="5" t="s">
        <v>111</v>
      </c>
      <c r="C5797" s="5" t="s">
        <v>6277</v>
      </c>
      <c r="D5797" s="3">
        <f>VLOOKUP(A5797,airports!A:H,7,FALSE)</f>
        <v>47.906300000000002</v>
      </c>
      <c r="E5797" s="3">
        <f>VLOOKUP(A5797,airports!A:H,8,FALSE)</f>
        <v>-122.281998</v>
      </c>
      <c r="F5797" s="3">
        <f>VLOOKUP(B5797,airports!A:H,7,FALSE)</f>
        <v>33.829215560000002</v>
      </c>
      <c r="G5797" s="3">
        <f>VLOOKUP(B5797,airports!A:H,8,FALSE)</f>
        <v>-116.5062531</v>
      </c>
      <c r="H5797">
        <f t="shared" si="180"/>
        <v>1637.7</v>
      </c>
      <c r="I5797">
        <f t="shared" si="181"/>
        <v>1017.7</v>
      </c>
    </row>
    <row r="5798" spans="1:9" ht="30" x14ac:dyDescent="0.25">
      <c r="A5798" s="5" t="s">
        <v>1214</v>
      </c>
      <c r="B5798" s="5" t="s">
        <v>124</v>
      </c>
      <c r="C5798" s="5" t="s">
        <v>6278</v>
      </c>
      <c r="D5798" s="3">
        <f>VLOOKUP(A5798,airports!A:H,7,FALSE)</f>
        <v>47.906300000000002</v>
      </c>
      <c r="E5798" s="3">
        <f>VLOOKUP(A5798,airports!A:H,8,FALSE)</f>
        <v>-122.281998</v>
      </c>
      <c r="F5798" s="3">
        <f>VLOOKUP(B5798,airports!A:H,7,FALSE)</f>
        <v>32.733556110000002</v>
      </c>
      <c r="G5798" s="3">
        <f>VLOOKUP(B5798,airports!A:H,8,FALSE)</f>
        <v>-117.1896567</v>
      </c>
      <c r="H5798">
        <f t="shared" si="180"/>
        <v>1740.5</v>
      </c>
      <c r="I5798">
        <f t="shared" si="181"/>
        <v>1081.5999999999999</v>
      </c>
    </row>
    <row r="5799" spans="1:9" ht="30" x14ac:dyDescent="0.25">
      <c r="A5799" s="5" t="s">
        <v>1214</v>
      </c>
      <c r="B5799" s="5" t="s">
        <v>130</v>
      </c>
      <c r="C5799" s="5" t="s">
        <v>6279</v>
      </c>
      <c r="D5799" s="3">
        <f>VLOOKUP(A5799,airports!A:H,7,FALSE)</f>
        <v>47.906300000000002</v>
      </c>
      <c r="E5799" s="3">
        <f>VLOOKUP(A5799,airports!A:H,8,FALSE)</f>
        <v>-122.281998</v>
      </c>
      <c r="F5799" s="3">
        <f>VLOOKUP(B5799,airports!A:H,7,FALSE)</f>
        <v>37.619001939999997</v>
      </c>
      <c r="G5799" s="3">
        <f>VLOOKUP(B5799,airports!A:H,8,FALSE)</f>
        <v>-122.37484329999999</v>
      </c>
      <c r="H5799">
        <f t="shared" si="180"/>
        <v>1143.9000000000001</v>
      </c>
      <c r="I5799">
        <f t="shared" si="181"/>
        <v>710.8</v>
      </c>
    </row>
    <row r="5800" spans="1:9" x14ac:dyDescent="0.25">
      <c r="A5800" s="5" t="s">
        <v>1214</v>
      </c>
      <c r="B5800" s="5" t="s">
        <v>131</v>
      </c>
      <c r="C5800" s="5" t="s">
        <v>6280</v>
      </c>
      <c r="D5800" s="3">
        <f>VLOOKUP(A5800,airports!A:H,7,FALSE)</f>
        <v>47.906300000000002</v>
      </c>
      <c r="E5800" s="3">
        <f>VLOOKUP(A5800,airports!A:H,8,FALSE)</f>
        <v>-122.281998</v>
      </c>
      <c r="F5800" s="3">
        <f>VLOOKUP(B5800,airports!A:H,7,FALSE)</f>
        <v>37.361861939999997</v>
      </c>
      <c r="G5800" s="3">
        <f>VLOOKUP(B5800,airports!A:H,8,FALSE)</f>
        <v>-121.9290089</v>
      </c>
      <c r="H5800">
        <f t="shared" si="180"/>
        <v>1172.8</v>
      </c>
      <c r="I5800">
        <f t="shared" si="181"/>
        <v>728.8</v>
      </c>
    </row>
    <row r="5801" spans="1:9" ht="30" x14ac:dyDescent="0.25">
      <c r="A5801" s="5" t="s">
        <v>1214</v>
      </c>
      <c r="B5801" s="5" t="s">
        <v>227</v>
      </c>
      <c r="C5801" s="5" t="s">
        <v>6281</v>
      </c>
      <c r="D5801" s="3">
        <f>VLOOKUP(A5801,airports!A:H,7,FALSE)</f>
        <v>47.906300000000002</v>
      </c>
      <c r="E5801" s="3">
        <f>VLOOKUP(A5801,airports!A:H,8,FALSE)</f>
        <v>-122.281998</v>
      </c>
      <c r="F5801" s="3">
        <f>VLOOKUP(B5801,airports!A:H,7,FALSE)</f>
        <v>33.675658609999999</v>
      </c>
      <c r="G5801" s="3">
        <f>VLOOKUP(B5801,airports!A:H,8,FALSE)</f>
        <v>-117.8682225</v>
      </c>
      <c r="H5801">
        <f t="shared" si="180"/>
        <v>1624.7</v>
      </c>
      <c r="I5801">
        <f t="shared" si="181"/>
        <v>1009.6</v>
      </c>
    </row>
    <row r="5802" spans="1:9" ht="30" x14ac:dyDescent="0.25">
      <c r="A5802" s="5" t="s">
        <v>1214</v>
      </c>
      <c r="B5802" s="5" t="s">
        <v>660</v>
      </c>
      <c r="C5802" s="5" t="s">
        <v>6282</v>
      </c>
      <c r="D5802" s="3">
        <f>VLOOKUP(A5802,airports!A:H,7,FALSE)</f>
        <v>47.906300000000002</v>
      </c>
      <c r="E5802" s="3">
        <f>VLOOKUP(A5802,airports!A:H,8,FALSE)</f>
        <v>-122.281998</v>
      </c>
      <c r="F5802" s="3">
        <f>VLOOKUP(B5802,airports!A:H,7,FALSE)</f>
        <v>32.116083330000002</v>
      </c>
      <c r="G5802" s="3">
        <f>VLOOKUP(B5802,airports!A:H,8,FALSE)</f>
        <v>-110.9410278</v>
      </c>
      <c r="H5802">
        <f t="shared" si="180"/>
        <v>1999</v>
      </c>
      <c r="I5802">
        <f t="shared" si="181"/>
        <v>1242.2</v>
      </c>
    </row>
    <row r="5803" spans="1:9" ht="30" x14ac:dyDescent="0.25">
      <c r="A5803" s="5" t="s">
        <v>1566</v>
      </c>
      <c r="B5803" s="5" t="s">
        <v>1561</v>
      </c>
      <c r="C5803" s="5" t="s">
        <v>6283</v>
      </c>
      <c r="D5803" s="3">
        <f>VLOOKUP(A5803,airports!A:H,7,FALSE)</f>
        <v>37.060833330000001</v>
      </c>
      <c r="E5803" s="3">
        <f>VLOOKUP(A5803,airports!A:H,8,FALSE)</f>
        <v>-88.773750000000007</v>
      </c>
      <c r="F5803" s="3">
        <f>VLOOKUP(B5803,airports!A:H,7,FALSE)</f>
        <v>37.225299999999997</v>
      </c>
      <c r="G5803" s="3">
        <f>VLOOKUP(B5803,airports!A:H,8,FALSE)</f>
        <v>-89.570801000000003</v>
      </c>
      <c r="H5803">
        <f t="shared" si="180"/>
        <v>73</v>
      </c>
      <c r="I5803">
        <f t="shared" si="181"/>
        <v>45.3</v>
      </c>
    </row>
    <row r="5804" spans="1:9" ht="30" x14ac:dyDescent="0.25">
      <c r="A5804" s="5" t="s">
        <v>1566</v>
      </c>
      <c r="B5804" s="5" t="s">
        <v>95</v>
      </c>
      <c r="C5804" s="5" t="s">
        <v>6284</v>
      </c>
      <c r="D5804" s="3">
        <f>VLOOKUP(A5804,airports!A:H,7,FALSE)</f>
        <v>37.060833330000001</v>
      </c>
      <c r="E5804" s="3">
        <f>VLOOKUP(A5804,airports!A:H,8,FALSE)</f>
        <v>-88.773750000000007</v>
      </c>
      <c r="F5804" s="3">
        <f>VLOOKUP(B5804,airports!A:H,7,FALSE)</f>
        <v>41.979595000000003</v>
      </c>
      <c r="G5804" s="3">
        <f>VLOOKUP(B5804,airports!A:H,8,FALSE)</f>
        <v>-87.904464169999997</v>
      </c>
      <c r="H5804">
        <f t="shared" si="180"/>
        <v>552</v>
      </c>
      <c r="I5804">
        <f t="shared" si="181"/>
        <v>343</v>
      </c>
    </row>
    <row r="5805" spans="1:9" x14ac:dyDescent="0.25">
      <c r="A5805" s="5" t="s">
        <v>3316</v>
      </c>
      <c r="B5805" s="5" t="s">
        <v>57</v>
      </c>
      <c r="C5805" s="5" t="s">
        <v>6285</v>
      </c>
      <c r="D5805" s="3">
        <f>VLOOKUP(A5805,airports!A:H,7,FALSE)</f>
        <v>44.650901794433501</v>
      </c>
      <c r="E5805" s="3">
        <f>VLOOKUP(A5805,airports!A:H,8,FALSE)</f>
        <v>-73.468101501464801</v>
      </c>
      <c r="F5805" s="3">
        <f>VLOOKUP(B5805,airports!A:H,7,FALSE)</f>
        <v>26.072583330000001</v>
      </c>
      <c r="G5805" s="3">
        <f>VLOOKUP(B5805,airports!A:H,8,FALSE)</f>
        <v>-80.152749999999997</v>
      </c>
      <c r="H5805">
        <f t="shared" si="180"/>
        <v>2151</v>
      </c>
      <c r="I5805">
        <f t="shared" si="181"/>
        <v>1336.6</v>
      </c>
    </row>
    <row r="5806" spans="1:9" ht="30" x14ac:dyDescent="0.25">
      <c r="A5806" s="5" t="s">
        <v>3316</v>
      </c>
      <c r="B5806" s="5" t="s">
        <v>176</v>
      </c>
      <c r="C5806" s="5" t="s">
        <v>6286</v>
      </c>
      <c r="D5806" s="3">
        <f>VLOOKUP(A5806,airports!A:H,7,FALSE)</f>
        <v>44.650901794433501</v>
      </c>
      <c r="E5806" s="3">
        <f>VLOOKUP(A5806,airports!A:H,8,FALSE)</f>
        <v>-73.468101501464801</v>
      </c>
      <c r="F5806" s="3">
        <f>VLOOKUP(B5806,airports!A:H,7,FALSE)</f>
        <v>38.944531939999997</v>
      </c>
      <c r="G5806" s="3">
        <f>VLOOKUP(B5806,airports!A:H,8,FALSE)</f>
        <v>-77.455809720000005</v>
      </c>
      <c r="H5806">
        <f t="shared" si="180"/>
        <v>715.2</v>
      </c>
      <c r="I5806">
        <f t="shared" si="181"/>
        <v>444.5</v>
      </c>
    </row>
    <row r="5807" spans="1:9" ht="30" x14ac:dyDescent="0.25">
      <c r="A5807" s="5" t="s">
        <v>3316</v>
      </c>
      <c r="B5807" s="5" t="s">
        <v>2988</v>
      </c>
      <c r="C5807" s="5" t="s">
        <v>6287</v>
      </c>
      <c r="D5807" s="3">
        <f>VLOOKUP(A5807,airports!A:H,7,FALSE)</f>
        <v>44.650901794433501</v>
      </c>
      <c r="E5807" s="3">
        <f>VLOOKUP(A5807,airports!A:H,8,FALSE)</f>
        <v>-73.468101501464801</v>
      </c>
      <c r="F5807" s="3">
        <f>VLOOKUP(B5807,airports!A:H,7,FALSE)</f>
        <v>43.107300000000002</v>
      </c>
      <c r="G5807" s="3">
        <f>VLOOKUP(B5807,airports!A:H,8,FALSE)</f>
        <v>-78.946197999999995</v>
      </c>
      <c r="H5807">
        <f t="shared" si="180"/>
        <v>471.3</v>
      </c>
      <c r="I5807">
        <f t="shared" si="181"/>
        <v>292.89999999999998</v>
      </c>
    </row>
    <row r="5808" spans="1:9" ht="30" x14ac:dyDescent="0.25">
      <c r="A5808" s="5" t="s">
        <v>3316</v>
      </c>
      <c r="B5808" s="5" t="s">
        <v>182</v>
      </c>
      <c r="C5808" s="5" t="s">
        <v>6288</v>
      </c>
      <c r="D5808" s="3">
        <f>VLOOKUP(A5808,airports!A:H,7,FALSE)</f>
        <v>44.650901794433501</v>
      </c>
      <c r="E5808" s="3">
        <f>VLOOKUP(A5808,airports!A:H,8,FALSE)</f>
        <v>-73.468101501464801</v>
      </c>
      <c r="F5808" s="3">
        <f>VLOOKUP(B5808,airports!A:H,7,FALSE)</f>
        <v>33.679749999999999</v>
      </c>
      <c r="G5808" s="3">
        <f>VLOOKUP(B5808,airports!A:H,8,FALSE)</f>
        <v>-78.928333330000001</v>
      </c>
      <c r="H5808">
        <f t="shared" si="180"/>
        <v>1306.8</v>
      </c>
      <c r="I5808">
        <f t="shared" si="181"/>
        <v>812.1</v>
      </c>
    </row>
    <row r="5809" spans="1:9" ht="30" x14ac:dyDescent="0.25">
      <c r="A5809" s="5" t="s">
        <v>3316</v>
      </c>
      <c r="B5809" s="5" t="s">
        <v>3889</v>
      </c>
      <c r="C5809" s="5" t="s">
        <v>6289</v>
      </c>
      <c r="D5809" s="3">
        <f>VLOOKUP(A5809,airports!A:H,7,FALSE)</f>
        <v>44.650901794433501</v>
      </c>
      <c r="E5809" s="3">
        <f>VLOOKUP(A5809,airports!A:H,8,FALSE)</f>
        <v>-73.468101501464801</v>
      </c>
      <c r="F5809" s="3">
        <f>VLOOKUP(B5809,airports!A:H,7,FALSE)</f>
        <v>44.681899999999999</v>
      </c>
      <c r="G5809" s="3">
        <f>VLOOKUP(B5809,airports!A:H,8,FALSE)</f>
        <v>-75.465500000000006</v>
      </c>
      <c r="H5809">
        <f t="shared" si="180"/>
        <v>158</v>
      </c>
      <c r="I5809">
        <f t="shared" si="181"/>
        <v>98.2</v>
      </c>
    </row>
    <row r="5810" spans="1:9" ht="30" x14ac:dyDescent="0.25">
      <c r="A5810" s="5" t="s">
        <v>3316</v>
      </c>
      <c r="B5810" s="5" t="s">
        <v>185</v>
      </c>
      <c r="C5810" s="5" t="s">
        <v>6290</v>
      </c>
      <c r="D5810" s="3">
        <f>VLOOKUP(A5810,airports!A:H,7,FALSE)</f>
        <v>44.650901794433501</v>
      </c>
      <c r="E5810" s="3">
        <f>VLOOKUP(A5810,airports!A:H,8,FALSE)</f>
        <v>-73.468101501464801</v>
      </c>
      <c r="F5810" s="3">
        <f>VLOOKUP(B5810,airports!A:H,7,FALSE)</f>
        <v>26.919699999999999</v>
      </c>
      <c r="G5810" s="3">
        <f>VLOOKUP(B5810,airports!A:H,8,FALSE)</f>
        <v>-81.995999999999995</v>
      </c>
      <c r="H5810">
        <f t="shared" si="180"/>
        <v>2113.4</v>
      </c>
      <c r="I5810">
        <f t="shared" si="181"/>
        <v>1313.3</v>
      </c>
    </row>
    <row r="5811" spans="1:9" x14ac:dyDescent="0.25">
      <c r="A5811" s="5" t="s">
        <v>3316</v>
      </c>
      <c r="B5811" s="5" t="s">
        <v>188</v>
      </c>
      <c r="C5811" s="5" t="s">
        <v>6291</v>
      </c>
      <c r="D5811" s="3">
        <f>VLOOKUP(A5811,airports!A:H,7,FALSE)</f>
        <v>44.650901794433501</v>
      </c>
      <c r="E5811" s="3">
        <f>VLOOKUP(A5811,airports!A:H,8,FALSE)</f>
        <v>-73.468101501464801</v>
      </c>
      <c r="F5811" s="3">
        <f>VLOOKUP(B5811,airports!A:H,7,FALSE)</f>
        <v>27.910763330000002</v>
      </c>
      <c r="G5811" s="3">
        <f>VLOOKUP(B5811,airports!A:H,8,FALSE)</f>
        <v>-82.687439440000006</v>
      </c>
      <c r="H5811">
        <f t="shared" si="180"/>
        <v>2033.4</v>
      </c>
      <c r="I5811">
        <f t="shared" si="181"/>
        <v>1263.5</v>
      </c>
    </row>
    <row r="5812" spans="1:9" ht="30" x14ac:dyDescent="0.25">
      <c r="A5812" s="5" t="s">
        <v>3316</v>
      </c>
      <c r="B5812" s="5" t="s">
        <v>191</v>
      </c>
      <c r="C5812" s="5" t="s">
        <v>6292</v>
      </c>
      <c r="D5812" s="3">
        <f>VLOOKUP(A5812,airports!A:H,7,FALSE)</f>
        <v>44.650901794433501</v>
      </c>
      <c r="E5812" s="3">
        <f>VLOOKUP(A5812,airports!A:H,8,FALSE)</f>
        <v>-73.468101501464801</v>
      </c>
      <c r="F5812" s="3">
        <f>VLOOKUP(B5812,airports!A:H,7,FALSE)</f>
        <v>28.7776</v>
      </c>
      <c r="G5812" s="3">
        <f>VLOOKUP(B5812,airports!A:H,8,FALSE)</f>
        <v>-81.237499999999997</v>
      </c>
      <c r="H5812">
        <f t="shared" si="180"/>
        <v>1893.8</v>
      </c>
      <c r="I5812">
        <f t="shared" si="181"/>
        <v>1176.8</v>
      </c>
    </row>
    <row r="5813" spans="1:9" x14ac:dyDescent="0.25">
      <c r="A5813" s="5" t="s">
        <v>99</v>
      </c>
      <c r="B5813" s="5" t="s">
        <v>252</v>
      </c>
      <c r="C5813" s="5" t="s">
        <v>6293</v>
      </c>
      <c r="D5813" s="3">
        <f>VLOOKUP(A5813,airports!A:H,7,FALSE)</f>
        <v>26.683161940000002</v>
      </c>
      <c r="E5813" s="3">
        <f>VLOOKUP(A5813,airports!A:H,8,FALSE)</f>
        <v>-80.095594169999998</v>
      </c>
      <c r="F5813" s="3">
        <f>VLOOKUP(B5813,airports!A:H,7,FALSE)</f>
        <v>39.457583329999999</v>
      </c>
      <c r="G5813" s="3">
        <f>VLOOKUP(B5813,airports!A:H,8,FALSE)</f>
        <v>-74.577166669999997</v>
      </c>
      <c r="H5813">
        <f t="shared" si="180"/>
        <v>1509.8</v>
      </c>
      <c r="I5813">
        <f t="shared" si="181"/>
        <v>938.2</v>
      </c>
    </row>
    <row r="5814" spans="1:9" x14ac:dyDescent="0.25">
      <c r="A5814" s="5" t="s">
        <v>99</v>
      </c>
      <c r="B5814" s="5" t="s">
        <v>10</v>
      </c>
      <c r="C5814" s="5" t="s">
        <v>6294</v>
      </c>
      <c r="D5814" s="3">
        <f>VLOOKUP(A5814,airports!A:H,7,FALSE)</f>
        <v>26.683161940000002</v>
      </c>
      <c r="E5814" s="3">
        <f>VLOOKUP(A5814,airports!A:H,8,FALSE)</f>
        <v>-80.095594169999998</v>
      </c>
      <c r="F5814" s="3">
        <f>VLOOKUP(B5814,airports!A:H,7,FALSE)</f>
        <v>33.640444440000003</v>
      </c>
      <c r="G5814" s="3">
        <f>VLOOKUP(B5814,airports!A:H,8,FALSE)</f>
        <v>-84.42694444</v>
      </c>
      <c r="H5814">
        <f t="shared" si="180"/>
        <v>878.3</v>
      </c>
      <c r="I5814">
        <f t="shared" si="181"/>
        <v>545.79999999999995</v>
      </c>
    </row>
    <row r="5815" spans="1:9" x14ac:dyDescent="0.25">
      <c r="A5815" s="5" t="s">
        <v>99</v>
      </c>
      <c r="B5815" s="5" t="s">
        <v>13</v>
      </c>
      <c r="C5815" s="5" t="s">
        <v>6295</v>
      </c>
      <c r="D5815" s="3">
        <f>VLOOKUP(A5815,airports!A:H,7,FALSE)</f>
        <v>26.683161940000002</v>
      </c>
      <c r="E5815" s="3">
        <f>VLOOKUP(A5815,airports!A:H,8,FALSE)</f>
        <v>-80.095594169999998</v>
      </c>
      <c r="F5815" s="3">
        <f>VLOOKUP(B5815,airports!A:H,7,FALSE)</f>
        <v>30.194532779999999</v>
      </c>
      <c r="G5815" s="3">
        <f>VLOOKUP(B5815,airports!A:H,8,FALSE)</f>
        <v>-97.669871939999993</v>
      </c>
      <c r="H5815">
        <f t="shared" si="180"/>
        <v>1760.2</v>
      </c>
      <c r="I5815">
        <f t="shared" si="181"/>
        <v>1093.8</v>
      </c>
    </row>
    <row r="5816" spans="1:9" x14ac:dyDescent="0.25">
      <c r="A5816" s="5" t="s">
        <v>99</v>
      </c>
      <c r="B5816" s="5" t="s">
        <v>419</v>
      </c>
      <c r="C5816" s="5" t="s">
        <v>6296</v>
      </c>
      <c r="D5816" s="3">
        <f>VLOOKUP(A5816,airports!A:H,7,FALSE)</f>
        <v>26.683161940000002</v>
      </c>
      <c r="E5816" s="3">
        <f>VLOOKUP(A5816,airports!A:H,8,FALSE)</f>
        <v>-80.095594169999998</v>
      </c>
      <c r="F5816" s="3">
        <f>VLOOKUP(B5816,airports!A:H,7,FALSE)</f>
        <v>35.436194440000001</v>
      </c>
      <c r="G5816" s="3">
        <f>VLOOKUP(B5816,airports!A:H,8,FALSE)</f>
        <v>-82.54180556</v>
      </c>
      <c r="H5816">
        <f t="shared" si="180"/>
        <v>1000.7</v>
      </c>
      <c r="I5816">
        <f t="shared" si="181"/>
        <v>621.79999999999995</v>
      </c>
    </row>
    <row r="5817" spans="1:9" x14ac:dyDescent="0.25">
      <c r="A5817" s="5" t="s">
        <v>99</v>
      </c>
      <c r="B5817" s="5" t="s">
        <v>16</v>
      </c>
      <c r="C5817" s="5" t="s">
        <v>6297</v>
      </c>
      <c r="D5817" s="3">
        <f>VLOOKUP(A5817,airports!A:H,7,FALSE)</f>
        <v>26.683161940000002</v>
      </c>
      <c r="E5817" s="3">
        <f>VLOOKUP(A5817,airports!A:H,8,FALSE)</f>
        <v>-80.095594169999998</v>
      </c>
      <c r="F5817" s="3">
        <f>VLOOKUP(B5817,airports!A:H,7,FALSE)</f>
        <v>41.938874169999998</v>
      </c>
      <c r="G5817" s="3">
        <f>VLOOKUP(B5817,airports!A:H,8,FALSE)</f>
        <v>-72.683228330000006</v>
      </c>
      <c r="H5817">
        <f t="shared" si="180"/>
        <v>1826</v>
      </c>
      <c r="I5817">
        <f t="shared" si="181"/>
        <v>1134.7</v>
      </c>
    </row>
    <row r="5818" spans="1:9" ht="30" x14ac:dyDescent="0.25">
      <c r="A5818" s="5" t="s">
        <v>99</v>
      </c>
      <c r="B5818" s="5" t="s">
        <v>19</v>
      </c>
      <c r="C5818" s="5" t="s">
        <v>6298</v>
      </c>
      <c r="D5818" s="3">
        <f>VLOOKUP(A5818,airports!A:H,7,FALSE)</f>
        <v>26.683161940000002</v>
      </c>
      <c r="E5818" s="3">
        <f>VLOOKUP(A5818,airports!A:H,8,FALSE)</f>
        <v>-80.095594169999998</v>
      </c>
      <c r="F5818" s="3">
        <f>VLOOKUP(B5818,airports!A:H,7,FALSE)</f>
        <v>36.12447667</v>
      </c>
      <c r="G5818" s="3">
        <f>VLOOKUP(B5818,airports!A:H,8,FALSE)</f>
        <v>-86.678182219999997</v>
      </c>
      <c r="H5818">
        <f t="shared" si="180"/>
        <v>1220.8</v>
      </c>
      <c r="I5818">
        <f t="shared" si="181"/>
        <v>758.6</v>
      </c>
    </row>
    <row r="5819" spans="1:9" x14ac:dyDescent="0.25">
      <c r="A5819" s="5" t="s">
        <v>99</v>
      </c>
      <c r="B5819" s="5" t="s">
        <v>24</v>
      </c>
      <c r="C5819" s="5" t="s">
        <v>6299</v>
      </c>
      <c r="D5819" s="3">
        <f>VLOOKUP(A5819,airports!A:H,7,FALSE)</f>
        <v>26.683161940000002</v>
      </c>
      <c r="E5819" s="3">
        <f>VLOOKUP(A5819,airports!A:H,8,FALSE)</f>
        <v>-80.095594169999998</v>
      </c>
      <c r="F5819" s="3">
        <f>VLOOKUP(B5819,airports!A:H,7,FALSE)</f>
        <v>42.364347500000001</v>
      </c>
      <c r="G5819" s="3">
        <f>VLOOKUP(B5819,airports!A:H,8,FALSE)</f>
        <v>-71.005179170000005</v>
      </c>
      <c r="H5819">
        <f t="shared" si="180"/>
        <v>1929.5</v>
      </c>
      <c r="I5819">
        <f t="shared" si="181"/>
        <v>1199</v>
      </c>
    </row>
    <row r="5820" spans="1:9" x14ac:dyDescent="0.25">
      <c r="A5820" s="5" t="s">
        <v>99</v>
      </c>
      <c r="B5820" s="5" t="s">
        <v>32</v>
      </c>
      <c r="C5820" s="5" t="s">
        <v>6300</v>
      </c>
      <c r="D5820" s="3">
        <f>VLOOKUP(A5820,airports!A:H,7,FALSE)</f>
        <v>26.683161940000002</v>
      </c>
      <c r="E5820" s="3">
        <f>VLOOKUP(A5820,airports!A:H,8,FALSE)</f>
        <v>-80.095594169999998</v>
      </c>
      <c r="F5820" s="3">
        <f>VLOOKUP(B5820,airports!A:H,7,FALSE)</f>
        <v>39.175401669999999</v>
      </c>
      <c r="G5820" s="3">
        <f>VLOOKUP(B5820,airports!A:H,8,FALSE)</f>
        <v>-76.668198329999996</v>
      </c>
      <c r="H5820">
        <f t="shared" si="180"/>
        <v>1425.1</v>
      </c>
      <c r="I5820">
        <f t="shared" si="181"/>
        <v>885.6</v>
      </c>
    </row>
    <row r="5821" spans="1:9" x14ac:dyDescent="0.25">
      <c r="A5821" s="5" t="s">
        <v>99</v>
      </c>
      <c r="B5821" s="5" t="s">
        <v>38</v>
      </c>
      <c r="C5821" s="5" t="s">
        <v>6301</v>
      </c>
      <c r="D5821" s="3">
        <f>VLOOKUP(A5821,airports!A:H,7,FALSE)</f>
        <v>26.683161940000002</v>
      </c>
      <c r="E5821" s="3">
        <f>VLOOKUP(A5821,airports!A:H,8,FALSE)</f>
        <v>-80.095594169999998</v>
      </c>
      <c r="F5821" s="3">
        <f>VLOOKUP(B5821,airports!A:H,7,FALSE)</f>
        <v>41.410894169999999</v>
      </c>
      <c r="G5821" s="3">
        <f>VLOOKUP(B5821,airports!A:H,8,FALSE)</f>
        <v>-81.849396670000004</v>
      </c>
      <c r="H5821">
        <f t="shared" si="180"/>
        <v>1645.5</v>
      </c>
      <c r="I5821">
        <f t="shared" si="181"/>
        <v>1022.5</v>
      </c>
    </row>
    <row r="5822" spans="1:9" x14ac:dyDescent="0.25">
      <c r="A5822" s="5" t="s">
        <v>99</v>
      </c>
      <c r="B5822" s="5" t="s">
        <v>40</v>
      </c>
      <c r="C5822" s="5" t="s">
        <v>6302</v>
      </c>
      <c r="D5822" s="3">
        <f>VLOOKUP(A5822,airports!A:H,7,FALSE)</f>
        <v>26.683161940000002</v>
      </c>
      <c r="E5822" s="3">
        <f>VLOOKUP(A5822,airports!A:H,8,FALSE)</f>
        <v>-80.095594169999998</v>
      </c>
      <c r="F5822" s="3">
        <f>VLOOKUP(B5822,airports!A:H,7,FALSE)</f>
        <v>35.214011110000001</v>
      </c>
      <c r="G5822" s="3">
        <f>VLOOKUP(B5822,airports!A:H,8,FALSE)</f>
        <v>-80.94312583</v>
      </c>
      <c r="H5822">
        <f t="shared" si="180"/>
        <v>952</v>
      </c>
      <c r="I5822">
        <f t="shared" si="181"/>
        <v>591.6</v>
      </c>
    </row>
    <row r="5823" spans="1:9" ht="30" x14ac:dyDescent="0.25">
      <c r="A5823" s="5" t="s">
        <v>99</v>
      </c>
      <c r="B5823" s="5" t="s">
        <v>454</v>
      </c>
      <c r="C5823" s="5" t="s">
        <v>6303</v>
      </c>
      <c r="D5823" s="3">
        <f>VLOOKUP(A5823,airports!A:H,7,FALSE)</f>
        <v>26.683161940000002</v>
      </c>
      <c r="E5823" s="3">
        <f>VLOOKUP(A5823,airports!A:H,8,FALSE)</f>
        <v>-80.095594169999998</v>
      </c>
      <c r="F5823" s="3">
        <f>VLOOKUP(B5823,airports!A:H,7,FALSE)</f>
        <v>39.997985280000002</v>
      </c>
      <c r="G5823" s="3">
        <f>VLOOKUP(B5823,airports!A:H,8,FALSE)</f>
        <v>-82.891882780000003</v>
      </c>
      <c r="H5823">
        <f t="shared" si="180"/>
        <v>1502.9</v>
      </c>
      <c r="I5823">
        <f t="shared" si="181"/>
        <v>933.9</v>
      </c>
    </row>
    <row r="5824" spans="1:9" x14ac:dyDescent="0.25">
      <c r="A5824" s="5" t="s">
        <v>99</v>
      </c>
      <c r="B5824" s="5" t="s">
        <v>462</v>
      </c>
      <c r="C5824" s="5" t="s">
        <v>6304</v>
      </c>
      <c r="D5824" s="3">
        <f>VLOOKUP(A5824,airports!A:H,7,FALSE)</f>
        <v>26.683161940000002</v>
      </c>
      <c r="E5824" s="3">
        <f>VLOOKUP(A5824,airports!A:H,8,FALSE)</f>
        <v>-80.095594169999998</v>
      </c>
      <c r="F5824" s="3">
        <f>VLOOKUP(B5824,airports!A:H,7,FALSE)</f>
        <v>39.046142779999997</v>
      </c>
      <c r="G5824" s="3">
        <f>VLOOKUP(B5824,airports!A:H,8,FALSE)</f>
        <v>-84.662172499999997</v>
      </c>
      <c r="H5824">
        <f t="shared" si="180"/>
        <v>1438.8</v>
      </c>
      <c r="I5824">
        <f t="shared" si="181"/>
        <v>894.1</v>
      </c>
    </row>
    <row r="5825" spans="1:9" x14ac:dyDescent="0.25">
      <c r="A5825" s="5" t="s">
        <v>99</v>
      </c>
      <c r="B5825" s="5" t="s">
        <v>201</v>
      </c>
      <c r="C5825" s="5" t="s">
        <v>6305</v>
      </c>
      <c r="D5825" s="3">
        <f>VLOOKUP(A5825,airports!A:H,7,FALSE)</f>
        <v>26.683161940000002</v>
      </c>
      <c r="E5825" s="3">
        <f>VLOOKUP(A5825,airports!A:H,8,FALSE)</f>
        <v>-80.095594169999998</v>
      </c>
      <c r="F5825" s="3">
        <f>VLOOKUP(B5825,airports!A:H,7,FALSE)</f>
        <v>32.847113890000003</v>
      </c>
      <c r="G5825" s="3">
        <f>VLOOKUP(B5825,airports!A:H,8,FALSE)</f>
        <v>-96.851772220000001</v>
      </c>
      <c r="H5825">
        <f t="shared" si="180"/>
        <v>1753.9</v>
      </c>
      <c r="I5825">
        <f t="shared" si="181"/>
        <v>1089.9000000000001</v>
      </c>
    </row>
    <row r="5826" spans="1:9" x14ac:dyDescent="0.25">
      <c r="A5826" s="5" t="s">
        <v>99</v>
      </c>
      <c r="B5826" s="5" t="s">
        <v>45</v>
      </c>
      <c r="C5826" s="5" t="s">
        <v>6306</v>
      </c>
      <c r="D5826" s="3">
        <f>VLOOKUP(A5826,airports!A:H,7,FALSE)</f>
        <v>26.683161940000002</v>
      </c>
      <c r="E5826" s="3">
        <f>VLOOKUP(A5826,airports!A:H,8,FALSE)</f>
        <v>-80.095594169999998</v>
      </c>
      <c r="F5826" s="3">
        <f>VLOOKUP(B5826,airports!A:H,7,FALSE)</f>
        <v>38.852083329999999</v>
      </c>
      <c r="G5826" s="3">
        <f>VLOOKUP(B5826,airports!A:H,8,FALSE)</f>
        <v>-77.037722220000006</v>
      </c>
      <c r="H5826">
        <f t="shared" si="180"/>
        <v>1382.7</v>
      </c>
      <c r="I5826">
        <f t="shared" si="181"/>
        <v>859.3</v>
      </c>
    </row>
    <row r="5827" spans="1:9" x14ac:dyDescent="0.25">
      <c r="A5827" s="5" t="s">
        <v>99</v>
      </c>
      <c r="B5827" s="5" t="s">
        <v>47</v>
      </c>
      <c r="C5827" s="5" t="s">
        <v>6307</v>
      </c>
      <c r="D5827" s="3">
        <f>VLOOKUP(A5827,airports!A:H,7,FALSE)</f>
        <v>26.683161940000002</v>
      </c>
      <c r="E5827" s="3">
        <f>VLOOKUP(A5827,airports!A:H,8,FALSE)</f>
        <v>-80.095594169999998</v>
      </c>
      <c r="F5827" s="3">
        <f>VLOOKUP(B5827,airports!A:H,7,FALSE)</f>
        <v>39.858408060000002</v>
      </c>
      <c r="G5827" s="3">
        <f>VLOOKUP(B5827,airports!A:H,8,FALSE)</f>
        <v>-104.6670019</v>
      </c>
      <c r="H5827">
        <f t="shared" si="180"/>
        <v>2699.5</v>
      </c>
      <c r="I5827">
        <f t="shared" si="181"/>
        <v>1677.5</v>
      </c>
    </row>
    <row r="5828" spans="1:9" ht="30" x14ac:dyDescent="0.25">
      <c r="A5828" s="5" t="s">
        <v>99</v>
      </c>
      <c r="B5828" s="5" t="s">
        <v>49</v>
      </c>
      <c r="C5828" s="5" t="s">
        <v>6308</v>
      </c>
      <c r="D5828" s="3">
        <f>VLOOKUP(A5828,airports!A:H,7,FALSE)</f>
        <v>26.683161940000002</v>
      </c>
      <c r="E5828" s="3">
        <f>VLOOKUP(A5828,airports!A:H,8,FALSE)</f>
        <v>-80.095594169999998</v>
      </c>
      <c r="F5828" s="3">
        <f>VLOOKUP(B5828,airports!A:H,7,FALSE)</f>
        <v>32.895950560000003</v>
      </c>
      <c r="G5828" s="3">
        <f>VLOOKUP(B5828,airports!A:H,8,FALSE)</f>
        <v>-97.037199999999999</v>
      </c>
      <c r="H5828">
        <f t="shared" ref="H5828:H5891" si="182">ROUND(ACOS(COS(RADIANS(90-D5828)) * COS(RADIANS(90-F5828)) + SIN(RADIANS(90-D5828)) * SIN(RADIANS(90-F5828)) * COS(RADIANS(E5828-G5828))) * 6371,1)</f>
        <v>1772</v>
      </c>
      <c r="I5828">
        <f t="shared" ref="I5828:I5891" si="183">ROUND(ACOS(COS(RADIANS(90-D5828)) * COS(RADIANS(90-F5828)) + SIN(RADIANS(90-D5828)) * SIN(RADIANS(90-F5828)) * COS(RADIANS(E5828-G5828))) * 3959,1)</f>
        <v>1101.2</v>
      </c>
    </row>
    <row r="5829" spans="1:9" ht="30" x14ac:dyDescent="0.25">
      <c r="A5829" s="5" t="s">
        <v>99</v>
      </c>
      <c r="B5829" s="5" t="s">
        <v>50</v>
      </c>
      <c r="C5829" s="5" t="s">
        <v>6309</v>
      </c>
      <c r="D5829" s="3">
        <f>VLOOKUP(A5829,airports!A:H,7,FALSE)</f>
        <v>26.683161940000002</v>
      </c>
      <c r="E5829" s="3">
        <f>VLOOKUP(A5829,airports!A:H,8,FALSE)</f>
        <v>-80.095594169999998</v>
      </c>
      <c r="F5829" s="3">
        <f>VLOOKUP(B5829,airports!A:H,7,FALSE)</f>
        <v>42.212058890000002</v>
      </c>
      <c r="G5829" s="3">
        <f>VLOOKUP(B5829,airports!A:H,8,FALSE)</f>
        <v>-83.348835829999999</v>
      </c>
      <c r="H5829">
        <f t="shared" si="182"/>
        <v>1751.9</v>
      </c>
      <c r="I5829">
        <f t="shared" si="183"/>
        <v>1088.7</v>
      </c>
    </row>
    <row r="5830" spans="1:9" ht="30" x14ac:dyDescent="0.25">
      <c r="A5830" s="5" t="s">
        <v>99</v>
      </c>
      <c r="B5830" s="5" t="s">
        <v>52</v>
      </c>
      <c r="C5830" s="5" t="s">
        <v>6310</v>
      </c>
      <c r="D5830" s="3">
        <f>VLOOKUP(A5830,airports!A:H,7,FALSE)</f>
        <v>26.683161940000002</v>
      </c>
      <c r="E5830" s="3">
        <f>VLOOKUP(A5830,airports!A:H,8,FALSE)</f>
        <v>-80.095594169999998</v>
      </c>
      <c r="F5830" s="3">
        <f>VLOOKUP(B5830,airports!A:H,7,FALSE)</f>
        <v>40.69249722</v>
      </c>
      <c r="G5830" s="3">
        <f>VLOOKUP(B5830,airports!A:H,8,FALSE)</f>
        <v>-74.168660560000006</v>
      </c>
      <c r="H5830">
        <f t="shared" si="182"/>
        <v>1650.4</v>
      </c>
      <c r="I5830">
        <f t="shared" si="183"/>
        <v>1025.5999999999999</v>
      </c>
    </row>
    <row r="5831" spans="1:9" ht="30" x14ac:dyDescent="0.25">
      <c r="A5831" s="5" t="s">
        <v>99</v>
      </c>
      <c r="B5831" s="5" t="s">
        <v>205</v>
      </c>
      <c r="C5831" s="5" t="s">
        <v>6311</v>
      </c>
      <c r="D5831" s="3">
        <f>VLOOKUP(A5831,airports!A:H,7,FALSE)</f>
        <v>26.683161940000002</v>
      </c>
      <c r="E5831" s="3">
        <f>VLOOKUP(A5831,airports!A:H,8,FALSE)</f>
        <v>-80.095594169999998</v>
      </c>
      <c r="F5831" s="3">
        <f>VLOOKUP(B5831,airports!A:H,7,FALSE)</f>
        <v>29.64541861</v>
      </c>
      <c r="G5831" s="3">
        <f>VLOOKUP(B5831,airports!A:H,8,FALSE)</f>
        <v>-95.278888890000005</v>
      </c>
      <c r="H5831">
        <f t="shared" si="182"/>
        <v>1523.2</v>
      </c>
      <c r="I5831">
        <f t="shared" si="183"/>
        <v>946.5</v>
      </c>
    </row>
    <row r="5832" spans="1:9" ht="30" x14ac:dyDescent="0.25">
      <c r="A5832" s="5" t="s">
        <v>99</v>
      </c>
      <c r="B5832" s="5" t="s">
        <v>65</v>
      </c>
      <c r="C5832" s="5" t="s">
        <v>6312</v>
      </c>
      <c r="D5832" s="3">
        <f>VLOOKUP(A5832,airports!A:H,7,FALSE)</f>
        <v>26.683161940000002</v>
      </c>
      <c r="E5832" s="3">
        <f>VLOOKUP(A5832,airports!A:H,8,FALSE)</f>
        <v>-80.095594169999998</v>
      </c>
      <c r="F5832" s="3">
        <f>VLOOKUP(B5832,airports!A:H,7,FALSE)</f>
        <v>41.066957780000003</v>
      </c>
      <c r="G5832" s="3">
        <f>VLOOKUP(B5832,airports!A:H,8,FALSE)</f>
        <v>-73.707574440000002</v>
      </c>
      <c r="H5832">
        <f t="shared" si="182"/>
        <v>1703.4</v>
      </c>
      <c r="I5832">
        <f t="shared" si="183"/>
        <v>1058.5</v>
      </c>
    </row>
    <row r="5833" spans="1:9" x14ac:dyDescent="0.25">
      <c r="A5833" s="5" t="s">
        <v>99</v>
      </c>
      <c r="B5833" s="5" t="s">
        <v>176</v>
      </c>
      <c r="C5833" s="5" t="s">
        <v>6313</v>
      </c>
      <c r="D5833" s="3">
        <f>VLOOKUP(A5833,airports!A:H,7,FALSE)</f>
        <v>26.683161940000002</v>
      </c>
      <c r="E5833" s="3">
        <f>VLOOKUP(A5833,airports!A:H,8,FALSE)</f>
        <v>-80.095594169999998</v>
      </c>
      <c r="F5833" s="3">
        <f>VLOOKUP(B5833,airports!A:H,7,FALSE)</f>
        <v>38.944531939999997</v>
      </c>
      <c r="G5833" s="3">
        <f>VLOOKUP(B5833,airports!A:H,8,FALSE)</f>
        <v>-77.455809720000005</v>
      </c>
      <c r="H5833">
        <f t="shared" si="182"/>
        <v>1385.4</v>
      </c>
      <c r="I5833">
        <f t="shared" si="183"/>
        <v>860.9</v>
      </c>
    </row>
    <row r="5834" spans="1:9" x14ac:dyDescent="0.25">
      <c r="A5834" s="5" t="s">
        <v>99</v>
      </c>
      <c r="B5834" s="5" t="s">
        <v>67</v>
      </c>
      <c r="C5834" s="5" t="s">
        <v>6314</v>
      </c>
      <c r="D5834" s="3">
        <f>VLOOKUP(A5834,airports!A:H,7,FALSE)</f>
        <v>26.683161940000002</v>
      </c>
      <c r="E5834" s="3">
        <f>VLOOKUP(A5834,airports!A:H,8,FALSE)</f>
        <v>-80.095594169999998</v>
      </c>
      <c r="F5834" s="3">
        <f>VLOOKUP(B5834,airports!A:H,7,FALSE)</f>
        <v>29.980472219999999</v>
      </c>
      <c r="G5834" s="3">
        <f>VLOOKUP(B5834,airports!A:H,8,FALSE)</f>
        <v>-95.339722219999999</v>
      </c>
      <c r="H5834">
        <f t="shared" si="182"/>
        <v>1535.1</v>
      </c>
      <c r="I5834">
        <f t="shared" si="183"/>
        <v>953.9</v>
      </c>
    </row>
    <row r="5835" spans="1:9" x14ac:dyDescent="0.25">
      <c r="A5835" s="5" t="s">
        <v>99</v>
      </c>
      <c r="B5835" s="5" t="s">
        <v>537</v>
      </c>
      <c r="C5835" s="5" t="s">
        <v>6315</v>
      </c>
      <c r="D5835" s="3">
        <f>VLOOKUP(A5835,airports!A:H,7,FALSE)</f>
        <v>26.683161940000002</v>
      </c>
      <c r="E5835" s="3">
        <f>VLOOKUP(A5835,airports!A:H,8,FALSE)</f>
        <v>-80.095594169999998</v>
      </c>
      <c r="F5835" s="3">
        <f>VLOOKUP(B5835,airports!A:H,7,FALSE)</f>
        <v>39.717329169999999</v>
      </c>
      <c r="G5835" s="3">
        <f>VLOOKUP(B5835,airports!A:H,8,FALSE)</f>
        <v>-86.294384170000001</v>
      </c>
      <c r="H5835">
        <f t="shared" si="182"/>
        <v>1558.8</v>
      </c>
      <c r="I5835">
        <f t="shared" si="183"/>
        <v>968.6</v>
      </c>
    </row>
    <row r="5836" spans="1:9" x14ac:dyDescent="0.25">
      <c r="A5836" s="5" t="s">
        <v>99</v>
      </c>
      <c r="B5836" s="5" t="s">
        <v>539</v>
      </c>
      <c r="C5836" s="5" t="s">
        <v>6316</v>
      </c>
      <c r="D5836" s="3">
        <f>VLOOKUP(A5836,airports!A:H,7,FALSE)</f>
        <v>26.683161940000002</v>
      </c>
      <c r="E5836" s="3">
        <f>VLOOKUP(A5836,airports!A:H,8,FALSE)</f>
        <v>-80.095594169999998</v>
      </c>
      <c r="F5836" s="3">
        <f>VLOOKUP(B5836,airports!A:H,7,FALSE)</f>
        <v>40.795242500000001</v>
      </c>
      <c r="G5836" s="3">
        <f>VLOOKUP(B5836,airports!A:H,8,FALSE)</f>
        <v>-73.100211939999994</v>
      </c>
      <c r="H5836">
        <f t="shared" si="182"/>
        <v>1695.8</v>
      </c>
      <c r="I5836">
        <f t="shared" si="183"/>
        <v>1053.8</v>
      </c>
    </row>
    <row r="5837" spans="1:9" x14ac:dyDescent="0.25">
      <c r="A5837" s="5" t="s">
        <v>99</v>
      </c>
      <c r="B5837" s="5" t="s">
        <v>69</v>
      </c>
      <c r="C5837" s="5" t="s">
        <v>6317</v>
      </c>
      <c r="D5837" s="3">
        <f>VLOOKUP(A5837,airports!A:H,7,FALSE)</f>
        <v>26.683161940000002</v>
      </c>
      <c r="E5837" s="3">
        <f>VLOOKUP(A5837,airports!A:H,8,FALSE)</f>
        <v>-80.095594169999998</v>
      </c>
      <c r="F5837" s="3">
        <f>VLOOKUP(B5837,airports!A:H,7,FALSE)</f>
        <v>40.639751109999999</v>
      </c>
      <c r="G5837" s="3">
        <f>VLOOKUP(B5837,airports!A:H,8,FALSE)</f>
        <v>-73.778925560000005</v>
      </c>
      <c r="H5837">
        <f t="shared" si="182"/>
        <v>1657.1</v>
      </c>
      <c r="I5837">
        <f t="shared" si="183"/>
        <v>1029.8</v>
      </c>
    </row>
    <row r="5838" spans="1:9" x14ac:dyDescent="0.25">
      <c r="A5838" s="5" t="s">
        <v>99</v>
      </c>
      <c r="B5838" s="5" t="s">
        <v>73</v>
      </c>
      <c r="C5838" s="5" t="s">
        <v>6318</v>
      </c>
      <c r="D5838" s="3">
        <f>VLOOKUP(A5838,airports!A:H,7,FALSE)</f>
        <v>26.683161940000002</v>
      </c>
      <c r="E5838" s="3">
        <f>VLOOKUP(A5838,airports!A:H,8,FALSE)</f>
        <v>-80.095594169999998</v>
      </c>
      <c r="F5838" s="3">
        <f>VLOOKUP(B5838,airports!A:H,7,FALSE)</f>
        <v>33.942536109999999</v>
      </c>
      <c r="G5838" s="3">
        <f>VLOOKUP(B5838,airports!A:H,8,FALSE)</f>
        <v>-118.4080744</v>
      </c>
      <c r="H5838">
        <f t="shared" si="182"/>
        <v>3742.7</v>
      </c>
      <c r="I5838">
        <f t="shared" si="183"/>
        <v>2325.8000000000002</v>
      </c>
    </row>
    <row r="5839" spans="1:9" x14ac:dyDescent="0.25">
      <c r="A5839" s="5" t="s">
        <v>99</v>
      </c>
      <c r="B5839" s="5" t="s">
        <v>74</v>
      </c>
      <c r="C5839" s="5" t="s">
        <v>6319</v>
      </c>
      <c r="D5839" s="3">
        <f>VLOOKUP(A5839,airports!A:H,7,FALSE)</f>
        <v>26.683161940000002</v>
      </c>
      <c r="E5839" s="3">
        <f>VLOOKUP(A5839,airports!A:H,8,FALSE)</f>
        <v>-80.095594169999998</v>
      </c>
      <c r="F5839" s="3">
        <f>VLOOKUP(B5839,airports!A:H,7,FALSE)</f>
        <v>40.777243060000004</v>
      </c>
      <c r="G5839" s="3">
        <f>VLOOKUP(B5839,airports!A:H,8,FALSE)</f>
        <v>-73.872609170000004</v>
      </c>
      <c r="H5839">
        <f t="shared" si="182"/>
        <v>1668.3</v>
      </c>
      <c r="I5839">
        <f t="shared" si="183"/>
        <v>1036.7</v>
      </c>
    </row>
    <row r="5840" spans="1:9" ht="30" x14ac:dyDescent="0.25">
      <c r="A5840" s="5" t="s">
        <v>99</v>
      </c>
      <c r="B5840" s="5" t="s">
        <v>180</v>
      </c>
      <c r="C5840" s="5" t="s">
        <v>6320</v>
      </c>
      <c r="D5840" s="3">
        <f>VLOOKUP(A5840,airports!A:H,7,FALSE)</f>
        <v>26.683161940000002</v>
      </c>
      <c r="E5840" s="3">
        <f>VLOOKUP(A5840,airports!A:H,8,FALSE)</f>
        <v>-80.095594169999998</v>
      </c>
      <c r="F5840" s="3">
        <f>VLOOKUP(B5840,airports!A:H,7,FALSE)</f>
        <v>41.785982500000003</v>
      </c>
      <c r="G5840" s="3">
        <f>VLOOKUP(B5840,airports!A:H,8,FALSE)</f>
        <v>-87.752424439999999</v>
      </c>
      <c r="H5840">
        <f t="shared" si="182"/>
        <v>1819</v>
      </c>
      <c r="I5840">
        <f t="shared" si="183"/>
        <v>1130.3</v>
      </c>
    </row>
    <row r="5841" spans="1:9" ht="30" x14ac:dyDescent="0.25">
      <c r="A5841" s="5" t="s">
        <v>99</v>
      </c>
      <c r="B5841" s="5" t="s">
        <v>563</v>
      </c>
      <c r="C5841" s="5" t="s">
        <v>6321</v>
      </c>
      <c r="D5841" s="3">
        <f>VLOOKUP(A5841,airports!A:H,7,FALSE)</f>
        <v>26.683161940000002</v>
      </c>
      <c r="E5841" s="3">
        <f>VLOOKUP(A5841,airports!A:H,8,FALSE)</f>
        <v>-80.095594169999998</v>
      </c>
      <c r="F5841" s="3">
        <f>VLOOKUP(B5841,airports!A:H,7,FALSE)</f>
        <v>35.042416670000001</v>
      </c>
      <c r="G5841" s="3">
        <f>VLOOKUP(B5841,airports!A:H,8,FALSE)</f>
        <v>-89.97666667</v>
      </c>
      <c r="H5841">
        <f t="shared" si="182"/>
        <v>1322.7</v>
      </c>
      <c r="I5841">
        <f t="shared" si="183"/>
        <v>822</v>
      </c>
    </row>
    <row r="5842" spans="1:9" ht="30" x14ac:dyDescent="0.25">
      <c r="A5842" s="5" t="s">
        <v>99</v>
      </c>
      <c r="B5842" s="5" t="s">
        <v>87</v>
      </c>
      <c r="C5842" s="5" t="s">
        <v>6322</v>
      </c>
      <c r="D5842" s="3">
        <f>VLOOKUP(A5842,airports!A:H,7,FALSE)</f>
        <v>26.683161940000002</v>
      </c>
      <c r="E5842" s="3">
        <f>VLOOKUP(A5842,airports!A:H,8,FALSE)</f>
        <v>-80.095594169999998</v>
      </c>
      <c r="F5842" s="3">
        <f>VLOOKUP(B5842,airports!A:H,7,FALSE)</f>
        <v>44.880546940000002</v>
      </c>
      <c r="G5842" s="3">
        <f>VLOOKUP(B5842,airports!A:H,8,FALSE)</f>
        <v>-93.216922499999995</v>
      </c>
      <c r="H5842">
        <f t="shared" si="182"/>
        <v>2337.3000000000002</v>
      </c>
      <c r="I5842">
        <f t="shared" si="183"/>
        <v>1452.4</v>
      </c>
    </row>
    <row r="5843" spans="1:9" ht="30" x14ac:dyDescent="0.25">
      <c r="A5843" s="5" t="s">
        <v>99</v>
      </c>
      <c r="B5843" s="5" t="s">
        <v>95</v>
      </c>
      <c r="C5843" s="5" t="s">
        <v>6323</v>
      </c>
      <c r="D5843" s="3">
        <f>VLOOKUP(A5843,airports!A:H,7,FALSE)</f>
        <v>26.683161940000002</v>
      </c>
      <c r="E5843" s="3">
        <f>VLOOKUP(A5843,airports!A:H,8,FALSE)</f>
        <v>-80.095594169999998</v>
      </c>
      <c r="F5843" s="3">
        <f>VLOOKUP(B5843,airports!A:H,7,FALSE)</f>
        <v>41.979595000000003</v>
      </c>
      <c r="G5843" s="3">
        <f>VLOOKUP(B5843,airports!A:H,8,FALSE)</f>
        <v>-87.904464169999997</v>
      </c>
      <c r="H5843">
        <f t="shared" si="182"/>
        <v>1843.8</v>
      </c>
      <c r="I5843">
        <f t="shared" si="183"/>
        <v>1145.7</v>
      </c>
    </row>
    <row r="5844" spans="1:9" x14ac:dyDescent="0.25">
      <c r="A5844" s="5" t="s">
        <v>99</v>
      </c>
      <c r="B5844" s="5" t="s">
        <v>185</v>
      </c>
      <c r="C5844" s="5" t="s">
        <v>6324</v>
      </c>
      <c r="D5844" s="3">
        <f>VLOOKUP(A5844,airports!A:H,7,FALSE)</f>
        <v>26.683161940000002</v>
      </c>
      <c r="E5844" s="3">
        <f>VLOOKUP(A5844,airports!A:H,8,FALSE)</f>
        <v>-80.095594169999998</v>
      </c>
      <c r="F5844" s="3">
        <f>VLOOKUP(B5844,airports!A:H,7,FALSE)</f>
        <v>26.919699999999999</v>
      </c>
      <c r="G5844" s="3">
        <f>VLOOKUP(B5844,airports!A:H,8,FALSE)</f>
        <v>-81.995999999999995</v>
      </c>
      <c r="H5844">
        <f t="shared" si="182"/>
        <v>190.4</v>
      </c>
      <c r="I5844">
        <f t="shared" si="183"/>
        <v>118.3</v>
      </c>
    </row>
    <row r="5845" spans="1:9" x14ac:dyDescent="0.25">
      <c r="A5845" s="5" t="s">
        <v>99</v>
      </c>
      <c r="B5845" s="5" t="s">
        <v>102</v>
      </c>
      <c r="C5845" s="5" t="s">
        <v>6325</v>
      </c>
      <c r="D5845" s="3">
        <f>VLOOKUP(A5845,airports!A:H,7,FALSE)</f>
        <v>26.683161940000002</v>
      </c>
      <c r="E5845" s="3">
        <f>VLOOKUP(A5845,airports!A:H,8,FALSE)</f>
        <v>-80.095594169999998</v>
      </c>
      <c r="F5845" s="3">
        <f>VLOOKUP(B5845,airports!A:H,7,FALSE)</f>
        <v>39.871952780000001</v>
      </c>
      <c r="G5845" s="3">
        <f>VLOOKUP(B5845,airports!A:H,8,FALSE)</f>
        <v>-75.241140830000006</v>
      </c>
      <c r="H5845">
        <f t="shared" si="182"/>
        <v>1533.7</v>
      </c>
      <c r="I5845">
        <f t="shared" si="183"/>
        <v>953.1</v>
      </c>
    </row>
    <row r="5846" spans="1:9" x14ac:dyDescent="0.25">
      <c r="A5846" s="5" t="s">
        <v>99</v>
      </c>
      <c r="B5846" s="5" t="s">
        <v>106</v>
      </c>
      <c r="C5846" s="5" t="s">
        <v>6326</v>
      </c>
      <c r="D5846" s="3">
        <f>VLOOKUP(A5846,airports!A:H,7,FALSE)</f>
        <v>26.683161940000002</v>
      </c>
      <c r="E5846" s="3">
        <f>VLOOKUP(A5846,airports!A:H,8,FALSE)</f>
        <v>-80.095594169999998</v>
      </c>
      <c r="F5846" s="3">
        <f>VLOOKUP(B5846,airports!A:H,7,FALSE)</f>
        <v>40.491465830000003</v>
      </c>
      <c r="G5846" s="3">
        <f>VLOOKUP(B5846,airports!A:H,8,FALSE)</f>
        <v>-80.232870829999996</v>
      </c>
      <c r="H5846">
        <f t="shared" si="182"/>
        <v>1535.5</v>
      </c>
      <c r="I5846">
        <f t="shared" si="183"/>
        <v>954.2</v>
      </c>
    </row>
    <row r="5847" spans="1:9" x14ac:dyDescent="0.25">
      <c r="A5847" s="5" t="s">
        <v>99</v>
      </c>
      <c r="B5847" s="5" t="s">
        <v>114</v>
      </c>
      <c r="C5847" s="5" t="s">
        <v>6327</v>
      </c>
      <c r="D5847" s="3">
        <f>VLOOKUP(A5847,airports!A:H,7,FALSE)</f>
        <v>26.683161940000002</v>
      </c>
      <c r="E5847" s="3">
        <f>VLOOKUP(A5847,airports!A:H,8,FALSE)</f>
        <v>-80.095594169999998</v>
      </c>
      <c r="F5847" s="3">
        <f>VLOOKUP(B5847,airports!A:H,7,FALSE)</f>
        <v>41.723999169999999</v>
      </c>
      <c r="G5847" s="3">
        <f>VLOOKUP(B5847,airports!A:H,8,FALSE)</f>
        <v>-71.428221109999996</v>
      </c>
      <c r="H5847">
        <f t="shared" si="182"/>
        <v>1850.2</v>
      </c>
      <c r="I5847">
        <f t="shared" si="183"/>
        <v>1149.8</v>
      </c>
    </row>
    <row r="5848" spans="1:9" x14ac:dyDescent="0.25">
      <c r="A5848" s="5" t="s">
        <v>99</v>
      </c>
      <c r="B5848" s="5" t="s">
        <v>119</v>
      </c>
      <c r="C5848" s="5" t="s">
        <v>6328</v>
      </c>
      <c r="D5848" s="3">
        <f>VLOOKUP(A5848,airports!A:H,7,FALSE)</f>
        <v>26.683161940000002</v>
      </c>
      <c r="E5848" s="3">
        <f>VLOOKUP(A5848,airports!A:H,8,FALSE)</f>
        <v>-80.095594169999998</v>
      </c>
      <c r="F5848" s="3">
        <f>VLOOKUP(B5848,airports!A:H,7,FALSE)</f>
        <v>35.87763889</v>
      </c>
      <c r="G5848" s="3">
        <f>VLOOKUP(B5848,airports!A:H,8,FALSE)</f>
        <v>-78.787472219999998</v>
      </c>
      <c r="H5848">
        <f t="shared" si="182"/>
        <v>1029.9000000000001</v>
      </c>
      <c r="I5848">
        <f t="shared" si="183"/>
        <v>640</v>
      </c>
    </row>
    <row r="5849" spans="1:9" x14ac:dyDescent="0.25">
      <c r="A5849" s="5" t="s">
        <v>99</v>
      </c>
      <c r="B5849" s="5" t="s">
        <v>644</v>
      </c>
      <c r="C5849" s="5" t="s">
        <v>6329</v>
      </c>
      <c r="D5849" s="3">
        <f>VLOOKUP(A5849,airports!A:H,7,FALSE)</f>
        <v>26.683161940000002</v>
      </c>
      <c r="E5849" s="3">
        <f>VLOOKUP(A5849,airports!A:H,8,FALSE)</f>
        <v>-80.095594169999998</v>
      </c>
      <c r="F5849" s="3">
        <f>VLOOKUP(B5849,airports!A:H,7,FALSE)</f>
        <v>38.747686940000001</v>
      </c>
      <c r="G5849" s="3">
        <f>VLOOKUP(B5849,airports!A:H,8,FALSE)</f>
        <v>-90.359989720000002</v>
      </c>
      <c r="H5849">
        <f t="shared" si="182"/>
        <v>1647.3</v>
      </c>
      <c r="I5849">
        <f t="shared" si="183"/>
        <v>1023.6</v>
      </c>
    </row>
    <row r="5850" spans="1:9" x14ac:dyDescent="0.25">
      <c r="A5850" s="5" t="s">
        <v>99</v>
      </c>
      <c r="B5850" s="5" t="s">
        <v>656</v>
      </c>
      <c r="C5850" s="5" t="s">
        <v>6330</v>
      </c>
      <c r="D5850" s="3">
        <f>VLOOKUP(A5850,airports!A:H,7,FALSE)</f>
        <v>26.683161940000002</v>
      </c>
      <c r="E5850" s="3">
        <f>VLOOKUP(A5850,airports!A:H,8,FALSE)</f>
        <v>-80.095594169999998</v>
      </c>
      <c r="F5850" s="3">
        <f>VLOOKUP(B5850,airports!A:H,7,FALSE)</f>
        <v>40.276691110000002</v>
      </c>
      <c r="G5850" s="3">
        <f>VLOOKUP(B5850,airports!A:H,8,FALSE)</f>
        <v>-74.813468330000006</v>
      </c>
      <c r="H5850">
        <f t="shared" si="182"/>
        <v>1588.1</v>
      </c>
      <c r="I5850">
        <f t="shared" si="183"/>
        <v>986.9</v>
      </c>
    </row>
    <row r="5851" spans="1:9" x14ac:dyDescent="0.25">
      <c r="A5851" s="5" t="s">
        <v>99</v>
      </c>
      <c r="B5851" s="5" t="s">
        <v>664</v>
      </c>
      <c r="C5851" s="5" t="s">
        <v>6331</v>
      </c>
      <c r="D5851" s="3">
        <f>VLOOKUP(A5851,airports!A:H,7,FALSE)</f>
        <v>26.683161940000002</v>
      </c>
      <c r="E5851" s="3">
        <f>VLOOKUP(A5851,airports!A:H,8,FALSE)</f>
        <v>-80.095594169999998</v>
      </c>
      <c r="F5851" s="3">
        <f>VLOOKUP(B5851,airports!A:H,7,FALSE)</f>
        <v>35.812487220000001</v>
      </c>
      <c r="G5851" s="3">
        <f>VLOOKUP(B5851,airports!A:H,8,FALSE)</f>
        <v>-83.992855829999996</v>
      </c>
      <c r="H5851">
        <f t="shared" si="182"/>
        <v>1080.3</v>
      </c>
      <c r="I5851">
        <f t="shared" si="183"/>
        <v>671.3</v>
      </c>
    </row>
    <row r="5852" spans="1:9" x14ac:dyDescent="0.25">
      <c r="A5852" s="5" t="s">
        <v>99</v>
      </c>
      <c r="B5852" s="5" t="s">
        <v>4</v>
      </c>
      <c r="C5852" s="5" t="s">
        <v>6332</v>
      </c>
      <c r="D5852" s="3">
        <f>VLOOKUP(A5852,airports!A:H,7,FALSE)</f>
        <v>26.683161940000002</v>
      </c>
      <c r="E5852" s="3">
        <f>VLOOKUP(A5852,airports!A:H,8,FALSE)</f>
        <v>-80.095594169999998</v>
      </c>
      <c r="F5852" s="3">
        <f>VLOOKUP(B5852,airports!A:H,7,FALSE)</f>
        <v>35.387797999999997</v>
      </c>
      <c r="G5852" s="3">
        <f>VLOOKUP(B5852,airports!A:H,8,FALSE)</f>
        <v>-80.709098999999995</v>
      </c>
      <c r="H5852">
        <f t="shared" si="182"/>
        <v>969.7</v>
      </c>
      <c r="I5852">
        <f t="shared" si="183"/>
        <v>602.6</v>
      </c>
    </row>
    <row r="5853" spans="1:9" ht="30" x14ac:dyDescent="0.25">
      <c r="A5853" s="5" t="s">
        <v>100</v>
      </c>
      <c r="B5853" s="5" t="s">
        <v>2</v>
      </c>
      <c r="C5853" s="5" t="s">
        <v>6333</v>
      </c>
      <c r="D5853" s="3">
        <f>VLOOKUP(A5853,airports!A:H,7,FALSE)</f>
        <v>45.588722220000001</v>
      </c>
      <c r="E5853" s="3">
        <f>VLOOKUP(A5853,airports!A:H,8,FALSE)</f>
        <v>-122.5975</v>
      </c>
      <c r="F5853" s="3">
        <f>VLOOKUP(B5853,airports!A:H,7,FALSE)</f>
        <v>35.040222219999997</v>
      </c>
      <c r="G5853" s="3">
        <f>VLOOKUP(B5853,airports!A:H,8,FALSE)</f>
        <v>-106.60919440000001</v>
      </c>
      <c r="H5853">
        <f t="shared" si="182"/>
        <v>1786.6</v>
      </c>
      <c r="I5853">
        <f t="shared" si="183"/>
        <v>1110.2</v>
      </c>
    </row>
    <row r="5854" spans="1:9" ht="30" x14ac:dyDescent="0.25">
      <c r="A5854" s="5" t="s">
        <v>100</v>
      </c>
      <c r="B5854" s="5" t="s">
        <v>265</v>
      </c>
      <c r="C5854" s="5" t="s">
        <v>6334</v>
      </c>
      <c r="D5854" s="3">
        <f>VLOOKUP(A5854,airports!A:H,7,FALSE)</f>
        <v>45.588722220000001</v>
      </c>
      <c r="E5854" s="3">
        <f>VLOOKUP(A5854,airports!A:H,8,FALSE)</f>
        <v>-122.5975</v>
      </c>
      <c r="F5854" s="3">
        <f>VLOOKUP(B5854,airports!A:H,7,FALSE)</f>
        <v>61.174320280000003</v>
      </c>
      <c r="G5854" s="3">
        <f>VLOOKUP(B5854,airports!A:H,8,FALSE)</f>
        <v>-149.99618559999999</v>
      </c>
      <c r="H5854">
        <f t="shared" si="182"/>
        <v>2476.8000000000002</v>
      </c>
      <c r="I5854">
        <f t="shared" si="183"/>
        <v>1539.1</v>
      </c>
    </row>
    <row r="5855" spans="1:9" ht="30" x14ac:dyDescent="0.25">
      <c r="A5855" s="5" t="s">
        <v>100</v>
      </c>
      <c r="B5855" s="5" t="s">
        <v>10</v>
      </c>
      <c r="C5855" s="5" t="s">
        <v>6335</v>
      </c>
      <c r="D5855" s="3">
        <f>VLOOKUP(A5855,airports!A:H,7,FALSE)</f>
        <v>45.588722220000001</v>
      </c>
      <c r="E5855" s="3">
        <f>VLOOKUP(A5855,airports!A:H,8,FALSE)</f>
        <v>-122.5975</v>
      </c>
      <c r="F5855" s="3">
        <f>VLOOKUP(B5855,airports!A:H,7,FALSE)</f>
        <v>33.640444440000003</v>
      </c>
      <c r="G5855" s="3">
        <f>VLOOKUP(B5855,airports!A:H,8,FALSE)</f>
        <v>-84.42694444</v>
      </c>
      <c r="H5855">
        <f t="shared" si="182"/>
        <v>3489</v>
      </c>
      <c r="I5855">
        <f t="shared" si="183"/>
        <v>2168.1</v>
      </c>
    </row>
    <row r="5856" spans="1:9" ht="30" x14ac:dyDescent="0.25">
      <c r="A5856" s="5" t="s">
        <v>100</v>
      </c>
      <c r="B5856" s="5" t="s">
        <v>13</v>
      </c>
      <c r="C5856" s="5" t="s">
        <v>6336</v>
      </c>
      <c r="D5856" s="3">
        <f>VLOOKUP(A5856,airports!A:H,7,FALSE)</f>
        <v>45.588722220000001</v>
      </c>
      <c r="E5856" s="3">
        <f>VLOOKUP(A5856,airports!A:H,8,FALSE)</f>
        <v>-122.5975</v>
      </c>
      <c r="F5856" s="3">
        <f>VLOOKUP(B5856,airports!A:H,7,FALSE)</f>
        <v>30.194532779999999</v>
      </c>
      <c r="G5856" s="3">
        <f>VLOOKUP(B5856,airports!A:H,8,FALSE)</f>
        <v>-97.669871939999993</v>
      </c>
      <c r="H5856">
        <f t="shared" si="182"/>
        <v>2757.7</v>
      </c>
      <c r="I5856">
        <f t="shared" si="183"/>
        <v>1713.6</v>
      </c>
    </row>
    <row r="5857" spans="1:9" x14ac:dyDescent="0.25">
      <c r="A5857" s="5" t="s">
        <v>100</v>
      </c>
      <c r="B5857" s="5" t="s">
        <v>836</v>
      </c>
      <c r="C5857" s="5" t="s">
        <v>6337</v>
      </c>
      <c r="D5857" s="3">
        <f>VLOOKUP(A5857,airports!A:H,7,FALSE)</f>
        <v>45.588722220000001</v>
      </c>
      <c r="E5857" s="3">
        <f>VLOOKUP(A5857,airports!A:H,8,FALSE)</f>
        <v>-122.5975</v>
      </c>
      <c r="F5857" s="3">
        <f>VLOOKUP(B5857,airports!A:H,7,FALSE)</f>
        <v>45.807662499999999</v>
      </c>
      <c r="G5857" s="3">
        <f>VLOOKUP(B5857,airports!A:H,8,FALSE)</f>
        <v>-108.5428611</v>
      </c>
      <c r="H5857">
        <f t="shared" si="182"/>
        <v>1090.4000000000001</v>
      </c>
      <c r="I5857">
        <f t="shared" si="183"/>
        <v>677.6</v>
      </c>
    </row>
    <row r="5858" spans="1:9" x14ac:dyDescent="0.25">
      <c r="A5858" s="5" t="s">
        <v>100</v>
      </c>
      <c r="B5858" s="5" t="s">
        <v>344</v>
      </c>
      <c r="C5858" s="5" t="s">
        <v>6338</v>
      </c>
      <c r="D5858" s="3">
        <f>VLOOKUP(A5858,airports!A:H,7,FALSE)</f>
        <v>45.588722220000001</v>
      </c>
      <c r="E5858" s="3">
        <f>VLOOKUP(A5858,airports!A:H,8,FALSE)</f>
        <v>-122.5975</v>
      </c>
      <c r="F5858" s="3">
        <f>VLOOKUP(B5858,airports!A:H,7,FALSE)</f>
        <v>48.792749999999998</v>
      </c>
      <c r="G5858" s="3">
        <f>VLOOKUP(B5858,airports!A:H,8,FALSE)</f>
        <v>-122.53752780000001</v>
      </c>
      <c r="H5858">
        <f t="shared" si="182"/>
        <v>356.3</v>
      </c>
      <c r="I5858">
        <f t="shared" si="183"/>
        <v>221.4</v>
      </c>
    </row>
    <row r="5859" spans="1:9" ht="30" x14ac:dyDescent="0.25">
      <c r="A5859" s="5" t="s">
        <v>100</v>
      </c>
      <c r="B5859" s="5" t="s">
        <v>22</v>
      </c>
      <c r="C5859" s="5" t="s">
        <v>6339</v>
      </c>
      <c r="D5859" s="3">
        <f>VLOOKUP(A5859,airports!A:H,7,FALSE)</f>
        <v>45.588722220000001</v>
      </c>
      <c r="E5859" s="3">
        <f>VLOOKUP(A5859,airports!A:H,8,FALSE)</f>
        <v>-122.5975</v>
      </c>
      <c r="F5859" s="3">
        <f>VLOOKUP(B5859,airports!A:H,7,FALSE)</f>
        <v>43.564444440000003</v>
      </c>
      <c r="G5859" s="3">
        <f>VLOOKUP(B5859,airports!A:H,8,FALSE)</f>
        <v>-116.2227778</v>
      </c>
      <c r="H5859">
        <f t="shared" si="182"/>
        <v>552.6</v>
      </c>
      <c r="I5859">
        <f t="shared" si="183"/>
        <v>343.4</v>
      </c>
    </row>
    <row r="5860" spans="1:9" ht="30" x14ac:dyDescent="0.25">
      <c r="A5860" s="5" t="s">
        <v>100</v>
      </c>
      <c r="B5860" s="5" t="s">
        <v>24</v>
      </c>
      <c r="C5860" s="5" t="s">
        <v>6340</v>
      </c>
      <c r="D5860" s="3">
        <f>VLOOKUP(A5860,airports!A:H,7,FALSE)</f>
        <v>45.588722220000001</v>
      </c>
      <c r="E5860" s="3">
        <f>VLOOKUP(A5860,airports!A:H,8,FALSE)</f>
        <v>-122.5975</v>
      </c>
      <c r="F5860" s="3">
        <f>VLOOKUP(B5860,airports!A:H,7,FALSE)</f>
        <v>42.364347500000001</v>
      </c>
      <c r="G5860" s="3">
        <f>VLOOKUP(B5860,airports!A:H,8,FALSE)</f>
        <v>-71.005179170000005</v>
      </c>
      <c r="H5860">
        <f t="shared" si="182"/>
        <v>4072.3</v>
      </c>
      <c r="I5860">
        <f t="shared" si="183"/>
        <v>2530.6</v>
      </c>
    </row>
    <row r="5861" spans="1:9" ht="30" x14ac:dyDescent="0.25">
      <c r="A5861" s="5" t="s">
        <v>100</v>
      </c>
      <c r="B5861" s="5" t="s">
        <v>30</v>
      </c>
      <c r="C5861" s="5" t="s">
        <v>6341</v>
      </c>
      <c r="D5861" s="3">
        <f>VLOOKUP(A5861,airports!A:H,7,FALSE)</f>
        <v>45.588722220000001</v>
      </c>
      <c r="E5861" s="3">
        <f>VLOOKUP(A5861,airports!A:H,8,FALSE)</f>
        <v>-122.5975</v>
      </c>
      <c r="F5861" s="3">
        <f>VLOOKUP(B5861,airports!A:H,7,FALSE)</f>
        <v>34.200619170000003</v>
      </c>
      <c r="G5861" s="3">
        <f>VLOOKUP(B5861,airports!A:H,8,FALSE)</f>
        <v>-118.35849690000001</v>
      </c>
      <c r="H5861">
        <f t="shared" si="182"/>
        <v>1316.4</v>
      </c>
      <c r="I5861">
        <f t="shared" si="183"/>
        <v>818</v>
      </c>
    </row>
    <row r="5862" spans="1:9" ht="30" x14ac:dyDescent="0.25">
      <c r="A5862" s="5" t="s">
        <v>100</v>
      </c>
      <c r="B5862" s="5" t="s">
        <v>32</v>
      </c>
      <c r="C5862" s="5" t="s">
        <v>6342</v>
      </c>
      <c r="D5862" s="3">
        <f>VLOOKUP(A5862,airports!A:H,7,FALSE)</f>
        <v>45.588722220000001</v>
      </c>
      <c r="E5862" s="3">
        <f>VLOOKUP(A5862,airports!A:H,8,FALSE)</f>
        <v>-122.5975</v>
      </c>
      <c r="F5862" s="3">
        <f>VLOOKUP(B5862,airports!A:H,7,FALSE)</f>
        <v>39.175401669999999</v>
      </c>
      <c r="G5862" s="3">
        <f>VLOOKUP(B5862,airports!A:H,8,FALSE)</f>
        <v>-76.668198329999996</v>
      </c>
      <c r="H5862">
        <f t="shared" si="182"/>
        <v>3785.9</v>
      </c>
      <c r="I5862">
        <f t="shared" si="183"/>
        <v>2352.6</v>
      </c>
    </row>
    <row r="5863" spans="1:9" ht="30" x14ac:dyDescent="0.25">
      <c r="A5863" s="5" t="s">
        <v>100</v>
      </c>
      <c r="B5863" s="5" t="s">
        <v>34</v>
      </c>
      <c r="C5863" s="5" t="s">
        <v>6343</v>
      </c>
      <c r="D5863" s="3">
        <f>VLOOKUP(A5863,airports!A:H,7,FALSE)</f>
        <v>45.588722220000001</v>
      </c>
      <c r="E5863" s="3">
        <f>VLOOKUP(A5863,airports!A:H,8,FALSE)</f>
        <v>-122.5975</v>
      </c>
      <c r="F5863" s="3">
        <f>VLOOKUP(B5863,airports!A:H,7,FALSE)</f>
        <v>45.776901389999999</v>
      </c>
      <c r="G5863" s="3">
        <f>VLOOKUP(B5863,airports!A:H,8,FALSE)</f>
        <v>-111.1530072</v>
      </c>
      <c r="H5863">
        <f t="shared" si="182"/>
        <v>888.5</v>
      </c>
      <c r="I5863">
        <f t="shared" si="183"/>
        <v>552.1</v>
      </c>
    </row>
    <row r="5864" spans="1:9" x14ac:dyDescent="0.25">
      <c r="A5864" s="5" t="s">
        <v>100</v>
      </c>
      <c r="B5864" s="5" t="s">
        <v>38</v>
      </c>
      <c r="C5864" s="5" t="s">
        <v>6344</v>
      </c>
      <c r="D5864" s="3">
        <f>VLOOKUP(A5864,airports!A:H,7,FALSE)</f>
        <v>45.588722220000001</v>
      </c>
      <c r="E5864" s="3">
        <f>VLOOKUP(A5864,airports!A:H,8,FALSE)</f>
        <v>-122.5975</v>
      </c>
      <c r="F5864" s="3">
        <f>VLOOKUP(B5864,airports!A:H,7,FALSE)</f>
        <v>41.410894169999999</v>
      </c>
      <c r="G5864" s="3">
        <f>VLOOKUP(B5864,airports!A:H,8,FALSE)</f>
        <v>-81.849396670000004</v>
      </c>
      <c r="H5864">
        <f t="shared" si="182"/>
        <v>3283.4</v>
      </c>
      <c r="I5864">
        <f t="shared" si="183"/>
        <v>2040.3</v>
      </c>
    </row>
    <row r="5865" spans="1:9" x14ac:dyDescent="0.25">
      <c r="A5865" s="5" t="s">
        <v>100</v>
      </c>
      <c r="B5865" s="5" t="s">
        <v>40</v>
      </c>
      <c r="C5865" s="5" t="s">
        <v>6345</v>
      </c>
      <c r="D5865" s="3">
        <f>VLOOKUP(A5865,airports!A:H,7,FALSE)</f>
        <v>45.588722220000001</v>
      </c>
      <c r="E5865" s="3">
        <f>VLOOKUP(A5865,airports!A:H,8,FALSE)</f>
        <v>-122.5975</v>
      </c>
      <c r="F5865" s="3">
        <f>VLOOKUP(B5865,airports!A:H,7,FALSE)</f>
        <v>35.214011110000001</v>
      </c>
      <c r="G5865" s="3">
        <f>VLOOKUP(B5865,airports!A:H,8,FALSE)</f>
        <v>-80.94312583</v>
      </c>
      <c r="H5865">
        <f t="shared" si="182"/>
        <v>3664.5</v>
      </c>
      <c r="I5865">
        <f t="shared" si="183"/>
        <v>2277.1</v>
      </c>
    </row>
    <row r="5866" spans="1:9" ht="30" x14ac:dyDescent="0.25">
      <c r="A5866" s="5" t="s">
        <v>100</v>
      </c>
      <c r="B5866" s="5" t="s">
        <v>454</v>
      </c>
      <c r="C5866" s="5" t="s">
        <v>6346</v>
      </c>
      <c r="D5866" s="3">
        <f>VLOOKUP(A5866,airports!A:H,7,FALSE)</f>
        <v>45.588722220000001</v>
      </c>
      <c r="E5866" s="3">
        <f>VLOOKUP(A5866,airports!A:H,8,FALSE)</f>
        <v>-122.5975</v>
      </c>
      <c r="F5866" s="3">
        <f>VLOOKUP(B5866,airports!A:H,7,FALSE)</f>
        <v>39.997985280000002</v>
      </c>
      <c r="G5866" s="3">
        <f>VLOOKUP(B5866,airports!A:H,8,FALSE)</f>
        <v>-82.891882780000003</v>
      </c>
      <c r="H5866">
        <f t="shared" si="182"/>
        <v>3264.3</v>
      </c>
      <c r="I5866">
        <f t="shared" si="183"/>
        <v>2028.5</v>
      </c>
    </row>
    <row r="5867" spans="1:9" ht="30" x14ac:dyDescent="0.25">
      <c r="A5867" s="5" t="s">
        <v>100</v>
      </c>
      <c r="B5867" s="5" t="s">
        <v>201</v>
      </c>
      <c r="C5867" s="5" t="s">
        <v>6347</v>
      </c>
      <c r="D5867" s="3">
        <f>VLOOKUP(A5867,airports!A:H,7,FALSE)</f>
        <v>45.588722220000001</v>
      </c>
      <c r="E5867" s="3">
        <f>VLOOKUP(A5867,airports!A:H,8,FALSE)</f>
        <v>-122.5975</v>
      </c>
      <c r="F5867" s="3">
        <f>VLOOKUP(B5867,airports!A:H,7,FALSE)</f>
        <v>32.847113890000003</v>
      </c>
      <c r="G5867" s="3">
        <f>VLOOKUP(B5867,airports!A:H,8,FALSE)</f>
        <v>-96.851772220000001</v>
      </c>
      <c r="H5867">
        <f t="shared" si="182"/>
        <v>2613.8000000000002</v>
      </c>
      <c r="I5867">
        <f t="shared" si="183"/>
        <v>1624.3</v>
      </c>
    </row>
    <row r="5868" spans="1:9" ht="30" x14ac:dyDescent="0.25">
      <c r="A5868" s="5" t="s">
        <v>100</v>
      </c>
      <c r="B5868" s="5" t="s">
        <v>45</v>
      </c>
      <c r="C5868" s="5" t="s">
        <v>6348</v>
      </c>
      <c r="D5868" s="3">
        <f>VLOOKUP(A5868,airports!A:H,7,FALSE)</f>
        <v>45.588722220000001</v>
      </c>
      <c r="E5868" s="3">
        <f>VLOOKUP(A5868,airports!A:H,8,FALSE)</f>
        <v>-122.5975</v>
      </c>
      <c r="F5868" s="3">
        <f>VLOOKUP(B5868,airports!A:H,7,FALSE)</f>
        <v>38.852083329999999</v>
      </c>
      <c r="G5868" s="3">
        <f>VLOOKUP(B5868,airports!A:H,8,FALSE)</f>
        <v>-77.037722220000006</v>
      </c>
      <c r="H5868">
        <f t="shared" si="182"/>
        <v>3773.2</v>
      </c>
      <c r="I5868">
        <f t="shared" si="183"/>
        <v>2344.6999999999998</v>
      </c>
    </row>
    <row r="5869" spans="1:9" ht="30" x14ac:dyDescent="0.25">
      <c r="A5869" s="5" t="s">
        <v>100</v>
      </c>
      <c r="B5869" s="5" t="s">
        <v>47</v>
      </c>
      <c r="C5869" s="5" t="s">
        <v>6349</v>
      </c>
      <c r="D5869" s="3">
        <f>VLOOKUP(A5869,airports!A:H,7,FALSE)</f>
        <v>45.588722220000001</v>
      </c>
      <c r="E5869" s="3">
        <f>VLOOKUP(A5869,airports!A:H,8,FALSE)</f>
        <v>-122.5975</v>
      </c>
      <c r="F5869" s="3">
        <f>VLOOKUP(B5869,airports!A:H,7,FALSE)</f>
        <v>39.858408060000002</v>
      </c>
      <c r="G5869" s="3">
        <f>VLOOKUP(B5869,airports!A:H,8,FALSE)</f>
        <v>-104.6670019</v>
      </c>
      <c r="H5869">
        <f t="shared" si="182"/>
        <v>1592.8</v>
      </c>
      <c r="I5869">
        <f t="shared" si="183"/>
        <v>989.8</v>
      </c>
    </row>
    <row r="5870" spans="1:9" ht="30" x14ac:dyDescent="0.25">
      <c r="A5870" s="5" t="s">
        <v>100</v>
      </c>
      <c r="B5870" s="5" t="s">
        <v>49</v>
      </c>
      <c r="C5870" s="5" t="s">
        <v>6350</v>
      </c>
      <c r="D5870" s="3">
        <f>VLOOKUP(A5870,airports!A:H,7,FALSE)</f>
        <v>45.588722220000001</v>
      </c>
      <c r="E5870" s="3">
        <f>VLOOKUP(A5870,airports!A:H,8,FALSE)</f>
        <v>-122.5975</v>
      </c>
      <c r="F5870" s="3">
        <f>VLOOKUP(B5870,airports!A:H,7,FALSE)</f>
        <v>32.895950560000003</v>
      </c>
      <c r="G5870" s="3">
        <f>VLOOKUP(B5870,airports!A:H,8,FALSE)</f>
        <v>-97.037199999999999</v>
      </c>
      <c r="H5870">
        <f t="shared" si="182"/>
        <v>2597.1</v>
      </c>
      <c r="I5870">
        <f t="shared" si="183"/>
        <v>1613.9</v>
      </c>
    </row>
    <row r="5871" spans="1:9" ht="30" x14ac:dyDescent="0.25">
      <c r="A5871" s="5" t="s">
        <v>100</v>
      </c>
      <c r="B5871" s="5" t="s">
        <v>474</v>
      </c>
      <c r="C5871" s="5" t="s">
        <v>6351</v>
      </c>
      <c r="D5871" s="3">
        <f>VLOOKUP(A5871,airports!A:H,7,FALSE)</f>
        <v>45.588722220000001</v>
      </c>
      <c r="E5871" s="3">
        <f>VLOOKUP(A5871,airports!A:H,8,FALSE)</f>
        <v>-122.5975</v>
      </c>
      <c r="F5871" s="3">
        <f>VLOOKUP(B5871,airports!A:H,7,FALSE)</f>
        <v>41.53493306</v>
      </c>
      <c r="G5871" s="3">
        <f>VLOOKUP(B5871,airports!A:H,8,FALSE)</f>
        <v>-93.660682219999998</v>
      </c>
      <c r="H5871">
        <f t="shared" si="182"/>
        <v>2361.3000000000002</v>
      </c>
      <c r="I5871">
        <f t="shared" si="183"/>
        <v>1467.3</v>
      </c>
    </row>
    <row r="5872" spans="1:9" ht="30" x14ac:dyDescent="0.25">
      <c r="A5872" s="5" t="s">
        <v>100</v>
      </c>
      <c r="B5872" s="5" t="s">
        <v>50</v>
      </c>
      <c r="C5872" s="5" t="s">
        <v>6352</v>
      </c>
      <c r="D5872" s="3">
        <f>VLOOKUP(A5872,airports!A:H,7,FALSE)</f>
        <v>45.588722220000001</v>
      </c>
      <c r="E5872" s="3">
        <f>VLOOKUP(A5872,airports!A:H,8,FALSE)</f>
        <v>-122.5975</v>
      </c>
      <c r="F5872" s="3">
        <f>VLOOKUP(B5872,airports!A:H,7,FALSE)</f>
        <v>42.212058890000002</v>
      </c>
      <c r="G5872" s="3">
        <f>VLOOKUP(B5872,airports!A:H,8,FALSE)</f>
        <v>-83.348835829999999</v>
      </c>
      <c r="H5872">
        <f t="shared" si="182"/>
        <v>3135.3</v>
      </c>
      <c r="I5872">
        <f t="shared" si="183"/>
        <v>1948.3</v>
      </c>
    </row>
    <row r="5873" spans="1:9" ht="30" x14ac:dyDescent="0.25">
      <c r="A5873" s="5" t="s">
        <v>100</v>
      </c>
      <c r="B5873" s="5" t="s">
        <v>848</v>
      </c>
      <c r="C5873" s="5" t="s">
        <v>6353</v>
      </c>
      <c r="D5873" s="3">
        <f>VLOOKUP(A5873,airports!A:H,7,FALSE)</f>
        <v>45.588722220000001</v>
      </c>
      <c r="E5873" s="3">
        <f>VLOOKUP(A5873,airports!A:H,8,FALSE)</f>
        <v>-122.5975</v>
      </c>
      <c r="F5873" s="3">
        <f>VLOOKUP(B5873,airports!A:H,7,FALSE)</f>
        <v>44.123260000000002</v>
      </c>
      <c r="G5873" s="3">
        <f>VLOOKUP(B5873,airports!A:H,8,FALSE)</f>
        <v>-123.2186856</v>
      </c>
      <c r="H5873">
        <f t="shared" si="182"/>
        <v>170.1</v>
      </c>
      <c r="I5873">
        <f t="shared" si="183"/>
        <v>105.7</v>
      </c>
    </row>
    <row r="5874" spans="1:9" ht="30" x14ac:dyDescent="0.25">
      <c r="A5874" s="5" t="s">
        <v>100</v>
      </c>
      <c r="B5874" s="5" t="s">
        <v>52</v>
      </c>
      <c r="C5874" s="5" t="s">
        <v>6354</v>
      </c>
      <c r="D5874" s="3">
        <f>VLOOKUP(A5874,airports!A:H,7,FALSE)</f>
        <v>45.588722220000001</v>
      </c>
      <c r="E5874" s="3">
        <f>VLOOKUP(A5874,airports!A:H,8,FALSE)</f>
        <v>-122.5975</v>
      </c>
      <c r="F5874" s="3">
        <f>VLOOKUP(B5874,airports!A:H,7,FALSE)</f>
        <v>40.69249722</v>
      </c>
      <c r="G5874" s="3">
        <f>VLOOKUP(B5874,airports!A:H,8,FALSE)</f>
        <v>-74.168660560000006</v>
      </c>
      <c r="H5874">
        <f t="shared" si="182"/>
        <v>3906.5</v>
      </c>
      <c r="I5874">
        <f t="shared" si="183"/>
        <v>2427.5</v>
      </c>
    </row>
    <row r="5875" spans="1:9" ht="30" x14ac:dyDescent="0.25">
      <c r="A5875" s="5" t="s">
        <v>100</v>
      </c>
      <c r="B5875" s="5" t="s">
        <v>2365</v>
      </c>
      <c r="C5875" s="5" t="s">
        <v>6355</v>
      </c>
      <c r="D5875" s="3">
        <f>VLOOKUP(A5875,airports!A:H,7,FALSE)</f>
        <v>45.588722220000001</v>
      </c>
      <c r="E5875" s="3">
        <f>VLOOKUP(A5875,airports!A:H,8,FALSE)</f>
        <v>-122.5975</v>
      </c>
      <c r="F5875" s="3">
        <f>VLOOKUP(B5875,airports!A:H,7,FALSE)</f>
        <v>36.776194439999998</v>
      </c>
      <c r="G5875" s="3">
        <f>VLOOKUP(B5875,airports!A:H,8,FALSE)</f>
        <v>-119.7181389</v>
      </c>
      <c r="H5875">
        <f t="shared" si="182"/>
        <v>1008.9</v>
      </c>
      <c r="I5875">
        <f t="shared" si="183"/>
        <v>626.9</v>
      </c>
    </row>
    <row r="5876" spans="1:9" ht="30" x14ac:dyDescent="0.25">
      <c r="A5876" s="5" t="s">
        <v>100</v>
      </c>
      <c r="B5876" s="5" t="s">
        <v>56</v>
      </c>
      <c r="C5876" s="5" t="s">
        <v>6356</v>
      </c>
      <c r="D5876" s="3">
        <f>VLOOKUP(A5876,airports!A:H,7,FALSE)</f>
        <v>45.588722220000001</v>
      </c>
      <c r="E5876" s="3">
        <f>VLOOKUP(A5876,airports!A:H,8,FALSE)</f>
        <v>-122.5975</v>
      </c>
      <c r="F5876" s="3">
        <f>VLOOKUP(B5876,airports!A:H,7,FALSE)</f>
        <v>48.311404719999999</v>
      </c>
      <c r="G5876" s="3">
        <f>VLOOKUP(B5876,airports!A:H,8,FALSE)</f>
        <v>-114.2550694</v>
      </c>
      <c r="H5876">
        <f t="shared" si="182"/>
        <v>701.4</v>
      </c>
      <c r="I5876">
        <f t="shared" si="183"/>
        <v>435.8</v>
      </c>
    </row>
    <row r="5877" spans="1:9" x14ac:dyDescent="0.25">
      <c r="A5877" s="5" t="s">
        <v>100</v>
      </c>
      <c r="B5877" s="5" t="s">
        <v>57</v>
      </c>
      <c r="C5877" s="5" t="s">
        <v>6357</v>
      </c>
      <c r="D5877" s="3">
        <f>VLOOKUP(A5877,airports!A:H,7,FALSE)</f>
        <v>45.588722220000001</v>
      </c>
      <c r="E5877" s="3">
        <f>VLOOKUP(A5877,airports!A:H,8,FALSE)</f>
        <v>-122.5975</v>
      </c>
      <c r="F5877" s="3">
        <f>VLOOKUP(B5877,airports!A:H,7,FALSE)</f>
        <v>26.072583330000001</v>
      </c>
      <c r="G5877" s="3">
        <f>VLOOKUP(B5877,airports!A:H,8,FALSE)</f>
        <v>-80.152749999999997</v>
      </c>
      <c r="H5877">
        <f t="shared" si="182"/>
        <v>4329.8999999999996</v>
      </c>
      <c r="I5877">
        <f t="shared" si="183"/>
        <v>2690.6</v>
      </c>
    </row>
    <row r="5878" spans="1:9" ht="30" x14ac:dyDescent="0.25">
      <c r="A5878" s="5" t="s">
        <v>100</v>
      </c>
      <c r="B5878" s="5" t="s">
        <v>505</v>
      </c>
      <c r="C5878" s="5" t="s">
        <v>6358</v>
      </c>
      <c r="D5878" s="3">
        <f>VLOOKUP(A5878,airports!A:H,7,FALSE)</f>
        <v>45.588722220000001</v>
      </c>
      <c r="E5878" s="3">
        <f>VLOOKUP(A5878,airports!A:H,8,FALSE)</f>
        <v>-122.5975</v>
      </c>
      <c r="F5878" s="3">
        <f>VLOOKUP(B5878,airports!A:H,7,FALSE)</f>
        <v>47.619855559999998</v>
      </c>
      <c r="G5878" s="3">
        <f>VLOOKUP(B5878,airports!A:H,8,FALSE)</f>
        <v>-117.53384250000001</v>
      </c>
      <c r="H5878">
        <f t="shared" si="182"/>
        <v>447.8</v>
      </c>
      <c r="I5878">
        <f t="shared" si="183"/>
        <v>278.3</v>
      </c>
    </row>
    <row r="5879" spans="1:9" ht="30" x14ac:dyDescent="0.25">
      <c r="A5879" s="5" t="s">
        <v>100</v>
      </c>
      <c r="B5879" s="5" t="s">
        <v>515</v>
      </c>
      <c r="C5879" s="5" t="s">
        <v>6359</v>
      </c>
      <c r="D5879" s="3">
        <f>VLOOKUP(A5879,airports!A:H,7,FALSE)</f>
        <v>45.588722220000001</v>
      </c>
      <c r="E5879" s="3">
        <f>VLOOKUP(A5879,airports!A:H,8,FALSE)</f>
        <v>-122.5975</v>
      </c>
      <c r="F5879" s="3">
        <f>VLOOKUP(B5879,airports!A:H,7,FALSE)</f>
        <v>42.880819719999998</v>
      </c>
      <c r="G5879" s="3">
        <f>VLOOKUP(B5879,airports!A:H,8,FALSE)</f>
        <v>-85.522767779999995</v>
      </c>
      <c r="H5879">
        <f t="shared" si="182"/>
        <v>2942.6</v>
      </c>
      <c r="I5879">
        <f t="shared" si="183"/>
        <v>1828.5</v>
      </c>
    </row>
    <row r="5880" spans="1:9" ht="30" x14ac:dyDescent="0.25">
      <c r="A5880" s="5" t="s">
        <v>100</v>
      </c>
      <c r="B5880" s="5" t="s">
        <v>360</v>
      </c>
      <c r="C5880" s="5" t="s">
        <v>6360</v>
      </c>
      <c r="D5880" s="3">
        <f>VLOOKUP(A5880,airports!A:H,7,FALSE)</f>
        <v>45.588722220000001</v>
      </c>
      <c r="E5880" s="3">
        <f>VLOOKUP(A5880,airports!A:H,8,FALSE)</f>
        <v>-122.5975</v>
      </c>
      <c r="F5880" s="3">
        <f>VLOOKUP(B5880,airports!A:H,7,FALSE)</f>
        <v>21.31869111</v>
      </c>
      <c r="G5880" s="3">
        <f>VLOOKUP(B5880,airports!A:H,8,FALSE)</f>
        <v>-157.92240720000001</v>
      </c>
      <c r="H5880">
        <f t="shared" si="182"/>
        <v>4188.2</v>
      </c>
      <c r="I5880">
        <f t="shared" si="183"/>
        <v>2602.6</v>
      </c>
    </row>
    <row r="5881" spans="1:9" ht="30" x14ac:dyDescent="0.25">
      <c r="A5881" s="5" t="s">
        <v>100</v>
      </c>
      <c r="B5881" s="5" t="s">
        <v>205</v>
      </c>
      <c r="C5881" s="5" t="s">
        <v>6361</v>
      </c>
      <c r="D5881" s="3">
        <f>VLOOKUP(A5881,airports!A:H,7,FALSE)</f>
        <v>45.588722220000001</v>
      </c>
      <c r="E5881" s="3">
        <f>VLOOKUP(A5881,airports!A:H,8,FALSE)</f>
        <v>-122.5975</v>
      </c>
      <c r="F5881" s="3">
        <f>VLOOKUP(B5881,airports!A:H,7,FALSE)</f>
        <v>29.64541861</v>
      </c>
      <c r="G5881" s="3">
        <f>VLOOKUP(B5881,airports!A:H,8,FALSE)</f>
        <v>-95.278888890000005</v>
      </c>
      <c r="H5881">
        <f t="shared" si="182"/>
        <v>2964.2</v>
      </c>
      <c r="I5881">
        <f t="shared" si="183"/>
        <v>1842</v>
      </c>
    </row>
    <row r="5882" spans="1:9" ht="30" x14ac:dyDescent="0.25">
      <c r="A5882" s="5" t="s">
        <v>100</v>
      </c>
      <c r="B5882" s="5" t="s">
        <v>176</v>
      </c>
      <c r="C5882" s="5" t="s">
        <v>6362</v>
      </c>
      <c r="D5882" s="3">
        <f>VLOOKUP(A5882,airports!A:H,7,FALSE)</f>
        <v>45.588722220000001</v>
      </c>
      <c r="E5882" s="3">
        <f>VLOOKUP(A5882,airports!A:H,8,FALSE)</f>
        <v>-122.5975</v>
      </c>
      <c r="F5882" s="3">
        <f>VLOOKUP(B5882,airports!A:H,7,FALSE)</f>
        <v>38.944531939999997</v>
      </c>
      <c r="G5882" s="3">
        <f>VLOOKUP(B5882,airports!A:H,8,FALSE)</f>
        <v>-77.455809720000005</v>
      </c>
      <c r="H5882">
        <f t="shared" si="182"/>
        <v>3736.2</v>
      </c>
      <c r="I5882">
        <f t="shared" si="183"/>
        <v>2321.6999999999998</v>
      </c>
    </row>
    <row r="5883" spans="1:9" ht="30" x14ac:dyDescent="0.25">
      <c r="A5883" s="5" t="s">
        <v>100</v>
      </c>
      <c r="B5883" s="5" t="s">
        <v>67</v>
      </c>
      <c r="C5883" s="5" t="s">
        <v>6363</v>
      </c>
      <c r="D5883" s="3">
        <f>VLOOKUP(A5883,airports!A:H,7,FALSE)</f>
        <v>45.588722220000001</v>
      </c>
      <c r="E5883" s="3">
        <f>VLOOKUP(A5883,airports!A:H,8,FALSE)</f>
        <v>-122.5975</v>
      </c>
      <c r="F5883" s="3">
        <f>VLOOKUP(B5883,airports!A:H,7,FALSE)</f>
        <v>29.980472219999999</v>
      </c>
      <c r="G5883" s="3">
        <f>VLOOKUP(B5883,airports!A:H,8,FALSE)</f>
        <v>-95.339722219999999</v>
      </c>
      <c r="H5883">
        <f t="shared" si="182"/>
        <v>2934.1</v>
      </c>
      <c r="I5883">
        <f t="shared" si="183"/>
        <v>1823.3</v>
      </c>
    </row>
    <row r="5884" spans="1:9" ht="30" x14ac:dyDescent="0.25">
      <c r="A5884" s="5" t="s">
        <v>100</v>
      </c>
      <c r="B5884" s="5" t="s">
        <v>867</v>
      </c>
      <c r="C5884" s="5" t="s">
        <v>6364</v>
      </c>
      <c r="D5884" s="3">
        <f>VLOOKUP(A5884,airports!A:H,7,FALSE)</f>
        <v>45.588722220000001</v>
      </c>
      <c r="E5884" s="3">
        <f>VLOOKUP(A5884,airports!A:H,8,FALSE)</f>
        <v>-122.5975</v>
      </c>
      <c r="F5884" s="3">
        <f>VLOOKUP(B5884,airports!A:H,7,FALSE)</f>
        <v>43.514555559999998</v>
      </c>
      <c r="G5884" s="3">
        <f>VLOOKUP(B5884,airports!A:H,8,FALSE)</f>
        <v>-112.0701667</v>
      </c>
      <c r="H5884">
        <f t="shared" si="182"/>
        <v>864.7</v>
      </c>
      <c r="I5884">
        <f t="shared" si="183"/>
        <v>537.4</v>
      </c>
    </row>
    <row r="5885" spans="1:9" x14ac:dyDescent="0.25">
      <c r="A5885" s="5" t="s">
        <v>100</v>
      </c>
      <c r="B5885" s="5" t="s">
        <v>69</v>
      </c>
      <c r="C5885" s="5" t="s">
        <v>6365</v>
      </c>
      <c r="D5885" s="3">
        <f>VLOOKUP(A5885,airports!A:H,7,FALSE)</f>
        <v>45.588722220000001</v>
      </c>
      <c r="E5885" s="3">
        <f>VLOOKUP(A5885,airports!A:H,8,FALSE)</f>
        <v>-122.5975</v>
      </c>
      <c r="F5885" s="3">
        <f>VLOOKUP(B5885,airports!A:H,7,FALSE)</f>
        <v>40.639751109999999</v>
      </c>
      <c r="G5885" s="3">
        <f>VLOOKUP(B5885,airports!A:H,8,FALSE)</f>
        <v>-73.778925560000005</v>
      </c>
      <c r="H5885">
        <f t="shared" si="182"/>
        <v>3938.8</v>
      </c>
      <c r="I5885">
        <f t="shared" si="183"/>
        <v>2447.6</v>
      </c>
    </row>
    <row r="5886" spans="1:9" ht="30" x14ac:dyDescent="0.25">
      <c r="A5886" s="5" t="s">
        <v>100</v>
      </c>
      <c r="B5886" s="5" t="s">
        <v>366</v>
      </c>
      <c r="C5886" s="5" t="s">
        <v>6366</v>
      </c>
      <c r="D5886" s="3">
        <f>VLOOKUP(A5886,airports!A:H,7,FALSE)</f>
        <v>45.588722220000001</v>
      </c>
      <c r="E5886" s="3">
        <f>VLOOKUP(A5886,airports!A:H,8,FALSE)</f>
        <v>-122.5975</v>
      </c>
      <c r="F5886" s="3">
        <f>VLOOKUP(B5886,airports!A:H,7,FALSE)</f>
        <v>19.738765829999998</v>
      </c>
      <c r="G5886" s="3">
        <f>VLOOKUP(B5886,airports!A:H,8,FALSE)</f>
        <v>-156.04563139999999</v>
      </c>
      <c r="H5886">
        <f t="shared" si="182"/>
        <v>4195.8999999999996</v>
      </c>
      <c r="I5886">
        <f t="shared" si="183"/>
        <v>2607.4</v>
      </c>
    </row>
    <row r="5887" spans="1:9" ht="30" x14ac:dyDescent="0.25">
      <c r="A5887" s="5" t="s">
        <v>100</v>
      </c>
      <c r="B5887" s="5" t="s">
        <v>71</v>
      </c>
      <c r="C5887" s="5" t="s">
        <v>6367</v>
      </c>
      <c r="D5887" s="3">
        <f>VLOOKUP(A5887,airports!A:H,7,FALSE)</f>
        <v>45.588722220000001</v>
      </c>
      <c r="E5887" s="3">
        <f>VLOOKUP(A5887,airports!A:H,8,FALSE)</f>
        <v>-122.5975</v>
      </c>
      <c r="F5887" s="3">
        <f>VLOOKUP(B5887,airports!A:H,7,FALSE)</f>
        <v>36.080361109999998</v>
      </c>
      <c r="G5887" s="3">
        <f>VLOOKUP(B5887,airports!A:H,8,FALSE)</f>
        <v>-115.1523333</v>
      </c>
      <c r="H5887">
        <f t="shared" si="182"/>
        <v>1227.5999999999999</v>
      </c>
      <c r="I5887">
        <f t="shared" si="183"/>
        <v>762.8</v>
      </c>
    </row>
    <row r="5888" spans="1:9" ht="30" x14ac:dyDescent="0.25">
      <c r="A5888" s="5" t="s">
        <v>100</v>
      </c>
      <c r="B5888" s="5" t="s">
        <v>73</v>
      </c>
      <c r="C5888" s="5" t="s">
        <v>6368</v>
      </c>
      <c r="D5888" s="3">
        <f>VLOOKUP(A5888,airports!A:H,7,FALSE)</f>
        <v>45.588722220000001</v>
      </c>
      <c r="E5888" s="3">
        <f>VLOOKUP(A5888,airports!A:H,8,FALSE)</f>
        <v>-122.5975</v>
      </c>
      <c r="F5888" s="3">
        <f>VLOOKUP(B5888,airports!A:H,7,FALSE)</f>
        <v>33.942536109999999</v>
      </c>
      <c r="G5888" s="3">
        <f>VLOOKUP(B5888,airports!A:H,8,FALSE)</f>
        <v>-118.4080744</v>
      </c>
      <c r="H5888">
        <f t="shared" si="182"/>
        <v>1343.1</v>
      </c>
      <c r="I5888">
        <f t="shared" si="183"/>
        <v>834.6</v>
      </c>
    </row>
    <row r="5889" spans="1:9" ht="30" x14ac:dyDescent="0.25">
      <c r="A5889" s="5" t="s">
        <v>100</v>
      </c>
      <c r="B5889" s="5" t="s">
        <v>742</v>
      </c>
      <c r="C5889" s="5" t="s">
        <v>6369</v>
      </c>
      <c r="D5889" s="3">
        <f>VLOOKUP(A5889,airports!A:H,7,FALSE)</f>
        <v>45.588722220000001</v>
      </c>
      <c r="E5889" s="3">
        <f>VLOOKUP(A5889,airports!A:H,8,FALSE)</f>
        <v>-122.5975</v>
      </c>
      <c r="F5889" s="3">
        <f>VLOOKUP(B5889,airports!A:H,7,FALSE)</f>
        <v>33.81772222</v>
      </c>
      <c r="G5889" s="3">
        <f>VLOOKUP(B5889,airports!A:H,8,FALSE)</f>
        <v>-118.1516111</v>
      </c>
      <c r="H5889">
        <f t="shared" si="182"/>
        <v>1362.4</v>
      </c>
      <c r="I5889">
        <f t="shared" si="183"/>
        <v>846.6</v>
      </c>
    </row>
    <row r="5890" spans="1:9" x14ac:dyDescent="0.25">
      <c r="A5890" s="5" t="s">
        <v>100</v>
      </c>
      <c r="B5890" s="5" t="s">
        <v>2421</v>
      </c>
      <c r="C5890" s="5" t="s">
        <v>6370</v>
      </c>
      <c r="D5890" s="3">
        <f>VLOOKUP(A5890,airports!A:H,7,FALSE)</f>
        <v>45.588722220000001</v>
      </c>
      <c r="E5890" s="3">
        <f>VLOOKUP(A5890,airports!A:H,8,FALSE)</f>
        <v>-122.5975</v>
      </c>
      <c r="F5890" s="3">
        <f>VLOOKUP(B5890,airports!A:H,7,FALSE)</f>
        <v>21.975983060000001</v>
      </c>
      <c r="G5890" s="3">
        <f>VLOOKUP(B5890,airports!A:H,8,FALSE)</f>
        <v>-159.33895810000001</v>
      </c>
      <c r="H5890">
        <f t="shared" si="182"/>
        <v>4232.2</v>
      </c>
      <c r="I5890">
        <f t="shared" si="183"/>
        <v>2629.9</v>
      </c>
    </row>
    <row r="5891" spans="1:9" ht="30" x14ac:dyDescent="0.25">
      <c r="A5891" s="5" t="s">
        <v>100</v>
      </c>
      <c r="B5891" s="5" t="s">
        <v>80</v>
      </c>
      <c r="C5891" s="5" t="s">
        <v>6371</v>
      </c>
      <c r="D5891" s="3">
        <f>VLOOKUP(A5891,airports!A:H,7,FALSE)</f>
        <v>45.588722220000001</v>
      </c>
      <c r="E5891" s="3">
        <f>VLOOKUP(A5891,airports!A:H,8,FALSE)</f>
        <v>-122.5975</v>
      </c>
      <c r="F5891" s="3">
        <f>VLOOKUP(B5891,airports!A:H,7,FALSE)</f>
        <v>39.297605279999999</v>
      </c>
      <c r="G5891" s="3">
        <f>VLOOKUP(B5891,airports!A:H,8,FALSE)</f>
        <v>-94.713905560000001</v>
      </c>
      <c r="H5891">
        <f t="shared" si="182"/>
        <v>2378.6999999999998</v>
      </c>
      <c r="I5891">
        <f t="shared" si="183"/>
        <v>1478.2</v>
      </c>
    </row>
    <row r="5892" spans="1:9" ht="30" x14ac:dyDescent="0.25">
      <c r="A5892" s="5" t="s">
        <v>100</v>
      </c>
      <c r="B5892" s="5" t="s">
        <v>82</v>
      </c>
      <c r="C5892" s="5" t="s">
        <v>6372</v>
      </c>
      <c r="D5892" s="3">
        <f>VLOOKUP(A5892,airports!A:H,7,FALSE)</f>
        <v>45.588722220000001</v>
      </c>
      <c r="E5892" s="3">
        <f>VLOOKUP(A5892,airports!A:H,8,FALSE)</f>
        <v>-122.5975</v>
      </c>
      <c r="F5892" s="3">
        <f>VLOOKUP(B5892,airports!A:H,7,FALSE)</f>
        <v>28.42888889</v>
      </c>
      <c r="G5892" s="3">
        <f>VLOOKUP(B5892,airports!A:H,8,FALSE)</f>
        <v>-81.316027779999999</v>
      </c>
      <c r="H5892">
        <f t="shared" ref="H5892:H5955" si="184">ROUND(ACOS(COS(RADIANS(90-D5892)) * COS(RADIANS(90-F5892)) + SIN(RADIANS(90-D5892)) * SIN(RADIANS(90-F5892)) * COS(RADIANS(E5892-G5892))) * 6371,1)</f>
        <v>4072.7</v>
      </c>
      <c r="I5892">
        <f t="shared" ref="I5892:I5955" si="185">ROUND(ACOS(COS(RADIANS(90-D5892)) * COS(RADIANS(90-F5892)) + SIN(RADIANS(90-D5892)) * SIN(RADIANS(90-F5892)) * COS(RADIANS(E5892-G5892))) * 3959,1)</f>
        <v>2530.8000000000002</v>
      </c>
    </row>
    <row r="5893" spans="1:9" ht="30" x14ac:dyDescent="0.25">
      <c r="A5893" s="5" t="s">
        <v>100</v>
      </c>
      <c r="B5893" s="5" t="s">
        <v>180</v>
      </c>
      <c r="C5893" s="5" t="s">
        <v>6373</v>
      </c>
      <c r="D5893" s="3">
        <f>VLOOKUP(A5893,airports!A:H,7,FALSE)</f>
        <v>45.588722220000001</v>
      </c>
      <c r="E5893" s="3">
        <f>VLOOKUP(A5893,airports!A:H,8,FALSE)</f>
        <v>-122.5975</v>
      </c>
      <c r="F5893" s="3">
        <f>VLOOKUP(B5893,airports!A:H,7,FALSE)</f>
        <v>41.785982500000003</v>
      </c>
      <c r="G5893" s="3">
        <f>VLOOKUP(B5893,airports!A:H,8,FALSE)</f>
        <v>-87.752424439999999</v>
      </c>
      <c r="H5893">
        <f t="shared" si="184"/>
        <v>2810.9</v>
      </c>
      <c r="I5893">
        <f t="shared" si="185"/>
        <v>1746.7</v>
      </c>
    </row>
    <row r="5894" spans="1:9" ht="30" x14ac:dyDescent="0.25">
      <c r="A5894" s="5" t="s">
        <v>100</v>
      </c>
      <c r="B5894" s="5" t="s">
        <v>875</v>
      </c>
      <c r="C5894" s="5" t="s">
        <v>6374</v>
      </c>
      <c r="D5894" s="3">
        <f>VLOOKUP(A5894,airports!A:H,7,FALSE)</f>
        <v>45.588722220000001</v>
      </c>
      <c r="E5894" s="3">
        <f>VLOOKUP(A5894,airports!A:H,8,FALSE)</f>
        <v>-122.5975</v>
      </c>
      <c r="F5894" s="3">
        <f>VLOOKUP(B5894,airports!A:H,7,FALSE)</f>
        <v>42.374227779999998</v>
      </c>
      <c r="G5894" s="3">
        <f>VLOOKUP(B5894,airports!A:H,8,FALSE)</f>
        <v>-122.8734978</v>
      </c>
      <c r="H5894">
        <f t="shared" si="184"/>
        <v>358.1</v>
      </c>
      <c r="I5894">
        <f t="shared" si="185"/>
        <v>222.5</v>
      </c>
    </row>
    <row r="5895" spans="1:9" ht="30" x14ac:dyDescent="0.25">
      <c r="A5895" s="5" t="s">
        <v>100</v>
      </c>
      <c r="B5895" s="5" t="s">
        <v>85</v>
      </c>
      <c r="C5895" s="5" t="s">
        <v>6375</v>
      </c>
      <c r="D5895" s="3">
        <f>VLOOKUP(A5895,airports!A:H,7,FALSE)</f>
        <v>45.588722220000001</v>
      </c>
      <c r="E5895" s="3">
        <f>VLOOKUP(A5895,airports!A:H,8,FALSE)</f>
        <v>-122.5975</v>
      </c>
      <c r="F5895" s="3">
        <f>VLOOKUP(B5895,airports!A:H,7,FALSE)</f>
        <v>42.94722222</v>
      </c>
      <c r="G5895" s="3">
        <f>VLOOKUP(B5895,airports!A:H,8,FALSE)</f>
        <v>-87.896583329999999</v>
      </c>
      <c r="H5895">
        <f t="shared" si="184"/>
        <v>2756.9</v>
      </c>
      <c r="I5895">
        <f t="shared" si="185"/>
        <v>1713.2</v>
      </c>
    </row>
    <row r="5896" spans="1:9" ht="30" x14ac:dyDescent="0.25">
      <c r="A5896" s="5" t="s">
        <v>100</v>
      </c>
      <c r="B5896" s="5" t="s">
        <v>2439</v>
      </c>
      <c r="C5896" s="5" t="s">
        <v>6376</v>
      </c>
      <c r="D5896" s="3">
        <f>VLOOKUP(A5896,airports!A:H,7,FALSE)</f>
        <v>45.588722220000001</v>
      </c>
      <c r="E5896" s="3">
        <f>VLOOKUP(A5896,airports!A:H,8,FALSE)</f>
        <v>-122.5975</v>
      </c>
      <c r="F5896" s="3">
        <f>VLOOKUP(B5896,airports!A:H,7,FALSE)</f>
        <v>36.586982499999998</v>
      </c>
      <c r="G5896" s="3">
        <f>VLOOKUP(B5896,airports!A:H,8,FALSE)</f>
        <v>-121.8429478</v>
      </c>
      <c r="H5896">
        <f t="shared" si="184"/>
        <v>1002.9</v>
      </c>
      <c r="I5896">
        <f t="shared" si="185"/>
        <v>623.20000000000005</v>
      </c>
    </row>
    <row r="5897" spans="1:9" ht="30" x14ac:dyDescent="0.25">
      <c r="A5897" s="5" t="s">
        <v>100</v>
      </c>
      <c r="B5897" s="5" t="s">
        <v>581</v>
      </c>
      <c r="C5897" s="5" t="s">
        <v>6377</v>
      </c>
      <c r="D5897" s="3">
        <f>VLOOKUP(A5897,airports!A:H,7,FALSE)</f>
        <v>45.588722220000001</v>
      </c>
      <c r="E5897" s="3">
        <f>VLOOKUP(A5897,airports!A:H,8,FALSE)</f>
        <v>-122.5975</v>
      </c>
      <c r="F5897" s="3">
        <f>VLOOKUP(B5897,airports!A:H,7,FALSE)</f>
        <v>46.916305559999998</v>
      </c>
      <c r="G5897" s="3">
        <f>VLOOKUP(B5897,airports!A:H,8,FALSE)</f>
        <v>-114.0905556</v>
      </c>
      <c r="H5897">
        <f t="shared" si="184"/>
        <v>670.2</v>
      </c>
      <c r="I5897">
        <f t="shared" si="185"/>
        <v>416.5</v>
      </c>
    </row>
    <row r="5898" spans="1:9" ht="30" x14ac:dyDescent="0.25">
      <c r="A5898" s="5" t="s">
        <v>100</v>
      </c>
      <c r="B5898" s="5" t="s">
        <v>87</v>
      </c>
      <c r="C5898" s="5" t="s">
        <v>6378</v>
      </c>
      <c r="D5898" s="3">
        <f>VLOOKUP(A5898,airports!A:H,7,FALSE)</f>
        <v>45.588722220000001</v>
      </c>
      <c r="E5898" s="3">
        <f>VLOOKUP(A5898,airports!A:H,8,FALSE)</f>
        <v>-122.5975</v>
      </c>
      <c r="F5898" s="3">
        <f>VLOOKUP(B5898,airports!A:H,7,FALSE)</f>
        <v>44.880546940000002</v>
      </c>
      <c r="G5898" s="3">
        <f>VLOOKUP(B5898,airports!A:H,8,FALSE)</f>
        <v>-93.216922499999995</v>
      </c>
      <c r="H5898">
        <f t="shared" si="184"/>
        <v>2289.1</v>
      </c>
      <c r="I5898">
        <f t="shared" si="185"/>
        <v>1422.4</v>
      </c>
    </row>
    <row r="5899" spans="1:9" ht="30" x14ac:dyDescent="0.25">
      <c r="A5899" s="5" t="s">
        <v>100</v>
      </c>
      <c r="B5899" s="5" t="s">
        <v>215</v>
      </c>
      <c r="C5899" s="5" t="s">
        <v>6379</v>
      </c>
      <c r="D5899" s="3">
        <f>VLOOKUP(A5899,airports!A:H,7,FALSE)</f>
        <v>45.588722220000001</v>
      </c>
      <c r="E5899" s="3">
        <f>VLOOKUP(A5899,airports!A:H,8,FALSE)</f>
        <v>-122.5975</v>
      </c>
      <c r="F5899" s="3">
        <f>VLOOKUP(B5899,airports!A:H,7,FALSE)</f>
        <v>37.721290830000001</v>
      </c>
      <c r="G5899" s="3">
        <f>VLOOKUP(B5899,airports!A:H,8,FALSE)</f>
        <v>-122.2207167</v>
      </c>
      <c r="H5899">
        <f t="shared" si="184"/>
        <v>875.4</v>
      </c>
      <c r="I5899">
        <f t="shared" si="185"/>
        <v>544</v>
      </c>
    </row>
    <row r="5900" spans="1:9" ht="30" x14ac:dyDescent="0.25">
      <c r="A5900" s="5" t="s">
        <v>100</v>
      </c>
      <c r="B5900" s="5" t="s">
        <v>371</v>
      </c>
      <c r="C5900" s="5" t="s">
        <v>6380</v>
      </c>
      <c r="D5900" s="3">
        <f>VLOOKUP(A5900,airports!A:H,7,FALSE)</f>
        <v>45.588722220000001</v>
      </c>
      <c r="E5900" s="3">
        <f>VLOOKUP(A5900,airports!A:H,8,FALSE)</f>
        <v>-122.5975</v>
      </c>
      <c r="F5900" s="3">
        <f>VLOOKUP(B5900,airports!A:H,7,FALSE)</f>
        <v>20.898649720000002</v>
      </c>
      <c r="G5900" s="3">
        <f>VLOOKUP(B5900,airports!A:H,8,FALSE)</f>
        <v>-156.4304578</v>
      </c>
      <c r="H5900">
        <f t="shared" si="184"/>
        <v>4122.3</v>
      </c>
      <c r="I5900">
        <f t="shared" si="185"/>
        <v>2561.6</v>
      </c>
    </row>
    <row r="5901" spans="1:9" ht="30" x14ac:dyDescent="0.25">
      <c r="A5901" s="5" t="s">
        <v>100</v>
      </c>
      <c r="B5901" s="5" t="s">
        <v>592</v>
      </c>
      <c r="C5901" s="5" t="s">
        <v>6381</v>
      </c>
      <c r="D5901" s="3">
        <f>VLOOKUP(A5901,airports!A:H,7,FALSE)</f>
        <v>45.588722220000001</v>
      </c>
      <c r="E5901" s="3">
        <f>VLOOKUP(A5901,airports!A:H,8,FALSE)</f>
        <v>-122.5975</v>
      </c>
      <c r="F5901" s="3">
        <f>VLOOKUP(B5901,airports!A:H,7,FALSE)</f>
        <v>41.30251861</v>
      </c>
      <c r="G5901" s="3">
        <f>VLOOKUP(B5901,airports!A:H,8,FALSE)</f>
        <v>-95.89417306</v>
      </c>
      <c r="H5901">
        <f t="shared" si="184"/>
        <v>2196.9</v>
      </c>
      <c r="I5901">
        <f t="shared" si="185"/>
        <v>1365.2</v>
      </c>
    </row>
    <row r="5902" spans="1:9" ht="30" x14ac:dyDescent="0.25">
      <c r="A5902" s="5" t="s">
        <v>100</v>
      </c>
      <c r="B5902" s="5" t="s">
        <v>94</v>
      </c>
      <c r="C5902" s="5" t="s">
        <v>6382</v>
      </c>
      <c r="D5902" s="3">
        <f>VLOOKUP(A5902,airports!A:H,7,FALSE)</f>
        <v>45.588722220000001</v>
      </c>
      <c r="E5902" s="3">
        <f>VLOOKUP(A5902,airports!A:H,8,FALSE)</f>
        <v>-122.5975</v>
      </c>
      <c r="F5902" s="3">
        <f>VLOOKUP(B5902,airports!A:H,7,FALSE)</f>
        <v>34.055999999999997</v>
      </c>
      <c r="G5902" s="3">
        <f>VLOOKUP(B5902,airports!A:H,8,FALSE)</f>
        <v>-117.6011944</v>
      </c>
      <c r="H5902">
        <f t="shared" si="184"/>
        <v>1350.8</v>
      </c>
      <c r="I5902">
        <f t="shared" si="185"/>
        <v>839.4</v>
      </c>
    </row>
    <row r="5903" spans="1:9" ht="30" x14ac:dyDescent="0.25">
      <c r="A5903" s="5" t="s">
        <v>100</v>
      </c>
      <c r="B5903" s="5" t="s">
        <v>95</v>
      </c>
      <c r="C5903" s="5" t="s">
        <v>6383</v>
      </c>
      <c r="D5903" s="3">
        <f>VLOOKUP(A5903,airports!A:H,7,FALSE)</f>
        <v>45.588722220000001</v>
      </c>
      <c r="E5903" s="3">
        <f>VLOOKUP(A5903,airports!A:H,8,FALSE)</f>
        <v>-122.5975</v>
      </c>
      <c r="F5903" s="3">
        <f>VLOOKUP(B5903,airports!A:H,7,FALSE)</f>
        <v>41.979595000000003</v>
      </c>
      <c r="G5903" s="3">
        <f>VLOOKUP(B5903,airports!A:H,8,FALSE)</f>
        <v>-87.904464169999997</v>
      </c>
      <c r="H5903">
        <f t="shared" si="184"/>
        <v>2791.6</v>
      </c>
      <c r="I5903">
        <f t="shared" si="185"/>
        <v>1734.7</v>
      </c>
    </row>
    <row r="5904" spans="1:9" ht="30" x14ac:dyDescent="0.25">
      <c r="A5904" s="5" t="s">
        <v>100</v>
      </c>
      <c r="B5904" s="5" t="s">
        <v>1214</v>
      </c>
      <c r="C5904" s="5" t="s">
        <v>6384</v>
      </c>
      <c r="D5904" s="3">
        <f>VLOOKUP(A5904,airports!A:H,7,FALSE)</f>
        <v>45.588722220000001</v>
      </c>
      <c r="E5904" s="3">
        <f>VLOOKUP(A5904,airports!A:H,8,FALSE)</f>
        <v>-122.5975</v>
      </c>
      <c r="F5904" s="3">
        <f>VLOOKUP(B5904,airports!A:H,7,FALSE)</f>
        <v>47.906300000000002</v>
      </c>
      <c r="G5904" s="3">
        <f>VLOOKUP(B5904,airports!A:H,8,FALSE)</f>
        <v>-122.281998</v>
      </c>
      <c r="H5904">
        <f t="shared" si="184"/>
        <v>258.8</v>
      </c>
      <c r="I5904">
        <f t="shared" si="185"/>
        <v>160.80000000000001</v>
      </c>
    </row>
    <row r="5905" spans="1:9" ht="30" x14ac:dyDescent="0.25">
      <c r="A5905" s="5" t="s">
        <v>100</v>
      </c>
      <c r="B5905" s="5" t="s">
        <v>102</v>
      </c>
      <c r="C5905" s="5" t="s">
        <v>6385</v>
      </c>
      <c r="D5905" s="3">
        <f>VLOOKUP(A5905,airports!A:H,7,FALSE)</f>
        <v>45.588722220000001</v>
      </c>
      <c r="E5905" s="3">
        <f>VLOOKUP(A5905,airports!A:H,8,FALSE)</f>
        <v>-122.5975</v>
      </c>
      <c r="F5905" s="3">
        <f>VLOOKUP(B5905,airports!A:H,7,FALSE)</f>
        <v>39.871952780000001</v>
      </c>
      <c r="G5905" s="3">
        <f>VLOOKUP(B5905,airports!A:H,8,FALSE)</f>
        <v>-75.241140830000006</v>
      </c>
      <c r="H5905">
        <f t="shared" si="184"/>
        <v>3862.5</v>
      </c>
      <c r="I5905">
        <f t="shared" si="185"/>
        <v>2400.1999999999998</v>
      </c>
    </row>
    <row r="5906" spans="1:9" ht="30" x14ac:dyDescent="0.25">
      <c r="A5906" s="5" t="s">
        <v>100</v>
      </c>
      <c r="B5906" s="5" t="s">
        <v>104</v>
      </c>
      <c r="C5906" s="5" t="s">
        <v>6386</v>
      </c>
      <c r="D5906" s="3">
        <f>VLOOKUP(A5906,airports!A:H,7,FALSE)</f>
        <v>45.588722220000001</v>
      </c>
      <c r="E5906" s="3">
        <f>VLOOKUP(A5906,airports!A:H,8,FALSE)</f>
        <v>-122.5975</v>
      </c>
      <c r="F5906" s="3">
        <f>VLOOKUP(B5906,airports!A:H,7,FALSE)</f>
        <v>33.434166670000003</v>
      </c>
      <c r="G5906" s="3">
        <f>VLOOKUP(B5906,airports!A:H,8,FALSE)</f>
        <v>-112.00805560000001</v>
      </c>
      <c r="H5906">
        <f t="shared" si="184"/>
        <v>1625.3</v>
      </c>
      <c r="I5906">
        <f t="shared" si="185"/>
        <v>1010</v>
      </c>
    </row>
    <row r="5907" spans="1:9" ht="30" x14ac:dyDescent="0.25">
      <c r="A5907" s="5" t="s">
        <v>100</v>
      </c>
      <c r="B5907" s="5" t="s">
        <v>890</v>
      </c>
      <c r="C5907" s="5" t="s">
        <v>6387</v>
      </c>
      <c r="D5907" s="3">
        <f>VLOOKUP(A5907,airports!A:H,7,FALSE)</f>
        <v>45.588722220000001</v>
      </c>
      <c r="E5907" s="3">
        <f>VLOOKUP(A5907,airports!A:H,8,FALSE)</f>
        <v>-122.5975</v>
      </c>
      <c r="F5907" s="3">
        <f>VLOOKUP(B5907,airports!A:H,7,FALSE)</f>
        <v>46.26468028</v>
      </c>
      <c r="G5907" s="3">
        <f>VLOOKUP(B5907,airports!A:H,8,FALSE)</f>
        <v>-119.1190292</v>
      </c>
      <c r="H5907">
        <f t="shared" si="184"/>
        <v>279.3</v>
      </c>
      <c r="I5907">
        <f t="shared" si="185"/>
        <v>173.6</v>
      </c>
    </row>
    <row r="5908" spans="1:9" ht="30" x14ac:dyDescent="0.25">
      <c r="A5908" s="5" t="s">
        <v>100</v>
      </c>
      <c r="B5908" s="5" t="s">
        <v>111</v>
      </c>
      <c r="C5908" s="5" t="s">
        <v>6388</v>
      </c>
      <c r="D5908" s="3">
        <f>VLOOKUP(A5908,airports!A:H,7,FALSE)</f>
        <v>45.588722220000001</v>
      </c>
      <c r="E5908" s="3">
        <f>VLOOKUP(A5908,airports!A:H,8,FALSE)</f>
        <v>-122.5975</v>
      </c>
      <c r="F5908" s="3">
        <f>VLOOKUP(B5908,airports!A:H,7,FALSE)</f>
        <v>33.829215560000002</v>
      </c>
      <c r="G5908" s="3">
        <f>VLOOKUP(B5908,airports!A:H,8,FALSE)</f>
        <v>-116.5062531</v>
      </c>
      <c r="H5908">
        <f t="shared" si="184"/>
        <v>1406.5</v>
      </c>
      <c r="I5908">
        <f t="shared" si="185"/>
        <v>874</v>
      </c>
    </row>
    <row r="5909" spans="1:9" ht="30" x14ac:dyDescent="0.25">
      <c r="A5909" s="5" t="s">
        <v>100</v>
      </c>
      <c r="B5909" s="5" t="s">
        <v>894</v>
      </c>
      <c r="C5909" s="5" t="s">
        <v>6389</v>
      </c>
      <c r="D5909" s="3">
        <f>VLOOKUP(A5909,airports!A:H,7,FALSE)</f>
        <v>45.588722220000001</v>
      </c>
      <c r="E5909" s="3">
        <f>VLOOKUP(A5909,airports!A:H,8,FALSE)</f>
        <v>-122.5975</v>
      </c>
      <c r="F5909" s="3">
        <f>VLOOKUP(B5909,airports!A:H,7,FALSE)</f>
        <v>44.254067220000003</v>
      </c>
      <c r="G5909" s="3">
        <f>VLOOKUP(B5909,airports!A:H,8,FALSE)</f>
        <v>-121.1499633</v>
      </c>
      <c r="H5909">
        <f t="shared" si="184"/>
        <v>187.1</v>
      </c>
      <c r="I5909">
        <f t="shared" si="185"/>
        <v>116.3</v>
      </c>
    </row>
    <row r="5910" spans="1:9" ht="30" x14ac:dyDescent="0.25">
      <c r="A5910" s="5" t="s">
        <v>100</v>
      </c>
      <c r="B5910" s="5" t="s">
        <v>121</v>
      </c>
      <c r="C5910" s="5" t="s">
        <v>6390</v>
      </c>
      <c r="D5910" s="3">
        <f>VLOOKUP(A5910,airports!A:H,7,FALSE)</f>
        <v>45.588722220000001</v>
      </c>
      <c r="E5910" s="3">
        <f>VLOOKUP(A5910,airports!A:H,8,FALSE)</f>
        <v>-122.5975</v>
      </c>
      <c r="F5910" s="3">
        <f>VLOOKUP(B5910,airports!A:H,7,FALSE)</f>
        <v>39.498576110000002</v>
      </c>
      <c r="G5910" s="3">
        <f>VLOOKUP(B5910,airports!A:H,8,FALSE)</f>
        <v>-119.7680647</v>
      </c>
      <c r="H5910">
        <f t="shared" si="184"/>
        <v>715.6</v>
      </c>
      <c r="I5910">
        <f t="shared" si="185"/>
        <v>444.7</v>
      </c>
    </row>
    <row r="5911" spans="1:9" ht="30" x14ac:dyDescent="0.25">
      <c r="A5911" s="5" t="s">
        <v>100</v>
      </c>
      <c r="B5911" s="5" t="s">
        <v>124</v>
      </c>
      <c r="C5911" s="5" t="s">
        <v>6391</v>
      </c>
      <c r="D5911" s="3">
        <f>VLOOKUP(A5911,airports!A:H,7,FALSE)</f>
        <v>45.588722220000001</v>
      </c>
      <c r="E5911" s="3">
        <f>VLOOKUP(A5911,airports!A:H,8,FALSE)</f>
        <v>-122.5975</v>
      </c>
      <c r="F5911" s="3">
        <f>VLOOKUP(B5911,airports!A:H,7,FALSE)</f>
        <v>32.733556110000002</v>
      </c>
      <c r="G5911" s="3">
        <f>VLOOKUP(B5911,airports!A:H,8,FALSE)</f>
        <v>-117.1896567</v>
      </c>
      <c r="H5911">
        <f t="shared" si="184"/>
        <v>1502.6</v>
      </c>
      <c r="I5911">
        <f t="shared" si="185"/>
        <v>933.7</v>
      </c>
    </row>
    <row r="5912" spans="1:9" ht="30" x14ac:dyDescent="0.25">
      <c r="A5912" s="5" t="s">
        <v>100</v>
      </c>
      <c r="B5912" s="5" t="s">
        <v>967</v>
      </c>
      <c r="C5912" s="5" t="s">
        <v>6392</v>
      </c>
      <c r="D5912" s="3">
        <f>VLOOKUP(A5912,airports!A:H,7,FALSE)</f>
        <v>45.588722220000001</v>
      </c>
      <c r="E5912" s="3">
        <f>VLOOKUP(A5912,airports!A:H,8,FALSE)</f>
        <v>-122.5975</v>
      </c>
      <c r="F5912" s="3">
        <f>VLOOKUP(B5912,airports!A:H,7,FALSE)</f>
        <v>34.426211940000002</v>
      </c>
      <c r="G5912" s="3">
        <f>VLOOKUP(B5912,airports!A:H,8,FALSE)</f>
        <v>-119.8403733</v>
      </c>
      <c r="H5912">
        <f t="shared" si="184"/>
        <v>1263</v>
      </c>
      <c r="I5912">
        <f t="shared" si="185"/>
        <v>784.8</v>
      </c>
    </row>
    <row r="5913" spans="1:9" ht="30" x14ac:dyDescent="0.25">
      <c r="A5913" s="5" t="s">
        <v>100</v>
      </c>
      <c r="B5913" s="5" t="s">
        <v>2493</v>
      </c>
      <c r="C5913" s="5" t="s">
        <v>6393</v>
      </c>
      <c r="D5913" s="3">
        <f>VLOOKUP(A5913,airports!A:H,7,FALSE)</f>
        <v>45.588722220000001</v>
      </c>
      <c r="E5913" s="3">
        <f>VLOOKUP(A5913,airports!A:H,8,FALSE)</f>
        <v>-122.5975</v>
      </c>
      <c r="F5913" s="3">
        <f>VLOOKUP(B5913,airports!A:H,7,FALSE)</f>
        <v>35.237058060000003</v>
      </c>
      <c r="G5913" s="3">
        <f>VLOOKUP(B5913,airports!A:H,8,FALSE)</f>
        <v>-120.64239310000001</v>
      </c>
      <c r="H5913">
        <f t="shared" si="184"/>
        <v>1162.8</v>
      </c>
      <c r="I5913">
        <f t="shared" si="185"/>
        <v>722.6</v>
      </c>
    </row>
    <row r="5914" spans="1:9" ht="30" x14ac:dyDescent="0.25">
      <c r="A5914" s="5" t="s">
        <v>100</v>
      </c>
      <c r="B5914" s="5" t="s">
        <v>128</v>
      </c>
      <c r="C5914" s="5" t="s">
        <v>6394</v>
      </c>
      <c r="D5914" s="3">
        <f>VLOOKUP(A5914,airports!A:H,7,FALSE)</f>
        <v>45.588722220000001</v>
      </c>
      <c r="E5914" s="3">
        <f>VLOOKUP(A5914,airports!A:H,8,FALSE)</f>
        <v>-122.5975</v>
      </c>
      <c r="F5914" s="3">
        <f>VLOOKUP(B5914,airports!A:H,7,FALSE)</f>
        <v>47.448981940000003</v>
      </c>
      <c r="G5914" s="3">
        <f>VLOOKUP(B5914,airports!A:H,8,FALSE)</f>
        <v>-122.3093131</v>
      </c>
      <c r="H5914">
        <f t="shared" si="184"/>
        <v>208</v>
      </c>
      <c r="I5914">
        <f t="shared" si="185"/>
        <v>129.30000000000001</v>
      </c>
    </row>
    <row r="5915" spans="1:9" ht="30" x14ac:dyDescent="0.25">
      <c r="A5915" s="5" t="s">
        <v>100</v>
      </c>
      <c r="B5915" s="5" t="s">
        <v>130</v>
      </c>
      <c r="C5915" s="5" t="s">
        <v>6395</v>
      </c>
      <c r="D5915" s="3">
        <f>VLOOKUP(A5915,airports!A:H,7,FALSE)</f>
        <v>45.588722220000001</v>
      </c>
      <c r="E5915" s="3">
        <f>VLOOKUP(A5915,airports!A:H,8,FALSE)</f>
        <v>-122.5975</v>
      </c>
      <c r="F5915" s="3">
        <f>VLOOKUP(B5915,airports!A:H,7,FALSE)</f>
        <v>37.619001939999997</v>
      </c>
      <c r="G5915" s="3">
        <f>VLOOKUP(B5915,airports!A:H,8,FALSE)</f>
        <v>-122.37484329999999</v>
      </c>
      <c r="H5915">
        <f t="shared" si="184"/>
        <v>886.4</v>
      </c>
      <c r="I5915">
        <f t="shared" si="185"/>
        <v>550.79999999999995</v>
      </c>
    </row>
    <row r="5916" spans="1:9" x14ac:dyDescent="0.25">
      <c r="A5916" s="5" t="s">
        <v>100</v>
      </c>
      <c r="B5916" s="5" t="s">
        <v>131</v>
      </c>
      <c r="C5916" s="5" t="s">
        <v>6396</v>
      </c>
      <c r="D5916" s="3">
        <f>VLOOKUP(A5916,airports!A:H,7,FALSE)</f>
        <v>45.588722220000001</v>
      </c>
      <c r="E5916" s="3">
        <f>VLOOKUP(A5916,airports!A:H,8,FALSE)</f>
        <v>-122.5975</v>
      </c>
      <c r="F5916" s="3">
        <f>VLOOKUP(B5916,airports!A:H,7,FALSE)</f>
        <v>37.361861939999997</v>
      </c>
      <c r="G5916" s="3">
        <f>VLOOKUP(B5916,airports!A:H,8,FALSE)</f>
        <v>-121.9290089</v>
      </c>
      <c r="H5916">
        <f t="shared" si="184"/>
        <v>916.5</v>
      </c>
      <c r="I5916">
        <f t="shared" si="185"/>
        <v>569.5</v>
      </c>
    </row>
    <row r="5917" spans="1:9" x14ac:dyDescent="0.25">
      <c r="A5917" s="5" t="s">
        <v>100</v>
      </c>
      <c r="B5917" s="5" t="s">
        <v>135</v>
      </c>
      <c r="C5917" s="5" t="s">
        <v>6397</v>
      </c>
      <c r="D5917" s="3">
        <f>VLOOKUP(A5917,airports!A:H,7,FALSE)</f>
        <v>45.588722220000001</v>
      </c>
      <c r="E5917" s="3">
        <f>VLOOKUP(A5917,airports!A:H,8,FALSE)</f>
        <v>-122.5975</v>
      </c>
      <c r="F5917" s="3">
        <f>VLOOKUP(B5917,airports!A:H,7,FALSE)</f>
        <v>40.788387780000001</v>
      </c>
      <c r="G5917" s="3">
        <f>VLOOKUP(B5917,airports!A:H,8,FALSE)</f>
        <v>-111.97777309999999</v>
      </c>
      <c r="H5917">
        <f t="shared" si="184"/>
        <v>1011.7</v>
      </c>
      <c r="I5917">
        <f t="shared" si="185"/>
        <v>628.70000000000005</v>
      </c>
    </row>
    <row r="5918" spans="1:9" ht="30" x14ac:dyDescent="0.25">
      <c r="A5918" s="5" t="s">
        <v>100</v>
      </c>
      <c r="B5918" s="5" t="s">
        <v>137</v>
      </c>
      <c r="C5918" s="5" t="s">
        <v>6398</v>
      </c>
      <c r="D5918" s="3">
        <f>VLOOKUP(A5918,airports!A:H,7,FALSE)</f>
        <v>45.588722220000001</v>
      </c>
      <c r="E5918" s="3">
        <f>VLOOKUP(A5918,airports!A:H,8,FALSE)</f>
        <v>-122.5975</v>
      </c>
      <c r="F5918" s="3">
        <f>VLOOKUP(B5918,airports!A:H,7,FALSE)</f>
        <v>38.695421670000002</v>
      </c>
      <c r="G5918" s="3">
        <f>VLOOKUP(B5918,airports!A:H,8,FALSE)</f>
        <v>-121.59076690000001</v>
      </c>
      <c r="H5918">
        <f t="shared" si="184"/>
        <v>771</v>
      </c>
      <c r="I5918">
        <f t="shared" si="185"/>
        <v>479.1</v>
      </c>
    </row>
    <row r="5919" spans="1:9" ht="30" x14ac:dyDescent="0.25">
      <c r="A5919" s="5" t="s">
        <v>100</v>
      </c>
      <c r="B5919" s="5" t="s">
        <v>906</v>
      </c>
      <c r="C5919" s="5" t="s">
        <v>6399</v>
      </c>
      <c r="D5919" s="3">
        <f>VLOOKUP(A5919,airports!A:H,7,FALSE)</f>
        <v>45.588722220000001</v>
      </c>
      <c r="E5919" s="3">
        <f>VLOOKUP(A5919,airports!A:H,8,FALSE)</f>
        <v>-122.5975</v>
      </c>
      <c r="F5919" s="3">
        <f>VLOOKUP(B5919,airports!A:H,7,FALSE)</f>
        <v>34.899248329999999</v>
      </c>
      <c r="G5919" s="3">
        <f>VLOOKUP(B5919,airports!A:H,8,FALSE)</f>
        <v>-120.4575825</v>
      </c>
      <c r="H5919">
        <f t="shared" si="184"/>
        <v>1202.3</v>
      </c>
      <c r="I5919">
        <f t="shared" si="185"/>
        <v>747.1</v>
      </c>
    </row>
    <row r="5920" spans="1:9" ht="30" x14ac:dyDescent="0.25">
      <c r="A5920" s="5" t="s">
        <v>100</v>
      </c>
      <c r="B5920" s="5" t="s">
        <v>227</v>
      </c>
      <c r="C5920" s="5" t="s">
        <v>6400</v>
      </c>
      <c r="D5920" s="3">
        <f>VLOOKUP(A5920,airports!A:H,7,FALSE)</f>
        <v>45.588722220000001</v>
      </c>
      <c r="E5920" s="3">
        <f>VLOOKUP(A5920,airports!A:H,8,FALSE)</f>
        <v>-122.5975</v>
      </c>
      <c r="F5920" s="3">
        <f>VLOOKUP(B5920,airports!A:H,7,FALSE)</f>
        <v>33.675658609999999</v>
      </c>
      <c r="G5920" s="3">
        <f>VLOOKUP(B5920,airports!A:H,8,FALSE)</f>
        <v>-117.8682225</v>
      </c>
      <c r="H5920">
        <f t="shared" si="184"/>
        <v>1384.5</v>
      </c>
      <c r="I5920">
        <f t="shared" si="185"/>
        <v>860.4</v>
      </c>
    </row>
    <row r="5921" spans="1:9" x14ac:dyDescent="0.25">
      <c r="A5921" s="5" t="s">
        <v>100</v>
      </c>
      <c r="B5921" s="5" t="s">
        <v>644</v>
      </c>
      <c r="C5921" s="5" t="s">
        <v>6401</v>
      </c>
      <c r="D5921" s="3">
        <f>VLOOKUP(A5921,airports!A:H,7,FALSE)</f>
        <v>45.588722220000001</v>
      </c>
      <c r="E5921" s="3">
        <f>VLOOKUP(A5921,airports!A:H,8,FALSE)</f>
        <v>-122.5975</v>
      </c>
      <c r="F5921" s="3">
        <f>VLOOKUP(B5921,airports!A:H,7,FALSE)</f>
        <v>38.747686940000001</v>
      </c>
      <c r="G5921" s="3">
        <f>VLOOKUP(B5921,airports!A:H,8,FALSE)</f>
        <v>-90.359989720000002</v>
      </c>
      <c r="H5921">
        <f t="shared" si="184"/>
        <v>2742.9</v>
      </c>
      <c r="I5921">
        <f t="shared" si="185"/>
        <v>1704.5</v>
      </c>
    </row>
    <row r="5922" spans="1:9" x14ac:dyDescent="0.25">
      <c r="A5922" s="5" t="s">
        <v>100</v>
      </c>
      <c r="B5922" s="5" t="s">
        <v>1413</v>
      </c>
      <c r="C5922" s="5" t="s">
        <v>6402</v>
      </c>
      <c r="D5922" s="3">
        <f>VLOOKUP(A5922,airports!A:H,7,FALSE)</f>
        <v>45.588722220000001</v>
      </c>
      <c r="E5922" s="3">
        <f>VLOOKUP(A5922,airports!A:H,8,FALSE)</f>
        <v>-122.5975</v>
      </c>
      <c r="F5922" s="3">
        <f>VLOOKUP(B5922,airports!A:H,7,FALSE)</f>
        <v>38.508998869999999</v>
      </c>
      <c r="G5922" s="3">
        <f>VLOOKUP(B5922,airports!A:H,8,FALSE)</f>
        <v>-122.81300349999999</v>
      </c>
      <c r="H5922">
        <f t="shared" si="184"/>
        <v>787.4</v>
      </c>
      <c r="I5922">
        <f t="shared" si="185"/>
        <v>489.3</v>
      </c>
    </row>
    <row r="5923" spans="1:9" ht="30" x14ac:dyDescent="0.25">
      <c r="A5923" s="5" t="s">
        <v>100</v>
      </c>
      <c r="B5923" s="5" t="s">
        <v>2512</v>
      </c>
      <c r="C5923" s="5" t="s">
        <v>6403</v>
      </c>
      <c r="D5923" s="3">
        <f>VLOOKUP(A5923,airports!A:H,7,FALSE)</f>
        <v>45.588722220000001</v>
      </c>
      <c r="E5923" s="3">
        <f>VLOOKUP(A5923,airports!A:H,8,FALSE)</f>
        <v>-122.5975</v>
      </c>
      <c r="F5923" s="3">
        <f>VLOOKUP(B5923,airports!A:H,7,FALSE)</f>
        <v>43.504841390000003</v>
      </c>
      <c r="G5923" s="3">
        <f>VLOOKUP(B5923,airports!A:H,8,FALSE)</f>
        <v>-114.29659030000001</v>
      </c>
      <c r="H5923">
        <f t="shared" si="184"/>
        <v>697</v>
      </c>
      <c r="I5923">
        <f t="shared" si="185"/>
        <v>433.1</v>
      </c>
    </row>
    <row r="5924" spans="1:9" ht="30" x14ac:dyDescent="0.25">
      <c r="A5924" s="5" t="s">
        <v>100</v>
      </c>
      <c r="B5924" s="5" t="s">
        <v>145</v>
      </c>
      <c r="C5924" s="5" t="s">
        <v>6404</v>
      </c>
      <c r="D5924" s="3">
        <f>VLOOKUP(A5924,airports!A:H,7,FALSE)</f>
        <v>45.588722220000001</v>
      </c>
      <c r="E5924" s="3">
        <f>VLOOKUP(A5924,airports!A:H,8,FALSE)</f>
        <v>-122.5975</v>
      </c>
      <c r="F5924" s="3">
        <f>VLOOKUP(B5924,airports!A:H,7,FALSE)</f>
        <v>27.97547222</v>
      </c>
      <c r="G5924" s="3">
        <f>VLOOKUP(B5924,airports!A:H,8,FALSE)</f>
        <v>-82.533249999999995</v>
      </c>
      <c r="H5924">
        <f t="shared" si="184"/>
        <v>4013.1</v>
      </c>
      <c r="I5924">
        <f t="shared" si="185"/>
        <v>2493.8000000000002</v>
      </c>
    </row>
    <row r="5925" spans="1:9" ht="30" x14ac:dyDescent="0.25">
      <c r="A5925" s="5" t="s">
        <v>100</v>
      </c>
      <c r="B5925" s="5" t="s">
        <v>660</v>
      </c>
      <c r="C5925" s="5" t="s">
        <v>6405</v>
      </c>
      <c r="D5925" s="3">
        <f>VLOOKUP(A5925,airports!A:H,7,FALSE)</f>
        <v>45.588722220000001</v>
      </c>
      <c r="E5925" s="3">
        <f>VLOOKUP(A5925,airports!A:H,8,FALSE)</f>
        <v>-122.5975</v>
      </c>
      <c r="F5925" s="3">
        <f>VLOOKUP(B5925,airports!A:H,7,FALSE)</f>
        <v>32.116083330000002</v>
      </c>
      <c r="G5925" s="3">
        <f>VLOOKUP(B5925,airports!A:H,8,FALSE)</f>
        <v>-110.9410278</v>
      </c>
      <c r="H5925">
        <f t="shared" si="184"/>
        <v>1802.2</v>
      </c>
      <c r="I5925">
        <f t="shared" si="185"/>
        <v>1119.9000000000001</v>
      </c>
    </row>
    <row r="5926" spans="1:9" ht="30" x14ac:dyDescent="0.25">
      <c r="A5926" s="5" t="s">
        <v>185</v>
      </c>
      <c r="B5926" s="5" t="s">
        <v>170</v>
      </c>
      <c r="C5926" s="5" t="s">
        <v>6406</v>
      </c>
      <c r="D5926" s="3">
        <f>VLOOKUP(A5926,airports!A:H,7,FALSE)</f>
        <v>26.919699999999999</v>
      </c>
      <c r="E5926" s="3">
        <f>VLOOKUP(A5926,airports!A:H,8,FALSE)</f>
        <v>-81.995999999999995</v>
      </c>
      <c r="F5926" s="3">
        <f>VLOOKUP(B5926,airports!A:H,7,FALSE)</f>
        <v>40.652362779999997</v>
      </c>
      <c r="G5926" s="3">
        <f>VLOOKUP(B5926,airports!A:H,8,FALSE)</f>
        <v>-75.44040167</v>
      </c>
      <c r="H5926">
        <f t="shared" si="184"/>
        <v>1641.5</v>
      </c>
      <c r="I5926">
        <f t="shared" si="185"/>
        <v>1020</v>
      </c>
    </row>
    <row r="5927" spans="1:9" ht="30" x14ac:dyDescent="0.25">
      <c r="A5927" s="5" t="s">
        <v>185</v>
      </c>
      <c r="B5927" s="5" t="s">
        <v>7</v>
      </c>
      <c r="C5927" s="5" t="s">
        <v>6407</v>
      </c>
      <c r="D5927" s="3">
        <f>VLOOKUP(A5927,airports!A:H,7,FALSE)</f>
        <v>26.919699999999999</v>
      </c>
      <c r="E5927" s="3">
        <f>VLOOKUP(A5927,airports!A:H,8,FALSE)</f>
        <v>-81.995999999999995</v>
      </c>
      <c r="F5927" s="3">
        <f>VLOOKUP(B5927,airports!A:H,7,FALSE)</f>
        <v>42.748119440000004</v>
      </c>
      <c r="G5927" s="3">
        <f>VLOOKUP(B5927,airports!A:H,8,FALSE)</f>
        <v>-73.802978609999997</v>
      </c>
      <c r="H5927">
        <f t="shared" si="184"/>
        <v>1909.9</v>
      </c>
      <c r="I5927">
        <f t="shared" si="185"/>
        <v>1186.8</v>
      </c>
    </row>
    <row r="5928" spans="1:9" ht="30" x14ac:dyDescent="0.25">
      <c r="A5928" s="5" t="s">
        <v>185</v>
      </c>
      <c r="B5928" s="5" t="s">
        <v>416</v>
      </c>
      <c r="C5928" s="5" t="s">
        <v>6408</v>
      </c>
      <c r="D5928" s="3">
        <f>VLOOKUP(A5928,airports!A:H,7,FALSE)</f>
        <v>26.919699999999999</v>
      </c>
      <c r="E5928" s="3">
        <f>VLOOKUP(A5928,airports!A:H,8,FALSE)</f>
        <v>-81.995999999999995</v>
      </c>
      <c r="F5928" s="3">
        <f>VLOOKUP(B5928,airports!A:H,7,FALSE)</f>
        <v>44.257408060000003</v>
      </c>
      <c r="G5928" s="3">
        <f>VLOOKUP(B5928,airports!A:H,8,FALSE)</f>
        <v>-88.519475560000004</v>
      </c>
      <c r="H5928">
        <f t="shared" si="184"/>
        <v>2014.4</v>
      </c>
      <c r="I5928">
        <f t="shared" si="185"/>
        <v>1251.8</v>
      </c>
    </row>
    <row r="5929" spans="1:9" ht="30" x14ac:dyDescent="0.25">
      <c r="A5929" s="5" t="s">
        <v>185</v>
      </c>
      <c r="B5929" s="5" t="s">
        <v>13</v>
      </c>
      <c r="C5929" s="5" t="s">
        <v>6409</v>
      </c>
      <c r="D5929" s="3">
        <f>VLOOKUP(A5929,airports!A:H,7,FALSE)</f>
        <v>26.919699999999999</v>
      </c>
      <c r="E5929" s="3">
        <f>VLOOKUP(A5929,airports!A:H,8,FALSE)</f>
        <v>-81.995999999999995</v>
      </c>
      <c r="F5929" s="3">
        <f>VLOOKUP(B5929,airports!A:H,7,FALSE)</f>
        <v>30.194532779999999</v>
      </c>
      <c r="G5929" s="3">
        <f>VLOOKUP(B5929,airports!A:H,8,FALSE)</f>
        <v>-97.669871939999993</v>
      </c>
      <c r="H5929">
        <f t="shared" si="184"/>
        <v>1572.1</v>
      </c>
      <c r="I5929">
        <f t="shared" si="185"/>
        <v>976.9</v>
      </c>
    </row>
    <row r="5930" spans="1:9" ht="30" x14ac:dyDescent="0.25">
      <c r="A5930" s="5" t="s">
        <v>185</v>
      </c>
      <c r="B5930" s="5" t="s">
        <v>419</v>
      </c>
      <c r="C5930" s="5" t="s">
        <v>6410</v>
      </c>
      <c r="D5930" s="3">
        <f>VLOOKUP(A5930,airports!A:H,7,FALSE)</f>
        <v>26.919699999999999</v>
      </c>
      <c r="E5930" s="3">
        <f>VLOOKUP(A5930,airports!A:H,8,FALSE)</f>
        <v>-81.995999999999995</v>
      </c>
      <c r="F5930" s="3">
        <f>VLOOKUP(B5930,airports!A:H,7,FALSE)</f>
        <v>35.436194440000001</v>
      </c>
      <c r="G5930" s="3">
        <f>VLOOKUP(B5930,airports!A:H,8,FALSE)</f>
        <v>-82.54180556</v>
      </c>
      <c r="H5930">
        <f t="shared" si="184"/>
        <v>948.4</v>
      </c>
      <c r="I5930">
        <f t="shared" si="185"/>
        <v>589.29999999999995</v>
      </c>
    </row>
    <row r="5931" spans="1:9" ht="30" x14ac:dyDescent="0.25">
      <c r="A5931" s="5" t="s">
        <v>185</v>
      </c>
      <c r="B5931" s="5" t="s">
        <v>841</v>
      </c>
      <c r="C5931" s="5" t="s">
        <v>6411</v>
      </c>
      <c r="D5931" s="3">
        <f>VLOOKUP(A5931,airports!A:H,7,FALSE)</f>
        <v>26.919699999999999</v>
      </c>
      <c r="E5931" s="3">
        <f>VLOOKUP(A5931,airports!A:H,8,FALSE)</f>
        <v>-81.995999999999995</v>
      </c>
      <c r="F5931" s="3">
        <f>VLOOKUP(B5931,airports!A:H,7,FALSE)</f>
        <v>38.547699999999999</v>
      </c>
      <c r="G5931" s="3">
        <f>VLOOKUP(B5931,airports!A:H,8,FALSE)</f>
        <v>-89.815700000000007</v>
      </c>
      <c r="H5931">
        <f t="shared" si="184"/>
        <v>1484</v>
      </c>
      <c r="I5931">
        <f t="shared" si="185"/>
        <v>922.2</v>
      </c>
    </row>
    <row r="5932" spans="1:9" ht="30" x14ac:dyDescent="0.25">
      <c r="A5932" s="5" t="s">
        <v>185</v>
      </c>
      <c r="B5932" s="5" t="s">
        <v>19</v>
      </c>
      <c r="C5932" s="5" t="s">
        <v>6412</v>
      </c>
      <c r="D5932" s="3">
        <f>VLOOKUP(A5932,airports!A:H,7,FALSE)</f>
        <v>26.919699999999999</v>
      </c>
      <c r="E5932" s="3">
        <f>VLOOKUP(A5932,airports!A:H,8,FALSE)</f>
        <v>-81.995999999999995</v>
      </c>
      <c r="F5932" s="3">
        <f>VLOOKUP(B5932,airports!A:H,7,FALSE)</f>
        <v>36.12447667</v>
      </c>
      <c r="G5932" s="3">
        <f>VLOOKUP(B5932,airports!A:H,8,FALSE)</f>
        <v>-86.678182219999997</v>
      </c>
      <c r="H5932">
        <f t="shared" si="184"/>
        <v>1115.2</v>
      </c>
      <c r="I5932">
        <f t="shared" si="185"/>
        <v>693</v>
      </c>
    </row>
    <row r="5933" spans="1:9" ht="30" x14ac:dyDescent="0.25">
      <c r="A5933" s="5" t="s">
        <v>185</v>
      </c>
      <c r="B5933" s="5" t="s">
        <v>32</v>
      </c>
      <c r="C5933" s="5" t="s">
        <v>6413</v>
      </c>
      <c r="D5933" s="3">
        <f>VLOOKUP(A5933,airports!A:H,7,FALSE)</f>
        <v>26.919699999999999</v>
      </c>
      <c r="E5933" s="3">
        <f>VLOOKUP(A5933,airports!A:H,8,FALSE)</f>
        <v>-81.995999999999995</v>
      </c>
      <c r="F5933" s="3">
        <f>VLOOKUP(B5933,airports!A:H,7,FALSE)</f>
        <v>39.175401669999999</v>
      </c>
      <c r="G5933" s="3">
        <f>VLOOKUP(B5933,airports!A:H,8,FALSE)</f>
        <v>-76.668198329999996</v>
      </c>
      <c r="H5933">
        <f t="shared" si="184"/>
        <v>1449.7</v>
      </c>
      <c r="I5933">
        <f t="shared" si="185"/>
        <v>900.8</v>
      </c>
    </row>
    <row r="5934" spans="1:9" ht="30" x14ac:dyDescent="0.25">
      <c r="A5934" s="5" t="s">
        <v>185</v>
      </c>
      <c r="B5934" s="5" t="s">
        <v>443</v>
      </c>
      <c r="C5934" s="5" t="s">
        <v>6414</v>
      </c>
      <c r="D5934" s="3">
        <f>VLOOKUP(A5934,airports!A:H,7,FALSE)</f>
        <v>26.919699999999999</v>
      </c>
      <c r="E5934" s="3">
        <f>VLOOKUP(A5934,airports!A:H,8,FALSE)</f>
        <v>-81.995999999999995</v>
      </c>
      <c r="F5934" s="3">
        <f>VLOOKUP(B5934,airports!A:H,7,FALSE)</f>
        <v>40.91631194</v>
      </c>
      <c r="G5934" s="3">
        <f>VLOOKUP(B5934,airports!A:H,8,FALSE)</f>
        <v>-81.442465560000002</v>
      </c>
      <c r="H5934">
        <f t="shared" si="184"/>
        <v>1557.2</v>
      </c>
      <c r="I5934">
        <f t="shared" si="185"/>
        <v>967.6</v>
      </c>
    </row>
    <row r="5935" spans="1:9" ht="30" x14ac:dyDescent="0.25">
      <c r="A5935" s="5" t="s">
        <v>185</v>
      </c>
      <c r="B5935" s="5" t="s">
        <v>36</v>
      </c>
      <c r="C5935" s="5" t="s">
        <v>6415</v>
      </c>
      <c r="D5935" s="3">
        <f>VLOOKUP(A5935,airports!A:H,7,FALSE)</f>
        <v>26.919699999999999</v>
      </c>
      <c r="E5935" s="3">
        <f>VLOOKUP(A5935,airports!A:H,8,FALSE)</f>
        <v>-81.995999999999995</v>
      </c>
      <c r="F5935" s="3">
        <f>VLOOKUP(B5935,airports!A:H,7,FALSE)</f>
        <v>32.898646390000003</v>
      </c>
      <c r="G5935" s="3">
        <f>VLOOKUP(B5935,airports!A:H,8,FALSE)</f>
        <v>-80.040505830000001</v>
      </c>
      <c r="H5935">
        <f t="shared" si="184"/>
        <v>691</v>
      </c>
      <c r="I5935">
        <f t="shared" si="185"/>
        <v>429.4</v>
      </c>
    </row>
    <row r="5936" spans="1:9" ht="30" x14ac:dyDescent="0.25">
      <c r="A5936" s="5" t="s">
        <v>185</v>
      </c>
      <c r="B5936" s="5" t="s">
        <v>450</v>
      </c>
      <c r="C5936" s="5" t="s">
        <v>6416</v>
      </c>
      <c r="D5936" s="3">
        <f>VLOOKUP(A5936,airports!A:H,7,FALSE)</f>
        <v>26.919699999999999</v>
      </c>
      <c r="E5936" s="3">
        <f>VLOOKUP(A5936,airports!A:H,8,FALSE)</f>
        <v>-81.995999999999995</v>
      </c>
      <c r="F5936" s="3">
        <f>VLOOKUP(B5936,airports!A:H,7,FALSE)</f>
        <v>41.88458833</v>
      </c>
      <c r="G5936" s="3">
        <f>VLOOKUP(B5936,airports!A:H,8,FALSE)</f>
        <v>-91.710872219999999</v>
      </c>
      <c r="H5936">
        <f t="shared" si="184"/>
        <v>1884.6</v>
      </c>
      <c r="I5936">
        <f t="shared" si="185"/>
        <v>1171.0999999999999</v>
      </c>
    </row>
    <row r="5937" spans="1:9" ht="30" x14ac:dyDescent="0.25">
      <c r="A5937" s="5" t="s">
        <v>185</v>
      </c>
      <c r="B5937" s="5" t="s">
        <v>38</v>
      </c>
      <c r="C5937" s="5" t="s">
        <v>6417</v>
      </c>
      <c r="D5937" s="3">
        <f>VLOOKUP(A5937,airports!A:H,7,FALSE)</f>
        <v>26.919699999999999</v>
      </c>
      <c r="E5937" s="3">
        <f>VLOOKUP(A5937,airports!A:H,8,FALSE)</f>
        <v>-81.995999999999995</v>
      </c>
      <c r="F5937" s="3">
        <f>VLOOKUP(B5937,airports!A:H,7,FALSE)</f>
        <v>41.410894169999999</v>
      </c>
      <c r="G5937" s="3">
        <f>VLOOKUP(B5937,airports!A:H,8,FALSE)</f>
        <v>-81.849396670000004</v>
      </c>
      <c r="H5937">
        <f t="shared" si="184"/>
        <v>1611.4</v>
      </c>
      <c r="I5937">
        <f t="shared" si="185"/>
        <v>1001.3</v>
      </c>
    </row>
    <row r="5938" spans="1:9" ht="30" x14ac:dyDescent="0.25">
      <c r="A5938" s="5" t="s">
        <v>185</v>
      </c>
      <c r="B5938" s="5" t="s">
        <v>462</v>
      </c>
      <c r="C5938" s="5" t="s">
        <v>6418</v>
      </c>
      <c r="D5938" s="3">
        <f>VLOOKUP(A5938,airports!A:H,7,FALSE)</f>
        <v>26.919699999999999</v>
      </c>
      <c r="E5938" s="3">
        <f>VLOOKUP(A5938,airports!A:H,8,FALSE)</f>
        <v>-81.995999999999995</v>
      </c>
      <c r="F5938" s="3">
        <f>VLOOKUP(B5938,airports!A:H,7,FALSE)</f>
        <v>39.046142779999997</v>
      </c>
      <c r="G5938" s="3">
        <f>VLOOKUP(B5938,airports!A:H,8,FALSE)</f>
        <v>-84.662172499999997</v>
      </c>
      <c r="H5938">
        <f t="shared" si="184"/>
        <v>1370.9</v>
      </c>
      <c r="I5938">
        <f t="shared" si="185"/>
        <v>851.9</v>
      </c>
    </row>
    <row r="5939" spans="1:9" ht="30" x14ac:dyDescent="0.25">
      <c r="A5939" s="5" t="s">
        <v>185</v>
      </c>
      <c r="B5939" s="5" t="s">
        <v>467</v>
      </c>
      <c r="C5939" s="5" t="s">
        <v>6419</v>
      </c>
      <c r="D5939" s="3">
        <f>VLOOKUP(A5939,airports!A:H,7,FALSE)</f>
        <v>26.919699999999999</v>
      </c>
      <c r="E5939" s="3">
        <f>VLOOKUP(A5939,airports!A:H,8,FALSE)</f>
        <v>-81.995999999999995</v>
      </c>
      <c r="F5939" s="3">
        <f>VLOOKUP(B5939,airports!A:H,7,FALSE)</f>
        <v>39.902375829999997</v>
      </c>
      <c r="G5939" s="3">
        <f>VLOOKUP(B5939,airports!A:H,8,FALSE)</f>
        <v>-84.219374999999999</v>
      </c>
      <c r="H5939">
        <f t="shared" si="184"/>
        <v>1458.1</v>
      </c>
      <c r="I5939">
        <f t="shared" si="185"/>
        <v>906.1</v>
      </c>
    </row>
    <row r="5940" spans="1:9" ht="30" x14ac:dyDescent="0.25">
      <c r="A5940" s="5" t="s">
        <v>185</v>
      </c>
      <c r="B5940" s="5" t="s">
        <v>474</v>
      </c>
      <c r="C5940" s="5" t="s">
        <v>6420</v>
      </c>
      <c r="D5940" s="3">
        <f>VLOOKUP(A5940,airports!A:H,7,FALSE)</f>
        <v>26.919699999999999</v>
      </c>
      <c r="E5940" s="3">
        <f>VLOOKUP(A5940,airports!A:H,8,FALSE)</f>
        <v>-81.995999999999995</v>
      </c>
      <c r="F5940" s="3">
        <f>VLOOKUP(B5940,airports!A:H,7,FALSE)</f>
        <v>41.53493306</v>
      </c>
      <c r="G5940" s="3">
        <f>VLOOKUP(B5940,airports!A:H,8,FALSE)</f>
        <v>-93.660682219999998</v>
      </c>
      <c r="H5940">
        <f t="shared" si="184"/>
        <v>1942.9</v>
      </c>
      <c r="I5940">
        <f t="shared" si="185"/>
        <v>1207.4000000000001</v>
      </c>
    </row>
    <row r="5941" spans="1:9" ht="30" x14ac:dyDescent="0.25">
      <c r="A5941" s="5" t="s">
        <v>185</v>
      </c>
      <c r="B5941" s="5" t="s">
        <v>481</v>
      </c>
      <c r="C5941" s="5" t="s">
        <v>6421</v>
      </c>
      <c r="D5941" s="3">
        <f>VLOOKUP(A5941,airports!A:H,7,FALSE)</f>
        <v>26.919699999999999</v>
      </c>
      <c r="E5941" s="3">
        <f>VLOOKUP(A5941,airports!A:H,8,FALSE)</f>
        <v>-81.995999999999995</v>
      </c>
      <c r="F5941" s="3">
        <f>VLOOKUP(B5941,airports!A:H,7,FALSE)</f>
        <v>42.159913609999997</v>
      </c>
      <c r="G5941" s="3">
        <f>VLOOKUP(B5941,airports!A:H,8,FALSE)</f>
        <v>-76.891443330000001</v>
      </c>
      <c r="H5941">
        <f t="shared" si="184"/>
        <v>1757</v>
      </c>
      <c r="I5941">
        <f t="shared" si="185"/>
        <v>1091.8</v>
      </c>
    </row>
    <row r="5942" spans="1:9" ht="30" x14ac:dyDescent="0.25">
      <c r="A5942" s="5" t="s">
        <v>185</v>
      </c>
      <c r="B5942" s="5" t="s">
        <v>497</v>
      </c>
      <c r="C5942" s="5" t="s">
        <v>6422</v>
      </c>
      <c r="D5942" s="3">
        <f>VLOOKUP(A5942,airports!A:H,7,FALSE)</f>
        <v>26.919699999999999</v>
      </c>
      <c r="E5942" s="3">
        <f>VLOOKUP(A5942,airports!A:H,8,FALSE)</f>
        <v>-81.995999999999995</v>
      </c>
      <c r="F5942" s="3">
        <f>VLOOKUP(B5942,airports!A:H,7,FALSE)</f>
        <v>42.965503329999997</v>
      </c>
      <c r="G5942" s="3">
        <f>VLOOKUP(B5942,airports!A:H,8,FALSE)</f>
        <v>-83.743456390000006</v>
      </c>
      <c r="H5942">
        <f t="shared" si="184"/>
        <v>1791.2</v>
      </c>
      <c r="I5942">
        <f t="shared" si="185"/>
        <v>1113.0999999999999</v>
      </c>
    </row>
    <row r="5943" spans="1:9" ht="30" x14ac:dyDescent="0.25">
      <c r="A5943" s="5" t="s">
        <v>185</v>
      </c>
      <c r="B5943" s="5" t="s">
        <v>499</v>
      </c>
      <c r="C5943" s="5" t="s">
        <v>6423</v>
      </c>
      <c r="D5943" s="3">
        <f>VLOOKUP(A5943,airports!A:H,7,FALSE)</f>
        <v>26.919699999999999</v>
      </c>
      <c r="E5943" s="3">
        <f>VLOOKUP(A5943,airports!A:H,8,FALSE)</f>
        <v>-81.995999999999995</v>
      </c>
      <c r="F5943" s="3">
        <f>VLOOKUP(B5943,airports!A:H,7,FALSE)</f>
        <v>43.58135111</v>
      </c>
      <c r="G5943" s="3">
        <f>VLOOKUP(B5943,airports!A:H,8,FALSE)</f>
        <v>-96.741700280000003</v>
      </c>
      <c r="H5943">
        <f t="shared" si="184"/>
        <v>2278.1999999999998</v>
      </c>
      <c r="I5943">
        <f t="shared" si="185"/>
        <v>1415.7</v>
      </c>
    </row>
    <row r="5944" spans="1:9" ht="30" x14ac:dyDescent="0.25">
      <c r="A5944" s="5" t="s">
        <v>185</v>
      </c>
      <c r="B5944" s="5" t="s">
        <v>503</v>
      </c>
      <c r="C5944" s="5" t="s">
        <v>6424</v>
      </c>
      <c r="D5944" s="3">
        <f>VLOOKUP(A5944,airports!A:H,7,FALSE)</f>
        <v>26.919699999999999</v>
      </c>
      <c r="E5944" s="3">
        <f>VLOOKUP(A5944,airports!A:H,8,FALSE)</f>
        <v>-81.995999999999995</v>
      </c>
      <c r="F5944" s="3">
        <f>VLOOKUP(B5944,airports!A:H,7,FALSE)</f>
        <v>40.978465829999998</v>
      </c>
      <c r="G5944" s="3">
        <f>VLOOKUP(B5944,airports!A:H,8,FALSE)</f>
        <v>-85.195146390000005</v>
      </c>
      <c r="H5944">
        <f t="shared" si="184"/>
        <v>1590.5</v>
      </c>
      <c r="I5944">
        <f t="shared" si="185"/>
        <v>988.4</v>
      </c>
    </row>
    <row r="5945" spans="1:9" ht="30" x14ac:dyDescent="0.25">
      <c r="A5945" s="5" t="s">
        <v>185</v>
      </c>
      <c r="B5945" s="5" t="s">
        <v>515</v>
      </c>
      <c r="C5945" s="5" t="s">
        <v>6425</v>
      </c>
      <c r="D5945" s="3">
        <f>VLOOKUP(A5945,airports!A:H,7,FALSE)</f>
        <v>26.919699999999999</v>
      </c>
      <c r="E5945" s="3">
        <f>VLOOKUP(A5945,airports!A:H,8,FALSE)</f>
        <v>-81.995999999999995</v>
      </c>
      <c r="F5945" s="3">
        <f>VLOOKUP(B5945,airports!A:H,7,FALSE)</f>
        <v>42.880819719999998</v>
      </c>
      <c r="G5945" s="3">
        <f>VLOOKUP(B5945,airports!A:H,8,FALSE)</f>
        <v>-85.522767779999995</v>
      </c>
      <c r="H5945">
        <f t="shared" si="184"/>
        <v>1803.2</v>
      </c>
      <c r="I5945">
        <f t="shared" si="185"/>
        <v>1120.5999999999999</v>
      </c>
    </row>
    <row r="5946" spans="1:9" ht="30" x14ac:dyDescent="0.25">
      <c r="A5946" s="5" t="s">
        <v>185</v>
      </c>
      <c r="B5946" s="5" t="s">
        <v>519</v>
      </c>
      <c r="C5946" s="5" t="s">
        <v>6426</v>
      </c>
      <c r="D5946" s="3">
        <f>VLOOKUP(A5946,airports!A:H,7,FALSE)</f>
        <v>26.919699999999999</v>
      </c>
      <c r="E5946" s="3">
        <f>VLOOKUP(A5946,airports!A:H,8,FALSE)</f>
        <v>-81.995999999999995</v>
      </c>
      <c r="F5946" s="3">
        <f>VLOOKUP(B5946,airports!A:H,7,FALSE)</f>
        <v>34.89566722</v>
      </c>
      <c r="G5946" s="3">
        <f>VLOOKUP(B5946,airports!A:H,8,FALSE)</f>
        <v>-82.218858330000003</v>
      </c>
      <c r="H5946">
        <f t="shared" si="184"/>
        <v>887.1</v>
      </c>
      <c r="I5946">
        <f t="shared" si="185"/>
        <v>551.29999999999995</v>
      </c>
    </row>
    <row r="5947" spans="1:9" ht="30" x14ac:dyDescent="0.25">
      <c r="A5947" s="5" t="s">
        <v>185</v>
      </c>
      <c r="B5947" s="5" t="s">
        <v>205</v>
      </c>
      <c r="C5947" s="5" t="s">
        <v>6427</v>
      </c>
      <c r="D5947" s="3">
        <f>VLOOKUP(A5947,airports!A:H,7,FALSE)</f>
        <v>26.919699999999999</v>
      </c>
      <c r="E5947" s="3">
        <f>VLOOKUP(A5947,airports!A:H,8,FALSE)</f>
        <v>-81.995999999999995</v>
      </c>
      <c r="F5947" s="3">
        <f>VLOOKUP(B5947,airports!A:H,7,FALSE)</f>
        <v>29.64541861</v>
      </c>
      <c r="G5947" s="3">
        <f>VLOOKUP(B5947,airports!A:H,8,FALSE)</f>
        <v>-95.278888890000005</v>
      </c>
      <c r="H5947">
        <f t="shared" si="184"/>
        <v>1334.7</v>
      </c>
      <c r="I5947">
        <f t="shared" si="185"/>
        <v>829.4</v>
      </c>
    </row>
    <row r="5948" spans="1:9" ht="30" x14ac:dyDescent="0.25">
      <c r="A5948" s="5" t="s">
        <v>185</v>
      </c>
      <c r="B5948" s="5" t="s">
        <v>1793</v>
      </c>
      <c r="C5948" s="5" t="s">
        <v>6428</v>
      </c>
      <c r="D5948" s="3">
        <f>VLOOKUP(A5948,airports!A:H,7,FALSE)</f>
        <v>26.919699999999999</v>
      </c>
      <c r="E5948" s="3">
        <f>VLOOKUP(A5948,airports!A:H,8,FALSE)</f>
        <v>-81.995999999999995</v>
      </c>
      <c r="F5948" s="3">
        <f>VLOOKUP(B5948,airports!A:H,7,FALSE)</f>
        <v>38.366666670000001</v>
      </c>
      <c r="G5948" s="3">
        <f>VLOOKUP(B5948,airports!A:H,8,FALSE)</f>
        <v>-82.558027780000003</v>
      </c>
      <c r="H5948">
        <f t="shared" si="184"/>
        <v>1273.9000000000001</v>
      </c>
      <c r="I5948">
        <f t="shared" si="185"/>
        <v>791.6</v>
      </c>
    </row>
    <row r="5949" spans="1:9" ht="30" x14ac:dyDescent="0.25">
      <c r="A5949" s="5" t="s">
        <v>185</v>
      </c>
      <c r="B5949" s="5" t="s">
        <v>2988</v>
      </c>
      <c r="C5949" s="5" t="s">
        <v>6429</v>
      </c>
      <c r="D5949" s="3">
        <f>VLOOKUP(A5949,airports!A:H,7,FALSE)</f>
        <v>26.919699999999999</v>
      </c>
      <c r="E5949" s="3">
        <f>VLOOKUP(A5949,airports!A:H,8,FALSE)</f>
        <v>-81.995999999999995</v>
      </c>
      <c r="F5949" s="3">
        <f>VLOOKUP(B5949,airports!A:H,7,FALSE)</f>
        <v>43.107300000000002</v>
      </c>
      <c r="G5949" s="3">
        <f>VLOOKUP(B5949,airports!A:H,8,FALSE)</f>
        <v>-78.946197999999995</v>
      </c>
      <c r="H5949">
        <f t="shared" si="184"/>
        <v>1820.9</v>
      </c>
      <c r="I5949">
        <f t="shared" si="185"/>
        <v>1131.5</v>
      </c>
    </row>
    <row r="5950" spans="1:9" ht="30" x14ac:dyDescent="0.25">
      <c r="A5950" s="5" t="s">
        <v>185</v>
      </c>
      <c r="B5950" s="5" t="s">
        <v>537</v>
      </c>
      <c r="C5950" s="5" t="s">
        <v>6430</v>
      </c>
      <c r="D5950" s="3">
        <f>VLOOKUP(A5950,airports!A:H,7,FALSE)</f>
        <v>26.919699999999999</v>
      </c>
      <c r="E5950" s="3">
        <f>VLOOKUP(A5950,airports!A:H,8,FALSE)</f>
        <v>-81.995999999999995</v>
      </c>
      <c r="F5950" s="3">
        <f>VLOOKUP(B5950,airports!A:H,7,FALSE)</f>
        <v>39.717329169999999</v>
      </c>
      <c r="G5950" s="3">
        <f>VLOOKUP(B5950,airports!A:H,8,FALSE)</f>
        <v>-86.294384170000001</v>
      </c>
      <c r="H5950">
        <f t="shared" si="184"/>
        <v>1477.5</v>
      </c>
      <c r="I5950">
        <f t="shared" si="185"/>
        <v>918.1</v>
      </c>
    </row>
    <row r="5951" spans="1:9" ht="30" x14ac:dyDescent="0.25">
      <c r="A5951" s="5" t="s">
        <v>185</v>
      </c>
      <c r="B5951" s="5" t="s">
        <v>740</v>
      </c>
      <c r="C5951" s="5" t="s">
        <v>6431</v>
      </c>
      <c r="D5951" s="3">
        <f>VLOOKUP(A5951,airports!A:H,7,FALSE)</f>
        <v>26.919699999999999</v>
      </c>
      <c r="E5951" s="3">
        <f>VLOOKUP(A5951,airports!A:H,8,FALSE)</f>
        <v>-81.995999999999995</v>
      </c>
      <c r="F5951" s="3">
        <f>VLOOKUP(B5951,airports!A:H,7,FALSE)</f>
        <v>39.813800999999998</v>
      </c>
      <c r="G5951" s="3">
        <f>VLOOKUP(B5951,airports!A:H,8,FALSE)</f>
        <v>-82.927802999999997</v>
      </c>
      <c r="H5951">
        <f t="shared" si="184"/>
        <v>1436.3</v>
      </c>
      <c r="I5951">
        <f t="shared" si="185"/>
        <v>892.6</v>
      </c>
    </row>
    <row r="5952" spans="1:9" ht="30" x14ac:dyDescent="0.25">
      <c r="A5952" s="5" t="s">
        <v>185</v>
      </c>
      <c r="B5952" s="5" t="s">
        <v>549</v>
      </c>
      <c r="C5952" s="5" t="s">
        <v>6432</v>
      </c>
      <c r="D5952" s="3">
        <f>VLOOKUP(A5952,airports!A:H,7,FALSE)</f>
        <v>26.919699999999999</v>
      </c>
      <c r="E5952" s="3">
        <f>VLOOKUP(A5952,airports!A:H,8,FALSE)</f>
        <v>-81.995999999999995</v>
      </c>
      <c r="F5952" s="3">
        <f>VLOOKUP(B5952,airports!A:H,7,FALSE)</f>
        <v>38.036972220000003</v>
      </c>
      <c r="G5952" s="3">
        <f>VLOOKUP(B5952,airports!A:H,8,FALSE)</f>
        <v>-84.60538889</v>
      </c>
      <c r="H5952">
        <f t="shared" si="184"/>
        <v>1260</v>
      </c>
      <c r="I5952">
        <f t="shared" si="185"/>
        <v>783</v>
      </c>
    </row>
    <row r="5953" spans="1:9" ht="30" x14ac:dyDescent="0.25">
      <c r="A5953" s="5" t="s">
        <v>185</v>
      </c>
      <c r="B5953" s="5" t="s">
        <v>80</v>
      </c>
      <c r="C5953" s="5" t="s">
        <v>6433</v>
      </c>
      <c r="D5953" s="3">
        <f>VLOOKUP(A5953,airports!A:H,7,FALSE)</f>
        <v>26.919699999999999</v>
      </c>
      <c r="E5953" s="3">
        <f>VLOOKUP(A5953,airports!A:H,8,FALSE)</f>
        <v>-81.995999999999995</v>
      </c>
      <c r="F5953" s="3">
        <f>VLOOKUP(B5953,airports!A:H,7,FALSE)</f>
        <v>39.297605279999999</v>
      </c>
      <c r="G5953" s="3">
        <f>VLOOKUP(B5953,airports!A:H,8,FALSE)</f>
        <v>-94.713905560000001</v>
      </c>
      <c r="H5953">
        <f t="shared" si="184"/>
        <v>1812</v>
      </c>
      <c r="I5953">
        <f t="shared" si="185"/>
        <v>1126</v>
      </c>
    </row>
    <row r="5954" spans="1:9" ht="30" x14ac:dyDescent="0.25">
      <c r="A5954" s="5" t="s">
        <v>185</v>
      </c>
      <c r="B5954" s="5" t="s">
        <v>178</v>
      </c>
      <c r="C5954" s="5" t="s">
        <v>6434</v>
      </c>
      <c r="D5954" s="3">
        <f>VLOOKUP(A5954,airports!A:H,7,FALSE)</f>
        <v>26.919699999999999</v>
      </c>
      <c r="E5954" s="3">
        <f>VLOOKUP(A5954,airports!A:H,8,FALSE)</f>
        <v>-81.995999999999995</v>
      </c>
      <c r="F5954" s="3">
        <f>VLOOKUP(B5954,airports!A:H,7,FALSE)</f>
        <v>40.19349528</v>
      </c>
      <c r="G5954" s="3">
        <f>VLOOKUP(B5954,airports!A:H,8,FALSE)</f>
        <v>-76.763403609999997</v>
      </c>
      <c r="H5954">
        <f t="shared" si="184"/>
        <v>1552.8</v>
      </c>
      <c r="I5954">
        <f t="shared" si="185"/>
        <v>964.9</v>
      </c>
    </row>
    <row r="5955" spans="1:9" ht="30" x14ac:dyDescent="0.25">
      <c r="A5955" s="5" t="s">
        <v>185</v>
      </c>
      <c r="B5955" s="5" t="s">
        <v>180</v>
      </c>
      <c r="C5955" s="5" t="s">
        <v>6435</v>
      </c>
      <c r="D5955" s="3">
        <f>VLOOKUP(A5955,airports!A:H,7,FALSE)</f>
        <v>26.919699999999999</v>
      </c>
      <c r="E5955" s="3">
        <f>VLOOKUP(A5955,airports!A:H,8,FALSE)</f>
        <v>-81.995999999999995</v>
      </c>
      <c r="F5955" s="3">
        <f>VLOOKUP(B5955,airports!A:H,7,FALSE)</f>
        <v>41.785982500000003</v>
      </c>
      <c r="G5955" s="3">
        <f>VLOOKUP(B5955,airports!A:H,8,FALSE)</f>
        <v>-87.752424439999999</v>
      </c>
      <c r="H5955">
        <f t="shared" si="184"/>
        <v>1734.4</v>
      </c>
      <c r="I5955">
        <f t="shared" si="185"/>
        <v>1077.7</v>
      </c>
    </row>
    <row r="5956" spans="1:9" ht="30" x14ac:dyDescent="0.25">
      <c r="A5956" s="5" t="s">
        <v>185</v>
      </c>
      <c r="B5956" s="5" t="s">
        <v>563</v>
      </c>
      <c r="C5956" s="5" t="s">
        <v>6436</v>
      </c>
      <c r="D5956" s="3">
        <f>VLOOKUP(A5956,airports!A:H,7,FALSE)</f>
        <v>26.919699999999999</v>
      </c>
      <c r="E5956" s="3">
        <f>VLOOKUP(A5956,airports!A:H,8,FALSE)</f>
        <v>-81.995999999999995</v>
      </c>
      <c r="F5956" s="3">
        <f>VLOOKUP(B5956,airports!A:H,7,FALSE)</f>
        <v>35.042416670000001</v>
      </c>
      <c r="G5956" s="3">
        <f>VLOOKUP(B5956,airports!A:H,8,FALSE)</f>
        <v>-89.97666667</v>
      </c>
      <c r="H5956">
        <f t="shared" ref="H5956:H6019" si="186">ROUND(ACOS(COS(RADIANS(90-D5956)) * COS(RADIANS(90-F5956)) + SIN(RADIANS(90-D5956)) * SIN(RADIANS(90-F5956)) * COS(RADIANS(E5956-G5956))) * 6371,1)</f>
        <v>1180</v>
      </c>
      <c r="I5956">
        <f t="shared" ref="I5956:I6019" si="187">ROUND(ACOS(COS(RADIANS(90-D5956)) * COS(RADIANS(90-F5956)) + SIN(RADIANS(90-D5956)) * SIN(RADIANS(90-F5956)) * COS(RADIANS(E5956-G5956))) * 3959,1)</f>
        <v>733.2</v>
      </c>
    </row>
    <row r="5957" spans="1:9" ht="30" x14ac:dyDescent="0.25">
      <c r="A5957" s="5" t="s">
        <v>185</v>
      </c>
      <c r="B5957" s="5" t="s">
        <v>85</v>
      </c>
      <c r="C5957" s="5" t="s">
        <v>6437</v>
      </c>
      <c r="D5957" s="3">
        <f>VLOOKUP(A5957,airports!A:H,7,FALSE)</f>
        <v>26.919699999999999</v>
      </c>
      <c r="E5957" s="3">
        <f>VLOOKUP(A5957,airports!A:H,8,FALSE)</f>
        <v>-81.995999999999995</v>
      </c>
      <c r="F5957" s="3">
        <f>VLOOKUP(B5957,airports!A:H,7,FALSE)</f>
        <v>42.94722222</v>
      </c>
      <c r="G5957" s="3">
        <f>VLOOKUP(B5957,airports!A:H,8,FALSE)</f>
        <v>-87.896583329999999</v>
      </c>
      <c r="H5957">
        <f t="shared" si="186"/>
        <v>1860.3</v>
      </c>
      <c r="I5957">
        <f t="shared" si="187"/>
        <v>1156</v>
      </c>
    </row>
    <row r="5958" spans="1:9" ht="30" x14ac:dyDescent="0.25">
      <c r="A5958" s="5" t="s">
        <v>185</v>
      </c>
      <c r="B5958" s="5" t="s">
        <v>573</v>
      </c>
      <c r="C5958" s="5" t="s">
        <v>6438</v>
      </c>
      <c r="D5958" s="3">
        <f>VLOOKUP(A5958,airports!A:H,7,FALSE)</f>
        <v>26.919699999999999</v>
      </c>
      <c r="E5958" s="3">
        <f>VLOOKUP(A5958,airports!A:H,8,FALSE)</f>
        <v>-81.995999999999995</v>
      </c>
      <c r="F5958" s="3">
        <f>VLOOKUP(B5958,airports!A:H,7,FALSE)</f>
        <v>41.448526389999998</v>
      </c>
      <c r="G5958" s="3">
        <f>VLOOKUP(B5958,airports!A:H,8,FALSE)</f>
        <v>-90.507539170000001</v>
      </c>
      <c r="H5958">
        <f t="shared" si="186"/>
        <v>1793</v>
      </c>
      <c r="I5958">
        <f t="shared" si="187"/>
        <v>1114.2</v>
      </c>
    </row>
    <row r="5959" spans="1:9" ht="30" x14ac:dyDescent="0.25">
      <c r="A5959" s="5" t="s">
        <v>185</v>
      </c>
      <c r="B5959" s="5" t="s">
        <v>87</v>
      </c>
      <c r="C5959" s="5" t="s">
        <v>6439</v>
      </c>
      <c r="D5959" s="3">
        <f>VLOOKUP(A5959,airports!A:H,7,FALSE)</f>
        <v>26.919699999999999</v>
      </c>
      <c r="E5959" s="3">
        <f>VLOOKUP(A5959,airports!A:H,8,FALSE)</f>
        <v>-81.995999999999995</v>
      </c>
      <c r="F5959" s="3">
        <f>VLOOKUP(B5959,airports!A:H,7,FALSE)</f>
        <v>44.880546940000002</v>
      </c>
      <c r="G5959" s="3">
        <f>VLOOKUP(B5959,airports!A:H,8,FALSE)</f>
        <v>-93.216922499999995</v>
      </c>
      <c r="H5959">
        <f t="shared" si="186"/>
        <v>2233.1999999999998</v>
      </c>
      <c r="I5959">
        <f t="shared" si="187"/>
        <v>1387.8</v>
      </c>
    </row>
    <row r="5960" spans="1:9" ht="30" x14ac:dyDescent="0.25">
      <c r="A5960" s="5" t="s">
        <v>185</v>
      </c>
      <c r="B5960" s="5" t="s">
        <v>592</v>
      </c>
      <c r="C5960" s="5" t="s">
        <v>6440</v>
      </c>
      <c r="D5960" s="3">
        <f>VLOOKUP(A5960,airports!A:H,7,FALSE)</f>
        <v>26.919699999999999</v>
      </c>
      <c r="E5960" s="3">
        <f>VLOOKUP(A5960,airports!A:H,8,FALSE)</f>
        <v>-81.995999999999995</v>
      </c>
      <c r="F5960" s="3">
        <f>VLOOKUP(B5960,airports!A:H,7,FALSE)</f>
        <v>41.30251861</v>
      </c>
      <c r="G5960" s="3">
        <f>VLOOKUP(B5960,airports!A:H,8,FALSE)</f>
        <v>-95.89417306</v>
      </c>
      <c r="H5960">
        <f t="shared" si="186"/>
        <v>2042.5</v>
      </c>
      <c r="I5960">
        <f t="shared" si="187"/>
        <v>1269.2</v>
      </c>
    </row>
    <row r="5961" spans="1:9" ht="30" x14ac:dyDescent="0.25">
      <c r="A5961" s="5" t="s">
        <v>185</v>
      </c>
      <c r="B5961" s="5" t="s">
        <v>596</v>
      </c>
      <c r="C5961" s="5" t="s">
        <v>6441</v>
      </c>
      <c r="D5961" s="3">
        <f>VLOOKUP(A5961,airports!A:H,7,FALSE)</f>
        <v>26.919699999999999</v>
      </c>
      <c r="E5961" s="3">
        <f>VLOOKUP(A5961,airports!A:H,8,FALSE)</f>
        <v>-81.995999999999995</v>
      </c>
      <c r="F5961" s="3">
        <f>VLOOKUP(B5961,airports!A:H,7,FALSE)</f>
        <v>36.89461111</v>
      </c>
      <c r="G5961" s="3">
        <f>VLOOKUP(B5961,airports!A:H,8,FALSE)</f>
        <v>-76.201222220000005</v>
      </c>
      <c r="H5961">
        <f t="shared" si="186"/>
        <v>1236</v>
      </c>
      <c r="I5961">
        <f t="shared" si="187"/>
        <v>768.1</v>
      </c>
    </row>
    <row r="5962" spans="1:9" ht="30" x14ac:dyDescent="0.25">
      <c r="A5962" s="5" t="s">
        <v>185</v>
      </c>
      <c r="B5962" s="5" t="s">
        <v>3316</v>
      </c>
      <c r="C5962" s="5" t="s">
        <v>6442</v>
      </c>
      <c r="D5962" s="3">
        <f>VLOOKUP(A5962,airports!A:H,7,FALSE)</f>
        <v>26.919699999999999</v>
      </c>
      <c r="E5962" s="3">
        <f>VLOOKUP(A5962,airports!A:H,8,FALSE)</f>
        <v>-81.995999999999995</v>
      </c>
      <c r="F5962" s="3">
        <f>VLOOKUP(B5962,airports!A:H,7,FALSE)</f>
        <v>44.650901794433501</v>
      </c>
      <c r="G5962" s="3">
        <f>VLOOKUP(B5962,airports!A:H,8,FALSE)</f>
        <v>-73.468101501464801</v>
      </c>
      <c r="H5962">
        <f t="shared" si="186"/>
        <v>2113.4</v>
      </c>
      <c r="I5962">
        <f t="shared" si="187"/>
        <v>1313.3</v>
      </c>
    </row>
    <row r="5963" spans="1:9" ht="30" x14ac:dyDescent="0.25">
      <c r="A5963" s="5" t="s">
        <v>185</v>
      </c>
      <c r="B5963" s="5" t="s">
        <v>604</v>
      </c>
      <c r="C5963" s="5" t="s">
        <v>6443</v>
      </c>
      <c r="D5963" s="3">
        <f>VLOOKUP(A5963,airports!A:H,7,FALSE)</f>
        <v>26.919699999999999</v>
      </c>
      <c r="E5963" s="3">
        <f>VLOOKUP(A5963,airports!A:H,8,FALSE)</f>
        <v>-81.995999999999995</v>
      </c>
      <c r="F5963" s="3">
        <f>VLOOKUP(B5963,airports!A:H,7,FALSE)</f>
        <v>40.664243329999998</v>
      </c>
      <c r="G5963" s="3">
        <f>VLOOKUP(B5963,airports!A:H,8,FALSE)</f>
        <v>-89.693305559999999</v>
      </c>
      <c r="H5963">
        <f t="shared" si="186"/>
        <v>1684</v>
      </c>
      <c r="I5963">
        <f t="shared" si="187"/>
        <v>1046.4000000000001</v>
      </c>
    </row>
    <row r="5964" spans="1:9" x14ac:dyDescent="0.25">
      <c r="A5964" s="5" t="s">
        <v>185</v>
      </c>
      <c r="B5964" s="5" t="s">
        <v>106</v>
      </c>
      <c r="C5964" s="5" t="s">
        <v>6444</v>
      </c>
      <c r="D5964" s="3">
        <f>VLOOKUP(A5964,airports!A:H,7,FALSE)</f>
        <v>26.919699999999999</v>
      </c>
      <c r="E5964" s="3">
        <f>VLOOKUP(A5964,airports!A:H,8,FALSE)</f>
        <v>-81.995999999999995</v>
      </c>
      <c r="F5964" s="3">
        <f>VLOOKUP(B5964,airports!A:H,7,FALSE)</f>
        <v>40.491465830000003</v>
      </c>
      <c r="G5964" s="3">
        <f>VLOOKUP(B5964,airports!A:H,8,FALSE)</f>
        <v>-80.232870829999996</v>
      </c>
      <c r="H5964">
        <f t="shared" si="186"/>
        <v>1517.8</v>
      </c>
      <c r="I5964">
        <f t="shared" si="187"/>
        <v>943.2</v>
      </c>
    </row>
    <row r="5965" spans="1:9" ht="30" x14ac:dyDescent="0.25">
      <c r="A5965" s="5" t="s">
        <v>185</v>
      </c>
      <c r="B5965" s="5" t="s">
        <v>1164</v>
      </c>
      <c r="C5965" s="5" t="s">
        <v>6445</v>
      </c>
      <c r="D5965" s="3">
        <f>VLOOKUP(A5965,airports!A:H,7,FALSE)</f>
        <v>26.919699999999999</v>
      </c>
      <c r="E5965" s="3">
        <f>VLOOKUP(A5965,airports!A:H,8,FALSE)</f>
        <v>-81.995999999999995</v>
      </c>
      <c r="F5965" s="3">
        <f>VLOOKUP(B5965,airports!A:H,7,FALSE)</f>
        <v>43.079099999999997</v>
      </c>
      <c r="G5965" s="3">
        <f>VLOOKUP(B5965,airports!A:H,8,FALSE)</f>
        <v>-70.823300000000003</v>
      </c>
      <c r="H5965">
        <f t="shared" si="186"/>
        <v>2060.6</v>
      </c>
      <c r="I5965">
        <f t="shared" si="187"/>
        <v>1280.5</v>
      </c>
    </row>
    <row r="5966" spans="1:9" ht="30" x14ac:dyDescent="0.25">
      <c r="A5966" s="5" t="s">
        <v>185</v>
      </c>
      <c r="B5966" s="5" t="s">
        <v>114</v>
      </c>
      <c r="C5966" s="5" t="s">
        <v>6446</v>
      </c>
      <c r="D5966" s="3">
        <f>VLOOKUP(A5966,airports!A:H,7,FALSE)</f>
        <v>26.919699999999999</v>
      </c>
      <c r="E5966" s="3">
        <f>VLOOKUP(A5966,airports!A:H,8,FALSE)</f>
        <v>-81.995999999999995</v>
      </c>
      <c r="F5966" s="3">
        <f>VLOOKUP(B5966,airports!A:H,7,FALSE)</f>
        <v>41.723999169999999</v>
      </c>
      <c r="G5966" s="3">
        <f>VLOOKUP(B5966,airports!A:H,8,FALSE)</f>
        <v>-71.428221109999996</v>
      </c>
      <c r="H5966">
        <f t="shared" si="186"/>
        <v>1907.4</v>
      </c>
      <c r="I5966">
        <f t="shared" si="187"/>
        <v>1185.3</v>
      </c>
    </row>
    <row r="5967" spans="1:9" ht="30" x14ac:dyDescent="0.25">
      <c r="A5967" s="5" t="s">
        <v>185</v>
      </c>
      <c r="B5967" s="5" t="s">
        <v>612</v>
      </c>
      <c r="C5967" s="5" t="s">
        <v>6447</v>
      </c>
      <c r="D5967" s="3">
        <f>VLOOKUP(A5967,airports!A:H,7,FALSE)</f>
        <v>26.919699999999999</v>
      </c>
      <c r="E5967" s="3">
        <f>VLOOKUP(A5967,airports!A:H,8,FALSE)</f>
        <v>-81.995999999999995</v>
      </c>
      <c r="F5967" s="3">
        <f>VLOOKUP(B5967,airports!A:H,7,FALSE)</f>
        <v>44.045321389999998</v>
      </c>
      <c r="G5967" s="3">
        <f>VLOOKUP(B5967,airports!A:H,8,FALSE)</f>
        <v>-103.0573708</v>
      </c>
      <c r="H5967">
        <f t="shared" si="186"/>
        <v>2679.6</v>
      </c>
      <c r="I5967">
        <f t="shared" si="187"/>
        <v>1665.1</v>
      </c>
    </row>
    <row r="5968" spans="1:9" ht="30" x14ac:dyDescent="0.25">
      <c r="A5968" s="5" t="s">
        <v>185</v>
      </c>
      <c r="B5968" s="5" t="s">
        <v>119</v>
      </c>
      <c r="C5968" s="5" t="s">
        <v>6448</v>
      </c>
      <c r="D5968" s="3">
        <f>VLOOKUP(A5968,airports!A:H,7,FALSE)</f>
        <v>26.919699999999999</v>
      </c>
      <c r="E5968" s="3">
        <f>VLOOKUP(A5968,airports!A:H,8,FALSE)</f>
        <v>-81.995999999999995</v>
      </c>
      <c r="F5968" s="3">
        <f>VLOOKUP(B5968,airports!A:H,7,FALSE)</f>
        <v>35.87763889</v>
      </c>
      <c r="G5968" s="3">
        <f>VLOOKUP(B5968,airports!A:H,8,FALSE)</f>
        <v>-78.787472219999998</v>
      </c>
      <c r="H5968">
        <f t="shared" si="186"/>
        <v>1041.4000000000001</v>
      </c>
      <c r="I5968">
        <f t="shared" si="187"/>
        <v>647.1</v>
      </c>
    </row>
    <row r="5969" spans="1:9" ht="30" x14ac:dyDescent="0.25">
      <c r="A5969" s="5" t="s">
        <v>185</v>
      </c>
      <c r="B5969" s="5" t="s">
        <v>896</v>
      </c>
      <c r="C5969" s="5" t="s">
        <v>6449</v>
      </c>
      <c r="D5969" s="3">
        <f>VLOOKUP(A5969,airports!A:H,7,FALSE)</f>
        <v>26.919699999999999</v>
      </c>
      <c r="E5969" s="3">
        <f>VLOOKUP(A5969,airports!A:H,8,FALSE)</f>
        <v>-81.995999999999995</v>
      </c>
      <c r="F5969" s="3">
        <f>VLOOKUP(B5969,airports!A:H,7,FALSE)</f>
        <v>42.195363890000003</v>
      </c>
      <c r="G5969" s="3">
        <f>VLOOKUP(B5969,airports!A:H,8,FALSE)</f>
        <v>-89.097211110000003</v>
      </c>
      <c r="H5969">
        <f t="shared" si="186"/>
        <v>1817.1</v>
      </c>
      <c r="I5969">
        <f t="shared" si="187"/>
        <v>1129.2</v>
      </c>
    </row>
    <row r="5970" spans="1:9" x14ac:dyDescent="0.25">
      <c r="A5970" s="5" t="s">
        <v>185</v>
      </c>
      <c r="B5970" s="5" t="s">
        <v>120</v>
      </c>
      <c r="C5970" s="5" t="s">
        <v>6450</v>
      </c>
      <c r="D5970" s="3">
        <f>VLOOKUP(A5970,airports!A:H,7,FALSE)</f>
        <v>26.919699999999999</v>
      </c>
      <c r="E5970" s="3">
        <f>VLOOKUP(A5970,airports!A:H,8,FALSE)</f>
        <v>-81.995999999999995</v>
      </c>
      <c r="F5970" s="3">
        <f>VLOOKUP(B5970,airports!A:H,7,FALSE)</f>
        <v>37.505166670000001</v>
      </c>
      <c r="G5970" s="3">
        <f>VLOOKUP(B5970,airports!A:H,8,FALSE)</f>
        <v>-77.319666670000004</v>
      </c>
      <c r="H5970">
        <f t="shared" si="186"/>
        <v>1256.0999999999999</v>
      </c>
      <c r="I5970">
        <f t="shared" si="187"/>
        <v>780.5</v>
      </c>
    </row>
    <row r="5971" spans="1:9" ht="30" x14ac:dyDescent="0.25">
      <c r="A5971" s="5" t="s">
        <v>185</v>
      </c>
      <c r="B5971" s="5" t="s">
        <v>122</v>
      </c>
      <c r="C5971" s="5" t="s">
        <v>6451</v>
      </c>
      <c r="D5971" s="3">
        <f>VLOOKUP(A5971,airports!A:H,7,FALSE)</f>
        <v>26.919699999999999</v>
      </c>
      <c r="E5971" s="3">
        <f>VLOOKUP(A5971,airports!A:H,8,FALSE)</f>
        <v>-81.995999999999995</v>
      </c>
      <c r="F5971" s="3">
        <f>VLOOKUP(B5971,airports!A:H,7,FALSE)</f>
        <v>43.118866109999999</v>
      </c>
      <c r="G5971" s="3">
        <f>VLOOKUP(B5971,airports!A:H,8,FALSE)</f>
        <v>-77.672383890000006</v>
      </c>
      <c r="H5971">
        <f t="shared" si="186"/>
        <v>1843.1</v>
      </c>
      <c r="I5971">
        <f t="shared" si="187"/>
        <v>1145.3</v>
      </c>
    </row>
    <row r="5972" spans="1:9" ht="30" x14ac:dyDescent="0.25">
      <c r="A5972" s="5" t="s">
        <v>185</v>
      </c>
      <c r="B5972" s="5" t="s">
        <v>626</v>
      </c>
      <c r="C5972" s="5" t="s">
        <v>6452</v>
      </c>
      <c r="D5972" s="3">
        <f>VLOOKUP(A5972,airports!A:H,7,FALSE)</f>
        <v>26.919699999999999</v>
      </c>
      <c r="E5972" s="3">
        <f>VLOOKUP(A5972,airports!A:H,8,FALSE)</f>
        <v>-81.995999999999995</v>
      </c>
      <c r="F5972" s="3">
        <f>VLOOKUP(B5972,airports!A:H,7,FALSE)</f>
        <v>41.708953610000002</v>
      </c>
      <c r="G5972" s="3">
        <f>VLOOKUP(B5972,airports!A:H,8,FALSE)</f>
        <v>-86.318474170000002</v>
      </c>
      <c r="H5972">
        <f t="shared" si="186"/>
        <v>1691.1</v>
      </c>
      <c r="I5972">
        <f t="shared" si="187"/>
        <v>1050.9000000000001</v>
      </c>
    </row>
    <row r="5973" spans="1:9" ht="30" x14ac:dyDescent="0.25">
      <c r="A5973" s="5" t="s">
        <v>185</v>
      </c>
      <c r="B5973" s="5" t="s">
        <v>630</v>
      </c>
      <c r="C5973" s="5" t="s">
        <v>6453</v>
      </c>
      <c r="D5973" s="3">
        <f>VLOOKUP(A5973,airports!A:H,7,FALSE)</f>
        <v>26.919699999999999</v>
      </c>
      <c r="E5973" s="3">
        <f>VLOOKUP(A5973,airports!A:H,8,FALSE)</f>
        <v>-81.995999999999995</v>
      </c>
      <c r="F5973" s="3">
        <f>VLOOKUP(B5973,airports!A:H,7,FALSE)</f>
        <v>38.174388890000003</v>
      </c>
      <c r="G5973" s="3">
        <f>VLOOKUP(B5973,airports!A:H,8,FALSE)</f>
        <v>-85.736000000000004</v>
      </c>
      <c r="H5973">
        <f t="shared" si="186"/>
        <v>1299.3</v>
      </c>
      <c r="I5973">
        <f t="shared" si="187"/>
        <v>807.4</v>
      </c>
    </row>
    <row r="5974" spans="1:9" ht="30" x14ac:dyDescent="0.25">
      <c r="A5974" s="5" t="s">
        <v>185</v>
      </c>
      <c r="B5974" s="5" t="s">
        <v>634</v>
      </c>
      <c r="C5974" s="5" t="s">
        <v>6454</v>
      </c>
      <c r="D5974" s="3">
        <f>VLOOKUP(A5974,airports!A:H,7,FALSE)</f>
        <v>26.919699999999999</v>
      </c>
      <c r="E5974" s="3">
        <f>VLOOKUP(A5974,airports!A:H,8,FALSE)</f>
        <v>-81.995999999999995</v>
      </c>
      <c r="F5974" s="3">
        <f>VLOOKUP(B5974,airports!A:H,7,FALSE)</f>
        <v>37.244326110000003</v>
      </c>
      <c r="G5974" s="3">
        <f>VLOOKUP(B5974,airports!A:H,8,FALSE)</f>
        <v>-93.386858059999994</v>
      </c>
      <c r="H5974">
        <f t="shared" si="186"/>
        <v>1569</v>
      </c>
      <c r="I5974">
        <f t="shared" si="187"/>
        <v>975</v>
      </c>
    </row>
    <row r="5975" spans="1:9" x14ac:dyDescent="0.25">
      <c r="A5975" s="5" t="s">
        <v>185</v>
      </c>
      <c r="B5975" s="5" t="s">
        <v>909</v>
      </c>
      <c r="C5975" s="5" t="s">
        <v>6455</v>
      </c>
      <c r="D5975" s="3">
        <f>VLOOKUP(A5975,airports!A:H,7,FALSE)</f>
        <v>26.919699999999999</v>
      </c>
      <c r="E5975" s="3">
        <f>VLOOKUP(A5975,airports!A:H,8,FALSE)</f>
        <v>-81.995999999999995</v>
      </c>
      <c r="F5975" s="3">
        <f>VLOOKUP(B5975,airports!A:H,7,FALSE)</f>
        <v>39.843951939999997</v>
      </c>
      <c r="G5975" s="3">
        <f>VLOOKUP(B5975,airports!A:H,8,FALSE)</f>
        <v>-89.677618609999996</v>
      </c>
      <c r="H5975">
        <f t="shared" si="186"/>
        <v>1602.7</v>
      </c>
      <c r="I5975">
        <f t="shared" si="187"/>
        <v>996</v>
      </c>
    </row>
    <row r="5976" spans="1:9" ht="30" x14ac:dyDescent="0.25">
      <c r="A5976" s="5" t="s">
        <v>185</v>
      </c>
      <c r="B5976" s="5" t="s">
        <v>911</v>
      </c>
      <c r="C5976" s="5" t="s">
        <v>6456</v>
      </c>
      <c r="D5976" s="3">
        <f>VLOOKUP(A5976,airports!A:H,7,FALSE)</f>
        <v>26.919699999999999</v>
      </c>
      <c r="E5976" s="3">
        <f>VLOOKUP(A5976,airports!A:H,8,FALSE)</f>
        <v>-81.995999999999995</v>
      </c>
      <c r="F5976" s="3">
        <f>VLOOKUP(B5976,airports!A:H,7,FALSE)</f>
        <v>45.545324170000001</v>
      </c>
      <c r="G5976" s="3">
        <f>VLOOKUP(B5976,airports!A:H,8,FALSE)</f>
        <v>-94.058336670000003</v>
      </c>
      <c r="H5976">
        <f t="shared" si="186"/>
        <v>2330.5</v>
      </c>
      <c r="I5976">
        <f t="shared" si="187"/>
        <v>1448.2</v>
      </c>
    </row>
    <row r="5977" spans="1:9" ht="30" x14ac:dyDescent="0.25">
      <c r="A5977" s="5" t="s">
        <v>185</v>
      </c>
      <c r="B5977" s="5" t="s">
        <v>142</v>
      </c>
      <c r="C5977" s="5" t="s">
        <v>6457</v>
      </c>
      <c r="D5977" s="3">
        <f>VLOOKUP(A5977,airports!A:H,7,FALSE)</f>
        <v>26.919699999999999</v>
      </c>
      <c r="E5977" s="3">
        <f>VLOOKUP(A5977,airports!A:H,8,FALSE)</f>
        <v>-81.995999999999995</v>
      </c>
      <c r="F5977" s="3">
        <f>VLOOKUP(B5977,airports!A:H,7,FALSE)</f>
        <v>41.504093609999998</v>
      </c>
      <c r="G5977" s="3">
        <f>VLOOKUP(B5977,airports!A:H,8,FALSE)</f>
        <v>-74.104838330000007</v>
      </c>
      <c r="H5977">
        <f t="shared" si="186"/>
        <v>1774.7</v>
      </c>
      <c r="I5977">
        <f t="shared" si="187"/>
        <v>1102.8</v>
      </c>
    </row>
    <row r="5978" spans="1:9" ht="30" x14ac:dyDescent="0.25">
      <c r="A5978" s="5" t="s">
        <v>185</v>
      </c>
      <c r="B5978" s="5" t="s">
        <v>144</v>
      </c>
      <c r="C5978" s="5" t="s">
        <v>6458</v>
      </c>
      <c r="D5978" s="3">
        <f>VLOOKUP(A5978,airports!A:H,7,FALSE)</f>
        <v>26.919699999999999</v>
      </c>
      <c r="E5978" s="3">
        <f>VLOOKUP(A5978,airports!A:H,8,FALSE)</f>
        <v>-81.995999999999995</v>
      </c>
      <c r="F5978" s="3">
        <f>VLOOKUP(B5978,airports!A:H,7,FALSE)</f>
        <v>43.111186940000003</v>
      </c>
      <c r="G5978" s="3">
        <f>VLOOKUP(B5978,airports!A:H,8,FALSE)</f>
        <v>-76.106310559999997</v>
      </c>
      <c r="H5978">
        <f t="shared" si="186"/>
        <v>1877.3</v>
      </c>
      <c r="I5978">
        <f t="shared" si="187"/>
        <v>1166.5999999999999</v>
      </c>
    </row>
    <row r="5979" spans="1:9" ht="30" x14ac:dyDescent="0.25">
      <c r="A5979" s="5" t="s">
        <v>185</v>
      </c>
      <c r="B5979" s="5" t="s">
        <v>913</v>
      </c>
      <c r="C5979" s="5" t="s">
        <v>6459</v>
      </c>
      <c r="D5979" s="3">
        <f>VLOOKUP(A5979,airports!A:H,7,FALSE)</f>
        <v>26.919699999999999</v>
      </c>
      <c r="E5979" s="3">
        <f>VLOOKUP(A5979,airports!A:H,8,FALSE)</f>
        <v>-81.995999999999995</v>
      </c>
      <c r="F5979" s="3">
        <f>VLOOKUP(B5979,airports!A:H,7,FALSE)</f>
        <v>41.586805560000002</v>
      </c>
      <c r="G5979" s="3">
        <f>VLOOKUP(B5979,airports!A:H,8,FALSE)</f>
        <v>-83.807833329999994</v>
      </c>
      <c r="H5979">
        <f t="shared" si="186"/>
        <v>1639.3</v>
      </c>
      <c r="I5979">
        <f t="shared" si="187"/>
        <v>1018.7</v>
      </c>
    </row>
    <row r="5980" spans="1:9" ht="30" x14ac:dyDescent="0.25">
      <c r="A5980" s="5" t="s">
        <v>185</v>
      </c>
      <c r="B5980" s="5" t="s">
        <v>656</v>
      </c>
      <c r="C5980" s="5" t="s">
        <v>6460</v>
      </c>
      <c r="D5980" s="3">
        <f>VLOOKUP(A5980,airports!A:H,7,FALSE)</f>
        <v>26.919699999999999</v>
      </c>
      <c r="E5980" s="3">
        <f>VLOOKUP(A5980,airports!A:H,8,FALSE)</f>
        <v>-81.995999999999995</v>
      </c>
      <c r="F5980" s="3">
        <f>VLOOKUP(B5980,airports!A:H,7,FALSE)</f>
        <v>40.276691110000002</v>
      </c>
      <c r="G5980" s="3">
        <f>VLOOKUP(B5980,airports!A:H,8,FALSE)</f>
        <v>-74.813468330000006</v>
      </c>
      <c r="H5980">
        <f t="shared" si="186"/>
        <v>1625.9</v>
      </c>
      <c r="I5980">
        <f t="shared" si="187"/>
        <v>1010.4</v>
      </c>
    </row>
    <row r="5981" spans="1:9" ht="30" x14ac:dyDescent="0.25">
      <c r="A5981" s="5" t="s">
        <v>185</v>
      </c>
      <c r="B5981" s="5" t="s">
        <v>662</v>
      </c>
      <c r="C5981" s="5" t="s">
        <v>6461</v>
      </c>
      <c r="D5981" s="3">
        <f>VLOOKUP(A5981,airports!A:H,7,FALSE)</f>
        <v>26.919699999999999</v>
      </c>
      <c r="E5981" s="3">
        <f>VLOOKUP(A5981,airports!A:H,8,FALSE)</f>
        <v>-81.995999999999995</v>
      </c>
      <c r="F5981" s="3">
        <f>VLOOKUP(B5981,airports!A:H,7,FALSE)</f>
        <v>44.741444719999997</v>
      </c>
      <c r="G5981" s="3">
        <f>VLOOKUP(B5981,airports!A:H,8,FALSE)</f>
        <v>-85.582234999999997</v>
      </c>
      <c r="H5981">
        <f t="shared" si="186"/>
        <v>2007.3</v>
      </c>
      <c r="I5981">
        <f t="shared" si="187"/>
        <v>1247.4000000000001</v>
      </c>
    </row>
    <row r="5982" spans="1:9" ht="30" x14ac:dyDescent="0.25">
      <c r="A5982" s="5" t="s">
        <v>185</v>
      </c>
      <c r="B5982" s="5" t="s">
        <v>664</v>
      </c>
      <c r="C5982" s="5" t="s">
        <v>6462</v>
      </c>
      <c r="D5982" s="3">
        <f>VLOOKUP(A5982,airports!A:H,7,FALSE)</f>
        <v>26.919699999999999</v>
      </c>
      <c r="E5982" s="3">
        <f>VLOOKUP(A5982,airports!A:H,8,FALSE)</f>
        <v>-81.995999999999995</v>
      </c>
      <c r="F5982" s="3">
        <f>VLOOKUP(B5982,airports!A:H,7,FALSE)</f>
        <v>35.812487220000001</v>
      </c>
      <c r="G5982" s="3">
        <f>VLOOKUP(B5982,airports!A:H,8,FALSE)</f>
        <v>-83.992855829999996</v>
      </c>
      <c r="H5982">
        <f t="shared" si="186"/>
        <v>1006.8</v>
      </c>
      <c r="I5982">
        <f t="shared" si="187"/>
        <v>625.6</v>
      </c>
    </row>
    <row r="5983" spans="1:9" ht="30" x14ac:dyDescent="0.25">
      <c r="A5983" s="5" t="s">
        <v>185</v>
      </c>
      <c r="B5983" s="5" t="s">
        <v>4</v>
      </c>
      <c r="C5983" s="5" t="s">
        <v>6463</v>
      </c>
      <c r="D5983" s="3">
        <f>VLOOKUP(A5983,airports!A:H,7,FALSE)</f>
        <v>26.919699999999999</v>
      </c>
      <c r="E5983" s="3">
        <f>VLOOKUP(A5983,airports!A:H,8,FALSE)</f>
        <v>-81.995999999999995</v>
      </c>
      <c r="F5983" s="3">
        <f>VLOOKUP(B5983,airports!A:H,7,FALSE)</f>
        <v>35.387797999999997</v>
      </c>
      <c r="G5983" s="3">
        <f>VLOOKUP(B5983,airports!A:H,8,FALSE)</f>
        <v>-80.709098999999995</v>
      </c>
      <c r="H5983">
        <f t="shared" si="186"/>
        <v>949.5</v>
      </c>
      <c r="I5983">
        <f t="shared" si="187"/>
        <v>590</v>
      </c>
    </row>
    <row r="5984" spans="1:9" ht="30" x14ac:dyDescent="0.25">
      <c r="A5984" s="5" t="s">
        <v>185</v>
      </c>
      <c r="B5984" s="5" t="s">
        <v>670</v>
      </c>
      <c r="C5984" s="5" t="s">
        <v>6464</v>
      </c>
      <c r="D5984" s="3">
        <f>VLOOKUP(A5984,airports!A:H,7,FALSE)</f>
        <v>26.919699999999999</v>
      </c>
      <c r="E5984" s="3">
        <f>VLOOKUP(A5984,airports!A:H,8,FALSE)</f>
        <v>-81.995999999999995</v>
      </c>
      <c r="F5984" s="3">
        <f>VLOOKUP(B5984,airports!A:H,7,FALSE)</f>
        <v>36.281869440000001</v>
      </c>
      <c r="G5984" s="3">
        <f>VLOOKUP(B5984,airports!A:H,8,FALSE)</f>
        <v>-94.306811109999998</v>
      </c>
      <c r="H5984">
        <f t="shared" si="186"/>
        <v>1560.5</v>
      </c>
      <c r="I5984">
        <f t="shared" si="187"/>
        <v>969.7</v>
      </c>
    </row>
    <row r="5985" spans="1:9" ht="30" x14ac:dyDescent="0.25">
      <c r="A5985" s="5" t="s">
        <v>1842</v>
      </c>
      <c r="B5985" s="5" t="s">
        <v>40</v>
      </c>
      <c r="C5985" s="5" t="s">
        <v>6465</v>
      </c>
      <c r="D5985" s="3">
        <f>VLOOKUP(A5985,airports!A:H,7,FALSE)</f>
        <v>35.635200500000003</v>
      </c>
      <c r="E5985" s="3">
        <f>VLOOKUP(A5985,airports!A:H,8,FALSE)</f>
        <v>-77.385299680000003</v>
      </c>
      <c r="F5985" s="3">
        <f>VLOOKUP(B5985,airports!A:H,7,FALSE)</f>
        <v>35.214011110000001</v>
      </c>
      <c r="G5985" s="3">
        <f>VLOOKUP(B5985,airports!A:H,8,FALSE)</f>
        <v>-80.94312583</v>
      </c>
      <c r="H5985">
        <f t="shared" si="186"/>
        <v>325.7</v>
      </c>
      <c r="I5985">
        <f t="shared" si="187"/>
        <v>202.4</v>
      </c>
    </row>
    <row r="5986" spans="1:9" x14ac:dyDescent="0.25">
      <c r="A5986" s="5" t="s">
        <v>600</v>
      </c>
      <c r="B5986" s="5" t="s">
        <v>10</v>
      </c>
      <c r="C5986" s="5" t="s">
        <v>6466</v>
      </c>
      <c r="D5986" s="3">
        <f>VLOOKUP(A5986,airports!A:H,7,FALSE)</f>
        <v>37.131895559999997</v>
      </c>
      <c r="E5986" s="3">
        <f>VLOOKUP(A5986,airports!A:H,8,FALSE)</f>
        <v>-76.492987499999998</v>
      </c>
      <c r="F5986" s="3">
        <f>VLOOKUP(B5986,airports!A:H,7,FALSE)</f>
        <v>33.640444440000003</v>
      </c>
      <c r="G5986" s="3">
        <f>VLOOKUP(B5986,airports!A:H,8,FALSE)</f>
        <v>-84.42694444</v>
      </c>
      <c r="H5986">
        <f t="shared" si="186"/>
        <v>816.9</v>
      </c>
      <c r="I5986">
        <f t="shared" si="187"/>
        <v>507.6</v>
      </c>
    </row>
    <row r="5987" spans="1:9" x14ac:dyDescent="0.25">
      <c r="A5987" s="5" t="s">
        <v>600</v>
      </c>
      <c r="B5987" s="5" t="s">
        <v>40</v>
      </c>
      <c r="C5987" s="5" t="s">
        <v>6467</v>
      </c>
      <c r="D5987" s="3">
        <f>VLOOKUP(A5987,airports!A:H,7,FALSE)</f>
        <v>37.131895559999997</v>
      </c>
      <c r="E5987" s="3">
        <f>VLOOKUP(A5987,airports!A:H,8,FALSE)</f>
        <v>-76.492987499999998</v>
      </c>
      <c r="F5987" s="3">
        <f>VLOOKUP(B5987,airports!A:H,7,FALSE)</f>
        <v>35.214011110000001</v>
      </c>
      <c r="G5987" s="3">
        <f>VLOOKUP(B5987,airports!A:H,8,FALSE)</f>
        <v>-80.94312583</v>
      </c>
      <c r="H5987">
        <f t="shared" si="186"/>
        <v>452.7</v>
      </c>
      <c r="I5987">
        <f t="shared" si="187"/>
        <v>281.3</v>
      </c>
    </row>
    <row r="5988" spans="1:9" ht="30" x14ac:dyDescent="0.25">
      <c r="A5988" s="5" t="s">
        <v>600</v>
      </c>
      <c r="B5988" s="5" t="s">
        <v>102</v>
      </c>
      <c r="C5988" s="5" t="s">
        <v>6468</v>
      </c>
      <c r="D5988" s="3">
        <f>VLOOKUP(A5988,airports!A:H,7,FALSE)</f>
        <v>37.131895559999997</v>
      </c>
      <c r="E5988" s="3">
        <f>VLOOKUP(A5988,airports!A:H,8,FALSE)</f>
        <v>-76.492987499999998</v>
      </c>
      <c r="F5988" s="3">
        <f>VLOOKUP(B5988,airports!A:H,7,FALSE)</f>
        <v>39.871952780000001</v>
      </c>
      <c r="G5988" s="3">
        <f>VLOOKUP(B5988,airports!A:H,8,FALSE)</f>
        <v>-75.241140830000006</v>
      </c>
      <c r="H5988">
        <f t="shared" si="186"/>
        <v>323.60000000000002</v>
      </c>
      <c r="I5988">
        <f t="shared" si="187"/>
        <v>201.1</v>
      </c>
    </row>
    <row r="5989" spans="1:9" ht="30" x14ac:dyDescent="0.25">
      <c r="A5989" s="5" t="s">
        <v>102</v>
      </c>
      <c r="B5989" s="5" t="s">
        <v>170</v>
      </c>
      <c r="C5989" s="5" t="s">
        <v>6469</v>
      </c>
      <c r="D5989" s="3">
        <f>VLOOKUP(A5989,airports!A:H,7,FALSE)</f>
        <v>39.871952780000001</v>
      </c>
      <c r="E5989" s="3">
        <f>VLOOKUP(A5989,airports!A:H,8,FALSE)</f>
        <v>-75.241140830000006</v>
      </c>
      <c r="F5989" s="3">
        <f>VLOOKUP(B5989,airports!A:H,7,FALSE)</f>
        <v>40.652362779999997</v>
      </c>
      <c r="G5989" s="3">
        <f>VLOOKUP(B5989,airports!A:H,8,FALSE)</f>
        <v>-75.44040167</v>
      </c>
      <c r="H5989">
        <f t="shared" si="186"/>
        <v>88.4</v>
      </c>
      <c r="I5989">
        <f t="shared" si="187"/>
        <v>54.9</v>
      </c>
    </row>
    <row r="5990" spans="1:9" ht="30" x14ac:dyDescent="0.25">
      <c r="A5990" s="5" t="s">
        <v>102</v>
      </c>
      <c r="B5990" s="5" t="s">
        <v>5</v>
      </c>
      <c r="C5990" s="5" t="s">
        <v>6470</v>
      </c>
      <c r="D5990" s="3">
        <f>VLOOKUP(A5990,airports!A:H,7,FALSE)</f>
        <v>39.871952780000001</v>
      </c>
      <c r="E5990" s="3">
        <f>VLOOKUP(A5990,airports!A:H,8,FALSE)</f>
        <v>-75.241140830000006</v>
      </c>
      <c r="F5990" s="3">
        <f>VLOOKUP(B5990,airports!A:H,7,FALSE)</f>
        <v>41.253051939999999</v>
      </c>
      <c r="G5990" s="3">
        <f>VLOOKUP(B5990,airports!A:H,8,FALSE)</f>
        <v>-70.060181389999997</v>
      </c>
      <c r="H5990">
        <f t="shared" si="186"/>
        <v>463.7</v>
      </c>
      <c r="I5990">
        <f t="shared" si="187"/>
        <v>288.2</v>
      </c>
    </row>
    <row r="5991" spans="1:9" ht="30" x14ac:dyDescent="0.25">
      <c r="A5991" s="5" t="s">
        <v>102</v>
      </c>
      <c r="B5991" s="5" t="s">
        <v>276</v>
      </c>
      <c r="C5991" s="5" t="s">
        <v>6471</v>
      </c>
      <c r="D5991" s="3">
        <f>VLOOKUP(A5991,airports!A:H,7,FALSE)</f>
        <v>39.871952780000001</v>
      </c>
      <c r="E5991" s="3">
        <f>VLOOKUP(A5991,airports!A:H,8,FALSE)</f>
        <v>-75.241140830000006</v>
      </c>
      <c r="F5991" s="3">
        <f>VLOOKUP(B5991,airports!A:H,7,FALSE)</f>
        <v>33.369954999999997</v>
      </c>
      <c r="G5991" s="3">
        <f>VLOOKUP(B5991,airports!A:H,8,FALSE)</f>
        <v>-81.964496109999999</v>
      </c>
      <c r="H5991">
        <f t="shared" si="186"/>
        <v>938.9</v>
      </c>
      <c r="I5991">
        <f t="shared" si="187"/>
        <v>583.5</v>
      </c>
    </row>
    <row r="5992" spans="1:9" x14ac:dyDescent="0.25">
      <c r="A5992" s="5" t="s">
        <v>102</v>
      </c>
      <c r="B5992" s="5" t="s">
        <v>7</v>
      </c>
      <c r="C5992" s="5" t="s">
        <v>6472</v>
      </c>
      <c r="D5992" s="3">
        <f>VLOOKUP(A5992,airports!A:H,7,FALSE)</f>
        <v>39.871952780000001</v>
      </c>
      <c r="E5992" s="3">
        <f>VLOOKUP(A5992,airports!A:H,8,FALSE)</f>
        <v>-75.241140830000006</v>
      </c>
      <c r="F5992" s="3">
        <f>VLOOKUP(B5992,airports!A:H,7,FALSE)</f>
        <v>42.748119440000004</v>
      </c>
      <c r="G5992" s="3">
        <f>VLOOKUP(B5992,airports!A:H,8,FALSE)</f>
        <v>-73.802978609999997</v>
      </c>
      <c r="H5992">
        <f t="shared" si="186"/>
        <v>341.6</v>
      </c>
      <c r="I5992">
        <f t="shared" si="187"/>
        <v>212.3</v>
      </c>
    </row>
    <row r="5993" spans="1:9" ht="30" x14ac:dyDescent="0.25">
      <c r="A5993" s="5" t="s">
        <v>102</v>
      </c>
      <c r="B5993" s="5" t="s">
        <v>391</v>
      </c>
      <c r="C5993" s="5" t="s">
        <v>6473</v>
      </c>
      <c r="D5993" s="3">
        <f>VLOOKUP(A5993,airports!A:H,7,FALSE)</f>
        <v>39.871952780000001</v>
      </c>
      <c r="E5993" s="3">
        <f>VLOOKUP(A5993,airports!A:H,8,FALSE)</f>
        <v>-75.241140830000006</v>
      </c>
      <c r="F5993" s="3">
        <f>VLOOKUP(B5993,airports!A:H,7,FALSE)</f>
        <v>43.991922219999999</v>
      </c>
      <c r="G5993" s="3">
        <f>VLOOKUP(B5993,airports!A:H,8,FALSE)</f>
        <v>-76.02173861</v>
      </c>
      <c r="H5993">
        <f t="shared" si="186"/>
        <v>462.6</v>
      </c>
      <c r="I5993">
        <f t="shared" si="187"/>
        <v>287.5</v>
      </c>
    </row>
    <row r="5994" spans="1:9" x14ac:dyDescent="0.25">
      <c r="A5994" s="5" t="s">
        <v>102</v>
      </c>
      <c r="B5994" s="5" t="s">
        <v>10</v>
      </c>
      <c r="C5994" s="5" t="s">
        <v>6474</v>
      </c>
      <c r="D5994" s="3">
        <f>VLOOKUP(A5994,airports!A:H,7,FALSE)</f>
        <v>39.871952780000001</v>
      </c>
      <c r="E5994" s="3">
        <f>VLOOKUP(A5994,airports!A:H,8,FALSE)</f>
        <v>-75.241140830000006</v>
      </c>
      <c r="F5994" s="3">
        <f>VLOOKUP(B5994,airports!A:H,7,FALSE)</f>
        <v>33.640444440000003</v>
      </c>
      <c r="G5994" s="3">
        <f>VLOOKUP(B5994,airports!A:H,8,FALSE)</f>
        <v>-84.42694444</v>
      </c>
      <c r="H5994">
        <f t="shared" si="186"/>
        <v>1071.2</v>
      </c>
      <c r="I5994">
        <f t="shared" si="187"/>
        <v>665.7</v>
      </c>
    </row>
    <row r="5995" spans="1:9" ht="30" x14ac:dyDescent="0.25">
      <c r="A5995" s="5" t="s">
        <v>102</v>
      </c>
      <c r="B5995" s="5" t="s">
        <v>13</v>
      </c>
      <c r="C5995" s="5" t="s">
        <v>6475</v>
      </c>
      <c r="D5995" s="3">
        <f>VLOOKUP(A5995,airports!A:H,7,FALSE)</f>
        <v>39.871952780000001</v>
      </c>
      <c r="E5995" s="3">
        <f>VLOOKUP(A5995,airports!A:H,8,FALSE)</f>
        <v>-75.241140830000006</v>
      </c>
      <c r="F5995" s="3">
        <f>VLOOKUP(B5995,airports!A:H,7,FALSE)</f>
        <v>30.194532779999999</v>
      </c>
      <c r="G5995" s="3">
        <f>VLOOKUP(B5995,airports!A:H,8,FALSE)</f>
        <v>-97.669871939999993</v>
      </c>
      <c r="H5995">
        <f t="shared" si="186"/>
        <v>2299.1</v>
      </c>
      <c r="I5995">
        <f t="shared" si="187"/>
        <v>1428.7</v>
      </c>
    </row>
    <row r="5996" spans="1:9" ht="30" x14ac:dyDescent="0.25">
      <c r="A5996" s="5" t="s">
        <v>102</v>
      </c>
      <c r="B5996" s="5" t="s">
        <v>419</v>
      </c>
      <c r="C5996" s="5" t="s">
        <v>6476</v>
      </c>
      <c r="D5996" s="3">
        <f>VLOOKUP(A5996,airports!A:H,7,FALSE)</f>
        <v>39.871952780000001</v>
      </c>
      <c r="E5996" s="3">
        <f>VLOOKUP(A5996,airports!A:H,8,FALSE)</f>
        <v>-75.241140830000006</v>
      </c>
      <c r="F5996" s="3">
        <f>VLOOKUP(B5996,airports!A:H,7,FALSE)</f>
        <v>35.436194440000001</v>
      </c>
      <c r="G5996" s="3">
        <f>VLOOKUP(B5996,airports!A:H,8,FALSE)</f>
        <v>-82.54180556</v>
      </c>
      <c r="H5996">
        <f t="shared" si="186"/>
        <v>809.7</v>
      </c>
      <c r="I5996">
        <f t="shared" si="187"/>
        <v>503.1</v>
      </c>
    </row>
    <row r="5997" spans="1:9" ht="30" x14ac:dyDescent="0.25">
      <c r="A5997" s="5" t="s">
        <v>102</v>
      </c>
      <c r="B5997" s="5" t="s">
        <v>421</v>
      </c>
      <c r="C5997" s="5" t="s">
        <v>6477</v>
      </c>
      <c r="D5997" s="3">
        <f>VLOOKUP(A5997,airports!A:H,7,FALSE)</f>
        <v>39.871952780000001</v>
      </c>
      <c r="E5997" s="3">
        <f>VLOOKUP(A5997,airports!A:H,8,FALSE)</f>
        <v>-75.241140830000006</v>
      </c>
      <c r="F5997" s="3">
        <f>VLOOKUP(B5997,airports!A:H,7,FALSE)</f>
        <v>41.338149440000002</v>
      </c>
      <c r="G5997" s="3">
        <f>VLOOKUP(B5997,airports!A:H,8,FALSE)</f>
        <v>-75.724267499999996</v>
      </c>
      <c r="H5997">
        <f t="shared" si="186"/>
        <v>168.1</v>
      </c>
      <c r="I5997">
        <f t="shared" si="187"/>
        <v>104.4</v>
      </c>
    </row>
    <row r="5998" spans="1:9" x14ac:dyDescent="0.25">
      <c r="A5998" s="5" t="s">
        <v>102</v>
      </c>
      <c r="B5998" s="5" t="s">
        <v>16</v>
      </c>
      <c r="C5998" s="5" t="s">
        <v>6478</v>
      </c>
      <c r="D5998" s="3">
        <f>VLOOKUP(A5998,airports!A:H,7,FALSE)</f>
        <v>39.871952780000001</v>
      </c>
      <c r="E5998" s="3">
        <f>VLOOKUP(A5998,airports!A:H,8,FALSE)</f>
        <v>-75.241140830000006</v>
      </c>
      <c r="F5998" s="3">
        <f>VLOOKUP(B5998,airports!A:H,7,FALSE)</f>
        <v>41.938874169999998</v>
      </c>
      <c r="G5998" s="3">
        <f>VLOOKUP(B5998,airports!A:H,8,FALSE)</f>
        <v>-72.683228330000006</v>
      </c>
      <c r="H5998">
        <f t="shared" si="186"/>
        <v>314.7</v>
      </c>
      <c r="I5998">
        <f t="shared" si="187"/>
        <v>195.5</v>
      </c>
    </row>
    <row r="5999" spans="1:9" ht="30" x14ac:dyDescent="0.25">
      <c r="A5999" s="5" t="s">
        <v>102</v>
      </c>
      <c r="B5999" s="5" t="s">
        <v>233</v>
      </c>
      <c r="C5999" s="5" t="s">
        <v>6479</v>
      </c>
      <c r="D5999" s="3">
        <f>VLOOKUP(A5999,airports!A:H,7,FALSE)</f>
        <v>39.871952780000001</v>
      </c>
      <c r="E5999" s="3">
        <f>VLOOKUP(A5999,airports!A:H,8,FALSE)</f>
        <v>-75.241140830000006</v>
      </c>
      <c r="F5999" s="3">
        <f>VLOOKUP(B5999,airports!A:H,7,FALSE)</f>
        <v>44.807444439999998</v>
      </c>
      <c r="G5999" s="3">
        <f>VLOOKUP(B5999,airports!A:H,8,FALSE)</f>
        <v>-68.828138890000005</v>
      </c>
      <c r="H5999">
        <f t="shared" si="186"/>
        <v>760.4</v>
      </c>
      <c r="I5999">
        <f t="shared" si="187"/>
        <v>472.5</v>
      </c>
    </row>
    <row r="6000" spans="1:9" ht="30" x14ac:dyDescent="0.25">
      <c r="A6000" s="5" t="s">
        <v>102</v>
      </c>
      <c r="B6000" s="5" t="s">
        <v>425</v>
      </c>
      <c r="C6000" s="5" t="s">
        <v>6480</v>
      </c>
      <c r="D6000" s="3">
        <f>VLOOKUP(A6000,airports!A:H,7,FALSE)</f>
        <v>39.871952780000001</v>
      </c>
      <c r="E6000" s="3">
        <f>VLOOKUP(A6000,airports!A:H,8,FALSE)</f>
        <v>-75.241140830000006</v>
      </c>
      <c r="F6000" s="3">
        <f>VLOOKUP(B6000,airports!A:H,7,FALSE)</f>
        <v>33.562943060000002</v>
      </c>
      <c r="G6000" s="3">
        <f>VLOOKUP(B6000,airports!A:H,8,FALSE)</f>
        <v>-86.753549719999995</v>
      </c>
      <c r="H6000">
        <f t="shared" si="186"/>
        <v>1241.4000000000001</v>
      </c>
      <c r="I6000">
        <f t="shared" si="187"/>
        <v>771.4</v>
      </c>
    </row>
    <row r="6001" spans="1:9" ht="30" x14ac:dyDescent="0.25">
      <c r="A6001" s="5" t="s">
        <v>102</v>
      </c>
      <c r="B6001" s="5" t="s">
        <v>19</v>
      </c>
      <c r="C6001" s="5" t="s">
        <v>6481</v>
      </c>
      <c r="D6001" s="3">
        <f>VLOOKUP(A6001,airports!A:H,7,FALSE)</f>
        <v>39.871952780000001</v>
      </c>
      <c r="E6001" s="3">
        <f>VLOOKUP(A6001,airports!A:H,8,FALSE)</f>
        <v>-75.241140830000006</v>
      </c>
      <c r="F6001" s="3">
        <f>VLOOKUP(B6001,airports!A:H,7,FALSE)</f>
        <v>36.12447667</v>
      </c>
      <c r="G6001" s="3">
        <f>VLOOKUP(B6001,airports!A:H,8,FALSE)</f>
        <v>-86.678182219999997</v>
      </c>
      <c r="H6001">
        <f t="shared" si="186"/>
        <v>1084.3</v>
      </c>
      <c r="I6001">
        <f t="shared" si="187"/>
        <v>673.8</v>
      </c>
    </row>
    <row r="6002" spans="1:9" ht="30" x14ac:dyDescent="0.25">
      <c r="A6002" s="5" t="s">
        <v>102</v>
      </c>
      <c r="B6002" s="5" t="s">
        <v>24</v>
      </c>
      <c r="C6002" s="5" t="s">
        <v>6482</v>
      </c>
      <c r="D6002" s="3">
        <f>VLOOKUP(A6002,airports!A:H,7,FALSE)</f>
        <v>39.871952780000001</v>
      </c>
      <c r="E6002" s="3">
        <f>VLOOKUP(A6002,airports!A:H,8,FALSE)</f>
        <v>-75.241140830000006</v>
      </c>
      <c r="F6002" s="3">
        <f>VLOOKUP(B6002,airports!A:H,7,FALSE)</f>
        <v>42.364347500000001</v>
      </c>
      <c r="G6002" s="3">
        <f>VLOOKUP(B6002,airports!A:H,8,FALSE)</f>
        <v>-71.005179170000005</v>
      </c>
      <c r="H6002">
        <f t="shared" si="186"/>
        <v>450.1</v>
      </c>
      <c r="I6002">
        <f t="shared" si="187"/>
        <v>279.7</v>
      </c>
    </row>
    <row r="6003" spans="1:9" ht="30" x14ac:dyDescent="0.25">
      <c r="A6003" s="5" t="s">
        <v>102</v>
      </c>
      <c r="B6003" s="5" t="s">
        <v>25</v>
      </c>
      <c r="C6003" s="5" t="s">
        <v>6483</v>
      </c>
      <c r="D6003" s="3">
        <f>VLOOKUP(A6003,airports!A:H,7,FALSE)</f>
        <v>39.871952780000001</v>
      </c>
      <c r="E6003" s="3">
        <f>VLOOKUP(A6003,airports!A:H,8,FALSE)</f>
        <v>-75.241140830000006</v>
      </c>
      <c r="F6003" s="3">
        <f>VLOOKUP(B6003,airports!A:H,7,FALSE)</f>
        <v>18.494861109999999</v>
      </c>
      <c r="G6003" s="3">
        <f>VLOOKUP(B6003,airports!A:H,8,FALSE)</f>
        <v>-67.12944444</v>
      </c>
      <c r="H6003">
        <f t="shared" si="186"/>
        <v>2501.1999999999998</v>
      </c>
      <c r="I6003">
        <f t="shared" si="187"/>
        <v>1554.3</v>
      </c>
    </row>
    <row r="6004" spans="1:9" ht="30" x14ac:dyDescent="0.25">
      <c r="A6004" s="5" t="s">
        <v>102</v>
      </c>
      <c r="B6004" s="5" t="s">
        <v>27</v>
      </c>
      <c r="C6004" s="5" t="s">
        <v>6484</v>
      </c>
      <c r="D6004" s="3">
        <f>VLOOKUP(A6004,airports!A:H,7,FALSE)</f>
        <v>39.871952780000001</v>
      </c>
      <c r="E6004" s="3">
        <f>VLOOKUP(A6004,airports!A:H,8,FALSE)</f>
        <v>-75.241140830000006</v>
      </c>
      <c r="F6004" s="3">
        <f>VLOOKUP(B6004,airports!A:H,7,FALSE)</f>
        <v>44.473003609999999</v>
      </c>
      <c r="G6004" s="3">
        <f>VLOOKUP(B6004,airports!A:H,8,FALSE)</f>
        <v>-73.150312499999998</v>
      </c>
      <c r="H6004">
        <f t="shared" si="186"/>
        <v>539.79999999999995</v>
      </c>
      <c r="I6004">
        <f t="shared" si="187"/>
        <v>335.4</v>
      </c>
    </row>
    <row r="6005" spans="1:9" ht="30" x14ac:dyDescent="0.25">
      <c r="A6005" s="5" t="s">
        <v>102</v>
      </c>
      <c r="B6005" s="5" t="s">
        <v>29</v>
      </c>
      <c r="C6005" s="5" t="s">
        <v>6485</v>
      </c>
      <c r="D6005" s="3">
        <f>VLOOKUP(A6005,airports!A:H,7,FALSE)</f>
        <v>39.871952780000001</v>
      </c>
      <c r="E6005" s="3">
        <f>VLOOKUP(A6005,airports!A:H,8,FALSE)</f>
        <v>-75.241140830000006</v>
      </c>
      <c r="F6005" s="3">
        <f>VLOOKUP(B6005,airports!A:H,7,FALSE)</f>
        <v>42.940524719999999</v>
      </c>
      <c r="G6005" s="3">
        <f>VLOOKUP(B6005,airports!A:H,8,FALSE)</f>
        <v>-78.732166669999998</v>
      </c>
      <c r="H6005">
        <f t="shared" si="186"/>
        <v>448.5</v>
      </c>
      <c r="I6005">
        <f t="shared" si="187"/>
        <v>278.7</v>
      </c>
    </row>
    <row r="6006" spans="1:9" ht="30" x14ac:dyDescent="0.25">
      <c r="A6006" s="5" t="s">
        <v>102</v>
      </c>
      <c r="B6006" s="5" t="s">
        <v>32</v>
      </c>
      <c r="C6006" s="5" t="s">
        <v>6486</v>
      </c>
      <c r="D6006" s="3">
        <f>VLOOKUP(A6006,airports!A:H,7,FALSE)</f>
        <v>39.871952780000001</v>
      </c>
      <c r="E6006" s="3">
        <f>VLOOKUP(A6006,airports!A:H,8,FALSE)</f>
        <v>-75.241140830000006</v>
      </c>
      <c r="F6006" s="3">
        <f>VLOOKUP(B6006,airports!A:H,7,FALSE)</f>
        <v>39.175401669999999</v>
      </c>
      <c r="G6006" s="3">
        <f>VLOOKUP(B6006,airports!A:H,8,FALSE)</f>
        <v>-76.668198329999996</v>
      </c>
      <c r="H6006">
        <f t="shared" si="186"/>
        <v>144.80000000000001</v>
      </c>
      <c r="I6006">
        <f t="shared" si="187"/>
        <v>90</v>
      </c>
    </row>
    <row r="6007" spans="1:9" ht="30" x14ac:dyDescent="0.25">
      <c r="A6007" s="5" t="s">
        <v>102</v>
      </c>
      <c r="B6007" s="5" t="s">
        <v>34</v>
      </c>
      <c r="C6007" s="5" t="s">
        <v>6487</v>
      </c>
      <c r="D6007" s="3">
        <f>VLOOKUP(A6007,airports!A:H,7,FALSE)</f>
        <v>39.871952780000001</v>
      </c>
      <c r="E6007" s="3">
        <f>VLOOKUP(A6007,airports!A:H,8,FALSE)</f>
        <v>-75.241140830000006</v>
      </c>
      <c r="F6007" s="3">
        <f>VLOOKUP(B6007,airports!A:H,7,FALSE)</f>
        <v>45.776901389999999</v>
      </c>
      <c r="G6007" s="3">
        <f>VLOOKUP(B6007,airports!A:H,8,FALSE)</f>
        <v>-111.1530072</v>
      </c>
      <c r="H6007">
        <f t="shared" si="186"/>
        <v>2974.9</v>
      </c>
      <c r="I6007">
        <f t="shared" si="187"/>
        <v>1848.6</v>
      </c>
    </row>
    <row r="6008" spans="1:9" ht="30" x14ac:dyDescent="0.25">
      <c r="A6008" s="5" t="s">
        <v>102</v>
      </c>
      <c r="B6008" s="5" t="s">
        <v>441</v>
      </c>
      <c r="C6008" s="5" t="s">
        <v>6488</v>
      </c>
      <c r="D6008" s="3">
        <f>VLOOKUP(A6008,airports!A:H,7,FALSE)</f>
        <v>39.871952780000001</v>
      </c>
      <c r="E6008" s="3">
        <f>VLOOKUP(A6008,airports!A:H,8,FALSE)</f>
        <v>-75.241140830000006</v>
      </c>
      <c r="F6008" s="3">
        <f>VLOOKUP(B6008,airports!A:H,7,FALSE)</f>
        <v>33.938839999999999</v>
      </c>
      <c r="G6008" s="3">
        <f>VLOOKUP(B6008,airports!A:H,8,FALSE)</f>
        <v>-81.119539439999997</v>
      </c>
      <c r="H6008">
        <f t="shared" si="186"/>
        <v>841.2</v>
      </c>
      <c r="I6008">
        <f t="shared" si="187"/>
        <v>522.79999999999995</v>
      </c>
    </row>
    <row r="6009" spans="1:9" ht="30" x14ac:dyDescent="0.25">
      <c r="A6009" s="5" t="s">
        <v>102</v>
      </c>
      <c r="B6009" s="5" t="s">
        <v>443</v>
      </c>
      <c r="C6009" s="5" t="s">
        <v>6489</v>
      </c>
      <c r="D6009" s="3">
        <f>VLOOKUP(A6009,airports!A:H,7,FALSE)</f>
        <v>39.871952780000001</v>
      </c>
      <c r="E6009" s="3">
        <f>VLOOKUP(A6009,airports!A:H,8,FALSE)</f>
        <v>-75.241140830000006</v>
      </c>
      <c r="F6009" s="3">
        <f>VLOOKUP(B6009,airports!A:H,7,FALSE)</f>
        <v>40.91631194</v>
      </c>
      <c r="G6009" s="3">
        <f>VLOOKUP(B6009,airports!A:H,8,FALSE)</f>
        <v>-81.442465560000002</v>
      </c>
      <c r="H6009">
        <f t="shared" si="186"/>
        <v>537.70000000000005</v>
      </c>
      <c r="I6009">
        <f t="shared" si="187"/>
        <v>334.1</v>
      </c>
    </row>
    <row r="6010" spans="1:9" ht="30" x14ac:dyDescent="0.25">
      <c r="A6010" s="5" t="s">
        <v>102</v>
      </c>
      <c r="B6010" s="5" t="s">
        <v>445</v>
      </c>
      <c r="C6010" s="5" t="s">
        <v>6490</v>
      </c>
      <c r="D6010" s="3">
        <f>VLOOKUP(A6010,airports!A:H,7,FALSE)</f>
        <v>39.871952780000001</v>
      </c>
      <c r="E6010" s="3">
        <f>VLOOKUP(A6010,airports!A:H,8,FALSE)</f>
        <v>-75.241140830000006</v>
      </c>
      <c r="F6010" s="3">
        <f>VLOOKUP(B6010,airports!A:H,7,FALSE)</f>
        <v>35.035268330000001</v>
      </c>
      <c r="G6010" s="3">
        <f>VLOOKUP(B6010,airports!A:H,8,FALSE)</f>
        <v>-85.203787779999999</v>
      </c>
      <c r="H6010">
        <f t="shared" si="186"/>
        <v>1029.9000000000001</v>
      </c>
      <c r="I6010">
        <f t="shared" si="187"/>
        <v>640</v>
      </c>
    </row>
    <row r="6011" spans="1:9" ht="30" x14ac:dyDescent="0.25">
      <c r="A6011" s="5" t="s">
        <v>102</v>
      </c>
      <c r="B6011" s="5" t="s">
        <v>447</v>
      </c>
      <c r="C6011" s="5" t="s">
        <v>6491</v>
      </c>
      <c r="D6011" s="3">
        <f>VLOOKUP(A6011,airports!A:H,7,FALSE)</f>
        <v>39.871952780000001</v>
      </c>
      <c r="E6011" s="3">
        <f>VLOOKUP(A6011,airports!A:H,8,FALSE)</f>
        <v>-75.241140830000006</v>
      </c>
      <c r="F6011" s="3">
        <f>VLOOKUP(B6011,airports!A:H,7,FALSE)</f>
        <v>38.138638890000003</v>
      </c>
      <c r="G6011" s="3">
        <f>VLOOKUP(B6011,airports!A:H,8,FALSE)</f>
        <v>-78.452861110000001</v>
      </c>
      <c r="H6011">
        <f t="shared" si="186"/>
        <v>337.8</v>
      </c>
      <c r="I6011">
        <f t="shared" si="187"/>
        <v>209.9</v>
      </c>
    </row>
    <row r="6012" spans="1:9" ht="30" x14ac:dyDescent="0.25">
      <c r="A6012" s="5" t="s">
        <v>102</v>
      </c>
      <c r="B6012" s="5" t="s">
        <v>36</v>
      </c>
      <c r="C6012" s="5" t="s">
        <v>6492</v>
      </c>
      <c r="D6012" s="3">
        <f>VLOOKUP(A6012,airports!A:H,7,FALSE)</f>
        <v>39.871952780000001</v>
      </c>
      <c r="E6012" s="3">
        <f>VLOOKUP(A6012,airports!A:H,8,FALSE)</f>
        <v>-75.241140830000006</v>
      </c>
      <c r="F6012" s="3">
        <f>VLOOKUP(B6012,airports!A:H,7,FALSE)</f>
        <v>32.898646390000003</v>
      </c>
      <c r="G6012" s="3">
        <f>VLOOKUP(B6012,airports!A:H,8,FALSE)</f>
        <v>-80.040505830000001</v>
      </c>
      <c r="H6012">
        <f t="shared" si="186"/>
        <v>886.1</v>
      </c>
      <c r="I6012">
        <f t="shared" si="187"/>
        <v>550.6</v>
      </c>
    </row>
    <row r="6013" spans="1:9" x14ac:dyDescent="0.25">
      <c r="A6013" s="5" t="s">
        <v>102</v>
      </c>
      <c r="B6013" s="5" t="s">
        <v>38</v>
      </c>
      <c r="C6013" s="5" t="s">
        <v>6493</v>
      </c>
      <c r="D6013" s="3">
        <f>VLOOKUP(A6013,airports!A:H,7,FALSE)</f>
        <v>39.871952780000001</v>
      </c>
      <c r="E6013" s="3">
        <f>VLOOKUP(A6013,airports!A:H,8,FALSE)</f>
        <v>-75.241140830000006</v>
      </c>
      <c r="F6013" s="3">
        <f>VLOOKUP(B6013,airports!A:H,7,FALSE)</f>
        <v>41.410894169999999</v>
      </c>
      <c r="G6013" s="3">
        <f>VLOOKUP(B6013,airports!A:H,8,FALSE)</f>
        <v>-81.849396670000004</v>
      </c>
      <c r="H6013">
        <f t="shared" si="186"/>
        <v>583.1</v>
      </c>
      <c r="I6013">
        <f t="shared" si="187"/>
        <v>362.3</v>
      </c>
    </row>
    <row r="6014" spans="1:9" x14ac:dyDescent="0.25">
      <c r="A6014" s="5" t="s">
        <v>102</v>
      </c>
      <c r="B6014" s="5" t="s">
        <v>40</v>
      </c>
      <c r="C6014" s="5" t="s">
        <v>6494</v>
      </c>
      <c r="D6014" s="3">
        <f>VLOOKUP(A6014,airports!A:H,7,FALSE)</f>
        <v>39.871952780000001</v>
      </c>
      <c r="E6014" s="3">
        <f>VLOOKUP(A6014,airports!A:H,8,FALSE)</f>
        <v>-75.241140830000006</v>
      </c>
      <c r="F6014" s="3">
        <f>VLOOKUP(B6014,airports!A:H,7,FALSE)</f>
        <v>35.214011110000001</v>
      </c>
      <c r="G6014" s="3">
        <f>VLOOKUP(B6014,airports!A:H,8,FALSE)</f>
        <v>-80.94312583</v>
      </c>
      <c r="H6014">
        <f t="shared" si="186"/>
        <v>721.5</v>
      </c>
      <c r="I6014">
        <f t="shared" si="187"/>
        <v>448.3</v>
      </c>
    </row>
    <row r="6015" spans="1:9" ht="30" x14ac:dyDescent="0.25">
      <c r="A6015" s="5" t="s">
        <v>102</v>
      </c>
      <c r="B6015" s="5" t="s">
        <v>454</v>
      </c>
      <c r="C6015" s="5" t="s">
        <v>6495</v>
      </c>
      <c r="D6015" s="3">
        <f>VLOOKUP(A6015,airports!A:H,7,FALSE)</f>
        <v>39.871952780000001</v>
      </c>
      <c r="E6015" s="3">
        <f>VLOOKUP(A6015,airports!A:H,8,FALSE)</f>
        <v>-75.241140830000006</v>
      </c>
      <c r="F6015" s="3">
        <f>VLOOKUP(B6015,airports!A:H,7,FALSE)</f>
        <v>39.997985280000002</v>
      </c>
      <c r="G6015" s="3">
        <f>VLOOKUP(B6015,airports!A:H,8,FALSE)</f>
        <v>-82.891882780000003</v>
      </c>
      <c r="H6015">
        <f t="shared" si="186"/>
        <v>652.29999999999995</v>
      </c>
      <c r="I6015">
        <f t="shared" si="187"/>
        <v>405.3</v>
      </c>
    </row>
    <row r="6016" spans="1:9" ht="30" x14ac:dyDescent="0.25">
      <c r="A6016" s="5" t="s">
        <v>102</v>
      </c>
      <c r="B6016" s="5" t="s">
        <v>458</v>
      </c>
      <c r="C6016" s="5" t="s">
        <v>6496</v>
      </c>
      <c r="D6016" s="3">
        <f>VLOOKUP(A6016,airports!A:H,7,FALSE)</f>
        <v>39.871952780000001</v>
      </c>
      <c r="E6016" s="3">
        <f>VLOOKUP(A6016,airports!A:H,8,FALSE)</f>
        <v>-75.241140830000006</v>
      </c>
      <c r="F6016" s="3">
        <f>VLOOKUP(B6016,airports!A:H,7,FALSE)</f>
        <v>38.37315083</v>
      </c>
      <c r="G6016" s="3">
        <f>VLOOKUP(B6016,airports!A:H,8,FALSE)</f>
        <v>-81.593189719999998</v>
      </c>
      <c r="H6016">
        <f t="shared" si="186"/>
        <v>572.6</v>
      </c>
      <c r="I6016">
        <f t="shared" si="187"/>
        <v>355.8</v>
      </c>
    </row>
    <row r="6017" spans="1:9" ht="30" x14ac:dyDescent="0.25">
      <c r="A6017" s="5" t="s">
        <v>102</v>
      </c>
      <c r="B6017" s="5" t="s">
        <v>462</v>
      </c>
      <c r="C6017" s="5" t="s">
        <v>6497</v>
      </c>
      <c r="D6017" s="3">
        <f>VLOOKUP(A6017,airports!A:H,7,FALSE)</f>
        <v>39.871952780000001</v>
      </c>
      <c r="E6017" s="3">
        <f>VLOOKUP(A6017,airports!A:H,8,FALSE)</f>
        <v>-75.241140830000006</v>
      </c>
      <c r="F6017" s="3">
        <f>VLOOKUP(B6017,airports!A:H,7,FALSE)</f>
        <v>39.046142779999997</v>
      </c>
      <c r="G6017" s="3">
        <f>VLOOKUP(B6017,airports!A:H,8,FALSE)</f>
        <v>-84.662172499999997</v>
      </c>
      <c r="H6017">
        <f t="shared" si="186"/>
        <v>813.6</v>
      </c>
      <c r="I6017">
        <f t="shared" si="187"/>
        <v>505.6</v>
      </c>
    </row>
    <row r="6018" spans="1:9" ht="30" x14ac:dyDescent="0.25">
      <c r="A6018" s="5" t="s">
        <v>102</v>
      </c>
      <c r="B6018" s="5" t="s">
        <v>464</v>
      </c>
      <c r="C6018" s="5" t="s">
        <v>6498</v>
      </c>
      <c r="D6018" s="3">
        <f>VLOOKUP(A6018,airports!A:H,7,FALSE)</f>
        <v>39.871952780000001</v>
      </c>
      <c r="E6018" s="3">
        <f>VLOOKUP(A6018,airports!A:H,8,FALSE)</f>
        <v>-75.241140830000006</v>
      </c>
      <c r="F6018" s="3">
        <f>VLOOKUP(B6018,airports!A:H,7,FALSE)</f>
        <v>29.179916670000001</v>
      </c>
      <c r="G6018" s="3">
        <f>VLOOKUP(B6018,airports!A:H,8,FALSE)</f>
        <v>-81.05805556</v>
      </c>
      <c r="H6018">
        <f t="shared" si="186"/>
        <v>1302.0999999999999</v>
      </c>
      <c r="I6018">
        <f t="shared" si="187"/>
        <v>809.1</v>
      </c>
    </row>
    <row r="6019" spans="1:9" ht="30" x14ac:dyDescent="0.25">
      <c r="A6019" s="5" t="s">
        <v>102</v>
      </c>
      <c r="B6019" s="5" t="s">
        <v>201</v>
      </c>
      <c r="C6019" s="5" t="s">
        <v>6499</v>
      </c>
      <c r="D6019" s="3">
        <f>VLOOKUP(A6019,airports!A:H,7,FALSE)</f>
        <v>39.871952780000001</v>
      </c>
      <c r="E6019" s="3">
        <f>VLOOKUP(A6019,airports!A:H,8,FALSE)</f>
        <v>-75.241140830000006</v>
      </c>
      <c r="F6019" s="3">
        <f>VLOOKUP(B6019,airports!A:H,7,FALSE)</f>
        <v>32.847113890000003</v>
      </c>
      <c r="G6019" s="3">
        <f>VLOOKUP(B6019,airports!A:H,8,FALSE)</f>
        <v>-96.851772220000001</v>
      </c>
      <c r="H6019">
        <f t="shared" si="186"/>
        <v>2080.1</v>
      </c>
      <c r="I6019">
        <f t="shared" si="187"/>
        <v>1292.5999999999999</v>
      </c>
    </row>
    <row r="6020" spans="1:9" ht="30" x14ac:dyDescent="0.25">
      <c r="A6020" s="5" t="s">
        <v>102</v>
      </c>
      <c r="B6020" s="5" t="s">
        <v>467</v>
      </c>
      <c r="C6020" s="5" t="s">
        <v>6500</v>
      </c>
      <c r="D6020" s="3">
        <f>VLOOKUP(A6020,airports!A:H,7,FALSE)</f>
        <v>39.871952780000001</v>
      </c>
      <c r="E6020" s="3">
        <f>VLOOKUP(A6020,airports!A:H,8,FALSE)</f>
        <v>-75.241140830000006</v>
      </c>
      <c r="F6020" s="3">
        <f>VLOOKUP(B6020,airports!A:H,7,FALSE)</f>
        <v>39.902375829999997</v>
      </c>
      <c r="G6020" s="3">
        <f>VLOOKUP(B6020,airports!A:H,8,FALSE)</f>
        <v>-84.219374999999999</v>
      </c>
      <c r="H6020">
        <f t="shared" ref="H6020:H6083" si="188">ROUND(ACOS(COS(RADIANS(90-D6020)) * COS(RADIANS(90-F6020)) + SIN(RADIANS(90-D6020)) * SIN(RADIANS(90-F6020)) * COS(RADIANS(E6020-G6020))) * 6371,1)</f>
        <v>765.7</v>
      </c>
      <c r="I6020">
        <f t="shared" ref="I6020:I6083" si="189">ROUND(ACOS(COS(RADIANS(90-D6020)) * COS(RADIANS(90-F6020)) + SIN(RADIANS(90-D6020)) * SIN(RADIANS(90-F6020)) * COS(RADIANS(E6020-G6020))) * 3959,1)</f>
        <v>475.8</v>
      </c>
    </row>
    <row r="6021" spans="1:9" ht="30" x14ac:dyDescent="0.25">
      <c r="A6021" s="5" t="s">
        <v>102</v>
      </c>
      <c r="B6021" s="5" t="s">
        <v>45</v>
      </c>
      <c r="C6021" s="5" t="s">
        <v>6501</v>
      </c>
      <c r="D6021" s="3">
        <f>VLOOKUP(A6021,airports!A:H,7,FALSE)</f>
        <v>39.871952780000001</v>
      </c>
      <c r="E6021" s="3">
        <f>VLOOKUP(A6021,airports!A:H,8,FALSE)</f>
        <v>-75.241140830000006</v>
      </c>
      <c r="F6021" s="3">
        <f>VLOOKUP(B6021,airports!A:H,7,FALSE)</f>
        <v>38.852083329999999</v>
      </c>
      <c r="G6021" s="3">
        <f>VLOOKUP(B6021,airports!A:H,8,FALSE)</f>
        <v>-77.037722220000006</v>
      </c>
      <c r="H6021">
        <f t="shared" si="188"/>
        <v>191.6</v>
      </c>
      <c r="I6021">
        <f t="shared" si="189"/>
        <v>119.1</v>
      </c>
    </row>
    <row r="6022" spans="1:9" ht="30" x14ac:dyDescent="0.25">
      <c r="A6022" s="5" t="s">
        <v>102</v>
      </c>
      <c r="B6022" s="5" t="s">
        <v>47</v>
      </c>
      <c r="C6022" s="5" t="s">
        <v>6502</v>
      </c>
      <c r="D6022" s="3">
        <f>VLOOKUP(A6022,airports!A:H,7,FALSE)</f>
        <v>39.871952780000001</v>
      </c>
      <c r="E6022" s="3">
        <f>VLOOKUP(A6022,airports!A:H,8,FALSE)</f>
        <v>-75.241140830000006</v>
      </c>
      <c r="F6022" s="3">
        <f>VLOOKUP(B6022,airports!A:H,7,FALSE)</f>
        <v>39.858408060000002</v>
      </c>
      <c r="G6022" s="3">
        <f>VLOOKUP(B6022,airports!A:H,8,FALSE)</f>
        <v>-104.6670019</v>
      </c>
      <c r="H6022">
        <f t="shared" si="188"/>
        <v>2499.9</v>
      </c>
      <c r="I6022">
        <f t="shared" si="189"/>
        <v>1553.5</v>
      </c>
    </row>
    <row r="6023" spans="1:9" ht="30" x14ac:dyDescent="0.25">
      <c r="A6023" s="5" t="s">
        <v>102</v>
      </c>
      <c r="B6023" s="5" t="s">
        <v>49</v>
      </c>
      <c r="C6023" s="5" t="s">
        <v>6503</v>
      </c>
      <c r="D6023" s="3">
        <f>VLOOKUP(A6023,airports!A:H,7,FALSE)</f>
        <v>39.871952780000001</v>
      </c>
      <c r="E6023" s="3">
        <f>VLOOKUP(A6023,airports!A:H,8,FALSE)</f>
        <v>-75.241140830000006</v>
      </c>
      <c r="F6023" s="3">
        <f>VLOOKUP(B6023,airports!A:H,7,FALSE)</f>
        <v>32.895950560000003</v>
      </c>
      <c r="G6023" s="3">
        <f>VLOOKUP(B6023,airports!A:H,8,FALSE)</f>
        <v>-97.037199999999999</v>
      </c>
      <c r="H6023">
        <f t="shared" si="188"/>
        <v>2092.9</v>
      </c>
      <c r="I6023">
        <f t="shared" si="189"/>
        <v>1300.5</v>
      </c>
    </row>
    <row r="6024" spans="1:9" ht="30" x14ac:dyDescent="0.25">
      <c r="A6024" s="5" t="s">
        <v>102</v>
      </c>
      <c r="B6024" s="5" t="s">
        <v>474</v>
      </c>
      <c r="C6024" s="5" t="s">
        <v>6504</v>
      </c>
      <c r="D6024" s="3">
        <f>VLOOKUP(A6024,airports!A:H,7,FALSE)</f>
        <v>39.871952780000001</v>
      </c>
      <c r="E6024" s="3">
        <f>VLOOKUP(A6024,airports!A:H,8,FALSE)</f>
        <v>-75.241140830000006</v>
      </c>
      <c r="F6024" s="3">
        <f>VLOOKUP(B6024,airports!A:H,7,FALSE)</f>
        <v>41.53493306</v>
      </c>
      <c r="G6024" s="3">
        <f>VLOOKUP(B6024,airports!A:H,8,FALSE)</f>
        <v>-93.660682219999998</v>
      </c>
      <c r="H6024">
        <f t="shared" si="188"/>
        <v>1560.7</v>
      </c>
      <c r="I6024">
        <f t="shared" si="189"/>
        <v>969.8</v>
      </c>
    </row>
    <row r="6025" spans="1:9" ht="30" x14ac:dyDescent="0.25">
      <c r="A6025" s="5" t="s">
        <v>102</v>
      </c>
      <c r="B6025" s="5" t="s">
        <v>50</v>
      </c>
      <c r="C6025" s="5" t="s">
        <v>6505</v>
      </c>
      <c r="D6025" s="3">
        <f>VLOOKUP(A6025,airports!A:H,7,FALSE)</f>
        <v>39.871952780000001</v>
      </c>
      <c r="E6025" s="3">
        <f>VLOOKUP(A6025,airports!A:H,8,FALSE)</f>
        <v>-75.241140830000006</v>
      </c>
      <c r="F6025" s="3">
        <f>VLOOKUP(B6025,airports!A:H,7,FALSE)</f>
        <v>42.212058890000002</v>
      </c>
      <c r="G6025" s="3">
        <f>VLOOKUP(B6025,airports!A:H,8,FALSE)</f>
        <v>-83.348835829999999</v>
      </c>
      <c r="H6025">
        <f t="shared" si="188"/>
        <v>727.7</v>
      </c>
      <c r="I6025">
        <f t="shared" si="189"/>
        <v>452.2</v>
      </c>
    </row>
    <row r="6026" spans="1:9" x14ac:dyDescent="0.25">
      <c r="A6026" s="5" t="s">
        <v>102</v>
      </c>
      <c r="B6026" s="5" t="s">
        <v>477</v>
      </c>
      <c r="C6026" s="5" t="s">
        <v>6506</v>
      </c>
      <c r="D6026" s="3">
        <f>VLOOKUP(A6026,airports!A:H,7,FALSE)</f>
        <v>39.871952780000001</v>
      </c>
      <c r="E6026" s="3">
        <f>VLOOKUP(A6026,airports!A:H,8,FALSE)</f>
        <v>-75.241140830000006</v>
      </c>
      <c r="F6026" s="3">
        <f>VLOOKUP(B6026,airports!A:H,7,FALSE)</f>
        <v>30.357106000000002</v>
      </c>
      <c r="G6026" s="3">
        <f>VLOOKUP(B6026,airports!A:H,8,FALSE)</f>
        <v>-85.795413999999994</v>
      </c>
      <c r="H6026">
        <f t="shared" si="188"/>
        <v>1426.5</v>
      </c>
      <c r="I6026">
        <f t="shared" si="189"/>
        <v>886.4</v>
      </c>
    </row>
    <row r="6027" spans="1:9" x14ac:dyDescent="0.25">
      <c r="A6027" s="5" t="s">
        <v>102</v>
      </c>
      <c r="B6027" s="5" t="s">
        <v>479</v>
      </c>
      <c r="C6027" s="5" t="s">
        <v>6507</v>
      </c>
      <c r="D6027" s="3">
        <f>VLOOKUP(A6027,airports!A:H,7,FALSE)</f>
        <v>39.871952780000001</v>
      </c>
      <c r="E6027" s="3">
        <f>VLOOKUP(A6027,airports!A:H,8,FALSE)</f>
        <v>-75.241140830000006</v>
      </c>
      <c r="F6027" s="3">
        <f>VLOOKUP(B6027,airports!A:H,7,FALSE)</f>
        <v>39.64256778</v>
      </c>
      <c r="G6027" s="3">
        <f>VLOOKUP(B6027,airports!A:H,8,FALSE)</f>
        <v>-106.91769530000001</v>
      </c>
      <c r="H6027">
        <f t="shared" si="188"/>
        <v>2693.6</v>
      </c>
      <c r="I6027">
        <f t="shared" si="189"/>
        <v>1673.8</v>
      </c>
    </row>
    <row r="6028" spans="1:9" x14ac:dyDescent="0.25">
      <c r="A6028" s="5" t="s">
        <v>102</v>
      </c>
      <c r="B6028" s="5" t="s">
        <v>1769</v>
      </c>
      <c r="C6028" s="5" t="s">
        <v>6508</v>
      </c>
      <c r="D6028" s="3">
        <f>VLOOKUP(A6028,airports!A:H,7,FALSE)</f>
        <v>39.871952780000001</v>
      </c>
      <c r="E6028" s="3">
        <f>VLOOKUP(A6028,airports!A:H,8,FALSE)</f>
        <v>-75.241140830000006</v>
      </c>
      <c r="F6028" s="3">
        <f>VLOOKUP(B6028,airports!A:H,7,FALSE)</f>
        <v>42.082021390000001</v>
      </c>
      <c r="G6028" s="3">
        <f>VLOOKUP(B6028,airports!A:H,8,FALSE)</f>
        <v>-80.176215560000003</v>
      </c>
      <c r="H6028">
        <f t="shared" si="188"/>
        <v>481.6</v>
      </c>
      <c r="I6028">
        <f t="shared" si="189"/>
        <v>299.3</v>
      </c>
    </row>
    <row r="6029" spans="1:9" ht="30" x14ac:dyDescent="0.25">
      <c r="A6029" s="5" t="s">
        <v>102</v>
      </c>
      <c r="B6029" s="5" t="s">
        <v>52</v>
      </c>
      <c r="C6029" s="5" t="s">
        <v>6509</v>
      </c>
      <c r="D6029" s="3">
        <f>VLOOKUP(A6029,airports!A:H,7,FALSE)</f>
        <v>39.871952780000001</v>
      </c>
      <c r="E6029" s="3">
        <f>VLOOKUP(A6029,airports!A:H,8,FALSE)</f>
        <v>-75.241140830000006</v>
      </c>
      <c r="F6029" s="3">
        <f>VLOOKUP(B6029,airports!A:H,7,FALSE)</f>
        <v>40.69249722</v>
      </c>
      <c r="G6029" s="3">
        <f>VLOOKUP(B6029,airports!A:H,8,FALSE)</f>
        <v>-74.168660560000006</v>
      </c>
      <c r="H6029">
        <f t="shared" si="188"/>
        <v>128.80000000000001</v>
      </c>
      <c r="I6029">
        <f t="shared" si="189"/>
        <v>80.099999999999994</v>
      </c>
    </row>
    <row r="6030" spans="1:9" ht="30" x14ac:dyDescent="0.25">
      <c r="A6030" s="5" t="s">
        <v>102</v>
      </c>
      <c r="B6030" s="5" t="s">
        <v>54</v>
      </c>
      <c r="C6030" s="5" t="s">
        <v>6510</v>
      </c>
      <c r="D6030" s="3">
        <f>VLOOKUP(A6030,airports!A:H,7,FALSE)</f>
        <v>39.871952780000001</v>
      </c>
      <c r="E6030" s="3">
        <f>VLOOKUP(A6030,airports!A:H,8,FALSE)</f>
        <v>-75.241140830000006</v>
      </c>
      <c r="F6030" s="3">
        <f>VLOOKUP(B6030,airports!A:H,7,FALSE)</f>
        <v>24.55611111</v>
      </c>
      <c r="G6030" s="3">
        <f>VLOOKUP(B6030,airports!A:H,8,FALSE)</f>
        <v>-81.759555559999995</v>
      </c>
      <c r="H6030">
        <f t="shared" si="188"/>
        <v>1808.7</v>
      </c>
      <c r="I6030">
        <f t="shared" si="189"/>
        <v>1123.9000000000001</v>
      </c>
    </row>
    <row r="6031" spans="1:9" x14ac:dyDescent="0.25">
      <c r="A6031" s="5" t="s">
        <v>102</v>
      </c>
      <c r="B6031" s="5" t="s">
        <v>57</v>
      </c>
      <c r="C6031" s="5" t="s">
        <v>6511</v>
      </c>
      <c r="D6031" s="3">
        <f>VLOOKUP(A6031,airports!A:H,7,FALSE)</f>
        <v>39.871952780000001</v>
      </c>
      <c r="E6031" s="3">
        <f>VLOOKUP(A6031,airports!A:H,8,FALSE)</f>
        <v>-75.241140830000006</v>
      </c>
      <c r="F6031" s="3">
        <f>VLOOKUP(B6031,airports!A:H,7,FALSE)</f>
        <v>26.072583330000001</v>
      </c>
      <c r="G6031" s="3">
        <f>VLOOKUP(B6031,airports!A:H,8,FALSE)</f>
        <v>-80.152749999999997</v>
      </c>
      <c r="H6031">
        <f t="shared" si="188"/>
        <v>1600.6</v>
      </c>
      <c r="I6031">
        <f t="shared" si="189"/>
        <v>994.6</v>
      </c>
    </row>
    <row r="6032" spans="1:9" ht="30" x14ac:dyDescent="0.25">
      <c r="A6032" s="5" t="s">
        <v>102</v>
      </c>
      <c r="B6032" s="5" t="s">
        <v>503</v>
      </c>
      <c r="C6032" s="5" t="s">
        <v>6512</v>
      </c>
      <c r="D6032" s="3">
        <f>VLOOKUP(A6032,airports!A:H,7,FALSE)</f>
        <v>39.871952780000001</v>
      </c>
      <c r="E6032" s="3">
        <f>VLOOKUP(A6032,airports!A:H,8,FALSE)</f>
        <v>-75.241140830000006</v>
      </c>
      <c r="F6032" s="3">
        <f>VLOOKUP(B6032,airports!A:H,7,FALSE)</f>
        <v>40.978465829999998</v>
      </c>
      <c r="G6032" s="3">
        <f>VLOOKUP(B6032,airports!A:H,8,FALSE)</f>
        <v>-85.195146390000005</v>
      </c>
      <c r="H6032">
        <f t="shared" si="188"/>
        <v>851</v>
      </c>
      <c r="I6032">
        <f t="shared" si="189"/>
        <v>528.79999999999995</v>
      </c>
    </row>
    <row r="6033" spans="1:9" ht="30" x14ac:dyDescent="0.25">
      <c r="A6033" s="5" t="s">
        <v>102</v>
      </c>
      <c r="B6033" s="5" t="s">
        <v>515</v>
      </c>
      <c r="C6033" s="5" t="s">
        <v>6513</v>
      </c>
      <c r="D6033" s="3">
        <f>VLOOKUP(A6033,airports!A:H,7,FALSE)</f>
        <v>39.871952780000001</v>
      </c>
      <c r="E6033" s="3">
        <f>VLOOKUP(A6033,airports!A:H,8,FALSE)</f>
        <v>-75.241140830000006</v>
      </c>
      <c r="F6033" s="3">
        <f>VLOOKUP(B6033,airports!A:H,7,FALSE)</f>
        <v>42.880819719999998</v>
      </c>
      <c r="G6033" s="3">
        <f>VLOOKUP(B6033,airports!A:H,8,FALSE)</f>
        <v>-85.522767779999995</v>
      </c>
      <c r="H6033">
        <f t="shared" si="188"/>
        <v>920</v>
      </c>
      <c r="I6033">
        <f t="shared" si="189"/>
        <v>571.70000000000005</v>
      </c>
    </row>
    <row r="6034" spans="1:9" ht="30" x14ac:dyDescent="0.25">
      <c r="A6034" s="5" t="s">
        <v>102</v>
      </c>
      <c r="B6034" s="5" t="s">
        <v>517</v>
      </c>
      <c r="C6034" s="5" t="s">
        <v>6514</v>
      </c>
      <c r="D6034" s="3">
        <f>VLOOKUP(A6034,airports!A:H,7,FALSE)</f>
        <v>39.871952780000001</v>
      </c>
      <c r="E6034" s="3">
        <f>VLOOKUP(A6034,airports!A:H,8,FALSE)</f>
        <v>-75.241140830000006</v>
      </c>
      <c r="F6034" s="3">
        <f>VLOOKUP(B6034,airports!A:H,7,FALSE)</f>
        <v>36.09774694</v>
      </c>
      <c r="G6034" s="3">
        <f>VLOOKUP(B6034,airports!A:H,8,FALSE)</f>
        <v>-79.9372975</v>
      </c>
      <c r="H6034">
        <f t="shared" si="188"/>
        <v>587.6</v>
      </c>
      <c r="I6034">
        <f t="shared" si="189"/>
        <v>365.2</v>
      </c>
    </row>
    <row r="6035" spans="1:9" ht="30" x14ac:dyDescent="0.25">
      <c r="A6035" s="5" t="s">
        <v>102</v>
      </c>
      <c r="B6035" s="5" t="s">
        <v>519</v>
      </c>
      <c r="C6035" s="5" t="s">
        <v>6515</v>
      </c>
      <c r="D6035" s="3">
        <f>VLOOKUP(A6035,airports!A:H,7,FALSE)</f>
        <v>39.871952780000001</v>
      </c>
      <c r="E6035" s="3">
        <f>VLOOKUP(A6035,airports!A:H,8,FALSE)</f>
        <v>-75.241140830000006</v>
      </c>
      <c r="F6035" s="3">
        <f>VLOOKUP(B6035,airports!A:H,7,FALSE)</f>
        <v>34.89566722</v>
      </c>
      <c r="G6035" s="3">
        <f>VLOOKUP(B6035,airports!A:H,8,FALSE)</f>
        <v>-82.218858330000003</v>
      </c>
      <c r="H6035">
        <f t="shared" si="188"/>
        <v>827.9</v>
      </c>
      <c r="I6035">
        <f t="shared" si="189"/>
        <v>514.5</v>
      </c>
    </row>
    <row r="6036" spans="1:9" ht="30" x14ac:dyDescent="0.25">
      <c r="A6036" s="5" t="s">
        <v>102</v>
      </c>
      <c r="B6036" s="5" t="s">
        <v>524</v>
      </c>
      <c r="C6036" s="5" t="s">
        <v>6516</v>
      </c>
      <c r="D6036" s="3">
        <f>VLOOKUP(A6036,airports!A:H,7,FALSE)</f>
        <v>39.871952780000001</v>
      </c>
      <c r="E6036" s="3">
        <f>VLOOKUP(A6036,airports!A:H,8,FALSE)</f>
        <v>-75.241140830000006</v>
      </c>
      <c r="F6036" s="3">
        <f>VLOOKUP(B6036,airports!A:H,7,FALSE)</f>
        <v>32.224399566700001</v>
      </c>
      <c r="G6036" s="3">
        <f>VLOOKUP(B6036,airports!A:H,8,FALSE)</f>
        <v>-80.697502136200001</v>
      </c>
      <c r="H6036">
        <f t="shared" si="188"/>
        <v>981.2</v>
      </c>
      <c r="I6036">
        <f t="shared" si="189"/>
        <v>609.70000000000005</v>
      </c>
    </row>
    <row r="6037" spans="1:9" ht="30" x14ac:dyDescent="0.25">
      <c r="A6037" s="5" t="s">
        <v>102</v>
      </c>
      <c r="B6037" s="5" t="s">
        <v>205</v>
      </c>
      <c r="C6037" s="5" t="s">
        <v>6517</v>
      </c>
      <c r="D6037" s="3">
        <f>VLOOKUP(A6037,airports!A:H,7,FALSE)</f>
        <v>39.871952780000001</v>
      </c>
      <c r="E6037" s="3">
        <f>VLOOKUP(A6037,airports!A:H,8,FALSE)</f>
        <v>-75.241140830000006</v>
      </c>
      <c r="F6037" s="3">
        <f>VLOOKUP(B6037,airports!A:H,7,FALSE)</f>
        <v>29.64541861</v>
      </c>
      <c r="G6037" s="3">
        <f>VLOOKUP(B6037,airports!A:H,8,FALSE)</f>
        <v>-95.278888890000005</v>
      </c>
      <c r="H6037">
        <f t="shared" si="188"/>
        <v>2147.3000000000002</v>
      </c>
      <c r="I6037">
        <f t="shared" si="189"/>
        <v>1334.4</v>
      </c>
    </row>
    <row r="6038" spans="1:9" ht="30" x14ac:dyDescent="0.25">
      <c r="A6038" s="5" t="s">
        <v>102</v>
      </c>
      <c r="B6038" s="5" t="s">
        <v>1795</v>
      </c>
      <c r="C6038" s="5" t="s">
        <v>6518</v>
      </c>
      <c r="D6038" s="3">
        <f>VLOOKUP(A6038,airports!A:H,7,FALSE)</f>
        <v>39.871952780000001</v>
      </c>
      <c r="E6038" s="3">
        <f>VLOOKUP(A6038,airports!A:H,8,FALSE)</f>
        <v>-75.241140830000006</v>
      </c>
      <c r="F6038" s="3">
        <f>VLOOKUP(B6038,airports!A:H,7,FALSE)</f>
        <v>41.263698580000003</v>
      </c>
      <c r="G6038" s="3">
        <f>VLOOKUP(B6038,airports!A:H,8,FALSE)</f>
        <v>-72.886802669999994</v>
      </c>
      <c r="H6038">
        <f t="shared" si="188"/>
        <v>252</v>
      </c>
      <c r="I6038">
        <f t="shared" si="189"/>
        <v>156.6</v>
      </c>
    </row>
    <row r="6039" spans="1:9" x14ac:dyDescent="0.25">
      <c r="A6039" s="5" t="s">
        <v>102</v>
      </c>
      <c r="B6039" s="5" t="s">
        <v>176</v>
      </c>
      <c r="C6039" s="5" t="s">
        <v>6519</v>
      </c>
      <c r="D6039" s="3">
        <f>VLOOKUP(A6039,airports!A:H,7,FALSE)</f>
        <v>39.871952780000001</v>
      </c>
      <c r="E6039" s="3">
        <f>VLOOKUP(A6039,airports!A:H,8,FALSE)</f>
        <v>-75.241140830000006</v>
      </c>
      <c r="F6039" s="3">
        <f>VLOOKUP(B6039,airports!A:H,7,FALSE)</f>
        <v>38.944531939999997</v>
      </c>
      <c r="G6039" s="3">
        <f>VLOOKUP(B6039,airports!A:H,8,FALSE)</f>
        <v>-77.455809720000005</v>
      </c>
      <c r="H6039">
        <f t="shared" si="188"/>
        <v>216.4</v>
      </c>
      <c r="I6039">
        <f t="shared" si="189"/>
        <v>134.5</v>
      </c>
    </row>
    <row r="6040" spans="1:9" x14ac:dyDescent="0.25">
      <c r="A6040" s="5" t="s">
        <v>102</v>
      </c>
      <c r="B6040" s="5" t="s">
        <v>67</v>
      </c>
      <c r="C6040" s="5" t="s">
        <v>6520</v>
      </c>
      <c r="D6040" s="3">
        <f>VLOOKUP(A6040,airports!A:H,7,FALSE)</f>
        <v>39.871952780000001</v>
      </c>
      <c r="E6040" s="3">
        <f>VLOOKUP(A6040,airports!A:H,8,FALSE)</f>
        <v>-75.241140830000006</v>
      </c>
      <c r="F6040" s="3">
        <f>VLOOKUP(B6040,airports!A:H,7,FALSE)</f>
        <v>29.980472219999999</v>
      </c>
      <c r="G6040" s="3">
        <f>VLOOKUP(B6040,airports!A:H,8,FALSE)</f>
        <v>-95.339722219999999</v>
      </c>
      <c r="H6040">
        <f t="shared" si="188"/>
        <v>2129.6</v>
      </c>
      <c r="I6040">
        <f t="shared" si="189"/>
        <v>1323.4</v>
      </c>
    </row>
    <row r="6041" spans="1:9" x14ac:dyDescent="0.25">
      <c r="A6041" s="5" t="s">
        <v>102</v>
      </c>
      <c r="B6041" s="5" t="s">
        <v>535</v>
      </c>
      <c r="C6041" s="5" t="s">
        <v>6521</v>
      </c>
      <c r="D6041" s="3">
        <f>VLOOKUP(A6041,airports!A:H,7,FALSE)</f>
        <v>39.871952780000001</v>
      </c>
      <c r="E6041" s="3">
        <f>VLOOKUP(A6041,airports!A:H,8,FALSE)</f>
        <v>-75.241140830000006</v>
      </c>
      <c r="F6041" s="3">
        <f>VLOOKUP(B6041,airports!A:H,7,FALSE)</f>
        <v>34.270611109999997</v>
      </c>
      <c r="G6041" s="3">
        <f>VLOOKUP(B6041,airports!A:H,8,FALSE)</f>
        <v>-77.902555559999996</v>
      </c>
      <c r="H6041">
        <f t="shared" si="188"/>
        <v>666</v>
      </c>
      <c r="I6041">
        <f t="shared" si="189"/>
        <v>413.9</v>
      </c>
    </row>
    <row r="6042" spans="1:9" x14ac:dyDescent="0.25">
      <c r="A6042" s="5" t="s">
        <v>102</v>
      </c>
      <c r="B6042" s="5" t="s">
        <v>537</v>
      </c>
      <c r="C6042" s="5" t="s">
        <v>6522</v>
      </c>
      <c r="D6042" s="3">
        <f>VLOOKUP(A6042,airports!A:H,7,FALSE)</f>
        <v>39.871952780000001</v>
      </c>
      <c r="E6042" s="3">
        <f>VLOOKUP(A6042,airports!A:H,8,FALSE)</f>
        <v>-75.241140830000006</v>
      </c>
      <c r="F6042" s="3">
        <f>VLOOKUP(B6042,airports!A:H,7,FALSE)</f>
        <v>39.717329169999999</v>
      </c>
      <c r="G6042" s="3">
        <f>VLOOKUP(B6042,airports!A:H,8,FALSE)</f>
        <v>-86.294384170000001</v>
      </c>
      <c r="H6042">
        <f t="shared" si="188"/>
        <v>943.9</v>
      </c>
      <c r="I6042">
        <f t="shared" si="189"/>
        <v>586.5</v>
      </c>
    </row>
    <row r="6043" spans="1:9" x14ac:dyDescent="0.25">
      <c r="A6043" s="5" t="s">
        <v>102</v>
      </c>
      <c r="B6043" s="5" t="s">
        <v>1801</v>
      </c>
      <c r="C6043" s="5" t="s">
        <v>6523</v>
      </c>
      <c r="D6043" s="3">
        <f>VLOOKUP(A6043,airports!A:H,7,FALSE)</f>
        <v>39.871952780000001</v>
      </c>
      <c r="E6043" s="3">
        <f>VLOOKUP(A6043,airports!A:H,8,FALSE)</f>
        <v>-75.241140830000006</v>
      </c>
      <c r="F6043" s="3">
        <f>VLOOKUP(B6043,airports!A:H,7,FALSE)</f>
        <v>41.241798400878899</v>
      </c>
      <c r="G6043" s="3">
        <f>VLOOKUP(B6043,airports!A:H,8,FALSE)</f>
        <v>-76.921096801757798</v>
      </c>
      <c r="H6043">
        <f t="shared" si="188"/>
        <v>208.2</v>
      </c>
      <c r="I6043">
        <f t="shared" si="189"/>
        <v>129.4</v>
      </c>
    </row>
    <row r="6044" spans="1:9" x14ac:dyDescent="0.25">
      <c r="A6044" s="5" t="s">
        <v>102</v>
      </c>
      <c r="B6044" s="5" t="s">
        <v>539</v>
      </c>
      <c r="C6044" s="5" t="s">
        <v>6524</v>
      </c>
      <c r="D6044" s="3">
        <f>VLOOKUP(A6044,airports!A:H,7,FALSE)</f>
        <v>39.871952780000001</v>
      </c>
      <c r="E6044" s="3">
        <f>VLOOKUP(A6044,airports!A:H,8,FALSE)</f>
        <v>-75.241140830000006</v>
      </c>
      <c r="F6044" s="3">
        <f>VLOOKUP(B6044,airports!A:H,7,FALSE)</f>
        <v>40.795242500000001</v>
      </c>
      <c r="G6044" s="3">
        <f>VLOOKUP(B6044,airports!A:H,8,FALSE)</f>
        <v>-73.100211939999994</v>
      </c>
      <c r="H6044">
        <f t="shared" si="188"/>
        <v>208.5</v>
      </c>
      <c r="I6044">
        <f t="shared" si="189"/>
        <v>129.6</v>
      </c>
    </row>
    <row r="6045" spans="1:9" x14ac:dyDescent="0.25">
      <c r="A6045" s="5" t="s">
        <v>102</v>
      </c>
      <c r="B6045" s="5" t="s">
        <v>1803</v>
      </c>
      <c r="C6045" s="5" t="s">
        <v>6525</v>
      </c>
      <c r="D6045" s="3">
        <f>VLOOKUP(A6045,airports!A:H,7,FALSE)</f>
        <v>39.871952780000001</v>
      </c>
      <c r="E6045" s="3">
        <f>VLOOKUP(A6045,airports!A:H,8,FALSE)</f>
        <v>-75.241140830000006</v>
      </c>
      <c r="F6045" s="3">
        <f>VLOOKUP(B6045,airports!A:H,7,FALSE)</f>
        <v>42.491027780000003</v>
      </c>
      <c r="G6045" s="3">
        <f>VLOOKUP(B6045,airports!A:H,8,FALSE)</f>
        <v>-76.458444439999994</v>
      </c>
      <c r="H6045">
        <f t="shared" si="188"/>
        <v>308.5</v>
      </c>
      <c r="I6045">
        <f t="shared" si="189"/>
        <v>191.7</v>
      </c>
    </row>
    <row r="6046" spans="1:9" x14ac:dyDescent="0.25">
      <c r="A6046" s="5" t="s">
        <v>102</v>
      </c>
      <c r="B6046" s="5" t="s">
        <v>68</v>
      </c>
      <c r="C6046" s="5" t="s">
        <v>6526</v>
      </c>
      <c r="D6046" s="3">
        <f>VLOOKUP(A6046,airports!A:H,7,FALSE)</f>
        <v>39.871952780000001</v>
      </c>
      <c r="E6046" s="3">
        <f>VLOOKUP(A6046,airports!A:H,8,FALSE)</f>
        <v>-75.241140830000006</v>
      </c>
      <c r="F6046" s="3">
        <f>VLOOKUP(B6046,airports!A:H,7,FALSE)</f>
        <v>30.49405556</v>
      </c>
      <c r="G6046" s="3">
        <f>VLOOKUP(B6046,airports!A:H,8,FALSE)</f>
        <v>-81.68786111</v>
      </c>
      <c r="H6046">
        <f t="shared" si="188"/>
        <v>1195.2</v>
      </c>
      <c r="I6046">
        <f t="shared" si="189"/>
        <v>742.7</v>
      </c>
    </row>
    <row r="6047" spans="1:9" x14ac:dyDescent="0.25">
      <c r="A6047" s="5" t="s">
        <v>102</v>
      </c>
      <c r="B6047" s="5" t="s">
        <v>69</v>
      </c>
      <c r="C6047" s="5" t="s">
        <v>6527</v>
      </c>
      <c r="D6047" s="3">
        <f>VLOOKUP(A6047,airports!A:H,7,FALSE)</f>
        <v>39.871952780000001</v>
      </c>
      <c r="E6047" s="3">
        <f>VLOOKUP(A6047,airports!A:H,8,FALSE)</f>
        <v>-75.241140830000006</v>
      </c>
      <c r="F6047" s="3">
        <f>VLOOKUP(B6047,airports!A:H,7,FALSE)</f>
        <v>40.639751109999999</v>
      </c>
      <c r="G6047" s="3">
        <f>VLOOKUP(B6047,airports!A:H,8,FALSE)</f>
        <v>-73.778925560000005</v>
      </c>
      <c r="H6047">
        <f t="shared" si="188"/>
        <v>150.6</v>
      </c>
      <c r="I6047">
        <f t="shared" si="189"/>
        <v>93.6</v>
      </c>
    </row>
    <row r="6048" spans="1:9" x14ac:dyDescent="0.25">
      <c r="A6048" s="5" t="s">
        <v>102</v>
      </c>
      <c r="B6048" s="5" t="s">
        <v>71</v>
      </c>
      <c r="C6048" s="5" t="s">
        <v>6528</v>
      </c>
      <c r="D6048" s="3">
        <f>VLOOKUP(A6048,airports!A:H,7,FALSE)</f>
        <v>39.871952780000001</v>
      </c>
      <c r="E6048" s="3">
        <f>VLOOKUP(A6048,airports!A:H,8,FALSE)</f>
        <v>-75.241140830000006</v>
      </c>
      <c r="F6048" s="3">
        <f>VLOOKUP(B6048,airports!A:H,7,FALSE)</f>
        <v>36.080361109999998</v>
      </c>
      <c r="G6048" s="3">
        <f>VLOOKUP(B6048,airports!A:H,8,FALSE)</f>
        <v>-115.1523333</v>
      </c>
      <c r="H6048">
        <f t="shared" si="188"/>
        <v>3494.4</v>
      </c>
      <c r="I6048">
        <f t="shared" si="189"/>
        <v>2171.5</v>
      </c>
    </row>
    <row r="6049" spans="1:9" x14ac:dyDescent="0.25">
      <c r="A6049" s="5" t="s">
        <v>102</v>
      </c>
      <c r="B6049" s="5" t="s">
        <v>73</v>
      </c>
      <c r="C6049" s="5" t="s">
        <v>6529</v>
      </c>
      <c r="D6049" s="3">
        <f>VLOOKUP(A6049,airports!A:H,7,FALSE)</f>
        <v>39.871952780000001</v>
      </c>
      <c r="E6049" s="3">
        <f>VLOOKUP(A6049,airports!A:H,8,FALSE)</f>
        <v>-75.241140830000006</v>
      </c>
      <c r="F6049" s="3">
        <f>VLOOKUP(B6049,airports!A:H,7,FALSE)</f>
        <v>33.942536109999999</v>
      </c>
      <c r="G6049" s="3">
        <f>VLOOKUP(B6049,airports!A:H,8,FALSE)</f>
        <v>-118.4080744</v>
      </c>
      <c r="H6049">
        <f t="shared" si="188"/>
        <v>3856.3</v>
      </c>
      <c r="I6049">
        <f t="shared" si="189"/>
        <v>2396.4</v>
      </c>
    </row>
    <row r="6050" spans="1:9" x14ac:dyDescent="0.25">
      <c r="A6050" s="5" t="s">
        <v>102</v>
      </c>
      <c r="B6050" s="5" t="s">
        <v>549</v>
      </c>
      <c r="C6050" s="5" t="s">
        <v>6530</v>
      </c>
      <c r="D6050" s="3">
        <f>VLOOKUP(A6050,airports!A:H,7,FALSE)</f>
        <v>39.871952780000001</v>
      </c>
      <c r="E6050" s="3">
        <f>VLOOKUP(A6050,airports!A:H,8,FALSE)</f>
        <v>-75.241140830000006</v>
      </c>
      <c r="F6050" s="3">
        <f>VLOOKUP(B6050,airports!A:H,7,FALSE)</f>
        <v>38.036972220000003</v>
      </c>
      <c r="G6050" s="3">
        <f>VLOOKUP(B6050,airports!A:H,8,FALSE)</f>
        <v>-84.60538889</v>
      </c>
      <c r="H6050">
        <f t="shared" si="188"/>
        <v>834.6</v>
      </c>
      <c r="I6050">
        <f t="shared" si="189"/>
        <v>518.6</v>
      </c>
    </row>
    <row r="6051" spans="1:9" ht="30" x14ac:dyDescent="0.25">
      <c r="A6051" s="5" t="s">
        <v>102</v>
      </c>
      <c r="B6051" s="5" t="s">
        <v>74</v>
      </c>
      <c r="C6051" s="5" t="s">
        <v>6531</v>
      </c>
      <c r="D6051" s="3">
        <f>VLOOKUP(A6051,airports!A:H,7,FALSE)</f>
        <v>39.871952780000001</v>
      </c>
      <c r="E6051" s="3">
        <f>VLOOKUP(A6051,airports!A:H,8,FALSE)</f>
        <v>-75.241140830000006</v>
      </c>
      <c r="F6051" s="3">
        <f>VLOOKUP(B6051,airports!A:H,7,FALSE)</f>
        <v>40.777243060000004</v>
      </c>
      <c r="G6051" s="3">
        <f>VLOOKUP(B6051,airports!A:H,8,FALSE)</f>
        <v>-73.872609170000004</v>
      </c>
      <c r="H6051">
        <f t="shared" si="188"/>
        <v>153.6</v>
      </c>
      <c r="I6051">
        <f t="shared" si="189"/>
        <v>95.4</v>
      </c>
    </row>
    <row r="6052" spans="1:9" ht="30" x14ac:dyDescent="0.25">
      <c r="A6052" s="5" t="s">
        <v>102</v>
      </c>
      <c r="B6052" s="5" t="s">
        <v>80</v>
      </c>
      <c r="C6052" s="5" t="s">
        <v>6532</v>
      </c>
      <c r="D6052" s="3">
        <f>VLOOKUP(A6052,airports!A:H,7,FALSE)</f>
        <v>39.871952780000001</v>
      </c>
      <c r="E6052" s="3">
        <f>VLOOKUP(A6052,airports!A:H,8,FALSE)</f>
        <v>-75.241140830000006</v>
      </c>
      <c r="F6052" s="3">
        <f>VLOOKUP(B6052,airports!A:H,7,FALSE)</f>
        <v>39.297605279999999</v>
      </c>
      <c r="G6052" s="3">
        <f>VLOOKUP(B6052,airports!A:H,8,FALSE)</f>
        <v>-94.713905560000001</v>
      </c>
      <c r="H6052">
        <f t="shared" si="188"/>
        <v>1666.7</v>
      </c>
      <c r="I6052">
        <f t="shared" si="189"/>
        <v>1035.7</v>
      </c>
    </row>
    <row r="6053" spans="1:9" ht="30" x14ac:dyDescent="0.25">
      <c r="A6053" s="5" t="s">
        <v>102</v>
      </c>
      <c r="B6053" s="5" t="s">
        <v>82</v>
      </c>
      <c r="C6053" s="5" t="s">
        <v>6533</v>
      </c>
      <c r="D6053" s="3">
        <f>VLOOKUP(A6053,airports!A:H,7,FALSE)</f>
        <v>39.871952780000001</v>
      </c>
      <c r="E6053" s="3">
        <f>VLOOKUP(A6053,airports!A:H,8,FALSE)</f>
        <v>-75.241140830000006</v>
      </c>
      <c r="F6053" s="3">
        <f>VLOOKUP(B6053,airports!A:H,7,FALSE)</f>
        <v>28.42888889</v>
      </c>
      <c r="G6053" s="3">
        <f>VLOOKUP(B6053,airports!A:H,8,FALSE)</f>
        <v>-81.316027779999999</v>
      </c>
      <c r="H6053">
        <f t="shared" si="188"/>
        <v>1388.9</v>
      </c>
      <c r="I6053">
        <f t="shared" si="189"/>
        <v>863.1</v>
      </c>
    </row>
    <row r="6054" spans="1:9" ht="30" x14ac:dyDescent="0.25">
      <c r="A6054" s="5" t="s">
        <v>102</v>
      </c>
      <c r="B6054" s="5" t="s">
        <v>178</v>
      </c>
      <c r="C6054" s="5" t="s">
        <v>6534</v>
      </c>
      <c r="D6054" s="3">
        <f>VLOOKUP(A6054,airports!A:H,7,FALSE)</f>
        <v>39.871952780000001</v>
      </c>
      <c r="E6054" s="3">
        <f>VLOOKUP(A6054,airports!A:H,8,FALSE)</f>
        <v>-75.241140830000006</v>
      </c>
      <c r="F6054" s="3">
        <f>VLOOKUP(B6054,airports!A:H,7,FALSE)</f>
        <v>40.19349528</v>
      </c>
      <c r="G6054" s="3">
        <f>VLOOKUP(B6054,airports!A:H,8,FALSE)</f>
        <v>-76.763403609999997</v>
      </c>
      <c r="H6054">
        <f t="shared" si="188"/>
        <v>134.4</v>
      </c>
      <c r="I6054">
        <f t="shared" si="189"/>
        <v>83.5</v>
      </c>
    </row>
    <row r="6055" spans="1:9" ht="30" x14ac:dyDescent="0.25">
      <c r="A6055" s="5" t="s">
        <v>102</v>
      </c>
      <c r="B6055" s="5" t="s">
        <v>180</v>
      </c>
      <c r="C6055" s="5" t="s">
        <v>6535</v>
      </c>
      <c r="D6055" s="3">
        <f>VLOOKUP(A6055,airports!A:H,7,FALSE)</f>
        <v>39.871952780000001</v>
      </c>
      <c r="E6055" s="3">
        <f>VLOOKUP(A6055,airports!A:H,8,FALSE)</f>
        <v>-75.241140830000006</v>
      </c>
      <c r="F6055" s="3">
        <f>VLOOKUP(B6055,airports!A:H,7,FALSE)</f>
        <v>41.785982500000003</v>
      </c>
      <c r="G6055" s="3">
        <f>VLOOKUP(B6055,airports!A:H,8,FALSE)</f>
        <v>-87.752424439999999</v>
      </c>
      <c r="H6055">
        <f t="shared" si="188"/>
        <v>1072.9000000000001</v>
      </c>
      <c r="I6055">
        <f t="shared" si="189"/>
        <v>666.7</v>
      </c>
    </row>
    <row r="6056" spans="1:9" ht="30" x14ac:dyDescent="0.25">
      <c r="A6056" s="5" t="s">
        <v>102</v>
      </c>
      <c r="B6056" s="5" t="s">
        <v>563</v>
      </c>
      <c r="C6056" s="5" t="s">
        <v>6536</v>
      </c>
      <c r="D6056" s="3">
        <f>VLOOKUP(A6056,airports!A:H,7,FALSE)</f>
        <v>39.871952780000001</v>
      </c>
      <c r="E6056" s="3">
        <f>VLOOKUP(A6056,airports!A:H,8,FALSE)</f>
        <v>-75.241140830000006</v>
      </c>
      <c r="F6056" s="3">
        <f>VLOOKUP(B6056,airports!A:H,7,FALSE)</f>
        <v>35.042416670000001</v>
      </c>
      <c r="G6056" s="3">
        <f>VLOOKUP(B6056,airports!A:H,8,FALSE)</f>
        <v>-89.97666667</v>
      </c>
      <c r="H6056">
        <f t="shared" si="188"/>
        <v>1405</v>
      </c>
      <c r="I6056">
        <f t="shared" si="189"/>
        <v>873.1</v>
      </c>
    </row>
    <row r="6057" spans="1:9" ht="30" x14ac:dyDescent="0.25">
      <c r="A6057" s="5" t="s">
        <v>102</v>
      </c>
      <c r="B6057" s="5" t="s">
        <v>567</v>
      </c>
      <c r="C6057" s="5" t="s">
        <v>6537</v>
      </c>
      <c r="D6057" s="3">
        <f>VLOOKUP(A6057,airports!A:H,7,FALSE)</f>
        <v>39.871952780000001</v>
      </c>
      <c r="E6057" s="3">
        <f>VLOOKUP(A6057,airports!A:H,8,FALSE)</f>
        <v>-75.241140830000006</v>
      </c>
      <c r="F6057" s="3">
        <f>VLOOKUP(B6057,airports!A:H,7,FALSE)</f>
        <v>42.934516389999999</v>
      </c>
      <c r="G6057" s="3">
        <f>VLOOKUP(B6057,airports!A:H,8,FALSE)</f>
        <v>-71.437055830000006</v>
      </c>
      <c r="H6057">
        <f t="shared" si="188"/>
        <v>465.3</v>
      </c>
      <c r="I6057">
        <f t="shared" si="189"/>
        <v>289.2</v>
      </c>
    </row>
    <row r="6058" spans="1:9" ht="30" x14ac:dyDescent="0.25">
      <c r="A6058" s="5" t="s">
        <v>102</v>
      </c>
      <c r="B6058" s="5" t="s">
        <v>84</v>
      </c>
      <c r="C6058" s="5" t="s">
        <v>6538</v>
      </c>
      <c r="D6058" s="3">
        <f>VLOOKUP(A6058,airports!A:H,7,FALSE)</f>
        <v>39.871952780000001</v>
      </c>
      <c r="E6058" s="3">
        <f>VLOOKUP(A6058,airports!A:H,8,FALSE)</f>
        <v>-75.241140830000006</v>
      </c>
      <c r="F6058" s="3">
        <f>VLOOKUP(B6058,airports!A:H,7,FALSE)</f>
        <v>25.79325</v>
      </c>
      <c r="G6058" s="3">
        <f>VLOOKUP(B6058,airports!A:H,8,FALSE)</f>
        <v>-80.290555560000001</v>
      </c>
      <c r="H6058">
        <f t="shared" si="188"/>
        <v>1634.2</v>
      </c>
      <c r="I6058">
        <f t="shared" si="189"/>
        <v>1015.5</v>
      </c>
    </row>
    <row r="6059" spans="1:9" ht="30" x14ac:dyDescent="0.25">
      <c r="A6059" s="5" t="s">
        <v>102</v>
      </c>
      <c r="B6059" s="5" t="s">
        <v>85</v>
      </c>
      <c r="C6059" s="5" t="s">
        <v>6539</v>
      </c>
      <c r="D6059" s="3">
        <f>VLOOKUP(A6059,airports!A:H,7,FALSE)</f>
        <v>39.871952780000001</v>
      </c>
      <c r="E6059" s="3">
        <f>VLOOKUP(A6059,airports!A:H,8,FALSE)</f>
        <v>-75.241140830000006</v>
      </c>
      <c r="F6059" s="3">
        <f>VLOOKUP(B6059,airports!A:H,7,FALSE)</f>
        <v>42.94722222</v>
      </c>
      <c r="G6059" s="3">
        <f>VLOOKUP(B6059,airports!A:H,8,FALSE)</f>
        <v>-87.896583329999999</v>
      </c>
      <c r="H6059">
        <f t="shared" si="188"/>
        <v>1108.0999999999999</v>
      </c>
      <c r="I6059">
        <f t="shared" si="189"/>
        <v>688.6</v>
      </c>
    </row>
    <row r="6060" spans="1:9" ht="30" x14ac:dyDescent="0.25">
      <c r="A6060" s="5" t="s">
        <v>102</v>
      </c>
      <c r="B6060" s="5" t="s">
        <v>571</v>
      </c>
      <c r="C6060" s="5" t="s">
        <v>6540</v>
      </c>
      <c r="D6060" s="3">
        <f>VLOOKUP(A6060,airports!A:H,7,FALSE)</f>
        <v>39.871952780000001</v>
      </c>
      <c r="E6060" s="3">
        <f>VLOOKUP(A6060,airports!A:H,8,FALSE)</f>
        <v>-75.241140830000006</v>
      </c>
      <c r="F6060" s="3">
        <f>VLOOKUP(B6060,airports!A:H,7,FALSE)</f>
        <v>28.10275</v>
      </c>
      <c r="G6060" s="3">
        <f>VLOOKUP(B6060,airports!A:H,8,FALSE)</f>
        <v>-80.645805559999999</v>
      </c>
      <c r="H6060">
        <f t="shared" si="188"/>
        <v>1399.6</v>
      </c>
      <c r="I6060">
        <f t="shared" si="189"/>
        <v>869.7</v>
      </c>
    </row>
    <row r="6061" spans="1:9" ht="30" x14ac:dyDescent="0.25">
      <c r="A6061" s="5" t="s">
        <v>102</v>
      </c>
      <c r="B6061" s="5" t="s">
        <v>579</v>
      </c>
      <c r="C6061" s="5" t="s">
        <v>6541</v>
      </c>
      <c r="D6061" s="3">
        <f>VLOOKUP(A6061,airports!A:H,7,FALSE)</f>
        <v>39.871952780000001</v>
      </c>
      <c r="E6061" s="3">
        <f>VLOOKUP(A6061,airports!A:H,8,FALSE)</f>
        <v>-75.241140830000006</v>
      </c>
      <c r="F6061" s="3">
        <f>VLOOKUP(B6061,airports!A:H,7,FALSE)</f>
        <v>43.13985778</v>
      </c>
      <c r="G6061" s="3">
        <f>VLOOKUP(B6061,airports!A:H,8,FALSE)</f>
        <v>-89.337513610000002</v>
      </c>
      <c r="H6061">
        <f t="shared" si="188"/>
        <v>1227</v>
      </c>
      <c r="I6061">
        <f t="shared" si="189"/>
        <v>762.5</v>
      </c>
    </row>
    <row r="6062" spans="1:9" ht="30" x14ac:dyDescent="0.25">
      <c r="A6062" s="5" t="s">
        <v>102</v>
      </c>
      <c r="B6062" s="5" t="s">
        <v>87</v>
      </c>
      <c r="C6062" s="5" t="s">
        <v>6542</v>
      </c>
      <c r="D6062" s="3">
        <f>VLOOKUP(A6062,airports!A:H,7,FALSE)</f>
        <v>39.871952780000001</v>
      </c>
      <c r="E6062" s="3">
        <f>VLOOKUP(A6062,airports!A:H,8,FALSE)</f>
        <v>-75.241140830000006</v>
      </c>
      <c r="F6062" s="3">
        <f>VLOOKUP(B6062,airports!A:H,7,FALSE)</f>
        <v>44.880546940000002</v>
      </c>
      <c r="G6062" s="3">
        <f>VLOOKUP(B6062,airports!A:H,8,FALSE)</f>
        <v>-93.216922499999995</v>
      </c>
      <c r="H6062">
        <f t="shared" si="188"/>
        <v>1574</v>
      </c>
      <c r="I6062">
        <f t="shared" si="189"/>
        <v>978.1</v>
      </c>
    </row>
    <row r="6063" spans="1:9" ht="30" x14ac:dyDescent="0.25">
      <c r="A6063" s="5" t="s">
        <v>102</v>
      </c>
      <c r="B6063" s="5" t="s">
        <v>89</v>
      </c>
      <c r="C6063" s="5" t="s">
        <v>6543</v>
      </c>
      <c r="D6063" s="3">
        <f>VLOOKUP(A6063,airports!A:H,7,FALSE)</f>
        <v>39.871952780000001</v>
      </c>
      <c r="E6063" s="3">
        <f>VLOOKUP(A6063,airports!A:H,8,FALSE)</f>
        <v>-75.241140830000006</v>
      </c>
      <c r="F6063" s="3">
        <f>VLOOKUP(B6063,airports!A:H,7,FALSE)</f>
        <v>29.993388889999999</v>
      </c>
      <c r="G6063" s="3">
        <f>VLOOKUP(B6063,airports!A:H,8,FALSE)</f>
        <v>-90.258027780000006</v>
      </c>
      <c r="H6063">
        <f t="shared" si="188"/>
        <v>1750.9</v>
      </c>
      <c r="I6063">
        <f t="shared" si="189"/>
        <v>1088</v>
      </c>
    </row>
    <row r="6064" spans="1:9" ht="30" x14ac:dyDescent="0.25">
      <c r="A6064" s="5" t="s">
        <v>102</v>
      </c>
      <c r="B6064" s="5" t="s">
        <v>92</v>
      </c>
      <c r="C6064" s="5" t="s">
        <v>6544</v>
      </c>
      <c r="D6064" s="3">
        <f>VLOOKUP(A6064,airports!A:H,7,FALSE)</f>
        <v>39.871952780000001</v>
      </c>
      <c r="E6064" s="3">
        <f>VLOOKUP(A6064,airports!A:H,8,FALSE)</f>
        <v>-75.241140830000006</v>
      </c>
      <c r="F6064" s="3">
        <f>VLOOKUP(B6064,airports!A:H,7,FALSE)</f>
        <v>41.393025829999999</v>
      </c>
      <c r="G6064" s="3">
        <f>VLOOKUP(B6064,airports!A:H,8,FALSE)</f>
        <v>-70.614332500000003</v>
      </c>
      <c r="H6064">
        <f t="shared" si="188"/>
        <v>425.4</v>
      </c>
      <c r="I6064">
        <f t="shared" si="189"/>
        <v>264.39999999999998</v>
      </c>
    </row>
    <row r="6065" spans="1:9" ht="30" x14ac:dyDescent="0.25">
      <c r="A6065" s="5" t="s">
        <v>102</v>
      </c>
      <c r="B6065" s="5" t="s">
        <v>182</v>
      </c>
      <c r="C6065" s="5" t="s">
        <v>6545</v>
      </c>
      <c r="D6065" s="3">
        <f>VLOOKUP(A6065,airports!A:H,7,FALSE)</f>
        <v>39.871952780000001</v>
      </c>
      <c r="E6065" s="3">
        <f>VLOOKUP(A6065,airports!A:H,8,FALSE)</f>
        <v>-75.241140830000006</v>
      </c>
      <c r="F6065" s="3">
        <f>VLOOKUP(B6065,airports!A:H,7,FALSE)</f>
        <v>33.679749999999999</v>
      </c>
      <c r="G6065" s="3">
        <f>VLOOKUP(B6065,airports!A:H,8,FALSE)</f>
        <v>-78.928333330000001</v>
      </c>
      <c r="H6065">
        <f t="shared" si="188"/>
        <v>762.7</v>
      </c>
      <c r="I6065">
        <f t="shared" si="189"/>
        <v>473.9</v>
      </c>
    </row>
    <row r="6066" spans="1:9" ht="30" x14ac:dyDescent="0.25">
      <c r="A6066" s="5" t="s">
        <v>102</v>
      </c>
      <c r="B6066" s="5" t="s">
        <v>215</v>
      </c>
      <c r="C6066" s="5" t="s">
        <v>6546</v>
      </c>
      <c r="D6066" s="3">
        <f>VLOOKUP(A6066,airports!A:H,7,FALSE)</f>
        <v>39.871952780000001</v>
      </c>
      <c r="E6066" s="3">
        <f>VLOOKUP(A6066,airports!A:H,8,FALSE)</f>
        <v>-75.241140830000006</v>
      </c>
      <c r="F6066" s="3">
        <f>VLOOKUP(B6066,airports!A:H,7,FALSE)</f>
        <v>37.721290830000001</v>
      </c>
      <c r="G6066" s="3">
        <f>VLOOKUP(B6066,airports!A:H,8,FALSE)</f>
        <v>-122.2207167</v>
      </c>
      <c r="H6066">
        <f t="shared" si="188"/>
        <v>4031.3</v>
      </c>
      <c r="I6066">
        <f t="shared" si="189"/>
        <v>2505.1</v>
      </c>
    </row>
    <row r="6067" spans="1:9" ht="30" x14ac:dyDescent="0.25">
      <c r="A6067" s="5" t="s">
        <v>102</v>
      </c>
      <c r="B6067" s="5" t="s">
        <v>590</v>
      </c>
      <c r="C6067" s="5" t="s">
        <v>6547</v>
      </c>
      <c r="D6067" s="3">
        <f>VLOOKUP(A6067,airports!A:H,7,FALSE)</f>
        <v>39.871952780000001</v>
      </c>
      <c r="E6067" s="3">
        <f>VLOOKUP(A6067,airports!A:H,8,FALSE)</f>
        <v>-75.241140830000006</v>
      </c>
      <c r="F6067" s="3">
        <f>VLOOKUP(B6067,airports!A:H,7,FALSE)</f>
        <v>35.393088329999998</v>
      </c>
      <c r="G6067" s="3">
        <f>VLOOKUP(B6067,airports!A:H,8,FALSE)</f>
        <v>-97.600733890000001</v>
      </c>
      <c r="H6067">
        <f t="shared" si="188"/>
        <v>2025.1</v>
      </c>
      <c r="I6067">
        <f t="shared" si="189"/>
        <v>1258.4000000000001</v>
      </c>
    </row>
    <row r="6068" spans="1:9" ht="30" x14ac:dyDescent="0.25">
      <c r="A6068" s="5" t="s">
        <v>102</v>
      </c>
      <c r="B6068" s="5" t="s">
        <v>592</v>
      </c>
      <c r="C6068" s="5" t="s">
        <v>6548</v>
      </c>
      <c r="D6068" s="3">
        <f>VLOOKUP(A6068,airports!A:H,7,FALSE)</f>
        <v>39.871952780000001</v>
      </c>
      <c r="E6068" s="3">
        <f>VLOOKUP(A6068,airports!A:H,8,FALSE)</f>
        <v>-75.241140830000006</v>
      </c>
      <c r="F6068" s="3">
        <f>VLOOKUP(B6068,airports!A:H,7,FALSE)</f>
        <v>41.30251861</v>
      </c>
      <c r="G6068" s="3">
        <f>VLOOKUP(B6068,airports!A:H,8,FALSE)</f>
        <v>-95.89417306</v>
      </c>
      <c r="H6068">
        <f t="shared" si="188"/>
        <v>1747.1</v>
      </c>
      <c r="I6068">
        <f t="shared" si="189"/>
        <v>1085.7</v>
      </c>
    </row>
    <row r="6069" spans="1:9" ht="30" x14ac:dyDescent="0.25">
      <c r="A6069" s="5" t="s">
        <v>102</v>
      </c>
      <c r="B6069" s="5" t="s">
        <v>95</v>
      </c>
      <c r="C6069" s="5" t="s">
        <v>6549</v>
      </c>
      <c r="D6069" s="3">
        <f>VLOOKUP(A6069,airports!A:H,7,FALSE)</f>
        <v>39.871952780000001</v>
      </c>
      <c r="E6069" s="3">
        <f>VLOOKUP(A6069,airports!A:H,8,FALSE)</f>
        <v>-75.241140830000006</v>
      </c>
      <c r="F6069" s="3">
        <f>VLOOKUP(B6069,airports!A:H,7,FALSE)</f>
        <v>41.979595000000003</v>
      </c>
      <c r="G6069" s="3">
        <f>VLOOKUP(B6069,airports!A:H,8,FALSE)</f>
        <v>-87.904464169999997</v>
      </c>
      <c r="H6069">
        <f t="shared" si="188"/>
        <v>1088.3</v>
      </c>
      <c r="I6069">
        <f t="shared" si="189"/>
        <v>676.3</v>
      </c>
    </row>
    <row r="6070" spans="1:9" ht="30" x14ac:dyDescent="0.25">
      <c r="A6070" s="5" t="s">
        <v>102</v>
      </c>
      <c r="B6070" s="5" t="s">
        <v>596</v>
      </c>
      <c r="C6070" s="5" t="s">
        <v>6550</v>
      </c>
      <c r="D6070" s="3">
        <f>VLOOKUP(A6070,airports!A:H,7,FALSE)</f>
        <v>39.871952780000001</v>
      </c>
      <c r="E6070" s="3">
        <f>VLOOKUP(A6070,airports!A:H,8,FALSE)</f>
        <v>-75.241140830000006</v>
      </c>
      <c r="F6070" s="3">
        <f>VLOOKUP(B6070,airports!A:H,7,FALSE)</f>
        <v>36.89461111</v>
      </c>
      <c r="G6070" s="3">
        <f>VLOOKUP(B6070,airports!A:H,8,FALSE)</f>
        <v>-76.201222220000005</v>
      </c>
      <c r="H6070">
        <f t="shared" si="188"/>
        <v>341.5</v>
      </c>
      <c r="I6070">
        <f t="shared" si="189"/>
        <v>212.2</v>
      </c>
    </row>
    <row r="6071" spans="1:9" ht="30" x14ac:dyDescent="0.25">
      <c r="A6071" s="5" t="s">
        <v>102</v>
      </c>
      <c r="B6071" s="5" t="s">
        <v>97</v>
      </c>
      <c r="C6071" s="5" t="s">
        <v>6551</v>
      </c>
      <c r="D6071" s="3">
        <f>VLOOKUP(A6071,airports!A:H,7,FALSE)</f>
        <v>39.871952780000001</v>
      </c>
      <c r="E6071" s="3">
        <f>VLOOKUP(A6071,airports!A:H,8,FALSE)</f>
        <v>-75.241140830000006</v>
      </c>
      <c r="F6071" s="3">
        <f>VLOOKUP(B6071,airports!A:H,7,FALSE)</f>
        <v>42.267339440000001</v>
      </c>
      <c r="G6071" s="3">
        <f>VLOOKUP(B6071,airports!A:H,8,FALSE)</f>
        <v>-71.875709439999994</v>
      </c>
      <c r="H6071">
        <f t="shared" si="188"/>
        <v>387.9</v>
      </c>
      <c r="I6071">
        <f t="shared" si="189"/>
        <v>241.1</v>
      </c>
    </row>
    <row r="6072" spans="1:9" x14ac:dyDescent="0.25">
      <c r="A6072" s="5" t="s">
        <v>102</v>
      </c>
      <c r="B6072" s="5" t="s">
        <v>99</v>
      </c>
      <c r="C6072" s="5" t="s">
        <v>6552</v>
      </c>
      <c r="D6072" s="3">
        <f>VLOOKUP(A6072,airports!A:H,7,FALSE)</f>
        <v>39.871952780000001</v>
      </c>
      <c r="E6072" s="3">
        <f>VLOOKUP(A6072,airports!A:H,8,FALSE)</f>
        <v>-75.241140830000006</v>
      </c>
      <c r="F6072" s="3">
        <f>VLOOKUP(B6072,airports!A:H,7,FALSE)</f>
        <v>26.683161940000002</v>
      </c>
      <c r="G6072" s="3">
        <f>VLOOKUP(B6072,airports!A:H,8,FALSE)</f>
        <v>-80.095594169999998</v>
      </c>
      <c r="H6072">
        <f t="shared" si="188"/>
        <v>1533.7</v>
      </c>
      <c r="I6072">
        <f t="shared" si="189"/>
        <v>953.1</v>
      </c>
    </row>
    <row r="6073" spans="1:9" ht="30" x14ac:dyDescent="0.25">
      <c r="A6073" s="5" t="s">
        <v>102</v>
      </c>
      <c r="B6073" s="5" t="s">
        <v>100</v>
      </c>
      <c r="C6073" s="5" t="s">
        <v>6553</v>
      </c>
      <c r="D6073" s="3">
        <f>VLOOKUP(A6073,airports!A:H,7,FALSE)</f>
        <v>39.871952780000001</v>
      </c>
      <c r="E6073" s="3">
        <f>VLOOKUP(A6073,airports!A:H,8,FALSE)</f>
        <v>-75.241140830000006</v>
      </c>
      <c r="F6073" s="3">
        <f>VLOOKUP(B6073,airports!A:H,7,FALSE)</f>
        <v>45.588722220000001</v>
      </c>
      <c r="G6073" s="3">
        <f>VLOOKUP(B6073,airports!A:H,8,FALSE)</f>
        <v>-122.5975</v>
      </c>
      <c r="H6073">
        <f t="shared" si="188"/>
        <v>3862.5</v>
      </c>
      <c r="I6073">
        <f t="shared" si="189"/>
        <v>2400.1999999999998</v>
      </c>
    </row>
    <row r="6074" spans="1:9" ht="30" x14ac:dyDescent="0.25">
      <c r="A6074" s="5" t="s">
        <v>102</v>
      </c>
      <c r="B6074" s="5" t="s">
        <v>600</v>
      </c>
      <c r="C6074" s="5" t="s">
        <v>6554</v>
      </c>
      <c r="D6074" s="3">
        <f>VLOOKUP(A6074,airports!A:H,7,FALSE)</f>
        <v>39.871952780000001</v>
      </c>
      <c r="E6074" s="3">
        <f>VLOOKUP(A6074,airports!A:H,8,FALSE)</f>
        <v>-75.241140830000006</v>
      </c>
      <c r="F6074" s="3">
        <f>VLOOKUP(B6074,airports!A:H,7,FALSE)</f>
        <v>37.131895559999997</v>
      </c>
      <c r="G6074" s="3">
        <f>VLOOKUP(B6074,airports!A:H,8,FALSE)</f>
        <v>-76.492987499999998</v>
      </c>
      <c r="H6074">
        <f t="shared" si="188"/>
        <v>323.60000000000002</v>
      </c>
      <c r="I6074">
        <f t="shared" si="189"/>
        <v>201.1</v>
      </c>
    </row>
    <row r="6075" spans="1:9" ht="30" x14ac:dyDescent="0.25">
      <c r="A6075" s="5" t="s">
        <v>102</v>
      </c>
      <c r="B6075" s="5" t="s">
        <v>104</v>
      </c>
      <c r="C6075" s="5" t="s">
        <v>6555</v>
      </c>
      <c r="D6075" s="3">
        <f>VLOOKUP(A6075,airports!A:H,7,FALSE)</f>
        <v>39.871952780000001</v>
      </c>
      <c r="E6075" s="3">
        <f>VLOOKUP(A6075,airports!A:H,8,FALSE)</f>
        <v>-75.241140830000006</v>
      </c>
      <c r="F6075" s="3">
        <f>VLOOKUP(B6075,airports!A:H,7,FALSE)</f>
        <v>33.434166670000003</v>
      </c>
      <c r="G6075" s="3">
        <f>VLOOKUP(B6075,airports!A:H,8,FALSE)</f>
        <v>-112.00805560000001</v>
      </c>
      <c r="H6075">
        <f t="shared" si="188"/>
        <v>3332.5</v>
      </c>
      <c r="I6075">
        <f t="shared" si="189"/>
        <v>2070.8000000000002</v>
      </c>
    </row>
    <row r="6076" spans="1:9" x14ac:dyDescent="0.25">
      <c r="A6076" s="5" t="s">
        <v>102</v>
      </c>
      <c r="B6076" s="5" t="s">
        <v>106</v>
      </c>
      <c r="C6076" s="5" t="s">
        <v>6556</v>
      </c>
      <c r="D6076" s="3">
        <f>VLOOKUP(A6076,airports!A:H,7,FALSE)</f>
        <v>39.871952780000001</v>
      </c>
      <c r="E6076" s="3">
        <f>VLOOKUP(A6076,airports!A:H,8,FALSE)</f>
        <v>-75.241140830000006</v>
      </c>
      <c r="F6076" s="3">
        <f>VLOOKUP(B6076,airports!A:H,7,FALSE)</f>
        <v>40.491465830000003</v>
      </c>
      <c r="G6076" s="3">
        <f>VLOOKUP(B6076,airports!A:H,8,FALSE)</f>
        <v>-80.232870829999996</v>
      </c>
      <c r="H6076">
        <f t="shared" si="188"/>
        <v>429.6</v>
      </c>
      <c r="I6076">
        <f t="shared" si="189"/>
        <v>266.89999999999998</v>
      </c>
    </row>
    <row r="6077" spans="1:9" ht="30" x14ac:dyDescent="0.25">
      <c r="A6077" s="5" t="s">
        <v>102</v>
      </c>
      <c r="B6077" s="5" t="s">
        <v>607</v>
      </c>
      <c r="C6077" s="5" t="s">
        <v>6557</v>
      </c>
      <c r="D6077" s="3">
        <f>VLOOKUP(A6077,airports!A:H,7,FALSE)</f>
        <v>39.871952780000001</v>
      </c>
      <c r="E6077" s="3">
        <f>VLOOKUP(A6077,airports!A:H,8,FALSE)</f>
        <v>-75.241140830000006</v>
      </c>
      <c r="F6077" s="3">
        <f>VLOOKUP(B6077,airports!A:H,7,FALSE)</f>
        <v>30.47330556</v>
      </c>
      <c r="G6077" s="3">
        <f>VLOOKUP(B6077,airports!A:H,8,FALSE)</f>
        <v>-87.187444439999993</v>
      </c>
      <c r="H6077">
        <f t="shared" si="188"/>
        <v>1504.4</v>
      </c>
      <c r="I6077">
        <f t="shared" si="189"/>
        <v>934.8</v>
      </c>
    </row>
    <row r="6078" spans="1:9" x14ac:dyDescent="0.25">
      <c r="A6078" s="5" t="s">
        <v>102</v>
      </c>
      <c r="B6078" s="5" t="s">
        <v>111</v>
      </c>
      <c r="C6078" s="5" t="s">
        <v>6558</v>
      </c>
      <c r="D6078" s="3">
        <f>VLOOKUP(A6078,airports!A:H,7,FALSE)</f>
        <v>39.871952780000001</v>
      </c>
      <c r="E6078" s="3">
        <f>VLOOKUP(A6078,airports!A:H,8,FALSE)</f>
        <v>-75.241140830000006</v>
      </c>
      <c r="F6078" s="3">
        <f>VLOOKUP(B6078,airports!A:H,7,FALSE)</f>
        <v>33.829215560000002</v>
      </c>
      <c r="G6078" s="3">
        <f>VLOOKUP(B6078,airports!A:H,8,FALSE)</f>
        <v>-116.5062531</v>
      </c>
      <c r="H6078">
        <f t="shared" si="188"/>
        <v>3699.2</v>
      </c>
      <c r="I6078">
        <f t="shared" si="189"/>
        <v>2298.6999999999998</v>
      </c>
    </row>
    <row r="6079" spans="1:9" ht="30" x14ac:dyDescent="0.25">
      <c r="A6079" s="5" t="s">
        <v>102</v>
      </c>
      <c r="B6079" s="5" t="s">
        <v>114</v>
      </c>
      <c r="C6079" s="5" t="s">
        <v>6559</v>
      </c>
      <c r="D6079" s="3">
        <f>VLOOKUP(A6079,airports!A:H,7,FALSE)</f>
        <v>39.871952780000001</v>
      </c>
      <c r="E6079" s="3">
        <f>VLOOKUP(A6079,airports!A:H,8,FALSE)</f>
        <v>-75.241140830000006</v>
      </c>
      <c r="F6079" s="3">
        <f>VLOOKUP(B6079,airports!A:H,7,FALSE)</f>
        <v>41.723999169999999</v>
      </c>
      <c r="G6079" s="3">
        <f>VLOOKUP(B6079,airports!A:H,8,FALSE)</f>
        <v>-71.428221109999996</v>
      </c>
      <c r="H6079">
        <f t="shared" si="188"/>
        <v>381.3</v>
      </c>
      <c r="I6079">
        <f t="shared" si="189"/>
        <v>236.9</v>
      </c>
    </row>
    <row r="6080" spans="1:9" ht="30" x14ac:dyDescent="0.25">
      <c r="A6080" s="5" t="s">
        <v>102</v>
      </c>
      <c r="B6080" s="5" t="s">
        <v>117</v>
      </c>
      <c r="C6080" s="5" t="s">
        <v>6560</v>
      </c>
      <c r="D6080" s="3">
        <f>VLOOKUP(A6080,airports!A:H,7,FALSE)</f>
        <v>39.871952780000001</v>
      </c>
      <c r="E6080" s="3">
        <f>VLOOKUP(A6080,airports!A:H,8,FALSE)</f>
        <v>-75.241140830000006</v>
      </c>
      <c r="F6080" s="3">
        <f>VLOOKUP(B6080,airports!A:H,7,FALSE)</f>
        <v>43.646166669999999</v>
      </c>
      <c r="G6080" s="3">
        <f>VLOOKUP(B6080,airports!A:H,8,FALSE)</f>
        <v>-70.308750000000003</v>
      </c>
      <c r="H6080">
        <f t="shared" si="188"/>
        <v>585.9</v>
      </c>
      <c r="I6080">
        <f t="shared" si="189"/>
        <v>364.1</v>
      </c>
    </row>
    <row r="6081" spans="1:9" ht="30" x14ac:dyDescent="0.25">
      <c r="A6081" s="5" t="s">
        <v>102</v>
      </c>
      <c r="B6081" s="5" t="s">
        <v>119</v>
      </c>
      <c r="C6081" s="5" t="s">
        <v>6561</v>
      </c>
      <c r="D6081" s="3">
        <f>VLOOKUP(A6081,airports!A:H,7,FALSE)</f>
        <v>39.871952780000001</v>
      </c>
      <c r="E6081" s="3">
        <f>VLOOKUP(A6081,airports!A:H,8,FALSE)</f>
        <v>-75.241140830000006</v>
      </c>
      <c r="F6081" s="3">
        <f>VLOOKUP(B6081,airports!A:H,7,FALSE)</f>
        <v>35.87763889</v>
      </c>
      <c r="G6081" s="3">
        <f>VLOOKUP(B6081,airports!A:H,8,FALSE)</f>
        <v>-78.787472219999998</v>
      </c>
      <c r="H6081">
        <f t="shared" si="188"/>
        <v>542.20000000000005</v>
      </c>
      <c r="I6081">
        <f t="shared" si="189"/>
        <v>337</v>
      </c>
    </row>
    <row r="6082" spans="1:9" x14ac:dyDescent="0.25">
      <c r="A6082" s="5" t="s">
        <v>102</v>
      </c>
      <c r="B6082" s="5" t="s">
        <v>120</v>
      </c>
      <c r="C6082" s="5" t="s">
        <v>6562</v>
      </c>
      <c r="D6082" s="3">
        <f>VLOOKUP(A6082,airports!A:H,7,FALSE)</f>
        <v>39.871952780000001</v>
      </c>
      <c r="E6082" s="3">
        <f>VLOOKUP(A6082,airports!A:H,8,FALSE)</f>
        <v>-75.241140830000006</v>
      </c>
      <c r="F6082" s="3">
        <f>VLOOKUP(B6082,airports!A:H,7,FALSE)</f>
        <v>37.505166670000001</v>
      </c>
      <c r="G6082" s="3">
        <f>VLOOKUP(B6082,airports!A:H,8,FALSE)</f>
        <v>-77.319666670000004</v>
      </c>
      <c r="H6082">
        <f t="shared" si="188"/>
        <v>319</v>
      </c>
      <c r="I6082">
        <f t="shared" si="189"/>
        <v>198.3</v>
      </c>
    </row>
    <row r="6083" spans="1:9" ht="30" x14ac:dyDescent="0.25">
      <c r="A6083" s="5" t="s">
        <v>102</v>
      </c>
      <c r="B6083" s="5" t="s">
        <v>617</v>
      </c>
      <c r="C6083" s="5" t="s">
        <v>6563</v>
      </c>
      <c r="D6083" s="3">
        <f>VLOOKUP(A6083,airports!A:H,7,FALSE)</f>
        <v>39.871952780000001</v>
      </c>
      <c r="E6083" s="3">
        <f>VLOOKUP(A6083,airports!A:H,8,FALSE)</f>
        <v>-75.241140830000006</v>
      </c>
      <c r="F6083" s="3">
        <f>VLOOKUP(B6083,airports!A:H,7,FALSE)</f>
        <v>37.32546833</v>
      </c>
      <c r="G6083" s="3">
        <f>VLOOKUP(B6083,airports!A:H,8,FALSE)</f>
        <v>-79.97542833</v>
      </c>
      <c r="H6083">
        <f t="shared" si="188"/>
        <v>499.3</v>
      </c>
      <c r="I6083">
        <f t="shared" si="189"/>
        <v>310.3</v>
      </c>
    </row>
    <row r="6084" spans="1:9" ht="30" x14ac:dyDescent="0.25">
      <c r="A6084" s="5" t="s">
        <v>102</v>
      </c>
      <c r="B6084" s="5" t="s">
        <v>122</v>
      </c>
      <c r="C6084" s="5" t="s">
        <v>6564</v>
      </c>
      <c r="D6084" s="3">
        <f>VLOOKUP(A6084,airports!A:H,7,FALSE)</f>
        <v>39.871952780000001</v>
      </c>
      <c r="E6084" s="3">
        <f>VLOOKUP(A6084,airports!A:H,8,FALSE)</f>
        <v>-75.241140830000006</v>
      </c>
      <c r="F6084" s="3">
        <f>VLOOKUP(B6084,airports!A:H,7,FALSE)</f>
        <v>43.118866109999999</v>
      </c>
      <c r="G6084" s="3">
        <f>VLOOKUP(B6084,airports!A:H,8,FALSE)</f>
        <v>-77.672383890000006</v>
      </c>
      <c r="H6084">
        <f t="shared" ref="H6084:H6147" si="190">ROUND(ACOS(COS(RADIANS(90-D6084)) * COS(RADIANS(90-F6084)) + SIN(RADIANS(90-D6084)) * SIN(RADIANS(90-F6084)) * COS(RADIANS(E6084-G6084))) * 6371,1)</f>
        <v>413.9</v>
      </c>
      <c r="I6084">
        <f t="shared" ref="I6084:I6147" si="191">ROUND(ACOS(COS(RADIANS(90-D6084)) * COS(RADIANS(90-F6084)) + SIN(RADIANS(90-D6084)) * SIN(RADIANS(90-F6084)) * COS(RADIANS(E6084-G6084))) * 3959,1)</f>
        <v>257.2</v>
      </c>
    </row>
    <row r="6085" spans="1:9" ht="30" x14ac:dyDescent="0.25">
      <c r="A6085" s="5" t="s">
        <v>102</v>
      </c>
      <c r="B6085" s="5" t="s">
        <v>123</v>
      </c>
      <c r="C6085" s="5" t="s">
        <v>6565</v>
      </c>
      <c r="D6085" s="3">
        <f>VLOOKUP(A6085,airports!A:H,7,FALSE)</f>
        <v>39.871952780000001</v>
      </c>
      <c r="E6085" s="3">
        <f>VLOOKUP(A6085,airports!A:H,8,FALSE)</f>
        <v>-75.241140830000006</v>
      </c>
      <c r="F6085" s="3">
        <f>VLOOKUP(B6085,airports!A:H,7,FALSE)</f>
        <v>26.53616667</v>
      </c>
      <c r="G6085" s="3">
        <f>VLOOKUP(B6085,airports!A:H,8,FALSE)</f>
        <v>-81.755166669999994</v>
      </c>
      <c r="H6085">
        <f t="shared" si="190"/>
        <v>1600.7</v>
      </c>
      <c r="I6085">
        <f t="shared" si="191"/>
        <v>994.7</v>
      </c>
    </row>
    <row r="6086" spans="1:9" ht="30" x14ac:dyDescent="0.25">
      <c r="A6086" s="5" t="s">
        <v>102</v>
      </c>
      <c r="B6086" s="5" t="s">
        <v>124</v>
      </c>
      <c r="C6086" s="5" t="s">
        <v>6566</v>
      </c>
      <c r="D6086" s="3">
        <f>VLOOKUP(A6086,airports!A:H,7,FALSE)</f>
        <v>39.871952780000001</v>
      </c>
      <c r="E6086" s="3">
        <f>VLOOKUP(A6086,airports!A:H,8,FALSE)</f>
        <v>-75.241140830000006</v>
      </c>
      <c r="F6086" s="3">
        <f>VLOOKUP(B6086,airports!A:H,7,FALSE)</f>
        <v>32.733556110000002</v>
      </c>
      <c r="G6086" s="3">
        <f>VLOOKUP(B6086,airports!A:H,8,FALSE)</f>
        <v>-117.1896567</v>
      </c>
      <c r="H6086">
        <f t="shared" si="190"/>
        <v>3805.9</v>
      </c>
      <c r="I6086">
        <f t="shared" si="191"/>
        <v>2365</v>
      </c>
    </row>
    <row r="6087" spans="1:9" x14ac:dyDescent="0.25">
      <c r="A6087" s="5" t="s">
        <v>102</v>
      </c>
      <c r="B6087" s="5" t="s">
        <v>125</v>
      </c>
      <c r="C6087" s="5" t="s">
        <v>6567</v>
      </c>
      <c r="D6087" s="3">
        <f>VLOOKUP(A6087,airports!A:H,7,FALSE)</f>
        <v>39.871952780000001</v>
      </c>
      <c r="E6087" s="3">
        <f>VLOOKUP(A6087,airports!A:H,8,FALSE)</f>
        <v>-75.241140830000006</v>
      </c>
      <c r="F6087" s="3">
        <f>VLOOKUP(B6087,airports!A:H,7,FALSE)</f>
        <v>29.533694440000001</v>
      </c>
      <c r="G6087" s="3">
        <f>VLOOKUP(B6087,airports!A:H,8,FALSE)</f>
        <v>-98.469777780000001</v>
      </c>
      <c r="H6087">
        <f t="shared" si="190"/>
        <v>2404.1999999999998</v>
      </c>
      <c r="I6087">
        <f t="shared" si="191"/>
        <v>1494</v>
      </c>
    </row>
    <row r="6088" spans="1:9" ht="30" x14ac:dyDescent="0.25">
      <c r="A6088" s="5" t="s">
        <v>102</v>
      </c>
      <c r="B6088" s="5" t="s">
        <v>126</v>
      </c>
      <c r="C6088" s="5" t="s">
        <v>6568</v>
      </c>
      <c r="D6088" s="3">
        <f>VLOOKUP(A6088,airports!A:H,7,FALSE)</f>
        <v>39.871952780000001</v>
      </c>
      <c r="E6088" s="3">
        <f>VLOOKUP(A6088,airports!A:H,8,FALSE)</f>
        <v>-75.241140830000006</v>
      </c>
      <c r="F6088" s="3">
        <f>VLOOKUP(B6088,airports!A:H,7,FALSE)</f>
        <v>32.12758333</v>
      </c>
      <c r="G6088" s="3">
        <f>VLOOKUP(B6088,airports!A:H,8,FALSE)</f>
        <v>-81.202138890000001</v>
      </c>
      <c r="H6088">
        <f t="shared" si="190"/>
        <v>1013.8</v>
      </c>
      <c r="I6088">
        <f t="shared" si="191"/>
        <v>630</v>
      </c>
    </row>
    <row r="6089" spans="1:9" x14ac:dyDescent="0.25">
      <c r="A6089" s="5" t="s">
        <v>102</v>
      </c>
      <c r="B6089" s="5" t="s">
        <v>1863</v>
      </c>
      <c r="C6089" s="5" t="s">
        <v>6569</v>
      </c>
      <c r="D6089" s="3">
        <f>VLOOKUP(A6089,airports!A:H,7,FALSE)</f>
        <v>39.871952780000001</v>
      </c>
      <c r="E6089" s="3">
        <f>VLOOKUP(A6089,airports!A:H,8,FALSE)</f>
        <v>-75.241140830000006</v>
      </c>
      <c r="F6089" s="3">
        <f>VLOOKUP(B6089,airports!A:H,7,FALSE)</f>
        <v>38.340499877929602</v>
      </c>
      <c r="G6089" s="3">
        <f>VLOOKUP(B6089,airports!A:H,8,FALSE)</f>
        <v>-75.510299682617102</v>
      </c>
      <c r="H6089">
        <f t="shared" si="190"/>
        <v>171.9</v>
      </c>
      <c r="I6089">
        <f t="shared" si="191"/>
        <v>106.8</v>
      </c>
    </row>
    <row r="6090" spans="1:9" x14ac:dyDescent="0.25">
      <c r="A6090" s="5" t="s">
        <v>102</v>
      </c>
      <c r="B6090" s="5" t="s">
        <v>628</v>
      </c>
      <c r="C6090" s="5" t="s">
        <v>6570</v>
      </c>
      <c r="D6090" s="3">
        <f>VLOOKUP(A6090,airports!A:H,7,FALSE)</f>
        <v>39.871952780000001</v>
      </c>
      <c r="E6090" s="3">
        <f>VLOOKUP(A6090,airports!A:H,8,FALSE)</f>
        <v>-75.241140830000006</v>
      </c>
      <c r="F6090" s="3">
        <f>VLOOKUP(B6090,airports!A:H,7,FALSE)</f>
        <v>40.851205999999998</v>
      </c>
      <c r="G6090" s="3">
        <f>VLOOKUP(B6090,airports!A:H,8,FALSE)</f>
        <v>-77.846301999999994</v>
      </c>
      <c r="H6090">
        <f t="shared" si="190"/>
        <v>246.1</v>
      </c>
      <c r="I6090">
        <f t="shared" si="191"/>
        <v>152.9</v>
      </c>
    </row>
    <row r="6091" spans="1:9" x14ac:dyDescent="0.25">
      <c r="A6091" s="5" t="s">
        <v>102</v>
      </c>
      <c r="B6091" s="5" t="s">
        <v>630</v>
      </c>
      <c r="C6091" s="5" t="s">
        <v>6571</v>
      </c>
      <c r="D6091" s="3">
        <f>VLOOKUP(A6091,airports!A:H,7,FALSE)</f>
        <v>39.871952780000001</v>
      </c>
      <c r="E6091" s="3">
        <f>VLOOKUP(A6091,airports!A:H,8,FALSE)</f>
        <v>-75.241140830000006</v>
      </c>
      <c r="F6091" s="3">
        <f>VLOOKUP(B6091,airports!A:H,7,FALSE)</f>
        <v>38.174388890000003</v>
      </c>
      <c r="G6091" s="3">
        <f>VLOOKUP(B6091,airports!A:H,8,FALSE)</f>
        <v>-85.736000000000004</v>
      </c>
      <c r="H6091">
        <f t="shared" si="190"/>
        <v>925.5</v>
      </c>
      <c r="I6091">
        <f t="shared" si="191"/>
        <v>575.1</v>
      </c>
    </row>
    <row r="6092" spans="1:9" x14ac:dyDescent="0.25">
      <c r="A6092" s="5" t="s">
        <v>102</v>
      </c>
      <c r="B6092" s="5" t="s">
        <v>128</v>
      </c>
      <c r="C6092" s="5" t="s">
        <v>6572</v>
      </c>
      <c r="D6092" s="3">
        <f>VLOOKUP(A6092,airports!A:H,7,FALSE)</f>
        <v>39.871952780000001</v>
      </c>
      <c r="E6092" s="3">
        <f>VLOOKUP(A6092,airports!A:H,8,FALSE)</f>
        <v>-75.241140830000006</v>
      </c>
      <c r="F6092" s="3">
        <f>VLOOKUP(B6092,airports!A:H,7,FALSE)</f>
        <v>47.448981940000003</v>
      </c>
      <c r="G6092" s="3">
        <f>VLOOKUP(B6092,airports!A:H,8,FALSE)</f>
        <v>-122.3093131</v>
      </c>
      <c r="H6092">
        <f t="shared" si="190"/>
        <v>3817.7</v>
      </c>
      <c r="I6092">
        <f t="shared" si="191"/>
        <v>2372.3000000000002</v>
      </c>
    </row>
    <row r="6093" spans="1:9" ht="30" x14ac:dyDescent="0.25">
      <c r="A6093" s="5" t="s">
        <v>102</v>
      </c>
      <c r="B6093" s="5" t="s">
        <v>130</v>
      </c>
      <c r="C6093" s="5" t="s">
        <v>6573</v>
      </c>
      <c r="D6093" s="3">
        <f>VLOOKUP(A6093,airports!A:H,7,FALSE)</f>
        <v>39.871952780000001</v>
      </c>
      <c r="E6093" s="3">
        <f>VLOOKUP(A6093,airports!A:H,8,FALSE)</f>
        <v>-75.241140830000006</v>
      </c>
      <c r="F6093" s="3">
        <f>VLOOKUP(B6093,airports!A:H,7,FALSE)</f>
        <v>37.619001939999997</v>
      </c>
      <c r="G6093" s="3">
        <f>VLOOKUP(B6093,airports!A:H,8,FALSE)</f>
        <v>-122.37484329999999</v>
      </c>
      <c r="H6093">
        <f t="shared" si="190"/>
        <v>4047.7</v>
      </c>
      <c r="I6093">
        <f t="shared" si="191"/>
        <v>2515.3000000000002</v>
      </c>
    </row>
    <row r="6094" spans="1:9" x14ac:dyDescent="0.25">
      <c r="A6094" s="5" t="s">
        <v>102</v>
      </c>
      <c r="B6094" s="5" t="s">
        <v>134</v>
      </c>
      <c r="C6094" s="5" t="s">
        <v>6574</v>
      </c>
      <c r="D6094" s="3">
        <f>VLOOKUP(A6094,airports!A:H,7,FALSE)</f>
        <v>39.871952780000001</v>
      </c>
      <c r="E6094" s="3">
        <f>VLOOKUP(A6094,airports!A:H,8,FALSE)</f>
        <v>-75.241140830000006</v>
      </c>
      <c r="F6094" s="3">
        <f>VLOOKUP(B6094,airports!A:H,7,FALSE)</f>
        <v>18.43941667</v>
      </c>
      <c r="G6094" s="3">
        <f>VLOOKUP(B6094,airports!A:H,8,FALSE)</f>
        <v>-66.001833329999997</v>
      </c>
      <c r="H6094">
        <f t="shared" si="190"/>
        <v>2542.8000000000002</v>
      </c>
      <c r="I6094">
        <f t="shared" si="191"/>
        <v>1580.1</v>
      </c>
    </row>
    <row r="6095" spans="1:9" x14ac:dyDescent="0.25">
      <c r="A6095" s="5" t="s">
        <v>102</v>
      </c>
      <c r="B6095" s="5" t="s">
        <v>135</v>
      </c>
      <c r="C6095" s="5" t="s">
        <v>6575</v>
      </c>
      <c r="D6095" s="3">
        <f>VLOOKUP(A6095,airports!A:H,7,FALSE)</f>
        <v>39.871952780000001</v>
      </c>
      <c r="E6095" s="3">
        <f>VLOOKUP(A6095,airports!A:H,8,FALSE)</f>
        <v>-75.241140830000006</v>
      </c>
      <c r="F6095" s="3">
        <f>VLOOKUP(B6095,airports!A:H,7,FALSE)</f>
        <v>40.788387780000001</v>
      </c>
      <c r="G6095" s="3">
        <f>VLOOKUP(B6095,airports!A:H,8,FALSE)</f>
        <v>-111.97777309999999</v>
      </c>
      <c r="H6095">
        <f t="shared" si="190"/>
        <v>3092.8</v>
      </c>
      <c r="I6095">
        <f t="shared" si="191"/>
        <v>1921.9</v>
      </c>
    </row>
    <row r="6096" spans="1:9" ht="30" x14ac:dyDescent="0.25">
      <c r="A6096" s="5" t="s">
        <v>102</v>
      </c>
      <c r="B6096" s="5" t="s">
        <v>138</v>
      </c>
      <c r="C6096" s="5" t="s">
        <v>6576</v>
      </c>
      <c r="D6096" s="3">
        <f>VLOOKUP(A6096,airports!A:H,7,FALSE)</f>
        <v>39.871952780000001</v>
      </c>
      <c r="E6096" s="3">
        <f>VLOOKUP(A6096,airports!A:H,8,FALSE)</f>
        <v>-75.241140830000006</v>
      </c>
      <c r="F6096" s="3">
        <f>VLOOKUP(B6096,airports!A:H,7,FALSE)</f>
        <v>27.39533333</v>
      </c>
      <c r="G6096" s="3">
        <f>VLOOKUP(B6096,airports!A:H,8,FALSE)</f>
        <v>-82.554111109999994</v>
      </c>
      <c r="H6096">
        <f t="shared" si="190"/>
        <v>1542.3</v>
      </c>
      <c r="I6096">
        <f t="shared" si="191"/>
        <v>958.4</v>
      </c>
    </row>
    <row r="6097" spans="1:9" x14ac:dyDescent="0.25">
      <c r="A6097" s="5" t="s">
        <v>102</v>
      </c>
      <c r="B6097" s="5" t="s">
        <v>644</v>
      </c>
      <c r="C6097" s="5" t="s">
        <v>6577</v>
      </c>
      <c r="D6097" s="3">
        <f>VLOOKUP(A6097,airports!A:H,7,FALSE)</f>
        <v>39.871952780000001</v>
      </c>
      <c r="E6097" s="3">
        <f>VLOOKUP(A6097,airports!A:H,8,FALSE)</f>
        <v>-75.241140830000006</v>
      </c>
      <c r="F6097" s="3">
        <f>VLOOKUP(B6097,airports!A:H,7,FALSE)</f>
        <v>38.747686940000001</v>
      </c>
      <c r="G6097" s="3">
        <f>VLOOKUP(B6097,airports!A:H,8,FALSE)</f>
        <v>-90.359989720000002</v>
      </c>
      <c r="H6097">
        <f t="shared" si="190"/>
        <v>1305.2</v>
      </c>
      <c r="I6097">
        <f t="shared" si="191"/>
        <v>811</v>
      </c>
    </row>
    <row r="6098" spans="1:9" x14ac:dyDescent="0.25">
      <c r="A6098" s="5" t="s">
        <v>102</v>
      </c>
      <c r="B6098" s="5" t="s">
        <v>140</v>
      </c>
      <c r="C6098" s="5" t="s">
        <v>6578</v>
      </c>
      <c r="D6098" s="3">
        <f>VLOOKUP(A6098,airports!A:H,7,FALSE)</f>
        <v>39.871952780000001</v>
      </c>
      <c r="E6098" s="3">
        <f>VLOOKUP(A6098,airports!A:H,8,FALSE)</f>
        <v>-75.241140830000006</v>
      </c>
      <c r="F6098" s="3">
        <f>VLOOKUP(B6098,airports!A:H,7,FALSE)</f>
        <v>18.337305560000001</v>
      </c>
      <c r="G6098" s="3">
        <f>VLOOKUP(B6098,airports!A:H,8,FALSE)</f>
        <v>-64.973361109999999</v>
      </c>
      <c r="H6098">
        <f t="shared" si="190"/>
        <v>2589.5</v>
      </c>
      <c r="I6098">
        <f t="shared" si="191"/>
        <v>1609.1</v>
      </c>
    </row>
    <row r="6099" spans="1:9" ht="30" x14ac:dyDescent="0.25">
      <c r="A6099" s="5" t="s">
        <v>102</v>
      </c>
      <c r="B6099" s="5" t="s">
        <v>142</v>
      </c>
      <c r="C6099" s="5" t="s">
        <v>6579</v>
      </c>
      <c r="D6099" s="3">
        <f>VLOOKUP(A6099,airports!A:H,7,FALSE)</f>
        <v>39.871952780000001</v>
      </c>
      <c r="E6099" s="3">
        <f>VLOOKUP(A6099,airports!A:H,8,FALSE)</f>
        <v>-75.241140830000006</v>
      </c>
      <c r="F6099" s="3">
        <f>VLOOKUP(B6099,airports!A:H,7,FALSE)</f>
        <v>41.504093609999998</v>
      </c>
      <c r="G6099" s="3">
        <f>VLOOKUP(B6099,airports!A:H,8,FALSE)</f>
        <v>-74.104838330000007</v>
      </c>
      <c r="H6099">
        <f t="shared" si="190"/>
        <v>205.2</v>
      </c>
      <c r="I6099">
        <f t="shared" si="191"/>
        <v>127.5</v>
      </c>
    </row>
    <row r="6100" spans="1:9" x14ac:dyDescent="0.25">
      <c r="A6100" s="5" t="s">
        <v>102</v>
      </c>
      <c r="B6100" s="5" t="s">
        <v>144</v>
      </c>
      <c r="C6100" s="5" t="s">
        <v>6580</v>
      </c>
      <c r="D6100" s="3">
        <f>VLOOKUP(A6100,airports!A:H,7,FALSE)</f>
        <v>39.871952780000001</v>
      </c>
      <c r="E6100" s="3">
        <f>VLOOKUP(A6100,airports!A:H,8,FALSE)</f>
        <v>-75.241140830000006</v>
      </c>
      <c r="F6100" s="3">
        <f>VLOOKUP(B6100,airports!A:H,7,FALSE)</f>
        <v>43.111186940000003</v>
      </c>
      <c r="G6100" s="3">
        <f>VLOOKUP(B6100,airports!A:H,8,FALSE)</f>
        <v>-76.106310559999997</v>
      </c>
      <c r="H6100">
        <f t="shared" si="190"/>
        <v>367.3</v>
      </c>
      <c r="I6100">
        <f t="shared" si="191"/>
        <v>228.3</v>
      </c>
    </row>
    <row r="6101" spans="1:9" ht="30" x14ac:dyDescent="0.25">
      <c r="A6101" s="5" t="s">
        <v>102</v>
      </c>
      <c r="B6101" s="5" t="s">
        <v>145</v>
      </c>
      <c r="C6101" s="5" t="s">
        <v>6581</v>
      </c>
      <c r="D6101" s="3">
        <f>VLOOKUP(A6101,airports!A:H,7,FALSE)</f>
        <v>39.871952780000001</v>
      </c>
      <c r="E6101" s="3">
        <f>VLOOKUP(A6101,airports!A:H,8,FALSE)</f>
        <v>-75.241140830000006</v>
      </c>
      <c r="F6101" s="3">
        <f>VLOOKUP(B6101,airports!A:H,7,FALSE)</f>
        <v>27.97547222</v>
      </c>
      <c r="G6101" s="3">
        <f>VLOOKUP(B6101,airports!A:H,8,FALSE)</f>
        <v>-82.533249999999995</v>
      </c>
      <c r="H6101">
        <f t="shared" si="190"/>
        <v>1482.7</v>
      </c>
      <c r="I6101">
        <f t="shared" si="191"/>
        <v>921.4</v>
      </c>
    </row>
    <row r="6102" spans="1:9" ht="30" x14ac:dyDescent="0.25">
      <c r="A6102" s="5" t="s">
        <v>102</v>
      </c>
      <c r="B6102" s="5" t="s">
        <v>656</v>
      </c>
      <c r="C6102" s="5" t="s">
        <v>6582</v>
      </c>
      <c r="D6102" s="3">
        <f>VLOOKUP(A6102,airports!A:H,7,FALSE)</f>
        <v>39.871952780000001</v>
      </c>
      <c r="E6102" s="3">
        <f>VLOOKUP(A6102,airports!A:H,8,FALSE)</f>
        <v>-75.241140830000006</v>
      </c>
      <c r="F6102" s="3">
        <f>VLOOKUP(B6102,airports!A:H,7,FALSE)</f>
        <v>40.276691110000002</v>
      </c>
      <c r="G6102" s="3">
        <f>VLOOKUP(B6102,airports!A:H,8,FALSE)</f>
        <v>-74.813468330000006</v>
      </c>
      <c r="H6102">
        <f t="shared" si="190"/>
        <v>57.9</v>
      </c>
      <c r="I6102">
        <f t="shared" si="191"/>
        <v>36</v>
      </c>
    </row>
    <row r="6103" spans="1:9" ht="30" x14ac:dyDescent="0.25">
      <c r="A6103" s="5" t="s">
        <v>102</v>
      </c>
      <c r="B6103" s="5" t="s">
        <v>662</v>
      </c>
      <c r="C6103" s="5" t="s">
        <v>6583</v>
      </c>
      <c r="D6103" s="3">
        <f>VLOOKUP(A6103,airports!A:H,7,FALSE)</f>
        <v>39.871952780000001</v>
      </c>
      <c r="E6103" s="3">
        <f>VLOOKUP(A6103,airports!A:H,8,FALSE)</f>
        <v>-75.241140830000006</v>
      </c>
      <c r="F6103" s="3">
        <f>VLOOKUP(B6103,airports!A:H,7,FALSE)</f>
        <v>44.741444719999997</v>
      </c>
      <c r="G6103" s="3">
        <f>VLOOKUP(B6103,airports!A:H,8,FALSE)</f>
        <v>-85.582234999999997</v>
      </c>
      <c r="H6103">
        <f t="shared" si="190"/>
        <v>1006.9</v>
      </c>
      <c r="I6103">
        <f t="shared" si="191"/>
        <v>625.70000000000005</v>
      </c>
    </row>
    <row r="6104" spans="1:9" x14ac:dyDescent="0.25">
      <c r="A6104" s="5" t="s">
        <v>102</v>
      </c>
      <c r="B6104" s="5" t="s">
        <v>664</v>
      </c>
      <c r="C6104" s="5" t="s">
        <v>6584</v>
      </c>
      <c r="D6104" s="3">
        <f>VLOOKUP(A6104,airports!A:H,7,FALSE)</f>
        <v>39.871952780000001</v>
      </c>
      <c r="E6104" s="3">
        <f>VLOOKUP(A6104,airports!A:H,8,FALSE)</f>
        <v>-75.241140830000006</v>
      </c>
      <c r="F6104" s="3">
        <f>VLOOKUP(B6104,airports!A:H,7,FALSE)</f>
        <v>35.812487220000001</v>
      </c>
      <c r="G6104" s="3">
        <f>VLOOKUP(B6104,airports!A:H,8,FALSE)</f>
        <v>-83.992855829999996</v>
      </c>
      <c r="H6104">
        <f t="shared" si="190"/>
        <v>890.6</v>
      </c>
      <c r="I6104">
        <f t="shared" si="191"/>
        <v>553.4</v>
      </c>
    </row>
    <row r="6105" spans="1:9" ht="30" x14ac:dyDescent="0.25">
      <c r="A6105" s="5" t="s">
        <v>102</v>
      </c>
      <c r="B6105" s="5" t="s">
        <v>668</v>
      </c>
      <c r="C6105" s="5" t="s">
        <v>6585</v>
      </c>
      <c r="D6105" s="3">
        <f>VLOOKUP(A6105,airports!A:H,7,FALSE)</f>
        <v>39.871952780000001</v>
      </c>
      <c r="E6105" s="3">
        <f>VLOOKUP(A6105,airports!A:H,8,FALSE)</f>
        <v>-75.241140830000006</v>
      </c>
      <c r="F6105" s="3">
        <f>VLOOKUP(B6105,airports!A:H,7,FALSE)</f>
        <v>30.483250000000002</v>
      </c>
      <c r="G6105" s="3">
        <f>VLOOKUP(B6105,airports!A:H,8,FALSE)</f>
        <v>-86.525400000000005</v>
      </c>
      <c r="H6105">
        <f t="shared" si="190"/>
        <v>1461.1</v>
      </c>
      <c r="I6105">
        <f t="shared" si="191"/>
        <v>907.9</v>
      </c>
    </row>
    <row r="6106" spans="1:9" ht="30" x14ac:dyDescent="0.25">
      <c r="A6106" s="5" t="s">
        <v>102</v>
      </c>
      <c r="B6106" s="5" t="s">
        <v>670</v>
      </c>
      <c r="C6106" s="5" t="s">
        <v>6586</v>
      </c>
      <c r="D6106" s="3">
        <f>VLOOKUP(A6106,airports!A:H,7,FALSE)</f>
        <v>39.871952780000001</v>
      </c>
      <c r="E6106" s="3">
        <f>VLOOKUP(A6106,airports!A:H,8,FALSE)</f>
        <v>-75.241140830000006</v>
      </c>
      <c r="F6106" s="3">
        <f>VLOOKUP(B6106,airports!A:H,7,FALSE)</f>
        <v>36.281869440000001</v>
      </c>
      <c r="G6106" s="3">
        <f>VLOOKUP(B6106,airports!A:H,8,FALSE)</f>
        <v>-94.306811109999998</v>
      </c>
      <c r="H6106">
        <f t="shared" si="190"/>
        <v>1712.3</v>
      </c>
      <c r="I6106">
        <f t="shared" si="191"/>
        <v>1064</v>
      </c>
    </row>
    <row r="6107" spans="1:9" ht="30" x14ac:dyDescent="0.25">
      <c r="A6107" s="5" t="s">
        <v>104</v>
      </c>
      <c r="B6107" s="5" t="s">
        <v>2</v>
      </c>
      <c r="C6107" s="5" t="s">
        <v>6587</v>
      </c>
      <c r="D6107" s="3">
        <f>VLOOKUP(A6107,airports!A:H,7,FALSE)</f>
        <v>33.434166670000003</v>
      </c>
      <c r="E6107" s="3">
        <f>VLOOKUP(A6107,airports!A:H,8,FALSE)</f>
        <v>-112.00805560000001</v>
      </c>
      <c r="F6107" s="3">
        <f>VLOOKUP(B6107,airports!A:H,7,FALSE)</f>
        <v>35.040222219999997</v>
      </c>
      <c r="G6107" s="3">
        <f>VLOOKUP(B6107,airports!A:H,8,FALSE)</f>
        <v>-106.60919440000001</v>
      </c>
      <c r="H6107">
        <f t="shared" si="190"/>
        <v>527.4</v>
      </c>
      <c r="I6107">
        <f t="shared" si="191"/>
        <v>327.7</v>
      </c>
    </row>
    <row r="6108" spans="1:9" ht="30" x14ac:dyDescent="0.25">
      <c r="A6108" s="5" t="s">
        <v>104</v>
      </c>
      <c r="B6108" s="5" t="s">
        <v>247</v>
      </c>
      <c r="C6108" s="5" t="s">
        <v>6588</v>
      </c>
      <c r="D6108" s="3">
        <f>VLOOKUP(A6108,airports!A:H,7,FALSE)</f>
        <v>33.434166670000003</v>
      </c>
      <c r="E6108" s="3">
        <f>VLOOKUP(A6108,airports!A:H,8,FALSE)</f>
        <v>-112.00805560000001</v>
      </c>
      <c r="F6108" s="3">
        <f>VLOOKUP(B6108,airports!A:H,7,FALSE)</f>
        <v>40.978115279999997</v>
      </c>
      <c r="G6108" s="3">
        <f>VLOOKUP(B6108,airports!A:H,8,FALSE)</f>
        <v>-124.1086189</v>
      </c>
      <c r="H6108">
        <f t="shared" si="190"/>
        <v>1358.7</v>
      </c>
      <c r="I6108">
        <f t="shared" si="191"/>
        <v>844.3</v>
      </c>
    </row>
    <row r="6109" spans="1:9" ht="30" x14ac:dyDescent="0.25">
      <c r="A6109" s="5" t="s">
        <v>104</v>
      </c>
      <c r="B6109" s="5" t="s">
        <v>327</v>
      </c>
      <c r="C6109" s="5" t="s">
        <v>6589</v>
      </c>
      <c r="D6109" s="3">
        <f>VLOOKUP(A6109,airports!A:H,7,FALSE)</f>
        <v>33.434166670000003</v>
      </c>
      <c r="E6109" s="3">
        <f>VLOOKUP(A6109,airports!A:H,8,FALSE)</f>
        <v>-112.00805560000001</v>
      </c>
      <c r="F6109" s="3">
        <f>VLOOKUP(B6109,airports!A:H,7,FALSE)</f>
        <v>35.219372499999999</v>
      </c>
      <c r="G6109" s="3">
        <f>VLOOKUP(B6109,airports!A:H,8,FALSE)</f>
        <v>-101.7059272</v>
      </c>
      <c r="H6109">
        <f t="shared" si="190"/>
        <v>966.1</v>
      </c>
      <c r="I6109">
        <f t="shared" si="191"/>
        <v>600.4</v>
      </c>
    </row>
    <row r="6110" spans="1:9" ht="30" x14ac:dyDescent="0.25">
      <c r="A6110" s="5" t="s">
        <v>104</v>
      </c>
      <c r="B6110" s="5" t="s">
        <v>265</v>
      </c>
      <c r="C6110" s="5" t="s">
        <v>6590</v>
      </c>
      <c r="D6110" s="3">
        <f>VLOOKUP(A6110,airports!A:H,7,FALSE)</f>
        <v>33.434166670000003</v>
      </c>
      <c r="E6110" s="3">
        <f>VLOOKUP(A6110,airports!A:H,8,FALSE)</f>
        <v>-112.00805560000001</v>
      </c>
      <c r="F6110" s="3">
        <f>VLOOKUP(B6110,airports!A:H,7,FALSE)</f>
        <v>61.174320280000003</v>
      </c>
      <c r="G6110" s="3">
        <f>VLOOKUP(B6110,airports!A:H,8,FALSE)</f>
        <v>-149.99618559999999</v>
      </c>
      <c r="H6110">
        <f t="shared" si="190"/>
        <v>4101.6000000000004</v>
      </c>
      <c r="I6110">
        <f t="shared" si="191"/>
        <v>2548.8000000000002</v>
      </c>
    </row>
    <row r="6111" spans="1:9" ht="30" x14ac:dyDescent="0.25">
      <c r="A6111" s="5" t="s">
        <v>104</v>
      </c>
      <c r="B6111" s="5" t="s">
        <v>393</v>
      </c>
      <c r="C6111" s="5" t="s">
        <v>6591</v>
      </c>
      <c r="D6111" s="3">
        <f>VLOOKUP(A6111,airports!A:H,7,FALSE)</f>
        <v>33.434166670000003</v>
      </c>
      <c r="E6111" s="3">
        <f>VLOOKUP(A6111,airports!A:H,8,FALSE)</f>
        <v>-112.00805560000001</v>
      </c>
      <c r="F6111" s="3">
        <f>VLOOKUP(B6111,airports!A:H,7,FALSE)</f>
        <v>39.22316</v>
      </c>
      <c r="G6111" s="3">
        <f>VLOOKUP(B6111,airports!A:H,8,FALSE)</f>
        <v>-106.86884499999999</v>
      </c>
      <c r="H6111">
        <f t="shared" si="190"/>
        <v>791.1</v>
      </c>
      <c r="I6111">
        <f t="shared" si="191"/>
        <v>491.6</v>
      </c>
    </row>
    <row r="6112" spans="1:9" ht="30" x14ac:dyDescent="0.25">
      <c r="A6112" s="5" t="s">
        <v>104</v>
      </c>
      <c r="B6112" s="5" t="s">
        <v>10</v>
      </c>
      <c r="C6112" s="5" t="s">
        <v>6592</v>
      </c>
      <c r="D6112" s="3">
        <f>VLOOKUP(A6112,airports!A:H,7,FALSE)</f>
        <v>33.434166670000003</v>
      </c>
      <c r="E6112" s="3">
        <f>VLOOKUP(A6112,airports!A:H,8,FALSE)</f>
        <v>-112.00805560000001</v>
      </c>
      <c r="F6112" s="3">
        <f>VLOOKUP(B6112,airports!A:H,7,FALSE)</f>
        <v>33.640444440000003</v>
      </c>
      <c r="G6112" s="3">
        <f>VLOOKUP(B6112,airports!A:H,8,FALSE)</f>
        <v>-84.42694444</v>
      </c>
      <c r="H6112">
        <f t="shared" si="190"/>
        <v>2548.8000000000002</v>
      </c>
      <c r="I6112">
        <f t="shared" si="191"/>
        <v>1583.8</v>
      </c>
    </row>
    <row r="6113" spans="1:9" ht="30" x14ac:dyDescent="0.25">
      <c r="A6113" s="5" t="s">
        <v>104</v>
      </c>
      <c r="B6113" s="5" t="s">
        <v>13</v>
      </c>
      <c r="C6113" s="5" t="s">
        <v>6593</v>
      </c>
      <c r="D6113" s="3">
        <f>VLOOKUP(A6113,airports!A:H,7,FALSE)</f>
        <v>33.434166670000003</v>
      </c>
      <c r="E6113" s="3">
        <f>VLOOKUP(A6113,airports!A:H,8,FALSE)</f>
        <v>-112.00805560000001</v>
      </c>
      <c r="F6113" s="3">
        <f>VLOOKUP(B6113,airports!A:H,7,FALSE)</f>
        <v>30.194532779999999</v>
      </c>
      <c r="G6113" s="3">
        <f>VLOOKUP(B6113,airports!A:H,8,FALSE)</f>
        <v>-97.669871939999993</v>
      </c>
      <c r="H6113">
        <f t="shared" si="190"/>
        <v>1400.5</v>
      </c>
      <c r="I6113">
        <f t="shared" si="191"/>
        <v>870.3</v>
      </c>
    </row>
    <row r="6114" spans="1:9" x14ac:dyDescent="0.25">
      <c r="A6114" s="5" t="s">
        <v>104</v>
      </c>
      <c r="B6114" s="5" t="s">
        <v>963</v>
      </c>
      <c r="C6114" s="5" t="s">
        <v>6594</v>
      </c>
      <c r="D6114" s="3">
        <f>VLOOKUP(A6114,airports!A:H,7,FALSE)</f>
        <v>33.434166670000003</v>
      </c>
      <c r="E6114" s="3">
        <f>VLOOKUP(A6114,airports!A:H,8,FALSE)</f>
        <v>-112.00805560000001</v>
      </c>
      <c r="F6114" s="3">
        <f>VLOOKUP(B6114,airports!A:H,7,FALSE)</f>
        <v>35.433598060000001</v>
      </c>
      <c r="G6114" s="3">
        <f>VLOOKUP(B6114,airports!A:H,8,FALSE)</f>
        <v>-119.0567681</v>
      </c>
      <c r="H6114">
        <f t="shared" si="190"/>
        <v>683.4</v>
      </c>
      <c r="I6114">
        <f t="shared" si="191"/>
        <v>424.7</v>
      </c>
    </row>
    <row r="6115" spans="1:9" x14ac:dyDescent="0.25">
      <c r="A6115" s="5" t="s">
        <v>104</v>
      </c>
      <c r="B6115" s="5" t="s">
        <v>836</v>
      </c>
      <c r="C6115" s="5" t="s">
        <v>6595</v>
      </c>
      <c r="D6115" s="3">
        <f>VLOOKUP(A6115,airports!A:H,7,FALSE)</f>
        <v>33.434166670000003</v>
      </c>
      <c r="E6115" s="3">
        <f>VLOOKUP(A6115,airports!A:H,8,FALSE)</f>
        <v>-112.00805560000001</v>
      </c>
      <c r="F6115" s="3">
        <f>VLOOKUP(B6115,airports!A:H,7,FALSE)</f>
        <v>45.807662499999999</v>
      </c>
      <c r="G6115" s="3">
        <f>VLOOKUP(B6115,airports!A:H,8,FALSE)</f>
        <v>-108.5428611</v>
      </c>
      <c r="H6115">
        <f t="shared" si="190"/>
        <v>1407.1</v>
      </c>
      <c r="I6115">
        <f t="shared" si="191"/>
        <v>874.4</v>
      </c>
    </row>
    <row r="6116" spans="1:9" x14ac:dyDescent="0.25">
      <c r="A6116" s="5" t="s">
        <v>104</v>
      </c>
      <c r="B6116" s="5" t="s">
        <v>838</v>
      </c>
      <c r="C6116" s="5" t="s">
        <v>6596</v>
      </c>
      <c r="D6116" s="3">
        <f>VLOOKUP(A6116,airports!A:H,7,FALSE)</f>
        <v>33.434166670000003</v>
      </c>
      <c r="E6116" s="3">
        <f>VLOOKUP(A6116,airports!A:H,8,FALSE)</f>
        <v>-112.00805560000001</v>
      </c>
      <c r="F6116" s="3">
        <f>VLOOKUP(B6116,airports!A:H,7,FALSE)</f>
        <v>46.77411111</v>
      </c>
      <c r="G6116" s="3">
        <f>VLOOKUP(B6116,airports!A:H,8,FALSE)</f>
        <v>-100.74672219999999</v>
      </c>
      <c r="H6116">
        <f t="shared" si="190"/>
        <v>1761.6</v>
      </c>
      <c r="I6116">
        <f t="shared" si="191"/>
        <v>1094.7</v>
      </c>
    </row>
    <row r="6117" spans="1:9" ht="30" x14ac:dyDescent="0.25">
      <c r="A6117" s="5" t="s">
        <v>104</v>
      </c>
      <c r="B6117" s="5" t="s">
        <v>19</v>
      </c>
      <c r="C6117" s="5" t="s">
        <v>6597</v>
      </c>
      <c r="D6117" s="3">
        <f>VLOOKUP(A6117,airports!A:H,7,FALSE)</f>
        <v>33.434166670000003</v>
      </c>
      <c r="E6117" s="3">
        <f>VLOOKUP(A6117,airports!A:H,8,FALSE)</f>
        <v>-112.00805560000001</v>
      </c>
      <c r="F6117" s="3">
        <f>VLOOKUP(B6117,airports!A:H,7,FALSE)</f>
        <v>36.12447667</v>
      </c>
      <c r="G6117" s="3">
        <f>VLOOKUP(B6117,airports!A:H,8,FALSE)</f>
        <v>-86.678182219999997</v>
      </c>
      <c r="H6117">
        <f t="shared" si="190"/>
        <v>2326</v>
      </c>
      <c r="I6117">
        <f t="shared" si="191"/>
        <v>1445.4</v>
      </c>
    </row>
    <row r="6118" spans="1:9" ht="30" x14ac:dyDescent="0.25">
      <c r="A6118" s="5" t="s">
        <v>104</v>
      </c>
      <c r="B6118" s="5" t="s">
        <v>22</v>
      </c>
      <c r="C6118" s="5" t="s">
        <v>6598</v>
      </c>
      <c r="D6118" s="3">
        <f>VLOOKUP(A6118,airports!A:H,7,FALSE)</f>
        <v>33.434166670000003</v>
      </c>
      <c r="E6118" s="3">
        <f>VLOOKUP(A6118,airports!A:H,8,FALSE)</f>
        <v>-112.00805560000001</v>
      </c>
      <c r="F6118" s="3">
        <f>VLOOKUP(B6118,airports!A:H,7,FALSE)</f>
        <v>43.564444440000003</v>
      </c>
      <c r="G6118" s="3">
        <f>VLOOKUP(B6118,airports!A:H,8,FALSE)</f>
        <v>-116.2227778</v>
      </c>
      <c r="H6118">
        <f t="shared" si="190"/>
        <v>1184.2</v>
      </c>
      <c r="I6118">
        <f t="shared" si="191"/>
        <v>735.9</v>
      </c>
    </row>
    <row r="6119" spans="1:9" ht="30" x14ac:dyDescent="0.25">
      <c r="A6119" s="5" t="s">
        <v>104</v>
      </c>
      <c r="B6119" s="5" t="s">
        <v>24</v>
      </c>
      <c r="C6119" s="5" t="s">
        <v>6599</v>
      </c>
      <c r="D6119" s="3">
        <f>VLOOKUP(A6119,airports!A:H,7,FALSE)</f>
        <v>33.434166670000003</v>
      </c>
      <c r="E6119" s="3">
        <f>VLOOKUP(A6119,airports!A:H,8,FALSE)</f>
        <v>-112.00805560000001</v>
      </c>
      <c r="F6119" s="3">
        <f>VLOOKUP(B6119,airports!A:H,7,FALSE)</f>
        <v>42.364347500000001</v>
      </c>
      <c r="G6119" s="3">
        <f>VLOOKUP(B6119,airports!A:H,8,FALSE)</f>
        <v>-71.005179170000005</v>
      </c>
      <c r="H6119">
        <f t="shared" si="190"/>
        <v>3693.5</v>
      </c>
      <c r="I6119">
        <f t="shared" si="191"/>
        <v>2295.1999999999998</v>
      </c>
    </row>
    <row r="6120" spans="1:9" ht="30" x14ac:dyDescent="0.25">
      <c r="A6120" s="5" t="s">
        <v>104</v>
      </c>
      <c r="B6120" s="5" t="s">
        <v>29</v>
      </c>
      <c r="C6120" s="5" t="s">
        <v>6600</v>
      </c>
      <c r="D6120" s="3">
        <f>VLOOKUP(A6120,airports!A:H,7,FALSE)</f>
        <v>33.434166670000003</v>
      </c>
      <c r="E6120" s="3">
        <f>VLOOKUP(A6120,airports!A:H,8,FALSE)</f>
        <v>-112.00805560000001</v>
      </c>
      <c r="F6120" s="3">
        <f>VLOOKUP(B6120,airports!A:H,7,FALSE)</f>
        <v>42.940524719999999</v>
      </c>
      <c r="G6120" s="3">
        <f>VLOOKUP(B6120,airports!A:H,8,FALSE)</f>
        <v>-78.732166669999998</v>
      </c>
      <c r="H6120">
        <f t="shared" si="190"/>
        <v>3070.4</v>
      </c>
      <c r="I6120">
        <f t="shared" si="191"/>
        <v>1908</v>
      </c>
    </row>
    <row r="6121" spans="1:9" ht="30" x14ac:dyDescent="0.25">
      <c r="A6121" s="5" t="s">
        <v>104</v>
      </c>
      <c r="B6121" s="5" t="s">
        <v>30</v>
      </c>
      <c r="C6121" s="5" t="s">
        <v>6601</v>
      </c>
      <c r="D6121" s="3">
        <f>VLOOKUP(A6121,airports!A:H,7,FALSE)</f>
        <v>33.434166670000003</v>
      </c>
      <c r="E6121" s="3">
        <f>VLOOKUP(A6121,airports!A:H,8,FALSE)</f>
        <v>-112.00805560000001</v>
      </c>
      <c r="F6121" s="3">
        <f>VLOOKUP(B6121,airports!A:H,7,FALSE)</f>
        <v>34.200619170000003</v>
      </c>
      <c r="G6121" s="3">
        <f>VLOOKUP(B6121,airports!A:H,8,FALSE)</f>
        <v>-118.35849690000001</v>
      </c>
      <c r="H6121">
        <f t="shared" si="190"/>
        <v>592.70000000000005</v>
      </c>
      <c r="I6121">
        <f t="shared" si="191"/>
        <v>368.3</v>
      </c>
    </row>
    <row r="6122" spans="1:9" ht="30" x14ac:dyDescent="0.25">
      <c r="A6122" s="5" t="s">
        <v>104</v>
      </c>
      <c r="B6122" s="5" t="s">
        <v>32</v>
      </c>
      <c r="C6122" s="5" t="s">
        <v>6602</v>
      </c>
      <c r="D6122" s="3">
        <f>VLOOKUP(A6122,airports!A:H,7,FALSE)</f>
        <v>33.434166670000003</v>
      </c>
      <c r="E6122" s="3">
        <f>VLOOKUP(A6122,airports!A:H,8,FALSE)</f>
        <v>-112.00805560000001</v>
      </c>
      <c r="F6122" s="3">
        <f>VLOOKUP(B6122,airports!A:H,7,FALSE)</f>
        <v>39.175401669999999</v>
      </c>
      <c r="G6122" s="3">
        <f>VLOOKUP(B6122,airports!A:H,8,FALSE)</f>
        <v>-76.668198329999996</v>
      </c>
      <c r="H6122">
        <f t="shared" si="190"/>
        <v>3209.4</v>
      </c>
      <c r="I6122">
        <f t="shared" si="191"/>
        <v>1994.4</v>
      </c>
    </row>
    <row r="6123" spans="1:9" ht="30" x14ac:dyDescent="0.25">
      <c r="A6123" s="5" t="s">
        <v>104</v>
      </c>
      <c r="B6123" s="5" t="s">
        <v>34</v>
      </c>
      <c r="C6123" s="5" t="s">
        <v>6603</v>
      </c>
      <c r="D6123" s="3">
        <f>VLOOKUP(A6123,airports!A:H,7,FALSE)</f>
        <v>33.434166670000003</v>
      </c>
      <c r="E6123" s="3">
        <f>VLOOKUP(A6123,airports!A:H,8,FALSE)</f>
        <v>-112.00805560000001</v>
      </c>
      <c r="F6123" s="3">
        <f>VLOOKUP(B6123,airports!A:H,7,FALSE)</f>
        <v>45.776901389999999</v>
      </c>
      <c r="G6123" s="3">
        <f>VLOOKUP(B6123,airports!A:H,8,FALSE)</f>
        <v>-111.1530072</v>
      </c>
      <c r="H6123">
        <f t="shared" si="190"/>
        <v>1374.4</v>
      </c>
      <c r="I6123">
        <f t="shared" si="191"/>
        <v>854.1</v>
      </c>
    </row>
    <row r="6124" spans="1:9" x14ac:dyDescent="0.25">
      <c r="A6124" s="5" t="s">
        <v>104</v>
      </c>
      <c r="B6124" s="5" t="s">
        <v>450</v>
      </c>
      <c r="C6124" s="5" t="s">
        <v>6604</v>
      </c>
      <c r="D6124" s="3">
        <f>VLOOKUP(A6124,airports!A:H,7,FALSE)</f>
        <v>33.434166670000003</v>
      </c>
      <c r="E6124" s="3">
        <f>VLOOKUP(A6124,airports!A:H,8,FALSE)</f>
        <v>-112.00805560000001</v>
      </c>
      <c r="F6124" s="3">
        <f>VLOOKUP(B6124,airports!A:H,7,FALSE)</f>
        <v>41.88458833</v>
      </c>
      <c r="G6124" s="3">
        <f>VLOOKUP(B6124,airports!A:H,8,FALSE)</f>
        <v>-91.710872219999999</v>
      </c>
      <c r="H6124">
        <f t="shared" si="190"/>
        <v>2011.6</v>
      </c>
      <c r="I6124">
        <f t="shared" si="191"/>
        <v>1250</v>
      </c>
    </row>
    <row r="6125" spans="1:9" x14ac:dyDescent="0.25">
      <c r="A6125" s="5" t="s">
        <v>104</v>
      </c>
      <c r="B6125" s="5" t="s">
        <v>38</v>
      </c>
      <c r="C6125" s="5" t="s">
        <v>6605</v>
      </c>
      <c r="D6125" s="3">
        <f>VLOOKUP(A6125,airports!A:H,7,FALSE)</f>
        <v>33.434166670000003</v>
      </c>
      <c r="E6125" s="3">
        <f>VLOOKUP(A6125,airports!A:H,8,FALSE)</f>
        <v>-112.00805560000001</v>
      </c>
      <c r="F6125" s="3">
        <f>VLOOKUP(B6125,airports!A:H,7,FALSE)</f>
        <v>41.410894169999999</v>
      </c>
      <c r="G6125" s="3">
        <f>VLOOKUP(B6125,airports!A:H,8,FALSE)</f>
        <v>-81.849396670000004</v>
      </c>
      <c r="H6125">
        <f t="shared" si="190"/>
        <v>2790.5</v>
      </c>
      <c r="I6125">
        <f t="shared" si="191"/>
        <v>1734</v>
      </c>
    </row>
    <row r="6126" spans="1:9" x14ac:dyDescent="0.25">
      <c r="A6126" s="5" t="s">
        <v>104</v>
      </c>
      <c r="B6126" s="5" t="s">
        <v>40</v>
      </c>
      <c r="C6126" s="5" t="s">
        <v>6606</v>
      </c>
      <c r="D6126" s="3">
        <f>VLOOKUP(A6126,airports!A:H,7,FALSE)</f>
        <v>33.434166670000003</v>
      </c>
      <c r="E6126" s="3">
        <f>VLOOKUP(A6126,airports!A:H,8,FALSE)</f>
        <v>-112.00805560000001</v>
      </c>
      <c r="F6126" s="3">
        <f>VLOOKUP(B6126,airports!A:H,7,FALSE)</f>
        <v>35.214011110000001</v>
      </c>
      <c r="G6126" s="3">
        <f>VLOOKUP(B6126,airports!A:H,8,FALSE)</f>
        <v>-80.94312583</v>
      </c>
      <c r="H6126">
        <f t="shared" si="190"/>
        <v>2848</v>
      </c>
      <c r="I6126">
        <f t="shared" si="191"/>
        <v>1769.8</v>
      </c>
    </row>
    <row r="6127" spans="1:9" ht="30" x14ac:dyDescent="0.25">
      <c r="A6127" s="5" t="s">
        <v>104</v>
      </c>
      <c r="B6127" s="5" t="s">
        <v>454</v>
      </c>
      <c r="C6127" s="5" t="s">
        <v>6607</v>
      </c>
      <c r="D6127" s="3">
        <f>VLOOKUP(A6127,airports!A:H,7,FALSE)</f>
        <v>33.434166670000003</v>
      </c>
      <c r="E6127" s="3">
        <f>VLOOKUP(A6127,airports!A:H,8,FALSE)</f>
        <v>-112.00805560000001</v>
      </c>
      <c r="F6127" s="3">
        <f>VLOOKUP(B6127,airports!A:H,7,FALSE)</f>
        <v>39.997985280000002</v>
      </c>
      <c r="G6127" s="3">
        <f>VLOOKUP(B6127,airports!A:H,8,FALSE)</f>
        <v>-82.891882780000003</v>
      </c>
      <c r="H6127">
        <f t="shared" si="190"/>
        <v>2682.5</v>
      </c>
      <c r="I6127">
        <f t="shared" si="191"/>
        <v>1666.9</v>
      </c>
    </row>
    <row r="6128" spans="1:9" ht="30" x14ac:dyDescent="0.25">
      <c r="A6128" s="5" t="s">
        <v>104</v>
      </c>
      <c r="B6128" s="5" t="s">
        <v>456</v>
      </c>
      <c r="C6128" s="5" t="s">
        <v>6608</v>
      </c>
      <c r="D6128" s="3">
        <f>VLOOKUP(A6128,airports!A:H,7,FALSE)</f>
        <v>33.434166670000003</v>
      </c>
      <c r="E6128" s="3">
        <f>VLOOKUP(A6128,airports!A:H,8,FALSE)</f>
        <v>-112.00805560000001</v>
      </c>
      <c r="F6128" s="3">
        <f>VLOOKUP(B6128,airports!A:H,7,FALSE)</f>
        <v>38.805805560000003</v>
      </c>
      <c r="G6128" s="3">
        <f>VLOOKUP(B6128,airports!A:H,8,FALSE)</f>
        <v>-104.70025</v>
      </c>
      <c r="H6128">
        <f t="shared" si="190"/>
        <v>886.9</v>
      </c>
      <c r="I6128">
        <f t="shared" si="191"/>
        <v>551.1</v>
      </c>
    </row>
    <row r="6129" spans="1:9" ht="30" x14ac:dyDescent="0.25">
      <c r="A6129" s="5" t="s">
        <v>104</v>
      </c>
      <c r="B6129" s="5" t="s">
        <v>462</v>
      </c>
      <c r="C6129" s="5" t="s">
        <v>6609</v>
      </c>
      <c r="D6129" s="3">
        <f>VLOOKUP(A6129,airports!A:H,7,FALSE)</f>
        <v>33.434166670000003</v>
      </c>
      <c r="E6129" s="3">
        <f>VLOOKUP(A6129,airports!A:H,8,FALSE)</f>
        <v>-112.00805560000001</v>
      </c>
      <c r="F6129" s="3">
        <f>VLOOKUP(B6129,airports!A:H,7,FALSE)</f>
        <v>39.046142779999997</v>
      </c>
      <c r="G6129" s="3">
        <f>VLOOKUP(B6129,airports!A:H,8,FALSE)</f>
        <v>-84.662172499999997</v>
      </c>
      <c r="H6129">
        <f t="shared" si="190"/>
        <v>2520.1</v>
      </c>
      <c r="I6129">
        <f t="shared" si="191"/>
        <v>1566</v>
      </c>
    </row>
    <row r="6130" spans="1:9" ht="30" x14ac:dyDescent="0.25">
      <c r="A6130" s="5" t="s">
        <v>104</v>
      </c>
      <c r="B6130" s="5" t="s">
        <v>201</v>
      </c>
      <c r="C6130" s="5" t="s">
        <v>6610</v>
      </c>
      <c r="D6130" s="3">
        <f>VLOOKUP(A6130,airports!A:H,7,FALSE)</f>
        <v>33.434166670000003</v>
      </c>
      <c r="E6130" s="3">
        <f>VLOOKUP(A6130,airports!A:H,8,FALSE)</f>
        <v>-112.00805560000001</v>
      </c>
      <c r="F6130" s="3">
        <f>VLOOKUP(B6130,airports!A:H,7,FALSE)</f>
        <v>32.847113890000003</v>
      </c>
      <c r="G6130" s="3">
        <f>VLOOKUP(B6130,airports!A:H,8,FALSE)</f>
        <v>-96.851772220000001</v>
      </c>
      <c r="H6130">
        <f t="shared" si="190"/>
        <v>1411.4</v>
      </c>
      <c r="I6130">
        <f t="shared" si="191"/>
        <v>877.1</v>
      </c>
    </row>
    <row r="6131" spans="1:9" ht="30" x14ac:dyDescent="0.25">
      <c r="A6131" s="5" t="s">
        <v>104</v>
      </c>
      <c r="B6131" s="5" t="s">
        <v>45</v>
      </c>
      <c r="C6131" s="5" t="s">
        <v>6611</v>
      </c>
      <c r="D6131" s="3">
        <f>VLOOKUP(A6131,airports!A:H,7,FALSE)</f>
        <v>33.434166670000003</v>
      </c>
      <c r="E6131" s="3">
        <f>VLOOKUP(A6131,airports!A:H,8,FALSE)</f>
        <v>-112.00805560000001</v>
      </c>
      <c r="F6131" s="3">
        <f>VLOOKUP(B6131,airports!A:H,7,FALSE)</f>
        <v>38.852083329999999</v>
      </c>
      <c r="G6131" s="3">
        <f>VLOOKUP(B6131,airports!A:H,8,FALSE)</f>
        <v>-77.037722220000006</v>
      </c>
      <c r="H6131">
        <f t="shared" si="190"/>
        <v>3177.4</v>
      </c>
      <c r="I6131">
        <f t="shared" si="191"/>
        <v>1974.5</v>
      </c>
    </row>
    <row r="6132" spans="1:9" ht="30" x14ac:dyDescent="0.25">
      <c r="A6132" s="5" t="s">
        <v>104</v>
      </c>
      <c r="B6132" s="5" t="s">
        <v>47</v>
      </c>
      <c r="C6132" s="5" t="s">
        <v>6612</v>
      </c>
      <c r="D6132" s="3">
        <f>VLOOKUP(A6132,airports!A:H,7,FALSE)</f>
        <v>33.434166670000003</v>
      </c>
      <c r="E6132" s="3">
        <f>VLOOKUP(A6132,airports!A:H,8,FALSE)</f>
        <v>-112.00805560000001</v>
      </c>
      <c r="F6132" s="3">
        <f>VLOOKUP(B6132,airports!A:H,7,FALSE)</f>
        <v>39.858408060000002</v>
      </c>
      <c r="G6132" s="3">
        <f>VLOOKUP(B6132,airports!A:H,8,FALSE)</f>
        <v>-104.6670019</v>
      </c>
      <c r="H6132">
        <f t="shared" si="190"/>
        <v>968.4</v>
      </c>
      <c r="I6132">
        <f t="shared" si="191"/>
        <v>601.79999999999995</v>
      </c>
    </row>
    <row r="6133" spans="1:9" ht="30" x14ac:dyDescent="0.25">
      <c r="A6133" s="5" t="s">
        <v>104</v>
      </c>
      <c r="B6133" s="5" t="s">
        <v>49</v>
      </c>
      <c r="C6133" s="5" t="s">
        <v>6613</v>
      </c>
      <c r="D6133" s="3">
        <f>VLOOKUP(A6133,airports!A:H,7,FALSE)</f>
        <v>33.434166670000003</v>
      </c>
      <c r="E6133" s="3">
        <f>VLOOKUP(A6133,airports!A:H,8,FALSE)</f>
        <v>-112.00805560000001</v>
      </c>
      <c r="F6133" s="3">
        <f>VLOOKUP(B6133,airports!A:H,7,FALSE)</f>
        <v>32.895950560000003</v>
      </c>
      <c r="G6133" s="3">
        <f>VLOOKUP(B6133,airports!A:H,8,FALSE)</f>
        <v>-97.037199999999999</v>
      </c>
      <c r="H6133">
        <f t="shared" si="190"/>
        <v>1393.6</v>
      </c>
      <c r="I6133">
        <f t="shared" si="191"/>
        <v>866</v>
      </c>
    </row>
    <row r="6134" spans="1:9" ht="30" x14ac:dyDescent="0.25">
      <c r="A6134" s="5" t="s">
        <v>104</v>
      </c>
      <c r="B6134" s="5" t="s">
        <v>2350</v>
      </c>
      <c r="C6134" s="5" t="s">
        <v>6614</v>
      </c>
      <c r="D6134" s="3">
        <f>VLOOKUP(A6134,airports!A:H,7,FALSE)</f>
        <v>33.434166670000003</v>
      </c>
      <c r="E6134" s="3">
        <f>VLOOKUP(A6134,airports!A:H,8,FALSE)</f>
        <v>-112.00805560000001</v>
      </c>
      <c r="F6134" s="3">
        <f>VLOOKUP(B6134,airports!A:H,7,FALSE)</f>
        <v>37.151516669999999</v>
      </c>
      <c r="G6134" s="3">
        <f>VLOOKUP(B6134,airports!A:H,8,FALSE)</f>
        <v>-107.75376919999999</v>
      </c>
      <c r="H6134">
        <f t="shared" si="190"/>
        <v>565.5</v>
      </c>
      <c r="I6134">
        <f t="shared" si="191"/>
        <v>351.4</v>
      </c>
    </row>
    <row r="6135" spans="1:9" ht="30" x14ac:dyDescent="0.25">
      <c r="A6135" s="5" t="s">
        <v>104</v>
      </c>
      <c r="B6135" s="5" t="s">
        <v>474</v>
      </c>
      <c r="C6135" s="5" t="s">
        <v>6615</v>
      </c>
      <c r="D6135" s="3">
        <f>VLOOKUP(A6135,airports!A:H,7,FALSE)</f>
        <v>33.434166670000003</v>
      </c>
      <c r="E6135" s="3">
        <f>VLOOKUP(A6135,airports!A:H,8,FALSE)</f>
        <v>-112.00805560000001</v>
      </c>
      <c r="F6135" s="3">
        <f>VLOOKUP(B6135,airports!A:H,7,FALSE)</f>
        <v>41.53493306</v>
      </c>
      <c r="G6135" s="3">
        <f>VLOOKUP(B6135,airports!A:H,8,FALSE)</f>
        <v>-93.660682219999998</v>
      </c>
      <c r="H6135">
        <f t="shared" si="190"/>
        <v>1847.1</v>
      </c>
      <c r="I6135">
        <f t="shared" si="191"/>
        <v>1147.8</v>
      </c>
    </row>
    <row r="6136" spans="1:9" ht="30" x14ac:dyDescent="0.25">
      <c r="A6136" s="5" t="s">
        <v>104</v>
      </c>
      <c r="B6136" s="5" t="s">
        <v>50</v>
      </c>
      <c r="C6136" s="5" t="s">
        <v>6616</v>
      </c>
      <c r="D6136" s="3">
        <f>VLOOKUP(A6136,airports!A:H,7,FALSE)</f>
        <v>33.434166670000003</v>
      </c>
      <c r="E6136" s="3">
        <f>VLOOKUP(A6136,airports!A:H,8,FALSE)</f>
        <v>-112.00805560000001</v>
      </c>
      <c r="F6136" s="3">
        <f>VLOOKUP(B6136,airports!A:H,7,FALSE)</f>
        <v>42.212058890000002</v>
      </c>
      <c r="G6136" s="3">
        <f>VLOOKUP(B6136,airports!A:H,8,FALSE)</f>
        <v>-83.348835829999999</v>
      </c>
      <c r="H6136">
        <f t="shared" si="190"/>
        <v>2684</v>
      </c>
      <c r="I6136">
        <f t="shared" si="191"/>
        <v>1667.9</v>
      </c>
    </row>
    <row r="6137" spans="1:9" ht="30" x14ac:dyDescent="0.25">
      <c r="A6137" s="5" t="s">
        <v>104</v>
      </c>
      <c r="B6137" s="5" t="s">
        <v>479</v>
      </c>
      <c r="C6137" s="5" t="s">
        <v>6617</v>
      </c>
      <c r="D6137" s="3">
        <f>VLOOKUP(A6137,airports!A:H,7,FALSE)</f>
        <v>33.434166670000003</v>
      </c>
      <c r="E6137" s="3">
        <f>VLOOKUP(A6137,airports!A:H,8,FALSE)</f>
        <v>-112.00805560000001</v>
      </c>
      <c r="F6137" s="3">
        <f>VLOOKUP(B6137,airports!A:H,7,FALSE)</f>
        <v>39.64256778</v>
      </c>
      <c r="G6137" s="3">
        <f>VLOOKUP(B6137,airports!A:H,8,FALSE)</f>
        <v>-106.91769530000001</v>
      </c>
      <c r="H6137">
        <f t="shared" si="190"/>
        <v>826.3</v>
      </c>
      <c r="I6137">
        <f t="shared" si="191"/>
        <v>513.5</v>
      </c>
    </row>
    <row r="6138" spans="1:9" x14ac:dyDescent="0.25">
      <c r="A6138" s="5" t="s">
        <v>104</v>
      </c>
      <c r="B6138" s="5" t="s">
        <v>483</v>
      </c>
      <c r="C6138" s="5" t="s">
        <v>6618</v>
      </c>
      <c r="D6138" s="3">
        <f>VLOOKUP(A6138,airports!A:H,7,FALSE)</f>
        <v>33.434166670000003</v>
      </c>
      <c r="E6138" s="3">
        <f>VLOOKUP(A6138,airports!A:H,8,FALSE)</f>
        <v>-112.00805560000001</v>
      </c>
      <c r="F6138" s="3">
        <f>VLOOKUP(B6138,airports!A:H,7,FALSE)</f>
        <v>31.806666669999998</v>
      </c>
      <c r="G6138" s="3">
        <f>VLOOKUP(B6138,airports!A:H,8,FALSE)</f>
        <v>-106.3778056</v>
      </c>
      <c r="H6138">
        <f t="shared" si="190"/>
        <v>557.4</v>
      </c>
      <c r="I6138">
        <f t="shared" si="191"/>
        <v>346.4</v>
      </c>
    </row>
    <row r="6139" spans="1:9" ht="30" x14ac:dyDescent="0.25">
      <c r="A6139" s="5" t="s">
        <v>104</v>
      </c>
      <c r="B6139" s="5" t="s">
        <v>848</v>
      </c>
      <c r="C6139" s="5" t="s">
        <v>6619</v>
      </c>
      <c r="D6139" s="3">
        <f>VLOOKUP(A6139,airports!A:H,7,FALSE)</f>
        <v>33.434166670000003</v>
      </c>
      <c r="E6139" s="3">
        <f>VLOOKUP(A6139,airports!A:H,8,FALSE)</f>
        <v>-112.00805560000001</v>
      </c>
      <c r="F6139" s="3">
        <f>VLOOKUP(B6139,airports!A:H,7,FALSE)</f>
        <v>44.123260000000002</v>
      </c>
      <c r="G6139" s="3">
        <f>VLOOKUP(B6139,airports!A:H,8,FALSE)</f>
        <v>-123.2186856</v>
      </c>
      <c r="H6139">
        <f t="shared" si="190"/>
        <v>1532.3</v>
      </c>
      <c r="I6139">
        <f t="shared" si="191"/>
        <v>952.2</v>
      </c>
    </row>
    <row r="6140" spans="1:9" ht="30" x14ac:dyDescent="0.25">
      <c r="A6140" s="5" t="s">
        <v>104</v>
      </c>
      <c r="B6140" s="5" t="s">
        <v>52</v>
      </c>
      <c r="C6140" s="5" t="s">
        <v>6620</v>
      </c>
      <c r="D6140" s="3">
        <f>VLOOKUP(A6140,airports!A:H,7,FALSE)</f>
        <v>33.434166670000003</v>
      </c>
      <c r="E6140" s="3">
        <f>VLOOKUP(A6140,airports!A:H,8,FALSE)</f>
        <v>-112.00805560000001</v>
      </c>
      <c r="F6140" s="3">
        <f>VLOOKUP(B6140,airports!A:H,7,FALSE)</f>
        <v>40.69249722</v>
      </c>
      <c r="G6140" s="3">
        <f>VLOOKUP(B6140,airports!A:H,8,FALSE)</f>
        <v>-74.168660560000006</v>
      </c>
      <c r="H6140">
        <f t="shared" si="190"/>
        <v>3425</v>
      </c>
      <c r="I6140">
        <f t="shared" si="191"/>
        <v>2128.4</v>
      </c>
    </row>
    <row r="6141" spans="1:9" ht="30" x14ac:dyDescent="0.25">
      <c r="A6141" s="5" t="s">
        <v>104</v>
      </c>
      <c r="B6141" s="5" t="s">
        <v>491</v>
      </c>
      <c r="C6141" s="5" t="s">
        <v>6621</v>
      </c>
      <c r="D6141" s="3">
        <f>VLOOKUP(A6141,airports!A:H,7,FALSE)</f>
        <v>33.434166670000003</v>
      </c>
      <c r="E6141" s="3">
        <f>VLOOKUP(A6141,airports!A:H,8,FALSE)</f>
        <v>-112.00805560000001</v>
      </c>
      <c r="F6141" s="3">
        <f>VLOOKUP(B6141,airports!A:H,7,FALSE)</f>
        <v>46.919348890000002</v>
      </c>
      <c r="G6141" s="3">
        <f>VLOOKUP(B6141,airports!A:H,8,FALSE)</f>
        <v>-96.814988889999995</v>
      </c>
      <c r="H6141">
        <f t="shared" si="190"/>
        <v>1971.4</v>
      </c>
      <c r="I6141">
        <f t="shared" si="191"/>
        <v>1225</v>
      </c>
    </row>
    <row r="6142" spans="1:9" ht="30" x14ac:dyDescent="0.25">
      <c r="A6142" s="5" t="s">
        <v>104</v>
      </c>
      <c r="B6142" s="5" t="s">
        <v>2365</v>
      </c>
      <c r="C6142" s="5" t="s">
        <v>6622</v>
      </c>
      <c r="D6142" s="3">
        <f>VLOOKUP(A6142,airports!A:H,7,FALSE)</f>
        <v>33.434166670000003</v>
      </c>
      <c r="E6142" s="3">
        <f>VLOOKUP(A6142,airports!A:H,8,FALSE)</f>
        <v>-112.00805560000001</v>
      </c>
      <c r="F6142" s="3">
        <f>VLOOKUP(B6142,airports!A:H,7,FALSE)</f>
        <v>36.776194439999998</v>
      </c>
      <c r="G6142" s="3">
        <f>VLOOKUP(B6142,airports!A:H,8,FALSE)</f>
        <v>-119.7181389</v>
      </c>
      <c r="H6142">
        <f t="shared" si="190"/>
        <v>793.4</v>
      </c>
      <c r="I6142">
        <f t="shared" si="191"/>
        <v>493</v>
      </c>
    </row>
    <row r="6143" spans="1:9" ht="30" x14ac:dyDescent="0.25">
      <c r="A6143" s="5" t="s">
        <v>104</v>
      </c>
      <c r="B6143" s="5" t="s">
        <v>2368</v>
      </c>
      <c r="C6143" s="5" t="s">
        <v>6623</v>
      </c>
      <c r="D6143" s="3">
        <f>VLOOKUP(A6143,airports!A:H,7,FALSE)</f>
        <v>33.434166670000003</v>
      </c>
      <c r="E6143" s="3">
        <f>VLOOKUP(A6143,airports!A:H,8,FALSE)</f>
        <v>-112.00805560000001</v>
      </c>
      <c r="F6143" s="3">
        <f>VLOOKUP(B6143,airports!A:H,7,FALSE)</f>
        <v>35.138454719999999</v>
      </c>
      <c r="G6143" s="3">
        <f>VLOOKUP(B6143,airports!A:H,8,FALSE)</f>
        <v>-111.67121830000001</v>
      </c>
      <c r="H6143">
        <f t="shared" si="190"/>
        <v>192</v>
      </c>
      <c r="I6143">
        <f t="shared" si="191"/>
        <v>119.3</v>
      </c>
    </row>
    <row r="6144" spans="1:9" x14ac:dyDescent="0.25">
      <c r="A6144" s="5" t="s">
        <v>104</v>
      </c>
      <c r="B6144" s="5" t="s">
        <v>57</v>
      </c>
      <c r="C6144" s="5" t="s">
        <v>6624</v>
      </c>
      <c r="D6144" s="3">
        <f>VLOOKUP(A6144,airports!A:H,7,FALSE)</f>
        <v>33.434166670000003</v>
      </c>
      <c r="E6144" s="3">
        <f>VLOOKUP(A6144,airports!A:H,8,FALSE)</f>
        <v>-112.00805560000001</v>
      </c>
      <c r="F6144" s="3">
        <f>VLOOKUP(B6144,airports!A:H,7,FALSE)</f>
        <v>26.072583330000001</v>
      </c>
      <c r="G6144" s="3">
        <f>VLOOKUP(B6144,airports!A:H,8,FALSE)</f>
        <v>-80.152749999999997</v>
      </c>
      <c r="H6144">
        <f t="shared" si="190"/>
        <v>3168.5</v>
      </c>
      <c r="I6144">
        <f t="shared" si="191"/>
        <v>1969</v>
      </c>
    </row>
    <row r="6145" spans="1:9" ht="30" x14ac:dyDescent="0.25">
      <c r="A6145" s="5" t="s">
        <v>104</v>
      </c>
      <c r="B6145" s="5" t="s">
        <v>499</v>
      </c>
      <c r="C6145" s="5" t="s">
        <v>6625</v>
      </c>
      <c r="D6145" s="3">
        <f>VLOOKUP(A6145,airports!A:H,7,FALSE)</f>
        <v>33.434166670000003</v>
      </c>
      <c r="E6145" s="3">
        <f>VLOOKUP(A6145,airports!A:H,8,FALSE)</f>
        <v>-112.00805560000001</v>
      </c>
      <c r="F6145" s="3">
        <f>VLOOKUP(B6145,airports!A:H,7,FALSE)</f>
        <v>43.58135111</v>
      </c>
      <c r="G6145" s="3">
        <f>VLOOKUP(B6145,airports!A:H,8,FALSE)</f>
        <v>-96.741700280000003</v>
      </c>
      <c r="H6145">
        <f t="shared" si="190"/>
        <v>1737.9</v>
      </c>
      <c r="I6145">
        <f t="shared" si="191"/>
        <v>1079.9000000000001</v>
      </c>
    </row>
    <row r="6146" spans="1:9" ht="30" x14ac:dyDescent="0.25">
      <c r="A6146" s="5" t="s">
        <v>104</v>
      </c>
      <c r="B6146" s="5" t="s">
        <v>505</v>
      </c>
      <c r="C6146" s="5" t="s">
        <v>6626</v>
      </c>
      <c r="D6146" s="3">
        <f>VLOOKUP(A6146,airports!A:H,7,FALSE)</f>
        <v>33.434166670000003</v>
      </c>
      <c r="E6146" s="3">
        <f>VLOOKUP(A6146,airports!A:H,8,FALSE)</f>
        <v>-112.00805560000001</v>
      </c>
      <c r="F6146" s="3">
        <f>VLOOKUP(B6146,airports!A:H,7,FALSE)</f>
        <v>47.619855559999998</v>
      </c>
      <c r="G6146" s="3">
        <f>VLOOKUP(B6146,airports!A:H,8,FALSE)</f>
        <v>-117.53384250000001</v>
      </c>
      <c r="H6146">
        <f t="shared" si="190"/>
        <v>1644</v>
      </c>
      <c r="I6146">
        <f t="shared" si="191"/>
        <v>1021.6</v>
      </c>
    </row>
    <row r="6147" spans="1:9" x14ac:dyDescent="0.25">
      <c r="A6147" s="5" t="s">
        <v>104</v>
      </c>
      <c r="B6147" s="5" t="s">
        <v>858</v>
      </c>
      <c r="C6147" s="5" t="s">
        <v>6627</v>
      </c>
      <c r="D6147" s="3">
        <f>VLOOKUP(A6147,airports!A:H,7,FALSE)</f>
        <v>33.434166670000003</v>
      </c>
      <c r="E6147" s="3">
        <f>VLOOKUP(A6147,airports!A:H,8,FALSE)</f>
        <v>-112.00805560000001</v>
      </c>
      <c r="F6147" s="3">
        <f>VLOOKUP(B6147,airports!A:H,7,FALSE)</f>
        <v>39.122412500000003</v>
      </c>
      <c r="G6147" s="3">
        <f>VLOOKUP(B6147,airports!A:H,8,FALSE)</f>
        <v>-108.52673470000001</v>
      </c>
      <c r="H6147">
        <f t="shared" si="190"/>
        <v>705.1</v>
      </c>
      <c r="I6147">
        <f t="shared" si="191"/>
        <v>438.2</v>
      </c>
    </row>
    <row r="6148" spans="1:9" ht="30" x14ac:dyDescent="0.25">
      <c r="A6148" s="5" t="s">
        <v>104</v>
      </c>
      <c r="B6148" s="5" t="s">
        <v>515</v>
      </c>
      <c r="C6148" s="5" t="s">
        <v>6628</v>
      </c>
      <c r="D6148" s="3">
        <f>VLOOKUP(A6148,airports!A:H,7,FALSE)</f>
        <v>33.434166670000003</v>
      </c>
      <c r="E6148" s="3">
        <f>VLOOKUP(A6148,airports!A:H,8,FALSE)</f>
        <v>-112.00805560000001</v>
      </c>
      <c r="F6148" s="3">
        <f>VLOOKUP(B6148,airports!A:H,7,FALSE)</f>
        <v>42.880819719999998</v>
      </c>
      <c r="G6148" s="3">
        <f>VLOOKUP(B6148,airports!A:H,8,FALSE)</f>
        <v>-85.522767779999995</v>
      </c>
      <c r="H6148">
        <f t="shared" ref="H6148:H6211" si="192">ROUND(ACOS(COS(RADIANS(90-D6148)) * COS(RADIANS(90-F6148)) + SIN(RADIANS(90-D6148)) * SIN(RADIANS(90-F6148)) * COS(RADIANS(E6148-G6148))) * 6371,1)</f>
        <v>2528.6999999999998</v>
      </c>
      <c r="I6148">
        <f t="shared" ref="I6148:I6211" si="193">ROUND(ACOS(COS(RADIANS(90-D6148)) * COS(RADIANS(90-F6148)) + SIN(RADIANS(90-D6148)) * SIN(RADIANS(90-F6148)) * COS(RADIANS(E6148-G6148))) * 3959,1)</f>
        <v>1571.4</v>
      </c>
    </row>
    <row r="6149" spans="1:9" ht="30" x14ac:dyDescent="0.25">
      <c r="A6149" s="5" t="s">
        <v>104</v>
      </c>
      <c r="B6149" s="5" t="s">
        <v>360</v>
      </c>
      <c r="C6149" s="5" t="s">
        <v>6629</v>
      </c>
      <c r="D6149" s="3">
        <f>VLOOKUP(A6149,airports!A:H,7,FALSE)</f>
        <v>33.434166670000003</v>
      </c>
      <c r="E6149" s="3">
        <f>VLOOKUP(A6149,airports!A:H,8,FALSE)</f>
        <v>-112.00805560000001</v>
      </c>
      <c r="F6149" s="3">
        <f>VLOOKUP(B6149,airports!A:H,7,FALSE)</f>
        <v>21.31869111</v>
      </c>
      <c r="G6149" s="3">
        <f>VLOOKUP(B6149,airports!A:H,8,FALSE)</f>
        <v>-157.92240720000001</v>
      </c>
      <c r="H6149">
        <f t="shared" si="192"/>
        <v>4688.8</v>
      </c>
      <c r="I6149">
        <f t="shared" si="193"/>
        <v>2913.7</v>
      </c>
    </row>
    <row r="6150" spans="1:9" ht="30" x14ac:dyDescent="0.25">
      <c r="A6150" s="5" t="s">
        <v>104</v>
      </c>
      <c r="B6150" s="5" t="s">
        <v>205</v>
      </c>
      <c r="C6150" s="5" t="s">
        <v>6630</v>
      </c>
      <c r="D6150" s="3">
        <f>VLOOKUP(A6150,airports!A:H,7,FALSE)</f>
        <v>33.434166670000003</v>
      </c>
      <c r="E6150" s="3">
        <f>VLOOKUP(A6150,airports!A:H,8,FALSE)</f>
        <v>-112.00805560000001</v>
      </c>
      <c r="F6150" s="3">
        <f>VLOOKUP(B6150,airports!A:H,7,FALSE)</f>
        <v>29.64541861</v>
      </c>
      <c r="G6150" s="3">
        <f>VLOOKUP(B6150,airports!A:H,8,FALSE)</f>
        <v>-95.278888890000005</v>
      </c>
      <c r="H6150">
        <f t="shared" si="192"/>
        <v>1638.3</v>
      </c>
      <c r="I6150">
        <f t="shared" si="193"/>
        <v>1018.1</v>
      </c>
    </row>
    <row r="6151" spans="1:9" ht="30" x14ac:dyDescent="0.25">
      <c r="A6151" s="5" t="s">
        <v>104</v>
      </c>
      <c r="B6151" s="5" t="s">
        <v>176</v>
      </c>
      <c r="C6151" s="5" t="s">
        <v>6631</v>
      </c>
      <c r="D6151" s="3">
        <f>VLOOKUP(A6151,airports!A:H,7,FALSE)</f>
        <v>33.434166670000003</v>
      </c>
      <c r="E6151" s="3">
        <f>VLOOKUP(A6151,airports!A:H,8,FALSE)</f>
        <v>-112.00805560000001</v>
      </c>
      <c r="F6151" s="3">
        <f>VLOOKUP(B6151,airports!A:H,7,FALSE)</f>
        <v>38.944531939999997</v>
      </c>
      <c r="G6151" s="3">
        <f>VLOOKUP(B6151,airports!A:H,8,FALSE)</f>
        <v>-77.455809720000005</v>
      </c>
      <c r="H6151">
        <f t="shared" si="192"/>
        <v>3141.2</v>
      </c>
      <c r="I6151">
        <f t="shared" si="193"/>
        <v>1952</v>
      </c>
    </row>
    <row r="6152" spans="1:9" ht="30" x14ac:dyDescent="0.25">
      <c r="A6152" s="5" t="s">
        <v>104</v>
      </c>
      <c r="B6152" s="5" t="s">
        <v>67</v>
      </c>
      <c r="C6152" s="5" t="s">
        <v>6632</v>
      </c>
      <c r="D6152" s="3">
        <f>VLOOKUP(A6152,airports!A:H,7,FALSE)</f>
        <v>33.434166670000003</v>
      </c>
      <c r="E6152" s="3">
        <f>VLOOKUP(A6152,airports!A:H,8,FALSE)</f>
        <v>-112.00805560000001</v>
      </c>
      <c r="F6152" s="3">
        <f>VLOOKUP(B6152,airports!A:H,7,FALSE)</f>
        <v>29.980472219999999</v>
      </c>
      <c r="G6152" s="3">
        <f>VLOOKUP(B6152,airports!A:H,8,FALSE)</f>
        <v>-95.339722219999999</v>
      </c>
      <c r="H6152">
        <f t="shared" si="192"/>
        <v>1620.9</v>
      </c>
      <c r="I6152">
        <f t="shared" si="193"/>
        <v>1007.2</v>
      </c>
    </row>
    <row r="6153" spans="1:9" x14ac:dyDescent="0.25">
      <c r="A6153" s="5" t="s">
        <v>104</v>
      </c>
      <c r="B6153" s="5" t="s">
        <v>533</v>
      </c>
      <c r="C6153" s="5" t="s">
        <v>6633</v>
      </c>
      <c r="D6153" s="3">
        <f>VLOOKUP(A6153,airports!A:H,7,FALSE)</f>
        <v>33.434166670000003</v>
      </c>
      <c r="E6153" s="3">
        <f>VLOOKUP(A6153,airports!A:H,8,FALSE)</f>
        <v>-112.00805560000001</v>
      </c>
      <c r="F6153" s="3">
        <f>VLOOKUP(B6153,airports!A:H,7,FALSE)</f>
        <v>37.649958890000001</v>
      </c>
      <c r="G6153" s="3">
        <f>VLOOKUP(B6153,airports!A:H,8,FALSE)</f>
        <v>-97.433045829999998</v>
      </c>
      <c r="H6153">
        <f t="shared" si="192"/>
        <v>1397.7</v>
      </c>
      <c r="I6153">
        <f t="shared" si="193"/>
        <v>868.6</v>
      </c>
    </row>
    <row r="6154" spans="1:9" ht="30" x14ac:dyDescent="0.25">
      <c r="A6154" s="5" t="s">
        <v>104</v>
      </c>
      <c r="B6154" s="5" t="s">
        <v>867</v>
      </c>
      <c r="C6154" s="5" t="s">
        <v>6634</v>
      </c>
      <c r="D6154" s="3">
        <f>VLOOKUP(A6154,airports!A:H,7,FALSE)</f>
        <v>33.434166670000003</v>
      </c>
      <c r="E6154" s="3">
        <f>VLOOKUP(A6154,airports!A:H,8,FALSE)</f>
        <v>-112.00805560000001</v>
      </c>
      <c r="F6154" s="3">
        <f>VLOOKUP(B6154,airports!A:H,7,FALSE)</f>
        <v>43.514555559999998</v>
      </c>
      <c r="G6154" s="3">
        <f>VLOOKUP(B6154,airports!A:H,8,FALSE)</f>
        <v>-112.0701667</v>
      </c>
      <c r="H6154">
        <f t="shared" si="192"/>
        <v>1120.9000000000001</v>
      </c>
      <c r="I6154">
        <f t="shared" si="193"/>
        <v>696.5</v>
      </c>
    </row>
    <row r="6155" spans="1:9" x14ac:dyDescent="0.25">
      <c r="A6155" s="5" t="s">
        <v>104</v>
      </c>
      <c r="B6155" s="5" t="s">
        <v>4108</v>
      </c>
      <c r="C6155" s="5" t="s">
        <v>6635</v>
      </c>
      <c r="D6155" s="3">
        <f>VLOOKUP(A6155,airports!A:H,7,FALSE)</f>
        <v>33.434166670000003</v>
      </c>
      <c r="E6155" s="3">
        <f>VLOOKUP(A6155,airports!A:H,8,FALSE)</f>
        <v>-112.00805560000001</v>
      </c>
      <c r="F6155" s="3">
        <f>VLOOKUP(B6155,airports!A:H,7,FALSE)</f>
        <v>35.157398000000001</v>
      </c>
      <c r="G6155" s="3">
        <f>VLOOKUP(B6155,airports!A:H,8,FALSE)</f>
        <v>-114.55999799999999</v>
      </c>
      <c r="H6155">
        <f t="shared" si="192"/>
        <v>302.8</v>
      </c>
      <c r="I6155">
        <f t="shared" si="193"/>
        <v>188.1</v>
      </c>
    </row>
    <row r="6156" spans="1:9" ht="30" x14ac:dyDescent="0.25">
      <c r="A6156" s="5" t="s">
        <v>104</v>
      </c>
      <c r="B6156" s="5" t="s">
        <v>537</v>
      </c>
      <c r="C6156" s="5" t="s">
        <v>6636</v>
      </c>
      <c r="D6156" s="3">
        <f>VLOOKUP(A6156,airports!A:H,7,FALSE)</f>
        <v>33.434166670000003</v>
      </c>
      <c r="E6156" s="3">
        <f>VLOOKUP(A6156,airports!A:H,8,FALSE)</f>
        <v>-112.00805560000001</v>
      </c>
      <c r="F6156" s="3">
        <f>VLOOKUP(B6156,airports!A:H,7,FALSE)</f>
        <v>39.717329169999999</v>
      </c>
      <c r="G6156" s="3">
        <f>VLOOKUP(B6156,airports!A:H,8,FALSE)</f>
        <v>-86.294384170000001</v>
      </c>
      <c r="H6156">
        <f t="shared" si="192"/>
        <v>2390.5</v>
      </c>
      <c r="I6156">
        <f t="shared" si="193"/>
        <v>1485.5</v>
      </c>
    </row>
    <row r="6157" spans="1:9" ht="30" x14ac:dyDescent="0.25">
      <c r="A6157" s="5" t="s">
        <v>104</v>
      </c>
      <c r="B6157" s="5" t="s">
        <v>541</v>
      </c>
      <c r="C6157" s="5" t="s">
        <v>6637</v>
      </c>
      <c r="D6157" s="3">
        <f>VLOOKUP(A6157,airports!A:H,7,FALSE)</f>
        <v>33.434166670000003</v>
      </c>
      <c r="E6157" s="3">
        <f>VLOOKUP(A6157,airports!A:H,8,FALSE)</f>
        <v>-112.00805560000001</v>
      </c>
      <c r="F6157" s="3">
        <f>VLOOKUP(B6157,airports!A:H,7,FALSE)</f>
        <v>43.607324169999998</v>
      </c>
      <c r="G6157" s="3">
        <f>VLOOKUP(B6157,airports!A:H,8,FALSE)</f>
        <v>-110.7377389</v>
      </c>
      <c r="H6157">
        <f t="shared" si="192"/>
        <v>1136.5</v>
      </c>
      <c r="I6157">
        <f t="shared" si="193"/>
        <v>706.3</v>
      </c>
    </row>
    <row r="6158" spans="1:9" x14ac:dyDescent="0.25">
      <c r="A6158" s="5" t="s">
        <v>104</v>
      </c>
      <c r="B6158" s="5" t="s">
        <v>69</v>
      </c>
      <c r="C6158" s="5" t="s">
        <v>6638</v>
      </c>
      <c r="D6158" s="3">
        <f>VLOOKUP(A6158,airports!A:H,7,FALSE)</f>
        <v>33.434166670000003</v>
      </c>
      <c r="E6158" s="3">
        <f>VLOOKUP(A6158,airports!A:H,8,FALSE)</f>
        <v>-112.00805560000001</v>
      </c>
      <c r="F6158" s="3">
        <f>VLOOKUP(B6158,airports!A:H,7,FALSE)</f>
        <v>40.639751109999999</v>
      </c>
      <c r="G6158" s="3">
        <f>VLOOKUP(B6158,airports!A:H,8,FALSE)</f>
        <v>-73.778925560000005</v>
      </c>
      <c r="H6158">
        <f t="shared" si="192"/>
        <v>3457.8</v>
      </c>
      <c r="I6158">
        <f t="shared" si="193"/>
        <v>2148.6999999999998</v>
      </c>
    </row>
    <row r="6159" spans="1:9" ht="30" x14ac:dyDescent="0.25">
      <c r="A6159" s="5" t="s">
        <v>104</v>
      </c>
      <c r="B6159" s="5" t="s">
        <v>366</v>
      </c>
      <c r="C6159" s="5" t="s">
        <v>6639</v>
      </c>
      <c r="D6159" s="3">
        <f>VLOOKUP(A6159,airports!A:H,7,FALSE)</f>
        <v>33.434166670000003</v>
      </c>
      <c r="E6159" s="3">
        <f>VLOOKUP(A6159,airports!A:H,8,FALSE)</f>
        <v>-112.00805560000001</v>
      </c>
      <c r="F6159" s="3">
        <f>VLOOKUP(B6159,airports!A:H,7,FALSE)</f>
        <v>19.738765829999998</v>
      </c>
      <c r="G6159" s="3">
        <f>VLOOKUP(B6159,airports!A:H,8,FALSE)</f>
        <v>-156.04563139999999</v>
      </c>
      <c r="H6159">
        <f t="shared" si="192"/>
        <v>4597.3</v>
      </c>
      <c r="I6159">
        <f t="shared" si="193"/>
        <v>2856.8</v>
      </c>
    </row>
    <row r="6160" spans="1:9" ht="30" x14ac:dyDescent="0.25">
      <c r="A6160" s="5" t="s">
        <v>104</v>
      </c>
      <c r="B6160" s="5" t="s">
        <v>71</v>
      </c>
      <c r="C6160" s="5" t="s">
        <v>6640</v>
      </c>
      <c r="D6160" s="3">
        <f>VLOOKUP(A6160,airports!A:H,7,FALSE)</f>
        <v>33.434166670000003</v>
      </c>
      <c r="E6160" s="3">
        <f>VLOOKUP(A6160,airports!A:H,8,FALSE)</f>
        <v>-112.00805560000001</v>
      </c>
      <c r="F6160" s="3">
        <f>VLOOKUP(B6160,airports!A:H,7,FALSE)</f>
        <v>36.080361109999998</v>
      </c>
      <c r="G6160" s="3">
        <f>VLOOKUP(B6160,airports!A:H,8,FALSE)</f>
        <v>-115.1523333</v>
      </c>
      <c r="H6160">
        <f t="shared" si="192"/>
        <v>411.2</v>
      </c>
      <c r="I6160">
        <f t="shared" si="193"/>
        <v>255.5</v>
      </c>
    </row>
    <row r="6161" spans="1:9" ht="30" x14ac:dyDescent="0.25">
      <c r="A6161" s="5" t="s">
        <v>104</v>
      </c>
      <c r="B6161" s="5" t="s">
        <v>73</v>
      </c>
      <c r="C6161" s="5" t="s">
        <v>6641</v>
      </c>
      <c r="D6161" s="3">
        <f>VLOOKUP(A6161,airports!A:H,7,FALSE)</f>
        <v>33.434166670000003</v>
      </c>
      <c r="E6161" s="3">
        <f>VLOOKUP(A6161,airports!A:H,8,FALSE)</f>
        <v>-112.00805560000001</v>
      </c>
      <c r="F6161" s="3">
        <f>VLOOKUP(B6161,airports!A:H,7,FALSE)</f>
        <v>33.942536109999999</v>
      </c>
      <c r="G6161" s="3">
        <f>VLOOKUP(B6161,airports!A:H,8,FALSE)</f>
        <v>-118.4080744</v>
      </c>
      <c r="H6161">
        <f t="shared" si="192"/>
        <v>594.70000000000005</v>
      </c>
      <c r="I6161">
        <f t="shared" si="193"/>
        <v>369.6</v>
      </c>
    </row>
    <row r="6162" spans="1:9" ht="30" x14ac:dyDescent="0.25">
      <c r="A6162" s="5" t="s">
        <v>104</v>
      </c>
      <c r="B6162" s="5" t="s">
        <v>738</v>
      </c>
      <c r="C6162" s="5" t="s">
        <v>6642</v>
      </c>
      <c r="D6162" s="3">
        <f>VLOOKUP(A6162,airports!A:H,7,FALSE)</f>
        <v>33.434166670000003</v>
      </c>
      <c r="E6162" s="3">
        <f>VLOOKUP(A6162,airports!A:H,8,FALSE)</f>
        <v>-112.00805560000001</v>
      </c>
      <c r="F6162" s="3">
        <f>VLOOKUP(B6162,airports!A:H,7,FALSE)</f>
        <v>33.663638890000001</v>
      </c>
      <c r="G6162" s="3">
        <f>VLOOKUP(B6162,airports!A:H,8,FALSE)</f>
        <v>-101.8227778</v>
      </c>
      <c r="H6162">
        <f t="shared" si="192"/>
        <v>943.8</v>
      </c>
      <c r="I6162">
        <f t="shared" si="193"/>
        <v>586.5</v>
      </c>
    </row>
    <row r="6163" spans="1:9" ht="30" x14ac:dyDescent="0.25">
      <c r="A6163" s="5" t="s">
        <v>104</v>
      </c>
      <c r="B6163" s="5" t="s">
        <v>74</v>
      </c>
      <c r="C6163" s="5" t="s">
        <v>6643</v>
      </c>
      <c r="D6163" s="3">
        <f>VLOOKUP(A6163,airports!A:H,7,FALSE)</f>
        <v>33.434166670000003</v>
      </c>
      <c r="E6163" s="3">
        <f>VLOOKUP(A6163,airports!A:H,8,FALSE)</f>
        <v>-112.00805560000001</v>
      </c>
      <c r="F6163" s="3">
        <f>VLOOKUP(B6163,airports!A:H,7,FALSE)</f>
        <v>40.777243060000004</v>
      </c>
      <c r="G6163" s="3">
        <f>VLOOKUP(B6163,airports!A:H,8,FALSE)</f>
        <v>-73.872609170000004</v>
      </c>
      <c r="H6163">
        <f t="shared" si="192"/>
        <v>3450.2</v>
      </c>
      <c r="I6163">
        <f t="shared" si="193"/>
        <v>2144</v>
      </c>
    </row>
    <row r="6164" spans="1:9" ht="30" x14ac:dyDescent="0.25">
      <c r="A6164" s="5" t="s">
        <v>104</v>
      </c>
      <c r="B6164" s="5" t="s">
        <v>742</v>
      </c>
      <c r="C6164" s="5" t="s">
        <v>6644</v>
      </c>
      <c r="D6164" s="3">
        <f>VLOOKUP(A6164,airports!A:H,7,FALSE)</f>
        <v>33.434166670000003</v>
      </c>
      <c r="E6164" s="3">
        <f>VLOOKUP(A6164,airports!A:H,8,FALSE)</f>
        <v>-112.00805560000001</v>
      </c>
      <c r="F6164" s="3">
        <f>VLOOKUP(B6164,airports!A:H,7,FALSE)</f>
        <v>33.81772222</v>
      </c>
      <c r="G6164" s="3">
        <f>VLOOKUP(B6164,airports!A:H,8,FALSE)</f>
        <v>-118.1516111</v>
      </c>
      <c r="H6164">
        <f t="shared" si="192"/>
        <v>570.29999999999995</v>
      </c>
      <c r="I6164">
        <f t="shared" si="193"/>
        <v>354.4</v>
      </c>
    </row>
    <row r="6165" spans="1:9" x14ac:dyDescent="0.25">
      <c r="A6165" s="5" t="s">
        <v>104</v>
      </c>
      <c r="B6165" s="5" t="s">
        <v>2421</v>
      </c>
      <c r="C6165" s="5" t="s">
        <v>6645</v>
      </c>
      <c r="D6165" s="3">
        <f>VLOOKUP(A6165,airports!A:H,7,FALSE)</f>
        <v>33.434166670000003</v>
      </c>
      <c r="E6165" s="3">
        <f>VLOOKUP(A6165,airports!A:H,8,FALSE)</f>
        <v>-112.00805560000001</v>
      </c>
      <c r="F6165" s="3">
        <f>VLOOKUP(B6165,airports!A:H,7,FALSE)</f>
        <v>21.975983060000001</v>
      </c>
      <c r="G6165" s="3">
        <f>VLOOKUP(B6165,airports!A:H,8,FALSE)</f>
        <v>-159.33895810000001</v>
      </c>
      <c r="H6165">
        <f t="shared" si="192"/>
        <v>4787.5</v>
      </c>
      <c r="I6165">
        <f t="shared" si="193"/>
        <v>2975</v>
      </c>
    </row>
    <row r="6166" spans="1:9" x14ac:dyDescent="0.25">
      <c r="A6166" s="5" t="s">
        <v>104</v>
      </c>
      <c r="B6166" s="5" t="s">
        <v>554</v>
      </c>
      <c r="C6166" s="5" t="s">
        <v>6646</v>
      </c>
      <c r="D6166" s="3">
        <f>VLOOKUP(A6166,airports!A:H,7,FALSE)</f>
        <v>33.434166670000003</v>
      </c>
      <c r="E6166" s="3">
        <f>VLOOKUP(A6166,airports!A:H,8,FALSE)</f>
        <v>-112.00805560000001</v>
      </c>
      <c r="F6166" s="3">
        <f>VLOOKUP(B6166,airports!A:H,7,FALSE)</f>
        <v>34.729396110000003</v>
      </c>
      <c r="G6166" s="3">
        <f>VLOOKUP(B6166,airports!A:H,8,FALSE)</f>
        <v>-92.22424556</v>
      </c>
      <c r="H6166">
        <f t="shared" si="192"/>
        <v>1824.7</v>
      </c>
      <c r="I6166">
        <f t="shared" si="193"/>
        <v>1133.9000000000001</v>
      </c>
    </row>
    <row r="6167" spans="1:9" ht="30" x14ac:dyDescent="0.25">
      <c r="A6167" s="5" t="s">
        <v>104</v>
      </c>
      <c r="B6167" s="5" t="s">
        <v>744</v>
      </c>
      <c r="C6167" s="5" t="s">
        <v>6647</v>
      </c>
      <c r="D6167" s="3">
        <f>VLOOKUP(A6167,airports!A:H,7,FALSE)</f>
        <v>33.434166670000003</v>
      </c>
      <c r="E6167" s="3">
        <f>VLOOKUP(A6167,airports!A:H,8,FALSE)</f>
        <v>-112.00805560000001</v>
      </c>
      <c r="F6167" s="3">
        <f>VLOOKUP(B6167,airports!A:H,7,FALSE)</f>
        <v>31.942527779999999</v>
      </c>
      <c r="G6167" s="3">
        <f>VLOOKUP(B6167,airports!A:H,8,FALSE)</f>
        <v>-102.20191389999999</v>
      </c>
      <c r="H6167">
        <f t="shared" si="192"/>
        <v>932.2</v>
      </c>
      <c r="I6167">
        <f t="shared" si="193"/>
        <v>579.29999999999995</v>
      </c>
    </row>
    <row r="6168" spans="1:9" ht="30" x14ac:dyDescent="0.25">
      <c r="A6168" s="5" t="s">
        <v>104</v>
      </c>
      <c r="B6168" s="5" t="s">
        <v>80</v>
      </c>
      <c r="C6168" s="5" t="s">
        <v>6648</v>
      </c>
      <c r="D6168" s="3">
        <f>VLOOKUP(A6168,airports!A:H,7,FALSE)</f>
        <v>33.434166670000003</v>
      </c>
      <c r="E6168" s="3">
        <f>VLOOKUP(A6168,airports!A:H,8,FALSE)</f>
        <v>-112.00805560000001</v>
      </c>
      <c r="F6168" s="3">
        <f>VLOOKUP(B6168,airports!A:H,7,FALSE)</f>
        <v>39.297605279999999</v>
      </c>
      <c r="G6168" s="3">
        <f>VLOOKUP(B6168,airports!A:H,8,FALSE)</f>
        <v>-94.713905560000001</v>
      </c>
      <c r="H6168">
        <f t="shared" si="192"/>
        <v>1676.6</v>
      </c>
      <c r="I6168">
        <f t="shared" si="193"/>
        <v>1041.9000000000001</v>
      </c>
    </row>
    <row r="6169" spans="1:9" ht="30" x14ac:dyDescent="0.25">
      <c r="A6169" s="5" t="s">
        <v>104</v>
      </c>
      <c r="B6169" s="5" t="s">
        <v>82</v>
      </c>
      <c r="C6169" s="5" t="s">
        <v>6649</v>
      </c>
      <c r="D6169" s="3">
        <f>VLOOKUP(A6169,airports!A:H,7,FALSE)</f>
        <v>33.434166670000003</v>
      </c>
      <c r="E6169" s="3">
        <f>VLOOKUP(A6169,airports!A:H,8,FALSE)</f>
        <v>-112.00805560000001</v>
      </c>
      <c r="F6169" s="3">
        <f>VLOOKUP(B6169,airports!A:H,7,FALSE)</f>
        <v>28.42888889</v>
      </c>
      <c r="G6169" s="3">
        <f>VLOOKUP(B6169,airports!A:H,8,FALSE)</f>
        <v>-81.316027779999999</v>
      </c>
      <c r="H6169">
        <f t="shared" si="192"/>
        <v>2968.7</v>
      </c>
      <c r="I6169">
        <f t="shared" si="193"/>
        <v>1844.8</v>
      </c>
    </row>
    <row r="6170" spans="1:9" ht="30" x14ac:dyDescent="0.25">
      <c r="A6170" s="5" t="s">
        <v>104</v>
      </c>
      <c r="B6170" s="5" t="s">
        <v>180</v>
      </c>
      <c r="C6170" s="5" t="s">
        <v>6650</v>
      </c>
      <c r="D6170" s="3">
        <f>VLOOKUP(A6170,airports!A:H,7,FALSE)</f>
        <v>33.434166670000003</v>
      </c>
      <c r="E6170" s="3">
        <f>VLOOKUP(A6170,airports!A:H,8,FALSE)</f>
        <v>-112.00805560000001</v>
      </c>
      <c r="F6170" s="3">
        <f>VLOOKUP(B6170,airports!A:H,7,FALSE)</f>
        <v>41.785982500000003</v>
      </c>
      <c r="G6170" s="3">
        <f>VLOOKUP(B6170,airports!A:H,8,FALSE)</f>
        <v>-87.752424439999999</v>
      </c>
      <c r="H6170">
        <f t="shared" si="192"/>
        <v>2319.3000000000002</v>
      </c>
      <c r="I6170">
        <f t="shared" si="193"/>
        <v>1441.3</v>
      </c>
    </row>
    <row r="6171" spans="1:9" ht="30" x14ac:dyDescent="0.25">
      <c r="A6171" s="5" t="s">
        <v>104</v>
      </c>
      <c r="B6171" s="5" t="s">
        <v>563</v>
      </c>
      <c r="C6171" s="5" t="s">
        <v>6651</v>
      </c>
      <c r="D6171" s="3">
        <f>VLOOKUP(A6171,airports!A:H,7,FALSE)</f>
        <v>33.434166670000003</v>
      </c>
      <c r="E6171" s="3">
        <f>VLOOKUP(A6171,airports!A:H,8,FALSE)</f>
        <v>-112.00805560000001</v>
      </c>
      <c r="F6171" s="3">
        <f>VLOOKUP(B6171,airports!A:H,7,FALSE)</f>
        <v>35.042416670000001</v>
      </c>
      <c r="G6171" s="3">
        <f>VLOOKUP(B6171,airports!A:H,8,FALSE)</f>
        <v>-89.97666667</v>
      </c>
      <c r="H6171">
        <f t="shared" si="192"/>
        <v>2029</v>
      </c>
      <c r="I6171">
        <f t="shared" si="193"/>
        <v>1260.8</v>
      </c>
    </row>
    <row r="6172" spans="1:9" ht="30" x14ac:dyDescent="0.25">
      <c r="A6172" s="5" t="s">
        <v>104</v>
      </c>
      <c r="B6172" s="5" t="s">
        <v>875</v>
      </c>
      <c r="C6172" s="5" t="s">
        <v>6652</v>
      </c>
      <c r="D6172" s="3">
        <f>VLOOKUP(A6172,airports!A:H,7,FALSE)</f>
        <v>33.434166670000003</v>
      </c>
      <c r="E6172" s="3">
        <f>VLOOKUP(A6172,airports!A:H,8,FALSE)</f>
        <v>-112.00805560000001</v>
      </c>
      <c r="F6172" s="3">
        <f>VLOOKUP(B6172,airports!A:H,7,FALSE)</f>
        <v>42.374227779999998</v>
      </c>
      <c r="G6172" s="3">
        <f>VLOOKUP(B6172,airports!A:H,8,FALSE)</f>
        <v>-122.8734978</v>
      </c>
      <c r="H6172">
        <f t="shared" si="192"/>
        <v>1375.1</v>
      </c>
      <c r="I6172">
        <f t="shared" si="193"/>
        <v>854.5</v>
      </c>
    </row>
    <row r="6173" spans="1:9" ht="30" x14ac:dyDescent="0.25">
      <c r="A6173" s="5" t="s">
        <v>104</v>
      </c>
      <c r="B6173" s="5" t="s">
        <v>84</v>
      </c>
      <c r="C6173" s="5" t="s">
        <v>6653</v>
      </c>
      <c r="D6173" s="3">
        <f>VLOOKUP(A6173,airports!A:H,7,FALSE)</f>
        <v>33.434166670000003</v>
      </c>
      <c r="E6173" s="3">
        <f>VLOOKUP(A6173,airports!A:H,8,FALSE)</f>
        <v>-112.00805560000001</v>
      </c>
      <c r="F6173" s="3">
        <f>VLOOKUP(B6173,airports!A:H,7,FALSE)</f>
        <v>25.79325</v>
      </c>
      <c r="G6173" s="3">
        <f>VLOOKUP(B6173,airports!A:H,8,FALSE)</f>
        <v>-80.290555560000001</v>
      </c>
      <c r="H6173">
        <f t="shared" si="192"/>
        <v>3167.9</v>
      </c>
      <c r="I6173">
        <f t="shared" si="193"/>
        <v>1968.6</v>
      </c>
    </row>
    <row r="6174" spans="1:9" ht="30" x14ac:dyDescent="0.25">
      <c r="A6174" s="5" t="s">
        <v>104</v>
      </c>
      <c r="B6174" s="5" t="s">
        <v>85</v>
      </c>
      <c r="C6174" s="5" t="s">
        <v>6654</v>
      </c>
      <c r="D6174" s="3">
        <f>VLOOKUP(A6174,airports!A:H,7,FALSE)</f>
        <v>33.434166670000003</v>
      </c>
      <c r="E6174" s="3">
        <f>VLOOKUP(A6174,airports!A:H,8,FALSE)</f>
        <v>-112.00805560000001</v>
      </c>
      <c r="F6174" s="3">
        <f>VLOOKUP(B6174,airports!A:H,7,FALSE)</f>
        <v>42.94722222</v>
      </c>
      <c r="G6174" s="3">
        <f>VLOOKUP(B6174,airports!A:H,8,FALSE)</f>
        <v>-87.896583329999999</v>
      </c>
      <c r="H6174">
        <f t="shared" si="192"/>
        <v>2346.1999999999998</v>
      </c>
      <c r="I6174">
        <f t="shared" si="193"/>
        <v>1458</v>
      </c>
    </row>
    <row r="6175" spans="1:9" ht="30" x14ac:dyDescent="0.25">
      <c r="A6175" s="5" t="s">
        <v>104</v>
      </c>
      <c r="B6175" s="5" t="s">
        <v>2439</v>
      </c>
      <c r="C6175" s="5" t="s">
        <v>6655</v>
      </c>
      <c r="D6175" s="3">
        <f>VLOOKUP(A6175,airports!A:H,7,FALSE)</f>
        <v>33.434166670000003</v>
      </c>
      <c r="E6175" s="3">
        <f>VLOOKUP(A6175,airports!A:H,8,FALSE)</f>
        <v>-112.00805560000001</v>
      </c>
      <c r="F6175" s="3">
        <f>VLOOKUP(B6175,airports!A:H,7,FALSE)</f>
        <v>36.586982499999998</v>
      </c>
      <c r="G6175" s="3">
        <f>VLOOKUP(B6175,airports!A:H,8,FALSE)</f>
        <v>-121.8429478</v>
      </c>
      <c r="H6175">
        <f t="shared" si="192"/>
        <v>961.3</v>
      </c>
      <c r="I6175">
        <f t="shared" si="193"/>
        <v>597.29999999999995</v>
      </c>
    </row>
    <row r="6176" spans="1:9" ht="30" x14ac:dyDescent="0.25">
      <c r="A6176" s="5" t="s">
        <v>104</v>
      </c>
      <c r="B6176" s="5" t="s">
        <v>579</v>
      </c>
      <c r="C6176" s="5" t="s">
        <v>6656</v>
      </c>
      <c r="D6176" s="3">
        <f>VLOOKUP(A6176,airports!A:H,7,FALSE)</f>
        <v>33.434166670000003</v>
      </c>
      <c r="E6176" s="3">
        <f>VLOOKUP(A6176,airports!A:H,8,FALSE)</f>
        <v>-112.00805560000001</v>
      </c>
      <c r="F6176" s="3">
        <f>VLOOKUP(B6176,airports!A:H,7,FALSE)</f>
        <v>43.13985778</v>
      </c>
      <c r="G6176" s="3">
        <f>VLOOKUP(B6176,airports!A:H,8,FALSE)</f>
        <v>-89.337513610000002</v>
      </c>
      <c r="H6176">
        <f t="shared" si="192"/>
        <v>2243.5</v>
      </c>
      <c r="I6176">
        <f t="shared" si="193"/>
        <v>1394.1</v>
      </c>
    </row>
    <row r="6177" spans="1:9" ht="30" x14ac:dyDescent="0.25">
      <c r="A6177" s="5" t="s">
        <v>104</v>
      </c>
      <c r="B6177" s="5" t="s">
        <v>87</v>
      </c>
      <c r="C6177" s="5" t="s">
        <v>6657</v>
      </c>
      <c r="D6177" s="3">
        <f>VLOOKUP(A6177,airports!A:H,7,FALSE)</f>
        <v>33.434166670000003</v>
      </c>
      <c r="E6177" s="3">
        <f>VLOOKUP(A6177,airports!A:H,8,FALSE)</f>
        <v>-112.00805560000001</v>
      </c>
      <c r="F6177" s="3">
        <f>VLOOKUP(B6177,airports!A:H,7,FALSE)</f>
        <v>44.880546940000002</v>
      </c>
      <c r="G6177" s="3">
        <f>VLOOKUP(B6177,airports!A:H,8,FALSE)</f>
        <v>-93.216922499999995</v>
      </c>
      <c r="H6177">
        <f t="shared" si="192"/>
        <v>2051.6999999999998</v>
      </c>
      <c r="I6177">
        <f t="shared" si="193"/>
        <v>1274.9000000000001</v>
      </c>
    </row>
    <row r="6178" spans="1:9" ht="30" x14ac:dyDescent="0.25">
      <c r="A6178" s="5" t="s">
        <v>104</v>
      </c>
      <c r="B6178" s="5" t="s">
        <v>89</v>
      </c>
      <c r="C6178" s="5" t="s">
        <v>6658</v>
      </c>
      <c r="D6178" s="3">
        <f>VLOOKUP(A6178,airports!A:H,7,FALSE)</f>
        <v>33.434166670000003</v>
      </c>
      <c r="E6178" s="3">
        <f>VLOOKUP(A6178,airports!A:H,8,FALSE)</f>
        <v>-112.00805560000001</v>
      </c>
      <c r="F6178" s="3">
        <f>VLOOKUP(B6178,airports!A:H,7,FALSE)</f>
        <v>29.993388889999999</v>
      </c>
      <c r="G6178" s="3">
        <f>VLOOKUP(B6178,airports!A:H,8,FALSE)</f>
        <v>-90.258027780000006</v>
      </c>
      <c r="H6178">
        <f t="shared" si="192"/>
        <v>2088.6</v>
      </c>
      <c r="I6178">
        <f t="shared" si="193"/>
        <v>1297.9000000000001</v>
      </c>
    </row>
    <row r="6179" spans="1:9" ht="30" x14ac:dyDescent="0.25">
      <c r="A6179" s="5" t="s">
        <v>104</v>
      </c>
      <c r="B6179" s="5" t="s">
        <v>91</v>
      </c>
      <c r="C6179" s="5" t="s">
        <v>6659</v>
      </c>
      <c r="D6179" s="3">
        <f>VLOOKUP(A6179,airports!A:H,7,FALSE)</f>
        <v>33.434166670000003</v>
      </c>
      <c r="E6179" s="3">
        <f>VLOOKUP(A6179,airports!A:H,8,FALSE)</f>
        <v>-112.00805560000001</v>
      </c>
      <c r="F6179" s="3">
        <f>VLOOKUP(B6179,airports!A:H,7,FALSE)</f>
        <v>38.508867219999999</v>
      </c>
      <c r="G6179" s="3">
        <f>VLOOKUP(B6179,airports!A:H,8,FALSE)</f>
        <v>-107.8938333</v>
      </c>
      <c r="H6179">
        <f t="shared" si="192"/>
        <v>674.7</v>
      </c>
      <c r="I6179">
        <f t="shared" si="193"/>
        <v>419.3</v>
      </c>
    </row>
    <row r="6180" spans="1:9" ht="30" x14ac:dyDescent="0.25">
      <c r="A6180" s="5" t="s">
        <v>104</v>
      </c>
      <c r="B6180" s="5" t="s">
        <v>215</v>
      </c>
      <c r="C6180" s="5" t="s">
        <v>6660</v>
      </c>
      <c r="D6180" s="3">
        <f>VLOOKUP(A6180,airports!A:H,7,FALSE)</f>
        <v>33.434166670000003</v>
      </c>
      <c r="E6180" s="3">
        <f>VLOOKUP(A6180,airports!A:H,8,FALSE)</f>
        <v>-112.00805560000001</v>
      </c>
      <c r="F6180" s="3">
        <f>VLOOKUP(B6180,airports!A:H,7,FALSE)</f>
        <v>37.721290830000001</v>
      </c>
      <c r="G6180" s="3">
        <f>VLOOKUP(B6180,airports!A:H,8,FALSE)</f>
        <v>-122.2207167</v>
      </c>
      <c r="H6180">
        <f t="shared" si="192"/>
        <v>1038.5</v>
      </c>
      <c r="I6180">
        <f t="shared" si="193"/>
        <v>645.29999999999995</v>
      </c>
    </row>
    <row r="6181" spans="1:9" ht="30" x14ac:dyDescent="0.25">
      <c r="A6181" s="5" t="s">
        <v>104</v>
      </c>
      <c r="B6181" s="5" t="s">
        <v>371</v>
      </c>
      <c r="C6181" s="5" t="s">
        <v>6661</v>
      </c>
      <c r="D6181" s="3">
        <f>VLOOKUP(A6181,airports!A:H,7,FALSE)</f>
        <v>33.434166670000003</v>
      </c>
      <c r="E6181" s="3">
        <f>VLOOKUP(A6181,airports!A:H,8,FALSE)</f>
        <v>-112.00805560000001</v>
      </c>
      <c r="F6181" s="3">
        <f>VLOOKUP(B6181,airports!A:H,7,FALSE)</f>
        <v>20.898649720000002</v>
      </c>
      <c r="G6181" s="3">
        <f>VLOOKUP(B6181,airports!A:H,8,FALSE)</f>
        <v>-156.4304578</v>
      </c>
      <c r="H6181">
        <f t="shared" si="192"/>
        <v>4572.2</v>
      </c>
      <c r="I6181">
        <f t="shared" si="193"/>
        <v>2841.2</v>
      </c>
    </row>
    <row r="6182" spans="1:9" ht="30" x14ac:dyDescent="0.25">
      <c r="A6182" s="5" t="s">
        <v>104</v>
      </c>
      <c r="B6182" s="5" t="s">
        <v>590</v>
      </c>
      <c r="C6182" s="5" t="s">
        <v>6662</v>
      </c>
      <c r="D6182" s="3">
        <f>VLOOKUP(A6182,airports!A:H,7,FALSE)</f>
        <v>33.434166670000003</v>
      </c>
      <c r="E6182" s="3">
        <f>VLOOKUP(A6182,airports!A:H,8,FALSE)</f>
        <v>-112.00805560000001</v>
      </c>
      <c r="F6182" s="3">
        <f>VLOOKUP(B6182,airports!A:H,7,FALSE)</f>
        <v>35.393088329999998</v>
      </c>
      <c r="G6182" s="3">
        <f>VLOOKUP(B6182,airports!A:H,8,FALSE)</f>
        <v>-97.600733890000001</v>
      </c>
      <c r="H6182">
        <f t="shared" si="192"/>
        <v>1338.2</v>
      </c>
      <c r="I6182">
        <f t="shared" si="193"/>
        <v>831.6</v>
      </c>
    </row>
    <row r="6183" spans="1:9" ht="30" x14ac:dyDescent="0.25">
      <c r="A6183" s="5" t="s">
        <v>104</v>
      </c>
      <c r="B6183" s="5" t="s">
        <v>592</v>
      </c>
      <c r="C6183" s="5" t="s">
        <v>6663</v>
      </c>
      <c r="D6183" s="3">
        <f>VLOOKUP(A6183,airports!A:H,7,FALSE)</f>
        <v>33.434166670000003</v>
      </c>
      <c r="E6183" s="3">
        <f>VLOOKUP(A6183,airports!A:H,8,FALSE)</f>
        <v>-112.00805560000001</v>
      </c>
      <c r="F6183" s="3">
        <f>VLOOKUP(B6183,airports!A:H,7,FALSE)</f>
        <v>41.30251861</v>
      </c>
      <c r="G6183" s="3">
        <f>VLOOKUP(B6183,airports!A:H,8,FALSE)</f>
        <v>-95.89417306</v>
      </c>
      <c r="H6183">
        <f t="shared" si="192"/>
        <v>1667.2</v>
      </c>
      <c r="I6183">
        <f t="shared" si="193"/>
        <v>1036</v>
      </c>
    </row>
    <row r="6184" spans="1:9" ht="30" x14ac:dyDescent="0.25">
      <c r="A6184" s="5" t="s">
        <v>104</v>
      </c>
      <c r="B6184" s="5" t="s">
        <v>94</v>
      </c>
      <c r="C6184" s="5" t="s">
        <v>6664</v>
      </c>
      <c r="D6184" s="3">
        <f>VLOOKUP(A6184,airports!A:H,7,FALSE)</f>
        <v>33.434166670000003</v>
      </c>
      <c r="E6184" s="3">
        <f>VLOOKUP(A6184,airports!A:H,8,FALSE)</f>
        <v>-112.00805560000001</v>
      </c>
      <c r="F6184" s="3">
        <f>VLOOKUP(B6184,airports!A:H,7,FALSE)</f>
        <v>34.055999999999997</v>
      </c>
      <c r="G6184" s="3">
        <f>VLOOKUP(B6184,airports!A:H,8,FALSE)</f>
        <v>-117.6011944</v>
      </c>
      <c r="H6184">
        <f t="shared" si="192"/>
        <v>521.70000000000005</v>
      </c>
      <c r="I6184">
        <f t="shared" si="193"/>
        <v>324.2</v>
      </c>
    </row>
    <row r="6185" spans="1:9" ht="30" x14ac:dyDescent="0.25">
      <c r="A6185" s="5" t="s">
        <v>104</v>
      </c>
      <c r="B6185" s="5" t="s">
        <v>95</v>
      </c>
      <c r="C6185" s="5" t="s">
        <v>6665</v>
      </c>
      <c r="D6185" s="3">
        <f>VLOOKUP(A6185,airports!A:H,7,FALSE)</f>
        <v>33.434166670000003</v>
      </c>
      <c r="E6185" s="3">
        <f>VLOOKUP(A6185,airports!A:H,8,FALSE)</f>
        <v>-112.00805560000001</v>
      </c>
      <c r="F6185" s="3">
        <f>VLOOKUP(B6185,airports!A:H,7,FALSE)</f>
        <v>41.979595000000003</v>
      </c>
      <c r="G6185" s="3">
        <f>VLOOKUP(B6185,airports!A:H,8,FALSE)</f>
        <v>-87.904464169999997</v>
      </c>
      <c r="H6185">
        <f t="shared" si="192"/>
        <v>2313.1999999999998</v>
      </c>
      <c r="I6185">
        <f t="shared" si="193"/>
        <v>1437.4</v>
      </c>
    </row>
    <row r="6186" spans="1:9" ht="30" x14ac:dyDescent="0.25">
      <c r="A6186" s="5" t="s">
        <v>104</v>
      </c>
      <c r="B6186" s="5" t="s">
        <v>596</v>
      </c>
      <c r="C6186" s="5" t="s">
        <v>6666</v>
      </c>
      <c r="D6186" s="3">
        <f>VLOOKUP(A6186,airports!A:H,7,FALSE)</f>
        <v>33.434166670000003</v>
      </c>
      <c r="E6186" s="3">
        <f>VLOOKUP(A6186,airports!A:H,8,FALSE)</f>
        <v>-112.00805560000001</v>
      </c>
      <c r="F6186" s="3">
        <f>VLOOKUP(B6186,airports!A:H,7,FALSE)</f>
        <v>36.89461111</v>
      </c>
      <c r="G6186" s="3">
        <f>VLOOKUP(B6186,airports!A:H,8,FALSE)</f>
        <v>-76.201222220000005</v>
      </c>
      <c r="H6186">
        <f t="shared" si="192"/>
        <v>3258.5</v>
      </c>
      <c r="I6186">
        <f t="shared" si="193"/>
        <v>2024.8</v>
      </c>
    </row>
    <row r="6187" spans="1:9" ht="30" x14ac:dyDescent="0.25">
      <c r="A6187" s="5" t="s">
        <v>104</v>
      </c>
      <c r="B6187" s="5" t="s">
        <v>1214</v>
      </c>
      <c r="C6187" s="5" t="s">
        <v>6667</v>
      </c>
      <c r="D6187" s="3">
        <f>VLOOKUP(A6187,airports!A:H,7,FALSE)</f>
        <v>33.434166670000003</v>
      </c>
      <c r="E6187" s="3">
        <f>VLOOKUP(A6187,airports!A:H,8,FALSE)</f>
        <v>-112.00805560000001</v>
      </c>
      <c r="F6187" s="3">
        <f>VLOOKUP(B6187,airports!A:H,7,FALSE)</f>
        <v>47.906300000000002</v>
      </c>
      <c r="G6187" s="3">
        <f>VLOOKUP(B6187,airports!A:H,8,FALSE)</f>
        <v>-122.281998</v>
      </c>
      <c r="H6187">
        <f t="shared" si="192"/>
        <v>1823.9</v>
      </c>
      <c r="I6187">
        <f t="shared" si="193"/>
        <v>1133.4000000000001</v>
      </c>
    </row>
    <row r="6188" spans="1:9" ht="30" x14ac:dyDescent="0.25">
      <c r="A6188" s="5" t="s">
        <v>104</v>
      </c>
      <c r="B6188" s="5" t="s">
        <v>100</v>
      </c>
      <c r="C6188" s="5" t="s">
        <v>6668</v>
      </c>
      <c r="D6188" s="3">
        <f>VLOOKUP(A6188,airports!A:H,7,FALSE)</f>
        <v>33.434166670000003</v>
      </c>
      <c r="E6188" s="3">
        <f>VLOOKUP(A6188,airports!A:H,8,FALSE)</f>
        <v>-112.00805560000001</v>
      </c>
      <c r="F6188" s="3">
        <f>VLOOKUP(B6188,airports!A:H,7,FALSE)</f>
        <v>45.588722220000001</v>
      </c>
      <c r="G6188" s="3">
        <f>VLOOKUP(B6188,airports!A:H,8,FALSE)</f>
        <v>-122.5975</v>
      </c>
      <c r="H6188">
        <f t="shared" si="192"/>
        <v>1625.3</v>
      </c>
      <c r="I6188">
        <f t="shared" si="193"/>
        <v>1010</v>
      </c>
    </row>
    <row r="6189" spans="1:9" ht="30" x14ac:dyDescent="0.25">
      <c r="A6189" s="5" t="s">
        <v>104</v>
      </c>
      <c r="B6189" s="5" t="s">
        <v>102</v>
      </c>
      <c r="C6189" s="5" t="s">
        <v>6669</v>
      </c>
      <c r="D6189" s="3">
        <f>VLOOKUP(A6189,airports!A:H,7,FALSE)</f>
        <v>33.434166670000003</v>
      </c>
      <c r="E6189" s="3">
        <f>VLOOKUP(A6189,airports!A:H,8,FALSE)</f>
        <v>-112.00805560000001</v>
      </c>
      <c r="F6189" s="3">
        <f>VLOOKUP(B6189,airports!A:H,7,FALSE)</f>
        <v>39.871952780000001</v>
      </c>
      <c r="G6189" s="3">
        <f>VLOOKUP(B6189,airports!A:H,8,FALSE)</f>
        <v>-75.241140830000006</v>
      </c>
      <c r="H6189">
        <f t="shared" si="192"/>
        <v>3332.5</v>
      </c>
      <c r="I6189">
        <f t="shared" si="193"/>
        <v>2070.8000000000002</v>
      </c>
    </row>
    <row r="6190" spans="1:9" x14ac:dyDescent="0.25">
      <c r="A6190" s="5" t="s">
        <v>104</v>
      </c>
      <c r="B6190" s="5" t="s">
        <v>106</v>
      </c>
      <c r="C6190" s="5" t="s">
        <v>6670</v>
      </c>
      <c r="D6190" s="3">
        <f>VLOOKUP(A6190,airports!A:H,7,FALSE)</f>
        <v>33.434166670000003</v>
      </c>
      <c r="E6190" s="3">
        <f>VLOOKUP(A6190,airports!A:H,8,FALSE)</f>
        <v>-112.00805560000001</v>
      </c>
      <c r="F6190" s="3">
        <f>VLOOKUP(B6190,airports!A:H,7,FALSE)</f>
        <v>40.491465830000003</v>
      </c>
      <c r="G6190" s="3">
        <f>VLOOKUP(B6190,airports!A:H,8,FALSE)</f>
        <v>-80.232870829999996</v>
      </c>
      <c r="H6190">
        <f t="shared" si="192"/>
        <v>2912.7</v>
      </c>
      <c r="I6190">
        <f t="shared" si="193"/>
        <v>1810</v>
      </c>
    </row>
    <row r="6191" spans="1:9" ht="30" x14ac:dyDescent="0.25">
      <c r="A6191" s="5" t="s">
        <v>104</v>
      </c>
      <c r="B6191" s="5" t="s">
        <v>111</v>
      </c>
      <c r="C6191" s="5" t="s">
        <v>6671</v>
      </c>
      <c r="D6191" s="3">
        <f>VLOOKUP(A6191,airports!A:H,7,FALSE)</f>
        <v>33.434166670000003</v>
      </c>
      <c r="E6191" s="3">
        <f>VLOOKUP(A6191,airports!A:H,8,FALSE)</f>
        <v>-112.00805560000001</v>
      </c>
      <c r="F6191" s="3">
        <f>VLOOKUP(B6191,airports!A:H,7,FALSE)</f>
        <v>33.829215560000002</v>
      </c>
      <c r="G6191" s="3">
        <f>VLOOKUP(B6191,airports!A:H,8,FALSE)</f>
        <v>-116.5062531</v>
      </c>
      <c r="H6191">
        <f t="shared" si="192"/>
        <v>418.7</v>
      </c>
      <c r="I6191">
        <f t="shared" si="193"/>
        <v>260.2</v>
      </c>
    </row>
    <row r="6192" spans="1:9" ht="30" x14ac:dyDescent="0.25">
      <c r="A6192" s="5" t="s">
        <v>104</v>
      </c>
      <c r="B6192" s="5" t="s">
        <v>772</v>
      </c>
      <c r="C6192" s="5" t="s">
        <v>6672</v>
      </c>
      <c r="D6192" s="3">
        <f>VLOOKUP(A6192,airports!A:H,7,FALSE)</f>
        <v>33.434166670000003</v>
      </c>
      <c r="E6192" s="3">
        <f>VLOOKUP(A6192,airports!A:H,8,FALSE)</f>
        <v>-112.00805560000001</v>
      </c>
      <c r="F6192" s="3">
        <f>VLOOKUP(B6192,airports!A:H,7,FALSE)</f>
        <v>40.219200000000001</v>
      </c>
      <c r="G6192" s="3">
        <f>VLOOKUP(B6192,airports!A:H,8,FALSE)</f>
        <v>-111.723</v>
      </c>
      <c r="H6192">
        <f t="shared" si="192"/>
        <v>754.9</v>
      </c>
      <c r="I6192">
        <f t="shared" si="193"/>
        <v>469.1</v>
      </c>
    </row>
    <row r="6193" spans="1:9" ht="30" x14ac:dyDescent="0.25">
      <c r="A6193" s="5" t="s">
        <v>104</v>
      </c>
      <c r="B6193" s="5" t="s">
        <v>612</v>
      </c>
      <c r="C6193" s="5" t="s">
        <v>6673</v>
      </c>
      <c r="D6193" s="3">
        <f>VLOOKUP(A6193,airports!A:H,7,FALSE)</f>
        <v>33.434166670000003</v>
      </c>
      <c r="E6193" s="3">
        <f>VLOOKUP(A6193,airports!A:H,8,FALSE)</f>
        <v>-112.00805560000001</v>
      </c>
      <c r="F6193" s="3">
        <f>VLOOKUP(B6193,airports!A:H,7,FALSE)</f>
        <v>44.045321389999998</v>
      </c>
      <c r="G6193" s="3">
        <f>VLOOKUP(B6193,airports!A:H,8,FALSE)</f>
        <v>-103.0573708</v>
      </c>
      <c r="H6193">
        <f t="shared" si="192"/>
        <v>1410.4</v>
      </c>
      <c r="I6193">
        <f t="shared" si="193"/>
        <v>876.5</v>
      </c>
    </row>
    <row r="6194" spans="1:9" ht="30" x14ac:dyDescent="0.25">
      <c r="A6194" s="5" t="s">
        <v>104</v>
      </c>
      <c r="B6194" s="5" t="s">
        <v>894</v>
      </c>
      <c r="C6194" s="5" t="s">
        <v>6674</v>
      </c>
      <c r="D6194" s="3">
        <f>VLOOKUP(A6194,airports!A:H,7,FALSE)</f>
        <v>33.434166670000003</v>
      </c>
      <c r="E6194" s="3">
        <f>VLOOKUP(A6194,airports!A:H,8,FALSE)</f>
        <v>-112.00805560000001</v>
      </c>
      <c r="F6194" s="3">
        <f>VLOOKUP(B6194,airports!A:H,7,FALSE)</f>
        <v>44.254067220000003</v>
      </c>
      <c r="G6194" s="3">
        <f>VLOOKUP(B6194,airports!A:H,8,FALSE)</f>
        <v>-121.1499633</v>
      </c>
      <c r="H6194">
        <f t="shared" si="192"/>
        <v>1438.2</v>
      </c>
      <c r="I6194">
        <f t="shared" si="193"/>
        <v>893.7</v>
      </c>
    </row>
    <row r="6195" spans="1:9" ht="30" x14ac:dyDescent="0.25">
      <c r="A6195" s="5" t="s">
        <v>104</v>
      </c>
      <c r="B6195" s="5" t="s">
        <v>119</v>
      </c>
      <c r="C6195" s="5" t="s">
        <v>6675</v>
      </c>
      <c r="D6195" s="3">
        <f>VLOOKUP(A6195,airports!A:H,7,FALSE)</f>
        <v>33.434166670000003</v>
      </c>
      <c r="E6195" s="3">
        <f>VLOOKUP(A6195,airports!A:H,8,FALSE)</f>
        <v>-112.00805560000001</v>
      </c>
      <c r="F6195" s="3">
        <f>VLOOKUP(B6195,airports!A:H,7,FALSE)</f>
        <v>35.87763889</v>
      </c>
      <c r="G6195" s="3">
        <f>VLOOKUP(B6195,airports!A:H,8,FALSE)</f>
        <v>-78.787472219999998</v>
      </c>
      <c r="H6195">
        <f t="shared" si="192"/>
        <v>3036.1</v>
      </c>
      <c r="I6195">
        <f t="shared" si="193"/>
        <v>1886.7</v>
      </c>
    </row>
    <row r="6196" spans="1:9" ht="30" x14ac:dyDescent="0.25">
      <c r="A6196" s="5" t="s">
        <v>104</v>
      </c>
      <c r="B6196" s="5" t="s">
        <v>121</v>
      </c>
      <c r="C6196" s="5" t="s">
        <v>6676</v>
      </c>
      <c r="D6196" s="3">
        <f>VLOOKUP(A6196,airports!A:H,7,FALSE)</f>
        <v>33.434166670000003</v>
      </c>
      <c r="E6196" s="3">
        <f>VLOOKUP(A6196,airports!A:H,8,FALSE)</f>
        <v>-112.00805560000001</v>
      </c>
      <c r="F6196" s="3">
        <f>VLOOKUP(B6196,airports!A:H,7,FALSE)</f>
        <v>39.498576110000002</v>
      </c>
      <c r="G6196" s="3">
        <f>VLOOKUP(B6196,airports!A:H,8,FALSE)</f>
        <v>-119.7680647</v>
      </c>
      <c r="H6196">
        <f t="shared" si="192"/>
        <v>966.9</v>
      </c>
      <c r="I6196">
        <f t="shared" si="193"/>
        <v>600.79999999999995</v>
      </c>
    </row>
    <row r="6197" spans="1:9" ht="30" x14ac:dyDescent="0.25">
      <c r="A6197" s="5" t="s">
        <v>104</v>
      </c>
      <c r="B6197" s="5" t="s">
        <v>2698</v>
      </c>
      <c r="C6197" s="5" t="s">
        <v>6677</v>
      </c>
      <c r="D6197" s="3">
        <f>VLOOKUP(A6197,airports!A:H,7,FALSE)</f>
        <v>33.434166670000003</v>
      </c>
      <c r="E6197" s="3">
        <f>VLOOKUP(A6197,airports!A:H,8,FALSE)</f>
        <v>-112.00805560000001</v>
      </c>
      <c r="F6197" s="3">
        <f>VLOOKUP(B6197,airports!A:H,7,FALSE)</f>
        <v>33.301555559999997</v>
      </c>
      <c r="G6197" s="3">
        <f>VLOOKUP(B6197,airports!A:H,8,FALSE)</f>
        <v>-104.5305556</v>
      </c>
      <c r="H6197">
        <f t="shared" si="192"/>
        <v>694.4</v>
      </c>
      <c r="I6197">
        <f t="shared" si="193"/>
        <v>431.5</v>
      </c>
    </row>
    <row r="6198" spans="1:9" ht="30" x14ac:dyDescent="0.25">
      <c r="A6198" s="5" t="s">
        <v>104</v>
      </c>
      <c r="B6198" s="5" t="s">
        <v>123</v>
      </c>
      <c r="C6198" s="5" t="s">
        <v>6678</v>
      </c>
      <c r="D6198" s="3">
        <f>VLOOKUP(A6198,airports!A:H,7,FALSE)</f>
        <v>33.434166670000003</v>
      </c>
      <c r="E6198" s="3">
        <f>VLOOKUP(A6198,airports!A:H,8,FALSE)</f>
        <v>-112.00805560000001</v>
      </c>
      <c r="F6198" s="3">
        <f>VLOOKUP(B6198,airports!A:H,7,FALSE)</f>
        <v>26.53616667</v>
      </c>
      <c r="G6198" s="3">
        <f>VLOOKUP(B6198,airports!A:H,8,FALSE)</f>
        <v>-81.755166669999994</v>
      </c>
      <c r="H6198">
        <f t="shared" si="192"/>
        <v>3001.2</v>
      </c>
      <c r="I6198">
        <f t="shared" si="193"/>
        <v>1865</v>
      </c>
    </row>
    <row r="6199" spans="1:9" ht="30" x14ac:dyDescent="0.25">
      <c r="A6199" s="5" t="s">
        <v>104</v>
      </c>
      <c r="B6199" s="5" t="s">
        <v>2486</v>
      </c>
      <c r="C6199" s="5" t="s">
        <v>6679</v>
      </c>
      <c r="D6199" s="3">
        <f>VLOOKUP(A6199,airports!A:H,7,FALSE)</f>
        <v>33.434166670000003</v>
      </c>
      <c r="E6199" s="3">
        <f>VLOOKUP(A6199,airports!A:H,8,FALSE)</f>
        <v>-112.00805560000001</v>
      </c>
      <c r="F6199" s="3">
        <f>VLOOKUP(B6199,airports!A:H,7,FALSE)</f>
        <v>35.61677778</v>
      </c>
      <c r="G6199" s="3">
        <f>VLOOKUP(B6199,airports!A:H,8,FALSE)</f>
        <v>-106.0881389</v>
      </c>
      <c r="H6199">
        <f t="shared" si="192"/>
        <v>594</v>
      </c>
      <c r="I6199">
        <f t="shared" si="193"/>
        <v>369.1</v>
      </c>
    </row>
    <row r="6200" spans="1:9" ht="30" x14ac:dyDescent="0.25">
      <c r="A6200" s="5" t="s">
        <v>104</v>
      </c>
      <c r="B6200" s="5" t="s">
        <v>124</v>
      </c>
      <c r="C6200" s="5" t="s">
        <v>6680</v>
      </c>
      <c r="D6200" s="3">
        <f>VLOOKUP(A6200,airports!A:H,7,FALSE)</f>
        <v>33.434166670000003</v>
      </c>
      <c r="E6200" s="3">
        <f>VLOOKUP(A6200,airports!A:H,8,FALSE)</f>
        <v>-112.00805560000001</v>
      </c>
      <c r="F6200" s="3">
        <f>VLOOKUP(B6200,airports!A:H,7,FALSE)</f>
        <v>32.733556110000002</v>
      </c>
      <c r="G6200" s="3">
        <f>VLOOKUP(B6200,airports!A:H,8,FALSE)</f>
        <v>-117.1896567</v>
      </c>
      <c r="H6200">
        <f t="shared" si="192"/>
        <v>488.9</v>
      </c>
      <c r="I6200">
        <f t="shared" si="193"/>
        <v>303.8</v>
      </c>
    </row>
    <row r="6201" spans="1:9" ht="30" x14ac:dyDescent="0.25">
      <c r="A6201" s="5" t="s">
        <v>104</v>
      </c>
      <c r="B6201" s="5" t="s">
        <v>125</v>
      </c>
      <c r="C6201" s="5" t="s">
        <v>6681</v>
      </c>
      <c r="D6201" s="3">
        <f>VLOOKUP(A6201,airports!A:H,7,FALSE)</f>
        <v>33.434166670000003</v>
      </c>
      <c r="E6201" s="3">
        <f>VLOOKUP(A6201,airports!A:H,8,FALSE)</f>
        <v>-112.00805560000001</v>
      </c>
      <c r="F6201" s="3">
        <f>VLOOKUP(B6201,airports!A:H,7,FALSE)</f>
        <v>29.533694440000001</v>
      </c>
      <c r="G6201" s="3">
        <f>VLOOKUP(B6201,airports!A:H,8,FALSE)</f>
        <v>-98.469777780000001</v>
      </c>
      <c r="H6201">
        <f t="shared" si="192"/>
        <v>1353.8</v>
      </c>
      <c r="I6201">
        <f t="shared" si="193"/>
        <v>841.3</v>
      </c>
    </row>
    <row r="6202" spans="1:9" ht="30" x14ac:dyDescent="0.25">
      <c r="A6202" s="5" t="s">
        <v>104</v>
      </c>
      <c r="B6202" s="5" t="s">
        <v>967</v>
      </c>
      <c r="C6202" s="5" t="s">
        <v>6682</v>
      </c>
      <c r="D6202" s="3">
        <f>VLOOKUP(A6202,airports!A:H,7,FALSE)</f>
        <v>33.434166670000003</v>
      </c>
      <c r="E6202" s="3">
        <f>VLOOKUP(A6202,airports!A:H,8,FALSE)</f>
        <v>-112.00805560000001</v>
      </c>
      <c r="F6202" s="3">
        <f>VLOOKUP(B6202,airports!A:H,7,FALSE)</f>
        <v>34.426211940000002</v>
      </c>
      <c r="G6202" s="3">
        <f>VLOOKUP(B6202,airports!A:H,8,FALSE)</f>
        <v>-119.8403733</v>
      </c>
      <c r="H6202">
        <f t="shared" si="192"/>
        <v>730.8</v>
      </c>
      <c r="I6202">
        <f t="shared" si="193"/>
        <v>454.1</v>
      </c>
    </row>
    <row r="6203" spans="1:9" ht="30" x14ac:dyDescent="0.25">
      <c r="A6203" s="5" t="s">
        <v>104</v>
      </c>
      <c r="B6203" s="5" t="s">
        <v>2493</v>
      </c>
      <c r="C6203" s="5" t="s">
        <v>6683</v>
      </c>
      <c r="D6203" s="3">
        <f>VLOOKUP(A6203,airports!A:H,7,FALSE)</f>
        <v>33.434166670000003</v>
      </c>
      <c r="E6203" s="3">
        <f>VLOOKUP(A6203,airports!A:H,8,FALSE)</f>
        <v>-112.00805560000001</v>
      </c>
      <c r="F6203" s="3">
        <f>VLOOKUP(B6203,airports!A:H,7,FALSE)</f>
        <v>35.237058060000003</v>
      </c>
      <c r="G6203" s="3">
        <f>VLOOKUP(B6203,airports!A:H,8,FALSE)</f>
        <v>-120.64239310000001</v>
      </c>
      <c r="H6203">
        <f t="shared" si="192"/>
        <v>817.4</v>
      </c>
      <c r="I6203">
        <f t="shared" si="193"/>
        <v>508</v>
      </c>
    </row>
    <row r="6204" spans="1:9" ht="30" x14ac:dyDescent="0.25">
      <c r="A6204" s="5" t="s">
        <v>104</v>
      </c>
      <c r="B6204" s="5" t="s">
        <v>900</v>
      </c>
      <c r="C6204" s="5" t="s">
        <v>6684</v>
      </c>
      <c r="D6204" s="3">
        <f>VLOOKUP(A6204,airports!A:H,7,FALSE)</f>
        <v>33.434166670000003</v>
      </c>
      <c r="E6204" s="3">
        <f>VLOOKUP(A6204,airports!A:H,8,FALSE)</f>
        <v>-112.00805560000001</v>
      </c>
      <c r="F6204" s="3">
        <f>VLOOKUP(B6204,airports!A:H,7,FALSE)</f>
        <v>37.894199371337997</v>
      </c>
      <c r="G6204" s="3">
        <f>VLOOKUP(B6204,airports!A:H,8,FALSE)</f>
        <v>-121.2379989624</v>
      </c>
      <c r="H6204">
        <f t="shared" si="192"/>
        <v>969.4</v>
      </c>
      <c r="I6204">
        <f t="shared" si="193"/>
        <v>602.4</v>
      </c>
    </row>
    <row r="6205" spans="1:9" ht="30" x14ac:dyDescent="0.25">
      <c r="A6205" s="5" t="s">
        <v>104</v>
      </c>
      <c r="B6205" s="5" t="s">
        <v>630</v>
      </c>
      <c r="C6205" s="5" t="s">
        <v>6685</v>
      </c>
      <c r="D6205" s="3">
        <f>VLOOKUP(A6205,airports!A:H,7,FALSE)</f>
        <v>33.434166670000003</v>
      </c>
      <c r="E6205" s="3">
        <f>VLOOKUP(A6205,airports!A:H,8,FALSE)</f>
        <v>-112.00805560000001</v>
      </c>
      <c r="F6205" s="3">
        <f>VLOOKUP(B6205,airports!A:H,7,FALSE)</f>
        <v>38.174388890000003</v>
      </c>
      <c r="G6205" s="3">
        <f>VLOOKUP(B6205,airports!A:H,8,FALSE)</f>
        <v>-85.736000000000004</v>
      </c>
      <c r="H6205">
        <f t="shared" si="192"/>
        <v>2418.4</v>
      </c>
      <c r="I6205">
        <f t="shared" si="193"/>
        <v>1502.8</v>
      </c>
    </row>
    <row r="6206" spans="1:9" ht="30" x14ac:dyDescent="0.25">
      <c r="A6206" s="5" t="s">
        <v>104</v>
      </c>
      <c r="B6206" s="5" t="s">
        <v>128</v>
      </c>
      <c r="C6206" s="5" t="s">
        <v>6686</v>
      </c>
      <c r="D6206" s="3">
        <f>VLOOKUP(A6206,airports!A:H,7,FALSE)</f>
        <v>33.434166670000003</v>
      </c>
      <c r="E6206" s="3">
        <f>VLOOKUP(A6206,airports!A:H,8,FALSE)</f>
        <v>-112.00805560000001</v>
      </c>
      <c r="F6206" s="3">
        <f>VLOOKUP(B6206,airports!A:H,7,FALSE)</f>
        <v>47.448981940000003</v>
      </c>
      <c r="G6206" s="3">
        <f>VLOOKUP(B6206,airports!A:H,8,FALSE)</f>
        <v>-122.3093131</v>
      </c>
      <c r="H6206">
        <f t="shared" si="192"/>
        <v>1782</v>
      </c>
      <c r="I6206">
        <f t="shared" si="193"/>
        <v>1107.4000000000001</v>
      </c>
    </row>
    <row r="6207" spans="1:9" ht="30" x14ac:dyDescent="0.25">
      <c r="A6207" s="5" t="s">
        <v>104</v>
      </c>
      <c r="B6207" s="5" t="s">
        <v>130</v>
      </c>
      <c r="C6207" s="5" t="s">
        <v>6687</v>
      </c>
      <c r="D6207" s="3">
        <f>VLOOKUP(A6207,airports!A:H,7,FALSE)</f>
        <v>33.434166670000003</v>
      </c>
      <c r="E6207" s="3">
        <f>VLOOKUP(A6207,airports!A:H,8,FALSE)</f>
        <v>-112.00805560000001</v>
      </c>
      <c r="F6207" s="3">
        <f>VLOOKUP(B6207,airports!A:H,7,FALSE)</f>
        <v>37.619001939999997</v>
      </c>
      <c r="G6207" s="3">
        <f>VLOOKUP(B6207,airports!A:H,8,FALSE)</f>
        <v>-122.37484329999999</v>
      </c>
      <c r="H6207">
        <f t="shared" si="192"/>
        <v>1046.4000000000001</v>
      </c>
      <c r="I6207">
        <f t="shared" si="193"/>
        <v>650.20000000000005</v>
      </c>
    </row>
    <row r="6208" spans="1:9" ht="30" x14ac:dyDescent="0.25">
      <c r="A6208" s="5" t="s">
        <v>104</v>
      </c>
      <c r="B6208" s="5" t="s">
        <v>904</v>
      </c>
      <c r="C6208" s="5" t="s">
        <v>6688</v>
      </c>
      <c r="D6208" s="3">
        <f>VLOOKUP(A6208,airports!A:H,7,FALSE)</f>
        <v>33.434166670000003</v>
      </c>
      <c r="E6208" s="3">
        <f>VLOOKUP(A6208,airports!A:H,8,FALSE)</f>
        <v>-112.00805560000001</v>
      </c>
      <c r="F6208" s="3">
        <f>VLOOKUP(B6208,airports!A:H,7,FALSE)</f>
        <v>37.090583330000001</v>
      </c>
      <c r="G6208" s="3">
        <f>VLOOKUP(B6208,airports!A:H,8,FALSE)</f>
        <v>-113.5930556</v>
      </c>
      <c r="H6208">
        <f t="shared" si="192"/>
        <v>431.3</v>
      </c>
      <c r="I6208">
        <f t="shared" si="193"/>
        <v>268</v>
      </c>
    </row>
    <row r="6209" spans="1:9" x14ac:dyDescent="0.25">
      <c r="A6209" s="5" t="s">
        <v>104</v>
      </c>
      <c r="B6209" s="5" t="s">
        <v>131</v>
      </c>
      <c r="C6209" s="5" t="s">
        <v>6689</v>
      </c>
      <c r="D6209" s="3">
        <f>VLOOKUP(A6209,airports!A:H,7,FALSE)</f>
        <v>33.434166670000003</v>
      </c>
      <c r="E6209" s="3">
        <f>VLOOKUP(A6209,airports!A:H,8,FALSE)</f>
        <v>-112.00805560000001</v>
      </c>
      <c r="F6209" s="3">
        <f>VLOOKUP(B6209,airports!A:H,7,FALSE)</f>
        <v>37.361861939999997</v>
      </c>
      <c r="G6209" s="3">
        <f>VLOOKUP(B6209,airports!A:H,8,FALSE)</f>
        <v>-121.9290089</v>
      </c>
      <c r="H6209">
        <f t="shared" si="192"/>
        <v>998.9</v>
      </c>
      <c r="I6209">
        <f t="shared" si="193"/>
        <v>620.79999999999995</v>
      </c>
    </row>
    <row r="6210" spans="1:9" x14ac:dyDescent="0.25">
      <c r="A6210" s="5" t="s">
        <v>104</v>
      </c>
      <c r="B6210" s="5" t="s">
        <v>135</v>
      </c>
      <c r="C6210" s="5" t="s">
        <v>6690</v>
      </c>
      <c r="D6210" s="3">
        <f>VLOOKUP(A6210,airports!A:H,7,FALSE)</f>
        <v>33.434166670000003</v>
      </c>
      <c r="E6210" s="3">
        <f>VLOOKUP(A6210,airports!A:H,8,FALSE)</f>
        <v>-112.00805560000001</v>
      </c>
      <c r="F6210" s="3">
        <f>VLOOKUP(B6210,airports!A:H,7,FALSE)</f>
        <v>40.788387780000001</v>
      </c>
      <c r="G6210" s="3">
        <f>VLOOKUP(B6210,airports!A:H,8,FALSE)</f>
        <v>-111.97777309999999</v>
      </c>
      <c r="H6210">
        <f t="shared" si="192"/>
        <v>817.8</v>
      </c>
      <c r="I6210">
        <f t="shared" si="193"/>
        <v>508.2</v>
      </c>
    </row>
    <row r="6211" spans="1:9" ht="30" x14ac:dyDescent="0.25">
      <c r="A6211" s="5" t="s">
        <v>104</v>
      </c>
      <c r="B6211" s="5" t="s">
        <v>137</v>
      </c>
      <c r="C6211" s="5" t="s">
        <v>6691</v>
      </c>
      <c r="D6211" s="3">
        <f>VLOOKUP(A6211,airports!A:H,7,FALSE)</f>
        <v>33.434166670000003</v>
      </c>
      <c r="E6211" s="3">
        <f>VLOOKUP(A6211,airports!A:H,8,FALSE)</f>
        <v>-112.00805560000001</v>
      </c>
      <c r="F6211" s="3">
        <f>VLOOKUP(B6211,airports!A:H,7,FALSE)</f>
        <v>38.695421670000002</v>
      </c>
      <c r="G6211" s="3">
        <f>VLOOKUP(B6211,airports!A:H,8,FALSE)</f>
        <v>-121.59076690000001</v>
      </c>
      <c r="H6211">
        <f t="shared" si="192"/>
        <v>1040.3</v>
      </c>
      <c r="I6211">
        <f t="shared" si="193"/>
        <v>646.4</v>
      </c>
    </row>
    <row r="6212" spans="1:9" ht="30" x14ac:dyDescent="0.25">
      <c r="A6212" s="5" t="s">
        <v>104</v>
      </c>
      <c r="B6212" s="5" t="s">
        <v>227</v>
      </c>
      <c r="C6212" s="5" t="s">
        <v>6692</v>
      </c>
      <c r="D6212" s="3">
        <f>VLOOKUP(A6212,airports!A:H,7,FALSE)</f>
        <v>33.434166670000003</v>
      </c>
      <c r="E6212" s="3">
        <f>VLOOKUP(A6212,airports!A:H,8,FALSE)</f>
        <v>-112.00805560000001</v>
      </c>
      <c r="F6212" s="3">
        <f>VLOOKUP(B6212,airports!A:H,7,FALSE)</f>
        <v>33.675658609999999</v>
      </c>
      <c r="G6212" s="3">
        <f>VLOOKUP(B6212,airports!A:H,8,FALSE)</f>
        <v>-117.8682225</v>
      </c>
      <c r="H6212">
        <f t="shared" ref="H6212:H6275" si="194">ROUND(ACOS(COS(RADIANS(90-D6212)) * COS(RADIANS(90-F6212)) + SIN(RADIANS(90-D6212)) * SIN(RADIANS(90-F6212)) * COS(RADIANS(E6212-G6212))) * 6371,1)</f>
        <v>543.6</v>
      </c>
      <c r="I6212">
        <f t="shared" ref="I6212:I6275" si="195">ROUND(ACOS(COS(RADIANS(90-D6212)) * COS(RADIANS(90-F6212)) + SIN(RADIANS(90-D6212)) * SIN(RADIANS(90-F6212)) * COS(RADIANS(E6212-G6212))) * 3959,1)</f>
        <v>337.8</v>
      </c>
    </row>
    <row r="6213" spans="1:9" x14ac:dyDescent="0.25">
      <c r="A6213" s="5" t="s">
        <v>104</v>
      </c>
      <c r="B6213" s="5" t="s">
        <v>644</v>
      </c>
      <c r="C6213" s="5" t="s">
        <v>6693</v>
      </c>
      <c r="D6213" s="3">
        <f>VLOOKUP(A6213,airports!A:H,7,FALSE)</f>
        <v>33.434166670000003</v>
      </c>
      <c r="E6213" s="3">
        <f>VLOOKUP(A6213,airports!A:H,8,FALSE)</f>
        <v>-112.00805560000001</v>
      </c>
      <c r="F6213" s="3">
        <f>VLOOKUP(B6213,airports!A:H,7,FALSE)</f>
        <v>38.747686940000001</v>
      </c>
      <c r="G6213" s="3">
        <f>VLOOKUP(B6213,airports!A:H,8,FALSE)</f>
        <v>-90.359989720000002</v>
      </c>
      <c r="H6213">
        <f t="shared" si="194"/>
        <v>2027.3</v>
      </c>
      <c r="I6213">
        <f t="shared" si="195"/>
        <v>1259.8</v>
      </c>
    </row>
    <row r="6214" spans="1:9" x14ac:dyDescent="0.25">
      <c r="A6214" s="5" t="s">
        <v>104</v>
      </c>
      <c r="B6214" s="5" t="s">
        <v>1413</v>
      </c>
      <c r="C6214" s="5" t="s">
        <v>6694</v>
      </c>
      <c r="D6214" s="3">
        <f>VLOOKUP(A6214,airports!A:H,7,FALSE)</f>
        <v>33.434166670000003</v>
      </c>
      <c r="E6214" s="3">
        <f>VLOOKUP(A6214,airports!A:H,8,FALSE)</f>
        <v>-112.00805560000001</v>
      </c>
      <c r="F6214" s="3">
        <f>VLOOKUP(B6214,airports!A:H,7,FALSE)</f>
        <v>38.508998869999999</v>
      </c>
      <c r="G6214" s="3">
        <f>VLOOKUP(B6214,airports!A:H,8,FALSE)</f>
        <v>-122.81300349999999</v>
      </c>
      <c r="H6214">
        <f t="shared" si="194"/>
        <v>1123.0999999999999</v>
      </c>
      <c r="I6214">
        <f t="shared" si="195"/>
        <v>697.9</v>
      </c>
    </row>
    <row r="6215" spans="1:9" ht="30" x14ac:dyDescent="0.25">
      <c r="A6215" s="5" t="s">
        <v>104</v>
      </c>
      <c r="B6215" s="5" t="s">
        <v>145</v>
      </c>
      <c r="C6215" s="5" t="s">
        <v>6695</v>
      </c>
      <c r="D6215" s="3">
        <f>VLOOKUP(A6215,airports!A:H,7,FALSE)</f>
        <v>33.434166670000003</v>
      </c>
      <c r="E6215" s="3">
        <f>VLOOKUP(A6215,airports!A:H,8,FALSE)</f>
        <v>-112.00805560000001</v>
      </c>
      <c r="F6215" s="3">
        <f>VLOOKUP(B6215,airports!A:H,7,FALSE)</f>
        <v>27.97547222</v>
      </c>
      <c r="G6215" s="3">
        <f>VLOOKUP(B6215,airports!A:H,8,FALSE)</f>
        <v>-82.533249999999995</v>
      </c>
      <c r="H6215">
        <f t="shared" si="194"/>
        <v>2872.4</v>
      </c>
      <c r="I6215">
        <f t="shared" si="195"/>
        <v>1784.9</v>
      </c>
    </row>
    <row r="6216" spans="1:9" ht="30" x14ac:dyDescent="0.25">
      <c r="A6216" s="5" t="s">
        <v>104</v>
      </c>
      <c r="B6216" s="5" t="s">
        <v>658</v>
      </c>
      <c r="C6216" s="5" t="s">
        <v>6696</v>
      </c>
      <c r="D6216" s="3">
        <f>VLOOKUP(A6216,airports!A:H,7,FALSE)</f>
        <v>33.434166670000003</v>
      </c>
      <c r="E6216" s="3">
        <f>VLOOKUP(A6216,airports!A:H,8,FALSE)</f>
        <v>-112.00805560000001</v>
      </c>
      <c r="F6216" s="3">
        <f>VLOOKUP(B6216,airports!A:H,7,FALSE)</f>
        <v>36.198372220000003</v>
      </c>
      <c r="G6216" s="3">
        <f>VLOOKUP(B6216,airports!A:H,8,FALSE)</f>
        <v>-95.888241669999999</v>
      </c>
      <c r="H6216">
        <f t="shared" si="194"/>
        <v>1501.4</v>
      </c>
      <c r="I6216">
        <f t="shared" si="195"/>
        <v>933</v>
      </c>
    </row>
    <row r="6217" spans="1:9" ht="30" x14ac:dyDescent="0.25">
      <c r="A6217" s="5" t="s">
        <v>104</v>
      </c>
      <c r="B6217" s="5" t="s">
        <v>660</v>
      </c>
      <c r="C6217" s="5" t="s">
        <v>6697</v>
      </c>
      <c r="D6217" s="3">
        <f>VLOOKUP(A6217,airports!A:H,7,FALSE)</f>
        <v>33.434166670000003</v>
      </c>
      <c r="E6217" s="3">
        <f>VLOOKUP(A6217,airports!A:H,8,FALSE)</f>
        <v>-112.00805560000001</v>
      </c>
      <c r="F6217" s="3">
        <f>VLOOKUP(B6217,airports!A:H,7,FALSE)</f>
        <v>32.116083330000002</v>
      </c>
      <c r="G6217" s="3">
        <f>VLOOKUP(B6217,airports!A:H,8,FALSE)</f>
        <v>-110.9410278</v>
      </c>
      <c r="H6217">
        <f t="shared" si="194"/>
        <v>177.3</v>
      </c>
      <c r="I6217">
        <f t="shared" si="195"/>
        <v>110.2</v>
      </c>
    </row>
    <row r="6218" spans="1:9" x14ac:dyDescent="0.25">
      <c r="A6218" s="5" t="s">
        <v>104</v>
      </c>
      <c r="B6218" s="5" t="s">
        <v>664</v>
      </c>
      <c r="C6218" s="5" t="s">
        <v>6698</v>
      </c>
      <c r="D6218" s="3">
        <f>VLOOKUP(A6218,airports!A:H,7,FALSE)</f>
        <v>33.434166670000003</v>
      </c>
      <c r="E6218" s="3">
        <f>VLOOKUP(A6218,airports!A:H,8,FALSE)</f>
        <v>-112.00805560000001</v>
      </c>
      <c r="F6218" s="3">
        <f>VLOOKUP(B6218,airports!A:H,7,FALSE)</f>
        <v>35.812487220000001</v>
      </c>
      <c r="G6218" s="3">
        <f>VLOOKUP(B6218,airports!A:H,8,FALSE)</f>
        <v>-83.992855829999996</v>
      </c>
      <c r="H6218">
        <f t="shared" si="194"/>
        <v>2568.3000000000002</v>
      </c>
      <c r="I6218">
        <f t="shared" si="195"/>
        <v>1596</v>
      </c>
    </row>
    <row r="6219" spans="1:9" ht="30" x14ac:dyDescent="0.25">
      <c r="A6219" s="5" t="s">
        <v>104</v>
      </c>
      <c r="B6219" s="5" t="s">
        <v>2744</v>
      </c>
      <c r="C6219" s="5" t="s">
        <v>6699</v>
      </c>
      <c r="D6219" s="3">
        <f>VLOOKUP(A6219,airports!A:H,7,FALSE)</f>
        <v>33.434166670000003</v>
      </c>
      <c r="E6219" s="3">
        <f>VLOOKUP(A6219,airports!A:H,8,FALSE)</f>
        <v>-112.00805560000001</v>
      </c>
      <c r="F6219" s="3">
        <f>VLOOKUP(B6219,airports!A:H,7,FALSE)</f>
        <v>32.656583329999997</v>
      </c>
      <c r="G6219" s="3">
        <f>VLOOKUP(B6219,airports!A:H,8,FALSE)</f>
        <v>-114.6059722</v>
      </c>
      <c r="H6219">
        <f t="shared" si="194"/>
        <v>257.10000000000002</v>
      </c>
      <c r="I6219">
        <f t="shared" si="195"/>
        <v>159.80000000000001</v>
      </c>
    </row>
    <row r="6220" spans="1:9" x14ac:dyDescent="0.25">
      <c r="A6220" s="5" t="s">
        <v>604</v>
      </c>
      <c r="B6220" s="5" t="s">
        <v>10</v>
      </c>
      <c r="C6220" s="5" t="s">
        <v>6700</v>
      </c>
      <c r="D6220" s="3">
        <f>VLOOKUP(A6220,airports!A:H,7,FALSE)</f>
        <v>40.664243329999998</v>
      </c>
      <c r="E6220" s="3">
        <f>VLOOKUP(A6220,airports!A:H,8,FALSE)</f>
        <v>-89.693305559999999</v>
      </c>
      <c r="F6220" s="3">
        <f>VLOOKUP(B6220,airports!A:H,7,FALSE)</f>
        <v>33.640444440000003</v>
      </c>
      <c r="G6220" s="3">
        <f>VLOOKUP(B6220,airports!A:H,8,FALSE)</f>
        <v>-84.42694444</v>
      </c>
      <c r="H6220">
        <f t="shared" si="194"/>
        <v>909.4</v>
      </c>
      <c r="I6220">
        <f t="shared" si="195"/>
        <v>565.1</v>
      </c>
    </row>
    <row r="6221" spans="1:9" x14ac:dyDescent="0.25">
      <c r="A6221" s="5" t="s">
        <v>604</v>
      </c>
      <c r="B6221" s="5" t="s">
        <v>329</v>
      </c>
      <c r="C6221" s="5" t="s">
        <v>6701</v>
      </c>
      <c r="D6221" s="3">
        <f>VLOOKUP(A6221,airports!A:H,7,FALSE)</f>
        <v>40.664243329999998</v>
      </c>
      <c r="E6221" s="3">
        <f>VLOOKUP(A6221,airports!A:H,8,FALSE)</f>
        <v>-89.693305559999999</v>
      </c>
      <c r="F6221" s="3">
        <f>VLOOKUP(B6221,airports!A:H,7,FALSE)</f>
        <v>33.308999999999997</v>
      </c>
      <c r="G6221" s="3">
        <f>VLOOKUP(B6221,airports!A:H,8,FALSE)</f>
        <v>-111.6559</v>
      </c>
      <c r="H6221">
        <f t="shared" si="194"/>
        <v>2107.9</v>
      </c>
      <c r="I6221">
        <f t="shared" si="195"/>
        <v>1309.8</v>
      </c>
    </row>
    <row r="6222" spans="1:9" ht="30" x14ac:dyDescent="0.25">
      <c r="A6222" s="5" t="s">
        <v>604</v>
      </c>
      <c r="B6222" s="5" t="s">
        <v>19</v>
      </c>
      <c r="C6222" s="5" t="s">
        <v>6702</v>
      </c>
      <c r="D6222" s="3">
        <f>VLOOKUP(A6222,airports!A:H,7,FALSE)</f>
        <v>40.664243329999998</v>
      </c>
      <c r="E6222" s="3">
        <f>VLOOKUP(A6222,airports!A:H,8,FALSE)</f>
        <v>-89.693305559999999</v>
      </c>
      <c r="F6222" s="3">
        <f>VLOOKUP(B6222,airports!A:H,7,FALSE)</f>
        <v>36.12447667</v>
      </c>
      <c r="G6222" s="3">
        <f>VLOOKUP(B6222,airports!A:H,8,FALSE)</f>
        <v>-86.678182219999997</v>
      </c>
      <c r="H6222">
        <f t="shared" si="194"/>
        <v>569</v>
      </c>
      <c r="I6222">
        <f t="shared" si="195"/>
        <v>353.6</v>
      </c>
    </row>
    <row r="6223" spans="1:9" x14ac:dyDescent="0.25">
      <c r="A6223" s="5" t="s">
        <v>604</v>
      </c>
      <c r="B6223" s="5" t="s">
        <v>40</v>
      </c>
      <c r="C6223" s="5" t="s">
        <v>6703</v>
      </c>
      <c r="D6223" s="3">
        <f>VLOOKUP(A6223,airports!A:H,7,FALSE)</f>
        <v>40.664243329999998</v>
      </c>
      <c r="E6223" s="3">
        <f>VLOOKUP(A6223,airports!A:H,8,FALSE)</f>
        <v>-89.693305559999999</v>
      </c>
      <c r="F6223" s="3">
        <f>VLOOKUP(B6223,airports!A:H,7,FALSE)</f>
        <v>35.214011110000001</v>
      </c>
      <c r="G6223" s="3">
        <f>VLOOKUP(B6223,airports!A:H,8,FALSE)</f>
        <v>-80.94312583</v>
      </c>
      <c r="H6223">
        <f t="shared" si="194"/>
        <v>976.9</v>
      </c>
      <c r="I6223">
        <f t="shared" si="195"/>
        <v>607.1</v>
      </c>
    </row>
    <row r="6224" spans="1:9" ht="30" x14ac:dyDescent="0.25">
      <c r="A6224" s="5" t="s">
        <v>604</v>
      </c>
      <c r="B6224" s="5" t="s">
        <v>47</v>
      </c>
      <c r="C6224" s="5" t="s">
        <v>6704</v>
      </c>
      <c r="D6224" s="3">
        <f>VLOOKUP(A6224,airports!A:H,7,FALSE)</f>
        <v>40.664243329999998</v>
      </c>
      <c r="E6224" s="3">
        <f>VLOOKUP(A6224,airports!A:H,8,FALSE)</f>
        <v>-89.693305559999999</v>
      </c>
      <c r="F6224" s="3">
        <f>VLOOKUP(B6224,airports!A:H,7,FALSE)</f>
        <v>39.858408060000002</v>
      </c>
      <c r="G6224" s="3">
        <f>VLOOKUP(B6224,airports!A:H,8,FALSE)</f>
        <v>-104.6670019</v>
      </c>
      <c r="H6224">
        <f t="shared" si="194"/>
        <v>1272.2</v>
      </c>
      <c r="I6224">
        <f t="shared" si="195"/>
        <v>790.5</v>
      </c>
    </row>
    <row r="6225" spans="1:9" ht="30" x14ac:dyDescent="0.25">
      <c r="A6225" s="5" t="s">
        <v>604</v>
      </c>
      <c r="B6225" s="5" t="s">
        <v>49</v>
      </c>
      <c r="C6225" s="5" t="s">
        <v>6705</v>
      </c>
      <c r="D6225" s="3">
        <f>VLOOKUP(A6225,airports!A:H,7,FALSE)</f>
        <v>40.664243329999998</v>
      </c>
      <c r="E6225" s="3">
        <f>VLOOKUP(A6225,airports!A:H,8,FALSE)</f>
        <v>-89.693305559999999</v>
      </c>
      <c r="F6225" s="3">
        <f>VLOOKUP(B6225,airports!A:H,7,FALSE)</f>
        <v>32.895950560000003</v>
      </c>
      <c r="G6225" s="3">
        <f>VLOOKUP(B6225,airports!A:H,8,FALSE)</f>
        <v>-97.037199999999999</v>
      </c>
      <c r="H6225">
        <f t="shared" si="194"/>
        <v>1082.5999999999999</v>
      </c>
      <c r="I6225">
        <f t="shared" si="195"/>
        <v>672.7</v>
      </c>
    </row>
    <row r="6226" spans="1:9" ht="30" x14ac:dyDescent="0.25">
      <c r="A6226" s="5" t="s">
        <v>604</v>
      </c>
      <c r="B6226" s="5" t="s">
        <v>50</v>
      </c>
      <c r="C6226" s="5" t="s">
        <v>6706</v>
      </c>
      <c r="D6226" s="3">
        <f>VLOOKUP(A6226,airports!A:H,7,FALSE)</f>
        <v>40.664243329999998</v>
      </c>
      <c r="E6226" s="3">
        <f>VLOOKUP(A6226,airports!A:H,8,FALSE)</f>
        <v>-89.693305559999999</v>
      </c>
      <c r="F6226" s="3">
        <f>VLOOKUP(B6226,airports!A:H,7,FALSE)</f>
        <v>42.212058890000002</v>
      </c>
      <c r="G6226" s="3">
        <f>VLOOKUP(B6226,airports!A:H,8,FALSE)</f>
        <v>-83.348835829999999</v>
      </c>
      <c r="H6226">
        <f t="shared" si="194"/>
        <v>556</v>
      </c>
      <c r="I6226">
        <f t="shared" si="195"/>
        <v>345.5</v>
      </c>
    </row>
    <row r="6227" spans="1:9" x14ac:dyDescent="0.25">
      <c r="A6227" s="5" t="s">
        <v>604</v>
      </c>
      <c r="B6227" s="5" t="s">
        <v>57</v>
      </c>
      <c r="C6227" s="5" t="s">
        <v>6707</v>
      </c>
      <c r="D6227" s="3">
        <f>VLOOKUP(A6227,airports!A:H,7,FALSE)</f>
        <v>40.664243329999998</v>
      </c>
      <c r="E6227" s="3">
        <f>VLOOKUP(A6227,airports!A:H,8,FALSE)</f>
        <v>-89.693305559999999</v>
      </c>
      <c r="F6227" s="3">
        <f>VLOOKUP(B6227,airports!A:H,7,FALSE)</f>
        <v>26.072583330000001</v>
      </c>
      <c r="G6227" s="3">
        <f>VLOOKUP(B6227,airports!A:H,8,FALSE)</f>
        <v>-80.152749999999997</v>
      </c>
      <c r="H6227">
        <f t="shared" si="194"/>
        <v>1845.9</v>
      </c>
      <c r="I6227">
        <f t="shared" si="195"/>
        <v>1147</v>
      </c>
    </row>
    <row r="6228" spans="1:9" x14ac:dyDescent="0.25">
      <c r="A6228" s="5" t="s">
        <v>604</v>
      </c>
      <c r="B6228" s="5" t="s">
        <v>71</v>
      </c>
      <c r="C6228" s="5" t="s">
        <v>6708</v>
      </c>
      <c r="D6228" s="3">
        <f>VLOOKUP(A6228,airports!A:H,7,FALSE)</f>
        <v>40.664243329999998</v>
      </c>
      <c r="E6228" s="3">
        <f>VLOOKUP(A6228,airports!A:H,8,FALSE)</f>
        <v>-89.693305559999999</v>
      </c>
      <c r="F6228" s="3">
        <f>VLOOKUP(B6228,airports!A:H,7,FALSE)</f>
        <v>36.080361109999998</v>
      </c>
      <c r="G6228" s="3">
        <f>VLOOKUP(B6228,airports!A:H,8,FALSE)</f>
        <v>-115.1523333</v>
      </c>
      <c r="H6228">
        <f t="shared" si="194"/>
        <v>2268.6</v>
      </c>
      <c r="I6228">
        <f t="shared" si="195"/>
        <v>1409.7</v>
      </c>
    </row>
    <row r="6229" spans="1:9" ht="30" x14ac:dyDescent="0.25">
      <c r="A6229" s="5" t="s">
        <v>604</v>
      </c>
      <c r="B6229" s="5" t="s">
        <v>87</v>
      </c>
      <c r="C6229" s="5" t="s">
        <v>6709</v>
      </c>
      <c r="D6229" s="3">
        <f>VLOOKUP(A6229,airports!A:H,7,FALSE)</f>
        <v>40.664243329999998</v>
      </c>
      <c r="E6229" s="3">
        <f>VLOOKUP(A6229,airports!A:H,8,FALSE)</f>
        <v>-89.693305559999999</v>
      </c>
      <c r="F6229" s="3">
        <f>VLOOKUP(B6229,airports!A:H,7,FALSE)</f>
        <v>44.880546940000002</v>
      </c>
      <c r="G6229" s="3">
        <f>VLOOKUP(B6229,airports!A:H,8,FALSE)</f>
        <v>-93.216922499999995</v>
      </c>
      <c r="H6229">
        <f t="shared" si="194"/>
        <v>549.9</v>
      </c>
      <c r="I6229">
        <f t="shared" si="195"/>
        <v>341.7</v>
      </c>
    </row>
    <row r="6230" spans="1:9" ht="30" x14ac:dyDescent="0.25">
      <c r="A6230" s="5" t="s">
        <v>604</v>
      </c>
      <c r="B6230" s="5" t="s">
        <v>95</v>
      </c>
      <c r="C6230" s="5" t="s">
        <v>6710</v>
      </c>
      <c r="D6230" s="3">
        <f>VLOOKUP(A6230,airports!A:H,7,FALSE)</f>
        <v>40.664243329999998</v>
      </c>
      <c r="E6230" s="3">
        <f>VLOOKUP(A6230,airports!A:H,8,FALSE)</f>
        <v>-89.693305559999999</v>
      </c>
      <c r="F6230" s="3">
        <f>VLOOKUP(B6230,airports!A:H,7,FALSE)</f>
        <v>41.979595000000003</v>
      </c>
      <c r="G6230" s="3">
        <f>VLOOKUP(B6230,airports!A:H,8,FALSE)</f>
        <v>-87.904464169999997</v>
      </c>
      <c r="H6230">
        <f t="shared" si="194"/>
        <v>209.1</v>
      </c>
      <c r="I6230">
        <f t="shared" si="195"/>
        <v>129.9</v>
      </c>
    </row>
    <row r="6231" spans="1:9" ht="30" x14ac:dyDescent="0.25">
      <c r="A6231" s="5" t="s">
        <v>604</v>
      </c>
      <c r="B6231" s="5" t="s">
        <v>185</v>
      </c>
      <c r="C6231" s="5" t="s">
        <v>6711</v>
      </c>
      <c r="D6231" s="3">
        <f>VLOOKUP(A6231,airports!A:H,7,FALSE)</f>
        <v>40.664243329999998</v>
      </c>
      <c r="E6231" s="3">
        <f>VLOOKUP(A6231,airports!A:H,8,FALSE)</f>
        <v>-89.693305559999999</v>
      </c>
      <c r="F6231" s="3">
        <f>VLOOKUP(B6231,airports!A:H,7,FALSE)</f>
        <v>26.919699999999999</v>
      </c>
      <c r="G6231" s="3">
        <f>VLOOKUP(B6231,airports!A:H,8,FALSE)</f>
        <v>-81.995999999999995</v>
      </c>
      <c r="H6231">
        <f t="shared" si="194"/>
        <v>1684</v>
      </c>
      <c r="I6231">
        <f t="shared" si="195"/>
        <v>1046.4000000000001</v>
      </c>
    </row>
    <row r="6232" spans="1:9" x14ac:dyDescent="0.25">
      <c r="A6232" s="5" t="s">
        <v>604</v>
      </c>
      <c r="B6232" s="5" t="s">
        <v>188</v>
      </c>
      <c r="C6232" s="5" t="s">
        <v>6712</v>
      </c>
      <c r="D6232" s="3">
        <f>VLOOKUP(A6232,airports!A:H,7,FALSE)</f>
        <v>40.664243329999998</v>
      </c>
      <c r="E6232" s="3">
        <f>VLOOKUP(A6232,airports!A:H,8,FALSE)</f>
        <v>-89.693305559999999</v>
      </c>
      <c r="F6232" s="3">
        <f>VLOOKUP(B6232,airports!A:H,7,FALSE)</f>
        <v>27.910763330000002</v>
      </c>
      <c r="G6232" s="3">
        <f>VLOOKUP(B6232,airports!A:H,8,FALSE)</f>
        <v>-82.687439440000006</v>
      </c>
      <c r="H6232">
        <f t="shared" si="194"/>
        <v>1556</v>
      </c>
      <c r="I6232">
        <f t="shared" si="195"/>
        <v>966.9</v>
      </c>
    </row>
    <row r="6233" spans="1:9" x14ac:dyDescent="0.25">
      <c r="A6233" s="5" t="s">
        <v>604</v>
      </c>
      <c r="B6233" s="5" t="s">
        <v>612</v>
      </c>
      <c r="C6233" s="5" t="s">
        <v>6713</v>
      </c>
      <c r="D6233" s="3">
        <f>VLOOKUP(A6233,airports!A:H,7,FALSE)</f>
        <v>40.664243329999998</v>
      </c>
      <c r="E6233" s="3">
        <f>VLOOKUP(A6233,airports!A:H,8,FALSE)</f>
        <v>-89.693305559999999</v>
      </c>
      <c r="F6233" s="3">
        <f>VLOOKUP(B6233,airports!A:H,7,FALSE)</f>
        <v>44.045321389999998</v>
      </c>
      <c r="G6233" s="3">
        <f>VLOOKUP(B6233,airports!A:H,8,FALSE)</f>
        <v>-103.0573708</v>
      </c>
      <c r="H6233">
        <f t="shared" si="194"/>
        <v>1159.0999999999999</v>
      </c>
      <c r="I6233">
        <f t="shared" si="195"/>
        <v>720.3</v>
      </c>
    </row>
    <row r="6234" spans="1:9" x14ac:dyDescent="0.25">
      <c r="A6234" s="5" t="s">
        <v>604</v>
      </c>
      <c r="B6234" s="5" t="s">
        <v>191</v>
      </c>
      <c r="C6234" s="5" t="s">
        <v>6714</v>
      </c>
      <c r="D6234" s="3">
        <f>VLOOKUP(A6234,airports!A:H,7,FALSE)</f>
        <v>40.664243329999998</v>
      </c>
      <c r="E6234" s="3">
        <f>VLOOKUP(A6234,airports!A:H,8,FALSE)</f>
        <v>-89.693305559999999</v>
      </c>
      <c r="F6234" s="3">
        <f>VLOOKUP(B6234,airports!A:H,7,FALSE)</f>
        <v>28.7776</v>
      </c>
      <c r="G6234" s="3">
        <f>VLOOKUP(B6234,airports!A:H,8,FALSE)</f>
        <v>-81.237499999999997</v>
      </c>
      <c r="H6234">
        <f t="shared" si="194"/>
        <v>1529.3</v>
      </c>
      <c r="I6234">
        <f t="shared" si="195"/>
        <v>950.3</v>
      </c>
    </row>
    <row r="6235" spans="1:9" x14ac:dyDescent="0.25">
      <c r="A6235" s="5" t="s">
        <v>604</v>
      </c>
      <c r="B6235" s="5" t="s">
        <v>138</v>
      </c>
      <c r="C6235" s="5" t="s">
        <v>6715</v>
      </c>
      <c r="D6235" s="3">
        <f>VLOOKUP(A6235,airports!A:H,7,FALSE)</f>
        <v>40.664243329999998</v>
      </c>
      <c r="E6235" s="3">
        <f>VLOOKUP(A6235,airports!A:H,8,FALSE)</f>
        <v>-89.693305559999999</v>
      </c>
      <c r="F6235" s="3">
        <f>VLOOKUP(B6235,airports!A:H,7,FALSE)</f>
        <v>27.39533333</v>
      </c>
      <c r="G6235" s="3">
        <f>VLOOKUP(B6235,airports!A:H,8,FALSE)</f>
        <v>-82.554111109999994</v>
      </c>
      <c r="H6235">
        <f t="shared" si="194"/>
        <v>1614</v>
      </c>
      <c r="I6235">
        <f t="shared" si="195"/>
        <v>1002.9</v>
      </c>
    </row>
    <row r="6236" spans="1:9" x14ac:dyDescent="0.25">
      <c r="A6236" s="5" t="s">
        <v>604</v>
      </c>
      <c r="B6236" s="5" t="s">
        <v>668</v>
      </c>
      <c r="C6236" s="5" t="s">
        <v>6716</v>
      </c>
      <c r="D6236" s="3">
        <f>VLOOKUP(A6236,airports!A:H,7,FALSE)</f>
        <v>40.664243329999998</v>
      </c>
      <c r="E6236" s="3">
        <f>VLOOKUP(A6236,airports!A:H,8,FALSE)</f>
        <v>-89.693305559999999</v>
      </c>
      <c r="F6236" s="3">
        <f>VLOOKUP(B6236,airports!A:H,7,FALSE)</f>
        <v>30.483250000000002</v>
      </c>
      <c r="G6236" s="3">
        <f>VLOOKUP(B6236,airports!A:H,8,FALSE)</f>
        <v>-86.525400000000005</v>
      </c>
      <c r="H6236">
        <f t="shared" si="194"/>
        <v>1167.5</v>
      </c>
      <c r="I6236">
        <f t="shared" si="195"/>
        <v>725.5</v>
      </c>
    </row>
    <row r="6237" spans="1:9" ht="30" x14ac:dyDescent="0.25">
      <c r="A6237" s="5" t="s">
        <v>2688</v>
      </c>
      <c r="B6237" s="5" t="s">
        <v>49</v>
      </c>
      <c r="C6237" s="5" t="s">
        <v>6717</v>
      </c>
      <c r="D6237" s="3">
        <f>VLOOKUP(A6237,airports!A:H,7,FALSE)</f>
        <v>31.46714944</v>
      </c>
      <c r="E6237" s="3">
        <f>VLOOKUP(A6237,airports!A:H,8,FALSE)</f>
        <v>-89.337057779999995</v>
      </c>
      <c r="F6237" s="3">
        <f>VLOOKUP(B6237,airports!A:H,7,FALSE)</f>
        <v>32.895950560000003</v>
      </c>
      <c r="G6237" s="3">
        <f>VLOOKUP(B6237,airports!A:H,8,FALSE)</f>
        <v>-97.037199999999999</v>
      </c>
      <c r="H6237">
        <f t="shared" si="194"/>
        <v>741.7</v>
      </c>
      <c r="I6237">
        <f t="shared" si="195"/>
        <v>460.9</v>
      </c>
    </row>
    <row r="6238" spans="1:9" x14ac:dyDescent="0.25">
      <c r="A6238" s="5" t="s">
        <v>2688</v>
      </c>
      <c r="B6238" s="5" t="s">
        <v>67</v>
      </c>
      <c r="C6238" s="5" t="s">
        <v>6718</v>
      </c>
      <c r="D6238" s="3">
        <f>VLOOKUP(A6238,airports!A:H,7,FALSE)</f>
        <v>31.46714944</v>
      </c>
      <c r="E6238" s="3">
        <f>VLOOKUP(A6238,airports!A:H,8,FALSE)</f>
        <v>-89.337057779999995</v>
      </c>
      <c r="F6238" s="3">
        <f>VLOOKUP(B6238,airports!A:H,7,FALSE)</f>
        <v>29.980472219999999</v>
      </c>
      <c r="G6238" s="3">
        <f>VLOOKUP(B6238,airports!A:H,8,FALSE)</f>
        <v>-95.339722219999999</v>
      </c>
      <c r="H6238">
        <f t="shared" si="194"/>
        <v>597</v>
      </c>
      <c r="I6238">
        <f t="shared" si="195"/>
        <v>371</v>
      </c>
    </row>
    <row r="6239" spans="1:9" x14ac:dyDescent="0.25">
      <c r="A6239" s="5" t="s">
        <v>2688</v>
      </c>
      <c r="B6239" s="5" t="s">
        <v>2656</v>
      </c>
      <c r="C6239" s="5" t="s">
        <v>6719</v>
      </c>
      <c r="D6239" s="3">
        <f>VLOOKUP(A6239,airports!A:H,7,FALSE)</f>
        <v>31.46714944</v>
      </c>
      <c r="E6239" s="3">
        <f>VLOOKUP(A6239,airports!A:H,8,FALSE)</f>
        <v>-89.337057779999995</v>
      </c>
      <c r="F6239" s="3">
        <f>VLOOKUP(B6239,airports!A:H,7,FALSE)</f>
        <v>32.333133330000003</v>
      </c>
      <c r="G6239" s="3">
        <f>VLOOKUP(B6239,airports!A:H,8,FALSE)</f>
        <v>-88.751205560000002</v>
      </c>
      <c r="H6239">
        <f t="shared" si="194"/>
        <v>111</v>
      </c>
      <c r="I6239">
        <f t="shared" si="195"/>
        <v>69</v>
      </c>
    </row>
    <row r="6240" spans="1:9" x14ac:dyDescent="0.25">
      <c r="A6240" s="5" t="s">
        <v>188</v>
      </c>
      <c r="B6240" s="5" t="s">
        <v>170</v>
      </c>
      <c r="C6240" s="5" t="s">
        <v>6720</v>
      </c>
      <c r="D6240" s="3">
        <f>VLOOKUP(A6240,airports!A:H,7,FALSE)</f>
        <v>27.910763330000002</v>
      </c>
      <c r="E6240" s="3">
        <f>VLOOKUP(A6240,airports!A:H,8,FALSE)</f>
        <v>-82.687439440000006</v>
      </c>
      <c r="F6240" s="3">
        <f>VLOOKUP(B6240,airports!A:H,7,FALSE)</f>
        <v>40.652362779999997</v>
      </c>
      <c r="G6240" s="3">
        <f>VLOOKUP(B6240,airports!A:H,8,FALSE)</f>
        <v>-75.44040167</v>
      </c>
      <c r="H6240">
        <f t="shared" si="194"/>
        <v>1564</v>
      </c>
      <c r="I6240">
        <f t="shared" si="195"/>
        <v>971.9</v>
      </c>
    </row>
    <row r="6241" spans="1:9" x14ac:dyDescent="0.25">
      <c r="A6241" s="5" t="s">
        <v>188</v>
      </c>
      <c r="B6241" s="5" t="s">
        <v>7</v>
      </c>
      <c r="C6241" s="5" t="s">
        <v>6721</v>
      </c>
      <c r="D6241" s="3">
        <f>VLOOKUP(A6241,airports!A:H,7,FALSE)</f>
        <v>27.910763330000002</v>
      </c>
      <c r="E6241" s="3">
        <f>VLOOKUP(A6241,airports!A:H,8,FALSE)</f>
        <v>-82.687439440000006</v>
      </c>
      <c r="F6241" s="3">
        <f>VLOOKUP(B6241,airports!A:H,7,FALSE)</f>
        <v>42.748119440000004</v>
      </c>
      <c r="G6241" s="3">
        <f>VLOOKUP(B6241,airports!A:H,8,FALSE)</f>
        <v>-73.802978609999997</v>
      </c>
      <c r="H6241">
        <f t="shared" si="194"/>
        <v>1833.6</v>
      </c>
      <c r="I6241">
        <f t="shared" si="195"/>
        <v>1139.4000000000001</v>
      </c>
    </row>
    <row r="6242" spans="1:9" ht="30" x14ac:dyDescent="0.25">
      <c r="A6242" s="5" t="s">
        <v>188</v>
      </c>
      <c r="B6242" s="5" t="s">
        <v>416</v>
      </c>
      <c r="C6242" s="5" t="s">
        <v>6722</v>
      </c>
      <c r="D6242" s="3">
        <f>VLOOKUP(A6242,airports!A:H,7,FALSE)</f>
        <v>27.910763330000002</v>
      </c>
      <c r="E6242" s="3">
        <f>VLOOKUP(A6242,airports!A:H,8,FALSE)</f>
        <v>-82.687439440000006</v>
      </c>
      <c r="F6242" s="3">
        <f>VLOOKUP(B6242,airports!A:H,7,FALSE)</f>
        <v>44.257408060000003</v>
      </c>
      <c r="G6242" s="3">
        <f>VLOOKUP(B6242,airports!A:H,8,FALSE)</f>
        <v>-88.519475560000004</v>
      </c>
      <c r="H6242">
        <f t="shared" si="194"/>
        <v>1890.4</v>
      </c>
      <c r="I6242">
        <f t="shared" si="195"/>
        <v>1174.7</v>
      </c>
    </row>
    <row r="6243" spans="1:9" x14ac:dyDescent="0.25">
      <c r="A6243" s="5" t="s">
        <v>188</v>
      </c>
      <c r="B6243" s="5" t="s">
        <v>13</v>
      </c>
      <c r="C6243" s="5" t="s">
        <v>6723</v>
      </c>
      <c r="D6243" s="3">
        <f>VLOOKUP(A6243,airports!A:H,7,FALSE)</f>
        <v>27.910763330000002</v>
      </c>
      <c r="E6243" s="3">
        <f>VLOOKUP(A6243,airports!A:H,8,FALSE)</f>
        <v>-82.687439440000006</v>
      </c>
      <c r="F6243" s="3">
        <f>VLOOKUP(B6243,airports!A:H,7,FALSE)</f>
        <v>30.194532779999999</v>
      </c>
      <c r="G6243" s="3">
        <f>VLOOKUP(B6243,airports!A:H,8,FALSE)</f>
        <v>-97.669871939999993</v>
      </c>
      <c r="H6243">
        <f t="shared" si="194"/>
        <v>1477.2</v>
      </c>
      <c r="I6243">
        <f t="shared" si="195"/>
        <v>917.9</v>
      </c>
    </row>
    <row r="6244" spans="1:9" x14ac:dyDescent="0.25">
      <c r="A6244" s="5" t="s">
        <v>188</v>
      </c>
      <c r="B6244" s="5" t="s">
        <v>419</v>
      </c>
      <c r="C6244" s="5" t="s">
        <v>6724</v>
      </c>
      <c r="D6244" s="3">
        <f>VLOOKUP(A6244,airports!A:H,7,FALSE)</f>
        <v>27.910763330000002</v>
      </c>
      <c r="E6244" s="3">
        <f>VLOOKUP(A6244,airports!A:H,8,FALSE)</f>
        <v>-82.687439440000006</v>
      </c>
      <c r="F6244" s="3">
        <f>VLOOKUP(B6244,airports!A:H,7,FALSE)</f>
        <v>35.436194440000001</v>
      </c>
      <c r="G6244" s="3">
        <f>VLOOKUP(B6244,airports!A:H,8,FALSE)</f>
        <v>-82.54180556</v>
      </c>
      <c r="H6244">
        <f t="shared" si="194"/>
        <v>836.9</v>
      </c>
      <c r="I6244">
        <f t="shared" si="195"/>
        <v>520.1</v>
      </c>
    </row>
    <row r="6245" spans="1:9" x14ac:dyDescent="0.25">
      <c r="A6245" s="5" t="s">
        <v>188</v>
      </c>
      <c r="B6245" s="5" t="s">
        <v>421</v>
      </c>
      <c r="C6245" s="5" t="s">
        <v>6725</v>
      </c>
      <c r="D6245" s="3">
        <f>VLOOKUP(A6245,airports!A:H,7,FALSE)</f>
        <v>27.910763330000002</v>
      </c>
      <c r="E6245" s="3">
        <f>VLOOKUP(A6245,airports!A:H,8,FALSE)</f>
        <v>-82.687439440000006</v>
      </c>
      <c r="F6245" s="3">
        <f>VLOOKUP(B6245,airports!A:H,7,FALSE)</f>
        <v>41.338149440000002</v>
      </c>
      <c r="G6245" s="3">
        <f>VLOOKUP(B6245,airports!A:H,8,FALSE)</f>
        <v>-75.724267499999996</v>
      </c>
      <c r="H6245">
        <f t="shared" si="194"/>
        <v>1621.9</v>
      </c>
      <c r="I6245">
        <f t="shared" si="195"/>
        <v>1007.8</v>
      </c>
    </row>
    <row r="6246" spans="1:9" x14ac:dyDescent="0.25">
      <c r="A6246" s="5" t="s">
        <v>188</v>
      </c>
      <c r="B6246" s="5" t="s">
        <v>329</v>
      </c>
      <c r="C6246" s="5" t="s">
        <v>6726</v>
      </c>
      <c r="D6246" s="3">
        <f>VLOOKUP(A6246,airports!A:H,7,FALSE)</f>
        <v>27.910763330000002</v>
      </c>
      <c r="E6246" s="3">
        <f>VLOOKUP(A6246,airports!A:H,8,FALSE)</f>
        <v>-82.687439440000006</v>
      </c>
      <c r="F6246" s="3">
        <f>VLOOKUP(B6246,airports!A:H,7,FALSE)</f>
        <v>33.308999999999997</v>
      </c>
      <c r="G6246" s="3">
        <f>VLOOKUP(B6246,airports!A:H,8,FALSE)</f>
        <v>-111.6559</v>
      </c>
      <c r="H6246">
        <f t="shared" si="194"/>
        <v>2826.8</v>
      </c>
      <c r="I6246">
        <f t="shared" si="195"/>
        <v>1756.6</v>
      </c>
    </row>
    <row r="6247" spans="1:9" x14ac:dyDescent="0.25">
      <c r="A6247" s="5" t="s">
        <v>188</v>
      </c>
      <c r="B6247" s="5" t="s">
        <v>233</v>
      </c>
      <c r="C6247" s="5" t="s">
        <v>6727</v>
      </c>
      <c r="D6247" s="3">
        <f>VLOOKUP(A6247,airports!A:H,7,FALSE)</f>
        <v>27.910763330000002</v>
      </c>
      <c r="E6247" s="3">
        <f>VLOOKUP(A6247,airports!A:H,8,FALSE)</f>
        <v>-82.687439440000006</v>
      </c>
      <c r="F6247" s="3">
        <f>VLOOKUP(B6247,airports!A:H,7,FALSE)</f>
        <v>44.807444439999998</v>
      </c>
      <c r="G6247" s="3">
        <f>VLOOKUP(B6247,airports!A:H,8,FALSE)</f>
        <v>-68.828138890000005</v>
      </c>
      <c r="H6247">
        <f t="shared" si="194"/>
        <v>2244.6</v>
      </c>
      <c r="I6247">
        <f t="shared" si="195"/>
        <v>1394.8</v>
      </c>
    </row>
    <row r="6248" spans="1:9" x14ac:dyDescent="0.25">
      <c r="A6248" s="5" t="s">
        <v>188</v>
      </c>
      <c r="B6248" s="5" t="s">
        <v>841</v>
      </c>
      <c r="C6248" s="5" t="s">
        <v>6728</v>
      </c>
      <c r="D6248" s="3">
        <f>VLOOKUP(A6248,airports!A:H,7,FALSE)</f>
        <v>27.910763330000002</v>
      </c>
      <c r="E6248" s="3">
        <f>VLOOKUP(A6248,airports!A:H,8,FALSE)</f>
        <v>-82.687439440000006</v>
      </c>
      <c r="F6248" s="3">
        <f>VLOOKUP(B6248,airports!A:H,7,FALSE)</f>
        <v>38.547699999999999</v>
      </c>
      <c r="G6248" s="3">
        <f>VLOOKUP(B6248,airports!A:H,8,FALSE)</f>
        <v>-89.815700000000007</v>
      </c>
      <c r="H6248">
        <f t="shared" si="194"/>
        <v>1354.8</v>
      </c>
      <c r="I6248">
        <f t="shared" si="195"/>
        <v>841.9</v>
      </c>
    </row>
    <row r="6249" spans="1:9" x14ac:dyDescent="0.25">
      <c r="A6249" s="5" t="s">
        <v>188</v>
      </c>
      <c r="B6249" s="5" t="s">
        <v>427</v>
      </c>
      <c r="C6249" s="5" t="s">
        <v>6729</v>
      </c>
      <c r="D6249" s="3">
        <f>VLOOKUP(A6249,airports!A:H,7,FALSE)</f>
        <v>27.910763330000002</v>
      </c>
      <c r="E6249" s="3">
        <f>VLOOKUP(A6249,airports!A:H,8,FALSE)</f>
        <v>-82.687439440000006</v>
      </c>
      <c r="F6249" s="3">
        <f>VLOOKUP(B6249,airports!A:H,7,FALSE)</f>
        <v>40.47798556</v>
      </c>
      <c r="G6249" s="3">
        <f>VLOOKUP(B6249,airports!A:H,8,FALSE)</f>
        <v>-88.915952779999998</v>
      </c>
      <c r="H6249">
        <f t="shared" si="194"/>
        <v>1509.2</v>
      </c>
      <c r="I6249">
        <f t="shared" si="195"/>
        <v>937.8</v>
      </c>
    </row>
    <row r="6250" spans="1:9" x14ac:dyDescent="0.25">
      <c r="A6250" s="5" t="s">
        <v>188</v>
      </c>
      <c r="B6250" s="5" t="s">
        <v>19</v>
      </c>
      <c r="C6250" s="5" t="s">
        <v>6730</v>
      </c>
      <c r="D6250" s="3">
        <f>VLOOKUP(A6250,airports!A:H,7,FALSE)</f>
        <v>27.910763330000002</v>
      </c>
      <c r="E6250" s="3">
        <f>VLOOKUP(A6250,airports!A:H,8,FALSE)</f>
        <v>-82.687439440000006</v>
      </c>
      <c r="F6250" s="3">
        <f>VLOOKUP(B6250,airports!A:H,7,FALSE)</f>
        <v>36.12447667</v>
      </c>
      <c r="G6250" s="3">
        <f>VLOOKUP(B6250,airports!A:H,8,FALSE)</f>
        <v>-86.678182219999997</v>
      </c>
      <c r="H6250">
        <f t="shared" si="194"/>
        <v>987.5</v>
      </c>
      <c r="I6250">
        <f t="shared" si="195"/>
        <v>613.6</v>
      </c>
    </row>
    <row r="6251" spans="1:9" x14ac:dyDescent="0.25">
      <c r="A6251" s="5" t="s">
        <v>188</v>
      </c>
      <c r="B6251" s="5" t="s">
        <v>443</v>
      </c>
      <c r="C6251" s="5" t="s">
        <v>6731</v>
      </c>
      <c r="D6251" s="3">
        <f>VLOOKUP(A6251,airports!A:H,7,FALSE)</f>
        <v>27.910763330000002</v>
      </c>
      <c r="E6251" s="3">
        <f>VLOOKUP(A6251,airports!A:H,8,FALSE)</f>
        <v>-82.687439440000006</v>
      </c>
      <c r="F6251" s="3">
        <f>VLOOKUP(B6251,airports!A:H,7,FALSE)</f>
        <v>40.91631194</v>
      </c>
      <c r="G6251" s="3">
        <f>VLOOKUP(B6251,airports!A:H,8,FALSE)</f>
        <v>-81.442465560000002</v>
      </c>
      <c r="H6251">
        <f t="shared" si="194"/>
        <v>1450.6</v>
      </c>
      <c r="I6251">
        <f t="shared" si="195"/>
        <v>901.4</v>
      </c>
    </row>
    <row r="6252" spans="1:9" x14ac:dyDescent="0.25">
      <c r="A6252" s="5" t="s">
        <v>188</v>
      </c>
      <c r="B6252" s="5" t="s">
        <v>445</v>
      </c>
      <c r="C6252" s="5" t="s">
        <v>6732</v>
      </c>
      <c r="D6252" s="3">
        <f>VLOOKUP(A6252,airports!A:H,7,FALSE)</f>
        <v>27.910763330000002</v>
      </c>
      <c r="E6252" s="3">
        <f>VLOOKUP(A6252,airports!A:H,8,FALSE)</f>
        <v>-82.687439440000006</v>
      </c>
      <c r="F6252" s="3">
        <f>VLOOKUP(B6252,airports!A:H,7,FALSE)</f>
        <v>35.035268330000001</v>
      </c>
      <c r="G6252" s="3">
        <f>VLOOKUP(B6252,airports!A:H,8,FALSE)</f>
        <v>-85.203787779999999</v>
      </c>
      <c r="H6252">
        <f t="shared" si="194"/>
        <v>827.3</v>
      </c>
      <c r="I6252">
        <f t="shared" si="195"/>
        <v>514.1</v>
      </c>
    </row>
    <row r="6253" spans="1:9" x14ac:dyDescent="0.25">
      <c r="A6253" s="5" t="s">
        <v>188</v>
      </c>
      <c r="B6253" s="5" t="s">
        <v>450</v>
      </c>
      <c r="C6253" s="5" t="s">
        <v>6733</v>
      </c>
      <c r="D6253" s="3">
        <f>VLOOKUP(A6253,airports!A:H,7,FALSE)</f>
        <v>27.910763330000002</v>
      </c>
      <c r="E6253" s="3">
        <f>VLOOKUP(A6253,airports!A:H,8,FALSE)</f>
        <v>-82.687439440000006</v>
      </c>
      <c r="F6253" s="3">
        <f>VLOOKUP(B6253,airports!A:H,7,FALSE)</f>
        <v>41.88458833</v>
      </c>
      <c r="G6253" s="3">
        <f>VLOOKUP(B6253,airports!A:H,8,FALSE)</f>
        <v>-91.710872219999999</v>
      </c>
      <c r="H6253">
        <f t="shared" si="194"/>
        <v>1755.8</v>
      </c>
      <c r="I6253">
        <f t="shared" si="195"/>
        <v>1091.0999999999999</v>
      </c>
    </row>
    <row r="6254" spans="1:9" x14ac:dyDescent="0.25">
      <c r="A6254" s="5" t="s">
        <v>188</v>
      </c>
      <c r="B6254" s="5" t="s">
        <v>1655</v>
      </c>
      <c r="C6254" s="5" t="s">
        <v>6734</v>
      </c>
      <c r="D6254" s="3">
        <f>VLOOKUP(A6254,airports!A:H,7,FALSE)</f>
        <v>27.910763330000002</v>
      </c>
      <c r="E6254" s="3">
        <f>VLOOKUP(A6254,airports!A:H,8,FALSE)</f>
        <v>-82.687439440000006</v>
      </c>
      <c r="F6254" s="3">
        <f>VLOOKUP(B6254,airports!A:H,7,FALSE)</f>
        <v>39.296599999999998</v>
      </c>
      <c r="G6254" s="3">
        <f>VLOOKUP(B6254,airports!A:H,8,FALSE)</f>
        <v>-80.228104000000002</v>
      </c>
      <c r="H6254">
        <f t="shared" si="194"/>
        <v>1286.2</v>
      </c>
      <c r="I6254">
        <f t="shared" si="195"/>
        <v>799.3</v>
      </c>
    </row>
    <row r="6255" spans="1:9" x14ac:dyDescent="0.25">
      <c r="A6255" s="5" t="s">
        <v>188</v>
      </c>
      <c r="B6255" s="5" t="s">
        <v>38</v>
      </c>
      <c r="C6255" s="5" t="s">
        <v>6735</v>
      </c>
      <c r="D6255" s="3">
        <f>VLOOKUP(A6255,airports!A:H,7,FALSE)</f>
        <v>27.910763330000002</v>
      </c>
      <c r="E6255" s="3">
        <f>VLOOKUP(A6255,airports!A:H,8,FALSE)</f>
        <v>-82.687439440000006</v>
      </c>
      <c r="F6255" s="3">
        <f>VLOOKUP(B6255,airports!A:H,7,FALSE)</f>
        <v>41.410894169999999</v>
      </c>
      <c r="G6255" s="3">
        <f>VLOOKUP(B6255,airports!A:H,8,FALSE)</f>
        <v>-81.849396670000004</v>
      </c>
      <c r="H6255">
        <f t="shared" si="194"/>
        <v>1503.1</v>
      </c>
      <c r="I6255">
        <f t="shared" si="195"/>
        <v>934</v>
      </c>
    </row>
    <row r="6256" spans="1:9" x14ac:dyDescent="0.25">
      <c r="A6256" s="5" t="s">
        <v>188</v>
      </c>
      <c r="B6256" s="5" t="s">
        <v>462</v>
      </c>
      <c r="C6256" s="5" t="s">
        <v>6736</v>
      </c>
      <c r="D6256" s="3">
        <f>VLOOKUP(A6256,airports!A:H,7,FALSE)</f>
        <v>27.910763330000002</v>
      </c>
      <c r="E6256" s="3">
        <f>VLOOKUP(A6256,airports!A:H,8,FALSE)</f>
        <v>-82.687439440000006</v>
      </c>
      <c r="F6256" s="3">
        <f>VLOOKUP(B6256,airports!A:H,7,FALSE)</f>
        <v>39.046142779999997</v>
      </c>
      <c r="G6256" s="3">
        <f>VLOOKUP(B6256,airports!A:H,8,FALSE)</f>
        <v>-84.662172499999997</v>
      </c>
      <c r="H6256">
        <f t="shared" si="194"/>
        <v>1251.5999999999999</v>
      </c>
      <c r="I6256">
        <f t="shared" si="195"/>
        <v>777.7</v>
      </c>
    </row>
    <row r="6257" spans="1:9" x14ac:dyDescent="0.25">
      <c r="A6257" s="5" t="s">
        <v>188</v>
      </c>
      <c r="B6257" s="5" t="s">
        <v>467</v>
      </c>
      <c r="C6257" s="5" t="s">
        <v>6737</v>
      </c>
      <c r="D6257" s="3">
        <f>VLOOKUP(A6257,airports!A:H,7,FALSE)</f>
        <v>27.910763330000002</v>
      </c>
      <c r="E6257" s="3">
        <f>VLOOKUP(A6257,airports!A:H,8,FALSE)</f>
        <v>-82.687439440000006</v>
      </c>
      <c r="F6257" s="3">
        <f>VLOOKUP(B6257,airports!A:H,7,FALSE)</f>
        <v>39.902375829999997</v>
      </c>
      <c r="G6257" s="3">
        <f>VLOOKUP(B6257,airports!A:H,8,FALSE)</f>
        <v>-84.219374999999999</v>
      </c>
      <c r="H6257">
        <f t="shared" si="194"/>
        <v>1340.8</v>
      </c>
      <c r="I6257">
        <f t="shared" si="195"/>
        <v>833.2</v>
      </c>
    </row>
    <row r="6258" spans="1:9" ht="30" x14ac:dyDescent="0.25">
      <c r="A6258" s="5" t="s">
        <v>188</v>
      </c>
      <c r="B6258" s="5" t="s">
        <v>474</v>
      </c>
      <c r="C6258" s="5" t="s">
        <v>6738</v>
      </c>
      <c r="D6258" s="3">
        <f>VLOOKUP(A6258,airports!A:H,7,FALSE)</f>
        <v>27.910763330000002</v>
      </c>
      <c r="E6258" s="3">
        <f>VLOOKUP(A6258,airports!A:H,8,FALSE)</f>
        <v>-82.687439440000006</v>
      </c>
      <c r="F6258" s="3">
        <f>VLOOKUP(B6258,airports!A:H,7,FALSE)</f>
        <v>41.53493306</v>
      </c>
      <c r="G6258" s="3">
        <f>VLOOKUP(B6258,airports!A:H,8,FALSE)</f>
        <v>-93.660682219999998</v>
      </c>
      <c r="H6258">
        <f t="shared" si="194"/>
        <v>1813.3</v>
      </c>
      <c r="I6258">
        <f t="shared" si="195"/>
        <v>1126.8</v>
      </c>
    </row>
    <row r="6259" spans="1:9" x14ac:dyDescent="0.25">
      <c r="A6259" s="5" t="s">
        <v>188</v>
      </c>
      <c r="B6259" s="5" t="s">
        <v>481</v>
      </c>
      <c r="C6259" s="5" t="s">
        <v>6739</v>
      </c>
      <c r="D6259" s="3">
        <f>VLOOKUP(A6259,airports!A:H,7,FALSE)</f>
        <v>27.910763330000002</v>
      </c>
      <c r="E6259" s="3">
        <f>VLOOKUP(A6259,airports!A:H,8,FALSE)</f>
        <v>-82.687439440000006</v>
      </c>
      <c r="F6259" s="3">
        <f>VLOOKUP(B6259,airports!A:H,7,FALSE)</f>
        <v>42.159913609999997</v>
      </c>
      <c r="G6259" s="3">
        <f>VLOOKUP(B6259,airports!A:H,8,FALSE)</f>
        <v>-76.891443330000001</v>
      </c>
      <c r="H6259">
        <f t="shared" si="194"/>
        <v>1668.9</v>
      </c>
      <c r="I6259">
        <f t="shared" si="195"/>
        <v>1037.0999999999999</v>
      </c>
    </row>
    <row r="6260" spans="1:9" x14ac:dyDescent="0.25">
      <c r="A6260" s="5" t="s">
        <v>188</v>
      </c>
      <c r="B6260" s="5" t="s">
        <v>54</v>
      </c>
      <c r="C6260" s="5" t="s">
        <v>6740</v>
      </c>
      <c r="D6260" s="3">
        <f>VLOOKUP(A6260,airports!A:H,7,FALSE)</f>
        <v>27.910763330000002</v>
      </c>
      <c r="E6260" s="3">
        <f>VLOOKUP(A6260,airports!A:H,8,FALSE)</f>
        <v>-82.687439440000006</v>
      </c>
      <c r="F6260" s="3">
        <f>VLOOKUP(B6260,airports!A:H,7,FALSE)</f>
        <v>24.55611111</v>
      </c>
      <c r="G6260" s="3">
        <f>VLOOKUP(B6260,airports!A:H,8,FALSE)</f>
        <v>-81.759555559999995</v>
      </c>
      <c r="H6260">
        <f t="shared" si="194"/>
        <v>384.3</v>
      </c>
      <c r="I6260">
        <f t="shared" si="195"/>
        <v>238.8</v>
      </c>
    </row>
    <row r="6261" spans="1:9" x14ac:dyDescent="0.25">
      <c r="A6261" s="5" t="s">
        <v>188</v>
      </c>
      <c r="B6261" s="5" t="s">
        <v>491</v>
      </c>
      <c r="C6261" s="5" t="s">
        <v>6741</v>
      </c>
      <c r="D6261" s="3">
        <f>VLOOKUP(A6261,airports!A:H,7,FALSE)</f>
        <v>27.910763330000002</v>
      </c>
      <c r="E6261" s="3">
        <f>VLOOKUP(A6261,airports!A:H,8,FALSE)</f>
        <v>-82.687439440000006</v>
      </c>
      <c r="F6261" s="3">
        <f>VLOOKUP(B6261,airports!A:H,7,FALSE)</f>
        <v>46.919348890000002</v>
      </c>
      <c r="G6261" s="3">
        <f>VLOOKUP(B6261,airports!A:H,8,FALSE)</f>
        <v>-96.814988889999995</v>
      </c>
      <c r="H6261">
        <f t="shared" si="194"/>
        <v>2445.8000000000002</v>
      </c>
      <c r="I6261">
        <f t="shared" si="195"/>
        <v>1519.8</v>
      </c>
    </row>
    <row r="6262" spans="1:9" x14ac:dyDescent="0.25">
      <c r="A6262" s="5" t="s">
        <v>188</v>
      </c>
      <c r="B6262" s="5" t="s">
        <v>497</v>
      </c>
      <c r="C6262" s="5" t="s">
        <v>6742</v>
      </c>
      <c r="D6262" s="3">
        <f>VLOOKUP(A6262,airports!A:H,7,FALSE)</f>
        <v>27.910763330000002</v>
      </c>
      <c r="E6262" s="3">
        <f>VLOOKUP(A6262,airports!A:H,8,FALSE)</f>
        <v>-82.687439440000006</v>
      </c>
      <c r="F6262" s="3">
        <f>VLOOKUP(B6262,airports!A:H,7,FALSE)</f>
        <v>42.965503329999997</v>
      </c>
      <c r="G6262" s="3">
        <f>VLOOKUP(B6262,airports!A:H,8,FALSE)</f>
        <v>-83.743456390000006</v>
      </c>
      <c r="H6262">
        <f t="shared" si="194"/>
        <v>1676.7</v>
      </c>
      <c r="I6262">
        <f t="shared" si="195"/>
        <v>1041.9000000000001</v>
      </c>
    </row>
    <row r="6263" spans="1:9" x14ac:dyDescent="0.25">
      <c r="A6263" s="5" t="s">
        <v>188</v>
      </c>
      <c r="B6263" s="5" t="s">
        <v>499</v>
      </c>
      <c r="C6263" s="5" t="s">
        <v>6743</v>
      </c>
      <c r="D6263" s="3">
        <f>VLOOKUP(A6263,airports!A:H,7,FALSE)</f>
        <v>27.910763330000002</v>
      </c>
      <c r="E6263" s="3">
        <f>VLOOKUP(A6263,airports!A:H,8,FALSE)</f>
        <v>-82.687439440000006</v>
      </c>
      <c r="F6263" s="3">
        <f>VLOOKUP(B6263,airports!A:H,7,FALSE)</f>
        <v>43.58135111</v>
      </c>
      <c r="G6263" s="3">
        <f>VLOOKUP(B6263,airports!A:H,8,FALSE)</f>
        <v>-96.741700280000003</v>
      </c>
      <c r="H6263">
        <f t="shared" si="194"/>
        <v>2148.6</v>
      </c>
      <c r="I6263">
        <f t="shared" si="195"/>
        <v>1335.2</v>
      </c>
    </row>
    <row r="6264" spans="1:9" ht="30" x14ac:dyDescent="0.25">
      <c r="A6264" s="5" t="s">
        <v>188</v>
      </c>
      <c r="B6264" s="5" t="s">
        <v>503</v>
      </c>
      <c r="C6264" s="5" t="s">
        <v>6744</v>
      </c>
      <c r="D6264" s="3">
        <f>VLOOKUP(A6264,airports!A:H,7,FALSE)</f>
        <v>27.910763330000002</v>
      </c>
      <c r="E6264" s="3">
        <f>VLOOKUP(A6264,airports!A:H,8,FALSE)</f>
        <v>-82.687439440000006</v>
      </c>
      <c r="F6264" s="3">
        <f>VLOOKUP(B6264,airports!A:H,7,FALSE)</f>
        <v>40.978465829999998</v>
      </c>
      <c r="G6264" s="3">
        <f>VLOOKUP(B6264,airports!A:H,8,FALSE)</f>
        <v>-85.195146390000005</v>
      </c>
      <c r="H6264">
        <f t="shared" si="194"/>
        <v>1471</v>
      </c>
      <c r="I6264">
        <f t="shared" si="195"/>
        <v>914.1</v>
      </c>
    </row>
    <row r="6265" spans="1:9" x14ac:dyDescent="0.25">
      <c r="A6265" s="5" t="s">
        <v>188</v>
      </c>
      <c r="B6265" s="5" t="s">
        <v>515</v>
      </c>
      <c r="C6265" s="5" t="s">
        <v>6745</v>
      </c>
      <c r="D6265" s="3">
        <f>VLOOKUP(A6265,airports!A:H,7,FALSE)</f>
        <v>27.910763330000002</v>
      </c>
      <c r="E6265" s="3">
        <f>VLOOKUP(A6265,airports!A:H,8,FALSE)</f>
        <v>-82.687439440000006</v>
      </c>
      <c r="F6265" s="3">
        <f>VLOOKUP(B6265,airports!A:H,7,FALSE)</f>
        <v>42.880819719999998</v>
      </c>
      <c r="G6265" s="3">
        <f>VLOOKUP(B6265,airports!A:H,8,FALSE)</f>
        <v>-85.522767779999995</v>
      </c>
      <c r="H6265">
        <f t="shared" si="194"/>
        <v>1684</v>
      </c>
      <c r="I6265">
        <f t="shared" si="195"/>
        <v>1046.5</v>
      </c>
    </row>
    <row r="6266" spans="1:9" x14ac:dyDescent="0.25">
      <c r="A6266" s="5" t="s">
        <v>188</v>
      </c>
      <c r="B6266" s="5" t="s">
        <v>517</v>
      </c>
      <c r="C6266" s="5" t="s">
        <v>6746</v>
      </c>
      <c r="D6266" s="3">
        <f>VLOOKUP(A6266,airports!A:H,7,FALSE)</f>
        <v>27.910763330000002</v>
      </c>
      <c r="E6266" s="3">
        <f>VLOOKUP(A6266,airports!A:H,8,FALSE)</f>
        <v>-82.687439440000006</v>
      </c>
      <c r="F6266" s="3">
        <f>VLOOKUP(B6266,airports!A:H,7,FALSE)</f>
        <v>36.09774694</v>
      </c>
      <c r="G6266" s="3">
        <f>VLOOKUP(B6266,airports!A:H,8,FALSE)</f>
        <v>-79.9372975</v>
      </c>
      <c r="H6266">
        <f t="shared" si="194"/>
        <v>946.4</v>
      </c>
      <c r="I6266">
        <f t="shared" si="195"/>
        <v>588.1</v>
      </c>
    </row>
    <row r="6267" spans="1:9" x14ac:dyDescent="0.25">
      <c r="A6267" s="5" t="s">
        <v>188</v>
      </c>
      <c r="B6267" s="5" t="s">
        <v>519</v>
      </c>
      <c r="C6267" s="5" t="s">
        <v>6747</v>
      </c>
      <c r="D6267" s="3">
        <f>VLOOKUP(A6267,airports!A:H,7,FALSE)</f>
        <v>27.910763330000002</v>
      </c>
      <c r="E6267" s="3">
        <f>VLOOKUP(A6267,airports!A:H,8,FALSE)</f>
        <v>-82.687439440000006</v>
      </c>
      <c r="F6267" s="3">
        <f>VLOOKUP(B6267,airports!A:H,7,FALSE)</f>
        <v>34.89566722</v>
      </c>
      <c r="G6267" s="3">
        <f>VLOOKUP(B6267,airports!A:H,8,FALSE)</f>
        <v>-82.218858330000003</v>
      </c>
      <c r="H6267">
        <f t="shared" si="194"/>
        <v>778</v>
      </c>
      <c r="I6267">
        <f t="shared" si="195"/>
        <v>483.4</v>
      </c>
    </row>
    <row r="6268" spans="1:9" x14ac:dyDescent="0.25">
      <c r="A6268" s="5" t="s">
        <v>188</v>
      </c>
      <c r="B6268" s="5" t="s">
        <v>3612</v>
      </c>
      <c r="C6268" s="5" t="s">
        <v>6748</v>
      </c>
      <c r="D6268" s="3">
        <f>VLOOKUP(A6268,airports!A:H,7,FALSE)</f>
        <v>27.910763330000002</v>
      </c>
      <c r="E6268" s="3">
        <f>VLOOKUP(A6268,airports!A:H,8,FALSE)</f>
        <v>-82.687439440000006</v>
      </c>
      <c r="F6268" s="3">
        <f>VLOOKUP(B6268,airports!A:H,7,FALSE)</f>
        <v>39.707901</v>
      </c>
      <c r="G6268" s="3">
        <f>VLOOKUP(B6268,airports!A:H,8,FALSE)</f>
        <v>-77.729499820000001</v>
      </c>
      <c r="H6268">
        <f t="shared" si="194"/>
        <v>1388.8</v>
      </c>
      <c r="I6268">
        <f t="shared" si="195"/>
        <v>863</v>
      </c>
    </row>
    <row r="6269" spans="1:9" x14ac:dyDescent="0.25">
      <c r="A6269" s="5" t="s">
        <v>188</v>
      </c>
      <c r="B6269" s="5" t="s">
        <v>1793</v>
      </c>
      <c r="C6269" s="5" t="s">
        <v>6749</v>
      </c>
      <c r="D6269" s="3">
        <f>VLOOKUP(A6269,airports!A:H,7,FALSE)</f>
        <v>27.910763330000002</v>
      </c>
      <c r="E6269" s="3">
        <f>VLOOKUP(A6269,airports!A:H,8,FALSE)</f>
        <v>-82.687439440000006</v>
      </c>
      <c r="F6269" s="3">
        <f>VLOOKUP(B6269,airports!A:H,7,FALSE)</f>
        <v>38.366666670000001</v>
      </c>
      <c r="G6269" s="3">
        <f>VLOOKUP(B6269,airports!A:H,8,FALSE)</f>
        <v>-82.558027780000003</v>
      </c>
      <c r="H6269">
        <f t="shared" si="194"/>
        <v>1162.7</v>
      </c>
      <c r="I6269">
        <f t="shared" si="195"/>
        <v>722.5</v>
      </c>
    </row>
    <row r="6270" spans="1:9" x14ac:dyDescent="0.25">
      <c r="A6270" s="5" t="s">
        <v>188</v>
      </c>
      <c r="B6270" s="5" t="s">
        <v>2988</v>
      </c>
      <c r="C6270" s="5" t="s">
        <v>6750</v>
      </c>
      <c r="D6270" s="3">
        <f>VLOOKUP(A6270,airports!A:H,7,FALSE)</f>
        <v>27.910763330000002</v>
      </c>
      <c r="E6270" s="3">
        <f>VLOOKUP(A6270,airports!A:H,8,FALSE)</f>
        <v>-82.687439440000006</v>
      </c>
      <c r="F6270" s="3">
        <f>VLOOKUP(B6270,airports!A:H,7,FALSE)</f>
        <v>43.107300000000002</v>
      </c>
      <c r="G6270" s="3">
        <f>VLOOKUP(B6270,airports!A:H,8,FALSE)</f>
        <v>-78.946197999999995</v>
      </c>
      <c r="H6270">
        <f t="shared" si="194"/>
        <v>1722.9</v>
      </c>
      <c r="I6270">
        <f t="shared" si="195"/>
        <v>1070.5999999999999</v>
      </c>
    </row>
    <row r="6271" spans="1:9" x14ac:dyDescent="0.25">
      <c r="A6271" s="5" t="s">
        <v>188</v>
      </c>
      <c r="B6271" s="5" t="s">
        <v>533</v>
      </c>
      <c r="C6271" s="5" t="s">
        <v>6751</v>
      </c>
      <c r="D6271" s="3">
        <f>VLOOKUP(A6271,airports!A:H,7,FALSE)</f>
        <v>27.910763330000002</v>
      </c>
      <c r="E6271" s="3">
        <f>VLOOKUP(A6271,airports!A:H,8,FALSE)</f>
        <v>-82.687439440000006</v>
      </c>
      <c r="F6271" s="3">
        <f>VLOOKUP(B6271,airports!A:H,7,FALSE)</f>
        <v>37.649958890000001</v>
      </c>
      <c r="G6271" s="3">
        <f>VLOOKUP(B6271,airports!A:H,8,FALSE)</f>
        <v>-97.433045829999998</v>
      </c>
      <c r="H6271">
        <f t="shared" si="194"/>
        <v>1749.2</v>
      </c>
      <c r="I6271">
        <f t="shared" si="195"/>
        <v>1087</v>
      </c>
    </row>
    <row r="6272" spans="1:9" x14ac:dyDescent="0.25">
      <c r="A6272" s="5" t="s">
        <v>188</v>
      </c>
      <c r="B6272" s="5" t="s">
        <v>537</v>
      </c>
      <c r="C6272" s="5" t="s">
        <v>6752</v>
      </c>
      <c r="D6272" s="3">
        <f>VLOOKUP(A6272,airports!A:H,7,FALSE)</f>
        <v>27.910763330000002</v>
      </c>
      <c r="E6272" s="3">
        <f>VLOOKUP(A6272,airports!A:H,8,FALSE)</f>
        <v>-82.687439440000006</v>
      </c>
      <c r="F6272" s="3">
        <f>VLOOKUP(B6272,airports!A:H,7,FALSE)</f>
        <v>39.717329169999999</v>
      </c>
      <c r="G6272" s="3">
        <f>VLOOKUP(B6272,airports!A:H,8,FALSE)</f>
        <v>-86.294384170000001</v>
      </c>
      <c r="H6272">
        <f t="shared" si="194"/>
        <v>1354.1</v>
      </c>
      <c r="I6272">
        <f t="shared" si="195"/>
        <v>841.5</v>
      </c>
    </row>
    <row r="6273" spans="1:9" x14ac:dyDescent="0.25">
      <c r="A6273" s="5" t="s">
        <v>188</v>
      </c>
      <c r="B6273" s="5" t="s">
        <v>740</v>
      </c>
      <c r="C6273" s="5" t="s">
        <v>6753</v>
      </c>
      <c r="D6273" s="3">
        <f>VLOOKUP(A6273,airports!A:H,7,FALSE)</f>
        <v>27.910763330000002</v>
      </c>
      <c r="E6273" s="3">
        <f>VLOOKUP(A6273,airports!A:H,8,FALSE)</f>
        <v>-82.687439440000006</v>
      </c>
      <c r="F6273" s="3">
        <f>VLOOKUP(B6273,airports!A:H,7,FALSE)</f>
        <v>39.813800999999998</v>
      </c>
      <c r="G6273" s="3">
        <f>VLOOKUP(B6273,airports!A:H,8,FALSE)</f>
        <v>-82.927802999999997</v>
      </c>
      <c r="H6273">
        <f t="shared" si="194"/>
        <v>1323.7</v>
      </c>
      <c r="I6273">
        <f t="shared" si="195"/>
        <v>822.6</v>
      </c>
    </row>
    <row r="6274" spans="1:9" x14ac:dyDescent="0.25">
      <c r="A6274" s="5" t="s">
        <v>188</v>
      </c>
      <c r="B6274" s="5" t="s">
        <v>549</v>
      </c>
      <c r="C6274" s="5" t="s">
        <v>6754</v>
      </c>
      <c r="D6274" s="3">
        <f>VLOOKUP(A6274,airports!A:H,7,FALSE)</f>
        <v>27.910763330000002</v>
      </c>
      <c r="E6274" s="3">
        <f>VLOOKUP(A6274,airports!A:H,8,FALSE)</f>
        <v>-82.687439440000006</v>
      </c>
      <c r="F6274" s="3">
        <f>VLOOKUP(B6274,airports!A:H,7,FALSE)</f>
        <v>38.036972220000003</v>
      </c>
      <c r="G6274" s="3">
        <f>VLOOKUP(B6274,airports!A:H,8,FALSE)</f>
        <v>-84.60538889</v>
      </c>
      <c r="H6274">
        <f t="shared" si="194"/>
        <v>1140</v>
      </c>
      <c r="I6274">
        <f t="shared" si="195"/>
        <v>708.4</v>
      </c>
    </row>
    <row r="6275" spans="1:9" x14ac:dyDescent="0.25">
      <c r="A6275" s="5" t="s">
        <v>188</v>
      </c>
      <c r="B6275" s="5" t="s">
        <v>554</v>
      </c>
      <c r="C6275" s="5" t="s">
        <v>6755</v>
      </c>
      <c r="D6275" s="3">
        <f>VLOOKUP(A6275,airports!A:H,7,FALSE)</f>
        <v>27.910763330000002</v>
      </c>
      <c r="E6275" s="3">
        <f>VLOOKUP(A6275,airports!A:H,8,FALSE)</f>
        <v>-82.687439440000006</v>
      </c>
      <c r="F6275" s="3">
        <f>VLOOKUP(B6275,airports!A:H,7,FALSE)</f>
        <v>34.729396110000003</v>
      </c>
      <c r="G6275" s="3">
        <f>VLOOKUP(B6275,airports!A:H,8,FALSE)</f>
        <v>-92.22424556</v>
      </c>
      <c r="H6275">
        <f t="shared" si="194"/>
        <v>1180.2</v>
      </c>
      <c r="I6275">
        <f t="shared" si="195"/>
        <v>733.4</v>
      </c>
    </row>
    <row r="6276" spans="1:9" x14ac:dyDescent="0.25">
      <c r="A6276" s="5" t="s">
        <v>188</v>
      </c>
      <c r="B6276" s="5" t="s">
        <v>80</v>
      </c>
      <c r="C6276" s="5" t="s">
        <v>6756</v>
      </c>
      <c r="D6276" s="3">
        <f>VLOOKUP(A6276,airports!A:H,7,FALSE)</f>
        <v>27.910763330000002</v>
      </c>
      <c r="E6276" s="3">
        <f>VLOOKUP(A6276,airports!A:H,8,FALSE)</f>
        <v>-82.687439440000006</v>
      </c>
      <c r="F6276" s="3">
        <f>VLOOKUP(B6276,airports!A:H,7,FALSE)</f>
        <v>39.297605279999999</v>
      </c>
      <c r="G6276" s="3">
        <f>VLOOKUP(B6276,airports!A:H,8,FALSE)</f>
        <v>-94.713905560000001</v>
      </c>
      <c r="H6276">
        <f t="shared" ref="H6276:H6339" si="196">ROUND(ACOS(COS(RADIANS(90-D6276)) * COS(RADIANS(90-F6276)) + SIN(RADIANS(90-D6276)) * SIN(RADIANS(90-F6276)) * COS(RADIANS(E6276-G6276))) * 6371,1)</f>
        <v>1683.1</v>
      </c>
      <c r="I6276">
        <f t="shared" ref="I6276:I6339" si="197">ROUND(ACOS(COS(RADIANS(90-D6276)) * COS(RADIANS(90-F6276)) + SIN(RADIANS(90-D6276)) * SIN(RADIANS(90-F6276)) * COS(RADIANS(E6276-G6276))) * 3959,1)</f>
        <v>1045.9000000000001</v>
      </c>
    </row>
    <row r="6277" spans="1:9" ht="30" x14ac:dyDescent="0.25">
      <c r="A6277" s="5" t="s">
        <v>188</v>
      </c>
      <c r="B6277" s="5" t="s">
        <v>178</v>
      </c>
      <c r="C6277" s="5" t="s">
        <v>6757</v>
      </c>
      <c r="D6277" s="3">
        <f>VLOOKUP(A6277,airports!A:H,7,FALSE)</f>
        <v>27.910763330000002</v>
      </c>
      <c r="E6277" s="3">
        <f>VLOOKUP(A6277,airports!A:H,8,FALSE)</f>
        <v>-82.687439440000006</v>
      </c>
      <c r="F6277" s="3">
        <f>VLOOKUP(B6277,airports!A:H,7,FALSE)</f>
        <v>40.19349528</v>
      </c>
      <c r="G6277" s="3">
        <f>VLOOKUP(B6277,airports!A:H,8,FALSE)</f>
        <v>-76.763403609999997</v>
      </c>
      <c r="H6277">
        <f t="shared" si="196"/>
        <v>1469.8</v>
      </c>
      <c r="I6277">
        <f t="shared" si="197"/>
        <v>913.4</v>
      </c>
    </row>
    <row r="6278" spans="1:9" ht="30" x14ac:dyDescent="0.25">
      <c r="A6278" s="5" t="s">
        <v>188</v>
      </c>
      <c r="B6278" s="5" t="s">
        <v>563</v>
      </c>
      <c r="C6278" s="5" t="s">
        <v>6758</v>
      </c>
      <c r="D6278" s="3">
        <f>VLOOKUP(A6278,airports!A:H,7,FALSE)</f>
        <v>27.910763330000002</v>
      </c>
      <c r="E6278" s="3">
        <f>VLOOKUP(A6278,airports!A:H,8,FALSE)</f>
        <v>-82.687439440000006</v>
      </c>
      <c r="F6278" s="3">
        <f>VLOOKUP(B6278,airports!A:H,7,FALSE)</f>
        <v>35.042416670000001</v>
      </c>
      <c r="G6278" s="3">
        <f>VLOOKUP(B6278,airports!A:H,8,FALSE)</f>
        <v>-89.97666667</v>
      </c>
      <c r="H6278">
        <f t="shared" si="196"/>
        <v>1051.3</v>
      </c>
      <c r="I6278">
        <f t="shared" si="197"/>
        <v>653.29999999999995</v>
      </c>
    </row>
    <row r="6279" spans="1:9" x14ac:dyDescent="0.25">
      <c r="A6279" s="5" t="s">
        <v>188</v>
      </c>
      <c r="B6279" s="5" t="s">
        <v>85</v>
      </c>
      <c r="C6279" s="5" t="s">
        <v>6759</v>
      </c>
      <c r="D6279" s="3">
        <f>VLOOKUP(A6279,airports!A:H,7,FALSE)</f>
        <v>27.910763330000002</v>
      </c>
      <c r="E6279" s="3">
        <f>VLOOKUP(A6279,airports!A:H,8,FALSE)</f>
        <v>-82.687439440000006</v>
      </c>
      <c r="F6279" s="3">
        <f>VLOOKUP(B6279,airports!A:H,7,FALSE)</f>
        <v>42.94722222</v>
      </c>
      <c r="G6279" s="3">
        <f>VLOOKUP(B6279,airports!A:H,8,FALSE)</f>
        <v>-87.896583329999999</v>
      </c>
      <c r="H6279">
        <f t="shared" si="196"/>
        <v>1736.4</v>
      </c>
      <c r="I6279">
        <f t="shared" si="197"/>
        <v>1079</v>
      </c>
    </row>
    <row r="6280" spans="1:9" x14ac:dyDescent="0.25">
      <c r="A6280" s="5" t="s">
        <v>188</v>
      </c>
      <c r="B6280" s="5" t="s">
        <v>573</v>
      </c>
      <c r="C6280" s="5" t="s">
        <v>6760</v>
      </c>
      <c r="D6280" s="3">
        <f>VLOOKUP(A6280,airports!A:H,7,FALSE)</f>
        <v>27.910763330000002</v>
      </c>
      <c r="E6280" s="3">
        <f>VLOOKUP(A6280,airports!A:H,8,FALSE)</f>
        <v>-82.687439440000006</v>
      </c>
      <c r="F6280" s="3">
        <f>VLOOKUP(B6280,airports!A:H,7,FALSE)</f>
        <v>41.448526389999998</v>
      </c>
      <c r="G6280" s="3">
        <f>VLOOKUP(B6280,airports!A:H,8,FALSE)</f>
        <v>-90.507539170000001</v>
      </c>
      <c r="H6280">
        <f t="shared" si="196"/>
        <v>1664.7</v>
      </c>
      <c r="I6280">
        <f t="shared" si="197"/>
        <v>1034.5</v>
      </c>
    </row>
    <row r="6281" spans="1:9" x14ac:dyDescent="0.25">
      <c r="A6281" s="5" t="s">
        <v>188</v>
      </c>
      <c r="B6281" s="5" t="s">
        <v>89</v>
      </c>
      <c r="C6281" s="5" t="s">
        <v>6761</v>
      </c>
      <c r="D6281" s="3">
        <f>VLOOKUP(A6281,airports!A:H,7,FALSE)</f>
        <v>27.910763330000002</v>
      </c>
      <c r="E6281" s="3">
        <f>VLOOKUP(A6281,airports!A:H,8,FALSE)</f>
        <v>-82.687439440000006</v>
      </c>
      <c r="F6281" s="3">
        <f>VLOOKUP(B6281,airports!A:H,7,FALSE)</f>
        <v>29.993388889999999</v>
      </c>
      <c r="G6281" s="3">
        <f>VLOOKUP(B6281,airports!A:H,8,FALSE)</f>
        <v>-90.258027780000006</v>
      </c>
      <c r="H6281">
        <f t="shared" si="196"/>
        <v>772</v>
      </c>
      <c r="I6281">
        <f t="shared" si="197"/>
        <v>479.7</v>
      </c>
    </row>
    <row r="6282" spans="1:9" x14ac:dyDescent="0.25">
      <c r="A6282" s="5" t="s">
        <v>188</v>
      </c>
      <c r="B6282" s="5" t="s">
        <v>3889</v>
      </c>
      <c r="C6282" s="5" t="s">
        <v>6762</v>
      </c>
      <c r="D6282" s="3">
        <f>VLOOKUP(A6282,airports!A:H,7,FALSE)</f>
        <v>27.910763330000002</v>
      </c>
      <c r="E6282" s="3">
        <f>VLOOKUP(A6282,airports!A:H,8,FALSE)</f>
        <v>-82.687439440000006</v>
      </c>
      <c r="F6282" s="3">
        <f>VLOOKUP(B6282,airports!A:H,7,FALSE)</f>
        <v>44.681899999999999</v>
      </c>
      <c r="G6282" s="3">
        <f>VLOOKUP(B6282,airports!A:H,8,FALSE)</f>
        <v>-75.465500000000006</v>
      </c>
      <c r="H6282">
        <f t="shared" si="196"/>
        <v>1971.9</v>
      </c>
      <c r="I6282">
        <f t="shared" si="197"/>
        <v>1225.4000000000001</v>
      </c>
    </row>
    <row r="6283" spans="1:9" ht="30" x14ac:dyDescent="0.25">
      <c r="A6283" s="5" t="s">
        <v>188</v>
      </c>
      <c r="B6283" s="5" t="s">
        <v>592</v>
      </c>
      <c r="C6283" s="5" t="s">
        <v>6763</v>
      </c>
      <c r="D6283" s="3">
        <f>VLOOKUP(A6283,airports!A:H,7,FALSE)</f>
        <v>27.910763330000002</v>
      </c>
      <c r="E6283" s="3">
        <f>VLOOKUP(A6283,airports!A:H,8,FALSE)</f>
        <v>-82.687439440000006</v>
      </c>
      <c r="F6283" s="3">
        <f>VLOOKUP(B6283,airports!A:H,7,FALSE)</f>
        <v>41.30251861</v>
      </c>
      <c r="G6283" s="3">
        <f>VLOOKUP(B6283,airports!A:H,8,FALSE)</f>
        <v>-95.89417306</v>
      </c>
      <c r="H6283">
        <f t="shared" si="196"/>
        <v>1913.1</v>
      </c>
      <c r="I6283">
        <f t="shared" si="197"/>
        <v>1188.8</v>
      </c>
    </row>
    <row r="6284" spans="1:9" x14ac:dyDescent="0.25">
      <c r="A6284" s="5" t="s">
        <v>188</v>
      </c>
      <c r="B6284" s="5" t="s">
        <v>596</v>
      </c>
      <c r="C6284" s="5" t="s">
        <v>6764</v>
      </c>
      <c r="D6284" s="3">
        <f>VLOOKUP(A6284,airports!A:H,7,FALSE)</f>
        <v>27.910763330000002</v>
      </c>
      <c r="E6284" s="3">
        <f>VLOOKUP(A6284,airports!A:H,8,FALSE)</f>
        <v>-82.687439440000006</v>
      </c>
      <c r="F6284" s="3">
        <f>VLOOKUP(B6284,airports!A:H,7,FALSE)</f>
        <v>36.89461111</v>
      </c>
      <c r="G6284" s="3">
        <f>VLOOKUP(B6284,airports!A:H,8,FALSE)</f>
        <v>-76.201222220000005</v>
      </c>
      <c r="H6284">
        <f t="shared" si="196"/>
        <v>1169.2</v>
      </c>
      <c r="I6284">
        <f t="shared" si="197"/>
        <v>726.5</v>
      </c>
    </row>
    <row r="6285" spans="1:9" x14ac:dyDescent="0.25">
      <c r="A6285" s="5" t="s">
        <v>188</v>
      </c>
      <c r="B6285" s="5" t="s">
        <v>3316</v>
      </c>
      <c r="C6285" s="5" t="s">
        <v>6765</v>
      </c>
      <c r="D6285" s="3">
        <f>VLOOKUP(A6285,airports!A:H,7,FALSE)</f>
        <v>27.910763330000002</v>
      </c>
      <c r="E6285" s="3">
        <f>VLOOKUP(A6285,airports!A:H,8,FALSE)</f>
        <v>-82.687439440000006</v>
      </c>
      <c r="F6285" s="3">
        <f>VLOOKUP(B6285,airports!A:H,7,FALSE)</f>
        <v>44.650901794433501</v>
      </c>
      <c r="G6285" s="3">
        <f>VLOOKUP(B6285,airports!A:H,8,FALSE)</f>
        <v>-73.468101501464801</v>
      </c>
      <c r="H6285">
        <f t="shared" si="196"/>
        <v>2033.4</v>
      </c>
      <c r="I6285">
        <f t="shared" si="197"/>
        <v>1263.5</v>
      </c>
    </row>
    <row r="6286" spans="1:9" x14ac:dyDescent="0.25">
      <c r="A6286" s="5" t="s">
        <v>188</v>
      </c>
      <c r="B6286" s="5" t="s">
        <v>604</v>
      </c>
      <c r="C6286" s="5" t="s">
        <v>6766</v>
      </c>
      <c r="D6286" s="3">
        <f>VLOOKUP(A6286,airports!A:H,7,FALSE)</f>
        <v>27.910763330000002</v>
      </c>
      <c r="E6286" s="3">
        <f>VLOOKUP(A6286,airports!A:H,8,FALSE)</f>
        <v>-82.687439440000006</v>
      </c>
      <c r="F6286" s="3">
        <f>VLOOKUP(B6286,airports!A:H,7,FALSE)</f>
        <v>40.664243329999998</v>
      </c>
      <c r="G6286" s="3">
        <f>VLOOKUP(B6286,airports!A:H,8,FALSE)</f>
        <v>-89.693305559999999</v>
      </c>
      <c r="H6286">
        <f t="shared" si="196"/>
        <v>1556</v>
      </c>
      <c r="I6286">
        <f t="shared" si="197"/>
        <v>966.9</v>
      </c>
    </row>
    <row r="6287" spans="1:9" x14ac:dyDescent="0.25">
      <c r="A6287" s="5" t="s">
        <v>188</v>
      </c>
      <c r="B6287" s="5" t="s">
        <v>106</v>
      </c>
      <c r="C6287" s="5" t="s">
        <v>6767</v>
      </c>
      <c r="D6287" s="3">
        <f>VLOOKUP(A6287,airports!A:H,7,FALSE)</f>
        <v>27.910763330000002</v>
      </c>
      <c r="E6287" s="3">
        <f>VLOOKUP(A6287,airports!A:H,8,FALSE)</f>
        <v>-82.687439440000006</v>
      </c>
      <c r="F6287" s="3">
        <f>VLOOKUP(B6287,airports!A:H,7,FALSE)</f>
        <v>40.491465830000003</v>
      </c>
      <c r="G6287" s="3">
        <f>VLOOKUP(B6287,airports!A:H,8,FALSE)</f>
        <v>-80.232870829999996</v>
      </c>
      <c r="H6287">
        <f t="shared" si="196"/>
        <v>1416.8</v>
      </c>
      <c r="I6287">
        <f t="shared" si="197"/>
        <v>880.4</v>
      </c>
    </row>
    <row r="6288" spans="1:9" x14ac:dyDescent="0.25">
      <c r="A6288" s="5" t="s">
        <v>188</v>
      </c>
      <c r="B6288" s="5" t="s">
        <v>1164</v>
      </c>
      <c r="C6288" s="5" t="s">
        <v>6768</v>
      </c>
      <c r="D6288" s="3">
        <f>VLOOKUP(A6288,airports!A:H,7,FALSE)</f>
        <v>27.910763330000002</v>
      </c>
      <c r="E6288" s="3">
        <f>VLOOKUP(A6288,airports!A:H,8,FALSE)</f>
        <v>-82.687439440000006</v>
      </c>
      <c r="F6288" s="3">
        <f>VLOOKUP(B6288,airports!A:H,7,FALSE)</f>
        <v>43.079099999999997</v>
      </c>
      <c r="G6288" s="3">
        <f>VLOOKUP(B6288,airports!A:H,8,FALSE)</f>
        <v>-70.823300000000003</v>
      </c>
      <c r="H6288">
        <f t="shared" si="196"/>
        <v>1995</v>
      </c>
      <c r="I6288">
        <f t="shared" si="197"/>
        <v>1239.7</v>
      </c>
    </row>
    <row r="6289" spans="1:9" x14ac:dyDescent="0.25">
      <c r="A6289" s="5" t="s">
        <v>188</v>
      </c>
      <c r="B6289" s="5" t="s">
        <v>114</v>
      </c>
      <c r="C6289" s="5" t="s">
        <v>6769</v>
      </c>
      <c r="D6289" s="3">
        <f>VLOOKUP(A6289,airports!A:H,7,FALSE)</f>
        <v>27.910763330000002</v>
      </c>
      <c r="E6289" s="3">
        <f>VLOOKUP(A6289,airports!A:H,8,FALSE)</f>
        <v>-82.687439440000006</v>
      </c>
      <c r="F6289" s="3">
        <f>VLOOKUP(B6289,airports!A:H,7,FALSE)</f>
        <v>41.723999169999999</v>
      </c>
      <c r="G6289" s="3">
        <f>VLOOKUP(B6289,airports!A:H,8,FALSE)</f>
        <v>-71.428221109999996</v>
      </c>
      <c r="H6289">
        <f t="shared" si="196"/>
        <v>1844.4</v>
      </c>
      <c r="I6289">
        <f t="shared" si="197"/>
        <v>1146.0999999999999</v>
      </c>
    </row>
    <row r="6290" spans="1:9" x14ac:dyDescent="0.25">
      <c r="A6290" s="5" t="s">
        <v>188</v>
      </c>
      <c r="B6290" s="5" t="s">
        <v>772</v>
      </c>
      <c r="C6290" s="5" t="s">
        <v>6770</v>
      </c>
      <c r="D6290" s="3">
        <f>VLOOKUP(A6290,airports!A:H,7,FALSE)</f>
        <v>27.910763330000002</v>
      </c>
      <c r="E6290" s="3">
        <f>VLOOKUP(A6290,airports!A:H,8,FALSE)</f>
        <v>-82.687439440000006</v>
      </c>
      <c r="F6290" s="3">
        <f>VLOOKUP(B6290,airports!A:H,7,FALSE)</f>
        <v>40.219200000000001</v>
      </c>
      <c r="G6290" s="3">
        <f>VLOOKUP(B6290,airports!A:H,8,FALSE)</f>
        <v>-111.723</v>
      </c>
      <c r="H6290">
        <f t="shared" si="196"/>
        <v>2985.3</v>
      </c>
      <c r="I6290">
        <f t="shared" si="197"/>
        <v>1855.1</v>
      </c>
    </row>
    <row r="6291" spans="1:9" x14ac:dyDescent="0.25">
      <c r="A6291" s="5" t="s">
        <v>188</v>
      </c>
      <c r="B6291" s="5" t="s">
        <v>119</v>
      </c>
      <c r="C6291" s="5" t="s">
        <v>6771</v>
      </c>
      <c r="D6291" s="3">
        <f>VLOOKUP(A6291,airports!A:H,7,FALSE)</f>
        <v>27.910763330000002</v>
      </c>
      <c r="E6291" s="3">
        <f>VLOOKUP(A6291,airports!A:H,8,FALSE)</f>
        <v>-82.687439440000006</v>
      </c>
      <c r="F6291" s="3">
        <f>VLOOKUP(B6291,airports!A:H,7,FALSE)</f>
        <v>35.87763889</v>
      </c>
      <c r="G6291" s="3">
        <f>VLOOKUP(B6291,airports!A:H,8,FALSE)</f>
        <v>-78.787472219999998</v>
      </c>
      <c r="H6291">
        <f t="shared" si="196"/>
        <v>959.1</v>
      </c>
      <c r="I6291">
        <f t="shared" si="197"/>
        <v>596</v>
      </c>
    </row>
    <row r="6292" spans="1:9" x14ac:dyDescent="0.25">
      <c r="A6292" s="5" t="s">
        <v>188</v>
      </c>
      <c r="B6292" s="5" t="s">
        <v>896</v>
      </c>
      <c r="C6292" s="5" t="s">
        <v>6772</v>
      </c>
      <c r="D6292" s="3">
        <f>VLOOKUP(A6292,airports!A:H,7,FALSE)</f>
        <v>27.910763330000002</v>
      </c>
      <c r="E6292" s="3">
        <f>VLOOKUP(A6292,airports!A:H,8,FALSE)</f>
        <v>-82.687439440000006</v>
      </c>
      <c r="F6292" s="3">
        <f>VLOOKUP(B6292,airports!A:H,7,FALSE)</f>
        <v>42.195363890000003</v>
      </c>
      <c r="G6292" s="3">
        <f>VLOOKUP(B6292,airports!A:H,8,FALSE)</f>
        <v>-89.097211110000003</v>
      </c>
      <c r="H6292">
        <f t="shared" si="196"/>
        <v>1690.8</v>
      </c>
      <c r="I6292">
        <f t="shared" si="197"/>
        <v>1050.7</v>
      </c>
    </row>
    <row r="6293" spans="1:9" x14ac:dyDescent="0.25">
      <c r="A6293" s="5" t="s">
        <v>188</v>
      </c>
      <c r="B6293" s="5" t="s">
        <v>120</v>
      </c>
      <c r="C6293" s="5" t="s">
        <v>6773</v>
      </c>
      <c r="D6293" s="3">
        <f>VLOOKUP(A6293,airports!A:H,7,FALSE)</f>
        <v>27.910763330000002</v>
      </c>
      <c r="E6293" s="3">
        <f>VLOOKUP(A6293,airports!A:H,8,FALSE)</f>
        <v>-82.687439440000006</v>
      </c>
      <c r="F6293" s="3">
        <f>VLOOKUP(B6293,airports!A:H,7,FALSE)</f>
        <v>37.505166670000001</v>
      </c>
      <c r="G6293" s="3">
        <f>VLOOKUP(B6293,airports!A:H,8,FALSE)</f>
        <v>-77.319666670000004</v>
      </c>
      <c r="H6293">
        <f t="shared" si="196"/>
        <v>1178.5999999999999</v>
      </c>
      <c r="I6293">
        <f t="shared" si="197"/>
        <v>732.4</v>
      </c>
    </row>
    <row r="6294" spans="1:9" x14ac:dyDescent="0.25">
      <c r="A6294" s="5" t="s">
        <v>188</v>
      </c>
      <c r="B6294" s="5" t="s">
        <v>617</v>
      </c>
      <c r="C6294" s="5" t="s">
        <v>6774</v>
      </c>
      <c r="D6294" s="3">
        <f>VLOOKUP(A6294,airports!A:H,7,FALSE)</f>
        <v>27.910763330000002</v>
      </c>
      <c r="E6294" s="3">
        <f>VLOOKUP(A6294,airports!A:H,8,FALSE)</f>
        <v>-82.687439440000006</v>
      </c>
      <c r="F6294" s="3">
        <f>VLOOKUP(B6294,airports!A:H,7,FALSE)</f>
        <v>37.32546833</v>
      </c>
      <c r="G6294" s="3">
        <f>VLOOKUP(B6294,airports!A:H,8,FALSE)</f>
        <v>-79.97542833</v>
      </c>
      <c r="H6294">
        <f t="shared" si="196"/>
        <v>1077.0999999999999</v>
      </c>
      <c r="I6294">
        <f t="shared" si="197"/>
        <v>669.3</v>
      </c>
    </row>
    <row r="6295" spans="1:9" x14ac:dyDescent="0.25">
      <c r="A6295" s="5" t="s">
        <v>188</v>
      </c>
      <c r="B6295" s="5" t="s">
        <v>626</v>
      </c>
      <c r="C6295" s="5" t="s">
        <v>6775</v>
      </c>
      <c r="D6295" s="3">
        <f>VLOOKUP(A6295,airports!A:H,7,FALSE)</f>
        <v>27.910763330000002</v>
      </c>
      <c r="E6295" s="3">
        <f>VLOOKUP(A6295,airports!A:H,8,FALSE)</f>
        <v>-82.687439440000006</v>
      </c>
      <c r="F6295" s="3">
        <f>VLOOKUP(B6295,airports!A:H,7,FALSE)</f>
        <v>41.708953610000002</v>
      </c>
      <c r="G6295" s="3">
        <f>VLOOKUP(B6295,airports!A:H,8,FALSE)</f>
        <v>-86.318474170000002</v>
      </c>
      <c r="H6295">
        <f t="shared" si="196"/>
        <v>1569.3</v>
      </c>
      <c r="I6295">
        <f t="shared" si="197"/>
        <v>975.2</v>
      </c>
    </row>
    <row r="6296" spans="1:9" x14ac:dyDescent="0.25">
      <c r="A6296" s="5" t="s">
        <v>188</v>
      </c>
      <c r="B6296" s="5" t="s">
        <v>628</v>
      </c>
      <c r="C6296" s="5" t="s">
        <v>6776</v>
      </c>
      <c r="D6296" s="3">
        <f>VLOOKUP(A6296,airports!A:H,7,FALSE)</f>
        <v>27.910763330000002</v>
      </c>
      <c r="E6296" s="3">
        <f>VLOOKUP(A6296,airports!A:H,8,FALSE)</f>
        <v>-82.687439440000006</v>
      </c>
      <c r="F6296" s="3">
        <f>VLOOKUP(B6296,airports!A:H,7,FALSE)</f>
        <v>40.851205999999998</v>
      </c>
      <c r="G6296" s="3">
        <f>VLOOKUP(B6296,airports!A:H,8,FALSE)</f>
        <v>-77.846301999999994</v>
      </c>
      <c r="H6296">
        <f t="shared" si="196"/>
        <v>1505.3</v>
      </c>
      <c r="I6296">
        <f t="shared" si="197"/>
        <v>935.4</v>
      </c>
    </row>
    <row r="6297" spans="1:9" x14ac:dyDescent="0.25">
      <c r="A6297" s="5" t="s">
        <v>188</v>
      </c>
      <c r="B6297" s="5" t="s">
        <v>630</v>
      </c>
      <c r="C6297" s="5" t="s">
        <v>6777</v>
      </c>
      <c r="D6297" s="3">
        <f>VLOOKUP(A6297,airports!A:H,7,FALSE)</f>
        <v>27.910763330000002</v>
      </c>
      <c r="E6297" s="3">
        <f>VLOOKUP(A6297,airports!A:H,8,FALSE)</f>
        <v>-82.687439440000006</v>
      </c>
      <c r="F6297" s="3">
        <f>VLOOKUP(B6297,airports!A:H,7,FALSE)</f>
        <v>38.174388890000003</v>
      </c>
      <c r="G6297" s="3">
        <f>VLOOKUP(B6297,airports!A:H,8,FALSE)</f>
        <v>-85.736000000000004</v>
      </c>
      <c r="H6297">
        <f t="shared" si="196"/>
        <v>1175.9000000000001</v>
      </c>
      <c r="I6297">
        <f t="shared" si="197"/>
        <v>730.7</v>
      </c>
    </row>
    <row r="6298" spans="1:9" x14ac:dyDescent="0.25">
      <c r="A6298" s="5" t="s">
        <v>188</v>
      </c>
      <c r="B6298" s="5" t="s">
        <v>634</v>
      </c>
      <c r="C6298" s="5" t="s">
        <v>6778</v>
      </c>
      <c r="D6298" s="3">
        <f>VLOOKUP(A6298,airports!A:H,7,FALSE)</f>
        <v>27.910763330000002</v>
      </c>
      <c r="E6298" s="3">
        <f>VLOOKUP(A6298,airports!A:H,8,FALSE)</f>
        <v>-82.687439440000006</v>
      </c>
      <c r="F6298" s="3">
        <f>VLOOKUP(B6298,airports!A:H,7,FALSE)</f>
        <v>37.244326110000003</v>
      </c>
      <c r="G6298" s="3">
        <f>VLOOKUP(B6298,airports!A:H,8,FALSE)</f>
        <v>-93.386858059999994</v>
      </c>
      <c r="H6298">
        <f t="shared" si="196"/>
        <v>1441</v>
      </c>
      <c r="I6298">
        <f t="shared" si="197"/>
        <v>895.4</v>
      </c>
    </row>
    <row r="6299" spans="1:9" x14ac:dyDescent="0.25">
      <c r="A6299" s="5" t="s">
        <v>188</v>
      </c>
      <c r="B6299" s="5" t="s">
        <v>142</v>
      </c>
      <c r="C6299" s="5" t="s">
        <v>6779</v>
      </c>
      <c r="D6299" s="3">
        <f>VLOOKUP(A6299,airports!A:H,7,FALSE)</f>
        <v>27.910763330000002</v>
      </c>
      <c r="E6299" s="3">
        <f>VLOOKUP(A6299,airports!A:H,8,FALSE)</f>
        <v>-82.687439440000006</v>
      </c>
      <c r="F6299" s="3">
        <f>VLOOKUP(B6299,airports!A:H,7,FALSE)</f>
        <v>41.504093609999998</v>
      </c>
      <c r="G6299" s="3">
        <f>VLOOKUP(B6299,airports!A:H,8,FALSE)</f>
        <v>-74.104838330000007</v>
      </c>
      <c r="H6299">
        <f t="shared" si="196"/>
        <v>1700.8</v>
      </c>
      <c r="I6299">
        <f t="shared" si="197"/>
        <v>1056.9000000000001</v>
      </c>
    </row>
    <row r="6300" spans="1:9" x14ac:dyDescent="0.25">
      <c r="A6300" s="5" t="s">
        <v>188</v>
      </c>
      <c r="B6300" s="5" t="s">
        <v>144</v>
      </c>
      <c r="C6300" s="5" t="s">
        <v>6780</v>
      </c>
      <c r="D6300" s="3">
        <f>VLOOKUP(A6300,airports!A:H,7,FALSE)</f>
        <v>27.910763330000002</v>
      </c>
      <c r="E6300" s="3">
        <f>VLOOKUP(A6300,airports!A:H,8,FALSE)</f>
        <v>-82.687439440000006</v>
      </c>
      <c r="F6300" s="3">
        <f>VLOOKUP(B6300,airports!A:H,7,FALSE)</f>
        <v>43.111186940000003</v>
      </c>
      <c r="G6300" s="3">
        <f>VLOOKUP(B6300,airports!A:H,8,FALSE)</f>
        <v>-76.106310559999997</v>
      </c>
      <c r="H6300">
        <f t="shared" si="196"/>
        <v>1790.6</v>
      </c>
      <c r="I6300">
        <f t="shared" si="197"/>
        <v>1112.7</v>
      </c>
    </row>
    <row r="6301" spans="1:9" x14ac:dyDescent="0.25">
      <c r="A6301" s="5" t="s">
        <v>188</v>
      </c>
      <c r="B6301" s="5" t="s">
        <v>913</v>
      </c>
      <c r="C6301" s="5" t="s">
        <v>6781</v>
      </c>
      <c r="D6301" s="3">
        <f>VLOOKUP(A6301,airports!A:H,7,FALSE)</f>
        <v>27.910763330000002</v>
      </c>
      <c r="E6301" s="3">
        <f>VLOOKUP(A6301,airports!A:H,8,FALSE)</f>
        <v>-82.687439440000006</v>
      </c>
      <c r="F6301" s="3">
        <f>VLOOKUP(B6301,airports!A:H,7,FALSE)</f>
        <v>41.586805560000002</v>
      </c>
      <c r="G6301" s="3">
        <f>VLOOKUP(B6301,airports!A:H,8,FALSE)</f>
        <v>-83.807833329999994</v>
      </c>
      <c r="H6301">
        <f t="shared" si="196"/>
        <v>1524.1</v>
      </c>
      <c r="I6301">
        <f t="shared" si="197"/>
        <v>947.1</v>
      </c>
    </row>
    <row r="6302" spans="1:9" x14ac:dyDescent="0.25">
      <c r="A6302" s="5" t="s">
        <v>188</v>
      </c>
      <c r="B6302" s="5" t="s">
        <v>654</v>
      </c>
      <c r="C6302" s="5" t="s">
        <v>6782</v>
      </c>
      <c r="D6302" s="3">
        <f>VLOOKUP(A6302,airports!A:H,7,FALSE)</f>
        <v>27.910763330000002</v>
      </c>
      <c r="E6302" s="3">
        <f>VLOOKUP(A6302,airports!A:H,8,FALSE)</f>
        <v>-82.687439440000006</v>
      </c>
      <c r="F6302" s="3">
        <f>VLOOKUP(B6302,airports!A:H,7,FALSE)</f>
        <v>36.475214170000001</v>
      </c>
      <c r="G6302" s="3">
        <f>VLOOKUP(B6302,airports!A:H,8,FALSE)</f>
        <v>-82.407420560000006</v>
      </c>
      <c r="H6302">
        <f t="shared" si="196"/>
        <v>952.7</v>
      </c>
      <c r="I6302">
        <f t="shared" si="197"/>
        <v>592</v>
      </c>
    </row>
    <row r="6303" spans="1:9" x14ac:dyDescent="0.25">
      <c r="A6303" s="5" t="s">
        <v>188</v>
      </c>
      <c r="B6303" s="5" t="s">
        <v>656</v>
      </c>
      <c r="C6303" s="5" t="s">
        <v>6783</v>
      </c>
      <c r="D6303" s="3">
        <f>VLOOKUP(A6303,airports!A:H,7,FALSE)</f>
        <v>27.910763330000002</v>
      </c>
      <c r="E6303" s="3">
        <f>VLOOKUP(A6303,airports!A:H,8,FALSE)</f>
        <v>-82.687439440000006</v>
      </c>
      <c r="F6303" s="3">
        <f>VLOOKUP(B6303,airports!A:H,7,FALSE)</f>
        <v>40.276691110000002</v>
      </c>
      <c r="G6303" s="3">
        <f>VLOOKUP(B6303,airports!A:H,8,FALSE)</f>
        <v>-74.813468330000006</v>
      </c>
      <c r="H6303">
        <f t="shared" si="196"/>
        <v>1552.8</v>
      </c>
      <c r="I6303">
        <f t="shared" si="197"/>
        <v>964.9</v>
      </c>
    </row>
    <row r="6304" spans="1:9" x14ac:dyDescent="0.25">
      <c r="A6304" s="5" t="s">
        <v>188</v>
      </c>
      <c r="B6304" s="5" t="s">
        <v>658</v>
      </c>
      <c r="C6304" s="5" t="s">
        <v>6784</v>
      </c>
      <c r="D6304" s="3">
        <f>VLOOKUP(A6304,airports!A:H,7,FALSE)</f>
        <v>27.910763330000002</v>
      </c>
      <c r="E6304" s="3">
        <f>VLOOKUP(A6304,airports!A:H,8,FALSE)</f>
        <v>-82.687439440000006</v>
      </c>
      <c r="F6304" s="3">
        <f>VLOOKUP(B6304,airports!A:H,7,FALSE)</f>
        <v>36.198372220000003</v>
      </c>
      <c r="G6304" s="3">
        <f>VLOOKUP(B6304,airports!A:H,8,FALSE)</f>
        <v>-95.888241669999999</v>
      </c>
      <c r="H6304">
        <f t="shared" si="196"/>
        <v>1545.7</v>
      </c>
      <c r="I6304">
        <f t="shared" si="197"/>
        <v>960.5</v>
      </c>
    </row>
    <row r="6305" spans="1:9" x14ac:dyDescent="0.25">
      <c r="A6305" s="5" t="s">
        <v>188</v>
      </c>
      <c r="B6305" s="5" t="s">
        <v>662</v>
      </c>
      <c r="C6305" s="5" t="s">
        <v>6785</v>
      </c>
      <c r="D6305" s="3">
        <f>VLOOKUP(A6305,airports!A:H,7,FALSE)</f>
        <v>27.910763330000002</v>
      </c>
      <c r="E6305" s="3">
        <f>VLOOKUP(A6305,airports!A:H,8,FALSE)</f>
        <v>-82.687439440000006</v>
      </c>
      <c r="F6305" s="3">
        <f>VLOOKUP(B6305,airports!A:H,7,FALSE)</f>
        <v>44.741444719999997</v>
      </c>
      <c r="G6305" s="3">
        <f>VLOOKUP(B6305,airports!A:H,8,FALSE)</f>
        <v>-85.582234999999997</v>
      </c>
      <c r="H6305">
        <f t="shared" si="196"/>
        <v>1889</v>
      </c>
      <c r="I6305">
        <f t="shared" si="197"/>
        <v>1173.9000000000001</v>
      </c>
    </row>
    <row r="6306" spans="1:9" x14ac:dyDescent="0.25">
      <c r="A6306" s="5" t="s">
        <v>188</v>
      </c>
      <c r="B6306" s="5" t="s">
        <v>664</v>
      </c>
      <c r="C6306" s="5" t="s">
        <v>6786</v>
      </c>
      <c r="D6306" s="3">
        <f>VLOOKUP(A6306,airports!A:H,7,FALSE)</f>
        <v>27.910763330000002</v>
      </c>
      <c r="E6306" s="3">
        <f>VLOOKUP(A6306,airports!A:H,8,FALSE)</f>
        <v>-82.687439440000006</v>
      </c>
      <c r="F6306" s="3">
        <f>VLOOKUP(B6306,airports!A:H,7,FALSE)</f>
        <v>35.812487220000001</v>
      </c>
      <c r="G6306" s="3">
        <f>VLOOKUP(B6306,airports!A:H,8,FALSE)</f>
        <v>-83.992855829999996</v>
      </c>
      <c r="H6306">
        <f t="shared" si="196"/>
        <v>887.2</v>
      </c>
      <c r="I6306">
        <f t="shared" si="197"/>
        <v>551.29999999999995</v>
      </c>
    </row>
    <row r="6307" spans="1:9" x14ac:dyDescent="0.25">
      <c r="A6307" s="5" t="s">
        <v>188</v>
      </c>
      <c r="B6307" s="5" t="s">
        <v>4</v>
      </c>
      <c r="C6307" s="5" t="s">
        <v>6787</v>
      </c>
      <c r="D6307" s="3">
        <f>VLOOKUP(A6307,airports!A:H,7,FALSE)</f>
        <v>27.910763330000002</v>
      </c>
      <c r="E6307" s="3">
        <f>VLOOKUP(A6307,airports!A:H,8,FALSE)</f>
        <v>-82.687439440000006</v>
      </c>
      <c r="F6307" s="3">
        <f>VLOOKUP(B6307,airports!A:H,7,FALSE)</f>
        <v>35.387797999999997</v>
      </c>
      <c r="G6307" s="3">
        <f>VLOOKUP(B6307,airports!A:H,8,FALSE)</f>
        <v>-80.709098999999995</v>
      </c>
      <c r="H6307">
        <f t="shared" si="196"/>
        <v>852.2</v>
      </c>
      <c r="I6307">
        <f t="shared" si="197"/>
        <v>529.5</v>
      </c>
    </row>
    <row r="6308" spans="1:9" x14ac:dyDescent="0.25">
      <c r="A6308" s="5" t="s">
        <v>188</v>
      </c>
      <c r="B6308" s="5" t="s">
        <v>670</v>
      </c>
      <c r="C6308" s="5" t="s">
        <v>6788</v>
      </c>
      <c r="D6308" s="3">
        <f>VLOOKUP(A6308,airports!A:H,7,FALSE)</f>
        <v>27.910763330000002</v>
      </c>
      <c r="E6308" s="3">
        <f>VLOOKUP(A6308,airports!A:H,8,FALSE)</f>
        <v>-82.687439440000006</v>
      </c>
      <c r="F6308" s="3">
        <f>VLOOKUP(B6308,airports!A:H,7,FALSE)</f>
        <v>36.281869440000001</v>
      </c>
      <c r="G6308" s="3">
        <f>VLOOKUP(B6308,airports!A:H,8,FALSE)</f>
        <v>-94.306811109999998</v>
      </c>
      <c r="H6308">
        <f t="shared" si="196"/>
        <v>1434.8</v>
      </c>
      <c r="I6308">
        <f t="shared" si="197"/>
        <v>891.6</v>
      </c>
    </row>
    <row r="6309" spans="1:9" x14ac:dyDescent="0.25">
      <c r="A6309" s="5" t="s">
        <v>188</v>
      </c>
      <c r="B6309" s="5" t="s">
        <v>6789</v>
      </c>
      <c r="C6309" s="5" t="s">
        <v>6790</v>
      </c>
      <c r="D6309" s="3">
        <f>VLOOKUP(A6309,airports!A:H,7,FALSE)</f>
        <v>27.910763330000002</v>
      </c>
      <c r="E6309" s="3">
        <f>VLOOKUP(A6309,airports!A:H,8,FALSE)</f>
        <v>-82.687439440000006</v>
      </c>
      <c r="F6309" s="3">
        <f>VLOOKUP(B6309,airports!A:H,7,FALSE)</f>
        <v>41.260700229999998</v>
      </c>
      <c r="G6309" s="3">
        <f>VLOOKUP(B6309,airports!A:H,8,FALSE)</f>
        <v>-80.679100039999994</v>
      </c>
      <c r="H6309">
        <f t="shared" si="196"/>
        <v>1495.7</v>
      </c>
      <c r="I6309">
        <f t="shared" si="197"/>
        <v>929.4</v>
      </c>
    </row>
    <row r="6310" spans="1:9" x14ac:dyDescent="0.25">
      <c r="A6310" s="5" t="s">
        <v>6791</v>
      </c>
      <c r="B6310" s="5" t="s">
        <v>135</v>
      </c>
      <c r="C6310" s="5" t="s">
        <v>6792</v>
      </c>
      <c r="D6310" s="3">
        <f>VLOOKUP(A6310,airports!A:H,7,FALSE)</f>
        <v>42.911305560000002</v>
      </c>
      <c r="E6310" s="3">
        <f>VLOOKUP(A6310,airports!A:H,8,FALSE)</f>
        <v>-112.59586109999999</v>
      </c>
      <c r="F6310" s="3">
        <f>VLOOKUP(B6310,airports!A:H,7,FALSE)</f>
        <v>40.788387780000001</v>
      </c>
      <c r="G6310" s="3">
        <f>VLOOKUP(B6310,airports!A:H,8,FALSE)</f>
        <v>-111.97777309999999</v>
      </c>
      <c r="H6310">
        <f t="shared" si="196"/>
        <v>241.5</v>
      </c>
      <c r="I6310">
        <f t="shared" si="197"/>
        <v>150.1</v>
      </c>
    </row>
    <row r="6311" spans="1:9" x14ac:dyDescent="0.25">
      <c r="A6311" s="5" t="s">
        <v>693</v>
      </c>
      <c r="B6311" s="5" t="s">
        <v>690</v>
      </c>
      <c r="C6311" s="5" t="s">
        <v>6793</v>
      </c>
      <c r="D6311" s="3">
        <f>VLOOKUP(A6311,airports!A:H,7,FALSE)</f>
        <v>44.382676940000003</v>
      </c>
      <c r="E6311" s="3">
        <f>VLOOKUP(A6311,airports!A:H,8,FALSE)</f>
        <v>-100.285965</v>
      </c>
      <c r="F6311" s="3">
        <f>VLOOKUP(B6311,airports!A:H,7,FALSE)</f>
        <v>44.922400000000003</v>
      </c>
      <c r="G6311" s="3">
        <f>VLOOKUP(B6311,airports!A:H,8,FALSE)</f>
        <v>-97.158000000000001</v>
      </c>
      <c r="H6311">
        <f t="shared" si="196"/>
        <v>254.6</v>
      </c>
      <c r="I6311">
        <f t="shared" si="197"/>
        <v>158.19999999999999</v>
      </c>
    </row>
    <row r="6312" spans="1:9" x14ac:dyDescent="0.25">
      <c r="A6312" s="5" t="s">
        <v>693</v>
      </c>
      <c r="B6312" s="5" t="s">
        <v>956</v>
      </c>
      <c r="C6312" s="5" t="s">
        <v>6794</v>
      </c>
      <c r="D6312" s="3">
        <f>VLOOKUP(A6312,airports!A:H,7,FALSE)</f>
        <v>44.382676940000003</v>
      </c>
      <c r="E6312" s="3">
        <f>VLOOKUP(A6312,airports!A:H,8,FALSE)</f>
        <v>-100.285965</v>
      </c>
      <c r="F6312" s="3">
        <f>VLOOKUP(B6312,airports!A:H,7,FALSE)</f>
        <v>41.869599999999998</v>
      </c>
      <c r="G6312" s="3">
        <f>VLOOKUP(B6312,airports!A:H,8,FALSE)</f>
        <v>-103.5926</v>
      </c>
      <c r="H6312">
        <f t="shared" si="196"/>
        <v>387.4</v>
      </c>
      <c r="I6312">
        <f t="shared" si="197"/>
        <v>240.7</v>
      </c>
    </row>
    <row r="6313" spans="1:9" x14ac:dyDescent="0.25">
      <c r="A6313" s="5" t="s">
        <v>693</v>
      </c>
      <c r="B6313" s="5" t="s">
        <v>47</v>
      </c>
      <c r="C6313" s="5" t="s">
        <v>6795</v>
      </c>
      <c r="D6313" s="3">
        <f>VLOOKUP(A6313,airports!A:H,7,FALSE)</f>
        <v>44.382676940000003</v>
      </c>
      <c r="E6313" s="3">
        <f>VLOOKUP(A6313,airports!A:H,8,FALSE)</f>
        <v>-100.285965</v>
      </c>
      <c r="F6313" s="3">
        <f>VLOOKUP(B6313,airports!A:H,7,FALSE)</f>
        <v>39.858408060000002</v>
      </c>
      <c r="G6313" s="3">
        <f>VLOOKUP(B6313,airports!A:H,8,FALSE)</f>
        <v>-104.6670019</v>
      </c>
      <c r="H6313">
        <f t="shared" si="196"/>
        <v>619.20000000000005</v>
      </c>
      <c r="I6313">
        <f t="shared" si="197"/>
        <v>384.8</v>
      </c>
    </row>
    <row r="6314" spans="1:9" x14ac:dyDescent="0.25">
      <c r="A6314" s="5" t="s">
        <v>106</v>
      </c>
      <c r="B6314" s="5" t="s">
        <v>170</v>
      </c>
      <c r="C6314" s="5" t="s">
        <v>6796</v>
      </c>
      <c r="D6314" s="3">
        <f>VLOOKUP(A6314,airports!A:H,7,FALSE)</f>
        <v>40.491465830000003</v>
      </c>
      <c r="E6314" s="3">
        <f>VLOOKUP(A6314,airports!A:H,8,FALSE)</f>
        <v>-80.232870829999996</v>
      </c>
      <c r="F6314" s="3">
        <f>VLOOKUP(B6314,airports!A:H,7,FALSE)</f>
        <v>40.652362779999997</v>
      </c>
      <c r="G6314" s="3">
        <f>VLOOKUP(B6314,airports!A:H,8,FALSE)</f>
        <v>-75.44040167</v>
      </c>
      <c r="H6314">
        <f t="shared" si="196"/>
        <v>405.1</v>
      </c>
      <c r="I6314">
        <f t="shared" si="197"/>
        <v>251.8</v>
      </c>
    </row>
    <row r="6315" spans="1:9" x14ac:dyDescent="0.25">
      <c r="A6315" s="5" t="s">
        <v>106</v>
      </c>
      <c r="B6315" s="5" t="s">
        <v>10</v>
      </c>
      <c r="C6315" s="5" t="s">
        <v>6797</v>
      </c>
      <c r="D6315" s="3">
        <f>VLOOKUP(A6315,airports!A:H,7,FALSE)</f>
        <v>40.491465830000003</v>
      </c>
      <c r="E6315" s="3">
        <f>VLOOKUP(A6315,airports!A:H,8,FALSE)</f>
        <v>-80.232870829999996</v>
      </c>
      <c r="F6315" s="3">
        <f>VLOOKUP(B6315,airports!A:H,7,FALSE)</f>
        <v>33.640444440000003</v>
      </c>
      <c r="G6315" s="3">
        <f>VLOOKUP(B6315,airports!A:H,8,FALSE)</f>
        <v>-84.42694444</v>
      </c>
      <c r="H6315">
        <f t="shared" si="196"/>
        <v>847.6</v>
      </c>
      <c r="I6315">
        <f t="shared" si="197"/>
        <v>526.70000000000005</v>
      </c>
    </row>
    <row r="6316" spans="1:9" x14ac:dyDescent="0.25">
      <c r="A6316" s="5" t="s">
        <v>106</v>
      </c>
      <c r="B6316" s="5" t="s">
        <v>13</v>
      </c>
      <c r="C6316" s="5" t="s">
        <v>6798</v>
      </c>
      <c r="D6316" s="3">
        <f>VLOOKUP(A6316,airports!A:H,7,FALSE)</f>
        <v>40.491465830000003</v>
      </c>
      <c r="E6316" s="3">
        <f>VLOOKUP(A6316,airports!A:H,8,FALSE)</f>
        <v>-80.232870829999996</v>
      </c>
      <c r="F6316" s="3">
        <f>VLOOKUP(B6316,airports!A:H,7,FALSE)</f>
        <v>30.194532779999999</v>
      </c>
      <c r="G6316" s="3">
        <f>VLOOKUP(B6316,airports!A:H,8,FALSE)</f>
        <v>-97.669871939999993</v>
      </c>
      <c r="H6316">
        <f t="shared" si="196"/>
        <v>1946.5</v>
      </c>
      <c r="I6316">
        <f t="shared" si="197"/>
        <v>1209.5999999999999</v>
      </c>
    </row>
    <row r="6317" spans="1:9" x14ac:dyDescent="0.25">
      <c r="A6317" s="5" t="s">
        <v>106</v>
      </c>
      <c r="B6317" s="5" t="s">
        <v>329</v>
      </c>
      <c r="C6317" s="5" t="s">
        <v>6799</v>
      </c>
      <c r="D6317" s="3">
        <f>VLOOKUP(A6317,airports!A:H,7,FALSE)</f>
        <v>40.491465830000003</v>
      </c>
      <c r="E6317" s="3">
        <f>VLOOKUP(A6317,airports!A:H,8,FALSE)</f>
        <v>-80.232870829999996</v>
      </c>
      <c r="F6317" s="3">
        <f>VLOOKUP(B6317,airports!A:H,7,FALSE)</f>
        <v>33.308999999999997</v>
      </c>
      <c r="G6317" s="3">
        <f>VLOOKUP(B6317,airports!A:H,8,FALSE)</f>
        <v>-111.6559</v>
      </c>
      <c r="H6317">
        <f t="shared" si="196"/>
        <v>2888.9</v>
      </c>
      <c r="I6317">
        <f t="shared" si="197"/>
        <v>1795.2</v>
      </c>
    </row>
    <row r="6318" spans="1:9" x14ac:dyDescent="0.25">
      <c r="A6318" s="5" t="s">
        <v>106</v>
      </c>
      <c r="B6318" s="5" t="s">
        <v>19</v>
      </c>
      <c r="C6318" s="5" t="s">
        <v>6800</v>
      </c>
      <c r="D6318" s="3">
        <f>VLOOKUP(A6318,airports!A:H,7,FALSE)</f>
        <v>40.491465830000003</v>
      </c>
      <c r="E6318" s="3">
        <f>VLOOKUP(A6318,airports!A:H,8,FALSE)</f>
        <v>-80.232870829999996</v>
      </c>
      <c r="F6318" s="3">
        <f>VLOOKUP(B6318,airports!A:H,7,FALSE)</f>
        <v>36.12447667</v>
      </c>
      <c r="G6318" s="3">
        <f>VLOOKUP(B6318,airports!A:H,8,FALSE)</f>
        <v>-86.678182219999997</v>
      </c>
      <c r="H6318">
        <f t="shared" si="196"/>
        <v>742.6</v>
      </c>
      <c r="I6318">
        <f t="shared" si="197"/>
        <v>461.5</v>
      </c>
    </row>
    <row r="6319" spans="1:9" x14ac:dyDescent="0.25">
      <c r="A6319" s="5" t="s">
        <v>106</v>
      </c>
      <c r="B6319" s="5" t="s">
        <v>24</v>
      </c>
      <c r="C6319" s="5" t="s">
        <v>6801</v>
      </c>
      <c r="D6319" s="3">
        <f>VLOOKUP(A6319,airports!A:H,7,FALSE)</f>
        <v>40.491465830000003</v>
      </c>
      <c r="E6319" s="3">
        <f>VLOOKUP(A6319,airports!A:H,8,FALSE)</f>
        <v>-80.232870829999996</v>
      </c>
      <c r="F6319" s="3">
        <f>VLOOKUP(B6319,airports!A:H,7,FALSE)</f>
        <v>42.364347500000001</v>
      </c>
      <c r="G6319" s="3">
        <f>VLOOKUP(B6319,airports!A:H,8,FALSE)</f>
        <v>-71.005179170000005</v>
      </c>
      <c r="H6319">
        <f t="shared" si="196"/>
        <v>796.6</v>
      </c>
      <c r="I6319">
        <f t="shared" si="197"/>
        <v>495</v>
      </c>
    </row>
    <row r="6320" spans="1:9" x14ac:dyDescent="0.25">
      <c r="A6320" s="5" t="s">
        <v>106</v>
      </c>
      <c r="B6320" s="5" t="s">
        <v>32</v>
      </c>
      <c r="C6320" s="5" t="s">
        <v>6802</v>
      </c>
      <c r="D6320" s="3">
        <f>VLOOKUP(A6320,airports!A:H,7,FALSE)</f>
        <v>40.491465830000003</v>
      </c>
      <c r="E6320" s="3">
        <f>VLOOKUP(A6320,airports!A:H,8,FALSE)</f>
        <v>-80.232870829999996</v>
      </c>
      <c r="F6320" s="3">
        <f>VLOOKUP(B6320,airports!A:H,7,FALSE)</f>
        <v>39.175401669999999</v>
      </c>
      <c r="G6320" s="3">
        <f>VLOOKUP(B6320,airports!A:H,8,FALSE)</f>
        <v>-76.668198329999996</v>
      </c>
      <c r="H6320">
        <f t="shared" si="196"/>
        <v>337.7</v>
      </c>
      <c r="I6320">
        <f t="shared" si="197"/>
        <v>209.8</v>
      </c>
    </row>
    <row r="6321" spans="1:9" x14ac:dyDescent="0.25">
      <c r="A6321" s="5" t="s">
        <v>106</v>
      </c>
      <c r="B6321" s="5" t="s">
        <v>36</v>
      </c>
      <c r="C6321" s="5" t="s">
        <v>6803</v>
      </c>
      <c r="D6321" s="3">
        <f>VLOOKUP(A6321,airports!A:H,7,FALSE)</f>
        <v>40.491465830000003</v>
      </c>
      <c r="E6321" s="3">
        <f>VLOOKUP(A6321,airports!A:H,8,FALSE)</f>
        <v>-80.232870829999996</v>
      </c>
      <c r="F6321" s="3">
        <f>VLOOKUP(B6321,airports!A:H,7,FALSE)</f>
        <v>32.898646390000003</v>
      </c>
      <c r="G6321" s="3">
        <f>VLOOKUP(B6321,airports!A:H,8,FALSE)</f>
        <v>-80.040505830000001</v>
      </c>
      <c r="H6321">
        <f t="shared" si="196"/>
        <v>844.5</v>
      </c>
      <c r="I6321">
        <f t="shared" si="197"/>
        <v>524.79999999999995</v>
      </c>
    </row>
    <row r="6322" spans="1:9" x14ac:dyDescent="0.25">
      <c r="A6322" s="5" t="s">
        <v>106</v>
      </c>
      <c r="B6322" s="5" t="s">
        <v>38</v>
      </c>
      <c r="C6322" s="5" t="s">
        <v>6804</v>
      </c>
      <c r="D6322" s="3">
        <f>VLOOKUP(A6322,airports!A:H,7,FALSE)</f>
        <v>40.491465830000003</v>
      </c>
      <c r="E6322" s="3">
        <f>VLOOKUP(A6322,airports!A:H,8,FALSE)</f>
        <v>-80.232870829999996</v>
      </c>
      <c r="F6322" s="3">
        <f>VLOOKUP(B6322,airports!A:H,7,FALSE)</f>
        <v>41.410894169999999</v>
      </c>
      <c r="G6322" s="3">
        <f>VLOOKUP(B6322,airports!A:H,8,FALSE)</f>
        <v>-81.849396670000004</v>
      </c>
      <c r="H6322">
        <f t="shared" si="196"/>
        <v>169.9</v>
      </c>
      <c r="I6322">
        <f t="shared" si="197"/>
        <v>105.6</v>
      </c>
    </row>
    <row r="6323" spans="1:9" x14ac:dyDescent="0.25">
      <c r="A6323" s="5" t="s">
        <v>106</v>
      </c>
      <c r="B6323" s="5" t="s">
        <v>40</v>
      </c>
      <c r="C6323" s="5" t="s">
        <v>6805</v>
      </c>
      <c r="D6323" s="3">
        <f>VLOOKUP(A6323,airports!A:H,7,FALSE)</f>
        <v>40.491465830000003</v>
      </c>
      <c r="E6323" s="3">
        <f>VLOOKUP(A6323,airports!A:H,8,FALSE)</f>
        <v>-80.232870829999996</v>
      </c>
      <c r="F6323" s="3">
        <f>VLOOKUP(B6323,airports!A:H,7,FALSE)</f>
        <v>35.214011110000001</v>
      </c>
      <c r="G6323" s="3">
        <f>VLOOKUP(B6323,airports!A:H,8,FALSE)</f>
        <v>-80.94312583</v>
      </c>
      <c r="H6323">
        <f t="shared" si="196"/>
        <v>590.1</v>
      </c>
      <c r="I6323">
        <f t="shared" si="197"/>
        <v>366.7</v>
      </c>
    </row>
    <row r="6324" spans="1:9" ht="30" x14ac:dyDescent="0.25">
      <c r="A6324" s="5" t="s">
        <v>106</v>
      </c>
      <c r="B6324" s="5" t="s">
        <v>458</v>
      </c>
      <c r="C6324" s="5" t="s">
        <v>6806</v>
      </c>
      <c r="D6324" s="3">
        <f>VLOOKUP(A6324,airports!A:H,7,FALSE)</f>
        <v>40.491465830000003</v>
      </c>
      <c r="E6324" s="3">
        <f>VLOOKUP(A6324,airports!A:H,8,FALSE)</f>
        <v>-80.232870829999996</v>
      </c>
      <c r="F6324" s="3">
        <f>VLOOKUP(B6324,airports!A:H,7,FALSE)</f>
        <v>38.37315083</v>
      </c>
      <c r="G6324" s="3">
        <f>VLOOKUP(B6324,airports!A:H,8,FALSE)</f>
        <v>-81.593189719999998</v>
      </c>
      <c r="H6324">
        <f t="shared" si="196"/>
        <v>262.89999999999998</v>
      </c>
      <c r="I6324">
        <f t="shared" si="197"/>
        <v>163.4</v>
      </c>
    </row>
    <row r="6325" spans="1:9" x14ac:dyDescent="0.25">
      <c r="A6325" s="5" t="s">
        <v>106</v>
      </c>
      <c r="B6325" s="5" t="s">
        <v>201</v>
      </c>
      <c r="C6325" s="5" t="s">
        <v>6807</v>
      </c>
      <c r="D6325" s="3">
        <f>VLOOKUP(A6325,airports!A:H,7,FALSE)</f>
        <v>40.491465830000003</v>
      </c>
      <c r="E6325" s="3">
        <f>VLOOKUP(A6325,airports!A:H,8,FALSE)</f>
        <v>-80.232870829999996</v>
      </c>
      <c r="F6325" s="3">
        <f>VLOOKUP(B6325,airports!A:H,7,FALSE)</f>
        <v>32.847113890000003</v>
      </c>
      <c r="G6325" s="3">
        <f>VLOOKUP(B6325,airports!A:H,8,FALSE)</f>
        <v>-96.851772220000001</v>
      </c>
      <c r="H6325">
        <f t="shared" si="196"/>
        <v>1704.5</v>
      </c>
      <c r="I6325">
        <f t="shared" si="197"/>
        <v>1059.2</v>
      </c>
    </row>
    <row r="6326" spans="1:9" x14ac:dyDescent="0.25">
      <c r="A6326" s="5" t="s">
        <v>106</v>
      </c>
      <c r="B6326" s="5" t="s">
        <v>45</v>
      </c>
      <c r="C6326" s="5" t="s">
        <v>6808</v>
      </c>
      <c r="D6326" s="3">
        <f>VLOOKUP(A6326,airports!A:H,7,FALSE)</f>
        <v>40.491465830000003</v>
      </c>
      <c r="E6326" s="3">
        <f>VLOOKUP(A6326,airports!A:H,8,FALSE)</f>
        <v>-80.232870829999996</v>
      </c>
      <c r="F6326" s="3">
        <f>VLOOKUP(B6326,airports!A:H,7,FALSE)</f>
        <v>38.852083329999999</v>
      </c>
      <c r="G6326" s="3">
        <f>VLOOKUP(B6326,airports!A:H,8,FALSE)</f>
        <v>-77.037722220000006</v>
      </c>
      <c r="H6326">
        <f t="shared" si="196"/>
        <v>328.6</v>
      </c>
      <c r="I6326">
        <f t="shared" si="197"/>
        <v>204.2</v>
      </c>
    </row>
    <row r="6327" spans="1:9" x14ac:dyDescent="0.25">
      <c r="A6327" s="5" t="s">
        <v>106</v>
      </c>
      <c r="B6327" s="5" t="s">
        <v>47</v>
      </c>
      <c r="C6327" s="5" t="s">
        <v>6809</v>
      </c>
      <c r="D6327" s="3">
        <f>VLOOKUP(A6327,airports!A:H,7,FALSE)</f>
        <v>40.491465830000003</v>
      </c>
      <c r="E6327" s="3">
        <f>VLOOKUP(A6327,airports!A:H,8,FALSE)</f>
        <v>-80.232870829999996</v>
      </c>
      <c r="F6327" s="3">
        <f>VLOOKUP(B6327,airports!A:H,7,FALSE)</f>
        <v>39.858408060000002</v>
      </c>
      <c r="G6327" s="3">
        <f>VLOOKUP(B6327,airports!A:H,8,FALSE)</f>
        <v>-104.6670019</v>
      </c>
      <c r="H6327">
        <f t="shared" si="196"/>
        <v>2070.5</v>
      </c>
      <c r="I6327">
        <f t="shared" si="197"/>
        <v>1286.5999999999999</v>
      </c>
    </row>
    <row r="6328" spans="1:9" ht="30" x14ac:dyDescent="0.25">
      <c r="A6328" s="5" t="s">
        <v>106</v>
      </c>
      <c r="B6328" s="5" t="s">
        <v>49</v>
      </c>
      <c r="C6328" s="5" t="s">
        <v>6810</v>
      </c>
      <c r="D6328" s="3">
        <f>VLOOKUP(A6328,airports!A:H,7,FALSE)</f>
        <v>40.491465830000003</v>
      </c>
      <c r="E6328" s="3">
        <f>VLOOKUP(A6328,airports!A:H,8,FALSE)</f>
        <v>-80.232870829999996</v>
      </c>
      <c r="F6328" s="3">
        <f>VLOOKUP(B6328,airports!A:H,7,FALSE)</f>
        <v>32.895950560000003</v>
      </c>
      <c r="G6328" s="3">
        <f>VLOOKUP(B6328,airports!A:H,8,FALSE)</f>
        <v>-97.037199999999999</v>
      </c>
      <c r="H6328">
        <f t="shared" si="196"/>
        <v>1715.7</v>
      </c>
      <c r="I6328">
        <f t="shared" si="197"/>
        <v>1066.2</v>
      </c>
    </row>
    <row r="6329" spans="1:9" ht="30" x14ac:dyDescent="0.25">
      <c r="A6329" s="5" t="s">
        <v>106</v>
      </c>
      <c r="B6329" s="5" t="s">
        <v>50</v>
      </c>
      <c r="C6329" s="5" t="s">
        <v>6811</v>
      </c>
      <c r="D6329" s="3">
        <f>VLOOKUP(A6329,airports!A:H,7,FALSE)</f>
        <v>40.491465830000003</v>
      </c>
      <c r="E6329" s="3">
        <f>VLOOKUP(A6329,airports!A:H,8,FALSE)</f>
        <v>-80.232870829999996</v>
      </c>
      <c r="F6329" s="3">
        <f>VLOOKUP(B6329,airports!A:H,7,FALSE)</f>
        <v>42.212058890000002</v>
      </c>
      <c r="G6329" s="3">
        <f>VLOOKUP(B6329,airports!A:H,8,FALSE)</f>
        <v>-83.348835829999999</v>
      </c>
      <c r="H6329">
        <f t="shared" si="196"/>
        <v>322.8</v>
      </c>
      <c r="I6329">
        <f t="shared" si="197"/>
        <v>200.6</v>
      </c>
    </row>
    <row r="6330" spans="1:9" ht="30" x14ac:dyDescent="0.25">
      <c r="A6330" s="5" t="s">
        <v>106</v>
      </c>
      <c r="B6330" s="5" t="s">
        <v>52</v>
      </c>
      <c r="C6330" s="5" t="s">
        <v>6812</v>
      </c>
      <c r="D6330" s="3">
        <f>VLOOKUP(A6330,airports!A:H,7,FALSE)</f>
        <v>40.491465830000003</v>
      </c>
      <c r="E6330" s="3">
        <f>VLOOKUP(A6330,airports!A:H,8,FALSE)</f>
        <v>-80.232870829999996</v>
      </c>
      <c r="F6330" s="3">
        <f>VLOOKUP(B6330,airports!A:H,7,FALSE)</f>
        <v>40.69249722</v>
      </c>
      <c r="G6330" s="3">
        <f>VLOOKUP(B6330,airports!A:H,8,FALSE)</f>
        <v>-74.168660560000006</v>
      </c>
      <c r="H6330">
        <f t="shared" si="196"/>
        <v>512.4</v>
      </c>
      <c r="I6330">
        <f t="shared" si="197"/>
        <v>318.39999999999998</v>
      </c>
    </row>
    <row r="6331" spans="1:9" x14ac:dyDescent="0.25">
      <c r="A6331" s="5" t="s">
        <v>106</v>
      </c>
      <c r="B6331" s="5" t="s">
        <v>54</v>
      </c>
      <c r="C6331" s="5" t="s">
        <v>6813</v>
      </c>
      <c r="D6331" s="3">
        <f>VLOOKUP(A6331,airports!A:H,7,FALSE)</f>
        <v>40.491465830000003</v>
      </c>
      <c r="E6331" s="3">
        <f>VLOOKUP(A6331,airports!A:H,8,FALSE)</f>
        <v>-80.232870829999996</v>
      </c>
      <c r="F6331" s="3">
        <f>VLOOKUP(B6331,airports!A:H,7,FALSE)</f>
        <v>24.55611111</v>
      </c>
      <c r="G6331" s="3">
        <f>VLOOKUP(B6331,airports!A:H,8,FALSE)</f>
        <v>-81.759555559999995</v>
      </c>
      <c r="H6331">
        <f t="shared" si="196"/>
        <v>1777.6</v>
      </c>
      <c r="I6331">
        <f t="shared" si="197"/>
        <v>1104.5999999999999</v>
      </c>
    </row>
    <row r="6332" spans="1:9" x14ac:dyDescent="0.25">
      <c r="A6332" s="5" t="s">
        <v>106</v>
      </c>
      <c r="B6332" s="5" t="s">
        <v>57</v>
      </c>
      <c r="C6332" s="5" t="s">
        <v>6814</v>
      </c>
      <c r="D6332" s="3">
        <f>VLOOKUP(A6332,airports!A:H,7,FALSE)</f>
        <v>40.491465830000003</v>
      </c>
      <c r="E6332" s="3">
        <f>VLOOKUP(A6332,airports!A:H,8,FALSE)</f>
        <v>-80.232870829999996</v>
      </c>
      <c r="F6332" s="3">
        <f>VLOOKUP(B6332,airports!A:H,7,FALSE)</f>
        <v>26.072583330000001</v>
      </c>
      <c r="G6332" s="3">
        <f>VLOOKUP(B6332,airports!A:H,8,FALSE)</f>
        <v>-80.152749999999997</v>
      </c>
      <c r="H6332">
        <f t="shared" si="196"/>
        <v>1603.3</v>
      </c>
      <c r="I6332">
        <f t="shared" si="197"/>
        <v>996.3</v>
      </c>
    </row>
    <row r="6333" spans="1:9" x14ac:dyDescent="0.25">
      <c r="A6333" s="5" t="s">
        <v>106</v>
      </c>
      <c r="B6333" s="5" t="s">
        <v>524</v>
      </c>
      <c r="C6333" s="5" t="s">
        <v>6815</v>
      </c>
      <c r="D6333" s="3">
        <f>VLOOKUP(A6333,airports!A:H,7,FALSE)</f>
        <v>40.491465830000003</v>
      </c>
      <c r="E6333" s="3">
        <f>VLOOKUP(A6333,airports!A:H,8,FALSE)</f>
        <v>-80.232870829999996</v>
      </c>
      <c r="F6333" s="3">
        <f>VLOOKUP(B6333,airports!A:H,7,FALSE)</f>
        <v>32.224399566700001</v>
      </c>
      <c r="G6333" s="3">
        <f>VLOOKUP(B6333,airports!A:H,8,FALSE)</f>
        <v>-80.697502136200001</v>
      </c>
      <c r="H6333">
        <f t="shared" si="196"/>
        <v>920.2</v>
      </c>
      <c r="I6333">
        <f t="shared" si="197"/>
        <v>571.79999999999995</v>
      </c>
    </row>
    <row r="6334" spans="1:9" ht="30" x14ac:dyDescent="0.25">
      <c r="A6334" s="5" t="s">
        <v>106</v>
      </c>
      <c r="B6334" s="5" t="s">
        <v>205</v>
      </c>
      <c r="C6334" s="5" t="s">
        <v>6816</v>
      </c>
      <c r="D6334" s="3">
        <f>VLOOKUP(A6334,airports!A:H,7,FALSE)</f>
        <v>40.491465830000003</v>
      </c>
      <c r="E6334" s="3">
        <f>VLOOKUP(A6334,airports!A:H,8,FALSE)</f>
        <v>-80.232870829999996</v>
      </c>
      <c r="F6334" s="3">
        <f>VLOOKUP(B6334,airports!A:H,7,FALSE)</f>
        <v>29.64541861</v>
      </c>
      <c r="G6334" s="3">
        <f>VLOOKUP(B6334,airports!A:H,8,FALSE)</f>
        <v>-95.278888890000005</v>
      </c>
      <c r="H6334">
        <f t="shared" si="196"/>
        <v>1819.9</v>
      </c>
      <c r="I6334">
        <f t="shared" si="197"/>
        <v>1130.9000000000001</v>
      </c>
    </row>
    <row r="6335" spans="1:9" x14ac:dyDescent="0.25">
      <c r="A6335" s="5" t="s">
        <v>106</v>
      </c>
      <c r="B6335" s="5" t="s">
        <v>176</v>
      </c>
      <c r="C6335" s="5" t="s">
        <v>6817</v>
      </c>
      <c r="D6335" s="3">
        <f>VLOOKUP(A6335,airports!A:H,7,FALSE)</f>
        <v>40.491465830000003</v>
      </c>
      <c r="E6335" s="3">
        <f>VLOOKUP(A6335,airports!A:H,8,FALSE)</f>
        <v>-80.232870829999996</v>
      </c>
      <c r="F6335" s="3">
        <f>VLOOKUP(B6335,airports!A:H,7,FALSE)</f>
        <v>38.944531939999997</v>
      </c>
      <c r="G6335" s="3">
        <f>VLOOKUP(B6335,airports!A:H,8,FALSE)</f>
        <v>-77.455809720000005</v>
      </c>
      <c r="H6335">
        <f t="shared" si="196"/>
        <v>293.2</v>
      </c>
      <c r="I6335">
        <f t="shared" si="197"/>
        <v>182.2</v>
      </c>
    </row>
    <row r="6336" spans="1:9" x14ac:dyDescent="0.25">
      <c r="A6336" s="5" t="s">
        <v>106</v>
      </c>
      <c r="B6336" s="5" t="s">
        <v>67</v>
      </c>
      <c r="C6336" s="5" t="s">
        <v>6818</v>
      </c>
      <c r="D6336" s="3">
        <f>VLOOKUP(A6336,airports!A:H,7,FALSE)</f>
        <v>40.491465830000003</v>
      </c>
      <c r="E6336" s="3">
        <f>VLOOKUP(A6336,airports!A:H,8,FALSE)</f>
        <v>-80.232870829999996</v>
      </c>
      <c r="F6336" s="3">
        <f>VLOOKUP(B6336,airports!A:H,7,FALSE)</f>
        <v>29.980472219999999</v>
      </c>
      <c r="G6336" s="3">
        <f>VLOOKUP(B6336,airports!A:H,8,FALSE)</f>
        <v>-95.339722219999999</v>
      </c>
      <c r="H6336">
        <f t="shared" si="196"/>
        <v>1797.7</v>
      </c>
      <c r="I6336">
        <f t="shared" si="197"/>
        <v>1117.0999999999999</v>
      </c>
    </row>
    <row r="6337" spans="1:9" x14ac:dyDescent="0.25">
      <c r="A6337" s="5" t="s">
        <v>106</v>
      </c>
      <c r="B6337" s="5" t="s">
        <v>68</v>
      </c>
      <c r="C6337" s="5" t="s">
        <v>6819</v>
      </c>
      <c r="D6337" s="3">
        <f>VLOOKUP(A6337,airports!A:H,7,FALSE)</f>
        <v>40.491465830000003</v>
      </c>
      <c r="E6337" s="3">
        <f>VLOOKUP(A6337,airports!A:H,8,FALSE)</f>
        <v>-80.232870829999996</v>
      </c>
      <c r="F6337" s="3">
        <f>VLOOKUP(B6337,airports!A:H,7,FALSE)</f>
        <v>30.49405556</v>
      </c>
      <c r="G6337" s="3">
        <f>VLOOKUP(B6337,airports!A:H,8,FALSE)</f>
        <v>-81.68786111</v>
      </c>
      <c r="H6337">
        <f t="shared" si="196"/>
        <v>1119.4000000000001</v>
      </c>
      <c r="I6337">
        <f t="shared" si="197"/>
        <v>695.6</v>
      </c>
    </row>
    <row r="6338" spans="1:9" x14ac:dyDescent="0.25">
      <c r="A6338" s="5" t="s">
        <v>106</v>
      </c>
      <c r="B6338" s="5" t="s">
        <v>69</v>
      </c>
      <c r="C6338" s="5" t="s">
        <v>6820</v>
      </c>
      <c r="D6338" s="3">
        <f>VLOOKUP(A6338,airports!A:H,7,FALSE)</f>
        <v>40.491465830000003</v>
      </c>
      <c r="E6338" s="3">
        <f>VLOOKUP(A6338,airports!A:H,8,FALSE)</f>
        <v>-80.232870829999996</v>
      </c>
      <c r="F6338" s="3">
        <f>VLOOKUP(B6338,airports!A:H,7,FALSE)</f>
        <v>40.639751109999999</v>
      </c>
      <c r="G6338" s="3">
        <f>VLOOKUP(B6338,airports!A:H,8,FALSE)</f>
        <v>-73.778925560000005</v>
      </c>
      <c r="H6338">
        <f t="shared" si="196"/>
        <v>545.29999999999995</v>
      </c>
      <c r="I6338">
        <f t="shared" si="197"/>
        <v>338.9</v>
      </c>
    </row>
    <row r="6339" spans="1:9" x14ac:dyDescent="0.25">
      <c r="A6339" s="5" t="s">
        <v>106</v>
      </c>
      <c r="B6339" s="5" t="s">
        <v>71</v>
      </c>
      <c r="C6339" s="5" t="s">
        <v>6821</v>
      </c>
      <c r="D6339" s="3">
        <f>VLOOKUP(A6339,airports!A:H,7,FALSE)</f>
        <v>40.491465830000003</v>
      </c>
      <c r="E6339" s="3">
        <f>VLOOKUP(A6339,airports!A:H,8,FALSE)</f>
        <v>-80.232870829999996</v>
      </c>
      <c r="F6339" s="3">
        <f>VLOOKUP(B6339,airports!A:H,7,FALSE)</f>
        <v>36.080361109999998</v>
      </c>
      <c r="G6339" s="3">
        <f>VLOOKUP(B6339,airports!A:H,8,FALSE)</f>
        <v>-115.1523333</v>
      </c>
      <c r="H6339">
        <f t="shared" si="196"/>
        <v>3066.6</v>
      </c>
      <c r="I6339">
        <f t="shared" si="197"/>
        <v>1905.6</v>
      </c>
    </row>
    <row r="6340" spans="1:9" x14ac:dyDescent="0.25">
      <c r="A6340" s="5" t="s">
        <v>106</v>
      </c>
      <c r="B6340" s="5" t="s">
        <v>73</v>
      </c>
      <c r="C6340" s="5" t="s">
        <v>6822</v>
      </c>
      <c r="D6340" s="3">
        <f>VLOOKUP(A6340,airports!A:H,7,FALSE)</f>
        <v>40.491465830000003</v>
      </c>
      <c r="E6340" s="3">
        <f>VLOOKUP(A6340,airports!A:H,8,FALSE)</f>
        <v>-80.232870829999996</v>
      </c>
      <c r="F6340" s="3">
        <f>VLOOKUP(B6340,airports!A:H,7,FALSE)</f>
        <v>33.942536109999999</v>
      </c>
      <c r="G6340" s="3">
        <f>VLOOKUP(B6340,airports!A:H,8,FALSE)</f>
        <v>-118.4080744</v>
      </c>
      <c r="H6340">
        <f t="shared" ref="H6340:H6403" si="198">ROUND(ACOS(COS(RADIANS(90-D6340)) * COS(RADIANS(90-F6340)) + SIN(RADIANS(90-D6340)) * SIN(RADIANS(90-F6340)) * COS(RADIANS(E6340-G6340))) * 6371,1)</f>
        <v>3430</v>
      </c>
      <c r="I6340">
        <f t="shared" ref="I6340:I6403" si="199">ROUND(ACOS(COS(RADIANS(90-D6340)) * COS(RADIANS(90-F6340)) + SIN(RADIANS(90-D6340)) * SIN(RADIANS(90-F6340)) * COS(RADIANS(E6340-G6340))) * 3959,1)</f>
        <v>2131.5</v>
      </c>
    </row>
    <row r="6341" spans="1:9" x14ac:dyDescent="0.25">
      <c r="A6341" s="5" t="s">
        <v>106</v>
      </c>
      <c r="B6341" s="5" t="s">
        <v>3295</v>
      </c>
      <c r="C6341" s="5" t="s">
        <v>6823</v>
      </c>
      <c r="D6341" s="3">
        <f>VLOOKUP(A6341,airports!A:H,7,FALSE)</f>
        <v>40.491465830000003</v>
      </c>
      <c r="E6341" s="3">
        <f>VLOOKUP(A6341,airports!A:H,8,FALSE)</f>
        <v>-80.232870829999996</v>
      </c>
      <c r="F6341" s="3">
        <f>VLOOKUP(B6341,airports!A:H,7,FALSE)</f>
        <v>40.275902000000002</v>
      </c>
      <c r="G6341" s="3">
        <f>VLOOKUP(B6341,airports!A:H,8,FALSE)</f>
        <v>-79.404799999999994</v>
      </c>
      <c r="H6341">
        <f t="shared" si="198"/>
        <v>74.099999999999994</v>
      </c>
      <c r="I6341">
        <f t="shared" si="199"/>
        <v>46.1</v>
      </c>
    </row>
    <row r="6342" spans="1:9" x14ac:dyDescent="0.25">
      <c r="A6342" s="5" t="s">
        <v>106</v>
      </c>
      <c r="B6342" s="5" t="s">
        <v>74</v>
      </c>
      <c r="C6342" s="5" t="s">
        <v>6824</v>
      </c>
      <c r="D6342" s="3">
        <f>VLOOKUP(A6342,airports!A:H,7,FALSE)</f>
        <v>40.491465830000003</v>
      </c>
      <c r="E6342" s="3">
        <f>VLOOKUP(A6342,airports!A:H,8,FALSE)</f>
        <v>-80.232870829999996</v>
      </c>
      <c r="F6342" s="3">
        <f>VLOOKUP(B6342,airports!A:H,7,FALSE)</f>
        <v>40.777243060000004</v>
      </c>
      <c r="G6342" s="3">
        <f>VLOOKUP(B6342,airports!A:H,8,FALSE)</f>
        <v>-73.872609170000004</v>
      </c>
      <c r="H6342">
        <f t="shared" si="198"/>
        <v>537.5</v>
      </c>
      <c r="I6342">
        <f t="shared" si="199"/>
        <v>334</v>
      </c>
    </row>
    <row r="6343" spans="1:9" ht="30" x14ac:dyDescent="0.25">
      <c r="A6343" s="5" t="s">
        <v>106</v>
      </c>
      <c r="B6343" s="5" t="s">
        <v>82</v>
      </c>
      <c r="C6343" s="5" t="s">
        <v>6825</v>
      </c>
      <c r="D6343" s="3">
        <f>VLOOKUP(A6343,airports!A:H,7,FALSE)</f>
        <v>40.491465830000003</v>
      </c>
      <c r="E6343" s="3">
        <f>VLOOKUP(A6343,airports!A:H,8,FALSE)</f>
        <v>-80.232870829999996</v>
      </c>
      <c r="F6343" s="3">
        <f>VLOOKUP(B6343,airports!A:H,7,FALSE)</f>
        <v>28.42888889</v>
      </c>
      <c r="G6343" s="3">
        <f>VLOOKUP(B6343,airports!A:H,8,FALSE)</f>
        <v>-81.316027779999999</v>
      </c>
      <c r="H6343">
        <f t="shared" si="198"/>
        <v>1344.9</v>
      </c>
      <c r="I6343">
        <f t="shared" si="199"/>
        <v>835.8</v>
      </c>
    </row>
    <row r="6344" spans="1:9" ht="30" x14ac:dyDescent="0.25">
      <c r="A6344" s="5" t="s">
        <v>106</v>
      </c>
      <c r="B6344" s="5" t="s">
        <v>180</v>
      </c>
      <c r="C6344" s="5" t="s">
        <v>6826</v>
      </c>
      <c r="D6344" s="3">
        <f>VLOOKUP(A6344,airports!A:H,7,FALSE)</f>
        <v>40.491465830000003</v>
      </c>
      <c r="E6344" s="3">
        <f>VLOOKUP(A6344,airports!A:H,8,FALSE)</f>
        <v>-80.232870829999996</v>
      </c>
      <c r="F6344" s="3">
        <f>VLOOKUP(B6344,airports!A:H,7,FALSE)</f>
        <v>41.785982500000003</v>
      </c>
      <c r="G6344" s="3">
        <f>VLOOKUP(B6344,airports!A:H,8,FALSE)</f>
        <v>-87.752424439999999</v>
      </c>
      <c r="H6344">
        <f t="shared" si="198"/>
        <v>645.70000000000005</v>
      </c>
      <c r="I6344">
        <f t="shared" si="199"/>
        <v>401.3</v>
      </c>
    </row>
    <row r="6345" spans="1:9" ht="30" x14ac:dyDescent="0.25">
      <c r="A6345" s="5" t="s">
        <v>106</v>
      </c>
      <c r="B6345" s="5" t="s">
        <v>563</v>
      </c>
      <c r="C6345" s="5" t="s">
        <v>6827</v>
      </c>
      <c r="D6345" s="3">
        <f>VLOOKUP(A6345,airports!A:H,7,FALSE)</f>
        <v>40.491465830000003</v>
      </c>
      <c r="E6345" s="3">
        <f>VLOOKUP(A6345,airports!A:H,8,FALSE)</f>
        <v>-80.232870829999996</v>
      </c>
      <c r="F6345" s="3">
        <f>VLOOKUP(B6345,airports!A:H,7,FALSE)</f>
        <v>35.042416670000001</v>
      </c>
      <c r="G6345" s="3">
        <f>VLOOKUP(B6345,airports!A:H,8,FALSE)</f>
        <v>-89.97666667</v>
      </c>
      <c r="H6345">
        <f t="shared" si="198"/>
        <v>1048.0999999999999</v>
      </c>
      <c r="I6345">
        <f t="shared" si="199"/>
        <v>651.29999999999995</v>
      </c>
    </row>
    <row r="6346" spans="1:9" x14ac:dyDescent="0.25">
      <c r="A6346" s="5" t="s">
        <v>106</v>
      </c>
      <c r="B6346" s="5" t="s">
        <v>84</v>
      </c>
      <c r="C6346" s="5" t="s">
        <v>6828</v>
      </c>
      <c r="D6346" s="3">
        <f>VLOOKUP(A6346,airports!A:H,7,FALSE)</f>
        <v>40.491465830000003</v>
      </c>
      <c r="E6346" s="3">
        <f>VLOOKUP(A6346,airports!A:H,8,FALSE)</f>
        <v>-80.232870829999996</v>
      </c>
      <c r="F6346" s="3">
        <f>VLOOKUP(B6346,airports!A:H,7,FALSE)</f>
        <v>25.79325</v>
      </c>
      <c r="G6346" s="3">
        <f>VLOOKUP(B6346,airports!A:H,8,FALSE)</f>
        <v>-80.290555560000001</v>
      </c>
      <c r="H6346">
        <f t="shared" si="198"/>
        <v>1634.4</v>
      </c>
      <c r="I6346">
        <f t="shared" si="199"/>
        <v>1015.6</v>
      </c>
    </row>
    <row r="6347" spans="1:9" x14ac:dyDescent="0.25">
      <c r="A6347" s="5" t="s">
        <v>106</v>
      </c>
      <c r="B6347" s="5" t="s">
        <v>571</v>
      </c>
      <c r="C6347" s="5" t="s">
        <v>6829</v>
      </c>
      <c r="D6347" s="3">
        <f>VLOOKUP(A6347,airports!A:H,7,FALSE)</f>
        <v>40.491465830000003</v>
      </c>
      <c r="E6347" s="3">
        <f>VLOOKUP(A6347,airports!A:H,8,FALSE)</f>
        <v>-80.232870829999996</v>
      </c>
      <c r="F6347" s="3">
        <f>VLOOKUP(B6347,airports!A:H,7,FALSE)</f>
        <v>28.10275</v>
      </c>
      <c r="G6347" s="3">
        <f>VLOOKUP(B6347,airports!A:H,8,FALSE)</f>
        <v>-80.645805559999999</v>
      </c>
      <c r="H6347">
        <f t="shared" si="198"/>
        <v>1378.1</v>
      </c>
      <c r="I6347">
        <f t="shared" si="199"/>
        <v>856.4</v>
      </c>
    </row>
    <row r="6348" spans="1:9" x14ac:dyDescent="0.25">
      <c r="A6348" s="5" t="s">
        <v>106</v>
      </c>
      <c r="B6348" s="5" t="s">
        <v>87</v>
      </c>
      <c r="C6348" s="5" t="s">
        <v>6830</v>
      </c>
      <c r="D6348" s="3">
        <f>VLOOKUP(A6348,airports!A:H,7,FALSE)</f>
        <v>40.491465830000003</v>
      </c>
      <c r="E6348" s="3">
        <f>VLOOKUP(A6348,airports!A:H,8,FALSE)</f>
        <v>-80.232870829999996</v>
      </c>
      <c r="F6348" s="3">
        <f>VLOOKUP(B6348,airports!A:H,7,FALSE)</f>
        <v>44.880546940000002</v>
      </c>
      <c r="G6348" s="3">
        <f>VLOOKUP(B6348,airports!A:H,8,FALSE)</f>
        <v>-93.216922499999995</v>
      </c>
      <c r="H6348">
        <f t="shared" si="198"/>
        <v>1166.3</v>
      </c>
      <c r="I6348">
        <f t="shared" si="199"/>
        <v>724.8</v>
      </c>
    </row>
    <row r="6349" spans="1:9" x14ac:dyDescent="0.25">
      <c r="A6349" s="5" t="s">
        <v>106</v>
      </c>
      <c r="B6349" s="5" t="s">
        <v>89</v>
      </c>
      <c r="C6349" s="5" t="s">
        <v>6831</v>
      </c>
      <c r="D6349" s="3">
        <f>VLOOKUP(A6349,airports!A:H,7,FALSE)</f>
        <v>40.491465830000003</v>
      </c>
      <c r="E6349" s="3">
        <f>VLOOKUP(A6349,airports!A:H,8,FALSE)</f>
        <v>-80.232870829999996</v>
      </c>
      <c r="F6349" s="3">
        <f>VLOOKUP(B6349,airports!A:H,7,FALSE)</f>
        <v>29.993388889999999</v>
      </c>
      <c r="G6349" s="3">
        <f>VLOOKUP(B6349,airports!A:H,8,FALSE)</f>
        <v>-90.258027780000006</v>
      </c>
      <c r="H6349">
        <f t="shared" si="198"/>
        <v>1478.2</v>
      </c>
      <c r="I6349">
        <f t="shared" si="199"/>
        <v>918.6</v>
      </c>
    </row>
    <row r="6350" spans="1:9" x14ac:dyDescent="0.25">
      <c r="A6350" s="5" t="s">
        <v>106</v>
      </c>
      <c r="B6350" s="5" t="s">
        <v>182</v>
      </c>
      <c r="C6350" s="5" t="s">
        <v>6832</v>
      </c>
      <c r="D6350" s="3">
        <f>VLOOKUP(A6350,airports!A:H,7,FALSE)</f>
        <v>40.491465830000003</v>
      </c>
      <c r="E6350" s="3">
        <f>VLOOKUP(A6350,airports!A:H,8,FALSE)</f>
        <v>-80.232870829999996</v>
      </c>
      <c r="F6350" s="3">
        <f>VLOOKUP(B6350,airports!A:H,7,FALSE)</f>
        <v>33.679749999999999</v>
      </c>
      <c r="G6350" s="3">
        <f>VLOOKUP(B6350,airports!A:H,8,FALSE)</f>
        <v>-78.928333330000001</v>
      </c>
      <c r="H6350">
        <f t="shared" si="198"/>
        <v>766.2</v>
      </c>
      <c r="I6350">
        <f t="shared" si="199"/>
        <v>476.1</v>
      </c>
    </row>
    <row r="6351" spans="1:9" x14ac:dyDescent="0.25">
      <c r="A6351" s="5" t="s">
        <v>106</v>
      </c>
      <c r="B6351" s="5" t="s">
        <v>95</v>
      </c>
      <c r="C6351" s="5" t="s">
        <v>6833</v>
      </c>
      <c r="D6351" s="3">
        <f>VLOOKUP(A6351,airports!A:H,7,FALSE)</f>
        <v>40.491465830000003</v>
      </c>
      <c r="E6351" s="3">
        <f>VLOOKUP(A6351,airports!A:H,8,FALSE)</f>
        <v>-80.232870829999996</v>
      </c>
      <c r="F6351" s="3">
        <f>VLOOKUP(B6351,airports!A:H,7,FALSE)</f>
        <v>41.979595000000003</v>
      </c>
      <c r="G6351" s="3">
        <f>VLOOKUP(B6351,airports!A:H,8,FALSE)</f>
        <v>-87.904464169999997</v>
      </c>
      <c r="H6351">
        <f t="shared" si="198"/>
        <v>662.2</v>
      </c>
      <c r="I6351">
        <f t="shared" si="199"/>
        <v>411.5</v>
      </c>
    </row>
    <row r="6352" spans="1:9" x14ac:dyDescent="0.25">
      <c r="A6352" s="5" t="s">
        <v>106</v>
      </c>
      <c r="B6352" s="5" t="s">
        <v>596</v>
      </c>
      <c r="C6352" s="5" t="s">
        <v>6834</v>
      </c>
      <c r="D6352" s="3">
        <f>VLOOKUP(A6352,airports!A:H,7,FALSE)</f>
        <v>40.491465830000003</v>
      </c>
      <c r="E6352" s="3">
        <f>VLOOKUP(A6352,airports!A:H,8,FALSE)</f>
        <v>-80.232870829999996</v>
      </c>
      <c r="F6352" s="3">
        <f>VLOOKUP(B6352,airports!A:H,7,FALSE)</f>
        <v>36.89461111</v>
      </c>
      <c r="G6352" s="3">
        <f>VLOOKUP(B6352,airports!A:H,8,FALSE)</f>
        <v>-76.201222220000005</v>
      </c>
      <c r="H6352">
        <f t="shared" si="198"/>
        <v>531.29999999999995</v>
      </c>
      <c r="I6352">
        <f t="shared" si="199"/>
        <v>330.1</v>
      </c>
    </row>
    <row r="6353" spans="1:9" x14ac:dyDescent="0.25">
      <c r="A6353" s="5" t="s">
        <v>106</v>
      </c>
      <c r="B6353" s="5" t="s">
        <v>99</v>
      </c>
      <c r="C6353" s="5" t="s">
        <v>6835</v>
      </c>
      <c r="D6353" s="3">
        <f>VLOOKUP(A6353,airports!A:H,7,FALSE)</f>
        <v>40.491465830000003</v>
      </c>
      <c r="E6353" s="3">
        <f>VLOOKUP(A6353,airports!A:H,8,FALSE)</f>
        <v>-80.232870829999996</v>
      </c>
      <c r="F6353" s="3">
        <f>VLOOKUP(B6353,airports!A:H,7,FALSE)</f>
        <v>26.683161940000002</v>
      </c>
      <c r="G6353" s="3">
        <f>VLOOKUP(B6353,airports!A:H,8,FALSE)</f>
        <v>-80.095594169999998</v>
      </c>
      <c r="H6353">
        <f t="shared" si="198"/>
        <v>1535.5</v>
      </c>
      <c r="I6353">
        <f t="shared" si="199"/>
        <v>954.2</v>
      </c>
    </row>
    <row r="6354" spans="1:9" x14ac:dyDescent="0.25">
      <c r="A6354" s="5" t="s">
        <v>106</v>
      </c>
      <c r="B6354" s="5" t="s">
        <v>185</v>
      </c>
      <c r="C6354" s="5" t="s">
        <v>6836</v>
      </c>
      <c r="D6354" s="3">
        <f>VLOOKUP(A6354,airports!A:H,7,FALSE)</f>
        <v>40.491465830000003</v>
      </c>
      <c r="E6354" s="3">
        <f>VLOOKUP(A6354,airports!A:H,8,FALSE)</f>
        <v>-80.232870829999996</v>
      </c>
      <c r="F6354" s="3">
        <f>VLOOKUP(B6354,airports!A:H,7,FALSE)</f>
        <v>26.919699999999999</v>
      </c>
      <c r="G6354" s="3">
        <f>VLOOKUP(B6354,airports!A:H,8,FALSE)</f>
        <v>-81.995999999999995</v>
      </c>
      <c r="H6354">
        <f t="shared" si="198"/>
        <v>1517.8</v>
      </c>
      <c r="I6354">
        <f t="shared" si="199"/>
        <v>943.2</v>
      </c>
    </row>
    <row r="6355" spans="1:9" x14ac:dyDescent="0.25">
      <c r="A6355" s="5" t="s">
        <v>106</v>
      </c>
      <c r="B6355" s="5" t="s">
        <v>102</v>
      </c>
      <c r="C6355" s="5" t="s">
        <v>6837</v>
      </c>
      <c r="D6355" s="3">
        <f>VLOOKUP(A6355,airports!A:H,7,FALSE)</f>
        <v>40.491465830000003</v>
      </c>
      <c r="E6355" s="3">
        <f>VLOOKUP(A6355,airports!A:H,8,FALSE)</f>
        <v>-80.232870829999996</v>
      </c>
      <c r="F6355" s="3">
        <f>VLOOKUP(B6355,airports!A:H,7,FALSE)</f>
        <v>39.871952780000001</v>
      </c>
      <c r="G6355" s="3">
        <f>VLOOKUP(B6355,airports!A:H,8,FALSE)</f>
        <v>-75.241140830000006</v>
      </c>
      <c r="H6355">
        <f t="shared" si="198"/>
        <v>429.6</v>
      </c>
      <c r="I6355">
        <f t="shared" si="199"/>
        <v>266.89999999999998</v>
      </c>
    </row>
    <row r="6356" spans="1:9" x14ac:dyDescent="0.25">
      <c r="A6356" s="5" t="s">
        <v>106</v>
      </c>
      <c r="B6356" s="5" t="s">
        <v>104</v>
      </c>
      <c r="C6356" s="5" t="s">
        <v>6838</v>
      </c>
      <c r="D6356" s="3">
        <f>VLOOKUP(A6356,airports!A:H,7,FALSE)</f>
        <v>40.491465830000003</v>
      </c>
      <c r="E6356" s="3">
        <f>VLOOKUP(A6356,airports!A:H,8,FALSE)</f>
        <v>-80.232870829999996</v>
      </c>
      <c r="F6356" s="3">
        <f>VLOOKUP(B6356,airports!A:H,7,FALSE)</f>
        <v>33.434166670000003</v>
      </c>
      <c r="G6356" s="3">
        <f>VLOOKUP(B6356,airports!A:H,8,FALSE)</f>
        <v>-112.00805560000001</v>
      </c>
      <c r="H6356">
        <f t="shared" si="198"/>
        <v>2912.7</v>
      </c>
      <c r="I6356">
        <f t="shared" si="199"/>
        <v>1810</v>
      </c>
    </row>
    <row r="6357" spans="1:9" x14ac:dyDescent="0.25">
      <c r="A6357" s="5" t="s">
        <v>106</v>
      </c>
      <c r="B6357" s="5" t="s">
        <v>188</v>
      </c>
      <c r="C6357" s="5" t="s">
        <v>6839</v>
      </c>
      <c r="D6357" s="3">
        <f>VLOOKUP(A6357,airports!A:H,7,FALSE)</f>
        <v>40.491465830000003</v>
      </c>
      <c r="E6357" s="3">
        <f>VLOOKUP(A6357,airports!A:H,8,FALSE)</f>
        <v>-80.232870829999996</v>
      </c>
      <c r="F6357" s="3">
        <f>VLOOKUP(B6357,airports!A:H,7,FALSE)</f>
        <v>27.910763330000002</v>
      </c>
      <c r="G6357" s="3">
        <f>VLOOKUP(B6357,airports!A:H,8,FALSE)</f>
        <v>-82.687439440000006</v>
      </c>
      <c r="H6357">
        <f t="shared" si="198"/>
        <v>1416.8</v>
      </c>
      <c r="I6357">
        <f t="shared" si="199"/>
        <v>880.4</v>
      </c>
    </row>
    <row r="6358" spans="1:9" x14ac:dyDescent="0.25">
      <c r="A6358" s="5" t="s">
        <v>106</v>
      </c>
      <c r="B6358" s="5" t="s">
        <v>607</v>
      </c>
      <c r="C6358" s="5" t="s">
        <v>6840</v>
      </c>
      <c r="D6358" s="3">
        <f>VLOOKUP(A6358,airports!A:H,7,FALSE)</f>
        <v>40.491465830000003</v>
      </c>
      <c r="E6358" s="3">
        <f>VLOOKUP(A6358,airports!A:H,8,FALSE)</f>
        <v>-80.232870829999996</v>
      </c>
      <c r="F6358" s="3">
        <f>VLOOKUP(B6358,airports!A:H,7,FALSE)</f>
        <v>30.47330556</v>
      </c>
      <c r="G6358" s="3">
        <f>VLOOKUP(B6358,airports!A:H,8,FALSE)</f>
        <v>-87.187444439999993</v>
      </c>
      <c r="H6358">
        <f t="shared" si="198"/>
        <v>1278.5999999999999</v>
      </c>
      <c r="I6358">
        <f t="shared" si="199"/>
        <v>794.5</v>
      </c>
    </row>
    <row r="6359" spans="1:9" ht="30" x14ac:dyDescent="0.25">
      <c r="A6359" s="5" t="s">
        <v>106</v>
      </c>
      <c r="B6359" s="5" t="s">
        <v>117</v>
      </c>
      <c r="C6359" s="5" t="s">
        <v>6841</v>
      </c>
      <c r="D6359" s="3">
        <f>VLOOKUP(A6359,airports!A:H,7,FALSE)</f>
        <v>40.491465830000003</v>
      </c>
      <c r="E6359" s="3">
        <f>VLOOKUP(A6359,airports!A:H,8,FALSE)</f>
        <v>-80.232870829999996</v>
      </c>
      <c r="F6359" s="3">
        <f>VLOOKUP(B6359,airports!A:H,7,FALSE)</f>
        <v>43.646166669999999</v>
      </c>
      <c r="G6359" s="3">
        <f>VLOOKUP(B6359,airports!A:H,8,FALSE)</f>
        <v>-70.308750000000003</v>
      </c>
      <c r="H6359">
        <f t="shared" si="198"/>
        <v>890.4</v>
      </c>
      <c r="I6359">
        <f t="shared" si="199"/>
        <v>553.29999999999995</v>
      </c>
    </row>
    <row r="6360" spans="1:9" x14ac:dyDescent="0.25">
      <c r="A6360" s="5" t="s">
        <v>106</v>
      </c>
      <c r="B6360" s="5" t="s">
        <v>612</v>
      </c>
      <c r="C6360" s="5" t="s">
        <v>6842</v>
      </c>
      <c r="D6360" s="3">
        <f>VLOOKUP(A6360,airports!A:H,7,FALSE)</f>
        <v>40.491465830000003</v>
      </c>
      <c r="E6360" s="3">
        <f>VLOOKUP(A6360,airports!A:H,8,FALSE)</f>
        <v>-80.232870829999996</v>
      </c>
      <c r="F6360" s="3">
        <f>VLOOKUP(B6360,airports!A:H,7,FALSE)</f>
        <v>44.045321389999998</v>
      </c>
      <c r="G6360" s="3">
        <f>VLOOKUP(B6360,airports!A:H,8,FALSE)</f>
        <v>-103.0573708</v>
      </c>
      <c r="H6360">
        <f t="shared" si="198"/>
        <v>1912.7</v>
      </c>
      <c r="I6360">
        <f t="shared" si="199"/>
        <v>1188.5</v>
      </c>
    </row>
    <row r="6361" spans="1:9" x14ac:dyDescent="0.25">
      <c r="A6361" s="5" t="s">
        <v>106</v>
      </c>
      <c r="B6361" s="5" t="s">
        <v>119</v>
      </c>
      <c r="C6361" s="5" t="s">
        <v>6843</v>
      </c>
      <c r="D6361" s="3">
        <f>VLOOKUP(A6361,airports!A:H,7,FALSE)</f>
        <v>40.491465830000003</v>
      </c>
      <c r="E6361" s="3">
        <f>VLOOKUP(A6361,airports!A:H,8,FALSE)</f>
        <v>-80.232870829999996</v>
      </c>
      <c r="F6361" s="3">
        <f>VLOOKUP(B6361,airports!A:H,7,FALSE)</f>
        <v>35.87763889</v>
      </c>
      <c r="G6361" s="3">
        <f>VLOOKUP(B6361,airports!A:H,8,FALSE)</f>
        <v>-78.787472219999998</v>
      </c>
      <c r="H6361">
        <f t="shared" si="198"/>
        <v>528.29999999999995</v>
      </c>
      <c r="I6361">
        <f t="shared" si="199"/>
        <v>328.3</v>
      </c>
    </row>
    <row r="6362" spans="1:9" ht="30" x14ac:dyDescent="0.25">
      <c r="A6362" s="5" t="s">
        <v>106</v>
      </c>
      <c r="B6362" s="5" t="s">
        <v>123</v>
      </c>
      <c r="C6362" s="5" t="s">
        <v>6844</v>
      </c>
      <c r="D6362" s="3">
        <f>VLOOKUP(A6362,airports!A:H,7,FALSE)</f>
        <v>40.491465830000003</v>
      </c>
      <c r="E6362" s="3">
        <f>VLOOKUP(A6362,airports!A:H,8,FALSE)</f>
        <v>-80.232870829999996</v>
      </c>
      <c r="F6362" s="3">
        <f>VLOOKUP(B6362,airports!A:H,7,FALSE)</f>
        <v>26.53616667</v>
      </c>
      <c r="G6362" s="3">
        <f>VLOOKUP(B6362,airports!A:H,8,FALSE)</f>
        <v>-81.755166669999994</v>
      </c>
      <c r="H6362">
        <f t="shared" si="198"/>
        <v>1558.1</v>
      </c>
      <c r="I6362">
        <f t="shared" si="199"/>
        <v>968.2</v>
      </c>
    </row>
    <row r="6363" spans="1:9" x14ac:dyDescent="0.25">
      <c r="A6363" s="5" t="s">
        <v>106</v>
      </c>
      <c r="B6363" s="5" t="s">
        <v>124</v>
      </c>
      <c r="C6363" s="5" t="s">
        <v>6845</v>
      </c>
      <c r="D6363" s="3">
        <f>VLOOKUP(A6363,airports!A:H,7,FALSE)</f>
        <v>40.491465830000003</v>
      </c>
      <c r="E6363" s="3">
        <f>VLOOKUP(A6363,airports!A:H,8,FALSE)</f>
        <v>-80.232870829999996</v>
      </c>
      <c r="F6363" s="3">
        <f>VLOOKUP(B6363,airports!A:H,7,FALSE)</f>
        <v>32.733556110000002</v>
      </c>
      <c r="G6363" s="3">
        <f>VLOOKUP(B6363,airports!A:H,8,FALSE)</f>
        <v>-117.1896567</v>
      </c>
      <c r="H6363">
        <f t="shared" si="198"/>
        <v>3382.8</v>
      </c>
      <c r="I6363">
        <f t="shared" si="199"/>
        <v>2102.1</v>
      </c>
    </row>
    <row r="6364" spans="1:9" x14ac:dyDescent="0.25">
      <c r="A6364" s="5" t="s">
        <v>106</v>
      </c>
      <c r="B6364" s="5" t="s">
        <v>126</v>
      </c>
      <c r="C6364" s="5" t="s">
        <v>6846</v>
      </c>
      <c r="D6364" s="3">
        <f>VLOOKUP(A6364,airports!A:H,7,FALSE)</f>
        <v>40.491465830000003</v>
      </c>
      <c r="E6364" s="3">
        <f>VLOOKUP(A6364,airports!A:H,8,FALSE)</f>
        <v>-80.232870829999996</v>
      </c>
      <c r="F6364" s="3">
        <f>VLOOKUP(B6364,airports!A:H,7,FALSE)</f>
        <v>32.12758333</v>
      </c>
      <c r="G6364" s="3">
        <f>VLOOKUP(B6364,airports!A:H,8,FALSE)</f>
        <v>-81.202138890000001</v>
      </c>
      <c r="H6364">
        <f t="shared" si="198"/>
        <v>934</v>
      </c>
      <c r="I6364">
        <f t="shared" si="199"/>
        <v>580.4</v>
      </c>
    </row>
    <row r="6365" spans="1:9" x14ac:dyDescent="0.25">
      <c r="A6365" s="5" t="s">
        <v>106</v>
      </c>
      <c r="B6365" s="5" t="s">
        <v>128</v>
      </c>
      <c r="C6365" s="5" t="s">
        <v>6847</v>
      </c>
      <c r="D6365" s="3">
        <f>VLOOKUP(A6365,airports!A:H,7,FALSE)</f>
        <v>40.491465830000003</v>
      </c>
      <c r="E6365" s="3">
        <f>VLOOKUP(A6365,airports!A:H,8,FALSE)</f>
        <v>-80.232870829999996</v>
      </c>
      <c r="F6365" s="3">
        <f>VLOOKUP(B6365,airports!A:H,7,FALSE)</f>
        <v>47.448981940000003</v>
      </c>
      <c r="G6365" s="3">
        <f>VLOOKUP(B6365,airports!A:H,8,FALSE)</f>
        <v>-122.3093131</v>
      </c>
      <c r="H6365">
        <f t="shared" si="198"/>
        <v>3410.8</v>
      </c>
      <c r="I6365">
        <f t="shared" si="199"/>
        <v>2119.5</v>
      </c>
    </row>
    <row r="6366" spans="1:9" x14ac:dyDescent="0.25">
      <c r="A6366" s="5" t="s">
        <v>106</v>
      </c>
      <c r="B6366" s="5" t="s">
        <v>191</v>
      </c>
      <c r="C6366" s="5" t="s">
        <v>6848</v>
      </c>
      <c r="D6366" s="3">
        <f>VLOOKUP(A6366,airports!A:H,7,FALSE)</f>
        <v>40.491465830000003</v>
      </c>
      <c r="E6366" s="3">
        <f>VLOOKUP(A6366,airports!A:H,8,FALSE)</f>
        <v>-80.232870829999996</v>
      </c>
      <c r="F6366" s="3">
        <f>VLOOKUP(B6366,airports!A:H,7,FALSE)</f>
        <v>28.7776</v>
      </c>
      <c r="G6366" s="3">
        <f>VLOOKUP(B6366,airports!A:H,8,FALSE)</f>
        <v>-81.237499999999997</v>
      </c>
      <c r="H6366">
        <f t="shared" si="198"/>
        <v>1305.7</v>
      </c>
      <c r="I6366">
        <f t="shared" si="199"/>
        <v>811.4</v>
      </c>
    </row>
    <row r="6367" spans="1:9" x14ac:dyDescent="0.25">
      <c r="A6367" s="5" t="s">
        <v>106</v>
      </c>
      <c r="B6367" s="5" t="s">
        <v>130</v>
      </c>
      <c r="C6367" s="5" t="s">
        <v>6849</v>
      </c>
      <c r="D6367" s="3">
        <f>VLOOKUP(A6367,airports!A:H,7,FALSE)</f>
        <v>40.491465830000003</v>
      </c>
      <c r="E6367" s="3">
        <f>VLOOKUP(A6367,airports!A:H,8,FALSE)</f>
        <v>-80.232870829999996</v>
      </c>
      <c r="F6367" s="3">
        <f>VLOOKUP(B6367,airports!A:H,7,FALSE)</f>
        <v>37.619001939999997</v>
      </c>
      <c r="G6367" s="3">
        <f>VLOOKUP(B6367,airports!A:H,8,FALSE)</f>
        <v>-122.37484329999999</v>
      </c>
      <c r="H6367">
        <f t="shared" si="198"/>
        <v>3618.3</v>
      </c>
      <c r="I6367">
        <f t="shared" si="199"/>
        <v>2248.4</v>
      </c>
    </row>
    <row r="6368" spans="1:9" x14ac:dyDescent="0.25">
      <c r="A6368" s="5" t="s">
        <v>106</v>
      </c>
      <c r="B6368" s="5" t="s">
        <v>134</v>
      </c>
      <c r="C6368" s="5" t="s">
        <v>6850</v>
      </c>
      <c r="D6368" s="3">
        <f>VLOOKUP(A6368,airports!A:H,7,FALSE)</f>
        <v>40.491465830000003</v>
      </c>
      <c r="E6368" s="3">
        <f>VLOOKUP(A6368,airports!A:H,8,FALSE)</f>
        <v>-80.232870829999996</v>
      </c>
      <c r="F6368" s="3">
        <f>VLOOKUP(B6368,airports!A:H,7,FALSE)</f>
        <v>18.43941667</v>
      </c>
      <c r="G6368" s="3">
        <f>VLOOKUP(B6368,airports!A:H,8,FALSE)</f>
        <v>-66.001833329999997</v>
      </c>
      <c r="H6368">
        <f t="shared" si="198"/>
        <v>2804</v>
      </c>
      <c r="I6368">
        <f t="shared" si="199"/>
        <v>1742.4</v>
      </c>
    </row>
    <row r="6369" spans="1:9" x14ac:dyDescent="0.25">
      <c r="A6369" s="5" t="s">
        <v>106</v>
      </c>
      <c r="B6369" s="5" t="s">
        <v>135</v>
      </c>
      <c r="C6369" s="5" t="s">
        <v>6851</v>
      </c>
      <c r="D6369" s="3">
        <f>VLOOKUP(A6369,airports!A:H,7,FALSE)</f>
        <v>40.491465830000003</v>
      </c>
      <c r="E6369" s="3">
        <f>VLOOKUP(A6369,airports!A:H,8,FALSE)</f>
        <v>-80.232870829999996</v>
      </c>
      <c r="F6369" s="3">
        <f>VLOOKUP(B6369,airports!A:H,7,FALSE)</f>
        <v>40.788387780000001</v>
      </c>
      <c r="G6369" s="3">
        <f>VLOOKUP(B6369,airports!A:H,8,FALSE)</f>
        <v>-111.97777309999999</v>
      </c>
      <c r="H6369">
        <f t="shared" si="198"/>
        <v>2664</v>
      </c>
      <c r="I6369">
        <f t="shared" si="199"/>
        <v>1655.4</v>
      </c>
    </row>
    <row r="6370" spans="1:9" x14ac:dyDescent="0.25">
      <c r="A6370" s="5" t="s">
        <v>106</v>
      </c>
      <c r="B6370" s="5" t="s">
        <v>138</v>
      </c>
      <c r="C6370" s="5" t="s">
        <v>6852</v>
      </c>
      <c r="D6370" s="3">
        <f>VLOOKUP(A6370,airports!A:H,7,FALSE)</f>
        <v>40.491465830000003</v>
      </c>
      <c r="E6370" s="3">
        <f>VLOOKUP(A6370,airports!A:H,8,FALSE)</f>
        <v>-80.232870829999996</v>
      </c>
      <c r="F6370" s="3">
        <f>VLOOKUP(B6370,airports!A:H,7,FALSE)</f>
        <v>27.39533333</v>
      </c>
      <c r="G6370" s="3">
        <f>VLOOKUP(B6370,airports!A:H,8,FALSE)</f>
        <v>-82.554111109999994</v>
      </c>
      <c r="H6370">
        <f t="shared" si="198"/>
        <v>1471.7</v>
      </c>
      <c r="I6370">
        <f t="shared" si="199"/>
        <v>914.5</v>
      </c>
    </row>
    <row r="6371" spans="1:9" x14ac:dyDescent="0.25">
      <c r="A6371" s="5" t="s">
        <v>106</v>
      </c>
      <c r="B6371" s="5" t="s">
        <v>644</v>
      </c>
      <c r="C6371" s="5" t="s">
        <v>6853</v>
      </c>
      <c r="D6371" s="3">
        <f>VLOOKUP(A6371,airports!A:H,7,FALSE)</f>
        <v>40.491465830000003</v>
      </c>
      <c r="E6371" s="3">
        <f>VLOOKUP(A6371,airports!A:H,8,FALSE)</f>
        <v>-80.232870829999996</v>
      </c>
      <c r="F6371" s="3">
        <f>VLOOKUP(B6371,airports!A:H,7,FALSE)</f>
        <v>38.747686940000001</v>
      </c>
      <c r="G6371" s="3">
        <f>VLOOKUP(B6371,airports!A:H,8,FALSE)</f>
        <v>-90.359989720000002</v>
      </c>
      <c r="H6371">
        <f t="shared" si="198"/>
        <v>888.3</v>
      </c>
      <c r="I6371">
        <f t="shared" si="199"/>
        <v>552</v>
      </c>
    </row>
    <row r="6372" spans="1:9" x14ac:dyDescent="0.25">
      <c r="A6372" s="5" t="s">
        <v>106</v>
      </c>
      <c r="B6372" s="5" t="s">
        <v>145</v>
      </c>
      <c r="C6372" s="5" t="s">
        <v>6854</v>
      </c>
      <c r="D6372" s="3">
        <f>VLOOKUP(A6372,airports!A:H,7,FALSE)</f>
        <v>40.491465830000003</v>
      </c>
      <c r="E6372" s="3">
        <f>VLOOKUP(A6372,airports!A:H,8,FALSE)</f>
        <v>-80.232870829999996</v>
      </c>
      <c r="F6372" s="3">
        <f>VLOOKUP(B6372,airports!A:H,7,FALSE)</f>
        <v>27.97547222</v>
      </c>
      <c r="G6372" s="3">
        <f>VLOOKUP(B6372,airports!A:H,8,FALSE)</f>
        <v>-82.533249999999995</v>
      </c>
      <c r="H6372">
        <f t="shared" si="198"/>
        <v>1407.5</v>
      </c>
      <c r="I6372">
        <f t="shared" si="199"/>
        <v>874.7</v>
      </c>
    </row>
    <row r="6373" spans="1:9" x14ac:dyDescent="0.25">
      <c r="A6373" s="5" t="s">
        <v>106</v>
      </c>
      <c r="B6373" s="5" t="s">
        <v>664</v>
      </c>
      <c r="C6373" s="5" t="s">
        <v>6855</v>
      </c>
      <c r="D6373" s="3">
        <f>VLOOKUP(A6373,airports!A:H,7,FALSE)</f>
        <v>40.491465830000003</v>
      </c>
      <c r="E6373" s="3">
        <f>VLOOKUP(A6373,airports!A:H,8,FALSE)</f>
        <v>-80.232870829999996</v>
      </c>
      <c r="F6373" s="3">
        <f>VLOOKUP(B6373,airports!A:H,7,FALSE)</f>
        <v>35.812487220000001</v>
      </c>
      <c r="G6373" s="3">
        <f>VLOOKUP(B6373,airports!A:H,8,FALSE)</f>
        <v>-83.992855829999996</v>
      </c>
      <c r="H6373">
        <f t="shared" si="198"/>
        <v>615.29999999999995</v>
      </c>
      <c r="I6373">
        <f t="shared" si="199"/>
        <v>382.4</v>
      </c>
    </row>
    <row r="6374" spans="1:9" x14ac:dyDescent="0.25">
      <c r="A6374" s="5" t="s">
        <v>106</v>
      </c>
      <c r="B6374" s="5" t="s">
        <v>668</v>
      </c>
      <c r="C6374" s="5" t="s">
        <v>6856</v>
      </c>
      <c r="D6374" s="3">
        <f>VLOOKUP(A6374,airports!A:H,7,FALSE)</f>
        <v>40.491465830000003</v>
      </c>
      <c r="E6374" s="3">
        <f>VLOOKUP(A6374,airports!A:H,8,FALSE)</f>
        <v>-80.232870829999996</v>
      </c>
      <c r="F6374" s="3">
        <f>VLOOKUP(B6374,airports!A:H,7,FALSE)</f>
        <v>30.483250000000002</v>
      </c>
      <c r="G6374" s="3">
        <f>VLOOKUP(B6374,airports!A:H,8,FALSE)</f>
        <v>-86.525400000000005</v>
      </c>
      <c r="H6374">
        <f t="shared" si="198"/>
        <v>1249.3</v>
      </c>
      <c r="I6374">
        <f t="shared" si="199"/>
        <v>776.4</v>
      </c>
    </row>
    <row r="6375" spans="1:9" ht="30" x14ac:dyDescent="0.25">
      <c r="A6375" s="5" t="s">
        <v>389</v>
      </c>
      <c r="B6375" s="5" t="s">
        <v>385</v>
      </c>
      <c r="C6375" s="5" t="s">
        <v>6857</v>
      </c>
      <c r="D6375" s="3">
        <f>VLOOKUP(A6375,airports!A:H,7,FALSE)</f>
        <v>45.570927500000003</v>
      </c>
      <c r="E6375" s="3">
        <f>VLOOKUP(A6375,airports!A:H,8,FALSE)</f>
        <v>-84.796715000000006</v>
      </c>
      <c r="F6375" s="3">
        <f>VLOOKUP(B6375,airports!A:H,7,FALSE)</f>
        <v>45.078067500000003</v>
      </c>
      <c r="G6375" s="3">
        <f>VLOOKUP(B6375,airports!A:H,8,FALSE)</f>
        <v>-83.560285829999998</v>
      </c>
      <c r="H6375">
        <f t="shared" si="198"/>
        <v>111.1</v>
      </c>
      <c r="I6375">
        <f t="shared" si="199"/>
        <v>69</v>
      </c>
    </row>
    <row r="6376" spans="1:9" ht="30" x14ac:dyDescent="0.25">
      <c r="A6376" s="5" t="s">
        <v>389</v>
      </c>
      <c r="B6376" s="5" t="s">
        <v>50</v>
      </c>
      <c r="C6376" s="5" t="s">
        <v>6858</v>
      </c>
      <c r="D6376" s="3">
        <f>VLOOKUP(A6376,airports!A:H,7,FALSE)</f>
        <v>45.570927500000003</v>
      </c>
      <c r="E6376" s="3">
        <f>VLOOKUP(A6376,airports!A:H,8,FALSE)</f>
        <v>-84.796715000000006</v>
      </c>
      <c r="F6376" s="3">
        <f>VLOOKUP(B6376,airports!A:H,7,FALSE)</f>
        <v>42.212058890000002</v>
      </c>
      <c r="G6376" s="3">
        <f>VLOOKUP(B6376,airports!A:H,8,FALSE)</f>
        <v>-83.348835829999999</v>
      </c>
      <c r="H6376">
        <f t="shared" si="198"/>
        <v>391.1</v>
      </c>
      <c r="I6376">
        <f t="shared" si="199"/>
        <v>243</v>
      </c>
    </row>
    <row r="6377" spans="1:9" ht="30" x14ac:dyDescent="0.25">
      <c r="A6377" s="5" t="s">
        <v>607</v>
      </c>
      <c r="B6377" s="5" t="s">
        <v>10</v>
      </c>
      <c r="C6377" s="5" t="s">
        <v>6859</v>
      </c>
      <c r="D6377" s="3">
        <f>VLOOKUP(A6377,airports!A:H,7,FALSE)</f>
        <v>30.47330556</v>
      </c>
      <c r="E6377" s="3">
        <f>VLOOKUP(A6377,airports!A:H,8,FALSE)</f>
        <v>-87.187444439999993</v>
      </c>
      <c r="F6377" s="3">
        <f>VLOOKUP(B6377,airports!A:H,7,FALSE)</f>
        <v>33.640444440000003</v>
      </c>
      <c r="G6377" s="3">
        <f>VLOOKUP(B6377,airports!A:H,8,FALSE)</f>
        <v>-84.42694444</v>
      </c>
      <c r="H6377">
        <f t="shared" si="198"/>
        <v>437.8</v>
      </c>
      <c r="I6377">
        <f t="shared" si="199"/>
        <v>272</v>
      </c>
    </row>
    <row r="6378" spans="1:9" ht="30" x14ac:dyDescent="0.25">
      <c r="A6378" s="5" t="s">
        <v>607</v>
      </c>
      <c r="B6378" s="5" t="s">
        <v>13</v>
      </c>
      <c r="C6378" s="5" t="s">
        <v>6860</v>
      </c>
      <c r="D6378" s="3">
        <f>VLOOKUP(A6378,airports!A:H,7,FALSE)</f>
        <v>30.47330556</v>
      </c>
      <c r="E6378" s="3">
        <f>VLOOKUP(A6378,airports!A:H,8,FALSE)</f>
        <v>-87.187444439999993</v>
      </c>
      <c r="F6378" s="3">
        <f>VLOOKUP(B6378,airports!A:H,7,FALSE)</f>
        <v>30.194532779999999</v>
      </c>
      <c r="G6378" s="3">
        <f>VLOOKUP(B6378,airports!A:H,8,FALSE)</f>
        <v>-97.669871939999993</v>
      </c>
      <c r="H6378">
        <f t="shared" si="198"/>
        <v>1006.1</v>
      </c>
      <c r="I6378">
        <f t="shared" si="199"/>
        <v>625.20000000000005</v>
      </c>
    </row>
    <row r="6379" spans="1:9" ht="30" x14ac:dyDescent="0.25">
      <c r="A6379" s="5" t="s">
        <v>607</v>
      </c>
      <c r="B6379" s="5" t="s">
        <v>19</v>
      </c>
      <c r="C6379" s="5" t="s">
        <v>6861</v>
      </c>
      <c r="D6379" s="3">
        <f>VLOOKUP(A6379,airports!A:H,7,FALSE)</f>
        <v>30.47330556</v>
      </c>
      <c r="E6379" s="3">
        <f>VLOOKUP(A6379,airports!A:H,8,FALSE)</f>
        <v>-87.187444439999993</v>
      </c>
      <c r="F6379" s="3">
        <f>VLOOKUP(B6379,airports!A:H,7,FALSE)</f>
        <v>36.12447667</v>
      </c>
      <c r="G6379" s="3">
        <f>VLOOKUP(B6379,airports!A:H,8,FALSE)</f>
        <v>-86.678182219999997</v>
      </c>
      <c r="H6379">
        <f t="shared" si="198"/>
        <v>630.20000000000005</v>
      </c>
      <c r="I6379">
        <f t="shared" si="199"/>
        <v>391.6</v>
      </c>
    </row>
    <row r="6380" spans="1:9" ht="30" x14ac:dyDescent="0.25">
      <c r="A6380" s="5" t="s">
        <v>607</v>
      </c>
      <c r="B6380" s="5" t="s">
        <v>24</v>
      </c>
      <c r="C6380" s="5" t="s">
        <v>6862</v>
      </c>
      <c r="D6380" s="3">
        <f>VLOOKUP(A6380,airports!A:H,7,FALSE)</f>
        <v>30.47330556</v>
      </c>
      <c r="E6380" s="3">
        <f>VLOOKUP(A6380,airports!A:H,8,FALSE)</f>
        <v>-87.187444439999993</v>
      </c>
      <c r="F6380" s="3">
        <f>VLOOKUP(B6380,airports!A:H,7,FALSE)</f>
        <v>42.364347500000001</v>
      </c>
      <c r="G6380" s="3">
        <f>VLOOKUP(B6380,airports!A:H,8,FALSE)</f>
        <v>-71.005179170000005</v>
      </c>
      <c r="H6380">
        <f t="shared" si="198"/>
        <v>1954.5</v>
      </c>
      <c r="I6380">
        <f t="shared" si="199"/>
        <v>1214.5</v>
      </c>
    </row>
    <row r="6381" spans="1:9" ht="30" x14ac:dyDescent="0.25">
      <c r="A6381" s="5" t="s">
        <v>607</v>
      </c>
      <c r="B6381" s="5" t="s">
        <v>32</v>
      </c>
      <c r="C6381" s="5" t="s">
        <v>6863</v>
      </c>
      <c r="D6381" s="3">
        <f>VLOOKUP(A6381,airports!A:H,7,FALSE)</f>
        <v>30.47330556</v>
      </c>
      <c r="E6381" s="3">
        <f>VLOOKUP(A6381,airports!A:H,8,FALSE)</f>
        <v>-87.187444439999993</v>
      </c>
      <c r="F6381" s="3">
        <f>VLOOKUP(B6381,airports!A:H,7,FALSE)</f>
        <v>39.175401669999999</v>
      </c>
      <c r="G6381" s="3">
        <f>VLOOKUP(B6381,airports!A:H,8,FALSE)</f>
        <v>-76.668198329999996</v>
      </c>
      <c r="H6381">
        <f t="shared" si="198"/>
        <v>1361.3</v>
      </c>
      <c r="I6381">
        <f t="shared" si="199"/>
        <v>845.9</v>
      </c>
    </row>
    <row r="6382" spans="1:9" x14ac:dyDescent="0.25">
      <c r="A6382" s="5" t="s">
        <v>607</v>
      </c>
      <c r="B6382" s="5" t="s">
        <v>38</v>
      </c>
      <c r="C6382" s="5" t="s">
        <v>6864</v>
      </c>
      <c r="D6382" s="3">
        <f>VLOOKUP(A6382,airports!A:H,7,FALSE)</f>
        <v>30.47330556</v>
      </c>
      <c r="E6382" s="3">
        <f>VLOOKUP(A6382,airports!A:H,8,FALSE)</f>
        <v>-87.187444439999993</v>
      </c>
      <c r="F6382" s="3">
        <f>VLOOKUP(B6382,airports!A:H,7,FALSE)</f>
        <v>41.410894169999999</v>
      </c>
      <c r="G6382" s="3">
        <f>VLOOKUP(B6382,airports!A:H,8,FALSE)</f>
        <v>-81.849396670000004</v>
      </c>
      <c r="H6382">
        <f t="shared" si="198"/>
        <v>1307</v>
      </c>
      <c r="I6382">
        <f t="shared" si="199"/>
        <v>812.2</v>
      </c>
    </row>
    <row r="6383" spans="1:9" x14ac:dyDescent="0.25">
      <c r="A6383" s="5" t="s">
        <v>607</v>
      </c>
      <c r="B6383" s="5" t="s">
        <v>997</v>
      </c>
      <c r="C6383" s="5" t="s">
        <v>6865</v>
      </c>
      <c r="D6383" s="3">
        <f>VLOOKUP(A6383,airports!A:H,7,FALSE)</f>
        <v>30.47330556</v>
      </c>
      <c r="E6383" s="3">
        <f>VLOOKUP(A6383,airports!A:H,8,FALSE)</f>
        <v>-87.187444439999993</v>
      </c>
      <c r="F6383" s="3">
        <f>VLOOKUP(B6383,airports!A:H,7,FALSE)</f>
        <v>30.58858944</v>
      </c>
      <c r="G6383" s="3">
        <f>VLOOKUP(B6383,airports!A:H,8,FALSE)</f>
        <v>-96.363824170000001</v>
      </c>
      <c r="H6383">
        <f t="shared" si="198"/>
        <v>878.7</v>
      </c>
      <c r="I6383">
        <f t="shared" si="199"/>
        <v>546.1</v>
      </c>
    </row>
    <row r="6384" spans="1:9" x14ac:dyDescent="0.25">
      <c r="A6384" s="5" t="s">
        <v>607</v>
      </c>
      <c r="B6384" s="5" t="s">
        <v>40</v>
      </c>
      <c r="C6384" s="5" t="s">
        <v>6866</v>
      </c>
      <c r="D6384" s="3">
        <f>VLOOKUP(A6384,airports!A:H,7,FALSE)</f>
        <v>30.47330556</v>
      </c>
      <c r="E6384" s="3">
        <f>VLOOKUP(A6384,airports!A:H,8,FALSE)</f>
        <v>-87.187444439999993</v>
      </c>
      <c r="F6384" s="3">
        <f>VLOOKUP(B6384,airports!A:H,7,FALSE)</f>
        <v>35.214011110000001</v>
      </c>
      <c r="G6384" s="3">
        <f>VLOOKUP(B6384,airports!A:H,8,FALSE)</f>
        <v>-80.94312583</v>
      </c>
      <c r="H6384">
        <f t="shared" si="198"/>
        <v>785.9</v>
      </c>
      <c r="I6384">
        <f t="shared" si="199"/>
        <v>488.4</v>
      </c>
    </row>
    <row r="6385" spans="1:9" ht="30" x14ac:dyDescent="0.25">
      <c r="A6385" s="5" t="s">
        <v>607</v>
      </c>
      <c r="B6385" s="5" t="s">
        <v>454</v>
      </c>
      <c r="C6385" s="5" t="s">
        <v>6867</v>
      </c>
      <c r="D6385" s="3">
        <f>VLOOKUP(A6385,airports!A:H,7,FALSE)</f>
        <v>30.47330556</v>
      </c>
      <c r="E6385" s="3">
        <f>VLOOKUP(A6385,airports!A:H,8,FALSE)</f>
        <v>-87.187444439999993</v>
      </c>
      <c r="F6385" s="3">
        <f>VLOOKUP(B6385,airports!A:H,7,FALSE)</f>
        <v>39.997985280000002</v>
      </c>
      <c r="G6385" s="3">
        <f>VLOOKUP(B6385,airports!A:H,8,FALSE)</f>
        <v>-82.891882780000003</v>
      </c>
      <c r="H6385">
        <f t="shared" si="198"/>
        <v>1128.3</v>
      </c>
      <c r="I6385">
        <f t="shared" si="199"/>
        <v>701.1</v>
      </c>
    </row>
    <row r="6386" spans="1:9" ht="30" x14ac:dyDescent="0.25">
      <c r="A6386" s="5" t="s">
        <v>607</v>
      </c>
      <c r="B6386" s="5" t="s">
        <v>462</v>
      </c>
      <c r="C6386" s="5" t="s">
        <v>6868</v>
      </c>
      <c r="D6386" s="3">
        <f>VLOOKUP(A6386,airports!A:H,7,FALSE)</f>
        <v>30.47330556</v>
      </c>
      <c r="E6386" s="3">
        <f>VLOOKUP(A6386,airports!A:H,8,FALSE)</f>
        <v>-87.187444439999993</v>
      </c>
      <c r="F6386" s="3">
        <f>VLOOKUP(B6386,airports!A:H,7,FALSE)</f>
        <v>39.046142779999997</v>
      </c>
      <c r="G6386" s="3">
        <f>VLOOKUP(B6386,airports!A:H,8,FALSE)</f>
        <v>-84.662172499999997</v>
      </c>
      <c r="H6386">
        <f t="shared" si="198"/>
        <v>980.6</v>
      </c>
      <c r="I6386">
        <f t="shared" si="199"/>
        <v>609.4</v>
      </c>
    </row>
    <row r="6387" spans="1:9" ht="30" x14ac:dyDescent="0.25">
      <c r="A6387" s="5" t="s">
        <v>607</v>
      </c>
      <c r="B6387" s="5" t="s">
        <v>201</v>
      </c>
      <c r="C6387" s="5" t="s">
        <v>6869</v>
      </c>
      <c r="D6387" s="3">
        <f>VLOOKUP(A6387,airports!A:H,7,FALSE)</f>
        <v>30.47330556</v>
      </c>
      <c r="E6387" s="3">
        <f>VLOOKUP(A6387,airports!A:H,8,FALSE)</f>
        <v>-87.187444439999993</v>
      </c>
      <c r="F6387" s="3">
        <f>VLOOKUP(B6387,airports!A:H,7,FALSE)</f>
        <v>32.847113890000003</v>
      </c>
      <c r="G6387" s="3">
        <f>VLOOKUP(B6387,airports!A:H,8,FALSE)</f>
        <v>-96.851772220000001</v>
      </c>
      <c r="H6387">
        <f t="shared" si="198"/>
        <v>951.6</v>
      </c>
      <c r="I6387">
        <f t="shared" si="199"/>
        <v>591.29999999999995</v>
      </c>
    </row>
    <row r="6388" spans="1:9" ht="30" x14ac:dyDescent="0.25">
      <c r="A6388" s="5" t="s">
        <v>607</v>
      </c>
      <c r="B6388" s="5" t="s">
        <v>45</v>
      </c>
      <c r="C6388" s="5" t="s">
        <v>6870</v>
      </c>
      <c r="D6388" s="3">
        <f>VLOOKUP(A6388,airports!A:H,7,FALSE)</f>
        <v>30.47330556</v>
      </c>
      <c r="E6388" s="3">
        <f>VLOOKUP(A6388,airports!A:H,8,FALSE)</f>
        <v>-87.187444439999993</v>
      </c>
      <c r="F6388" s="3">
        <f>VLOOKUP(B6388,airports!A:H,7,FALSE)</f>
        <v>38.852083329999999</v>
      </c>
      <c r="G6388" s="3">
        <f>VLOOKUP(B6388,airports!A:H,8,FALSE)</f>
        <v>-77.037722220000006</v>
      </c>
      <c r="H6388">
        <f t="shared" si="198"/>
        <v>1313.5</v>
      </c>
      <c r="I6388">
        <f t="shared" si="199"/>
        <v>816.2</v>
      </c>
    </row>
    <row r="6389" spans="1:9" ht="30" x14ac:dyDescent="0.25">
      <c r="A6389" s="5" t="s">
        <v>607</v>
      </c>
      <c r="B6389" s="5" t="s">
        <v>47</v>
      </c>
      <c r="C6389" s="5" t="s">
        <v>6871</v>
      </c>
      <c r="D6389" s="3">
        <f>VLOOKUP(A6389,airports!A:H,7,FALSE)</f>
        <v>30.47330556</v>
      </c>
      <c r="E6389" s="3">
        <f>VLOOKUP(A6389,airports!A:H,8,FALSE)</f>
        <v>-87.187444439999993</v>
      </c>
      <c r="F6389" s="3">
        <f>VLOOKUP(B6389,airports!A:H,7,FALSE)</f>
        <v>39.858408060000002</v>
      </c>
      <c r="G6389" s="3">
        <f>VLOOKUP(B6389,airports!A:H,8,FALSE)</f>
        <v>-104.6670019</v>
      </c>
      <c r="H6389">
        <f t="shared" si="198"/>
        <v>1895.5</v>
      </c>
      <c r="I6389">
        <f t="shared" si="199"/>
        <v>1177.9000000000001</v>
      </c>
    </row>
    <row r="6390" spans="1:9" ht="30" x14ac:dyDescent="0.25">
      <c r="A6390" s="5" t="s">
        <v>607</v>
      </c>
      <c r="B6390" s="5" t="s">
        <v>49</v>
      </c>
      <c r="C6390" s="5" t="s">
        <v>6872</v>
      </c>
      <c r="D6390" s="3">
        <f>VLOOKUP(A6390,airports!A:H,7,FALSE)</f>
        <v>30.47330556</v>
      </c>
      <c r="E6390" s="3">
        <f>VLOOKUP(A6390,airports!A:H,8,FALSE)</f>
        <v>-87.187444439999993</v>
      </c>
      <c r="F6390" s="3">
        <f>VLOOKUP(B6390,airports!A:H,7,FALSE)</f>
        <v>32.895950560000003</v>
      </c>
      <c r="G6390" s="3">
        <f>VLOOKUP(B6390,airports!A:H,8,FALSE)</f>
        <v>-97.037199999999999</v>
      </c>
      <c r="H6390">
        <f t="shared" si="198"/>
        <v>969.7</v>
      </c>
      <c r="I6390">
        <f t="shared" si="199"/>
        <v>602.6</v>
      </c>
    </row>
    <row r="6391" spans="1:9" ht="30" x14ac:dyDescent="0.25">
      <c r="A6391" s="5" t="s">
        <v>607</v>
      </c>
      <c r="B6391" s="5" t="s">
        <v>52</v>
      </c>
      <c r="C6391" s="5" t="s">
        <v>6873</v>
      </c>
      <c r="D6391" s="3">
        <f>VLOOKUP(A6391,airports!A:H,7,FALSE)</f>
        <v>30.47330556</v>
      </c>
      <c r="E6391" s="3">
        <f>VLOOKUP(A6391,airports!A:H,8,FALSE)</f>
        <v>-87.187444439999993</v>
      </c>
      <c r="F6391" s="3">
        <f>VLOOKUP(B6391,airports!A:H,7,FALSE)</f>
        <v>40.69249722</v>
      </c>
      <c r="G6391" s="3">
        <f>VLOOKUP(B6391,airports!A:H,8,FALSE)</f>
        <v>-74.168660560000006</v>
      </c>
      <c r="H6391">
        <f t="shared" si="198"/>
        <v>1632.8</v>
      </c>
      <c r="I6391">
        <f t="shared" si="199"/>
        <v>1014.6</v>
      </c>
    </row>
    <row r="6392" spans="1:9" ht="30" x14ac:dyDescent="0.25">
      <c r="A6392" s="5" t="s">
        <v>607</v>
      </c>
      <c r="B6392" s="5" t="s">
        <v>205</v>
      </c>
      <c r="C6392" s="5" t="s">
        <v>6874</v>
      </c>
      <c r="D6392" s="3">
        <f>VLOOKUP(A6392,airports!A:H,7,FALSE)</f>
        <v>30.47330556</v>
      </c>
      <c r="E6392" s="3">
        <f>VLOOKUP(A6392,airports!A:H,8,FALSE)</f>
        <v>-87.187444439999993</v>
      </c>
      <c r="F6392" s="3">
        <f>VLOOKUP(B6392,airports!A:H,7,FALSE)</f>
        <v>29.64541861</v>
      </c>
      <c r="G6392" s="3">
        <f>VLOOKUP(B6392,airports!A:H,8,FALSE)</f>
        <v>-95.278888890000005</v>
      </c>
      <c r="H6392">
        <f t="shared" si="198"/>
        <v>784</v>
      </c>
      <c r="I6392">
        <f t="shared" si="199"/>
        <v>487.2</v>
      </c>
    </row>
    <row r="6393" spans="1:9" ht="30" x14ac:dyDescent="0.25">
      <c r="A6393" s="5" t="s">
        <v>607</v>
      </c>
      <c r="B6393" s="5" t="s">
        <v>176</v>
      </c>
      <c r="C6393" s="5" t="s">
        <v>6875</v>
      </c>
      <c r="D6393" s="3">
        <f>VLOOKUP(A6393,airports!A:H,7,FALSE)</f>
        <v>30.47330556</v>
      </c>
      <c r="E6393" s="3">
        <f>VLOOKUP(A6393,airports!A:H,8,FALSE)</f>
        <v>-87.187444439999993</v>
      </c>
      <c r="F6393" s="3">
        <f>VLOOKUP(B6393,airports!A:H,7,FALSE)</f>
        <v>38.944531939999997</v>
      </c>
      <c r="G6393" s="3">
        <f>VLOOKUP(B6393,airports!A:H,8,FALSE)</f>
        <v>-77.455809720000005</v>
      </c>
      <c r="H6393">
        <f t="shared" si="198"/>
        <v>1294</v>
      </c>
      <c r="I6393">
        <f t="shared" si="199"/>
        <v>804.1</v>
      </c>
    </row>
    <row r="6394" spans="1:9" ht="30" x14ac:dyDescent="0.25">
      <c r="A6394" s="5" t="s">
        <v>607</v>
      </c>
      <c r="B6394" s="5" t="s">
        <v>67</v>
      </c>
      <c r="C6394" s="5" t="s">
        <v>6876</v>
      </c>
      <c r="D6394" s="3">
        <f>VLOOKUP(A6394,airports!A:H,7,FALSE)</f>
        <v>30.47330556</v>
      </c>
      <c r="E6394" s="3">
        <f>VLOOKUP(A6394,airports!A:H,8,FALSE)</f>
        <v>-87.187444439999993</v>
      </c>
      <c r="F6394" s="3">
        <f>VLOOKUP(B6394,airports!A:H,7,FALSE)</f>
        <v>29.980472219999999</v>
      </c>
      <c r="G6394" s="3">
        <f>VLOOKUP(B6394,airports!A:H,8,FALSE)</f>
        <v>-95.339722219999999</v>
      </c>
      <c r="H6394">
        <f t="shared" si="198"/>
        <v>785</v>
      </c>
      <c r="I6394">
        <f t="shared" si="199"/>
        <v>487.8</v>
      </c>
    </row>
    <row r="6395" spans="1:9" ht="30" x14ac:dyDescent="0.25">
      <c r="A6395" s="5" t="s">
        <v>607</v>
      </c>
      <c r="B6395" s="5" t="s">
        <v>537</v>
      </c>
      <c r="C6395" s="5" t="s">
        <v>6877</v>
      </c>
      <c r="D6395" s="3">
        <f>VLOOKUP(A6395,airports!A:H,7,FALSE)</f>
        <v>30.47330556</v>
      </c>
      <c r="E6395" s="3">
        <f>VLOOKUP(A6395,airports!A:H,8,FALSE)</f>
        <v>-87.187444439999993</v>
      </c>
      <c r="F6395" s="3">
        <f>VLOOKUP(B6395,airports!A:H,7,FALSE)</f>
        <v>39.717329169999999</v>
      </c>
      <c r="G6395" s="3">
        <f>VLOOKUP(B6395,airports!A:H,8,FALSE)</f>
        <v>-86.294384170000001</v>
      </c>
      <c r="H6395">
        <f t="shared" si="198"/>
        <v>1031.0999999999999</v>
      </c>
      <c r="I6395">
        <f t="shared" si="199"/>
        <v>640.70000000000005</v>
      </c>
    </row>
    <row r="6396" spans="1:9" ht="30" x14ac:dyDescent="0.25">
      <c r="A6396" s="5" t="s">
        <v>607</v>
      </c>
      <c r="B6396" s="5" t="s">
        <v>74</v>
      </c>
      <c r="C6396" s="5" t="s">
        <v>6878</v>
      </c>
      <c r="D6396" s="3">
        <f>VLOOKUP(A6396,airports!A:H,7,FALSE)</f>
        <v>30.47330556</v>
      </c>
      <c r="E6396" s="3">
        <f>VLOOKUP(A6396,airports!A:H,8,FALSE)</f>
        <v>-87.187444439999993</v>
      </c>
      <c r="F6396" s="3">
        <f>VLOOKUP(B6396,airports!A:H,7,FALSE)</f>
        <v>40.777243060000004</v>
      </c>
      <c r="G6396" s="3">
        <f>VLOOKUP(B6396,airports!A:H,8,FALSE)</f>
        <v>-73.872609170000004</v>
      </c>
      <c r="H6396">
        <f t="shared" si="198"/>
        <v>1658</v>
      </c>
      <c r="I6396">
        <f t="shared" si="199"/>
        <v>1030.3</v>
      </c>
    </row>
    <row r="6397" spans="1:9" ht="30" x14ac:dyDescent="0.25">
      <c r="A6397" s="5" t="s">
        <v>607</v>
      </c>
      <c r="B6397" s="5" t="s">
        <v>80</v>
      </c>
      <c r="C6397" s="5" t="s">
        <v>6879</v>
      </c>
      <c r="D6397" s="3">
        <f>VLOOKUP(A6397,airports!A:H,7,FALSE)</f>
        <v>30.47330556</v>
      </c>
      <c r="E6397" s="3">
        <f>VLOOKUP(A6397,airports!A:H,8,FALSE)</f>
        <v>-87.187444439999993</v>
      </c>
      <c r="F6397" s="3">
        <f>VLOOKUP(B6397,airports!A:H,7,FALSE)</f>
        <v>39.297605279999999</v>
      </c>
      <c r="G6397" s="3">
        <f>VLOOKUP(B6397,airports!A:H,8,FALSE)</f>
        <v>-94.713905560000001</v>
      </c>
      <c r="H6397">
        <f t="shared" si="198"/>
        <v>1196.5</v>
      </c>
      <c r="I6397">
        <f t="shared" si="199"/>
        <v>743.5</v>
      </c>
    </row>
    <row r="6398" spans="1:9" ht="30" x14ac:dyDescent="0.25">
      <c r="A6398" s="5" t="s">
        <v>607</v>
      </c>
      <c r="B6398" s="5" t="s">
        <v>82</v>
      </c>
      <c r="C6398" s="5" t="s">
        <v>6880</v>
      </c>
      <c r="D6398" s="3">
        <f>VLOOKUP(A6398,airports!A:H,7,FALSE)</f>
        <v>30.47330556</v>
      </c>
      <c r="E6398" s="3">
        <f>VLOOKUP(A6398,airports!A:H,8,FALSE)</f>
        <v>-87.187444439999993</v>
      </c>
      <c r="F6398" s="3">
        <f>VLOOKUP(B6398,airports!A:H,7,FALSE)</f>
        <v>28.42888889</v>
      </c>
      <c r="G6398" s="3">
        <f>VLOOKUP(B6398,airports!A:H,8,FALSE)</f>
        <v>-81.316027779999999</v>
      </c>
      <c r="H6398">
        <f t="shared" si="198"/>
        <v>612.20000000000005</v>
      </c>
      <c r="I6398">
        <f t="shared" si="199"/>
        <v>380.4</v>
      </c>
    </row>
    <row r="6399" spans="1:9" ht="30" x14ac:dyDescent="0.25">
      <c r="A6399" s="5" t="s">
        <v>607</v>
      </c>
      <c r="B6399" s="5" t="s">
        <v>180</v>
      </c>
      <c r="C6399" s="5" t="s">
        <v>6881</v>
      </c>
      <c r="D6399" s="3">
        <f>VLOOKUP(A6399,airports!A:H,7,FALSE)</f>
        <v>30.47330556</v>
      </c>
      <c r="E6399" s="3">
        <f>VLOOKUP(A6399,airports!A:H,8,FALSE)</f>
        <v>-87.187444439999993</v>
      </c>
      <c r="F6399" s="3">
        <f>VLOOKUP(B6399,airports!A:H,7,FALSE)</f>
        <v>41.785982500000003</v>
      </c>
      <c r="G6399" s="3">
        <f>VLOOKUP(B6399,airports!A:H,8,FALSE)</f>
        <v>-87.752424439999999</v>
      </c>
      <c r="H6399">
        <f t="shared" si="198"/>
        <v>1258.9000000000001</v>
      </c>
      <c r="I6399">
        <f t="shared" si="199"/>
        <v>782.3</v>
      </c>
    </row>
    <row r="6400" spans="1:9" ht="30" x14ac:dyDescent="0.25">
      <c r="A6400" s="5" t="s">
        <v>607</v>
      </c>
      <c r="B6400" s="5" t="s">
        <v>84</v>
      </c>
      <c r="C6400" s="5" t="s">
        <v>6882</v>
      </c>
      <c r="D6400" s="3">
        <f>VLOOKUP(A6400,airports!A:H,7,FALSE)</f>
        <v>30.47330556</v>
      </c>
      <c r="E6400" s="3">
        <f>VLOOKUP(A6400,airports!A:H,8,FALSE)</f>
        <v>-87.187444439999993</v>
      </c>
      <c r="F6400" s="3">
        <f>VLOOKUP(B6400,airports!A:H,7,FALSE)</f>
        <v>25.79325</v>
      </c>
      <c r="G6400" s="3">
        <f>VLOOKUP(B6400,airports!A:H,8,FALSE)</f>
        <v>-80.290555560000001</v>
      </c>
      <c r="H6400">
        <f t="shared" si="198"/>
        <v>853</v>
      </c>
      <c r="I6400">
        <f t="shared" si="199"/>
        <v>530.1</v>
      </c>
    </row>
    <row r="6401" spans="1:9" ht="30" x14ac:dyDescent="0.25">
      <c r="A6401" s="5" t="s">
        <v>607</v>
      </c>
      <c r="B6401" s="5" t="s">
        <v>85</v>
      </c>
      <c r="C6401" s="5" t="s">
        <v>6883</v>
      </c>
      <c r="D6401" s="3">
        <f>VLOOKUP(A6401,airports!A:H,7,FALSE)</f>
        <v>30.47330556</v>
      </c>
      <c r="E6401" s="3">
        <f>VLOOKUP(A6401,airports!A:H,8,FALSE)</f>
        <v>-87.187444439999993</v>
      </c>
      <c r="F6401" s="3">
        <f>VLOOKUP(B6401,airports!A:H,7,FALSE)</f>
        <v>42.94722222</v>
      </c>
      <c r="G6401" s="3">
        <f>VLOOKUP(B6401,airports!A:H,8,FALSE)</f>
        <v>-87.896583329999999</v>
      </c>
      <c r="H6401">
        <f t="shared" si="198"/>
        <v>1388.5</v>
      </c>
      <c r="I6401">
        <f t="shared" si="199"/>
        <v>862.8</v>
      </c>
    </row>
    <row r="6402" spans="1:9" ht="30" x14ac:dyDescent="0.25">
      <c r="A6402" s="5" t="s">
        <v>607</v>
      </c>
      <c r="B6402" s="5" t="s">
        <v>95</v>
      </c>
      <c r="C6402" s="5" t="s">
        <v>6884</v>
      </c>
      <c r="D6402" s="3">
        <f>VLOOKUP(A6402,airports!A:H,7,FALSE)</f>
        <v>30.47330556</v>
      </c>
      <c r="E6402" s="3">
        <f>VLOOKUP(A6402,airports!A:H,8,FALSE)</f>
        <v>-87.187444439999993</v>
      </c>
      <c r="F6402" s="3">
        <f>VLOOKUP(B6402,airports!A:H,7,FALSE)</f>
        <v>41.979595000000003</v>
      </c>
      <c r="G6402" s="3">
        <f>VLOOKUP(B6402,airports!A:H,8,FALSE)</f>
        <v>-87.904464169999997</v>
      </c>
      <c r="H6402">
        <f t="shared" si="198"/>
        <v>1281</v>
      </c>
      <c r="I6402">
        <f t="shared" si="199"/>
        <v>796.1</v>
      </c>
    </row>
    <row r="6403" spans="1:9" ht="30" x14ac:dyDescent="0.25">
      <c r="A6403" s="5" t="s">
        <v>607</v>
      </c>
      <c r="B6403" s="5" t="s">
        <v>102</v>
      </c>
      <c r="C6403" s="5" t="s">
        <v>6885</v>
      </c>
      <c r="D6403" s="3">
        <f>VLOOKUP(A6403,airports!A:H,7,FALSE)</f>
        <v>30.47330556</v>
      </c>
      <c r="E6403" s="3">
        <f>VLOOKUP(A6403,airports!A:H,8,FALSE)</f>
        <v>-87.187444439999993</v>
      </c>
      <c r="F6403" s="3">
        <f>VLOOKUP(B6403,airports!A:H,7,FALSE)</f>
        <v>39.871952780000001</v>
      </c>
      <c r="G6403" s="3">
        <f>VLOOKUP(B6403,airports!A:H,8,FALSE)</f>
        <v>-75.241140830000006</v>
      </c>
      <c r="H6403">
        <f t="shared" si="198"/>
        <v>1504.4</v>
      </c>
      <c r="I6403">
        <f t="shared" si="199"/>
        <v>934.8</v>
      </c>
    </row>
    <row r="6404" spans="1:9" x14ac:dyDescent="0.25">
      <c r="A6404" s="5" t="s">
        <v>607</v>
      </c>
      <c r="B6404" s="5" t="s">
        <v>106</v>
      </c>
      <c r="C6404" s="5" t="s">
        <v>6886</v>
      </c>
      <c r="D6404" s="3">
        <f>VLOOKUP(A6404,airports!A:H,7,FALSE)</f>
        <v>30.47330556</v>
      </c>
      <c r="E6404" s="3">
        <f>VLOOKUP(A6404,airports!A:H,8,FALSE)</f>
        <v>-87.187444439999993</v>
      </c>
      <c r="F6404" s="3">
        <f>VLOOKUP(B6404,airports!A:H,7,FALSE)</f>
        <v>40.491465830000003</v>
      </c>
      <c r="G6404" s="3">
        <f>VLOOKUP(B6404,airports!A:H,8,FALSE)</f>
        <v>-80.232870829999996</v>
      </c>
      <c r="H6404">
        <f t="shared" ref="H6404:H6467" si="200">ROUND(ACOS(COS(RADIANS(90-D6404)) * COS(RADIANS(90-F6404)) + SIN(RADIANS(90-D6404)) * SIN(RADIANS(90-F6404)) * COS(RADIANS(E6404-G6404))) * 6371,1)</f>
        <v>1278.5999999999999</v>
      </c>
      <c r="I6404">
        <f t="shared" ref="I6404:I6467" si="201">ROUND(ACOS(COS(RADIANS(90-D6404)) * COS(RADIANS(90-F6404)) + SIN(RADIANS(90-D6404)) * SIN(RADIANS(90-F6404)) * COS(RADIANS(E6404-G6404))) * 3959,1)</f>
        <v>794.5</v>
      </c>
    </row>
    <row r="6405" spans="1:9" ht="30" x14ac:dyDescent="0.25">
      <c r="A6405" s="5" t="s">
        <v>607</v>
      </c>
      <c r="B6405" s="5" t="s">
        <v>630</v>
      </c>
      <c r="C6405" s="5" t="s">
        <v>6887</v>
      </c>
      <c r="D6405" s="3">
        <f>VLOOKUP(A6405,airports!A:H,7,FALSE)</f>
        <v>30.47330556</v>
      </c>
      <c r="E6405" s="3">
        <f>VLOOKUP(A6405,airports!A:H,8,FALSE)</f>
        <v>-87.187444439999993</v>
      </c>
      <c r="F6405" s="3">
        <f>VLOOKUP(B6405,airports!A:H,7,FALSE)</f>
        <v>38.174388890000003</v>
      </c>
      <c r="G6405" s="3">
        <f>VLOOKUP(B6405,airports!A:H,8,FALSE)</f>
        <v>-85.736000000000004</v>
      </c>
      <c r="H6405">
        <f t="shared" si="200"/>
        <v>866.6</v>
      </c>
      <c r="I6405">
        <f t="shared" si="201"/>
        <v>538.5</v>
      </c>
    </row>
    <row r="6406" spans="1:9" x14ac:dyDescent="0.25">
      <c r="A6406" s="5" t="s">
        <v>607</v>
      </c>
      <c r="B6406" s="5" t="s">
        <v>644</v>
      </c>
      <c r="C6406" s="5" t="s">
        <v>6888</v>
      </c>
      <c r="D6406" s="3">
        <f>VLOOKUP(A6406,airports!A:H,7,FALSE)</f>
        <v>30.47330556</v>
      </c>
      <c r="E6406" s="3">
        <f>VLOOKUP(A6406,airports!A:H,8,FALSE)</f>
        <v>-87.187444439999993</v>
      </c>
      <c r="F6406" s="3">
        <f>VLOOKUP(B6406,airports!A:H,7,FALSE)</f>
        <v>38.747686940000001</v>
      </c>
      <c r="G6406" s="3">
        <f>VLOOKUP(B6406,airports!A:H,8,FALSE)</f>
        <v>-90.359989720000002</v>
      </c>
      <c r="H6406">
        <f t="shared" si="200"/>
        <v>964.6</v>
      </c>
      <c r="I6406">
        <f t="shared" si="201"/>
        <v>599.4</v>
      </c>
    </row>
    <row r="6407" spans="1:9" ht="30" x14ac:dyDescent="0.25">
      <c r="A6407" s="5" t="s">
        <v>3675</v>
      </c>
      <c r="B6407" s="5" t="s">
        <v>360</v>
      </c>
      <c r="C6407" s="5" t="s">
        <v>6889</v>
      </c>
      <c r="D6407" s="3">
        <f>VLOOKUP(A6407,airports!A:H,7,FALSE)</f>
        <v>14.33102278</v>
      </c>
      <c r="E6407" s="3">
        <f>VLOOKUP(A6407,airports!A:H,8,FALSE)</f>
        <v>-170.7105258</v>
      </c>
      <c r="F6407" s="3">
        <f>VLOOKUP(B6407,airports!A:H,7,FALSE)</f>
        <v>21.31869111</v>
      </c>
      <c r="G6407" s="3">
        <f>VLOOKUP(B6407,airports!A:H,8,FALSE)</f>
        <v>-157.92240720000001</v>
      </c>
      <c r="H6407">
        <f t="shared" si="200"/>
        <v>1559.7</v>
      </c>
      <c r="I6407">
        <f t="shared" si="201"/>
        <v>969.2</v>
      </c>
    </row>
    <row r="6408" spans="1:9" ht="30" x14ac:dyDescent="0.25">
      <c r="A6408" s="5" t="s">
        <v>3126</v>
      </c>
      <c r="B6408" s="5" t="s">
        <v>52</v>
      </c>
      <c r="C6408" s="5" t="s">
        <v>6890</v>
      </c>
      <c r="D6408" s="3">
        <f>VLOOKUP(A6408,airports!A:H,7,FALSE)</f>
        <v>46.688999000000003</v>
      </c>
      <c r="E6408" s="3">
        <f>VLOOKUP(A6408,airports!A:H,8,FALSE)</f>
        <v>-68.044799999999995</v>
      </c>
      <c r="F6408" s="3">
        <f>VLOOKUP(B6408,airports!A:H,7,FALSE)</f>
        <v>40.69249722</v>
      </c>
      <c r="G6408" s="3">
        <f>VLOOKUP(B6408,airports!A:H,8,FALSE)</f>
        <v>-74.168660560000006</v>
      </c>
      <c r="H6408">
        <f t="shared" si="200"/>
        <v>828.3</v>
      </c>
      <c r="I6408">
        <f t="shared" si="201"/>
        <v>514.70000000000005</v>
      </c>
    </row>
    <row r="6409" spans="1:9" x14ac:dyDescent="0.25">
      <c r="A6409" s="5" t="s">
        <v>3126</v>
      </c>
      <c r="B6409" s="5" t="s">
        <v>176</v>
      </c>
      <c r="C6409" s="5" t="s">
        <v>6891</v>
      </c>
      <c r="D6409" s="3">
        <f>VLOOKUP(A6409,airports!A:H,7,FALSE)</f>
        <v>46.688999000000003</v>
      </c>
      <c r="E6409" s="3">
        <f>VLOOKUP(A6409,airports!A:H,8,FALSE)</f>
        <v>-68.044799999999995</v>
      </c>
      <c r="F6409" s="3">
        <f>VLOOKUP(B6409,airports!A:H,7,FALSE)</f>
        <v>38.944531939999997</v>
      </c>
      <c r="G6409" s="3">
        <f>VLOOKUP(B6409,airports!A:H,8,FALSE)</f>
        <v>-77.455809720000005</v>
      </c>
      <c r="H6409">
        <f t="shared" si="200"/>
        <v>1151.9000000000001</v>
      </c>
      <c r="I6409">
        <f t="shared" si="201"/>
        <v>715.8</v>
      </c>
    </row>
    <row r="6410" spans="1:9" ht="30" x14ac:dyDescent="0.25">
      <c r="A6410" s="5" t="s">
        <v>2465</v>
      </c>
      <c r="B6410" s="5" t="s">
        <v>47</v>
      </c>
      <c r="C6410" s="5" t="s">
        <v>6892</v>
      </c>
      <c r="D6410" s="3">
        <f>VLOOKUP(A6410,airports!A:H,7,FALSE)</f>
        <v>34.654499000000001</v>
      </c>
      <c r="E6410" s="3">
        <f>VLOOKUP(A6410,airports!A:H,8,FALSE)</f>
        <v>-112.41999800000001</v>
      </c>
      <c r="F6410" s="3">
        <f>VLOOKUP(B6410,airports!A:H,7,FALSE)</f>
        <v>39.858408060000002</v>
      </c>
      <c r="G6410" s="3">
        <f>VLOOKUP(B6410,airports!A:H,8,FALSE)</f>
        <v>-104.6670019</v>
      </c>
      <c r="H6410">
        <f t="shared" si="200"/>
        <v>896.9</v>
      </c>
      <c r="I6410">
        <f t="shared" si="201"/>
        <v>557.4</v>
      </c>
    </row>
    <row r="6411" spans="1:9" ht="30" x14ac:dyDescent="0.25">
      <c r="A6411" s="5" t="s">
        <v>2465</v>
      </c>
      <c r="B6411" s="5" t="s">
        <v>73</v>
      </c>
      <c r="C6411" s="5" t="s">
        <v>6893</v>
      </c>
      <c r="D6411" s="3">
        <f>VLOOKUP(A6411,airports!A:H,7,FALSE)</f>
        <v>34.654499000000001</v>
      </c>
      <c r="E6411" s="3">
        <f>VLOOKUP(A6411,airports!A:H,8,FALSE)</f>
        <v>-112.41999800000001</v>
      </c>
      <c r="F6411" s="3">
        <f>VLOOKUP(B6411,airports!A:H,7,FALSE)</f>
        <v>33.942536109999999</v>
      </c>
      <c r="G6411" s="3">
        <f>VLOOKUP(B6411,airports!A:H,8,FALSE)</f>
        <v>-118.4080744</v>
      </c>
      <c r="H6411">
        <f t="shared" si="200"/>
        <v>555.6</v>
      </c>
      <c r="I6411">
        <f t="shared" si="201"/>
        <v>345.3</v>
      </c>
    </row>
    <row r="6412" spans="1:9" ht="30" x14ac:dyDescent="0.25">
      <c r="A6412" s="5" t="s">
        <v>890</v>
      </c>
      <c r="B6412" s="5" t="s">
        <v>329</v>
      </c>
      <c r="C6412" s="5" t="s">
        <v>6894</v>
      </c>
      <c r="D6412" s="3">
        <f>VLOOKUP(A6412,airports!A:H,7,FALSE)</f>
        <v>46.26468028</v>
      </c>
      <c r="E6412" s="3">
        <f>VLOOKUP(A6412,airports!A:H,8,FALSE)</f>
        <v>-119.1190292</v>
      </c>
      <c r="F6412" s="3">
        <f>VLOOKUP(B6412,airports!A:H,7,FALSE)</f>
        <v>33.308999999999997</v>
      </c>
      <c r="G6412" s="3">
        <f>VLOOKUP(B6412,airports!A:H,8,FALSE)</f>
        <v>-111.6559</v>
      </c>
      <c r="H6412">
        <f t="shared" si="200"/>
        <v>1573.7</v>
      </c>
      <c r="I6412">
        <f t="shared" si="201"/>
        <v>977.9</v>
      </c>
    </row>
    <row r="6413" spans="1:9" x14ac:dyDescent="0.25">
      <c r="A6413" s="5" t="s">
        <v>890</v>
      </c>
      <c r="B6413" s="5" t="s">
        <v>344</v>
      </c>
      <c r="C6413" s="5" t="s">
        <v>6895</v>
      </c>
      <c r="D6413" s="3">
        <f>VLOOKUP(A6413,airports!A:H,7,FALSE)</f>
        <v>46.26468028</v>
      </c>
      <c r="E6413" s="3">
        <f>VLOOKUP(A6413,airports!A:H,8,FALSE)</f>
        <v>-119.1190292</v>
      </c>
      <c r="F6413" s="3">
        <f>VLOOKUP(B6413,airports!A:H,7,FALSE)</f>
        <v>48.792749999999998</v>
      </c>
      <c r="G6413" s="3">
        <f>VLOOKUP(B6413,airports!A:H,8,FALSE)</f>
        <v>-122.53752780000001</v>
      </c>
      <c r="H6413">
        <f t="shared" si="200"/>
        <v>380.6</v>
      </c>
      <c r="I6413">
        <f t="shared" si="201"/>
        <v>236.5</v>
      </c>
    </row>
    <row r="6414" spans="1:9" ht="30" x14ac:dyDescent="0.25">
      <c r="A6414" s="5" t="s">
        <v>890</v>
      </c>
      <c r="B6414" s="5" t="s">
        <v>34</v>
      </c>
      <c r="C6414" s="5" t="s">
        <v>6896</v>
      </c>
      <c r="D6414" s="3">
        <f>VLOOKUP(A6414,airports!A:H,7,FALSE)</f>
        <v>46.26468028</v>
      </c>
      <c r="E6414" s="3">
        <f>VLOOKUP(A6414,airports!A:H,8,FALSE)</f>
        <v>-119.1190292</v>
      </c>
      <c r="F6414" s="3">
        <f>VLOOKUP(B6414,airports!A:H,7,FALSE)</f>
        <v>45.776901389999999</v>
      </c>
      <c r="G6414" s="3">
        <f>VLOOKUP(B6414,airports!A:H,8,FALSE)</f>
        <v>-111.1530072</v>
      </c>
      <c r="H6414">
        <f t="shared" si="200"/>
        <v>617.20000000000005</v>
      </c>
      <c r="I6414">
        <f t="shared" si="201"/>
        <v>383.5</v>
      </c>
    </row>
    <row r="6415" spans="1:9" ht="30" x14ac:dyDescent="0.25">
      <c r="A6415" s="5" t="s">
        <v>890</v>
      </c>
      <c r="B6415" s="5" t="s">
        <v>47</v>
      </c>
      <c r="C6415" s="5" t="s">
        <v>6897</v>
      </c>
      <c r="D6415" s="3">
        <f>VLOOKUP(A6415,airports!A:H,7,FALSE)</f>
        <v>46.26468028</v>
      </c>
      <c r="E6415" s="3">
        <f>VLOOKUP(A6415,airports!A:H,8,FALSE)</f>
        <v>-119.1190292</v>
      </c>
      <c r="F6415" s="3">
        <f>VLOOKUP(B6415,airports!A:H,7,FALSE)</f>
        <v>39.858408060000002</v>
      </c>
      <c r="G6415" s="3">
        <f>VLOOKUP(B6415,airports!A:H,8,FALSE)</f>
        <v>-104.6670019</v>
      </c>
      <c r="H6415">
        <f t="shared" si="200"/>
        <v>1370.2</v>
      </c>
      <c r="I6415">
        <f t="shared" si="201"/>
        <v>851.4</v>
      </c>
    </row>
    <row r="6416" spans="1:9" x14ac:dyDescent="0.25">
      <c r="A6416" s="5" t="s">
        <v>890</v>
      </c>
      <c r="B6416" s="5" t="s">
        <v>71</v>
      </c>
      <c r="C6416" s="5" t="s">
        <v>6898</v>
      </c>
      <c r="D6416" s="3">
        <f>VLOOKUP(A6416,airports!A:H,7,FALSE)</f>
        <v>46.26468028</v>
      </c>
      <c r="E6416" s="3">
        <f>VLOOKUP(A6416,airports!A:H,8,FALSE)</f>
        <v>-119.1190292</v>
      </c>
      <c r="F6416" s="3">
        <f>VLOOKUP(B6416,airports!A:H,7,FALSE)</f>
        <v>36.080361109999998</v>
      </c>
      <c r="G6416" s="3">
        <f>VLOOKUP(B6416,airports!A:H,8,FALSE)</f>
        <v>-115.1523333</v>
      </c>
      <c r="H6416">
        <f t="shared" si="200"/>
        <v>1179.7</v>
      </c>
      <c r="I6416">
        <f t="shared" si="201"/>
        <v>733.1</v>
      </c>
    </row>
    <row r="6417" spans="1:9" x14ac:dyDescent="0.25">
      <c r="A6417" s="5" t="s">
        <v>890</v>
      </c>
      <c r="B6417" s="5" t="s">
        <v>73</v>
      </c>
      <c r="C6417" s="5" t="s">
        <v>6899</v>
      </c>
      <c r="D6417" s="3">
        <f>VLOOKUP(A6417,airports!A:H,7,FALSE)</f>
        <v>46.26468028</v>
      </c>
      <c r="E6417" s="3">
        <f>VLOOKUP(A6417,airports!A:H,8,FALSE)</f>
        <v>-119.1190292</v>
      </c>
      <c r="F6417" s="3">
        <f>VLOOKUP(B6417,airports!A:H,7,FALSE)</f>
        <v>33.942536109999999</v>
      </c>
      <c r="G6417" s="3">
        <f>VLOOKUP(B6417,airports!A:H,8,FALSE)</f>
        <v>-118.4080744</v>
      </c>
      <c r="H6417">
        <f t="shared" si="200"/>
        <v>1371.5</v>
      </c>
      <c r="I6417">
        <f t="shared" si="201"/>
        <v>852.2</v>
      </c>
    </row>
    <row r="6418" spans="1:9" ht="30" x14ac:dyDescent="0.25">
      <c r="A6418" s="5" t="s">
        <v>890</v>
      </c>
      <c r="B6418" s="5" t="s">
        <v>87</v>
      </c>
      <c r="C6418" s="5" t="s">
        <v>6900</v>
      </c>
      <c r="D6418" s="3">
        <f>VLOOKUP(A6418,airports!A:H,7,FALSE)</f>
        <v>46.26468028</v>
      </c>
      <c r="E6418" s="3">
        <f>VLOOKUP(A6418,airports!A:H,8,FALSE)</f>
        <v>-119.1190292</v>
      </c>
      <c r="F6418" s="3">
        <f>VLOOKUP(B6418,airports!A:H,7,FALSE)</f>
        <v>44.880546940000002</v>
      </c>
      <c r="G6418" s="3">
        <f>VLOOKUP(B6418,airports!A:H,8,FALSE)</f>
        <v>-93.216922499999995</v>
      </c>
      <c r="H6418">
        <f t="shared" si="200"/>
        <v>2013</v>
      </c>
      <c r="I6418">
        <f t="shared" si="201"/>
        <v>1250.9000000000001</v>
      </c>
    </row>
    <row r="6419" spans="1:9" ht="30" x14ac:dyDescent="0.25">
      <c r="A6419" s="5" t="s">
        <v>890</v>
      </c>
      <c r="B6419" s="5" t="s">
        <v>100</v>
      </c>
      <c r="C6419" s="5" t="s">
        <v>6901</v>
      </c>
      <c r="D6419" s="3">
        <f>VLOOKUP(A6419,airports!A:H,7,FALSE)</f>
        <v>46.26468028</v>
      </c>
      <c r="E6419" s="3">
        <f>VLOOKUP(A6419,airports!A:H,8,FALSE)</f>
        <v>-119.1190292</v>
      </c>
      <c r="F6419" s="3">
        <f>VLOOKUP(B6419,airports!A:H,7,FALSE)</f>
        <v>45.588722220000001</v>
      </c>
      <c r="G6419" s="3">
        <f>VLOOKUP(B6419,airports!A:H,8,FALSE)</f>
        <v>-122.5975</v>
      </c>
      <c r="H6419">
        <f t="shared" si="200"/>
        <v>279.3</v>
      </c>
      <c r="I6419">
        <f t="shared" si="201"/>
        <v>173.6</v>
      </c>
    </row>
    <row r="6420" spans="1:9" ht="30" x14ac:dyDescent="0.25">
      <c r="A6420" s="5" t="s">
        <v>890</v>
      </c>
      <c r="B6420" s="5" t="s">
        <v>124</v>
      </c>
      <c r="C6420" s="5" t="s">
        <v>6902</v>
      </c>
      <c r="D6420" s="3">
        <f>VLOOKUP(A6420,airports!A:H,7,FALSE)</f>
        <v>46.26468028</v>
      </c>
      <c r="E6420" s="3">
        <f>VLOOKUP(A6420,airports!A:H,8,FALSE)</f>
        <v>-119.1190292</v>
      </c>
      <c r="F6420" s="3">
        <f>VLOOKUP(B6420,airports!A:H,7,FALSE)</f>
        <v>32.733556110000002</v>
      </c>
      <c r="G6420" s="3">
        <f>VLOOKUP(B6420,airports!A:H,8,FALSE)</f>
        <v>-117.1896567</v>
      </c>
      <c r="H6420">
        <f t="shared" si="200"/>
        <v>1513.5</v>
      </c>
      <c r="I6420">
        <f t="shared" si="201"/>
        <v>940.5</v>
      </c>
    </row>
    <row r="6421" spans="1:9" x14ac:dyDescent="0.25">
      <c r="A6421" s="5" t="s">
        <v>890</v>
      </c>
      <c r="B6421" s="5" t="s">
        <v>128</v>
      </c>
      <c r="C6421" s="5" t="s">
        <v>6903</v>
      </c>
      <c r="D6421" s="3">
        <f>VLOOKUP(A6421,airports!A:H,7,FALSE)</f>
        <v>46.26468028</v>
      </c>
      <c r="E6421" s="3">
        <f>VLOOKUP(A6421,airports!A:H,8,FALSE)</f>
        <v>-119.1190292</v>
      </c>
      <c r="F6421" s="3">
        <f>VLOOKUP(B6421,airports!A:H,7,FALSE)</f>
        <v>47.448981940000003</v>
      </c>
      <c r="G6421" s="3">
        <f>VLOOKUP(B6421,airports!A:H,8,FALSE)</f>
        <v>-122.3093131</v>
      </c>
      <c r="H6421">
        <f t="shared" si="200"/>
        <v>276</v>
      </c>
      <c r="I6421">
        <f t="shared" si="201"/>
        <v>171.5</v>
      </c>
    </row>
    <row r="6422" spans="1:9" ht="30" x14ac:dyDescent="0.25">
      <c r="A6422" s="5" t="s">
        <v>890</v>
      </c>
      <c r="B6422" s="5" t="s">
        <v>130</v>
      </c>
      <c r="C6422" s="5" t="s">
        <v>6904</v>
      </c>
      <c r="D6422" s="3">
        <f>VLOOKUP(A6422,airports!A:H,7,FALSE)</f>
        <v>46.26468028</v>
      </c>
      <c r="E6422" s="3">
        <f>VLOOKUP(A6422,airports!A:H,8,FALSE)</f>
        <v>-119.1190292</v>
      </c>
      <c r="F6422" s="3">
        <f>VLOOKUP(B6422,airports!A:H,7,FALSE)</f>
        <v>37.619001939999997</v>
      </c>
      <c r="G6422" s="3">
        <f>VLOOKUP(B6422,airports!A:H,8,FALSE)</f>
        <v>-122.37484329999999</v>
      </c>
      <c r="H6422">
        <f t="shared" si="200"/>
        <v>998.1</v>
      </c>
      <c r="I6422">
        <f t="shared" si="201"/>
        <v>620.20000000000005</v>
      </c>
    </row>
    <row r="6423" spans="1:9" x14ac:dyDescent="0.25">
      <c r="A6423" s="5" t="s">
        <v>890</v>
      </c>
      <c r="B6423" s="5" t="s">
        <v>135</v>
      </c>
      <c r="C6423" s="5" t="s">
        <v>6905</v>
      </c>
      <c r="D6423" s="3">
        <f>VLOOKUP(A6423,airports!A:H,7,FALSE)</f>
        <v>46.26468028</v>
      </c>
      <c r="E6423" s="3">
        <f>VLOOKUP(A6423,airports!A:H,8,FALSE)</f>
        <v>-119.1190292</v>
      </c>
      <c r="F6423" s="3">
        <f>VLOOKUP(B6423,airports!A:H,7,FALSE)</f>
        <v>40.788387780000001</v>
      </c>
      <c r="G6423" s="3">
        <f>VLOOKUP(B6423,airports!A:H,8,FALSE)</f>
        <v>-111.97777309999999</v>
      </c>
      <c r="H6423">
        <f t="shared" si="200"/>
        <v>837.3</v>
      </c>
      <c r="I6423">
        <f t="shared" si="201"/>
        <v>520.29999999999995</v>
      </c>
    </row>
    <row r="6424" spans="1:9" x14ac:dyDescent="0.25">
      <c r="A6424" s="5" t="s">
        <v>110</v>
      </c>
      <c r="B6424" s="5" t="s">
        <v>69</v>
      </c>
      <c r="C6424" s="5" t="s">
        <v>6906</v>
      </c>
      <c r="D6424" s="3">
        <f>VLOOKUP(A6424,airports!A:H,7,FALSE)</f>
        <v>18.008302780000001</v>
      </c>
      <c r="E6424" s="3">
        <f>VLOOKUP(A6424,airports!A:H,8,FALSE)</f>
        <v>-66.563011939999996</v>
      </c>
      <c r="F6424" s="3">
        <f>VLOOKUP(B6424,airports!A:H,7,FALSE)</f>
        <v>40.639751109999999</v>
      </c>
      <c r="G6424" s="3">
        <f>VLOOKUP(B6424,airports!A:H,8,FALSE)</f>
        <v>-73.778925560000005</v>
      </c>
      <c r="H6424">
        <f t="shared" si="200"/>
        <v>2609.5</v>
      </c>
      <c r="I6424">
        <f t="shared" si="201"/>
        <v>1621.6</v>
      </c>
    </row>
    <row r="6425" spans="1:9" ht="30" x14ac:dyDescent="0.25">
      <c r="A6425" s="5" t="s">
        <v>110</v>
      </c>
      <c r="B6425" s="5" t="s">
        <v>82</v>
      </c>
      <c r="C6425" s="5" t="s">
        <v>6907</v>
      </c>
      <c r="D6425" s="3">
        <f>VLOOKUP(A6425,airports!A:H,7,FALSE)</f>
        <v>18.008302780000001</v>
      </c>
      <c r="E6425" s="3">
        <f>VLOOKUP(A6425,airports!A:H,8,FALSE)</f>
        <v>-66.563011939999996</v>
      </c>
      <c r="F6425" s="3">
        <f>VLOOKUP(B6425,airports!A:H,7,FALSE)</f>
        <v>28.42888889</v>
      </c>
      <c r="G6425" s="3">
        <f>VLOOKUP(B6425,airports!A:H,8,FALSE)</f>
        <v>-81.316027779999999</v>
      </c>
      <c r="H6425">
        <f t="shared" si="200"/>
        <v>1898.4</v>
      </c>
      <c r="I6425">
        <f t="shared" si="201"/>
        <v>1179.7</v>
      </c>
    </row>
    <row r="6426" spans="1:9" ht="30" x14ac:dyDescent="0.25">
      <c r="A6426" s="5" t="s">
        <v>4387</v>
      </c>
      <c r="B6426" s="5" t="s">
        <v>364</v>
      </c>
      <c r="C6426" s="5" t="s">
        <v>6908</v>
      </c>
      <c r="D6426" s="3">
        <f>VLOOKUP(A6426,airports!A:H,7,FALSE)</f>
        <v>56.801651939999999</v>
      </c>
      <c r="E6426" s="3">
        <f>VLOOKUP(A6426,airports!A:H,8,FALSE)</f>
        <v>-132.9452781</v>
      </c>
      <c r="F6426" s="3">
        <f>VLOOKUP(B6426,airports!A:H,7,FALSE)</f>
        <v>58.354961940000003</v>
      </c>
      <c r="G6426" s="3">
        <f>VLOOKUP(B6426,airports!A:H,8,FALSE)</f>
        <v>-134.57627640000001</v>
      </c>
      <c r="H6426">
        <f t="shared" si="200"/>
        <v>198.2</v>
      </c>
      <c r="I6426">
        <f t="shared" si="201"/>
        <v>123.2</v>
      </c>
    </row>
    <row r="6427" spans="1:9" ht="30" x14ac:dyDescent="0.25">
      <c r="A6427" s="5" t="s">
        <v>4387</v>
      </c>
      <c r="B6427" s="5" t="s">
        <v>4417</v>
      </c>
      <c r="C6427" s="5" t="s">
        <v>6909</v>
      </c>
      <c r="D6427" s="3">
        <f>VLOOKUP(A6427,airports!A:H,7,FALSE)</f>
        <v>56.801651939999999</v>
      </c>
      <c r="E6427" s="3">
        <f>VLOOKUP(A6427,airports!A:H,8,FALSE)</f>
        <v>-132.9452781</v>
      </c>
      <c r="F6427" s="3">
        <f>VLOOKUP(B6427,airports!A:H,7,FALSE)</f>
        <v>56.484325830000003</v>
      </c>
      <c r="G6427" s="3">
        <f>VLOOKUP(B6427,airports!A:H,8,FALSE)</f>
        <v>-132.36982420000001</v>
      </c>
      <c r="H6427">
        <f t="shared" si="200"/>
        <v>49.8</v>
      </c>
      <c r="I6427">
        <f t="shared" si="201"/>
        <v>31</v>
      </c>
    </row>
    <row r="6428" spans="1:9" ht="30" x14ac:dyDescent="0.25">
      <c r="A6428" s="5" t="s">
        <v>1164</v>
      </c>
      <c r="B6428" s="5" t="s">
        <v>19</v>
      </c>
      <c r="C6428" s="5" t="s">
        <v>6910</v>
      </c>
      <c r="D6428" s="3">
        <f>VLOOKUP(A6428,airports!A:H,7,FALSE)</f>
        <v>43.079099999999997</v>
      </c>
      <c r="E6428" s="3">
        <f>VLOOKUP(A6428,airports!A:H,8,FALSE)</f>
        <v>-70.823300000000003</v>
      </c>
      <c r="F6428" s="3">
        <f>VLOOKUP(B6428,airports!A:H,7,FALSE)</f>
        <v>36.12447667</v>
      </c>
      <c r="G6428" s="3">
        <f>VLOOKUP(B6428,airports!A:H,8,FALSE)</f>
        <v>-86.678182219999997</v>
      </c>
      <c r="H6428">
        <f t="shared" si="200"/>
        <v>1559.3</v>
      </c>
      <c r="I6428">
        <f t="shared" si="201"/>
        <v>969</v>
      </c>
    </row>
    <row r="6429" spans="1:9" ht="30" x14ac:dyDescent="0.25">
      <c r="A6429" s="5" t="s">
        <v>1164</v>
      </c>
      <c r="B6429" s="5" t="s">
        <v>82</v>
      </c>
      <c r="C6429" s="5" t="s">
        <v>6911</v>
      </c>
      <c r="D6429" s="3">
        <f>VLOOKUP(A6429,airports!A:H,7,FALSE)</f>
        <v>43.079099999999997</v>
      </c>
      <c r="E6429" s="3">
        <f>VLOOKUP(A6429,airports!A:H,8,FALSE)</f>
        <v>-70.823300000000003</v>
      </c>
      <c r="F6429" s="3">
        <f>VLOOKUP(B6429,airports!A:H,7,FALSE)</f>
        <v>28.42888889</v>
      </c>
      <c r="G6429" s="3">
        <f>VLOOKUP(B6429,airports!A:H,8,FALSE)</f>
        <v>-81.316027779999999</v>
      </c>
      <c r="H6429">
        <f t="shared" si="200"/>
        <v>1880.7</v>
      </c>
      <c r="I6429">
        <f t="shared" si="201"/>
        <v>1168.7</v>
      </c>
    </row>
    <row r="6430" spans="1:9" ht="30" x14ac:dyDescent="0.25">
      <c r="A6430" s="5" t="s">
        <v>1164</v>
      </c>
      <c r="B6430" s="5" t="s">
        <v>182</v>
      </c>
      <c r="C6430" s="5" t="s">
        <v>6912</v>
      </c>
      <c r="D6430" s="3">
        <f>VLOOKUP(A6430,airports!A:H,7,FALSE)</f>
        <v>43.079099999999997</v>
      </c>
      <c r="E6430" s="3">
        <f>VLOOKUP(A6430,airports!A:H,8,FALSE)</f>
        <v>-70.823300000000003</v>
      </c>
      <c r="F6430" s="3">
        <f>VLOOKUP(B6430,airports!A:H,7,FALSE)</f>
        <v>33.679749999999999</v>
      </c>
      <c r="G6430" s="3">
        <f>VLOOKUP(B6430,airports!A:H,8,FALSE)</f>
        <v>-78.928333330000001</v>
      </c>
      <c r="H6430">
        <f t="shared" si="200"/>
        <v>1260.0999999999999</v>
      </c>
      <c r="I6430">
        <f t="shared" si="201"/>
        <v>783.1</v>
      </c>
    </row>
    <row r="6431" spans="1:9" ht="30" x14ac:dyDescent="0.25">
      <c r="A6431" s="5" t="s">
        <v>1164</v>
      </c>
      <c r="B6431" s="5" t="s">
        <v>185</v>
      </c>
      <c r="C6431" s="5" t="s">
        <v>6913</v>
      </c>
      <c r="D6431" s="3">
        <f>VLOOKUP(A6431,airports!A:H,7,FALSE)</f>
        <v>43.079099999999997</v>
      </c>
      <c r="E6431" s="3">
        <f>VLOOKUP(A6431,airports!A:H,8,FALSE)</f>
        <v>-70.823300000000003</v>
      </c>
      <c r="F6431" s="3">
        <f>VLOOKUP(B6431,airports!A:H,7,FALSE)</f>
        <v>26.919699999999999</v>
      </c>
      <c r="G6431" s="3">
        <f>VLOOKUP(B6431,airports!A:H,8,FALSE)</f>
        <v>-81.995999999999995</v>
      </c>
      <c r="H6431">
        <f t="shared" si="200"/>
        <v>2060.6</v>
      </c>
      <c r="I6431">
        <f t="shared" si="201"/>
        <v>1280.5</v>
      </c>
    </row>
    <row r="6432" spans="1:9" x14ac:dyDescent="0.25">
      <c r="A6432" s="5" t="s">
        <v>1164</v>
      </c>
      <c r="B6432" s="5" t="s">
        <v>188</v>
      </c>
      <c r="C6432" s="5" t="s">
        <v>6914</v>
      </c>
      <c r="D6432" s="3">
        <f>VLOOKUP(A6432,airports!A:H,7,FALSE)</f>
        <v>43.079099999999997</v>
      </c>
      <c r="E6432" s="3">
        <f>VLOOKUP(A6432,airports!A:H,8,FALSE)</f>
        <v>-70.823300000000003</v>
      </c>
      <c r="F6432" s="3">
        <f>VLOOKUP(B6432,airports!A:H,7,FALSE)</f>
        <v>27.910763330000002</v>
      </c>
      <c r="G6432" s="3">
        <f>VLOOKUP(B6432,airports!A:H,8,FALSE)</f>
        <v>-82.687439440000006</v>
      </c>
      <c r="H6432">
        <f t="shared" si="200"/>
        <v>1995</v>
      </c>
      <c r="I6432">
        <f t="shared" si="201"/>
        <v>1239.7</v>
      </c>
    </row>
    <row r="6433" spans="1:9" ht="30" x14ac:dyDescent="0.25">
      <c r="A6433" s="5" t="s">
        <v>1164</v>
      </c>
      <c r="B6433" s="5" t="s">
        <v>126</v>
      </c>
      <c r="C6433" s="5" t="s">
        <v>6915</v>
      </c>
      <c r="D6433" s="3">
        <f>VLOOKUP(A6433,airports!A:H,7,FALSE)</f>
        <v>43.079099999999997</v>
      </c>
      <c r="E6433" s="3">
        <f>VLOOKUP(A6433,airports!A:H,8,FALSE)</f>
        <v>-70.823300000000003</v>
      </c>
      <c r="F6433" s="3">
        <f>VLOOKUP(B6433,airports!A:H,7,FALSE)</f>
        <v>32.12758333</v>
      </c>
      <c r="G6433" s="3">
        <f>VLOOKUP(B6433,airports!A:H,8,FALSE)</f>
        <v>-81.202138890000001</v>
      </c>
      <c r="H6433">
        <f t="shared" si="200"/>
        <v>1520.2</v>
      </c>
      <c r="I6433">
        <f t="shared" si="201"/>
        <v>944.7</v>
      </c>
    </row>
    <row r="6434" spans="1:9" ht="30" x14ac:dyDescent="0.25">
      <c r="A6434" s="5" t="s">
        <v>1164</v>
      </c>
      <c r="B6434" s="5" t="s">
        <v>191</v>
      </c>
      <c r="C6434" s="5" t="s">
        <v>6916</v>
      </c>
      <c r="D6434" s="3">
        <f>VLOOKUP(A6434,airports!A:H,7,FALSE)</f>
        <v>43.079099999999997</v>
      </c>
      <c r="E6434" s="3">
        <f>VLOOKUP(A6434,airports!A:H,8,FALSE)</f>
        <v>-70.823300000000003</v>
      </c>
      <c r="F6434" s="3">
        <f>VLOOKUP(B6434,airports!A:H,7,FALSE)</f>
        <v>28.7776</v>
      </c>
      <c r="G6434" s="3">
        <f>VLOOKUP(B6434,airports!A:H,8,FALSE)</f>
        <v>-81.237499999999997</v>
      </c>
      <c r="H6434">
        <f t="shared" si="200"/>
        <v>1842.7</v>
      </c>
      <c r="I6434">
        <f t="shared" si="201"/>
        <v>1145.0999999999999</v>
      </c>
    </row>
    <row r="6435" spans="1:9" x14ac:dyDescent="0.25">
      <c r="A6435" s="5" t="s">
        <v>111</v>
      </c>
      <c r="B6435" s="5" t="s">
        <v>10</v>
      </c>
      <c r="C6435" s="5" t="s">
        <v>6917</v>
      </c>
      <c r="D6435" s="3">
        <f>VLOOKUP(A6435,airports!A:H,7,FALSE)</f>
        <v>33.829215560000002</v>
      </c>
      <c r="E6435" s="3">
        <f>VLOOKUP(A6435,airports!A:H,8,FALSE)</f>
        <v>-116.5062531</v>
      </c>
      <c r="F6435" s="3">
        <f>VLOOKUP(B6435,airports!A:H,7,FALSE)</f>
        <v>33.640444440000003</v>
      </c>
      <c r="G6435" s="3">
        <f>VLOOKUP(B6435,airports!A:H,8,FALSE)</f>
        <v>-84.42694444</v>
      </c>
      <c r="H6435">
        <f t="shared" si="200"/>
        <v>2954.3</v>
      </c>
      <c r="I6435">
        <f t="shared" si="201"/>
        <v>1835.8</v>
      </c>
    </row>
    <row r="6436" spans="1:9" ht="30" x14ac:dyDescent="0.25">
      <c r="A6436" s="5" t="s">
        <v>111</v>
      </c>
      <c r="B6436" s="5" t="s">
        <v>13</v>
      </c>
      <c r="C6436" s="5" t="s">
        <v>6918</v>
      </c>
      <c r="D6436" s="3">
        <f>VLOOKUP(A6436,airports!A:H,7,FALSE)</f>
        <v>33.829215560000002</v>
      </c>
      <c r="E6436" s="3">
        <f>VLOOKUP(A6436,airports!A:H,8,FALSE)</f>
        <v>-116.5062531</v>
      </c>
      <c r="F6436" s="3">
        <f>VLOOKUP(B6436,airports!A:H,7,FALSE)</f>
        <v>30.194532779999999</v>
      </c>
      <c r="G6436" s="3">
        <f>VLOOKUP(B6436,airports!A:H,8,FALSE)</f>
        <v>-97.669871939999993</v>
      </c>
      <c r="H6436">
        <f t="shared" si="200"/>
        <v>1818.6</v>
      </c>
      <c r="I6436">
        <f t="shared" si="201"/>
        <v>1130.0999999999999</v>
      </c>
    </row>
    <row r="6437" spans="1:9" x14ac:dyDescent="0.25">
      <c r="A6437" s="5" t="s">
        <v>111</v>
      </c>
      <c r="B6437" s="5" t="s">
        <v>344</v>
      </c>
      <c r="C6437" s="5" t="s">
        <v>6919</v>
      </c>
      <c r="D6437" s="3">
        <f>VLOOKUP(A6437,airports!A:H,7,FALSE)</f>
        <v>33.829215560000002</v>
      </c>
      <c r="E6437" s="3">
        <f>VLOOKUP(A6437,airports!A:H,8,FALSE)</f>
        <v>-116.5062531</v>
      </c>
      <c r="F6437" s="3">
        <f>VLOOKUP(B6437,airports!A:H,7,FALSE)</f>
        <v>48.792749999999998</v>
      </c>
      <c r="G6437" s="3">
        <f>VLOOKUP(B6437,airports!A:H,8,FALSE)</f>
        <v>-122.53752780000001</v>
      </c>
      <c r="H6437">
        <f t="shared" si="200"/>
        <v>1737</v>
      </c>
      <c r="I6437">
        <f t="shared" si="201"/>
        <v>1079.4000000000001</v>
      </c>
    </row>
    <row r="6438" spans="1:9" ht="30" x14ac:dyDescent="0.25">
      <c r="A6438" s="5" t="s">
        <v>111</v>
      </c>
      <c r="B6438" s="5" t="s">
        <v>19</v>
      </c>
      <c r="C6438" s="5" t="s">
        <v>6920</v>
      </c>
      <c r="D6438" s="3">
        <f>VLOOKUP(A6438,airports!A:H,7,FALSE)</f>
        <v>33.829215560000002</v>
      </c>
      <c r="E6438" s="3">
        <f>VLOOKUP(A6438,airports!A:H,8,FALSE)</f>
        <v>-116.5062531</v>
      </c>
      <c r="F6438" s="3">
        <f>VLOOKUP(B6438,airports!A:H,7,FALSE)</f>
        <v>36.12447667</v>
      </c>
      <c r="G6438" s="3">
        <f>VLOOKUP(B6438,airports!A:H,8,FALSE)</f>
        <v>-86.678182219999997</v>
      </c>
      <c r="H6438">
        <f t="shared" si="200"/>
        <v>2719</v>
      </c>
      <c r="I6438">
        <f t="shared" si="201"/>
        <v>1689.6</v>
      </c>
    </row>
    <row r="6439" spans="1:9" x14ac:dyDescent="0.25">
      <c r="A6439" s="5" t="s">
        <v>111</v>
      </c>
      <c r="B6439" s="5" t="s">
        <v>22</v>
      </c>
      <c r="C6439" s="5" t="s">
        <v>6921</v>
      </c>
      <c r="D6439" s="3">
        <f>VLOOKUP(A6439,airports!A:H,7,FALSE)</f>
        <v>33.829215560000002</v>
      </c>
      <c r="E6439" s="3">
        <f>VLOOKUP(A6439,airports!A:H,8,FALSE)</f>
        <v>-116.5062531</v>
      </c>
      <c r="F6439" s="3">
        <f>VLOOKUP(B6439,airports!A:H,7,FALSE)</f>
        <v>43.564444440000003</v>
      </c>
      <c r="G6439" s="3">
        <f>VLOOKUP(B6439,airports!A:H,8,FALSE)</f>
        <v>-116.2227778</v>
      </c>
      <c r="H6439">
        <f t="shared" si="200"/>
        <v>1082.8</v>
      </c>
      <c r="I6439">
        <f t="shared" si="201"/>
        <v>672.9</v>
      </c>
    </row>
    <row r="6440" spans="1:9" ht="30" x14ac:dyDescent="0.25">
      <c r="A6440" s="5" t="s">
        <v>111</v>
      </c>
      <c r="B6440" s="5" t="s">
        <v>24</v>
      </c>
      <c r="C6440" s="5" t="s">
        <v>6922</v>
      </c>
      <c r="D6440" s="3">
        <f>VLOOKUP(A6440,airports!A:H,7,FALSE)</f>
        <v>33.829215560000002</v>
      </c>
      <c r="E6440" s="3">
        <f>VLOOKUP(A6440,airports!A:H,8,FALSE)</f>
        <v>-116.5062531</v>
      </c>
      <c r="F6440" s="3">
        <f>VLOOKUP(B6440,airports!A:H,7,FALSE)</f>
        <v>42.364347500000001</v>
      </c>
      <c r="G6440" s="3">
        <f>VLOOKUP(B6440,airports!A:H,8,FALSE)</f>
        <v>-71.005179170000005</v>
      </c>
      <c r="H6440">
        <f t="shared" si="200"/>
        <v>4042.7</v>
      </c>
      <c r="I6440">
        <f t="shared" si="201"/>
        <v>2512.1999999999998</v>
      </c>
    </row>
    <row r="6441" spans="1:9" ht="30" x14ac:dyDescent="0.25">
      <c r="A6441" s="5" t="s">
        <v>111</v>
      </c>
      <c r="B6441" s="5" t="s">
        <v>201</v>
      </c>
      <c r="C6441" s="5" t="s">
        <v>6923</v>
      </c>
      <c r="D6441" s="3">
        <f>VLOOKUP(A6441,airports!A:H,7,FALSE)</f>
        <v>33.829215560000002</v>
      </c>
      <c r="E6441" s="3">
        <f>VLOOKUP(A6441,airports!A:H,8,FALSE)</f>
        <v>-116.5062531</v>
      </c>
      <c r="F6441" s="3">
        <f>VLOOKUP(B6441,airports!A:H,7,FALSE)</f>
        <v>32.847113890000003</v>
      </c>
      <c r="G6441" s="3">
        <f>VLOOKUP(B6441,airports!A:H,8,FALSE)</f>
        <v>-96.851772220000001</v>
      </c>
      <c r="H6441">
        <f t="shared" si="200"/>
        <v>1826.3</v>
      </c>
      <c r="I6441">
        <f t="shared" si="201"/>
        <v>1134.9000000000001</v>
      </c>
    </row>
    <row r="6442" spans="1:9" ht="30" x14ac:dyDescent="0.25">
      <c r="A6442" s="5" t="s">
        <v>111</v>
      </c>
      <c r="B6442" s="5" t="s">
        <v>47</v>
      </c>
      <c r="C6442" s="5" t="s">
        <v>6924</v>
      </c>
      <c r="D6442" s="3">
        <f>VLOOKUP(A6442,airports!A:H,7,FALSE)</f>
        <v>33.829215560000002</v>
      </c>
      <c r="E6442" s="3">
        <f>VLOOKUP(A6442,airports!A:H,8,FALSE)</f>
        <v>-116.5062531</v>
      </c>
      <c r="F6442" s="3">
        <f>VLOOKUP(B6442,airports!A:H,7,FALSE)</f>
        <v>39.858408060000002</v>
      </c>
      <c r="G6442" s="3">
        <f>VLOOKUP(B6442,airports!A:H,8,FALSE)</f>
        <v>-104.6670019</v>
      </c>
      <c r="H6442">
        <f t="shared" si="200"/>
        <v>1247.0999999999999</v>
      </c>
      <c r="I6442">
        <f t="shared" si="201"/>
        <v>774.9</v>
      </c>
    </row>
    <row r="6443" spans="1:9" ht="30" x14ac:dyDescent="0.25">
      <c r="A6443" s="5" t="s">
        <v>111</v>
      </c>
      <c r="B6443" s="5" t="s">
        <v>49</v>
      </c>
      <c r="C6443" s="5" t="s">
        <v>6925</v>
      </c>
      <c r="D6443" s="3">
        <f>VLOOKUP(A6443,airports!A:H,7,FALSE)</f>
        <v>33.829215560000002</v>
      </c>
      <c r="E6443" s="3">
        <f>VLOOKUP(A6443,airports!A:H,8,FALSE)</f>
        <v>-116.5062531</v>
      </c>
      <c r="F6443" s="3">
        <f>VLOOKUP(B6443,airports!A:H,7,FALSE)</f>
        <v>32.895950560000003</v>
      </c>
      <c r="G6443" s="3">
        <f>VLOOKUP(B6443,airports!A:H,8,FALSE)</f>
        <v>-97.037199999999999</v>
      </c>
      <c r="H6443">
        <f t="shared" si="200"/>
        <v>1808.4</v>
      </c>
      <c r="I6443">
        <f t="shared" si="201"/>
        <v>1123.8</v>
      </c>
    </row>
    <row r="6444" spans="1:9" ht="30" x14ac:dyDescent="0.25">
      <c r="A6444" s="5" t="s">
        <v>111</v>
      </c>
      <c r="B6444" s="5" t="s">
        <v>474</v>
      </c>
      <c r="C6444" s="5" t="s">
        <v>6926</v>
      </c>
      <c r="D6444" s="3">
        <f>VLOOKUP(A6444,airports!A:H,7,FALSE)</f>
        <v>33.829215560000002</v>
      </c>
      <c r="E6444" s="3">
        <f>VLOOKUP(A6444,airports!A:H,8,FALSE)</f>
        <v>-116.5062531</v>
      </c>
      <c r="F6444" s="3">
        <f>VLOOKUP(B6444,airports!A:H,7,FALSE)</f>
        <v>41.53493306</v>
      </c>
      <c r="G6444" s="3">
        <f>VLOOKUP(B6444,airports!A:H,8,FALSE)</f>
        <v>-93.660682219999998</v>
      </c>
      <c r="H6444">
        <f t="shared" si="200"/>
        <v>2176.9</v>
      </c>
      <c r="I6444">
        <f t="shared" si="201"/>
        <v>1352.7</v>
      </c>
    </row>
    <row r="6445" spans="1:9" ht="30" x14ac:dyDescent="0.25">
      <c r="A6445" s="5" t="s">
        <v>111</v>
      </c>
      <c r="B6445" s="5" t="s">
        <v>848</v>
      </c>
      <c r="C6445" s="5" t="s">
        <v>6927</v>
      </c>
      <c r="D6445" s="3">
        <f>VLOOKUP(A6445,airports!A:H,7,FALSE)</f>
        <v>33.829215560000002</v>
      </c>
      <c r="E6445" s="3">
        <f>VLOOKUP(A6445,airports!A:H,8,FALSE)</f>
        <v>-116.5062531</v>
      </c>
      <c r="F6445" s="3">
        <f>VLOOKUP(B6445,airports!A:H,7,FALSE)</f>
        <v>44.123260000000002</v>
      </c>
      <c r="G6445" s="3">
        <f>VLOOKUP(B6445,airports!A:H,8,FALSE)</f>
        <v>-123.2186856</v>
      </c>
      <c r="H6445">
        <f t="shared" si="200"/>
        <v>1282.2</v>
      </c>
      <c r="I6445">
        <f t="shared" si="201"/>
        <v>796.8</v>
      </c>
    </row>
    <row r="6446" spans="1:9" ht="30" x14ac:dyDescent="0.25">
      <c r="A6446" s="5" t="s">
        <v>111</v>
      </c>
      <c r="B6446" s="5" t="s">
        <v>52</v>
      </c>
      <c r="C6446" s="5" t="s">
        <v>6928</v>
      </c>
      <c r="D6446" s="3">
        <f>VLOOKUP(A6446,airports!A:H,7,FALSE)</f>
        <v>33.829215560000002</v>
      </c>
      <c r="E6446" s="3">
        <f>VLOOKUP(A6446,airports!A:H,8,FALSE)</f>
        <v>-116.5062531</v>
      </c>
      <c r="F6446" s="3">
        <f>VLOOKUP(B6446,airports!A:H,7,FALSE)</f>
        <v>40.69249722</v>
      </c>
      <c r="G6446" s="3">
        <f>VLOOKUP(B6446,airports!A:H,8,FALSE)</f>
        <v>-74.168660560000006</v>
      </c>
      <c r="H6446">
        <f t="shared" si="200"/>
        <v>3786</v>
      </c>
      <c r="I6446">
        <f t="shared" si="201"/>
        <v>2352.6999999999998</v>
      </c>
    </row>
    <row r="6447" spans="1:9" x14ac:dyDescent="0.25">
      <c r="A6447" s="5" t="s">
        <v>111</v>
      </c>
      <c r="B6447" s="5" t="s">
        <v>57</v>
      </c>
      <c r="C6447" s="5" t="s">
        <v>6929</v>
      </c>
      <c r="D6447" s="3">
        <f>VLOOKUP(A6447,airports!A:H,7,FALSE)</f>
        <v>33.829215560000002</v>
      </c>
      <c r="E6447" s="3">
        <f>VLOOKUP(A6447,airports!A:H,8,FALSE)</f>
        <v>-116.5062531</v>
      </c>
      <c r="F6447" s="3">
        <f>VLOOKUP(B6447,airports!A:H,7,FALSE)</f>
        <v>26.072583330000001</v>
      </c>
      <c r="G6447" s="3">
        <f>VLOOKUP(B6447,airports!A:H,8,FALSE)</f>
        <v>-80.152749999999997</v>
      </c>
      <c r="H6447">
        <f t="shared" si="200"/>
        <v>3587.2</v>
      </c>
      <c r="I6447">
        <f t="shared" si="201"/>
        <v>2229.1</v>
      </c>
    </row>
    <row r="6448" spans="1:9" x14ac:dyDescent="0.25">
      <c r="A6448" s="5" t="s">
        <v>111</v>
      </c>
      <c r="B6448" s="5" t="s">
        <v>67</v>
      </c>
      <c r="C6448" s="5" t="s">
        <v>6930</v>
      </c>
      <c r="D6448" s="3">
        <f>VLOOKUP(A6448,airports!A:H,7,FALSE)</f>
        <v>33.829215560000002</v>
      </c>
      <c r="E6448" s="3">
        <f>VLOOKUP(A6448,airports!A:H,8,FALSE)</f>
        <v>-116.5062531</v>
      </c>
      <c r="F6448" s="3">
        <f>VLOOKUP(B6448,airports!A:H,7,FALSE)</f>
        <v>29.980472219999999</v>
      </c>
      <c r="G6448" s="3">
        <f>VLOOKUP(B6448,airports!A:H,8,FALSE)</f>
        <v>-95.339722219999999</v>
      </c>
      <c r="H6448">
        <f t="shared" si="200"/>
        <v>2039.4</v>
      </c>
      <c r="I6448">
        <f t="shared" si="201"/>
        <v>1267.3</v>
      </c>
    </row>
    <row r="6449" spans="1:9" x14ac:dyDescent="0.25">
      <c r="A6449" s="5" t="s">
        <v>111</v>
      </c>
      <c r="B6449" s="5" t="s">
        <v>537</v>
      </c>
      <c r="C6449" s="5" t="s">
        <v>6931</v>
      </c>
      <c r="D6449" s="3">
        <f>VLOOKUP(A6449,airports!A:H,7,FALSE)</f>
        <v>33.829215560000002</v>
      </c>
      <c r="E6449" s="3">
        <f>VLOOKUP(A6449,airports!A:H,8,FALSE)</f>
        <v>-116.5062531</v>
      </c>
      <c r="F6449" s="3">
        <f>VLOOKUP(B6449,airports!A:H,7,FALSE)</f>
        <v>39.717329169999999</v>
      </c>
      <c r="G6449" s="3">
        <f>VLOOKUP(B6449,airports!A:H,8,FALSE)</f>
        <v>-86.294384170000001</v>
      </c>
      <c r="H6449">
        <f t="shared" si="200"/>
        <v>2755.3</v>
      </c>
      <c r="I6449">
        <f t="shared" si="201"/>
        <v>1712.2</v>
      </c>
    </row>
    <row r="6450" spans="1:9" x14ac:dyDescent="0.25">
      <c r="A6450" s="5" t="s">
        <v>111</v>
      </c>
      <c r="B6450" s="5" t="s">
        <v>69</v>
      </c>
      <c r="C6450" s="5" t="s">
        <v>6932</v>
      </c>
      <c r="D6450" s="3">
        <f>VLOOKUP(A6450,airports!A:H,7,FALSE)</f>
        <v>33.829215560000002</v>
      </c>
      <c r="E6450" s="3">
        <f>VLOOKUP(A6450,airports!A:H,8,FALSE)</f>
        <v>-116.5062531</v>
      </c>
      <c r="F6450" s="3">
        <f>VLOOKUP(B6450,airports!A:H,7,FALSE)</f>
        <v>40.639751109999999</v>
      </c>
      <c r="G6450" s="3">
        <f>VLOOKUP(B6450,airports!A:H,8,FALSE)</f>
        <v>-73.778925560000005</v>
      </c>
      <c r="H6450">
        <f t="shared" si="200"/>
        <v>3819.1</v>
      </c>
      <c r="I6450">
        <f t="shared" si="201"/>
        <v>2373.1999999999998</v>
      </c>
    </row>
    <row r="6451" spans="1:9" x14ac:dyDescent="0.25">
      <c r="A6451" s="5" t="s">
        <v>111</v>
      </c>
      <c r="B6451" s="5" t="s">
        <v>71</v>
      </c>
      <c r="C6451" s="5" t="s">
        <v>6933</v>
      </c>
      <c r="D6451" s="3">
        <f>VLOOKUP(A6451,airports!A:H,7,FALSE)</f>
        <v>33.829215560000002</v>
      </c>
      <c r="E6451" s="3">
        <f>VLOOKUP(A6451,airports!A:H,8,FALSE)</f>
        <v>-116.5062531</v>
      </c>
      <c r="F6451" s="3">
        <f>VLOOKUP(B6451,airports!A:H,7,FALSE)</f>
        <v>36.080361109999998</v>
      </c>
      <c r="G6451" s="3">
        <f>VLOOKUP(B6451,airports!A:H,8,FALSE)</f>
        <v>-115.1523333</v>
      </c>
      <c r="H6451">
        <f t="shared" si="200"/>
        <v>279.10000000000002</v>
      </c>
      <c r="I6451">
        <f t="shared" si="201"/>
        <v>173.4</v>
      </c>
    </row>
    <row r="6452" spans="1:9" x14ac:dyDescent="0.25">
      <c r="A6452" s="5" t="s">
        <v>111</v>
      </c>
      <c r="B6452" s="5" t="s">
        <v>73</v>
      </c>
      <c r="C6452" s="5" t="s">
        <v>6934</v>
      </c>
      <c r="D6452" s="3">
        <f>VLOOKUP(A6452,airports!A:H,7,FALSE)</f>
        <v>33.829215560000002</v>
      </c>
      <c r="E6452" s="3">
        <f>VLOOKUP(A6452,airports!A:H,8,FALSE)</f>
        <v>-116.5062531</v>
      </c>
      <c r="F6452" s="3">
        <f>VLOOKUP(B6452,airports!A:H,7,FALSE)</f>
        <v>33.942536109999999</v>
      </c>
      <c r="G6452" s="3">
        <f>VLOOKUP(B6452,airports!A:H,8,FALSE)</f>
        <v>-118.4080744</v>
      </c>
      <c r="H6452">
        <f t="shared" si="200"/>
        <v>176</v>
      </c>
      <c r="I6452">
        <f t="shared" si="201"/>
        <v>109.4</v>
      </c>
    </row>
    <row r="6453" spans="1:9" x14ac:dyDescent="0.25">
      <c r="A6453" s="5" t="s">
        <v>111</v>
      </c>
      <c r="B6453" s="5" t="s">
        <v>742</v>
      </c>
      <c r="C6453" s="5" t="s">
        <v>6935</v>
      </c>
      <c r="D6453" s="3">
        <f>VLOOKUP(A6453,airports!A:H,7,FALSE)</f>
        <v>33.829215560000002</v>
      </c>
      <c r="E6453" s="3">
        <f>VLOOKUP(A6453,airports!A:H,8,FALSE)</f>
        <v>-116.5062531</v>
      </c>
      <c r="F6453" s="3">
        <f>VLOOKUP(B6453,airports!A:H,7,FALSE)</f>
        <v>33.81772222</v>
      </c>
      <c r="G6453" s="3">
        <f>VLOOKUP(B6453,airports!A:H,8,FALSE)</f>
        <v>-118.1516111</v>
      </c>
      <c r="H6453">
        <f t="shared" si="200"/>
        <v>152</v>
      </c>
      <c r="I6453">
        <f t="shared" si="201"/>
        <v>94.5</v>
      </c>
    </row>
    <row r="6454" spans="1:9" ht="30" x14ac:dyDescent="0.25">
      <c r="A6454" s="5" t="s">
        <v>111</v>
      </c>
      <c r="B6454" s="5" t="s">
        <v>180</v>
      </c>
      <c r="C6454" s="5" t="s">
        <v>6936</v>
      </c>
      <c r="D6454" s="3">
        <f>VLOOKUP(A6454,airports!A:H,7,FALSE)</f>
        <v>33.829215560000002</v>
      </c>
      <c r="E6454" s="3">
        <f>VLOOKUP(A6454,airports!A:H,8,FALSE)</f>
        <v>-116.5062531</v>
      </c>
      <c r="F6454" s="3">
        <f>VLOOKUP(B6454,airports!A:H,7,FALSE)</f>
        <v>41.785982500000003</v>
      </c>
      <c r="G6454" s="3">
        <f>VLOOKUP(B6454,airports!A:H,8,FALSE)</f>
        <v>-87.752424439999999</v>
      </c>
      <c r="H6454">
        <f t="shared" si="200"/>
        <v>2661.6</v>
      </c>
      <c r="I6454">
        <f t="shared" si="201"/>
        <v>1653.9</v>
      </c>
    </row>
    <row r="6455" spans="1:9" ht="30" x14ac:dyDescent="0.25">
      <c r="A6455" s="5" t="s">
        <v>111</v>
      </c>
      <c r="B6455" s="5" t="s">
        <v>87</v>
      </c>
      <c r="C6455" s="5" t="s">
        <v>6937</v>
      </c>
      <c r="D6455" s="3">
        <f>VLOOKUP(A6455,airports!A:H,7,FALSE)</f>
        <v>33.829215560000002</v>
      </c>
      <c r="E6455" s="3">
        <f>VLOOKUP(A6455,airports!A:H,8,FALSE)</f>
        <v>-116.5062531</v>
      </c>
      <c r="F6455" s="3">
        <f>VLOOKUP(B6455,airports!A:H,7,FALSE)</f>
        <v>44.880546940000002</v>
      </c>
      <c r="G6455" s="3">
        <f>VLOOKUP(B6455,airports!A:H,8,FALSE)</f>
        <v>-93.216922499999995</v>
      </c>
      <c r="H6455">
        <f t="shared" si="200"/>
        <v>2336.6</v>
      </c>
      <c r="I6455">
        <f t="shared" si="201"/>
        <v>1452</v>
      </c>
    </row>
    <row r="6456" spans="1:9" ht="30" x14ac:dyDescent="0.25">
      <c r="A6456" s="5" t="s">
        <v>111</v>
      </c>
      <c r="B6456" s="5" t="s">
        <v>215</v>
      </c>
      <c r="C6456" s="5" t="s">
        <v>6938</v>
      </c>
      <c r="D6456" s="3">
        <f>VLOOKUP(A6456,airports!A:H,7,FALSE)</f>
        <v>33.829215560000002</v>
      </c>
      <c r="E6456" s="3">
        <f>VLOOKUP(A6456,airports!A:H,8,FALSE)</f>
        <v>-116.5062531</v>
      </c>
      <c r="F6456" s="3">
        <f>VLOOKUP(B6456,airports!A:H,7,FALSE)</f>
        <v>37.721290830000001</v>
      </c>
      <c r="G6456" s="3">
        <f>VLOOKUP(B6456,airports!A:H,8,FALSE)</f>
        <v>-122.2207167</v>
      </c>
      <c r="H6456">
        <f t="shared" si="200"/>
        <v>672.9</v>
      </c>
      <c r="I6456">
        <f t="shared" si="201"/>
        <v>418.1</v>
      </c>
    </row>
    <row r="6457" spans="1:9" ht="30" x14ac:dyDescent="0.25">
      <c r="A6457" s="5" t="s">
        <v>111</v>
      </c>
      <c r="B6457" s="5" t="s">
        <v>95</v>
      </c>
      <c r="C6457" s="5" t="s">
        <v>6939</v>
      </c>
      <c r="D6457" s="3">
        <f>VLOOKUP(A6457,airports!A:H,7,FALSE)</f>
        <v>33.829215560000002</v>
      </c>
      <c r="E6457" s="3">
        <f>VLOOKUP(A6457,airports!A:H,8,FALSE)</f>
        <v>-116.5062531</v>
      </c>
      <c r="F6457" s="3">
        <f>VLOOKUP(B6457,airports!A:H,7,FALSE)</f>
        <v>41.979595000000003</v>
      </c>
      <c r="G6457" s="3">
        <f>VLOOKUP(B6457,airports!A:H,8,FALSE)</f>
        <v>-87.904464169999997</v>
      </c>
      <c r="H6457">
        <f t="shared" si="200"/>
        <v>2653</v>
      </c>
      <c r="I6457">
        <f t="shared" si="201"/>
        <v>1648.6</v>
      </c>
    </row>
    <row r="6458" spans="1:9" ht="30" x14ac:dyDescent="0.25">
      <c r="A6458" s="5" t="s">
        <v>111</v>
      </c>
      <c r="B6458" s="5" t="s">
        <v>1214</v>
      </c>
      <c r="C6458" s="5" t="s">
        <v>6940</v>
      </c>
      <c r="D6458" s="3">
        <f>VLOOKUP(A6458,airports!A:H,7,FALSE)</f>
        <v>33.829215560000002</v>
      </c>
      <c r="E6458" s="3">
        <f>VLOOKUP(A6458,airports!A:H,8,FALSE)</f>
        <v>-116.5062531</v>
      </c>
      <c r="F6458" s="3">
        <f>VLOOKUP(B6458,airports!A:H,7,FALSE)</f>
        <v>47.906300000000002</v>
      </c>
      <c r="G6458" s="3">
        <f>VLOOKUP(B6458,airports!A:H,8,FALSE)</f>
        <v>-122.281998</v>
      </c>
      <c r="H6458">
        <f t="shared" si="200"/>
        <v>1637.7</v>
      </c>
      <c r="I6458">
        <f t="shared" si="201"/>
        <v>1017.7</v>
      </c>
    </row>
    <row r="6459" spans="1:9" ht="30" x14ac:dyDescent="0.25">
      <c r="A6459" s="5" t="s">
        <v>111</v>
      </c>
      <c r="B6459" s="5" t="s">
        <v>100</v>
      </c>
      <c r="C6459" s="5" t="s">
        <v>6941</v>
      </c>
      <c r="D6459" s="3">
        <f>VLOOKUP(A6459,airports!A:H,7,FALSE)</f>
        <v>33.829215560000002</v>
      </c>
      <c r="E6459" s="3">
        <f>VLOOKUP(A6459,airports!A:H,8,FALSE)</f>
        <v>-116.5062531</v>
      </c>
      <c r="F6459" s="3">
        <f>VLOOKUP(B6459,airports!A:H,7,FALSE)</f>
        <v>45.588722220000001</v>
      </c>
      <c r="G6459" s="3">
        <f>VLOOKUP(B6459,airports!A:H,8,FALSE)</f>
        <v>-122.5975</v>
      </c>
      <c r="H6459">
        <f t="shared" si="200"/>
        <v>1406.5</v>
      </c>
      <c r="I6459">
        <f t="shared" si="201"/>
        <v>874</v>
      </c>
    </row>
    <row r="6460" spans="1:9" x14ac:dyDescent="0.25">
      <c r="A6460" s="5" t="s">
        <v>111</v>
      </c>
      <c r="B6460" s="5" t="s">
        <v>102</v>
      </c>
      <c r="C6460" s="5" t="s">
        <v>6942</v>
      </c>
      <c r="D6460" s="3">
        <f>VLOOKUP(A6460,airports!A:H,7,FALSE)</f>
        <v>33.829215560000002</v>
      </c>
      <c r="E6460" s="3">
        <f>VLOOKUP(A6460,airports!A:H,8,FALSE)</f>
        <v>-116.5062531</v>
      </c>
      <c r="F6460" s="3">
        <f>VLOOKUP(B6460,airports!A:H,7,FALSE)</f>
        <v>39.871952780000001</v>
      </c>
      <c r="G6460" s="3">
        <f>VLOOKUP(B6460,airports!A:H,8,FALSE)</f>
        <v>-75.241140830000006</v>
      </c>
      <c r="H6460">
        <f t="shared" si="200"/>
        <v>3699.2</v>
      </c>
      <c r="I6460">
        <f t="shared" si="201"/>
        <v>2298.6999999999998</v>
      </c>
    </row>
    <row r="6461" spans="1:9" ht="30" x14ac:dyDescent="0.25">
      <c r="A6461" s="5" t="s">
        <v>111</v>
      </c>
      <c r="B6461" s="5" t="s">
        <v>104</v>
      </c>
      <c r="C6461" s="5" t="s">
        <v>6943</v>
      </c>
      <c r="D6461" s="3">
        <f>VLOOKUP(A6461,airports!A:H,7,FALSE)</f>
        <v>33.829215560000002</v>
      </c>
      <c r="E6461" s="3">
        <f>VLOOKUP(A6461,airports!A:H,8,FALSE)</f>
        <v>-116.5062531</v>
      </c>
      <c r="F6461" s="3">
        <f>VLOOKUP(B6461,airports!A:H,7,FALSE)</f>
        <v>33.434166670000003</v>
      </c>
      <c r="G6461" s="3">
        <f>VLOOKUP(B6461,airports!A:H,8,FALSE)</f>
        <v>-112.00805560000001</v>
      </c>
      <c r="H6461">
        <f t="shared" si="200"/>
        <v>418.7</v>
      </c>
      <c r="I6461">
        <f t="shared" si="201"/>
        <v>260.2</v>
      </c>
    </row>
    <row r="6462" spans="1:9" ht="30" x14ac:dyDescent="0.25">
      <c r="A6462" s="5" t="s">
        <v>111</v>
      </c>
      <c r="B6462" s="5" t="s">
        <v>772</v>
      </c>
      <c r="C6462" s="5" t="s">
        <v>6944</v>
      </c>
      <c r="D6462" s="3">
        <f>VLOOKUP(A6462,airports!A:H,7,FALSE)</f>
        <v>33.829215560000002</v>
      </c>
      <c r="E6462" s="3">
        <f>VLOOKUP(A6462,airports!A:H,8,FALSE)</f>
        <v>-116.5062531</v>
      </c>
      <c r="F6462" s="3">
        <f>VLOOKUP(B6462,airports!A:H,7,FALSE)</f>
        <v>40.219200000000001</v>
      </c>
      <c r="G6462" s="3">
        <f>VLOOKUP(B6462,airports!A:H,8,FALSE)</f>
        <v>-111.723</v>
      </c>
      <c r="H6462">
        <f t="shared" si="200"/>
        <v>827.4</v>
      </c>
      <c r="I6462">
        <f t="shared" si="201"/>
        <v>514.20000000000005</v>
      </c>
    </row>
    <row r="6463" spans="1:9" ht="30" x14ac:dyDescent="0.25">
      <c r="A6463" s="5" t="s">
        <v>111</v>
      </c>
      <c r="B6463" s="5" t="s">
        <v>121</v>
      </c>
      <c r="C6463" s="5" t="s">
        <v>6945</v>
      </c>
      <c r="D6463" s="3">
        <f>VLOOKUP(A6463,airports!A:H,7,FALSE)</f>
        <v>33.829215560000002</v>
      </c>
      <c r="E6463" s="3">
        <f>VLOOKUP(A6463,airports!A:H,8,FALSE)</f>
        <v>-116.5062531</v>
      </c>
      <c r="F6463" s="3">
        <f>VLOOKUP(B6463,airports!A:H,7,FALSE)</f>
        <v>39.498576110000002</v>
      </c>
      <c r="G6463" s="3">
        <f>VLOOKUP(B6463,airports!A:H,8,FALSE)</f>
        <v>-119.7680647</v>
      </c>
      <c r="H6463">
        <f t="shared" si="200"/>
        <v>694.2</v>
      </c>
      <c r="I6463">
        <f t="shared" si="201"/>
        <v>431.4</v>
      </c>
    </row>
    <row r="6464" spans="1:9" x14ac:dyDescent="0.25">
      <c r="A6464" s="5" t="s">
        <v>111</v>
      </c>
      <c r="B6464" s="5" t="s">
        <v>128</v>
      </c>
      <c r="C6464" s="5" t="s">
        <v>6946</v>
      </c>
      <c r="D6464" s="3">
        <f>VLOOKUP(A6464,airports!A:H,7,FALSE)</f>
        <v>33.829215560000002</v>
      </c>
      <c r="E6464" s="3">
        <f>VLOOKUP(A6464,airports!A:H,8,FALSE)</f>
        <v>-116.5062531</v>
      </c>
      <c r="F6464" s="3">
        <f>VLOOKUP(B6464,airports!A:H,7,FALSE)</f>
        <v>47.448981940000003</v>
      </c>
      <c r="G6464" s="3">
        <f>VLOOKUP(B6464,airports!A:H,8,FALSE)</f>
        <v>-122.3093131</v>
      </c>
      <c r="H6464">
        <f t="shared" si="200"/>
        <v>1590.5</v>
      </c>
      <c r="I6464">
        <f t="shared" si="201"/>
        <v>988.3</v>
      </c>
    </row>
    <row r="6465" spans="1:9" ht="30" x14ac:dyDescent="0.25">
      <c r="A6465" s="5" t="s">
        <v>111</v>
      </c>
      <c r="B6465" s="5" t="s">
        <v>130</v>
      </c>
      <c r="C6465" s="5" t="s">
        <v>6947</v>
      </c>
      <c r="D6465" s="3">
        <f>VLOOKUP(A6465,airports!A:H,7,FALSE)</f>
        <v>33.829215560000002</v>
      </c>
      <c r="E6465" s="3">
        <f>VLOOKUP(A6465,airports!A:H,8,FALSE)</f>
        <v>-116.5062531</v>
      </c>
      <c r="F6465" s="3">
        <f>VLOOKUP(B6465,airports!A:H,7,FALSE)</f>
        <v>37.619001939999997</v>
      </c>
      <c r="G6465" s="3">
        <f>VLOOKUP(B6465,airports!A:H,8,FALSE)</f>
        <v>-122.37484329999999</v>
      </c>
      <c r="H6465">
        <f t="shared" si="200"/>
        <v>676.7</v>
      </c>
      <c r="I6465">
        <f t="shared" si="201"/>
        <v>420.5</v>
      </c>
    </row>
    <row r="6466" spans="1:9" x14ac:dyDescent="0.25">
      <c r="A6466" s="5" t="s">
        <v>111</v>
      </c>
      <c r="B6466" s="5" t="s">
        <v>131</v>
      </c>
      <c r="C6466" s="5" t="s">
        <v>6948</v>
      </c>
      <c r="D6466" s="3">
        <f>VLOOKUP(A6466,airports!A:H,7,FALSE)</f>
        <v>33.829215560000002</v>
      </c>
      <c r="E6466" s="3">
        <f>VLOOKUP(A6466,airports!A:H,8,FALSE)</f>
        <v>-116.5062531</v>
      </c>
      <c r="F6466" s="3">
        <f>VLOOKUP(B6466,airports!A:H,7,FALSE)</f>
        <v>37.361861939999997</v>
      </c>
      <c r="G6466" s="3">
        <f>VLOOKUP(B6466,airports!A:H,8,FALSE)</f>
        <v>-121.9290089</v>
      </c>
      <c r="H6466">
        <f t="shared" si="200"/>
        <v>628.1</v>
      </c>
      <c r="I6466">
        <f t="shared" si="201"/>
        <v>390.3</v>
      </c>
    </row>
    <row r="6467" spans="1:9" x14ac:dyDescent="0.25">
      <c r="A6467" s="5" t="s">
        <v>111</v>
      </c>
      <c r="B6467" s="5" t="s">
        <v>135</v>
      </c>
      <c r="C6467" s="5" t="s">
        <v>6949</v>
      </c>
      <c r="D6467" s="3">
        <f>VLOOKUP(A6467,airports!A:H,7,FALSE)</f>
        <v>33.829215560000002</v>
      </c>
      <c r="E6467" s="3">
        <f>VLOOKUP(A6467,airports!A:H,8,FALSE)</f>
        <v>-116.5062531</v>
      </c>
      <c r="F6467" s="3">
        <f>VLOOKUP(B6467,airports!A:H,7,FALSE)</f>
        <v>40.788387780000001</v>
      </c>
      <c r="G6467" s="3">
        <f>VLOOKUP(B6467,airports!A:H,8,FALSE)</f>
        <v>-111.97777309999999</v>
      </c>
      <c r="H6467">
        <f t="shared" si="200"/>
        <v>871</v>
      </c>
      <c r="I6467">
        <f t="shared" si="201"/>
        <v>541.20000000000005</v>
      </c>
    </row>
    <row r="6468" spans="1:9" ht="30" x14ac:dyDescent="0.25">
      <c r="A6468" s="5" t="s">
        <v>111</v>
      </c>
      <c r="B6468" s="5" t="s">
        <v>137</v>
      </c>
      <c r="C6468" s="5" t="s">
        <v>6950</v>
      </c>
      <c r="D6468" s="3">
        <f>VLOOKUP(A6468,airports!A:H,7,FALSE)</f>
        <v>33.829215560000002</v>
      </c>
      <c r="E6468" s="3">
        <f>VLOOKUP(A6468,airports!A:H,8,FALSE)</f>
        <v>-116.5062531</v>
      </c>
      <c r="F6468" s="3">
        <f>VLOOKUP(B6468,airports!A:H,7,FALSE)</f>
        <v>38.695421670000002</v>
      </c>
      <c r="G6468" s="3">
        <f>VLOOKUP(B6468,airports!A:H,8,FALSE)</f>
        <v>-121.59076690000001</v>
      </c>
      <c r="H6468">
        <f t="shared" ref="H6468:H6531" si="202">ROUND(ACOS(COS(RADIANS(90-D6468)) * COS(RADIANS(90-F6468)) + SIN(RADIANS(90-D6468)) * SIN(RADIANS(90-F6468)) * COS(RADIANS(E6468-G6468))) * 6371,1)</f>
        <v>707.3</v>
      </c>
      <c r="I6468">
        <f t="shared" ref="I6468:I6531" si="203">ROUND(ACOS(COS(RADIANS(90-D6468)) * COS(RADIANS(90-F6468)) + SIN(RADIANS(90-D6468)) * SIN(RADIANS(90-F6468)) * COS(RADIANS(E6468-G6468))) * 3959,1)</f>
        <v>439.5</v>
      </c>
    </row>
    <row r="6469" spans="1:9" ht="30" x14ac:dyDescent="0.25">
      <c r="A6469" s="5" t="s">
        <v>2469</v>
      </c>
      <c r="B6469" s="5" t="s">
        <v>47</v>
      </c>
      <c r="C6469" s="5" t="s">
        <v>6951</v>
      </c>
      <c r="D6469" s="3">
        <f>VLOOKUP(A6469,airports!A:H,7,FALSE)</f>
        <v>38.289087219999999</v>
      </c>
      <c r="E6469" s="3">
        <f>VLOOKUP(A6469,airports!A:H,8,FALSE)</f>
        <v>-104.4965722</v>
      </c>
      <c r="F6469" s="3">
        <f>VLOOKUP(B6469,airports!A:H,7,FALSE)</f>
        <v>39.858408060000002</v>
      </c>
      <c r="G6469" s="3">
        <f>VLOOKUP(B6469,airports!A:H,8,FALSE)</f>
        <v>-104.6670019</v>
      </c>
      <c r="H6469">
        <f t="shared" si="202"/>
        <v>175.1</v>
      </c>
      <c r="I6469">
        <f t="shared" si="203"/>
        <v>108.8</v>
      </c>
    </row>
    <row r="6470" spans="1:9" x14ac:dyDescent="0.25">
      <c r="A6470" s="5" t="s">
        <v>2469</v>
      </c>
      <c r="B6470" s="5" t="s">
        <v>2291</v>
      </c>
      <c r="C6470" s="5" t="s">
        <v>6952</v>
      </c>
      <c r="D6470" s="3">
        <f>VLOOKUP(A6470,airports!A:H,7,FALSE)</f>
        <v>38.289087219999999</v>
      </c>
      <c r="E6470" s="3">
        <f>VLOOKUP(A6470,airports!A:H,8,FALSE)</f>
        <v>-104.4965722</v>
      </c>
      <c r="F6470" s="3">
        <f>VLOOKUP(B6470,airports!A:H,7,FALSE)</f>
        <v>37.0442009</v>
      </c>
      <c r="G6470" s="3">
        <f>VLOOKUP(B6470,airports!A:H,8,FALSE)</f>
        <v>-100.9599991</v>
      </c>
      <c r="H6470">
        <f t="shared" si="202"/>
        <v>340.6</v>
      </c>
      <c r="I6470">
        <f t="shared" si="203"/>
        <v>211.7</v>
      </c>
    </row>
    <row r="6471" spans="1:9" ht="30" x14ac:dyDescent="0.25">
      <c r="A6471" s="5" t="s">
        <v>324</v>
      </c>
      <c r="B6471" s="5" t="s">
        <v>323</v>
      </c>
      <c r="C6471" s="5" t="s">
        <v>6953</v>
      </c>
      <c r="D6471" s="3">
        <f>VLOOKUP(A6471,airports!A:H,7,FALSE)</f>
        <v>46.744199999999999</v>
      </c>
      <c r="E6471" s="3">
        <f>VLOOKUP(A6471,airports!A:H,8,FALSE)</f>
        <v>-117.11409999999999</v>
      </c>
      <c r="F6471" s="3">
        <f>VLOOKUP(B6471,airports!A:H,7,FALSE)</f>
        <v>46.087299999999999</v>
      </c>
      <c r="G6471" s="3">
        <f>VLOOKUP(B6471,airports!A:H,8,FALSE)</f>
        <v>-118.28449999999999</v>
      </c>
      <c r="H6471">
        <f t="shared" si="202"/>
        <v>115.7</v>
      </c>
      <c r="I6471">
        <f t="shared" si="203"/>
        <v>71.900000000000006</v>
      </c>
    </row>
    <row r="6472" spans="1:9" ht="30" x14ac:dyDescent="0.25">
      <c r="A6472" s="5" t="s">
        <v>324</v>
      </c>
      <c r="B6472" s="5" t="s">
        <v>22</v>
      </c>
      <c r="C6472" s="5" t="s">
        <v>6954</v>
      </c>
      <c r="D6472" s="3">
        <f>VLOOKUP(A6472,airports!A:H,7,FALSE)</f>
        <v>46.744199999999999</v>
      </c>
      <c r="E6472" s="3">
        <f>VLOOKUP(A6472,airports!A:H,8,FALSE)</f>
        <v>-117.11409999999999</v>
      </c>
      <c r="F6472" s="3">
        <f>VLOOKUP(B6472,airports!A:H,7,FALSE)</f>
        <v>43.564444440000003</v>
      </c>
      <c r="G6472" s="3">
        <f>VLOOKUP(B6472,airports!A:H,8,FALSE)</f>
        <v>-116.2227778</v>
      </c>
      <c r="H6472">
        <f t="shared" si="202"/>
        <v>360.4</v>
      </c>
      <c r="I6472">
        <f t="shared" si="203"/>
        <v>224</v>
      </c>
    </row>
    <row r="6473" spans="1:9" ht="30" x14ac:dyDescent="0.25">
      <c r="A6473" s="5" t="s">
        <v>324</v>
      </c>
      <c r="B6473" s="5" t="s">
        <v>128</v>
      </c>
      <c r="C6473" s="5" t="s">
        <v>6955</v>
      </c>
      <c r="D6473" s="3">
        <f>VLOOKUP(A6473,airports!A:H,7,FALSE)</f>
        <v>46.744199999999999</v>
      </c>
      <c r="E6473" s="3">
        <f>VLOOKUP(A6473,airports!A:H,8,FALSE)</f>
        <v>-117.11409999999999</v>
      </c>
      <c r="F6473" s="3">
        <f>VLOOKUP(B6473,airports!A:H,7,FALSE)</f>
        <v>47.448981940000003</v>
      </c>
      <c r="G6473" s="3">
        <f>VLOOKUP(B6473,airports!A:H,8,FALSE)</f>
        <v>-122.3093131</v>
      </c>
      <c r="H6473">
        <f t="shared" si="202"/>
        <v>400.9</v>
      </c>
      <c r="I6473">
        <f t="shared" si="203"/>
        <v>249.1</v>
      </c>
    </row>
    <row r="6474" spans="1:9" ht="30" x14ac:dyDescent="0.25">
      <c r="A6474" s="5" t="s">
        <v>114</v>
      </c>
      <c r="B6474" s="5" t="s">
        <v>10</v>
      </c>
      <c r="C6474" s="5" t="s">
        <v>6956</v>
      </c>
      <c r="D6474" s="3">
        <f>VLOOKUP(A6474,airports!A:H,7,FALSE)</f>
        <v>41.723999169999999</v>
      </c>
      <c r="E6474" s="3">
        <f>VLOOKUP(A6474,airports!A:H,8,FALSE)</f>
        <v>-71.428221109999996</v>
      </c>
      <c r="F6474" s="3">
        <f>VLOOKUP(B6474,airports!A:H,7,FALSE)</f>
        <v>33.640444440000003</v>
      </c>
      <c r="G6474" s="3">
        <f>VLOOKUP(B6474,airports!A:H,8,FALSE)</f>
        <v>-84.42694444</v>
      </c>
      <c r="H6474">
        <f t="shared" si="202"/>
        <v>1452</v>
      </c>
      <c r="I6474">
        <f t="shared" si="203"/>
        <v>902.3</v>
      </c>
    </row>
    <row r="6475" spans="1:9" ht="30" x14ac:dyDescent="0.25">
      <c r="A6475" s="5" t="s">
        <v>114</v>
      </c>
      <c r="B6475" s="5" t="s">
        <v>13</v>
      </c>
      <c r="C6475" s="5" t="s">
        <v>6957</v>
      </c>
      <c r="D6475" s="3">
        <f>VLOOKUP(A6475,airports!A:H,7,FALSE)</f>
        <v>41.723999169999999</v>
      </c>
      <c r="E6475" s="3">
        <f>VLOOKUP(A6475,airports!A:H,8,FALSE)</f>
        <v>-71.428221109999996</v>
      </c>
      <c r="F6475" s="3">
        <f>VLOOKUP(B6475,airports!A:H,7,FALSE)</f>
        <v>30.194532779999999</v>
      </c>
      <c r="G6475" s="3">
        <f>VLOOKUP(B6475,airports!A:H,8,FALSE)</f>
        <v>-97.669871939999993</v>
      </c>
      <c r="H6475">
        <f t="shared" si="202"/>
        <v>2671.9</v>
      </c>
      <c r="I6475">
        <f t="shared" si="203"/>
        <v>1660.4</v>
      </c>
    </row>
    <row r="6476" spans="1:9" ht="30" x14ac:dyDescent="0.25">
      <c r="A6476" s="5" t="s">
        <v>114</v>
      </c>
      <c r="B6476" s="5" t="s">
        <v>19</v>
      </c>
      <c r="C6476" s="5" t="s">
        <v>6958</v>
      </c>
      <c r="D6476" s="3">
        <f>VLOOKUP(A6476,airports!A:H,7,FALSE)</f>
        <v>41.723999169999999</v>
      </c>
      <c r="E6476" s="3">
        <f>VLOOKUP(A6476,airports!A:H,8,FALSE)</f>
        <v>-71.428221109999996</v>
      </c>
      <c r="F6476" s="3">
        <f>VLOOKUP(B6476,airports!A:H,7,FALSE)</f>
        <v>36.12447667</v>
      </c>
      <c r="G6476" s="3">
        <f>VLOOKUP(B6476,airports!A:H,8,FALSE)</f>
        <v>-86.678182219999997</v>
      </c>
      <c r="H6476">
        <f t="shared" si="202"/>
        <v>1456</v>
      </c>
      <c r="I6476">
        <f t="shared" si="203"/>
        <v>904.8</v>
      </c>
    </row>
    <row r="6477" spans="1:9" ht="30" x14ac:dyDescent="0.25">
      <c r="A6477" s="5" t="s">
        <v>114</v>
      </c>
      <c r="B6477" s="5" t="s">
        <v>32</v>
      </c>
      <c r="C6477" s="5" t="s">
        <v>6959</v>
      </c>
      <c r="D6477" s="3">
        <f>VLOOKUP(A6477,airports!A:H,7,FALSE)</f>
        <v>41.723999169999999</v>
      </c>
      <c r="E6477" s="3">
        <f>VLOOKUP(A6477,airports!A:H,8,FALSE)</f>
        <v>-71.428221109999996</v>
      </c>
      <c r="F6477" s="3">
        <f>VLOOKUP(B6477,airports!A:H,7,FALSE)</f>
        <v>39.175401669999999</v>
      </c>
      <c r="G6477" s="3">
        <f>VLOOKUP(B6477,airports!A:H,8,FALSE)</f>
        <v>-76.668198329999996</v>
      </c>
      <c r="H6477">
        <f t="shared" si="202"/>
        <v>526.1</v>
      </c>
      <c r="I6477">
        <f t="shared" si="203"/>
        <v>326.89999999999998</v>
      </c>
    </row>
    <row r="6478" spans="1:9" ht="30" x14ac:dyDescent="0.25">
      <c r="A6478" s="5" t="s">
        <v>114</v>
      </c>
      <c r="B6478" s="5" t="s">
        <v>40</v>
      </c>
      <c r="C6478" s="5" t="s">
        <v>6960</v>
      </c>
      <c r="D6478" s="3">
        <f>VLOOKUP(A6478,airports!A:H,7,FALSE)</f>
        <v>41.723999169999999</v>
      </c>
      <c r="E6478" s="3">
        <f>VLOOKUP(A6478,airports!A:H,8,FALSE)</f>
        <v>-71.428221109999996</v>
      </c>
      <c r="F6478" s="3">
        <f>VLOOKUP(B6478,airports!A:H,7,FALSE)</f>
        <v>35.214011110000001</v>
      </c>
      <c r="G6478" s="3">
        <f>VLOOKUP(B6478,airports!A:H,8,FALSE)</f>
        <v>-80.94312583</v>
      </c>
      <c r="H6478">
        <f t="shared" si="202"/>
        <v>1098.8</v>
      </c>
      <c r="I6478">
        <f t="shared" si="203"/>
        <v>682.8</v>
      </c>
    </row>
    <row r="6479" spans="1:9" ht="30" x14ac:dyDescent="0.25">
      <c r="A6479" s="5" t="s">
        <v>114</v>
      </c>
      <c r="B6479" s="5" t="s">
        <v>462</v>
      </c>
      <c r="C6479" s="5" t="s">
        <v>6961</v>
      </c>
      <c r="D6479" s="3">
        <f>VLOOKUP(A6479,airports!A:H,7,FALSE)</f>
        <v>41.723999169999999</v>
      </c>
      <c r="E6479" s="3">
        <f>VLOOKUP(A6479,airports!A:H,8,FALSE)</f>
        <v>-71.428221109999996</v>
      </c>
      <c r="F6479" s="3">
        <f>VLOOKUP(B6479,airports!A:H,7,FALSE)</f>
        <v>39.046142779999997</v>
      </c>
      <c r="G6479" s="3">
        <f>VLOOKUP(B6479,airports!A:H,8,FALSE)</f>
        <v>-84.662172499999997</v>
      </c>
      <c r="H6479">
        <f t="shared" si="202"/>
        <v>1158.4000000000001</v>
      </c>
      <c r="I6479">
        <f t="shared" si="203"/>
        <v>719.9</v>
      </c>
    </row>
    <row r="6480" spans="1:9" ht="30" x14ac:dyDescent="0.25">
      <c r="A6480" s="5" t="s">
        <v>114</v>
      </c>
      <c r="B6480" s="5" t="s">
        <v>45</v>
      </c>
      <c r="C6480" s="5" t="s">
        <v>6962</v>
      </c>
      <c r="D6480" s="3">
        <f>VLOOKUP(A6480,airports!A:H,7,FALSE)</f>
        <v>41.723999169999999</v>
      </c>
      <c r="E6480" s="3">
        <f>VLOOKUP(A6480,airports!A:H,8,FALSE)</f>
        <v>-71.428221109999996</v>
      </c>
      <c r="F6480" s="3">
        <f>VLOOKUP(B6480,airports!A:H,7,FALSE)</f>
        <v>38.852083329999999</v>
      </c>
      <c r="G6480" s="3">
        <f>VLOOKUP(B6480,airports!A:H,8,FALSE)</f>
        <v>-77.037722220000006</v>
      </c>
      <c r="H6480">
        <f t="shared" si="202"/>
        <v>572.79999999999995</v>
      </c>
      <c r="I6480">
        <f t="shared" si="203"/>
        <v>356</v>
      </c>
    </row>
    <row r="6481" spans="1:9" ht="30" x14ac:dyDescent="0.25">
      <c r="A6481" s="5" t="s">
        <v>114</v>
      </c>
      <c r="B6481" s="5" t="s">
        <v>47</v>
      </c>
      <c r="C6481" s="5" t="s">
        <v>6963</v>
      </c>
      <c r="D6481" s="3">
        <f>VLOOKUP(A6481,airports!A:H,7,FALSE)</f>
        <v>41.723999169999999</v>
      </c>
      <c r="E6481" s="3">
        <f>VLOOKUP(A6481,airports!A:H,8,FALSE)</f>
        <v>-71.428221109999996</v>
      </c>
      <c r="F6481" s="3">
        <f>VLOOKUP(B6481,airports!A:H,7,FALSE)</f>
        <v>39.858408060000002</v>
      </c>
      <c r="G6481" s="3">
        <f>VLOOKUP(B6481,airports!A:H,8,FALSE)</f>
        <v>-104.6670019</v>
      </c>
      <c r="H6481">
        <f t="shared" si="202"/>
        <v>2788.5</v>
      </c>
      <c r="I6481">
        <f t="shared" si="203"/>
        <v>1732.8</v>
      </c>
    </row>
    <row r="6482" spans="1:9" ht="30" x14ac:dyDescent="0.25">
      <c r="A6482" s="5" t="s">
        <v>114</v>
      </c>
      <c r="B6482" s="5" t="s">
        <v>50</v>
      </c>
      <c r="C6482" s="5" t="s">
        <v>6964</v>
      </c>
      <c r="D6482" s="3">
        <f>VLOOKUP(A6482,airports!A:H,7,FALSE)</f>
        <v>41.723999169999999</v>
      </c>
      <c r="E6482" s="3">
        <f>VLOOKUP(A6482,airports!A:H,8,FALSE)</f>
        <v>-71.428221109999996</v>
      </c>
      <c r="F6482" s="3">
        <f>VLOOKUP(B6482,airports!A:H,7,FALSE)</f>
        <v>42.212058890000002</v>
      </c>
      <c r="G6482" s="3">
        <f>VLOOKUP(B6482,airports!A:H,8,FALSE)</f>
        <v>-83.348835829999999</v>
      </c>
      <c r="H6482">
        <f t="shared" si="202"/>
        <v>986.2</v>
      </c>
      <c r="I6482">
        <f t="shared" si="203"/>
        <v>612.9</v>
      </c>
    </row>
    <row r="6483" spans="1:9" ht="30" x14ac:dyDescent="0.25">
      <c r="A6483" s="5" t="s">
        <v>114</v>
      </c>
      <c r="B6483" s="5" t="s">
        <v>52</v>
      </c>
      <c r="C6483" s="5" t="s">
        <v>6965</v>
      </c>
      <c r="D6483" s="3">
        <f>VLOOKUP(A6483,airports!A:H,7,FALSE)</f>
        <v>41.723999169999999</v>
      </c>
      <c r="E6483" s="3">
        <f>VLOOKUP(A6483,airports!A:H,8,FALSE)</f>
        <v>-71.428221109999996</v>
      </c>
      <c r="F6483" s="3">
        <f>VLOOKUP(B6483,airports!A:H,7,FALSE)</f>
        <v>40.69249722</v>
      </c>
      <c r="G6483" s="3">
        <f>VLOOKUP(B6483,airports!A:H,8,FALSE)</f>
        <v>-74.168660560000006</v>
      </c>
      <c r="H6483">
        <f t="shared" si="202"/>
        <v>256.3</v>
      </c>
      <c r="I6483">
        <f t="shared" si="203"/>
        <v>159.30000000000001</v>
      </c>
    </row>
    <row r="6484" spans="1:9" x14ac:dyDescent="0.25">
      <c r="A6484" s="5" t="s">
        <v>114</v>
      </c>
      <c r="B6484" s="5" t="s">
        <v>57</v>
      </c>
      <c r="C6484" s="5" t="s">
        <v>6966</v>
      </c>
      <c r="D6484" s="3">
        <f>VLOOKUP(A6484,airports!A:H,7,FALSE)</f>
        <v>41.723999169999999</v>
      </c>
      <c r="E6484" s="3">
        <f>VLOOKUP(A6484,airports!A:H,8,FALSE)</f>
        <v>-71.428221109999996</v>
      </c>
      <c r="F6484" s="3">
        <f>VLOOKUP(B6484,airports!A:H,7,FALSE)</f>
        <v>26.072583330000001</v>
      </c>
      <c r="G6484" s="3">
        <f>VLOOKUP(B6484,airports!A:H,8,FALSE)</f>
        <v>-80.152749999999997</v>
      </c>
      <c r="H6484">
        <f t="shared" si="202"/>
        <v>1915</v>
      </c>
      <c r="I6484">
        <f t="shared" si="203"/>
        <v>1190</v>
      </c>
    </row>
    <row r="6485" spans="1:9" ht="30" x14ac:dyDescent="0.25">
      <c r="A6485" s="5" t="s">
        <v>114</v>
      </c>
      <c r="B6485" s="5" t="s">
        <v>176</v>
      </c>
      <c r="C6485" s="5" t="s">
        <v>6967</v>
      </c>
      <c r="D6485" s="3">
        <f>VLOOKUP(A6485,airports!A:H,7,FALSE)</f>
        <v>41.723999169999999</v>
      </c>
      <c r="E6485" s="3">
        <f>VLOOKUP(A6485,airports!A:H,8,FALSE)</f>
        <v>-71.428221109999996</v>
      </c>
      <c r="F6485" s="3">
        <f>VLOOKUP(B6485,airports!A:H,7,FALSE)</f>
        <v>38.944531939999997</v>
      </c>
      <c r="G6485" s="3">
        <f>VLOOKUP(B6485,airports!A:H,8,FALSE)</f>
        <v>-77.455809720000005</v>
      </c>
      <c r="H6485">
        <f t="shared" si="202"/>
        <v>596.9</v>
      </c>
      <c r="I6485">
        <f t="shared" si="203"/>
        <v>370.9</v>
      </c>
    </row>
    <row r="6486" spans="1:9" ht="30" x14ac:dyDescent="0.25">
      <c r="A6486" s="5" t="s">
        <v>114</v>
      </c>
      <c r="B6486" s="5" t="s">
        <v>74</v>
      </c>
      <c r="C6486" s="5" t="s">
        <v>6968</v>
      </c>
      <c r="D6486" s="3">
        <f>VLOOKUP(A6486,airports!A:H,7,FALSE)</f>
        <v>41.723999169999999</v>
      </c>
      <c r="E6486" s="3">
        <f>VLOOKUP(A6486,airports!A:H,8,FALSE)</f>
        <v>-71.428221109999996</v>
      </c>
      <c r="F6486" s="3">
        <f>VLOOKUP(B6486,airports!A:H,7,FALSE)</f>
        <v>40.777243060000004</v>
      </c>
      <c r="G6486" s="3">
        <f>VLOOKUP(B6486,airports!A:H,8,FALSE)</f>
        <v>-73.872609170000004</v>
      </c>
      <c r="H6486">
        <f t="shared" si="202"/>
        <v>229.9</v>
      </c>
      <c r="I6486">
        <f t="shared" si="203"/>
        <v>142.80000000000001</v>
      </c>
    </row>
    <row r="6487" spans="1:9" ht="30" x14ac:dyDescent="0.25">
      <c r="A6487" s="5" t="s">
        <v>114</v>
      </c>
      <c r="B6487" s="5" t="s">
        <v>82</v>
      </c>
      <c r="C6487" s="5" t="s">
        <v>6969</v>
      </c>
      <c r="D6487" s="3">
        <f>VLOOKUP(A6487,airports!A:H,7,FALSE)</f>
        <v>41.723999169999999</v>
      </c>
      <c r="E6487" s="3">
        <f>VLOOKUP(A6487,airports!A:H,8,FALSE)</f>
        <v>-71.428221109999996</v>
      </c>
      <c r="F6487" s="3">
        <f>VLOOKUP(B6487,airports!A:H,7,FALSE)</f>
        <v>28.42888889</v>
      </c>
      <c r="G6487" s="3">
        <f>VLOOKUP(B6487,airports!A:H,8,FALSE)</f>
        <v>-81.316027779999999</v>
      </c>
      <c r="H6487">
        <f t="shared" si="202"/>
        <v>1727.8</v>
      </c>
      <c r="I6487">
        <f t="shared" si="203"/>
        <v>1073.7</v>
      </c>
    </row>
    <row r="6488" spans="1:9" ht="30" x14ac:dyDescent="0.25">
      <c r="A6488" s="5" t="s">
        <v>114</v>
      </c>
      <c r="B6488" s="5" t="s">
        <v>180</v>
      </c>
      <c r="C6488" s="5" t="s">
        <v>6970</v>
      </c>
      <c r="D6488" s="3">
        <f>VLOOKUP(A6488,airports!A:H,7,FALSE)</f>
        <v>41.723999169999999</v>
      </c>
      <c r="E6488" s="3">
        <f>VLOOKUP(A6488,airports!A:H,8,FALSE)</f>
        <v>-71.428221109999996</v>
      </c>
      <c r="F6488" s="3">
        <f>VLOOKUP(B6488,airports!A:H,7,FALSE)</f>
        <v>41.785982500000003</v>
      </c>
      <c r="G6488" s="3">
        <f>VLOOKUP(B6488,airports!A:H,8,FALSE)</f>
        <v>-87.752424439999999</v>
      </c>
      <c r="H6488">
        <f t="shared" si="202"/>
        <v>1352.1</v>
      </c>
      <c r="I6488">
        <f t="shared" si="203"/>
        <v>840.2</v>
      </c>
    </row>
    <row r="6489" spans="1:9" ht="30" x14ac:dyDescent="0.25">
      <c r="A6489" s="5" t="s">
        <v>114</v>
      </c>
      <c r="B6489" s="5" t="s">
        <v>84</v>
      </c>
      <c r="C6489" s="5" t="s">
        <v>6971</v>
      </c>
      <c r="D6489" s="3">
        <f>VLOOKUP(A6489,airports!A:H,7,FALSE)</f>
        <v>41.723999169999999</v>
      </c>
      <c r="E6489" s="3">
        <f>VLOOKUP(A6489,airports!A:H,8,FALSE)</f>
        <v>-71.428221109999996</v>
      </c>
      <c r="F6489" s="3">
        <f>VLOOKUP(B6489,airports!A:H,7,FALSE)</f>
        <v>25.79325</v>
      </c>
      <c r="G6489" s="3">
        <f>VLOOKUP(B6489,airports!A:H,8,FALSE)</f>
        <v>-80.290555560000001</v>
      </c>
      <c r="H6489">
        <f t="shared" si="202"/>
        <v>1949</v>
      </c>
      <c r="I6489">
        <f t="shared" si="203"/>
        <v>1211.0999999999999</v>
      </c>
    </row>
    <row r="6490" spans="1:9" ht="30" x14ac:dyDescent="0.25">
      <c r="A6490" s="5" t="s">
        <v>114</v>
      </c>
      <c r="B6490" s="5" t="s">
        <v>87</v>
      </c>
      <c r="C6490" s="5" t="s">
        <v>6972</v>
      </c>
      <c r="D6490" s="3">
        <f>VLOOKUP(A6490,airports!A:H,7,FALSE)</f>
        <v>41.723999169999999</v>
      </c>
      <c r="E6490" s="3">
        <f>VLOOKUP(A6490,airports!A:H,8,FALSE)</f>
        <v>-71.428221109999996</v>
      </c>
      <c r="F6490" s="3">
        <f>VLOOKUP(B6490,airports!A:H,7,FALSE)</f>
        <v>44.880546940000002</v>
      </c>
      <c r="G6490" s="3">
        <f>VLOOKUP(B6490,airports!A:H,8,FALSE)</f>
        <v>-93.216922499999995</v>
      </c>
      <c r="H6490">
        <f t="shared" si="202"/>
        <v>1792</v>
      </c>
      <c r="I6490">
        <f t="shared" si="203"/>
        <v>1113.5999999999999</v>
      </c>
    </row>
    <row r="6491" spans="1:9" ht="30" x14ac:dyDescent="0.25">
      <c r="A6491" s="5" t="s">
        <v>114</v>
      </c>
      <c r="B6491" s="5" t="s">
        <v>89</v>
      </c>
      <c r="C6491" s="5" t="s">
        <v>6973</v>
      </c>
      <c r="D6491" s="3">
        <f>VLOOKUP(A6491,airports!A:H,7,FALSE)</f>
        <v>41.723999169999999</v>
      </c>
      <c r="E6491" s="3">
        <f>VLOOKUP(A6491,airports!A:H,8,FALSE)</f>
        <v>-71.428221109999996</v>
      </c>
      <c r="F6491" s="3">
        <f>VLOOKUP(B6491,airports!A:H,7,FALSE)</f>
        <v>29.993388889999999</v>
      </c>
      <c r="G6491" s="3">
        <f>VLOOKUP(B6491,airports!A:H,8,FALSE)</f>
        <v>-90.258027780000006</v>
      </c>
      <c r="H6491">
        <f t="shared" si="202"/>
        <v>2132.1999999999998</v>
      </c>
      <c r="I6491">
        <f t="shared" si="203"/>
        <v>1324.9</v>
      </c>
    </row>
    <row r="6492" spans="1:9" ht="30" x14ac:dyDescent="0.25">
      <c r="A6492" s="5" t="s">
        <v>114</v>
      </c>
      <c r="B6492" s="5" t="s">
        <v>182</v>
      </c>
      <c r="C6492" s="5" t="s">
        <v>6974</v>
      </c>
      <c r="D6492" s="3">
        <f>VLOOKUP(A6492,airports!A:H,7,FALSE)</f>
        <v>41.723999169999999</v>
      </c>
      <c r="E6492" s="3">
        <f>VLOOKUP(A6492,airports!A:H,8,FALSE)</f>
        <v>-71.428221109999996</v>
      </c>
      <c r="F6492" s="3">
        <f>VLOOKUP(B6492,airports!A:H,7,FALSE)</f>
        <v>33.679749999999999</v>
      </c>
      <c r="G6492" s="3">
        <f>VLOOKUP(B6492,airports!A:H,8,FALSE)</f>
        <v>-78.928333330000001</v>
      </c>
      <c r="H6492">
        <f t="shared" si="202"/>
        <v>1110.5</v>
      </c>
      <c r="I6492">
        <f t="shared" si="203"/>
        <v>690.1</v>
      </c>
    </row>
    <row r="6493" spans="1:9" ht="30" x14ac:dyDescent="0.25">
      <c r="A6493" s="5" t="s">
        <v>114</v>
      </c>
      <c r="B6493" s="5" t="s">
        <v>95</v>
      </c>
      <c r="C6493" s="5" t="s">
        <v>6975</v>
      </c>
      <c r="D6493" s="3">
        <f>VLOOKUP(A6493,airports!A:H,7,FALSE)</f>
        <v>41.723999169999999</v>
      </c>
      <c r="E6493" s="3">
        <f>VLOOKUP(A6493,airports!A:H,8,FALSE)</f>
        <v>-71.428221109999996</v>
      </c>
      <c r="F6493" s="3">
        <f>VLOOKUP(B6493,airports!A:H,7,FALSE)</f>
        <v>41.979595000000003</v>
      </c>
      <c r="G6493" s="3">
        <f>VLOOKUP(B6493,airports!A:H,8,FALSE)</f>
        <v>-87.904464169999997</v>
      </c>
      <c r="H6493">
        <f t="shared" si="202"/>
        <v>1362.9</v>
      </c>
      <c r="I6493">
        <f t="shared" si="203"/>
        <v>846.9</v>
      </c>
    </row>
    <row r="6494" spans="1:9" x14ac:dyDescent="0.25">
      <c r="A6494" s="5" t="s">
        <v>114</v>
      </c>
      <c r="B6494" s="5" t="s">
        <v>99</v>
      </c>
      <c r="C6494" s="5" t="s">
        <v>6976</v>
      </c>
      <c r="D6494" s="3">
        <f>VLOOKUP(A6494,airports!A:H,7,FALSE)</f>
        <v>41.723999169999999</v>
      </c>
      <c r="E6494" s="3">
        <f>VLOOKUP(A6494,airports!A:H,8,FALSE)</f>
        <v>-71.428221109999996</v>
      </c>
      <c r="F6494" s="3">
        <f>VLOOKUP(B6494,airports!A:H,7,FALSE)</f>
        <v>26.683161940000002</v>
      </c>
      <c r="G6494" s="3">
        <f>VLOOKUP(B6494,airports!A:H,8,FALSE)</f>
        <v>-80.095594169999998</v>
      </c>
      <c r="H6494">
        <f t="shared" si="202"/>
        <v>1850.2</v>
      </c>
      <c r="I6494">
        <f t="shared" si="203"/>
        <v>1149.8</v>
      </c>
    </row>
    <row r="6495" spans="1:9" ht="30" x14ac:dyDescent="0.25">
      <c r="A6495" s="5" t="s">
        <v>114</v>
      </c>
      <c r="B6495" s="5" t="s">
        <v>185</v>
      </c>
      <c r="C6495" s="5" t="s">
        <v>6977</v>
      </c>
      <c r="D6495" s="3">
        <f>VLOOKUP(A6495,airports!A:H,7,FALSE)</f>
        <v>41.723999169999999</v>
      </c>
      <c r="E6495" s="3">
        <f>VLOOKUP(A6495,airports!A:H,8,FALSE)</f>
        <v>-71.428221109999996</v>
      </c>
      <c r="F6495" s="3">
        <f>VLOOKUP(B6495,airports!A:H,7,FALSE)</f>
        <v>26.919699999999999</v>
      </c>
      <c r="G6495" s="3">
        <f>VLOOKUP(B6495,airports!A:H,8,FALSE)</f>
        <v>-81.995999999999995</v>
      </c>
      <c r="H6495">
        <f t="shared" si="202"/>
        <v>1907.4</v>
      </c>
      <c r="I6495">
        <f t="shared" si="203"/>
        <v>1185.3</v>
      </c>
    </row>
    <row r="6496" spans="1:9" ht="30" x14ac:dyDescent="0.25">
      <c r="A6496" s="5" t="s">
        <v>114</v>
      </c>
      <c r="B6496" s="5" t="s">
        <v>102</v>
      </c>
      <c r="C6496" s="5" t="s">
        <v>6978</v>
      </c>
      <c r="D6496" s="3">
        <f>VLOOKUP(A6496,airports!A:H,7,FALSE)</f>
        <v>41.723999169999999</v>
      </c>
      <c r="E6496" s="3">
        <f>VLOOKUP(A6496,airports!A:H,8,FALSE)</f>
        <v>-71.428221109999996</v>
      </c>
      <c r="F6496" s="3">
        <f>VLOOKUP(B6496,airports!A:H,7,FALSE)</f>
        <v>39.871952780000001</v>
      </c>
      <c r="G6496" s="3">
        <f>VLOOKUP(B6496,airports!A:H,8,FALSE)</f>
        <v>-75.241140830000006</v>
      </c>
      <c r="H6496">
        <f t="shared" si="202"/>
        <v>381.3</v>
      </c>
      <c r="I6496">
        <f t="shared" si="203"/>
        <v>236.9</v>
      </c>
    </row>
    <row r="6497" spans="1:9" x14ac:dyDescent="0.25">
      <c r="A6497" s="5" t="s">
        <v>114</v>
      </c>
      <c r="B6497" s="5" t="s">
        <v>188</v>
      </c>
      <c r="C6497" s="5" t="s">
        <v>6979</v>
      </c>
      <c r="D6497" s="3">
        <f>VLOOKUP(A6497,airports!A:H,7,FALSE)</f>
        <v>41.723999169999999</v>
      </c>
      <c r="E6497" s="3">
        <f>VLOOKUP(A6497,airports!A:H,8,FALSE)</f>
        <v>-71.428221109999996</v>
      </c>
      <c r="F6497" s="3">
        <f>VLOOKUP(B6497,airports!A:H,7,FALSE)</f>
        <v>27.910763330000002</v>
      </c>
      <c r="G6497" s="3">
        <f>VLOOKUP(B6497,airports!A:H,8,FALSE)</f>
        <v>-82.687439440000006</v>
      </c>
      <c r="H6497">
        <f t="shared" si="202"/>
        <v>1844.4</v>
      </c>
      <c r="I6497">
        <f t="shared" si="203"/>
        <v>1146.0999999999999</v>
      </c>
    </row>
    <row r="6498" spans="1:9" ht="30" x14ac:dyDescent="0.25">
      <c r="A6498" s="5" t="s">
        <v>114</v>
      </c>
      <c r="B6498" s="5" t="s">
        <v>117</v>
      </c>
      <c r="C6498" s="5" t="s">
        <v>6980</v>
      </c>
      <c r="D6498" s="3">
        <f>VLOOKUP(A6498,airports!A:H,7,FALSE)</f>
        <v>41.723999169999999</v>
      </c>
      <c r="E6498" s="3">
        <f>VLOOKUP(A6498,airports!A:H,8,FALSE)</f>
        <v>-71.428221109999996</v>
      </c>
      <c r="F6498" s="3">
        <f>VLOOKUP(B6498,airports!A:H,7,FALSE)</f>
        <v>43.646166669999999</v>
      </c>
      <c r="G6498" s="3">
        <f>VLOOKUP(B6498,airports!A:H,8,FALSE)</f>
        <v>-70.308750000000003</v>
      </c>
      <c r="H6498">
        <f t="shared" si="202"/>
        <v>232.5</v>
      </c>
      <c r="I6498">
        <f t="shared" si="203"/>
        <v>144.5</v>
      </c>
    </row>
    <row r="6499" spans="1:9" ht="30" x14ac:dyDescent="0.25">
      <c r="A6499" s="5" t="s">
        <v>114</v>
      </c>
      <c r="B6499" s="5" t="s">
        <v>119</v>
      </c>
      <c r="C6499" s="5" t="s">
        <v>6981</v>
      </c>
      <c r="D6499" s="3">
        <f>VLOOKUP(A6499,airports!A:H,7,FALSE)</f>
        <v>41.723999169999999</v>
      </c>
      <c r="E6499" s="3">
        <f>VLOOKUP(A6499,airports!A:H,8,FALSE)</f>
        <v>-71.428221109999996</v>
      </c>
      <c r="F6499" s="3">
        <f>VLOOKUP(B6499,airports!A:H,7,FALSE)</f>
        <v>35.87763889</v>
      </c>
      <c r="G6499" s="3">
        <f>VLOOKUP(B6499,airports!A:H,8,FALSE)</f>
        <v>-78.787472219999998</v>
      </c>
      <c r="H6499">
        <f t="shared" si="202"/>
        <v>910</v>
      </c>
      <c r="I6499">
        <f t="shared" si="203"/>
        <v>565.5</v>
      </c>
    </row>
    <row r="6500" spans="1:9" ht="30" x14ac:dyDescent="0.25">
      <c r="A6500" s="5" t="s">
        <v>114</v>
      </c>
      <c r="B6500" s="5" t="s">
        <v>123</v>
      </c>
      <c r="C6500" s="5" t="s">
        <v>6982</v>
      </c>
      <c r="D6500" s="3">
        <f>VLOOKUP(A6500,airports!A:H,7,FALSE)</f>
        <v>41.723999169999999</v>
      </c>
      <c r="E6500" s="3">
        <f>VLOOKUP(A6500,airports!A:H,8,FALSE)</f>
        <v>-71.428221109999996</v>
      </c>
      <c r="F6500" s="3">
        <f>VLOOKUP(B6500,airports!A:H,7,FALSE)</f>
        <v>26.53616667</v>
      </c>
      <c r="G6500" s="3">
        <f>VLOOKUP(B6500,airports!A:H,8,FALSE)</f>
        <v>-81.755166669999994</v>
      </c>
      <c r="H6500">
        <f t="shared" si="202"/>
        <v>1934.5</v>
      </c>
      <c r="I6500">
        <f t="shared" si="203"/>
        <v>1202.0999999999999</v>
      </c>
    </row>
    <row r="6501" spans="1:9" ht="30" x14ac:dyDescent="0.25">
      <c r="A6501" s="5" t="s">
        <v>114</v>
      </c>
      <c r="B6501" s="5" t="s">
        <v>126</v>
      </c>
      <c r="C6501" s="5" t="s">
        <v>6983</v>
      </c>
      <c r="D6501" s="3">
        <f>VLOOKUP(A6501,airports!A:H,7,FALSE)</f>
        <v>41.723999169999999</v>
      </c>
      <c r="E6501" s="3">
        <f>VLOOKUP(A6501,airports!A:H,8,FALSE)</f>
        <v>-71.428221109999996</v>
      </c>
      <c r="F6501" s="3">
        <f>VLOOKUP(B6501,airports!A:H,7,FALSE)</f>
        <v>32.12758333</v>
      </c>
      <c r="G6501" s="3">
        <f>VLOOKUP(B6501,airports!A:H,8,FALSE)</f>
        <v>-81.202138890000001</v>
      </c>
      <c r="H6501">
        <f t="shared" si="202"/>
        <v>1374.1</v>
      </c>
      <c r="I6501">
        <f t="shared" si="203"/>
        <v>853.9</v>
      </c>
    </row>
    <row r="6502" spans="1:9" x14ac:dyDescent="0.25">
      <c r="A6502" s="5" t="s">
        <v>114</v>
      </c>
      <c r="B6502" s="5" t="s">
        <v>644</v>
      </c>
      <c r="C6502" s="5" t="s">
        <v>6984</v>
      </c>
      <c r="D6502" s="3">
        <f>VLOOKUP(A6502,airports!A:H,7,FALSE)</f>
        <v>41.723999169999999</v>
      </c>
      <c r="E6502" s="3">
        <f>VLOOKUP(A6502,airports!A:H,8,FALSE)</f>
        <v>-71.428221109999996</v>
      </c>
      <c r="F6502" s="3">
        <f>VLOOKUP(B6502,airports!A:H,7,FALSE)</f>
        <v>38.747686940000001</v>
      </c>
      <c r="G6502" s="3">
        <f>VLOOKUP(B6502,airports!A:H,8,FALSE)</f>
        <v>-90.359989720000002</v>
      </c>
      <c r="H6502">
        <f t="shared" si="202"/>
        <v>1637.2</v>
      </c>
      <c r="I6502">
        <f t="shared" si="203"/>
        <v>1017.4</v>
      </c>
    </row>
    <row r="6503" spans="1:9" ht="30" x14ac:dyDescent="0.25">
      <c r="A6503" s="5" t="s">
        <v>114</v>
      </c>
      <c r="B6503" s="5" t="s">
        <v>145</v>
      </c>
      <c r="C6503" s="5" t="s">
        <v>6985</v>
      </c>
      <c r="D6503" s="3">
        <f>VLOOKUP(A6503,airports!A:H,7,FALSE)</f>
        <v>41.723999169999999</v>
      </c>
      <c r="E6503" s="3">
        <f>VLOOKUP(A6503,airports!A:H,8,FALSE)</f>
        <v>-71.428221109999996</v>
      </c>
      <c r="F6503" s="3">
        <f>VLOOKUP(B6503,airports!A:H,7,FALSE)</f>
        <v>27.97547222</v>
      </c>
      <c r="G6503" s="3">
        <f>VLOOKUP(B6503,airports!A:H,8,FALSE)</f>
        <v>-82.533249999999995</v>
      </c>
      <c r="H6503">
        <f t="shared" si="202"/>
        <v>1830.5</v>
      </c>
      <c r="I6503">
        <f t="shared" si="203"/>
        <v>1137.5</v>
      </c>
    </row>
    <row r="6504" spans="1:9" ht="30" x14ac:dyDescent="0.25">
      <c r="A6504" s="5" t="s">
        <v>772</v>
      </c>
      <c r="B6504" s="5" t="s">
        <v>13</v>
      </c>
      <c r="C6504" s="5" t="s">
        <v>6986</v>
      </c>
      <c r="D6504" s="3">
        <f>VLOOKUP(A6504,airports!A:H,7,FALSE)</f>
        <v>40.219200000000001</v>
      </c>
      <c r="E6504" s="3">
        <f>VLOOKUP(A6504,airports!A:H,8,FALSE)</f>
        <v>-111.723</v>
      </c>
      <c r="F6504" s="3">
        <f>VLOOKUP(B6504,airports!A:H,7,FALSE)</f>
        <v>30.194532779999999</v>
      </c>
      <c r="G6504" s="3">
        <f>VLOOKUP(B6504,airports!A:H,8,FALSE)</f>
        <v>-97.669871939999993</v>
      </c>
      <c r="H6504">
        <f t="shared" si="202"/>
        <v>1691</v>
      </c>
      <c r="I6504">
        <f t="shared" si="203"/>
        <v>1050.8</v>
      </c>
    </row>
    <row r="6505" spans="1:9" ht="30" x14ac:dyDescent="0.25">
      <c r="A6505" s="5" t="s">
        <v>772</v>
      </c>
      <c r="B6505" s="5" t="s">
        <v>329</v>
      </c>
      <c r="C6505" s="5" t="s">
        <v>6987</v>
      </c>
      <c r="D6505" s="3">
        <f>VLOOKUP(A6505,airports!A:H,7,FALSE)</f>
        <v>40.219200000000001</v>
      </c>
      <c r="E6505" s="3">
        <f>VLOOKUP(A6505,airports!A:H,8,FALSE)</f>
        <v>-111.723</v>
      </c>
      <c r="F6505" s="3">
        <f>VLOOKUP(B6505,airports!A:H,7,FALSE)</f>
        <v>33.308999999999997</v>
      </c>
      <c r="G6505" s="3">
        <f>VLOOKUP(B6505,airports!A:H,8,FALSE)</f>
        <v>-111.6559</v>
      </c>
      <c r="H6505">
        <f t="shared" si="202"/>
        <v>768.4</v>
      </c>
      <c r="I6505">
        <f t="shared" si="203"/>
        <v>477.5</v>
      </c>
    </row>
    <row r="6506" spans="1:9" ht="30" x14ac:dyDescent="0.25">
      <c r="A6506" s="5" t="s">
        <v>772</v>
      </c>
      <c r="B6506" s="5" t="s">
        <v>47</v>
      </c>
      <c r="C6506" s="5" t="s">
        <v>6988</v>
      </c>
      <c r="D6506" s="3">
        <f>VLOOKUP(A6506,airports!A:H,7,FALSE)</f>
        <v>40.219200000000001</v>
      </c>
      <c r="E6506" s="3">
        <f>VLOOKUP(A6506,airports!A:H,8,FALSE)</f>
        <v>-111.723</v>
      </c>
      <c r="F6506" s="3">
        <f>VLOOKUP(B6506,airports!A:H,7,FALSE)</f>
        <v>39.858408060000002</v>
      </c>
      <c r="G6506" s="3">
        <f>VLOOKUP(B6506,airports!A:H,8,FALSE)</f>
        <v>-104.6670019</v>
      </c>
      <c r="H6506">
        <f t="shared" si="202"/>
        <v>601.9</v>
      </c>
      <c r="I6506">
        <f t="shared" si="203"/>
        <v>374</v>
      </c>
    </row>
    <row r="6507" spans="1:9" ht="30" x14ac:dyDescent="0.25">
      <c r="A6507" s="5" t="s">
        <v>772</v>
      </c>
      <c r="B6507" s="5" t="s">
        <v>205</v>
      </c>
      <c r="C6507" s="5" t="s">
        <v>6989</v>
      </c>
      <c r="D6507" s="3">
        <f>VLOOKUP(A6507,airports!A:H,7,FALSE)</f>
        <v>40.219200000000001</v>
      </c>
      <c r="E6507" s="3">
        <f>VLOOKUP(A6507,airports!A:H,8,FALSE)</f>
        <v>-111.723</v>
      </c>
      <c r="F6507" s="3">
        <f>VLOOKUP(B6507,airports!A:H,7,FALSE)</f>
        <v>29.64541861</v>
      </c>
      <c r="G6507" s="3">
        <f>VLOOKUP(B6507,airports!A:H,8,FALSE)</f>
        <v>-95.278888890000005</v>
      </c>
      <c r="H6507">
        <f t="shared" si="202"/>
        <v>1899.7</v>
      </c>
      <c r="I6507">
        <f t="shared" si="203"/>
        <v>1180.5</v>
      </c>
    </row>
    <row r="6508" spans="1:9" ht="30" x14ac:dyDescent="0.25">
      <c r="A6508" s="5" t="s">
        <v>772</v>
      </c>
      <c r="B6508" s="5" t="s">
        <v>71</v>
      </c>
      <c r="C6508" s="5" t="s">
        <v>6990</v>
      </c>
      <c r="D6508" s="3">
        <f>VLOOKUP(A6508,airports!A:H,7,FALSE)</f>
        <v>40.219200000000001</v>
      </c>
      <c r="E6508" s="3">
        <f>VLOOKUP(A6508,airports!A:H,8,FALSE)</f>
        <v>-111.723</v>
      </c>
      <c r="F6508" s="3">
        <f>VLOOKUP(B6508,airports!A:H,7,FALSE)</f>
        <v>36.080361109999998</v>
      </c>
      <c r="G6508" s="3">
        <f>VLOOKUP(B6508,airports!A:H,8,FALSE)</f>
        <v>-115.1523333</v>
      </c>
      <c r="H6508">
        <f t="shared" si="202"/>
        <v>549.20000000000005</v>
      </c>
      <c r="I6508">
        <f t="shared" si="203"/>
        <v>341.3</v>
      </c>
    </row>
    <row r="6509" spans="1:9" ht="30" x14ac:dyDescent="0.25">
      <c r="A6509" s="5" t="s">
        <v>772</v>
      </c>
      <c r="B6509" s="5" t="s">
        <v>73</v>
      </c>
      <c r="C6509" s="5" t="s">
        <v>6991</v>
      </c>
      <c r="D6509" s="3">
        <f>VLOOKUP(A6509,airports!A:H,7,FALSE)</f>
        <v>40.219200000000001</v>
      </c>
      <c r="E6509" s="3">
        <f>VLOOKUP(A6509,airports!A:H,8,FALSE)</f>
        <v>-111.723</v>
      </c>
      <c r="F6509" s="3">
        <f>VLOOKUP(B6509,airports!A:H,7,FALSE)</f>
        <v>33.942536109999999</v>
      </c>
      <c r="G6509" s="3">
        <f>VLOOKUP(B6509,airports!A:H,8,FALSE)</f>
        <v>-118.4080744</v>
      </c>
      <c r="H6509">
        <f t="shared" si="202"/>
        <v>915.3</v>
      </c>
      <c r="I6509">
        <f t="shared" si="203"/>
        <v>568.70000000000005</v>
      </c>
    </row>
    <row r="6510" spans="1:9" ht="30" x14ac:dyDescent="0.25">
      <c r="A6510" s="5" t="s">
        <v>772</v>
      </c>
      <c r="B6510" s="5" t="s">
        <v>215</v>
      </c>
      <c r="C6510" s="5" t="s">
        <v>6992</v>
      </c>
      <c r="D6510" s="3">
        <f>VLOOKUP(A6510,airports!A:H,7,FALSE)</f>
        <v>40.219200000000001</v>
      </c>
      <c r="E6510" s="3">
        <f>VLOOKUP(A6510,airports!A:H,8,FALSE)</f>
        <v>-111.723</v>
      </c>
      <c r="F6510" s="3">
        <f>VLOOKUP(B6510,airports!A:H,7,FALSE)</f>
        <v>37.721290830000001</v>
      </c>
      <c r="G6510" s="3">
        <f>VLOOKUP(B6510,airports!A:H,8,FALSE)</f>
        <v>-122.2207167</v>
      </c>
      <c r="H6510">
        <f t="shared" si="202"/>
        <v>948.4</v>
      </c>
      <c r="I6510">
        <f t="shared" si="203"/>
        <v>589.29999999999995</v>
      </c>
    </row>
    <row r="6511" spans="1:9" ht="30" x14ac:dyDescent="0.25">
      <c r="A6511" s="5" t="s">
        <v>772</v>
      </c>
      <c r="B6511" s="5" t="s">
        <v>104</v>
      </c>
      <c r="C6511" s="5" t="s">
        <v>6993</v>
      </c>
      <c r="D6511" s="3">
        <f>VLOOKUP(A6511,airports!A:H,7,FALSE)</f>
        <v>40.219200000000001</v>
      </c>
      <c r="E6511" s="3">
        <f>VLOOKUP(A6511,airports!A:H,8,FALSE)</f>
        <v>-111.723</v>
      </c>
      <c r="F6511" s="3">
        <f>VLOOKUP(B6511,airports!A:H,7,FALSE)</f>
        <v>33.434166670000003</v>
      </c>
      <c r="G6511" s="3">
        <f>VLOOKUP(B6511,airports!A:H,8,FALSE)</f>
        <v>-112.00805560000001</v>
      </c>
      <c r="H6511">
        <f t="shared" si="202"/>
        <v>754.9</v>
      </c>
      <c r="I6511">
        <f t="shared" si="203"/>
        <v>469.1</v>
      </c>
    </row>
    <row r="6512" spans="1:9" x14ac:dyDescent="0.25">
      <c r="A6512" s="5" t="s">
        <v>772</v>
      </c>
      <c r="B6512" s="5" t="s">
        <v>188</v>
      </c>
      <c r="C6512" s="5" t="s">
        <v>6994</v>
      </c>
      <c r="D6512" s="3">
        <f>VLOOKUP(A6512,airports!A:H,7,FALSE)</f>
        <v>40.219200000000001</v>
      </c>
      <c r="E6512" s="3">
        <f>VLOOKUP(A6512,airports!A:H,8,FALSE)</f>
        <v>-111.723</v>
      </c>
      <c r="F6512" s="3">
        <f>VLOOKUP(B6512,airports!A:H,7,FALSE)</f>
        <v>27.910763330000002</v>
      </c>
      <c r="G6512" s="3">
        <f>VLOOKUP(B6512,airports!A:H,8,FALSE)</f>
        <v>-82.687439440000006</v>
      </c>
      <c r="H6512">
        <f t="shared" si="202"/>
        <v>2985.3</v>
      </c>
      <c r="I6512">
        <f t="shared" si="203"/>
        <v>1855.1</v>
      </c>
    </row>
    <row r="6513" spans="1:9" ht="30" x14ac:dyDescent="0.25">
      <c r="A6513" s="5" t="s">
        <v>772</v>
      </c>
      <c r="B6513" s="5" t="s">
        <v>111</v>
      </c>
      <c r="C6513" s="5" t="s">
        <v>6995</v>
      </c>
      <c r="D6513" s="3">
        <f>VLOOKUP(A6513,airports!A:H,7,FALSE)</f>
        <v>40.219200000000001</v>
      </c>
      <c r="E6513" s="3">
        <f>VLOOKUP(A6513,airports!A:H,8,FALSE)</f>
        <v>-111.723</v>
      </c>
      <c r="F6513" s="3">
        <f>VLOOKUP(B6513,airports!A:H,7,FALSE)</f>
        <v>33.829215560000002</v>
      </c>
      <c r="G6513" s="3">
        <f>VLOOKUP(B6513,airports!A:H,8,FALSE)</f>
        <v>-116.5062531</v>
      </c>
      <c r="H6513">
        <f t="shared" si="202"/>
        <v>827.4</v>
      </c>
      <c r="I6513">
        <f t="shared" si="203"/>
        <v>514.20000000000005</v>
      </c>
    </row>
    <row r="6514" spans="1:9" ht="30" x14ac:dyDescent="0.25">
      <c r="A6514" s="5" t="s">
        <v>772</v>
      </c>
      <c r="B6514" s="5" t="s">
        <v>124</v>
      </c>
      <c r="C6514" s="5" t="s">
        <v>6996</v>
      </c>
      <c r="D6514" s="3">
        <f>VLOOKUP(A6514,airports!A:H,7,FALSE)</f>
        <v>40.219200000000001</v>
      </c>
      <c r="E6514" s="3">
        <f>VLOOKUP(A6514,airports!A:H,8,FALSE)</f>
        <v>-111.723</v>
      </c>
      <c r="F6514" s="3">
        <f>VLOOKUP(B6514,airports!A:H,7,FALSE)</f>
        <v>32.733556110000002</v>
      </c>
      <c r="G6514" s="3">
        <f>VLOOKUP(B6514,airports!A:H,8,FALSE)</f>
        <v>-117.1896567</v>
      </c>
      <c r="H6514">
        <f t="shared" si="202"/>
        <v>964.8</v>
      </c>
      <c r="I6514">
        <f t="shared" si="203"/>
        <v>599.5</v>
      </c>
    </row>
    <row r="6515" spans="1:9" ht="30" x14ac:dyDescent="0.25">
      <c r="A6515" s="5" t="s">
        <v>772</v>
      </c>
      <c r="B6515" s="5" t="s">
        <v>227</v>
      </c>
      <c r="C6515" s="5" t="s">
        <v>6997</v>
      </c>
      <c r="D6515" s="3">
        <f>VLOOKUP(A6515,airports!A:H,7,FALSE)</f>
        <v>40.219200000000001</v>
      </c>
      <c r="E6515" s="3">
        <f>VLOOKUP(A6515,airports!A:H,8,FALSE)</f>
        <v>-111.723</v>
      </c>
      <c r="F6515" s="3">
        <f>VLOOKUP(B6515,airports!A:H,7,FALSE)</f>
        <v>33.675658609999999</v>
      </c>
      <c r="G6515" s="3">
        <f>VLOOKUP(B6515,airports!A:H,8,FALSE)</f>
        <v>-117.8682225</v>
      </c>
      <c r="H6515">
        <f t="shared" si="202"/>
        <v>909.2</v>
      </c>
      <c r="I6515">
        <f t="shared" si="203"/>
        <v>565</v>
      </c>
    </row>
    <row r="6516" spans="1:9" ht="30" x14ac:dyDescent="0.25">
      <c r="A6516" s="5" t="s">
        <v>772</v>
      </c>
      <c r="B6516" s="5" t="s">
        <v>660</v>
      </c>
      <c r="C6516" s="5" t="s">
        <v>6998</v>
      </c>
      <c r="D6516" s="3">
        <f>VLOOKUP(A6516,airports!A:H,7,FALSE)</f>
        <v>40.219200000000001</v>
      </c>
      <c r="E6516" s="3">
        <f>VLOOKUP(A6516,airports!A:H,8,FALSE)</f>
        <v>-111.723</v>
      </c>
      <c r="F6516" s="3">
        <f>VLOOKUP(B6516,airports!A:H,7,FALSE)</f>
        <v>32.116083330000002</v>
      </c>
      <c r="G6516" s="3">
        <f>VLOOKUP(B6516,airports!A:H,8,FALSE)</f>
        <v>-110.9410278</v>
      </c>
      <c r="H6516">
        <f t="shared" si="202"/>
        <v>903.7</v>
      </c>
      <c r="I6516">
        <f t="shared" si="203"/>
        <v>561.6</v>
      </c>
    </row>
    <row r="6517" spans="1:9" ht="30" x14ac:dyDescent="0.25">
      <c r="A6517" s="5" t="s">
        <v>117</v>
      </c>
      <c r="B6517" s="5" t="s">
        <v>10</v>
      </c>
      <c r="C6517" s="5" t="s">
        <v>6999</v>
      </c>
      <c r="D6517" s="3">
        <f>VLOOKUP(A6517,airports!A:H,7,FALSE)</f>
        <v>43.646166669999999</v>
      </c>
      <c r="E6517" s="3">
        <f>VLOOKUP(A6517,airports!A:H,8,FALSE)</f>
        <v>-70.308750000000003</v>
      </c>
      <c r="F6517" s="3">
        <f>VLOOKUP(B6517,airports!A:H,7,FALSE)</f>
        <v>33.640444440000003</v>
      </c>
      <c r="G6517" s="3">
        <f>VLOOKUP(B6517,airports!A:H,8,FALSE)</f>
        <v>-84.42694444</v>
      </c>
      <c r="H6517">
        <f t="shared" si="202"/>
        <v>1651.4</v>
      </c>
      <c r="I6517">
        <f t="shared" si="203"/>
        <v>1026.2</v>
      </c>
    </row>
    <row r="6518" spans="1:9" ht="30" x14ac:dyDescent="0.25">
      <c r="A6518" s="5" t="s">
        <v>117</v>
      </c>
      <c r="B6518" s="5" t="s">
        <v>19</v>
      </c>
      <c r="C6518" s="5" t="s">
        <v>7000</v>
      </c>
      <c r="D6518" s="3">
        <f>VLOOKUP(A6518,airports!A:H,7,FALSE)</f>
        <v>43.646166669999999</v>
      </c>
      <c r="E6518" s="3">
        <f>VLOOKUP(A6518,airports!A:H,8,FALSE)</f>
        <v>-70.308750000000003</v>
      </c>
      <c r="F6518" s="3">
        <f>VLOOKUP(B6518,airports!A:H,7,FALSE)</f>
        <v>36.12447667</v>
      </c>
      <c r="G6518" s="3">
        <f>VLOOKUP(B6518,airports!A:H,8,FALSE)</f>
        <v>-86.678182219999997</v>
      </c>
      <c r="H6518">
        <f t="shared" si="202"/>
        <v>1623.6</v>
      </c>
      <c r="I6518">
        <f t="shared" si="203"/>
        <v>1008.9</v>
      </c>
    </row>
    <row r="6519" spans="1:9" ht="30" x14ac:dyDescent="0.25">
      <c r="A6519" s="5" t="s">
        <v>117</v>
      </c>
      <c r="B6519" s="5" t="s">
        <v>32</v>
      </c>
      <c r="C6519" s="5" t="s">
        <v>7001</v>
      </c>
      <c r="D6519" s="3">
        <f>VLOOKUP(A6519,airports!A:H,7,FALSE)</f>
        <v>43.646166669999999</v>
      </c>
      <c r="E6519" s="3">
        <f>VLOOKUP(A6519,airports!A:H,8,FALSE)</f>
        <v>-70.308750000000003</v>
      </c>
      <c r="F6519" s="3">
        <f>VLOOKUP(B6519,airports!A:H,7,FALSE)</f>
        <v>39.175401669999999</v>
      </c>
      <c r="G6519" s="3">
        <f>VLOOKUP(B6519,airports!A:H,8,FALSE)</f>
        <v>-76.668198329999996</v>
      </c>
      <c r="H6519">
        <f t="shared" si="202"/>
        <v>726.5</v>
      </c>
      <c r="I6519">
        <f t="shared" si="203"/>
        <v>451.5</v>
      </c>
    </row>
    <row r="6520" spans="1:9" ht="30" x14ac:dyDescent="0.25">
      <c r="A6520" s="5" t="s">
        <v>117</v>
      </c>
      <c r="B6520" s="5" t="s">
        <v>38</v>
      </c>
      <c r="C6520" s="5" t="s">
        <v>7002</v>
      </c>
      <c r="D6520" s="3">
        <f>VLOOKUP(A6520,airports!A:H,7,FALSE)</f>
        <v>43.646166669999999</v>
      </c>
      <c r="E6520" s="3">
        <f>VLOOKUP(A6520,airports!A:H,8,FALSE)</f>
        <v>-70.308750000000003</v>
      </c>
      <c r="F6520" s="3">
        <f>VLOOKUP(B6520,airports!A:H,7,FALSE)</f>
        <v>41.410894169999999</v>
      </c>
      <c r="G6520" s="3">
        <f>VLOOKUP(B6520,airports!A:H,8,FALSE)</f>
        <v>-81.849396670000004</v>
      </c>
      <c r="H6520">
        <f t="shared" si="202"/>
        <v>976.9</v>
      </c>
      <c r="I6520">
        <f t="shared" si="203"/>
        <v>607.1</v>
      </c>
    </row>
    <row r="6521" spans="1:9" ht="30" x14ac:dyDescent="0.25">
      <c r="A6521" s="5" t="s">
        <v>117</v>
      </c>
      <c r="B6521" s="5" t="s">
        <v>40</v>
      </c>
      <c r="C6521" s="5" t="s">
        <v>7003</v>
      </c>
      <c r="D6521" s="3">
        <f>VLOOKUP(A6521,airports!A:H,7,FALSE)</f>
        <v>43.646166669999999</v>
      </c>
      <c r="E6521" s="3">
        <f>VLOOKUP(A6521,airports!A:H,8,FALSE)</f>
        <v>-70.308750000000003</v>
      </c>
      <c r="F6521" s="3">
        <f>VLOOKUP(B6521,airports!A:H,7,FALSE)</f>
        <v>35.214011110000001</v>
      </c>
      <c r="G6521" s="3">
        <f>VLOOKUP(B6521,airports!A:H,8,FALSE)</f>
        <v>-80.94312583</v>
      </c>
      <c r="H6521">
        <f t="shared" si="202"/>
        <v>1306.8</v>
      </c>
      <c r="I6521">
        <f t="shared" si="203"/>
        <v>812.1</v>
      </c>
    </row>
    <row r="6522" spans="1:9" ht="30" x14ac:dyDescent="0.25">
      <c r="A6522" s="5" t="s">
        <v>117</v>
      </c>
      <c r="B6522" s="5" t="s">
        <v>454</v>
      </c>
      <c r="C6522" s="5" t="s">
        <v>7004</v>
      </c>
      <c r="D6522" s="3">
        <f>VLOOKUP(A6522,airports!A:H,7,FALSE)</f>
        <v>43.646166669999999</v>
      </c>
      <c r="E6522" s="3">
        <f>VLOOKUP(A6522,airports!A:H,8,FALSE)</f>
        <v>-70.308750000000003</v>
      </c>
      <c r="F6522" s="3">
        <f>VLOOKUP(B6522,airports!A:H,7,FALSE)</f>
        <v>39.997985280000002</v>
      </c>
      <c r="G6522" s="3">
        <f>VLOOKUP(B6522,airports!A:H,8,FALSE)</f>
        <v>-82.891882780000003</v>
      </c>
      <c r="H6522">
        <f t="shared" si="202"/>
        <v>1117.4000000000001</v>
      </c>
      <c r="I6522">
        <f t="shared" si="203"/>
        <v>694.4</v>
      </c>
    </row>
    <row r="6523" spans="1:9" ht="30" x14ac:dyDescent="0.25">
      <c r="A6523" s="5" t="s">
        <v>117</v>
      </c>
      <c r="B6523" s="5" t="s">
        <v>462</v>
      </c>
      <c r="C6523" s="5" t="s">
        <v>7005</v>
      </c>
      <c r="D6523" s="3">
        <f>VLOOKUP(A6523,airports!A:H,7,FALSE)</f>
        <v>43.646166669999999</v>
      </c>
      <c r="E6523" s="3">
        <f>VLOOKUP(A6523,airports!A:H,8,FALSE)</f>
        <v>-70.308750000000003</v>
      </c>
      <c r="F6523" s="3">
        <f>VLOOKUP(B6523,airports!A:H,7,FALSE)</f>
        <v>39.046142779999997</v>
      </c>
      <c r="G6523" s="3">
        <f>VLOOKUP(B6523,airports!A:H,8,FALSE)</f>
        <v>-84.662172499999997</v>
      </c>
      <c r="H6523">
        <f t="shared" si="202"/>
        <v>1300.5999999999999</v>
      </c>
      <c r="I6523">
        <f t="shared" si="203"/>
        <v>808.2</v>
      </c>
    </row>
    <row r="6524" spans="1:9" ht="30" x14ac:dyDescent="0.25">
      <c r="A6524" s="5" t="s">
        <v>117</v>
      </c>
      <c r="B6524" s="5" t="s">
        <v>45</v>
      </c>
      <c r="C6524" s="5" t="s">
        <v>7006</v>
      </c>
      <c r="D6524" s="3">
        <f>VLOOKUP(A6524,airports!A:H,7,FALSE)</f>
        <v>43.646166669999999</v>
      </c>
      <c r="E6524" s="3">
        <f>VLOOKUP(A6524,airports!A:H,8,FALSE)</f>
        <v>-70.308750000000003</v>
      </c>
      <c r="F6524" s="3">
        <f>VLOOKUP(B6524,airports!A:H,7,FALSE)</f>
        <v>38.852083329999999</v>
      </c>
      <c r="G6524" s="3">
        <f>VLOOKUP(B6524,airports!A:H,8,FALSE)</f>
        <v>-77.037722220000006</v>
      </c>
      <c r="H6524">
        <f t="shared" si="202"/>
        <v>774.5</v>
      </c>
      <c r="I6524">
        <f t="shared" si="203"/>
        <v>481.3</v>
      </c>
    </row>
    <row r="6525" spans="1:9" ht="30" x14ac:dyDescent="0.25">
      <c r="A6525" s="5" t="s">
        <v>117</v>
      </c>
      <c r="B6525" s="5" t="s">
        <v>47</v>
      </c>
      <c r="C6525" s="5" t="s">
        <v>7007</v>
      </c>
      <c r="D6525" s="3">
        <f>VLOOKUP(A6525,airports!A:H,7,FALSE)</f>
        <v>43.646166669999999</v>
      </c>
      <c r="E6525" s="3">
        <f>VLOOKUP(A6525,airports!A:H,8,FALSE)</f>
        <v>-70.308750000000003</v>
      </c>
      <c r="F6525" s="3">
        <f>VLOOKUP(B6525,airports!A:H,7,FALSE)</f>
        <v>39.858408060000002</v>
      </c>
      <c r="G6525" s="3">
        <f>VLOOKUP(B6525,airports!A:H,8,FALSE)</f>
        <v>-104.6670019</v>
      </c>
      <c r="H6525">
        <f t="shared" si="202"/>
        <v>2860.3</v>
      </c>
      <c r="I6525">
        <f t="shared" si="203"/>
        <v>1777.4</v>
      </c>
    </row>
    <row r="6526" spans="1:9" ht="30" x14ac:dyDescent="0.25">
      <c r="A6526" s="5" t="s">
        <v>117</v>
      </c>
      <c r="B6526" s="5" t="s">
        <v>49</v>
      </c>
      <c r="C6526" s="5" t="s">
        <v>7008</v>
      </c>
      <c r="D6526" s="3">
        <f>VLOOKUP(A6526,airports!A:H,7,FALSE)</f>
        <v>43.646166669999999</v>
      </c>
      <c r="E6526" s="3">
        <f>VLOOKUP(A6526,airports!A:H,8,FALSE)</f>
        <v>-70.308750000000003</v>
      </c>
      <c r="F6526" s="3">
        <f>VLOOKUP(B6526,airports!A:H,7,FALSE)</f>
        <v>32.895950560000003</v>
      </c>
      <c r="G6526" s="3">
        <f>VLOOKUP(B6526,airports!A:H,8,FALSE)</f>
        <v>-97.037199999999999</v>
      </c>
      <c r="H6526">
        <f t="shared" si="202"/>
        <v>2605.6</v>
      </c>
      <c r="I6526">
        <f t="shared" si="203"/>
        <v>1619.1</v>
      </c>
    </row>
    <row r="6527" spans="1:9" ht="30" x14ac:dyDescent="0.25">
      <c r="A6527" s="5" t="s">
        <v>117</v>
      </c>
      <c r="B6527" s="5" t="s">
        <v>50</v>
      </c>
      <c r="C6527" s="5" t="s">
        <v>7009</v>
      </c>
      <c r="D6527" s="3">
        <f>VLOOKUP(A6527,airports!A:H,7,FALSE)</f>
        <v>43.646166669999999</v>
      </c>
      <c r="E6527" s="3">
        <f>VLOOKUP(A6527,airports!A:H,8,FALSE)</f>
        <v>-70.308750000000003</v>
      </c>
      <c r="F6527" s="3">
        <f>VLOOKUP(B6527,airports!A:H,7,FALSE)</f>
        <v>42.212058890000002</v>
      </c>
      <c r="G6527" s="3">
        <f>VLOOKUP(B6527,airports!A:H,8,FALSE)</f>
        <v>-83.348835829999999</v>
      </c>
      <c r="H6527">
        <f t="shared" si="202"/>
        <v>1072.4000000000001</v>
      </c>
      <c r="I6527">
        <f t="shared" si="203"/>
        <v>666.4</v>
      </c>
    </row>
    <row r="6528" spans="1:9" ht="30" x14ac:dyDescent="0.25">
      <c r="A6528" s="5" t="s">
        <v>117</v>
      </c>
      <c r="B6528" s="5" t="s">
        <v>52</v>
      </c>
      <c r="C6528" s="5" t="s">
        <v>7010</v>
      </c>
      <c r="D6528" s="3">
        <f>VLOOKUP(A6528,airports!A:H,7,FALSE)</f>
        <v>43.646166669999999</v>
      </c>
      <c r="E6528" s="3">
        <f>VLOOKUP(A6528,airports!A:H,8,FALSE)</f>
        <v>-70.308750000000003</v>
      </c>
      <c r="F6528" s="3">
        <f>VLOOKUP(B6528,airports!A:H,7,FALSE)</f>
        <v>40.69249722</v>
      </c>
      <c r="G6528" s="3">
        <f>VLOOKUP(B6528,airports!A:H,8,FALSE)</f>
        <v>-74.168660560000006</v>
      </c>
      <c r="H6528">
        <f t="shared" si="202"/>
        <v>457.1</v>
      </c>
      <c r="I6528">
        <f t="shared" si="203"/>
        <v>284.10000000000002</v>
      </c>
    </row>
    <row r="6529" spans="1:9" ht="30" x14ac:dyDescent="0.25">
      <c r="A6529" s="5" t="s">
        <v>117</v>
      </c>
      <c r="B6529" s="5" t="s">
        <v>57</v>
      </c>
      <c r="C6529" s="5" t="s">
        <v>7011</v>
      </c>
      <c r="D6529" s="3">
        <f>VLOOKUP(A6529,airports!A:H,7,FALSE)</f>
        <v>43.646166669999999</v>
      </c>
      <c r="E6529" s="3">
        <f>VLOOKUP(A6529,airports!A:H,8,FALSE)</f>
        <v>-70.308750000000003</v>
      </c>
      <c r="F6529" s="3">
        <f>VLOOKUP(B6529,airports!A:H,7,FALSE)</f>
        <v>26.072583330000001</v>
      </c>
      <c r="G6529" s="3">
        <f>VLOOKUP(B6529,airports!A:H,8,FALSE)</f>
        <v>-80.152749999999997</v>
      </c>
      <c r="H6529">
        <f t="shared" si="202"/>
        <v>2146.8000000000002</v>
      </c>
      <c r="I6529">
        <f t="shared" si="203"/>
        <v>1334.1</v>
      </c>
    </row>
    <row r="6530" spans="1:9" ht="30" x14ac:dyDescent="0.25">
      <c r="A6530" s="5" t="s">
        <v>117</v>
      </c>
      <c r="B6530" s="5" t="s">
        <v>176</v>
      </c>
      <c r="C6530" s="5" t="s">
        <v>7012</v>
      </c>
      <c r="D6530" s="3">
        <f>VLOOKUP(A6530,airports!A:H,7,FALSE)</f>
        <v>43.646166669999999</v>
      </c>
      <c r="E6530" s="3">
        <f>VLOOKUP(A6530,airports!A:H,8,FALSE)</f>
        <v>-70.308750000000003</v>
      </c>
      <c r="F6530" s="3">
        <f>VLOOKUP(B6530,airports!A:H,7,FALSE)</f>
        <v>38.944531939999997</v>
      </c>
      <c r="G6530" s="3">
        <f>VLOOKUP(B6530,airports!A:H,8,FALSE)</f>
        <v>-77.455809720000005</v>
      </c>
      <c r="H6530">
        <f t="shared" si="202"/>
        <v>793.1</v>
      </c>
      <c r="I6530">
        <f t="shared" si="203"/>
        <v>492.8</v>
      </c>
    </row>
    <row r="6531" spans="1:9" ht="30" x14ac:dyDescent="0.25">
      <c r="A6531" s="5" t="s">
        <v>117</v>
      </c>
      <c r="B6531" s="5" t="s">
        <v>537</v>
      </c>
      <c r="C6531" s="5" t="s">
        <v>7013</v>
      </c>
      <c r="D6531" s="3">
        <f>VLOOKUP(A6531,airports!A:H,7,FALSE)</f>
        <v>43.646166669999999</v>
      </c>
      <c r="E6531" s="3">
        <f>VLOOKUP(A6531,airports!A:H,8,FALSE)</f>
        <v>-70.308750000000003</v>
      </c>
      <c r="F6531" s="3">
        <f>VLOOKUP(B6531,airports!A:H,7,FALSE)</f>
        <v>39.717329169999999</v>
      </c>
      <c r="G6531" s="3">
        <f>VLOOKUP(B6531,airports!A:H,8,FALSE)</f>
        <v>-86.294384170000001</v>
      </c>
      <c r="H6531">
        <f t="shared" si="202"/>
        <v>1394.9</v>
      </c>
      <c r="I6531">
        <f t="shared" si="203"/>
        <v>866.8</v>
      </c>
    </row>
    <row r="6532" spans="1:9" ht="30" x14ac:dyDescent="0.25">
      <c r="A6532" s="5" t="s">
        <v>117</v>
      </c>
      <c r="B6532" s="5" t="s">
        <v>69</v>
      </c>
      <c r="C6532" s="5" t="s">
        <v>7014</v>
      </c>
      <c r="D6532" s="3">
        <f>VLOOKUP(A6532,airports!A:H,7,FALSE)</f>
        <v>43.646166669999999</v>
      </c>
      <c r="E6532" s="3">
        <f>VLOOKUP(A6532,airports!A:H,8,FALSE)</f>
        <v>-70.308750000000003</v>
      </c>
      <c r="F6532" s="3">
        <f>VLOOKUP(B6532,airports!A:H,7,FALSE)</f>
        <v>40.639751109999999</v>
      </c>
      <c r="G6532" s="3">
        <f>VLOOKUP(B6532,airports!A:H,8,FALSE)</f>
        <v>-73.778925560000005</v>
      </c>
      <c r="H6532">
        <f t="shared" ref="H6532:H6595" si="204">ROUND(ACOS(COS(RADIANS(90-D6532)) * COS(RADIANS(90-F6532)) + SIN(RADIANS(90-D6532)) * SIN(RADIANS(90-F6532)) * COS(RADIANS(E6532-G6532))) * 6371,1)</f>
        <v>439.9</v>
      </c>
      <c r="I6532">
        <f t="shared" ref="I6532:I6595" si="205">ROUND(ACOS(COS(RADIANS(90-D6532)) * COS(RADIANS(90-F6532)) + SIN(RADIANS(90-D6532)) * SIN(RADIANS(90-F6532)) * COS(RADIANS(E6532-G6532))) * 3959,1)</f>
        <v>273.39999999999998</v>
      </c>
    </row>
    <row r="6533" spans="1:9" ht="30" x14ac:dyDescent="0.25">
      <c r="A6533" s="5" t="s">
        <v>117</v>
      </c>
      <c r="B6533" s="5" t="s">
        <v>74</v>
      </c>
      <c r="C6533" s="5" t="s">
        <v>7015</v>
      </c>
      <c r="D6533" s="3">
        <f>VLOOKUP(A6533,airports!A:H,7,FALSE)</f>
        <v>43.646166669999999</v>
      </c>
      <c r="E6533" s="3">
        <f>VLOOKUP(A6533,airports!A:H,8,FALSE)</f>
        <v>-70.308750000000003</v>
      </c>
      <c r="F6533" s="3">
        <f>VLOOKUP(B6533,airports!A:H,7,FALSE)</f>
        <v>40.777243060000004</v>
      </c>
      <c r="G6533" s="3">
        <f>VLOOKUP(B6533,airports!A:H,8,FALSE)</f>
        <v>-73.872609170000004</v>
      </c>
      <c r="H6533">
        <f t="shared" si="204"/>
        <v>433.4</v>
      </c>
      <c r="I6533">
        <f t="shared" si="205"/>
        <v>269.3</v>
      </c>
    </row>
    <row r="6534" spans="1:9" ht="30" x14ac:dyDescent="0.25">
      <c r="A6534" s="5" t="s">
        <v>117</v>
      </c>
      <c r="B6534" s="5" t="s">
        <v>82</v>
      </c>
      <c r="C6534" s="5" t="s">
        <v>7016</v>
      </c>
      <c r="D6534" s="3">
        <f>VLOOKUP(A6534,airports!A:H,7,FALSE)</f>
        <v>43.646166669999999</v>
      </c>
      <c r="E6534" s="3">
        <f>VLOOKUP(A6534,airports!A:H,8,FALSE)</f>
        <v>-70.308750000000003</v>
      </c>
      <c r="F6534" s="3">
        <f>VLOOKUP(B6534,airports!A:H,7,FALSE)</f>
        <v>28.42888889</v>
      </c>
      <c r="G6534" s="3">
        <f>VLOOKUP(B6534,airports!A:H,8,FALSE)</f>
        <v>-81.316027779999999</v>
      </c>
      <c r="H6534">
        <f t="shared" si="204"/>
        <v>1956.2</v>
      </c>
      <c r="I6534">
        <f t="shared" si="205"/>
        <v>1215.5999999999999</v>
      </c>
    </row>
    <row r="6535" spans="1:9" ht="30" x14ac:dyDescent="0.25">
      <c r="A6535" s="5" t="s">
        <v>117</v>
      </c>
      <c r="B6535" s="5" t="s">
        <v>180</v>
      </c>
      <c r="C6535" s="5" t="s">
        <v>7017</v>
      </c>
      <c r="D6535" s="3">
        <f>VLOOKUP(A6535,airports!A:H,7,FALSE)</f>
        <v>43.646166669999999</v>
      </c>
      <c r="E6535" s="3">
        <f>VLOOKUP(A6535,airports!A:H,8,FALSE)</f>
        <v>-70.308750000000003</v>
      </c>
      <c r="F6535" s="3">
        <f>VLOOKUP(B6535,airports!A:H,7,FALSE)</f>
        <v>41.785982500000003</v>
      </c>
      <c r="G6535" s="3">
        <f>VLOOKUP(B6535,airports!A:H,8,FALSE)</f>
        <v>-87.752424439999999</v>
      </c>
      <c r="H6535">
        <f t="shared" si="204"/>
        <v>1437.3</v>
      </c>
      <c r="I6535">
        <f t="shared" si="205"/>
        <v>893.2</v>
      </c>
    </row>
    <row r="6536" spans="1:9" ht="30" x14ac:dyDescent="0.25">
      <c r="A6536" s="5" t="s">
        <v>117</v>
      </c>
      <c r="B6536" s="5" t="s">
        <v>84</v>
      </c>
      <c r="C6536" s="5" t="s">
        <v>7018</v>
      </c>
      <c r="D6536" s="3">
        <f>VLOOKUP(A6536,airports!A:H,7,FALSE)</f>
        <v>43.646166669999999</v>
      </c>
      <c r="E6536" s="3">
        <f>VLOOKUP(A6536,airports!A:H,8,FALSE)</f>
        <v>-70.308750000000003</v>
      </c>
      <c r="F6536" s="3">
        <f>VLOOKUP(B6536,airports!A:H,7,FALSE)</f>
        <v>25.79325</v>
      </c>
      <c r="G6536" s="3">
        <f>VLOOKUP(B6536,airports!A:H,8,FALSE)</f>
        <v>-80.290555560000001</v>
      </c>
      <c r="H6536">
        <f t="shared" si="204"/>
        <v>2180.8000000000002</v>
      </c>
      <c r="I6536">
        <f t="shared" si="205"/>
        <v>1355.2</v>
      </c>
    </row>
    <row r="6537" spans="1:9" ht="30" x14ac:dyDescent="0.25">
      <c r="A6537" s="5" t="s">
        <v>117</v>
      </c>
      <c r="B6537" s="5" t="s">
        <v>85</v>
      </c>
      <c r="C6537" s="5" t="s">
        <v>7019</v>
      </c>
      <c r="D6537" s="3">
        <f>VLOOKUP(A6537,airports!A:H,7,FALSE)</f>
        <v>43.646166669999999</v>
      </c>
      <c r="E6537" s="3">
        <f>VLOOKUP(A6537,airports!A:H,8,FALSE)</f>
        <v>-70.308750000000003</v>
      </c>
      <c r="F6537" s="3">
        <f>VLOOKUP(B6537,airports!A:H,7,FALSE)</f>
        <v>42.94722222</v>
      </c>
      <c r="G6537" s="3">
        <f>VLOOKUP(B6537,airports!A:H,8,FALSE)</f>
        <v>-87.896583329999999</v>
      </c>
      <c r="H6537">
        <f t="shared" si="204"/>
        <v>1422.8</v>
      </c>
      <c r="I6537">
        <f t="shared" si="205"/>
        <v>884.2</v>
      </c>
    </row>
    <row r="6538" spans="1:9" ht="30" x14ac:dyDescent="0.25">
      <c r="A6538" s="5" t="s">
        <v>117</v>
      </c>
      <c r="B6538" s="5" t="s">
        <v>87</v>
      </c>
      <c r="C6538" s="5" t="s">
        <v>7020</v>
      </c>
      <c r="D6538" s="3">
        <f>VLOOKUP(A6538,airports!A:H,7,FALSE)</f>
        <v>43.646166669999999</v>
      </c>
      <c r="E6538" s="3">
        <f>VLOOKUP(A6538,airports!A:H,8,FALSE)</f>
        <v>-70.308750000000003</v>
      </c>
      <c r="F6538" s="3">
        <f>VLOOKUP(B6538,airports!A:H,7,FALSE)</f>
        <v>44.880546940000002</v>
      </c>
      <c r="G6538" s="3">
        <f>VLOOKUP(B6538,airports!A:H,8,FALSE)</f>
        <v>-93.216922499999995</v>
      </c>
      <c r="H6538">
        <f t="shared" si="204"/>
        <v>1823.3</v>
      </c>
      <c r="I6538">
        <f t="shared" si="205"/>
        <v>1133</v>
      </c>
    </row>
    <row r="6539" spans="1:9" ht="30" x14ac:dyDescent="0.25">
      <c r="A6539" s="5" t="s">
        <v>117</v>
      </c>
      <c r="B6539" s="5" t="s">
        <v>182</v>
      </c>
      <c r="C6539" s="5" t="s">
        <v>7021</v>
      </c>
      <c r="D6539" s="3">
        <f>VLOOKUP(A6539,airports!A:H,7,FALSE)</f>
        <v>43.646166669999999</v>
      </c>
      <c r="E6539" s="3">
        <f>VLOOKUP(A6539,airports!A:H,8,FALSE)</f>
        <v>-70.308750000000003</v>
      </c>
      <c r="F6539" s="3">
        <f>VLOOKUP(B6539,airports!A:H,7,FALSE)</f>
        <v>33.679749999999999</v>
      </c>
      <c r="G6539" s="3">
        <f>VLOOKUP(B6539,airports!A:H,8,FALSE)</f>
        <v>-78.928333330000001</v>
      </c>
      <c r="H6539">
        <f t="shared" si="204"/>
        <v>1335.5</v>
      </c>
      <c r="I6539">
        <f t="shared" si="205"/>
        <v>829.9</v>
      </c>
    </row>
    <row r="6540" spans="1:9" ht="30" x14ac:dyDescent="0.25">
      <c r="A6540" s="5" t="s">
        <v>117</v>
      </c>
      <c r="B6540" s="5" t="s">
        <v>95</v>
      </c>
      <c r="C6540" s="5" t="s">
        <v>7022</v>
      </c>
      <c r="D6540" s="3">
        <f>VLOOKUP(A6540,airports!A:H,7,FALSE)</f>
        <v>43.646166669999999</v>
      </c>
      <c r="E6540" s="3">
        <f>VLOOKUP(A6540,airports!A:H,8,FALSE)</f>
        <v>-70.308750000000003</v>
      </c>
      <c r="F6540" s="3">
        <f>VLOOKUP(B6540,airports!A:H,7,FALSE)</f>
        <v>41.979595000000003</v>
      </c>
      <c r="G6540" s="3">
        <f>VLOOKUP(B6540,airports!A:H,8,FALSE)</f>
        <v>-87.904464169999997</v>
      </c>
      <c r="H6540">
        <f t="shared" si="204"/>
        <v>1444.4</v>
      </c>
      <c r="I6540">
        <f t="shared" si="205"/>
        <v>897.6</v>
      </c>
    </row>
    <row r="6541" spans="1:9" ht="30" x14ac:dyDescent="0.25">
      <c r="A6541" s="5" t="s">
        <v>117</v>
      </c>
      <c r="B6541" s="5" t="s">
        <v>102</v>
      </c>
      <c r="C6541" s="5" t="s">
        <v>7023</v>
      </c>
      <c r="D6541" s="3">
        <f>VLOOKUP(A6541,airports!A:H,7,FALSE)</f>
        <v>43.646166669999999</v>
      </c>
      <c r="E6541" s="3">
        <f>VLOOKUP(A6541,airports!A:H,8,FALSE)</f>
        <v>-70.308750000000003</v>
      </c>
      <c r="F6541" s="3">
        <f>VLOOKUP(B6541,airports!A:H,7,FALSE)</f>
        <v>39.871952780000001</v>
      </c>
      <c r="G6541" s="3">
        <f>VLOOKUP(B6541,airports!A:H,8,FALSE)</f>
        <v>-75.241140830000006</v>
      </c>
      <c r="H6541">
        <f t="shared" si="204"/>
        <v>585.9</v>
      </c>
      <c r="I6541">
        <f t="shared" si="205"/>
        <v>364.1</v>
      </c>
    </row>
    <row r="6542" spans="1:9" ht="30" x14ac:dyDescent="0.25">
      <c r="A6542" s="5" t="s">
        <v>117</v>
      </c>
      <c r="B6542" s="5" t="s">
        <v>106</v>
      </c>
      <c r="C6542" s="5" t="s">
        <v>7024</v>
      </c>
      <c r="D6542" s="3">
        <f>VLOOKUP(A6542,airports!A:H,7,FALSE)</f>
        <v>43.646166669999999</v>
      </c>
      <c r="E6542" s="3">
        <f>VLOOKUP(A6542,airports!A:H,8,FALSE)</f>
        <v>-70.308750000000003</v>
      </c>
      <c r="F6542" s="3">
        <f>VLOOKUP(B6542,airports!A:H,7,FALSE)</f>
        <v>40.491465830000003</v>
      </c>
      <c r="G6542" s="3">
        <f>VLOOKUP(B6542,airports!A:H,8,FALSE)</f>
        <v>-80.232870829999996</v>
      </c>
      <c r="H6542">
        <f t="shared" si="204"/>
        <v>890.4</v>
      </c>
      <c r="I6542">
        <f t="shared" si="205"/>
        <v>553.29999999999995</v>
      </c>
    </row>
    <row r="6543" spans="1:9" ht="30" x14ac:dyDescent="0.25">
      <c r="A6543" s="5" t="s">
        <v>117</v>
      </c>
      <c r="B6543" s="5" t="s">
        <v>119</v>
      </c>
      <c r="C6543" s="5" t="s">
        <v>7025</v>
      </c>
      <c r="D6543" s="3">
        <f>VLOOKUP(A6543,airports!A:H,7,FALSE)</f>
        <v>43.646166669999999</v>
      </c>
      <c r="E6543" s="3">
        <f>VLOOKUP(A6543,airports!A:H,8,FALSE)</f>
        <v>-70.308750000000003</v>
      </c>
      <c r="F6543" s="3">
        <f>VLOOKUP(B6543,airports!A:H,7,FALSE)</f>
        <v>35.87763889</v>
      </c>
      <c r="G6543" s="3">
        <f>VLOOKUP(B6543,airports!A:H,8,FALSE)</f>
        <v>-78.787472219999998</v>
      </c>
      <c r="H6543">
        <f t="shared" si="204"/>
        <v>1126.3</v>
      </c>
      <c r="I6543">
        <f t="shared" si="205"/>
        <v>699.9</v>
      </c>
    </row>
    <row r="6544" spans="1:9" ht="30" x14ac:dyDescent="0.25">
      <c r="A6544" s="5" t="s">
        <v>117</v>
      </c>
      <c r="B6544" s="5" t="s">
        <v>123</v>
      </c>
      <c r="C6544" s="5" t="s">
        <v>7026</v>
      </c>
      <c r="D6544" s="3">
        <f>VLOOKUP(A6544,airports!A:H,7,FALSE)</f>
        <v>43.646166669999999</v>
      </c>
      <c r="E6544" s="3">
        <f>VLOOKUP(A6544,airports!A:H,8,FALSE)</f>
        <v>-70.308750000000003</v>
      </c>
      <c r="F6544" s="3">
        <f>VLOOKUP(B6544,airports!A:H,7,FALSE)</f>
        <v>26.53616667</v>
      </c>
      <c r="G6544" s="3">
        <f>VLOOKUP(B6544,airports!A:H,8,FALSE)</f>
        <v>-81.755166669999994</v>
      </c>
      <c r="H6544">
        <f t="shared" si="204"/>
        <v>2164</v>
      </c>
      <c r="I6544">
        <f t="shared" si="205"/>
        <v>1344.7</v>
      </c>
    </row>
    <row r="6545" spans="1:9" ht="30" x14ac:dyDescent="0.25">
      <c r="A6545" s="5" t="s">
        <v>117</v>
      </c>
      <c r="B6545" s="5" t="s">
        <v>145</v>
      </c>
      <c r="C6545" s="5" t="s">
        <v>7027</v>
      </c>
      <c r="D6545" s="3">
        <f>VLOOKUP(A6545,airports!A:H,7,FALSE)</f>
        <v>43.646166669999999</v>
      </c>
      <c r="E6545" s="3">
        <f>VLOOKUP(A6545,airports!A:H,8,FALSE)</f>
        <v>-70.308750000000003</v>
      </c>
      <c r="F6545" s="3">
        <f>VLOOKUP(B6545,airports!A:H,7,FALSE)</f>
        <v>27.97547222</v>
      </c>
      <c r="G6545" s="3">
        <f>VLOOKUP(B6545,airports!A:H,8,FALSE)</f>
        <v>-82.533249999999995</v>
      </c>
      <c r="H6545">
        <f t="shared" si="204"/>
        <v>2056.8000000000002</v>
      </c>
      <c r="I6545">
        <f t="shared" si="205"/>
        <v>1278.0999999999999</v>
      </c>
    </row>
    <row r="6546" spans="1:9" ht="30" x14ac:dyDescent="0.25">
      <c r="A6546" s="5" t="s">
        <v>612</v>
      </c>
      <c r="B6546" s="5" t="s">
        <v>10</v>
      </c>
      <c r="C6546" s="5" t="s">
        <v>7028</v>
      </c>
      <c r="D6546" s="3">
        <f>VLOOKUP(A6546,airports!A:H,7,FALSE)</f>
        <v>44.045321389999998</v>
      </c>
      <c r="E6546" s="3">
        <f>VLOOKUP(A6546,airports!A:H,8,FALSE)</f>
        <v>-103.0573708</v>
      </c>
      <c r="F6546" s="3">
        <f>VLOOKUP(B6546,airports!A:H,7,FALSE)</f>
        <v>33.640444440000003</v>
      </c>
      <c r="G6546" s="3">
        <f>VLOOKUP(B6546,airports!A:H,8,FALSE)</f>
        <v>-84.42694444</v>
      </c>
      <c r="H6546">
        <f t="shared" si="204"/>
        <v>1977.8</v>
      </c>
      <c r="I6546">
        <f t="shared" si="205"/>
        <v>1229</v>
      </c>
    </row>
    <row r="6547" spans="1:9" ht="30" x14ac:dyDescent="0.25">
      <c r="A6547" s="5" t="s">
        <v>612</v>
      </c>
      <c r="B6547" s="5" t="s">
        <v>416</v>
      </c>
      <c r="C6547" s="5" t="s">
        <v>7029</v>
      </c>
      <c r="D6547" s="3">
        <f>VLOOKUP(A6547,airports!A:H,7,FALSE)</f>
        <v>44.045321389999998</v>
      </c>
      <c r="E6547" s="3">
        <f>VLOOKUP(A6547,airports!A:H,8,FALSE)</f>
        <v>-103.0573708</v>
      </c>
      <c r="F6547" s="3">
        <f>VLOOKUP(B6547,airports!A:H,7,FALSE)</f>
        <v>44.257408060000003</v>
      </c>
      <c r="G6547" s="3">
        <f>VLOOKUP(B6547,airports!A:H,8,FALSE)</f>
        <v>-88.519475560000004</v>
      </c>
      <c r="H6547">
        <f t="shared" si="204"/>
        <v>1158.5999999999999</v>
      </c>
      <c r="I6547">
        <f t="shared" si="205"/>
        <v>720</v>
      </c>
    </row>
    <row r="6548" spans="1:9" ht="30" x14ac:dyDescent="0.25">
      <c r="A6548" s="5" t="s">
        <v>612</v>
      </c>
      <c r="B6548" s="5" t="s">
        <v>329</v>
      </c>
      <c r="C6548" s="5" t="s">
        <v>7030</v>
      </c>
      <c r="D6548" s="3">
        <f>VLOOKUP(A6548,airports!A:H,7,FALSE)</f>
        <v>44.045321389999998</v>
      </c>
      <c r="E6548" s="3">
        <f>VLOOKUP(A6548,airports!A:H,8,FALSE)</f>
        <v>-103.0573708</v>
      </c>
      <c r="F6548" s="3">
        <f>VLOOKUP(B6548,airports!A:H,7,FALSE)</f>
        <v>33.308999999999997</v>
      </c>
      <c r="G6548" s="3">
        <f>VLOOKUP(B6548,airports!A:H,8,FALSE)</f>
        <v>-111.6559</v>
      </c>
      <c r="H6548">
        <f t="shared" si="204"/>
        <v>1406.1</v>
      </c>
      <c r="I6548">
        <f t="shared" si="205"/>
        <v>873.8</v>
      </c>
    </row>
    <row r="6549" spans="1:9" ht="30" x14ac:dyDescent="0.25">
      <c r="A6549" s="5" t="s">
        <v>612</v>
      </c>
      <c r="B6549" s="5" t="s">
        <v>19</v>
      </c>
      <c r="C6549" s="5" t="s">
        <v>7031</v>
      </c>
      <c r="D6549" s="3">
        <f>VLOOKUP(A6549,airports!A:H,7,FALSE)</f>
        <v>44.045321389999998</v>
      </c>
      <c r="E6549" s="3">
        <f>VLOOKUP(A6549,airports!A:H,8,FALSE)</f>
        <v>-103.0573708</v>
      </c>
      <c r="F6549" s="3">
        <f>VLOOKUP(B6549,airports!A:H,7,FALSE)</f>
        <v>36.12447667</v>
      </c>
      <c r="G6549" s="3">
        <f>VLOOKUP(B6549,airports!A:H,8,FALSE)</f>
        <v>-86.678182219999997</v>
      </c>
      <c r="H6549">
        <f t="shared" si="204"/>
        <v>1643.9</v>
      </c>
      <c r="I6549">
        <f t="shared" si="205"/>
        <v>1021.5</v>
      </c>
    </row>
    <row r="6550" spans="1:9" x14ac:dyDescent="0.25">
      <c r="A6550" s="5" t="s">
        <v>612</v>
      </c>
      <c r="B6550" s="5" t="s">
        <v>40</v>
      </c>
      <c r="C6550" s="5" t="s">
        <v>7032</v>
      </c>
      <c r="D6550" s="3">
        <f>VLOOKUP(A6550,airports!A:H,7,FALSE)</f>
        <v>44.045321389999998</v>
      </c>
      <c r="E6550" s="3">
        <f>VLOOKUP(A6550,airports!A:H,8,FALSE)</f>
        <v>-103.0573708</v>
      </c>
      <c r="F6550" s="3">
        <f>VLOOKUP(B6550,airports!A:H,7,FALSE)</f>
        <v>35.214011110000001</v>
      </c>
      <c r="G6550" s="3">
        <f>VLOOKUP(B6550,airports!A:H,8,FALSE)</f>
        <v>-80.94312583</v>
      </c>
      <c r="H6550">
        <f t="shared" si="204"/>
        <v>2123.9</v>
      </c>
      <c r="I6550">
        <f t="shared" si="205"/>
        <v>1319.8</v>
      </c>
    </row>
    <row r="6551" spans="1:9" ht="30" x14ac:dyDescent="0.25">
      <c r="A6551" s="5" t="s">
        <v>612</v>
      </c>
      <c r="B6551" s="5" t="s">
        <v>47</v>
      </c>
      <c r="C6551" s="5" t="s">
        <v>7033</v>
      </c>
      <c r="D6551" s="3">
        <f>VLOOKUP(A6551,airports!A:H,7,FALSE)</f>
        <v>44.045321389999998</v>
      </c>
      <c r="E6551" s="3">
        <f>VLOOKUP(A6551,airports!A:H,8,FALSE)</f>
        <v>-103.0573708</v>
      </c>
      <c r="F6551" s="3">
        <f>VLOOKUP(B6551,airports!A:H,7,FALSE)</f>
        <v>39.858408060000002</v>
      </c>
      <c r="G6551" s="3">
        <f>VLOOKUP(B6551,airports!A:H,8,FALSE)</f>
        <v>-104.6670019</v>
      </c>
      <c r="H6551">
        <f t="shared" si="204"/>
        <v>484.2</v>
      </c>
      <c r="I6551">
        <f t="shared" si="205"/>
        <v>300.89999999999998</v>
      </c>
    </row>
    <row r="6552" spans="1:9" ht="30" x14ac:dyDescent="0.25">
      <c r="A6552" s="5" t="s">
        <v>612</v>
      </c>
      <c r="B6552" s="5" t="s">
        <v>49</v>
      </c>
      <c r="C6552" s="5" t="s">
        <v>7034</v>
      </c>
      <c r="D6552" s="3">
        <f>VLOOKUP(A6552,airports!A:H,7,FALSE)</f>
        <v>44.045321389999998</v>
      </c>
      <c r="E6552" s="3">
        <f>VLOOKUP(A6552,airports!A:H,8,FALSE)</f>
        <v>-103.0573708</v>
      </c>
      <c r="F6552" s="3">
        <f>VLOOKUP(B6552,airports!A:H,7,FALSE)</f>
        <v>32.895950560000003</v>
      </c>
      <c r="G6552" s="3">
        <f>VLOOKUP(B6552,airports!A:H,8,FALSE)</f>
        <v>-97.037199999999999</v>
      </c>
      <c r="H6552">
        <f t="shared" si="204"/>
        <v>1345</v>
      </c>
      <c r="I6552">
        <f t="shared" si="205"/>
        <v>835.8</v>
      </c>
    </row>
    <row r="6553" spans="1:9" ht="30" x14ac:dyDescent="0.25">
      <c r="A6553" s="5" t="s">
        <v>612</v>
      </c>
      <c r="B6553" s="5" t="s">
        <v>474</v>
      </c>
      <c r="C6553" s="5" t="s">
        <v>7035</v>
      </c>
      <c r="D6553" s="3">
        <f>VLOOKUP(A6553,airports!A:H,7,FALSE)</f>
        <v>44.045321389999998</v>
      </c>
      <c r="E6553" s="3">
        <f>VLOOKUP(A6553,airports!A:H,8,FALSE)</f>
        <v>-103.0573708</v>
      </c>
      <c r="F6553" s="3">
        <f>VLOOKUP(B6553,airports!A:H,7,FALSE)</f>
        <v>41.53493306</v>
      </c>
      <c r="G6553" s="3">
        <f>VLOOKUP(B6553,airports!A:H,8,FALSE)</f>
        <v>-93.660682219999998</v>
      </c>
      <c r="H6553">
        <f t="shared" si="204"/>
        <v>815.4</v>
      </c>
      <c r="I6553">
        <f t="shared" si="205"/>
        <v>506.7</v>
      </c>
    </row>
    <row r="6554" spans="1:9" ht="30" x14ac:dyDescent="0.25">
      <c r="A6554" s="5" t="s">
        <v>612</v>
      </c>
      <c r="B6554" s="5" t="s">
        <v>50</v>
      </c>
      <c r="C6554" s="5" t="s">
        <v>7036</v>
      </c>
      <c r="D6554" s="3">
        <f>VLOOKUP(A6554,airports!A:H,7,FALSE)</f>
        <v>44.045321389999998</v>
      </c>
      <c r="E6554" s="3">
        <f>VLOOKUP(A6554,airports!A:H,8,FALSE)</f>
        <v>-103.0573708</v>
      </c>
      <c r="F6554" s="3">
        <f>VLOOKUP(B6554,airports!A:H,7,FALSE)</f>
        <v>42.212058890000002</v>
      </c>
      <c r="G6554" s="3">
        <f>VLOOKUP(B6554,airports!A:H,8,FALSE)</f>
        <v>-83.348835829999999</v>
      </c>
      <c r="H6554">
        <f t="shared" si="204"/>
        <v>1608.4</v>
      </c>
      <c r="I6554">
        <f t="shared" si="205"/>
        <v>999.5</v>
      </c>
    </row>
    <row r="6555" spans="1:9" ht="30" x14ac:dyDescent="0.25">
      <c r="A6555" s="5" t="s">
        <v>612</v>
      </c>
      <c r="B6555" s="5" t="s">
        <v>52</v>
      </c>
      <c r="C6555" s="5" t="s">
        <v>7037</v>
      </c>
      <c r="D6555" s="3">
        <f>VLOOKUP(A6555,airports!A:H,7,FALSE)</f>
        <v>44.045321389999998</v>
      </c>
      <c r="E6555" s="3">
        <f>VLOOKUP(A6555,airports!A:H,8,FALSE)</f>
        <v>-103.0573708</v>
      </c>
      <c r="F6555" s="3">
        <f>VLOOKUP(B6555,airports!A:H,7,FALSE)</f>
        <v>40.69249722</v>
      </c>
      <c r="G6555" s="3">
        <f>VLOOKUP(B6555,airports!A:H,8,FALSE)</f>
        <v>-74.168660560000006</v>
      </c>
      <c r="H6555">
        <f t="shared" si="204"/>
        <v>2389.8000000000002</v>
      </c>
      <c r="I6555">
        <f t="shared" si="205"/>
        <v>1485.1</v>
      </c>
    </row>
    <row r="6556" spans="1:9" ht="30" x14ac:dyDescent="0.25">
      <c r="A6556" s="5" t="s">
        <v>612</v>
      </c>
      <c r="B6556" s="5" t="s">
        <v>515</v>
      </c>
      <c r="C6556" s="5" t="s">
        <v>7038</v>
      </c>
      <c r="D6556" s="3">
        <f>VLOOKUP(A6556,airports!A:H,7,FALSE)</f>
        <v>44.045321389999998</v>
      </c>
      <c r="E6556" s="3">
        <f>VLOOKUP(A6556,airports!A:H,8,FALSE)</f>
        <v>-103.0573708</v>
      </c>
      <c r="F6556" s="3">
        <f>VLOOKUP(B6556,airports!A:H,7,FALSE)</f>
        <v>42.880819719999998</v>
      </c>
      <c r="G6556" s="3">
        <f>VLOOKUP(B6556,airports!A:H,8,FALSE)</f>
        <v>-85.522767779999995</v>
      </c>
      <c r="H6556">
        <f t="shared" si="204"/>
        <v>1418.4</v>
      </c>
      <c r="I6556">
        <f t="shared" si="205"/>
        <v>881.4</v>
      </c>
    </row>
    <row r="6557" spans="1:9" ht="30" x14ac:dyDescent="0.25">
      <c r="A6557" s="5" t="s">
        <v>612</v>
      </c>
      <c r="B6557" s="5" t="s">
        <v>67</v>
      </c>
      <c r="C6557" s="5" t="s">
        <v>7039</v>
      </c>
      <c r="D6557" s="3">
        <f>VLOOKUP(A6557,airports!A:H,7,FALSE)</f>
        <v>44.045321389999998</v>
      </c>
      <c r="E6557" s="3">
        <f>VLOOKUP(A6557,airports!A:H,8,FALSE)</f>
        <v>-103.0573708</v>
      </c>
      <c r="F6557" s="3">
        <f>VLOOKUP(B6557,airports!A:H,7,FALSE)</f>
        <v>29.980472219999999</v>
      </c>
      <c r="G6557" s="3">
        <f>VLOOKUP(B6557,airports!A:H,8,FALSE)</f>
        <v>-95.339722219999999</v>
      </c>
      <c r="H6557">
        <f t="shared" si="204"/>
        <v>1705.5</v>
      </c>
      <c r="I6557">
        <f t="shared" si="205"/>
        <v>1059.8</v>
      </c>
    </row>
    <row r="6558" spans="1:9" ht="30" x14ac:dyDescent="0.25">
      <c r="A6558" s="5" t="s">
        <v>612</v>
      </c>
      <c r="B6558" s="5" t="s">
        <v>537</v>
      </c>
      <c r="C6558" s="5" t="s">
        <v>7040</v>
      </c>
      <c r="D6558" s="3">
        <f>VLOOKUP(A6558,airports!A:H,7,FALSE)</f>
        <v>44.045321389999998</v>
      </c>
      <c r="E6558" s="3">
        <f>VLOOKUP(A6558,airports!A:H,8,FALSE)</f>
        <v>-103.0573708</v>
      </c>
      <c r="F6558" s="3">
        <f>VLOOKUP(B6558,airports!A:H,7,FALSE)</f>
        <v>39.717329169999999</v>
      </c>
      <c r="G6558" s="3">
        <f>VLOOKUP(B6558,airports!A:H,8,FALSE)</f>
        <v>-86.294384170000001</v>
      </c>
      <c r="H6558">
        <f t="shared" si="204"/>
        <v>1465.7</v>
      </c>
      <c r="I6558">
        <f t="shared" si="205"/>
        <v>910.8</v>
      </c>
    </row>
    <row r="6559" spans="1:9" ht="30" x14ac:dyDescent="0.25">
      <c r="A6559" s="5" t="s">
        <v>612</v>
      </c>
      <c r="B6559" s="5" t="s">
        <v>71</v>
      </c>
      <c r="C6559" s="5" t="s">
        <v>7041</v>
      </c>
      <c r="D6559" s="3">
        <f>VLOOKUP(A6559,airports!A:H,7,FALSE)</f>
        <v>44.045321389999998</v>
      </c>
      <c r="E6559" s="3">
        <f>VLOOKUP(A6559,airports!A:H,8,FALSE)</f>
        <v>-103.0573708</v>
      </c>
      <c r="F6559" s="3">
        <f>VLOOKUP(B6559,airports!A:H,7,FALSE)</f>
        <v>36.080361109999998</v>
      </c>
      <c r="G6559" s="3">
        <f>VLOOKUP(B6559,airports!A:H,8,FALSE)</f>
        <v>-115.1523333</v>
      </c>
      <c r="H6559">
        <f t="shared" si="204"/>
        <v>1355.3</v>
      </c>
      <c r="I6559">
        <f t="shared" si="205"/>
        <v>842.2</v>
      </c>
    </row>
    <row r="6560" spans="1:9" ht="30" x14ac:dyDescent="0.25">
      <c r="A6560" s="5" t="s">
        <v>612</v>
      </c>
      <c r="B6560" s="5" t="s">
        <v>73</v>
      </c>
      <c r="C6560" s="5" t="s">
        <v>7042</v>
      </c>
      <c r="D6560" s="3">
        <f>VLOOKUP(A6560,airports!A:H,7,FALSE)</f>
        <v>44.045321389999998</v>
      </c>
      <c r="E6560" s="3">
        <f>VLOOKUP(A6560,airports!A:H,8,FALSE)</f>
        <v>-103.0573708</v>
      </c>
      <c r="F6560" s="3">
        <f>VLOOKUP(B6560,airports!A:H,7,FALSE)</f>
        <v>33.942536109999999</v>
      </c>
      <c r="G6560" s="3">
        <f>VLOOKUP(B6560,airports!A:H,8,FALSE)</f>
        <v>-118.4080744</v>
      </c>
      <c r="H6560">
        <f t="shared" si="204"/>
        <v>1733.3</v>
      </c>
      <c r="I6560">
        <f t="shared" si="205"/>
        <v>1077.0999999999999</v>
      </c>
    </row>
    <row r="6561" spans="1:9" ht="30" x14ac:dyDescent="0.25">
      <c r="A6561" s="5" t="s">
        <v>612</v>
      </c>
      <c r="B6561" s="5" t="s">
        <v>74</v>
      </c>
      <c r="C6561" s="5" t="s">
        <v>7043</v>
      </c>
      <c r="D6561" s="3">
        <f>VLOOKUP(A6561,airports!A:H,7,FALSE)</f>
        <v>44.045321389999998</v>
      </c>
      <c r="E6561" s="3">
        <f>VLOOKUP(A6561,airports!A:H,8,FALSE)</f>
        <v>-103.0573708</v>
      </c>
      <c r="F6561" s="3">
        <f>VLOOKUP(B6561,airports!A:H,7,FALSE)</f>
        <v>40.777243060000004</v>
      </c>
      <c r="G6561" s="3">
        <f>VLOOKUP(B6561,airports!A:H,8,FALSE)</f>
        <v>-73.872609170000004</v>
      </c>
      <c r="H6561">
        <f t="shared" si="204"/>
        <v>2410.5</v>
      </c>
      <c r="I6561">
        <f t="shared" si="205"/>
        <v>1497.9</v>
      </c>
    </row>
    <row r="6562" spans="1:9" ht="30" x14ac:dyDescent="0.25">
      <c r="A6562" s="5" t="s">
        <v>612</v>
      </c>
      <c r="B6562" s="5" t="s">
        <v>87</v>
      </c>
      <c r="C6562" s="5" t="s">
        <v>7044</v>
      </c>
      <c r="D6562" s="3">
        <f>VLOOKUP(A6562,airports!A:H,7,FALSE)</f>
        <v>44.045321389999998</v>
      </c>
      <c r="E6562" s="3">
        <f>VLOOKUP(A6562,airports!A:H,8,FALSE)</f>
        <v>-103.0573708</v>
      </c>
      <c r="F6562" s="3">
        <f>VLOOKUP(B6562,airports!A:H,7,FALSE)</f>
        <v>44.880546940000002</v>
      </c>
      <c r="G6562" s="3">
        <f>VLOOKUP(B6562,airports!A:H,8,FALSE)</f>
        <v>-93.216922499999995</v>
      </c>
      <c r="H6562">
        <f t="shared" si="204"/>
        <v>785.9</v>
      </c>
      <c r="I6562">
        <f t="shared" si="205"/>
        <v>488.4</v>
      </c>
    </row>
    <row r="6563" spans="1:9" ht="30" x14ac:dyDescent="0.25">
      <c r="A6563" s="5" t="s">
        <v>612</v>
      </c>
      <c r="B6563" s="5" t="s">
        <v>95</v>
      </c>
      <c r="C6563" s="5" t="s">
        <v>7045</v>
      </c>
      <c r="D6563" s="3">
        <f>VLOOKUP(A6563,airports!A:H,7,FALSE)</f>
        <v>44.045321389999998</v>
      </c>
      <c r="E6563" s="3">
        <f>VLOOKUP(A6563,airports!A:H,8,FALSE)</f>
        <v>-103.0573708</v>
      </c>
      <c r="F6563" s="3">
        <f>VLOOKUP(B6563,airports!A:H,7,FALSE)</f>
        <v>41.979595000000003</v>
      </c>
      <c r="G6563" s="3">
        <f>VLOOKUP(B6563,airports!A:H,8,FALSE)</f>
        <v>-87.904464169999997</v>
      </c>
      <c r="H6563">
        <f t="shared" si="204"/>
        <v>1251.4000000000001</v>
      </c>
      <c r="I6563">
        <f t="shared" si="205"/>
        <v>777.6</v>
      </c>
    </row>
    <row r="6564" spans="1:9" ht="30" x14ac:dyDescent="0.25">
      <c r="A6564" s="5" t="s">
        <v>612</v>
      </c>
      <c r="B6564" s="5" t="s">
        <v>185</v>
      </c>
      <c r="C6564" s="5" t="s">
        <v>7046</v>
      </c>
      <c r="D6564" s="3">
        <f>VLOOKUP(A6564,airports!A:H,7,FALSE)</f>
        <v>44.045321389999998</v>
      </c>
      <c r="E6564" s="3">
        <f>VLOOKUP(A6564,airports!A:H,8,FALSE)</f>
        <v>-103.0573708</v>
      </c>
      <c r="F6564" s="3">
        <f>VLOOKUP(B6564,airports!A:H,7,FALSE)</f>
        <v>26.919699999999999</v>
      </c>
      <c r="G6564" s="3">
        <f>VLOOKUP(B6564,airports!A:H,8,FALSE)</f>
        <v>-81.995999999999995</v>
      </c>
      <c r="H6564">
        <f t="shared" si="204"/>
        <v>2679.6</v>
      </c>
      <c r="I6564">
        <f t="shared" si="205"/>
        <v>1665.1</v>
      </c>
    </row>
    <row r="6565" spans="1:9" ht="30" x14ac:dyDescent="0.25">
      <c r="A6565" s="5" t="s">
        <v>612</v>
      </c>
      <c r="B6565" s="5" t="s">
        <v>104</v>
      </c>
      <c r="C6565" s="5" t="s">
        <v>7047</v>
      </c>
      <c r="D6565" s="3">
        <f>VLOOKUP(A6565,airports!A:H,7,FALSE)</f>
        <v>44.045321389999998</v>
      </c>
      <c r="E6565" s="3">
        <f>VLOOKUP(A6565,airports!A:H,8,FALSE)</f>
        <v>-103.0573708</v>
      </c>
      <c r="F6565" s="3">
        <f>VLOOKUP(B6565,airports!A:H,7,FALSE)</f>
        <v>33.434166670000003</v>
      </c>
      <c r="G6565" s="3">
        <f>VLOOKUP(B6565,airports!A:H,8,FALSE)</f>
        <v>-112.00805560000001</v>
      </c>
      <c r="H6565">
        <f t="shared" si="204"/>
        <v>1410.4</v>
      </c>
      <c r="I6565">
        <f t="shared" si="205"/>
        <v>876.5</v>
      </c>
    </row>
    <row r="6566" spans="1:9" x14ac:dyDescent="0.25">
      <c r="A6566" s="5" t="s">
        <v>612</v>
      </c>
      <c r="B6566" s="5" t="s">
        <v>604</v>
      </c>
      <c r="C6566" s="5" t="s">
        <v>7048</v>
      </c>
      <c r="D6566" s="3">
        <f>VLOOKUP(A6566,airports!A:H,7,FALSE)</f>
        <v>44.045321389999998</v>
      </c>
      <c r="E6566" s="3">
        <f>VLOOKUP(A6566,airports!A:H,8,FALSE)</f>
        <v>-103.0573708</v>
      </c>
      <c r="F6566" s="3">
        <f>VLOOKUP(B6566,airports!A:H,7,FALSE)</f>
        <v>40.664243329999998</v>
      </c>
      <c r="G6566" s="3">
        <f>VLOOKUP(B6566,airports!A:H,8,FALSE)</f>
        <v>-89.693305559999999</v>
      </c>
      <c r="H6566">
        <f t="shared" si="204"/>
        <v>1159.0999999999999</v>
      </c>
      <c r="I6566">
        <f t="shared" si="205"/>
        <v>720.3</v>
      </c>
    </row>
    <row r="6567" spans="1:9" x14ac:dyDescent="0.25">
      <c r="A6567" s="5" t="s">
        <v>612</v>
      </c>
      <c r="B6567" s="5" t="s">
        <v>693</v>
      </c>
      <c r="C6567" s="5" t="s">
        <v>7049</v>
      </c>
      <c r="D6567" s="3">
        <f>VLOOKUP(A6567,airports!A:H,7,FALSE)</f>
        <v>44.045321389999998</v>
      </c>
      <c r="E6567" s="3">
        <f>VLOOKUP(A6567,airports!A:H,8,FALSE)</f>
        <v>-103.0573708</v>
      </c>
      <c r="F6567" s="3">
        <f>VLOOKUP(B6567,airports!A:H,7,FALSE)</f>
        <v>44.382676940000003</v>
      </c>
      <c r="G6567" s="3">
        <f>VLOOKUP(B6567,airports!A:H,8,FALSE)</f>
        <v>-100.285965</v>
      </c>
      <c r="H6567">
        <f t="shared" si="204"/>
        <v>224</v>
      </c>
      <c r="I6567">
        <f t="shared" si="205"/>
        <v>139.19999999999999</v>
      </c>
    </row>
    <row r="6568" spans="1:9" x14ac:dyDescent="0.25">
      <c r="A6568" s="5" t="s">
        <v>612</v>
      </c>
      <c r="B6568" s="5" t="s">
        <v>106</v>
      </c>
      <c r="C6568" s="5" t="s">
        <v>7050</v>
      </c>
      <c r="D6568" s="3">
        <f>VLOOKUP(A6568,airports!A:H,7,FALSE)</f>
        <v>44.045321389999998</v>
      </c>
      <c r="E6568" s="3">
        <f>VLOOKUP(A6568,airports!A:H,8,FALSE)</f>
        <v>-103.0573708</v>
      </c>
      <c r="F6568" s="3">
        <f>VLOOKUP(B6568,airports!A:H,7,FALSE)</f>
        <v>40.491465830000003</v>
      </c>
      <c r="G6568" s="3">
        <f>VLOOKUP(B6568,airports!A:H,8,FALSE)</f>
        <v>-80.232870829999996</v>
      </c>
      <c r="H6568">
        <f t="shared" si="204"/>
        <v>1912.7</v>
      </c>
      <c r="I6568">
        <f t="shared" si="205"/>
        <v>1188.5</v>
      </c>
    </row>
    <row r="6569" spans="1:9" ht="30" x14ac:dyDescent="0.25">
      <c r="A6569" s="5" t="s">
        <v>612</v>
      </c>
      <c r="B6569" s="5" t="s">
        <v>191</v>
      </c>
      <c r="C6569" s="5" t="s">
        <v>7051</v>
      </c>
      <c r="D6569" s="3">
        <f>VLOOKUP(A6569,airports!A:H,7,FALSE)</f>
        <v>44.045321389999998</v>
      </c>
      <c r="E6569" s="3">
        <f>VLOOKUP(A6569,airports!A:H,8,FALSE)</f>
        <v>-103.0573708</v>
      </c>
      <c r="F6569" s="3">
        <f>VLOOKUP(B6569,airports!A:H,7,FALSE)</f>
        <v>28.7776</v>
      </c>
      <c r="G6569" s="3">
        <f>VLOOKUP(B6569,airports!A:H,8,FALSE)</f>
        <v>-81.237499999999997</v>
      </c>
      <c r="H6569">
        <f t="shared" si="204"/>
        <v>2572.6999999999998</v>
      </c>
      <c r="I6569">
        <f t="shared" si="205"/>
        <v>1598.7</v>
      </c>
    </row>
    <row r="6570" spans="1:9" ht="30" x14ac:dyDescent="0.25">
      <c r="A6570" s="5" t="s">
        <v>612</v>
      </c>
      <c r="B6570" s="5" t="s">
        <v>130</v>
      </c>
      <c r="C6570" s="5" t="s">
        <v>7052</v>
      </c>
      <c r="D6570" s="3">
        <f>VLOOKUP(A6570,airports!A:H,7,FALSE)</f>
        <v>44.045321389999998</v>
      </c>
      <c r="E6570" s="3">
        <f>VLOOKUP(A6570,airports!A:H,8,FALSE)</f>
        <v>-103.0573708</v>
      </c>
      <c r="F6570" s="3">
        <f>VLOOKUP(B6570,airports!A:H,7,FALSE)</f>
        <v>37.619001939999997</v>
      </c>
      <c r="G6570" s="3">
        <f>VLOOKUP(B6570,airports!A:H,8,FALSE)</f>
        <v>-122.37484329999999</v>
      </c>
      <c r="H6570">
        <f t="shared" si="204"/>
        <v>1769.8</v>
      </c>
      <c r="I6570">
        <f t="shared" si="205"/>
        <v>1099.8</v>
      </c>
    </row>
    <row r="6571" spans="1:9" x14ac:dyDescent="0.25">
      <c r="A6571" s="5" t="s">
        <v>612</v>
      </c>
      <c r="B6571" s="5" t="s">
        <v>135</v>
      </c>
      <c r="C6571" s="5" t="s">
        <v>7053</v>
      </c>
      <c r="D6571" s="3">
        <f>VLOOKUP(A6571,airports!A:H,7,FALSE)</f>
        <v>44.045321389999998</v>
      </c>
      <c r="E6571" s="3">
        <f>VLOOKUP(A6571,airports!A:H,8,FALSE)</f>
        <v>-103.0573708</v>
      </c>
      <c r="F6571" s="3">
        <f>VLOOKUP(B6571,airports!A:H,7,FALSE)</f>
        <v>40.788387780000001</v>
      </c>
      <c r="G6571" s="3">
        <f>VLOOKUP(B6571,airports!A:H,8,FALSE)</f>
        <v>-111.97777309999999</v>
      </c>
      <c r="H6571">
        <f t="shared" si="204"/>
        <v>816.3</v>
      </c>
      <c r="I6571">
        <f t="shared" si="205"/>
        <v>507.3</v>
      </c>
    </row>
    <row r="6572" spans="1:9" x14ac:dyDescent="0.25">
      <c r="A6572" s="5" t="s">
        <v>612</v>
      </c>
      <c r="B6572" s="5" t="s">
        <v>664</v>
      </c>
      <c r="C6572" s="5" t="s">
        <v>7054</v>
      </c>
      <c r="D6572" s="3">
        <f>VLOOKUP(A6572,airports!A:H,7,FALSE)</f>
        <v>44.045321389999998</v>
      </c>
      <c r="E6572" s="3">
        <f>VLOOKUP(A6572,airports!A:H,8,FALSE)</f>
        <v>-103.0573708</v>
      </c>
      <c r="F6572" s="3">
        <f>VLOOKUP(B6572,airports!A:H,7,FALSE)</f>
        <v>35.812487220000001</v>
      </c>
      <c r="G6572" s="3">
        <f>VLOOKUP(B6572,airports!A:H,8,FALSE)</f>
        <v>-83.992855829999996</v>
      </c>
      <c r="H6572">
        <f t="shared" si="204"/>
        <v>1859.1</v>
      </c>
      <c r="I6572">
        <f t="shared" si="205"/>
        <v>1155.3</v>
      </c>
    </row>
    <row r="6573" spans="1:9" ht="30" x14ac:dyDescent="0.25">
      <c r="A6573" s="5" t="s">
        <v>4655</v>
      </c>
      <c r="B6573" s="5" t="s">
        <v>247</v>
      </c>
      <c r="C6573" s="5" t="s">
        <v>7055</v>
      </c>
      <c r="D6573" s="3">
        <f>VLOOKUP(A6573,airports!A:H,7,FALSE)</f>
        <v>40.508983610000001</v>
      </c>
      <c r="E6573" s="3">
        <f>VLOOKUP(A6573,airports!A:H,8,FALSE)</f>
        <v>-122.29340190000001</v>
      </c>
      <c r="F6573" s="3">
        <f>VLOOKUP(B6573,airports!A:H,7,FALSE)</f>
        <v>40.978115279999997</v>
      </c>
      <c r="G6573" s="3">
        <f>VLOOKUP(B6573,airports!A:H,8,FALSE)</f>
        <v>-124.1086189</v>
      </c>
      <c r="H6573">
        <f t="shared" si="204"/>
        <v>161.6</v>
      </c>
      <c r="I6573">
        <f t="shared" si="205"/>
        <v>100.4</v>
      </c>
    </row>
    <row r="6574" spans="1:9" ht="30" x14ac:dyDescent="0.25">
      <c r="A6574" s="5" t="s">
        <v>4655</v>
      </c>
      <c r="B6574" s="5" t="s">
        <v>73</v>
      </c>
      <c r="C6574" s="5" t="s">
        <v>7056</v>
      </c>
      <c r="D6574" s="3">
        <f>VLOOKUP(A6574,airports!A:H,7,FALSE)</f>
        <v>40.508983610000001</v>
      </c>
      <c r="E6574" s="3">
        <f>VLOOKUP(A6574,airports!A:H,8,FALSE)</f>
        <v>-122.29340190000001</v>
      </c>
      <c r="F6574" s="3">
        <f>VLOOKUP(B6574,airports!A:H,7,FALSE)</f>
        <v>33.942536109999999</v>
      </c>
      <c r="G6574" s="3">
        <f>VLOOKUP(B6574,airports!A:H,8,FALSE)</f>
        <v>-118.4080744</v>
      </c>
      <c r="H6574">
        <f t="shared" si="204"/>
        <v>806.9</v>
      </c>
      <c r="I6574">
        <f t="shared" si="205"/>
        <v>501.4</v>
      </c>
    </row>
    <row r="6575" spans="1:9" ht="30" x14ac:dyDescent="0.25">
      <c r="A6575" s="5" t="s">
        <v>4655</v>
      </c>
      <c r="B6575" s="5" t="s">
        <v>128</v>
      </c>
      <c r="C6575" s="5" t="s">
        <v>7057</v>
      </c>
      <c r="D6575" s="3">
        <f>VLOOKUP(A6575,airports!A:H,7,FALSE)</f>
        <v>40.508983610000001</v>
      </c>
      <c r="E6575" s="3">
        <f>VLOOKUP(A6575,airports!A:H,8,FALSE)</f>
        <v>-122.29340190000001</v>
      </c>
      <c r="F6575" s="3">
        <f>VLOOKUP(B6575,airports!A:H,7,FALSE)</f>
        <v>47.448981940000003</v>
      </c>
      <c r="G6575" s="3">
        <f>VLOOKUP(B6575,airports!A:H,8,FALSE)</f>
        <v>-122.3093131</v>
      </c>
      <c r="H6575">
        <f t="shared" si="204"/>
        <v>771.7</v>
      </c>
      <c r="I6575">
        <f t="shared" si="205"/>
        <v>479.5</v>
      </c>
    </row>
    <row r="6576" spans="1:9" ht="30" x14ac:dyDescent="0.25">
      <c r="A6576" s="5" t="s">
        <v>4655</v>
      </c>
      <c r="B6576" s="5" t="s">
        <v>130</v>
      </c>
      <c r="C6576" s="5" t="s">
        <v>7058</v>
      </c>
      <c r="D6576" s="3">
        <f>VLOOKUP(A6576,airports!A:H,7,FALSE)</f>
        <v>40.508983610000001</v>
      </c>
      <c r="E6576" s="3">
        <f>VLOOKUP(A6576,airports!A:H,8,FALSE)</f>
        <v>-122.29340190000001</v>
      </c>
      <c r="F6576" s="3">
        <f>VLOOKUP(B6576,airports!A:H,7,FALSE)</f>
        <v>37.619001939999997</v>
      </c>
      <c r="G6576" s="3">
        <f>VLOOKUP(B6576,airports!A:H,8,FALSE)</f>
        <v>-122.37484329999999</v>
      </c>
      <c r="H6576">
        <f t="shared" si="204"/>
        <v>321.39999999999998</v>
      </c>
      <c r="I6576">
        <f t="shared" si="205"/>
        <v>199.7</v>
      </c>
    </row>
    <row r="6577" spans="1:9" ht="30" x14ac:dyDescent="0.25">
      <c r="A6577" s="5" t="s">
        <v>894</v>
      </c>
      <c r="B6577" s="5" t="s">
        <v>329</v>
      </c>
      <c r="C6577" s="5" t="s">
        <v>7059</v>
      </c>
      <c r="D6577" s="3">
        <f>VLOOKUP(A6577,airports!A:H,7,FALSE)</f>
        <v>44.254067220000003</v>
      </c>
      <c r="E6577" s="3">
        <f>VLOOKUP(A6577,airports!A:H,8,FALSE)</f>
        <v>-121.1499633</v>
      </c>
      <c r="F6577" s="3">
        <f>VLOOKUP(B6577,airports!A:H,7,FALSE)</f>
        <v>33.308999999999997</v>
      </c>
      <c r="G6577" s="3">
        <f>VLOOKUP(B6577,airports!A:H,8,FALSE)</f>
        <v>-111.6559</v>
      </c>
      <c r="H6577">
        <f t="shared" si="204"/>
        <v>1466.9</v>
      </c>
      <c r="I6577">
        <f t="shared" si="205"/>
        <v>911.5</v>
      </c>
    </row>
    <row r="6578" spans="1:9" ht="30" x14ac:dyDescent="0.25">
      <c r="A6578" s="5" t="s">
        <v>894</v>
      </c>
      <c r="B6578" s="5" t="s">
        <v>47</v>
      </c>
      <c r="C6578" s="5" t="s">
        <v>7060</v>
      </c>
      <c r="D6578" s="3">
        <f>VLOOKUP(A6578,airports!A:H,7,FALSE)</f>
        <v>44.254067220000003</v>
      </c>
      <c r="E6578" s="3">
        <f>VLOOKUP(A6578,airports!A:H,8,FALSE)</f>
        <v>-121.1499633</v>
      </c>
      <c r="F6578" s="3">
        <f>VLOOKUP(B6578,airports!A:H,7,FALSE)</f>
        <v>39.858408060000002</v>
      </c>
      <c r="G6578" s="3">
        <f>VLOOKUP(B6578,airports!A:H,8,FALSE)</f>
        <v>-104.6670019</v>
      </c>
      <c r="H6578">
        <f t="shared" si="204"/>
        <v>1442.9</v>
      </c>
      <c r="I6578">
        <f t="shared" si="205"/>
        <v>896.6</v>
      </c>
    </row>
    <row r="6579" spans="1:9" ht="30" x14ac:dyDescent="0.25">
      <c r="A6579" s="5" t="s">
        <v>894</v>
      </c>
      <c r="B6579" s="5" t="s">
        <v>71</v>
      </c>
      <c r="C6579" s="5" t="s">
        <v>7061</v>
      </c>
      <c r="D6579" s="3">
        <f>VLOOKUP(A6579,airports!A:H,7,FALSE)</f>
        <v>44.254067220000003</v>
      </c>
      <c r="E6579" s="3">
        <f>VLOOKUP(A6579,airports!A:H,8,FALSE)</f>
        <v>-121.1499633</v>
      </c>
      <c r="F6579" s="3">
        <f>VLOOKUP(B6579,airports!A:H,7,FALSE)</f>
        <v>36.080361109999998</v>
      </c>
      <c r="G6579" s="3">
        <f>VLOOKUP(B6579,airports!A:H,8,FALSE)</f>
        <v>-115.1523333</v>
      </c>
      <c r="H6579">
        <f t="shared" si="204"/>
        <v>1041.3</v>
      </c>
      <c r="I6579">
        <f t="shared" si="205"/>
        <v>647.1</v>
      </c>
    </row>
    <row r="6580" spans="1:9" ht="30" x14ac:dyDescent="0.25">
      <c r="A6580" s="5" t="s">
        <v>894</v>
      </c>
      <c r="B6580" s="5" t="s">
        <v>73</v>
      </c>
      <c r="C6580" s="5" t="s">
        <v>7062</v>
      </c>
      <c r="D6580" s="3">
        <f>VLOOKUP(A6580,airports!A:H,7,FALSE)</f>
        <v>44.254067220000003</v>
      </c>
      <c r="E6580" s="3">
        <f>VLOOKUP(A6580,airports!A:H,8,FALSE)</f>
        <v>-121.1499633</v>
      </c>
      <c r="F6580" s="3">
        <f>VLOOKUP(B6580,airports!A:H,7,FALSE)</f>
        <v>33.942536109999999</v>
      </c>
      <c r="G6580" s="3">
        <f>VLOOKUP(B6580,airports!A:H,8,FALSE)</f>
        <v>-118.4080744</v>
      </c>
      <c r="H6580">
        <f t="shared" si="204"/>
        <v>1170.5999999999999</v>
      </c>
      <c r="I6580">
        <f t="shared" si="205"/>
        <v>727.4</v>
      </c>
    </row>
    <row r="6581" spans="1:9" ht="30" x14ac:dyDescent="0.25">
      <c r="A6581" s="5" t="s">
        <v>894</v>
      </c>
      <c r="B6581" s="5" t="s">
        <v>875</v>
      </c>
      <c r="C6581" s="5" t="s">
        <v>7063</v>
      </c>
      <c r="D6581" s="3">
        <f>VLOOKUP(A6581,airports!A:H,7,FALSE)</f>
        <v>44.254067220000003</v>
      </c>
      <c r="E6581" s="3">
        <f>VLOOKUP(A6581,airports!A:H,8,FALSE)</f>
        <v>-121.1499633</v>
      </c>
      <c r="F6581" s="3">
        <f>VLOOKUP(B6581,airports!A:H,7,FALSE)</f>
        <v>42.374227779999998</v>
      </c>
      <c r="G6581" s="3">
        <f>VLOOKUP(B6581,airports!A:H,8,FALSE)</f>
        <v>-122.8734978</v>
      </c>
      <c r="H6581">
        <f t="shared" si="204"/>
        <v>251.3</v>
      </c>
      <c r="I6581">
        <f t="shared" si="205"/>
        <v>156.1</v>
      </c>
    </row>
    <row r="6582" spans="1:9" ht="30" x14ac:dyDescent="0.25">
      <c r="A6582" s="5" t="s">
        <v>894</v>
      </c>
      <c r="B6582" s="5" t="s">
        <v>95</v>
      </c>
      <c r="C6582" s="5" t="s">
        <v>7064</v>
      </c>
      <c r="D6582" s="3">
        <f>VLOOKUP(A6582,airports!A:H,7,FALSE)</f>
        <v>44.254067220000003</v>
      </c>
      <c r="E6582" s="3">
        <f>VLOOKUP(A6582,airports!A:H,8,FALSE)</f>
        <v>-121.1499633</v>
      </c>
      <c r="F6582" s="3">
        <f>VLOOKUP(B6582,airports!A:H,7,FALSE)</f>
        <v>41.979595000000003</v>
      </c>
      <c r="G6582" s="3">
        <f>VLOOKUP(B6582,airports!A:H,8,FALSE)</f>
        <v>-87.904464169999997</v>
      </c>
      <c r="H6582">
        <f t="shared" si="204"/>
        <v>2691.8</v>
      </c>
      <c r="I6582">
        <f t="shared" si="205"/>
        <v>1672.7</v>
      </c>
    </row>
    <row r="6583" spans="1:9" ht="30" x14ac:dyDescent="0.25">
      <c r="A6583" s="5" t="s">
        <v>894</v>
      </c>
      <c r="B6583" s="5" t="s">
        <v>100</v>
      </c>
      <c r="C6583" s="5" t="s">
        <v>7065</v>
      </c>
      <c r="D6583" s="3">
        <f>VLOOKUP(A6583,airports!A:H,7,FALSE)</f>
        <v>44.254067220000003</v>
      </c>
      <c r="E6583" s="3">
        <f>VLOOKUP(A6583,airports!A:H,8,FALSE)</f>
        <v>-121.1499633</v>
      </c>
      <c r="F6583" s="3">
        <f>VLOOKUP(B6583,airports!A:H,7,FALSE)</f>
        <v>45.588722220000001</v>
      </c>
      <c r="G6583" s="3">
        <f>VLOOKUP(B6583,airports!A:H,8,FALSE)</f>
        <v>-122.5975</v>
      </c>
      <c r="H6583">
        <f t="shared" si="204"/>
        <v>187.1</v>
      </c>
      <c r="I6583">
        <f t="shared" si="205"/>
        <v>116.3</v>
      </c>
    </row>
    <row r="6584" spans="1:9" ht="30" x14ac:dyDescent="0.25">
      <c r="A6584" s="5" t="s">
        <v>894</v>
      </c>
      <c r="B6584" s="5" t="s">
        <v>104</v>
      </c>
      <c r="C6584" s="5" t="s">
        <v>7066</v>
      </c>
      <c r="D6584" s="3">
        <f>VLOOKUP(A6584,airports!A:H,7,FALSE)</f>
        <v>44.254067220000003</v>
      </c>
      <c r="E6584" s="3">
        <f>VLOOKUP(A6584,airports!A:H,8,FALSE)</f>
        <v>-121.1499633</v>
      </c>
      <c r="F6584" s="3">
        <f>VLOOKUP(B6584,airports!A:H,7,FALSE)</f>
        <v>33.434166670000003</v>
      </c>
      <c r="G6584" s="3">
        <f>VLOOKUP(B6584,airports!A:H,8,FALSE)</f>
        <v>-112.00805560000001</v>
      </c>
      <c r="H6584">
        <f t="shared" si="204"/>
        <v>1438.2</v>
      </c>
      <c r="I6584">
        <f t="shared" si="205"/>
        <v>893.7</v>
      </c>
    </row>
    <row r="6585" spans="1:9" ht="30" x14ac:dyDescent="0.25">
      <c r="A6585" s="5" t="s">
        <v>894</v>
      </c>
      <c r="B6585" s="5" t="s">
        <v>124</v>
      </c>
      <c r="C6585" s="5" t="s">
        <v>7067</v>
      </c>
      <c r="D6585" s="3">
        <f>VLOOKUP(A6585,airports!A:H,7,FALSE)</f>
        <v>44.254067220000003</v>
      </c>
      <c r="E6585" s="3">
        <f>VLOOKUP(A6585,airports!A:H,8,FALSE)</f>
        <v>-121.1499633</v>
      </c>
      <c r="F6585" s="3">
        <f>VLOOKUP(B6585,airports!A:H,7,FALSE)</f>
        <v>32.733556110000002</v>
      </c>
      <c r="G6585" s="3">
        <f>VLOOKUP(B6585,airports!A:H,8,FALSE)</f>
        <v>-117.1896567</v>
      </c>
      <c r="H6585">
        <f t="shared" si="204"/>
        <v>1326.1</v>
      </c>
      <c r="I6585">
        <f t="shared" si="205"/>
        <v>824.1</v>
      </c>
    </row>
    <row r="6586" spans="1:9" ht="30" x14ac:dyDescent="0.25">
      <c r="A6586" s="5" t="s">
        <v>894</v>
      </c>
      <c r="B6586" s="5" t="s">
        <v>128</v>
      </c>
      <c r="C6586" s="5" t="s">
        <v>7068</v>
      </c>
      <c r="D6586" s="3">
        <f>VLOOKUP(A6586,airports!A:H,7,FALSE)</f>
        <v>44.254067220000003</v>
      </c>
      <c r="E6586" s="3">
        <f>VLOOKUP(A6586,airports!A:H,8,FALSE)</f>
        <v>-121.1499633</v>
      </c>
      <c r="F6586" s="3">
        <f>VLOOKUP(B6586,airports!A:H,7,FALSE)</f>
        <v>47.448981940000003</v>
      </c>
      <c r="G6586" s="3">
        <f>VLOOKUP(B6586,airports!A:H,8,FALSE)</f>
        <v>-122.3093131</v>
      </c>
      <c r="H6586">
        <f t="shared" si="204"/>
        <v>366.4</v>
      </c>
      <c r="I6586">
        <f t="shared" si="205"/>
        <v>227.7</v>
      </c>
    </row>
    <row r="6587" spans="1:9" ht="30" x14ac:dyDescent="0.25">
      <c r="A6587" s="5" t="s">
        <v>894</v>
      </c>
      <c r="B6587" s="5" t="s">
        <v>130</v>
      </c>
      <c r="C6587" s="5" t="s">
        <v>7069</v>
      </c>
      <c r="D6587" s="3">
        <f>VLOOKUP(A6587,airports!A:H,7,FALSE)</f>
        <v>44.254067220000003</v>
      </c>
      <c r="E6587" s="3">
        <f>VLOOKUP(A6587,airports!A:H,8,FALSE)</f>
        <v>-121.1499633</v>
      </c>
      <c r="F6587" s="3">
        <f>VLOOKUP(B6587,airports!A:H,7,FALSE)</f>
        <v>37.619001939999997</v>
      </c>
      <c r="G6587" s="3">
        <f>VLOOKUP(B6587,airports!A:H,8,FALSE)</f>
        <v>-122.37484329999999</v>
      </c>
      <c r="H6587">
        <f t="shared" si="204"/>
        <v>744.9</v>
      </c>
      <c r="I6587">
        <f t="shared" si="205"/>
        <v>462.9</v>
      </c>
    </row>
    <row r="6588" spans="1:9" ht="30" x14ac:dyDescent="0.25">
      <c r="A6588" s="5" t="s">
        <v>894</v>
      </c>
      <c r="B6588" s="5" t="s">
        <v>135</v>
      </c>
      <c r="C6588" s="5" t="s">
        <v>7070</v>
      </c>
      <c r="D6588" s="3">
        <f>VLOOKUP(A6588,airports!A:H,7,FALSE)</f>
        <v>44.254067220000003</v>
      </c>
      <c r="E6588" s="3">
        <f>VLOOKUP(A6588,airports!A:H,8,FALSE)</f>
        <v>-121.1499633</v>
      </c>
      <c r="F6588" s="3">
        <f>VLOOKUP(B6588,airports!A:H,7,FALSE)</f>
        <v>40.788387780000001</v>
      </c>
      <c r="G6588" s="3">
        <f>VLOOKUP(B6588,airports!A:H,8,FALSE)</f>
        <v>-111.97777309999999</v>
      </c>
      <c r="H6588">
        <f t="shared" si="204"/>
        <v>844</v>
      </c>
      <c r="I6588">
        <f t="shared" si="205"/>
        <v>524.5</v>
      </c>
    </row>
    <row r="6589" spans="1:9" ht="30" x14ac:dyDescent="0.25">
      <c r="A6589" s="5" t="s">
        <v>119</v>
      </c>
      <c r="B6589" s="5" t="s">
        <v>7</v>
      </c>
      <c r="C6589" s="5" t="s">
        <v>7071</v>
      </c>
      <c r="D6589" s="3">
        <f>VLOOKUP(A6589,airports!A:H,7,FALSE)</f>
        <v>35.87763889</v>
      </c>
      <c r="E6589" s="3">
        <f>VLOOKUP(A6589,airports!A:H,8,FALSE)</f>
        <v>-78.787472219999998</v>
      </c>
      <c r="F6589" s="3">
        <f>VLOOKUP(B6589,airports!A:H,7,FALSE)</f>
        <v>42.748119440000004</v>
      </c>
      <c r="G6589" s="3">
        <f>VLOOKUP(B6589,airports!A:H,8,FALSE)</f>
        <v>-73.802978609999997</v>
      </c>
      <c r="H6589">
        <f t="shared" si="204"/>
        <v>875.7</v>
      </c>
      <c r="I6589">
        <f t="shared" si="205"/>
        <v>544.20000000000005</v>
      </c>
    </row>
    <row r="6590" spans="1:9" ht="30" x14ac:dyDescent="0.25">
      <c r="A6590" s="5" t="s">
        <v>119</v>
      </c>
      <c r="B6590" s="5" t="s">
        <v>10</v>
      </c>
      <c r="C6590" s="5" t="s">
        <v>7072</v>
      </c>
      <c r="D6590" s="3">
        <f>VLOOKUP(A6590,airports!A:H,7,FALSE)</f>
        <v>35.87763889</v>
      </c>
      <c r="E6590" s="3">
        <f>VLOOKUP(A6590,airports!A:H,8,FALSE)</f>
        <v>-78.787472219999998</v>
      </c>
      <c r="F6590" s="3">
        <f>VLOOKUP(B6590,airports!A:H,7,FALSE)</f>
        <v>33.640444440000003</v>
      </c>
      <c r="G6590" s="3">
        <f>VLOOKUP(B6590,airports!A:H,8,FALSE)</f>
        <v>-84.42694444</v>
      </c>
      <c r="H6590">
        <f t="shared" si="204"/>
        <v>572</v>
      </c>
      <c r="I6590">
        <f t="shared" si="205"/>
        <v>355.4</v>
      </c>
    </row>
    <row r="6591" spans="1:9" ht="30" x14ac:dyDescent="0.25">
      <c r="A6591" s="5" t="s">
        <v>119</v>
      </c>
      <c r="B6591" s="5" t="s">
        <v>13</v>
      </c>
      <c r="C6591" s="5" t="s">
        <v>7073</v>
      </c>
      <c r="D6591" s="3">
        <f>VLOOKUP(A6591,airports!A:H,7,FALSE)</f>
        <v>35.87763889</v>
      </c>
      <c r="E6591" s="3">
        <f>VLOOKUP(A6591,airports!A:H,8,FALSE)</f>
        <v>-78.787472219999998</v>
      </c>
      <c r="F6591" s="3">
        <f>VLOOKUP(B6591,airports!A:H,7,FALSE)</f>
        <v>30.194532779999999</v>
      </c>
      <c r="G6591" s="3">
        <f>VLOOKUP(B6591,airports!A:H,8,FALSE)</f>
        <v>-97.669871939999993</v>
      </c>
      <c r="H6591">
        <f t="shared" si="204"/>
        <v>1866.4</v>
      </c>
      <c r="I6591">
        <f t="shared" si="205"/>
        <v>1159.8</v>
      </c>
    </row>
    <row r="6592" spans="1:9" ht="30" x14ac:dyDescent="0.25">
      <c r="A6592" s="5" t="s">
        <v>119</v>
      </c>
      <c r="B6592" s="5" t="s">
        <v>16</v>
      </c>
      <c r="C6592" s="5" t="s">
        <v>7074</v>
      </c>
      <c r="D6592" s="3">
        <f>VLOOKUP(A6592,airports!A:H,7,FALSE)</f>
        <v>35.87763889</v>
      </c>
      <c r="E6592" s="3">
        <f>VLOOKUP(A6592,airports!A:H,8,FALSE)</f>
        <v>-78.787472219999998</v>
      </c>
      <c r="F6592" s="3">
        <f>VLOOKUP(B6592,airports!A:H,7,FALSE)</f>
        <v>41.938874169999998</v>
      </c>
      <c r="G6592" s="3">
        <f>VLOOKUP(B6592,airports!A:H,8,FALSE)</f>
        <v>-72.683228330000006</v>
      </c>
      <c r="H6592">
        <f t="shared" si="204"/>
        <v>855.8</v>
      </c>
      <c r="I6592">
        <f t="shared" si="205"/>
        <v>531.79999999999995</v>
      </c>
    </row>
    <row r="6593" spans="1:9" ht="30" x14ac:dyDescent="0.25">
      <c r="A6593" s="5" t="s">
        <v>119</v>
      </c>
      <c r="B6593" s="5" t="s">
        <v>19</v>
      </c>
      <c r="C6593" s="5" t="s">
        <v>7075</v>
      </c>
      <c r="D6593" s="3">
        <f>VLOOKUP(A6593,airports!A:H,7,FALSE)</f>
        <v>35.87763889</v>
      </c>
      <c r="E6593" s="3">
        <f>VLOOKUP(A6593,airports!A:H,8,FALSE)</f>
        <v>-78.787472219999998</v>
      </c>
      <c r="F6593" s="3">
        <f>VLOOKUP(B6593,airports!A:H,7,FALSE)</f>
        <v>36.12447667</v>
      </c>
      <c r="G6593" s="3">
        <f>VLOOKUP(B6593,airports!A:H,8,FALSE)</f>
        <v>-86.678182219999997</v>
      </c>
      <c r="H6593">
        <f t="shared" si="204"/>
        <v>710.2</v>
      </c>
      <c r="I6593">
        <f t="shared" si="205"/>
        <v>441.3</v>
      </c>
    </row>
    <row r="6594" spans="1:9" ht="30" x14ac:dyDescent="0.25">
      <c r="A6594" s="5" t="s">
        <v>119</v>
      </c>
      <c r="B6594" s="5" t="s">
        <v>24</v>
      </c>
      <c r="C6594" s="5" t="s">
        <v>7076</v>
      </c>
      <c r="D6594" s="3">
        <f>VLOOKUP(A6594,airports!A:H,7,FALSE)</f>
        <v>35.87763889</v>
      </c>
      <c r="E6594" s="3">
        <f>VLOOKUP(A6594,airports!A:H,8,FALSE)</f>
        <v>-78.787472219999998</v>
      </c>
      <c r="F6594" s="3">
        <f>VLOOKUP(B6594,airports!A:H,7,FALSE)</f>
        <v>42.364347500000001</v>
      </c>
      <c r="G6594" s="3">
        <f>VLOOKUP(B6594,airports!A:H,8,FALSE)</f>
        <v>-71.005179170000005</v>
      </c>
      <c r="H6594">
        <f t="shared" si="204"/>
        <v>984.5</v>
      </c>
      <c r="I6594">
        <f t="shared" si="205"/>
        <v>611.79999999999995</v>
      </c>
    </row>
    <row r="6595" spans="1:9" ht="30" x14ac:dyDescent="0.25">
      <c r="A6595" s="5" t="s">
        <v>119</v>
      </c>
      <c r="B6595" s="5" t="s">
        <v>29</v>
      </c>
      <c r="C6595" s="5" t="s">
        <v>7077</v>
      </c>
      <c r="D6595" s="3">
        <f>VLOOKUP(A6595,airports!A:H,7,FALSE)</f>
        <v>35.87763889</v>
      </c>
      <c r="E6595" s="3">
        <f>VLOOKUP(A6595,airports!A:H,8,FALSE)</f>
        <v>-78.787472219999998</v>
      </c>
      <c r="F6595" s="3">
        <f>VLOOKUP(B6595,airports!A:H,7,FALSE)</f>
        <v>42.940524719999999</v>
      </c>
      <c r="G6595" s="3">
        <f>VLOOKUP(B6595,airports!A:H,8,FALSE)</f>
        <v>-78.732166669999998</v>
      </c>
      <c r="H6595">
        <f t="shared" si="204"/>
        <v>785.4</v>
      </c>
      <c r="I6595">
        <f t="shared" si="205"/>
        <v>488</v>
      </c>
    </row>
    <row r="6596" spans="1:9" ht="30" x14ac:dyDescent="0.25">
      <c r="A6596" s="5" t="s">
        <v>119</v>
      </c>
      <c r="B6596" s="5" t="s">
        <v>32</v>
      </c>
      <c r="C6596" s="5" t="s">
        <v>7078</v>
      </c>
      <c r="D6596" s="3">
        <f>VLOOKUP(A6596,airports!A:H,7,FALSE)</f>
        <v>35.87763889</v>
      </c>
      <c r="E6596" s="3">
        <f>VLOOKUP(A6596,airports!A:H,8,FALSE)</f>
        <v>-78.787472219999998</v>
      </c>
      <c r="F6596" s="3">
        <f>VLOOKUP(B6596,airports!A:H,7,FALSE)</f>
        <v>39.175401669999999</v>
      </c>
      <c r="G6596" s="3">
        <f>VLOOKUP(B6596,airports!A:H,8,FALSE)</f>
        <v>-76.668198329999996</v>
      </c>
      <c r="H6596">
        <f t="shared" ref="H6596:H6614" si="206">ROUND(ACOS(COS(RADIANS(90-D6596)) * COS(RADIANS(90-F6596)) + SIN(RADIANS(90-D6596)) * SIN(RADIANS(90-F6596)) * COS(RADIANS(E6596-G6596))) * 6371,1)</f>
        <v>411.5</v>
      </c>
      <c r="I6596">
        <f t="shared" ref="I6596:I6614" si="207">ROUND(ACOS(COS(RADIANS(90-D6596)) * COS(RADIANS(90-F6596)) + SIN(RADIANS(90-D6596)) * SIN(RADIANS(90-F6596)) * COS(RADIANS(E6596-G6596))) * 3959,1)</f>
        <v>255.7</v>
      </c>
    </row>
    <row r="6597" spans="1:9" ht="30" x14ac:dyDescent="0.25">
      <c r="A6597" s="5" t="s">
        <v>119</v>
      </c>
      <c r="B6597" s="5" t="s">
        <v>36</v>
      </c>
      <c r="C6597" s="5" t="s">
        <v>7079</v>
      </c>
      <c r="D6597" s="3">
        <f>VLOOKUP(A6597,airports!A:H,7,FALSE)</f>
        <v>35.87763889</v>
      </c>
      <c r="E6597" s="3">
        <f>VLOOKUP(A6597,airports!A:H,8,FALSE)</f>
        <v>-78.787472219999998</v>
      </c>
      <c r="F6597" s="3">
        <f>VLOOKUP(B6597,airports!A:H,7,FALSE)</f>
        <v>32.898646390000003</v>
      </c>
      <c r="G6597" s="3">
        <f>VLOOKUP(B6597,airports!A:H,8,FALSE)</f>
        <v>-80.040505830000001</v>
      </c>
      <c r="H6597">
        <f t="shared" si="206"/>
        <v>350.6</v>
      </c>
      <c r="I6597">
        <f t="shared" si="207"/>
        <v>217.9</v>
      </c>
    </row>
    <row r="6598" spans="1:9" ht="30" x14ac:dyDescent="0.25">
      <c r="A6598" s="5" t="s">
        <v>119</v>
      </c>
      <c r="B6598" s="5" t="s">
        <v>38</v>
      </c>
      <c r="C6598" s="5" t="s">
        <v>7080</v>
      </c>
      <c r="D6598" s="3">
        <f>VLOOKUP(A6598,airports!A:H,7,FALSE)</f>
        <v>35.87763889</v>
      </c>
      <c r="E6598" s="3">
        <f>VLOOKUP(A6598,airports!A:H,8,FALSE)</f>
        <v>-78.787472219999998</v>
      </c>
      <c r="F6598" s="3">
        <f>VLOOKUP(B6598,airports!A:H,7,FALSE)</f>
        <v>41.410894169999999</v>
      </c>
      <c r="G6598" s="3">
        <f>VLOOKUP(B6598,airports!A:H,8,FALSE)</f>
        <v>-81.849396670000004</v>
      </c>
      <c r="H6598">
        <f t="shared" si="206"/>
        <v>670.2</v>
      </c>
      <c r="I6598">
        <f t="shared" si="207"/>
        <v>416.4</v>
      </c>
    </row>
    <row r="6599" spans="1:9" ht="30" x14ac:dyDescent="0.25">
      <c r="A6599" s="5" t="s">
        <v>119</v>
      </c>
      <c r="B6599" s="5" t="s">
        <v>40</v>
      </c>
      <c r="C6599" s="5" t="s">
        <v>7081</v>
      </c>
      <c r="D6599" s="3">
        <f>VLOOKUP(A6599,airports!A:H,7,FALSE)</f>
        <v>35.87763889</v>
      </c>
      <c r="E6599" s="3">
        <f>VLOOKUP(A6599,airports!A:H,8,FALSE)</f>
        <v>-78.787472219999998</v>
      </c>
      <c r="F6599" s="3">
        <f>VLOOKUP(B6599,airports!A:H,7,FALSE)</f>
        <v>35.214011110000001</v>
      </c>
      <c r="G6599" s="3">
        <f>VLOOKUP(B6599,airports!A:H,8,FALSE)</f>
        <v>-80.94312583</v>
      </c>
      <c r="H6599">
        <f t="shared" si="206"/>
        <v>208.5</v>
      </c>
      <c r="I6599">
        <f t="shared" si="207"/>
        <v>129.6</v>
      </c>
    </row>
    <row r="6600" spans="1:9" ht="30" x14ac:dyDescent="0.25">
      <c r="A6600" s="5" t="s">
        <v>119</v>
      </c>
      <c r="B6600" s="5" t="s">
        <v>454</v>
      </c>
      <c r="C6600" s="5" t="s">
        <v>7082</v>
      </c>
      <c r="D6600" s="3">
        <f>VLOOKUP(A6600,airports!A:H,7,FALSE)</f>
        <v>35.87763889</v>
      </c>
      <c r="E6600" s="3">
        <f>VLOOKUP(A6600,airports!A:H,8,FALSE)</f>
        <v>-78.787472219999998</v>
      </c>
      <c r="F6600" s="3">
        <f>VLOOKUP(B6600,airports!A:H,7,FALSE)</f>
        <v>39.997985280000002</v>
      </c>
      <c r="G6600" s="3">
        <f>VLOOKUP(B6600,airports!A:H,8,FALSE)</f>
        <v>-82.891882780000003</v>
      </c>
      <c r="H6600">
        <f t="shared" si="206"/>
        <v>582.5</v>
      </c>
      <c r="I6600">
        <f t="shared" si="207"/>
        <v>362</v>
      </c>
    </row>
    <row r="6601" spans="1:9" ht="30" x14ac:dyDescent="0.25">
      <c r="A6601" s="5" t="s">
        <v>119</v>
      </c>
      <c r="B6601" s="5" t="s">
        <v>462</v>
      </c>
      <c r="C6601" s="5" t="s">
        <v>7083</v>
      </c>
      <c r="D6601" s="3">
        <f>VLOOKUP(A6601,airports!A:H,7,FALSE)</f>
        <v>35.87763889</v>
      </c>
      <c r="E6601" s="3">
        <f>VLOOKUP(A6601,airports!A:H,8,FALSE)</f>
        <v>-78.787472219999998</v>
      </c>
      <c r="F6601" s="3">
        <f>VLOOKUP(B6601,airports!A:H,7,FALSE)</f>
        <v>39.046142779999997</v>
      </c>
      <c r="G6601" s="3">
        <f>VLOOKUP(B6601,airports!A:H,8,FALSE)</f>
        <v>-84.662172499999997</v>
      </c>
      <c r="H6601">
        <f t="shared" si="206"/>
        <v>626.70000000000005</v>
      </c>
      <c r="I6601">
        <f t="shared" si="207"/>
        <v>389.4</v>
      </c>
    </row>
    <row r="6602" spans="1:9" ht="30" x14ac:dyDescent="0.25">
      <c r="A6602" s="5" t="s">
        <v>119</v>
      </c>
      <c r="B6602" s="5" t="s">
        <v>201</v>
      </c>
      <c r="C6602" s="5" t="s">
        <v>7084</v>
      </c>
      <c r="D6602" s="3">
        <f>VLOOKUP(A6602,airports!A:H,7,FALSE)</f>
        <v>35.87763889</v>
      </c>
      <c r="E6602" s="3">
        <f>VLOOKUP(A6602,airports!A:H,8,FALSE)</f>
        <v>-78.787472219999998</v>
      </c>
      <c r="F6602" s="3">
        <f>VLOOKUP(B6602,airports!A:H,7,FALSE)</f>
        <v>32.847113890000003</v>
      </c>
      <c r="G6602" s="3">
        <f>VLOOKUP(B6602,airports!A:H,8,FALSE)</f>
        <v>-96.851772220000001</v>
      </c>
      <c r="H6602">
        <f t="shared" si="206"/>
        <v>1689.4</v>
      </c>
      <c r="I6602">
        <f t="shared" si="207"/>
        <v>1049.8</v>
      </c>
    </row>
    <row r="6603" spans="1:9" ht="30" x14ac:dyDescent="0.25">
      <c r="A6603" s="5" t="s">
        <v>119</v>
      </c>
      <c r="B6603" s="5" t="s">
        <v>45</v>
      </c>
      <c r="C6603" s="5" t="s">
        <v>7085</v>
      </c>
      <c r="D6603" s="3">
        <f>VLOOKUP(A6603,airports!A:H,7,FALSE)</f>
        <v>35.87763889</v>
      </c>
      <c r="E6603" s="3">
        <f>VLOOKUP(A6603,airports!A:H,8,FALSE)</f>
        <v>-78.787472219999998</v>
      </c>
      <c r="F6603" s="3">
        <f>VLOOKUP(B6603,airports!A:H,7,FALSE)</f>
        <v>38.852083329999999</v>
      </c>
      <c r="G6603" s="3">
        <f>VLOOKUP(B6603,airports!A:H,8,FALSE)</f>
        <v>-77.037722220000006</v>
      </c>
      <c r="H6603">
        <f t="shared" si="206"/>
        <v>365.1</v>
      </c>
      <c r="I6603">
        <f t="shared" si="207"/>
        <v>226.9</v>
      </c>
    </row>
    <row r="6604" spans="1:9" ht="30" x14ac:dyDescent="0.25">
      <c r="A6604" s="5" t="s">
        <v>119</v>
      </c>
      <c r="B6604" s="5" t="s">
        <v>47</v>
      </c>
      <c r="C6604" s="5" t="s">
        <v>7086</v>
      </c>
      <c r="D6604" s="3">
        <f>VLOOKUP(A6604,airports!A:H,7,FALSE)</f>
        <v>35.87763889</v>
      </c>
      <c r="E6604" s="3">
        <f>VLOOKUP(A6604,airports!A:H,8,FALSE)</f>
        <v>-78.787472219999998</v>
      </c>
      <c r="F6604" s="3">
        <f>VLOOKUP(B6604,airports!A:H,7,FALSE)</f>
        <v>39.858408060000002</v>
      </c>
      <c r="G6604" s="3">
        <f>VLOOKUP(B6604,airports!A:H,8,FALSE)</f>
        <v>-104.6670019</v>
      </c>
      <c r="H6604">
        <f t="shared" si="206"/>
        <v>2305.9</v>
      </c>
      <c r="I6604">
        <f t="shared" si="207"/>
        <v>1432.9</v>
      </c>
    </row>
    <row r="6605" spans="1:9" ht="30" x14ac:dyDescent="0.25">
      <c r="A6605" s="5" t="s">
        <v>119</v>
      </c>
      <c r="B6605" s="5" t="s">
        <v>49</v>
      </c>
      <c r="C6605" s="5" t="s">
        <v>7087</v>
      </c>
      <c r="D6605" s="3">
        <f>VLOOKUP(A6605,airports!A:H,7,FALSE)</f>
        <v>35.87763889</v>
      </c>
      <c r="E6605" s="3">
        <f>VLOOKUP(A6605,airports!A:H,8,FALSE)</f>
        <v>-78.787472219999998</v>
      </c>
      <c r="F6605" s="3">
        <f>VLOOKUP(B6605,airports!A:H,7,FALSE)</f>
        <v>32.895950560000003</v>
      </c>
      <c r="G6605" s="3">
        <f>VLOOKUP(B6605,airports!A:H,8,FALSE)</f>
        <v>-97.037199999999999</v>
      </c>
      <c r="H6605">
        <f t="shared" si="206"/>
        <v>1704.5</v>
      </c>
      <c r="I6605">
        <f t="shared" si="207"/>
        <v>1059.2</v>
      </c>
    </row>
    <row r="6606" spans="1:9" ht="30" x14ac:dyDescent="0.25">
      <c r="A6606" s="5" t="s">
        <v>119</v>
      </c>
      <c r="B6606" s="5" t="s">
        <v>50</v>
      </c>
      <c r="C6606" s="5" t="s">
        <v>7088</v>
      </c>
      <c r="D6606" s="3">
        <f>VLOOKUP(A6606,airports!A:H,7,FALSE)</f>
        <v>35.87763889</v>
      </c>
      <c r="E6606" s="3">
        <f>VLOOKUP(A6606,airports!A:H,8,FALSE)</f>
        <v>-78.787472219999998</v>
      </c>
      <c r="F6606" s="3">
        <f>VLOOKUP(B6606,airports!A:H,7,FALSE)</f>
        <v>42.212058890000002</v>
      </c>
      <c r="G6606" s="3">
        <f>VLOOKUP(B6606,airports!A:H,8,FALSE)</f>
        <v>-83.348835829999999</v>
      </c>
      <c r="H6606">
        <f t="shared" si="206"/>
        <v>806.7</v>
      </c>
      <c r="I6606">
        <f t="shared" si="207"/>
        <v>501.3</v>
      </c>
    </row>
    <row r="6607" spans="1:9" ht="30" x14ac:dyDescent="0.25">
      <c r="A6607" s="5" t="s">
        <v>119</v>
      </c>
      <c r="B6607" s="5" t="s">
        <v>52</v>
      </c>
      <c r="C6607" s="5" t="s">
        <v>7089</v>
      </c>
      <c r="D6607" s="3">
        <f>VLOOKUP(A6607,airports!A:H,7,FALSE)</f>
        <v>35.87763889</v>
      </c>
      <c r="E6607" s="3">
        <f>VLOOKUP(A6607,airports!A:H,8,FALSE)</f>
        <v>-78.787472219999998</v>
      </c>
      <c r="F6607" s="3">
        <f>VLOOKUP(B6607,airports!A:H,7,FALSE)</f>
        <v>40.69249722</v>
      </c>
      <c r="G6607" s="3">
        <f>VLOOKUP(B6607,airports!A:H,8,FALSE)</f>
        <v>-74.168660560000006</v>
      </c>
      <c r="H6607">
        <f t="shared" si="206"/>
        <v>670</v>
      </c>
      <c r="I6607">
        <f t="shared" si="207"/>
        <v>416.3</v>
      </c>
    </row>
    <row r="6608" spans="1:9" x14ac:dyDescent="0.25">
      <c r="A6608" s="5" t="s">
        <v>119</v>
      </c>
      <c r="B6608" s="5" t="s">
        <v>57</v>
      </c>
      <c r="C6608" s="5" t="s">
        <v>7090</v>
      </c>
      <c r="D6608" s="3">
        <f>VLOOKUP(A6608,airports!A:H,7,FALSE)</f>
        <v>35.87763889</v>
      </c>
      <c r="E6608" s="3">
        <f>VLOOKUP(A6608,airports!A:H,8,FALSE)</f>
        <v>-78.787472219999998</v>
      </c>
      <c r="F6608" s="3">
        <f>VLOOKUP(B6608,airports!A:H,7,FALSE)</f>
        <v>26.072583330000001</v>
      </c>
      <c r="G6608" s="3">
        <f>VLOOKUP(B6608,airports!A:H,8,FALSE)</f>
        <v>-80.152749999999997</v>
      </c>
      <c r="H6608">
        <f t="shared" si="206"/>
        <v>1098</v>
      </c>
      <c r="I6608">
        <f t="shared" si="207"/>
        <v>682.3</v>
      </c>
    </row>
    <row r="6609" spans="1:9" ht="30" x14ac:dyDescent="0.25">
      <c r="A6609" s="5" t="s">
        <v>119</v>
      </c>
      <c r="B6609" s="5" t="s">
        <v>205</v>
      </c>
      <c r="C6609" s="5" t="s">
        <v>7091</v>
      </c>
      <c r="D6609" s="3">
        <f>VLOOKUP(A6609,airports!A:H,7,FALSE)</f>
        <v>35.87763889</v>
      </c>
      <c r="E6609" s="3">
        <f>VLOOKUP(A6609,airports!A:H,8,FALSE)</f>
        <v>-78.787472219999998</v>
      </c>
      <c r="F6609" s="3">
        <f>VLOOKUP(B6609,airports!A:H,7,FALSE)</f>
        <v>29.64541861</v>
      </c>
      <c r="G6609" s="3">
        <f>VLOOKUP(B6609,airports!A:H,8,FALSE)</f>
        <v>-95.278888890000005</v>
      </c>
      <c r="H6609">
        <f t="shared" si="206"/>
        <v>1687.6</v>
      </c>
      <c r="I6609">
        <f t="shared" si="207"/>
        <v>1048.7</v>
      </c>
    </row>
    <row r="6610" spans="1:9" ht="30" x14ac:dyDescent="0.25">
      <c r="A6610" s="5" t="s">
        <v>119</v>
      </c>
      <c r="B6610" s="5" t="s">
        <v>176</v>
      </c>
      <c r="C6610" s="5" t="s">
        <v>7092</v>
      </c>
      <c r="D6610" s="3">
        <f>VLOOKUP(A6610,airports!A:H,7,FALSE)</f>
        <v>35.87763889</v>
      </c>
      <c r="E6610" s="3">
        <f>VLOOKUP(A6610,airports!A:H,8,FALSE)</f>
        <v>-78.787472219999998</v>
      </c>
      <c r="F6610" s="3">
        <f>VLOOKUP(B6610,airports!A:H,7,FALSE)</f>
        <v>38.944531939999997</v>
      </c>
      <c r="G6610" s="3">
        <f>VLOOKUP(B6610,airports!A:H,8,FALSE)</f>
        <v>-77.455809720000005</v>
      </c>
      <c r="H6610">
        <f t="shared" si="206"/>
        <v>360.7</v>
      </c>
      <c r="I6610">
        <f t="shared" si="207"/>
        <v>224.2</v>
      </c>
    </row>
    <row r="6611" spans="1:9" ht="30" x14ac:dyDescent="0.25">
      <c r="A6611" s="5" t="s">
        <v>119</v>
      </c>
      <c r="B6611" s="5" t="s">
        <v>67</v>
      </c>
      <c r="C6611" s="5" t="s">
        <v>7093</v>
      </c>
      <c r="D6611" s="3">
        <f>VLOOKUP(A6611,airports!A:H,7,FALSE)</f>
        <v>35.87763889</v>
      </c>
      <c r="E6611" s="3">
        <f>VLOOKUP(A6611,airports!A:H,8,FALSE)</f>
        <v>-78.787472219999998</v>
      </c>
      <c r="F6611" s="3">
        <f>VLOOKUP(B6611,airports!A:H,7,FALSE)</f>
        <v>29.980472219999999</v>
      </c>
      <c r="G6611" s="3">
        <f>VLOOKUP(B6611,airports!A:H,8,FALSE)</f>
        <v>-95.339722219999999</v>
      </c>
      <c r="H6611">
        <f t="shared" si="206"/>
        <v>1675.4</v>
      </c>
      <c r="I6611">
        <f t="shared" si="207"/>
        <v>1041.0999999999999</v>
      </c>
    </row>
    <row r="6612" spans="1:9" ht="30" x14ac:dyDescent="0.25">
      <c r="A6612" s="5" t="s">
        <v>119</v>
      </c>
      <c r="B6612" s="5" t="s">
        <v>537</v>
      </c>
      <c r="C6612" s="5" t="s">
        <v>7094</v>
      </c>
      <c r="D6612" s="3">
        <f>VLOOKUP(A6612,airports!A:H,7,FALSE)</f>
        <v>35.87763889</v>
      </c>
      <c r="E6612" s="3">
        <f>VLOOKUP(A6612,airports!A:H,8,FALSE)</f>
        <v>-78.787472219999998</v>
      </c>
      <c r="F6612" s="3">
        <f>VLOOKUP(B6612,airports!A:H,7,FALSE)</f>
        <v>39.717329169999999</v>
      </c>
      <c r="G6612" s="3">
        <f>VLOOKUP(B6612,airports!A:H,8,FALSE)</f>
        <v>-86.294384170000001</v>
      </c>
      <c r="H6612">
        <f t="shared" si="206"/>
        <v>785.3</v>
      </c>
      <c r="I6612">
        <f t="shared" si="207"/>
        <v>488</v>
      </c>
    </row>
    <row r="6613" spans="1:9" x14ac:dyDescent="0.25">
      <c r="A6613" s="5" t="s">
        <v>119</v>
      </c>
      <c r="B6613" s="5" t="s">
        <v>539</v>
      </c>
      <c r="C6613" s="5" t="s">
        <v>7095</v>
      </c>
      <c r="D6613" s="3">
        <f>VLOOKUP(A6613,airports!A:H,7,FALSE)</f>
        <v>35.87763889</v>
      </c>
      <c r="E6613" s="3">
        <f>VLOOKUP(A6613,airports!A:H,8,FALSE)</f>
        <v>-78.787472219999998</v>
      </c>
      <c r="F6613" s="3">
        <f>VLOOKUP(B6613,airports!A:H,7,FALSE)</f>
        <v>40.795242500000001</v>
      </c>
      <c r="G6613" s="3">
        <f>VLOOKUP(B6613,airports!A:H,8,FALSE)</f>
        <v>-73.100211939999994</v>
      </c>
      <c r="H6613">
        <f t="shared" si="206"/>
        <v>737.9</v>
      </c>
      <c r="I6613">
        <f t="shared" si="207"/>
        <v>458.6</v>
      </c>
    </row>
    <row r="6614" spans="1:9" ht="30" x14ac:dyDescent="0.25">
      <c r="A6614" s="5" t="s">
        <v>119</v>
      </c>
      <c r="B6614" s="5" t="s">
        <v>68</v>
      </c>
      <c r="C6614" s="5" t="s">
        <v>7096</v>
      </c>
      <c r="D6614" s="3">
        <f>VLOOKUP(A6614,airports!A:H,7,FALSE)</f>
        <v>35.87763889</v>
      </c>
      <c r="E6614" s="3">
        <f>VLOOKUP(A6614,airports!A:H,8,FALSE)</f>
        <v>-78.787472219999998</v>
      </c>
      <c r="F6614" s="3">
        <f>VLOOKUP(B6614,airports!A:H,7,FALSE)</f>
        <v>30.49405556</v>
      </c>
      <c r="G6614" s="3">
        <f>VLOOKUP(B6614,airports!A:H,8,FALSE)</f>
        <v>-81.68786111</v>
      </c>
      <c r="H6614">
        <f t="shared" si="206"/>
        <v>656.6</v>
      </c>
      <c r="I6614">
        <f t="shared" si="207"/>
        <v>408</v>
      </c>
    </row>
    <row r="6615" spans="1:9" x14ac:dyDescent="0.25">
      <c r="A6615" s="5" t="s">
        <v>119</v>
      </c>
      <c r="B6615" s="5" t="s">
        <v>69</v>
      </c>
      <c r="C6615" s="5" t="s">
        <v>7097</v>
      </c>
    </row>
    <row r="6616" spans="1:9" ht="30" x14ac:dyDescent="0.25">
      <c r="A6616" s="5" t="s">
        <v>119</v>
      </c>
      <c r="B6616" s="5" t="s">
        <v>71</v>
      </c>
      <c r="C6616" s="5" t="s">
        <v>7098</v>
      </c>
    </row>
    <row r="6617" spans="1:9" ht="30" x14ac:dyDescent="0.25">
      <c r="A6617" s="5" t="s">
        <v>119</v>
      </c>
      <c r="B6617" s="5" t="s">
        <v>73</v>
      </c>
      <c r="C6617" s="5" t="s">
        <v>7099</v>
      </c>
    </row>
    <row r="6618" spans="1:9" ht="30" x14ac:dyDescent="0.25">
      <c r="A6618" s="5" t="s">
        <v>119</v>
      </c>
      <c r="B6618" s="5" t="s">
        <v>74</v>
      </c>
      <c r="C6618" s="5" t="s">
        <v>7100</v>
      </c>
    </row>
    <row r="6619" spans="1:9" ht="30" x14ac:dyDescent="0.25">
      <c r="A6619" s="5" t="s">
        <v>119</v>
      </c>
      <c r="B6619" s="5" t="s">
        <v>80</v>
      </c>
      <c r="C6619" s="5" t="s">
        <v>7101</v>
      </c>
    </row>
    <row r="6620" spans="1:9" ht="30" x14ac:dyDescent="0.25">
      <c r="A6620" s="5" t="s">
        <v>119</v>
      </c>
      <c r="B6620" s="5" t="s">
        <v>82</v>
      </c>
      <c r="C6620" s="5" t="s">
        <v>7102</v>
      </c>
    </row>
    <row r="6621" spans="1:9" ht="30" x14ac:dyDescent="0.25">
      <c r="A6621" s="5" t="s">
        <v>119</v>
      </c>
      <c r="B6621" s="5" t="s">
        <v>178</v>
      </c>
      <c r="C6621" s="5" t="s">
        <v>7103</v>
      </c>
    </row>
    <row r="6622" spans="1:9" ht="30" x14ac:dyDescent="0.25">
      <c r="A6622" s="5" t="s">
        <v>119</v>
      </c>
      <c r="B6622" s="5" t="s">
        <v>180</v>
      </c>
      <c r="C6622" s="5" t="s">
        <v>7104</v>
      </c>
    </row>
    <row r="6623" spans="1:9" ht="30" x14ac:dyDescent="0.25">
      <c r="A6623" s="5" t="s">
        <v>119</v>
      </c>
      <c r="B6623" s="5" t="s">
        <v>84</v>
      </c>
      <c r="C6623" s="5" t="s">
        <v>7105</v>
      </c>
    </row>
    <row r="6624" spans="1:9" ht="30" x14ac:dyDescent="0.25">
      <c r="A6624" s="5" t="s">
        <v>119</v>
      </c>
      <c r="B6624" s="5" t="s">
        <v>85</v>
      </c>
      <c r="C6624" s="5" t="s">
        <v>7106</v>
      </c>
    </row>
    <row r="6625" spans="1:3" ht="30" x14ac:dyDescent="0.25">
      <c r="A6625" s="5" t="s">
        <v>119</v>
      </c>
      <c r="B6625" s="5" t="s">
        <v>579</v>
      </c>
      <c r="C6625" s="5" t="s">
        <v>7107</v>
      </c>
    </row>
    <row r="6626" spans="1:3" ht="30" x14ac:dyDescent="0.25">
      <c r="A6626" s="5" t="s">
        <v>119</v>
      </c>
      <c r="B6626" s="5" t="s">
        <v>87</v>
      </c>
      <c r="C6626" s="5" t="s">
        <v>7108</v>
      </c>
    </row>
    <row r="6627" spans="1:3" ht="30" x14ac:dyDescent="0.25">
      <c r="A6627" s="5" t="s">
        <v>119</v>
      </c>
      <c r="B6627" s="5" t="s">
        <v>89</v>
      </c>
      <c r="C6627" s="5" t="s">
        <v>7109</v>
      </c>
    </row>
    <row r="6628" spans="1:3" ht="30" x14ac:dyDescent="0.25">
      <c r="A6628" s="5" t="s">
        <v>119</v>
      </c>
      <c r="B6628" s="5" t="s">
        <v>95</v>
      </c>
      <c r="C6628" s="5" t="s">
        <v>7110</v>
      </c>
    </row>
    <row r="6629" spans="1:3" x14ac:dyDescent="0.25">
      <c r="A6629" s="5" t="s">
        <v>119</v>
      </c>
      <c r="B6629" s="5" t="s">
        <v>99</v>
      </c>
      <c r="C6629" s="5" t="s">
        <v>7111</v>
      </c>
    </row>
    <row r="6630" spans="1:3" ht="30" x14ac:dyDescent="0.25">
      <c r="A6630" s="5" t="s">
        <v>119</v>
      </c>
      <c r="B6630" s="5" t="s">
        <v>185</v>
      </c>
      <c r="C6630" s="5" t="s">
        <v>7112</v>
      </c>
    </row>
    <row r="6631" spans="1:3" ht="30" x14ac:dyDescent="0.25">
      <c r="A6631" s="5" t="s">
        <v>119</v>
      </c>
      <c r="B6631" s="5" t="s">
        <v>102</v>
      </c>
      <c r="C6631" s="5" t="s">
        <v>7113</v>
      </c>
    </row>
    <row r="6632" spans="1:3" ht="30" x14ac:dyDescent="0.25">
      <c r="A6632" s="5" t="s">
        <v>119</v>
      </c>
      <c r="B6632" s="5" t="s">
        <v>104</v>
      </c>
      <c r="C6632" s="5" t="s">
        <v>7114</v>
      </c>
    </row>
    <row r="6633" spans="1:3" x14ac:dyDescent="0.25">
      <c r="A6633" s="5" t="s">
        <v>119</v>
      </c>
      <c r="B6633" s="5" t="s">
        <v>188</v>
      </c>
      <c r="C6633" s="5" t="s">
        <v>7115</v>
      </c>
    </row>
    <row r="6634" spans="1:3" x14ac:dyDescent="0.25">
      <c r="A6634" s="5" t="s">
        <v>119</v>
      </c>
      <c r="B6634" s="5" t="s">
        <v>106</v>
      </c>
      <c r="C6634" s="5" t="s">
        <v>7116</v>
      </c>
    </row>
    <row r="6635" spans="1:3" ht="30" x14ac:dyDescent="0.25">
      <c r="A6635" s="5" t="s">
        <v>119</v>
      </c>
      <c r="B6635" s="5" t="s">
        <v>114</v>
      </c>
      <c r="C6635" s="5" t="s">
        <v>7117</v>
      </c>
    </row>
    <row r="6636" spans="1:3" ht="30" x14ac:dyDescent="0.25">
      <c r="A6636" s="5" t="s">
        <v>119</v>
      </c>
      <c r="B6636" s="5" t="s">
        <v>117</v>
      </c>
      <c r="C6636" s="5" t="s">
        <v>7118</v>
      </c>
    </row>
    <row r="6637" spans="1:3" ht="30" x14ac:dyDescent="0.25">
      <c r="A6637" s="5" t="s">
        <v>119</v>
      </c>
      <c r="B6637" s="5" t="s">
        <v>123</v>
      </c>
      <c r="C6637" s="5" t="s">
        <v>7119</v>
      </c>
    </row>
    <row r="6638" spans="1:3" ht="30" x14ac:dyDescent="0.25">
      <c r="A6638" s="5" t="s">
        <v>119</v>
      </c>
      <c r="B6638" s="5" t="s">
        <v>124</v>
      </c>
      <c r="C6638" s="5" t="s">
        <v>7120</v>
      </c>
    </row>
    <row r="6639" spans="1:3" ht="30" x14ac:dyDescent="0.25">
      <c r="A6639" s="5" t="s">
        <v>119</v>
      </c>
      <c r="B6639" s="5" t="s">
        <v>125</v>
      </c>
      <c r="C6639" s="5" t="s">
        <v>7121</v>
      </c>
    </row>
    <row r="6640" spans="1:3" ht="30" x14ac:dyDescent="0.25">
      <c r="A6640" s="5" t="s">
        <v>119</v>
      </c>
      <c r="B6640" s="5" t="s">
        <v>626</v>
      </c>
      <c r="C6640" s="5" t="s">
        <v>7122</v>
      </c>
    </row>
    <row r="6641" spans="1:3" ht="30" x14ac:dyDescent="0.25">
      <c r="A6641" s="5" t="s">
        <v>119</v>
      </c>
      <c r="B6641" s="5" t="s">
        <v>128</v>
      </c>
      <c r="C6641" s="5" t="s">
        <v>7123</v>
      </c>
    </row>
    <row r="6642" spans="1:3" ht="30" x14ac:dyDescent="0.25">
      <c r="A6642" s="5" t="s">
        <v>119</v>
      </c>
      <c r="B6642" s="5" t="s">
        <v>191</v>
      </c>
      <c r="C6642" s="5" t="s">
        <v>7124</v>
      </c>
    </row>
    <row r="6643" spans="1:3" ht="30" x14ac:dyDescent="0.25">
      <c r="A6643" s="5" t="s">
        <v>119</v>
      </c>
      <c r="B6643" s="5" t="s">
        <v>130</v>
      </c>
      <c r="C6643" s="5" t="s">
        <v>7125</v>
      </c>
    </row>
    <row r="6644" spans="1:3" x14ac:dyDescent="0.25">
      <c r="A6644" s="5" t="s">
        <v>119</v>
      </c>
      <c r="B6644" s="5" t="s">
        <v>131</v>
      </c>
      <c r="C6644" s="5" t="s">
        <v>7126</v>
      </c>
    </row>
    <row r="6645" spans="1:3" ht="30" x14ac:dyDescent="0.25">
      <c r="A6645" s="5" t="s">
        <v>119</v>
      </c>
      <c r="B6645" s="5" t="s">
        <v>134</v>
      </c>
      <c r="C6645" s="5" t="s">
        <v>7127</v>
      </c>
    </row>
    <row r="6646" spans="1:3" ht="30" x14ac:dyDescent="0.25">
      <c r="A6646" s="5" t="s">
        <v>119</v>
      </c>
      <c r="B6646" s="5" t="s">
        <v>135</v>
      </c>
      <c r="C6646" s="5" t="s">
        <v>7128</v>
      </c>
    </row>
    <row r="6647" spans="1:3" x14ac:dyDescent="0.25">
      <c r="A6647" s="5" t="s">
        <v>119</v>
      </c>
      <c r="B6647" s="5" t="s">
        <v>644</v>
      </c>
      <c r="C6647" s="5" t="s">
        <v>7129</v>
      </c>
    </row>
    <row r="6648" spans="1:3" ht="30" x14ac:dyDescent="0.25">
      <c r="A6648" s="5" t="s">
        <v>119</v>
      </c>
      <c r="B6648" s="5" t="s">
        <v>142</v>
      </c>
      <c r="C6648" s="5" t="s">
        <v>7130</v>
      </c>
    </row>
    <row r="6649" spans="1:3" ht="30" x14ac:dyDescent="0.25">
      <c r="A6649" s="5" t="s">
        <v>119</v>
      </c>
      <c r="B6649" s="5" t="s">
        <v>144</v>
      </c>
      <c r="C6649" s="5" t="s">
        <v>7131</v>
      </c>
    </row>
    <row r="6650" spans="1:3" ht="30" x14ac:dyDescent="0.25">
      <c r="A6650" s="5" t="s">
        <v>119</v>
      </c>
      <c r="B6650" s="5" t="s">
        <v>145</v>
      </c>
      <c r="C6650" s="5" t="s">
        <v>7132</v>
      </c>
    </row>
    <row r="6651" spans="1:3" ht="30" x14ac:dyDescent="0.25">
      <c r="A6651" s="5" t="s">
        <v>119</v>
      </c>
      <c r="B6651" s="5" t="s">
        <v>656</v>
      </c>
      <c r="C6651" s="5" t="s">
        <v>7133</v>
      </c>
    </row>
    <row r="6652" spans="1:3" ht="30" x14ac:dyDescent="0.25">
      <c r="A6652" s="5" t="s">
        <v>119</v>
      </c>
      <c r="B6652" s="5" t="s">
        <v>668</v>
      </c>
      <c r="C6652" s="5" t="s">
        <v>7134</v>
      </c>
    </row>
    <row r="6653" spans="1:3" ht="30" x14ac:dyDescent="0.25">
      <c r="A6653" s="5" t="s">
        <v>896</v>
      </c>
      <c r="B6653" s="5" t="s">
        <v>329</v>
      </c>
      <c r="C6653" s="5" t="s">
        <v>7135</v>
      </c>
    </row>
    <row r="6654" spans="1:3" x14ac:dyDescent="0.25">
      <c r="A6654" s="5" t="s">
        <v>896</v>
      </c>
      <c r="B6654" s="5" t="s">
        <v>71</v>
      </c>
      <c r="C6654" s="5" t="s">
        <v>7136</v>
      </c>
    </row>
    <row r="6655" spans="1:3" ht="30" x14ac:dyDescent="0.25">
      <c r="A6655" s="5" t="s">
        <v>896</v>
      </c>
      <c r="B6655" s="5" t="s">
        <v>185</v>
      </c>
      <c r="C6655" s="5" t="s">
        <v>7137</v>
      </c>
    </row>
    <row r="6656" spans="1:3" x14ac:dyDescent="0.25">
      <c r="A6656" s="5" t="s">
        <v>896</v>
      </c>
      <c r="B6656" s="5" t="s">
        <v>188</v>
      </c>
      <c r="C6656" s="5" t="s">
        <v>7138</v>
      </c>
    </row>
    <row r="6657" spans="1:3" x14ac:dyDescent="0.25">
      <c r="A6657" s="5" t="s">
        <v>896</v>
      </c>
      <c r="B6657" s="5" t="s">
        <v>191</v>
      </c>
      <c r="C6657" s="5" t="s">
        <v>7139</v>
      </c>
    </row>
    <row r="6658" spans="1:3" ht="30" x14ac:dyDescent="0.25">
      <c r="A6658" s="5" t="s">
        <v>896</v>
      </c>
      <c r="B6658" s="5" t="s">
        <v>138</v>
      </c>
      <c r="C6658" s="5" t="s">
        <v>7140</v>
      </c>
    </row>
    <row r="6659" spans="1:3" ht="30" x14ac:dyDescent="0.25">
      <c r="A6659" s="5" t="s">
        <v>896</v>
      </c>
      <c r="B6659" s="5" t="s">
        <v>668</v>
      </c>
      <c r="C6659" s="5" t="s">
        <v>7141</v>
      </c>
    </row>
    <row r="6660" spans="1:3" ht="30" x14ac:dyDescent="0.25">
      <c r="A6660" s="5" t="s">
        <v>5655</v>
      </c>
      <c r="B6660" s="5" t="s">
        <v>87</v>
      </c>
      <c r="C6660" s="5" t="s">
        <v>7142</v>
      </c>
    </row>
    <row r="6661" spans="1:3" ht="30" x14ac:dyDescent="0.25">
      <c r="A6661" s="5" t="s">
        <v>5655</v>
      </c>
      <c r="B6661" s="5" t="s">
        <v>95</v>
      </c>
      <c r="C6661" s="5" t="s">
        <v>7143</v>
      </c>
    </row>
    <row r="6662" spans="1:3" x14ac:dyDescent="0.25">
      <c r="A6662" s="5" t="s">
        <v>120</v>
      </c>
      <c r="B6662" s="5" t="s">
        <v>10</v>
      </c>
      <c r="C6662" s="5" t="s">
        <v>7144</v>
      </c>
    </row>
    <row r="6663" spans="1:3" ht="30" x14ac:dyDescent="0.25">
      <c r="A6663" s="5" t="s">
        <v>120</v>
      </c>
      <c r="B6663" s="5" t="s">
        <v>19</v>
      </c>
      <c r="C6663" s="5" t="s">
        <v>7145</v>
      </c>
    </row>
    <row r="6664" spans="1:3" x14ac:dyDescent="0.25">
      <c r="A6664" s="5" t="s">
        <v>120</v>
      </c>
      <c r="B6664" s="5" t="s">
        <v>24</v>
      </c>
      <c r="C6664" s="5" t="s">
        <v>7146</v>
      </c>
    </row>
    <row r="6665" spans="1:3" ht="30" x14ac:dyDescent="0.25">
      <c r="A6665" s="5" t="s">
        <v>120</v>
      </c>
      <c r="B6665" s="5" t="s">
        <v>447</v>
      </c>
      <c r="C6665" s="5" t="s">
        <v>7147</v>
      </c>
    </row>
    <row r="6666" spans="1:3" x14ac:dyDescent="0.25">
      <c r="A6666" s="5" t="s">
        <v>120</v>
      </c>
      <c r="B6666" s="5" t="s">
        <v>40</v>
      </c>
      <c r="C6666" s="5" t="s">
        <v>7148</v>
      </c>
    </row>
    <row r="6667" spans="1:3" ht="30" x14ac:dyDescent="0.25">
      <c r="A6667" s="5" t="s">
        <v>120</v>
      </c>
      <c r="B6667" s="5" t="s">
        <v>458</v>
      </c>
      <c r="C6667" s="5" t="s">
        <v>7149</v>
      </c>
    </row>
    <row r="6668" spans="1:3" x14ac:dyDescent="0.25">
      <c r="A6668" s="5" t="s">
        <v>120</v>
      </c>
      <c r="B6668" s="5" t="s">
        <v>47</v>
      </c>
      <c r="C6668" s="5" t="s">
        <v>7150</v>
      </c>
    </row>
    <row r="6669" spans="1:3" ht="30" x14ac:dyDescent="0.25">
      <c r="A6669" s="5" t="s">
        <v>120</v>
      </c>
      <c r="B6669" s="5" t="s">
        <v>49</v>
      </c>
      <c r="C6669" s="5" t="s">
        <v>7151</v>
      </c>
    </row>
    <row r="6670" spans="1:3" ht="30" x14ac:dyDescent="0.25">
      <c r="A6670" s="5" t="s">
        <v>120</v>
      </c>
      <c r="B6670" s="5" t="s">
        <v>50</v>
      </c>
      <c r="C6670" s="5" t="s">
        <v>7152</v>
      </c>
    </row>
    <row r="6671" spans="1:3" ht="30" x14ac:dyDescent="0.25">
      <c r="A6671" s="5" t="s">
        <v>120</v>
      </c>
      <c r="B6671" s="5" t="s">
        <v>52</v>
      </c>
      <c r="C6671" s="5" t="s">
        <v>7153</v>
      </c>
    </row>
    <row r="6672" spans="1:3" x14ac:dyDescent="0.25">
      <c r="A6672" s="5" t="s">
        <v>120</v>
      </c>
      <c r="B6672" s="5" t="s">
        <v>57</v>
      </c>
      <c r="C6672" s="5" t="s">
        <v>7154</v>
      </c>
    </row>
    <row r="6673" spans="1:3" x14ac:dyDescent="0.25">
      <c r="A6673" s="5" t="s">
        <v>120</v>
      </c>
      <c r="B6673" s="5" t="s">
        <v>176</v>
      </c>
      <c r="C6673" s="5" t="s">
        <v>7155</v>
      </c>
    </row>
    <row r="6674" spans="1:3" x14ac:dyDescent="0.25">
      <c r="A6674" s="5" t="s">
        <v>120</v>
      </c>
      <c r="B6674" s="5" t="s">
        <v>67</v>
      </c>
      <c r="C6674" s="5" t="s">
        <v>7156</v>
      </c>
    </row>
    <row r="6675" spans="1:3" x14ac:dyDescent="0.25">
      <c r="A6675" s="5" t="s">
        <v>120</v>
      </c>
      <c r="B6675" s="5" t="s">
        <v>69</v>
      </c>
      <c r="C6675" s="5" t="s">
        <v>7157</v>
      </c>
    </row>
    <row r="6676" spans="1:3" x14ac:dyDescent="0.25">
      <c r="A6676" s="5" t="s">
        <v>120</v>
      </c>
      <c r="B6676" s="5" t="s">
        <v>71</v>
      </c>
      <c r="C6676" s="5" t="s">
        <v>7158</v>
      </c>
    </row>
    <row r="6677" spans="1:3" x14ac:dyDescent="0.25">
      <c r="A6677" s="5" t="s">
        <v>120</v>
      </c>
      <c r="B6677" s="5" t="s">
        <v>73</v>
      </c>
      <c r="C6677" s="5" t="s">
        <v>7159</v>
      </c>
    </row>
    <row r="6678" spans="1:3" x14ac:dyDescent="0.25">
      <c r="A6678" s="5" t="s">
        <v>120</v>
      </c>
      <c r="B6678" s="5" t="s">
        <v>74</v>
      </c>
      <c r="C6678" s="5" t="s">
        <v>7160</v>
      </c>
    </row>
    <row r="6679" spans="1:3" ht="30" x14ac:dyDescent="0.25">
      <c r="A6679" s="5" t="s">
        <v>120</v>
      </c>
      <c r="B6679" s="5" t="s">
        <v>82</v>
      </c>
      <c r="C6679" s="5" t="s">
        <v>7161</v>
      </c>
    </row>
    <row r="6680" spans="1:3" ht="30" x14ac:dyDescent="0.25">
      <c r="A6680" s="5" t="s">
        <v>120</v>
      </c>
      <c r="B6680" s="5" t="s">
        <v>180</v>
      </c>
      <c r="C6680" s="5" t="s">
        <v>7162</v>
      </c>
    </row>
    <row r="6681" spans="1:3" x14ac:dyDescent="0.25">
      <c r="A6681" s="5" t="s">
        <v>120</v>
      </c>
      <c r="B6681" s="5" t="s">
        <v>84</v>
      </c>
      <c r="C6681" s="5" t="s">
        <v>7163</v>
      </c>
    </row>
    <row r="6682" spans="1:3" ht="30" x14ac:dyDescent="0.25">
      <c r="A6682" s="5" t="s">
        <v>120</v>
      </c>
      <c r="B6682" s="5" t="s">
        <v>87</v>
      </c>
      <c r="C6682" s="5" t="s">
        <v>7164</v>
      </c>
    </row>
    <row r="6683" spans="1:3" ht="30" x14ac:dyDescent="0.25">
      <c r="A6683" s="5" t="s">
        <v>120</v>
      </c>
      <c r="B6683" s="5" t="s">
        <v>95</v>
      </c>
      <c r="C6683" s="5" t="s">
        <v>7165</v>
      </c>
    </row>
    <row r="6684" spans="1:3" x14ac:dyDescent="0.25">
      <c r="A6684" s="5" t="s">
        <v>120</v>
      </c>
      <c r="B6684" s="5" t="s">
        <v>185</v>
      </c>
      <c r="C6684" s="5" t="s">
        <v>7166</v>
      </c>
    </row>
    <row r="6685" spans="1:3" x14ac:dyDescent="0.25">
      <c r="A6685" s="5" t="s">
        <v>120</v>
      </c>
      <c r="B6685" s="5" t="s">
        <v>102</v>
      </c>
      <c r="C6685" s="5" t="s">
        <v>7167</v>
      </c>
    </row>
    <row r="6686" spans="1:3" x14ac:dyDescent="0.25">
      <c r="A6686" s="5" t="s">
        <v>120</v>
      </c>
      <c r="B6686" s="5" t="s">
        <v>188</v>
      </c>
      <c r="C6686" s="5" t="s">
        <v>7168</v>
      </c>
    </row>
    <row r="6687" spans="1:3" x14ac:dyDescent="0.25">
      <c r="A6687" s="5" t="s">
        <v>120</v>
      </c>
      <c r="B6687" s="5" t="s">
        <v>191</v>
      </c>
      <c r="C6687" s="5" t="s">
        <v>7169</v>
      </c>
    </row>
    <row r="6688" spans="1:3" x14ac:dyDescent="0.25">
      <c r="A6688" s="5" t="s">
        <v>120</v>
      </c>
      <c r="B6688" s="5" t="s">
        <v>138</v>
      </c>
      <c r="C6688" s="5" t="s">
        <v>7170</v>
      </c>
    </row>
    <row r="6689" spans="1:3" x14ac:dyDescent="0.25">
      <c r="A6689" s="5" t="s">
        <v>120</v>
      </c>
      <c r="B6689" s="5" t="s">
        <v>145</v>
      </c>
      <c r="C6689" s="5" t="s">
        <v>7171</v>
      </c>
    </row>
    <row r="6690" spans="1:3" ht="30" x14ac:dyDescent="0.25">
      <c r="A6690" s="5" t="s">
        <v>2478</v>
      </c>
      <c r="B6690" s="5" t="s">
        <v>47</v>
      </c>
      <c r="C6690" s="5" t="s">
        <v>7172</v>
      </c>
    </row>
    <row r="6691" spans="1:3" ht="30" x14ac:dyDescent="0.25">
      <c r="A6691" s="5" t="s">
        <v>2478</v>
      </c>
      <c r="B6691" s="5" t="s">
        <v>2480</v>
      </c>
      <c r="C6691" s="5" t="s">
        <v>7173</v>
      </c>
    </row>
    <row r="6692" spans="1:3" ht="30" x14ac:dyDescent="0.25">
      <c r="A6692" s="5" t="s">
        <v>2478</v>
      </c>
      <c r="B6692" s="5" t="s">
        <v>2500</v>
      </c>
      <c r="C6692" s="5" t="s">
        <v>7174</v>
      </c>
    </row>
    <row r="6693" spans="1:3" ht="30" x14ac:dyDescent="0.25">
      <c r="A6693" s="5" t="s">
        <v>2480</v>
      </c>
      <c r="B6693" s="5" t="s">
        <v>47</v>
      </c>
      <c r="C6693" s="5" t="s">
        <v>7175</v>
      </c>
    </row>
    <row r="6694" spans="1:3" ht="30" x14ac:dyDescent="0.25">
      <c r="A6694" s="5" t="s">
        <v>2480</v>
      </c>
      <c r="B6694" s="5" t="s">
        <v>2478</v>
      </c>
      <c r="C6694" s="5" t="s">
        <v>7176</v>
      </c>
    </row>
    <row r="6695" spans="1:3" ht="30" x14ac:dyDescent="0.25">
      <c r="A6695" s="5" t="s">
        <v>121</v>
      </c>
      <c r="B6695" s="5" t="s">
        <v>10</v>
      </c>
      <c r="C6695" s="5" t="s">
        <v>7177</v>
      </c>
    </row>
    <row r="6696" spans="1:3" ht="30" x14ac:dyDescent="0.25">
      <c r="A6696" s="5" t="s">
        <v>121</v>
      </c>
      <c r="B6696" s="5" t="s">
        <v>13</v>
      </c>
      <c r="C6696" s="5" t="s">
        <v>7178</v>
      </c>
    </row>
    <row r="6697" spans="1:3" ht="30" x14ac:dyDescent="0.25">
      <c r="A6697" s="5" t="s">
        <v>121</v>
      </c>
      <c r="B6697" s="5" t="s">
        <v>22</v>
      </c>
      <c r="C6697" s="5" t="s">
        <v>7179</v>
      </c>
    </row>
    <row r="6698" spans="1:3" ht="30" x14ac:dyDescent="0.25">
      <c r="A6698" s="5" t="s">
        <v>121</v>
      </c>
      <c r="B6698" s="5" t="s">
        <v>30</v>
      </c>
      <c r="C6698" s="5" t="s">
        <v>7180</v>
      </c>
    </row>
    <row r="6699" spans="1:3" ht="30" x14ac:dyDescent="0.25">
      <c r="A6699" s="5" t="s">
        <v>121</v>
      </c>
      <c r="B6699" s="5" t="s">
        <v>40</v>
      </c>
      <c r="C6699" s="5" t="s">
        <v>7181</v>
      </c>
    </row>
    <row r="6700" spans="1:3" ht="30" x14ac:dyDescent="0.25">
      <c r="A6700" s="5" t="s">
        <v>121</v>
      </c>
      <c r="B6700" s="5" t="s">
        <v>201</v>
      </c>
      <c r="C6700" s="5" t="s">
        <v>7182</v>
      </c>
    </row>
    <row r="6701" spans="1:3" ht="30" x14ac:dyDescent="0.25">
      <c r="A6701" s="5" t="s">
        <v>121</v>
      </c>
      <c r="B6701" s="5" t="s">
        <v>47</v>
      </c>
      <c r="C6701" s="5" t="s">
        <v>7183</v>
      </c>
    </row>
    <row r="6702" spans="1:3" ht="30" x14ac:dyDescent="0.25">
      <c r="A6702" s="5" t="s">
        <v>121</v>
      </c>
      <c r="B6702" s="5" t="s">
        <v>49</v>
      </c>
      <c r="C6702" s="5" t="s">
        <v>7184</v>
      </c>
    </row>
    <row r="6703" spans="1:3" ht="30" x14ac:dyDescent="0.25">
      <c r="A6703" s="5" t="s">
        <v>121</v>
      </c>
      <c r="B6703" s="5" t="s">
        <v>52</v>
      </c>
      <c r="C6703" s="5" t="s">
        <v>7185</v>
      </c>
    </row>
    <row r="6704" spans="1:3" ht="30" x14ac:dyDescent="0.25">
      <c r="A6704" s="5" t="s">
        <v>121</v>
      </c>
      <c r="B6704" s="5" t="s">
        <v>205</v>
      </c>
      <c r="C6704" s="5" t="s">
        <v>7186</v>
      </c>
    </row>
    <row r="6705" spans="1:3" ht="30" x14ac:dyDescent="0.25">
      <c r="A6705" s="5" t="s">
        <v>121</v>
      </c>
      <c r="B6705" s="5" t="s">
        <v>67</v>
      </c>
      <c r="C6705" s="5" t="s">
        <v>7187</v>
      </c>
    </row>
    <row r="6706" spans="1:3" ht="30" x14ac:dyDescent="0.25">
      <c r="A6706" s="5" t="s">
        <v>121</v>
      </c>
      <c r="B6706" s="5" t="s">
        <v>541</v>
      </c>
      <c r="C6706" s="5" t="s">
        <v>7188</v>
      </c>
    </row>
    <row r="6707" spans="1:3" ht="30" x14ac:dyDescent="0.25">
      <c r="A6707" s="5" t="s">
        <v>121</v>
      </c>
      <c r="B6707" s="5" t="s">
        <v>69</v>
      </c>
      <c r="C6707" s="5" t="s">
        <v>7189</v>
      </c>
    </row>
    <row r="6708" spans="1:3" ht="30" x14ac:dyDescent="0.25">
      <c r="A6708" s="5" t="s">
        <v>121</v>
      </c>
      <c r="B6708" s="5" t="s">
        <v>71</v>
      </c>
      <c r="C6708" s="5" t="s">
        <v>7190</v>
      </c>
    </row>
    <row r="6709" spans="1:3" ht="30" x14ac:dyDescent="0.25">
      <c r="A6709" s="5" t="s">
        <v>121</v>
      </c>
      <c r="B6709" s="5" t="s">
        <v>73</v>
      </c>
      <c r="C6709" s="5" t="s">
        <v>7191</v>
      </c>
    </row>
    <row r="6710" spans="1:3" ht="30" x14ac:dyDescent="0.25">
      <c r="A6710" s="5" t="s">
        <v>121</v>
      </c>
      <c r="B6710" s="5" t="s">
        <v>742</v>
      </c>
      <c r="C6710" s="5" t="s">
        <v>7192</v>
      </c>
    </row>
    <row r="6711" spans="1:3" ht="30" x14ac:dyDescent="0.25">
      <c r="A6711" s="5" t="s">
        <v>121</v>
      </c>
      <c r="B6711" s="5" t="s">
        <v>180</v>
      </c>
      <c r="C6711" s="5" t="s">
        <v>7193</v>
      </c>
    </row>
    <row r="6712" spans="1:3" ht="30" x14ac:dyDescent="0.25">
      <c r="A6712" s="5" t="s">
        <v>121</v>
      </c>
      <c r="B6712" s="5" t="s">
        <v>875</v>
      </c>
      <c r="C6712" s="5" t="s">
        <v>7194</v>
      </c>
    </row>
    <row r="6713" spans="1:3" ht="30" x14ac:dyDescent="0.25">
      <c r="A6713" s="5" t="s">
        <v>121</v>
      </c>
      <c r="B6713" s="5" t="s">
        <v>87</v>
      </c>
      <c r="C6713" s="5" t="s">
        <v>7195</v>
      </c>
    </row>
    <row r="6714" spans="1:3" ht="30" x14ac:dyDescent="0.25">
      <c r="A6714" s="5" t="s">
        <v>121</v>
      </c>
      <c r="B6714" s="5" t="s">
        <v>215</v>
      </c>
      <c r="C6714" s="5" t="s">
        <v>7196</v>
      </c>
    </row>
    <row r="6715" spans="1:3" ht="30" x14ac:dyDescent="0.25">
      <c r="A6715" s="5" t="s">
        <v>121</v>
      </c>
      <c r="B6715" s="5" t="s">
        <v>95</v>
      </c>
      <c r="C6715" s="5" t="s">
        <v>7197</v>
      </c>
    </row>
    <row r="6716" spans="1:3" ht="30" x14ac:dyDescent="0.25">
      <c r="A6716" s="5" t="s">
        <v>121</v>
      </c>
      <c r="B6716" s="5" t="s">
        <v>100</v>
      </c>
      <c r="C6716" s="5" t="s">
        <v>7198</v>
      </c>
    </row>
    <row r="6717" spans="1:3" ht="30" x14ac:dyDescent="0.25">
      <c r="A6717" s="5" t="s">
        <v>121</v>
      </c>
      <c r="B6717" s="5" t="s">
        <v>104</v>
      </c>
      <c r="C6717" s="5" t="s">
        <v>7199</v>
      </c>
    </row>
    <row r="6718" spans="1:3" ht="30" x14ac:dyDescent="0.25">
      <c r="A6718" s="5" t="s">
        <v>121</v>
      </c>
      <c r="B6718" s="5" t="s">
        <v>111</v>
      </c>
      <c r="C6718" s="5" t="s">
        <v>7200</v>
      </c>
    </row>
    <row r="6719" spans="1:3" ht="30" x14ac:dyDescent="0.25">
      <c r="A6719" s="5" t="s">
        <v>121</v>
      </c>
      <c r="B6719" s="5" t="s">
        <v>124</v>
      </c>
      <c r="C6719" s="5" t="s">
        <v>7201</v>
      </c>
    </row>
    <row r="6720" spans="1:3" ht="30" x14ac:dyDescent="0.25">
      <c r="A6720" s="5" t="s">
        <v>121</v>
      </c>
      <c r="B6720" s="5" t="s">
        <v>128</v>
      </c>
      <c r="C6720" s="5" t="s">
        <v>7202</v>
      </c>
    </row>
    <row r="6721" spans="1:3" ht="30" x14ac:dyDescent="0.25">
      <c r="A6721" s="5" t="s">
        <v>121</v>
      </c>
      <c r="B6721" s="5" t="s">
        <v>130</v>
      </c>
      <c r="C6721" s="5" t="s">
        <v>7203</v>
      </c>
    </row>
    <row r="6722" spans="1:3" ht="30" x14ac:dyDescent="0.25">
      <c r="A6722" s="5" t="s">
        <v>121</v>
      </c>
      <c r="B6722" s="5" t="s">
        <v>131</v>
      </c>
      <c r="C6722" s="5" t="s">
        <v>7204</v>
      </c>
    </row>
    <row r="6723" spans="1:3" ht="30" x14ac:dyDescent="0.25">
      <c r="A6723" s="5" t="s">
        <v>121</v>
      </c>
      <c r="B6723" s="5" t="s">
        <v>135</v>
      </c>
      <c r="C6723" s="5" t="s">
        <v>7205</v>
      </c>
    </row>
    <row r="6724" spans="1:3" ht="30" x14ac:dyDescent="0.25">
      <c r="A6724" s="5" t="s">
        <v>121</v>
      </c>
      <c r="B6724" s="5" t="s">
        <v>227</v>
      </c>
      <c r="C6724" s="5" t="s">
        <v>7206</v>
      </c>
    </row>
    <row r="6725" spans="1:3" ht="30" x14ac:dyDescent="0.25">
      <c r="A6725" s="5" t="s">
        <v>617</v>
      </c>
      <c r="B6725" s="5" t="s">
        <v>10</v>
      </c>
      <c r="C6725" s="5" t="s">
        <v>7207</v>
      </c>
    </row>
    <row r="6726" spans="1:3" ht="30" x14ac:dyDescent="0.25">
      <c r="A6726" s="5" t="s">
        <v>617</v>
      </c>
      <c r="B6726" s="5" t="s">
        <v>19</v>
      </c>
      <c r="C6726" s="5" t="s">
        <v>7208</v>
      </c>
    </row>
    <row r="6727" spans="1:3" ht="30" x14ac:dyDescent="0.25">
      <c r="A6727" s="5" t="s">
        <v>617</v>
      </c>
      <c r="B6727" s="5" t="s">
        <v>40</v>
      </c>
      <c r="C6727" s="5" t="s">
        <v>7209</v>
      </c>
    </row>
    <row r="6728" spans="1:3" ht="30" x14ac:dyDescent="0.25">
      <c r="A6728" s="5" t="s">
        <v>617</v>
      </c>
      <c r="B6728" s="5" t="s">
        <v>176</v>
      </c>
      <c r="C6728" s="5" t="s">
        <v>7210</v>
      </c>
    </row>
    <row r="6729" spans="1:3" ht="30" x14ac:dyDescent="0.25">
      <c r="A6729" s="5" t="s">
        <v>617</v>
      </c>
      <c r="B6729" s="5" t="s">
        <v>74</v>
      </c>
      <c r="C6729" s="5" t="s">
        <v>7211</v>
      </c>
    </row>
    <row r="6730" spans="1:3" ht="30" x14ac:dyDescent="0.25">
      <c r="A6730" s="5" t="s">
        <v>617</v>
      </c>
      <c r="B6730" s="5" t="s">
        <v>95</v>
      </c>
      <c r="C6730" s="5" t="s">
        <v>7212</v>
      </c>
    </row>
    <row r="6731" spans="1:3" ht="30" x14ac:dyDescent="0.25">
      <c r="A6731" s="5" t="s">
        <v>617</v>
      </c>
      <c r="B6731" s="5" t="s">
        <v>102</v>
      </c>
      <c r="C6731" s="5" t="s">
        <v>7213</v>
      </c>
    </row>
    <row r="6732" spans="1:3" x14ac:dyDescent="0.25">
      <c r="A6732" s="5" t="s">
        <v>617</v>
      </c>
      <c r="B6732" s="5" t="s">
        <v>188</v>
      </c>
      <c r="C6732" s="5" t="s">
        <v>7214</v>
      </c>
    </row>
    <row r="6733" spans="1:3" ht="30" x14ac:dyDescent="0.25">
      <c r="A6733" s="5" t="s">
        <v>617</v>
      </c>
      <c r="B6733" s="5" t="s">
        <v>626</v>
      </c>
      <c r="C6733" s="5" t="s">
        <v>7215</v>
      </c>
    </row>
    <row r="6734" spans="1:3" ht="30" x14ac:dyDescent="0.25">
      <c r="A6734" s="5" t="s">
        <v>617</v>
      </c>
      <c r="B6734" s="5" t="s">
        <v>191</v>
      </c>
      <c r="C6734" s="5" t="s">
        <v>7216</v>
      </c>
    </row>
    <row r="6735" spans="1:3" ht="30" x14ac:dyDescent="0.25">
      <c r="A6735" s="5" t="s">
        <v>122</v>
      </c>
      <c r="B6735" s="5" t="s">
        <v>10</v>
      </c>
      <c r="C6735" s="5" t="s">
        <v>7217</v>
      </c>
    </row>
    <row r="6736" spans="1:3" ht="30" x14ac:dyDescent="0.25">
      <c r="A6736" s="5" t="s">
        <v>122</v>
      </c>
      <c r="B6736" s="5" t="s">
        <v>24</v>
      </c>
      <c r="C6736" s="5" t="s">
        <v>7218</v>
      </c>
    </row>
    <row r="6737" spans="1:3" ht="30" x14ac:dyDescent="0.25">
      <c r="A6737" s="5" t="s">
        <v>122</v>
      </c>
      <c r="B6737" s="5" t="s">
        <v>32</v>
      </c>
      <c r="C6737" s="5" t="s">
        <v>7219</v>
      </c>
    </row>
    <row r="6738" spans="1:3" ht="30" x14ac:dyDescent="0.25">
      <c r="A6738" s="5" t="s">
        <v>122</v>
      </c>
      <c r="B6738" s="5" t="s">
        <v>40</v>
      </c>
      <c r="C6738" s="5" t="s">
        <v>7220</v>
      </c>
    </row>
    <row r="6739" spans="1:3" ht="30" x14ac:dyDescent="0.25">
      <c r="A6739" s="5" t="s">
        <v>122</v>
      </c>
      <c r="B6739" s="5" t="s">
        <v>45</v>
      </c>
      <c r="C6739" s="5" t="s">
        <v>7221</v>
      </c>
    </row>
    <row r="6740" spans="1:3" ht="30" x14ac:dyDescent="0.25">
      <c r="A6740" s="5" t="s">
        <v>122</v>
      </c>
      <c r="B6740" s="5" t="s">
        <v>47</v>
      </c>
      <c r="C6740" s="5" t="s">
        <v>7222</v>
      </c>
    </row>
    <row r="6741" spans="1:3" ht="30" x14ac:dyDescent="0.25">
      <c r="A6741" s="5" t="s">
        <v>122</v>
      </c>
      <c r="B6741" s="5" t="s">
        <v>50</v>
      </c>
      <c r="C6741" s="5" t="s">
        <v>7223</v>
      </c>
    </row>
    <row r="6742" spans="1:3" ht="30" x14ac:dyDescent="0.25">
      <c r="A6742" s="5" t="s">
        <v>122</v>
      </c>
      <c r="B6742" s="5" t="s">
        <v>52</v>
      </c>
      <c r="C6742" s="5" t="s">
        <v>7224</v>
      </c>
    </row>
    <row r="6743" spans="1:3" x14ac:dyDescent="0.25">
      <c r="A6743" s="5" t="s">
        <v>122</v>
      </c>
      <c r="B6743" s="5" t="s">
        <v>57</v>
      </c>
      <c r="C6743" s="5" t="s">
        <v>7225</v>
      </c>
    </row>
    <row r="6744" spans="1:3" ht="30" x14ac:dyDescent="0.25">
      <c r="A6744" s="5" t="s">
        <v>122</v>
      </c>
      <c r="B6744" s="5" t="s">
        <v>176</v>
      </c>
      <c r="C6744" s="5" t="s">
        <v>7226</v>
      </c>
    </row>
    <row r="6745" spans="1:3" x14ac:dyDescent="0.25">
      <c r="A6745" s="5" t="s">
        <v>122</v>
      </c>
      <c r="B6745" s="5" t="s">
        <v>69</v>
      </c>
      <c r="C6745" s="5" t="s">
        <v>7227</v>
      </c>
    </row>
    <row r="6746" spans="1:3" ht="30" x14ac:dyDescent="0.25">
      <c r="A6746" s="5" t="s">
        <v>122</v>
      </c>
      <c r="B6746" s="5" t="s">
        <v>74</v>
      </c>
      <c r="C6746" s="5" t="s">
        <v>7228</v>
      </c>
    </row>
    <row r="6747" spans="1:3" ht="30" x14ac:dyDescent="0.25">
      <c r="A6747" s="5" t="s">
        <v>122</v>
      </c>
      <c r="B6747" s="5" t="s">
        <v>82</v>
      </c>
      <c r="C6747" s="5" t="s">
        <v>7229</v>
      </c>
    </row>
    <row r="6748" spans="1:3" ht="30" x14ac:dyDescent="0.25">
      <c r="A6748" s="5" t="s">
        <v>122</v>
      </c>
      <c r="B6748" s="5" t="s">
        <v>180</v>
      </c>
      <c r="C6748" s="5" t="s">
        <v>7230</v>
      </c>
    </row>
    <row r="6749" spans="1:3" ht="30" x14ac:dyDescent="0.25">
      <c r="A6749" s="5" t="s">
        <v>122</v>
      </c>
      <c r="B6749" s="5" t="s">
        <v>84</v>
      </c>
      <c r="C6749" s="5" t="s">
        <v>7231</v>
      </c>
    </row>
    <row r="6750" spans="1:3" ht="30" x14ac:dyDescent="0.25">
      <c r="A6750" s="5" t="s">
        <v>122</v>
      </c>
      <c r="B6750" s="5" t="s">
        <v>87</v>
      </c>
      <c r="C6750" s="5" t="s">
        <v>7232</v>
      </c>
    </row>
    <row r="6751" spans="1:3" ht="30" x14ac:dyDescent="0.25">
      <c r="A6751" s="5" t="s">
        <v>122</v>
      </c>
      <c r="B6751" s="5" t="s">
        <v>95</v>
      </c>
      <c r="C6751" s="5" t="s">
        <v>7233</v>
      </c>
    </row>
    <row r="6752" spans="1:3" ht="30" x14ac:dyDescent="0.25">
      <c r="A6752" s="5" t="s">
        <v>122</v>
      </c>
      <c r="B6752" s="5" t="s">
        <v>185</v>
      </c>
      <c r="C6752" s="5" t="s">
        <v>7234</v>
      </c>
    </row>
    <row r="6753" spans="1:3" ht="30" x14ac:dyDescent="0.25">
      <c r="A6753" s="5" t="s">
        <v>122</v>
      </c>
      <c r="B6753" s="5" t="s">
        <v>102</v>
      </c>
      <c r="C6753" s="5" t="s">
        <v>7235</v>
      </c>
    </row>
    <row r="6754" spans="1:3" ht="30" x14ac:dyDescent="0.25">
      <c r="A6754" s="5" t="s">
        <v>122</v>
      </c>
      <c r="B6754" s="5" t="s">
        <v>123</v>
      </c>
      <c r="C6754" s="5" t="s">
        <v>7236</v>
      </c>
    </row>
    <row r="6755" spans="1:3" ht="30" x14ac:dyDescent="0.25">
      <c r="A6755" s="5" t="s">
        <v>122</v>
      </c>
      <c r="B6755" s="5" t="s">
        <v>191</v>
      </c>
      <c r="C6755" s="5" t="s">
        <v>7237</v>
      </c>
    </row>
    <row r="6756" spans="1:3" ht="30" x14ac:dyDescent="0.25">
      <c r="A6756" s="5" t="s">
        <v>122</v>
      </c>
      <c r="B6756" s="5" t="s">
        <v>145</v>
      </c>
      <c r="C6756" s="5" t="s">
        <v>7238</v>
      </c>
    </row>
    <row r="6757" spans="1:3" ht="30" x14ac:dyDescent="0.25">
      <c r="A6757" s="5" t="s">
        <v>3589</v>
      </c>
      <c r="B6757" s="5" t="s">
        <v>3587</v>
      </c>
      <c r="C6757" s="5" t="s">
        <v>7239</v>
      </c>
    </row>
    <row r="6758" spans="1:3" ht="30" x14ac:dyDescent="0.25">
      <c r="A6758" s="5" t="s">
        <v>3589</v>
      </c>
      <c r="B6758" s="5" t="s">
        <v>3592</v>
      </c>
      <c r="C6758" s="5" t="s">
        <v>7240</v>
      </c>
    </row>
    <row r="6759" spans="1:3" ht="30" x14ac:dyDescent="0.25">
      <c r="A6759" s="5" t="s">
        <v>2698</v>
      </c>
      <c r="B6759" s="5" t="s">
        <v>49</v>
      </c>
      <c r="C6759" s="5" t="s">
        <v>7241</v>
      </c>
    </row>
    <row r="6760" spans="1:3" ht="30" x14ac:dyDescent="0.25">
      <c r="A6760" s="5" t="s">
        <v>2698</v>
      </c>
      <c r="B6760" s="5" t="s">
        <v>104</v>
      </c>
      <c r="C6760" s="5" t="s">
        <v>7242</v>
      </c>
    </row>
    <row r="6761" spans="1:3" x14ac:dyDescent="0.25">
      <c r="A6761" s="5" t="s">
        <v>620</v>
      </c>
      <c r="B6761" s="5" t="s">
        <v>10</v>
      </c>
      <c r="C6761" s="5" t="s">
        <v>7243</v>
      </c>
    </row>
    <row r="6762" spans="1:3" ht="30" x14ac:dyDescent="0.25">
      <c r="A6762" s="5" t="s">
        <v>620</v>
      </c>
      <c r="B6762" s="5" t="s">
        <v>47</v>
      </c>
      <c r="C6762" s="5" t="s">
        <v>7244</v>
      </c>
    </row>
    <row r="6763" spans="1:3" x14ac:dyDescent="0.25">
      <c r="A6763" s="5" t="s">
        <v>620</v>
      </c>
      <c r="B6763" s="5" t="s">
        <v>491</v>
      </c>
      <c r="C6763" s="5" t="s">
        <v>7245</v>
      </c>
    </row>
    <row r="6764" spans="1:3" ht="30" x14ac:dyDescent="0.25">
      <c r="A6764" s="5" t="s">
        <v>620</v>
      </c>
      <c r="B6764" s="5" t="s">
        <v>87</v>
      </c>
      <c r="C6764" s="5" t="s">
        <v>7246</v>
      </c>
    </row>
    <row r="6765" spans="1:3" ht="30" x14ac:dyDescent="0.25">
      <c r="A6765" s="5" t="s">
        <v>620</v>
      </c>
      <c r="B6765" s="5" t="s">
        <v>95</v>
      </c>
      <c r="C6765" s="5" t="s">
        <v>7247</v>
      </c>
    </row>
    <row r="6766" spans="1:3" ht="30" x14ac:dyDescent="0.25">
      <c r="A6766" s="5" t="s">
        <v>123</v>
      </c>
      <c r="B6766" s="5" t="s">
        <v>252</v>
      </c>
      <c r="C6766" s="5" t="s">
        <v>7248</v>
      </c>
    </row>
    <row r="6767" spans="1:3" ht="30" x14ac:dyDescent="0.25">
      <c r="A6767" s="5" t="s">
        <v>123</v>
      </c>
      <c r="B6767" s="5" t="s">
        <v>7</v>
      </c>
      <c r="C6767" s="5" t="s">
        <v>7249</v>
      </c>
    </row>
    <row r="6768" spans="1:3" ht="30" x14ac:dyDescent="0.25">
      <c r="A6768" s="5" t="s">
        <v>123</v>
      </c>
      <c r="B6768" s="5" t="s">
        <v>10</v>
      </c>
      <c r="C6768" s="5" t="s">
        <v>7250</v>
      </c>
    </row>
    <row r="6769" spans="1:3" ht="30" x14ac:dyDescent="0.25">
      <c r="A6769" s="5" t="s">
        <v>123</v>
      </c>
      <c r="B6769" s="5" t="s">
        <v>13</v>
      </c>
      <c r="C6769" s="5" t="s">
        <v>7251</v>
      </c>
    </row>
    <row r="6770" spans="1:3" ht="30" x14ac:dyDescent="0.25">
      <c r="A6770" s="5" t="s">
        <v>123</v>
      </c>
      <c r="B6770" s="5" t="s">
        <v>16</v>
      </c>
      <c r="C6770" s="5" t="s">
        <v>7252</v>
      </c>
    </row>
    <row r="6771" spans="1:3" ht="30" x14ac:dyDescent="0.25">
      <c r="A6771" s="5" t="s">
        <v>123</v>
      </c>
      <c r="B6771" s="5" t="s">
        <v>19</v>
      </c>
      <c r="C6771" s="5" t="s">
        <v>7253</v>
      </c>
    </row>
    <row r="6772" spans="1:3" ht="30" x14ac:dyDescent="0.25">
      <c r="A6772" s="5" t="s">
        <v>123</v>
      </c>
      <c r="B6772" s="5" t="s">
        <v>24</v>
      </c>
      <c r="C6772" s="5" t="s">
        <v>7254</v>
      </c>
    </row>
    <row r="6773" spans="1:3" ht="30" x14ac:dyDescent="0.25">
      <c r="A6773" s="5" t="s">
        <v>123</v>
      </c>
      <c r="B6773" s="5" t="s">
        <v>29</v>
      </c>
      <c r="C6773" s="5" t="s">
        <v>7255</v>
      </c>
    </row>
    <row r="6774" spans="1:3" ht="30" x14ac:dyDescent="0.25">
      <c r="A6774" s="5" t="s">
        <v>123</v>
      </c>
      <c r="B6774" s="5" t="s">
        <v>32</v>
      </c>
      <c r="C6774" s="5" t="s">
        <v>7256</v>
      </c>
    </row>
    <row r="6775" spans="1:3" ht="30" x14ac:dyDescent="0.25">
      <c r="A6775" s="5" t="s">
        <v>123</v>
      </c>
      <c r="B6775" s="5" t="s">
        <v>443</v>
      </c>
      <c r="C6775" s="5" t="s">
        <v>7257</v>
      </c>
    </row>
    <row r="6776" spans="1:3" ht="30" x14ac:dyDescent="0.25">
      <c r="A6776" s="5" t="s">
        <v>123</v>
      </c>
      <c r="B6776" s="5" t="s">
        <v>38</v>
      </c>
      <c r="C6776" s="5" t="s">
        <v>7258</v>
      </c>
    </row>
    <row r="6777" spans="1:3" ht="30" x14ac:dyDescent="0.25">
      <c r="A6777" s="5" t="s">
        <v>123</v>
      </c>
      <c r="B6777" s="5" t="s">
        <v>40</v>
      </c>
      <c r="C6777" s="5" t="s">
        <v>7259</v>
      </c>
    </row>
    <row r="6778" spans="1:3" ht="30" x14ac:dyDescent="0.25">
      <c r="A6778" s="5" t="s">
        <v>123</v>
      </c>
      <c r="B6778" s="5" t="s">
        <v>454</v>
      </c>
      <c r="C6778" s="5" t="s">
        <v>7260</v>
      </c>
    </row>
    <row r="6779" spans="1:3" ht="30" x14ac:dyDescent="0.25">
      <c r="A6779" s="5" t="s">
        <v>123</v>
      </c>
      <c r="B6779" s="5" t="s">
        <v>456</v>
      </c>
      <c r="C6779" s="5" t="s">
        <v>7261</v>
      </c>
    </row>
    <row r="6780" spans="1:3" ht="30" x14ac:dyDescent="0.25">
      <c r="A6780" s="5" t="s">
        <v>123</v>
      </c>
      <c r="B6780" s="5" t="s">
        <v>462</v>
      </c>
      <c r="C6780" s="5" t="s">
        <v>7262</v>
      </c>
    </row>
    <row r="6781" spans="1:3" ht="30" x14ac:dyDescent="0.25">
      <c r="A6781" s="5" t="s">
        <v>123</v>
      </c>
      <c r="B6781" s="5" t="s">
        <v>201</v>
      </c>
      <c r="C6781" s="5" t="s">
        <v>7263</v>
      </c>
    </row>
    <row r="6782" spans="1:3" ht="30" x14ac:dyDescent="0.25">
      <c r="A6782" s="5" t="s">
        <v>123</v>
      </c>
      <c r="B6782" s="5" t="s">
        <v>45</v>
      </c>
      <c r="C6782" s="5" t="s">
        <v>7264</v>
      </c>
    </row>
    <row r="6783" spans="1:3" ht="30" x14ac:dyDescent="0.25">
      <c r="A6783" s="5" t="s">
        <v>123</v>
      </c>
      <c r="B6783" s="5" t="s">
        <v>47</v>
      </c>
      <c r="C6783" s="5" t="s">
        <v>7265</v>
      </c>
    </row>
    <row r="6784" spans="1:3" ht="30" x14ac:dyDescent="0.25">
      <c r="A6784" s="5" t="s">
        <v>123</v>
      </c>
      <c r="B6784" s="5" t="s">
        <v>49</v>
      </c>
      <c r="C6784" s="5" t="s">
        <v>7266</v>
      </c>
    </row>
    <row r="6785" spans="1:3" ht="30" x14ac:dyDescent="0.25">
      <c r="A6785" s="5" t="s">
        <v>123</v>
      </c>
      <c r="B6785" s="5" t="s">
        <v>50</v>
      </c>
      <c r="C6785" s="5" t="s">
        <v>7267</v>
      </c>
    </row>
    <row r="6786" spans="1:3" ht="30" x14ac:dyDescent="0.25">
      <c r="A6786" s="5" t="s">
        <v>123</v>
      </c>
      <c r="B6786" s="5" t="s">
        <v>52</v>
      </c>
      <c r="C6786" s="5" t="s">
        <v>7268</v>
      </c>
    </row>
    <row r="6787" spans="1:3" ht="30" x14ac:dyDescent="0.25">
      <c r="A6787" s="5" t="s">
        <v>123</v>
      </c>
      <c r="B6787" s="5" t="s">
        <v>54</v>
      </c>
      <c r="C6787" s="5" t="s">
        <v>7269</v>
      </c>
    </row>
    <row r="6788" spans="1:3" ht="30" x14ac:dyDescent="0.25">
      <c r="A6788" s="5" t="s">
        <v>123</v>
      </c>
      <c r="B6788" s="5" t="s">
        <v>497</v>
      </c>
      <c r="C6788" s="5" t="s">
        <v>7270</v>
      </c>
    </row>
    <row r="6789" spans="1:3" ht="30" x14ac:dyDescent="0.25">
      <c r="A6789" s="5" t="s">
        <v>123</v>
      </c>
      <c r="B6789" s="5" t="s">
        <v>515</v>
      </c>
      <c r="C6789" s="5" t="s">
        <v>7271</v>
      </c>
    </row>
    <row r="6790" spans="1:3" ht="30" x14ac:dyDescent="0.25">
      <c r="A6790" s="5" t="s">
        <v>123</v>
      </c>
      <c r="B6790" s="5" t="s">
        <v>205</v>
      </c>
      <c r="C6790" s="5" t="s">
        <v>7272</v>
      </c>
    </row>
    <row r="6791" spans="1:3" ht="30" x14ac:dyDescent="0.25">
      <c r="A6791" s="5" t="s">
        <v>123</v>
      </c>
      <c r="B6791" s="5" t="s">
        <v>65</v>
      </c>
      <c r="C6791" s="5" t="s">
        <v>7273</v>
      </c>
    </row>
    <row r="6792" spans="1:3" ht="30" x14ac:dyDescent="0.25">
      <c r="A6792" s="5" t="s">
        <v>123</v>
      </c>
      <c r="B6792" s="5" t="s">
        <v>176</v>
      </c>
      <c r="C6792" s="5" t="s">
        <v>7274</v>
      </c>
    </row>
    <row r="6793" spans="1:3" ht="30" x14ac:dyDescent="0.25">
      <c r="A6793" s="5" t="s">
        <v>123</v>
      </c>
      <c r="B6793" s="5" t="s">
        <v>67</v>
      </c>
      <c r="C6793" s="5" t="s">
        <v>7275</v>
      </c>
    </row>
    <row r="6794" spans="1:3" ht="30" x14ac:dyDescent="0.25">
      <c r="A6794" s="5" t="s">
        <v>123</v>
      </c>
      <c r="B6794" s="5" t="s">
        <v>537</v>
      </c>
      <c r="C6794" s="5" t="s">
        <v>7276</v>
      </c>
    </row>
    <row r="6795" spans="1:3" ht="30" x14ac:dyDescent="0.25">
      <c r="A6795" s="5" t="s">
        <v>123</v>
      </c>
      <c r="B6795" s="5" t="s">
        <v>539</v>
      </c>
      <c r="C6795" s="5" t="s">
        <v>7277</v>
      </c>
    </row>
    <row r="6796" spans="1:3" ht="30" x14ac:dyDescent="0.25">
      <c r="A6796" s="5" t="s">
        <v>123</v>
      </c>
      <c r="B6796" s="5" t="s">
        <v>69</v>
      </c>
      <c r="C6796" s="5" t="s">
        <v>7278</v>
      </c>
    </row>
    <row r="6797" spans="1:3" ht="30" x14ac:dyDescent="0.25">
      <c r="A6797" s="5" t="s">
        <v>123</v>
      </c>
      <c r="B6797" s="5" t="s">
        <v>71</v>
      </c>
      <c r="C6797" s="5" t="s">
        <v>7279</v>
      </c>
    </row>
    <row r="6798" spans="1:3" ht="30" x14ac:dyDescent="0.25">
      <c r="A6798" s="5" t="s">
        <v>123</v>
      </c>
      <c r="B6798" s="5" t="s">
        <v>73</v>
      </c>
      <c r="C6798" s="5" t="s">
        <v>7280</v>
      </c>
    </row>
    <row r="6799" spans="1:3" ht="30" x14ac:dyDescent="0.25">
      <c r="A6799" s="5" t="s">
        <v>123</v>
      </c>
      <c r="B6799" s="5" t="s">
        <v>3295</v>
      </c>
      <c r="C6799" s="5" t="s">
        <v>7281</v>
      </c>
    </row>
    <row r="6800" spans="1:3" ht="30" x14ac:dyDescent="0.25">
      <c r="A6800" s="5" t="s">
        <v>123</v>
      </c>
      <c r="B6800" s="5" t="s">
        <v>74</v>
      </c>
      <c r="C6800" s="5" t="s">
        <v>7282</v>
      </c>
    </row>
    <row r="6801" spans="1:3" ht="30" x14ac:dyDescent="0.25">
      <c r="A6801" s="5" t="s">
        <v>123</v>
      </c>
      <c r="B6801" s="5" t="s">
        <v>80</v>
      </c>
      <c r="C6801" s="5" t="s">
        <v>7283</v>
      </c>
    </row>
    <row r="6802" spans="1:3" ht="30" x14ac:dyDescent="0.25">
      <c r="A6802" s="5" t="s">
        <v>123</v>
      </c>
      <c r="B6802" s="5" t="s">
        <v>82</v>
      </c>
      <c r="C6802" s="5" t="s">
        <v>7284</v>
      </c>
    </row>
    <row r="6803" spans="1:3" ht="30" x14ac:dyDescent="0.25">
      <c r="A6803" s="5" t="s">
        <v>123</v>
      </c>
      <c r="B6803" s="5" t="s">
        <v>180</v>
      </c>
      <c r="C6803" s="5" t="s">
        <v>7285</v>
      </c>
    </row>
    <row r="6804" spans="1:3" ht="30" x14ac:dyDescent="0.25">
      <c r="A6804" s="5" t="s">
        <v>123</v>
      </c>
      <c r="B6804" s="5" t="s">
        <v>567</v>
      </c>
      <c r="C6804" s="5" t="s">
        <v>7286</v>
      </c>
    </row>
    <row r="6805" spans="1:3" ht="30" x14ac:dyDescent="0.25">
      <c r="A6805" s="5" t="s">
        <v>123</v>
      </c>
      <c r="B6805" s="5" t="s">
        <v>84</v>
      </c>
      <c r="C6805" s="5" t="s">
        <v>7287</v>
      </c>
    </row>
    <row r="6806" spans="1:3" ht="30" x14ac:dyDescent="0.25">
      <c r="A6806" s="5" t="s">
        <v>123</v>
      </c>
      <c r="B6806" s="5" t="s">
        <v>85</v>
      </c>
      <c r="C6806" s="5" t="s">
        <v>7288</v>
      </c>
    </row>
    <row r="6807" spans="1:3" ht="30" x14ac:dyDescent="0.25">
      <c r="A6807" s="5" t="s">
        <v>123</v>
      </c>
      <c r="B6807" s="5" t="s">
        <v>87</v>
      </c>
      <c r="C6807" s="5" t="s">
        <v>7289</v>
      </c>
    </row>
    <row r="6808" spans="1:3" ht="30" x14ac:dyDescent="0.25">
      <c r="A6808" s="5" t="s">
        <v>123</v>
      </c>
      <c r="B6808" s="5" t="s">
        <v>592</v>
      </c>
      <c r="C6808" s="5" t="s">
        <v>7290</v>
      </c>
    </row>
    <row r="6809" spans="1:3" ht="30" x14ac:dyDescent="0.25">
      <c r="A6809" s="5" t="s">
        <v>123</v>
      </c>
      <c r="B6809" s="5" t="s">
        <v>95</v>
      </c>
      <c r="C6809" s="5" t="s">
        <v>7291</v>
      </c>
    </row>
    <row r="6810" spans="1:3" ht="30" x14ac:dyDescent="0.25">
      <c r="A6810" s="5" t="s">
        <v>123</v>
      </c>
      <c r="B6810" s="5" t="s">
        <v>102</v>
      </c>
      <c r="C6810" s="5" t="s">
        <v>7292</v>
      </c>
    </row>
    <row r="6811" spans="1:3" ht="30" x14ac:dyDescent="0.25">
      <c r="A6811" s="5" t="s">
        <v>123</v>
      </c>
      <c r="B6811" s="5" t="s">
        <v>104</v>
      </c>
      <c r="C6811" s="5" t="s">
        <v>7293</v>
      </c>
    </row>
    <row r="6812" spans="1:3" ht="30" x14ac:dyDescent="0.25">
      <c r="A6812" s="5" t="s">
        <v>123</v>
      </c>
      <c r="B6812" s="5" t="s">
        <v>106</v>
      </c>
      <c r="C6812" s="5" t="s">
        <v>7294</v>
      </c>
    </row>
    <row r="6813" spans="1:3" ht="30" x14ac:dyDescent="0.25">
      <c r="A6813" s="5" t="s">
        <v>123</v>
      </c>
      <c r="B6813" s="5" t="s">
        <v>114</v>
      </c>
      <c r="C6813" s="5" t="s">
        <v>7295</v>
      </c>
    </row>
    <row r="6814" spans="1:3" ht="30" x14ac:dyDescent="0.25">
      <c r="A6814" s="5" t="s">
        <v>123</v>
      </c>
      <c r="B6814" s="5" t="s">
        <v>117</v>
      </c>
      <c r="C6814" s="5" t="s">
        <v>7296</v>
      </c>
    </row>
    <row r="6815" spans="1:3" ht="30" x14ac:dyDescent="0.25">
      <c r="A6815" s="5" t="s">
        <v>123</v>
      </c>
      <c r="B6815" s="5" t="s">
        <v>119</v>
      </c>
      <c r="C6815" s="5" t="s">
        <v>7297</v>
      </c>
    </row>
    <row r="6816" spans="1:3" ht="30" x14ac:dyDescent="0.25">
      <c r="A6816" s="5" t="s">
        <v>123</v>
      </c>
      <c r="B6816" s="5" t="s">
        <v>122</v>
      </c>
      <c r="C6816" s="5" t="s">
        <v>7298</v>
      </c>
    </row>
    <row r="6817" spans="1:3" ht="30" x14ac:dyDescent="0.25">
      <c r="A6817" s="5" t="s">
        <v>123</v>
      </c>
      <c r="B6817" s="5" t="s">
        <v>630</v>
      </c>
      <c r="C6817" s="5" t="s">
        <v>7299</v>
      </c>
    </row>
    <row r="6818" spans="1:3" ht="30" x14ac:dyDescent="0.25">
      <c r="A6818" s="5" t="s">
        <v>123</v>
      </c>
      <c r="B6818" s="5" t="s">
        <v>128</v>
      </c>
      <c r="C6818" s="5" t="s">
        <v>7300</v>
      </c>
    </row>
    <row r="6819" spans="1:3" ht="30" x14ac:dyDescent="0.25">
      <c r="A6819" s="5" t="s">
        <v>123</v>
      </c>
      <c r="B6819" s="5" t="s">
        <v>130</v>
      </c>
      <c r="C6819" s="5" t="s">
        <v>7301</v>
      </c>
    </row>
    <row r="6820" spans="1:3" ht="30" x14ac:dyDescent="0.25">
      <c r="A6820" s="5" t="s">
        <v>123</v>
      </c>
      <c r="B6820" s="5" t="s">
        <v>135</v>
      </c>
      <c r="C6820" s="5" t="s">
        <v>7302</v>
      </c>
    </row>
    <row r="6821" spans="1:3" ht="30" x14ac:dyDescent="0.25">
      <c r="A6821" s="5" t="s">
        <v>123</v>
      </c>
      <c r="B6821" s="5" t="s">
        <v>644</v>
      </c>
      <c r="C6821" s="5" t="s">
        <v>7303</v>
      </c>
    </row>
    <row r="6822" spans="1:3" ht="30" x14ac:dyDescent="0.25">
      <c r="A6822" s="5" t="s">
        <v>123</v>
      </c>
      <c r="B6822" s="5" t="s">
        <v>144</v>
      </c>
      <c r="C6822" s="5" t="s">
        <v>7304</v>
      </c>
    </row>
    <row r="6823" spans="1:3" ht="30" x14ac:dyDescent="0.25">
      <c r="A6823" s="5" t="s">
        <v>123</v>
      </c>
      <c r="B6823" s="5" t="s">
        <v>656</v>
      </c>
      <c r="C6823" s="5" t="s">
        <v>7305</v>
      </c>
    </row>
    <row r="6824" spans="1:3" ht="30" x14ac:dyDescent="0.25">
      <c r="A6824" s="5" t="s">
        <v>2486</v>
      </c>
      <c r="B6824" s="5" t="s">
        <v>47</v>
      </c>
      <c r="C6824" s="5" t="s">
        <v>7306</v>
      </c>
    </row>
    <row r="6825" spans="1:3" ht="30" x14ac:dyDescent="0.25">
      <c r="A6825" s="5" t="s">
        <v>2486</v>
      </c>
      <c r="B6825" s="5" t="s">
        <v>49</v>
      </c>
      <c r="C6825" s="5" t="s">
        <v>7307</v>
      </c>
    </row>
    <row r="6826" spans="1:3" x14ac:dyDescent="0.25">
      <c r="A6826" s="5" t="s">
        <v>2486</v>
      </c>
      <c r="B6826" s="5" t="s">
        <v>73</v>
      </c>
      <c r="C6826" s="5" t="s">
        <v>7308</v>
      </c>
    </row>
    <row r="6827" spans="1:3" ht="30" x14ac:dyDescent="0.25">
      <c r="A6827" s="5" t="s">
        <v>2486</v>
      </c>
      <c r="B6827" s="5" t="s">
        <v>104</v>
      </c>
      <c r="C6827" s="5" t="s">
        <v>7309</v>
      </c>
    </row>
    <row r="6828" spans="1:3" ht="30" x14ac:dyDescent="0.25">
      <c r="A6828" s="5" t="s">
        <v>124</v>
      </c>
      <c r="B6828" s="5" t="s">
        <v>2</v>
      </c>
      <c r="C6828" s="5" t="s">
        <v>7310</v>
      </c>
    </row>
    <row r="6829" spans="1:3" ht="30" x14ac:dyDescent="0.25">
      <c r="A6829" s="5" t="s">
        <v>124</v>
      </c>
      <c r="B6829" s="5" t="s">
        <v>10</v>
      </c>
      <c r="C6829" s="5" t="s">
        <v>7311</v>
      </c>
    </row>
    <row r="6830" spans="1:3" ht="30" x14ac:dyDescent="0.25">
      <c r="A6830" s="5" t="s">
        <v>124</v>
      </c>
      <c r="B6830" s="5" t="s">
        <v>13</v>
      </c>
      <c r="C6830" s="5" t="s">
        <v>7312</v>
      </c>
    </row>
    <row r="6831" spans="1:3" ht="30" x14ac:dyDescent="0.25">
      <c r="A6831" s="5" t="s">
        <v>124</v>
      </c>
      <c r="B6831" s="5" t="s">
        <v>329</v>
      </c>
      <c r="C6831" s="5" t="s">
        <v>7313</v>
      </c>
    </row>
    <row r="6832" spans="1:3" x14ac:dyDescent="0.25">
      <c r="A6832" s="5" t="s">
        <v>124</v>
      </c>
      <c r="B6832" s="5" t="s">
        <v>836</v>
      </c>
      <c r="C6832" s="5" t="s">
        <v>7314</v>
      </c>
    </row>
    <row r="6833" spans="1:3" x14ac:dyDescent="0.25">
      <c r="A6833" s="5" t="s">
        <v>124</v>
      </c>
      <c r="B6833" s="5" t="s">
        <v>344</v>
      </c>
      <c r="C6833" s="5" t="s">
        <v>7315</v>
      </c>
    </row>
    <row r="6834" spans="1:3" ht="30" x14ac:dyDescent="0.25">
      <c r="A6834" s="5" t="s">
        <v>124</v>
      </c>
      <c r="B6834" s="5" t="s">
        <v>19</v>
      </c>
      <c r="C6834" s="5" t="s">
        <v>7316</v>
      </c>
    </row>
    <row r="6835" spans="1:3" ht="30" x14ac:dyDescent="0.25">
      <c r="A6835" s="5" t="s">
        <v>124</v>
      </c>
      <c r="B6835" s="5" t="s">
        <v>22</v>
      </c>
      <c r="C6835" s="5" t="s">
        <v>7317</v>
      </c>
    </row>
    <row r="6836" spans="1:3" ht="30" x14ac:dyDescent="0.25">
      <c r="A6836" s="5" t="s">
        <v>124</v>
      </c>
      <c r="B6836" s="5" t="s">
        <v>24</v>
      </c>
      <c r="C6836" s="5" t="s">
        <v>7318</v>
      </c>
    </row>
    <row r="6837" spans="1:3" ht="30" x14ac:dyDescent="0.25">
      <c r="A6837" s="5" t="s">
        <v>124</v>
      </c>
      <c r="B6837" s="5" t="s">
        <v>32</v>
      </c>
      <c r="C6837" s="5" t="s">
        <v>7319</v>
      </c>
    </row>
    <row r="6838" spans="1:3" ht="30" x14ac:dyDescent="0.25">
      <c r="A6838" s="5" t="s">
        <v>124</v>
      </c>
      <c r="B6838" s="5" t="s">
        <v>34</v>
      </c>
      <c r="C6838" s="5" t="s">
        <v>7320</v>
      </c>
    </row>
    <row r="6839" spans="1:3" ht="30" x14ac:dyDescent="0.25">
      <c r="A6839" s="5" t="s">
        <v>124</v>
      </c>
      <c r="B6839" s="5" t="s">
        <v>38</v>
      </c>
      <c r="C6839" s="5" t="s">
        <v>7321</v>
      </c>
    </row>
    <row r="6840" spans="1:3" ht="30" x14ac:dyDescent="0.25">
      <c r="A6840" s="5" t="s">
        <v>124</v>
      </c>
      <c r="B6840" s="5" t="s">
        <v>40</v>
      </c>
      <c r="C6840" s="5" t="s">
        <v>7322</v>
      </c>
    </row>
    <row r="6841" spans="1:3" ht="30" x14ac:dyDescent="0.25">
      <c r="A6841" s="5" t="s">
        <v>124</v>
      </c>
      <c r="B6841" s="5" t="s">
        <v>456</v>
      </c>
      <c r="C6841" s="5" t="s">
        <v>7323</v>
      </c>
    </row>
    <row r="6842" spans="1:3" ht="30" x14ac:dyDescent="0.25">
      <c r="A6842" s="5" t="s">
        <v>124</v>
      </c>
      <c r="B6842" s="5" t="s">
        <v>462</v>
      </c>
      <c r="C6842" s="5" t="s">
        <v>7324</v>
      </c>
    </row>
    <row r="6843" spans="1:3" ht="30" x14ac:dyDescent="0.25">
      <c r="A6843" s="5" t="s">
        <v>124</v>
      </c>
      <c r="B6843" s="5" t="s">
        <v>201</v>
      </c>
      <c r="C6843" s="5" t="s">
        <v>7325</v>
      </c>
    </row>
    <row r="6844" spans="1:3" ht="30" x14ac:dyDescent="0.25">
      <c r="A6844" s="5" t="s">
        <v>124</v>
      </c>
      <c r="B6844" s="5" t="s">
        <v>47</v>
      </c>
      <c r="C6844" s="5" t="s">
        <v>7326</v>
      </c>
    </row>
    <row r="6845" spans="1:3" ht="30" x14ac:dyDescent="0.25">
      <c r="A6845" s="5" t="s">
        <v>124</v>
      </c>
      <c r="B6845" s="5" t="s">
        <v>49</v>
      </c>
      <c r="C6845" s="5" t="s">
        <v>7327</v>
      </c>
    </row>
    <row r="6846" spans="1:3" ht="30" x14ac:dyDescent="0.25">
      <c r="A6846" s="5" t="s">
        <v>124</v>
      </c>
      <c r="B6846" s="5" t="s">
        <v>474</v>
      </c>
      <c r="C6846" s="5" t="s">
        <v>7328</v>
      </c>
    </row>
    <row r="6847" spans="1:3" ht="30" x14ac:dyDescent="0.25">
      <c r="A6847" s="5" t="s">
        <v>124</v>
      </c>
      <c r="B6847" s="5" t="s">
        <v>50</v>
      </c>
      <c r="C6847" s="5" t="s">
        <v>7329</v>
      </c>
    </row>
    <row r="6848" spans="1:3" ht="30" x14ac:dyDescent="0.25">
      <c r="A6848" s="5" t="s">
        <v>124</v>
      </c>
      <c r="B6848" s="5" t="s">
        <v>483</v>
      </c>
      <c r="C6848" s="5" t="s">
        <v>7330</v>
      </c>
    </row>
    <row r="6849" spans="1:3" ht="30" x14ac:dyDescent="0.25">
      <c r="A6849" s="5" t="s">
        <v>124</v>
      </c>
      <c r="B6849" s="5" t="s">
        <v>848</v>
      </c>
      <c r="C6849" s="5" t="s">
        <v>7331</v>
      </c>
    </row>
    <row r="6850" spans="1:3" ht="30" x14ac:dyDescent="0.25">
      <c r="A6850" s="5" t="s">
        <v>124</v>
      </c>
      <c r="B6850" s="5" t="s">
        <v>52</v>
      </c>
      <c r="C6850" s="5" t="s">
        <v>7332</v>
      </c>
    </row>
    <row r="6851" spans="1:3" ht="30" x14ac:dyDescent="0.25">
      <c r="A6851" s="5" t="s">
        <v>124</v>
      </c>
      <c r="B6851" s="5" t="s">
        <v>2365</v>
      </c>
      <c r="C6851" s="5" t="s">
        <v>7333</v>
      </c>
    </row>
    <row r="6852" spans="1:3" ht="30" x14ac:dyDescent="0.25">
      <c r="A6852" s="5" t="s">
        <v>124</v>
      </c>
      <c r="B6852" s="5" t="s">
        <v>56</v>
      </c>
      <c r="C6852" s="5" t="s">
        <v>7334</v>
      </c>
    </row>
    <row r="6853" spans="1:3" x14ac:dyDescent="0.25">
      <c r="A6853" s="5" t="s">
        <v>124</v>
      </c>
      <c r="B6853" s="5" t="s">
        <v>57</v>
      </c>
      <c r="C6853" s="5" t="s">
        <v>7335</v>
      </c>
    </row>
    <row r="6854" spans="1:3" ht="30" x14ac:dyDescent="0.25">
      <c r="A6854" s="5" t="s">
        <v>124</v>
      </c>
      <c r="B6854" s="5" t="s">
        <v>499</v>
      </c>
      <c r="C6854" s="5" t="s">
        <v>7336</v>
      </c>
    </row>
    <row r="6855" spans="1:3" ht="30" x14ac:dyDescent="0.25">
      <c r="A6855" s="5" t="s">
        <v>124</v>
      </c>
      <c r="B6855" s="5" t="s">
        <v>505</v>
      </c>
      <c r="C6855" s="5" t="s">
        <v>7337</v>
      </c>
    </row>
    <row r="6856" spans="1:3" ht="30" x14ac:dyDescent="0.25">
      <c r="A6856" s="5" t="s">
        <v>124</v>
      </c>
      <c r="B6856" s="5" t="s">
        <v>64</v>
      </c>
      <c r="C6856" s="5" t="s">
        <v>7338</v>
      </c>
    </row>
    <row r="6857" spans="1:3" ht="30" x14ac:dyDescent="0.25">
      <c r="A6857" s="5" t="s">
        <v>124</v>
      </c>
      <c r="B6857" s="5" t="s">
        <v>360</v>
      </c>
      <c r="C6857" s="5" t="s">
        <v>7339</v>
      </c>
    </row>
    <row r="6858" spans="1:3" ht="30" x14ac:dyDescent="0.25">
      <c r="A6858" s="5" t="s">
        <v>124</v>
      </c>
      <c r="B6858" s="5" t="s">
        <v>205</v>
      </c>
      <c r="C6858" s="5" t="s">
        <v>7340</v>
      </c>
    </row>
    <row r="6859" spans="1:3" ht="30" x14ac:dyDescent="0.25">
      <c r="A6859" s="5" t="s">
        <v>124</v>
      </c>
      <c r="B6859" s="5" t="s">
        <v>176</v>
      </c>
      <c r="C6859" s="5" t="s">
        <v>7341</v>
      </c>
    </row>
    <row r="6860" spans="1:3" ht="30" x14ac:dyDescent="0.25">
      <c r="A6860" s="5" t="s">
        <v>124</v>
      </c>
      <c r="B6860" s="5" t="s">
        <v>67</v>
      </c>
      <c r="C6860" s="5" t="s">
        <v>7342</v>
      </c>
    </row>
    <row r="6861" spans="1:3" ht="30" x14ac:dyDescent="0.25">
      <c r="A6861" s="5" t="s">
        <v>124</v>
      </c>
      <c r="B6861" s="5" t="s">
        <v>867</v>
      </c>
      <c r="C6861" s="5" t="s">
        <v>7343</v>
      </c>
    </row>
    <row r="6862" spans="1:3" ht="30" x14ac:dyDescent="0.25">
      <c r="A6862" s="5" t="s">
        <v>124</v>
      </c>
      <c r="B6862" s="5" t="s">
        <v>537</v>
      </c>
      <c r="C6862" s="5" t="s">
        <v>7344</v>
      </c>
    </row>
    <row r="6863" spans="1:3" ht="30" x14ac:dyDescent="0.25">
      <c r="A6863" s="5" t="s">
        <v>124</v>
      </c>
      <c r="B6863" s="5" t="s">
        <v>541</v>
      </c>
      <c r="C6863" s="5" t="s">
        <v>7345</v>
      </c>
    </row>
    <row r="6864" spans="1:3" x14ac:dyDescent="0.25">
      <c r="A6864" s="5" t="s">
        <v>124</v>
      </c>
      <c r="B6864" s="5" t="s">
        <v>69</v>
      </c>
      <c r="C6864" s="5" t="s">
        <v>7346</v>
      </c>
    </row>
    <row r="6865" spans="1:3" ht="30" x14ac:dyDescent="0.25">
      <c r="A6865" s="5" t="s">
        <v>124</v>
      </c>
      <c r="B6865" s="5" t="s">
        <v>366</v>
      </c>
      <c r="C6865" s="5" t="s">
        <v>7347</v>
      </c>
    </row>
    <row r="6866" spans="1:3" ht="30" x14ac:dyDescent="0.25">
      <c r="A6866" s="5" t="s">
        <v>124</v>
      </c>
      <c r="B6866" s="5" t="s">
        <v>71</v>
      </c>
      <c r="C6866" s="5" t="s">
        <v>7348</v>
      </c>
    </row>
    <row r="6867" spans="1:3" ht="30" x14ac:dyDescent="0.25">
      <c r="A6867" s="5" t="s">
        <v>124</v>
      </c>
      <c r="B6867" s="5" t="s">
        <v>73</v>
      </c>
      <c r="C6867" s="5" t="s">
        <v>7349</v>
      </c>
    </row>
    <row r="6868" spans="1:3" x14ac:dyDescent="0.25">
      <c r="A6868" s="5" t="s">
        <v>124</v>
      </c>
      <c r="B6868" s="5" t="s">
        <v>2421</v>
      </c>
      <c r="C6868" s="5" t="s">
        <v>7350</v>
      </c>
    </row>
    <row r="6869" spans="1:3" ht="30" x14ac:dyDescent="0.25">
      <c r="A6869" s="5" t="s">
        <v>124</v>
      </c>
      <c r="B6869" s="5" t="s">
        <v>80</v>
      </c>
      <c r="C6869" s="5" t="s">
        <v>7351</v>
      </c>
    </row>
    <row r="6870" spans="1:3" ht="30" x14ac:dyDescent="0.25">
      <c r="A6870" s="5" t="s">
        <v>124</v>
      </c>
      <c r="B6870" s="5" t="s">
        <v>82</v>
      </c>
      <c r="C6870" s="5" t="s">
        <v>7352</v>
      </c>
    </row>
    <row r="6871" spans="1:3" ht="30" x14ac:dyDescent="0.25">
      <c r="A6871" s="5" t="s">
        <v>124</v>
      </c>
      <c r="B6871" s="5" t="s">
        <v>180</v>
      </c>
      <c r="C6871" s="5" t="s">
        <v>7353</v>
      </c>
    </row>
    <row r="6872" spans="1:3" ht="30" x14ac:dyDescent="0.25">
      <c r="A6872" s="5" t="s">
        <v>124</v>
      </c>
      <c r="B6872" s="5" t="s">
        <v>875</v>
      </c>
      <c r="C6872" s="5" t="s">
        <v>7354</v>
      </c>
    </row>
    <row r="6873" spans="1:3" ht="30" x14ac:dyDescent="0.25">
      <c r="A6873" s="5" t="s">
        <v>124</v>
      </c>
      <c r="B6873" s="5" t="s">
        <v>84</v>
      </c>
      <c r="C6873" s="5" t="s">
        <v>7355</v>
      </c>
    </row>
    <row r="6874" spans="1:3" ht="30" x14ac:dyDescent="0.25">
      <c r="A6874" s="5" t="s">
        <v>124</v>
      </c>
      <c r="B6874" s="5" t="s">
        <v>85</v>
      </c>
      <c r="C6874" s="5" t="s">
        <v>7356</v>
      </c>
    </row>
    <row r="6875" spans="1:3" ht="30" x14ac:dyDescent="0.25">
      <c r="A6875" s="5" t="s">
        <v>124</v>
      </c>
      <c r="B6875" s="5" t="s">
        <v>2436</v>
      </c>
      <c r="C6875" s="5" t="s">
        <v>7357</v>
      </c>
    </row>
    <row r="6876" spans="1:3" ht="30" x14ac:dyDescent="0.25">
      <c r="A6876" s="5" t="s">
        <v>124</v>
      </c>
      <c r="B6876" s="5" t="s">
        <v>2439</v>
      </c>
      <c r="C6876" s="5" t="s">
        <v>7358</v>
      </c>
    </row>
    <row r="6877" spans="1:3" ht="30" x14ac:dyDescent="0.25">
      <c r="A6877" s="5" t="s">
        <v>124</v>
      </c>
      <c r="B6877" s="5" t="s">
        <v>581</v>
      </c>
      <c r="C6877" s="5" t="s">
        <v>7359</v>
      </c>
    </row>
    <row r="6878" spans="1:3" ht="30" x14ac:dyDescent="0.25">
      <c r="A6878" s="5" t="s">
        <v>124</v>
      </c>
      <c r="B6878" s="5" t="s">
        <v>87</v>
      </c>
      <c r="C6878" s="5" t="s">
        <v>7360</v>
      </c>
    </row>
    <row r="6879" spans="1:3" ht="30" x14ac:dyDescent="0.25">
      <c r="A6879" s="5" t="s">
        <v>124</v>
      </c>
      <c r="B6879" s="5" t="s">
        <v>89</v>
      </c>
      <c r="C6879" s="5" t="s">
        <v>7361</v>
      </c>
    </row>
    <row r="6880" spans="1:3" ht="30" x14ac:dyDescent="0.25">
      <c r="A6880" s="5" t="s">
        <v>124</v>
      </c>
      <c r="B6880" s="5" t="s">
        <v>215</v>
      </c>
      <c r="C6880" s="5" t="s">
        <v>7362</v>
      </c>
    </row>
    <row r="6881" spans="1:3" ht="30" x14ac:dyDescent="0.25">
      <c r="A6881" s="5" t="s">
        <v>124</v>
      </c>
      <c r="B6881" s="5" t="s">
        <v>371</v>
      </c>
      <c r="C6881" s="5" t="s">
        <v>7363</v>
      </c>
    </row>
    <row r="6882" spans="1:3" ht="30" x14ac:dyDescent="0.25">
      <c r="A6882" s="5" t="s">
        <v>124</v>
      </c>
      <c r="B6882" s="5" t="s">
        <v>590</v>
      </c>
      <c r="C6882" s="5" t="s">
        <v>7364</v>
      </c>
    </row>
    <row r="6883" spans="1:3" ht="30" x14ac:dyDescent="0.25">
      <c r="A6883" s="5" t="s">
        <v>124</v>
      </c>
      <c r="B6883" s="5" t="s">
        <v>592</v>
      </c>
      <c r="C6883" s="5" t="s">
        <v>7365</v>
      </c>
    </row>
    <row r="6884" spans="1:3" ht="30" x14ac:dyDescent="0.25">
      <c r="A6884" s="5" t="s">
        <v>124</v>
      </c>
      <c r="B6884" s="5" t="s">
        <v>95</v>
      </c>
      <c r="C6884" s="5" t="s">
        <v>7366</v>
      </c>
    </row>
    <row r="6885" spans="1:3" ht="30" x14ac:dyDescent="0.25">
      <c r="A6885" s="5" t="s">
        <v>124</v>
      </c>
      <c r="B6885" s="5" t="s">
        <v>596</v>
      </c>
      <c r="C6885" s="5" t="s">
        <v>7367</v>
      </c>
    </row>
    <row r="6886" spans="1:3" ht="30" x14ac:dyDescent="0.25">
      <c r="A6886" s="5" t="s">
        <v>124</v>
      </c>
      <c r="B6886" s="5" t="s">
        <v>1214</v>
      </c>
      <c r="C6886" s="5" t="s">
        <v>7368</v>
      </c>
    </row>
    <row r="6887" spans="1:3" ht="30" x14ac:dyDescent="0.25">
      <c r="A6887" s="5" t="s">
        <v>124</v>
      </c>
      <c r="B6887" s="5" t="s">
        <v>100</v>
      </c>
      <c r="C6887" s="5" t="s">
        <v>7369</v>
      </c>
    </row>
    <row r="6888" spans="1:3" ht="30" x14ac:dyDescent="0.25">
      <c r="A6888" s="5" t="s">
        <v>124</v>
      </c>
      <c r="B6888" s="5" t="s">
        <v>102</v>
      </c>
      <c r="C6888" s="5" t="s">
        <v>7370</v>
      </c>
    </row>
    <row r="6889" spans="1:3" ht="30" x14ac:dyDescent="0.25">
      <c r="A6889" s="5" t="s">
        <v>124</v>
      </c>
      <c r="B6889" s="5" t="s">
        <v>104</v>
      </c>
      <c r="C6889" s="5" t="s">
        <v>7371</v>
      </c>
    </row>
    <row r="6890" spans="1:3" x14ac:dyDescent="0.25">
      <c r="A6890" s="5" t="s">
        <v>124</v>
      </c>
      <c r="B6890" s="5" t="s">
        <v>106</v>
      </c>
      <c r="C6890" s="5" t="s">
        <v>7372</v>
      </c>
    </row>
    <row r="6891" spans="1:3" ht="30" x14ac:dyDescent="0.25">
      <c r="A6891" s="5" t="s">
        <v>124</v>
      </c>
      <c r="B6891" s="5" t="s">
        <v>890</v>
      </c>
      <c r="C6891" s="5" t="s">
        <v>7373</v>
      </c>
    </row>
    <row r="6892" spans="1:3" ht="30" x14ac:dyDescent="0.25">
      <c r="A6892" s="5" t="s">
        <v>124</v>
      </c>
      <c r="B6892" s="5" t="s">
        <v>772</v>
      </c>
      <c r="C6892" s="5" t="s">
        <v>7374</v>
      </c>
    </row>
    <row r="6893" spans="1:3" ht="30" x14ac:dyDescent="0.25">
      <c r="A6893" s="5" t="s">
        <v>124</v>
      </c>
      <c r="B6893" s="5" t="s">
        <v>894</v>
      </c>
      <c r="C6893" s="5" t="s">
        <v>7375</v>
      </c>
    </row>
    <row r="6894" spans="1:3" ht="30" x14ac:dyDescent="0.25">
      <c r="A6894" s="5" t="s">
        <v>124</v>
      </c>
      <c r="B6894" s="5" t="s">
        <v>119</v>
      </c>
      <c r="C6894" s="5" t="s">
        <v>7376</v>
      </c>
    </row>
    <row r="6895" spans="1:3" ht="30" x14ac:dyDescent="0.25">
      <c r="A6895" s="5" t="s">
        <v>124</v>
      </c>
      <c r="B6895" s="5" t="s">
        <v>121</v>
      </c>
      <c r="C6895" s="5" t="s">
        <v>7377</v>
      </c>
    </row>
    <row r="6896" spans="1:3" ht="30" x14ac:dyDescent="0.25">
      <c r="A6896" s="5" t="s">
        <v>124</v>
      </c>
      <c r="B6896" s="5" t="s">
        <v>125</v>
      </c>
      <c r="C6896" s="5" t="s">
        <v>7378</v>
      </c>
    </row>
    <row r="6897" spans="1:3" ht="30" x14ac:dyDescent="0.25">
      <c r="A6897" s="5" t="s">
        <v>124</v>
      </c>
      <c r="B6897" s="5" t="s">
        <v>967</v>
      </c>
      <c r="C6897" s="5" t="s">
        <v>7379</v>
      </c>
    </row>
    <row r="6898" spans="1:3" ht="30" x14ac:dyDescent="0.25">
      <c r="A6898" s="5" t="s">
        <v>124</v>
      </c>
      <c r="B6898" s="5" t="s">
        <v>2493</v>
      </c>
      <c r="C6898" s="5" t="s">
        <v>7380</v>
      </c>
    </row>
    <row r="6899" spans="1:3" ht="30" x14ac:dyDescent="0.25">
      <c r="A6899" s="5" t="s">
        <v>124</v>
      </c>
      <c r="B6899" s="5" t="s">
        <v>900</v>
      </c>
      <c r="C6899" s="5" t="s">
        <v>7381</v>
      </c>
    </row>
    <row r="6900" spans="1:3" ht="30" x14ac:dyDescent="0.25">
      <c r="A6900" s="5" t="s">
        <v>124</v>
      </c>
      <c r="B6900" s="5" t="s">
        <v>128</v>
      </c>
      <c r="C6900" s="5" t="s">
        <v>7382</v>
      </c>
    </row>
    <row r="6901" spans="1:3" ht="30" x14ac:dyDescent="0.25">
      <c r="A6901" s="5" t="s">
        <v>124</v>
      </c>
      <c r="B6901" s="5" t="s">
        <v>130</v>
      </c>
      <c r="C6901" s="5" t="s">
        <v>7383</v>
      </c>
    </row>
    <row r="6902" spans="1:3" x14ac:dyDescent="0.25">
      <c r="A6902" s="5" t="s">
        <v>124</v>
      </c>
      <c r="B6902" s="5" t="s">
        <v>131</v>
      </c>
      <c r="C6902" s="5" t="s">
        <v>7384</v>
      </c>
    </row>
    <row r="6903" spans="1:3" ht="30" x14ac:dyDescent="0.25">
      <c r="A6903" s="5" t="s">
        <v>124</v>
      </c>
      <c r="B6903" s="5" t="s">
        <v>135</v>
      </c>
      <c r="C6903" s="5" t="s">
        <v>7385</v>
      </c>
    </row>
    <row r="6904" spans="1:3" ht="30" x14ac:dyDescent="0.25">
      <c r="A6904" s="5" t="s">
        <v>124</v>
      </c>
      <c r="B6904" s="5" t="s">
        <v>137</v>
      </c>
      <c r="C6904" s="5" t="s">
        <v>7386</v>
      </c>
    </row>
    <row r="6905" spans="1:3" x14ac:dyDescent="0.25">
      <c r="A6905" s="5" t="s">
        <v>124</v>
      </c>
      <c r="B6905" s="5" t="s">
        <v>644</v>
      </c>
      <c r="C6905" s="5" t="s">
        <v>7387</v>
      </c>
    </row>
    <row r="6906" spans="1:3" ht="30" x14ac:dyDescent="0.25">
      <c r="A6906" s="5" t="s">
        <v>124</v>
      </c>
      <c r="B6906" s="5" t="s">
        <v>1413</v>
      </c>
      <c r="C6906" s="5" t="s">
        <v>7388</v>
      </c>
    </row>
    <row r="6907" spans="1:3" ht="30" x14ac:dyDescent="0.25">
      <c r="A6907" s="5" t="s">
        <v>124</v>
      </c>
      <c r="B6907" s="5" t="s">
        <v>145</v>
      </c>
      <c r="C6907" s="5" t="s">
        <v>7389</v>
      </c>
    </row>
    <row r="6908" spans="1:3" ht="30" x14ac:dyDescent="0.25">
      <c r="A6908" s="5" t="s">
        <v>124</v>
      </c>
      <c r="B6908" s="5" t="s">
        <v>658</v>
      </c>
      <c r="C6908" s="5" t="s">
        <v>7390</v>
      </c>
    </row>
    <row r="6909" spans="1:3" ht="30" x14ac:dyDescent="0.25">
      <c r="A6909" s="5" t="s">
        <v>124</v>
      </c>
      <c r="B6909" s="5" t="s">
        <v>660</v>
      </c>
      <c r="C6909" s="5" t="s">
        <v>7391</v>
      </c>
    </row>
    <row r="6910" spans="1:3" ht="30" x14ac:dyDescent="0.25">
      <c r="A6910" s="5" t="s">
        <v>125</v>
      </c>
      <c r="B6910" s="5" t="s">
        <v>2</v>
      </c>
      <c r="C6910" s="5" t="s">
        <v>7392</v>
      </c>
    </row>
    <row r="6911" spans="1:3" x14ac:dyDescent="0.25">
      <c r="A6911" s="5" t="s">
        <v>125</v>
      </c>
      <c r="B6911" s="5" t="s">
        <v>10</v>
      </c>
      <c r="C6911" s="5" t="s">
        <v>7393</v>
      </c>
    </row>
    <row r="6912" spans="1:3" ht="30" x14ac:dyDescent="0.25">
      <c r="A6912" s="5" t="s">
        <v>125</v>
      </c>
      <c r="B6912" s="5" t="s">
        <v>19</v>
      </c>
      <c r="C6912" s="5" t="s">
        <v>7394</v>
      </c>
    </row>
    <row r="6913" spans="1:3" ht="30" x14ac:dyDescent="0.25">
      <c r="A6913" s="5" t="s">
        <v>125</v>
      </c>
      <c r="B6913" s="5" t="s">
        <v>24</v>
      </c>
      <c r="C6913" s="5" t="s">
        <v>7395</v>
      </c>
    </row>
    <row r="6914" spans="1:3" ht="30" x14ac:dyDescent="0.25">
      <c r="A6914" s="5" t="s">
        <v>125</v>
      </c>
      <c r="B6914" s="5" t="s">
        <v>32</v>
      </c>
      <c r="C6914" s="5" t="s">
        <v>7396</v>
      </c>
    </row>
    <row r="6915" spans="1:3" x14ac:dyDescent="0.25">
      <c r="A6915" s="5" t="s">
        <v>125</v>
      </c>
      <c r="B6915" s="5" t="s">
        <v>38</v>
      </c>
      <c r="C6915" s="5" t="s">
        <v>7397</v>
      </c>
    </row>
    <row r="6916" spans="1:3" x14ac:dyDescent="0.25">
      <c r="A6916" s="5" t="s">
        <v>125</v>
      </c>
      <c r="B6916" s="5" t="s">
        <v>40</v>
      </c>
      <c r="C6916" s="5" t="s">
        <v>7398</v>
      </c>
    </row>
    <row r="6917" spans="1:3" ht="30" x14ac:dyDescent="0.25">
      <c r="A6917" s="5" t="s">
        <v>125</v>
      </c>
      <c r="B6917" s="5" t="s">
        <v>454</v>
      </c>
      <c r="C6917" s="5" t="s">
        <v>7399</v>
      </c>
    </row>
    <row r="6918" spans="1:3" ht="30" x14ac:dyDescent="0.25">
      <c r="A6918" s="5" t="s">
        <v>125</v>
      </c>
      <c r="B6918" s="5" t="s">
        <v>456</v>
      </c>
      <c r="C6918" s="5" t="s">
        <v>7400</v>
      </c>
    </row>
    <row r="6919" spans="1:3" ht="30" x14ac:dyDescent="0.25">
      <c r="A6919" s="5" t="s">
        <v>125</v>
      </c>
      <c r="B6919" s="5" t="s">
        <v>462</v>
      </c>
      <c r="C6919" s="5" t="s">
        <v>7401</v>
      </c>
    </row>
    <row r="6920" spans="1:3" ht="30" x14ac:dyDescent="0.25">
      <c r="A6920" s="5" t="s">
        <v>125</v>
      </c>
      <c r="B6920" s="5" t="s">
        <v>201</v>
      </c>
      <c r="C6920" s="5" t="s">
        <v>7402</v>
      </c>
    </row>
    <row r="6921" spans="1:3" ht="30" x14ac:dyDescent="0.25">
      <c r="A6921" s="5" t="s">
        <v>125</v>
      </c>
      <c r="B6921" s="5" t="s">
        <v>47</v>
      </c>
      <c r="C6921" s="5" t="s">
        <v>7403</v>
      </c>
    </row>
    <row r="6922" spans="1:3" ht="30" x14ac:dyDescent="0.25">
      <c r="A6922" s="5" t="s">
        <v>125</v>
      </c>
      <c r="B6922" s="5" t="s">
        <v>49</v>
      </c>
      <c r="C6922" s="5" t="s">
        <v>7404</v>
      </c>
    </row>
    <row r="6923" spans="1:3" ht="30" x14ac:dyDescent="0.25">
      <c r="A6923" s="5" t="s">
        <v>125</v>
      </c>
      <c r="B6923" s="5" t="s">
        <v>50</v>
      </c>
      <c r="C6923" s="5" t="s">
        <v>7405</v>
      </c>
    </row>
    <row r="6924" spans="1:3" x14ac:dyDescent="0.25">
      <c r="A6924" s="5" t="s">
        <v>125</v>
      </c>
      <c r="B6924" s="5" t="s">
        <v>483</v>
      </c>
      <c r="C6924" s="5" t="s">
        <v>7406</v>
      </c>
    </row>
    <row r="6925" spans="1:3" ht="30" x14ac:dyDescent="0.25">
      <c r="A6925" s="5" t="s">
        <v>125</v>
      </c>
      <c r="B6925" s="5" t="s">
        <v>52</v>
      </c>
      <c r="C6925" s="5" t="s">
        <v>7407</v>
      </c>
    </row>
    <row r="6926" spans="1:3" x14ac:dyDescent="0.25">
      <c r="A6926" s="5" t="s">
        <v>125</v>
      </c>
      <c r="B6926" s="5" t="s">
        <v>57</v>
      </c>
      <c r="C6926" s="5" t="s">
        <v>7408</v>
      </c>
    </row>
    <row r="6927" spans="1:3" ht="30" x14ac:dyDescent="0.25">
      <c r="A6927" s="5" t="s">
        <v>125</v>
      </c>
      <c r="B6927" s="5" t="s">
        <v>205</v>
      </c>
      <c r="C6927" s="5" t="s">
        <v>7409</v>
      </c>
    </row>
    <row r="6928" spans="1:3" x14ac:dyDescent="0.25">
      <c r="A6928" s="5" t="s">
        <v>125</v>
      </c>
      <c r="B6928" s="5" t="s">
        <v>176</v>
      </c>
      <c r="C6928" s="5" t="s">
        <v>7410</v>
      </c>
    </row>
    <row r="6929" spans="1:3" x14ac:dyDescent="0.25">
      <c r="A6929" s="5" t="s">
        <v>125</v>
      </c>
      <c r="B6929" s="5" t="s">
        <v>67</v>
      </c>
      <c r="C6929" s="5" t="s">
        <v>7411</v>
      </c>
    </row>
    <row r="6930" spans="1:3" x14ac:dyDescent="0.25">
      <c r="A6930" s="5" t="s">
        <v>125</v>
      </c>
      <c r="B6930" s="5" t="s">
        <v>68</v>
      </c>
      <c r="C6930" s="5" t="s">
        <v>7412</v>
      </c>
    </row>
    <row r="6931" spans="1:3" x14ac:dyDescent="0.25">
      <c r="A6931" s="5" t="s">
        <v>125</v>
      </c>
      <c r="B6931" s="5" t="s">
        <v>69</v>
      </c>
      <c r="C6931" s="5" t="s">
        <v>7413</v>
      </c>
    </row>
    <row r="6932" spans="1:3" x14ac:dyDescent="0.25">
      <c r="A6932" s="5" t="s">
        <v>125</v>
      </c>
      <c r="B6932" s="5" t="s">
        <v>71</v>
      </c>
      <c r="C6932" s="5" t="s">
        <v>7414</v>
      </c>
    </row>
    <row r="6933" spans="1:3" x14ac:dyDescent="0.25">
      <c r="A6933" s="5" t="s">
        <v>125</v>
      </c>
      <c r="B6933" s="5" t="s">
        <v>73</v>
      </c>
      <c r="C6933" s="5" t="s">
        <v>7415</v>
      </c>
    </row>
    <row r="6934" spans="1:3" ht="30" x14ac:dyDescent="0.25">
      <c r="A6934" s="5" t="s">
        <v>125</v>
      </c>
      <c r="B6934" s="5" t="s">
        <v>74</v>
      </c>
      <c r="C6934" s="5" t="s">
        <v>7416</v>
      </c>
    </row>
    <row r="6935" spans="1:3" ht="30" x14ac:dyDescent="0.25">
      <c r="A6935" s="5" t="s">
        <v>125</v>
      </c>
      <c r="B6935" s="5" t="s">
        <v>80</v>
      </c>
      <c r="C6935" s="5" t="s">
        <v>7417</v>
      </c>
    </row>
    <row r="6936" spans="1:3" ht="30" x14ac:dyDescent="0.25">
      <c r="A6936" s="5" t="s">
        <v>125</v>
      </c>
      <c r="B6936" s="5" t="s">
        <v>82</v>
      </c>
      <c r="C6936" s="5" t="s">
        <v>7418</v>
      </c>
    </row>
    <row r="6937" spans="1:3" ht="30" x14ac:dyDescent="0.25">
      <c r="A6937" s="5" t="s">
        <v>125</v>
      </c>
      <c r="B6937" s="5" t="s">
        <v>180</v>
      </c>
      <c r="C6937" s="5" t="s">
        <v>7419</v>
      </c>
    </row>
    <row r="6938" spans="1:3" ht="30" x14ac:dyDescent="0.25">
      <c r="A6938" s="5" t="s">
        <v>125</v>
      </c>
      <c r="B6938" s="5" t="s">
        <v>563</v>
      </c>
      <c r="C6938" s="5" t="s">
        <v>7420</v>
      </c>
    </row>
    <row r="6939" spans="1:3" ht="30" x14ac:dyDescent="0.25">
      <c r="A6939" s="5" t="s">
        <v>125</v>
      </c>
      <c r="B6939" s="5" t="s">
        <v>84</v>
      </c>
      <c r="C6939" s="5" t="s">
        <v>7421</v>
      </c>
    </row>
    <row r="6940" spans="1:3" ht="30" x14ac:dyDescent="0.25">
      <c r="A6940" s="5" t="s">
        <v>125</v>
      </c>
      <c r="B6940" s="5" t="s">
        <v>87</v>
      </c>
      <c r="C6940" s="5" t="s">
        <v>7422</v>
      </c>
    </row>
    <row r="6941" spans="1:3" ht="30" x14ac:dyDescent="0.25">
      <c r="A6941" s="5" t="s">
        <v>125</v>
      </c>
      <c r="B6941" s="5" t="s">
        <v>89</v>
      </c>
      <c r="C6941" s="5" t="s">
        <v>7423</v>
      </c>
    </row>
    <row r="6942" spans="1:3" ht="30" x14ac:dyDescent="0.25">
      <c r="A6942" s="5" t="s">
        <v>125</v>
      </c>
      <c r="B6942" s="5" t="s">
        <v>215</v>
      </c>
      <c r="C6942" s="5" t="s">
        <v>7424</v>
      </c>
    </row>
    <row r="6943" spans="1:3" ht="30" x14ac:dyDescent="0.25">
      <c r="A6943" s="5" t="s">
        <v>125</v>
      </c>
      <c r="B6943" s="5" t="s">
        <v>590</v>
      </c>
      <c r="C6943" s="5" t="s">
        <v>7425</v>
      </c>
    </row>
    <row r="6944" spans="1:3" ht="30" x14ac:dyDescent="0.25">
      <c r="A6944" s="5" t="s">
        <v>125</v>
      </c>
      <c r="B6944" s="5" t="s">
        <v>592</v>
      </c>
      <c r="C6944" s="5" t="s">
        <v>7426</v>
      </c>
    </row>
    <row r="6945" spans="1:3" ht="30" x14ac:dyDescent="0.25">
      <c r="A6945" s="5" t="s">
        <v>125</v>
      </c>
      <c r="B6945" s="5" t="s">
        <v>94</v>
      </c>
      <c r="C6945" s="5" t="s">
        <v>7427</v>
      </c>
    </row>
    <row r="6946" spans="1:3" ht="30" x14ac:dyDescent="0.25">
      <c r="A6946" s="5" t="s">
        <v>125</v>
      </c>
      <c r="B6946" s="5" t="s">
        <v>95</v>
      </c>
      <c r="C6946" s="5" t="s">
        <v>7428</v>
      </c>
    </row>
    <row r="6947" spans="1:3" x14ac:dyDescent="0.25">
      <c r="A6947" s="5" t="s">
        <v>125</v>
      </c>
      <c r="B6947" s="5" t="s">
        <v>102</v>
      </c>
      <c r="C6947" s="5" t="s">
        <v>7429</v>
      </c>
    </row>
    <row r="6948" spans="1:3" ht="30" x14ac:dyDescent="0.25">
      <c r="A6948" s="5" t="s">
        <v>125</v>
      </c>
      <c r="B6948" s="5" t="s">
        <v>104</v>
      </c>
      <c r="C6948" s="5" t="s">
        <v>7430</v>
      </c>
    </row>
    <row r="6949" spans="1:3" ht="30" x14ac:dyDescent="0.25">
      <c r="A6949" s="5" t="s">
        <v>125</v>
      </c>
      <c r="B6949" s="5" t="s">
        <v>119</v>
      </c>
      <c r="C6949" s="5" t="s">
        <v>7431</v>
      </c>
    </row>
    <row r="6950" spans="1:3" ht="30" x14ac:dyDescent="0.25">
      <c r="A6950" s="5" t="s">
        <v>125</v>
      </c>
      <c r="B6950" s="5" t="s">
        <v>124</v>
      </c>
      <c r="C6950" s="5" t="s">
        <v>7432</v>
      </c>
    </row>
    <row r="6951" spans="1:3" x14ac:dyDescent="0.25">
      <c r="A6951" s="5" t="s">
        <v>125</v>
      </c>
      <c r="B6951" s="5" t="s">
        <v>128</v>
      </c>
      <c r="C6951" s="5" t="s">
        <v>7433</v>
      </c>
    </row>
    <row r="6952" spans="1:3" x14ac:dyDescent="0.25">
      <c r="A6952" s="5" t="s">
        <v>125</v>
      </c>
      <c r="B6952" s="5" t="s">
        <v>191</v>
      </c>
      <c r="C6952" s="5" t="s">
        <v>7434</v>
      </c>
    </row>
    <row r="6953" spans="1:3" ht="30" x14ac:dyDescent="0.25">
      <c r="A6953" s="5" t="s">
        <v>125</v>
      </c>
      <c r="B6953" s="5" t="s">
        <v>130</v>
      </c>
      <c r="C6953" s="5" t="s">
        <v>7435</v>
      </c>
    </row>
    <row r="6954" spans="1:3" x14ac:dyDescent="0.25">
      <c r="A6954" s="5" t="s">
        <v>125</v>
      </c>
      <c r="B6954" s="5" t="s">
        <v>131</v>
      </c>
      <c r="C6954" s="5" t="s">
        <v>7436</v>
      </c>
    </row>
    <row r="6955" spans="1:3" x14ac:dyDescent="0.25">
      <c r="A6955" s="5" t="s">
        <v>125</v>
      </c>
      <c r="B6955" s="5" t="s">
        <v>135</v>
      </c>
      <c r="C6955" s="5" t="s">
        <v>7437</v>
      </c>
    </row>
    <row r="6956" spans="1:3" ht="30" x14ac:dyDescent="0.25">
      <c r="A6956" s="5" t="s">
        <v>125</v>
      </c>
      <c r="B6956" s="5" t="s">
        <v>227</v>
      </c>
      <c r="C6956" s="5" t="s">
        <v>7438</v>
      </c>
    </row>
    <row r="6957" spans="1:3" x14ac:dyDescent="0.25">
      <c r="A6957" s="5" t="s">
        <v>125</v>
      </c>
      <c r="B6957" s="5" t="s">
        <v>644</v>
      </c>
      <c r="C6957" s="5" t="s">
        <v>7439</v>
      </c>
    </row>
    <row r="6958" spans="1:3" ht="30" x14ac:dyDescent="0.25">
      <c r="A6958" s="5" t="s">
        <v>125</v>
      </c>
      <c r="B6958" s="5" t="s">
        <v>145</v>
      </c>
      <c r="C6958" s="5" t="s">
        <v>7440</v>
      </c>
    </row>
    <row r="6959" spans="1:3" x14ac:dyDescent="0.25">
      <c r="A6959" s="5" t="s">
        <v>125</v>
      </c>
      <c r="B6959" s="5" t="s">
        <v>658</v>
      </c>
      <c r="C6959" s="5" t="s">
        <v>7441</v>
      </c>
    </row>
    <row r="6960" spans="1:3" ht="30" x14ac:dyDescent="0.25">
      <c r="A6960" s="5" t="s">
        <v>126</v>
      </c>
      <c r="B6960" s="5" t="s">
        <v>170</v>
      </c>
      <c r="C6960" s="5" t="s">
        <v>7442</v>
      </c>
    </row>
    <row r="6961" spans="1:3" ht="30" x14ac:dyDescent="0.25">
      <c r="A6961" s="5" t="s">
        <v>126</v>
      </c>
      <c r="B6961" s="5" t="s">
        <v>7</v>
      </c>
      <c r="C6961" s="5" t="s">
        <v>7443</v>
      </c>
    </row>
    <row r="6962" spans="1:3" ht="30" x14ac:dyDescent="0.25">
      <c r="A6962" s="5" t="s">
        <v>126</v>
      </c>
      <c r="B6962" s="5" t="s">
        <v>10</v>
      </c>
      <c r="C6962" s="5" t="s">
        <v>7444</v>
      </c>
    </row>
    <row r="6963" spans="1:3" ht="30" x14ac:dyDescent="0.25">
      <c r="A6963" s="5" t="s">
        <v>126</v>
      </c>
      <c r="B6963" s="5" t="s">
        <v>416</v>
      </c>
      <c r="C6963" s="5" t="s">
        <v>7445</v>
      </c>
    </row>
    <row r="6964" spans="1:3" ht="30" x14ac:dyDescent="0.25">
      <c r="A6964" s="5" t="s">
        <v>126</v>
      </c>
      <c r="B6964" s="5" t="s">
        <v>419</v>
      </c>
      <c r="C6964" s="5" t="s">
        <v>7446</v>
      </c>
    </row>
    <row r="6965" spans="1:3" ht="30" x14ac:dyDescent="0.25">
      <c r="A6965" s="5" t="s">
        <v>126</v>
      </c>
      <c r="B6965" s="5" t="s">
        <v>841</v>
      </c>
      <c r="C6965" s="5" t="s">
        <v>7447</v>
      </c>
    </row>
    <row r="6966" spans="1:3" ht="30" x14ac:dyDescent="0.25">
      <c r="A6966" s="5" t="s">
        <v>126</v>
      </c>
      <c r="B6966" s="5" t="s">
        <v>19</v>
      </c>
      <c r="C6966" s="5" t="s">
        <v>7448</v>
      </c>
    </row>
    <row r="6967" spans="1:3" ht="30" x14ac:dyDescent="0.25">
      <c r="A6967" s="5" t="s">
        <v>126</v>
      </c>
      <c r="B6967" s="5" t="s">
        <v>24</v>
      </c>
      <c r="C6967" s="5" t="s">
        <v>7449</v>
      </c>
    </row>
    <row r="6968" spans="1:3" ht="30" x14ac:dyDescent="0.25">
      <c r="A6968" s="5" t="s">
        <v>126</v>
      </c>
      <c r="B6968" s="5" t="s">
        <v>32</v>
      </c>
      <c r="C6968" s="5" t="s">
        <v>7450</v>
      </c>
    </row>
    <row r="6969" spans="1:3" ht="30" x14ac:dyDescent="0.25">
      <c r="A6969" s="5" t="s">
        <v>126</v>
      </c>
      <c r="B6969" s="5" t="s">
        <v>443</v>
      </c>
      <c r="C6969" s="5" t="s">
        <v>7451</v>
      </c>
    </row>
    <row r="6970" spans="1:3" x14ac:dyDescent="0.25">
      <c r="A6970" s="5" t="s">
        <v>126</v>
      </c>
      <c r="B6970" s="5" t="s">
        <v>38</v>
      </c>
      <c r="C6970" s="5" t="s">
        <v>7452</v>
      </c>
    </row>
    <row r="6971" spans="1:3" x14ac:dyDescent="0.25">
      <c r="A6971" s="5" t="s">
        <v>126</v>
      </c>
      <c r="B6971" s="5" t="s">
        <v>40</v>
      </c>
      <c r="C6971" s="5" t="s">
        <v>7453</v>
      </c>
    </row>
    <row r="6972" spans="1:3" ht="30" x14ac:dyDescent="0.25">
      <c r="A6972" s="5" t="s">
        <v>126</v>
      </c>
      <c r="B6972" s="5" t="s">
        <v>462</v>
      </c>
      <c r="C6972" s="5" t="s">
        <v>7454</v>
      </c>
    </row>
    <row r="6973" spans="1:3" ht="30" x14ac:dyDescent="0.25">
      <c r="A6973" s="5" t="s">
        <v>126</v>
      </c>
      <c r="B6973" s="5" t="s">
        <v>201</v>
      </c>
      <c r="C6973" s="5" t="s">
        <v>7455</v>
      </c>
    </row>
    <row r="6974" spans="1:3" ht="30" x14ac:dyDescent="0.25">
      <c r="A6974" s="5" t="s">
        <v>126</v>
      </c>
      <c r="B6974" s="5" t="s">
        <v>45</v>
      </c>
      <c r="C6974" s="5" t="s">
        <v>7456</v>
      </c>
    </row>
    <row r="6975" spans="1:3" ht="30" x14ac:dyDescent="0.25">
      <c r="A6975" s="5" t="s">
        <v>126</v>
      </c>
      <c r="B6975" s="5" t="s">
        <v>47</v>
      </c>
      <c r="C6975" s="5" t="s">
        <v>7457</v>
      </c>
    </row>
    <row r="6976" spans="1:3" ht="30" x14ac:dyDescent="0.25">
      <c r="A6976" s="5" t="s">
        <v>126</v>
      </c>
      <c r="B6976" s="5" t="s">
        <v>49</v>
      </c>
      <c r="C6976" s="5" t="s">
        <v>7458</v>
      </c>
    </row>
    <row r="6977" spans="1:3" ht="30" x14ac:dyDescent="0.25">
      <c r="A6977" s="5" t="s">
        <v>126</v>
      </c>
      <c r="B6977" s="5" t="s">
        <v>50</v>
      </c>
      <c r="C6977" s="5" t="s">
        <v>7459</v>
      </c>
    </row>
    <row r="6978" spans="1:3" ht="30" x14ac:dyDescent="0.25">
      <c r="A6978" s="5" t="s">
        <v>126</v>
      </c>
      <c r="B6978" s="5" t="s">
        <v>52</v>
      </c>
      <c r="C6978" s="5" t="s">
        <v>7460</v>
      </c>
    </row>
    <row r="6979" spans="1:3" ht="30" x14ac:dyDescent="0.25">
      <c r="A6979" s="5" t="s">
        <v>126</v>
      </c>
      <c r="B6979" s="5" t="s">
        <v>497</v>
      </c>
      <c r="C6979" s="5" t="s">
        <v>7461</v>
      </c>
    </row>
    <row r="6980" spans="1:3" ht="30" x14ac:dyDescent="0.25">
      <c r="A6980" s="5" t="s">
        <v>126</v>
      </c>
      <c r="B6980" s="5" t="s">
        <v>515</v>
      </c>
      <c r="C6980" s="5" t="s">
        <v>7462</v>
      </c>
    </row>
    <row r="6981" spans="1:3" ht="30" x14ac:dyDescent="0.25">
      <c r="A6981" s="5" t="s">
        <v>126</v>
      </c>
      <c r="B6981" s="5" t="s">
        <v>524</v>
      </c>
      <c r="C6981" s="5" t="s">
        <v>7463</v>
      </c>
    </row>
    <row r="6982" spans="1:3" ht="30" x14ac:dyDescent="0.25">
      <c r="A6982" s="5" t="s">
        <v>126</v>
      </c>
      <c r="B6982" s="5" t="s">
        <v>205</v>
      </c>
      <c r="C6982" s="5" t="s">
        <v>7464</v>
      </c>
    </row>
    <row r="6983" spans="1:3" ht="30" x14ac:dyDescent="0.25">
      <c r="A6983" s="5" t="s">
        <v>126</v>
      </c>
      <c r="B6983" s="5" t="s">
        <v>1793</v>
      </c>
      <c r="C6983" s="5" t="s">
        <v>7465</v>
      </c>
    </row>
    <row r="6984" spans="1:3" ht="30" x14ac:dyDescent="0.25">
      <c r="A6984" s="5" t="s">
        <v>126</v>
      </c>
      <c r="B6984" s="5" t="s">
        <v>176</v>
      </c>
      <c r="C6984" s="5" t="s">
        <v>7466</v>
      </c>
    </row>
    <row r="6985" spans="1:3" ht="30" x14ac:dyDescent="0.25">
      <c r="A6985" s="5" t="s">
        <v>126</v>
      </c>
      <c r="B6985" s="5" t="s">
        <v>2988</v>
      </c>
      <c r="C6985" s="5" t="s">
        <v>7467</v>
      </c>
    </row>
    <row r="6986" spans="1:3" ht="30" x14ac:dyDescent="0.25">
      <c r="A6986" s="5" t="s">
        <v>126</v>
      </c>
      <c r="B6986" s="5" t="s">
        <v>67</v>
      </c>
      <c r="C6986" s="5" t="s">
        <v>7468</v>
      </c>
    </row>
    <row r="6987" spans="1:3" ht="30" x14ac:dyDescent="0.25">
      <c r="A6987" s="5" t="s">
        <v>126</v>
      </c>
      <c r="B6987" s="5" t="s">
        <v>537</v>
      </c>
      <c r="C6987" s="5" t="s">
        <v>7469</v>
      </c>
    </row>
    <row r="6988" spans="1:3" x14ac:dyDescent="0.25">
      <c r="A6988" s="5" t="s">
        <v>126</v>
      </c>
      <c r="B6988" s="5" t="s">
        <v>69</v>
      </c>
      <c r="C6988" s="5" t="s">
        <v>7470</v>
      </c>
    </row>
    <row r="6989" spans="1:3" ht="30" x14ac:dyDescent="0.25">
      <c r="A6989" s="5" t="s">
        <v>126</v>
      </c>
      <c r="B6989" s="5" t="s">
        <v>740</v>
      </c>
      <c r="C6989" s="5" t="s">
        <v>7471</v>
      </c>
    </row>
    <row r="6990" spans="1:3" x14ac:dyDescent="0.25">
      <c r="A6990" s="5" t="s">
        <v>126</v>
      </c>
      <c r="B6990" s="5" t="s">
        <v>549</v>
      </c>
      <c r="C6990" s="5" t="s">
        <v>7472</v>
      </c>
    </row>
    <row r="6991" spans="1:3" ht="30" x14ac:dyDescent="0.25">
      <c r="A6991" s="5" t="s">
        <v>126</v>
      </c>
      <c r="B6991" s="5" t="s">
        <v>74</v>
      </c>
      <c r="C6991" s="5" t="s">
        <v>7473</v>
      </c>
    </row>
    <row r="6992" spans="1:3" ht="30" x14ac:dyDescent="0.25">
      <c r="A6992" s="5" t="s">
        <v>126</v>
      </c>
      <c r="B6992" s="5" t="s">
        <v>180</v>
      </c>
      <c r="C6992" s="5" t="s">
        <v>7474</v>
      </c>
    </row>
    <row r="6993" spans="1:3" ht="30" x14ac:dyDescent="0.25">
      <c r="A6993" s="5" t="s">
        <v>126</v>
      </c>
      <c r="B6993" s="5" t="s">
        <v>84</v>
      </c>
      <c r="C6993" s="5" t="s">
        <v>7475</v>
      </c>
    </row>
    <row r="6994" spans="1:3" ht="30" x14ac:dyDescent="0.25">
      <c r="A6994" s="5" t="s">
        <v>126</v>
      </c>
      <c r="B6994" s="5" t="s">
        <v>85</v>
      </c>
      <c r="C6994" s="5" t="s">
        <v>7476</v>
      </c>
    </row>
    <row r="6995" spans="1:3" ht="30" x14ac:dyDescent="0.25">
      <c r="A6995" s="5" t="s">
        <v>126</v>
      </c>
      <c r="B6995" s="5" t="s">
        <v>87</v>
      </c>
      <c r="C6995" s="5" t="s">
        <v>7477</v>
      </c>
    </row>
    <row r="6996" spans="1:3" ht="30" x14ac:dyDescent="0.25">
      <c r="A6996" s="5" t="s">
        <v>126</v>
      </c>
      <c r="B6996" s="5" t="s">
        <v>95</v>
      </c>
      <c r="C6996" s="5" t="s">
        <v>7478</v>
      </c>
    </row>
    <row r="6997" spans="1:3" ht="30" x14ac:dyDescent="0.25">
      <c r="A6997" s="5" t="s">
        <v>126</v>
      </c>
      <c r="B6997" s="5" t="s">
        <v>185</v>
      </c>
      <c r="C6997" s="5" t="s">
        <v>7479</v>
      </c>
    </row>
    <row r="6998" spans="1:3" ht="30" x14ac:dyDescent="0.25">
      <c r="A6998" s="5" t="s">
        <v>126</v>
      </c>
      <c r="B6998" s="5" t="s">
        <v>102</v>
      </c>
      <c r="C6998" s="5" t="s">
        <v>7480</v>
      </c>
    </row>
    <row r="6999" spans="1:3" x14ac:dyDescent="0.25">
      <c r="A6999" s="5" t="s">
        <v>126</v>
      </c>
      <c r="B6999" s="5" t="s">
        <v>106</v>
      </c>
      <c r="C6999" s="5" t="s">
        <v>7481</v>
      </c>
    </row>
    <row r="7000" spans="1:3" ht="30" x14ac:dyDescent="0.25">
      <c r="A7000" s="5" t="s">
        <v>126</v>
      </c>
      <c r="B7000" s="5" t="s">
        <v>1164</v>
      </c>
      <c r="C7000" s="5" t="s">
        <v>7482</v>
      </c>
    </row>
    <row r="7001" spans="1:3" ht="30" x14ac:dyDescent="0.25">
      <c r="A7001" s="5" t="s">
        <v>126</v>
      </c>
      <c r="B7001" s="5" t="s">
        <v>114</v>
      </c>
      <c r="C7001" s="5" t="s">
        <v>7483</v>
      </c>
    </row>
    <row r="7002" spans="1:3" ht="30" x14ac:dyDescent="0.25">
      <c r="A7002" s="5" t="s">
        <v>126</v>
      </c>
      <c r="B7002" s="5" t="s">
        <v>630</v>
      </c>
      <c r="C7002" s="5" t="s">
        <v>7484</v>
      </c>
    </row>
    <row r="7003" spans="1:3" x14ac:dyDescent="0.25">
      <c r="A7003" s="5" t="s">
        <v>126</v>
      </c>
      <c r="B7003" s="5" t="s">
        <v>644</v>
      </c>
      <c r="C7003" s="5" t="s">
        <v>7485</v>
      </c>
    </row>
    <row r="7004" spans="1:3" ht="30" x14ac:dyDescent="0.25">
      <c r="A7004" s="5" t="s">
        <v>126</v>
      </c>
      <c r="B7004" s="5" t="s">
        <v>142</v>
      </c>
      <c r="C7004" s="5" t="s">
        <v>7486</v>
      </c>
    </row>
    <row r="7005" spans="1:3" ht="30" x14ac:dyDescent="0.25">
      <c r="A7005" s="5" t="s">
        <v>967</v>
      </c>
      <c r="B7005" s="5" t="s">
        <v>47</v>
      </c>
      <c r="C7005" s="5" t="s">
        <v>7487</v>
      </c>
    </row>
    <row r="7006" spans="1:3" ht="30" x14ac:dyDescent="0.25">
      <c r="A7006" s="5" t="s">
        <v>967</v>
      </c>
      <c r="B7006" s="5" t="s">
        <v>49</v>
      </c>
      <c r="C7006" s="5" t="s">
        <v>7488</v>
      </c>
    </row>
    <row r="7007" spans="1:3" x14ac:dyDescent="0.25">
      <c r="A7007" s="5" t="s">
        <v>967</v>
      </c>
      <c r="B7007" s="5" t="s">
        <v>71</v>
      </c>
      <c r="C7007" s="5" t="s">
        <v>7489</v>
      </c>
    </row>
    <row r="7008" spans="1:3" ht="30" x14ac:dyDescent="0.25">
      <c r="A7008" s="5" t="s">
        <v>967</v>
      </c>
      <c r="B7008" s="5" t="s">
        <v>73</v>
      </c>
      <c r="C7008" s="5" t="s">
        <v>7490</v>
      </c>
    </row>
    <row r="7009" spans="1:3" ht="30" x14ac:dyDescent="0.25">
      <c r="A7009" s="5" t="s">
        <v>967</v>
      </c>
      <c r="B7009" s="5" t="s">
        <v>215</v>
      </c>
      <c r="C7009" s="5" t="s">
        <v>7491</v>
      </c>
    </row>
    <row r="7010" spans="1:3" ht="30" x14ac:dyDescent="0.25">
      <c r="A7010" s="5" t="s">
        <v>967</v>
      </c>
      <c r="B7010" s="5" t="s">
        <v>95</v>
      </c>
      <c r="C7010" s="5" t="s">
        <v>7492</v>
      </c>
    </row>
    <row r="7011" spans="1:3" ht="30" x14ac:dyDescent="0.25">
      <c r="A7011" s="5" t="s">
        <v>967</v>
      </c>
      <c r="B7011" s="5" t="s">
        <v>100</v>
      </c>
      <c r="C7011" s="5" t="s">
        <v>7493</v>
      </c>
    </row>
    <row r="7012" spans="1:3" ht="30" x14ac:dyDescent="0.25">
      <c r="A7012" s="5" t="s">
        <v>967</v>
      </c>
      <c r="B7012" s="5" t="s">
        <v>104</v>
      </c>
      <c r="C7012" s="5" t="s">
        <v>7494</v>
      </c>
    </row>
    <row r="7013" spans="1:3" ht="30" x14ac:dyDescent="0.25">
      <c r="A7013" s="5" t="s">
        <v>967</v>
      </c>
      <c r="B7013" s="5" t="s">
        <v>124</v>
      </c>
      <c r="C7013" s="5" t="s">
        <v>7495</v>
      </c>
    </row>
    <row r="7014" spans="1:3" ht="30" x14ac:dyDescent="0.25">
      <c r="A7014" s="5" t="s">
        <v>967</v>
      </c>
      <c r="B7014" s="5" t="s">
        <v>2493</v>
      </c>
      <c r="C7014" s="5" t="s">
        <v>7496</v>
      </c>
    </row>
    <row r="7015" spans="1:3" ht="30" x14ac:dyDescent="0.25">
      <c r="A7015" s="5" t="s">
        <v>967</v>
      </c>
      <c r="B7015" s="5" t="s">
        <v>128</v>
      </c>
      <c r="C7015" s="5" t="s">
        <v>7497</v>
      </c>
    </row>
    <row r="7016" spans="1:3" ht="30" x14ac:dyDescent="0.25">
      <c r="A7016" s="5" t="s">
        <v>967</v>
      </c>
      <c r="B7016" s="5" t="s">
        <v>130</v>
      </c>
      <c r="C7016" s="5" t="s">
        <v>7498</v>
      </c>
    </row>
    <row r="7017" spans="1:3" x14ac:dyDescent="0.25">
      <c r="A7017" s="5" t="s">
        <v>967</v>
      </c>
      <c r="B7017" s="5" t="s">
        <v>135</v>
      </c>
      <c r="C7017" s="5" t="s">
        <v>7499</v>
      </c>
    </row>
    <row r="7018" spans="1:3" ht="30" x14ac:dyDescent="0.25">
      <c r="A7018" s="5" t="s">
        <v>967</v>
      </c>
      <c r="B7018" s="5" t="s">
        <v>137</v>
      </c>
      <c r="C7018" s="5" t="s">
        <v>7500</v>
      </c>
    </row>
    <row r="7019" spans="1:3" x14ac:dyDescent="0.25">
      <c r="A7019" s="5" t="s">
        <v>967</v>
      </c>
      <c r="B7019" s="5" t="s">
        <v>1413</v>
      </c>
      <c r="C7019" s="5" t="s">
        <v>7501</v>
      </c>
    </row>
    <row r="7020" spans="1:3" ht="30" x14ac:dyDescent="0.25">
      <c r="A7020" s="5" t="s">
        <v>626</v>
      </c>
      <c r="B7020" s="5" t="s">
        <v>10</v>
      </c>
      <c r="C7020" s="5" t="s">
        <v>7502</v>
      </c>
    </row>
    <row r="7021" spans="1:3" ht="30" x14ac:dyDescent="0.25">
      <c r="A7021" s="5" t="s">
        <v>626</v>
      </c>
      <c r="B7021" s="5" t="s">
        <v>329</v>
      </c>
      <c r="C7021" s="5" t="s">
        <v>7503</v>
      </c>
    </row>
    <row r="7022" spans="1:3" ht="30" x14ac:dyDescent="0.25">
      <c r="A7022" s="5" t="s">
        <v>626</v>
      </c>
      <c r="B7022" s="5" t="s">
        <v>24</v>
      </c>
      <c r="C7022" s="5" t="s">
        <v>7504</v>
      </c>
    </row>
    <row r="7023" spans="1:3" ht="30" x14ac:dyDescent="0.25">
      <c r="A7023" s="5" t="s">
        <v>626</v>
      </c>
      <c r="B7023" s="5" t="s">
        <v>447</v>
      </c>
      <c r="C7023" s="5" t="s">
        <v>7505</v>
      </c>
    </row>
    <row r="7024" spans="1:3" x14ac:dyDescent="0.25">
      <c r="A7024" s="5" t="s">
        <v>626</v>
      </c>
      <c r="B7024" s="5" t="s">
        <v>40</v>
      </c>
      <c r="C7024" s="5" t="s">
        <v>7506</v>
      </c>
    </row>
    <row r="7025" spans="1:3" ht="30" x14ac:dyDescent="0.25">
      <c r="A7025" s="5" t="s">
        <v>626</v>
      </c>
      <c r="B7025" s="5" t="s">
        <v>45</v>
      </c>
      <c r="C7025" s="5" t="s">
        <v>7507</v>
      </c>
    </row>
    <row r="7026" spans="1:3" ht="30" x14ac:dyDescent="0.25">
      <c r="A7026" s="5" t="s">
        <v>626</v>
      </c>
      <c r="B7026" s="5" t="s">
        <v>47</v>
      </c>
      <c r="C7026" s="5" t="s">
        <v>7508</v>
      </c>
    </row>
    <row r="7027" spans="1:3" ht="30" x14ac:dyDescent="0.25">
      <c r="A7027" s="5" t="s">
        <v>626</v>
      </c>
      <c r="B7027" s="5" t="s">
        <v>49</v>
      </c>
      <c r="C7027" s="5" t="s">
        <v>7509</v>
      </c>
    </row>
    <row r="7028" spans="1:3" ht="30" x14ac:dyDescent="0.25">
      <c r="A7028" s="5" t="s">
        <v>626</v>
      </c>
      <c r="B7028" s="5" t="s">
        <v>50</v>
      </c>
      <c r="C7028" s="5" t="s">
        <v>7510</v>
      </c>
    </row>
    <row r="7029" spans="1:3" ht="30" x14ac:dyDescent="0.25">
      <c r="A7029" s="5" t="s">
        <v>626</v>
      </c>
      <c r="B7029" s="5" t="s">
        <v>52</v>
      </c>
      <c r="C7029" s="5" t="s">
        <v>7511</v>
      </c>
    </row>
    <row r="7030" spans="1:3" ht="30" x14ac:dyDescent="0.25">
      <c r="A7030" s="5" t="s">
        <v>626</v>
      </c>
      <c r="B7030" s="5" t="s">
        <v>515</v>
      </c>
      <c r="C7030" s="5" t="s">
        <v>7512</v>
      </c>
    </row>
    <row r="7031" spans="1:3" ht="30" x14ac:dyDescent="0.25">
      <c r="A7031" s="5" t="s">
        <v>626</v>
      </c>
      <c r="B7031" s="5" t="s">
        <v>71</v>
      </c>
      <c r="C7031" s="5" t="s">
        <v>7513</v>
      </c>
    </row>
    <row r="7032" spans="1:3" ht="30" x14ac:dyDescent="0.25">
      <c r="A7032" s="5" t="s">
        <v>626</v>
      </c>
      <c r="B7032" s="5" t="s">
        <v>73</v>
      </c>
      <c r="C7032" s="5" t="s">
        <v>7514</v>
      </c>
    </row>
    <row r="7033" spans="1:3" ht="30" x14ac:dyDescent="0.25">
      <c r="A7033" s="5" t="s">
        <v>626</v>
      </c>
      <c r="B7033" s="5" t="s">
        <v>74</v>
      </c>
      <c r="C7033" s="5" t="s">
        <v>7515</v>
      </c>
    </row>
    <row r="7034" spans="1:3" ht="30" x14ac:dyDescent="0.25">
      <c r="A7034" s="5" t="s">
        <v>626</v>
      </c>
      <c r="B7034" s="5" t="s">
        <v>87</v>
      </c>
      <c r="C7034" s="5" t="s">
        <v>7516</v>
      </c>
    </row>
    <row r="7035" spans="1:3" ht="30" x14ac:dyDescent="0.25">
      <c r="A7035" s="5" t="s">
        <v>626</v>
      </c>
      <c r="B7035" s="5" t="s">
        <v>95</v>
      </c>
      <c r="C7035" s="5" t="s">
        <v>7517</v>
      </c>
    </row>
    <row r="7036" spans="1:3" ht="30" x14ac:dyDescent="0.25">
      <c r="A7036" s="5" t="s">
        <v>626</v>
      </c>
      <c r="B7036" s="5" t="s">
        <v>185</v>
      </c>
      <c r="C7036" s="5" t="s">
        <v>7518</v>
      </c>
    </row>
    <row r="7037" spans="1:3" x14ac:dyDescent="0.25">
      <c r="A7037" s="5" t="s">
        <v>626</v>
      </c>
      <c r="B7037" s="5" t="s">
        <v>188</v>
      </c>
      <c r="C7037" s="5" t="s">
        <v>7519</v>
      </c>
    </row>
    <row r="7038" spans="1:3" ht="30" x14ac:dyDescent="0.25">
      <c r="A7038" s="5" t="s">
        <v>626</v>
      </c>
      <c r="B7038" s="5" t="s">
        <v>119</v>
      </c>
      <c r="C7038" s="5" t="s">
        <v>7520</v>
      </c>
    </row>
    <row r="7039" spans="1:3" ht="30" x14ac:dyDescent="0.25">
      <c r="A7039" s="5" t="s">
        <v>626</v>
      </c>
      <c r="B7039" s="5" t="s">
        <v>617</v>
      </c>
      <c r="C7039" s="5" t="s">
        <v>7521</v>
      </c>
    </row>
    <row r="7040" spans="1:3" ht="30" x14ac:dyDescent="0.25">
      <c r="A7040" s="5" t="s">
        <v>626</v>
      </c>
      <c r="B7040" s="5" t="s">
        <v>191</v>
      </c>
      <c r="C7040" s="5" t="s">
        <v>7522</v>
      </c>
    </row>
    <row r="7041" spans="1:3" ht="30" x14ac:dyDescent="0.25">
      <c r="A7041" s="5" t="s">
        <v>626</v>
      </c>
      <c r="B7041" s="5" t="s">
        <v>130</v>
      </c>
      <c r="C7041" s="5" t="s">
        <v>7523</v>
      </c>
    </row>
    <row r="7042" spans="1:3" ht="30" x14ac:dyDescent="0.25">
      <c r="A7042" s="5" t="s">
        <v>626</v>
      </c>
      <c r="B7042" s="5" t="s">
        <v>138</v>
      </c>
      <c r="C7042" s="5" t="s">
        <v>7524</v>
      </c>
    </row>
    <row r="7043" spans="1:3" ht="30" x14ac:dyDescent="0.25">
      <c r="A7043" s="5" t="s">
        <v>2493</v>
      </c>
      <c r="B7043" s="5" t="s">
        <v>47</v>
      </c>
      <c r="C7043" s="5" t="s">
        <v>7525</v>
      </c>
    </row>
    <row r="7044" spans="1:3" ht="30" x14ac:dyDescent="0.25">
      <c r="A7044" s="5" t="s">
        <v>2493</v>
      </c>
      <c r="B7044" s="5" t="s">
        <v>49</v>
      </c>
      <c r="C7044" s="5" t="s">
        <v>7526</v>
      </c>
    </row>
    <row r="7045" spans="1:3" x14ac:dyDescent="0.25">
      <c r="A7045" s="5" t="s">
        <v>2493</v>
      </c>
      <c r="B7045" s="5" t="s">
        <v>73</v>
      </c>
      <c r="C7045" s="5" t="s">
        <v>7527</v>
      </c>
    </row>
    <row r="7046" spans="1:3" ht="30" x14ac:dyDescent="0.25">
      <c r="A7046" s="5" t="s">
        <v>2493</v>
      </c>
      <c r="B7046" s="5" t="s">
        <v>100</v>
      </c>
      <c r="C7046" s="5" t="s">
        <v>7528</v>
      </c>
    </row>
    <row r="7047" spans="1:3" ht="30" x14ac:dyDescent="0.25">
      <c r="A7047" s="5" t="s">
        <v>2493</v>
      </c>
      <c r="B7047" s="5" t="s">
        <v>104</v>
      </c>
      <c r="C7047" s="5" t="s">
        <v>7529</v>
      </c>
    </row>
    <row r="7048" spans="1:3" ht="30" x14ac:dyDescent="0.25">
      <c r="A7048" s="5" t="s">
        <v>2493</v>
      </c>
      <c r="B7048" s="5" t="s">
        <v>124</v>
      </c>
      <c r="C7048" s="5" t="s">
        <v>7530</v>
      </c>
    </row>
    <row r="7049" spans="1:3" ht="30" x14ac:dyDescent="0.25">
      <c r="A7049" s="5" t="s">
        <v>2493</v>
      </c>
      <c r="B7049" s="5" t="s">
        <v>967</v>
      </c>
      <c r="C7049" s="5" t="s">
        <v>7531</v>
      </c>
    </row>
    <row r="7050" spans="1:3" x14ac:dyDescent="0.25">
      <c r="A7050" s="5" t="s">
        <v>2493</v>
      </c>
      <c r="B7050" s="5" t="s">
        <v>128</v>
      </c>
      <c r="C7050" s="5" t="s">
        <v>7532</v>
      </c>
    </row>
    <row r="7051" spans="1:3" ht="30" x14ac:dyDescent="0.25">
      <c r="A7051" s="5" t="s">
        <v>2493</v>
      </c>
      <c r="B7051" s="5" t="s">
        <v>130</v>
      </c>
      <c r="C7051" s="5" t="s">
        <v>7533</v>
      </c>
    </row>
    <row r="7052" spans="1:3" x14ac:dyDescent="0.25">
      <c r="A7052" s="5" t="s">
        <v>1863</v>
      </c>
      <c r="B7052" s="5" t="s">
        <v>40</v>
      </c>
      <c r="C7052" s="5" t="s">
        <v>7534</v>
      </c>
    </row>
    <row r="7053" spans="1:3" x14ac:dyDescent="0.25">
      <c r="A7053" s="5" t="s">
        <v>1863</v>
      </c>
      <c r="B7053" s="5" t="s">
        <v>102</v>
      </c>
      <c r="C7053" s="5" t="s">
        <v>7535</v>
      </c>
    </row>
    <row r="7054" spans="1:3" ht="30" x14ac:dyDescent="0.25">
      <c r="A7054" s="5" t="s">
        <v>380</v>
      </c>
      <c r="B7054" s="5" t="s">
        <v>265</v>
      </c>
      <c r="C7054" s="5" t="s">
        <v>7536</v>
      </c>
    </row>
    <row r="7055" spans="1:3" ht="30" x14ac:dyDescent="0.25">
      <c r="A7055" s="5" t="s">
        <v>380</v>
      </c>
      <c r="B7055" s="5" t="s">
        <v>346</v>
      </c>
      <c r="C7055" s="5" t="s">
        <v>7537</v>
      </c>
    </row>
    <row r="7056" spans="1:3" x14ac:dyDescent="0.25">
      <c r="A7056" s="5" t="s">
        <v>380</v>
      </c>
      <c r="B7056" s="5" t="s">
        <v>358</v>
      </c>
      <c r="C7056" s="5" t="s">
        <v>7538</v>
      </c>
    </row>
    <row r="7057" spans="1:3" x14ac:dyDescent="0.25">
      <c r="A7057" s="5" t="s">
        <v>628</v>
      </c>
      <c r="B7057" s="5" t="s">
        <v>10</v>
      </c>
      <c r="C7057" s="5" t="s">
        <v>7539</v>
      </c>
    </row>
    <row r="7058" spans="1:3" ht="30" x14ac:dyDescent="0.25">
      <c r="A7058" s="5" t="s">
        <v>628</v>
      </c>
      <c r="B7058" s="5" t="s">
        <v>425</v>
      </c>
      <c r="C7058" s="5" t="s">
        <v>7540</v>
      </c>
    </row>
    <row r="7059" spans="1:3" ht="30" x14ac:dyDescent="0.25">
      <c r="A7059" s="5" t="s">
        <v>628</v>
      </c>
      <c r="B7059" s="5" t="s">
        <v>19</v>
      </c>
      <c r="C7059" s="5" t="s">
        <v>7541</v>
      </c>
    </row>
    <row r="7060" spans="1:3" x14ac:dyDescent="0.25">
      <c r="A7060" s="5" t="s">
        <v>628</v>
      </c>
      <c r="B7060" s="5" t="s">
        <v>450</v>
      </c>
      <c r="C7060" s="5" t="s">
        <v>7542</v>
      </c>
    </row>
    <row r="7061" spans="1:3" ht="30" x14ac:dyDescent="0.25">
      <c r="A7061" s="5" t="s">
        <v>628</v>
      </c>
      <c r="B7061" s="5" t="s">
        <v>50</v>
      </c>
      <c r="C7061" s="5" t="s">
        <v>7543</v>
      </c>
    </row>
    <row r="7062" spans="1:3" ht="30" x14ac:dyDescent="0.25">
      <c r="A7062" s="5" t="s">
        <v>628</v>
      </c>
      <c r="B7062" s="5" t="s">
        <v>52</v>
      </c>
      <c r="C7062" s="5" t="s">
        <v>7544</v>
      </c>
    </row>
    <row r="7063" spans="1:3" x14ac:dyDescent="0.25">
      <c r="A7063" s="5" t="s">
        <v>628</v>
      </c>
      <c r="B7063" s="5" t="s">
        <v>176</v>
      </c>
      <c r="C7063" s="5" t="s">
        <v>7545</v>
      </c>
    </row>
    <row r="7064" spans="1:3" ht="30" x14ac:dyDescent="0.25">
      <c r="A7064" s="5" t="s">
        <v>628</v>
      </c>
      <c r="B7064" s="5" t="s">
        <v>95</v>
      </c>
      <c r="C7064" s="5" t="s">
        <v>7546</v>
      </c>
    </row>
    <row r="7065" spans="1:3" x14ac:dyDescent="0.25">
      <c r="A7065" s="5" t="s">
        <v>628</v>
      </c>
      <c r="B7065" s="5" t="s">
        <v>102</v>
      </c>
      <c r="C7065" s="5" t="s">
        <v>7547</v>
      </c>
    </row>
    <row r="7066" spans="1:3" x14ac:dyDescent="0.25">
      <c r="A7066" s="5" t="s">
        <v>628</v>
      </c>
      <c r="B7066" s="5" t="s">
        <v>188</v>
      </c>
      <c r="C7066" s="5" t="s">
        <v>7548</v>
      </c>
    </row>
    <row r="7067" spans="1:3" x14ac:dyDescent="0.25">
      <c r="A7067" s="5" t="s">
        <v>628</v>
      </c>
      <c r="B7067" s="5" t="s">
        <v>191</v>
      </c>
      <c r="C7067" s="5" t="s">
        <v>7549</v>
      </c>
    </row>
    <row r="7068" spans="1:3" ht="30" x14ac:dyDescent="0.25">
      <c r="A7068" s="5" t="s">
        <v>900</v>
      </c>
      <c r="B7068" s="5" t="s">
        <v>329</v>
      </c>
      <c r="C7068" s="5" t="s">
        <v>7550</v>
      </c>
    </row>
    <row r="7069" spans="1:3" x14ac:dyDescent="0.25">
      <c r="A7069" s="5" t="s">
        <v>900</v>
      </c>
      <c r="B7069" s="5" t="s">
        <v>71</v>
      </c>
      <c r="C7069" s="5" t="s">
        <v>7551</v>
      </c>
    </row>
    <row r="7070" spans="1:3" x14ac:dyDescent="0.25">
      <c r="A7070" s="5" t="s">
        <v>900</v>
      </c>
      <c r="B7070" s="5" t="s">
        <v>73</v>
      </c>
      <c r="C7070" s="5" t="s">
        <v>7552</v>
      </c>
    </row>
    <row r="7071" spans="1:3" ht="30" x14ac:dyDescent="0.25">
      <c r="A7071" s="5" t="s">
        <v>900</v>
      </c>
      <c r="B7071" s="5" t="s">
        <v>104</v>
      </c>
      <c r="C7071" s="5" t="s">
        <v>7553</v>
      </c>
    </row>
    <row r="7072" spans="1:3" ht="30" x14ac:dyDescent="0.25">
      <c r="A7072" s="5" t="s">
        <v>900</v>
      </c>
      <c r="B7072" s="5" t="s">
        <v>124</v>
      </c>
      <c r="C7072" s="5" t="s">
        <v>7554</v>
      </c>
    </row>
    <row r="7073" spans="1:3" x14ac:dyDescent="0.25">
      <c r="A7073" s="5" t="s">
        <v>630</v>
      </c>
      <c r="B7073" s="5" t="s">
        <v>10</v>
      </c>
      <c r="C7073" s="5" t="s">
        <v>7555</v>
      </c>
    </row>
    <row r="7074" spans="1:3" ht="30" x14ac:dyDescent="0.25">
      <c r="A7074" s="5" t="s">
        <v>630</v>
      </c>
      <c r="B7074" s="5" t="s">
        <v>13</v>
      </c>
      <c r="C7074" s="5" t="s">
        <v>7556</v>
      </c>
    </row>
    <row r="7075" spans="1:3" ht="30" x14ac:dyDescent="0.25">
      <c r="A7075" s="5" t="s">
        <v>630</v>
      </c>
      <c r="B7075" s="5" t="s">
        <v>329</v>
      </c>
      <c r="C7075" s="5" t="s">
        <v>7557</v>
      </c>
    </row>
    <row r="7076" spans="1:3" ht="30" x14ac:dyDescent="0.25">
      <c r="A7076" s="5" t="s">
        <v>630</v>
      </c>
      <c r="B7076" s="5" t="s">
        <v>24</v>
      </c>
      <c r="C7076" s="5" t="s">
        <v>7558</v>
      </c>
    </row>
    <row r="7077" spans="1:3" ht="30" x14ac:dyDescent="0.25">
      <c r="A7077" s="5" t="s">
        <v>630</v>
      </c>
      <c r="B7077" s="5" t="s">
        <v>32</v>
      </c>
      <c r="C7077" s="5" t="s">
        <v>7559</v>
      </c>
    </row>
    <row r="7078" spans="1:3" ht="30" x14ac:dyDescent="0.25">
      <c r="A7078" s="5" t="s">
        <v>630</v>
      </c>
      <c r="B7078" s="5" t="s">
        <v>36</v>
      </c>
      <c r="C7078" s="5" t="s">
        <v>7560</v>
      </c>
    </row>
    <row r="7079" spans="1:3" x14ac:dyDescent="0.25">
      <c r="A7079" s="5" t="s">
        <v>630</v>
      </c>
      <c r="B7079" s="5" t="s">
        <v>40</v>
      </c>
      <c r="C7079" s="5" t="s">
        <v>7561</v>
      </c>
    </row>
    <row r="7080" spans="1:3" ht="30" x14ac:dyDescent="0.25">
      <c r="A7080" s="5" t="s">
        <v>630</v>
      </c>
      <c r="B7080" s="5" t="s">
        <v>201</v>
      </c>
      <c r="C7080" s="5" t="s">
        <v>7562</v>
      </c>
    </row>
    <row r="7081" spans="1:3" ht="30" x14ac:dyDescent="0.25">
      <c r="A7081" s="5" t="s">
        <v>630</v>
      </c>
      <c r="B7081" s="5" t="s">
        <v>45</v>
      </c>
      <c r="C7081" s="5" t="s">
        <v>7563</v>
      </c>
    </row>
    <row r="7082" spans="1:3" ht="30" x14ac:dyDescent="0.25">
      <c r="A7082" s="5" t="s">
        <v>630</v>
      </c>
      <c r="B7082" s="5" t="s">
        <v>47</v>
      </c>
      <c r="C7082" s="5" t="s">
        <v>7564</v>
      </c>
    </row>
    <row r="7083" spans="1:3" ht="30" x14ac:dyDescent="0.25">
      <c r="A7083" s="5" t="s">
        <v>630</v>
      </c>
      <c r="B7083" s="5" t="s">
        <v>49</v>
      </c>
      <c r="C7083" s="5" t="s">
        <v>7565</v>
      </c>
    </row>
    <row r="7084" spans="1:3" ht="30" x14ac:dyDescent="0.25">
      <c r="A7084" s="5" t="s">
        <v>630</v>
      </c>
      <c r="B7084" s="5" t="s">
        <v>50</v>
      </c>
      <c r="C7084" s="5" t="s">
        <v>7566</v>
      </c>
    </row>
    <row r="7085" spans="1:3" ht="30" x14ac:dyDescent="0.25">
      <c r="A7085" s="5" t="s">
        <v>630</v>
      </c>
      <c r="B7085" s="5" t="s">
        <v>52</v>
      </c>
      <c r="C7085" s="5" t="s">
        <v>7567</v>
      </c>
    </row>
    <row r="7086" spans="1:3" x14ac:dyDescent="0.25">
      <c r="A7086" s="5" t="s">
        <v>630</v>
      </c>
      <c r="B7086" s="5" t="s">
        <v>57</v>
      </c>
      <c r="C7086" s="5" t="s">
        <v>7568</v>
      </c>
    </row>
    <row r="7087" spans="1:3" ht="30" x14ac:dyDescent="0.25">
      <c r="A7087" s="5" t="s">
        <v>630</v>
      </c>
      <c r="B7087" s="5" t="s">
        <v>205</v>
      </c>
      <c r="C7087" s="5" t="s">
        <v>7569</v>
      </c>
    </row>
    <row r="7088" spans="1:3" x14ac:dyDescent="0.25">
      <c r="A7088" s="5" t="s">
        <v>630</v>
      </c>
      <c r="B7088" s="5" t="s">
        <v>176</v>
      </c>
      <c r="C7088" s="5" t="s">
        <v>7570</v>
      </c>
    </row>
    <row r="7089" spans="1:3" x14ac:dyDescent="0.25">
      <c r="A7089" s="5" t="s">
        <v>630</v>
      </c>
      <c r="B7089" s="5" t="s">
        <v>67</v>
      </c>
      <c r="C7089" s="5" t="s">
        <v>7571</v>
      </c>
    </row>
    <row r="7090" spans="1:3" x14ac:dyDescent="0.25">
      <c r="A7090" s="5" t="s">
        <v>630</v>
      </c>
      <c r="B7090" s="5" t="s">
        <v>68</v>
      </c>
      <c r="C7090" s="5" t="s">
        <v>7572</v>
      </c>
    </row>
    <row r="7091" spans="1:3" x14ac:dyDescent="0.25">
      <c r="A7091" s="5" t="s">
        <v>630</v>
      </c>
      <c r="B7091" s="5" t="s">
        <v>71</v>
      </c>
      <c r="C7091" s="5" t="s">
        <v>7573</v>
      </c>
    </row>
    <row r="7092" spans="1:3" x14ac:dyDescent="0.25">
      <c r="A7092" s="5" t="s">
        <v>630</v>
      </c>
      <c r="B7092" s="5" t="s">
        <v>73</v>
      </c>
      <c r="C7092" s="5" t="s">
        <v>7574</v>
      </c>
    </row>
    <row r="7093" spans="1:3" ht="30" x14ac:dyDescent="0.25">
      <c r="A7093" s="5" t="s">
        <v>630</v>
      </c>
      <c r="B7093" s="5" t="s">
        <v>74</v>
      </c>
      <c r="C7093" s="5" t="s">
        <v>7575</v>
      </c>
    </row>
    <row r="7094" spans="1:3" ht="30" x14ac:dyDescent="0.25">
      <c r="A7094" s="5" t="s">
        <v>630</v>
      </c>
      <c r="B7094" s="5" t="s">
        <v>82</v>
      </c>
      <c r="C7094" s="5" t="s">
        <v>7576</v>
      </c>
    </row>
    <row r="7095" spans="1:3" ht="30" x14ac:dyDescent="0.25">
      <c r="A7095" s="5" t="s">
        <v>630</v>
      </c>
      <c r="B7095" s="5" t="s">
        <v>180</v>
      </c>
      <c r="C7095" s="5" t="s">
        <v>7577</v>
      </c>
    </row>
    <row r="7096" spans="1:3" ht="30" x14ac:dyDescent="0.25">
      <c r="A7096" s="5" t="s">
        <v>630</v>
      </c>
      <c r="B7096" s="5" t="s">
        <v>84</v>
      </c>
      <c r="C7096" s="5" t="s">
        <v>7578</v>
      </c>
    </row>
    <row r="7097" spans="1:3" ht="30" x14ac:dyDescent="0.25">
      <c r="A7097" s="5" t="s">
        <v>630</v>
      </c>
      <c r="B7097" s="5" t="s">
        <v>87</v>
      </c>
      <c r="C7097" s="5" t="s">
        <v>7579</v>
      </c>
    </row>
    <row r="7098" spans="1:3" ht="30" x14ac:dyDescent="0.25">
      <c r="A7098" s="5" t="s">
        <v>630</v>
      </c>
      <c r="B7098" s="5" t="s">
        <v>89</v>
      </c>
      <c r="C7098" s="5" t="s">
        <v>7580</v>
      </c>
    </row>
    <row r="7099" spans="1:3" ht="30" x14ac:dyDescent="0.25">
      <c r="A7099" s="5" t="s">
        <v>630</v>
      </c>
      <c r="B7099" s="5" t="s">
        <v>182</v>
      </c>
      <c r="C7099" s="5" t="s">
        <v>7581</v>
      </c>
    </row>
    <row r="7100" spans="1:3" ht="30" x14ac:dyDescent="0.25">
      <c r="A7100" s="5" t="s">
        <v>630</v>
      </c>
      <c r="B7100" s="5" t="s">
        <v>95</v>
      </c>
      <c r="C7100" s="5" t="s">
        <v>7582</v>
      </c>
    </row>
    <row r="7101" spans="1:3" ht="30" x14ac:dyDescent="0.25">
      <c r="A7101" s="5" t="s">
        <v>630</v>
      </c>
      <c r="B7101" s="5" t="s">
        <v>185</v>
      </c>
      <c r="C7101" s="5" t="s">
        <v>7583</v>
      </c>
    </row>
    <row r="7102" spans="1:3" x14ac:dyDescent="0.25">
      <c r="A7102" s="5" t="s">
        <v>630</v>
      </c>
      <c r="B7102" s="5" t="s">
        <v>102</v>
      </c>
      <c r="C7102" s="5" t="s">
        <v>7584</v>
      </c>
    </row>
    <row r="7103" spans="1:3" ht="30" x14ac:dyDescent="0.25">
      <c r="A7103" s="5" t="s">
        <v>630</v>
      </c>
      <c r="B7103" s="5" t="s">
        <v>104</v>
      </c>
      <c r="C7103" s="5" t="s">
        <v>7585</v>
      </c>
    </row>
    <row r="7104" spans="1:3" x14ac:dyDescent="0.25">
      <c r="A7104" s="5" t="s">
        <v>630</v>
      </c>
      <c r="B7104" s="5" t="s">
        <v>188</v>
      </c>
      <c r="C7104" s="5" t="s">
        <v>7586</v>
      </c>
    </row>
    <row r="7105" spans="1:3" ht="30" x14ac:dyDescent="0.25">
      <c r="A7105" s="5" t="s">
        <v>630</v>
      </c>
      <c r="B7105" s="5" t="s">
        <v>607</v>
      </c>
      <c r="C7105" s="5" t="s">
        <v>7587</v>
      </c>
    </row>
    <row r="7106" spans="1:3" ht="30" x14ac:dyDescent="0.25">
      <c r="A7106" s="5" t="s">
        <v>630</v>
      </c>
      <c r="B7106" s="5" t="s">
        <v>123</v>
      </c>
      <c r="C7106" s="5" t="s">
        <v>7588</v>
      </c>
    </row>
    <row r="7107" spans="1:3" ht="30" x14ac:dyDescent="0.25">
      <c r="A7107" s="5" t="s">
        <v>630</v>
      </c>
      <c r="B7107" s="5" t="s">
        <v>126</v>
      </c>
      <c r="C7107" s="5" t="s">
        <v>7589</v>
      </c>
    </row>
    <row r="7108" spans="1:3" x14ac:dyDescent="0.25">
      <c r="A7108" s="5" t="s">
        <v>630</v>
      </c>
      <c r="B7108" s="5" t="s">
        <v>191</v>
      </c>
      <c r="C7108" s="5" t="s">
        <v>7590</v>
      </c>
    </row>
    <row r="7109" spans="1:3" ht="30" x14ac:dyDescent="0.25">
      <c r="A7109" s="5" t="s">
        <v>630</v>
      </c>
      <c r="B7109" s="5" t="s">
        <v>130</v>
      </c>
      <c r="C7109" s="5" t="s">
        <v>7591</v>
      </c>
    </row>
    <row r="7110" spans="1:3" ht="30" x14ac:dyDescent="0.25">
      <c r="A7110" s="5" t="s">
        <v>630</v>
      </c>
      <c r="B7110" s="5" t="s">
        <v>138</v>
      </c>
      <c r="C7110" s="5" t="s">
        <v>7592</v>
      </c>
    </row>
    <row r="7111" spans="1:3" ht="30" x14ac:dyDescent="0.25">
      <c r="A7111" s="5" t="s">
        <v>630</v>
      </c>
      <c r="B7111" s="5" t="s">
        <v>145</v>
      </c>
      <c r="C7111" s="5" t="s">
        <v>7593</v>
      </c>
    </row>
    <row r="7112" spans="1:3" x14ac:dyDescent="0.25">
      <c r="A7112" s="5" t="s">
        <v>630</v>
      </c>
      <c r="B7112" s="5" t="s">
        <v>2738</v>
      </c>
      <c r="C7112" s="5" t="s">
        <v>7594</v>
      </c>
    </row>
    <row r="7113" spans="1:3" ht="30" x14ac:dyDescent="0.25">
      <c r="A7113" s="5" t="s">
        <v>630</v>
      </c>
      <c r="B7113" s="5" t="s">
        <v>668</v>
      </c>
      <c r="C7113" s="5" t="s">
        <v>7595</v>
      </c>
    </row>
    <row r="7114" spans="1:3" ht="30" x14ac:dyDescent="0.25">
      <c r="A7114" s="5" t="s">
        <v>128</v>
      </c>
      <c r="B7114" s="5" t="s">
        <v>2</v>
      </c>
      <c r="C7114" s="5" t="s">
        <v>7596</v>
      </c>
    </row>
    <row r="7115" spans="1:3" ht="30" x14ac:dyDescent="0.25">
      <c r="A7115" s="5" t="s">
        <v>128</v>
      </c>
      <c r="B7115" s="5" t="s">
        <v>323</v>
      </c>
      <c r="C7115" s="5" t="s">
        <v>7597</v>
      </c>
    </row>
    <row r="7116" spans="1:3" ht="30" x14ac:dyDescent="0.25">
      <c r="A7116" s="5" t="s">
        <v>128</v>
      </c>
      <c r="B7116" s="5" t="s">
        <v>265</v>
      </c>
      <c r="C7116" s="5" t="s">
        <v>7598</v>
      </c>
    </row>
    <row r="7117" spans="1:3" x14ac:dyDescent="0.25">
      <c r="A7117" s="5" t="s">
        <v>128</v>
      </c>
      <c r="B7117" s="5" t="s">
        <v>10</v>
      </c>
      <c r="C7117" s="5" t="s">
        <v>7599</v>
      </c>
    </row>
    <row r="7118" spans="1:3" ht="30" x14ac:dyDescent="0.25">
      <c r="A7118" s="5" t="s">
        <v>128</v>
      </c>
      <c r="B7118" s="5" t="s">
        <v>13</v>
      </c>
      <c r="C7118" s="5" t="s">
        <v>7600</v>
      </c>
    </row>
    <row r="7119" spans="1:3" x14ac:dyDescent="0.25">
      <c r="A7119" s="5" t="s">
        <v>128</v>
      </c>
      <c r="B7119" s="5" t="s">
        <v>836</v>
      </c>
      <c r="C7119" s="5" t="s">
        <v>7601</v>
      </c>
    </row>
    <row r="7120" spans="1:3" x14ac:dyDescent="0.25">
      <c r="A7120" s="5" t="s">
        <v>128</v>
      </c>
      <c r="B7120" s="5" t="s">
        <v>344</v>
      </c>
      <c r="C7120" s="5" t="s">
        <v>7602</v>
      </c>
    </row>
    <row r="7121" spans="1:3" ht="30" x14ac:dyDescent="0.25">
      <c r="A7121" s="5" t="s">
        <v>128</v>
      </c>
      <c r="B7121" s="5" t="s">
        <v>19</v>
      </c>
      <c r="C7121" s="5" t="s">
        <v>7603</v>
      </c>
    </row>
    <row r="7122" spans="1:3" x14ac:dyDescent="0.25">
      <c r="A7122" s="5" t="s">
        <v>128</v>
      </c>
      <c r="B7122" s="5" t="s">
        <v>22</v>
      </c>
      <c r="C7122" s="5" t="s">
        <v>7604</v>
      </c>
    </row>
    <row r="7123" spans="1:3" ht="30" x14ac:dyDescent="0.25">
      <c r="A7123" s="5" t="s">
        <v>128</v>
      </c>
      <c r="B7123" s="5" t="s">
        <v>24</v>
      </c>
      <c r="C7123" s="5" t="s">
        <v>7605</v>
      </c>
    </row>
    <row r="7124" spans="1:3" ht="30" x14ac:dyDescent="0.25">
      <c r="A7124" s="5" t="s">
        <v>128</v>
      </c>
      <c r="B7124" s="5" t="s">
        <v>30</v>
      </c>
      <c r="C7124" s="5" t="s">
        <v>7606</v>
      </c>
    </row>
    <row r="7125" spans="1:3" ht="30" x14ac:dyDescent="0.25">
      <c r="A7125" s="5" t="s">
        <v>128</v>
      </c>
      <c r="B7125" s="5" t="s">
        <v>32</v>
      </c>
      <c r="C7125" s="5" t="s">
        <v>7607</v>
      </c>
    </row>
    <row r="7126" spans="1:3" ht="30" x14ac:dyDescent="0.25">
      <c r="A7126" s="5" t="s">
        <v>128</v>
      </c>
      <c r="B7126" s="5" t="s">
        <v>34</v>
      </c>
      <c r="C7126" s="5" t="s">
        <v>7608</v>
      </c>
    </row>
    <row r="7127" spans="1:3" ht="30" x14ac:dyDescent="0.25">
      <c r="A7127" s="5" t="s">
        <v>128</v>
      </c>
      <c r="B7127" s="5" t="s">
        <v>36</v>
      </c>
      <c r="C7127" s="5" t="s">
        <v>7609</v>
      </c>
    </row>
    <row r="7128" spans="1:3" x14ac:dyDescent="0.25">
      <c r="A7128" s="5" t="s">
        <v>128</v>
      </c>
      <c r="B7128" s="5" t="s">
        <v>38</v>
      </c>
      <c r="C7128" s="5" t="s">
        <v>7610</v>
      </c>
    </row>
    <row r="7129" spans="1:3" x14ac:dyDescent="0.25">
      <c r="A7129" s="5" t="s">
        <v>128</v>
      </c>
      <c r="B7129" s="5" t="s">
        <v>40</v>
      </c>
      <c r="C7129" s="5" t="s">
        <v>7611</v>
      </c>
    </row>
    <row r="7130" spans="1:3" ht="30" x14ac:dyDescent="0.25">
      <c r="A7130" s="5" t="s">
        <v>128</v>
      </c>
      <c r="B7130" s="5" t="s">
        <v>454</v>
      </c>
      <c r="C7130" s="5" t="s">
        <v>7612</v>
      </c>
    </row>
    <row r="7131" spans="1:3" ht="30" x14ac:dyDescent="0.25">
      <c r="A7131" s="5" t="s">
        <v>128</v>
      </c>
      <c r="B7131" s="5" t="s">
        <v>456</v>
      </c>
      <c r="C7131" s="5" t="s">
        <v>7613</v>
      </c>
    </row>
    <row r="7132" spans="1:3" ht="30" x14ac:dyDescent="0.25">
      <c r="A7132" s="5" t="s">
        <v>128</v>
      </c>
      <c r="B7132" s="5" t="s">
        <v>462</v>
      </c>
      <c r="C7132" s="5" t="s">
        <v>7614</v>
      </c>
    </row>
    <row r="7133" spans="1:3" ht="30" x14ac:dyDescent="0.25">
      <c r="A7133" s="5" t="s">
        <v>128</v>
      </c>
      <c r="B7133" s="5" t="s">
        <v>201</v>
      </c>
      <c r="C7133" s="5" t="s">
        <v>7615</v>
      </c>
    </row>
    <row r="7134" spans="1:3" ht="30" x14ac:dyDescent="0.25">
      <c r="A7134" s="5" t="s">
        <v>128</v>
      </c>
      <c r="B7134" s="5" t="s">
        <v>45</v>
      </c>
      <c r="C7134" s="5" t="s">
        <v>7616</v>
      </c>
    </row>
    <row r="7135" spans="1:3" ht="30" x14ac:dyDescent="0.25">
      <c r="A7135" s="5" t="s">
        <v>128</v>
      </c>
      <c r="B7135" s="5" t="s">
        <v>47</v>
      </c>
      <c r="C7135" s="5" t="s">
        <v>7617</v>
      </c>
    </row>
    <row r="7136" spans="1:3" ht="30" x14ac:dyDescent="0.25">
      <c r="A7136" s="5" t="s">
        <v>128</v>
      </c>
      <c r="B7136" s="5" t="s">
        <v>49</v>
      </c>
      <c r="C7136" s="5" t="s">
        <v>7618</v>
      </c>
    </row>
    <row r="7137" spans="1:3" ht="30" x14ac:dyDescent="0.25">
      <c r="A7137" s="5" t="s">
        <v>128</v>
      </c>
      <c r="B7137" s="5" t="s">
        <v>50</v>
      </c>
      <c r="C7137" s="5" t="s">
        <v>7619</v>
      </c>
    </row>
    <row r="7138" spans="1:3" x14ac:dyDescent="0.25">
      <c r="A7138" s="5" t="s">
        <v>128</v>
      </c>
      <c r="B7138" s="5" t="s">
        <v>2941</v>
      </c>
      <c r="C7138" s="5" t="s">
        <v>7620</v>
      </c>
    </row>
    <row r="7139" spans="1:3" x14ac:dyDescent="0.25">
      <c r="A7139" s="5" t="s">
        <v>128</v>
      </c>
      <c r="B7139" s="5" t="s">
        <v>483</v>
      </c>
      <c r="C7139" s="5" t="s">
        <v>7621</v>
      </c>
    </row>
    <row r="7140" spans="1:3" ht="30" x14ac:dyDescent="0.25">
      <c r="A7140" s="5" t="s">
        <v>128</v>
      </c>
      <c r="B7140" s="5" t="s">
        <v>848</v>
      </c>
      <c r="C7140" s="5" t="s">
        <v>7622</v>
      </c>
    </row>
    <row r="7141" spans="1:3" ht="30" x14ac:dyDescent="0.25">
      <c r="A7141" s="5" t="s">
        <v>128</v>
      </c>
      <c r="B7141" s="5" t="s">
        <v>52</v>
      </c>
      <c r="C7141" s="5" t="s">
        <v>7623</v>
      </c>
    </row>
    <row r="7142" spans="1:3" x14ac:dyDescent="0.25">
      <c r="A7142" s="5" t="s">
        <v>128</v>
      </c>
      <c r="B7142" s="5" t="s">
        <v>358</v>
      </c>
      <c r="C7142" s="5" t="s">
        <v>7624</v>
      </c>
    </row>
    <row r="7143" spans="1:3" x14ac:dyDescent="0.25">
      <c r="A7143" s="5" t="s">
        <v>128</v>
      </c>
      <c r="B7143" s="5" t="s">
        <v>2365</v>
      </c>
      <c r="C7143" s="5" t="s">
        <v>7625</v>
      </c>
    </row>
    <row r="7144" spans="1:3" ht="30" x14ac:dyDescent="0.25">
      <c r="A7144" s="5" t="s">
        <v>128</v>
      </c>
      <c r="B7144" s="5" t="s">
        <v>56</v>
      </c>
      <c r="C7144" s="5" t="s">
        <v>7626</v>
      </c>
    </row>
    <row r="7145" spans="1:3" x14ac:dyDescent="0.25">
      <c r="A7145" s="5" t="s">
        <v>128</v>
      </c>
      <c r="B7145" s="5" t="s">
        <v>57</v>
      </c>
      <c r="C7145" s="5" t="s">
        <v>7627</v>
      </c>
    </row>
    <row r="7146" spans="1:3" ht="30" x14ac:dyDescent="0.25">
      <c r="A7146" s="5" t="s">
        <v>128</v>
      </c>
      <c r="B7146" s="5" t="s">
        <v>505</v>
      </c>
      <c r="C7146" s="5" t="s">
        <v>7628</v>
      </c>
    </row>
    <row r="7147" spans="1:3" x14ac:dyDescent="0.25">
      <c r="A7147" s="5" t="s">
        <v>128</v>
      </c>
      <c r="B7147" s="5" t="s">
        <v>863</v>
      </c>
      <c r="C7147" s="5" t="s">
        <v>7629</v>
      </c>
    </row>
    <row r="7148" spans="1:3" ht="30" x14ac:dyDescent="0.25">
      <c r="A7148" s="5" t="s">
        <v>128</v>
      </c>
      <c r="B7148" s="5" t="s">
        <v>64</v>
      </c>
      <c r="C7148" s="5" t="s">
        <v>7630</v>
      </c>
    </row>
    <row r="7149" spans="1:3" ht="30" x14ac:dyDescent="0.25">
      <c r="A7149" s="5" t="s">
        <v>128</v>
      </c>
      <c r="B7149" s="5" t="s">
        <v>2386</v>
      </c>
      <c r="C7149" s="5" t="s">
        <v>7631</v>
      </c>
    </row>
    <row r="7150" spans="1:3" ht="30" x14ac:dyDescent="0.25">
      <c r="A7150" s="5" t="s">
        <v>128</v>
      </c>
      <c r="B7150" s="5" t="s">
        <v>360</v>
      </c>
      <c r="C7150" s="5" t="s">
        <v>7632</v>
      </c>
    </row>
    <row r="7151" spans="1:3" ht="30" x14ac:dyDescent="0.25">
      <c r="A7151" s="5" t="s">
        <v>128</v>
      </c>
      <c r="B7151" s="5" t="s">
        <v>205</v>
      </c>
      <c r="C7151" s="5" t="s">
        <v>7633</v>
      </c>
    </row>
    <row r="7152" spans="1:3" x14ac:dyDescent="0.25">
      <c r="A7152" s="5" t="s">
        <v>128</v>
      </c>
      <c r="B7152" s="5" t="s">
        <v>176</v>
      </c>
      <c r="C7152" s="5" t="s">
        <v>7634</v>
      </c>
    </row>
    <row r="7153" spans="1:3" x14ac:dyDescent="0.25">
      <c r="A7153" s="5" t="s">
        <v>128</v>
      </c>
      <c r="B7153" s="5" t="s">
        <v>67</v>
      </c>
      <c r="C7153" s="5" t="s">
        <v>7635</v>
      </c>
    </row>
    <row r="7154" spans="1:3" x14ac:dyDescent="0.25">
      <c r="A7154" s="5" t="s">
        <v>128</v>
      </c>
      <c r="B7154" s="5" t="s">
        <v>533</v>
      </c>
      <c r="C7154" s="5" t="s">
        <v>7636</v>
      </c>
    </row>
    <row r="7155" spans="1:3" x14ac:dyDescent="0.25">
      <c r="A7155" s="5" t="s">
        <v>128</v>
      </c>
      <c r="B7155" s="5" t="s">
        <v>867</v>
      </c>
      <c r="C7155" s="5" t="s">
        <v>7637</v>
      </c>
    </row>
    <row r="7156" spans="1:3" x14ac:dyDescent="0.25">
      <c r="A7156" s="5" t="s">
        <v>128</v>
      </c>
      <c r="B7156" s="5" t="s">
        <v>537</v>
      </c>
      <c r="C7156" s="5" t="s">
        <v>7638</v>
      </c>
    </row>
    <row r="7157" spans="1:3" x14ac:dyDescent="0.25">
      <c r="A7157" s="5" t="s">
        <v>128</v>
      </c>
      <c r="B7157" s="5" t="s">
        <v>541</v>
      </c>
      <c r="C7157" s="5" t="s">
        <v>7639</v>
      </c>
    </row>
    <row r="7158" spans="1:3" x14ac:dyDescent="0.25">
      <c r="A7158" s="5" t="s">
        <v>128</v>
      </c>
      <c r="B7158" s="5" t="s">
        <v>69</v>
      </c>
      <c r="C7158" s="5" t="s">
        <v>7640</v>
      </c>
    </row>
    <row r="7159" spans="1:3" ht="30" x14ac:dyDescent="0.25">
      <c r="A7159" s="5" t="s">
        <v>128</v>
      </c>
      <c r="B7159" s="5" t="s">
        <v>364</v>
      </c>
      <c r="C7159" s="5" t="s">
        <v>7641</v>
      </c>
    </row>
    <row r="7160" spans="1:3" ht="30" x14ac:dyDescent="0.25">
      <c r="A7160" s="5" t="s">
        <v>128</v>
      </c>
      <c r="B7160" s="5" t="s">
        <v>366</v>
      </c>
      <c r="C7160" s="5" t="s">
        <v>7642</v>
      </c>
    </row>
    <row r="7161" spans="1:3" ht="30" x14ac:dyDescent="0.25">
      <c r="A7161" s="5" t="s">
        <v>128</v>
      </c>
      <c r="B7161" s="5" t="s">
        <v>4385</v>
      </c>
      <c r="C7161" s="5" t="s">
        <v>7643</v>
      </c>
    </row>
    <row r="7162" spans="1:3" x14ac:dyDescent="0.25">
      <c r="A7162" s="5" t="s">
        <v>128</v>
      </c>
      <c r="B7162" s="5" t="s">
        <v>71</v>
      </c>
      <c r="C7162" s="5" t="s">
        <v>7644</v>
      </c>
    </row>
    <row r="7163" spans="1:3" x14ac:dyDescent="0.25">
      <c r="A7163" s="5" t="s">
        <v>128</v>
      </c>
      <c r="B7163" s="5" t="s">
        <v>73</v>
      </c>
      <c r="C7163" s="5" t="s">
        <v>7645</v>
      </c>
    </row>
    <row r="7164" spans="1:3" x14ac:dyDescent="0.25">
      <c r="A7164" s="5" t="s">
        <v>128</v>
      </c>
      <c r="B7164" s="5" t="s">
        <v>742</v>
      </c>
      <c r="C7164" s="5" t="s">
        <v>7646</v>
      </c>
    </row>
    <row r="7165" spans="1:3" x14ac:dyDescent="0.25">
      <c r="A7165" s="5" t="s">
        <v>128</v>
      </c>
      <c r="B7165" s="5" t="s">
        <v>2421</v>
      </c>
      <c r="C7165" s="5" t="s">
        <v>7647</v>
      </c>
    </row>
    <row r="7166" spans="1:3" ht="30" x14ac:dyDescent="0.25">
      <c r="A7166" s="5" t="s">
        <v>128</v>
      </c>
      <c r="B7166" s="5" t="s">
        <v>1208</v>
      </c>
      <c r="C7166" s="5" t="s">
        <v>7648</v>
      </c>
    </row>
    <row r="7167" spans="1:3" ht="30" x14ac:dyDescent="0.25">
      <c r="A7167" s="5" t="s">
        <v>128</v>
      </c>
      <c r="B7167" s="5" t="s">
        <v>80</v>
      </c>
      <c r="C7167" s="5" t="s">
        <v>7649</v>
      </c>
    </row>
    <row r="7168" spans="1:3" ht="30" x14ac:dyDescent="0.25">
      <c r="A7168" s="5" t="s">
        <v>128</v>
      </c>
      <c r="B7168" s="5" t="s">
        <v>82</v>
      </c>
      <c r="C7168" s="5" t="s">
        <v>7650</v>
      </c>
    </row>
    <row r="7169" spans="1:3" ht="30" x14ac:dyDescent="0.25">
      <c r="A7169" s="5" t="s">
        <v>128</v>
      </c>
      <c r="B7169" s="5" t="s">
        <v>180</v>
      </c>
      <c r="C7169" s="5" t="s">
        <v>7651</v>
      </c>
    </row>
    <row r="7170" spans="1:3" ht="30" x14ac:dyDescent="0.25">
      <c r="A7170" s="5" t="s">
        <v>128</v>
      </c>
      <c r="B7170" s="5" t="s">
        <v>875</v>
      </c>
      <c r="C7170" s="5" t="s">
        <v>7652</v>
      </c>
    </row>
    <row r="7171" spans="1:3" ht="30" x14ac:dyDescent="0.25">
      <c r="A7171" s="5" t="s">
        <v>128</v>
      </c>
      <c r="B7171" s="5" t="s">
        <v>84</v>
      </c>
      <c r="C7171" s="5" t="s">
        <v>7653</v>
      </c>
    </row>
    <row r="7172" spans="1:3" ht="30" x14ac:dyDescent="0.25">
      <c r="A7172" s="5" t="s">
        <v>128</v>
      </c>
      <c r="B7172" s="5" t="s">
        <v>85</v>
      </c>
      <c r="C7172" s="5" t="s">
        <v>7654</v>
      </c>
    </row>
    <row r="7173" spans="1:3" ht="30" x14ac:dyDescent="0.25">
      <c r="A7173" s="5" t="s">
        <v>128</v>
      </c>
      <c r="B7173" s="5" t="s">
        <v>2439</v>
      </c>
      <c r="C7173" s="5" t="s">
        <v>7655</v>
      </c>
    </row>
    <row r="7174" spans="1:3" ht="30" x14ac:dyDescent="0.25">
      <c r="A7174" s="5" t="s">
        <v>128</v>
      </c>
      <c r="B7174" s="5" t="s">
        <v>579</v>
      </c>
      <c r="C7174" s="5" t="s">
        <v>7656</v>
      </c>
    </row>
    <row r="7175" spans="1:3" ht="30" x14ac:dyDescent="0.25">
      <c r="A7175" s="5" t="s">
        <v>128</v>
      </c>
      <c r="B7175" s="5" t="s">
        <v>581</v>
      </c>
      <c r="C7175" s="5" t="s">
        <v>7657</v>
      </c>
    </row>
    <row r="7176" spans="1:3" ht="30" x14ac:dyDescent="0.25">
      <c r="A7176" s="5" t="s">
        <v>128</v>
      </c>
      <c r="B7176" s="5" t="s">
        <v>87</v>
      </c>
      <c r="C7176" s="5" t="s">
        <v>7658</v>
      </c>
    </row>
    <row r="7177" spans="1:3" ht="30" x14ac:dyDescent="0.25">
      <c r="A7177" s="5" t="s">
        <v>128</v>
      </c>
      <c r="B7177" s="5" t="s">
        <v>89</v>
      </c>
      <c r="C7177" s="5" t="s">
        <v>7659</v>
      </c>
    </row>
    <row r="7178" spans="1:3" ht="30" x14ac:dyDescent="0.25">
      <c r="A7178" s="5" t="s">
        <v>128</v>
      </c>
      <c r="B7178" s="5" t="s">
        <v>215</v>
      </c>
      <c r="C7178" s="5" t="s">
        <v>7660</v>
      </c>
    </row>
    <row r="7179" spans="1:3" ht="30" x14ac:dyDescent="0.25">
      <c r="A7179" s="5" t="s">
        <v>128</v>
      </c>
      <c r="B7179" s="5" t="s">
        <v>371</v>
      </c>
      <c r="C7179" s="5" t="s">
        <v>7661</v>
      </c>
    </row>
    <row r="7180" spans="1:3" ht="30" x14ac:dyDescent="0.25">
      <c r="A7180" s="5" t="s">
        <v>128</v>
      </c>
      <c r="B7180" s="5" t="s">
        <v>590</v>
      </c>
      <c r="C7180" s="5" t="s">
        <v>7662</v>
      </c>
    </row>
    <row r="7181" spans="1:3" ht="30" x14ac:dyDescent="0.25">
      <c r="A7181" s="5" t="s">
        <v>128</v>
      </c>
      <c r="B7181" s="5" t="s">
        <v>592</v>
      </c>
      <c r="C7181" s="5" t="s">
        <v>7663</v>
      </c>
    </row>
    <row r="7182" spans="1:3" ht="30" x14ac:dyDescent="0.25">
      <c r="A7182" s="5" t="s">
        <v>128</v>
      </c>
      <c r="B7182" s="5" t="s">
        <v>94</v>
      </c>
      <c r="C7182" s="5" t="s">
        <v>7664</v>
      </c>
    </row>
    <row r="7183" spans="1:3" ht="30" x14ac:dyDescent="0.25">
      <c r="A7183" s="5" t="s">
        <v>128</v>
      </c>
      <c r="B7183" s="5" t="s">
        <v>95</v>
      </c>
      <c r="C7183" s="5" t="s">
        <v>7665</v>
      </c>
    </row>
    <row r="7184" spans="1:3" ht="30" x14ac:dyDescent="0.25">
      <c r="A7184" s="5" t="s">
        <v>128</v>
      </c>
      <c r="B7184" s="5" t="s">
        <v>100</v>
      </c>
      <c r="C7184" s="5" t="s">
        <v>7666</v>
      </c>
    </row>
    <row r="7185" spans="1:3" x14ac:dyDescent="0.25">
      <c r="A7185" s="5" t="s">
        <v>128</v>
      </c>
      <c r="B7185" s="5" t="s">
        <v>102</v>
      </c>
      <c r="C7185" s="5" t="s">
        <v>7667</v>
      </c>
    </row>
    <row r="7186" spans="1:3" ht="30" x14ac:dyDescent="0.25">
      <c r="A7186" s="5" t="s">
        <v>128</v>
      </c>
      <c r="B7186" s="5" t="s">
        <v>104</v>
      </c>
      <c r="C7186" s="5" t="s">
        <v>7668</v>
      </c>
    </row>
    <row r="7187" spans="1:3" x14ac:dyDescent="0.25">
      <c r="A7187" s="5" t="s">
        <v>128</v>
      </c>
      <c r="B7187" s="5" t="s">
        <v>106</v>
      </c>
      <c r="C7187" s="5" t="s">
        <v>7669</v>
      </c>
    </row>
    <row r="7188" spans="1:3" x14ac:dyDescent="0.25">
      <c r="A7188" s="5" t="s">
        <v>128</v>
      </c>
      <c r="B7188" s="5" t="s">
        <v>890</v>
      </c>
      <c r="C7188" s="5" t="s">
        <v>7670</v>
      </c>
    </row>
    <row r="7189" spans="1:3" x14ac:dyDescent="0.25">
      <c r="A7189" s="5" t="s">
        <v>128</v>
      </c>
      <c r="B7189" s="5" t="s">
        <v>111</v>
      </c>
      <c r="C7189" s="5" t="s">
        <v>7671</v>
      </c>
    </row>
    <row r="7190" spans="1:3" ht="30" x14ac:dyDescent="0.25">
      <c r="A7190" s="5" t="s">
        <v>128</v>
      </c>
      <c r="B7190" s="5" t="s">
        <v>324</v>
      </c>
      <c r="C7190" s="5" t="s">
        <v>7672</v>
      </c>
    </row>
    <row r="7191" spans="1:3" ht="30" x14ac:dyDescent="0.25">
      <c r="A7191" s="5" t="s">
        <v>128</v>
      </c>
      <c r="B7191" s="5" t="s">
        <v>4655</v>
      </c>
      <c r="C7191" s="5" t="s">
        <v>7673</v>
      </c>
    </row>
    <row r="7192" spans="1:3" ht="30" x14ac:dyDescent="0.25">
      <c r="A7192" s="5" t="s">
        <v>128</v>
      </c>
      <c r="B7192" s="5" t="s">
        <v>894</v>
      </c>
      <c r="C7192" s="5" t="s">
        <v>7674</v>
      </c>
    </row>
    <row r="7193" spans="1:3" ht="30" x14ac:dyDescent="0.25">
      <c r="A7193" s="5" t="s">
        <v>128</v>
      </c>
      <c r="B7193" s="5" t="s">
        <v>119</v>
      </c>
      <c r="C7193" s="5" t="s">
        <v>7675</v>
      </c>
    </row>
    <row r="7194" spans="1:3" ht="30" x14ac:dyDescent="0.25">
      <c r="A7194" s="5" t="s">
        <v>128</v>
      </c>
      <c r="B7194" s="5" t="s">
        <v>121</v>
      </c>
      <c r="C7194" s="5" t="s">
        <v>7676</v>
      </c>
    </row>
    <row r="7195" spans="1:3" ht="30" x14ac:dyDescent="0.25">
      <c r="A7195" s="5" t="s">
        <v>128</v>
      </c>
      <c r="B7195" s="5" t="s">
        <v>123</v>
      </c>
      <c r="C7195" s="5" t="s">
        <v>7677</v>
      </c>
    </row>
    <row r="7196" spans="1:3" ht="30" x14ac:dyDescent="0.25">
      <c r="A7196" s="5" t="s">
        <v>128</v>
      </c>
      <c r="B7196" s="5" t="s">
        <v>124</v>
      </c>
      <c r="C7196" s="5" t="s">
        <v>7678</v>
      </c>
    </row>
    <row r="7197" spans="1:3" x14ac:dyDescent="0.25">
      <c r="A7197" s="5" t="s">
        <v>128</v>
      </c>
      <c r="B7197" s="5" t="s">
        <v>125</v>
      </c>
      <c r="C7197" s="5" t="s">
        <v>7679</v>
      </c>
    </row>
    <row r="7198" spans="1:3" ht="30" x14ac:dyDescent="0.25">
      <c r="A7198" s="5" t="s">
        <v>128</v>
      </c>
      <c r="B7198" s="5" t="s">
        <v>967</v>
      </c>
      <c r="C7198" s="5" t="s">
        <v>7680</v>
      </c>
    </row>
    <row r="7199" spans="1:3" x14ac:dyDescent="0.25">
      <c r="A7199" s="5" t="s">
        <v>128</v>
      </c>
      <c r="B7199" s="5" t="s">
        <v>2493</v>
      </c>
      <c r="C7199" s="5" t="s">
        <v>7681</v>
      </c>
    </row>
    <row r="7200" spans="1:3" ht="30" x14ac:dyDescent="0.25">
      <c r="A7200" s="5" t="s">
        <v>128</v>
      </c>
      <c r="B7200" s="5" t="s">
        <v>130</v>
      </c>
      <c r="C7200" s="5" t="s">
        <v>7682</v>
      </c>
    </row>
    <row r="7201" spans="1:3" x14ac:dyDescent="0.25">
      <c r="A7201" s="5" t="s">
        <v>128</v>
      </c>
      <c r="B7201" s="5" t="s">
        <v>4390</v>
      </c>
      <c r="C7201" s="5" t="s">
        <v>7683</v>
      </c>
    </row>
    <row r="7202" spans="1:3" x14ac:dyDescent="0.25">
      <c r="A7202" s="5" t="s">
        <v>128</v>
      </c>
      <c r="B7202" s="5" t="s">
        <v>131</v>
      </c>
      <c r="C7202" s="5" t="s">
        <v>7684</v>
      </c>
    </row>
    <row r="7203" spans="1:3" x14ac:dyDescent="0.25">
      <c r="A7203" s="5" t="s">
        <v>128</v>
      </c>
      <c r="B7203" s="5" t="s">
        <v>135</v>
      </c>
      <c r="C7203" s="5" t="s">
        <v>7685</v>
      </c>
    </row>
    <row r="7204" spans="1:3" ht="30" x14ac:dyDescent="0.25">
      <c r="A7204" s="5" t="s">
        <v>128</v>
      </c>
      <c r="B7204" s="5" t="s">
        <v>137</v>
      </c>
      <c r="C7204" s="5" t="s">
        <v>7686</v>
      </c>
    </row>
    <row r="7205" spans="1:3" ht="30" x14ac:dyDescent="0.25">
      <c r="A7205" s="5" t="s">
        <v>128</v>
      </c>
      <c r="B7205" s="5" t="s">
        <v>227</v>
      </c>
      <c r="C7205" s="5" t="s">
        <v>7687</v>
      </c>
    </row>
    <row r="7206" spans="1:3" x14ac:dyDescent="0.25">
      <c r="A7206" s="5" t="s">
        <v>128</v>
      </c>
      <c r="B7206" s="5" t="s">
        <v>644</v>
      </c>
      <c r="C7206" s="5" t="s">
        <v>7688</v>
      </c>
    </row>
    <row r="7207" spans="1:3" x14ac:dyDescent="0.25">
      <c r="A7207" s="5" t="s">
        <v>128</v>
      </c>
      <c r="B7207" s="5" t="s">
        <v>1413</v>
      </c>
      <c r="C7207" s="5" t="s">
        <v>7689</v>
      </c>
    </row>
    <row r="7208" spans="1:3" ht="30" x14ac:dyDescent="0.25">
      <c r="A7208" s="5" t="s">
        <v>128</v>
      </c>
      <c r="B7208" s="5" t="s">
        <v>2512</v>
      </c>
      <c r="C7208" s="5" t="s">
        <v>7690</v>
      </c>
    </row>
    <row r="7209" spans="1:3" ht="30" x14ac:dyDescent="0.25">
      <c r="A7209" s="5" t="s">
        <v>128</v>
      </c>
      <c r="B7209" s="5" t="s">
        <v>145</v>
      </c>
      <c r="C7209" s="5" t="s">
        <v>7691</v>
      </c>
    </row>
    <row r="7210" spans="1:3" x14ac:dyDescent="0.25">
      <c r="A7210" s="5" t="s">
        <v>128</v>
      </c>
      <c r="B7210" s="5" t="s">
        <v>660</v>
      </c>
      <c r="C7210" s="5" t="s">
        <v>7692</v>
      </c>
    </row>
    <row r="7211" spans="1:3" ht="30" x14ac:dyDescent="0.25">
      <c r="A7211" s="5" t="s">
        <v>128</v>
      </c>
      <c r="B7211" s="5" t="s">
        <v>2943</v>
      </c>
      <c r="C7211" s="5" t="s">
        <v>7693</v>
      </c>
    </row>
    <row r="7212" spans="1:3" x14ac:dyDescent="0.25">
      <c r="A7212" s="5" t="s">
        <v>191</v>
      </c>
      <c r="B7212" s="5" t="s">
        <v>170</v>
      </c>
      <c r="C7212" s="5" t="s">
        <v>7694</v>
      </c>
    </row>
    <row r="7213" spans="1:3" ht="30" x14ac:dyDescent="0.25">
      <c r="A7213" s="5" t="s">
        <v>191</v>
      </c>
      <c r="B7213" s="5" t="s">
        <v>2</v>
      </c>
      <c r="C7213" s="5" t="s">
        <v>7695</v>
      </c>
    </row>
    <row r="7214" spans="1:3" x14ac:dyDescent="0.25">
      <c r="A7214" s="5" t="s">
        <v>191</v>
      </c>
      <c r="B7214" s="5" t="s">
        <v>7</v>
      </c>
      <c r="C7214" s="5" t="s">
        <v>7696</v>
      </c>
    </row>
    <row r="7215" spans="1:3" ht="30" x14ac:dyDescent="0.25">
      <c r="A7215" s="5" t="s">
        <v>191</v>
      </c>
      <c r="B7215" s="5" t="s">
        <v>416</v>
      </c>
      <c r="C7215" s="5" t="s">
        <v>7697</v>
      </c>
    </row>
    <row r="7216" spans="1:3" ht="30" x14ac:dyDescent="0.25">
      <c r="A7216" s="5" t="s">
        <v>191</v>
      </c>
      <c r="B7216" s="5" t="s">
        <v>13</v>
      </c>
      <c r="C7216" s="5" t="s">
        <v>7698</v>
      </c>
    </row>
    <row r="7217" spans="1:3" x14ac:dyDescent="0.25">
      <c r="A7217" s="5" t="s">
        <v>191</v>
      </c>
      <c r="B7217" s="5" t="s">
        <v>419</v>
      </c>
      <c r="C7217" s="5" t="s">
        <v>7699</v>
      </c>
    </row>
    <row r="7218" spans="1:3" ht="30" x14ac:dyDescent="0.25">
      <c r="A7218" s="5" t="s">
        <v>191</v>
      </c>
      <c r="B7218" s="5" t="s">
        <v>421</v>
      </c>
      <c r="C7218" s="5" t="s">
        <v>7700</v>
      </c>
    </row>
    <row r="7219" spans="1:3" ht="30" x14ac:dyDescent="0.25">
      <c r="A7219" s="5" t="s">
        <v>191</v>
      </c>
      <c r="B7219" s="5" t="s">
        <v>233</v>
      </c>
      <c r="C7219" s="5" t="s">
        <v>7701</v>
      </c>
    </row>
    <row r="7220" spans="1:3" x14ac:dyDescent="0.25">
      <c r="A7220" s="5" t="s">
        <v>191</v>
      </c>
      <c r="B7220" s="5" t="s">
        <v>838</v>
      </c>
      <c r="C7220" s="5" t="s">
        <v>7702</v>
      </c>
    </row>
    <row r="7221" spans="1:3" x14ac:dyDescent="0.25">
      <c r="A7221" s="5" t="s">
        <v>191</v>
      </c>
      <c r="B7221" s="5" t="s">
        <v>841</v>
      </c>
      <c r="C7221" s="5" t="s">
        <v>7703</v>
      </c>
    </row>
    <row r="7222" spans="1:3" x14ac:dyDescent="0.25">
      <c r="A7222" s="5" t="s">
        <v>191</v>
      </c>
      <c r="B7222" s="5" t="s">
        <v>427</v>
      </c>
      <c r="C7222" s="5" t="s">
        <v>7704</v>
      </c>
    </row>
    <row r="7223" spans="1:3" ht="30" x14ac:dyDescent="0.25">
      <c r="A7223" s="5" t="s">
        <v>191</v>
      </c>
      <c r="B7223" s="5" t="s">
        <v>19</v>
      </c>
      <c r="C7223" s="5" t="s">
        <v>7705</v>
      </c>
    </row>
    <row r="7224" spans="1:3" ht="30" x14ac:dyDescent="0.25">
      <c r="A7224" s="5" t="s">
        <v>191</v>
      </c>
      <c r="B7224" s="5" t="s">
        <v>445</v>
      </c>
      <c r="C7224" s="5" t="s">
        <v>7706</v>
      </c>
    </row>
    <row r="7225" spans="1:3" x14ac:dyDescent="0.25">
      <c r="A7225" s="5" t="s">
        <v>191</v>
      </c>
      <c r="B7225" s="5" t="s">
        <v>450</v>
      </c>
      <c r="C7225" s="5" t="s">
        <v>7707</v>
      </c>
    </row>
    <row r="7226" spans="1:3" x14ac:dyDescent="0.25">
      <c r="A7226" s="5" t="s">
        <v>191</v>
      </c>
      <c r="B7226" s="5" t="s">
        <v>1655</v>
      </c>
      <c r="C7226" s="5" t="s">
        <v>7708</v>
      </c>
    </row>
    <row r="7227" spans="1:3" x14ac:dyDescent="0.25">
      <c r="A7227" s="5" t="s">
        <v>191</v>
      </c>
      <c r="B7227" s="5" t="s">
        <v>38</v>
      </c>
      <c r="C7227" s="5" t="s">
        <v>7709</v>
      </c>
    </row>
    <row r="7228" spans="1:3" ht="30" x14ac:dyDescent="0.25">
      <c r="A7228" s="5" t="s">
        <v>191</v>
      </c>
      <c r="B7228" s="5" t="s">
        <v>462</v>
      </c>
      <c r="C7228" s="5" t="s">
        <v>7710</v>
      </c>
    </row>
    <row r="7229" spans="1:3" ht="30" x14ac:dyDescent="0.25">
      <c r="A7229" s="5" t="s">
        <v>191</v>
      </c>
      <c r="B7229" s="5" t="s">
        <v>467</v>
      </c>
      <c r="C7229" s="5" t="s">
        <v>7711</v>
      </c>
    </row>
    <row r="7230" spans="1:3" ht="30" x14ac:dyDescent="0.25">
      <c r="A7230" s="5" t="s">
        <v>191</v>
      </c>
      <c r="B7230" s="5" t="s">
        <v>474</v>
      </c>
      <c r="C7230" s="5" t="s">
        <v>7712</v>
      </c>
    </row>
    <row r="7231" spans="1:3" ht="30" x14ac:dyDescent="0.25">
      <c r="A7231" s="5" t="s">
        <v>191</v>
      </c>
      <c r="B7231" s="5" t="s">
        <v>481</v>
      </c>
      <c r="C7231" s="5" t="s">
        <v>7713</v>
      </c>
    </row>
    <row r="7232" spans="1:3" x14ac:dyDescent="0.25">
      <c r="A7232" s="5" t="s">
        <v>191</v>
      </c>
      <c r="B7232" s="5" t="s">
        <v>483</v>
      </c>
      <c r="C7232" s="5" t="s">
        <v>7714</v>
      </c>
    </row>
    <row r="7233" spans="1:3" ht="30" x14ac:dyDescent="0.25">
      <c r="A7233" s="5" t="s">
        <v>191</v>
      </c>
      <c r="B7233" s="5" t="s">
        <v>485</v>
      </c>
      <c r="C7233" s="5" t="s">
        <v>7715</v>
      </c>
    </row>
    <row r="7234" spans="1:3" ht="30" x14ac:dyDescent="0.25">
      <c r="A7234" s="5" t="s">
        <v>191</v>
      </c>
      <c r="B7234" s="5" t="s">
        <v>54</v>
      </c>
      <c r="C7234" s="5" t="s">
        <v>7716</v>
      </c>
    </row>
    <row r="7235" spans="1:3" x14ac:dyDescent="0.25">
      <c r="A7235" s="5" t="s">
        <v>191</v>
      </c>
      <c r="B7235" s="5" t="s">
        <v>491</v>
      </c>
      <c r="C7235" s="5" t="s">
        <v>7717</v>
      </c>
    </row>
    <row r="7236" spans="1:3" x14ac:dyDescent="0.25">
      <c r="A7236" s="5" t="s">
        <v>191</v>
      </c>
      <c r="B7236" s="5" t="s">
        <v>497</v>
      </c>
      <c r="C7236" s="5" t="s">
        <v>7718</v>
      </c>
    </row>
    <row r="7237" spans="1:3" x14ac:dyDescent="0.25">
      <c r="A7237" s="5" t="s">
        <v>191</v>
      </c>
      <c r="B7237" s="5" t="s">
        <v>499</v>
      </c>
      <c r="C7237" s="5" t="s">
        <v>7719</v>
      </c>
    </row>
    <row r="7238" spans="1:3" ht="30" x14ac:dyDescent="0.25">
      <c r="A7238" s="5" t="s">
        <v>191</v>
      </c>
      <c r="B7238" s="5" t="s">
        <v>503</v>
      </c>
      <c r="C7238" s="5" t="s">
        <v>7720</v>
      </c>
    </row>
    <row r="7239" spans="1:3" x14ac:dyDescent="0.25">
      <c r="A7239" s="5" t="s">
        <v>191</v>
      </c>
      <c r="B7239" s="5" t="s">
        <v>856</v>
      </c>
      <c r="C7239" s="5" t="s">
        <v>7721</v>
      </c>
    </row>
    <row r="7240" spans="1:3" x14ac:dyDescent="0.25">
      <c r="A7240" s="5" t="s">
        <v>191</v>
      </c>
      <c r="B7240" s="5" t="s">
        <v>509</v>
      </c>
      <c r="C7240" s="5" t="s">
        <v>7722</v>
      </c>
    </row>
    <row r="7241" spans="1:3" ht="30" x14ac:dyDescent="0.25">
      <c r="A7241" s="5" t="s">
        <v>191</v>
      </c>
      <c r="B7241" s="5" t="s">
        <v>515</v>
      </c>
      <c r="C7241" s="5" t="s">
        <v>7723</v>
      </c>
    </row>
    <row r="7242" spans="1:3" ht="30" x14ac:dyDescent="0.25">
      <c r="A7242" s="5" t="s">
        <v>191</v>
      </c>
      <c r="B7242" s="5" t="s">
        <v>517</v>
      </c>
      <c r="C7242" s="5" t="s">
        <v>7724</v>
      </c>
    </row>
    <row r="7243" spans="1:3" x14ac:dyDescent="0.25">
      <c r="A7243" s="5" t="s">
        <v>191</v>
      </c>
      <c r="B7243" s="5" t="s">
        <v>519</v>
      </c>
      <c r="C7243" s="5" t="s">
        <v>7725</v>
      </c>
    </row>
    <row r="7244" spans="1:3" ht="30" x14ac:dyDescent="0.25">
      <c r="A7244" s="5" t="s">
        <v>191</v>
      </c>
      <c r="B7244" s="5" t="s">
        <v>3612</v>
      </c>
      <c r="C7244" s="5" t="s">
        <v>7726</v>
      </c>
    </row>
    <row r="7245" spans="1:3" x14ac:dyDescent="0.25">
      <c r="A7245" s="5" t="s">
        <v>191</v>
      </c>
      <c r="B7245" s="5" t="s">
        <v>1793</v>
      </c>
      <c r="C7245" s="5" t="s">
        <v>7727</v>
      </c>
    </row>
    <row r="7246" spans="1:3" x14ac:dyDescent="0.25">
      <c r="A7246" s="5" t="s">
        <v>191</v>
      </c>
      <c r="B7246" s="5" t="s">
        <v>2988</v>
      </c>
      <c r="C7246" s="5" t="s">
        <v>7728</v>
      </c>
    </row>
    <row r="7247" spans="1:3" x14ac:dyDescent="0.25">
      <c r="A7247" s="5" t="s">
        <v>191</v>
      </c>
      <c r="B7247" s="5" t="s">
        <v>533</v>
      </c>
      <c r="C7247" s="5" t="s">
        <v>7729</v>
      </c>
    </row>
    <row r="7248" spans="1:3" x14ac:dyDescent="0.25">
      <c r="A7248" s="5" t="s">
        <v>191</v>
      </c>
      <c r="B7248" s="5" t="s">
        <v>537</v>
      </c>
      <c r="C7248" s="5" t="s">
        <v>7730</v>
      </c>
    </row>
    <row r="7249" spans="1:3" x14ac:dyDescent="0.25">
      <c r="A7249" s="5" t="s">
        <v>191</v>
      </c>
      <c r="B7249" s="5" t="s">
        <v>71</v>
      </c>
      <c r="C7249" s="5" t="s">
        <v>7731</v>
      </c>
    </row>
    <row r="7250" spans="1:3" x14ac:dyDescent="0.25">
      <c r="A7250" s="5" t="s">
        <v>191</v>
      </c>
      <c r="B7250" s="5" t="s">
        <v>740</v>
      </c>
      <c r="C7250" s="5" t="s">
        <v>7732</v>
      </c>
    </row>
    <row r="7251" spans="1:3" x14ac:dyDescent="0.25">
      <c r="A7251" s="5" t="s">
        <v>191</v>
      </c>
      <c r="B7251" s="5" t="s">
        <v>549</v>
      </c>
      <c r="C7251" s="5" t="s">
        <v>7733</v>
      </c>
    </row>
    <row r="7252" spans="1:3" x14ac:dyDescent="0.25">
      <c r="A7252" s="5" t="s">
        <v>191</v>
      </c>
      <c r="B7252" s="5" t="s">
        <v>554</v>
      </c>
      <c r="C7252" s="5" t="s">
        <v>7734</v>
      </c>
    </row>
    <row r="7253" spans="1:3" x14ac:dyDescent="0.25">
      <c r="A7253" s="5" t="s">
        <v>191</v>
      </c>
      <c r="B7253" s="5" t="s">
        <v>80</v>
      </c>
      <c r="C7253" s="5" t="s">
        <v>7735</v>
      </c>
    </row>
    <row r="7254" spans="1:3" ht="30" x14ac:dyDescent="0.25">
      <c r="A7254" s="5" t="s">
        <v>191</v>
      </c>
      <c r="B7254" s="5" t="s">
        <v>178</v>
      </c>
      <c r="C7254" s="5" t="s">
        <v>7736</v>
      </c>
    </row>
    <row r="7255" spans="1:3" ht="30" x14ac:dyDescent="0.25">
      <c r="A7255" s="5" t="s">
        <v>191</v>
      </c>
      <c r="B7255" s="5" t="s">
        <v>563</v>
      </c>
      <c r="C7255" s="5" t="s">
        <v>7737</v>
      </c>
    </row>
    <row r="7256" spans="1:3" ht="30" x14ac:dyDescent="0.25">
      <c r="A7256" s="5" t="s">
        <v>191</v>
      </c>
      <c r="B7256" s="5" t="s">
        <v>750</v>
      </c>
      <c r="C7256" s="5" t="s">
        <v>7738</v>
      </c>
    </row>
    <row r="7257" spans="1:3" ht="30" x14ac:dyDescent="0.25">
      <c r="A7257" s="5" t="s">
        <v>191</v>
      </c>
      <c r="B7257" s="5" t="s">
        <v>85</v>
      </c>
      <c r="C7257" s="5" t="s">
        <v>7739</v>
      </c>
    </row>
    <row r="7258" spans="1:3" x14ac:dyDescent="0.25">
      <c r="A7258" s="5" t="s">
        <v>191</v>
      </c>
      <c r="B7258" s="5" t="s">
        <v>573</v>
      </c>
      <c r="C7258" s="5" t="s">
        <v>7740</v>
      </c>
    </row>
    <row r="7259" spans="1:3" ht="30" x14ac:dyDescent="0.25">
      <c r="A7259" s="5" t="s">
        <v>191</v>
      </c>
      <c r="B7259" s="5" t="s">
        <v>89</v>
      </c>
      <c r="C7259" s="5" t="s">
        <v>7741</v>
      </c>
    </row>
    <row r="7260" spans="1:3" ht="30" x14ac:dyDescent="0.25">
      <c r="A7260" s="5" t="s">
        <v>191</v>
      </c>
      <c r="B7260" s="5" t="s">
        <v>3889</v>
      </c>
      <c r="C7260" s="5" t="s">
        <v>7742</v>
      </c>
    </row>
    <row r="7261" spans="1:3" ht="30" x14ac:dyDescent="0.25">
      <c r="A7261" s="5" t="s">
        <v>191</v>
      </c>
      <c r="B7261" s="5" t="s">
        <v>590</v>
      </c>
      <c r="C7261" s="5" t="s">
        <v>7743</v>
      </c>
    </row>
    <row r="7262" spans="1:3" ht="30" x14ac:dyDescent="0.25">
      <c r="A7262" s="5" t="s">
        <v>191</v>
      </c>
      <c r="B7262" s="5" t="s">
        <v>592</v>
      </c>
      <c r="C7262" s="5" t="s">
        <v>7744</v>
      </c>
    </row>
    <row r="7263" spans="1:3" ht="30" x14ac:dyDescent="0.25">
      <c r="A7263" s="5" t="s">
        <v>191</v>
      </c>
      <c r="B7263" s="5" t="s">
        <v>596</v>
      </c>
      <c r="C7263" s="5" t="s">
        <v>7745</v>
      </c>
    </row>
    <row r="7264" spans="1:3" ht="30" x14ac:dyDescent="0.25">
      <c r="A7264" s="5" t="s">
        <v>191</v>
      </c>
      <c r="B7264" s="5" t="s">
        <v>6268</v>
      </c>
      <c r="C7264" s="5" t="s">
        <v>7746</v>
      </c>
    </row>
    <row r="7265" spans="1:3" ht="30" x14ac:dyDescent="0.25">
      <c r="A7265" s="5" t="s">
        <v>191</v>
      </c>
      <c r="B7265" s="5" t="s">
        <v>3316</v>
      </c>
      <c r="C7265" s="5" t="s">
        <v>7747</v>
      </c>
    </row>
    <row r="7266" spans="1:3" ht="30" x14ac:dyDescent="0.25">
      <c r="A7266" s="5" t="s">
        <v>191</v>
      </c>
      <c r="B7266" s="5" t="s">
        <v>185</v>
      </c>
      <c r="C7266" s="5" t="s">
        <v>7748</v>
      </c>
    </row>
    <row r="7267" spans="1:3" x14ac:dyDescent="0.25">
      <c r="A7267" s="5" t="s">
        <v>191</v>
      </c>
      <c r="B7267" s="5" t="s">
        <v>604</v>
      </c>
      <c r="C7267" s="5" t="s">
        <v>7749</v>
      </c>
    </row>
    <row r="7268" spans="1:3" x14ac:dyDescent="0.25">
      <c r="A7268" s="5" t="s">
        <v>191</v>
      </c>
      <c r="B7268" s="5" t="s">
        <v>188</v>
      </c>
      <c r="C7268" s="5" t="s">
        <v>7750</v>
      </c>
    </row>
    <row r="7269" spans="1:3" x14ac:dyDescent="0.25">
      <c r="A7269" s="5" t="s">
        <v>191</v>
      </c>
      <c r="B7269" s="5" t="s">
        <v>106</v>
      </c>
      <c r="C7269" s="5" t="s">
        <v>7751</v>
      </c>
    </row>
    <row r="7270" spans="1:3" ht="30" x14ac:dyDescent="0.25">
      <c r="A7270" s="5" t="s">
        <v>191</v>
      </c>
      <c r="B7270" s="5" t="s">
        <v>1164</v>
      </c>
      <c r="C7270" s="5" t="s">
        <v>7752</v>
      </c>
    </row>
    <row r="7271" spans="1:3" ht="30" x14ac:dyDescent="0.25">
      <c r="A7271" s="5" t="s">
        <v>191</v>
      </c>
      <c r="B7271" s="5" t="s">
        <v>612</v>
      </c>
      <c r="C7271" s="5" t="s">
        <v>7753</v>
      </c>
    </row>
    <row r="7272" spans="1:3" ht="30" x14ac:dyDescent="0.25">
      <c r="A7272" s="5" t="s">
        <v>191</v>
      </c>
      <c r="B7272" s="5" t="s">
        <v>119</v>
      </c>
      <c r="C7272" s="5" t="s">
        <v>7754</v>
      </c>
    </row>
    <row r="7273" spans="1:3" x14ac:dyDescent="0.25">
      <c r="A7273" s="5" t="s">
        <v>191</v>
      </c>
      <c r="B7273" s="5" t="s">
        <v>896</v>
      </c>
      <c r="C7273" s="5" t="s">
        <v>7755</v>
      </c>
    </row>
    <row r="7274" spans="1:3" x14ac:dyDescent="0.25">
      <c r="A7274" s="5" t="s">
        <v>191</v>
      </c>
      <c r="B7274" s="5" t="s">
        <v>120</v>
      </c>
      <c r="C7274" s="5" t="s">
        <v>7756</v>
      </c>
    </row>
    <row r="7275" spans="1:3" ht="30" x14ac:dyDescent="0.25">
      <c r="A7275" s="5" t="s">
        <v>191</v>
      </c>
      <c r="B7275" s="5" t="s">
        <v>617</v>
      </c>
      <c r="C7275" s="5" t="s">
        <v>7757</v>
      </c>
    </row>
    <row r="7276" spans="1:3" ht="30" x14ac:dyDescent="0.25">
      <c r="A7276" s="5" t="s">
        <v>191</v>
      </c>
      <c r="B7276" s="5" t="s">
        <v>122</v>
      </c>
      <c r="C7276" s="5" t="s">
        <v>7758</v>
      </c>
    </row>
    <row r="7277" spans="1:3" x14ac:dyDescent="0.25">
      <c r="A7277" s="5" t="s">
        <v>191</v>
      </c>
      <c r="B7277" s="5" t="s">
        <v>125</v>
      </c>
      <c r="C7277" s="5" t="s">
        <v>7759</v>
      </c>
    </row>
    <row r="7278" spans="1:3" ht="30" x14ac:dyDescent="0.25">
      <c r="A7278" s="5" t="s">
        <v>191</v>
      </c>
      <c r="B7278" s="5" t="s">
        <v>626</v>
      </c>
      <c r="C7278" s="5" t="s">
        <v>7760</v>
      </c>
    </row>
    <row r="7279" spans="1:3" x14ac:dyDescent="0.25">
      <c r="A7279" s="5" t="s">
        <v>191</v>
      </c>
      <c r="B7279" s="5" t="s">
        <v>628</v>
      </c>
      <c r="C7279" s="5" t="s">
        <v>7761</v>
      </c>
    </row>
    <row r="7280" spans="1:3" x14ac:dyDescent="0.25">
      <c r="A7280" s="5" t="s">
        <v>191</v>
      </c>
      <c r="B7280" s="5" t="s">
        <v>630</v>
      </c>
      <c r="C7280" s="5" t="s">
        <v>7762</v>
      </c>
    </row>
    <row r="7281" spans="1:3" x14ac:dyDescent="0.25">
      <c r="A7281" s="5" t="s">
        <v>191</v>
      </c>
      <c r="B7281" s="5" t="s">
        <v>634</v>
      </c>
      <c r="C7281" s="5" t="s">
        <v>7763</v>
      </c>
    </row>
    <row r="7282" spans="1:3" ht="30" x14ac:dyDescent="0.25">
      <c r="A7282" s="5" t="s">
        <v>191</v>
      </c>
      <c r="B7282" s="5" t="s">
        <v>636</v>
      </c>
      <c r="C7282" s="5" t="s">
        <v>7764</v>
      </c>
    </row>
    <row r="7283" spans="1:3" x14ac:dyDescent="0.25">
      <c r="A7283" s="5" t="s">
        <v>191</v>
      </c>
      <c r="B7283" s="5" t="s">
        <v>134</v>
      </c>
      <c r="C7283" s="5" t="s">
        <v>7765</v>
      </c>
    </row>
    <row r="7284" spans="1:3" x14ac:dyDescent="0.25">
      <c r="A7284" s="5" t="s">
        <v>191</v>
      </c>
      <c r="B7284" s="5" t="s">
        <v>909</v>
      </c>
      <c r="C7284" s="5" t="s">
        <v>7766</v>
      </c>
    </row>
    <row r="7285" spans="1:3" ht="30" x14ac:dyDescent="0.25">
      <c r="A7285" s="5" t="s">
        <v>191</v>
      </c>
      <c r="B7285" s="5" t="s">
        <v>138</v>
      </c>
      <c r="C7285" s="5" t="s">
        <v>7767</v>
      </c>
    </row>
    <row r="7286" spans="1:3" ht="30" x14ac:dyDescent="0.25">
      <c r="A7286" s="5" t="s">
        <v>191</v>
      </c>
      <c r="B7286" s="5" t="s">
        <v>142</v>
      </c>
      <c r="C7286" s="5" t="s">
        <v>7768</v>
      </c>
    </row>
    <row r="7287" spans="1:3" x14ac:dyDescent="0.25">
      <c r="A7287" s="5" t="s">
        <v>191</v>
      </c>
      <c r="B7287" s="5" t="s">
        <v>144</v>
      </c>
      <c r="C7287" s="5" t="s">
        <v>7769</v>
      </c>
    </row>
    <row r="7288" spans="1:3" x14ac:dyDescent="0.25">
      <c r="A7288" s="5" t="s">
        <v>191</v>
      </c>
      <c r="B7288" s="5" t="s">
        <v>913</v>
      </c>
      <c r="C7288" s="5" t="s">
        <v>7770</v>
      </c>
    </row>
    <row r="7289" spans="1:3" x14ac:dyDescent="0.25">
      <c r="A7289" s="5" t="s">
        <v>191</v>
      </c>
      <c r="B7289" s="5" t="s">
        <v>654</v>
      </c>
      <c r="C7289" s="5" t="s">
        <v>7771</v>
      </c>
    </row>
    <row r="7290" spans="1:3" x14ac:dyDescent="0.25">
      <c r="A7290" s="5" t="s">
        <v>191</v>
      </c>
      <c r="B7290" s="5" t="s">
        <v>656</v>
      </c>
      <c r="C7290" s="5" t="s">
        <v>7772</v>
      </c>
    </row>
    <row r="7291" spans="1:3" x14ac:dyDescent="0.25">
      <c r="A7291" s="5" t="s">
        <v>191</v>
      </c>
      <c r="B7291" s="5" t="s">
        <v>658</v>
      </c>
      <c r="C7291" s="5" t="s">
        <v>7773</v>
      </c>
    </row>
    <row r="7292" spans="1:3" x14ac:dyDescent="0.25">
      <c r="A7292" s="5" t="s">
        <v>191</v>
      </c>
      <c r="B7292" s="5" t="s">
        <v>662</v>
      </c>
      <c r="C7292" s="5" t="s">
        <v>7774</v>
      </c>
    </row>
    <row r="7293" spans="1:3" x14ac:dyDescent="0.25">
      <c r="A7293" s="5" t="s">
        <v>191</v>
      </c>
      <c r="B7293" s="5" t="s">
        <v>664</v>
      </c>
      <c r="C7293" s="5" t="s">
        <v>7775</v>
      </c>
    </row>
    <row r="7294" spans="1:3" ht="30" x14ac:dyDescent="0.25">
      <c r="A7294" s="5" t="s">
        <v>191</v>
      </c>
      <c r="B7294" s="5" t="s">
        <v>4</v>
      </c>
      <c r="C7294" s="5" t="s">
        <v>7776</v>
      </c>
    </row>
    <row r="7295" spans="1:3" ht="30" x14ac:dyDescent="0.25">
      <c r="A7295" s="5" t="s">
        <v>191</v>
      </c>
      <c r="B7295" s="5" t="s">
        <v>670</v>
      </c>
      <c r="C7295" s="5" t="s">
        <v>7777</v>
      </c>
    </row>
    <row r="7296" spans="1:3" ht="30" x14ac:dyDescent="0.25">
      <c r="A7296" s="5" t="s">
        <v>191</v>
      </c>
      <c r="B7296" s="5" t="s">
        <v>6789</v>
      </c>
      <c r="C7296" s="5" t="s">
        <v>7778</v>
      </c>
    </row>
    <row r="7297" spans="1:3" ht="30" x14ac:dyDescent="0.25">
      <c r="A7297" s="5" t="s">
        <v>130</v>
      </c>
      <c r="B7297" s="5" t="s">
        <v>2</v>
      </c>
      <c r="C7297" s="5" t="s">
        <v>7779</v>
      </c>
    </row>
    <row r="7298" spans="1:3" ht="30" x14ac:dyDescent="0.25">
      <c r="A7298" s="5" t="s">
        <v>130</v>
      </c>
      <c r="B7298" s="5" t="s">
        <v>247</v>
      </c>
      <c r="C7298" s="5" t="s">
        <v>7780</v>
      </c>
    </row>
    <row r="7299" spans="1:3" ht="30" x14ac:dyDescent="0.25">
      <c r="A7299" s="5" t="s">
        <v>130</v>
      </c>
      <c r="B7299" s="5" t="s">
        <v>265</v>
      </c>
      <c r="C7299" s="5" t="s">
        <v>7781</v>
      </c>
    </row>
    <row r="7300" spans="1:3" ht="30" x14ac:dyDescent="0.25">
      <c r="A7300" s="5" t="s">
        <v>130</v>
      </c>
      <c r="B7300" s="5" t="s">
        <v>393</v>
      </c>
      <c r="C7300" s="5" t="s">
        <v>7782</v>
      </c>
    </row>
    <row r="7301" spans="1:3" x14ac:dyDescent="0.25">
      <c r="A7301" s="5" t="s">
        <v>130</v>
      </c>
      <c r="B7301" s="5" t="s">
        <v>10</v>
      </c>
      <c r="C7301" s="5" t="s">
        <v>7783</v>
      </c>
    </row>
    <row r="7302" spans="1:3" ht="30" x14ac:dyDescent="0.25">
      <c r="A7302" s="5" t="s">
        <v>130</v>
      </c>
      <c r="B7302" s="5" t="s">
        <v>13</v>
      </c>
      <c r="C7302" s="5" t="s">
        <v>7784</v>
      </c>
    </row>
    <row r="7303" spans="1:3" ht="30" x14ac:dyDescent="0.25">
      <c r="A7303" s="5" t="s">
        <v>130</v>
      </c>
      <c r="B7303" s="5" t="s">
        <v>16</v>
      </c>
      <c r="C7303" s="5" t="s">
        <v>7785</v>
      </c>
    </row>
    <row r="7304" spans="1:3" x14ac:dyDescent="0.25">
      <c r="A7304" s="5" t="s">
        <v>130</v>
      </c>
      <c r="B7304" s="5" t="s">
        <v>963</v>
      </c>
      <c r="C7304" s="5" t="s">
        <v>7786</v>
      </c>
    </row>
    <row r="7305" spans="1:3" ht="30" x14ac:dyDescent="0.25">
      <c r="A7305" s="5" t="s">
        <v>130</v>
      </c>
      <c r="B7305" s="5" t="s">
        <v>425</v>
      </c>
      <c r="C7305" s="5" t="s">
        <v>7787</v>
      </c>
    </row>
    <row r="7306" spans="1:3" x14ac:dyDescent="0.25">
      <c r="A7306" s="5" t="s">
        <v>130</v>
      </c>
      <c r="B7306" s="5" t="s">
        <v>1021</v>
      </c>
      <c r="C7306" s="5" t="s">
        <v>7788</v>
      </c>
    </row>
    <row r="7307" spans="1:3" ht="30" x14ac:dyDescent="0.25">
      <c r="A7307" s="5" t="s">
        <v>130</v>
      </c>
      <c r="B7307" s="5" t="s">
        <v>19</v>
      </c>
      <c r="C7307" s="5" t="s">
        <v>7789</v>
      </c>
    </row>
    <row r="7308" spans="1:3" x14ac:dyDescent="0.25">
      <c r="A7308" s="5" t="s">
        <v>130</v>
      </c>
      <c r="B7308" s="5" t="s">
        <v>22</v>
      </c>
      <c r="C7308" s="5" t="s">
        <v>7790</v>
      </c>
    </row>
    <row r="7309" spans="1:3" ht="30" x14ac:dyDescent="0.25">
      <c r="A7309" s="5" t="s">
        <v>130</v>
      </c>
      <c r="B7309" s="5" t="s">
        <v>24</v>
      </c>
      <c r="C7309" s="5" t="s">
        <v>7791</v>
      </c>
    </row>
    <row r="7310" spans="1:3" ht="30" x14ac:dyDescent="0.25">
      <c r="A7310" s="5" t="s">
        <v>130</v>
      </c>
      <c r="B7310" s="5" t="s">
        <v>30</v>
      </c>
      <c r="C7310" s="5" t="s">
        <v>7792</v>
      </c>
    </row>
    <row r="7311" spans="1:3" ht="30" x14ac:dyDescent="0.25">
      <c r="A7311" s="5" t="s">
        <v>130</v>
      </c>
      <c r="B7311" s="5" t="s">
        <v>32</v>
      </c>
      <c r="C7311" s="5" t="s">
        <v>7793</v>
      </c>
    </row>
    <row r="7312" spans="1:3" ht="30" x14ac:dyDescent="0.25">
      <c r="A7312" s="5" t="s">
        <v>130</v>
      </c>
      <c r="B7312" s="5" t="s">
        <v>34</v>
      </c>
      <c r="C7312" s="5" t="s">
        <v>7794</v>
      </c>
    </row>
    <row r="7313" spans="1:3" x14ac:dyDescent="0.25">
      <c r="A7313" s="5" t="s">
        <v>130</v>
      </c>
      <c r="B7313" s="5" t="s">
        <v>38</v>
      </c>
      <c r="C7313" s="5" t="s">
        <v>7795</v>
      </c>
    </row>
    <row r="7314" spans="1:3" x14ac:dyDescent="0.25">
      <c r="A7314" s="5" t="s">
        <v>130</v>
      </c>
      <c r="B7314" s="5" t="s">
        <v>40</v>
      </c>
      <c r="C7314" s="5" t="s">
        <v>7796</v>
      </c>
    </row>
    <row r="7315" spans="1:3" ht="30" x14ac:dyDescent="0.25">
      <c r="A7315" s="5" t="s">
        <v>130</v>
      </c>
      <c r="B7315" s="5" t="s">
        <v>454</v>
      </c>
      <c r="C7315" s="5" t="s">
        <v>7797</v>
      </c>
    </row>
    <row r="7316" spans="1:3" ht="30" x14ac:dyDescent="0.25">
      <c r="A7316" s="5" t="s">
        <v>130</v>
      </c>
      <c r="B7316" s="5" t="s">
        <v>462</v>
      </c>
      <c r="C7316" s="5" t="s">
        <v>7798</v>
      </c>
    </row>
    <row r="7317" spans="1:3" ht="30" x14ac:dyDescent="0.25">
      <c r="A7317" s="5" t="s">
        <v>130</v>
      </c>
      <c r="B7317" s="5" t="s">
        <v>201</v>
      </c>
      <c r="C7317" s="5" t="s">
        <v>7799</v>
      </c>
    </row>
    <row r="7318" spans="1:3" ht="30" x14ac:dyDescent="0.25">
      <c r="A7318" s="5" t="s">
        <v>130</v>
      </c>
      <c r="B7318" s="5" t="s">
        <v>45</v>
      </c>
      <c r="C7318" s="5" t="s">
        <v>7800</v>
      </c>
    </row>
    <row r="7319" spans="1:3" ht="30" x14ac:dyDescent="0.25">
      <c r="A7319" s="5" t="s">
        <v>130</v>
      </c>
      <c r="B7319" s="5" t="s">
        <v>47</v>
      </c>
      <c r="C7319" s="5" t="s">
        <v>7801</v>
      </c>
    </row>
    <row r="7320" spans="1:3" ht="30" x14ac:dyDescent="0.25">
      <c r="A7320" s="5" t="s">
        <v>130</v>
      </c>
      <c r="B7320" s="5" t="s">
        <v>49</v>
      </c>
      <c r="C7320" s="5" t="s">
        <v>7802</v>
      </c>
    </row>
    <row r="7321" spans="1:3" ht="30" x14ac:dyDescent="0.25">
      <c r="A7321" s="5" t="s">
        <v>130</v>
      </c>
      <c r="B7321" s="5" t="s">
        <v>474</v>
      </c>
      <c r="C7321" s="5" t="s">
        <v>7803</v>
      </c>
    </row>
    <row r="7322" spans="1:3" ht="30" x14ac:dyDescent="0.25">
      <c r="A7322" s="5" t="s">
        <v>130</v>
      </c>
      <c r="B7322" s="5" t="s">
        <v>50</v>
      </c>
      <c r="C7322" s="5" t="s">
        <v>7804</v>
      </c>
    </row>
    <row r="7323" spans="1:3" ht="30" x14ac:dyDescent="0.25">
      <c r="A7323" s="5" t="s">
        <v>130</v>
      </c>
      <c r="B7323" s="5" t="s">
        <v>479</v>
      </c>
      <c r="C7323" s="5" t="s">
        <v>7805</v>
      </c>
    </row>
    <row r="7324" spans="1:3" ht="30" x14ac:dyDescent="0.25">
      <c r="A7324" s="5" t="s">
        <v>130</v>
      </c>
      <c r="B7324" s="5" t="s">
        <v>848</v>
      </c>
      <c r="C7324" s="5" t="s">
        <v>7806</v>
      </c>
    </row>
    <row r="7325" spans="1:3" ht="30" x14ac:dyDescent="0.25">
      <c r="A7325" s="5" t="s">
        <v>130</v>
      </c>
      <c r="B7325" s="5" t="s">
        <v>52</v>
      </c>
      <c r="C7325" s="5" t="s">
        <v>7807</v>
      </c>
    </row>
    <row r="7326" spans="1:3" x14ac:dyDescent="0.25">
      <c r="A7326" s="5" t="s">
        <v>130</v>
      </c>
      <c r="B7326" s="5" t="s">
        <v>358</v>
      </c>
      <c r="C7326" s="5" t="s">
        <v>7808</v>
      </c>
    </row>
    <row r="7327" spans="1:3" ht="30" x14ac:dyDescent="0.25">
      <c r="A7327" s="5" t="s">
        <v>130</v>
      </c>
      <c r="B7327" s="5" t="s">
        <v>2365</v>
      </c>
      <c r="C7327" s="5" t="s">
        <v>7809</v>
      </c>
    </row>
    <row r="7328" spans="1:3" ht="30" x14ac:dyDescent="0.25">
      <c r="A7328" s="5" t="s">
        <v>130</v>
      </c>
      <c r="B7328" s="5" t="s">
        <v>56</v>
      </c>
      <c r="C7328" s="5" t="s">
        <v>7810</v>
      </c>
    </row>
    <row r="7329" spans="1:3" x14ac:dyDescent="0.25">
      <c r="A7329" s="5" t="s">
        <v>130</v>
      </c>
      <c r="B7329" s="5" t="s">
        <v>57</v>
      </c>
      <c r="C7329" s="5" t="s">
        <v>7811</v>
      </c>
    </row>
    <row r="7330" spans="1:3" ht="30" x14ac:dyDescent="0.25">
      <c r="A7330" s="5" t="s">
        <v>130</v>
      </c>
      <c r="B7330" s="5" t="s">
        <v>505</v>
      </c>
      <c r="C7330" s="5" t="s">
        <v>7812</v>
      </c>
    </row>
    <row r="7331" spans="1:3" ht="30" x14ac:dyDescent="0.25">
      <c r="A7331" s="5" t="s">
        <v>130</v>
      </c>
      <c r="B7331" s="5" t="s">
        <v>511</v>
      </c>
      <c r="C7331" s="5" t="s">
        <v>7813</v>
      </c>
    </row>
    <row r="7332" spans="1:3" ht="30" x14ac:dyDescent="0.25">
      <c r="A7332" s="5" t="s">
        <v>130</v>
      </c>
      <c r="B7332" s="5" t="s">
        <v>519</v>
      </c>
      <c r="C7332" s="5" t="s">
        <v>7814</v>
      </c>
    </row>
    <row r="7333" spans="1:3" ht="30" x14ac:dyDescent="0.25">
      <c r="A7333" s="5" t="s">
        <v>130</v>
      </c>
      <c r="B7333" s="5" t="s">
        <v>3587</v>
      </c>
      <c r="C7333" s="5" t="s">
        <v>7815</v>
      </c>
    </row>
    <row r="7334" spans="1:3" ht="30" x14ac:dyDescent="0.25">
      <c r="A7334" s="5" t="s">
        <v>130</v>
      </c>
      <c r="B7334" s="5" t="s">
        <v>64</v>
      </c>
      <c r="C7334" s="5" t="s">
        <v>7816</v>
      </c>
    </row>
    <row r="7335" spans="1:3" ht="30" x14ac:dyDescent="0.25">
      <c r="A7335" s="5" t="s">
        <v>130</v>
      </c>
      <c r="B7335" s="5" t="s">
        <v>360</v>
      </c>
      <c r="C7335" s="5" t="s">
        <v>7817</v>
      </c>
    </row>
    <row r="7336" spans="1:3" x14ac:dyDescent="0.25">
      <c r="A7336" s="5" t="s">
        <v>130</v>
      </c>
      <c r="B7336" s="5" t="s">
        <v>176</v>
      </c>
      <c r="C7336" s="5" t="s">
        <v>7818</v>
      </c>
    </row>
    <row r="7337" spans="1:3" x14ac:dyDescent="0.25">
      <c r="A7337" s="5" t="s">
        <v>130</v>
      </c>
      <c r="B7337" s="5" t="s">
        <v>67</v>
      </c>
      <c r="C7337" s="5" t="s">
        <v>7819</v>
      </c>
    </row>
    <row r="7338" spans="1:3" ht="30" x14ac:dyDescent="0.25">
      <c r="A7338" s="5" t="s">
        <v>130</v>
      </c>
      <c r="B7338" s="5" t="s">
        <v>537</v>
      </c>
      <c r="C7338" s="5" t="s">
        <v>7820</v>
      </c>
    </row>
    <row r="7339" spans="1:3" x14ac:dyDescent="0.25">
      <c r="A7339" s="5" t="s">
        <v>130</v>
      </c>
      <c r="B7339" s="5" t="s">
        <v>541</v>
      </c>
      <c r="C7339" s="5" t="s">
        <v>7821</v>
      </c>
    </row>
    <row r="7340" spans="1:3" x14ac:dyDescent="0.25">
      <c r="A7340" s="5" t="s">
        <v>130</v>
      </c>
      <c r="B7340" s="5" t="s">
        <v>69</v>
      </c>
      <c r="C7340" s="5" t="s">
        <v>7822</v>
      </c>
    </row>
    <row r="7341" spans="1:3" ht="30" x14ac:dyDescent="0.25">
      <c r="A7341" s="5" t="s">
        <v>130</v>
      </c>
      <c r="B7341" s="5" t="s">
        <v>366</v>
      </c>
      <c r="C7341" s="5" t="s">
        <v>7823</v>
      </c>
    </row>
    <row r="7342" spans="1:3" x14ac:dyDescent="0.25">
      <c r="A7342" s="5" t="s">
        <v>130</v>
      </c>
      <c r="B7342" s="5" t="s">
        <v>71</v>
      </c>
      <c r="C7342" s="5" t="s">
        <v>7824</v>
      </c>
    </row>
    <row r="7343" spans="1:3" ht="30" x14ac:dyDescent="0.25">
      <c r="A7343" s="5" t="s">
        <v>130</v>
      </c>
      <c r="B7343" s="5" t="s">
        <v>73</v>
      </c>
      <c r="C7343" s="5" t="s">
        <v>7825</v>
      </c>
    </row>
    <row r="7344" spans="1:3" ht="30" x14ac:dyDescent="0.25">
      <c r="A7344" s="5" t="s">
        <v>130</v>
      </c>
      <c r="B7344" s="5" t="s">
        <v>742</v>
      </c>
      <c r="C7344" s="5" t="s">
        <v>7826</v>
      </c>
    </row>
    <row r="7345" spans="1:3" x14ac:dyDescent="0.25">
      <c r="A7345" s="5" t="s">
        <v>130</v>
      </c>
      <c r="B7345" s="5" t="s">
        <v>2421</v>
      </c>
      <c r="C7345" s="5" t="s">
        <v>7827</v>
      </c>
    </row>
    <row r="7346" spans="1:3" ht="30" x14ac:dyDescent="0.25">
      <c r="A7346" s="5" t="s">
        <v>130</v>
      </c>
      <c r="B7346" s="5" t="s">
        <v>80</v>
      </c>
      <c r="C7346" s="5" t="s">
        <v>7828</v>
      </c>
    </row>
    <row r="7347" spans="1:3" ht="30" x14ac:dyDescent="0.25">
      <c r="A7347" s="5" t="s">
        <v>130</v>
      </c>
      <c r="B7347" s="5" t="s">
        <v>82</v>
      </c>
      <c r="C7347" s="5" t="s">
        <v>7829</v>
      </c>
    </row>
    <row r="7348" spans="1:3" ht="30" x14ac:dyDescent="0.25">
      <c r="A7348" s="5" t="s">
        <v>130</v>
      </c>
      <c r="B7348" s="5" t="s">
        <v>180</v>
      </c>
      <c r="C7348" s="5" t="s">
        <v>7830</v>
      </c>
    </row>
    <row r="7349" spans="1:3" ht="30" x14ac:dyDescent="0.25">
      <c r="A7349" s="5" t="s">
        <v>130</v>
      </c>
      <c r="B7349" s="5" t="s">
        <v>875</v>
      </c>
      <c r="C7349" s="5" t="s">
        <v>7831</v>
      </c>
    </row>
    <row r="7350" spans="1:3" ht="30" x14ac:dyDescent="0.25">
      <c r="A7350" s="5" t="s">
        <v>130</v>
      </c>
      <c r="B7350" s="5" t="s">
        <v>84</v>
      </c>
      <c r="C7350" s="5" t="s">
        <v>7832</v>
      </c>
    </row>
    <row r="7351" spans="1:3" ht="30" x14ac:dyDescent="0.25">
      <c r="A7351" s="5" t="s">
        <v>130</v>
      </c>
      <c r="B7351" s="5" t="s">
        <v>85</v>
      </c>
      <c r="C7351" s="5" t="s">
        <v>7833</v>
      </c>
    </row>
    <row r="7352" spans="1:3" ht="30" x14ac:dyDescent="0.25">
      <c r="A7352" s="5" t="s">
        <v>130</v>
      </c>
      <c r="B7352" s="5" t="s">
        <v>2436</v>
      </c>
      <c r="C7352" s="5" t="s">
        <v>7834</v>
      </c>
    </row>
    <row r="7353" spans="1:3" ht="30" x14ac:dyDescent="0.25">
      <c r="A7353" s="5" t="s">
        <v>130</v>
      </c>
      <c r="B7353" s="5" t="s">
        <v>2439</v>
      </c>
      <c r="C7353" s="5" t="s">
        <v>7835</v>
      </c>
    </row>
    <row r="7354" spans="1:3" ht="30" x14ac:dyDescent="0.25">
      <c r="A7354" s="5" t="s">
        <v>130</v>
      </c>
      <c r="B7354" s="5" t="s">
        <v>579</v>
      </c>
      <c r="C7354" s="5" t="s">
        <v>7836</v>
      </c>
    </row>
    <row r="7355" spans="1:3" ht="30" x14ac:dyDescent="0.25">
      <c r="A7355" s="5" t="s">
        <v>130</v>
      </c>
      <c r="B7355" s="5" t="s">
        <v>581</v>
      </c>
      <c r="C7355" s="5" t="s">
        <v>7837</v>
      </c>
    </row>
    <row r="7356" spans="1:3" ht="30" x14ac:dyDescent="0.25">
      <c r="A7356" s="5" t="s">
        <v>130</v>
      </c>
      <c r="B7356" s="5" t="s">
        <v>87</v>
      </c>
      <c r="C7356" s="5" t="s">
        <v>7838</v>
      </c>
    </row>
    <row r="7357" spans="1:3" ht="30" x14ac:dyDescent="0.25">
      <c r="A7357" s="5" t="s">
        <v>130</v>
      </c>
      <c r="B7357" s="5" t="s">
        <v>89</v>
      </c>
      <c r="C7357" s="5" t="s">
        <v>7839</v>
      </c>
    </row>
    <row r="7358" spans="1:3" ht="30" x14ac:dyDescent="0.25">
      <c r="A7358" s="5" t="s">
        <v>130</v>
      </c>
      <c r="B7358" s="5" t="s">
        <v>91</v>
      </c>
      <c r="C7358" s="5" t="s">
        <v>7840</v>
      </c>
    </row>
    <row r="7359" spans="1:3" ht="30" x14ac:dyDescent="0.25">
      <c r="A7359" s="5" t="s">
        <v>130</v>
      </c>
      <c r="B7359" s="5" t="s">
        <v>371</v>
      </c>
      <c r="C7359" s="5" t="s">
        <v>7841</v>
      </c>
    </row>
    <row r="7360" spans="1:3" ht="30" x14ac:dyDescent="0.25">
      <c r="A7360" s="5" t="s">
        <v>130</v>
      </c>
      <c r="B7360" s="5" t="s">
        <v>590</v>
      </c>
      <c r="C7360" s="5" t="s">
        <v>7842</v>
      </c>
    </row>
    <row r="7361" spans="1:3" ht="30" x14ac:dyDescent="0.25">
      <c r="A7361" s="5" t="s">
        <v>130</v>
      </c>
      <c r="B7361" s="5" t="s">
        <v>592</v>
      </c>
      <c r="C7361" s="5" t="s">
        <v>7843</v>
      </c>
    </row>
    <row r="7362" spans="1:3" ht="30" x14ac:dyDescent="0.25">
      <c r="A7362" s="5" t="s">
        <v>130</v>
      </c>
      <c r="B7362" s="5" t="s">
        <v>94</v>
      </c>
      <c r="C7362" s="5" t="s">
        <v>7844</v>
      </c>
    </row>
    <row r="7363" spans="1:3" ht="30" x14ac:dyDescent="0.25">
      <c r="A7363" s="5" t="s">
        <v>130</v>
      </c>
      <c r="B7363" s="5" t="s">
        <v>95</v>
      </c>
      <c r="C7363" s="5" t="s">
        <v>7845</v>
      </c>
    </row>
    <row r="7364" spans="1:3" ht="30" x14ac:dyDescent="0.25">
      <c r="A7364" s="5" t="s">
        <v>130</v>
      </c>
      <c r="B7364" s="5" t="s">
        <v>2454</v>
      </c>
      <c r="C7364" s="5" t="s">
        <v>7846</v>
      </c>
    </row>
    <row r="7365" spans="1:3" ht="30" x14ac:dyDescent="0.25">
      <c r="A7365" s="5" t="s">
        <v>130</v>
      </c>
      <c r="B7365" s="5" t="s">
        <v>1214</v>
      </c>
      <c r="C7365" s="5" t="s">
        <v>7847</v>
      </c>
    </row>
    <row r="7366" spans="1:3" ht="30" x14ac:dyDescent="0.25">
      <c r="A7366" s="5" t="s">
        <v>130</v>
      </c>
      <c r="B7366" s="5" t="s">
        <v>100</v>
      </c>
      <c r="C7366" s="5" t="s">
        <v>7848</v>
      </c>
    </row>
    <row r="7367" spans="1:3" ht="30" x14ac:dyDescent="0.25">
      <c r="A7367" s="5" t="s">
        <v>130</v>
      </c>
      <c r="B7367" s="5" t="s">
        <v>102</v>
      </c>
      <c r="C7367" s="5" t="s">
        <v>7849</v>
      </c>
    </row>
    <row r="7368" spans="1:3" ht="30" x14ac:dyDescent="0.25">
      <c r="A7368" s="5" t="s">
        <v>130</v>
      </c>
      <c r="B7368" s="5" t="s">
        <v>104</v>
      </c>
      <c r="C7368" s="5" t="s">
        <v>7850</v>
      </c>
    </row>
    <row r="7369" spans="1:3" x14ac:dyDescent="0.25">
      <c r="A7369" s="5" t="s">
        <v>130</v>
      </c>
      <c r="B7369" s="5" t="s">
        <v>106</v>
      </c>
      <c r="C7369" s="5" t="s">
        <v>7851</v>
      </c>
    </row>
    <row r="7370" spans="1:3" ht="30" x14ac:dyDescent="0.25">
      <c r="A7370" s="5" t="s">
        <v>130</v>
      </c>
      <c r="B7370" s="5" t="s">
        <v>890</v>
      </c>
      <c r="C7370" s="5" t="s">
        <v>7852</v>
      </c>
    </row>
    <row r="7371" spans="1:3" ht="30" x14ac:dyDescent="0.25">
      <c r="A7371" s="5" t="s">
        <v>130</v>
      </c>
      <c r="B7371" s="5" t="s">
        <v>111</v>
      </c>
      <c r="C7371" s="5" t="s">
        <v>7853</v>
      </c>
    </row>
    <row r="7372" spans="1:3" ht="30" x14ac:dyDescent="0.25">
      <c r="A7372" s="5" t="s">
        <v>130</v>
      </c>
      <c r="B7372" s="5" t="s">
        <v>612</v>
      </c>
      <c r="C7372" s="5" t="s">
        <v>7854</v>
      </c>
    </row>
    <row r="7373" spans="1:3" ht="30" x14ac:dyDescent="0.25">
      <c r="A7373" s="5" t="s">
        <v>130</v>
      </c>
      <c r="B7373" s="5" t="s">
        <v>4655</v>
      </c>
      <c r="C7373" s="5" t="s">
        <v>7855</v>
      </c>
    </row>
    <row r="7374" spans="1:3" ht="30" x14ac:dyDescent="0.25">
      <c r="A7374" s="5" t="s">
        <v>130</v>
      </c>
      <c r="B7374" s="5" t="s">
        <v>894</v>
      </c>
      <c r="C7374" s="5" t="s">
        <v>7856</v>
      </c>
    </row>
    <row r="7375" spans="1:3" ht="30" x14ac:dyDescent="0.25">
      <c r="A7375" s="5" t="s">
        <v>130</v>
      </c>
      <c r="B7375" s="5" t="s">
        <v>119</v>
      </c>
      <c r="C7375" s="5" t="s">
        <v>7857</v>
      </c>
    </row>
    <row r="7376" spans="1:3" ht="30" x14ac:dyDescent="0.25">
      <c r="A7376" s="5" t="s">
        <v>130</v>
      </c>
      <c r="B7376" s="5" t="s">
        <v>121</v>
      </c>
      <c r="C7376" s="5" t="s">
        <v>7858</v>
      </c>
    </row>
    <row r="7377" spans="1:3" ht="30" x14ac:dyDescent="0.25">
      <c r="A7377" s="5" t="s">
        <v>130</v>
      </c>
      <c r="B7377" s="5" t="s">
        <v>123</v>
      </c>
      <c r="C7377" s="5" t="s">
        <v>7859</v>
      </c>
    </row>
    <row r="7378" spans="1:3" ht="30" x14ac:dyDescent="0.25">
      <c r="A7378" s="5" t="s">
        <v>130</v>
      </c>
      <c r="B7378" s="5" t="s">
        <v>124</v>
      </c>
      <c r="C7378" s="5" t="s">
        <v>7860</v>
      </c>
    </row>
    <row r="7379" spans="1:3" ht="30" x14ac:dyDescent="0.25">
      <c r="A7379" s="5" t="s">
        <v>130</v>
      </c>
      <c r="B7379" s="5" t="s">
        <v>125</v>
      </c>
      <c r="C7379" s="5" t="s">
        <v>7861</v>
      </c>
    </row>
    <row r="7380" spans="1:3" ht="30" x14ac:dyDescent="0.25">
      <c r="A7380" s="5" t="s">
        <v>130</v>
      </c>
      <c r="B7380" s="5" t="s">
        <v>967</v>
      </c>
      <c r="C7380" s="5" t="s">
        <v>7862</v>
      </c>
    </row>
    <row r="7381" spans="1:3" ht="30" x14ac:dyDescent="0.25">
      <c r="A7381" s="5" t="s">
        <v>130</v>
      </c>
      <c r="B7381" s="5" t="s">
        <v>626</v>
      </c>
      <c r="C7381" s="5" t="s">
        <v>7863</v>
      </c>
    </row>
    <row r="7382" spans="1:3" ht="30" x14ac:dyDescent="0.25">
      <c r="A7382" s="5" t="s">
        <v>130</v>
      </c>
      <c r="B7382" s="5" t="s">
        <v>2493</v>
      </c>
      <c r="C7382" s="5" t="s">
        <v>7864</v>
      </c>
    </row>
    <row r="7383" spans="1:3" ht="30" x14ac:dyDescent="0.25">
      <c r="A7383" s="5" t="s">
        <v>130</v>
      </c>
      <c r="B7383" s="5" t="s">
        <v>630</v>
      </c>
      <c r="C7383" s="5" t="s">
        <v>7865</v>
      </c>
    </row>
    <row r="7384" spans="1:3" ht="30" x14ac:dyDescent="0.25">
      <c r="A7384" s="5" t="s">
        <v>130</v>
      </c>
      <c r="B7384" s="5" t="s">
        <v>128</v>
      </c>
      <c r="C7384" s="5" t="s">
        <v>7866</v>
      </c>
    </row>
    <row r="7385" spans="1:3" x14ac:dyDescent="0.25">
      <c r="A7385" s="5" t="s">
        <v>130</v>
      </c>
      <c r="B7385" s="5" t="s">
        <v>135</v>
      </c>
      <c r="C7385" s="5" t="s">
        <v>7867</v>
      </c>
    </row>
    <row r="7386" spans="1:3" ht="30" x14ac:dyDescent="0.25">
      <c r="A7386" s="5" t="s">
        <v>130</v>
      </c>
      <c r="B7386" s="5" t="s">
        <v>137</v>
      </c>
      <c r="C7386" s="5" t="s">
        <v>7868</v>
      </c>
    </row>
    <row r="7387" spans="1:3" ht="30" x14ac:dyDescent="0.25">
      <c r="A7387" s="5" t="s">
        <v>130</v>
      </c>
      <c r="B7387" s="5" t="s">
        <v>227</v>
      </c>
      <c r="C7387" s="5" t="s">
        <v>7869</v>
      </c>
    </row>
    <row r="7388" spans="1:3" x14ac:dyDescent="0.25">
      <c r="A7388" s="5" t="s">
        <v>130</v>
      </c>
      <c r="B7388" s="5" t="s">
        <v>644</v>
      </c>
      <c r="C7388" s="5" t="s">
        <v>7870</v>
      </c>
    </row>
    <row r="7389" spans="1:3" x14ac:dyDescent="0.25">
      <c r="A7389" s="5" t="s">
        <v>130</v>
      </c>
      <c r="B7389" s="5" t="s">
        <v>1413</v>
      </c>
      <c r="C7389" s="5" t="s">
        <v>7871</v>
      </c>
    </row>
    <row r="7390" spans="1:3" ht="30" x14ac:dyDescent="0.25">
      <c r="A7390" s="5" t="s">
        <v>130</v>
      </c>
      <c r="B7390" s="5" t="s">
        <v>2512</v>
      </c>
      <c r="C7390" s="5" t="s">
        <v>7872</v>
      </c>
    </row>
    <row r="7391" spans="1:3" ht="30" x14ac:dyDescent="0.25">
      <c r="A7391" s="5" t="s">
        <v>130</v>
      </c>
      <c r="B7391" s="5" t="s">
        <v>145</v>
      </c>
      <c r="C7391" s="5" t="s">
        <v>7873</v>
      </c>
    </row>
    <row r="7392" spans="1:3" ht="30" x14ac:dyDescent="0.25">
      <c r="A7392" s="5" t="s">
        <v>130</v>
      </c>
      <c r="B7392" s="5" t="s">
        <v>660</v>
      </c>
      <c r="C7392" s="5" t="s">
        <v>7874</v>
      </c>
    </row>
    <row r="7393" spans="1:3" ht="30" x14ac:dyDescent="0.25">
      <c r="A7393" s="5" t="s">
        <v>130</v>
      </c>
      <c r="B7393" s="5" t="s">
        <v>670</v>
      </c>
      <c r="C7393" s="5" t="s">
        <v>7875</v>
      </c>
    </row>
    <row r="7394" spans="1:3" x14ac:dyDescent="0.25">
      <c r="A7394" s="5" t="s">
        <v>634</v>
      </c>
      <c r="B7394" s="5" t="s">
        <v>10</v>
      </c>
      <c r="C7394" s="5" t="s">
        <v>7876</v>
      </c>
    </row>
    <row r="7395" spans="1:3" ht="30" x14ac:dyDescent="0.25">
      <c r="A7395" s="5" t="s">
        <v>634</v>
      </c>
      <c r="B7395" s="5" t="s">
        <v>13</v>
      </c>
      <c r="C7395" s="5" t="s">
        <v>7877</v>
      </c>
    </row>
    <row r="7396" spans="1:3" ht="30" x14ac:dyDescent="0.25">
      <c r="A7396" s="5" t="s">
        <v>634</v>
      </c>
      <c r="B7396" s="5" t="s">
        <v>329</v>
      </c>
      <c r="C7396" s="5" t="s">
        <v>7878</v>
      </c>
    </row>
    <row r="7397" spans="1:3" x14ac:dyDescent="0.25">
      <c r="A7397" s="5" t="s">
        <v>634</v>
      </c>
      <c r="B7397" s="5" t="s">
        <v>40</v>
      </c>
      <c r="C7397" s="5" t="s">
        <v>7879</v>
      </c>
    </row>
    <row r="7398" spans="1:3" ht="30" x14ac:dyDescent="0.25">
      <c r="A7398" s="5" t="s">
        <v>634</v>
      </c>
      <c r="B7398" s="5" t="s">
        <v>47</v>
      </c>
      <c r="C7398" s="5" t="s">
        <v>7880</v>
      </c>
    </row>
    <row r="7399" spans="1:3" ht="30" x14ac:dyDescent="0.25">
      <c r="A7399" s="5" t="s">
        <v>634</v>
      </c>
      <c r="B7399" s="5" t="s">
        <v>49</v>
      </c>
      <c r="C7399" s="5" t="s">
        <v>7881</v>
      </c>
    </row>
    <row r="7400" spans="1:3" ht="30" x14ac:dyDescent="0.25">
      <c r="A7400" s="5" t="s">
        <v>634</v>
      </c>
      <c r="B7400" s="5" t="s">
        <v>205</v>
      </c>
      <c r="C7400" s="5" t="s">
        <v>7882</v>
      </c>
    </row>
    <row r="7401" spans="1:3" x14ac:dyDescent="0.25">
      <c r="A7401" s="5" t="s">
        <v>634</v>
      </c>
      <c r="B7401" s="5" t="s">
        <v>67</v>
      </c>
      <c r="C7401" s="5" t="s">
        <v>7883</v>
      </c>
    </row>
    <row r="7402" spans="1:3" x14ac:dyDescent="0.25">
      <c r="A7402" s="5" t="s">
        <v>634</v>
      </c>
      <c r="B7402" s="5" t="s">
        <v>71</v>
      </c>
      <c r="C7402" s="5" t="s">
        <v>7884</v>
      </c>
    </row>
    <row r="7403" spans="1:3" x14ac:dyDescent="0.25">
      <c r="A7403" s="5" t="s">
        <v>634</v>
      </c>
      <c r="B7403" s="5" t="s">
        <v>73</v>
      </c>
      <c r="C7403" s="5" t="s">
        <v>7885</v>
      </c>
    </row>
    <row r="7404" spans="1:3" ht="30" x14ac:dyDescent="0.25">
      <c r="A7404" s="5" t="s">
        <v>634</v>
      </c>
      <c r="B7404" s="5" t="s">
        <v>95</v>
      </c>
      <c r="C7404" s="5" t="s">
        <v>7886</v>
      </c>
    </row>
    <row r="7405" spans="1:3" ht="30" x14ac:dyDescent="0.25">
      <c r="A7405" s="5" t="s">
        <v>634</v>
      </c>
      <c r="B7405" s="5" t="s">
        <v>185</v>
      </c>
      <c r="C7405" s="5" t="s">
        <v>7887</v>
      </c>
    </row>
    <row r="7406" spans="1:3" x14ac:dyDescent="0.25">
      <c r="A7406" s="5" t="s">
        <v>634</v>
      </c>
      <c r="B7406" s="5" t="s">
        <v>188</v>
      </c>
      <c r="C7406" s="5" t="s">
        <v>7888</v>
      </c>
    </row>
    <row r="7407" spans="1:3" x14ac:dyDescent="0.25">
      <c r="A7407" s="5" t="s">
        <v>634</v>
      </c>
      <c r="B7407" s="5" t="s">
        <v>191</v>
      </c>
      <c r="C7407" s="5" t="s">
        <v>7889</v>
      </c>
    </row>
    <row r="7408" spans="1:3" ht="30" x14ac:dyDescent="0.25">
      <c r="A7408" s="5" t="s">
        <v>634</v>
      </c>
      <c r="B7408" s="5" t="s">
        <v>668</v>
      </c>
      <c r="C7408" s="5" t="s">
        <v>7890</v>
      </c>
    </row>
    <row r="7409" spans="1:3" ht="30" x14ac:dyDescent="0.25">
      <c r="A7409" s="5" t="s">
        <v>904</v>
      </c>
      <c r="B7409" s="5" t="s">
        <v>329</v>
      </c>
      <c r="C7409" s="5" t="s">
        <v>7891</v>
      </c>
    </row>
    <row r="7410" spans="1:3" ht="30" x14ac:dyDescent="0.25">
      <c r="A7410" s="5" t="s">
        <v>904</v>
      </c>
      <c r="B7410" s="5" t="s">
        <v>47</v>
      </c>
      <c r="C7410" s="5" t="s">
        <v>7892</v>
      </c>
    </row>
    <row r="7411" spans="1:3" ht="30" x14ac:dyDescent="0.25">
      <c r="A7411" s="5" t="s">
        <v>904</v>
      </c>
      <c r="B7411" s="5" t="s">
        <v>49</v>
      </c>
      <c r="C7411" s="5" t="s">
        <v>7893</v>
      </c>
    </row>
    <row r="7412" spans="1:3" ht="30" x14ac:dyDescent="0.25">
      <c r="A7412" s="5" t="s">
        <v>904</v>
      </c>
      <c r="B7412" s="5" t="s">
        <v>73</v>
      </c>
      <c r="C7412" s="5" t="s">
        <v>7894</v>
      </c>
    </row>
    <row r="7413" spans="1:3" ht="30" x14ac:dyDescent="0.25">
      <c r="A7413" s="5" t="s">
        <v>904</v>
      </c>
      <c r="B7413" s="5" t="s">
        <v>104</v>
      </c>
      <c r="C7413" s="5" t="s">
        <v>7895</v>
      </c>
    </row>
    <row r="7414" spans="1:3" x14ac:dyDescent="0.25">
      <c r="A7414" s="5" t="s">
        <v>904</v>
      </c>
      <c r="B7414" s="5" t="s">
        <v>135</v>
      </c>
      <c r="C7414" s="5" t="s">
        <v>7896</v>
      </c>
    </row>
    <row r="7415" spans="1:3" ht="30" x14ac:dyDescent="0.25">
      <c r="A7415" s="5" t="s">
        <v>3916</v>
      </c>
      <c r="B7415" s="5" t="s">
        <v>176</v>
      </c>
      <c r="C7415" s="5" t="s">
        <v>7897</v>
      </c>
    </row>
    <row r="7416" spans="1:3" ht="30" x14ac:dyDescent="0.25">
      <c r="A7416" s="5" t="s">
        <v>3916</v>
      </c>
      <c r="B7416" s="5" t="s">
        <v>3876</v>
      </c>
      <c r="C7416" s="5" t="s">
        <v>7898</v>
      </c>
    </row>
    <row r="7417" spans="1:3" ht="30" x14ac:dyDescent="0.25">
      <c r="A7417" s="5" t="s">
        <v>3916</v>
      </c>
      <c r="B7417" s="5" t="s">
        <v>95</v>
      </c>
      <c r="C7417" s="5" t="s">
        <v>7899</v>
      </c>
    </row>
    <row r="7418" spans="1:3" ht="30" x14ac:dyDescent="0.25">
      <c r="A7418" s="5" t="s">
        <v>2500</v>
      </c>
      <c r="B7418" s="5" t="s">
        <v>47</v>
      </c>
      <c r="C7418" s="5" t="s">
        <v>7900</v>
      </c>
    </row>
    <row r="7419" spans="1:3" ht="30" x14ac:dyDescent="0.25">
      <c r="A7419" s="5" t="s">
        <v>2500</v>
      </c>
      <c r="B7419" s="5" t="s">
        <v>2374</v>
      </c>
      <c r="C7419" s="5" t="s">
        <v>7901</v>
      </c>
    </row>
    <row r="7420" spans="1:3" ht="30" x14ac:dyDescent="0.25">
      <c r="A7420" s="5" t="s">
        <v>2500</v>
      </c>
      <c r="B7420" s="5" t="s">
        <v>2478</v>
      </c>
      <c r="C7420" s="5" t="s">
        <v>7902</v>
      </c>
    </row>
    <row r="7421" spans="1:3" ht="30" x14ac:dyDescent="0.25">
      <c r="A7421" s="5" t="s">
        <v>636</v>
      </c>
      <c r="B7421" s="5" t="s">
        <v>10</v>
      </c>
      <c r="C7421" s="5" t="s">
        <v>7903</v>
      </c>
    </row>
    <row r="7422" spans="1:3" x14ac:dyDescent="0.25">
      <c r="A7422" s="5" t="s">
        <v>636</v>
      </c>
      <c r="B7422" s="5" t="s">
        <v>40</v>
      </c>
      <c r="C7422" s="5" t="s">
        <v>7904</v>
      </c>
    </row>
    <row r="7423" spans="1:3" ht="30" x14ac:dyDescent="0.25">
      <c r="A7423" s="5" t="s">
        <v>636</v>
      </c>
      <c r="B7423" s="5" t="s">
        <v>47</v>
      </c>
      <c r="C7423" s="5" t="s">
        <v>7905</v>
      </c>
    </row>
    <row r="7424" spans="1:3" ht="30" x14ac:dyDescent="0.25">
      <c r="A7424" s="5" t="s">
        <v>636</v>
      </c>
      <c r="B7424" s="5" t="s">
        <v>49</v>
      </c>
      <c r="C7424" s="5" t="s">
        <v>7906</v>
      </c>
    </row>
    <row r="7425" spans="1:3" ht="30" x14ac:dyDescent="0.25">
      <c r="A7425" s="5" t="s">
        <v>636</v>
      </c>
      <c r="B7425" s="5" t="s">
        <v>67</v>
      </c>
      <c r="C7425" s="5" t="s">
        <v>7907</v>
      </c>
    </row>
    <row r="7426" spans="1:3" ht="30" x14ac:dyDescent="0.25">
      <c r="A7426" s="5" t="s">
        <v>636</v>
      </c>
      <c r="B7426" s="5" t="s">
        <v>71</v>
      </c>
      <c r="C7426" s="5" t="s">
        <v>7908</v>
      </c>
    </row>
    <row r="7427" spans="1:3" ht="30" x14ac:dyDescent="0.25">
      <c r="A7427" s="5" t="s">
        <v>636</v>
      </c>
      <c r="B7427" s="5" t="s">
        <v>73</v>
      </c>
      <c r="C7427" s="5" t="s">
        <v>7909</v>
      </c>
    </row>
    <row r="7428" spans="1:3" ht="30" x14ac:dyDescent="0.25">
      <c r="A7428" s="5" t="s">
        <v>636</v>
      </c>
      <c r="B7428" s="5" t="s">
        <v>191</v>
      </c>
      <c r="C7428" s="5" t="s">
        <v>7910</v>
      </c>
    </row>
    <row r="7429" spans="1:3" ht="30" x14ac:dyDescent="0.25">
      <c r="A7429" s="5" t="s">
        <v>636</v>
      </c>
      <c r="B7429" s="5" t="s">
        <v>668</v>
      </c>
      <c r="C7429" s="5" t="s">
        <v>7911</v>
      </c>
    </row>
    <row r="7430" spans="1:3" x14ac:dyDescent="0.25">
      <c r="A7430" s="5" t="s">
        <v>4390</v>
      </c>
      <c r="B7430" s="5" t="s">
        <v>265</v>
      </c>
      <c r="C7430" s="5" t="s">
        <v>7912</v>
      </c>
    </row>
    <row r="7431" spans="1:3" x14ac:dyDescent="0.25">
      <c r="A7431" s="5" t="s">
        <v>4390</v>
      </c>
      <c r="B7431" s="5" t="s">
        <v>364</v>
      </c>
      <c r="C7431" s="5" t="s">
        <v>7913</v>
      </c>
    </row>
    <row r="7432" spans="1:3" x14ac:dyDescent="0.25">
      <c r="A7432" s="5" t="s">
        <v>4390</v>
      </c>
      <c r="B7432" s="5" t="s">
        <v>4385</v>
      </c>
      <c r="C7432" s="5" t="s">
        <v>7914</v>
      </c>
    </row>
    <row r="7433" spans="1:3" x14ac:dyDescent="0.25">
      <c r="A7433" s="5" t="s">
        <v>4390</v>
      </c>
      <c r="B7433" s="5" t="s">
        <v>128</v>
      </c>
      <c r="C7433" s="5" t="s">
        <v>7915</v>
      </c>
    </row>
    <row r="7434" spans="1:3" ht="30" x14ac:dyDescent="0.25">
      <c r="A7434" s="5" t="s">
        <v>131</v>
      </c>
      <c r="B7434" s="5" t="s">
        <v>2</v>
      </c>
      <c r="C7434" s="5" t="s">
        <v>7916</v>
      </c>
    </row>
    <row r="7435" spans="1:3" x14ac:dyDescent="0.25">
      <c r="A7435" s="5" t="s">
        <v>131</v>
      </c>
      <c r="B7435" s="5" t="s">
        <v>10</v>
      </c>
      <c r="C7435" s="5" t="s">
        <v>7917</v>
      </c>
    </row>
    <row r="7436" spans="1:3" x14ac:dyDescent="0.25">
      <c r="A7436" s="5" t="s">
        <v>131</v>
      </c>
      <c r="B7436" s="5" t="s">
        <v>13</v>
      </c>
      <c r="C7436" s="5" t="s">
        <v>7918</v>
      </c>
    </row>
    <row r="7437" spans="1:3" ht="30" x14ac:dyDescent="0.25">
      <c r="A7437" s="5" t="s">
        <v>131</v>
      </c>
      <c r="B7437" s="5" t="s">
        <v>425</v>
      </c>
      <c r="C7437" s="5" t="s">
        <v>7919</v>
      </c>
    </row>
    <row r="7438" spans="1:3" ht="30" x14ac:dyDescent="0.25">
      <c r="A7438" s="5" t="s">
        <v>131</v>
      </c>
      <c r="B7438" s="5" t="s">
        <v>19</v>
      </c>
      <c r="C7438" s="5" t="s">
        <v>7920</v>
      </c>
    </row>
    <row r="7439" spans="1:3" x14ac:dyDescent="0.25">
      <c r="A7439" s="5" t="s">
        <v>131</v>
      </c>
      <c r="B7439" s="5" t="s">
        <v>22</v>
      </c>
      <c r="C7439" s="5" t="s">
        <v>7921</v>
      </c>
    </row>
    <row r="7440" spans="1:3" x14ac:dyDescent="0.25">
      <c r="A7440" s="5" t="s">
        <v>131</v>
      </c>
      <c r="B7440" s="5" t="s">
        <v>24</v>
      </c>
      <c r="C7440" s="5" t="s">
        <v>7922</v>
      </c>
    </row>
    <row r="7441" spans="1:3" x14ac:dyDescent="0.25">
      <c r="A7441" s="5" t="s">
        <v>131</v>
      </c>
      <c r="B7441" s="5" t="s">
        <v>30</v>
      </c>
      <c r="C7441" s="5" t="s">
        <v>7923</v>
      </c>
    </row>
    <row r="7442" spans="1:3" x14ac:dyDescent="0.25">
      <c r="A7442" s="5" t="s">
        <v>131</v>
      </c>
      <c r="B7442" s="5" t="s">
        <v>32</v>
      </c>
      <c r="C7442" s="5" t="s">
        <v>7924</v>
      </c>
    </row>
    <row r="7443" spans="1:3" x14ac:dyDescent="0.25">
      <c r="A7443" s="5" t="s">
        <v>131</v>
      </c>
      <c r="B7443" s="5" t="s">
        <v>40</v>
      </c>
      <c r="C7443" s="5" t="s">
        <v>7925</v>
      </c>
    </row>
    <row r="7444" spans="1:3" x14ac:dyDescent="0.25">
      <c r="A7444" s="5" t="s">
        <v>131</v>
      </c>
      <c r="B7444" s="5" t="s">
        <v>462</v>
      </c>
      <c r="C7444" s="5" t="s">
        <v>7926</v>
      </c>
    </row>
    <row r="7445" spans="1:3" x14ac:dyDescent="0.25">
      <c r="A7445" s="5" t="s">
        <v>131</v>
      </c>
      <c r="B7445" s="5" t="s">
        <v>201</v>
      </c>
      <c r="C7445" s="5" t="s">
        <v>7927</v>
      </c>
    </row>
    <row r="7446" spans="1:3" x14ac:dyDescent="0.25">
      <c r="A7446" s="5" t="s">
        <v>131</v>
      </c>
      <c r="B7446" s="5" t="s">
        <v>47</v>
      </c>
      <c r="C7446" s="5" t="s">
        <v>7928</v>
      </c>
    </row>
    <row r="7447" spans="1:3" ht="30" x14ac:dyDescent="0.25">
      <c r="A7447" s="5" t="s">
        <v>131</v>
      </c>
      <c r="B7447" s="5" t="s">
        <v>49</v>
      </c>
      <c r="C7447" s="5" t="s">
        <v>7929</v>
      </c>
    </row>
    <row r="7448" spans="1:3" ht="30" x14ac:dyDescent="0.25">
      <c r="A7448" s="5" t="s">
        <v>131</v>
      </c>
      <c r="B7448" s="5" t="s">
        <v>50</v>
      </c>
      <c r="C7448" s="5" t="s">
        <v>7930</v>
      </c>
    </row>
    <row r="7449" spans="1:3" x14ac:dyDescent="0.25">
      <c r="A7449" s="5" t="s">
        <v>131</v>
      </c>
      <c r="B7449" s="5" t="s">
        <v>483</v>
      </c>
      <c r="C7449" s="5" t="s">
        <v>7931</v>
      </c>
    </row>
    <row r="7450" spans="1:3" x14ac:dyDescent="0.25">
      <c r="A7450" s="5" t="s">
        <v>131</v>
      </c>
      <c r="B7450" s="5" t="s">
        <v>848</v>
      </c>
      <c r="C7450" s="5" t="s">
        <v>7932</v>
      </c>
    </row>
    <row r="7451" spans="1:3" ht="30" x14ac:dyDescent="0.25">
      <c r="A7451" s="5" t="s">
        <v>131</v>
      </c>
      <c r="B7451" s="5" t="s">
        <v>52</v>
      </c>
      <c r="C7451" s="5" t="s">
        <v>7933</v>
      </c>
    </row>
    <row r="7452" spans="1:3" x14ac:dyDescent="0.25">
      <c r="A7452" s="5" t="s">
        <v>131</v>
      </c>
      <c r="B7452" s="5" t="s">
        <v>57</v>
      </c>
      <c r="C7452" s="5" t="s">
        <v>7934</v>
      </c>
    </row>
    <row r="7453" spans="1:3" x14ac:dyDescent="0.25">
      <c r="A7453" s="5" t="s">
        <v>131</v>
      </c>
      <c r="B7453" s="5" t="s">
        <v>505</v>
      </c>
      <c r="C7453" s="5" t="s">
        <v>7935</v>
      </c>
    </row>
    <row r="7454" spans="1:3" x14ac:dyDescent="0.25">
      <c r="A7454" s="5" t="s">
        <v>131</v>
      </c>
      <c r="B7454" s="5" t="s">
        <v>519</v>
      </c>
      <c r="C7454" s="5" t="s">
        <v>7936</v>
      </c>
    </row>
    <row r="7455" spans="1:3" x14ac:dyDescent="0.25">
      <c r="A7455" s="5" t="s">
        <v>131</v>
      </c>
      <c r="B7455" s="5" t="s">
        <v>360</v>
      </c>
      <c r="C7455" s="5" t="s">
        <v>7937</v>
      </c>
    </row>
    <row r="7456" spans="1:3" ht="30" x14ac:dyDescent="0.25">
      <c r="A7456" s="5" t="s">
        <v>131</v>
      </c>
      <c r="B7456" s="5" t="s">
        <v>205</v>
      </c>
      <c r="C7456" s="5" t="s">
        <v>7938</v>
      </c>
    </row>
    <row r="7457" spans="1:3" x14ac:dyDescent="0.25">
      <c r="A7457" s="5" t="s">
        <v>131</v>
      </c>
      <c r="B7457" s="5" t="s">
        <v>67</v>
      </c>
      <c r="C7457" s="5" t="s">
        <v>7939</v>
      </c>
    </row>
    <row r="7458" spans="1:3" x14ac:dyDescent="0.25">
      <c r="A7458" s="5" t="s">
        <v>131</v>
      </c>
      <c r="B7458" s="5" t="s">
        <v>541</v>
      </c>
      <c r="C7458" s="5" t="s">
        <v>7940</v>
      </c>
    </row>
    <row r="7459" spans="1:3" x14ac:dyDescent="0.25">
      <c r="A7459" s="5" t="s">
        <v>131</v>
      </c>
      <c r="B7459" s="5" t="s">
        <v>69</v>
      </c>
      <c r="C7459" s="5" t="s">
        <v>7941</v>
      </c>
    </row>
    <row r="7460" spans="1:3" ht="30" x14ac:dyDescent="0.25">
      <c r="A7460" s="5" t="s">
        <v>131</v>
      </c>
      <c r="B7460" s="5" t="s">
        <v>366</v>
      </c>
      <c r="C7460" s="5" t="s">
        <v>7942</v>
      </c>
    </row>
    <row r="7461" spans="1:3" x14ac:dyDescent="0.25">
      <c r="A7461" s="5" t="s">
        <v>131</v>
      </c>
      <c r="B7461" s="5" t="s">
        <v>71</v>
      </c>
      <c r="C7461" s="5" t="s">
        <v>7943</v>
      </c>
    </row>
    <row r="7462" spans="1:3" x14ac:dyDescent="0.25">
      <c r="A7462" s="5" t="s">
        <v>131</v>
      </c>
      <c r="B7462" s="5" t="s">
        <v>73</v>
      </c>
      <c r="C7462" s="5" t="s">
        <v>7944</v>
      </c>
    </row>
    <row r="7463" spans="1:3" x14ac:dyDescent="0.25">
      <c r="A7463" s="5" t="s">
        <v>131</v>
      </c>
      <c r="B7463" s="5" t="s">
        <v>742</v>
      </c>
      <c r="C7463" s="5" t="s">
        <v>7945</v>
      </c>
    </row>
    <row r="7464" spans="1:3" x14ac:dyDescent="0.25">
      <c r="A7464" s="5" t="s">
        <v>131</v>
      </c>
      <c r="B7464" s="5" t="s">
        <v>2421</v>
      </c>
      <c r="C7464" s="5" t="s">
        <v>7946</v>
      </c>
    </row>
    <row r="7465" spans="1:3" x14ac:dyDescent="0.25">
      <c r="A7465" s="5" t="s">
        <v>131</v>
      </c>
      <c r="B7465" s="5" t="s">
        <v>80</v>
      </c>
      <c r="C7465" s="5" t="s">
        <v>7947</v>
      </c>
    </row>
    <row r="7466" spans="1:3" ht="30" x14ac:dyDescent="0.25">
      <c r="A7466" s="5" t="s">
        <v>131</v>
      </c>
      <c r="B7466" s="5" t="s">
        <v>82</v>
      </c>
      <c r="C7466" s="5" t="s">
        <v>7948</v>
      </c>
    </row>
    <row r="7467" spans="1:3" ht="30" x14ac:dyDescent="0.25">
      <c r="A7467" s="5" t="s">
        <v>131</v>
      </c>
      <c r="B7467" s="5" t="s">
        <v>180</v>
      </c>
      <c r="C7467" s="5" t="s">
        <v>7949</v>
      </c>
    </row>
    <row r="7468" spans="1:3" x14ac:dyDescent="0.25">
      <c r="A7468" s="5" t="s">
        <v>131</v>
      </c>
      <c r="B7468" s="5" t="s">
        <v>84</v>
      </c>
      <c r="C7468" s="5" t="s">
        <v>7950</v>
      </c>
    </row>
    <row r="7469" spans="1:3" ht="30" x14ac:dyDescent="0.25">
      <c r="A7469" s="5" t="s">
        <v>131</v>
      </c>
      <c r="B7469" s="5" t="s">
        <v>581</v>
      </c>
      <c r="C7469" s="5" t="s">
        <v>7951</v>
      </c>
    </row>
    <row r="7470" spans="1:3" ht="30" x14ac:dyDescent="0.25">
      <c r="A7470" s="5" t="s">
        <v>131</v>
      </c>
      <c r="B7470" s="5" t="s">
        <v>87</v>
      </c>
      <c r="C7470" s="5" t="s">
        <v>7952</v>
      </c>
    </row>
    <row r="7471" spans="1:3" x14ac:dyDescent="0.25">
      <c r="A7471" s="5" t="s">
        <v>131</v>
      </c>
      <c r="B7471" s="5" t="s">
        <v>89</v>
      </c>
      <c r="C7471" s="5" t="s">
        <v>7953</v>
      </c>
    </row>
    <row r="7472" spans="1:3" ht="30" x14ac:dyDescent="0.25">
      <c r="A7472" s="5" t="s">
        <v>131</v>
      </c>
      <c r="B7472" s="5" t="s">
        <v>371</v>
      </c>
      <c r="C7472" s="5" t="s">
        <v>7954</v>
      </c>
    </row>
    <row r="7473" spans="1:3" ht="30" x14ac:dyDescent="0.25">
      <c r="A7473" s="5" t="s">
        <v>131</v>
      </c>
      <c r="B7473" s="5" t="s">
        <v>94</v>
      </c>
      <c r="C7473" s="5" t="s">
        <v>7955</v>
      </c>
    </row>
    <row r="7474" spans="1:3" ht="30" x14ac:dyDescent="0.25">
      <c r="A7474" s="5" t="s">
        <v>131</v>
      </c>
      <c r="B7474" s="5" t="s">
        <v>95</v>
      </c>
      <c r="C7474" s="5" t="s">
        <v>7956</v>
      </c>
    </row>
    <row r="7475" spans="1:3" x14ac:dyDescent="0.25">
      <c r="A7475" s="5" t="s">
        <v>131</v>
      </c>
      <c r="B7475" s="5" t="s">
        <v>1214</v>
      </c>
      <c r="C7475" s="5" t="s">
        <v>7957</v>
      </c>
    </row>
    <row r="7476" spans="1:3" x14ac:dyDescent="0.25">
      <c r="A7476" s="5" t="s">
        <v>131</v>
      </c>
      <c r="B7476" s="5" t="s">
        <v>100</v>
      </c>
      <c r="C7476" s="5" t="s">
        <v>7958</v>
      </c>
    </row>
    <row r="7477" spans="1:3" x14ac:dyDescent="0.25">
      <c r="A7477" s="5" t="s">
        <v>131</v>
      </c>
      <c r="B7477" s="5" t="s">
        <v>104</v>
      </c>
      <c r="C7477" s="5" t="s">
        <v>7959</v>
      </c>
    </row>
    <row r="7478" spans="1:3" x14ac:dyDescent="0.25">
      <c r="A7478" s="5" t="s">
        <v>131</v>
      </c>
      <c r="B7478" s="5" t="s">
        <v>111</v>
      </c>
      <c r="C7478" s="5" t="s">
        <v>7960</v>
      </c>
    </row>
    <row r="7479" spans="1:3" x14ac:dyDescent="0.25">
      <c r="A7479" s="5" t="s">
        <v>131</v>
      </c>
      <c r="B7479" s="5" t="s">
        <v>119</v>
      </c>
      <c r="C7479" s="5" t="s">
        <v>7961</v>
      </c>
    </row>
    <row r="7480" spans="1:3" ht="30" x14ac:dyDescent="0.25">
      <c r="A7480" s="5" t="s">
        <v>131</v>
      </c>
      <c r="B7480" s="5" t="s">
        <v>121</v>
      </c>
      <c r="C7480" s="5" t="s">
        <v>7962</v>
      </c>
    </row>
    <row r="7481" spans="1:3" x14ac:dyDescent="0.25">
      <c r="A7481" s="5" t="s">
        <v>131</v>
      </c>
      <c r="B7481" s="5" t="s">
        <v>124</v>
      </c>
      <c r="C7481" s="5" t="s">
        <v>7963</v>
      </c>
    </row>
    <row r="7482" spans="1:3" x14ac:dyDescent="0.25">
      <c r="A7482" s="5" t="s">
        <v>131</v>
      </c>
      <c r="B7482" s="5" t="s">
        <v>125</v>
      </c>
      <c r="C7482" s="5" t="s">
        <v>7964</v>
      </c>
    </row>
    <row r="7483" spans="1:3" x14ac:dyDescent="0.25">
      <c r="A7483" s="5" t="s">
        <v>131</v>
      </c>
      <c r="B7483" s="5" t="s">
        <v>128</v>
      </c>
      <c r="C7483" s="5" t="s">
        <v>7965</v>
      </c>
    </row>
    <row r="7484" spans="1:3" x14ac:dyDescent="0.25">
      <c r="A7484" s="5" t="s">
        <v>131</v>
      </c>
      <c r="B7484" s="5" t="s">
        <v>135</v>
      </c>
      <c r="C7484" s="5" t="s">
        <v>7966</v>
      </c>
    </row>
    <row r="7485" spans="1:3" x14ac:dyDescent="0.25">
      <c r="A7485" s="5" t="s">
        <v>131</v>
      </c>
      <c r="B7485" s="5" t="s">
        <v>227</v>
      </c>
      <c r="C7485" s="5" t="s">
        <v>7967</v>
      </c>
    </row>
    <row r="7486" spans="1:3" x14ac:dyDescent="0.25">
      <c r="A7486" s="5" t="s">
        <v>131</v>
      </c>
      <c r="B7486" s="5" t="s">
        <v>644</v>
      </c>
      <c r="C7486" s="5" t="s">
        <v>7968</v>
      </c>
    </row>
    <row r="7487" spans="1:3" x14ac:dyDescent="0.25">
      <c r="A7487" s="5" t="s">
        <v>131</v>
      </c>
      <c r="B7487" s="5" t="s">
        <v>658</v>
      </c>
      <c r="C7487" s="5" t="s">
        <v>7969</v>
      </c>
    </row>
    <row r="7488" spans="1:3" x14ac:dyDescent="0.25">
      <c r="A7488" s="5" t="s">
        <v>131</v>
      </c>
      <c r="B7488" s="5" t="s">
        <v>660</v>
      </c>
      <c r="C7488" s="5" t="s">
        <v>7970</v>
      </c>
    </row>
    <row r="7489" spans="1:3" ht="30" x14ac:dyDescent="0.25">
      <c r="A7489" s="5" t="s">
        <v>2715</v>
      </c>
      <c r="B7489" s="5" t="s">
        <v>49</v>
      </c>
      <c r="C7489" s="5" t="s">
        <v>7971</v>
      </c>
    </row>
    <row r="7490" spans="1:3" x14ac:dyDescent="0.25">
      <c r="A7490" s="5" t="s">
        <v>2715</v>
      </c>
      <c r="B7490" s="5" t="s">
        <v>67</v>
      </c>
      <c r="C7490" s="5" t="s">
        <v>7972</v>
      </c>
    </row>
    <row r="7491" spans="1:3" x14ac:dyDescent="0.25">
      <c r="A7491" s="5" t="s">
        <v>134</v>
      </c>
      <c r="B7491" s="5" t="s">
        <v>252</v>
      </c>
      <c r="C7491" s="5" t="s">
        <v>7973</v>
      </c>
    </row>
    <row r="7492" spans="1:3" x14ac:dyDescent="0.25">
      <c r="A7492" s="5" t="s">
        <v>134</v>
      </c>
      <c r="B7492" s="5" t="s">
        <v>10</v>
      </c>
      <c r="C7492" s="5" t="s">
        <v>7974</v>
      </c>
    </row>
    <row r="7493" spans="1:3" x14ac:dyDescent="0.25">
      <c r="A7493" s="5" t="s">
        <v>134</v>
      </c>
      <c r="B7493" s="5" t="s">
        <v>13</v>
      </c>
      <c r="C7493" s="5" t="s">
        <v>7975</v>
      </c>
    </row>
    <row r="7494" spans="1:3" x14ac:dyDescent="0.25">
      <c r="A7494" s="5" t="s">
        <v>134</v>
      </c>
      <c r="B7494" s="5" t="s">
        <v>16</v>
      </c>
      <c r="C7494" s="5" t="s">
        <v>7976</v>
      </c>
    </row>
    <row r="7495" spans="1:3" ht="30" x14ac:dyDescent="0.25">
      <c r="A7495" s="5" t="s">
        <v>134</v>
      </c>
      <c r="B7495" s="5" t="s">
        <v>19</v>
      </c>
      <c r="C7495" s="5" t="s">
        <v>7977</v>
      </c>
    </row>
    <row r="7496" spans="1:3" x14ac:dyDescent="0.25">
      <c r="A7496" s="5" t="s">
        <v>134</v>
      </c>
      <c r="B7496" s="5" t="s">
        <v>24</v>
      </c>
      <c r="C7496" s="5" t="s">
        <v>7978</v>
      </c>
    </row>
    <row r="7497" spans="1:3" x14ac:dyDescent="0.25">
      <c r="A7497" s="5" t="s">
        <v>134</v>
      </c>
      <c r="B7497" s="5" t="s">
        <v>29</v>
      </c>
      <c r="C7497" s="5" t="s">
        <v>7979</v>
      </c>
    </row>
    <row r="7498" spans="1:3" x14ac:dyDescent="0.25">
      <c r="A7498" s="5" t="s">
        <v>134</v>
      </c>
      <c r="B7498" s="5" t="s">
        <v>32</v>
      </c>
      <c r="C7498" s="5" t="s">
        <v>7980</v>
      </c>
    </row>
    <row r="7499" spans="1:3" x14ac:dyDescent="0.25">
      <c r="A7499" s="5" t="s">
        <v>134</v>
      </c>
      <c r="B7499" s="5" t="s">
        <v>40</v>
      </c>
      <c r="C7499" s="5" t="s">
        <v>7981</v>
      </c>
    </row>
    <row r="7500" spans="1:3" ht="30" x14ac:dyDescent="0.25">
      <c r="A7500" s="5" t="s">
        <v>134</v>
      </c>
      <c r="B7500" s="5" t="s">
        <v>462</v>
      </c>
      <c r="C7500" s="5" t="s">
        <v>7982</v>
      </c>
    </row>
    <row r="7501" spans="1:3" ht="30" x14ac:dyDescent="0.25">
      <c r="A7501" s="5" t="s">
        <v>134</v>
      </c>
      <c r="B7501" s="5" t="s">
        <v>45</v>
      </c>
      <c r="C7501" s="5" t="s">
        <v>7983</v>
      </c>
    </row>
    <row r="7502" spans="1:3" ht="30" x14ac:dyDescent="0.25">
      <c r="A7502" s="5" t="s">
        <v>134</v>
      </c>
      <c r="B7502" s="5" t="s">
        <v>49</v>
      </c>
      <c r="C7502" s="5" t="s">
        <v>7984</v>
      </c>
    </row>
    <row r="7503" spans="1:3" ht="30" x14ac:dyDescent="0.25">
      <c r="A7503" s="5" t="s">
        <v>134</v>
      </c>
      <c r="B7503" s="5" t="s">
        <v>50</v>
      </c>
      <c r="C7503" s="5" t="s">
        <v>7985</v>
      </c>
    </row>
    <row r="7504" spans="1:3" ht="30" x14ac:dyDescent="0.25">
      <c r="A7504" s="5" t="s">
        <v>134</v>
      </c>
      <c r="B7504" s="5" t="s">
        <v>52</v>
      </c>
      <c r="C7504" s="5" t="s">
        <v>7986</v>
      </c>
    </row>
    <row r="7505" spans="1:3" x14ac:dyDescent="0.25">
      <c r="A7505" s="5" t="s">
        <v>134</v>
      </c>
      <c r="B7505" s="5" t="s">
        <v>57</v>
      </c>
      <c r="C7505" s="5" t="s">
        <v>7987</v>
      </c>
    </row>
    <row r="7506" spans="1:3" ht="30" x14ac:dyDescent="0.25">
      <c r="A7506" s="5" t="s">
        <v>134</v>
      </c>
      <c r="B7506" s="5" t="s">
        <v>205</v>
      </c>
      <c r="C7506" s="5" t="s">
        <v>7988</v>
      </c>
    </row>
    <row r="7507" spans="1:3" x14ac:dyDescent="0.25">
      <c r="A7507" s="5" t="s">
        <v>134</v>
      </c>
      <c r="B7507" s="5" t="s">
        <v>176</v>
      </c>
      <c r="C7507" s="5" t="s">
        <v>7989</v>
      </c>
    </row>
    <row r="7508" spans="1:3" x14ac:dyDescent="0.25">
      <c r="A7508" s="5" t="s">
        <v>134</v>
      </c>
      <c r="B7508" s="5" t="s">
        <v>67</v>
      </c>
      <c r="C7508" s="5" t="s">
        <v>7990</v>
      </c>
    </row>
    <row r="7509" spans="1:3" x14ac:dyDescent="0.25">
      <c r="A7509" s="5" t="s">
        <v>134</v>
      </c>
      <c r="B7509" s="5" t="s">
        <v>539</v>
      </c>
      <c r="C7509" s="5" t="s">
        <v>7991</v>
      </c>
    </row>
    <row r="7510" spans="1:3" x14ac:dyDescent="0.25">
      <c r="A7510" s="5" t="s">
        <v>134</v>
      </c>
      <c r="B7510" s="5" t="s">
        <v>68</v>
      </c>
      <c r="C7510" s="5" t="s">
        <v>7992</v>
      </c>
    </row>
    <row r="7511" spans="1:3" x14ac:dyDescent="0.25">
      <c r="A7511" s="5" t="s">
        <v>134</v>
      </c>
      <c r="B7511" s="5" t="s">
        <v>69</v>
      </c>
      <c r="C7511" s="5" t="s">
        <v>7993</v>
      </c>
    </row>
    <row r="7512" spans="1:3" x14ac:dyDescent="0.25">
      <c r="A7512" s="5" t="s">
        <v>134</v>
      </c>
      <c r="B7512" s="5" t="s">
        <v>74</v>
      </c>
      <c r="C7512" s="5" t="s">
        <v>7994</v>
      </c>
    </row>
    <row r="7513" spans="1:3" ht="30" x14ac:dyDescent="0.25">
      <c r="A7513" s="5" t="s">
        <v>134</v>
      </c>
      <c r="B7513" s="5" t="s">
        <v>82</v>
      </c>
      <c r="C7513" s="5" t="s">
        <v>7995</v>
      </c>
    </row>
    <row r="7514" spans="1:3" ht="30" x14ac:dyDescent="0.25">
      <c r="A7514" s="5" t="s">
        <v>134</v>
      </c>
      <c r="B7514" s="5" t="s">
        <v>180</v>
      </c>
      <c r="C7514" s="5" t="s">
        <v>7996</v>
      </c>
    </row>
    <row r="7515" spans="1:3" x14ac:dyDescent="0.25">
      <c r="A7515" s="5" t="s">
        <v>134</v>
      </c>
      <c r="B7515" s="5" t="s">
        <v>84</v>
      </c>
      <c r="C7515" s="5" t="s">
        <v>7997</v>
      </c>
    </row>
    <row r="7516" spans="1:3" ht="30" x14ac:dyDescent="0.25">
      <c r="A7516" s="5" t="s">
        <v>134</v>
      </c>
      <c r="B7516" s="5" t="s">
        <v>87</v>
      </c>
      <c r="C7516" s="5" t="s">
        <v>7998</v>
      </c>
    </row>
    <row r="7517" spans="1:3" ht="30" x14ac:dyDescent="0.25">
      <c r="A7517" s="5" t="s">
        <v>134</v>
      </c>
      <c r="B7517" s="5" t="s">
        <v>95</v>
      </c>
      <c r="C7517" s="5" t="s">
        <v>7999</v>
      </c>
    </row>
    <row r="7518" spans="1:3" x14ac:dyDescent="0.25">
      <c r="A7518" s="5" t="s">
        <v>134</v>
      </c>
      <c r="B7518" s="5" t="s">
        <v>102</v>
      </c>
      <c r="C7518" s="5" t="s">
        <v>8000</v>
      </c>
    </row>
    <row r="7519" spans="1:3" x14ac:dyDescent="0.25">
      <c r="A7519" s="5" t="s">
        <v>134</v>
      </c>
      <c r="B7519" s="5" t="s">
        <v>106</v>
      </c>
      <c r="C7519" s="5" t="s">
        <v>8001</v>
      </c>
    </row>
    <row r="7520" spans="1:3" ht="30" x14ac:dyDescent="0.25">
      <c r="A7520" s="5" t="s">
        <v>134</v>
      </c>
      <c r="B7520" s="5" t="s">
        <v>119</v>
      </c>
      <c r="C7520" s="5" t="s">
        <v>8002</v>
      </c>
    </row>
    <row r="7521" spans="1:3" x14ac:dyDescent="0.25">
      <c r="A7521" s="5" t="s">
        <v>134</v>
      </c>
      <c r="B7521" s="5" t="s">
        <v>191</v>
      </c>
      <c r="C7521" s="5" t="s">
        <v>8003</v>
      </c>
    </row>
    <row r="7522" spans="1:3" x14ac:dyDescent="0.25">
      <c r="A7522" s="5" t="s">
        <v>134</v>
      </c>
      <c r="B7522" s="5" t="s">
        <v>644</v>
      </c>
      <c r="C7522" s="5" t="s">
        <v>8004</v>
      </c>
    </row>
    <row r="7523" spans="1:3" x14ac:dyDescent="0.25">
      <c r="A7523" s="5" t="s">
        <v>134</v>
      </c>
      <c r="B7523" s="5" t="s">
        <v>140</v>
      </c>
      <c r="C7523" s="5" t="s">
        <v>8005</v>
      </c>
    </row>
    <row r="7524" spans="1:3" x14ac:dyDescent="0.25">
      <c r="A7524" s="5" t="s">
        <v>134</v>
      </c>
      <c r="B7524" s="5" t="s">
        <v>647</v>
      </c>
      <c r="C7524" s="5" t="s">
        <v>8006</v>
      </c>
    </row>
    <row r="7525" spans="1:3" x14ac:dyDescent="0.25">
      <c r="A7525" s="5" t="s">
        <v>134</v>
      </c>
      <c r="B7525" s="5" t="s">
        <v>145</v>
      </c>
      <c r="C7525" s="5" t="s">
        <v>8007</v>
      </c>
    </row>
    <row r="7526" spans="1:3" ht="30" x14ac:dyDescent="0.25">
      <c r="A7526" s="5" t="s">
        <v>135</v>
      </c>
      <c r="B7526" s="5" t="s">
        <v>2</v>
      </c>
      <c r="C7526" s="5" t="s">
        <v>8008</v>
      </c>
    </row>
    <row r="7527" spans="1:3" ht="30" x14ac:dyDescent="0.25">
      <c r="A7527" s="5" t="s">
        <v>135</v>
      </c>
      <c r="B7527" s="5" t="s">
        <v>265</v>
      </c>
      <c r="C7527" s="5" t="s">
        <v>8009</v>
      </c>
    </row>
    <row r="7528" spans="1:3" x14ac:dyDescent="0.25">
      <c r="A7528" s="5" t="s">
        <v>135</v>
      </c>
      <c r="B7528" s="5" t="s">
        <v>393</v>
      </c>
      <c r="C7528" s="5" t="s">
        <v>8010</v>
      </c>
    </row>
    <row r="7529" spans="1:3" x14ac:dyDescent="0.25">
      <c r="A7529" s="5" t="s">
        <v>135</v>
      </c>
      <c r="B7529" s="5" t="s">
        <v>10</v>
      </c>
      <c r="C7529" s="5" t="s">
        <v>8011</v>
      </c>
    </row>
    <row r="7530" spans="1:3" x14ac:dyDescent="0.25">
      <c r="A7530" s="5" t="s">
        <v>135</v>
      </c>
      <c r="B7530" s="5" t="s">
        <v>13</v>
      </c>
      <c r="C7530" s="5" t="s">
        <v>8012</v>
      </c>
    </row>
    <row r="7531" spans="1:3" x14ac:dyDescent="0.25">
      <c r="A7531" s="5" t="s">
        <v>135</v>
      </c>
      <c r="B7531" s="5" t="s">
        <v>836</v>
      </c>
      <c r="C7531" s="5" t="s">
        <v>8013</v>
      </c>
    </row>
    <row r="7532" spans="1:3" ht="30" x14ac:dyDescent="0.25">
      <c r="A7532" s="5" t="s">
        <v>135</v>
      </c>
      <c r="B7532" s="5" t="s">
        <v>19</v>
      </c>
      <c r="C7532" s="5" t="s">
        <v>8014</v>
      </c>
    </row>
    <row r="7533" spans="1:3" x14ac:dyDescent="0.25">
      <c r="A7533" s="5" t="s">
        <v>135</v>
      </c>
      <c r="B7533" s="5" t="s">
        <v>22</v>
      </c>
      <c r="C7533" s="5" t="s">
        <v>8015</v>
      </c>
    </row>
    <row r="7534" spans="1:3" x14ac:dyDescent="0.25">
      <c r="A7534" s="5" t="s">
        <v>135</v>
      </c>
      <c r="B7534" s="5" t="s">
        <v>24</v>
      </c>
      <c r="C7534" s="5" t="s">
        <v>8016</v>
      </c>
    </row>
    <row r="7535" spans="1:3" ht="30" x14ac:dyDescent="0.25">
      <c r="A7535" s="5" t="s">
        <v>135</v>
      </c>
      <c r="B7535" s="5" t="s">
        <v>1334</v>
      </c>
      <c r="C7535" s="5" t="s">
        <v>8017</v>
      </c>
    </row>
    <row r="7536" spans="1:3" x14ac:dyDescent="0.25">
      <c r="A7536" s="5" t="s">
        <v>135</v>
      </c>
      <c r="B7536" s="5" t="s">
        <v>30</v>
      </c>
      <c r="C7536" s="5" t="s">
        <v>8018</v>
      </c>
    </row>
    <row r="7537" spans="1:3" x14ac:dyDescent="0.25">
      <c r="A7537" s="5" t="s">
        <v>135</v>
      </c>
      <c r="B7537" s="5" t="s">
        <v>32</v>
      </c>
      <c r="C7537" s="5" t="s">
        <v>8019</v>
      </c>
    </row>
    <row r="7538" spans="1:3" x14ac:dyDescent="0.25">
      <c r="A7538" s="5" t="s">
        <v>135</v>
      </c>
      <c r="B7538" s="5" t="s">
        <v>34</v>
      </c>
      <c r="C7538" s="5" t="s">
        <v>8020</v>
      </c>
    </row>
    <row r="7539" spans="1:3" x14ac:dyDescent="0.25">
      <c r="A7539" s="5" t="s">
        <v>135</v>
      </c>
      <c r="B7539" s="5" t="s">
        <v>1556</v>
      </c>
      <c r="C7539" s="5" t="s">
        <v>8021</v>
      </c>
    </row>
    <row r="7540" spans="1:3" x14ac:dyDescent="0.25">
      <c r="A7540" s="5" t="s">
        <v>135</v>
      </c>
      <c r="B7540" s="5" t="s">
        <v>38</v>
      </c>
      <c r="C7540" s="5" t="s">
        <v>8022</v>
      </c>
    </row>
    <row r="7541" spans="1:3" x14ac:dyDescent="0.25">
      <c r="A7541" s="5" t="s">
        <v>135</v>
      </c>
      <c r="B7541" s="5" t="s">
        <v>40</v>
      </c>
      <c r="C7541" s="5" t="s">
        <v>8023</v>
      </c>
    </row>
    <row r="7542" spans="1:3" ht="30" x14ac:dyDescent="0.25">
      <c r="A7542" s="5" t="s">
        <v>135</v>
      </c>
      <c r="B7542" s="5" t="s">
        <v>454</v>
      </c>
      <c r="C7542" s="5" t="s">
        <v>8024</v>
      </c>
    </row>
    <row r="7543" spans="1:3" x14ac:dyDescent="0.25">
      <c r="A7543" s="5" t="s">
        <v>135</v>
      </c>
      <c r="B7543" s="5" t="s">
        <v>1949</v>
      </c>
      <c r="C7543" s="5" t="s">
        <v>8025</v>
      </c>
    </row>
    <row r="7544" spans="1:3" ht="30" x14ac:dyDescent="0.25">
      <c r="A7544" s="5" t="s">
        <v>135</v>
      </c>
      <c r="B7544" s="5" t="s">
        <v>1027</v>
      </c>
      <c r="C7544" s="5" t="s">
        <v>8026</v>
      </c>
    </row>
    <row r="7545" spans="1:3" x14ac:dyDescent="0.25">
      <c r="A7545" s="5" t="s">
        <v>135</v>
      </c>
      <c r="B7545" s="5" t="s">
        <v>456</v>
      </c>
      <c r="C7545" s="5" t="s">
        <v>8027</v>
      </c>
    </row>
    <row r="7546" spans="1:3" x14ac:dyDescent="0.25">
      <c r="A7546" s="5" t="s">
        <v>135</v>
      </c>
      <c r="B7546" s="5" t="s">
        <v>1981</v>
      </c>
      <c r="C7546" s="5" t="s">
        <v>8028</v>
      </c>
    </row>
    <row r="7547" spans="1:3" ht="30" x14ac:dyDescent="0.25">
      <c r="A7547" s="5" t="s">
        <v>135</v>
      </c>
      <c r="B7547" s="5" t="s">
        <v>462</v>
      </c>
      <c r="C7547" s="5" t="s">
        <v>8029</v>
      </c>
    </row>
    <row r="7548" spans="1:3" x14ac:dyDescent="0.25">
      <c r="A7548" s="5" t="s">
        <v>135</v>
      </c>
      <c r="B7548" s="5" t="s">
        <v>201</v>
      </c>
      <c r="C7548" s="5" t="s">
        <v>8030</v>
      </c>
    </row>
    <row r="7549" spans="1:3" ht="30" x14ac:dyDescent="0.25">
      <c r="A7549" s="5" t="s">
        <v>135</v>
      </c>
      <c r="B7549" s="5" t="s">
        <v>45</v>
      </c>
      <c r="C7549" s="5" t="s">
        <v>8031</v>
      </c>
    </row>
    <row r="7550" spans="1:3" ht="30" x14ac:dyDescent="0.25">
      <c r="A7550" s="5" t="s">
        <v>135</v>
      </c>
      <c r="B7550" s="5" t="s">
        <v>47</v>
      </c>
      <c r="C7550" s="5" t="s">
        <v>8032</v>
      </c>
    </row>
    <row r="7551" spans="1:3" ht="30" x14ac:dyDescent="0.25">
      <c r="A7551" s="5" t="s">
        <v>135</v>
      </c>
      <c r="B7551" s="5" t="s">
        <v>49</v>
      </c>
      <c r="C7551" s="5" t="s">
        <v>8033</v>
      </c>
    </row>
    <row r="7552" spans="1:3" ht="30" x14ac:dyDescent="0.25">
      <c r="A7552" s="5" t="s">
        <v>135</v>
      </c>
      <c r="B7552" s="5" t="s">
        <v>2350</v>
      </c>
      <c r="C7552" s="5" t="s">
        <v>8034</v>
      </c>
    </row>
    <row r="7553" spans="1:3" ht="30" x14ac:dyDescent="0.25">
      <c r="A7553" s="5" t="s">
        <v>135</v>
      </c>
      <c r="B7553" s="5" t="s">
        <v>474</v>
      </c>
      <c r="C7553" s="5" t="s">
        <v>8035</v>
      </c>
    </row>
    <row r="7554" spans="1:3" ht="30" x14ac:dyDescent="0.25">
      <c r="A7554" s="5" t="s">
        <v>135</v>
      </c>
      <c r="B7554" s="5" t="s">
        <v>50</v>
      </c>
      <c r="C7554" s="5" t="s">
        <v>8036</v>
      </c>
    </row>
    <row r="7555" spans="1:3" x14ac:dyDescent="0.25">
      <c r="A7555" s="5" t="s">
        <v>135</v>
      </c>
      <c r="B7555" s="5" t="s">
        <v>479</v>
      </c>
      <c r="C7555" s="5" t="s">
        <v>8037</v>
      </c>
    </row>
    <row r="7556" spans="1:3" x14ac:dyDescent="0.25">
      <c r="A7556" s="5" t="s">
        <v>135</v>
      </c>
      <c r="B7556" s="5" t="s">
        <v>2982</v>
      </c>
      <c r="C7556" s="5" t="s">
        <v>8038</v>
      </c>
    </row>
    <row r="7557" spans="1:3" x14ac:dyDescent="0.25">
      <c r="A7557" s="5" t="s">
        <v>135</v>
      </c>
      <c r="B7557" s="5" t="s">
        <v>483</v>
      </c>
      <c r="C7557" s="5" t="s">
        <v>8039</v>
      </c>
    </row>
    <row r="7558" spans="1:3" x14ac:dyDescent="0.25">
      <c r="A7558" s="5" t="s">
        <v>135</v>
      </c>
      <c r="B7558" s="5" t="s">
        <v>848</v>
      </c>
      <c r="C7558" s="5" t="s">
        <v>8040</v>
      </c>
    </row>
    <row r="7559" spans="1:3" ht="30" x14ac:dyDescent="0.25">
      <c r="A7559" s="5" t="s">
        <v>135</v>
      </c>
      <c r="B7559" s="5" t="s">
        <v>52</v>
      </c>
      <c r="C7559" s="5" t="s">
        <v>8041</v>
      </c>
    </row>
    <row r="7560" spans="1:3" x14ac:dyDescent="0.25">
      <c r="A7560" s="5" t="s">
        <v>135</v>
      </c>
      <c r="B7560" s="5" t="s">
        <v>358</v>
      </c>
      <c r="C7560" s="5" t="s">
        <v>8042</v>
      </c>
    </row>
    <row r="7561" spans="1:3" x14ac:dyDescent="0.25">
      <c r="A7561" s="5" t="s">
        <v>135</v>
      </c>
      <c r="B7561" s="5" t="s">
        <v>2365</v>
      </c>
      <c r="C7561" s="5" t="s">
        <v>8043</v>
      </c>
    </row>
    <row r="7562" spans="1:3" x14ac:dyDescent="0.25">
      <c r="A7562" s="5" t="s">
        <v>135</v>
      </c>
      <c r="B7562" s="5" t="s">
        <v>56</v>
      </c>
      <c r="C7562" s="5" t="s">
        <v>8044</v>
      </c>
    </row>
    <row r="7563" spans="1:3" x14ac:dyDescent="0.25">
      <c r="A7563" s="5" t="s">
        <v>135</v>
      </c>
      <c r="B7563" s="5" t="s">
        <v>57</v>
      </c>
      <c r="C7563" s="5" t="s">
        <v>8045</v>
      </c>
    </row>
    <row r="7564" spans="1:3" x14ac:dyDescent="0.25">
      <c r="A7564" s="5" t="s">
        <v>135</v>
      </c>
      <c r="B7564" s="5" t="s">
        <v>505</v>
      </c>
      <c r="C7564" s="5" t="s">
        <v>8046</v>
      </c>
    </row>
    <row r="7565" spans="1:3" x14ac:dyDescent="0.25">
      <c r="A7565" s="5" t="s">
        <v>135</v>
      </c>
      <c r="B7565" s="5" t="s">
        <v>858</v>
      </c>
      <c r="C7565" s="5" t="s">
        <v>8047</v>
      </c>
    </row>
    <row r="7566" spans="1:3" x14ac:dyDescent="0.25">
      <c r="A7566" s="5" t="s">
        <v>135</v>
      </c>
      <c r="B7566" s="5" t="s">
        <v>863</v>
      </c>
      <c r="C7566" s="5" t="s">
        <v>8048</v>
      </c>
    </row>
    <row r="7567" spans="1:3" x14ac:dyDescent="0.25">
      <c r="A7567" s="5" t="s">
        <v>135</v>
      </c>
      <c r="B7567" s="5" t="s">
        <v>2386</v>
      </c>
      <c r="C7567" s="5" t="s">
        <v>8049</v>
      </c>
    </row>
    <row r="7568" spans="1:3" x14ac:dyDescent="0.25">
      <c r="A7568" s="5" t="s">
        <v>135</v>
      </c>
      <c r="B7568" s="5" t="s">
        <v>360</v>
      </c>
      <c r="C7568" s="5" t="s">
        <v>8050</v>
      </c>
    </row>
    <row r="7569" spans="1:3" ht="30" x14ac:dyDescent="0.25">
      <c r="A7569" s="5" t="s">
        <v>135</v>
      </c>
      <c r="B7569" s="5" t="s">
        <v>205</v>
      </c>
      <c r="C7569" s="5" t="s">
        <v>8051</v>
      </c>
    </row>
    <row r="7570" spans="1:3" x14ac:dyDescent="0.25">
      <c r="A7570" s="5" t="s">
        <v>135</v>
      </c>
      <c r="B7570" s="5" t="s">
        <v>176</v>
      </c>
      <c r="C7570" s="5" t="s">
        <v>8052</v>
      </c>
    </row>
    <row r="7571" spans="1:3" x14ac:dyDescent="0.25">
      <c r="A7571" s="5" t="s">
        <v>135</v>
      </c>
      <c r="B7571" s="5" t="s">
        <v>67</v>
      </c>
      <c r="C7571" s="5" t="s">
        <v>8053</v>
      </c>
    </row>
    <row r="7572" spans="1:3" x14ac:dyDescent="0.25">
      <c r="A7572" s="5" t="s">
        <v>135</v>
      </c>
      <c r="B7572" s="5" t="s">
        <v>867</v>
      </c>
      <c r="C7572" s="5" t="s">
        <v>8054</v>
      </c>
    </row>
    <row r="7573" spans="1:3" x14ac:dyDescent="0.25">
      <c r="A7573" s="5" t="s">
        <v>135</v>
      </c>
      <c r="B7573" s="5" t="s">
        <v>537</v>
      </c>
      <c r="C7573" s="5" t="s">
        <v>8055</v>
      </c>
    </row>
    <row r="7574" spans="1:3" x14ac:dyDescent="0.25">
      <c r="A7574" s="5" t="s">
        <v>135</v>
      </c>
      <c r="B7574" s="5" t="s">
        <v>541</v>
      </c>
      <c r="C7574" s="5" t="s">
        <v>8056</v>
      </c>
    </row>
    <row r="7575" spans="1:3" x14ac:dyDescent="0.25">
      <c r="A7575" s="5" t="s">
        <v>135</v>
      </c>
      <c r="B7575" s="5" t="s">
        <v>69</v>
      </c>
      <c r="C7575" s="5" t="s">
        <v>8057</v>
      </c>
    </row>
    <row r="7576" spans="1:3" x14ac:dyDescent="0.25">
      <c r="A7576" s="5" t="s">
        <v>135</v>
      </c>
      <c r="B7576" s="5" t="s">
        <v>71</v>
      </c>
      <c r="C7576" s="5" t="s">
        <v>8058</v>
      </c>
    </row>
    <row r="7577" spans="1:3" x14ac:dyDescent="0.25">
      <c r="A7577" s="5" t="s">
        <v>135</v>
      </c>
      <c r="B7577" s="5" t="s">
        <v>73</v>
      </c>
      <c r="C7577" s="5" t="s">
        <v>8059</v>
      </c>
    </row>
    <row r="7578" spans="1:3" x14ac:dyDescent="0.25">
      <c r="A7578" s="5" t="s">
        <v>135</v>
      </c>
      <c r="B7578" s="5" t="s">
        <v>742</v>
      </c>
      <c r="C7578" s="5" t="s">
        <v>8060</v>
      </c>
    </row>
    <row r="7579" spans="1:3" ht="30" x14ac:dyDescent="0.25">
      <c r="A7579" s="5" t="s">
        <v>135</v>
      </c>
      <c r="B7579" s="5" t="s">
        <v>1208</v>
      </c>
      <c r="C7579" s="5" t="s">
        <v>8061</v>
      </c>
    </row>
    <row r="7580" spans="1:3" x14ac:dyDescent="0.25">
      <c r="A7580" s="5" t="s">
        <v>135</v>
      </c>
      <c r="B7580" s="5" t="s">
        <v>80</v>
      </c>
      <c r="C7580" s="5" t="s">
        <v>8062</v>
      </c>
    </row>
    <row r="7581" spans="1:3" ht="30" x14ac:dyDescent="0.25">
      <c r="A7581" s="5" t="s">
        <v>135</v>
      </c>
      <c r="B7581" s="5" t="s">
        <v>82</v>
      </c>
      <c r="C7581" s="5" t="s">
        <v>8063</v>
      </c>
    </row>
    <row r="7582" spans="1:3" ht="30" x14ac:dyDescent="0.25">
      <c r="A7582" s="5" t="s">
        <v>135</v>
      </c>
      <c r="B7582" s="5" t="s">
        <v>180</v>
      </c>
      <c r="C7582" s="5" t="s">
        <v>8064</v>
      </c>
    </row>
    <row r="7583" spans="1:3" ht="30" x14ac:dyDescent="0.25">
      <c r="A7583" s="5" t="s">
        <v>135</v>
      </c>
      <c r="B7583" s="5" t="s">
        <v>563</v>
      </c>
      <c r="C7583" s="5" t="s">
        <v>8065</v>
      </c>
    </row>
    <row r="7584" spans="1:3" ht="30" x14ac:dyDescent="0.25">
      <c r="A7584" s="5" t="s">
        <v>135</v>
      </c>
      <c r="B7584" s="5" t="s">
        <v>875</v>
      </c>
      <c r="C7584" s="5" t="s">
        <v>8066</v>
      </c>
    </row>
    <row r="7585" spans="1:3" x14ac:dyDescent="0.25">
      <c r="A7585" s="5" t="s">
        <v>135</v>
      </c>
      <c r="B7585" s="5" t="s">
        <v>84</v>
      </c>
      <c r="C7585" s="5" t="s">
        <v>8067</v>
      </c>
    </row>
    <row r="7586" spans="1:3" ht="30" x14ac:dyDescent="0.25">
      <c r="A7586" s="5" t="s">
        <v>135</v>
      </c>
      <c r="B7586" s="5" t="s">
        <v>85</v>
      </c>
      <c r="C7586" s="5" t="s">
        <v>8068</v>
      </c>
    </row>
    <row r="7587" spans="1:3" ht="30" x14ac:dyDescent="0.25">
      <c r="A7587" s="5" t="s">
        <v>135</v>
      </c>
      <c r="B7587" s="5" t="s">
        <v>579</v>
      </c>
      <c r="C7587" s="5" t="s">
        <v>8069</v>
      </c>
    </row>
    <row r="7588" spans="1:3" ht="30" x14ac:dyDescent="0.25">
      <c r="A7588" s="5" t="s">
        <v>135</v>
      </c>
      <c r="B7588" s="5" t="s">
        <v>581</v>
      </c>
      <c r="C7588" s="5" t="s">
        <v>8070</v>
      </c>
    </row>
    <row r="7589" spans="1:3" ht="30" x14ac:dyDescent="0.25">
      <c r="A7589" s="5" t="s">
        <v>135</v>
      </c>
      <c r="B7589" s="5" t="s">
        <v>87</v>
      </c>
      <c r="C7589" s="5" t="s">
        <v>8071</v>
      </c>
    </row>
    <row r="7590" spans="1:3" ht="30" x14ac:dyDescent="0.25">
      <c r="A7590" s="5" t="s">
        <v>135</v>
      </c>
      <c r="B7590" s="5" t="s">
        <v>89</v>
      </c>
      <c r="C7590" s="5" t="s">
        <v>8072</v>
      </c>
    </row>
    <row r="7591" spans="1:3" x14ac:dyDescent="0.25">
      <c r="A7591" s="5" t="s">
        <v>135</v>
      </c>
      <c r="B7591" s="5" t="s">
        <v>91</v>
      </c>
      <c r="C7591" s="5" t="s">
        <v>8073</v>
      </c>
    </row>
    <row r="7592" spans="1:3" ht="30" x14ac:dyDescent="0.25">
      <c r="A7592" s="5" t="s">
        <v>135</v>
      </c>
      <c r="B7592" s="5" t="s">
        <v>215</v>
      </c>
      <c r="C7592" s="5" t="s">
        <v>8074</v>
      </c>
    </row>
    <row r="7593" spans="1:3" ht="30" x14ac:dyDescent="0.25">
      <c r="A7593" s="5" t="s">
        <v>135</v>
      </c>
      <c r="B7593" s="5" t="s">
        <v>371</v>
      </c>
      <c r="C7593" s="5" t="s">
        <v>8075</v>
      </c>
    </row>
    <row r="7594" spans="1:3" ht="30" x14ac:dyDescent="0.25">
      <c r="A7594" s="5" t="s">
        <v>135</v>
      </c>
      <c r="B7594" s="5" t="s">
        <v>590</v>
      </c>
      <c r="C7594" s="5" t="s">
        <v>8076</v>
      </c>
    </row>
    <row r="7595" spans="1:3" ht="30" x14ac:dyDescent="0.25">
      <c r="A7595" s="5" t="s">
        <v>135</v>
      </c>
      <c r="B7595" s="5" t="s">
        <v>592</v>
      </c>
      <c r="C7595" s="5" t="s">
        <v>8077</v>
      </c>
    </row>
    <row r="7596" spans="1:3" ht="30" x14ac:dyDescent="0.25">
      <c r="A7596" s="5" t="s">
        <v>135</v>
      </c>
      <c r="B7596" s="5" t="s">
        <v>94</v>
      </c>
      <c r="C7596" s="5" t="s">
        <v>8078</v>
      </c>
    </row>
    <row r="7597" spans="1:3" ht="30" x14ac:dyDescent="0.25">
      <c r="A7597" s="5" t="s">
        <v>135</v>
      </c>
      <c r="B7597" s="5" t="s">
        <v>95</v>
      </c>
      <c r="C7597" s="5" t="s">
        <v>8079</v>
      </c>
    </row>
    <row r="7598" spans="1:3" x14ac:dyDescent="0.25">
      <c r="A7598" s="5" t="s">
        <v>135</v>
      </c>
      <c r="B7598" s="5" t="s">
        <v>100</v>
      </c>
      <c r="C7598" s="5" t="s">
        <v>8080</v>
      </c>
    </row>
    <row r="7599" spans="1:3" x14ac:dyDescent="0.25">
      <c r="A7599" s="5" t="s">
        <v>135</v>
      </c>
      <c r="B7599" s="5" t="s">
        <v>102</v>
      </c>
      <c r="C7599" s="5" t="s">
        <v>8081</v>
      </c>
    </row>
    <row r="7600" spans="1:3" x14ac:dyDescent="0.25">
      <c r="A7600" s="5" t="s">
        <v>135</v>
      </c>
      <c r="B7600" s="5" t="s">
        <v>104</v>
      </c>
      <c r="C7600" s="5" t="s">
        <v>8082</v>
      </c>
    </row>
    <row r="7601" spans="1:3" x14ac:dyDescent="0.25">
      <c r="A7601" s="5" t="s">
        <v>135</v>
      </c>
      <c r="B7601" s="5" t="s">
        <v>6791</v>
      </c>
      <c r="C7601" s="5" t="s">
        <v>8083</v>
      </c>
    </row>
    <row r="7602" spans="1:3" x14ac:dyDescent="0.25">
      <c r="A7602" s="5" t="s">
        <v>135</v>
      </c>
      <c r="B7602" s="5" t="s">
        <v>106</v>
      </c>
      <c r="C7602" s="5" t="s">
        <v>8084</v>
      </c>
    </row>
    <row r="7603" spans="1:3" x14ac:dyDescent="0.25">
      <c r="A7603" s="5" t="s">
        <v>135</v>
      </c>
      <c r="B7603" s="5" t="s">
        <v>890</v>
      </c>
      <c r="C7603" s="5" t="s">
        <v>8085</v>
      </c>
    </row>
    <row r="7604" spans="1:3" x14ac:dyDescent="0.25">
      <c r="A7604" s="5" t="s">
        <v>135</v>
      </c>
      <c r="B7604" s="5" t="s">
        <v>111</v>
      </c>
      <c r="C7604" s="5" t="s">
        <v>8086</v>
      </c>
    </row>
    <row r="7605" spans="1:3" x14ac:dyDescent="0.25">
      <c r="A7605" s="5" t="s">
        <v>135</v>
      </c>
      <c r="B7605" s="5" t="s">
        <v>612</v>
      </c>
      <c r="C7605" s="5" t="s">
        <v>8087</v>
      </c>
    </row>
    <row r="7606" spans="1:3" ht="30" x14ac:dyDescent="0.25">
      <c r="A7606" s="5" t="s">
        <v>135</v>
      </c>
      <c r="B7606" s="5" t="s">
        <v>894</v>
      </c>
      <c r="C7606" s="5" t="s">
        <v>8088</v>
      </c>
    </row>
    <row r="7607" spans="1:3" ht="30" x14ac:dyDescent="0.25">
      <c r="A7607" s="5" t="s">
        <v>135</v>
      </c>
      <c r="B7607" s="5" t="s">
        <v>119</v>
      </c>
      <c r="C7607" s="5" t="s">
        <v>8089</v>
      </c>
    </row>
    <row r="7608" spans="1:3" ht="30" x14ac:dyDescent="0.25">
      <c r="A7608" s="5" t="s">
        <v>135</v>
      </c>
      <c r="B7608" s="5" t="s">
        <v>121</v>
      </c>
      <c r="C7608" s="5" t="s">
        <v>8090</v>
      </c>
    </row>
    <row r="7609" spans="1:3" ht="30" x14ac:dyDescent="0.25">
      <c r="A7609" s="5" t="s">
        <v>135</v>
      </c>
      <c r="B7609" s="5" t="s">
        <v>123</v>
      </c>
      <c r="C7609" s="5" t="s">
        <v>8091</v>
      </c>
    </row>
    <row r="7610" spans="1:3" ht="30" x14ac:dyDescent="0.25">
      <c r="A7610" s="5" t="s">
        <v>135</v>
      </c>
      <c r="B7610" s="5" t="s">
        <v>124</v>
      </c>
      <c r="C7610" s="5" t="s">
        <v>8092</v>
      </c>
    </row>
    <row r="7611" spans="1:3" x14ac:dyDescent="0.25">
      <c r="A7611" s="5" t="s">
        <v>135</v>
      </c>
      <c r="B7611" s="5" t="s">
        <v>125</v>
      </c>
      <c r="C7611" s="5" t="s">
        <v>8093</v>
      </c>
    </row>
    <row r="7612" spans="1:3" x14ac:dyDescent="0.25">
      <c r="A7612" s="5" t="s">
        <v>135</v>
      </c>
      <c r="B7612" s="5" t="s">
        <v>967</v>
      </c>
      <c r="C7612" s="5" t="s">
        <v>8094</v>
      </c>
    </row>
    <row r="7613" spans="1:3" x14ac:dyDescent="0.25">
      <c r="A7613" s="5" t="s">
        <v>135</v>
      </c>
      <c r="B7613" s="5" t="s">
        <v>128</v>
      </c>
      <c r="C7613" s="5" t="s">
        <v>8095</v>
      </c>
    </row>
    <row r="7614" spans="1:3" x14ac:dyDescent="0.25">
      <c r="A7614" s="5" t="s">
        <v>135</v>
      </c>
      <c r="B7614" s="5" t="s">
        <v>130</v>
      </c>
      <c r="C7614" s="5" t="s">
        <v>8096</v>
      </c>
    </row>
    <row r="7615" spans="1:3" x14ac:dyDescent="0.25">
      <c r="A7615" s="5" t="s">
        <v>135</v>
      </c>
      <c r="B7615" s="5" t="s">
        <v>904</v>
      </c>
      <c r="C7615" s="5" t="s">
        <v>8097</v>
      </c>
    </row>
    <row r="7616" spans="1:3" x14ac:dyDescent="0.25">
      <c r="A7616" s="5" t="s">
        <v>135</v>
      </c>
      <c r="B7616" s="5" t="s">
        <v>131</v>
      </c>
      <c r="C7616" s="5" t="s">
        <v>8098</v>
      </c>
    </row>
    <row r="7617" spans="1:3" ht="30" x14ac:dyDescent="0.25">
      <c r="A7617" s="5" t="s">
        <v>135</v>
      </c>
      <c r="B7617" s="5" t="s">
        <v>137</v>
      </c>
      <c r="C7617" s="5" t="s">
        <v>8099</v>
      </c>
    </row>
    <row r="7618" spans="1:3" ht="30" x14ac:dyDescent="0.25">
      <c r="A7618" s="5" t="s">
        <v>135</v>
      </c>
      <c r="B7618" s="5" t="s">
        <v>227</v>
      </c>
      <c r="C7618" s="5" t="s">
        <v>8100</v>
      </c>
    </row>
    <row r="7619" spans="1:3" x14ac:dyDescent="0.25">
      <c r="A7619" s="5" t="s">
        <v>135</v>
      </c>
      <c r="B7619" s="5" t="s">
        <v>644</v>
      </c>
      <c r="C7619" s="5" t="s">
        <v>8101</v>
      </c>
    </row>
    <row r="7620" spans="1:3" ht="30" x14ac:dyDescent="0.25">
      <c r="A7620" s="5" t="s">
        <v>135</v>
      </c>
      <c r="B7620" s="5" t="s">
        <v>2512</v>
      </c>
      <c r="C7620" s="5" t="s">
        <v>8102</v>
      </c>
    </row>
    <row r="7621" spans="1:3" x14ac:dyDescent="0.25">
      <c r="A7621" s="5" t="s">
        <v>135</v>
      </c>
      <c r="B7621" s="5" t="s">
        <v>145</v>
      </c>
      <c r="C7621" s="5" t="s">
        <v>8103</v>
      </c>
    </row>
    <row r="7622" spans="1:3" x14ac:dyDescent="0.25">
      <c r="A7622" s="5" t="s">
        <v>135</v>
      </c>
      <c r="B7622" s="5" t="s">
        <v>658</v>
      </c>
      <c r="C7622" s="5" t="s">
        <v>8104</v>
      </c>
    </row>
    <row r="7623" spans="1:3" x14ac:dyDescent="0.25">
      <c r="A7623" s="5" t="s">
        <v>135</v>
      </c>
      <c r="B7623" s="5" t="s">
        <v>660</v>
      </c>
      <c r="C7623" s="5" t="s">
        <v>8105</v>
      </c>
    </row>
    <row r="7624" spans="1:3" ht="30" x14ac:dyDescent="0.25">
      <c r="A7624" s="5" t="s">
        <v>135</v>
      </c>
      <c r="B7624" s="5" t="s">
        <v>2521</v>
      </c>
      <c r="C7624" s="5" t="s">
        <v>8106</v>
      </c>
    </row>
    <row r="7625" spans="1:3" x14ac:dyDescent="0.25">
      <c r="A7625" s="5" t="s">
        <v>135</v>
      </c>
      <c r="B7625" s="5" t="s">
        <v>1952</v>
      </c>
      <c r="C7625" s="5" t="s">
        <v>8107</v>
      </c>
    </row>
    <row r="7626" spans="1:3" ht="30" x14ac:dyDescent="0.25">
      <c r="A7626" s="5" t="s">
        <v>135</v>
      </c>
      <c r="B7626" s="5" t="s">
        <v>2528</v>
      </c>
      <c r="C7626" s="5" t="s">
        <v>8108</v>
      </c>
    </row>
    <row r="7627" spans="1:3" ht="30" x14ac:dyDescent="0.25">
      <c r="A7627" s="5" t="s">
        <v>2505</v>
      </c>
      <c r="B7627" s="5" t="s">
        <v>47</v>
      </c>
      <c r="C7627" s="5" t="s">
        <v>8109</v>
      </c>
    </row>
    <row r="7628" spans="1:3" x14ac:dyDescent="0.25">
      <c r="A7628" s="5" t="s">
        <v>2505</v>
      </c>
      <c r="B7628" s="5" t="s">
        <v>2394</v>
      </c>
      <c r="C7628" s="5" t="s">
        <v>8110</v>
      </c>
    </row>
    <row r="7629" spans="1:3" ht="30" x14ac:dyDescent="0.25">
      <c r="A7629" s="5" t="s">
        <v>2505</v>
      </c>
      <c r="B7629" s="5" t="s">
        <v>95</v>
      </c>
      <c r="C7629" s="5" t="s">
        <v>8111</v>
      </c>
    </row>
    <row r="7630" spans="1:3" ht="30" x14ac:dyDescent="0.25">
      <c r="A7630" s="5" t="s">
        <v>137</v>
      </c>
      <c r="B7630" s="5" t="s">
        <v>10</v>
      </c>
      <c r="C7630" s="5" t="s">
        <v>8112</v>
      </c>
    </row>
    <row r="7631" spans="1:3" ht="30" x14ac:dyDescent="0.25">
      <c r="A7631" s="5" t="s">
        <v>137</v>
      </c>
      <c r="B7631" s="5" t="s">
        <v>13</v>
      </c>
      <c r="C7631" s="5" t="s">
        <v>8113</v>
      </c>
    </row>
    <row r="7632" spans="1:3" ht="30" x14ac:dyDescent="0.25">
      <c r="A7632" s="5" t="s">
        <v>137</v>
      </c>
      <c r="B7632" s="5" t="s">
        <v>19</v>
      </c>
      <c r="C7632" s="5" t="s">
        <v>8114</v>
      </c>
    </row>
    <row r="7633" spans="1:3" ht="30" x14ac:dyDescent="0.25">
      <c r="A7633" s="5" t="s">
        <v>137</v>
      </c>
      <c r="B7633" s="5" t="s">
        <v>22</v>
      </c>
      <c r="C7633" s="5" t="s">
        <v>8115</v>
      </c>
    </row>
    <row r="7634" spans="1:3" ht="30" x14ac:dyDescent="0.25">
      <c r="A7634" s="5" t="s">
        <v>137</v>
      </c>
      <c r="B7634" s="5" t="s">
        <v>24</v>
      </c>
      <c r="C7634" s="5" t="s">
        <v>8116</v>
      </c>
    </row>
    <row r="7635" spans="1:3" ht="30" x14ac:dyDescent="0.25">
      <c r="A7635" s="5" t="s">
        <v>137</v>
      </c>
      <c r="B7635" s="5" t="s">
        <v>30</v>
      </c>
      <c r="C7635" s="5" t="s">
        <v>8117</v>
      </c>
    </row>
    <row r="7636" spans="1:3" ht="30" x14ac:dyDescent="0.25">
      <c r="A7636" s="5" t="s">
        <v>137</v>
      </c>
      <c r="B7636" s="5" t="s">
        <v>32</v>
      </c>
      <c r="C7636" s="5" t="s">
        <v>8118</v>
      </c>
    </row>
    <row r="7637" spans="1:3" ht="30" x14ac:dyDescent="0.25">
      <c r="A7637" s="5" t="s">
        <v>137</v>
      </c>
      <c r="B7637" s="5" t="s">
        <v>40</v>
      </c>
      <c r="C7637" s="5" t="s">
        <v>8119</v>
      </c>
    </row>
    <row r="7638" spans="1:3" ht="30" x14ac:dyDescent="0.25">
      <c r="A7638" s="5" t="s">
        <v>137</v>
      </c>
      <c r="B7638" s="5" t="s">
        <v>201</v>
      </c>
      <c r="C7638" s="5" t="s">
        <v>8120</v>
      </c>
    </row>
    <row r="7639" spans="1:3" ht="30" x14ac:dyDescent="0.25">
      <c r="A7639" s="5" t="s">
        <v>137</v>
      </c>
      <c r="B7639" s="5" t="s">
        <v>47</v>
      </c>
      <c r="C7639" s="5" t="s">
        <v>8121</v>
      </c>
    </row>
    <row r="7640" spans="1:3" ht="30" x14ac:dyDescent="0.25">
      <c r="A7640" s="5" t="s">
        <v>137</v>
      </c>
      <c r="B7640" s="5" t="s">
        <v>49</v>
      </c>
      <c r="C7640" s="5" t="s">
        <v>8122</v>
      </c>
    </row>
    <row r="7641" spans="1:3" ht="30" x14ac:dyDescent="0.25">
      <c r="A7641" s="5" t="s">
        <v>137</v>
      </c>
      <c r="B7641" s="5" t="s">
        <v>50</v>
      </c>
      <c r="C7641" s="5" t="s">
        <v>8123</v>
      </c>
    </row>
    <row r="7642" spans="1:3" ht="30" x14ac:dyDescent="0.25">
      <c r="A7642" s="5" t="s">
        <v>137</v>
      </c>
      <c r="B7642" s="5" t="s">
        <v>52</v>
      </c>
      <c r="C7642" s="5" t="s">
        <v>8124</v>
      </c>
    </row>
    <row r="7643" spans="1:3" ht="30" x14ac:dyDescent="0.25">
      <c r="A7643" s="5" t="s">
        <v>137</v>
      </c>
      <c r="B7643" s="5" t="s">
        <v>505</v>
      </c>
      <c r="C7643" s="5" t="s">
        <v>8125</v>
      </c>
    </row>
    <row r="7644" spans="1:3" ht="30" x14ac:dyDescent="0.25">
      <c r="A7644" s="5" t="s">
        <v>137</v>
      </c>
      <c r="B7644" s="5" t="s">
        <v>360</v>
      </c>
      <c r="C7644" s="5" t="s">
        <v>8126</v>
      </c>
    </row>
    <row r="7645" spans="1:3" ht="30" x14ac:dyDescent="0.25">
      <c r="A7645" s="5" t="s">
        <v>137</v>
      </c>
      <c r="B7645" s="5" t="s">
        <v>205</v>
      </c>
      <c r="C7645" s="5" t="s">
        <v>8127</v>
      </c>
    </row>
    <row r="7646" spans="1:3" ht="30" x14ac:dyDescent="0.25">
      <c r="A7646" s="5" t="s">
        <v>137</v>
      </c>
      <c r="B7646" s="5" t="s">
        <v>176</v>
      </c>
      <c r="C7646" s="5" t="s">
        <v>8128</v>
      </c>
    </row>
    <row r="7647" spans="1:3" ht="30" x14ac:dyDescent="0.25">
      <c r="A7647" s="5" t="s">
        <v>137</v>
      </c>
      <c r="B7647" s="5" t="s">
        <v>67</v>
      </c>
      <c r="C7647" s="5" t="s">
        <v>8129</v>
      </c>
    </row>
    <row r="7648" spans="1:3" x14ac:dyDescent="0.25">
      <c r="A7648" s="5" t="s">
        <v>137</v>
      </c>
      <c r="B7648" s="5" t="s">
        <v>69</v>
      </c>
      <c r="C7648" s="5" t="s">
        <v>8130</v>
      </c>
    </row>
    <row r="7649" spans="1:3" ht="30" x14ac:dyDescent="0.25">
      <c r="A7649" s="5" t="s">
        <v>137</v>
      </c>
      <c r="B7649" s="5" t="s">
        <v>366</v>
      </c>
      <c r="C7649" s="5" t="s">
        <v>8131</v>
      </c>
    </row>
    <row r="7650" spans="1:3" ht="30" x14ac:dyDescent="0.25">
      <c r="A7650" s="5" t="s">
        <v>137</v>
      </c>
      <c r="B7650" s="5" t="s">
        <v>71</v>
      </c>
      <c r="C7650" s="5" t="s">
        <v>8132</v>
      </c>
    </row>
    <row r="7651" spans="1:3" ht="30" x14ac:dyDescent="0.25">
      <c r="A7651" s="5" t="s">
        <v>137</v>
      </c>
      <c r="B7651" s="5" t="s">
        <v>73</v>
      </c>
      <c r="C7651" s="5" t="s">
        <v>8133</v>
      </c>
    </row>
    <row r="7652" spans="1:3" ht="30" x14ac:dyDescent="0.25">
      <c r="A7652" s="5" t="s">
        <v>137</v>
      </c>
      <c r="B7652" s="5" t="s">
        <v>742</v>
      </c>
      <c r="C7652" s="5" t="s">
        <v>8134</v>
      </c>
    </row>
    <row r="7653" spans="1:3" ht="30" x14ac:dyDescent="0.25">
      <c r="A7653" s="5" t="s">
        <v>137</v>
      </c>
      <c r="B7653" s="5" t="s">
        <v>82</v>
      </c>
      <c r="C7653" s="5" t="s">
        <v>8135</v>
      </c>
    </row>
    <row r="7654" spans="1:3" ht="30" x14ac:dyDescent="0.25">
      <c r="A7654" s="5" t="s">
        <v>137</v>
      </c>
      <c r="B7654" s="5" t="s">
        <v>180</v>
      </c>
      <c r="C7654" s="5" t="s">
        <v>8136</v>
      </c>
    </row>
    <row r="7655" spans="1:3" ht="30" x14ac:dyDescent="0.25">
      <c r="A7655" s="5" t="s">
        <v>137</v>
      </c>
      <c r="B7655" s="5" t="s">
        <v>87</v>
      </c>
      <c r="C7655" s="5" t="s">
        <v>8137</v>
      </c>
    </row>
    <row r="7656" spans="1:3" ht="30" x14ac:dyDescent="0.25">
      <c r="A7656" s="5" t="s">
        <v>137</v>
      </c>
      <c r="B7656" s="5" t="s">
        <v>89</v>
      </c>
      <c r="C7656" s="5" t="s">
        <v>8138</v>
      </c>
    </row>
    <row r="7657" spans="1:3" ht="30" x14ac:dyDescent="0.25">
      <c r="A7657" s="5" t="s">
        <v>137</v>
      </c>
      <c r="B7657" s="5" t="s">
        <v>371</v>
      </c>
      <c r="C7657" s="5" t="s">
        <v>8139</v>
      </c>
    </row>
    <row r="7658" spans="1:3" ht="30" x14ac:dyDescent="0.25">
      <c r="A7658" s="5" t="s">
        <v>137</v>
      </c>
      <c r="B7658" s="5" t="s">
        <v>94</v>
      </c>
      <c r="C7658" s="5" t="s">
        <v>8140</v>
      </c>
    </row>
    <row r="7659" spans="1:3" ht="30" x14ac:dyDescent="0.25">
      <c r="A7659" s="5" t="s">
        <v>137</v>
      </c>
      <c r="B7659" s="5" t="s">
        <v>95</v>
      </c>
      <c r="C7659" s="5" t="s">
        <v>8141</v>
      </c>
    </row>
    <row r="7660" spans="1:3" ht="30" x14ac:dyDescent="0.25">
      <c r="A7660" s="5" t="s">
        <v>137</v>
      </c>
      <c r="B7660" s="5" t="s">
        <v>100</v>
      </c>
      <c r="C7660" s="5" t="s">
        <v>8142</v>
      </c>
    </row>
    <row r="7661" spans="1:3" ht="30" x14ac:dyDescent="0.25">
      <c r="A7661" s="5" t="s">
        <v>137</v>
      </c>
      <c r="B7661" s="5" t="s">
        <v>104</v>
      </c>
      <c r="C7661" s="5" t="s">
        <v>8143</v>
      </c>
    </row>
    <row r="7662" spans="1:3" ht="30" x14ac:dyDescent="0.25">
      <c r="A7662" s="5" t="s">
        <v>137</v>
      </c>
      <c r="B7662" s="5" t="s">
        <v>111</v>
      </c>
      <c r="C7662" s="5" t="s">
        <v>8144</v>
      </c>
    </row>
    <row r="7663" spans="1:3" ht="30" x14ac:dyDescent="0.25">
      <c r="A7663" s="5" t="s">
        <v>137</v>
      </c>
      <c r="B7663" s="5" t="s">
        <v>121</v>
      </c>
      <c r="C7663" s="5" t="s">
        <v>8145</v>
      </c>
    </row>
    <row r="7664" spans="1:3" ht="30" x14ac:dyDescent="0.25">
      <c r="A7664" s="5" t="s">
        <v>137</v>
      </c>
      <c r="B7664" s="5" t="s">
        <v>124</v>
      </c>
      <c r="C7664" s="5" t="s">
        <v>8146</v>
      </c>
    </row>
    <row r="7665" spans="1:3" ht="30" x14ac:dyDescent="0.25">
      <c r="A7665" s="5" t="s">
        <v>137</v>
      </c>
      <c r="B7665" s="5" t="s">
        <v>967</v>
      </c>
      <c r="C7665" s="5" t="s">
        <v>8147</v>
      </c>
    </row>
    <row r="7666" spans="1:3" ht="30" x14ac:dyDescent="0.25">
      <c r="A7666" s="5" t="s">
        <v>137</v>
      </c>
      <c r="B7666" s="5" t="s">
        <v>128</v>
      </c>
      <c r="C7666" s="5" t="s">
        <v>8148</v>
      </c>
    </row>
    <row r="7667" spans="1:3" ht="30" x14ac:dyDescent="0.25">
      <c r="A7667" s="5" t="s">
        <v>137</v>
      </c>
      <c r="B7667" s="5" t="s">
        <v>130</v>
      </c>
      <c r="C7667" s="5" t="s">
        <v>8149</v>
      </c>
    </row>
    <row r="7668" spans="1:3" ht="30" x14ac:dyDescent="0.25">
      <c r="A7668" s="5" t="s">
        <v>137</v>
      </c>
      <c r="B7668" s="5" t="s">
        <v>135</v>
      </c>
      <c r="C7668" s="5" t="s">
        <v>8150</v>
      </c>
    </row>
    <row r="7669" spans="1:3" ht="30" x14ac:dyDescent="0.25">
      <c r="A7669" s="5" t="s">
        <v>137</v>
      </c>
      <c r="B7669" s="5" t="s">
        <v>227</v>
      </c>
      <c r="C7669" s="5" t="s">
        <v>8151</v>
      </c>
    </row>
    <row r="7670" spans="1:3" x14ac:dyDescent="0.25">
      <c r="A7670" s="5" t="s">
        <v>137</v>
      </c>
      <c r="B7670" s="5" t="s">
        <v>644</v>
      </c>
      <c r="C7670" s="5" t="s">
        <v>8152</v>
      </c>
    </row>
    <row r="7671" spans="1:3" ht="30" x14ac:dyDescent="0.25">
      <c r="A7671" s="5" t="s">
        <v>906</v>
      </c>
      <c r="B7671" s="5" t="s">
        <v>329</v>
      </c>
      <c r="C7671" s="5" t="s">
        <v>8153</v>
      </c>
    </row>
    <row r="7672" spans="1:3" ht="30" x14ac:dyDescent="0.25">
      <c r="A7672" s="5" t="s">
        <v>906</v>
      </c>
      <c r="B7672" s="5" t="s">
        <v>71</v>
      </c>
      <c r="C7672" s="5" t="s">
        <v>8154</v>
      </c>
    </row>
    <row r="7673" spans="1:3" ht="30" x14ac:dyDescent="0.25">
      <c r="A7673" s="5" t="s">
        <v>906</v>
      </c>
      <c r="B7673" s="5" t="s">
        <v>100</v>
      </c>
      <c r="C7673" s="5" t="s">
        <v>8155</v>
      </c>
    </row>
    <row r="7674" spans="1:3" ht="30" x14ac:dyDescent="0.25">
      <c r="A7674" s="5" t="s">
        <v>227</v>
      </c>
      <c r="B7674" s="5" t="s">
        <v>2</v>
      </c>
      <c r="C7674" s="5" t="s">
        <v>8156</v>
      </c>
    </row>
    <row r="7675" spans="1:3" ht="30" x14ac:dyDescent="0.25">
      <c r="A7675" s="5" t="s">
        <v>227</v>
      </c>
      <c r="B7675" s="5" t="s">
        <v>393</v>
      </c>
      <c r="C7675" s="5" t="s">
        <v>8157</v>
      </c>
    </row>
    <row r="7676" spans="1:3" ht="30" x14ac:dyDescent="0.25">
      <c r="A7676" s="5" t="s">
        <v>227</v>
      </c>
      <c r="B7676" s="5" t="s">
        <v>10</v>
      </c>
      <c r="C7676" s="5" t="s">
        <v>8158</v>
      </c>
    </row>
    <row r="7677" spans="1:3" ht="30" x14ac:dyDescent="0.25">
      <c r="A7677" s="5" t="s">
        <v>227</v>
      </c>
      <c r="B7677" s="5" t="s">
        <v>13</v>
      </c>
      <c r="C7677" s="5" t="s">
        <v>8159</v>
      </c>
    </row>
    <row r="7678" spans="1:3" ht="30" x14ac:dyDescent="0.25">
      <c r="A7678" s="5" t="s">
        <v>227</v>
      </c>
      <c r="B7678" s="5" t="s">
        <v>329</v>
      </c>
      <c r="C7678" s="5" t="s">
        <v>8160</v>
      </c>
    </row>
    <row r="7679" spans="1:3" ht="30" x14ac:dyDescent="0.25">
      <c r="A7679" s="5" t="s">
        <v>227</v>
      </c>
      <c r="B7679" s="5" t="s">
        <v>19</v>
      </c>
      <c r="C7679" s="5" t="s">
        <v>8161</v>
      </c>
    </row>
    <row r="7680" spans="1:3" ht="30" x14ac:dyDescent="0.25">
      <c r="A7680" s="5" t="s">
        <v>227</v>
      </c>
      <c r="B7680" s="5" t="s">
        <v>22</v>
      </c>
      <c r="C7680" s="5" t="s">
        <v>8162</v>
      </c>
    </row>
    <row r="7681" spans="1:3" ht="30" x14ac:dyDescent="0.25">
      <c r="A7681" s="5" t="s">
        <v>227</v>
      </c>
      <c r="B7681" s="5" t="s">
        <v>34</v>
      </c>
      <c r="C7681" s="5" t="s">
        <v>8163</v>
      </c>
    </row>
    <row r="7682" spans="1:3" ht="30" x14ac:dyDescent="0.25">
      <c r="A7682" s="5" t="s">
        <v>227</v>
      </c>
      <c r="B7682" s="5" t="s">
        <v>201</v>
      </c>
      <c r="C7682" s="5" t="s">
        <v>8164</v>
      </c>
    </row>
    <row r="7683" spans="1:3" ht="30" x14ac:dyDescent="0.25">
      <c r="A7683" s="5" t="s">
        <v>227</v>
      </c>
      <c r="B7683" s="5" t="s">
        <v>47</v>
      </c>
      <c r="C7683" s="5" t="s">
        <v>8165</v>
      </c>
    </row>
    <row r="7684" spans="1:3" ht="30" x14ac:dyDescent="0.25">
      <c r="A7684" s="5" t="s">
        <v>227</v>
      </c>
      <c r="B7684" s="5" t="s">
        <v>49</v>
      </c>
      <c r="C7684" s="5" t="s">
        <v>8166</v>
      </c>
    </row>
    <row r="7685" spans="1:3" ht="30" x14ac:dyDescent="0.25">
      <c r="A7685" s="5" t="s">
        <v>227</v>
      </c>
      <c r="B7685" s="5" t="s">
        <v>474</v>
      </c>
      <c r="C7685" s="5" t="s">
        <v>8167</v>
      </c>
    </row>
    <row r="7686" spans="1:3" ht="30" x14ac:dyDescent="0.25">
      <c r="A7686" s="5" t="s">
        <v>227</v>
      </c>
      <c r="B7686" s="5" t="s">
        <v>50</v>
      </c>
      <c r="C7686" s="5" t="s">
        <v>8168</v>
      </c>
    </row>
    <row r="7687" spans="1:3" ht="30" x14ac:dyDescent="0.25">
      <c r="A7687" s="5" t="s">
        <v>227</v>
      </c>
      <c r="B7687" s="5" t="s">
        <v>848</v>
      </c>
      <c r="C7687" s="5" t="s">
        <v>8169</v>
      </c>
    </row>
    <row r="7688" spans="1:3" ht="30" x14ac:dyDescent="0.25">
      <c r="A7688" s="5" t="s">
        <v>227</v>
      </c>
      <c r="B7688" s="5" t="s">
        <v>52</v>
      </c>
      <c r="C7688" s="5" t="s">
        <v>8170</v>
      </c>
    </row>
    <row r="7689" spans="1:3" ht="30" x14ac:dyDescent="0.25">
      <c r="A7689" s="5" t="s">
        <v>227</v>
      </c>
      <c r="B7689" s="5" t="s">
        <v>499</v>
      </c>
      <c r="C7689" s="5" t="s">
        <v>8171</v>
      </c>
    </row>
    <row r="7690" spans="1:3" ht="30" x14ac:dyDescent="0.25">
      <c r="A7690" s="5" t="s">
        <v>227</v>
      </c>
      <c r="B7690" s="5" t="s">
        <v>505</v>
      </c>
      <c r="C7690" s="5" t="s">
        <v>8172</v>
      </c>
    </row>
    <row r="7691" spans="1:3" ht="30" x14ac:dyDescent="0.25">
      <c r="A7691" s="5" t="s">
        <v>227</v>
      </c>
      <c r="B7691" s="5" t="s">
        <v>858</v>
      </c>
      <c r="C7691" s="5" t="s">
        <v>8173</v>
      </c>
    </row>
    <row r="7692" spans="1:3" ht="30" x14ac:dyDescent="0.25">
      <c r="A7692" s="5" t="s">
        <v>227</v>
      </c>
      <c r="B7692" s="5" t="s">
        <v>360</v>
      </c>
      <c r="C7692" s="5" t="s">
        <v>8174</v>
      </c>
    </row>
    <row r="7693" spans="1:3" ht="30" x14ac:dyDescent="0.25">
      <c r="A7693" s="5" t="s">
        <v>227</v>
      </c>
      <c r="B7693" s="5" t="s">
        <v>205</v>
      </c>
      <c r="C7693" s="5" t="s">
        <v>8175</v>
      </c>
    </row>
    <row r="7694" spans="1:3" ht="30" x14ac:dyDescent="0.25">
      <c r="A7694" s="5" t="s">
        <v>227</v>
      </c>
      <c r="B7694" s="5" t="s">
        <v>67</v>
      </c>
      <c r="C7694" s="5" t="s">
        <v>8176</v>
      </c>
    </row>
    <row r="7695" spans="1:3" ht="30" x14ac:dyDescent="0.25">
      <c r="A7695" s="5" t="s">
        <v>227</v>
      </c>
      <c r="B7695" s="5" t="s">
        <v>867</v>
      </c>
      <c r="C7695" s="5" t="s">
        <v>8177</v>
      </c>
    </row>
    <row r="7696" spans="1:3" x14ac:dyDescent="0.25">
      <c r="A7696" s="5" t="s">
        <v>227</v>
      </c>
      <c r="B7696" s="5" t="s">
        <v>69</v>
      </c>
      <c r="C7696" s="5" t="s">
        <v>8178</v>
      </c>
    </row>
    <row r="7697" spans="1:3" ht="30" x14ac:dyDescent="0.25">
      <c r="A7697" s="5" t="s">
        <v>227</v>
      </c>
      <c r="B7697" s="5" t="s">
        <v>71</v>
      </c>
      <c r="C7697" s="5" t="s">
        <v>8179</v>
      </c>
    </row>
    <row r="7698" spans="1:3" ht="30" x14ac:dyDescent="0.25">
      <c r="A7698" s="5" t="s">
        <v>227</v>
      </c>
      <c r="B7698" s="5" t="s">
        <v>80</v>
      </c>
      <c r="C7698" s="5" t="s">
        <v>8180</v>
      </c>
    </row>
    <row r="7699" spans="1:3" ht="30" x14ac:dyDescent="0.25">
      <c r="A7699" s="5" t="s">
        <v>227</v>
      </c>
      <c r="B7699" s="5" t="s">
        <v>180</v>
      </c>
      <c r="C7699" s="5" t="s">
        <v>8181</v>
      </c>
    </row>
    <row r="7700" spans="1:3" ht="30" x14ac:dyDescent="0.25">
      <c r="A7700" s="5" t="s">
        <v>227</v>
      </c>
      <c r="B7700" s="5" t="s">
        <v>875</v>
      </c>
      <c r="C7700" s="5" t="s">
        <v>8182</v>
      </c>
    </row>
    <row r="7701" spans="1:3" ht="30" x14ac:dyDescent="0.25">
      <c r="A7701" s="5" t="s">
        <v>227</v>
      </c>
      <c r="B7701" s="5" t="s">
        <v>581</v>
      </c>
      <c r="C7701" s="5" t="s">
        <v>8183</v>
      </c>
    </row>
    <row r="7702" spans="1:3" ht="30" x14ac:dyDescent="0.25">
      <c r="A7702" s="5" t="s">
        <v>227</v>
      </c>
      <c r="B7702" s="5" t="s">
        <v>87</v>
      </c>
      <c r="C7702" s="5" t="s">
        <v>8184</v>
      </c>
    </row>
    <row r="7703" spans="1:3" ht="30" x14ac:dyDescent="0.25">
      <c r="A7703" s="5" t="s">
        <v>227</v>
      </c>
      <c r="B7703" s="5" t="s">
        <v>215</v>
      </c>
      <c r="C7703" s="5" t="s">
        <v>8185</v>
      </c>
    </row>
    <row r="7704" spans="1:3" ht="30" x14ac:dyDescent="0.25">
      <c r="A7704" s="5" t="s">
        <v>227</v>
      </c>
      <c r="B7704" s="5" t="s">
        <v>95</v>
      </c>
      <c r="C7704" s="5" t="s">
        <v>8186</v>
      </c>
    </row>
    <row r="7705" spans="1:3" ht="30" x14ac:dyDescent="0.25">
      <c r="A7705" s="5" t="s">
        <v>227</v>
      </c>
      <c r="B7705" s="5" t="s">
        <v>1214</v>
      </c>
      <c r="C7705" s="5" t="s">
        <v>8187</v>
      </c>
    </row>
    <row r="7706" spans="1:3" ht="30" x14ac:dyDescent="0.25">
      <c r="A7706" s="5" t="s">
        <v>227</v>
      </c>
      <c r="B7706" s="5" t="s">
        <v>100</v>
      </c>
      <c r="C7706" s="5" t="s">
        <v>8188</v>
      </c>
    </row>
    <row r="7707" spans="1:3" ht="30" x14ac:dyDescent="0.25">
      <c r="A7707" s="5" t="s">
        <v>227</v>
      </c>
      <c r="B7707" s="5" t="s">
        <v>104</v>
      </c>
      <c r="C7707" s="5" t="s">
        <v>8189</v>
      </c>
    </row>
    <row r="7708" spans="1:3" ht="30" x14ac:dyDescent="0.25">
      <c r="A7708" s="5" t="s">
        <v>227</v>
      </c>
      <c r="B7708" s="5" t="s">
        <v>772</v>
      </c>
      <c r="C7708" s="5" t="s">
        <v>8190</v>
      </c>
    </row>
    <row r="7709" spans="1:3" ht="30" x14ac:dyDescent="0.25">
      <c r="A7709" s="5" t="s">
        <v>227</v>
      </c>
      <c r="B7709" s="5" t="s">
        <v>121</v>
      </c>
      <c r="C7709" s="5" t="s">
        <v>8191</v>
      </c>
    </row>
    <row r="7710" spans="1:3" ht="30" x14ac:dyDescent="0.25">
      <c r="A7710" s="5" t="s">
        <v>227</v>
      </c>
      <c r="B7710" s="5" t="s">
        <v>125</v>
      </c>
      <c r="C7710" s="5" t="s">
        <v>8192</v>
      </c>
    </row>
    <row r="7711" spans="1:3" ht="30" x14ac:dyDescent="0.25">
      <c r="A7711" s="5" t="s">
        <v>227</v>
      </c>
      <c r="B7711" s="5" t="s">
        <v>128</v>
      </c>
      <c r="C7711" s="5" t="s">
        <v>8193</v>
      </c>
    </row>
    <row r="7712" spans="1:3" ht="30" x14ac:dyDescent="0.25">
      <c r="A7712" s="5" t="s">
        <v>227</v>
      </c>
      <c r="B7712" s="5" t="s">
        <v>130</v>
      </c>
      <c r="C7712" s="5" t="s">
        <v>8194</v>
      </c>
    </row>
    <row r="7713" spans="1:3" x14ac:dyDescent="0.25">
      <c r="A7713" s="5" t="s">
        <v>227</v>
      </c>
      <c r="B7713" s="5" t="s">
        <v>131</v>
      </c>
      <c r="C7713" s="5" t="s">
        <v>8195</v>
      </c>
    </row>
    <row r="7714" spans="1:3" ht="30" x14ac:dyDescent="0.25">
      <c r="A7714" s="5" t="s">
        <v>227</v>
      </c>
      <c r="B7714" s="5" t="s">
        <v>135</v>
      </c>
      <c r="C7714" s="5" t="s">
        <v>8196</v>
      </c>
    </row>
    <row r="7715" spans="1:3" ht="30" x14ac:dyDescent="0.25">
      <c r="A7715" s="5" t="s">
        <v>227</v>
      </c>
      <c r="B7715" s="5" t="s">
        <v>137</v>
      </c>
      <c r="C7715" s="5" t="s">
        <v>8197</v>
      </c>
    </row>
    <row r="7716" spans="1:3" x14ac:dyDescent="0.25">
      <c r="A7716" s="5" t="s">
        <v>227</v>
      </c>
      <c r="B7716" s="5" t="s">
        <v>644</v>
      </c>
      <c r="C7716" s="5" t="s">
        <v>8198</v>
      </c>
    </row>
    <row r="7717" spans="1:3" ht="30" x14ac:dyDescent="0.25">
      <c r="A7717" s="5" t="s">
        <v>227</v>
      </c>
      <c r="B7717" s="5" t="s">
        <v>1413</v>
      </c>
      <c r="C7717" s="5" t="s">
        <v>8199</v>
      </c>
    </row>
    <row r="7718" spans="1:3" x14ac:dyDescent="0.25">
      <c r="A7718" s="5" t="s">
        <v>909</v>
      </c>
      <c r="B7718" s="5" t="s">
        <v>329</v>
      </c>
      <c r="C7718" s="5" t="s">
        <v>8200</v>
      </c>
    </row>
    <row r="7719" spans="1:3" ht="30" x14ac:dyDescent="0.25">
      <c r="A7719" s="5" t="s">
        <v>909</v>
      </c>
      <c r="B7719" s="5" t="s">
        <v>49</v>
      </c>
      <c r="C7719" s="5" t="s">
        <v>8201</v>
      </c>
    </row>
    <row r="7720" spans="1:3" x14ac:dyDescent="0.25">
      <c r="A7720" s="5" t="s">
        <v>909</v>
      </c>
      <c r="B7720" s="5" t="s">
        <v>95</v>
      </c>
      <c r="C7720" s="5" t="s">
        <v>8202</v>
      </c>
    </row>
    <row r="7721" spans="1:3" x14ac:dyDescent="0.25">
      <c r="A7721" s="5" t="s">
        <v>909</v>
      </c>
      <c r="B7721" s="5" t="s">
        <v>185</v>
      </c>
      <c r="C7721" s="5" t="s">
        <v>8203</v>
      </c>
    </row>
    <row r="7722" spans="1:3" x14ac:dyDescent="0.25">
      <c r="A7722" s="5" t="s">
        <v>909</v>
      </c>
      <c r="B7722" s="5" t="s">
        <v>191</v>
      </c>
      <c r="C7722" s="5" t="s">
        <v>8204</v>
      </c>
    </row>
    <row r="7723" spans="1:3" ht="30" x14ac:dyDescent="0.25">
      <c r="A7723" s="5" t="s">
        <v>3592</v>
      </c>
      <c r="B7723" s="5" t="s">
        <v>3587</v>
      </c>
      <c r="C7723" s="5" t="s">
        <v>8205</v>
      </c>
    </row>
    <row r="7724" spans="1:3" ht="30" x14ac:dyDescent="0.25">
      <c r="A7724" s="5" t="s">
        <v>3592</v>
      </c>
      <c r="B7724" s="5" t="s">
        <v>3589</v>
      </c>
      <c r="C7724" s="5" t="s">
        <v>8206</v>
      </c>
    </row>
    <row r="7725" spans="1:3" ht="30" x14ac:dyDescent="0.25">
      <c r="A7725" s="5" t="s">
        <v>2722</v>
      </c>
      <c r="B7725" s="5" t="s">
        <v>49</v>
      </c>
      <c r="C7725" s="5" t="s">
        <v>8207</v>
      </c>
    </row>
    <row r="7726" spans="1:3" ht="30" x14ac:dyDescent="0.25">
      <c r="A7726" s="5" t="s">
        <v>138</v>
      </c>
      <c r="B7726" s="5" t="s">
        <v>170</v>
      </c>
      <c r="C7726" s="5" t="s">
        <v>8208</v>
      </c>
    </row>
    <row r="7727" spans="1:3" ht="30" x14ac:dyDescent="0.25">
      <c r="A7727" s="5" t="s">
        <v>138</v>
      </c>
      <c r="B7727" s="5" t="s">
        <v>10</v>
      </c>
      <c r="C7727" s="5" t="s">
        <v>8209</v>
      </c>
    </row>
    <row r="7728" spans="1:3" ht="30" x14ac:dyDescent="0.25">
      <c r="A7728" s="5" t="s">
        <v>138</v>
      </c>
      <c r="B7728" s="5" t="s">
        <v>416</v>
      </c>
      <c r="C7728" s="5" t="s">
        <v>8210</v>
      </c>
    </row>
    <row r="7729" spans="1:3" ht="30" x14ac:dyDescent="0.25">
      <c r="A7729" s="5" t="s">
        <v>138</v>
      </c>
      <c r="B7729" s="5" t="s">
        <v>13</v>
      </c>
      <c r="C7729" s="5" t="s">
        <v>8211</v>
      </c>
    </row>
    <row r="7730" spans="1:3" ht="30" x14ac:dyDescent="0.25">
      <c r="A7730" s="5" t="s">
        <v>138</v>
      </c>
      <c r="B7730" s="5" t="s">
        <v>419</v>
      </c>
      <c r="C7730" s="5" t="s">
        <v>8212</v>
      </c>
    </row>
    <row r="7731" spans="1:3" ht="30" x14ac:dyDescent="0.25">
      <c r="A7731" s="5" t="s">
        <v>138</v>
      </c>
      <c r="B7731" s="5" t="s">
        <v>841</v>
      </c>
      <c r="C7731" s="5" t="s">
        <v>8213</v>
      </c>
    </row>
    <row r="7732" spans="1:3" ht="30" x14ac:dyDescent="0.25">
      <c r="A7732" s="5" t="s">
        <v>138</v>
      </c>
      <c r="B7732" s="5" t="s">
        <v>19</v>
      </c>
      <c r="C7732" s="5" t="s">
        <v>8214</v>
      </c>
    </row>
    <row r="7733" spans="1:3" ht="30" x14ac:dyDescent="0.25">
      <c r="A7733" s="5" t="s">
        <v>138</v>
      </c>
      <c r="B7733" s="5" t="s">
        <v>24</v>
      </c>
      <c r="C7733" s="5" t="s">
        <v>8215</v>
      </c>
    </row>
    <row r="7734" spans="1:3" ht="30" x14ac:dyDescent="0.25">
      <c r="A7734" s="5" t="s">
        <v>138</v>
      </c>
      <c r="B7734" s="5" t="s">
        <v>32</v>
      </c>
      <c r="C7734" s="5" t="s">
        <v>8216</v>
      </c>
    </row>
    <row r="7735" spans="1:3" ht="30" x14ac:dyDescent="0.25">
      <c r="A7735" s="5" t="s">
        <v>138</v>
      </c>
      <c r="B7735" s="5" t="s">
        <v>443</v>
      </c>
      <c r="C7735" s="5" t="s">
        <v>8217</v>
      </c>
    </row>
    <row r="7736" spans="1:3" x14ac:dyDescent="0.25">
      <c r="A7736" s="5" t="s">
        <v>138</v>
      </c>
      <c r="B7736" s="5" t="s">
        <v>450</v>
      </c>
      <c r="C7736" s="5" t="s">
        <v>8218</v>
      </c>
    </row>
    <row r="7737" spans="1:3" x14ac:dyDescent="0.25">
      <c r="A7737" s="5" t="s">
        <v>138</v>
      </c>
      <c r="B7737" s="5" t="s">
        <v>38</v>
      </c>
      <c r="C7737" s="5" t="s">
        <v>8219</v>
      </c>
    </row>
    <row r="7738" spans="1:3" x14ac:dyDescent="0.25">
      <c r="A7738" s="5" t="s">
        <v>138</v>
      </c>
      <c r="B7738" s="5" t="s">
        <v>40</v>
      </c>
      <c r="C7738" s="5" t="s">
        <v>8220</v>
      </c>
    </row>
    <row r="7739" spans="1:3" ht="30" x14ac:dyDescent="0.25">
      <c r="A7739" s="5" t="s">
        <v>138</v>
      </c>
      <c r="B7739" s="5" t="s">
        <v>454</v>
      </c>
      <c r="C7739" s="5" t="s">
        <v>8221</v>
      </c>
    </row>
    <row r="7740" spans="1:3" ht="30" x14ac:dyDescent="0.25">
      <c r="A7740" s="5" t="s">
        <v>138</v>
      </c>
      <c r="B7740" s="5" t="s">
        <v>462</v>
      </c>
      <c r="C7740" s="5" t="s">
        <v>8222</v>
      </c>
    </row>
    <row r="7741" spans="1:3" ht="30" x14ac:dyDescent="0.25">
      <c r="A7741" s="5" t="s">
        <v>138</v>
      </c>
      <c r="B7741" s="5" t="s">
        <v>201</v>
      </c>
      <c r="C7741" s="5" t="s">
        <v>8223</v>
      </c>
    </row>
    <row r="7742" spans="1:3" ht="30" x14ac:dyDescent="0.25">
      <c r="A7742" s="5" t="s">
        <v>138</v>
      </c>
      <c r="B7742" s="5" t="s">
        <v>45</v>
      </c>
      <c r="C7742" s="5" t="s">
        <v>8224</v>
      </c>
    </row>
    <row r="7743" spans="1:3" ht="30" x14ac:dyDescent="0.25">
      <c r="A7743" s="5" t="s">
        <v>138</v>
      </c>
      <c r="B7743" s="5" t="s">
        <v>47</v>
      </c>
      <c r="C7743" s="5" t="s">
        <v>8225</v>
      </c>
    </row>
    <row r="7744" spans="1:3" ht="30" x14ac:dyDescent="0.25">
      <c r="A7744" s="5" t="s">
        <v>138</v>
      </c>
      <c r="B7744" s="5" t="s">
        <v>49</v>
      </c>
      <c r="C7744" s="5" t="s">
        <v>8226</v>
      </c>
    </row>
    <row r="7745" spans="1:3" ht="30" x14ac:dyDescent="0.25">
      <c r="A7745" s="5" t="s">
        <v>138</v>
      </c>
      <c r="B7745" s="5" t="s">
        <v>474</v>
      </c>
      <c r="C7745" s="5" t="s">
        <v>8227</v>
      </c>
    </row>
    <row r="7746" spans="1:3" ht="30" x14ac:dyDescent="0.25">
      <c r="A7746" s="5" t="s">
        <v>138</v>
      </c>
      <c r="B7746" s="5" t="s">
        <v>50</v>
      </c>
      <c r="C7746" s="5" t="s">
        <v>8228</v>
      </c>
    </row>
    <row r="7747" spans="1:3" ht="30" x14ac:dyDescent="0.25">
      <c r="A7747" s="5" t="s">
        <v>138</v>
      </c>
      <c r="B7747" s="5" t="s">
        <v>52</v>
      </c>
      <c r="C7747" s="5" t="s">
        <v>8229</v>
      </c>
    </row>
    <row r="7748" spans="1:3" ht="30" x14ac:dyDescent="0.25">
      <c r="A7748" s="5" t="s">
        <v>138</v>
      </c>
      <c r="B7748" s="5" t="s">
        <v>497</v>
      </c>
      <c r="C7748" s="5" t="s">
        <v>8230</v>
      </c>
    </row>
    <row r="7749" spans="1:3" ht="30" x14ac:dyDescent="0.25">
      <c r="A7749" s="5" t="s">
        <v>138</v>
      </c>
      <c r="B7749" s="5" t="s">
        <v>503</v>
      </c>
      <c r="C7749" s="5" t="s">
        <v>8231</v>
      </c>
    </row>
    <row r="7750" spans="1:3" ht="30" x14ac:dyDescent="0.25">
      <c r="A7750" s="5" t="s">
        <v>138</v>
      </c>
      <c r="B7750" s="5" t="s">
        <v>515</v>
      </c>
      <c r="C7750" s="5" t="s">
        <v>8232</v>
      </c>
    </row>
    <row r="7751" spans="1:3" ht="30" x14ac:dyDescent="0.25">
      <c r="A7751" s="5" t="s">
        <v>138</v>
      </c>
      <c r="B7751" s="5" t="s">
        <v>205</v>
      </c>
      <c r="C7751" s="5" t="s">
        <v>8233</v>
      </c>
    </row>
    <row r="7752" spans="1:3" ht="30" x14ac:dyDescent="0.25">
      <c r="A7752" s="5" t="s">
        <v>138</v>
      </c>
      <c r="B7752" s="5" t="s">
        <v>176</v>
      </c>
      <c r="C7752" s="5" t="s">
        <v>8234</v>
      </c>
    </row>
    <row r="7753" spans="1:3" ht="30" x14ac:dyDescent="0.25">
      <c r="A7753" s="5" t="s">
        <v>138</v>
      </c>
      <c r="B7753" s="5" t="s">
        <v>67</v>
      </c>
      <c r="C7753" s="5" t="s">
        <v>8235</v>
      </c>
    </row>
    <row r="7754" spans="1:3" ht="30" x14ac:dyDescent="0.25">
      <c r="A7754" s="5" t="s">
        <v>138</v>
      </c>
      <c r="B7754" s="5" t="s">
        <v>537</v>
      </c>
      <c r="C7754" s="5" t="s">
        <v>8236</v>
      </c>
    </row>
    <row r="7755" spans="1:3" x14ac:dyDescent="0.25">
      <c r="A7755" s="5" t="s">
        <v>138</v>
      </c>
      <c r="B7755" s="5" t="s">
        <v>69</v>
      </c>
      <c r="C7755" s="5" t="s">
        <v>8237</v>
      </c>
    </row>
    <row r="7756" spans="1:3" ht="30" x14ac:dyDescent="0.25">
      <c r="A7756" s="5" t="s">
        <v>138</v>
      </c>
      <c r="B7756" s="5" t="s">
        <v>740</v>
      </c>
      <c r="C7756" s="5" t="s">
        <v>8238</v>
      </c>
    </row>
    <row r="7757" spans="1:3" ht="30" x14ac:dyDescent="0.25">
      <c r="A7757" s="5" t="s">
        <v>138</v>
      </c>
      <c r="B7757" s="5" t="s">
        <v>74</v>
      </c>
      <c r="C7757" s="5" t="s">
        <v>8239</v>
      </c>
    </row>
    <row r="7758" spans="1:3" ht="30" x14ac:dyDescent="0.25">
      <c r="A7758" s="5" t="s">
        <v>138</v>
      </c>
      <c r="B7758" s="5" t="s">
        <v>80</v>
      </c>
      <c r="C7758" s="5" t="s">
        <v>8240</v>
      </c>
    </row>
    <row r="7759" spans="1:3" ht="30" x14ac:dyDescent="0.25">
      <c r="A7759" s="5" t="s">
        <v>138</v>
      </c>
      <c r="B7759" s="5" t="s">
        <v>82</v>
      </c>
      <c r="C7759" s="5" t="s">
        <v>8241</v>
      </c>
    </row>
    <row r="7760" spans="1:3" ht="30" x14ac:dyDescent="0.25">
      <c r="A7760" s="5" t="s">
        <v>138</v>
      </c>
      <c r="B7760" s="5" t="s">
        <v>178</v>
      </c>
      <c r="C7760" s="5" t="s">
        <v>8242</v>
      </c>
    </row>
    <row r="7761" spans="1:3" ht="30" x14ac:dyDescent="0.25">
      <c r="A7761" s="5" t="s">
        <v>138</v>
      </c>
      <c r="B7761" s="5" t="s">
        <v>180</v>
      </c>
      <c r="C7761" s="5" t="s">
        <v>8243</v>
      </c>
    </row>
    <row r="7762" spans="1:3" ht="30" x14ac:dyDescent="0.25">
      <c r="A7762" s="5" t="s">
        <v>138</v>
      </c>
      <c r="B7762" s="5" t="s">
        <v>85</v>
      </c>
      <c r="C7762" s="5" t="s">
        <v>8244</v>
      </c>
    </row>
    <row r="7763" spans="1:3" ht="30" x14ac:dyDescent="0.25">
      <c r="A7763" s="5" t="s">
        <v>138</v>
      </c>
      <c r="B7763" s="5" t="s">
        <v>87</v>
      </c>
      <c r="C7763" s="5" t="s">
        <v>8245</v>
      </c>
    </row>
    <row r="7764" spans="1:3" ht="30" x14ac:dyDescent="0.25">
      <c r="A7764" s="5" t="s">
        <v>138</v>
      </c>
      <c r="B7764" s="5" t="s">
        <v>95</v>
      </c>
      <c r="C7764" s="5" t="s">
        <v>8246</v>
      </c>
    </row>
    <row r="7765" spans="1:3" ht="30" x14ac:dyDescent="0.25">
      <c r="A7765" s="5" t="s">
        <v>138</v>
      </c>
      <c r="B7765" s="5" t="s">
        <v>102</v>
      </c>
      <c r="C7765" s="5" t="s">
        <v>8247</v>
      </c>
    </row>
    <row r="7766" spans="1:3" x14ac:dyDescent="0.25">
      <c r="A7766" s="5" t="s">
        <v>138</v>
      </c>
      <c r="B7766" s="5" t="s">
        <v>604</v>
      </c>
      <c r="C7766" s="5" t="s">
        <v>8248</v>
      </c>
    </row>
    <row r="7767" spans="1:3" x14ac:dyDescent="0.25">
      <c r="A7767" s="5" t="s">
        <v>138</v>
      </c>
      <c r="B7767" s="5" t="s">
        <v>106</v>
      </c>
      <c r="C7767" s="5" t="s">
        <v>8249</v>
      </c>
    </row>
    <row r="7768" spans="1:3" ht="30" x14ac:dyDescent="0.25">
      <c r="A7768" s="5" t="s">
        <v>138</v>
      </c>
      <c r="B7768" s="5" t="s">
        <v>896</v>
      </c>
      <c r="C7768" s="5" t="s">
        <v>8250</v>
      </c>
    </row>
    <row r="7769" spans="1:3" x14ac:dyDescent="0.25">
      <c r="A7769" s="5" t="s">
        <v>138</v>
      </c>
      <c r="B7769" s="5" t="s">
        <v>120</v>
      </c>
      <c r="C7769" s="5" t="s">
        <v>8251</v>
      </c>
    </row>
    <row r="7770" spans="1:3" ht="30" x14ac:dyDescent="0.25">
      <c r="A7770" s="5" t="s">
        <v>138</v>
      </c>
      <c r="B7770" s="5" t="s">
        <v>626</v>
      </c>
      <c r="C7770" s="5" t="s">
        <v>8252</v>
      </c>
    </row>
    <row r="7771" spans="1:3" ht="30" x14ac:dyDescent="0.25">
      <c r="A7771" s="5" t="s">
        <v>138</v>
      </c>
      <c r="B7771" s="5" t="s">
        <v>630</v>
      </c>
      <c r="C7771" s="5" t="s">
        <v>8253</v>
      </c>
    </row>
    <row r="7772" spans="1:3" x14ac:dyDescent="0.25">
      <c r="A7772" s="5" t="s">
        <v>138</v>
      </c>
      <c r="B7772" s="5" t="s">
        <v>644</v>
      </c>
      <c r="C7772" s="5" t="s">
        <v>8254</v>
      </c>
    </row>
    <row r="7773" spans="1:3" ht="30" x14ac:dyDescent="0.25">
      <c r="A7773" s="5" t="s">
        <v>138</v>
      </c>
      <c r="B7773" s="5" t="s">
        <v>144</v>
      </c>
      <c r="C7773" s="5" t="s">
        <v>8255</v>
      </c>
    </row>
    <row r="7774" spans="1:3" ht="30" x14ac:dyDescent="0.25">
      <c r="A7774" s="5" t="s">
        <v>138</v>
      </c>
      <c r="B7774" s="5" t="s">
        <v>656</v>
      </c>
      <c r="C7774" s="5" t="s">
        <v>8256</v>
      </c>
    </row>
    <row r="7775" spans="1:3" ht="30" x14ac:dyDescent="0.25">
      <c r="A7775" s="5" t="s">
        <v>138</v>
      </c>
      <c r="B7775" s="5" t="s">
        <v>658</v>
      </c>
      <c r="C7775" s="5" t="s">
        <v>8257</v>
      </c>
    </row>
    <row r="7776" spans="1:3" x14ac:dyDescent="0.25">
      <c r="A7776" s="5" t="s">
        <v>138</v>
      </c>
      <c r="B7776" s="5" t="s">
        <v>664</v>
      </c>
      <c r="C7776" s="5" t="s">
        <v>8258</v>
      </c>
    </row>
    <row r="7777" spans="1:3" ht="30" x14ac:dyDescent="0.25">
      <c r="A7777" s="5" t="s">
        <v>138</v>
      </c>
      <c r="B7777" s="5" t="s">
        <v>4</v>
      </c>
      <c r="C7777" s="5" t="s">
        <v>8259</v>
      </c>
    </row>
    <row r="7778" spans="1:3" ht="30" x14ac:dyDescent="0.25">
      <c r="A7778" s="5" t="s">
        <v>911</v>
      </c>
      <c r="B7778" s="5" t="s">
        <v>329</v>
      </c>
      <c r="C7778" s="5" t="s">
        <v>8260</v>
      </c>
    </row>
    <row r="7779" spans="1:3" ht="30" x14ac:dyDescent="0.25">
      <c r="A7779" s="5" t="s">
        <v>911</v>
      </c>
      <c r="B7779" s="5" t="s">
        <v>185</v>
      </c>
      <c r="C7779" s="5" t="s">
        <v>8261</v>
      </c>
    </row>
    <row r="7780" spans="1:3" x14ac:dyDescent="0.25">
      <c r="A7780" s="5" t="s">
        <v>911</v>
      </c>
      <c r="B7780" s="5" t="s">
        <v>668</v>
      </c>
      <c r="C7780" s="5" t="s">
        <v>8262</v>
      </c>
    </row>
    <row r="7781" spans="1:3" x14ac:dyDescent="0.25">
      <c r="A7781" s="5" t="s">
        <v>644</v>
      </c>
      <c r="B7781" s="5" t="s">
        <v>10</v>
      </c>
      <c r="C7781" s="5" t="s">
        <v>8263</v>
      </c>
    </row>
    <row r="7782" spans="1:3" x14ac:dyDescent="0.25">
      <c r="A7782" s="5" t="s">
        <v>644</v>
      </c>
      <c r="B7782" s="5" t="s">
        <v>13</v>
      </c>
      <c r="C7782" s="5" t="s">
        <v>8264</v>
      </c>
    </row>
    <row r="7783" spans="1:3" x14ac:dyDescent="0.25">
      <c r="A7783" s="5" t="s">
        <v>644</v>
      </c>
      <c r="B7783" s="5" t="s">
        <v>16</v>
      </c>
      <c r="C7783" s="5" t="s">
        <v>8265</v>
      </c>
    </row>
    <row r="7784" spans="1:3" x14ac:dyDescent="0.25">
      <c r="A7784" s="5" t="s">
        <v>644</v>
      </c>
      <c r="B7784" s="5" t="s">
        <v>427</v>
      </c>
      <c r="C7784" s="5" t="s">
        <v>8266</v>
      </c>
    </row>
    <row r="7785" spans="1:3" ht="30" x14ac:dyDescent="0.25">
      <c r="A7785" s="5" t="s">
        <v>644</v>
      </c>
      <c r="B7785" s="5" t="s">
        <v>19</v>
      </c>
      <c r="C7785" s="5" t="s">
        <v>8267</v>
      </c>
    </row>
    <row r="7786" spans="1:3" x14ac:dyDescent="0.25">
      <c r="A7786" s="5" t="s">
        <v>644</v>
      </c>
      <c r="B7786" s="5" t="s">
        <v>24</v>
      </c>
      <c r="C7786" s="5" t="s">
        <v>8268</v>
      </c>
    </row>
    <row r="7787" spans="1:3" x14ac:dyDescent="0.25">
      <c r="A7787" s="5" t="s">
        <v>644</v>
      </c>
      <c r="B7787" s="5" t="s">
        <v>32</v>
      </c>
      <c r="C7787" s="5" t="s">
        <v>8269</v>
      </c>
    </row>
    <row r="7788" spans="1:3" x14ac:dyDescent="0.25">
      <c r="A7788" s="5" t="s">
        <v>644</v>
      </c>
      <c r="B7788" s="5" t="s">
        <v>36</v>
      </c>
      <c r="C7788" s="5" t="s">
        <v>8270</v>
      </c>
    </row>
    <row r="7789" spans="1:3" x14ac:dyDescent="0.25">
      <c r="A7789" s="5" t="s">
        <v>644</v>
      </c>
      <c r="B7789" s="5" t="s">
        <v>38</v>
      </c>
      <c r="C7789" s="5" t="s">
        <v>8271</v>
      </c>
    </row>
    <row r="7790" spans="1:3" x14ac:dyDescent="0.25">
      <c r="A7790" s="5" t="s">
        <v>644</v>
      </c>
      <c r="B7790" s="5" t="s">
        <v>40</v>
      </c>
      <c r="C7790" s="5" t="s">
        <v>8272</v>
      </c>
    </row>
    <row r="7791" spans="1:3" ht="30" x14ac:dyDescent="0.25">
      <c r="A7791" s="5" t="s">
        <v>644</v>
      </c>
      <c r="B7791" s="5" t="s">
        <v>454</v>
      </c>
      <c r="C7791" s="5" t="s">
        <v>8273</v>
      </c>
    </row>
    <row r="7792" spans="1:3" x14ac:dyDescent="0.25">
      <c r="A7792" s="5" t="s">
        <v>644</v>
      </c>
      <c r="B7792" s="5" t="s">
        <v>462</v>
      </c>
      <c r="C7792" s="5" t="s">
        <v>8274</v>
      </c>
    </row>
    <row r="7793" spans="1:3" x14ac:dyDescent="0.25">
      <c r="A7793" s="5" t="s">
        <v>644</v>
      </c>
      <c r="B7793" s="5" t="s">
        <v>201</v>
      </c>
      <c r="C7793" s="5" t="s">
        <v>8275</v>
      </c>
    </row>
    <row r="7794" spans="1:3" x14ac:dyDescent="0.25">
      <c r="A7794" s="5" t="s">
        <v>644</v>
      </c>
      <c r="B7794" s="5" t="s">
        <v>45</v>
      </c>
      <c r="C7794" s="5" t="s">
        <v>8276</v>
      </c>
    </row>
    <row r="7795" spans="1:3" x14ac:dyDescent="0.25">
      <c r="A7795" s="5" t="s">
        <v>644</v>
      </c>
      <c r="B7795" s="5" t="s">
        <v>47</v>
      </c>
      <c r="C7795" s="5" t="s">
        <v>8277</v>
      </c>
    </row>
    <row r="7796" spans="1:3" ht="30" x14ac:dyDescent="0.25">
      <c r="A7796" s="5" t="s">
        <v>644</v>
      </c>
      <c r="B7796" s="5" t="s">
        <v>49</v>
      </c>
      <c r="C7796" s="5" t="s">
        <v>8278</v>
      </c>
    </row>
    <row r="7797" spans="1:3" ht="30" x14ac:dyDescent="0.25">
      <c r="A7797" s="5" t="s">
        <v>644</v>
      </c>
      <c r="B7797" s="5" t="s">
        <v>474</v>
      </c>
      <c r="C7797" s="5" t="s">
        <v>8279</v>
      </c>
    </row>
    <row r="7798" spans="1:3" ht="30" x14ac:dyDescent="0.25">
      <c r="A7798" s="5" t="s">
        <v>644</v>
      </c>
      <c r="B7798" s="5" t="s">
        <v>50</v>
      </c>
      <c r="C7798" s="5" t="s">
        <v>8280</v>
      </c>
    </row>
    <row r="7799" spans="1:3" x14ac:dyDescent="0.25">
      <c r="A7799" s="5" t="s">
        <v>644</v>
      </c>
      <c r="B7799" s="5" t="s">
        <v>477</v>
      </c>
      <c r="C7799" s="5" t="s">
        <v>8281</v>
      </c>
    </row>
    <row r="7800" spans="1:3" ht="30" x14ac:dyDescent="0.25">
      <c r="A7800" s="5" t="s">
        <v>644</v>
      </c>
      <c r="B7800" s="5" t="s">
        <v>52</v>
      </c>
      <c r="C7800" s="5" t="s">
        <v>8282</v>
      </c>
    </row>
    <row r="7801" spans="1:3" x14ac:dyDescent="0.25">
      <c r="A7801" s="5" t="s">
        <v>644</v>
      </c>
      <c r="B7801" s="5" t="s">
        <v>57</v>
      </c>
      <c r="C7801" s="5" t="s">
        <v>8283</v>
      </c>
    </row>
    <row r="7802" spans="1:3" x14ac:dyDescent="0.25">
      <c r="A7802" s="5" t="s">
        <v>644</v>
      </c>
      <c r="B7802" s="5" t="s">
        <v>515</v>
      </c>
      <c r="C7802" s="5" t="s">
        <v>8284</v>
      </c>
    </row>
    <row r="7803" spans="1:3" ht="30" x14ac:dyDescent="0.25">
      <c r="A7803" s="5" t="s">
        <v>644</v>
      </c>
      <c r="B7803" s="5" t="s">
        <v>524</v>
      </c>
      <c r="C7803" s="5" t="s">
        <v>8285</v>
      </c>
    </row>
    <row r="7804" spans="1:3" ht="30" x14ac:dyDescent="0.25">
      <c r="A7804" s="5" t="s">
        <v>644</v>
      </c>
      <c r="B7804" s="5" t="s">
        <v>205</v>
      </c>
      <c r="C7804" s="5" t="s">
        <v>8286</v>
      </c>
    </row>
    <row r="7805" spans="1:3" x14ac:dyDescent="0.25">
      <c r="A7805" s="5" t="s">
        <v>644</v>
      </c>
      <c r="B7805" s="5" t="s">
        <v>176</v>
      </c>
      <c r="C7805" s="5" t="s">
        <v>8287</v>
      </c>
    </row>
    <row r="7806" spans="1:3" x14ac:dyDescent="0.25">
      <c r="A7806" s="5" t="s">
        <v>644</v>
      </c>
      <c r="B7806" s="5" t="s">
        <v>67</v>
      </c>
      <c r="C7806" s="5" t="s">
        <v>8288</v>
      </c>
    </row>
    <row r="7807" spans="1:3" x14ac:dyDescent="0.25">
      <c r="A7807" s="5" t="s">
        <v>644</v>
      </c>
      <c r="B7807" s="5" t="s">
        <v>533</v>
      </c>
      <c r="C7807" s="5" t="s">
        <v>8289</v>
      </c>
    </row>
    <row r="7808" spans="1:3" x14ac:dyDescent="0.25">
      <c r="A7808" s="5" t="s">
        <v>644</v>
      </c>
      <c r="B7808" s="5" t="s">
        <v>537</v>
      </c>
      <c r="C7808" s="5" t="s">
        <v>8290</v>
      </c>
    </row>
    <row r="7809" spans="1:3" x14ac:dyDescent="0.25">
      <c r="A7809" s="5" t="s">
        <v>644</v>
      </c>
      <c r="B7809" s="5" t="s">
        <v>68</v>
      </c>
      <c r="C7809" s="5" t="s">
        <v>8291</v>
      </c>
    </row>
    <row r="7810" spans="1:3" x14ac:dyDescent="0.25">
      <c r="A7810" s="5" t="s">
        <v>644</v>
      </c>
      <c r="B7810" s="5" t="s">
        <v>71</v>
      </c>
      <c r="C7810" s="5" t="s">
        <v>8292</v>
      </c>
    </row>
    <row r="7811" spans="1:3" x14ac:dyDescent="0.25">
      <c r="A7811" s="5" t="s">
        <v>644</v>
      </c>
      <c r="B7811" s="5" t="s">
        <v>73</v>
      </c>
      <c r="C7811" s="5" t="s">
        <v>8293</v>
      </c>
    </row>
    <row r="7812" spans="1:3" x14ac:dyDescent="0.25">
      <c r="A7812" s="5" t="s">
        <v>644</v>
      </c>
      <c r="B7812" s="5" t="s">
        <v>74</v>
      </c>
      <c r="C7812" s="5" t="s">
        <v>8294</v>
      </c>
    </row>
    <row r="7813" spans="1:3" x14ac:dyDescent="0.25">
      <c r="A7813" s="5" t="s">
        <v>644</v>
      </c>
      <c r="B7813" s="5" t="s">
        <v>742</v>
      </c>
      <c r="C7813" s="5" t="s">
        <v>8295</v>
      </c>
    </row>
    <row r="7814" spans="1:3" x14ac:dyDescent="0.25">
      <c r="A7814" s="5" t="s">
        <v>644</v>
      </c>
      <c r="B7814" s="5" t="s">
        <v>554</v>
      </c>
      <c r="C7814" s="5" t="s">
        <v>8296</v>
      </c>
    </row>
    <row r="7815" spans="1:3" x14ac:dyDescent="0.25">
      <c r="A7815" s="5" t="s">
        <v>644</v>
      </c>
      <c r="B7815" s="5" t="s">
        <v>80</v>
      </c>
      <c r="C7815" s="5" t="s">
        <v>8297</v>
      </c>
    </row>
    <row r="7816" spans="1:3" ht="30" x14ac:dyDescent="0.25">
      <c r="A7816" s="5" t="s">
        <v>644</v>
      </c>
      <c r="B7816" s="5" t="s">
        <v>82</v>
      </c>
      <c r="C7816" s="5" t="s">
        <v>8298</v>
      </c>
    </row>
    <row r="7817" spans="1:3" ht="30" x14ac:dyDescent="0.25">
      <c r="A7817" s="5" t="s">
        <v>644</v>
      </c>
      <c r="B7817" s="5" t="s">
        <v>180</v>
      </c>
      <c r="C7817" s="5" t="s">
        <v>8299</v>
      </c>
    </row>
    <row r="7818" spans="1:3" x14ac:dyDescent="0.25">
      <c r="A7818" s="5" t="s">
        <v>644</v>
      </c>
      <c r="B7818" s="5" t="s">
        <v>84</v>
      </c>
      <c r="C7818" s="5" t="s">
        <v>8300</v>
      </c>
    </row>
    <row r="7819" spans="1:3" ht="30" x14ac:dyDescent="0.25">
      <c r="A7819" s="5" t="s">
        <v>644</v>
      </c>
      <c r="B7819" s="5" t="s">
        <v>85</v>
      </c>
      <c r="C7819" s="5" t="s">
        <v>8301</v>
      </c>
    </row>
    <row r="7820" spans="1:3" ht="30" x14ac:dyDescent="0.25">
      <c r="A7820" s="5" t="s">
        <v>644</v>
      </c>
      <c r="B7820" s="5" t="s">
        <v>579</v>
      </c>
      <c r="C7820" s="5" t="s">
        <v>8302</v>
      </c>
    </row>
    <row r="7821" spans="1:3" ht="30" x14ac:dyDescent="0.25">
      <c r="A7821" s="5" t="s">
        <v>644</v>
      </c>
      <c r="B7821" s="5" t="s">
        <v>87</v>
      </c>
      <c r="C7821" s="5" t="s">
        <v>8303</v>
      </c>
    </row>
    <row r="7822" spans="1:3" x14ac:dyDescent="0.25">
      <c r="A7822" s="5" t="s">
        <v>644</v>
      </c>
      <c r="B7822" s="5" t="s">
        <v>89</v>
      </c>
      <c r="C7822" s="5" t="s">
        <v>8304</v>
      </c>
    </row>
    <row r="7823" spans="1:3" ht="30" x14ac:dyDescent="0.25">
      <c r="A7823" s="5" t="s">
        <v>644</v>
      </c>
      <c r="B7823" s="5" t="s">
        <v>182</v>
      </c>
      <c r="C7823" s="5" t="s">
        <v>8305</v>
      </c>
    </row>
    <row r="7824" spans="1:3" ht="30" x14ac:dyDescent="0.25">
      <c r="A7824" s="5" t="s">
        <v>644</v>
      </c>
      <c r="B7824" s="5" t="s">
        <v>215</v>
      </c>
      <c r="C7824" s="5" t="s">
        <v>8306</v>
      </c>
    </row>
    <row r="7825" spans="1:3" x14ac:dyDescent="0.25">
      <c r="A7825" s="5" t="s">
        <v>644</v>
      </c>
      <c r="B7825" s="5" t="s">
        <v>590</v>
      </c>
      <c r="C7825" s="5" t="s">
        <v>8307</v>
      </c>
    </row>
    <row r="7826" spans="1:3" ht="30" x14ac:dyDescent="0.25">
      <c r="A7826" s="5" t="s">
        <v>644</v>
      </c>
      <c r="B7826" s="5" t="s">
        <v>592</v>
      </c>
      <c r="C7826" s="5" t="s">
        <v>8308</v>
      </c>
    </row>
    <row r="7827" spans="1:3" ht="30" x14ac:dyDescent="0.25">
      <c r="A7827" s="5" t="s">
        <v>644</v>
      </c>
      <c r="B7827" s="5" t="s">
        <v>95</v>
      </c>
      <c r="C7827" s="5" t="s">
        <v>8309</v>
      </c>
    </row>
    <row r="7828" spans="1:3" x14ac:dyDescent="0.25">
      <c r="A7828" s="5" t="s">
        <v>644</v>
      </c>
      <c r="B7828" s="5" t="s">
        <v>596</v>
      </c>
      <c r="C7828" s="5" t="s">
        <v>8310</v>
      </c>
    </row>
    <row r="7829" spans="1:3" x14ac:dyDescent="0.25">
      <c r="A7829" s="5" t="s">
        <v>644</v>
      </c>
      <c r="B7829" s="5" t="s">
        <v>99</v>
      </c>
      <c r="C7829" s="5" t="s">
        <v>8311</v>
      </c>
    </row>
    <row r="7830" spans="1:3" x14ac:dyDescent="0.25">
      <c r="A7830" s="5" t="s">
        <v>644</v>
      </c>
      <c r="B7830" s="5" t="s">
        <v>100</v>
      </c>
      <c r="C7830" s="5" t="s">
        <v>8312</v>
      </c>
    </row>
    <row r="7831" spans="1:3" x14ac:dyDescent="0.25">
      <c r="A7831" s="5" t="s">
        <v>644</v>
      </c>
      <c r="B7831" s="5" t="s">
        <v>102</v>
      </c>
      <c r="C7831" s="5" t="s">
        <v>8313</v>
      </c>
    </row>
    <row r="7832" spans="1:3" x14ac:dyDescent="0.25">
      <c r="A7832" s="5" t="s">
        <v>644</v>
      </c>
      <c r="B7832" s="5" t="s">
        <v>104</v>
      </c>
      <c r="C7832" s="5" t="s">
        <v>8314</v>
      </c>
    </row>
    <row r="7833" spans="1:3" x14ac:dyDescent="0.25">
      <c r="A7833" s="5" t="s">
        <v>644</v>
      </c>
      <c r="B7833" s="5" t="s">
        <v>106</v>
      </c>
      <c r="C7833" s="5" t="s">
        <v>8315</v>
      </c>
    </row>
    <row r="7834" spans="1:3" x14ac:dyDescent="0.25">
      <c r="A7834" s="5" t="s">
        <v>644</v>
      </c>
      <c r="B7834" s="5" t="s">
        <v>607</v>
      </c>
      <c r="C7834" s="5" t="s">
        <v>8316</v>
      </c>
    </row>
    <row r="7835" spans="1:3" x14ac:dyDescent="0.25">
      <c r="A7835" s="5" t="s">
        <v>644</v>
      </c>
      <c r="B7835" s="5" t="s">
        <v>114</v>
      </c>
      <c r="C7835" s="5" t="s">
        <v>8317</v>
      </c>
    </row>
    <row r="7836" spans="1:3" x14ac:dyDescent="0.25">
      <c r="A7836" s="5" t="s">
        <v>644</v>
      </c>
      <c r="B7836" s="5" t="s">
        <v>119</v>
      </c>
      <c r="C7836" s="5" t="s">
        <v>8318</v>
      </c>
    </row>
    <row r="7837" spans="1:3" ht="30" x14ac:dyDescent="0.25">
      <c r="A7837" s="5" t="s">
        <v>644</v>
      </c>
      <c r="B7837" s="5" t="s">
        <v>123</v>
      </c>
      <c r="C7837" s="5" t="s">
        <v>8319</v>
      </c>
    </row>
    <row r="7838" spans="1:3" x14ac:dyDescent="0.25">
      <c r="A7838" s="5" t="s">
        <v>644</v>
      </c>
      <c r="B7838" s="5" t="s">
        <v>124</v>
      </c>
      <c r="C7838" s="5" t="s">
        <v>8320</v>
      </c>
    </row>
    <row r="7839" spans="1:3" x14ac:dyDescent="0.25">
      <c r="A7839" s="5" t="s">
        <v>644</v>
      </c>
      <c r="B7839" s="5" t="s">
        <v>125</v>
      </c>
      <c r="C7839" s="5" t="s">
        <v>8321</v>
      </c>
    </row>
    <row r="7840" spans="1:3" x14ac:dyDescent="0.25">
      <c r="A7840" s="5" t="s">
        <v>644</v>
      </c>
      <c r="B7840" s="5" t="s">
        <v>126</v>
      </c>
      <c r="C7840" s="5" t="s">
        <v>8322</v>
      </c>
    </row>
    <row r="7841" spans="1:3" x14ac:dyDescent="0.25">
      <c r="A7841" s="5" t="s">
        <v>644</v>
      </c>
      <c r="B7841" s="5" t="s">
        <v>128</v>
      </c>
      <c r="C7841" s="5" t="s">
        <v>8323</v>
      </c>
    </row>
    <row r="7842" spans="1:3" x14ac:dyDescent="0.25">
      <c r="A7842" s="5" t="s">
        <v>644</v>
      </c>
      <c r="B7842" s="5" t="s">
        <v>130</v>
      </c>
      <c r="C7842" s="5" t="s">
        <v>8324</v>
      </c>
    </row>
    <row r="7843" spans="1:3" x14ac:dyDescent="0.25">
      <c r="A7843" s="5" t="s">
        <v>644</v>
      </c>
      <c r="B7843" s="5" t="s">
        <v>131</v>
      </c>
      <c r="C7843" s="5" t="s">
        <v>8325</v>
      </c>
    </row>
    <row r="7844" spans="1:3" x14ac:dyDescent="0.25">
      <c r="A7844" s="5" t="s">
        <v>644</v>
      </c>
      <c r="B7844" s="5" t="s">
        <v>134</v>
      </c>
      <c r="C7844" s="5" t="s">
        <v>8326</v>
      </c>
    </row>
    <row r="7845" spans="1:3" x14ac:dyDescent="0.25">
      <c r="A7845" s="5" t="s">
        <v>644</v>
      </c>
      <c r="B7845" s="5" t="s">
        <v>135</v>
      </c>
      <c r="C7845" s="5" t="s">
        <v>8327</v>
      </c>
    </row>
    <row r="7846" spans="1:3" x14ac:dyDescent="0.25">
      <c r="A7846" s="5" t="s">
        <v>644</v>
      </c>
      <c r="B7846" s="5" t="s">
        <v>137</v>
      </c>
      <c r="C7846" s="5" t="s">
        <v>8328</v>
      </c>
    </row>
    <row r="7847" spans="1:3" x14ac:dyDescent="0.25">
      <c r="A7847" s="5" t="s">
        <v>644</v>
      </c>
      <c r="B7847" s="5" t="s">
        <v>227</v>
      </c>
      <c r="C7847" s="5" t="s">
        <v>8329</v>
      </c>
    </row>
    <row r="7848" spans="1:3" x14ac:dyDescent="0.25">
      <c r="A7848" s="5" t="s">
        <v>644</v>
      </c>
      <c r="B7848" s="5" t="s">
        <v>138</v>
      </c>
      <c r="C7848" s="5" t="s">
        <v>8330</v>
      </c>
    </row>
    <row r="7849" spans="1:3" x14ac:dyDescent="0.25">
      <c r="A7849" s="5" t="s">
        <v>644</v>
      </c>
      <c r="B7849" s="5" t="s">
        <v>145</v>
      </c>
      <c r="C7849" s="5" t="s">
        <v>8331</v>
      </c>
    </row>
    <row r="7850" spans="1:3" x14ac:dyDescent="0.25">
      <c r="A7850" s="5" t="s">
        <v>644</v>
      </c>
      <c r="B7850" s="5" t="s">
        <v>658</v>
      </c>
      <c r="C7850" s="5" t="s">
        <v>8332</v>
      </c>
    </row>
    <row r="7851" spans="1:3" x14ac:dyDescent="0.25">
      <c r="A7851" s="5" t="s">
        <v>644</v>
      </c>
      <c r="B7851" s="5" t="s">
        <v>668</v>
      </c>
      <c r="C7851" s="5" t="s">
        <v>8333</v>
      </c>
    </row>
    <row r="7852" spans="1:3" x14ac:dyDescent="0.25">
      <c r="A7852" s="5" t="s">
        <v>1413</v>
      </c>
      <c r="B7852" s="5" t="s">
        <v>30</v>
      </c>
      <c r="C7852" s="5" t="s">
        <v>8334</v>
      </c>
    </row>
    <row r="7853" spans="1:3" ht="30" x14ac:dyDescent="0.25">
      <c r="A7853" s="5" t="s">
        <v>1413</v>
      </c>
      <c r="B7853" s="5" t="s">
        <v>47</v>
      </c>
      <c r="C7853" s="5" t="s">
        <v>8335</v>
      </c>
    </row>
    <row r="7854" spans="1:3" ht="30" x14ac:dyDescent="0.25">
      <c r="A7854" s="5" t="s">
        <v>1413</v>
      </c>
      <c r="B7854" s="5" t="s">
        <v>49</v>
      </c>
      <c r="C7854" s="5" t="s">
        <v>8336</v>
      </c>
    </row>
    <row r="7855" spans="1:3" x14ac:dyDescent="0.25">
      <c r="A7855" s="5" t="s">
        <v>1413</v>
      </c>
      <c r="B7855" s="5" t="s">
        <v>73</v>
      </c>
      <c r="C7855" s="5" t="s">
        <v>8337</v>
      </c>
    </row>
    <row r="7856" spans="1:3" x14ac:dyDescent="0.25">
      <c r="A7856" s="5" t="s">
        <v>1413</v>
      </c>
      <c r="B7856" s="5" t="s">
        <v>100</v>
      </c>
      <c r="C7856" s="5" t="s">
        <v>8338</v>
      </c>
    </row>
    <row r="7857" spans="1:3" x14ac:dyDescent="0.25">
      <c r="A7857" s="5" t="s">
        <v>1413</v>
      </c>
      <c r="B7857" s="5" t="s">
        <v>104</v>
      </c>
      <c r="C7857" s="5" t="s">
        <v>8339</v>
      </c>
    </row>
    <row r="7858" spans="1:3" ht="30" x14ac:dyDescent="0.25">
      <c r="A7858" s="5" t="s">
        <v>1413</v>
      </c>
      <c r="B7858" s="5" t="s">
        <v>124</v>
      </c>
      <c r="C7858" s="5" t="s">
        <v>8340</v>
      </c>
    </row>
    <row r="7859" spans="1:3" x14ac:dyDescent="0.25">
      <c r="A7859" s="5" t="s">
        <v>1413</v>
      </c>
      <c r="B7859" s="5" t="s">
        <v>967</v>
      </c>
      <c r="C7859" s="5" t="s">
        <v>8341</v>
      </c>
    </row>
    <row r="7860" spans="1:3" x14ac:dyDescent="0.25">
      <c r="A7860" s="5" t="s">
        <v>1413</v>
      </c>
      <c r="B7860" s="5" t="s">
        <v>128</v>
      </c>
      <c r="C7860" s="5" t="s">
        <v>8342</v>
      </c>
    </row>
    <row r="7861" spans="1:3" x14ac:dyDescent="0.25">
      <c r="A7861" s="5" t="s">
        <v>1413</v>
      </c>
      <c r="B7861" s="5" t="s">
        <v>130</v>
      </c>
      <c r="C7861" s="5" t="s">
        <v>8343</v>
      </c>
    </row>
    <row r="7862" spans="1:3" ht="30" x14ac:dyDescent="0.25">
      <c r="A7862" s="5" t="s">
        <v>1413</v>
      </c>
      <c r="B7862" s="5" t="s">
        <v>227</v>
      </c>
      <c r="C7862" s="5" t="s">
        <v>8344</v>
      </c>
    </row>
    <row r="7863" spans="1:3" x14ac:dyDescent="0.25">
      <c r="A7863" s="5" t="s">
        <v>140</v>
      </c>
      <c r="B7863" s="5" t="s">
        <v>10</v>
      </c>
      <c r="C7863" s="5" t="s">
        <v>8345</v>
      </c>
    </row>
    <row r="7864" spans="1:3" x14ac:dyDescent="0.25">
      <c r="A7864" s="5" t="s">
        <v>140</v>
      </c>
      <c r="B7864" s="5" t="s">
        <v>24</v>
      </c>
      <c r="C7864" s="5" t="s">
        <v>8346</v>
      </c>
    </row>
    <row r="7865" spans="1:3" x14ac:dyDescent="0.25">
      <c r="A7865" s="5" t="s">
        <v>140</v>
      </c>
      <c r="B7865" s="5" t="s">
        <v>40</v>
      </c>
      <c r="C7865" s="5" t="s">
        <v>8347</v>
      </c>
    </row>
    <row r="7866" spans="1:3" ht="30" x14ac:dyDescent="0.25">
      <c r="A7866" s="5" t="s">
        <v>140</v>
      </c>
      <c r="B7866" s="5" t="s">
        <v>49</v>
      </c>
      <c r="C7866" s="5" t="s">
        <v>8348</v>
      </c>
    </row>
    <row r="7867" spans="1:3" ht="30" x14ac:dyDescent="0.25">
      <c r="A7867" s="5" t="s">
        <v>140</v>
      </c>
      <c r="B7867" s="5" t="s">
        <v>52</v>
      </c>
      <c r="C7867" s="5" t="s">
        <v>8349</v>
      </c>
    </row>
    <row r="7868" spans="1:3" x14ac:dyDescent="0.25">
      <c r="A7868" s="5" t="s">
        <v>140</v>
      </c>
      <c r="B7868" s="5" t="s">
        <v>57</v>
      </c>
      <c r="C7868" s="5" t="s">
        <v>8350</v>
      </c>
    </row>
    <row r="7869" spans="1:3" x14ac:dyDescent="0.25">
      <c r="A7869" s="5" t="s">
        <v>140</v>
      </c>
      <c r="B7869" s="5" t="s">
        <v>176</v>
      </c>
      <c r="C7869" s="5" t="s">
        <v>8351</v>
      </c>
    </row>
    <row r="7870" spans="1:3" x14ac:dyDescent="0.25">
      <c r="A7870" s="5" t="s">
        <v>140</v>
      </c>
      <c r="B7870" s="5" t="s">
        <v>67</v>
      </c>
      <c r="C7870" s="5" t="s">
        <v>8352</v>
      </c>
    </row>
    <row r="7871" spans="1:3" x14ac:dyDescent="0.25">
      <c r="A7871" s="5" t="s">
        <v>140</v>
      </c>
      <c r="B7871" s="5" t="s">
        <v>69</v>
      </c>
      <c r="C7871" s="5" t="s">
        <v>8353</v>
      </c>
    </row>
    <row r="7872" spans="1:3" ht="30" x14ac:dyDescent="0.25">
      <c r="A7872" s="5" t="s">
        <v>140</v>
      </c>
      <c r="B7872" s="5" t="s">
        <v>82</v>
      </c>
      <c r="C7872" s="5" t="s">
        <v>8354</v>
      </c>
    </row>
    <row r="7873" spans="1:3" x14ac:dyDescent="0.25">
      <c r="A7873" s="5" t="s">
        <v>140</v>
      </c>
      <c r="B7873" s="5" t="s">
        <v>84</v>
      </c>
      <c r="C7873" s="5" t="s">
        <v>8355</v>
      </c>
    </row>
    <row r="7874" spans="1:3" ht="30" x14ac:dyDescent="0.25">
      <c r="A7874" s="5" t="s">
        <v>140</v>
      </c>
      <c r="B7874" s="5" t="s">
        <v>87</v>
      </c>
      <c r="C7874" s="5" t="s">
        <v>8356</v>
      </c>
    </row>
    <row r="7875" spans="1:3" ht="30" x14ac:dyDescent="0.25">
      <c r="A7875" s="5" t="s">
        <v>140</v>
      </c>
      <c r="B7875" s="5" t="s">
        <v>95</v>
      </c>
      <c r="C7875" s="5" t="s">
        <v>8357</v>
      </c>
    </row>
    <row r="7876" spans="1:3" x14ac:dyDescent="0.25">
      <c r="A7876" s="5" t="s">
        <v>140</v>
      </c>
      <c r="B7876" s="5" t="s">
        <v>102</v>
      </c>
      <c r="C7876" s="5" t="s">
        <v>8358</v>
      </c>
    </row>
    <row r="7877" spans="1:3" x14ac:dyDescent="0.25">
      <c r="A7877" s="5" t="s">
        <v>140</v>
      </c>
      <c r="B7877" s="5" t="s">
        <v>134</v>
      </c>
      <c r="C7877" s="5" t="s">
        <v>8359</v>
      </c>
    </row>
    <row r="7878" spans="1:3" x14ac:dyDescent="0.25">
      <c r="A7878" s="5" t="s">
        <v>140</v>
      </c>
      <c r="B7878" s="5" t="s">
        <v>647</v>
      </c>
      <c r="C7878" s="5" t="s">
        <v>8360</v>
      </c>
    </row>
    <row r="7879" spans="1:3" x14ac:dyDescent="0.25">
      <c r="A7879" s="5" t="s">
        <v>647</v>
      </c>
      <c r="B7879" s="5" t="s">
        <v>10</v>
      </c>
      <c r="C7879" s="5" t="s">
        <v>8361</v>
      </c>
    </row>
    <row r="7880" spans="1:3" x14ac:dyDescent="0.25">
      <c r="A7880" s="5" t="s">
        <v>647</v>
      </c>
      <c r="B7880" s="5" t="s">
        <v>40</v>
      </c>
      <c r="C7880" s="5" t="s">
        <v>8362</v>
      </c>
    </row>
    <row r="7881" spans="1:3" x14ac:dyDescent="0.25">
      <c r="A7881" s="5" t="s">
        <v>647</v>
      </c>
      <c r="B7881" s="5" t="s">
        <v>57</v>
      </c>
      <c r="C7881" s="5" t="s">
        <v>8363</v>
      </c>
    </row>
    <row r="7882" spans="1:3" ht="30" x14ac:dyDescent="0.25">
      <c r="A7882" s="5" t="s">
        <v>647</v>
      </c>
      <c r="B7882" s="5" t="s">
        <v>84</v>
      </c>
      <c r="C7882" s="5" t="s">
        <v>8364</v>
      </c>
    </row>
    <row r="7883" spans="1:3" x14ac:dyDescent="0.25">
      <c r="A7883" s="5" t="s">
        <v>647</v>
      </c>
      <c r="B7883" s="5" t="s">
        <v>134</v>
      </c>
      <c r="C7883" s="5" t="s">
        <v>8365</v>
      </c>
    </row>
    <row r="7884" spans="1:3" ht="30" x14ac:dyDescent="0.25">
      <c r="A7884" s="5" t="s">
        <v>2512</v>
      </c>
      <c r="B7884" s="5" t="s">
        <v>47</v>
      </c>
      <c r="C7884" s="5" t="s">
        <v>8366</v>
      </c>
    </row>
    <row r="7885" spans="1:3" ht="30" x14ac:dyDescent="0.25">
      <c r="A7885" s="5" t="s">
        <v>2512</v>
      </c>
      <c r="B7885" s="5" t="s">
        <v>73</v>
      </c>
      <c r="C7885" s="5" t="s">
        <v>8367</v>
      </c>
    </row>
    <row r="7886" spans="1:3" ht="30" x14ac:dyDescent="0.25">
      <c r="A7886" s="5" t="s">
        <v>2512</v>
      </c>
      <c r="B7886" s="5" t="s">
        <v>95</v>
      </c>
      <c r="C7886" s="5" t="s">
        <v>8368</v>
      </c>
    </row>
    <row r="7887" spans="1:3" ht="30" x14ac:dyDescent="0.25">
      <c r="A7887" s="5" t="s">
        <v>2512</v>
      </c>
      <c r="B7887" s="5" t="s">
        <v>100</v>
      </c>
      <c r="C7887" s="5" t="s">
        <v>8369</v>
      </c>
    </row>
    <row r="7888" spans="1:3" ht="30" x14ac:dyDescent="0.25">
      <c r="A7888" s="5" t="s">
        <v>2512</v>
      </c>
      <c r="B7888" s="5" t="s">
        <v>128</v>
      </c>
      <c r="C7888" s="5" t="s">
        <v>8370</v>
      </c>
    </row>
    <row r="7889" spans="1:3" ht="30" x14ac:dyDescent="0.25">
      <c r="A7889" s="5" t="s">
        <v>2512</v>
      </c>
      <c r="B7889" s="5" t="s">
        <v>130</v>
      </c>
      <c r="C7889" s="5" t="s">
        <v>8371</v>
      </c>
    </row>
    <row r="7890" spans="1:3" ht="30" x14ac:dyDescent="0.25">
      <c r="A7890" s="5" t="s">
        <v>2512</v>
      </c>
      <c r="B7890" s="5" t="s">
        <v>135</v>
      </c>
      <c r="C7890" s="5" t="s">
        <v>8372</v>
      </c>
    </row>
    <row r="7891" spans="1:3" ht="30" x14ac:dyDescent="0.25">
      <c r="A7891" s="5" t="s">
        <v>2514</v>
      </c>
      <c r="B7891" s="5" t="s">
        <v>47</v>
      </c>
      <c r="C7891" s="5" t="s">
        <v>8373</v>
      </c>
    </row>
    <row r="7892" spans="1:3" ht="30" x14ac:dyDescent="0.25">
      <c r="A7892" s="5" t="s">
        <v>2514</v>
      </c>
      <c r="B7892" s="5" t="s">
        <v>49</v>
      </c>
      <c r="C7892" s="5" t="s">
        <v>8374</v>
      </c>
    </row>
    <row r="7893" spans="1:3" ht="30" x14ac:dyDescent="0.25">
      <c r="A7893" s="5" t="s">
        <v>2514</v>
      </c>
      <c r="B7893" s="5" t="s">
        <v>95</v>
      </c>
      <c r="C7893" s="5" t="s">
        <v>8375</v>
      </c>
    </row>
    <row r="7894" spans="1:3" ht="30" x14ac:dyDescent="0.25">
      <c r="A7894" s="5" t="s">
        <v>142</v>
      </c>
      <c r="B7894" s="5" t="s">
        <v>10</v>
      </c>
      <c r="C7894" s="5" t="s">
        <v>8376</v>
      </c>
    </row>
    <row r="7895" spans="1:3" ht="30" x14ac:dyDescent="0.25">
      <c r="A7895" s="5" t="s">
        <v>142</v>
      </c>
      <c r="B7895" s="5" t="s">
        <v>50</v>
      </c>
      <c r="C7895" s="5" t="s">
        <v>8377</v>
      </c>
    </row>
    <row r="7896" spans="1:3" x14ac:dyDescent="0.25">
      <c r="A7896" s="5" t="s">
        <v>142</v>
      </c>
      <c r="B7896" s="5" t="s">
        <v>57</v>
      </c>
      <c r="C7896" s="5" t="s">
        <v>8378</v>
      </c>
    </row>
    <row r="7897" spans="1:3" ht="30" x14ac:dyDescent="0.25">
      <c r="A7897" s="5" t="s">
        <v>142</v>
      </c>
      <c r="B7897" s="5" t="s">
        <v>82</v>
      </c>
      <c r="C7897" s="5" t="s">
        <v>8379</v>
      </c>
    </row>
    <row r="7898" spans="1:3" ht="30" x14ac:dyDescent="0.25">
      <c r="A7898" s="5" t="s">
        <v>142</v>
      </c>
      <c r="B7898" s="5" t="s">
        <v>84</v>
      </c>
      <c r="C7898" s="5" t="s">
        <v>8380</v>
      </c>
    </row>
    <row r="7899" spans="1:3" ht="30" x14ac:dyDescent="0.25">
      <c r="A7899" s="5" t="s">
        <v>142</v>
      </c>
      <c r="B7899" s="5" t="s">
        <v>182</v>
      </c>
      <c r="C7899" s="5" t="s">
        <v>8381</v>
      </c>
    </row>
    <row r="7900" spans="1:3" ht="30" x14ac:dyDescent="0.25">
      <c r="A7900" s="5" t="s">
        <v>142</v>
      </c>
      <c r="B7900" s="5" t="s">
        <v>99</v>
      </c>
      <c r="C7900" s="5" t="s">
        <v>8382</v>
      </c>
    </row>
    <row r="7901" spans="1:3" ht="30" x14ac:dyDescent="0.25">
      <c r="A7901" s="5" t="s">
        <v>142</v>
      </c>
      <c r="B7901" s="5" t="s">
        <v>185</v>
      </c>
      <c r="C7901" s="5" t="s">
        <v>8383</v>
      </c>
    </row>
    <row r="7902" spans="1:3" ht="30" x14ac:dyDescent="0.25">
      <c r="A7902" s="5" t="s">
        <v>142</v>
      </c>
      <c r="B7902" s="5" t="s">
        <v>102</v>
      </c>
      <c r="C7902" s="5" t="s">
        <v>8384</v>
      </c>
    </row>
    <row r="7903" spans="1:3" x14ac:dyDescent="0.25">
      <c r="A7903" s="5" t="s">
        <v>142</v>
      </c>
      <c r="B7903" s="5" t="s">
        <v>188</v>
      </c>
      <c r="C7903" s="5" t="s">
        <v>8385</v>
      </c>
    </row>
    <row r="7904" spans="1:3" ht="30" x14ac:dyDescent="0.25">
      <c r="A7904" s="5" t="s">
        <v>142</v>
      </c>
      <c r="B7904" s="5" t="s">
        <v>119</v>
      </c>
      <c r="C7904" s="5" t="s">
        <v>8386</v>
      </c>
    </row>
    <row r="7905" spans="1:3" ht="30" x14ac:dyDescent="0.25">
      <c r="A7905" s="5" t="s">
        <v>142</v>
      </c>
      <c r="B7905" s="5" t="s">
        <v>126</v>
      </c>
      <c r="C7905" s="5" t="s">
        <v>8387</v>
      </c>
    </row>
    <row r="7906" spans="1:3" ht="30" x14ac:dyDescent="0.25">
      <c r="A7906" s="5" t="s">
        <v>142</v>
      </c>
      <c r="B7906" s="5" t="s">
        <v>191</v>
      </c>
      <c r="C7906" s="5" t="s">
        <v>8388</v>
      </c>
    </row>
    <row r="7907" spans="1:3" ht="30" x14ac:dyDescent="0.25">
      <c r="A7907" s="5" t="s">
        <v>142</v>
      </c>
      <c r="B7907" s="5" t="s">
        <v>145</v>
      </c>
      <c r="C7907" s="5" t="s">
        <v>8389</v>
      </c>
    </row>
    <row r="7908" spans="1:3" ht="30" x14ac:dyDescent="0.25">
      <c r="A7908" s="5" t="s">
        <v>142</v>
      </c>
      <c r="B7908" s="5" t="s">
        <v>668</v>
      </c>
      <c r="C7908" s="5" t="s">
        <v>8390</v>
      </c>
    </row>
    <row r="7909" spans="1:3" ht="30" x14ac:dyDescent="0.25">
      <c r="A7909" s="5" t="s">
        <v>2729</v>
      </c>
      <c r="B7909" s="5" t="s">
        <v>49</v>
      </c>
      <c r="C7909" s="5" t="s">
        <v>8391</v>
      </c>
    </row>
    <row r="7910" spans="1:3" x14ac:dyDescent="0.25">
      <c r="A7910" s="5" t="s">
        <v>144</v>
      </c>
      <c r="B7910" s="5" t="s">
        <v>7</v>
      </c>
      <c r="C7910" s="5" t="s">
        <v>8392</v>
      </c>
    </row>
    <row r="7911" spans="1:3" x14ac:dyDescent="0.25">
      <c r="A7911" s="5" t="s">
        <v>144</v>
      </c>
      <c r="B7911" s="5" t="s">
        <v>10</v>
      </c>
      <c r="C7911" s="5" t="s">
        <v>8393</v>
      </c>
    </row>
    <row r="7912" spans="1:3" ht="30" x14ac:dyDescent="0.25">
      <c r="A7912" s="5" t="s">
        <v>144</v>
      </c>
      <c r="B7912" s="5" t="s">
        <v>19</v>
      </c>
      <c r="C7912" s="5" t="s">
        <v>8394</v>
      </c>
    </row>
    <row r="7913" spans="1:3" ht="30" x14ac:dyDescent="0.25">
      <c r="A7913" s="5" t="s">
        <v>144</v>
      </c>
      <c r="B7913" s="5" t="s">
        <v>24</v>
      </c>
      <c r="C7913" s="5" t="s">
        <v>8395</v>
      </c>
    </row>
    <row r="7914" spans="1:3" ht="30" x14ac:dyDescent="0.25">
      <c r="A7914" s="5" t="s">
        <v>144</v>
      </c>
      <c r="B7914" s="5" t="s">
        <v>32</v>
      </c>
      <c r="C7914" s="5" t="s">
        <v>8396</v>
      </c>
    </row>
    <row r="7915" spans="1:3" x14ac:dyDescent="0.25">
      <c r="A7915" s="5" t="s">
        <v>144</v>
      </c>
      <c r="B7915" s="5" t="s">
        <v>40</v>
      </c>
      <c r="C7915" s="5" t="s">
        <v>8397</v>
      </c>
    </row>
    <row r="7916" spans="1:3" ht="30" x14ac:dyDescent="0.25">
      <c r="A7916" s="5" t="s">
        <v>144</v>
      </c>
      <c r="B7916" s="5" t="s">
        <v>45</v>
      </c>
      <c r="C7916" s="5" t="s">
        <v>8398</v>
      </c>
    </row>
    <row r="7917" spans="1:3" ht="30" x14ac:dyDescent="0.25">
      <c r="A7917" s="5" t="s">
        <v>144</v>
      </c>
      <c r="B7917" s="5" t="s">
        <v>47</v>
      </c>
      <c r="C7917" s="5" t="s">
        <v>8399</v>
      </c>
    </row>
    <row r="7918" spans="1:3" ht="30" x14ac:dyDescent="0.25">
      <c r="A7918" s="5" t="s">
        <v>144</v>
      </c>
      <c r="B7918" s="5" t="s">
        <v>49</v>
      </c>
      <c r="C7918" s="5" t="s">
        <v>8400</v>
      </c>
    </row>
    <row r="7919" spans="1:3" ht="30" x14ac:dyDescent="0.25">
      <c r="A7919" s="5" t="s">
        <v>144</v>
      </c>
      <c r="B7919" s="5" t="s">
        <v>50</v>
      </c>
      <c r="C7919" s="5" t="s">
        <v>8401</v>
      </c>
    </row>
    <row r="7920" spans="1:3" ht="30" x14ac:dyDescent="0.25">
      <c r="A7920" s="5" t="s">
        <v>144</v>
      </c>
      <c r="B7920" s="5" t="s">
        <v>52</v>
      </c>
      <c r="C7920" s="5" t="s">
        <v>8402</v>
      </c>
    </row>
    <row r="7921" spans="1:3" x14ac:dyDescent="0.25">
      <c r="A7921" s="5" t="s">
        <v>144</v>
      </c>
      <c r="B7921" s="5" t="s">
        <v>57</v>
      </c>
      <c r="C7921" s="5" t="s">
        <v>8403</v>
      </c>
    </row>
    <row r="7922" spans="1:3" x14ac:dyDescent="0.25">
      <c r="A7922" s="5" t="s">
        <v>144</v>
      </c>
      <c r="B7922" s="5" t="s">
        <v>519</v>
      </c>
      <c r="C7922" s="5" t="s">
        <v>8404</v>
      </c>
    </row>
    <row r="7923" spans="1:3" x14ac:dyDescent="0.25">
      <c r="A7923" s="5" t="s">
        <v>144</v>
      </c>
      <c r="B7923" s="5" t="s">
        <v>176</v>
      </c>
      <c r="C7923" s="5" t="s">
        <v>8405</v>
      </c>
    </row>
    <row r="7924" spans="1:3" x14ac:dyDescent="0.25">
      <c r="A7924" s="5" t="s">
        <v>144</v>
      </c>
      <c r="B7924" s="5" t="s">
        <v>69</v>
      </c>
      <c r="C7924" s="5" t="s">
        <v>8406</v>
      </c>
    </row>
    <row r="7925" spans="1:3" x14ac:dyDescent="0.25">
      <c r="A7925" s="5" t="s">
        <v>144</v>
      </c>
      <c r="B7925" s="5" t="s">
        <v>74</v>
      </c>
      <c r="C7925" s="5" t="s">
        <v>8407</v>
      </c>
    </row>
    <row r="7926" spans="1:3" ht="30" x14ac:dyDescent="0.25">
      <c r="A7926" s="5" t="s">
        <v>144</v>
      </c>
      <c r="B7926" s="5" t="s">
        <v>82</v>
      </c>
      <c r="C7926" s="5" t="s">
        <v>8408</v>
      </c>
    </row>
    <row r="7927" spans="1:3" ht="30" x14ac:dyDescent="0.25">
      <c r="A7927" s="5" t="s">
        <v>144</v>
      </c>
      <c r="B7927" s="5" t="s">
        <v>84</v>
      </c>
      <c r="C7927" s="5" t="s">
        <v>8409</v>
      </c>
    </row>
    <row r="7928" spans="1:3" ht="30" x14ac:dyDescent="0.25">
      <c r="A7928" s="5" t="s">
        <v>144</v>
      </c>
      <c r="B7928" s="5" t="s">
        <v>87</v>
      </c>
      <c r="C7928" s="5" t="s">
        <v>8410</v>
      </c>
    </row>
    <row r="7929" spans="1:3" ht="30" x14ac:dyDescent="0.25">
      <c r="A7929" s="5" t="s">
        <v>144</v>
      </c>
      <c r="B7929" s="5" t="s">
        <v>182</v>
      </c>
      <c r="C7929" s="5" t="s">
        <v>8411</v>
      </c>
    </row>
    <row r="7930" spans="1:3" ht="30" x14ac:dyDescent="0.25">
      <c r="A7930" s="5" t="s">
        <v>144</v>
      </c>
      <c r="B7930" s="5" t="s">
        <v>95</v>
      </c>
      <c r="C7930" s="5" t="s">
        <v>8412</v>
      </c>
    </row>
    <row r="7931" spans="1:3" ht="30" x14ac:dyDescent="0.25">
      <c r="A7931" s="5" t="s">
        <v>144</v>
      </c>
      <c r="B7931" s="5" t="s">
        <v>185</v>
      </c>
      <c r="C7931" s="5" t="s">
        <v>8413</v>
      </c>
    </row>
    <row r="7932" spans="1:3" x14ac:dyDescent="0.25">
      <c r="A7932" s="5" t="s">
        <v>144</v>
      </c>
      <c r="B7932" s="5" t="s">
        <v>102</v>
      </c>
      <c r="C7932" s="5" t="s">
        <v>8414</v>
      </c>
    </row>
    <row r="7933" spans="1:3" x14ac:dyDescent="0.25">
      <c r="A7933" s="5" t="s">
        <v>144</v>
      </c>
      <c r="B7933" s="5" t="s">
        <v>188</v>
      </c>
      <c r="C7933" s="5" t="s">
        <v>8415</v>
      </c>
    </row>
    <row r="7934" spans="1:3" ht="30" x14ac:dyDescent="0.25">
      <c r="A7934" s="5" t="s">
        <v>144</v>
      </c>
      <c r="B7934" s="5" t="s">
        <v>119</v>
      </c>
      <c r="C7934" s="5" t="s">
        <v>8416</v>
      </c>
    </row>
    <row r="7935" spans="1:3" ht="30" x14ac:dyDescent="0.25">
      <c r="A7935" s="5" t="s">
        <v>144</v>
      </c>
      <c r="B7935" s="5" t="s">
        <v>123</v>
      </c>
      <c r="C7935" s="5" t="s">
        <v>8417</v>
      </c>
    </row>
    <row r="7936" spans="1:3" x14ac:dyDescent="0.25">
      <c r="A7936" s="5" t="s">
        <v>144</v>
      </c>
      <c r="B7936" s="5" t="s">
        <v>191</v>
      </c>
      <c r="C7936" s="5" t="s">
        <v>8418</v>
      </c>
    </row>
    <row r="7937" spans="1:3" ht="30" x14ac:dyDescent="0.25">
      <c r="A7937" s="5" t="s">
        <v>144</v>
      </c>
      <c r="B7937" s="5" t="s">
        <v>138</v>
      </c>
      <c r="C7937" s="5" t="s">
        <v>8419</v>
      </c>
    </row>
    <row r="7938" spans="1:3" x14ac:dyDescent="0.25">
      <c r="A7938" s="5" t="s">
        <v>144</v>
      </c>
      <c r="B7938" s="5" t="s">
        <v>145</v>
      </c>
      <c r="C7938" s="5" t="s">
        <v>8420</v>
      </c>
    </row>
    <row r="7939" spans="1:3" ht="30" x14ac:dyDescent="0.25">
      <c r="A7939" s="5" t="s">
        <v>2296</v>
      </c>
      <c r="B7939" s="5" t="s">
        <v>1562</v>
      </c>
      <c r="C7939" s="5" t="s">
        <v>8421</v>
      </c>
    </row>
    <row r="7940" spans="1:3" ht="30" x14ac:dyDescent="0.25">
      <c r="A7940" s="5" t="s">
        <v>2296</v>
      </c>
      <c r="B7940" s="5" t="s">
        <v>95</v>
      </c>
      <c r="C7940" s="5" t="s">
        <v>8422</v>
      </c>
    </row>
    <row r="7941" spans="1:3" x14ac:dyDescent="0.25">
      <c r="A7941" s="5" t="s">
        <v>651</v>
      </c>
      <c r="B7941" s="5" t="s">
        <v>10</v>
      </c>
      <c r="C7941" s="5" t="s">
        <v>8423</v>
      </c>
    </row>
    <row r="7942" spans="1:3" x14ac:dyDescent="0.25">
      <c r="A7942" s="5" t="s">
        <v>651</v>
      </c>
      <c r="B7942" s="5" t="s">
        <v>40</v>
      </c>
      <c r="C7942" s="5" t="s">
        <v>8424</v>
      </c>
    </row>
    <row r="7943" spans="1:3" ht="30" x14ac:dyDescent="0.25">
      <c r="A7943" s="5" t="s">
        <v>651</v>
      </c>
      <c r="B7943" s="5" t="s">
        <v>45</v>
      </c>
      <c r="C7943" s="5" t="s">
        <v>8425</v>
      </c>
    </row>
    <row r="7944" spans="1:3" ht="30" x14ac:dyDescent="0.25">
      <c r="A7944" s="5" t="s">
        <v>651</v>
      </c>
      <c r="B7944" s="5" t="s">
        <v>49</v>
      </c>
      <c r="C7944" s="5" t="s">
        <v>8426</v>
      </c>
    </row>
    <row r="7945" spans="1:3" x14ac:dyDescent="0.25">
      <c r="A7945" s="5" t="s">
        <v>651</v>
      </c>
      <c r="B7945" s="5" t="s">
        <v>67</v>
      </c>
      <c r="C7945" s="5" t="s">
        <v>8427</v>
      </c>
    </row>
    <row r="7946" spans="1:3" ht="30" x14ac:dyDescent="0.25">
      <c r="A7946" s="5" t="s">
        <v>651</v>
      </c>
      <c r="B7946" s="5" t="s">
        <v>84</v>
      </c>
      <c r="C7946" s="5" t="s">
        <v>8428</v>
      </c>
    </row>
    <row r="7947" spans="1:3" ht="30" x14ac:dyDescent="0.25">
      <c r="A7947" s="5" t="s">
        <v>913</v>
      </c>
      <c r="B7947" s="5" t="s">
        <v>329</v>
      </c>
      <c r="C7947" s="5" t="s">
        <v>8429</v>
      </c>
    </row>
    <row r="7948" spans="1:3" x14ac:dyDescent="0.25">
      <c r="A7948" s="5" t="s">
        <v>913</v>
      </c>
      <c r="B7948" s="5" t="s">
        <v>40</v>
      </c>
      <c r="C7948" s="5" t="s">
        <v>8430</v>
      </c>
    </row>
    <row r="7949" spans="1:3" ht="30" x14ac:dyDescent="0.25">
      <c r="A7949" s="5" t="s">
        <v>913</v>
      </c>
      <c r="B7949" s="5" t="s">
        <v>95</v>
      </c>
      <c r="C7949" s="5" t="s">
        <v>8431</v>
      </c>
    </row>
    <row r="7950" spans="1:3" ht="30" x14ac:dyDescent="0.25">
      <c r="A7950" s="5" t="s">
        <v>913</v>
      </c>
      <c r="B7950" s="5" t="s">
        <v>185</v>
      </c>
      <c r="C7950" s="5" t="s">
        <v>8432</v>
      </c>
    </row>
    <row r="7951" spans="1:3" x14ac:dyDescent="0.25">
      <c r="A7951" s="5" t="s">
        <v>913</v>
      </c>
      <c r="B7951" s="5" t="s">
        <v>188</v>
      </c>
      <c r="C7951" s="5" t="s">
        <v>8433</v>
      </c>
    </row>
    <row r="7952" spans="1:3" x14ac:dyDescent="0.25">
      <c r="A7952" s="5" t="s">
        <v>913</v>
      </c>
      <c r="B7952" s="5" t="s">
        <v>191</v>
      </c>
      <c r="C7952" s="5" t="s">
        <v>8434</v>
      </c>
    </row>
    <row r="7953" spans="1:3" ht="30" x14ac:dyDescent="0.25">
      <c r="A7953" s="5" t="s">
        <v>913</v>
      </c>
      <c r="B7953" s="5" t="s">
        <v>668</v>
      </c>
      <c r="C7953" s="5" t="s">
        <v>8435</v>
      </c>
    </row>
    <row r="7954" spans="1:3" ht="30" x14ac:dyDescent="0.25">
      <c r="A7954" s="5" t="s">
        <v>145</v>
      </c>
      <c r="B7954" s="5" t="s">
        <v>252</v>
      </c>
      <c r="C7954" s="5" t="s">
        <v>8436</v>
      </c>
    </row>
    <row r="7955" spans="1:3" ht="30" x14ac:dyDescent="0.25">
      <c r="A7955" s="5" t="s">
        <v>145</v>
      </c>
      <c r="B7955" s="5" t="s">
        <v>7</v>
      </c>
      <c r="C7955" s="5" t="s">
        <v>8437</v>
      </c>
    </row>
    <row r="7956" spans="1:3" x14ac:dyDescent="0.25">
      <c r="A7956" s="5" t="s">
        <v>145</v>
      </c>
      <c r="B7956" s="5" t="s">
        <v>10</v>
      </c>
      <c r="C7956" s="5" t="s">
        <v>8438</v>
      </c>
    </row>
    <row r="7957" spans="1:3" ht="30" x14ac:dyDescent="0.25">
      <c r="A7957" s="5" t="s">
        <v>145</v>
      </c>
      <c r="B7957" s="5" t="s">
        <v>13</v>
      </c>
      <c r="C7957" s="5" t="s">
        <v>8439</v>
      </c>
    </row>
    <row r="7958" spans="1:3" ht="30" x14ac:dyDescent="0.25">
      <c r="A7958" s="5" t="s">
        <v>145</v>
      </c>
      <c r="B7958" s="5" t="s">
        <v>419</v>
      </c>
      <c r="C7958" s="5" t="s">
        <v>8440</v>
      </c>
    </row>
    <row r="7959" spans="1:3" ht="30" x14ac:dyDescent="0.25">
      <c r="A7959" s="5" t="s">
        <v>145</v>
      </c>
      <c r="B7959" s="5" t="s">
        <v>16</v>
      </c>
      <c r="C7959" s="5" t="s">
        <v>8441</v>
      </c>
    </row>
    <row r="7960" spans="1:3" ht="30" x14ac:dyDescent="0.25">
      <c r="A7960" s="5" t="s">
        <v>145</v>
      </c>
      <c r="B7960" s="5" t="s">
        <v>425</v>
      </c>
      <c r="C7960" s="5" t="s">
        <v>8442</v>
      </c>
    </row>
    <row r="7961" spans="1:3" ht="30" x14ac:dyDescent="0.25">
      <c r="A7961" s="5" t="s">
        <v>145</v>
      </c>
      <c r="B7961" s="5" t="s">
        <v>427</v>
      </c>
      <c r="C7961" s="5" t="s">
        <v>8443</v>
      </c>
    </row>
    <row r="7962" spans="1:3" ht="30" x14ac:dyDescent="0.25">
      <c r="A7962" s="5" t="s">
        <v>145</v>
      </c>
      <c r="B7962" s="5" t="s">
        <v>19</v>
      </c>
      <c r="C7962" s="5" t="s">
        <v>8444</v>
      </c>
    </row>
    <row r="7963" spans="1:3" ht="30" x14ac:dyDescent="0.25">
      <c r="A7963" s="5" t="s">
        <v>145</v>
      </c>
      <c r="B7963" s="5" t="s">
        <v>24</v>
      </c>
      <c r="C7963" s="5" t="s">
        <v>8445</v>
      </c>
    </row>
    <row r="7964" spans="1:3" ht="30" x14ac:dyDescent="0.25">
      <c r="A7964" s="5" t="s">
        <v>145</v>
      </c>
      <c r="B7964" s="5" t="s">
        <v>29</v>
      </c>
      <c r="C7964" s="5" t="s">
        <v>8446</v>
      </c>
    </row>
    <row r="7965" spans="1:3" ht="30" x14ac:dyDescent="0.25">
      <c r="A7965" s="5" t="s">
        <v>145</v>
      </c>
      <c r="B7965" s="5" t="s">
        <v>32</v>
      </c>
      <c r="C7965" s="5" t="s">
        <v>8447</v>
      </c>
    </row>
    <row r="7966" spans="1:3" ht="30" x14ac:dyDescent="0.25">
      <c r="A7966" s="5" t="s">
        <v>145</v>
      </c>
      <c r="B7966" s="5" t="s">
        <v>443</v>
      </c>
      <c r="C7966" s="5" t="s">
        <v>8448</v>
      </c>
    </row>
    <row r="7967" spans="1:3" x14ac:dyDescent="0.25">
      <c r="A7967" s="5" t="s">
        <v>145</v>
      </c>
      <c r="B7967" s="5" t="s">
        <v>38</v>
      </c>
      <c r="C7967" s="5" t="s">
        <v>8449</v>
      </c>
    </row>
    <row r="7968" spans="1:3" x14ac:dyDescent="0.25">
      <c r="A7968" s="5" t="s">
        <v>145</v>
      </c>
      <c r="B7968" s="5" t="s">
        <v>40</v>
      </c>
      <c r="C7968" s="5" t="s">
        <v>8450</v>
      </c>
    </row>
    <row r="7969" spans="1:3" ht="30" x14ac:dyDescent="0.25">
      <c r="A7969" s="5" t="s">
        <v>145</v>
      </c>
      <c r="B7969" s="5" t="s">
        <v>454</v>
      </c>
      <c r="C7969" s="5" t="s">
        <v>8451</v>
      </c>
    </row>
    <row r="7970" spans="1:3" ht="30" x14ac:dyDescent="0.25">
      <c r="A7970" s="5" t="s">
        <v>145</v>
      </c>
      <c r="B7970" s="5" t="s">
        <v>456</v>
      </c>
      <c r="C7970" s="5" t="s">
        <v>8452</v>
      </c>
    </row>
    <row r="7971" spans="1:3" ht="30" x14ac:dyDescent="0.25">
      <c r="A7971" s="5" t="s">
        <v>145</v>
      </c>
      <c r="B7971" s="5" t="s">
        <v>462</v>
      </c>
      <c r="C7971" s="5" t="s">
        <v>8453</v>
      </c>
    </row>
    <row r="7972" spans="1:3" ht="30" x14ac:dyDescent="0.25">
      <c r="A7972" s="5" t="s">
        <v>145</v>
      </c>
      <c r="B7972" s="5" t="s">
        <v>201</v>
      </c>
      <c r="C7972" s="5" t="s">
        <v>8454</v>
      </c>
    </row>
    <row r="7973" spans="1:3" ht="30" x14ac:dyDescent="0.25">
      <c r="A7973" s="5" t="s">
        <v>145</v>
      </c>
      <c r="B7973" s="5" t="s">
        <v>45</v>
      </c>
      <c r="C7973" s="5" t="s">
        <v>8455</v>
      </c>
    </row>
    <row r="7974" spans="1:3" ht="30" x14ac:dyDescent="0.25">
      <c r="A7974" s="5" t="s">
        <v>145</v>
      </c>
      <c r="B7974" s="5" t="s">
        <v>47</v>
      </c>
      <c r="C7974" s="5" t="s">
        <v>8456</v>
      </c>
    </row>
    <row r="7975" spans="1:3" ht="30" x14ac:dyDescent="0.25">
      <c r="A7975" s="5" t="s">
        <v>145</v>
      </c>
      <c r="B7975" s="5" t="s">
        <v>49</v>
      </c>
      <c r="C7975" s="5" t="s">
        <v>8457</v>
      </c>
    </row>
    <row r="7976" spans="1:3" ht="30" x14ac:dyDescent="0.25">
      <c r="A7976" s="5" t="s">
        <v>145</v>
      </c>
      <c r="B7976" s="5" t="s">
        <v>50</v>
      </c>
      <c r="C7976" s="5" t="s">
        <v>8458</v>
      </c>
    </row>
    <row r="7977" spans="1:3" ht="30" x14ac:dyDescent="0.25">
      <c r="A7977" s="5" t="s">
        <v>145</v>
      </c>
      <c r="B7977" s="5" t="s">
        <v>52</v>
      </c>
      <c r="C7977" s="5" t="s">
        <v>8459</v>
      </c>
    </row>
    <row r="7978" spans="1:3" ht="30" x14ac:dyDescent="0.25">
      <c r="A7978" s="5" t="s">
        <v>145</v>
      </c>
      <c r="B7978" s="5" t="s">
        <v>54</v>
      </c>
      <c r="C7978" s="5" t="s">
        <v>8460</v>
      </c>
    </row>
    <row r="7979" spans="1:3" x14ac:dyDescent="0.25">
      <c r="A7979" s="5" t="s">
        <v>145</v>
      </c>
      <c r="B7979" s="5" t="s">
        <v>57</v>
      </c>
      <c r="C7979" s="5" t="s">
        <v>8461</v>
      </c>
    </row>
    <row r="7980" spans="1:3" ht="30" x14ac:dyDescent="0.25">
      <c r="A7980" s="5" t="s">
        <v>145</v>
      </c>
      <c r="B7980" s="5" t="s">
        <v>497</v>
      </c>
      <c r="C7980" s="5" t="s">
        <v>8462</v>
      </c>
    </row>
    <row r="7981" spans="1:3" ht="30" x14ac:dyDescent="0.25">
      <c r="A7981" s="5" t="s">
        <v>145</v>
      </c>
      <c r="B7981" s="5" t="s">
        <v>511</v>
      </c>
      <c r="C7981" s="5" t="s">
        <v>8463</v>
      </c>
    </row>
    <row r="7982" spans="1:3" ht="30" x14ac:dyDescent="0.25">
      <c r="A7982" s="5" t="s">
        <v>145</v>
      </c>
      <c r="B7982" s="5" t="s">
        <v>515</v>
      </c>
      <c r="C7982" s="5" t="s">
        <v>8464</v>
      </c>
    </row>
    <row r="7983" spans="1:3" ht="30" x14ac:dyDescent="0.25">
      <c r="A7983" s="5" t="s">
        <v>145</v>
      </c>
      <c r="B7983" s="5" t="s">
        <v>517</v>
      </c>
      <c r="C7983" s="5" t="s">
        <v>8465</v>
      </c>
    </row>
    <row r="7984" spans="1:3" ht="30" x14ac:dyDescent="0.25">
      <c r="A7984" s="5" t="s">
        <v>145</v>
      </c>
      <c r="B7984" s="5" t="s">
        <v>519</v>
      </c>
      <c r="C7984" s="5" t="s">
        <v>8466</v>
      </c>
    </row>
    <row r="7985" spans="1:3" ht="30" x14ac:dyDescent="0.25">
      <c r="A7985" s="5" t="s">
        <v>145</v>
      </c>
      <c r="B7985" s="5" t="s">
        <v>205</v>
      </c>
      <c r="C7985" s="5" t="s">
        <v>8467</v>
      </c>
    </row>
    <row r="7986" spans="1:3" ht="30" x14ac:dyDescent="0.25">
      <c r="A7986" s="5" t="s">
        <v>145</v>
      </c>
      <c r="B7986" s="5" t="s">
        <v>65</v>
      </c>
      <c r="C7986" s="5" t="s">
        <v>8468</v>
      </c>
    </row>
    <row r="7987" spans="1:3" x14ac:dyDescent="0.25">
      <c r="A7987" s="5" t="s">
        <v>145</v>
      </c>
      <c r="B7987" s="5" t="s">
        <v>176</v>
      </c>
      <c r="C7987" s="5" t="s">
        <v>8469</v>
      </c>
    </row>
    <row r="7988" spans="1:3" x14ac:dyDescent="0.25">
      <c r="A7988" s="5" t="s">
        <v>145</v>
      </c>
      <c r="B7988" s="5" t="s">
        <v>67</v>
      </c>
      <c r="C7988" s="5" t="s">
        <v>8470</v>
      </c>
    </row>
    <row r="7989" spans="1:3" ht="30" x14ac:dyDescent="0.25">
      <c r="A7989" s="5" t="s">
        <v>145</v>
      </c>
      <c r="B7989" s="5" t="s">
        <v>537</v>
      </c>
      <c r="C7989" s="5" t="s">
        <v>8471</v>
      </c>
    </row>
    <row r="7990" spans="1:3" x14ac:dyDescent="0.25">
      <c r="A7990" s="5" t="s">
        <v>145</v>
      </c>
      <c r="B7990" s="5" t="s">
        <v>539</v>
      </c>
      <c r="C7990" s="5" t="s">
        <v>8472</v>
      </c>
    </row>
    <row r="7991" spans="1:3" x14ac:dyDescent="0.25">
      <c r="A7991" s="5" t="s">
        <v>145</v>
      </c>
      <c r="B7991" s="5" t="s">
        <v>69</v>
      </c>
      <c r="C7991" s="5" t="s">
        <v>8473</v>
      </c>
    </row>
    <row r="7992" spans="1:3" x14ac:dyDescent="0.25">
      <c r="A7992" s="5" t="s">
        <v>145</v>
      </c>
      <c r="B7992" s="5" t="s">
        <v>71</v>
      </c>
      <c r="C7992" s="5" t="s">
        <v>8474</v>
      </c>
    </row>
    <row r="7993" spans="1:3" ht="30" x14ac:dyDescent="0.25">
      <c r="A7993" s="5" t="s">
        <v>145</v>
      </c>
      <c r="B7993" s="5" t="s">
        <v>73</v>
      </c>
      <c r="C7993" s="5" t="s">
        <v>8475</v>
      </c>
    </row>
    <row r="7994" spans="1:3" x14ac:dyDescent="0.25">
      <c r="A7994" s="5" t="s">
        <v>145</v>
      </c>
      <c r="B7994" s="5" t="s">
        <v>3295</v>
      </c>
      <c r="C7994" s="5" t="s">
        <v>8476</v>
      </c>
    </row>
    <row r="7995" spans="1:3" ht="30" x14ac:dyDescent="0.25">
      <c r="A7995" s="5" t="s">
        <v>145</v>
      </c>
      <c r="B7995" s="5" t="s">
        <v>74</v>
      </c>
      <c r="C7995" s="5" t="s">
        <v>8477</v>
      </c>
    </row>
    <row r="7996" spans="1:3" ht="30" x14ac:dyDescent="0.25">
      <c r="A7996" s="5" t="s">
        <v>145</v>
      </c>
      <c r="B7996" s="5" t="s">
        <v>80</v>
      </c>
      <c r="C7996" s="5" t="s">
        <v>8478</v>
      </c>
    </row>
    <row r="7997" spans="1:3" ht="30" x14ac:dyDescent="0.25">
      <c r="A7997" s="5" t="s">
        <v>145</v>
      </c>
      <c r="B7997" s="5" t="s">
        <v>82</v>
      </c>
      <c r="C7997" s="5" t="s">
        <v>8479</v>
      </c>
    </row>
    <row r="7998" spans="1:3" ht="30" x14ac:dyDescent="0.25">
      <c r="A7998" s="5" t="s">
        <v>145</v>
      </c>
      <c r="B7998" s="5" t="s">
        <v>180</v>
      </c>
      <c r="C7998" s="5" t="s">
        <v>8480</v>
      </c>
    </row>
    <row r="7999" spans="1:3" ht="30" x14ac:dyDescent="0.25">
      <c r="A7999" s="5" t="s">
        <v>145</v>
      </c>
      <c r="B7999" s="5" t="s">
        <v>563</v>
      </c>
      <c r="C7999" s="5" t="s">
        <v>8481</v>
      </c>
    </row>
    <row r="8000" spans="1:3" ht="30" x14ac:dyDescent="0.25">
      <c r="A8000" s="5" t="s">
        <v>145</v>
      </c>
      <c r="B8000" s="5" t="s">
        <v>567</v>
      </c>
      <c r="C8000" s="5" t="s">
        <v>8482</v>
      </c>
    </row>
    <row r="8001" spans="1:3" ht="30" x14ac:dyDescent="0.25">
      <c r="A8001" s="5" t="s">
        <v>145</v>
      </c>
      <c r="B8001" s="5" t="s">
        <v>84</v>
      </c>
      <c r="C8001" s="5" t="s">
        <v>8483</v>
      </c>
    </row>
    <row r="8002" spans="1:3" ht="30" x14ac:dyDescent="0.25">
      <c r="A8002" s="5" t="s">
        <v>145</v>
      </c>
      <c r="B8002" s="5" t="s">
        <v>85</v>
      </c>
      <c r="C8002" s="5" t="s">
        <v>8484</v>
      </c>
    </row>
    <row r="8003" spans="1:3" ht="30" x14ac:dyDescent="0.25">
      <c r="A8003" s="5" t="s">
        <v>145</v>
      </c>
      <c r="B8003" s="5" t="s">
        <v>87</v>
      </c>
      <c r="C8003" s="5" t="s">
        <v>8485</v>
      </c>
    </row>
    <row r="8004" spans="1:3" ht="30" x14ac:dyDescent="0.25">
      <c r="A8004" s="5" t="s">
        <v>145</v>
      </c>
      <c r="B8004" s="5" t="s">
        <v>89</v>
      </c>
      <c r="C8004" s="5" t="s">
        <v>8486</v>
      </c>
    </row>
    <row r="8005" spans="1:3" ht="30" x14ac:dyDescent="0.25">
      <c r="A8005" s="5" t="s">
        <v>145</v>
      </c>
      <c r="B8005" s="5" t="s">
        <v>590</v>
      </c>
      <c r="C8005" s="5" t="s">
        <v>8487</v>
      </c>
    </row>
    <row r="8006" spans="1:3" ht="30" x14ac:dyDescent="0.25">
      <c r="A8006" s="5" t="s">
        <v>145</v>
      </c>
      <c r="B8006" s="5" t="s">
        <v>592</v>
      </c>
      <c r="C8006" s="5" t="s">
        <v>8488</v>
      </c>
    </row>
    <row r="8007" spans="1:3" ht="30" x14ac:dyDescent="0.25">
      <c r="A8007" s="5" t="s">
        <v>145</v>
      </c>
      <c r="B8007" s="5" t="s">
        <v>95</v>
      </c>
      <c r="C8007" s="5" t="s">
        <v>8489</v>
      </c>
    </row>
    <row r="8008" spans="1:3" ht="30" x14ac:dyDescent="0.25">
      <c r="A8008" s="5" t="s">
        <v>145</v>
      </c>
      <c r="B8008" s="5" t="s">
        <v>596</v>
      </c>
      <c r="C8008" s="5" t="s">
        <v>8490</v>
      </c>
    </row>
    <row r="8009" spans="1:3" ht="30" x14ac:dyDescent="0.25">
      <c r="A8009" s="5" t="s">
        <v>145</v>
      </c>
      <c r="B8009" s="5" t="s">
        <v>100</v>
      </c>
      <c r="C8009" s="5" t="s">
        <v>8491</v>
      </c>
    </row>
    <row r="8010" spans="1:3" ht="30" x14ac:dyDescent="0.25">
      <c r="A8010" s="5" t="s">
        <v>145</v>
      </c>
      <c r="B8010" s="5" t="s">
        <v>102</v>
      </c>
      <c r="C8010" s="5" t="s">
        <v>8492</v>
      </c>
    </row>
    <row r="8011" spans="1:3" ht="30" x14ac:dyDescent="0.25">
      <c r="A8011" s="5" t="s">
        <v>145</v>
      </c>
      <c r="B8011" s="5" t="s">
        <v>104</v>
      </c>
      <c r="C8011" s="5" t="s">
        <v>8493</v>
      </c>
    </row>
    <row r="8012" spans="1:3" x14ac:dyDescent="0.25">
      <c r="A8012" s="5" t="s">
        <v>145</v>
      </c>
      <c r="B8012" s="5" t="s">
        <v>106</v>
      </c>
      <c r="C8012" s="5" t="s">
        <v>8494</v>
      </c>
    </row>
    <row r="8013" spans="1:3" ht="30" x14ac:dyDescent="0.25">
      <c r="A8013" s="5" t="s">
        <v>145</v>
      </c>
      <c r="B8013" s="5" t="s">
        <v>114</v>
      </c>
      <c r="C8013" s="5" t="s">
        <v>8495</v>
      </c>
    </row>
    <row r="8014" spans="1:3" ht="30" x14ac:dyDescent="0.25">
      <c r="A8014" s="5" t="s">
        <v>145</v>
      </c>
      <c r="B8014" s="5" t="s">
        <v>117</v>
      </c>
      <c r="C8014" s="5" t="s">
        <v>8496</v>
      </c>
    </row>
    <row r="8015" spans="1:3" ht="30" x14ac:dyDescent="0.25">
      <c r="A8015" s="5" t="s">
        <v>145</v>
      </c>
      <c r="B8015" s="5" t="s">
        <v>119</v>
      </c>
      <c r="C8015" s="5" t="s">
        <v>8497</v>
      </c>
    </row>
    <row r="8016" spans="1:3" x14ac:dyDescent="0.25">
      <c r="A8016" s="5" t="s">
        <v>145</v>
      </c>
      <c r="B8016" s="5" t="s">
        <v>120</v>
      </c>
      <c r="C8016" s="5" t="s">
        <v>8498</v>
      </c>
    </row>
    <row r="8017" spans="1:3" ht="30" x14ac:dyDescent="0.25">
      <c r="A8017" s="5" t="s">
        <v>145</v>
      </c>
      <c r="B8017" s="5" t="s">
        <v>122</v>
      </c>
      <c r="C8017" s="5" t="s">
        <v>8499</v>
      </c>
    </row>
    <row r="8018" spans="1:3" ht="30" x14ac:dyDescent="0.25">
      <c r="A8018" s="5" t="s">
        <v>145</v>
      </c>
      <c r="B8018" s="5" t="s">
        <v>124</v>
      </c>
      <c r="C8018" s="5" t="s">
        <v>8500</v>
      </c>
    </row>
    <row r="8019" spans="1:3" ht="30" x14ac:dyDescent="0.25">
      <c r="A8019" s="5" t="s">
        <v>145</v>
      </c>
      <c r="B8019" s="5" t="s">
        <v>125</v>
      </c>
      <c r="C8019" s="5" t="s">
        <v>8501</v>
      </c>
    </row>
    <row r="8020" spans="1:3" ht="30" x14ac:dyDescent="0.25">
      <c r="A8020" s="5" t="s">
        <v>145</v>
      </c>
      <c r="B8020" s="5" t="s">
        <v>630</v>
      </c>
      <c r="C8020" s="5" t="s">
        <v>8502</v>
      </c>
    </row>
    <row r="8021" spans="1:3" ht="30" x14ac:dyDescent="0.25">
      <c r="A8021" s="5" t="s">
        <v>145</v>
      </c>
      <c r="B8021" s="5" t="s">
        <v>128</v>
      </c>
      <c r="C8021" s="5" t="s">
        <v>8503</v>
      </c>
    </row>
    <row r="8022" spans="1:3" ht="30" x14ac:dyDescent="0.25">
      <c r="A8022" s="5" t="s">
        <v>145</v>
      </c>
      <c r="B8022" s="5" t="s">
        <v>130</v>
      </c>
      <c r="C8022" s="5" t="s">
        <v>8504</v>
      </c>
    </row>
    <row r="8023" spans="1:3" x14ac:dyDescent="0.25">
      <c r="A8023" s="5" t="s">
        <v>145</v>
      </c>
      <c r="B8023" s="5" t="s">
        <v>134</v>
      </c>
      <c r="C8023" s="5" t="s">
        <v>8505</v>
      </c>
    </row>
    <row r="8024" spans="1:3" x14ac:dyDescent="0.25">
      <c r="A8024" s="5" t="s">
        <v>145</v>
      </c>
      <c r="B8024" s="5" t="s">
        <v>135</v>
      </c>
      <c r="C8024" s="5" t="s">
        <v>8506</v>
      </c>
    </row>
    <row r="8025" spans="1:3" x14ac:dyDescent="0.25">
      <c r="A8025" s="5" t="s">
        <v>145</v>
      </c>
      <c r="B8025" s="5" t="s">
        <v>644</v>
      </c>
      <c r="C8025" s="5" t="s">
        <v>8507</v>
      </c>
    </row>
    <row r="8026" spans="1:3" ht="30" x14ac:dyDescent="0.25">
      <c r="A8026" s="5" t="s">
        <v>145</v>
      </c>
      <c r="B8026" s="5" t="s">
        <v>142</v>
      </c>
      <c r="C8026" s="5" t="s">
        <v>8508</v>
      </c>
    </row>
    <row r="8027" spans="1:3" x14ac:dyDescent="0.25">
      <c r="A8027" s="5" t="s">
        <v>145</v>
      </c>
      <c r="B8027" s="5" t="s">
        <v>144</v>
      </c>
      <c r="C8027" s="5" t="s">
        <v>8509</v>
      </c>
    </row>
    <row r="8028" spans="1:3" ht="30" x14ac:dyDescent="0.25">
      <c r="A8028" s="5" t="s">
        <v>145</v>
      </c>
      <c r="B8028" s="5" t="s">
        <v>656</v>
      </c>
      <c r="C8028" s="5" t="s">
        <v>8510</v>
      </c>
    </row>
    <row r="8029" spans="1:3" x14ac:dyDescent="0.25">
      <c r="A8029" s="5" t="s">
        <v>654</v>
      </c>
      <c r="B8029" s="5" t="s">
        <v>10</v>
      </c>
      <c r="C8029" s="5" t="s">
        <v>8511</v>
      </c>
    </row>
    <row r="8030" spans="1:3" x14ac:dyDescent="0.25">
      <c r="A8030" s="5" t="s">
        <v>654</v>
      </c>
      <c r="B8030" s="5" t="s">
        <v>419</v>
      </c>
      <c r="C8030" s="5" t="s">
        <v>8512</v>
      </c>
    </row>
    <row r="8031" spans="1:3" x14ac:dyDescent="0.25">
      <c r="A8031" s="5" t="s">
        <v>654</v>
      </c>
      <c r="B8031" s="5" t="s">
        <v>40</v>
      </c>
      <c r="C8031" s="5" t="s">
        <v>8513</v>
      </c>
    </row>
    <row r="8032" spans="1:3" ht="30" x14ac:dyDescent="0.25">
      <c r="A8032" s="5" t="s">
        <v>654</v>
      </c>
      <c r="B8032" s="5" t="s">
        <v>49</v>
      </c>
      <c r="C8032" s="5" t="s">
        <v>8514</v>
      </c>
    </row>
    <row r="8033" spans="1:3" x14ac:dyDescent="0.25">
      <c r="A8033" s="5" t="s">
        <v>654</v>
      </c>
      <c r="B8033" s="5" t="s">
        <v>188</v>
      </c>
      <c r="C8033" s="5" t="s">
        <v>8515</v>
      </c>
    </row>
    <row r="8034" spans="1:3" x14ac:dyDescent="0.25">
      <c r="A8034" s="5" t="s">
        <v>654</v>
      </c>
      <c r="B8034" s="5" t="s">
        <v>191</v>
      </c>
      <c r="C8034" s="5" t="s">
        <v>8516</v>
      </c>
    </row>
    <row r="8035" spans="1:3" x14ac:dyDescent="0.25">
      <c r="A8035" s="5" t="s">
        <v>656</v>
      </c>
      <c r="B8035" s="5" t="s">
        <v>10</v>
      </c>
      <c r="C8035" s="5" t="s">
        <v>8517</v>
      </c>
    </row>
    <row r="8036" spans="1:3" ht="30" x14ac:dyDescent="0.25">
      <c r="A8036" s="5" t="s">
        <v>656</v>
      </c>
      <c r="B8036" s="5" t="s">
        <v>19</v>
      </c>
      <c r="C8036" s="5" t="s">
        <v>8518</v>
      </c>
    </row>
    <row r="8037" spans="1:3" ht="30" x14ac:dyDescent="0.25">
      <c r="A8037" s="5" t="s">
        <v>656</v>
      </c>
      <c r="B8037" s="5" t="s">
        <v>36</v>
      </c>
      <c r="C8037" s="5" t="s">
        <v>8519</v>
      </c>
    </row>
    <row r="8038" spans="1:3" x14ac:dyDescent="0.25">
      <c r="A8038" s="5" t="s">
        <v>656</v>
      </c>
      <c r="B8038" s="5" t="s">
        <v>40</v>
      </c>
      <c r="C8038" s="5" t="s">
        <v>8520</v>
      </c>
    </row>
    <row r="8039" spans="1:3" ht="30" x14ac:dyDescent="0.25">
      <c r="A8039" s="5" t="s">
        <v>656</v>
      </c>
      <c r="B8039" s="5" t="s">
        <v>50</v>
      </c>
      <c r="C8039" s="5" t="s">
        <v>8521</v>
      </c>
    </row>
    <row r="8040" spans="1:3" x14ac:dyDescent="0.25">
      <c r="A8040" s="5" t="s">
        <v>656</v>
      </c>
      <c r="B8040" s="5" t="s">
        <v>57</v>
      </c>
      <c r="C8040" s="5" t="s">
        <v>8522</v>
      </c>
    </row>
    <row r="8041" spans="1:3" x14ac:dyDescent="0.25">
      <c r="A8041" s="5" t="s">
        <v>656</v>
      </c>
      <c r="B8041" s="5" t="s">
        <v>68</v>
      </c>
      <c r="C8041" s="5" t="s">
        <v>8523</v>
      </c>
    </row>
    <row r="8042" spans="1:3" ht="30" x14ac:dyDescent="0.25">
      <c r="A8042" s="5" t="s">
        <v>656</v>
      </c>
      <c r="B8042" s="5" t="s">
        <v>82</v>
      </c>
      <c r="C8042" s="5" t="s">
        <v>8524</v>
      </c>
    </row>
    <row r="8043" spans="1:3" ht="30" x14ac:dyDescent="0.25">
      <c r="A8043" s="5" t="s">
        <v>656</v>
      </c>
      <c r="B8043" s="5" t="s">
        <v>180</v>
      </c>
      <c r="C8043" s="5" t="s">
        <v>8525</v>
      </c>
    </row>
    <row r="8044" spans="1:3" ht="30" x14ac:dyDescent="0.25">
      <c r="A8044" s="5" t="s">
        <v>656</v>
      </c>
      <c r="B8044" s="5" t="s">
        <v>84</v>
      </c>
      <c r="C8044" s="5" t="s">
        <v>8526</v>
      </c>
    </row>
    <row r="8045" spans="1:3" ht="30" x14ac:dyDescent="0.25">
      <c r="A8045" s="5" t="s">
        <v>656</v>
      </c>
      <c r="B8045" s="5" t="s">
        <v>87</v>
      </c>
      <c r="C8045" s="5" t="s">
        <v>8527</v>
      </c>
    </row>
    <row r="8046" spans="1:3" ht="30" x14ac:dyDescent="0.25">
      <c r="A8046" s="5" t="s">
        <v>656</v>
      </c>
      <c r="B8046" s="5" t="s">
        <v>182</v>
      </c>
      <c r="C8046" s="5" t="s">
        <v>8528</v>
      </c>
    </row>
    <row r="8047" spans="1:3" ht="30" x14ac:dyDescent="0.25">
      <c r="A8047" s="5" t="s">
        <v>656</v>
      </c>
      <c r="B8047" s="5" t="s">
        <v>95</v>
      </c>
      <c r="C8047" s="5" t="s">
        <v>8529</v>
      </c>
    </row>
    <row r="8048" spans="1:3" x14ac:dyDescent="0.25">
      <c r="A8048" s="5" t="s">
        <v>656</v>
      </c>
      <c r="B8048" s="5" t="s">
        <v>99</v>
      </c>
      <c r="C8048" s="5" t="s">
        <v>8530</v>
      </c>
    </row>
    <row r="8049" spans="1:3" ht="30" x14ac:dyDescent="0.25">
      <c r="A8049" s="5" t="s">
        <v>656</v>
      </c>
      <c r="B8049" s="5" t="s">
        <v>185</v>
      </c>
      <c r="C8049" s="5" t="s">
        <v>8531</v>
      </c>
    </row>
    <row r="8050" spans="1:3" x14ac:dyDescent="0.25">
      <c r="A8050" s="5" t="s">
        <v>656</v>
      </c>
      <c r="B8050" s="5" t="s">
        <v>188</v>
      </c>
      <c r="C8050" s="5" t="s">
        <v>8532</v>
      </c>
    </row>
    <row r="8051" spans="1:3" ht="30" x14ac:dyDescent="0.25">
      <c r="A8051" s="5" t="s">
        <v>656</v>
      </c>
      <c r="B8051" s="5" t="s">
        <v>119</v>
      </c>
      <c r="C8051" s="5" t="s">
        <v>8533</v>
      </c>
    </row>
    <row r="8052" spans="1:3" ht="30" x14ac:dyDescent="0.25">
      <c r="A8052" s="5" t="s">
        <v>656</v>
      </c>
      <c r="B8052" s="5" t="s">
        <v>123</v>
      </c>
      <c r="C8052" s="5" t="s">
        <v>8534</v>
      </c>
    </row>
    <row r="8053" spans="1:3" x14ac:dyDescent="0.25">
      <c r="A8053" s="5" t="s">
        <v>656</v>
      </c>
      <c r="B8053" s="5" t="s">
        <v>191</v>
      </c>
      <c r="C8053" s="5" t="s">
        <v>8535</v>
      </c>
    </row>
    <row r="8054" spans="1:3" ht="30" x14ac:dyDescent="0.25">
      <c r="A8054" s="5" t="s">
        <v>656</v>
      </c>
      <c r="B8054" s="5" t="s">
        <v>138</v>
      </c>
      <c r="C8054" s="5" t="s">
        <v>8536</v>
      </c>
    </row>
    <row r="8055" spans="1:3" ht="30" x14ac:dyDescent="0.25">
      <c r="A8055" s="5" t="s">
        <v>656</v>
      </c>
      <c r="B8055" s="5" t="s">
        <v>145</v>
      </c>
      <c r="C8055" s="5" t="s">
        <v>8537</v>
      </c>
    </row>
    <row r="8056" spans="1:3" x14ac:dyDescent="0.25">
      <c r="A8056" s="5" t="s">
        <v>658</v>
      </c>
      <c r="B8056" s="5" t="s">
        <v>10</v>
      </c>
      <c r="C8056" s="5" t="s">
        <v>8538</v>
      </c>
    </row>
    <row r="8057" spans="1:3" ht="30" x14ac:dyDescent="0.25">
      <c r="A8057" s="5" t="s">
        <v>658</v>
      </c>
      <c r="B8057" s="5" t="s">
        <v>13</v>
      </c>
      <c r="C8057" s="5" t="s">
        <v>8539</v>
      </c>
    </row>
    <row r="8058" spans="1:3" ht="30" x14ac:dyDescent="0.25">
      <c r="A8058" s="5" t="s">
        <v>658</v>
      </c>
      <c r="B8058" s="5" t="s">
        <v>329</v>
      </c>
      <c r="C8058" s="5" t="s">
        <v>8540</v>
      </c>
    </row>
    <row r="8059" spans="1:3" ht="30" x14ac:dyDescent="0.25">
      <c r="A8059" s="5" t="s">
        <v>658</v>
      </c>
      <c r="B8059" s="5" t="s">
        <v>19</v>
      </c>
      <c r="C8059" s="5" t="s">
        <v>8541</v>
      </c>
    </row>
    <row r="8060" spans="1:3" ht="30" x14ac:dyDescent="0.25">
      <c r="A8060" s="5" t="s">
        <v>658</v>
      </c>
      <c r="B8060" s="5" t="s">
        <v>32</v>
      </c>
      <c r="C8060" s="5" t="s">
        <v>8542</v>
      </c>
    </row>
    <row r="8061" spans="1:3" x14ac:dyDescent="0.25">
      <c r="A8061" s="5" t="s">
        <v>658</v>
      </c>
      <c r="B8061" s="5" t="s">
        <v>40</v>
      </c>
      <c r="C8061" s="5" t="s">
        <v>8543</v>
      </c>
    </row>
    <row r="8062" spans="1:3" x14ac:dyDescent="0.25">
      <c r="A8062" s="5" t="s">
        <v>658</v>
      </c>
      <c r="B8062" s="5" t="s">
        <v>201</v>
      </c>
      <c r="C8062" s="5" t="s">
        <v>8544</v>
      </c>
    </row>
    <row r="8063" spans="1:3" ht="30" x14ac:dyDescent="0.25">
      <c r="A8063" s="5" t="s">
        <v>658</v>
      </c>
      <c r="B8063" s="5" t="s">
        <v>45</v>
      </c>
      <c r="C8063" s="5" t="s">
        <v>8545</v>
      </c>
    </row>
    <row r="8064" spans="1:3" ht="30" x14ac:dyDescent="0.25">
      <c r="A8064" s="5" t="s">
        <v>658</v>
      </c>
      <c r="B8064" s="5" t="s">
        <v>47</v>
      </c>
      <c r="C8064" s="5" t="s">
        <v>8546</v>
      </c>
    </row>
    <row r="8065" spans="1:3" ht="30" x14ac:dyDescent="0.25">
      <c r="A8065" s="5" t="s">
        <v>658</v>
      </c>
      <c r="B8065" s="5" t="s">
        <v>49</v>
      </c>
      <c r="C8065" s="5" t="s">
        <v>8547</v>
      </c>
    </row>
    <row r="8066" spans="1:3" ht="30" x14ac:dyDescent="0.25">
      <c r="A8066" s="5" t="s">
        <v>658</v>
      </c>
      <c r="B8066" s="5" t="s">
        <v>50</v>
      </c>
      <c r="C8066" s="5" t="s">
        <v>8548</v>
      </c>
    </row>
    <row r="8067" spans="1:3" ht="30" x14ac:dyDescent="0.25">
      <c r="A8067" s="5" t="s">
        <v>658</v>
      </c>
      <c r="B8067" s="5" t="s">
        <v>205</v>
      </c>
      <c r="C8067" s="5" t="s">
        <v>8549</v>
      </c>
    </row>
    <row r="8068" spans="1:3" x14ac:dyDescent="0.25">
      <c r="A8068" s="5" t="s">
        <v>658</v>
      </c>
      <c r="B8068" s="5" t="s">
        <v>176</v>
      </c>
      <c r="C8068" s="5" t="s">
        <v>8550</v>
      </c>
    </row>
    <row r="8069" spans="1:3" x14ac:dyDescent="0.25">
      <c r="A8069" s="5" t="s">
        <v>658</v>
      </c>
      <c r="B8069" s="5" t="s">
        <v>67</v>
      </c>
      <c r="C8069" s="5" t="s">
        <v>8551</v>
      </c>
    </row>
    <row r="8070" spans="1:3" x14ac:dyDescent="0.25">
      <c r="A8070" s="5" t="s">
        <v>658</v>
      </c>
      <c r="B8070" s="5" t="s">
        <v>71</v>
      </c>
      <c r="C8070" s="5" t="s">
        <v>8552</v>
      </c>
    </row>
    <row r="8071" spans="1:3" x14ac:dyDescent="0.25">
      <c r="A8071" s="5" t="s">
        <v>658</v>
      </c>
      <c r="B8071" s="5" t="s">
        <v>73</v>
      </c>
      <c r="C8071" s="5" t="s">
        <v>8553</v>
      </c>
    </row>
    <row r="8072" spans="1:3" ht="30" x14ac:dyDescent="0.25">
      <c r="A8072" s="5" t="s">
        <v>658</v>
      </c>
      <c r="B8072" s="5" t="s">
        <v>82</v>
      </c>
      <c r="C8072" s="5" t="s">
        <v>8554</v>
      </c>
    </row>
    <row r="8073" spans="1:3" ht="30" x14ac:dyDescent="0.25">
      <c r="A8073" s="5" t="s">
        <v>658</v>
      </c>
      <c r="B8073" s="5" t="s">
        <v>180</v>
      </c>
      <c r="C8073" s="5" t="s">
        <v>8555</v>
      </c>
    </row>
    <row r="8074" spans="1:3" ht="30" x14ac:dyDescent="0.25">
      <c r="A8074" s="5" t="s">
        <v>658</v>
      </c>
      <c r="B8074" s="5" t="s">
        <v>84</v>
      </c>
      <c r="C8074" s="5" t="s">
        <v>8556</v>
      </c>
    </row>
    <row r="8075" spans="1:3" ht="30" x14ac:dyDescent="0.25">
      <c r="A8075" s="5" t="s">
        <v>658</v>
      </c>
      <c r="B8075" s="5" t="s">
        <v>87</v>
      </c>
      <c r="C8075" s="5" t="s">
        <v>8557</v>
      </c>
    </row>
    <row r="8076" spans="1:3" ht="30" x14ac:dyDescent="0.25">
      <c r="A8076" s="5" t="s">
        <v>658</v>
      </c>
      <c r="B8076" s="5" t="s">
        <v>590</v>
      </c>
      <c r="C8076" s="5" t="s">
        <v>8558</v>
      </c>
    </row>
    <row r="8077" spans="1:3" ht="30" x14ac:dyDescent="0.25">
      <c r="A8077" s="5" t="s">
        <v>658</v>
      </c>
      <c r="B8077" s="5" t="s">
        <v>95</v>
      </c>
      <c r="C8077" s="5" t="s">
        <v>8559</v>
      </c>
    </row>
    <row r="8078" spans="1:3" ht="30" x14ac:dyDescent="0.25">
      <c r="A8078" s="5" t="s">
        <v>658</v>
      </c>
      <c r="B8078" s="5" t="s">
        <v>104</v>
      </c>
      <c r="C8078" s="5" t="s">
        <v>8560</v>
      </c>
    </row>
    <row r="8079" spans="1:3" x14ac:dyDescent="0.25">
      <c r="A8079" s="5" t="s">
        <v>658</v>
      </c>
      <c r="B8079" s="5" t="s">
        <v>188</v>
      </c>
      <c r="C8079" s="5" t="s">
        <v>8561</v>
      </c>
    </row>
    <row r="8080" spans="1:3" ht="30" x14ac:dyDescent="0.25">
      <c r="A8080" s="5" t="s">
        <v>658</v>
      </c>
      <c r="B8080" s="5" t="s">
        <v>124</v>
      </c>
      <c r="C8080" s="5" t="s">
        <v>8562</v>
      </c>
    </row>
    <row r="8081" spans="1:3" x14ac:dyDescent="0.25">
      <c r="A8081" s="5" t="s">
        <v>658</v>
      </c>
      <c r="B8081" s="5" t="s">
        <v>125</v>
      </c>
      <c r="C8081" s="5" t="s">
        <v>8563</v>
      </c>
    </row>
    <row r="8082" spans="1:3" x14ac:dyDescent="0.25">
      <c r="A8082" s="5" t="s">
        <v>658</v>
      </c>
      <c r="B8082" s="5" t="s">
        <v>191</v>
      </c>
      <c r="C8082" s="5" t="s">
        <v>8564</v>
      </c>
    </row>
    <row r="8083" spans="1:3" x14ac:dyDescent="0.25">
      <c r="A8083" s="5" t="s">
        <v>658</v>
      </c>
      <c r="B8083" s="5" t="s">
        <v>131</v>
      </c>
      <c r="C8083" s="5" t="s">
        <v>8565</v>
      </c>
    </row>
    <row r="8084" spans="1:3" x14ac:dyDescent="0.25">
      <c r="A8084" s="5" t="s">
        <v>658</v>
      </c>
      <c r="B8084" s="5" t="s">
        <v>135</v>
      </c>
      <c r="C8084" s="5" t="s">
        <v>8566</v>
      </c>
    </row>
    <row r="8085" spans="1:3" ht="30" x14ac:dyDescent="0.25">
      <c r="A8085" s="5" t="s">
        <v>658</v>
      </c>
      <c r="B8085" s="5" t="s">
        <v>138</v>
      </c>
      <c r="C8085" s="5" t="s">
        <v>8567</v>
      </c>
    </row>
    <row r="8086" spans="1:3" x14ac:dyDescent="0.25">
      <c r="A8086" s="5" t="s">
        <v>658</v>
      </c>
      <c r="B8086" s="5" t="s">
        <v>644</v>
      </c>
      <c r="C8086" s="5" t="s">
        <v>8568</v>
      </c>
    </row>
    <row r="8087" spans="1:3" x14ac:dyDescent="0.25">
      <c r="A8087" s="5" t="s">
        <v>658</v>
      </c>
      <c r="B8087" s="5" t="s">
        <v>668</v>
      </c>
      <c r="C8087" s="5" t="s">
        <v>8569</v>
      </c>
    </row>
    <row r="8088" spans="1:3" x14ac:dyDescent="0.25">
      <c r="A8088" s="5" t="s">
        <v>660</v>
      </c>
      <c r="B8088" s="5" t="s">
        <v>10</v>
      </c>
      <c r="C8088" s="5" t="s">
        <v>8570</v>
      </c>
    </row>
    <row r="8089" spans="1:3" ht="30" x14ac:dyDescent="0.25">
      <c r="A8089" s="5" t="s">
        <v>660</v>
      </c>
      <c r="B8089" s="5" t="s">
        <v>329</v>
      </c>
      <c r="C8089" s="5" t="s">
        <v>8571</v>
      </c>
    </row>
    <row r="8090" spans="1:3" x14ac:dyDescent="0.25">
      <c r="A8090" s="5" t="s">
        <v>660</v>
      </c>
      <c r="B8090" s="5" t="s">
        <v>344</v>
      </c>
      <c r="C8090" s="5" t="s">
        <v>8572</v>
      </c>
    </row>
    <row r="8091" spans="1:3" x14ac:dyDescent="0.25">
      <c r="A8091" s="5" t="s">
        <v>660</v>
      </c>
      <c r="B8091" s="5" t="s">
        <v>40</v>
      </c>
      <c r="C8091" s="5" t="s">
        <v>8573</v>
      </c>
    </row>
    <row r="8092" spans="1:3" ht="30" x14ac:dyDescent="0.25">
      <c r="A8092" s="5" t="s">
        <v>660</v>
      </c>
      <c r="B8092" s="5" t="s">
        <v>201</v>
      </c>
      <c r="C8092" s="5" t="s">
        <v>8574</v>
      </c>
    </row>
    <row r="8093" spans="1:3" ht="30" x14ac:dyDescent="0.25">
      <c r="A8093" s="5" t="s">
        <v>660</v>
      </c>
      <c r="B8093" s="5" t="s">
        <v>47</v>
      </c>
      <c r="C8093" s="5" t="s">
        <v>8575</v>
      </c>
    </row>
    <row r="8094" spans="1:3" ht="30" x14ac:dyDescent="0.25">
      <c r="A8094" s="5" t="s">
        <v>660</v>
      </c>
      <c r="B8094" s="5" t="s">
        <v>49</v>
      </c>
      <c r="C8094" s="5" t="s">
        <v>8576</v>
      </c>
    </row>
    <row r="8095" spans="1:3" ht="30" x14ac:dyDescent="0.25">
      <c r="A8095" s="5" t="s">
        <v>660</v>
      </c>
      <c r="B8095" s="5" t="s">
        <v>50</v>
      </c>
      <c r="C8095" s="5" t="s">
        <v>8577</v>
      </c>
    </row>
    <row r="8096" spans="1:3" ht="30" x14ac:dyDescent="0.25">
      <c r="A8096" s="5" t="s">
        <v>660</v>
      </c>
      <c r="B8096" s="5" t="s">
        <v>205</v>
      </c>
      <c r="C8096" s="5" t="s">
        <v>8578</v>
      </c>
    </row>
    <row r="8097" spans="1:3" x14ac:dyDescent="0.25">
      <c r="A8097" s="5" t="s">
        <v>660</v>
      </c>
      <c r="B8097" s="5" t="s">
        <v>67</v>
      </c>
      <c r="C8097" s="5" t="s">
        <v>8579</v>
      </c>
    </row>
    <row r="8098" spans="1:3" x14ac:dyDescent="0.25">
      <c r="A8098" s="5" t="s">
        <v>660</v>
      </c>
      <c r="B8098" s="5" t="s">
        <v>537</v>
      </c>
      <c r="C8098" s="5" t="s">
        <v>8580</v>
      </c>
    </row>
    <row r="8099" spans="1:3" x14ac:dyDescent="0.25">
      <c r="A8099" s="5" t="s">
        <v>660</v>
      </c>
      <c r="B8099" s="5" t="s">
        <v>71</v>
      </c>
      <c r="C8099" s="5" t="s">
        <v>8581</v>
      </c>
    </row>
    <row r="8100" spans="1:3" x14ac:dyDescent="0.25">
      <c r="A8100" s="5" t="s">
        <v>660</v>
      </c>
      <c r="B8100" s="5" t="s">
        <v>73</v>
      </c>
      <c r="C8100" s="5" t="s">
        <v>8582</v>
      </c>
    </row>
    <row r="8101" spans="1:3" ht="30" x14ac:dyDescent="0.25">
      <c r="A8101" s="5" t="s">
        <v>660</v>
      </c>
      <c r="B8101" s="5" t="s">
        <v>180</v>
      </c>
      <c r="C8101" s="5" t="s">
        <v>8583</v>
      </c>
    </row>
    <row r="8102" spans="1:3" ht="30" x14ac:dyDescent="0.25">
      <c r="A8102" s="5" t="s">
        <v>660</v>
      </c>
      <c r="B8102" s="5" t="s">
        <v>87</v>
      </c>
      <c r="C8102" s="5" t="s">
        <v>8584</v>
      </c>
    </row>
    <row r="8103" spans="1:3" ht="30" x14ac:dyDescent="0.25">
      <c r="A8103" s="5" t="s">
        <v>660</v>
      </c>
      <c r="B8103" s="5" t="s">
        <v>215</v>
      </c>
      <c r="C8103" s="5" t="s">
        <v>8585</v>
      </c>
    </row>
    <row r="8104" spans="1:3" ht="30" x14ac:dyDescent="0.25">
      <c r="A8104" s="5" t="s">
        <v>660</v>
      </c>
      <c r="B8104" s="5" t="s">
        <v>95</v>
      </c>
      <c r="C8104" s="5" t="s">
        <v>8586</v>
      </c>
    </row>
    <row r="8105" spans="1:3" ht="30" x14ac:dyDescent="0.25">
      <c r="A8105" s="5" t="s">
        <v>660</v>
      </c>
      <c r="B8105" s="5" t="s">
        <v>1214</v>
      </c>
      <c r="C8105" s="5" t="s">
        <v>8587</v>
      </c>
    </row>
    <row r="8106" spans="1:3" ht="30" x14ac:dyDescent="0.25">
      <c r="A8106" s="5" t="s">
        <v>660</v>
      </c>
      <c r="B8106" s="5" t="s">
        <v>100</v>
      </c>
      <c r="C8106" s="5" t="s">
        <v>8588</v>
      </c>
    </row>
    <row r="8107" spans="1:3" ht="30" x14ac:dyDescent="0.25">
      <c r="A8107" s="5" t="s">
        <v>660</v>
      </c>
      <c r="B8107" s="5" t="s">
        <v>104</v>
      </c>
      <c r="C8107" s="5" t="s">
        <v>8589</v>
      </c>
    </row>
    <row r="8108" spans="1:3" ht="30" x14ac:dyDescent="0.25">
      <c r="A8108" s="5" t="s">
        <v>660</v>
      </c>
      <c r="B8108" s="5" t="s">
        <v>772</v>
      </c>
      <c r="C8108" s="5" t="s">
        <v>8590</v>
      </c>
    </row>
    <row r="8109" spans="1:3" ht="30" x14ac:dyDescent="0.25">
      <c r="A8109" s="5" t="s">
        <v>660</v>
      </c>
      <c r="B8109" s="5" t="s">
        <v>124</v>
      </c>
      <c r="C8109" s="5" t="s">
        <v>8591</v>
      </c>
    </row>
    <row r="8110" spans="1:3" x14ac:dyDescent="0.25">
      <c r="A8110" s="5" t="s">
        <v>660</v>
      </c>
      <c r="B8110" s="5" t="s">
        <v>128</v>
      </c>
      <c r="C8110" s="5" t="s">
        <v>8592</v>
      </c>
    </row>
    <row r="8111" spans="1:3" ht="30" x14ac:dyDescent="0.25">
      <c r="A8111" s="5" t="s">
        <v>660</v>
      </c>
      <c r="B8111" s="5" t="s">
        <v>130</v>
      </c>
      <c r="C8111" s="5" t="s">
        <v>8593</v>
      </c>
    </row>
    <row r="8112" spans="1:3" x14ac:dyDescent="0.25">
      <c r="A8112" s="5" t="s">
        <v>660</v>
      </c>
      <c r="B8112" s="5" t="s">
        <v>131</v>
      </c>
      <c r="C8112" s="5" t="s">
        <v>8594</v>
      </c>
    </row>
    <row r="8113" spans="1:3" x14ac:dyDescent="0.25">
      <c r="A8113" s="5" t="s">
        <v>660</v>
      </c>
      <c r="B8113" s="5" t="s">
        <v>135</v>
      </c>
      <c r="C8113" s="5" t="s">
        <v>8595</v>
      </c>
    </row>
    <row r="8114" spans="1:3" x14ac:dyDescent="0.25">
      <c r="A8114" s="5" t="s">
        <v>662</v>
      </c>
      <c r="B8114" s="5" t="s">
        <v>10</v>
      </c>
      <c r="C8114" s="5" t="s">
        <v>8596</v>
      </c>
    </row>
    <row r="8115" spans="1:3" ht="30" x14ac:dyDescent="0.25">
      <c r="A8115" s="5" t="s">
        <v>662</v>
      </c>
      <c r="B8115" s="5" t="s">
        <v>329</v>
      </c>
      <c r="C8115" s="5" t="s">
        <v>8597</v>
      </c>
    </row>
    <row r="8116" spans="1:3" ht="30" x14ac:dyDescent="0.25">
      <c r="A8116" s="5" t="s">
        <v>662</v>
      </c>
      <c r="B8116" s="5" t="s">
        <v>24</v>
      </c>
      <c r="C8116" s="5" t="s">
        <v>8598</v>
      </c>
    </row>
    <row r="8117" spans="1:3" x14ac:dyDescent="0.25">
      <c r="A8117" s="5" t="s">
        <v>662</v>
      </c>
      <c r="B8117" s="5" t="s">
        <v>40</v>
      </c>
      <c r="C8117" s="5" t="s">
        <v>8599</v>
      </c>
    </row>
    <row r="8118" spans="1:3" ht="30" x14ac:dyDescent="0.25">
      <c r="A8118" s="5" t="s">
        <v>662</v>
      </c>
      <c r="B8118" s="5" t="s">
        <v>45</v>
      </c>
      <c r="C8118" s="5" t="s">
        <v>8600</v>
      </c>
    </row>
    <row r="8119" spans="1:3" ht="30" x14ac:dyDescent="0.25">
      <c r="A8119" s="5" t="s">
        <v>662</v>
      </c>
      <c r="B8119" s="5" t="s">
        <v>47</v>
      </c>
      <c r="C8119" s="5" t="s">
        <v>8601</v>
      </c>
    </row>
    <row r="8120" spans="1:3" ht="30" x14ac:dyDescent="0.25">
      <c r="A8120" s="5" t="s">
        <v>662</v>
      </c>
      <c r="B8120" s="5" t="s">
        <v>49</v>
      </c>
      <c r="C8120" s="5" t="s">
        <v>8602</v>
      </c>
    </row>
    <row r="8121" spans="1:3" ht="30" x14ac:dyDescent="0.25">
      <c r="A8121" s="5" t="s">
        <v>662</v>
      </c>
      <c r="B8121" s="5" t="s">
        <v>50</v>
      </c>
      <c r="C8121" s="5" t="s">
        <v>8603</v>
      </c>
    </row>
    <row r="8122" spans="1:3" ht="30" x14ac:dyDescent="0.25">
      <c r="A8122" s="5" t="s">
        <v>662</v>
      </c>
      <c r="B8122" s="5" t="s">
        <v>52</v>
      </c>
      <c r="C8122" s="5" t="s">
        <v>8604</v>
      </c>
    </row>
    <row r="8123" spans="1:3" x14ac:dyDescent="0.25">
      <c r="A8123" s="5" t="s">
        <v>662</v>
      </c>
      <c r="B8123" s="5" t="s">
        <v>176</v>
      </c>
      <c r="C8123" s="5" t="s">
        <v>8605</v>
      </c>
    </row>
    <row r="8124" spans="1:3" ht="30" x14ac:dyDescent="0.25">
      <c r="A8124" s="5" t="s">
        <v>662</v>
      </c>
      <c r="B8124" s="5" t="s">
        <v>74</v>
      </c>
      <c r="C8124" s="5" t="s">
        <v>8606</v>
      </c>
    </row>
    <row r="8125" spans="1:3" ht="30" x14ac:dyDescent="0.25">
      <c r="A8125" s="5" t="s">
        <v>662</v>
      </c>
      <c r="B8125" s="5" t="s">
        <v>87</v>
      </c>
      <c r="C8125" s="5" t="s">
        <v>8607</v>
      </c>
    </row>
    <row r="8126" spans="1:3" ht="30" x14ac:dyDescent="0.25">
      <c r="A8126" s="5" t="s">
        <v>662</v>
      </c>
      <c r="B8126" s="5" t="s">
        <v>95</v>
      </c>
      <c r="C8126" s="5" t="s">
        <v>8608</v>
      </c>
    </row>
    <row r="8127" spans="1:3" ht="30" x14ac:dyDescent="0.25">
      <c r="A8127" s="5" t="s">
        <v>662</v>
      </c>
      <c r="B8127" s="5" t="s">
        <v>185</v>
      </c>
      <c r="C8127" s="5" t="s">
        <v>8609</v>
      </c>
    </row>
    <row r="8128" spans="1:3" ht="30" x14ac:dyDescent="0.25">
      <c r="A8128" s="5" t="s">
        <v>662</v>
      </c>
      <c r="B8128" s="5" t="s">
        <v>102</v>
      </c>
      <c r="C8128" s="5" t="s">
        <v>8610</v>
      </c>
    </row>
    <row r="8129" spans="1:3" x14ac:dyDescent="0.25">
      <c r="A8129" s="5" t="s">
        <v>662</v>
      </c>
      <c r="B8129" s="5" t="s">
        <v>188</v>
      </c>
      <c r="C8129" s="5" t="s">
        <v>8611</v>
      </c>
    </row>
    <row r="8130" spans="1:3" x14ac:dyDescent="0.25">
      <c r="A8130" s="5" t="s">
        <v>662</v>
      </c>
      <c r="B8130" s="5" t="s">
        <v>191</v>
      </c>
      <c r="C8130" s="5" t="s">
        <v>8612</v>
      </c>
    </row>
    <row r="8131" spans="1:3" ht="30" x14ac:dyDescent="0.25">
      <c r="A8131" s="5" t="s">
        <v>2521</v>
      </c>
      <c r="B8131" s="5" t="s">
        <v>47</v>
      </c>
      <c r="C8131" s="5" t="s">
        <v>8613</v>
      </c>
    </row>
    <row r="8132" spans="1:3" ht="30" x14ac:dyDescent="0.25">
      <c r="A8132" s="5" t="s">
        <v>2521</v>
      </c>
      <c r="B8132" s="5" t="s">
        <v>73</v>
      </c>
      <c r="C8132" s="5" t="s">
        <v>8614</v>
      </c>
    </row>
    <row r="8133" spans="1:3" ht="30" x14ac:dyDescent="0.25">
      <c r="A8133" s="5" t="s">
        <v>2521</v>
      </c>
      <c r="B8133" s="5" t="s">
        <v>95</v>
      </c>
      <c r="C8133" s="5" t="s">
        <v>8615</v>
      </c>
    </row>
    <row r="8134" spans="1:3" ht="30" x14ac:dyDescent="0.25">
      <c r="A8134" s="5" t="s">
        <v>2521</v>
      </c>
      <c r="B8134" s="5" t="s">
        <v>130</v>
      </c>
      <c r="C8134" s="5" t="s">
        <v>8616</v>
      </c>
    </row>
    <row r="8135" spans="1:3" ht="30" x14ac:dyDescent="0.25">
      <c r="A8135" s="5" t="s">
        <v>2521</v>
      </c>
      <c r="B8135" s="5" t="s">
        <v>135</v>
      </c>
      <c r="C8135" s="5" t="s">
        <v>8617</v>
      </c>
    </row>
    <row r="8136" spans="1:3" ht="30" x14ac:dyDescent="0.25">
      <c r="A8136" s="5" t="s">
        <v>2521</v>
      </c>
      <c r="B8136" s="5" t="s">
        <v>2512</v>
      </c>
      <c r="C8136" s="5" t="s">
        <v>8618</v>
      </c>
    </row>
    <row r="8137" spans="1:3" ht="30" x14ac:dyDescent="0.25">
      <c r="A8137" s="5" t="s">
        <v>2738</v>
      </c>
      <c r="B8137" s="5" t="s">
        <v>49</v>
      </c>
      <c r="C8137" s="5" t="s">
        <v>8619</v>
      </c>
    </row>
    <row r="8138" spans="1:3" x14ac:dyDescent="0.25">
      <c r="A8138" s="5" t="s">
        <v>2738</v>
      </c>
      <c r="B8138" s="5" t="s">
        <v>67</v>
      </c>
      <c r="C8138" s="5" t="s">
        <v>8620</v>
      </c>
    </row>
    <row r="8139" spans="1:3" ht="30" x14ac:dyDescent="0.25">
      <c r="A8139" s="5" t="s">
        <v>2523</v>
      </c>
      <c r="B8139" s="5" t="s">
        <v>47</v>
      </c>
      <c r="C8139" s="5" t="s">
        <v>8621</v>
      </c>
    </row>
    <row r="8140" spans="1:3" ht="30" x14ac:dyDescent="0.25">
      <c r="A8140" s="5" t="s">
        <v>2523</v>
      </c>
      <c r="B8140" s="5" t="s">
        <v>49</v>
      </c>
      <c r="C8140" s="5" t="s">
        <v>8622</v>
      </c>
    </row>
    <row r="8141" spans="1:3" x14ac:dyDescent="0.25">
      <c r="A8141" s="5" t="s">
        <v>664</v>
      </c>
      <c r="B8141" s="5" t="s">
        <v>10</v>
      </c>
      <c r="C8141" s="5" t="s">
        <v>8623</v>
      </c>
    </row>
    <row r="8142" spans="1:3" x14ac:dyDescent="0.25">
      <c r="A8142" s="5" t="s">
        <v>664</v>
      </c>
      <c r="B8142" s="5" t="s">
        <v>13</v>
      </c>
      <c r="C8142" s="5" t="s">
        <v>8624</v>
      </c>
    </row>
    <row r="8143" spans="1:3" x14ac:dyDescent="0.25">
      <c r="A8143" s="5" t="s">
        <v>664</v>
      </c>
      <c r="B8143" s="5" t="s">
        <v>24</v>
      </c>
      <c r="C8143" s="5" t="s">
        <v>8625</v>
      </c>
    </row>
    <row r="8144" spans="1:3" x14ac:dyDescent="0.25">
      <c r="A8144" s="5" t="s">
        <v>664</v>
      </c>
      <c r="B8144" s="5" t="s">
        <v>32</v>
      </c>
      <c r="C8144" s="5" t="s">
        <v>8626</v>
      </c>
    </row>
    <row r="8145" spans="1:3" x14ac:dyDescent="0.25">
      <c r="A8145" s="5" t="s">
        <v>664</v>
      </c>
      <c r="B8145" s="5" t="s">
        <v>40</v>
      </c>
      <c r="C8145" s="5" t="s">
        <v>8627</v>
      </c>
    </row>
    <row r="8146" spans="1:3" ht="30" x14ac:dyDescent="0.25">
      <c r="A8146" s="5" t="s">
        <v>664</v>
      </c>
      <c r="B8146" s="5" t="s">
        <v>45</v>
      </c>
      <c r="C8146" s="5" t="s">
        <v>8628</v>
      </c>
    </row>
    <row r="8147" spans="1:3" ht="30" x14ac:dyDescent="0.25">
      <c r="A8147" s="5" t="s">
        <v>664</v>
      </c>
      <c r="B8147" s="5" t="s">
        <v>47</v>
      </c>
      <c r="C8147" s="5" t="s">
        <v>8629</v>
      </c>
    </row>
    <row r="8148" spans="1:3" ht="30" x14ac:dyDescent="0.25">
      <c r="A8148" s="5" t="s">
        <v>664</v>
      </c>
      <c r="B8148" s="5" t="s">
        <v>49</v>
      </c>
      <c r="C8148" s="5" t="s">
        <v>8630</v>
      </c>
    </row>
    <row r="8149" spans="1:3" ht="30" x14ac:dyDescent="0.25">
      <c r="A8149" s="5" t="s">
        <v>664</v>
      </c>
      <c r="B8149" s="5" t="s">
        <v>50</v>
      </c>
      <c r="C8149" s="5" t="s">
        <v>8631</v>
      </c>
    </row>
    <row r="8150" spans="1:3" ht="30" x14ac:dyDescent="0.25">
      <c r="A8150" s="5" t="s">
        <v>664</v>
      </c>
      <c r="B8150" s="5" t="s">
        <v>52</v>
      </c>
      <c r="C8150" s="5" t="s">
        <v>8632</v>
      </c>
    </row>
    <row r="8151" spans="1:3" x14ac:dyDescent="0.25">
      <c r="A8151" s="5" t="s">
        <v>664</v>
      </c>
      <c r="B8151" s="5" t="s">
        <v>57</v>
      </c>
      <c r="C8151" s="5" t="s">
        <v>8633</v>
      </c>
    </row>
    <row r="8152" spans="1:3" x14ac:dyDescent="0.25">
      <c r="A8152" s="5" t="s">
        <v>664</v>
      </c>
      <c r="B8152" s="5" t="s">
        <v>519</v>
      </c>
      <c r="C8152" s="5" t="s">
        <v>8634</v>
      </c>
    </row>
    <row r="8153" spans="1:3" ht="30" x14ac:dyDescent="0.25">
      <c r="A8153" s="5" t="s">
        <v>664</v>
      </c>
      <c r="B8153" s="5" t="s">
        <v>205</v>
      </c>
      <c r="C8153" s="5" t="s">
        <v>8635</v>
      </c>
    </row>
    <row r="8154" spans="1:3" x14ac:dyDescent="0.25">
      <c r="A8154" s="5" t="s">
        <v>664</v>
      </c>
      <c r="B8154" s="5" t="s">
        <v>176</v>
      </c>
      <c r="C8154" s="5" t="s">
        <v>8636</v>
      </c>
    </row>
    <row r="8155" spans="1:3" x14ac:dyDescent="0.25">
      <c r="A8155" s="5" t="s">
        <v>664</v>
      </c>
      <c r="B8155" s="5" t="s">
        <v>67</v>
      </c>
      <c r="C8155" s="5" t="s">
        <v>8637</v>
      </c>
    </row>
    <row r="8156" spans="1:3" x14ac:dyDescent="0.25">
      <c r="A8156" s="5" t="s">
        <v>664</v>
      </c>
      <c r="B8156" s="5" t="s">
        <v>71</v>
      </c>
      <c r="C8156" s="5" t="s">
        <v>8638</v>
      </c>
    </row>
    <row r="8157" spans="1:3" x14ac:dyDescent="0.25">
      <c r="A8157" s="5" t="s">
        <v>664</v>
      </c>
      <c r="B8157" s="5" t="s">
        <v>74</v>
      </c>
      <c r="C8157" s="5" t="s">
        <v>8639</v>
      </c>
    </row>
    <row r="8158" spans="1:3" ht="30" x14ac:dyDescent="0.25">
      <c r="A8158" s="5" t="s">
        <v>664</v>
      </c>
      <c r="B8158" s="5" t="s">
        <v>82</v>
      </c>
      <c r="C8158" s="5" t="s">
        <v>8640</v>
      </c>
    </row>
    <row r="8159" spans="1:3" ht="30" x14ac:dyDescent="0.25">
      <c r="A8159" s="5" t="s">
        <v>664</v>
      </c>
      <c r="B8159" s="5" t="s">
        <v>180</v>
      </c>
      <c r="C8159" s="5" t="s">
        <v>8641</v>
      </c>
    </row>
    <row r="8160" spans="1:3" x14ac:dyDescent="0.25">
      <c r="A8160" s="5" t="s">
        <v>664</v>
      </c>
      <c r="B8160" s="5" t="s">
        <v>84</v>
      </c>
      <c r="C8160" s="5" t="s">
        <v>8642</v>
      </c>
    </row>
    <row r="8161" spans="1:3" ht="30" x14ac:dyDescent="0.25">
      <c r="A8161" s="5" t="s">
        <v>664</v>
      </c>
      <c r="B8161" s="5" t="s">
        <v>87</v>
      </c>
      <c r="C8161" s="5" t="s">
        <v>8643</v>
      </c>
    </row>
    <row r="8162" spans="1:3" ht="30" x14ac:dyDescent="0.25">
      <c r="A8162" s="5" t="s">
        <v>664</v>
      </c>
      <c r="B8162" s="5" t="s">
        <v>182</v>
      </c>
      <c r="C8162" s="5" t="s">
        <v>8644</v>
      </c>
    </row>
    <row r="8163" spans="1:3" ht="30" x14ac:dyDescent="0.25">
      <c r="A8163" s="5" t="s">
        <v>664</v>
      </c>
      <c r="B8163" s="5" t="s">
        <v>95</v>
      </c>
      <c r="C8163" s="5" t="s">
        <v>8645</v>
      </c>
    </row>
    <row r="8164" spans="1:3" x14ac:dyDescent="0.25">
      <c r="A8164" s="5" t="s">
        <v>664</v>
      </c>
      <c r="B8164" s="5" t="s">
        <v>99</v>
      </c>
      <c r="C8164" s="5" t="s">
        <v>8646</v>
      </c>
    </row>
    <row r="8165" spans="1:3" ht="30" x14ac:dyDescent="0.25">
      <c r="A8165" s="5" t="s">
        <v>664</v>
      </c>
      <c r="B8165" s="5" t="s">
        <v>185</v>
      </c>
      <c r="C8165" s="5" t="s">
        <v>8647</v>
      </c>
    </row>
    <row r="8166" spans="1:3" x14ac:dyDescent="0.25">
      <c r="A8166" s="5" t="s">
        <v>664</v>
      </c>
      <c r="B8166" s="5" t="s">
        <v>102</v>
      </c>
      <c r="C8166" s="5" t="s">
        <v>8648</v>
      </c>
    </row>
    <row r="8167" spans="1:3" x14ac:dyDescent="0.25">
      <c r="A8167" s="5" t="s">
        <v>664</v>
      </c>
      <c r="B8167" s="5" t="s">
        <v>104</v>
      </c>
      <c r="C8167" s="5" t="s">
        <v>8649</v>
      </c>
    </row>
    <row r="8168" spans="1:3" x14ac:dyDescent="0.25">
      <c r="A8168" s="5" t="s">
        <v>664</v>
      </c>
      <c r="B8168" s="5" t="s">
        <v>188</v>
      </c>
      <c r="C8168" s="5" t="s">
        <v>8650</v>
      </c>
    </row>
    <row r="8169" spans="1:3" x14ac:dyDescent="0.25">
      <c r="A8169" s="5" t="s">
        <v>664</v>
      </c>
      <c r="B8169" s="5" t="s">
        <v>106</v>
      </c>
      <c r="C8169" s="5" t="s">
        <v>8651</v>
      </c>
    </row>
    <row r="8170" spans="1:3" x14ac:dyDescent="0.25">
      <c r="A8170" s="5" t="s">
        <v>664</v>
      </c>
      <c r="B8170" s="5" t="s">
        <v>612</v>
      </c>
      <c r="C8170" s="5" t="s">
        <v>8652</v>
      </c>
    </row>
    <row r="8171" spans="1:3" ht="30" x14ac:dyDescent="0.25">
      <c r="A8171" s="5" t="s">
        <v>664</v>
      </c>
      <c r="B8171" s="5" t="s">
        <v>617</v>
      </c>
      <c r="C8171" s="5" t="s">
        <v>8653</v>
      </c>
    </row>
    <row r="8172" spans="1:3" x14ac:dyDescent="0.25">
      <c r="A8172" s="5" t="s">
        <v>664</v>
      </c>
      <c r="B8172" s="5" t="s">
        <v>191</v>
      </c>
      <c r="C8172" s="5" t="s">
        <v>8654</v>
      </c>
    </row>
    <row r="8173" spans="1:3" x14ac:dyDescent="0.25">
      <c r="A8173" s="5" t="s">
        <v>664</v>
      </c>
      <c r="B8173" s="5" t="s">
        <v>138</v>
      </c>
      <c r="C8173" s="5" t="s">
        <v>8655</v>
      </c>
    </row>
    <row r="8174" spans="1:3" x14ac:dyDescent="0.25">
      <c r="A8174" s="5" t="s">
        <v>664</v>
      </c>
      <c r="B8174" s="5" t="s">
        <v>668</v>
      </c>
      <c r="C8174" s="5" t="s">
        <v>8656</v>
      </c>
    </row>
    <row r="8175" spans="1:3" x14ac:dyDescent="0.25">
      <c r="A8175" s="5" t="s">
        <v>1568</v>
      </c>
      <c r="B8175" s="5" t="s">
        <v>1561</v>
      </c>
      <c r="C8175" s="5" t="s">
        <v>8657</v>
      </c>
    </row>
    <row r="8176" spans="1:3" ht="30" x14ac:dyDescent="0.25">
      <c r="A8176" s="5" t="s">
        <v>1568</v>
      </c>
      <c r="B8176" s="5" t="s">
        <v>95</v>
      </c>
      <c r="C8176" s="5" t="s">
        <v>8658</v>
      </c>
    </row>
    <row r="8177" spans="1:3" x14ac:dyDescent="0.25">
      <c r="A8177" s="5" t="s">
        <v>4</v>
      </c>
      <c r="B8177" s="5" t="s">
        <v>57</v>
      </c>
      <c r="C8177" s="5" t="s">
        <v>8659</v>
      </c>
    </row>
    <row r="8178" spans="1:3" ht="30" x14ac:dyDescent="0.25">
      <c r="A8178" s="5" t="s">
        <v>4</v>
      </c>
      <c r="B8178" s="5" t="s">
        <v>571</v>
      </c>
      <c r="C8178" s="5" t="s">
        <v>8660</v>
      </c>
    </row>
    <row r="8179" spans="1:3" ht="30" x14ac:dyDescent="0.25">
      <c r="A8179" s="5" t="s">
        <v>4</v>
      </c>
      <c r="B8179" s="5" t="s">
        <v>89</v>
      </c>
      <c r="C8179" s="5" t="s">
        <v>8661</v>
      </c>
    </row>
    <row r="8180" spans="1:3" x14ac:dyDescent="0.25">
      <c r="A8180" s="5" t="s">
        <v>4</v>
      </c>
      <c r="B8180" s="5" t="s">
        <v>99</v>
      </c>
      <c r="C8180" s="5" t="s">
        <v>8662</v>
      </c>
    </row>
    <row r="8181" spans="1:3" ht="30" x14ac:dyDescent="0.25">
      <c r="A8181" s="5" t="s">
        <v>4</v>
      </c>
      <c r="B8181" s="5" t="s">
        <v>185</v>
      </c>
      <c r="C8181" s="5" t="s">
        <v>8663</v>
      </c>
    </row>
    <row r="8182" spans="1:3" x14ac:dyDescent="0.25">
      <c r="A8182" s="5" t="s">
        <v>4</v>
      </c>
      <c r="B8182" s="5" t="s">
        <v>188</v>
      </c>
      <c r="C8182" s="5" t="s">
        <v>8664</v>
      </c>
    </row>
    <row r="8183" spans="1:3" ht="30" x14ac:dyDescent="0.25">
      <c r="A8183" s="5" t="s">
        <v>4</v>
      </c>
      <c r="B8183" s="5" t="s">
        <v>191</v>
      </c>
      <c r="C8183" s="5" t="s">
        <v>8665</v>
      </c>
    </row>
    <row r="8184" spans="1:3" ht="30" x14ac:dyDescent="0.25">
      <c r="A8184" s="5" t="s">
        <v>4</v>
      </c>
      <c r="B8184" s="5" t="s">
        <v>138</v>
      </c>
      <c r="C8184" s="5" t="s">
        <v>8666</v>
      </c>
    </row>
    <row r="8185" spans="1:3" ht="30" x14ac:dyDescent="0.25">
      <c r="A8185" s="5" t="s">
        <v>4</v>
      </c>
      <c r="B8185" s="5" t="s">
        <v>668</v>
      </c>
      <c r="C8185" s="5" t="s">
        <v>8667</v>
      </c>
    </row>
    <row r="8186" spans="1:3" x14ac:dyDescent="0.25">
      <c r="A8186" s="5" t="s">
        <v>4068</v>
      </c>
      <c r="B8186" s="5" t="s">
        <v>67</v>
      </c>
      <c r="C8186" s="5" t="s">
        <v>8668</v>
      </c>
    </row>
    <row r="8187" spans="1:3" ht="30" x14ac:dyDescent="0.25">
      <c r="A8187" s="5" t="s">
        <v>1952</v>
      </c>
      <c r="B8187" s="5" t="s">
        <v>1949</v>
      </c>
      <c r="C8187" s="5" t="s">
        <v>8669</v>
      </c>
    </row>
    <row r="8188" spans="1:3" ht="30" x14ac:dyDescent="0.25">
      <c r="A8188" s="5" t="s">
        <v>1952</v>
      </c>
      <c r="B8188" s="5" t="s">
        <v>47</v>
      </c>
      <c r="C8188" s="5" t="s">
        <v>8670</v>
      </c>
    </row>
    <row r="8189" spans="1:3" x14ac:dyDescent="0.25">
      <c r="A8189" s="5" t="s">
        <v>666</v>
      </c>
      <c r="B8189" s="5" t="s">
        <v>10</v>
      </c>
      <c r="C8189" s="5" t="s">
        <v>8671</v>
      </c>
    </row>
    <row r="8190" spans="1:3" x14ac:dyDescent="0.25">
      <c r="A8190" s="5" t="s">
        <v>668</v>
      </c>
      <c r="B8190" s="5" t="s">
        <v>10</v>
      </c>
      <c r="C8190" s="5" t="s">
        <v>8672</v>
      </c>
    </row>
    <row r="8191" spans="1:3" ht="30" x14ac:dyDescent="0.25">
      <c r="A8191" s="5" t="s">
        <v>668</v>
      </c>
      <c r="B8191" s="5" t="s">
        <v>13</v>
      </c>
      <c r="C8191" s="5" t="s">
        <v>8673</v>
      </c>
    </row>
    <row r="8192" spans="1:3" ht="30" x14ac:dyDescent="0.25">
      <c r="A8192" s="5" t="s">
        <v>668</v>
      </c>
      <c r="B8192" s="5" t="s">
        <v>419</v>
      </c>
      <c r="C8192" s="5" t="s">
        <v>8674</v>
      </c>
    </row>
    <row r="8193" spans="1:3" ht="30" x14ac:dyDescent="0.25">
      <c r="A8193" s="5" t="s">
        <v>668</v>
      </c>
      <c r="B8193" s="5" t="s">
        <v>841</v>
      </c>
      <c r="C8193" s="5" t="s">
        <v>8675</v>
      </c>
    </row>
    <row r="8194" spans="1:3" ht="30" x14ac:dyDescent="0.25">
      <c r="A8194" s="5" t="s">
        <v>668</v>
      </c>
      <c r="B8194" s="5" t="s">
        <v>427</v>
      </c>
      <c r="C8194" s="5" t="s">
        <v>8676</v>
      </c>
    </row>
    <row r="8195" spans="1:3" ht="30" x14ac:dyDescent="0.25">
      <c r="A8195" s="5" t="s">
        <v>668</v>
      </c>
      <c r="B8195" s="5" t="s">
        <v>19</v>
      </c>
      <c r="C8195" s="5" t="s">
        <v>8677</v>
      </c>
    </row>
    <row r="8196" spans="1:3" ht="30" x14ac:dyDescent="0.25">
      <c r="A8196" s="5" t="s">
        <v>668</v>
      </c>
      <c r="B8196" s="5" t="s">
        <v>24</v>
      </c>
      <c r="C8196" s="5" t="s">
        <v>8678</v>
      </c>
    </row>
    <row r="8197" spans="1:3" ht="30" x14ac:dyDescent="0.25">
      <c r="A8197" s="5" t="s">
        <v>668</v>
      </c>
      <c r="B8197" s="5" t="s">
        <v>32</v>
      </c>
      <c r="C8197" s="5" t="s">
        <v>8679</v>
      </c>
    </row>
    <row r="8198" spans="1:3" ht="30" x14ac:dyDescent="0.25">
      <c r="A8198" s="5" t="s">
        <v>668</v>
      </c>
      <c r="B8198" s="5" t="s">
        <v>1655</v>
      </c>
      <c r="C8198" s="5" t="s">
        <v>8680</v>
      </c>
    </row>
    <row r="8199" spans="1:3" x14ac:dyDescent="0.25">
      <c r="A8199" s="5" t="s">
        <v>668</v>
      </c>
      <c r="B8199" s="5" t="s">
        <v>38</v>
      </c>
      <c r="C8199" s="5" t="s">
        <v>8681</v>
      </c>
    </row>
    <row r="8200" spans="1:3" x14ac:dyDescent="0.25">
      <c r="A8200" s="5" t="s">
        <v>668</v>
      </c>
      <c r="B8200" s="5" t="s">
        <v>40</v>
      </c>
      <c r="C8200" s="5" t="s">
        <v>8682</v>
      </c>
    </row>
    <row r="8201" spans="1:3" ht="30" x14ac:dyDescent="0.25">
      <c r="A8201" s="5" t="s">
        <v>668</v>
      </c>
      <c r="B8201" s="5" t="s">
        <v>462</v>
      </c>
      <c r="C8201" s="5" t="s">
        <v>8683</v>
      </c>
    </row>
    <row r="8202" spans="1:3" ht="30" x14ac:dyDescent="0.25">
      <c r="A8202" s="5" t="s">
        <v>668</v>
      </c>
      <c r="B8202" s="5" t="s">
        <v>201</v>
      </c>
      <c r="C8202" s="5" t="s">
        <v>8684</v>
      </c>
    </row>
    <row r="8203" spans="1:3" ht="30" x14ac:dyDescent="0.25">
      <c r="A8203" s="5" t="s">
        <v>668</v>
      </c>
      <c r="B8203" s="5" t="s">
        <v>467</v>
      </c>
      <c r="C8203" s="5" t="s">
        <v>8685</v>
      </c>
    </row>
    <row r="8204" spans="1:3" ht="30" x14ac:dyDescent="0.25">
      <c r="A8204" s="5" t="s">
        <v>668</v>
      </c>
      <c r="B8204" s="5" t="s">
        <v>45</v>
      </c>
      <c r="C8204" s="5" t="s">
        <v>8686</v>
      </c>
    </row>
    <row r="8205" spans="1:3" ht="30" x14ac:dyDescent="0.25">
      <c r="A8205" s="5" t="s">
        <v>668</v>
      </c>
      <c r="B8205" s="5" t="s">
        <v>47</v>
      </c>
      <c r="C8205" s="5" t="s">
        <v>8687</v>
      </c>
    </row>
    <row r="8206" spans="1:3" ht="30" x14ac:dyDescent="0.25">
      <c r="A8206" s="5" t="s">
        <v>668</v>
      </c>
      <c r="B8206" s="5" t="s">
        <v>49</v>
      </c>
      <c r="C8206" s="5" t="s">
        <v>8688</v>
      </c>
    </row>
    <row r="8207" spans="1:3" ht="30" x14ac:dyDescent="0.25">
      <c r="A8207" s="5" t="s">
        <v>668</v>
      </c>
      <c r="B8207" s="5" t="s">
        <v>474</v>
      </c>
      <c r="C8207" s="5" t="s">
        <v>8689</v>
      </c>
    </row>
    <row r="8208" spans="1:3" ht="30" x14ac:dyDescent="0.25">
      <c r="A8208" s="5" t="s">
        <v>668</v>
      </c>
      <c r="B8208" s="5" t="s">
        <v>485</v>
      </c>
      <c r="C8208" s="5" t="s">
        <v>8690</v>
      </c>
    </row>
    <row r="8209" spans="1:3" ht="30" x14ac:dyDescent="0.25">
      <c r="A8209" s="5" t="s">
        <v>668</v>
      </c>
      <c r="B8209" s="5" t="s">
        <v>52</v>
      </c>
      <c r="C8209" s="5" t="s">
        <v>8691</v>
      </c>
    </row>
    <row r="8210" spans="1:3" ht="30" x14ac:dyDescent="0.25">
      <c r="A8210" s="5" t="s">
        <v>668</v>
      </c>
      <c r="B8210" s="5" t="s">
        <v>515</v>
      </c>
      <c r="C8210" s="5" t="s">
        <v>8692</v>
      </c>
    </row>
    <row r="8211" spans="1:3" ht="30" x14ac:dyDescent="0.25">
      <c r="A8211" s="5" t="s">
        <v>668</v>
      </c>
      <c r="B8211" s="5" t="s">
        <v>205</v>
      </c>
      <c r="C8211" s="5" t="s">
        <v>8693</v>
      </c>
    </row>
    <row r="8212" spans="1:3" ht="30" x14ac:dyDescent="0.25">
      <c r="A8212" s="5" t="s">
        <v>668</v>
      </c>
      <c r="B8212" s="5" t="s">
        <v>1793</v>
      </c>
      <c r="C8212" s="5" t="s">
        <v>8694</v>
      </c>
    </row>
    <row r="8213" spans="1:3" x14ac:dyDescent="0.25">
      <c r="A8213" s="5" t="s">
        <v>668</v>
      </c>
      <c r="B8213" s="5" t="s">
        <v>67</v>
      </c>
      <c r="C8213" s="5" t="s">
        <v>8695</v>
      </c>
    </row>
    <row r="8214" spans="1:3" x14ac:dyDescent="0.25">
      <c r="A8214" s="5" t="s">
        <v>668</v>
      </c>
      <c r="B8214" s="5" t="s">
        <v>533</v>
      </c>
      <c r="C8214" s="5" t="s">
        <v>8696</v>
      </c>
    </row>
    <row r="8215" spans="1:3" ht="30" x14ac:dyDescent="0.25">
      <c r="A8215" s="5" t="s">
        <v>668</v>
      </c>
      <c r="B8215" s="5" t="s">
        <v>537</v>
      </c>
      <c r="C8215" s="5" t="s">
        <v>8697</v>
      </c>
    </row>
    <row r="8216" spans="1:3" x14ac:dyDescent="0.25">
      <c r="A8216" s="5" t="s">
        <v>668</v>
      </c>
      <c r="B8216" s="5" t="s">
        <v>71</v>
      </c>
      <c r="C8216" s="5" t="s">
        <v>8698</v>
      </c>
    </row>
    <row r="8217" spans="1:3" x14ac:dyDescent="0.25">
      <c r="A8217" s="5" t="s">
        <v>668</v>
      </c>
      <c r="B8217" s="5" t="s">
        <v>740</v>
      </c>
      <c r="C8217" s="5" t="s">
        <v>8699</v>
      </c>
    </row>
    <row r="8218" spans="1:3" x14ac:dyDescent="0.25">
      <c r="A8218" s="5" t="s">
        <v>668</v>
      </c>
      <c r="B8218" s="5" t="s">
        <v>549</v>
      </c>
      <c r="C8218" s="5" t="s">
        <v>8700</v>
      </c>
    </row>
    <row r="8219" spans="1:3" ht="30" x14ac:dyDescent="0.25">
      <c r="A8219" s="5" t="s">
        <v>668</v>
      </c>
      <c r="B8219" s="5" t="s">
        <v>74</v>
      </c>
      <c r="C8219" s="5" t="s">
        <v>8701</v>
      </c>
    </row>
    <row r="8220" spans="1:3" x14ac:dyDescent="0.25">
      <c r="A8220" s="5" t="s">
        <v>668</v>
      </c>
      <c r="B8220" s="5" t="s">
        <v>554</v>
      </c>
      <c r="C8220" s="5" t="s">
        <v>8702</v>
      </c>
    </row>
    <row r="8221" spans="1:3" ht="30" x14ac:dyDescent="0.25">
      <c r="A8221" s="5" t="s">
        <v>668</v>
      </c>
      <c r="B8221" s="5" t="s">
        <v>80</v>
      </c>
      <c r="C8221" s="5" t="s">
        <v>8703</v>
      </c>
    </row>
    <row r="8222" spans="1:3" ht="30" x14ac:dyDescent="0.25">
      <c r="A8222" s="5" t="s">
        <v>668</v>
      </c>
      <c r="B8222" s="5" t="s">
        <v>180</v>
      </c>
      <c r="C8222" s="5" t="s">
        <v>8704</v>
      </c>
    </row>
    <row r="8223" spans="1:3" ht="30" x14ac:dyDescent="0.25">
      <c r="A8223" s="5" t="s">
        <v>668</v>
      </c>
      <c r="B8223" s="5" t="s">
        <v>563</v>
      </c>
      <c r="C8223" s="5" t="s">
        <v>8705</v>
      </c>
    </row>
    <row r="8224" spans="1:3" ht="30" x14ac:dyDescent="0.25">
      <c r="A8224" s="5" t="s">
        <v>668</v>
      </c>
      <c r="B8224" s="5" t="s">
        <v>85</v>
      </c>
      <c r="C8224" s="5" t="s">
        <v>8706</v>
      </c>
    </row>
    <row r="8225" spans="1:3" ht="30" x14ac:dyDescent="0.25">
      <c r="A8225" s="5" t="s">
        <v>668</v>
      </c>
      <c r="B8225" s="5" t="s">
        <v>87</v>
      </c>
      <c r="C8225" s="5" t="s">
        <v>8707</v>
      </c>
    </row>
    <row r="8226" spans="1:3" ht="30" x14ac:dyDescent="0.25">
      <c r="A8226" s="5" t="s">
        <v>668</v>
      </c>
      <c r="B8226" s="5" t="s">
        <v>590</v>
      </c>
      <c r="C8226" s="5" t="s">
        <v>8708</v>
      </c>
    </row>
    <row r="8227" spans="1:3" ht="30" x14ac:dyDescent="0.25">
      <c r="A8227" s="5" t="s">
        <v>668</v>
      </c>
      <c r="B8227" s="5" t="s">
        <v>592</v>
      </c>
      <c r="C8227" s="5" t="s">
        <v>8709</v>
      </c>
    </row>
    <row r="8228" spans="1:3" ht="30" x14ac:dyDescent="0.25">
      <c r="A8228" s="5" t="s">
        <v>668</v>
      </c>
      <c r="B8228" s="5" t="s">
        <v>95</v>
      </c>
      <c r="C8228" s="5" t="s">
        <v>8710</v>
      </c>
    </row>
    <row r="8229" spans="1:3" ht="30" x14ac:dyDescent="0.25">
      <c r="A8229" s="5" t="s">
        <v>668</v>
      </c>
      <c r="B8229" s="5" t="s">
        <v>102</v>
      </c>
      <c r="C8229" s="5" t="s">
        <v>8711</v>
      </c>
    </row>
    <row r="8230" spans="1:3" x14ac:dyDescent="0.25">
      <c r="A8230" s="5" t="s">
        <v>668</v>
      </c>
      <c r="B8230" s="5" t="s">
        <v>604</v>
      </c>
      <c r="C8230" s="5" t="s">
        <v>8712</v>
      </c>
    </row>
    <row r="8231" spans="1:3" x14ac:dyDescent="0.25">
      <c r="A8231" s="5" t="s">
        <v>668</v>
      </c>
      <c r="B8231" s="5" t="s">
        <v>106</v>
      </c>
      <c r="C8231" s="5" t="s">
        <v>8713</v>
      </c>
    </row>
    <row r="8232" spans="1:3" ht="30" x14ac:dyDescent="0.25">
      <c r="A8232" s="5" t="s">
        <v>668</v>
      </c>
      <c r="B8232" s="5" t="s">
        <v>119</v>
      </c>
      <c r="C8232" s="5" t="s">
        <v>8714</v>
      </c>
    </row>
    <row r="8233" spans="1:3" ht="30" x14ac:dyDescent="0.25">
      <c r="A8233" s="5" t="s">
        <v>668</v>
      </c>
      <c r="B8233" s="5" t="s">
        <v>896</v>
      </c>
      <c r="C8233" s="5" t="s">
        <v>8715</v>
      </c>
    </row>
    <row r="8234" spans="1:3" ht="30" x14ac:dyDescent="0.25">
      <c r="A8234" s="5" t="s">
        <v>668</v>
      </c>
      <c r="B8234" s="5" t="s">
        <v>630</v>
      </c>
      <c r="C8234" s="5" t="s">
        <v>8716</v>
      </c>
    </row>
    <row r="8235" spans="1:3" ht="30" x14ac:dyDescent="0.25">
      <c r="A8235" s="5" t="s">
        <v>668</v>
      </c>
      <c r="B8235" s="5" t="s">
        <v>634</v>
      </c>
      <c r="C8235" s="5" t="s">
        <v>8717</v>
      </c>
    </row>
    <row r="8236" spans="1:3" ht="30" x14ac:dyDescent="0.25">
      <c r="A8236" s="5" t="s">
        <v>668</v>
      </c>
      <c r="B8236" s="5" t="s">
        <v>636</v>
      </c>
      <c r="C8236" s="5" t="s">
        <v>8718</v>
      </c>
    </row>
    <row r="8237" spans="1:3" ht="30" x14ac:dyDescent="0.25">
      <c r="A8237" s="5" t="s">
        <v>668</v>
      </c>
      <c r="B8237" s="5" t="s">
        <v>138</v>
      </c>
      <c r="C8237" s="5" t="s">
        <v>8719</v>
      </c>
    </row>
    <row r="8238" spans="1:3" x14ac:dyDescent="0.25">
      <c r="A8238" s="5" t="s">
        <v>668</v>
      </c>
      <c r="B8238" s="5" t="s">
        <v>911</v>
      </c>
      <c r="C8238" s="5" t="s">
        <v>8720</v>
      </c>
    </row>
    <row r="8239" spans="1:3" x14ac:dyDescent="0.25">
      <c r="A8239" s="5" t="s">
        <v>668</v>
      </c>
      <c r="B8239" s="5" t="s">
        <v>644</v>
      </c>
      <c r="C8239" s="5" t="s">
        <v>8721</v>
      </c>
    </row>
    <row r="8240" spans="1:3" ht="30" x14ac:dyDescent="0.25">
      <c r="A8240" s="5" t="s">
        <v>668</v>
      </c>
      <c r="B8240" s="5" t="s">
        <v>142</v>
      </c>
      <c r="C8240" s="5" t="s">
        <v>8722</v>
      </c>
    </row>
    <row r="8241" spans="1:3" ht="30" x14ac:dyDescent="0.25">
      <c r="A8241" s="5" t="s">
        <v>668</v>
      </c>
      <c r="B8241" s="5" t="s">
        <v>913</v>
      </c>
      <c r="C8241" s="5" t="s">
        <v>8723</v>
      </c>
    </row>
    <row r="8242" spans="1:3" x14ac:dyDescent="0.25">
      <c r="A8242" s="5" t="s">
        <v>668</v>
      </c>
      <c r="B8242" s="5" t="s">
        <v>658</v>
      </c>
      <c r="C8242" s="5" t="s">
        <v>8724</v>
      </c>
    </row>
    <row r="8243" spans="1:3" x14ac:dyDescent="0.25">
      <c r="A8243" s="5" t="s">
        <v>668</v>
      </c>
      <c r="B8243" s="5" t="s">
        <v>664</v>
      </c>
      <c r="C8243" s="5" t="s">
        <v>8725</v>
      </c>
    </row>
    <row r="8244" spans="1:3" ht="30" x14ac:dyDescent="0.25">
      <c r="A8244" s="5" t="s">
        <v>668</v>
      </c>
      <c r="B8244" s="5" t="s">
        <v>4</v>
      </c>
      <c r="C8244" s="5" t="s">
        <v>8726</v>
      </c>
    </row>
    <row r="8245" spans="1:3" ht="30" x14ac:dyDescent="0.25">
      <c r="A8245" s="5" t="s">
        <v>668</v>
      </c>
      <c r="B8245" s="5" t="s">
        <v>670</v>
      </c>
      <c r="C8245" s="5" t="s">
        <v>8727</v>
      </c>
    </row>
    <row r="8246" spans="1:3" ht="30" x14ac:dyDescent="0.25">
      <c r="A8246" s="5" t="s">
        <v>4417</v>
      </c>
      <c r="B8246" s="5" t="s">
        <v>4385</v>
      </c>
      <c r="C8246" s="5" t="s">
        <v>8728</v>
      </c>
    </row>
    <row r="8247" spans="1:3" ht="30" x14ac:dyDescent="0.25">
      <c r="A8247" s="5" t="s">
        <v>4417</v>
      </c>
      <c r="B8247" s="5" t="s">
        <v>4387</v>
      </c>
      <c r="C8247" s="5" t="s">
        <v>8729</v>
      </c>
    </row>
    <row r="8248" spans="1:3" ht="30" x14ac:dyDescent="0.25">
      <c r="A8248" s="5" t="s">
        <v>2528</v>
      </c>
      <c r="B8248" s="5" t="s">
        <v>47</v>
      </c>
      <c r="C8248" s="5" t="s">
        <v>8730</v>
      </c>
    </row>
    <row r="8249" spans="1:3" ht="30" x14ac:dyDescent="0.25">
      <c r="A8249" s="5" t="s">
        <v>2528</v>
      </c>
      <c r="B8249" s="5" t="s">
        <v>135</v>
      </c>
      <c r="C8249" s="5" t="s">
        <v>8731</v>
      </c>
    </row>
    <row r="8250" spans="1:3" ht="30" x14ac:dyDescent="0.25">
      <c r="A8250" s="5" t="s">
        <v>670</v>
      </c>
      <c r="B8250" s="5" t="s">
        <v>10</v>
      </c>
      <c r="C8250" s="5" t="s">
        <v>8732</v>
      </c>
    </row>
    <row r="8251" spans="1:3" ht="30" x14ac:dyDescent="0.25">
      <c r="A8251" s="5" t="s">
        <v>670</v>
      </c>
      <c r="B8251" s="5" t="s">
        <v>13</v>
      </c>
      <c r="C8251" s="5" t="s">
        <v>8733</v>
      </c>
    </row>
    <row r="8252" spans="1:3" ht="30" x14ac:dyDescent="0.25">
      <c r="A8252" s="5" t="s">
        <v>670</v>
      </c>
      <c r="B8252" s="5" t="s">
        <v>329</v>
      </c>
      <c r="C8252" s="5" t="s">
        <v>8734</v>
      </c>
    </row>
    <row r="8253" spans="1:3" ht="30" x14ac:dyDescent="0.25">
      <c r="A8253" s="5" t="s">
        <v>670</v>
      </c>
      <c r="B8253" s="5" t="s">
        <v>19</v>
      </c>
      <c r="C8253" s="5" t="s">
        <v>8735</v>
      </c>
    </row>
    <row r="8254" spans="1:3" ht="30" x14ac:dyDescent="0.25">
      <c r="A8254" s="5" t="s">
        <v>670</v>
      </c>
      <c r="B8254" s="5" t="s">
        <v>40</v>
      </c>
      <c r="C8254" s="5" t="s">
        <v>8736</v>
      </c>
    </row>
    <row r="8255" spans="1:3" ht="30" x14ac:dyDescent="0.25">
      <c r="A8255" s="5" t="s">
        <v>670</v>
      </c>
      <c r="B8255" s="5" t="s">
        <v>462</v>
      </c>
      <c r="C8255" s="5" t="s">
        <v>8737</v>
      </c>
    </row>
    <row r="8256" spans="1:3" ht="30" x14ac:dyDescent="0.25">
      <c r="A8256" s="5" t="s">
        <v>670</v>
      </c>
      <c r="B8256" s="5" t="s">
        <v>45</v>
      </c>
      <c r="C8256" s="5" t="s">
        <v>8738</v>
      </c>
    </row>
    <row r="8257" spans="1:3" ht="30" x14ac:dyDescent="0.25">
      <c r="A8257" s="5" t="s">
        <v>670</v>
      </c>
      <c r="B8257" s="5" t="s">
        <v>47</v>
      </c>
      <c r="C8257" s="5" t="s">
        <v>8739</v>
      </c>
    </row>
    <row r="8258" spans="1:3" ht="30" x14ac:dyDescent="0.25">
      <c r="A8258" s="5" t="s">
        <v>670</v>
      </c>
      <c r="B8258" s="5" t="s">
        <v>49</v>
      </c>
      <c r="C8258" s="5" t="s">
        <v>8740</v>
      </c>
    </row>
    <row r="8259" spans="1:3" ht="30" x14ac:dyDescent="0.25">
      <c r="A8259" s="5" t="s">
        <v>670</v>
      </c>
      <c r="B8259" s="5" t="s">
        <v>52</v>
      </c>
      <c r="C8259" s="5" t="s">
        <v>8741</v>
      </c>
    </row>
    <row r="8260" spans="1:3" x14ac:dyDescent="0.25">
      <c r="A8260" s="5" t="s">
        <v>670</v>
      </c>
      <c r="B8260" s="5" t="s">
        <v>57</v>
      </c>
      <c r="C8260" s="5" t="s">
        <v>8742</v>
      </c>
    </row>
    <row r="8261" spans="1:3" ht="30" x14ac:dyDescent="0.25">
      <c r="A8261" s="5" t="s">
        <v>670</v>
      </c>
      <c r="B8261" s="5" t="s">
        <v>205</v>
      </c>
      <c r="C8261" s="5" t="s">
        <v>8743</v>
      </c>
    </row>
    <row r="8262" spans="1:3" ht="30" x14ac:dyDescent="0.25">
      <c r="A8262" s="5" t="s">
        <v>670</v>
      </c>
      <c r="B8262" s="5" t="s">
        <v>67</v>
      </c>
      <c r="C8262" s="5" t="s">
        <v>8744</v>
      </c>
    </row>
    <row r="8263" spans="1:3" ht="30" x14ac:dyDescent="0.25">
      <c r="A8263" s="5" t="s">
        <v>670</v>
      </c>
      <c r="B8263" s="5" t="s">
        <v>71</v>
      </c>
      <c r="C8263" s="5" t="s">
        <v>8745</v>
      </c>
    </row>
    <row r="8264" spans="1:3" ht="30" x14ac:dyDescent="0.25">
      <c r="A8264" s="5" t="s">
        <v>670</v>
      </c>
      <c r="B8264" s="5" t="s">
        <v>73</v>
      </c>
      <c r="C8264" s="5" t="s">
        <v>8746</v>
      </c>
    </row>
    <row r="8265" spans="1:3" ht="30" x14ac:dyDescent="0.25">
      <c r="A8265" s="5" t="s">
        <v>670</v>
      </c>
      <c r="B8265" s="5" t="s">
        <v>74</v>
      </c>
      <c r="C8265" s="5" t="s">
        <v>8747</v>
      </c>
    </row>
    <row r="8266" spans="1:3" ht="30" x14ac:dyDescent="0.25">
      <c r="A8266" s="5" t="s">
        <v>670</v>
      </c>
      <c r="B8266" s="5" t="s">
        <v>82</v>
      </c>
      <c r="C8266" s="5" t="s">
        <v>8748</v>
      </c>
    </row>
    <row r="8267" spans="1:3" ht="30" x14ac:dyDescent="0.25">
      <c r="A8267" s="5" t="s">
        <v>670</v>
      </c>
      <c r="B8267" s="5" t="s">
        <v>84</v>
      </c>
      <c r="C8267" s="5" t="s">
        <v>8749</v>
      </c>
    </row>
    <row r="8268" spans="1:3" ht="30" x14ac:dyDescent="0.25">
      <c r="A8268" s="5" t="s">
        <v>670</v>
      </c>
      <c r="B8268" s="5" t="s">
        <v>87</v>
      </c>
      <c r="C8268" s="5" t="s">
        <v>8750</v>
      </c>
    </row>
    <row r="8269" spans="1:3" ht="30" x14ac:dyDescent="0.25">
      <c r="A8269" s="5" t="s">
        <v>670</v>
      </c>
      <c r="B8269" s="5" t="s">
        <v>95</v>
      </c>
      <c r="C8269" s="5" t="s">
        <v>8751</v>
      </c>
    </row>
    <row r="8270" spans="1:3" ht="30" x14ac:dyDescent="0.25">
      <c r="A8270" s="5" t="s">
        <v>670</v>
      </c>
      <c r="B8270" s="5" t="s">
        <v>185</v>
      </c>
      <c r="C8270" s="5" t="s">
        <v>8752</v>
      </c>
    </row>
    <row r="8271" spans="1:3" ht="30" x14ac:dyDescent="0.25">
      <c r="A8271" s="5" t="s">
        <v>670</v>
      </c>
      <c r="B8271" s="5" t="s">
        <v>102</v>
      </c>
      <c r="C8271" s="5" t="s">
        <v>8753</v>
      </c>
    </row>
    <row r="8272" spans="1:3" x14ac:dyDescent="0.25">
      <c r="A8272" s="5" t="s">
        <v>670</v>
      </c>
      <c r="B8272" s="5" t="s">
        <v>188</v>
      </c>
      <c r="C8272" s="5" t="s">
        <v>8754</v>
      </c>
    </row>
    <row r="8273" spans="1:3" ht="30" x14ac:dyDescent="0.25">
      <c r="A8273" s="5" t="s">
        <v>670</v>
      </c>
      <c r="B8273" s="5" t="s">
        <v>191</v>
      </c>
      <c r="C8273" s="5" t="s">
        <v>8755</v>
      </c>
    </row>
    <row r="8274" spans="1:3" ht="30" x14ac:dyDescent="0.25">
      <c r="A8274" s="5" t="s">
        <v>670</v>
      </c>
      <c r="B8274" s="5" t="s">
        <v>130</v>
      </c>
      <c r="C8274" s="5" t="s">
        <v>8756</v>
      </c>
    </row>
    <row r="8275" spans="1:3" ht="30" x14ac:dyDescent="0.25">
      <c r="A8275" s="5" t="s">
        <v>670</v>
      </c>
      <c r="B8275" s="5" t="s">
        <v>2738</v>
      </c>
      <c r="C8275" s="5" t="s">
        <v>8757</v>
      </c>
    </row>
    <row r="8276" spans="1:3" ht="30" x14ac:dyDescent="0.25">
      <c r="A8276" s="5" t="s">
        <v>670</v>
      </c>
      <c r="B8276" s="5" t="s">
        <v>668</v>
      </c>
      <c r="C8276" s="5" t="s">
        <v>8758</v>
      </c>
    </row>
    <row r="8277" spans="1:3" ht="30" x14ac:dyDescent="0.25">
      <c r="A8277" s="5" t="s">
        <v>2531</v>
      </c>
      <c r="B8277" s="5" t="s">
        <v>47</v>
      </c>
      <c r="C8277" s="5" t="s">
        <v>8759</v>
      </c>
    </row>
    <row r="8278" spans="1:3" ht="30" x14ac:dyDescent="0.25">
      <c r="A8278" s="5" t="s">
        <v>2531</v>
      </c>
      <c r="B8278" s="5" t="s">
        <v>87</v>
      </c>
      <c r="C8278" s="5" t="s">
        <v>8760</v>
      </c>
    </row>
    <row r="8279" spans="1:3" ht="30" x14ac:dyDescent="0.25">
      <c r="A8279" s="5" t="s">
        <v>1559</v>
      </c>
      <c r="B8279" s="5" t="s">
        <v>349</v>
      </c>
      <c r="C8279" s="5" t="s">
        <v>8761</v>
      </c>
    </row>
    <row r="8280" spans="1:3" ht="30" x14ac:dyDescent="0.25">
      <c r="A8280" s="5" t="s">
        <v>1559</v>
      </c>
      <c r="B8280" s="5" t="s">
        <v>364</v>
      </c>
      <c r="C8280" s="5" t="s">
        <v>8762</v>
      </c>
    </row>
    <row r="8281" spans="1:3" ht="30" x14ac:dyDescent="0.25">
      <c r="A8281" s="5" t="s">
        <v>2943</v>
      </c>
      <c r="B8281" s="5" t="s">
        <v>2941</v>
      </c>
      <c r="C8281" s="5" t="s">
        <v>8763</v>
      </c>
    </row>
    <row r="8282" spans="1:3" ht="30" x14ac:dyDescent="0.25">
      <c r="A8282" s="5" t="s">
        <v>2943</v>
      </c>
      <c r="B8282" s="5" t="s">
        <v>128</v>
      </c>
      <c r="C8282" s="5" t="s">
        <v>8764</v>
      </c>
    </row>
    <row r="8283" spans="1:3" x14ac:dyDescent="0.25">
      <c r="A8283" s="5" t="s">
        <v>6789</v>
      </c>
      <c r="B8283" s="5" t="s">
        <v>188</v>
      </c>
      <c r="C8283" s="5" t="s">
        <v>8765</v>
      </c>
    </row>
    <row r="8284" spans="1:3" ht="30" x14ac:dyDescent="0.25">
      <c r="A8284" s="5" t="s">
        <v>6789</v>
      </c>
      <c r="B8284" s="5" t="s">
        <v>191</v>
      </c>
      <c r="C8284" s="5" t="s">
        <v>8766</v>
      </c>
    </row>
    <row r="8285" spans="1:3" ht="30" x14ac:dyDescent="0.25">
      <c r="A8285" s="5" t="s">
        <v>2744</v>
      </c>
      <c r="B8285" s="5" t="s">
        <v>49</v>
      </c>
      <c r="C8285" s="5" t="s">
        <v>8767</v>
      </c>
    </row>
    <row r="8286" spans="1:3" ht="30" x14ac:dyDescent="0.25">
      <c r="A8286" s="5" t="s">
        <v>2744</v>
      </c>
      <c r="B8286" s="5" t="s">
        <v>104</v>
      </c>
      <c r="C8286" s="5" t="s">
        <v>8768</v>
      </c>
    </row>
  </sheetData>
  <autoFilter ref="A1:I8286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airports</vt:lpstr>
      <vt:lpstr>L_AIRPORT</vt:lpstr>
      <vt:lpstr>Distance Calc</vt:lpstr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2022-11-01T02:46:23Z</dcterms:created>
  <dcterms:modified xsi:type="dcterms:W3CDTF">2022-11-13T10:14:08Z</dcterms:modified>
</cp:coreProperties>
</file>